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4600 Desktop\"/>
    </mc:Choice>
  </mc:AlternateContent>
  <xr:revisionPtr revIDLastSave="0" documentId="13_ncr:1_{0FBB405D-682C-4DF3-B03A-4C50062BF225}" xr6:coauthVersionLast="47" xr6:coauthVersionMax="47" xr10:uidLastSave="{00000000-0000-0000-0000-000000000000}"/>
  <bookViews>
    <workbookView xWindow="0" yWindow="0" windowWidth="19380" windowHeight="1053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32" i="1" l="1"/>
  <c r="I35" i="1"/>
  <c r="I43" i="1"/>
  <c r="F27" i="1"/>
  <c r="I27" i="1" s="1"/>
  <c r="I34" i="1" l="1"/>
  <c r="I33" i="1"/>
  <c r="I32" i="1"/>
  <c r="I16" i="1"/>
  <c r="I15" i="1"/>
  <c r="I6" i="1"/>
  <c r="F11" i="1"/>
  <c r="I11" i="1" s="1"/>
  <c r="F25" i="1" l="1"/>
  <c r="I25" i="1" s="1"/>
  <c r="F19" i="1" l="1"/>
  <c r="I19" i="1" s="1"/>
  <c r="F7" i="1" l="1"/>
  <c r="F8" i="1"/>
  <c r="F9" i="1"/>
  <c r="F12" i="1"/>
  <c r="I12" i="1" s="1"/>
  <c r="F13" i="1"/>
  <c r="I13" i="1" s="1"/>
  <c r="F14" i="1"/>
  <c r="I14" i="1" s="1"/>
  <c r="F17" i="1"/>
  <c r="I17" i="1" s="1"/>
  <c r="F18" i="1"/>
  <c r="I18" i="1" s="1"/>
  <c r="F26" i="1"/>
  <c r="I26" i="1" s="1"/>
  <c r="F28" i="1"/>
  <c r="I28" i="1" s="1"/>
  <c r="F29" i="1"/>
  <c r="I29" i="1" s="1"/>
  <c r="F30" i="1"/>
  <c r="I30" i="1" s="1"/>
  <c r="D6" i="1"/>
  <c r="D5" i="1"/>
  <c r="F5" i="1" s="1"/>
  <c r="I5" i="1" s="1"/>
</calcChain>
</file>

<file path=xl/sharedStrings.xml><?xml version="1.0" encoding="utf-8"?>
<sst xmlns="http://schemas.openxmlformats.org/spreadsheetml/2006/main" count="52" uniqueCount="52">
  <si>
    <t>ĐỊNH MỨC TIỀN ĐI ĐƯỜNG</t>
  </si>
  <si>
    <t>STT</t>
  </si>
  <si>
    <t>Hải Phòng – Mộc Châu, Sơn La</t>
  </si>
  <si>
    <t>Hải Phòng – TP. Sơn La</t>
  </si>
  <si>
    <t>Hải Phòng – Sa Pa</t>
  </si>
  <si>
    <t>Hải Phòng – Lào Cai</t>
  </si>
  <si>
    <t>Hải Phòng – Hưng Yên (1 trạm vé)</t>
  </si>
  <si>
    <t>Hải Phòng – Hải Dương/ Hưng Yên – Hà Nam/ Ninh Bình (hàng kết hợp 2 chiều)</t>
  </si>
  <si>
    <t>Hải Phòng – Thái Bình/ Nam Định/ Hà Nam/ Ninh Bình – Hà Nam/ Ninh Bình (hàng kết hợp 2 chiều)</t>
  </si>
  <si>
    <t>Hải Phòng – Văn Chấn, Yên Bái</t>
  </si>
  <si>
    <t>Hải Phòng – Thái Nguyên</t>
  </si>
  <si>
    <t>Hải Phòng – Hải Dương</t>
  </si>
  <si>
    <t>Giảm vé QL5</t>
  </si>
  <si>
    <t>Hải Phòng – Đoan Hùng, Phú Thọ (đi QL2)</t>
  </si>
  <si>
    <t>Tuyến đường vận chuyển</t>
  </si>
  <si>
    <t>Tiền đi đường</t>
  </si>
  <si>
    <t>Hải Phòng - Thanh Hóa</t>
  </si>
  <si>
    <t>Hải Phòng - Thanh Hóa - Hà Nam/ Ninh Bình (hàng kết hợp 2 chiều)</t>
  </si>
  <si>
    <t>Tăng vé Y/ Lệnh</t>
  </si>
  <si>
    <t>Hải Phòng - KCN Đồng Văn (đi cầu Yên Lệnh)</t>
  </si>
  <si>
    <t>Hải Phòng - Hà Giang</t>
  </si>
  <si>
    <t>Hải Phòng - Chiêm Hóa, Tuyên Quang</t>
  </si>
  <si>
    <t>Tiền đi đường mooc 40'</t>
  </si>
  <si>
    <t>Tiền đi đường mooc 20'</t>
  </si>
  <si>
    <t>Hải Phòng – Bắc Ninh/ Bắc Giang – Hà Nam/ Ninh Bình (hàng kết hợp 2 chiều)</t>
  </si>
  <si>
    <r>
      <rPr>
        <b/>
        <i/>
        <u/>
        <sz val="11"/>
        <color theme="1"/>
        <rFont val="Calibri"/>
        <family val="2"/>
        <scheme val="minor"/>
      </rPr>
      <t>Ghi chú:</t>
    </r>
    <r>
      <rPr>
        <i/>
        <sz val="11"/>
        <color theme="1"/>
        <rFont val="Calibri"/>
        <family val="2"/>
        <scheme val="minor"/>
      </rPr>
      <t xml:space="preserve"> - Đối với hàng kết hợp chiều về: cộng thêm tiền vé phát sinh thực tế và tiền kết hợp: 300.000 đ/ chuyến đối với hàng nguyên cont. Với hàng lẻ thì tùy theo thông báo cụ thể.
</t>
    </r>
  </si>
  <si>
    <t>Hải Phòng - Vĩnh Phúc - Hà Nam/ Ninh Bình (hàng kết hợp 2 chiều)</t>
  </si>
  <si>
    <t>Hải Phòng – Việt Trì/ Phú Thọ (đi QL2 + cao tốc Nội Bài Lào Cai)</t>
  </si>
  <si>
    <t>Hải Phòng – Việt Trì/ Phú Thọ (đi QL32 + cầu Văn Lang)</t>
  </si>
  <si>
    <t>Hải Phòng – Phủ Lý, Hà Nam/ Ninh Bình/ Thái Bình (hàng 1 chiều, đi QL10)</t>
  </si>
  <si>
    <t>Hải Phòng – TP. Vinh/ Nghệ An</t>
  </si>
  <si>
    <t>Hải Phòng – Hà Nội/ Như Quỳnh, Hưng Yên (2 trạm vé) (đi QL5)</t>
  </si>
  <si>
    <t>Hải Phòng – Bắc Ninh/ Bắc Giang (đi QL18, QL39, QL1)</t>
  </si>
  <si>
    <t>Hải Phòng - Hà Nội/ Thái Nguyên - Hà Nam/ Ninh Bình (hàng kết hợp 2 chiều)</t>
  </si>
  <si>
    <t>Hải Phòng - Việt Trì/ Phú Thọ (QL32) - Hà Nam/ Ninh Bình (hàng kết hợp 2 chiều)</t>
  </si>
  <si>
    <t>Hải Phòng - Việt Trì/ Phú Thọ (QL2 + cao tốc NBLC) - Hà Nam/ Ninh Bình (hàng kết hợp 2 chiều)</t>
  </si>
  <si>
    <t>Hải Phòng - Hạ Long, Quảng Ninh</t>
  </si>
  <si>
    <t>Hải Phòng - Móng Cái, Quảng Ninh</t>
  </si>
  <si>
    <t>Hải Phòng - Đồng Hới, Quảng Bình</t>
  </si>
  <si>
    <t>Hải Phòng - Ngoại thành (R&gt; 20 km)</t>
  </si>
  <si>
    <t>Hải Phòng - Nội thành (R&lt;20 km)</t>
  </si>
  <si>
    <t>Hải Phòng - TP. Hòa Bình - Hà Nam/ Ninh Bình (hàng kết hợp 2 chiều)</t>
  </si>
  <si>
    <t>Hải Phòng – TP. Tuyên Quang</t>
  </si>
  <si>
    <t>Hải Phòng – Vĩnh Phúc</t>
  </si>
  <si>
    <t>Hải Phòng - CK Hữu Nghị, Lạng Sơn</t>
  </si>
  <si>
    <t>Hải Phòng - KCN Hải Hà, Móng Cái</t>
  </si>
  <si>
    <t>40'</t>
  </si>
  <si>
    <t>20'</t>
  </si>
  <si>
    <t>Hải Phòng – CK Ma Lù Thàng, Lai Châu</t>
  </si>
  <si>
    <t>5B</t>
  </si>
  <si>
    <t>Hải Phòng - TP. Lai Châu</t>
  </si>
  <si>
    <t>Cập nhật: 10/06/2022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</si>
</sst>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/>
    <xf numFmtId="3" fontId="6" fillId="0" borderId="5" xfId="0" applyNumberFormat="1" applyFont="1" applyBorder="1"/>
    <xf numFmtId="3" fontId="4" fillId="0" borderId="5" xfId="0" applyNumberFormat="1" applyFont="1" applyBorder="1"/>
    <xf numFmtId="3" fontId="1" fillId="0" borderId="5" xfId="0" applyNumberFormat="1" applyFont="1" applyBorder="1"/>
    <xf numFmtId="3" fontId="7" fillId="0" borderId="5" xfId="0" applyNumberFormat="1" applyFont="1" applyBorder="1"/>
    <xf numFmtId="3" fontId="1" fillId="2" borderId="10" xfId="0" applyNumberFormat="1" applyFont="1" applyFill="1" applyBorder="1" applyAlignment="1">
      <alignment horizontal="center"/>
    </xf>
    <xf numFmtId="3" fontId="1" fillId="3" borderId="11" xfId="0" applyNumberFormat="1" applyFont="1" applyFill="1" applyBorder="1"/>
    <xf numFmtId="0" fontId="0" fillId="4" borderId="4" xfId="0" applyFill="1" applyBorder="1" applyAlignment="1">
      <alignment horizontal="center"/>
    </xf>
    <xf numFmtId="3" fontId="0" fillId="4" borderId="5" xfId="0" applyNumberFormat="1" applyFill="1" applyBorder="1"/>
    <xf numFmtId="3" fontId="6" fillId="4" borderId="5" xfId="0" applyNumberFormat="1" applyFont="1" applyFill="1" applyBorder="1"/>
    <xf numFmtId="3" fontId="4" fillId="4" borderId="5" xfId="0" applyNumberFormat="1" applyFont="1" applyFill="1" applyBorder="1"/>
    <xf numFmtId="3" fontId="1" fillId="4" borderId="5" xfId="0" applyNumberFormat="1" applyFont="1" applyFill="1" applyBorder="1"/>
    <xf numFmtId="3" fontId="7" fillId="4" borderId="5" xfId="0" applyNumberFormat="1" applyFont="1" applyFill="1" applyBorder="1"/>
    <xf numFmtId="3" fontId="8" fillId="0" borderId="5" xfId="0" applyNumberFormat="1" applyFont="1" applyBorder="1"/>
    <xf numFmtId="3" fontId="8" fillId="0" borderId="6" xfId="0" applyNumberFormat="1" applyFont="1" applyBorder="1"/>
    <xf numFmtId="3" fontId="8" fillId="4" borderId="5" xfId="0" applyNumberFormat="1" applyFont="1" applyFill="1" applyBorder="1"/>
    <xf numFmtId="3" fontId="8" fillId="4" borderId="6" xfId="0" applyNumberFormat="1" applyFont="1" applyFill="1" applyBorder="1"/>
    <xf numFmtId="3" fontId="0" fillId="0" borderId="12" xfId="0" applyNumberFormat="1" applyBorder="1"/>
    <xf numFmtId="3" fontId="6" fillId="0" borderId="12" xfId="0" applyNumberFormat="1" applyFont="1" applyBorder="1"/>
    <xf numFmtId="3" fontId="4" fillId="0" borderId="12" xfId="0" applyNumberFormat="1" applyFont="1" applyBorder="1"/>
    <xf numFmtId="3" fontId="7" fillId="0" borderId="12" xfId="0" applyNumberFormat="1" applyFont="1" applyBorder="1"/>
    <xf numFmtId="3" fontId="8" fillId="0" borderId="12" xfId="0" applyNumberFormat="1" applyFont="1" applyBorder="1"/>
    <xf numFmtId="3" fontId="8" fillId="0" borderId="13" xfId="0" applyNumberFormat="1" applyFont="1" applyBorder="1"/>
    <xf numFmtId="3" fontId="1" fillId="0" borderId="11" xfId="0" applyNumberFormat="1" applyFont="1" applyBorder="1"/>
    <xf numFmtId="3" fontId="0" fillId="4" borderId="12" xfId="0" applyNumberFormat="1" applyFill="1" applyBorder="1"/>
    <xf numFmtId="3" fontId="6" fillId="4" borderId="12" xfId="0" applyNumberFormat="1" applyFont="1" applyFill="1" applyBorder="1"/>
    <xf numFmtId="3" fontId="4" fillId="4" borderId="12" xfId="0" applyNumberFormat="1" applyFont="1" applyFill="1" applyBorder="1"/>
    <xf numFmtId="3" fontId="7" fillId="4" borderId="12" xfId="0" applyNumberFormat="1" applyFont="1" applyFill="1" applyBorder="1"/>
    <xf numFmtId="3" fontId="8" fillId="4" borderId="12" xfId="0" applyNumberFormat="1" applyFont="1" applyFill="1" applyBorder="1"/>
    <xf numFmtId="3" fontId="8" fillId="4" borderId="13" xfId="0" applyNumberFormat="1" applyFont="1" applyFill="1" applyBorder="1"/>
    <xf numFmtId="3" fontId="7" fillId="0" borderId="6" xfId="0" applyNumberFormat="1" applyFont="1" applyBorder="1"/>
    <xf numFmtId="0" fontId="0" fillId="5" borderId="4" xfId="0" applyFill="1" applyBorder="1" applyAlignment="1">
      <alignment horizontal="center"/>
    </xf>
    <xf numFmtId="3" fontId="0" fillId="5" borderId="12" xfId="0" applyNumberFormat="1" applyFill="1" applyBorder="1"/>
    <xf numFmtId="3" fontId="6" fillId="5" borderId="12" xfId="0" applyNumberFormat="1" applyFont="1" applyFill="1" applyBorder="1"/>
    <xf numFmtId="3" fontId="4" fillId="5" borderId="12" xfId="0" applyNumberFormat="1" applyFont="1" applyFill="1" applyBorder="1"/>
    <xf numFmtId="3" fontId="7" fillId="5" borderId="12" xfId="0" applyNumberFormat="1" applyFont="1" applyFill="1" applyBorder="1"/>
    <xf numFmtId="3" fontId="8" fillId="5" borderId="12" xfId="0" applyNumberFormat="1" applyFont="1" applyFill="1" applyBorder="1"/>
    <xf numFmtId="3" fontId="8" fillId="5" borderId="13" xfId="0" applyNumberFormat="1" applyFont="1" applyFill="1" applyBorder="1"/>
    <xf numFmtId="0" fontId="0" fillId="3" borderId="4" xfId="0" applyFill="1" applyBorder="1" applyAlignment="1">
      <alignment horizontal="center"/>
    </xf>
    <xf numFmtId="3" fontId="0" fillId="3" borderId="12" xfId="0" applyNumberFormat="1" applyFill="1" applyBorder="1"/>
    <xf numFmtId="3" fontId="6" fillId="3" borderId="12" xfId="0" applyNumberFormat="1" applyFont="1" applyFill="1" applyBorder="1"/>
    <xf numFmtId="3" fontId="4" fillId="3" borderId="12" xfId="0" applyNumberFormat="1" applyFont="1" applyFill="1" applyBorder="1"/>
    <xf numFmtId="3" fontId="7" fillId="3" borderId="12" xfId="0" applyNumberFormat="1" applyFont="1" applyFill="1" applyBorder="1"/>
    <xf numFmtId="3" fontId="8" fillId="3" borderId="12" xfId="0" applyNumberFormat="1" applyFont="1" applyFill="1" applyBorder="1"/>
    <xf numFmtId="3" fontId="8" fillId="3" borderId="13" xfId="0" applyNumberFormat="1" applyFont="1" applyFill="1" applyBorder="1"/>
    <xf numFmtId="3" fontId="0" fillId="3" borderId="7" xfId="0" applyNumberFormat="1" applyFill="1" applyBorder="1"/>
    <xf numFmtId="3" fontId="6" fillId="3" borderId="7" xfId="0" applyNumberFormat="1" applyFont="1" applyFill="1" applyBorder="1"/>
    <xf numFmtId="3" fontId="4" fillId="3" borderId="7" xfId="0" applyNumberFormat="1" applyFont="1" applyFill="1" applyBorder="1"/>
    <xf numFmtId="3" fontId="7" fillId="3" borderId="7" xfId="0" applyNumberFormat="1" applyFont="1" applyFill="1" applyBorder="1"/>
    <xf numFmtId="3" fontId="8" fillId="3" borderId="7" xfId="0" applyNumberFormat="1" applyFont="1" applyFill="1" applyBorder="1"/>
    <xf numFmtId="3" fontId="8" fillId="3" borderId="8" xfId="0" applyNumberFormat="1" applyFont="1" applyFill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topLeftCell="A15" workbookViewId="0">
      <selection activeCell="K19" sqref="K19"/>
    </sheetView>
  </sheetViews>
  <sheetFormatPr defaultRowHeight="14.5" x14ac:dyDescent="0.35"/>
  <cols>
    <col min="1" max="1" width="7" customWidth="1"/>
    <col min="2" max="2" width="81.1796875" customWidth="1"/>
    <col min="3" max="3" width="13.36328125" style="1" hidden="1" customWidth="1"/>
    <col min="4" max="4" width="12.08984375" style="1" hidden="1" customWidth="1"/>
    <col min="5" max="5" width="14.54296875" style="1" hidden="1" customWidth="1"/>
    <col min="6" max="6" width="21.08984375" style="1" hidden="1" customWidth="1"/>
    <col min="7" max="7" width="14.08984375" style="1" customWidth="1"/>
    <col min="8" max="8" width="13.453125" style="1" customWidth="1"/>
    <col min="9" max="9" width="20.36328125" style="1" hidden="1" customWidth="1"/>
  </cols>
  <sheetData>
    <row r="1" spans="1:9" ht="23.5" x14ac:dyDescent="0.55000000000000004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x14ac:dyDescent="0.35">
      <c r="A2" s="60" t="s">
        <v>51</v>
      </c>
      <c r="B2" s="60"/>
      <c r="C2" s="60"/>
      <c r="D2" s="60"/>
      <c r="E2" s="60"/>
      <c r="F2" s="60"/>
      <c r="G2" s="60"/>
      <c r="H2" s="60"/>
      <c r="I2" s="60"/>
    </row>
    <row r="3" spans="1:9" ht="15" thickBot="1" x14ac:dyDescent="0.4">
      <c r="B3" s="2"/>
    </row>
    <row r="4" spans="1:9" x14ac:dyDescent="0.35">
      <c r="A4" s="3" t="s">
        <v>1</v>
      </c>
      <c r="B4" s="4" t="s">
        <v>14</v>
      </c>
      <c r="C4" s="5" t="s">
        <v>15</v>
      </c>
      <c r="D4" s="5" t="s">
        <v>12</v>
      </c>
      <c r="E4" s="5" t="s">
        <v>18</v>
      </c>
      <c r="F4" s="5" t="s">
        <v>22</v>
      </c>
      <c r="G4" s="5" t="s">
        <v>46</v>
      </c>
      <c r="H4" s="6" t="s">
        <v>47</v>
      </c>
      <c r="I4" s="13" t="s">
        <v>23</v>
      </c>
    </row>
    <row r="5" spans="1:9" x14ac:dyDescent="0.35">
      <c r="A5" s="7">
        <v>1</v>
      </c>
      <c r="B5" s="8" t="s">
        <v>2</v>
      </c>
      <c r="C5" s="9">
        <v>3000000</v>
      </c>
      <c r="D5" s="10">
        <f>4*20000</f>
        <v>80000</v>
      </c>
      <c r="E5" s="10"/>
      <c r="F5" s="11">
        <f>C5-D5</f>
        <v>2920000</v>
      </c>
      <c r="G5" s="21">
        <v>2740000</v>
      </c>
      <c r="H5" s="22">
        <v>2470000</v>
      </c>
      <c r="I5" s="14">
        <f>F5-6*55000</f>
        <v>2590000</v>
      </c>
    </row>
    <row r="6" spans="1:9" x14ac:dyDescent="0.35">
      <c r="A6" s="15">
        <v>2</v>
      </c>
      <c r="B6" s="16" t="s">
        <v>3</v>
      </c>
      <c r="C6" s="17">
        <v>4750000</v>
      </c>
      <c r="D6" s="18">
        <f>4*20000</f>
        <v>80000</v>
      </c>
      <c r="E6" s="18"/>
      <c r="F6" s="19">
        <v>4000000</v>
      </c>
      <c r="G6" s="23">
        <v>3820000</v>
      </c>
      <c r="H6" s="24">
        <v>3550000</v>
      </c>
      <c r="I6" s="14">
        <f>F6-6*55000</f>
        <v>3670000</v>
      </c>
    </row>
    <row r="7" spans="1:9" x14ac:dyDescent="0.35">
      <c r="A7" s="7">
        <v>3</v>
      </c>
      <c r="B7" s="8" t="s">
        <v>4</v>
      </c>
      <c r="C7" s="9">
        <v>6000000</v>
      </c>
      <c r="D7" s="10">
        <v>40000</v>
      </c>
      <c r="E7" s="10"/>
      <c r="F7" s="11">
        <f t="shared" ref="F7:F30" si="0">C7-D7</f>
        <v>5960000</v>
      </c>
      <c r="G7" s="21">
        <v>4800000</v>
      </c>
      <c r="H7" s="22"/>
      <c r="I7" s="14"/>
    </row>
    <row r="8" spans="1:9" x14ac:dyDescent="0.35">
      <c r="A8" s="15">
        <v>4</v>
      </c>
      <c r="B8" s="16" t="s">
        <v>5</v>
      </c>
      <c r="C8" s="17">
        <v>4500000</v>
      </c>
      <c r="D8" s="18">
        <v>40000</v>
      </c>
      <c r="E8" s="18"/>
      <c r="F8" s="19">
        <f t="shared" si="0"/>
        <v>4460000</v>
      </c>
      <c r="G8" s="23">
        <v>4280000</v>
      </c>
      <c r="H8" s="24">
        <v>3300000</v>
      </c>
      <c r="I8" s="14"/>
    </row>
    <row r="9" spans="1:9" x14ac:dyDescent="0.35">
      <c r="A9" s="7">
        <v>5</v>
      </c>
      <c r="B9" s="8" t="s">
        <v>48</v>
      </c>
      <c r="C9" s="9">
        <v>7000000</v>
      </c>
      <c r="D9" s="10">
        <v>40000</v>
      </c>
      <c r="E9" s="10"/>
      <c r="F9" s="11">
        <f t="shared" si="0"/>
        <v>6960000</v>
      </c>
      <c r="G9" s="21">
        <v>6780000</v>
      </c>
      <c r="H9" s="22"/>
      <c r="I9" s="14"/>
    </row>
    <row r="10" spans="1:9" x14ac:dyDescent="0.35">
      <c r="A10" s="7" t="s">
        <v>49</v>
      </c>
      <c r="B10" s="8" t="s">
        <v>50</v>
      </c>
      <c r="C10" s="9"/>
      <c r="D10" s="10"/>
      <c r="E10" s="10"/>
      <c r="F10" s="11"/>
      <c r="G10" s="21">
        <v>5300000</v>
      </c>
      <c r="H10" s="22">
        <v>4300000</v>
      </c>
      <c r="I10" s="14"/>
    </row>
    <row r="11" spans="1:9" x14ac:dyDescent="0.35">
      <c r="A11" s="15">
        <v>6</v>
      </c>
      <c r="B11" s="16" t="s">
        <v>42</v>
      </c>
      <c r="C11" s="17">
        <v>1950000</v>
      </c>
      <c r="D11" s="18">
        <v>40000</v>
      </c>
      <c r="E11" s="18"/>
      <c r="F11" s="19">
        <f>C11-D11-200000</f>
        <v>1710000</v>
      </c>
      <c r="G11" s="23">
        <v>1890000</v>
      </c>
      <c r="H11" s="24">
        <v>1720000</v>
      </c>
      <c r="I11" s="14">
        <f>F11-2*55000</f>
        <v>1600000</v>
      </c>
    </row>
    <row r="12" spans="1:9" x14ac:dyDescent="0.35">
      <c r="A12" s="7">
        <v>7</v>
      </c>
      <c r="B12" s="8" t="s">
        <v>13</v>
      </c>
      <c r="C12" s="9">
        <v>1600000</v>
      </c>
      <c r="D12" s="10">
        <v>40000</v>
      </c>
      <c r="E12" s="10"/>
      <c r="F12" s="11">
        <f t="shared" si="0"/>
        <v>1560000</v>
      </c>
      <c r="G12" s="21">
        <v>1650000</v>
      </c>
      <c r="H12" s="22">
        <v>1350000</v>
      </c>
      <c r="I12" s="14">
        <f>F12-6*55000</f>
        <v>1230000</v>
      </c>
    </row>
    <row r="13" spans="1:9" x14ac:dyDescent="0.35">
      <c r="A13" s="15">
        <v>8</v>
      </c>
      <c r="B13" s="16" t="s">
        <v>31</v>
      </c>
      <c r="C13" s="17">
        <v>1230000</v>
      </c>
      <c r="D13" s="18">
        <v>80000</v>
      </c>
      <c r="E13" s="18"/>
      <c r="F13" s="19">
        <f t="shared" si="0"/>
        <v>1150000</v>
      </c>
      <c r="G13" s="23">
        <v>1150000</v>
      </c>
      <c r="H13" s="24">
        <v>930000</v>
      </c>
      <c r="I13" s="14">
        <f>F13-4*55000</f>
        <v>930000</v>
      </c>
    </row>
    <row r="14" spans="1:9" x14ac:dyDescent="0.35">
      <c r="A14" s="7">
        <v>9</v>
      </c>
      <c r="B14" s="8" t="s">
        <v>32</v>
      </c>
      <c r="C14" s="9">
        <v>830000</v>
      </c>
      <c r="D14" s="10">
        <v>40000</v>
      </c>
      <c r="E14" s="10"/>
      <c r="F14" s="11">
        <f t="shared" si="0"/>
        <v>790000</v>
      </c>
      <c r="G14" s="21">
        <v>1150000</v>
      </c>
      <c r="H14" s="22">
        <v>930000</v>
      </c>
      <c r="I14" s="14">
        <f>F14-2*55000</f>
        <v>680000</v>
      </c>
    </row>
    <row r="15" spans="1:9" x14ac:dyDescent="0.35">
      <c r="A15" s="15">
        <v>10</v>
      </c>
      <c r="B15" s="16" t="s">
        <v>29</v>
      </c>
      <c r="C15" s="17">
        <v>950000</v>
      </c>
      <c r="D15" s="18">
        <v>0</v>
      </c>
      <c r="E15" s="18"/>
      <c r="F15" s="20">
        <v>790000</v>
      </c>
      <c r="G15" s="23">
        <v>790000</v>
      </c>
      <c r="H15" s="24">
        <v>680000</v>
      </c>
      <c r="I15" s="14">
        <f>F15-2*55000</f>
        <v>680000</v>
      </c>
    </row>
    <row r="16" spans="1:9" x14ac:dyDescent="0.35">
      <c r="A16" s="7">
        <v>11</v>
      </c>
      <c r="B16" s="8" t="s">
        <v>19</v>
      </c>
      <c r="C16" s="9"/>
      <c r="D16" s="10"/>
      <c r="E16" s="10">
        <v>120000</v>
      </c>
      <c r="F16" s="12">
        <v>1150000</v>
      </c>
      <c r="G16" s="21">
        <v>1150000</v>
      </c>
      <c r="H16" s="22">
        <v>930000</v>
      </c>
      <c r="I16" s="14">
        <f>F16-4*55000</f>
        <v>930000</v>
      </c>
    </row>
    <row r="17" spans="1:9" x14ac:dyDescent="0.35">
      <c r="A17" s="15">
        <v>12</v>
      </c>
      <c r="B17" s="16" t="s">
        <v>6</v>
      </c>
      <c r="C17" s="17">
        <v>840000</v>
      </c>
      <c r="D17" s="18">
        <v>40000</v>
      </c>
      <c r="E17" s="18"/>
      <c r="F17" s="19">
        <f t="shared" si="0"/>
        <v>800000</v>
      </c>
      <c r="G17" s="23">
        <v>790000</v>
      </c>
      <c r="H17" s="24">
        <v>690000</v>
      </c>
      <c r="I17" s="14">
        <f>F17-2*55000</f>
        <v>690000</v>
      </c>
    </row>
    <row r="18" spans="1:9" x14ac:dyDescent="0.35">
      <c r="A18" s="7">
        <v>13</v>
      </c>
      <c r="B18" s="8" t="s">
        <v>11</v>
      </c>
      <c r="C18" s="9">
        <v>690000</v>
      </c>
      <c r="D18" s="10">
        <v>40000</v>
      </c>
      <c r="E18" s="10"/>
      <c r="F18" s="11">
        <f t="shared" si="0"/>
        <v>650000</v>
      </c>
      <c r="G18" s="21">
        <v>700000</v>
      </c>
      <c r="H18" s="22">
        <v>600000</v>
      </c>
      <c r="I18" s="14">
        <f>F18-2*55000</f>
        <v>540000</v>
      </c>
    </row>
    <row r="19" spans="1:9" x14ac:dyDescent="0.35">
      <c r="A19" s="15">
        <v>14</v>
      </c>
      <c r="B19" s="16" t="s">
        <v>24</v>
      </c>
      <c r="C19" s="17">
        <v>1600000</v>
      </c>
      <c r="D19" s="18">
        <v>40000</v>
      </c>
      <c r="E19" s="18"/>
      <c r="F19" s="20">
        <f>C19-D19+40000</f>
        <v>1600000</v>
      </c>
      <c r="G19" s="23">
        <v>1780000</v>
      </c>
      <c r="H19" s="24">
        <v>1500000</v>
      </c>
      <c r="I19" s="14">
        <f>F19-4*55000</f>
        <v>1380000</v>
      </c>
    </row>
    <row r="20" spans="1:9" x14ac:dyDescent="0.35">
      <c r="A20" s="7">
        <v>15</v>
      </c>
      <c r="B20" s="8" t="s">
        <v>33</v>
      </c>
      <c r="C20" s="9"/>
      <c r="D20" s="10"/>
      <c r="E20" s="10"/>
      <c r="F20" s="12"/>
      <c r="G20" s="21">
        <v>1510000</v>
      </c>
      <c r="H20" s="22">
        <v>1320000</v>
      </c>
      <c r="I20" s="14"/>
    </row>
    <row r="21" spans="1:9" x14ac:dyDescent="0.35">
      <c r="A21" s="15">
        <v>16</v>
      </c>
      <c r="B21" s="16" t="s">
        <v>41</v>
      </c>
      <c r="C21" s="17"/>
      <c r="D21" s="18"/>
      <c r="E21" s="18"/>
      <c r="F21" s="20"/>
      <c r="G21" s="23">
        <v>1870000</v>
      </c>
      <c r="H21" s="24">
        <v>1570000</v>
      </c>
      <c r="I21" s="14"/>
    </row>
    <row r="22" spans="1:9" x14ac:dyDescent="0.35">
      <c r="A22" s="7">
        <v>17</v>
      </c>
      <c r="B22" s="8" t="s">
        <v>26</v>
      </c>
      <c r="C22" s="9"/>
      <c r="D22" s="10"/>
      <c r="E22" s="10"/>
      <c r="F22" s="12"/>
      <c r="G22" s="21">
        <v>1630000</v>
      </c>
      <c r="H22" s="22">
        <v>1400000</v>
      </c>
      <c r="I22" s="31"/>
    </row>
    <row r="23" spans="1:9" x14ac:dyDescent="0.35">
      <c r="A23" s="15">
        <v>18</v>
      </c>
      <c r="B23" s="16" t="s">
        <v>34</v>
      </c>
      <c r="C23" s="17"/>
      <c r="D23" s="18"/>
      <c r="E23" s="18"/>
      <c r="F23" s="20"/>
      <c r="G23" s="23">
        <v>1870000</v>
      </c>
      <c r="H23" s="24">
        <v>1750000</v>
      </c>
      <c r="I23" s="31"/>
    </row>
    <row r="24" spans="1:9" x14ac:dyDescent="0.35">
      <c r="A24" s="7">
        <v>19</v>
      </c>
      <c r="B24" s="8" t="s">
        <v>35</v>
      </c>
      <c r="C24" s="9"/>
      <c r="D24" s="10"/>
      <c r="E24" s="10"/>
      <c r="F24" s="12"/>
      <c r="G24" s="21">
        <v>2090000</v>
      </c>
      <c r="H24" s="22">
        <v>1750000</v>
      </c>
      <c r="I24" s="31"/>
    </row>
    <row r="25" spans="1:9" x14ac:dyDescent="0.35">
      <c r="A25" s="15">
        <v>20</v>
      </c>
      <c r="B25" s="16" t="s">
        <v>7</v>
      </c>
      <c r="C25" s="17">
        <v>1300000</v>
      </c>
      <c r="D25" s="18">
        <v>20000</v>
      </c>
      <c r="E25" s="18">
        <v>60000</v>
      </c>
      <c r="F25" s="20">
        <f>C25-D25+E25</f>
        <v>1340000</v>
      </c>
      <c r="G25" s="23">
        <v>1160000</v>
      </c>
      <c r="H25" s="24">
        <v>1050000</v>
      </c>
      <c r="I25" s="31">
        <f>F25-3*55000</f>
        <v>1175000</v>
      </c>
    </row>
    <row r="26" spans="1:9" x14ac:dyDescent="0.35">
      <c r="A26" s="7">
        <v>21</v>
      </c>
      <c r="B26" s="8" t="s">
        <v>8</v>
      </c>
      <c r="C26" s="9">
        <v>1100000</v>
      </c>
      <c r="D26" s="10">
        <v>0</v>
      </c>
      <c r="E26" s="10"/>
      <c r="F26" s="11">
        <f t="shared" si="0"/>
        <v>1100000</v>
      </c>
      <c r="G26" s="21">
        <v>1100000</v>
      </c>
      <c r="H26" s="22">
        <v>990000</v>
      </c>
      <c r="I26" s="31">
        <f>F26-2*55000</f>
        <v>990000</v>
      </c>
    </row>
    <row r="27" spans="1:9" x14ac:dyDescent="0.35">
      <c r="A27" s="15">
        <v>22</v>
      </c>
      <c r="B27" s="16" t="s">
        <v>17</v>
      </c>
      <c r="C27" s="17"/>
      <c r="D27" s="18"/>
      <c r="E27" s="18"/>
      <c r="F27" s="19">
        <f>1600000-360000</f>
        <v>1240000</v>
      </c>
      <c r="G27" s="23">
        <v>1240000</v>
      </c>
      <c r="H27" s="24">
        <v>1130000</v>
      </c>
      <c r="I27" s="31">
        <f>F27-2*55000</f>
        <v>1130000</v>
      </c>
    </row>
    <row r="28" spans="1:9" x14ac:dyDescent="0.35">
      <c r="A28" s="7">
        <v>23</v>
      </c>
      <c r="B28" s="8" t="s">
        <v>9</v>
      </c>
      <c r="C28" s="9">
        <v>2150000</v>
      </c>
      <c r="D28" s="10">
        <v>80000</v>
      </c>
      <c r="E28" s="10"/>
      <c r="F28" s="11">
        <f t="shared" si="0"/>
        <v>2070000</v>
      </c>
      <c r="G28" s="12">
        <f>2250000-360000</f>
        <v>1890000</v>
      </c>
      <c r="H28" s="38">
        <f>1970000-250000</f>
        <v>1720000</v>
      </c>
      <c r="I28" s="31">
        <f>F28-4*55000</f>
        <v>1850000</v>
      </c>
    </row>
    <row r="29" spans="1:9" x14ac:dyDescent="0.35">
      <c r="A29" s="15">
        <v>24</v>
      </c>
      <c r="B29" s="16" t="s">
        <v>43</v>
      </c>
      <c r="C29" s="17">
        <v>1000000</v>
      </c>
      <c r="D29" s="18">
        <v>40000</v>
      </c>
      <c r="E29" s="18"/>
      <c r="F29" s="19">
        <f t="shared" si="0"/>
        <v>960000</v>
      </c>
      <c r="G29" s="23">
        <v>1150000</v>
      </c>
      <c r="H29" s="24">
        <v>930000</v>
      </c>
      <c r="I29" s="31">
        <f>F29-2*55000</f>
        <v>850000</v>
      </c>
    </row>
    <row r="30" spans="1:9" x14ac:dyDescent="0.35">
      <c r="A30" s="7">
        <v>25</v>
      </c>
      <c r="B30" s="8" t="s">
        <v>27</v>
      </c>
      <c r="C30" s="9">
        <v>1500000</v>
      </c>
      <c r="D30" s="10">
        <v>40000</v>
      </c>
      <c r="E30" s="10"/>
      <c r="F30" s="11">
        <f t="shared" si="0"/>
        <v>1460000</v>
      </c>
      <c r="G30" s="21">
        <v>1550000</v>
      </c>
      <c r="H30" s="22">
        <v>1250000</v>
      </c>
      <c r="I30" s="31">
        <f>F30-6*55000</f>
        <v>1130000</v>
      </c>
    </row>
    <row r="31" spans="1:9" x14ac:dyDescent="0.35">
      <c r="A31" s="15">
        <v>26</v>
      </c>
      <c r="B31" s="16" t="s">
        <v>28</v>
      </c>
      <c r="C31" s="17"/>
      <c r="D31" s="18"/>
      <c r="E31" s="18"/>
      <c r="F31" s="19"/>
      <c r="G31" s="23">
        <v>1550000</v>
      </c>
      <c r="H31" s="24">
        <v>1250000</v>
      </c>
      <c r="I31" s="31"/>
    </row>
    <row r="32" spans="1:9" x14ac:dyDescent="0.35">
      <c r="A32" s="7">
        <v>27</v>
      </c>
      <c r="B32" s="8" t="s">
        <v>10</v>
      </c>
      <c r="C32" s="9">
        <v>1150000</v>
      </c>
      <c r="D32" s="10">
        <v>40000</v>
      </c>
      <c r="E32" s="10"/>
      <c r="F32" s="12">
        <f>C32-D32-100000</f>
        <v>1010000</v>
      </c>
      <c r="G32" s="21">
        <v>1190000</v>
      </c>
      <c r="H32" s="22">
        <v>1020000</v>
      </c>
      <c r="I32" s="31">
        <f>F32-2*55000</f>
        <v>900000</v>
      </c>
    </row>
    <row r="33" spans="1:9" x14ac:dyDescent="0.35">
      <c r="A33" s="15">
        <v>28</v>
      </c>
      <c r="B33" s="16" t="s">
        <v>20</v>
      </c>
      <c r="C33" s="17"/>
      <c r="D33" s="18"/>
      <c r="E33" s="18"/>
      <c r="F33" s="19">
        <v>2500000</v>
      </c>
      <c r="G33" s="23">
        <v>2320000</v>
      </c>
      <c r="H33" s="24">
        <v>2270000</v>
      </c>
      <c r="I33" s="31">
        <f>F33-2*55000</f>
        <v>2390000</v>
      </c>
    </row>
    <row r="34" spans="1:9" x14ac:dyDescent="0.35">
      <c r="A34" s="7">
        <v>29</v>
      </c>
      <c r="B34" s="8" t="s">
        <v>21</v>
      </c>
      <c r="C34" s="9"/>
      <c r="D34" s="10"/>
      <c r="E34" s="10"/>
      <c r="F34" s="11">
        <v>2300000</v>
      </c>
      <c r="G34" s="21">
        <v>2120000</v>
      </c>
      <c r="H34" s="22">
        <v>2070000</v>
      </c>
      <c r="I34" s="31">
        <f>F34-2*55000</f>
        <v>2190000</v>
      </c>
    </row>
    <row r="35" spans="1:9" x14ac:dyDescent="0.35">
      <c r="A35" s="15">
        <v>30</v>
      </c>
      <c r="B35" s="16" t="s">
        <v>30</v>
      </c>
      <c r="C35" s="17">
        <v>2450000</v>
      </c>
      <c r="D35" s="18">
        <v>0</v>
      </c>
      <c r="E35" s="18"/>
      <c r="F35" s="20">
        <v>1720000</v>
      </c>
      <c r="G35" s="23">
        <v>1720000</v>
      </c>
      <c r="H35" s="24">
        <v>1610000</v>
      </c>
      <c r="I35" s="31">
        <f>F35-2*55000</f>
        <v>1610000</v>
      </c>
    </row>
    <row r="36" spans="1:9" x14ac:dyDescent="0.35">
      <c r="A36" s="7">
        <v>31</v>
      </c>
      <c r="B36" s="25" t="s">
        <v>36</v>
      </c>
      <c r="C36" s="26"/>
      <c r="D36" s="27"/>
      <c r="E36" s="27"/>
      <c r="F36" s="28"/>
      <c r="G36" s="29">
        <v>790000</v>
      </c>
      <c r="H36" s="30">
        <v>680000</v>
      </c>
      <c r="I36" s="31"/>
    </row>
    <row r="37" spans="1:9" x14ac:dyDescent="0.35">
      <c r="A37" s="15">
        <v>32</v>
      </c>
      <c r="B37" s="32" t="s">
        <v>37</v>
      </c>
      <c r="C37" s="33"/>
      <c r="D37" s="34"/>
      <c r="E37" s="34"/>
      <c r="F37" s="35"/>
      <c r="G37" s="36">
        <v>1600000</v>
      </c>
      <c r="H37" s="37">
        <v>1380000</v>
      </c>
      <c r="I37" s="31"/>
    </row>
    <row r="38" spans="1:9" x14ac:dyDescent="0.35">
      <c r="A38" s="7">
        <v>33</v>
      </c>
      <c r="B38" s="25" t="s">
        <v>45</v>
      </c>
      <c r="C38" s="26"/>
      <c r="D38" s="27"/>
      <c r="E38" s="27"/>
      <c r="F38" s="28"/>
      <c r="G38" s="29">
        <v>1500000</v>
      </c>
      <c r="H38" s="30">
        <v>1280000</v>
      </c>
      <c r="I38" s="31"/>
    </row>
    <row r="39" spans="1:9" x14ac:dyDescent="0.35">
      <c r="A39" s="39">
        <v>34</v>
      </c>
      <c r="B39" s="40" t="s">
        <v>38</v>
      </c>
      <c r="C39" s="41"/>
      <c r="D39" s="42"/>
      <c r="E39" s="42"/>
      <c r="F39" s="43"/>
      <c r="G39" s="44">
        <v>3500000</v>
      </c>
      <c r="H39" s="45">
        <v>3000000</v>
      </c>
      <c r="I39" s="31"/>
    </row>
    <row r="40" spans="1:9" x14ac:dyDescent="0.35">
      <c r="A40" s="7">
        <v>35</v>
      </c>
      <c r="B40" s="25" t="s">
        <v>39</v>
      </c>
      <c r="C40" s="26"/>
      <c r="D40" s="27"/>
      <c r="E40" s="27"/>
      <c r="F40" s="28"/>
      <c r="G40" s="29">
        <v>300000</v>
      </c>
      <c r="H40" s="30">
        <v>300000</v>
      </c>
      <c r="I40" s="31"/>
    </row>
    <row r="41" spans="1:9" x14ac:dyDescent="0.35">
      <c r="A41" s="46">
        <v>36</v>
      </c>
      <c r="B41" s="47" t="s">
        <v>40</v>
      </c>
      <c r="C41" s="48"/>
      <c r="D41" s="49"/>
      <c r="E41" s="49"/>
      <c r="F41" s="50"/>
      <c r="G41" s="51">
        <v>200000</v>
      </c>
      <c r="H41" s="52">
        <v>200000</v>
      </c>
      <c r="I41" s="31"/>
    </row>
    <row r="42" spans="1:9" x14ac:dyDescent="0.35">
      <c r="A42" s="7">
        <v>37</v>
      </c>
      <c r="B42" s="25" t="s">
        <v>44</v>
      </c>
      <c r="C42" s="26"/>
      <c r="D42" s="27"/>
      <c r="E42" s="27"/>
      <c r="F42" s="28"/>
      <c r="G42" s="29">
        <v>2200000</v>
      </c>
      <c r="H42" s="30">
        <v>1900000</v>
      </c>
      <c r="I42" s="31"/>
    </row>
    <row r="43" spans="1:9" ht="15" thickBot="1" x14ac:dyDescent="0.4">
      <c r="A43" s="46">
        <v>38</v>
      </c>
      <c r="B43" s="53" t="s">
        <v>16</v>
      </c>
      <c r="C43" s="54"/>
      <c r="D43" s="55"/>
      <c r="E43" s="55"/>
      <c r="F43" s="56">
        <v>1000000</v>
      </c>
      <c r="G43" s="57">
        <v>1000000</v>
      </c>
      <c r="H43" s="58">
        <v>890000</v>
      </c>
      <c r="I43" s="31">
        <f>F43-2*55000</f>
        <v>890000</v>
      </c>
    </row>
    <row r="44" spans="1:9" ht="37.25" customHeight="1" x14ac:dyDescent="0.35">
      <c r="A44" s="61" t="s">
        <v>25</v>
      </c>
      <c r="B44" s="61"/>
      <c r="C44" s="61"/>
      <c r="D44" s="61"/>
      <c r="E44" s="61"/>
      <c r="F44" s="61"/>
      <c r="G44" s="61"/>
      <c r="H44" s="61"/>
      <c r="I44" s="61"/>
    </row>
  </sheetData>
  <mergeCells count="3">
    <mergeCell ref="A1:I1"/>
    <mergeCell ref="A2:I2"/>
    <mergeCell ref="A44:I44"/>
  </mergeCells>
  <pageMargins left="0.26" right="0.22" top="0.32" bottom="0.32" header="0.3" footer="0.3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</dc:creator>
  <cp:lastModifiedBy>Phan Kim Phung</cp:lastModifiedBy>
  <cp:lastPrinted>2019-11-07T08:58:32Z</cp:lastPrinted>
  <dcterms:created xsi:type="dcterms:W3CDTF">2016-07-20T02:18:21Z</dcterms:created>
  <dcterms:modified xsi:type="dcterms:W3CDTF">2024-07-08T07:09:54Z</dcterms:modified>
</cp:coreProperties>
</file>