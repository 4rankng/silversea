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1.xml" ContentType="application/vnd.ms-excel.threadedcomments+xml"/>
  <Override PartName="/xl/comments11.xml" ContentType="application/vnd.openxmlformats-officedocument.spreadsheetml.comments+xml"/>
  <Override PartName="/xl/threadedComments/threadedComment2.xml" ContentType="application/vnd.ms-excel.threadedcomments+xml"/>
  <Override PartName="/xl/comments12.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F:\THANH\THEO DOI DOANH THU CHI PHI TUNG XE\"/>
    </mc:Choice>
  </mc:AlternateContent>
  <xr:revisionPtr revIDLastSave="0" documentId="13_ncr:1_{8501480B-D8A0-4A39-A399-42388DF6CDC5}" xr6:coauthVersionLast="47" xr6:coauthVersionMax="47" xr10:uidLastSave="{00000000-0000-0000-0000-000000000000}"/>
  <bookViews>
    <workbookView xWindow="-60" yWindow="-60" windowWidth="28920" windowHeight="15720" firstSheet="97" activeTab="105" xr2:uid="{00000000-000D-0000-FFFF-FFFF00000000}"/>
  </bookViews>
  <sheets>
    <sheet name="T12.2015" sheetId="9" r:id="rId1"/>
    <sheet name="T01-2016" sheetId="10" r:id="rId2"/>
    <sheet name="T02-2016" sheetId="11" r:id="rId3"/>
    <sheet name="03-2016" sheetId="12" r:id="rId4"/>
    <sheet name="04-2016" sheetId="13" r:id="rId5"/>
    <sheet name="05-2016" sheetId="14" r:id="rId6"/>
    <sheet name="06-2016" sheetId="15" r:id="rId7"/>
    <sheet name="07-2016" sheetId="16" r:id="rId8"/>
    <sheet name="08.2016" sheetId="17" r:id="rId9"/>
    <sheet name="09.2016" sheetId="18" r:id="rId10"/>
    <sheet name="10.2016" sheetId="19" r:id="rId11"/>
    <sheet name="11.2016" sheetId="20" r:id="rId12"/>
    <sheet name="12.2016" sheetId="21" r:id="rId13"/>
    <sheet name="01-2017" sheetId="22" r:id="rId14"/>
    <sheet name="02-2017" sheetId="23" r:id="rId15"/>
    <sheet name="03-2017" sheetId="24" r:id="rId16"/>
    <sheet name="04-2017" sheetId="25" r:id="rId17"/>
    <sheet name="05-2017" sheetId="26" r:id="rId18"/>
    <sheet name="06-2017" sheetId="27" r:id="rId19"/>
    <sheet name="07-2017" sheetId="28" r:id="rId20"/>
    <sheet name="08-2017" sheetId="29" r:id="rId21"/>
    <sheet name="09-2017" sheetId="30" r:id="rId22"/>
    <sheet name="10-2017" sheetId="31" r:id="rId23"/>
    <sheet name="11-2017" sheetId="32" r:id="rId24"/>
    <sheet name="12-2017" sheetId="33" r:id="rId25"/>
    <sheet name="01-2018" sheetId="34" r:id="rId26"/>
    <sheet name="02-2018" sheetId="35" r:id="rId27"/>
    <sheet name="03-2018" sheetId="36" r:id="rId28"/>
    <sheet name="04-2018" sheetId="37" r:id="rId29"/>
    <sheet name="05-2018" sheetId="38" r:id="rId30"/>
    <sheet name="06-2018" sheetId="39" r:id="rId31"/>
    <sheet name="07-2018" sheetId="40" r:id="rId32"/>
    <sheet name="08-2018" sheetId="41" r:id="rId33"/>
    <sheet name="09-2018" sheetId="42" r:id="rId34"/>
    <sheet name="10-2018" sheetId="43" r:id="rId35"/>
    <sheet name="11-2018" sheetId="44" r:id="rId36"/>
    <sheet name="12.2018" sheetId="45" r:id="rId37"/>
    <sheet name="1.2019" sheetId="46" r:id="rId38"/>
    <sheet name="2.2019" sheetId="47" r:id="rId39"/>
    <sheet name="3.2019" sheetId="48" r:id="rId40"/>
    <sheet name="4.2019" sheetId="49" r:id="rId41"/>
    <sheet name="5.2019" sheetId="50" r:id="rId42"/>
    <sheet name="6.2019" sheetId="51" r:id="rId43"/>
    <sheet name="7.2019" sheetId="52" r:id="rId44"/>
    <sheet name="8.2019" sheetId="53" r:id="rId45"/>
    <sheet name="9.2019" sheetId="54" r:id="rId46"/>
    <sheet name="10.2019" sheetId="55" r:id="rId47"/>
    <sheet name="11.2019" sheetId="56" r:id="rId48"/>
    <sheet name="12.2019" sheetId="57" r:id="rId49"/>
    <sheet name="01.2020" sheetId="58" r:id="rId50"/>
    <sheet name="02.2020" sheetId="59" r:id="rId51"/>
    <sheet name="03.2020" sheetId="60" r:id="rId52"/>
    <sheet name="04.2020" sheetId="61" r:id="rId53"/>
    <sheet name="05.2020" sheetId="62" r:id="rId54"/>
    <sheet name="06.2020" sheetId="63" r:id="rId55"/>
    <sheet name="07.2020" sheetId="64" r:id="rId56"/>
    <sheet name="08.2020" sheetId="65" r:id="rId57"/>
    <sheet name="09.2020" sheetId="66" r:id="rId58"/>
    <sheet name="10.2020" sheetId="67" r:id="rId59"/>
    <sheet name="11.2020" sheetId="68" r:id="rId60"/>
    <sheet name="12.2020" sheetId="69" r:id="rId61"/>
    <sheet name="01.2021" sheetId="70" r:id="rId62"/>
    <sheet name="02.2021" sheetId="72" r:id="rId63"/>
    <sheet name="03.2021" sheetId="71" r:id="rId64"/>
    <sheet name="04.2021" sheetId="73" r:id="rId65"/>
    <sheet name="05.2021" sheetId="74" r:id="rId66"/>
    <sheet name="06.2021" sheetId="75" r:id="rId67"/>
    <sheet name="07.2021" sheetId="76" r:id="rId68"/>
    <sheet name="08.2021" sheetId="77" r:id="rId69"/>
    <sheet name="09.2021" sheetId="78" r:id="rId70"/>
    <sheet name="10.2021" sheetId="79" r:id="rId71"/>
    <sheet name="11.2021" sheetId="80" r:id="rId72"/>
    <sheet name="12.2021" sheetId="81" r:id="rId73"/>
    <sheet name="01.2022" sheetId="82" r:id="rId74"/>
    <sheet name="02.2022" sheetId="83" r:id="rId75"/>
    <sheet name="03.2022" sheetId="84" r:id="rId76"/>
    <sheet name="04.2022" sheetId="85" r:id="rId77"/>
    <sheet name="05.2022" sheetId="86" r:id="rId78"/>
    <sheet name="06.2022" sheetId="87" r:id="rId79"/>
    <sheet name="07.2022" sheetId="88" r:id="rId80"/>
    <sheet name="08.2022" sheetId="89" r:id="rId81"/>
    <sheet name="09.2022" sheetId="90" r:id="rId82"/>
    <sheet name="10.2022" sheetId="91" r:id="rId83"/>
    <sheet name="11.2022" sheetId="92" r:id="rId84"/>
    <sheet name="12.2022" sheetId="93" r:id="rId85"/>
    <sheet name="01.2023" sheetId="94" r:id="rId86"/>
    <sheet name="02.2023" sheetId="95" r:id="rId87"/>
    <sheet name="03.2023" sheetId="96" r:id="rId88"/>
    <sheet name="04.2023" sheetId="97" r:id="rId89"/>
    <sheet name="05.2023" sheetId="98" r:id="rId90"/>
    <sheet name="06.2023" sheetId="99" r:id="rId91"/>
    <sheet name="07.2023" sheetId="100" r:id="rId92"/>
    <sheet name="08.2023" sheetId="101" r:id="rId93"/>
    <sheet name="09.2023" sheetId="102" r:id="rId94"/>
    <sheet name="10.2023" sheetId="103" r:id="rId95"/>
    <sheet name="11.2023" sheetId="104" r:id="rId96"/>
    <sheet name="12.2023" sheetId="105" r:id="rId97"/>
    <sheet name="01.2024" sheetId="106" r:id="rId98"/>
    <sheet name="02.2024" sheetId="107" r:id="rId99"/>
    <sheet name="03.2024" sheetId="108" r:id="rId100"/>
    <sheet name="04.2024" sheetId="109" r:id="rId101"/>
    <sheet name="05.2024" sheetId="110" r:id="rId102"/>
    <sheet name="06.2024" sheetId="111" r:id="rId103"/>
    <sheet name="07.2024" sheetId="112" r:id="rId104"/>
    <sheet name="08.2024" sheetId="113" r:id="rId105"/>
    <sheet name="09.2024" sheetId="114" r:id="rId106"/>
    <sheet name="10.2024" sheetId="115" r:id="rId107"/>
    <sheet name="11.2024" sheetId="117" r:id="rId108"/>
    <sheet name="12.2024" sheetId="116" r:id="rId109"/>
  </sheets>
  <externalReferences>
    <externalReference r:id="rId110"/>
    <externalReference r:id="rId111"/>
    <externalReference r:id="rId112"/>
    <externalReference r:id="rId113"/>
    <externalReference r:id="rId114"/>
  </externalReferences>
  <definedNames>
    <definedName name="_xlnm._FilterDatabase" localSheetId="73" hidden="1">'01.2022'!$A$5:$Q$30</definedName>
    <definedName name="_xlnm._FilterDatabase" localSheetId="74" hidden="1">'02.2022'!$A$5:$Q$24</definedName>
    <definedName name="_xlnm._FilterDatabase" localSheetId="71" hidden="1">'11.2021'!$A$5:$Q$32</definedName>
    <definedName name="_xlnm._FilterDatabase" localSheetId="72" hidden="1">'12.2021'!$A$5:$Q$36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7" i="116" l="1"/>
  <c r="O45" i="115"/>
  <c r="O46" i="115"/>
  <c r="O44" i="115"/>
  <c r="O43" i="115"/>
  <c r="O42" i="115"/>
  <c r="H26" i="117" l="1"/>
  <c r="H27" i="117"/>
  <c r="O27" i="117" s="1"/>
  <c r="Q27" i="117" s="1"/>
  <c r="H25" i="117"/>
  <c r="O25" i="117" s="1"/>
  <c r="Q25" i="117" s="1"/>
  <c r="H23" i="117"/>
  <c r="O23" i="117" s="1"/>
  <c r="Q23" i="117" s="1"/>
  <c r="H24" i="117"/>
  <c r="H22" i="117"/>
  <c r="O22" i="117" s="1"/>
  <c r="Q22" i="117" s="1"/>
  <c r="H17" i="117"/>
  <c r="H18" i="117"/>
  <c r="O18" i="117" s="1"/>
  <c r="Q18" i="117" s="1"/>
  <c r="H19" i="117"/>
  <c r="O19" i="117" s="1"/>
  <c r="Q19" i="117" s="1"/>
  <c r="H20" i="117"/>
  <c r="O20" i="117" s="1"/>
  <c r="Q20" i="117" s="1"/>
  <c r="H21" i="117"/>
  <c r="H16" i="117"/>
  <c r="O16" i="117" s="1"/>
  <c r="Q16" i="117" s="1"/>
  <c r="H12" i="117"/>
  <c r="H13" i="117"/>
  <c r="H14" i="117"/>
  <c r="O14" i="117" s="1"/>
  <c r="Q14" i="117" s="1"/>
  <c r="H15" i="117"/>
  <c r="O15" i="117" s="1"/>
  <c r="Q15" i="117" s="1"/>
  <c r="H11" i="117"/>
  <c r="O11" i="117" s="1"/>
  <c r="Q11" i="117" s="1"/>
  <c r="H9" i="117"/>
  <c r="H10" i="117"/>
  <c r="O10" i="117" s="1"/>
  <c r="Q10" i="117" s="1"/>
  <c r="H8" i="117"/>
  <c r="H31" i="116"/>
  <c r="H32" i="116"/>
  <c r="H24" i="116"/>
  <c r="O24" i="116" s="1"/>
  <c r="Q24" i="116" s="1"/>
  <c r="H25" i="116"/>
  <c r="H26" i="116"/>
  <c r="O26" i="116" s="1"/>
  <c r="Q26" i="116" s="1"/>
  <c r="H27" i="116"/>
  <c r="O27" i="116" s="1"/>
  <c r="Q27" i="116" s="1"/>
  <c r="H28" i="116"/>
  <c r="O28" i="116" s="1"/>
  <c r="Q28" i="116" s="1"/>
  <c r="H29" i="116"/>
  <c r="H30" i="116"/>
  <c r="O30" i="116" s="1"/>
  <c r="Q30" i="116" s="1"/>
  <c r="H23" i="116"/>
  <c r="H21" i="116"/>
  <c r="O21" i="116" s="1"/>
  <c r="Q21" i="116" s="1"/>
  <c r="H22" i="116"/>
  <c r="H20" i="116"/>
  <c r="H16" i="116"/>
  <c r="O16" i="116" s="1"/>
  <c r="Q16" i="116" s="1"/>
  <c r="H17" i="116"/>
  <c r="H18" i="116"/>
  <c r="H19" i="116"/>
  <c r="O19" i="116" s="1"/>
  <c r="Q19" i="116" s="1"/>
  <c r="H15" i="116"/>
  <c r="O15" i="116" s="1"/>
  <c r="Q15" i="116" s="1"/>
  <c r="H14" i="116"/>
  <c r="O14" i="116" s="1"/>
  <c r="Q14" i="116" s="1"/>
  <c r="H11" i="116"/>
  <c r="H12" i="116"/>
  <c r="O12" i="116" s="1"/>
  <c r="Q12" i="116" s="1"/>
  <c r="H13" i="116"/>
  <c r="H10" i="116"/>
  <c r="O10" i="116" s="1"/>
  <c r="Q10" i="116" s="1"/>
  <c r="H9" i="116"/>
  <c r="H8" i="116"/>
  <c r="H42" i="116" s="1"/>
  <c r="P34" i="117"/>
  <c r="N34" i="117"/>
  <c r="M34" i="117"/>
  <c r="L34" i="117"/>
  <c r="K34" i="117"/>
  <c r="J34" i="117"/>
  <c r="I34" i="117"/>
  <c r="G34" i="117"/>
  <c r="O33" i="117"/>
  <c r="O32" i="117"/>
  <c r="O31" i="117"/>
  <c r="O30" i="117"/>
  <c r="O29" i="117"/>
  <c r="O28" i="117"/>
  <c r="O26" i="117"/>
  <c r="Q26" i="117" s="1"/>
  <c r="O24" i="117"/>
  <c r="Q24" i="117" s="1"/>
  <c r="O21" i="117"/>
  <c r="Q21" i="117" s="1"/>
  <c r="O17" i="117"/>
  <c r="Q17" i="117" s="1"/>
  <c r="O13" i="117"/>
  <c r="Q13" i="117" s="1"/>
  <c r="O12" i="117"/>
  <c r="Q12" i="117" s="1"/>
  <c r="O9" i="117"/>
  <c r="Q9" i="117" s="1"/>
  <c r="O8" i="117"/>
  <c r="O29" i="116"/>
  <c r="Q29" i="116" s="1"/>
  <c r="O31" i="116"/>
  <c r="Q31" i="116" s="1"/>
  <c r="O32" i="116"/>
  <c r="Q32" i="116" s="1"/>
  <c r="P42" i="116"/>
  <c r="N42" i="116"/>
  <c r="M42" i="116"/>
  <c r="L42" i="116"/>
  <c r="K42" i="116"/>
  <c r="J42" i="116"/>
  <c r="I42" i="116"/>
  <c r="G42" i="116"/>
  <c r="O41" i="116"/>
  <c r="O40" i="116"/>
  <c r="O39" i="116"/>
  <c r="O38" i="116"/>
  <c r="O37" i="116"/>
  <c r="O36" i="116"/>
  <c r="O35" i="116"/>
  <c r="O34" i="116"/>
  <c r="O33" i="116"/>
  <c r="O25" i="116"/>
  <c r="Q25" i="116" s="1"/>
  <c r="O23" i="116"/>
  <c r="Q23" i="116" s="1"/>
  <c r="O22" i="116"/>
  <c r="Q22" i="116" s="1"/>
  <c r="O20" i="116"/>
  <c r="Q20" i="116" s="1"/>
  <c r="O18" i="116"/>
  <c r="Q18" i="116" s="1"/>
  <c r="O17" i="116"/>
  <c r="Q17" i="116" s="1"/>
  <c r="O13" i="116"/>
  <c r="Q13" i="116" s="1"/>
  <c r="O11" i="116"/>
  <c r="Q11" i="116" s="1"/>
  <c r="O9" i="116"/>
  <c r="Q9" i="116" s="1"/>
  <c r="O8" i="116"/>
  <c r="Q8" i="116" s="1"/>
  <c r="O29" i="107"/>
  <c r="O30" i="107"/>
  <c r="K39" i="106"/>
  <c r="H25" i="115"/>
  <c r="O25" i="115" s="1"/>
  <c r="H26" i="115"/>
  <c r="O26" i="115" s="1"/>
  <c r="H24" i="115"/>
  <c r="O24" i="115" s="1"/>
  <c r="H23" i="115"/>
  <c r="O23" i="115" s="1"/>
  <c r="H22" i="115"/>
  <c r="H18" i="115"/>
  <c r="H19" i="115"/>
  <c r="H20" i="115"/>
  <c r="H21" i="115"/>
  <c r="H17" i="115"/>
  <c r="H16" i="115"/>
  <c r="H14" i="115"/>
  <c r="H15" i="115"/>
  <c r="H13" i="115"/>
  <c r="H11" i="115"/>
  <c r="H12" i="115"/>
  <c r="H10" i="115"/>
  <c r="H9" i="115"/>
  <c r="H8" i="115"/>
  <c r="H19" i="114"/>
  <c r="H18" i="114"/>
  <c r="H15" i="114"/>
  <c r="H16" i="114"/>
  <c r="H17" i="114"/>
  <c r="H14" i="114"/>
  <c r="H12" i="114"/>
  <c r="H13" i="114"/>
  <c r="H11" i="114"/>
  <c r="H10" i="114"/>
  <c r="H9" i="114"/>
  <c r="H8" i="114"/>
  <c r="H26" i="113"/>
  <c r="H27" i="113"/>
  <c r="H25" i="113"/>
  <c r="H20" i="113"/>
  <c r="H21" i="113"/>
  <c r="H22" i="113"/>
  <c r="H23" i="113"/>
  <c r="H24" i="113"/>
  <c r="H19" i="113"/>
  <c r="H18" i="113"/>
  <c r="H17" i="113"/>
  <c r="H14" i="113"/>
  <c r="H15" i="113"/>
  <c r="H16" i="113"/>
  <c r="H13" i="113"/>
  <c r="H9" i="113"/>
  <c r="H10" i="113"/>
  <c r="H11" i="113"/>
  <c r="H12" i="113"/>
  <c r="H8" i="113"/>
  <c r="H27" i="112"/>
  <c r="H25" i="112"/>
  <c r="H26" i="112"/>
  <c r="H24" i="112"/>
  <c r="H19" i="112"/>
  <c r="H20" i="112"/>
  <c r="H21" i="112"/>
  <c r="H22" i="112"/>
  <c r="H23" i="112"/>
  <c r="H18" i="112"/>
  <c r="H15" i="112"/>
  <c r="H16" i="112"/>
  <c r="H17" i="112"/>
  <c r="H14" i="112"/>
  <c r="H10" i="112"/>
  <c r="H11" i="112"/>
  <c r="H12" i="112"/>
  <c r="H13" i="112"/>
  <c r="H9" i="112"/>
  <c r="H8" i="112"/>
  <c r="H25" i="110"/>
  <c r="O30" i="111"/>
  <c r="Q30" i="111" s="1"/>
  <c r="H29" i="111"/>
  <c r="H30" i="111"/>
  <c r="H28" i="111"/>
  <c r="H27" i="111"/>
  <c r="H22" i="111"/>
  <c r="H23" i="111"/>
  <c r="H24" i="111"/>
  <c r="H25" i="111"/>
  <c r="H26" i="111"/>
  <c r="H21" i="111"/>
  <c r="H18" i="111"/>
  <c r="H19" i="111"/>
  <c r="H20" i="111"/>
  <c r="H14" i="111"/>
  <c r="H15" i="111"/>
  <c r="H16" i="111"/>
  <c r="H17" i="111"/>
  <c r="H13" i="111"/>
  <c r="H11" i="111"/>
  <c r="H12" i="111"/>
  <c r="H10" i="111"/>
  <c r="H9" i="111"/>
  <c r="H8" i="111"/>
  <c r="H34" i="117" l="1"/>
  <c r="O34" i="117"/>
  <c r="Q34" i="117" s="1"/>
  <c r="Q36" i="117" s="1"/>
  <c r="Q8" i="117"/>
  <c r="O42" i="116"/>
  <c r="Q42" i="116" s="1"/>
  <c r="O42" i="113"/>
  <c r="O34" i="106"/>
  <c r="Q23" i="115"/>
  <c r="Q24" i="115"/>
  <c r="Q25" i="115"/>
  <c r="Q26" i="115"/>
  <c r="P48" i="115"/>
  <c r="N48" i="115"/>
  <c r="M48" i="115"/>
  <c r="L48" i="115"/>
  <c r="K48" i="115"/>
  <c r="J48" i="115"/>
  <c r="I48" i="115"/>
  <c r="H48" i="115"/>
  <c r="G48" i="115"/>
  <c r="O47" i="115"/>
  <c r="O41" i="115"/>
  <c r="O40" i="115"/>
  <c r="O39" i="115"/>
  <c r="O38" i="115"/>
  <c r="O37" i="115"/>
  <c r="O36" i="115"/>
  <c r="O35" i="115"/>
  <c r="O34" i="115"/>
  <c r="O33" i="115"/>
  <c r="O32" i="115"/>
  <c r="O31" i="115"/>
  <c r="O30" i="115"/>
  <c r="O29" i="115"/>
  <c r="O28" i="115"/>
  <c r="O22" i="115"/>
  <c r="Q22" i="115" s="1"/>
  <c r="O21" i="115"/>
  <c r="Q21" i="115" s="1"/>
  <c r="O20" i="115"/>
  <c r="Q20" i="115" s="1"/>
  <c r="O19" i="115"/>
  <c r="Q19" i="115" s="1"/>
  <c r="O18" i="115"/>
  <c r="Q18" i="115" s="1"/>
  <c r="O17" i="115"/>
  <c r="Q17" i="115" s="1"/>
  <c r="O16" i="115"/>
  <c r="Q16" i="115" s="1"/>
  <c r="O15" i="115"/>
  <c r="Q15" i="115" s="1"/>
  <c r="O14" i="115"/>
  <c r="Q14" i="115" s="1"/>
  <c r="O13" i="115"/>
  <c r="Q13" i="115" s="1"/>
  <c r="O12" i="115"/>
  <c r="Q12" i="115" s="1"/>
  <c r="O11" i="115"/>
  <c r="Q11" i="115" s="1"/>
  <c r="O10" i="115"/>
  <c r="Q10" i="115" s="1"/>
  <c r="O9" i="115"/>
  <c r="Q9" i="115" s="1"/>
  <c r="O8" i="115"/>
  <c r="P26" i="114"/>
  <c r="N26" i="114"/>
  <c r="M26" i="114"/>
  <c r="L26" i="114"/>
  <c r="K26" i="114"/>
  <c r="J26" i="114"/>
  <c r="I26" i="114"/>
  <c r="H26" i="114"/>
  <c r="G26" i="114"/>
  <c r="O25" i="114"/>
  <c r="O24" i="114"/>
  <c r="O23" i="114"/>
  <c r="O22" i="114"/>
  <c r="O21" i="114"/>
  <c r="O20" i="114"/>
  <c r="O19" i="114"/>
  <c r="Q19" i="114" s="1"/>
  <c r="O18" i="114"/>
  <c r="Q18" i="114" s="1"/>
  <c r="O17" i="114"/>
  <c r="Q17" i="114" s="1"/>
  <c r="O16" i="114"/>
  <c r="Q16" i="114" s="1"/>
  <c r="O15" i="114"/>
  <c r="Q15" i="114" s="1"/>
  <c r="O14" i="114"/>
  <c r="Q14" i="114" s="1"/>
  <c r="Q13" i="114"/>
  <c r="O13" i="114"/>
  <c r="O12" i="114"/>
  <c r="Q12" i="114" s="1"/>
  <c r="O11" i="114"/>
  <c r="Q11" i="114" s="1"/>
  <c r="O10" i="114"/>
  <c r="Q10" i="114" s="1"/>
  <c r="O9" i="114"/>
  <c r="Q9" i="114" s="1"/>
  <c r="O8" i="114"/>
  <c r="P44" i="113"/>
  <c r="N44" i="113"/>
  <c r="M44" i="113"/>
  <c r="L44" i="113"/>
  <c r="K44" i="113"/>
  <c r="J44" i="113"/>
  <c r="I44" i="113"/>
  <c r="H44" i="113"/>
  <c r="G44" i="113"/>
  <c r="O43" i="113"/>
  <c r="O41" i="113"/>
  <c r="O40" i="113"/>
  <c r="O39" i="113"/>
  <c r="O38" i="113"/>
  <c r="O37" i="113"/>
  <c r="O36" i="113"/>
  <c r="O35" i="113"/>
  <c r="O34" i="113"/>
  <c r="O33" i="113"/>
  <c r="O32" i="113"/>
  <c r="O31" i="113"/>
  <c r="O30" i="113"/>
  <c r="O29" i="113"/>
  <c r="O28" i="113"/>
  <c r="O27" i="113"/>
  <c r="Q27" i="113" s="1"/>
  <c r="O26" i="113"/>
  <c r="Q26" i="113" s="1"/>
  <c r="O25" i="113"/>
  <c r="Q25" i="113" s="1"/>
  <c r="O24" i="113"/>
  <c r="Q24" i="113" s="1"/>
  <c r="O23" i="113"/>
  <c r="Q23" i="113" s="1"/>
  <c r="O22" i="113"/>
  <c r="Q22" i="113" s="1"/>
  <c r="O21" i="113"/>
  <c r="Q21" i="113" s="1"/>
  <c r="O20" i="113"/>
  <c r="Q20" i="113" s="1"/>
  <c r="O19" i="113"/>
  <c r="Q19" i="113" s="1"/>
  <c r="O18" i="113"/>
  <c r="Q18" i="113" s="1"/>
  <c r="O17" i="113"/>
  <c r="Q17" i="113" s="1"/>
  <c r="O16" i="113"/>
  <c r="Q16" i="113" s="1"/>
  <c r="O15" i="113"/>
  <c r="Q15" i="113" s="1"/>
  <c r="O14" i="113"/>
  <c r="Q14" i="113" s="1"/>
  <c r="O13" i="113"/>
  <c r="Q13" i="113" s="1"/>
  <c r="O12" i="113"/>
  <c r="Q12" i="113" s="1"/>
  <c r="O11" i="113"/>
  <c r="Q11" i="113" s="1"/>
  <c r="O10" i="113"/>
  <c r="Q10" i="113" s="1"/>
  <c r="O9" i="113"/>
  <c r="Q9" i="113" s="1"/>
  <c r="O8" i="113"/>
  <c r="Q8" i="113" s="1"/>
  <c r="P34" i="112"/>
  <c r="N34" i="112"/>
  <c r="M34" i="112"/>
  <c r="L34" i="112"/>
  <c r="K34" i="112"/>
  <c r="J34" i="112"/>
  <c r="I34" i="112"/>
  <c r="H34" i="112"/>
  <c r="G34" i="112"/>
  <c r="O33" i="112"/>
  <c r="O32" i="112"/>
  <c r="O31" i="112"/>
  <c r="O30" i="112"/>
  <c r="O29" i="112"/>
  <c r="O28" i="112"/>
  <c r="O27" i="112"/>
  <c r="Q27" i="112" s="1"/>
  <c r="O26" i="112"/>
  <c r="Q26" i="112" s="1"/>
  <c r="O25" i="112"/>
  <c r="Q25" i="112" s="1"/>
  <c r="O24" i="112"/>
  <c r="Q24" i="112" s="1"/>
  <c r="O23" i="112"/>
  <c r="Q23" i="112" s="1"/>
  <c r="O22" i="112"/>
  <c r="Q22" i="112" s="1"/>
  <c r="O21" i="112"/>
  <c r="Q21" i="112" s="1"/>
  <c r="O20" i="112"/>
  <c r="Q20" i="112" s="1"/>
  <c r="O19" i="112"/>
  <c r="Q19" i="112" s="1"/>
  <c r="O18" i="112"/>
  <c r="Q18" i="112" s="1"/>
  <c r="O17" i="112"/>
  <c r="Q17" i="112" s="1"/>
  <c r="O16" i="112"/>
  <c r="Q16" i="112" s="1"/>
  <c r="O15" i="112"/>
  <c r="Q15" i="112" s="1"/>
  <c r="O14" i="112"/>
  <c r="Q14" i="112" s="1"/>
  <c r="O13" i="112"/>
  <c r="Q13" i="112" s="1"/>
  <c r="O12" i="112"/>
  <c r="Q12" i="112" s="1"/>
  <c r="O11" i="112"/>
  <c r="Q11" i="112" s="1"/>
  <c r="O10" i="112"/>
  <c r="Q10" i="112" s="1"/>
  <c r="O9" i="112"/>
  <c r="Q9" i="112" s="1"/>
  <c r="O8" i="112"/>
  <c r="Q8" i="112" s="1"/>
  <c r="O27" i="111"/>
  <c r="Q27" i="111" s="1"/>
  <c r="O28" i="111"/>
  <c r="Q28" i="111" s="1"/>
  <c r="O29" i="111"/>
  <c r="Q29" i="111" s="1"/>
  <c r="H29" i="110"/>
  <c r="O24" i="110"/>
  <c r="Q24" i="110" s="1"/>
  <c r="O25" i="110"/>
  <c r="Q25" i="110" s="1"/>
  <c r="H26" i="110"/>
  <c r="O26" i="110" s="1"/>
  <c r="Q26" i="110" s="1"/>
  <c r="H27" i="110"/>
  <c r="O27" i="110" s="1"/>
  <c r="Q27" i="110" s="1"/>
  <c r="H28" i="110"/>
  <c r="O28" i="110" s="1"/>
  <c r="Q28" i="110" s="1"/>
  <c r="H23" i="110"/>
  <c r="H19" i="110"/>
  <c r="O19" i="110" s="1"/>
  <c r="Q19" i="110" s="1"/>
  <c r="H20" i="110"/>
  <c r="H21" i="110"/>
  <c r="O21" i="110" s="1"/>
  <c r="Q21" i="110" s="1"/>
  <c r="H22" i="110"/>
  <c r="O22" i="110" s="1"/>
  <c r="Q22" i="110" s="1"/>
  <c r="H18" i="110"/>
  <c r="H13" i="110"/>
  <c r="O13" i="110" s="1"/>
  <c r="Q13" i="110" s="1"/>
  <c r="H14" i="110"/>
  <c r="O14" i="110" s="1"/>
  <c r="Q14" i="110" s="1"/>
  <c r="H15" i="110"/>
  <c r="O15" i="110" s="1"/>
  <c r="Q15" i="110" s="1"/>
  <c r="H16" i="110"/>
  <c r="H17" i="110"/>
  <c r="H12" i="110"/>
  <c r="O12" i="110" s="1"/>
  <c r="Q12" i="110" s="1"/>
  <c r="H9" i="110"/>
  <c r="O9" i="110" s="1"/>
  <c r="Q9" i="110" s="1"/>
  <c r="H10" i="110"/>
  <c r="H11" i="110"/>
  <c r="O11" i="110" s="1"/>
  <c r="Q11" i="110" s="1"/>
  <c r="H8" i="110"/>
  <c r="O8" i="110" s="1"/>
  <c r="H28" i="109"/>
  <c r="O28" i="109" s="1"/>
  <c r="Q28" i="109" s="1"/>
  <c r="H29" i="109"/>
  <c r="H27" i="109"/>
  <c r="H22" i="109"/>
  <c r="O22" i="109" s="1"/>
  <c r="Q22" i="109" s="1"/>
  <c r="H23" i="109"/>
  <c r="O23" i="109" s="1"/>
  <c r="Q23" i="109" s="1"/>
  <c r="H24" i="109"/>
  <c r="H25" i="109"/>
  <c r="H26" i="109"/>
  <c r="O26" i="109" s="1"/>
  <c r="Q26" i="109" s="1"/>
  <c r="H21" i="109"/>
  <c r="O21" i="109" s="1"/>
  <c r="Q21" i="109" s="1"/>
  <c r="H15" i="109"/>
  <c r="H16" i="109"/>
  <c r="H17" i="109"/>
  <c r="O17" i="109" s="1"/>
  <c r="Q17" i="109" s="1"/>
  <c r="H18" i="109"/>
  <c r="H19" i="109"/>
  <c r="O19" i="109" s="1"/>
  <c r="Q19" i="109" s="1"/>
  <c r="H20" i="109"/>
  <c r="H14" i="109"/>
  <c r="O14" i="109" s="1"/>
  <c r="Q14" i="109" s="1"/>
  <c r="H12" i="109"/>
  <c r="O12" i="109" s="1"/>
  <c r="Q12" i="109" s="1"/>
  <c r="H13" i="109"/>
  <c r="O13" i="109" s="1"/>
  <c r="Q13" i="109" s="1"/>
  <c r="H11" i="109"/>
  <c r="H9" i="109"/>
  <c r="H10" i="109"/>
  <c r="O10" i="109" s="1"/>
  <c r="Q10" i="109" s="1"/>
  <c r="H8" i="109"/>
  <c r="O23" i="111"/>
  <c r="Q23" i="111" s="1"/>
  <c r="O24" i="111"/>
  <c r="Q24" i="111" s="1"/>
  <c r="O25" i="111"/>
  <c r="Q25" i="111" s="1"/>
  <c r="O26" i="111"/>
  <c r="Q26" i="111" s="1"/>
  <c r="O29" i="110"/>
  <c r="Q29" i="110" s="1"/>
  <c r="O27" i="109"/>
  <c r="Q27" i="109" s="1"/>
  <c r="O18" i="109"/>
  <c r="Q18" i="109" s="1"/>
  <c r="O24" i="109"/>
  <c r="Q24" i="109" s="1"/>
  <c r="O25" i="109"/>
  <c r="Q25" i="109" s="1"/>
  <c r="O29" i="109"/>
  <c r="Q29" i="109" s="1"/>
  <c r="O30" i="109"/>
  <c r="Q30" i="109" s="1"/>
  <c r="P44" i="111"/>
  <c r="N44" i="111"/>
  <c r="M44" i="111"/>
  <c r="L44" i="111"/>
  <c r="K44" i="111"/>
  <c r="J44" i="111"/>
  <c r="I44" i="111"/>
  <c r="G44" i="111"/>
  <c r="O43" i="111"/>
  <c r="O42" i="111"/>
  <c r="O41" i="111"/>
  <c r="O40" i="111"/>
  <c r="O39" i="111"/>
  <c r="O38" i="111"/>
  <c r="O37" i="111"/>
  <c r="O36" i="111"/>
  <c r="O35" i="111"/>
  <c r="O34" i="111"/>
  <c r="O33" i="111"/>
  <c r="O32" i="111"/>
  <c r="O22" i="111"/>
  <c r="Q22" i="111" s="1"/>
  <c r="O21" i="111"/>
  <c r="Q21" i="111" s="1"/>
  <c r="O20" i="111"/>
  <c r="Q20" i="111" s="1"/>
  <c r="O19" i="111"/>
  <c r="Q19" i="111" s="1"/>
  <c r="O18" i="111"/>
  <c r="Q18" i="111" s="1"/>
  <c r="O17" i="111"/>
  <c r="Q17" i="111" s="1"/>
  <c r="O16" i="111"/>
  <c r="Q16" i="111" s="1"/>
  <c r="O15" i="111"/>
  <c r="Q15" i="111" s="1"/>
  <c r="O14" i="111"/>
  <c r="Q14" i="111" s="1"/>
  <c r="O13" i="111"/>
  <c r="Q13" i="111" s="1"/>
  <c r="O12" i="111"/>
  <c r="Q12" i="111" s="1"/>
  <c r="O11" i="111"/>
  <c r="Q11" i="111" s="1"/>
  <c r="O10" i="111"/>
  <c r="Q10" i="111" s="1"/>
  <c r="O9" i="111"/>
  <c r="Q9" i="111" s="1"/>
  <c r="O8" i="111"/>
  <c r="P45" i="110"/>
  <c r="N45" i="110"/>
  <c r="M45" i="110"/>
  <c r="L45" i="110"/>
  <c r="K45" i="110"/>
  <c r="J45" i="110"/>
  <c r="I45" i="110"/>
  <c r="G45" i="110"/>
  <c r="O44" i="110"/>
  <c r="O43" i="110"/>
  <c r="O42" i="110"/>
  <c r="O41" i="110"/>
  <c r="O40" i="110"/>
  <c r="O39" i="110"/>
  <c r="O38" i="110"/>
  <c r="O37" i="110"/>
  <c r="O36" i="110"/>
  <c r="O35" i="110"/>
  <c r="O34" i="110"/>
  <c r="O33" i="110"/>
  <c r="O32" i="110"/>
  <c r="O31" i="110"/>
  <c r="O23" i="110"/>
  <c r="Q23" i="110" s="1"/>
  <c r="O20" i="110"/>
  <c r="Q20" i="110" s="1"/>
  <c r="O18" i="110"/>
  <c r="Q18" i="110" s="1"/>
  <c r="O17" i="110"/>
  <c r="Q17" i="110" s="1"/>
  <c r="O16" i="110"/>
  <c r="Q16" i="110" s="1"/>
  <c r="O10" i="110"/>
  <c r="Q10" i="110" s="1"/>
  <c r="P44" i="109"/>
  <c r="N44" i="109"/>
  <c r="M44" i="109"/>
  <c r="L44" i="109"/>
  <c r="K44" i="109"/>
  <c r="I44" i="109"/>
  <c r="G44" i="109"/>
  <c r="O43" i="109"/>
  <c r="O42" i="109"/>
  <c r="O41" i="109"/>
  <c r="O40" i="109"/>
  <c r="O39" i="109"/>
  <c r="O38" i="109"/>
  <c r="O37" i="109"/>
  <c r="O36" i="109"/>
  <c r="O35" i="109"/>
  <c r="O34" i="109"/>
  <c r="O33" i="109"/>
  <c r="O32" i="109"/>
  <c r="O20" i="109"/>
  <c r="Q20" i="109" s="1"/>
  <c r="O16" i="109"/>
  <c r="Q16" i="109" s="1"/>
  <c r="O15" i="109"/>
  <c r="Q15" i="109" s="1"/>
  <c r="O11" i="109"/>
  <c r="Q11" i="109" s="1"/>
  <c r="O9" i="109"/>
  <c r="Q9" i="109" s="1"/>
  <c r="H22" i="108"/>
  <c r="H23" i="108"/>
  <c r="H21" i="108"/>
  <c r="H14" i="108"/>
  <c r="H15" i="108"/>
  <c r="H16" i="108"/>
  <c r="H17" i="108"/>
  <c r="H18" i="108"/>
  <c r="H19" i="108"/>
  <c r="H20" i="108"/>
  <c r="H13" i="108"/>
  <c r="H9" i="108"/>
  <c r="H10" i="108"/>
  <c r="H11" i="108"/>
  <c r="H8" i="108"/>
  <c r="H24" i="107"/>
  <c r="H23" i="107"/>
  <c r="H20" i="107"/>
  <c r="H21" i="107"/>
  <c r="H22" i="107"/>
  <c r="H19" i="107"/>
  <c r="H16" i="107"/>
  <c r="H17" i="107"/>
  <c r="H18" i="107"/>
  <c r="H11" i="107"/>
  <c r="H12" i="107"/>
  <c r="H13" i="107"/>
  <c r="H14" i="107"/>
  <c r="H15" i="107"/>
  <c r="H10" i="107"/>
  <c r="H9" i="107"/>
  <c r="H8" i="107"/>
  <c r="Q44" i="116" l="1"/>
  <c r="H36" i="107"/>
  <c r="O48" i="115"/>
  <c r="Q48" i="115" s="1"/>
  <c r="O34" i="112"/>
  <c r="Q34" i="112" s="1"/>
  <c r="O44" i="113"/>
  <c r="Q44" i="113" s="1"/>
  <c r="Q8" i="115"/>
  <c r="O26" i="114"/>
  <c r="Q26" i="114" s="1"/>
  <c r="Q8" i="114"/>
  <c r="H44" i="111"/>
  <c r="J44" i="109"/>
  <c r="H44" i="109"/>
  <c r="O8" i="109"/>
  <c r="O44" i="109" s="1"/>
  <c r="Q44" i="109" s="1"/>
  <c r="O45" i="110"/>
  <c r="Q45" i="110" s="1"/>
  <c r="O44" i="111"/>
  <c r="H45" i="110"/>
  <c r="Q8" i="111"/>
  <c r="Q8" i="110"/>
  <c r="G40" i="106"/>
  <c r="H26" i="106"/>
  <c r="H27" i="106"/>
  <c r="H28" i="106"/>
  <c r="H29" i="106"/>
  <c r="H30" i="106"/>
  <c r="H25" i="106"/>
  <c r="H21" i="106"/>
  <c r="H22" i="106"/>
  <c r="H23" i="106"/>
  <c r="H24" i="106"/>
  <c r="H20" i="106"/>
  <c r="H16" i="106"/>
  <c r="H17" i="106"/>
  <c r="H18" i="106"/>
  <c r="H19" i="106"/>
  <c r="H15" i="106"/>
  <c r="H11" i="106"/>
  <c r="H12" i="106"/>
  <c r="H13" i="106"/>
  <c r="H14" i="106"/>
  <c r="H10" i="106"/>
  <c r="H9" i="106"/>
  <c r="H8" i="106"/>
  <c r="H40" i="106" l="1"/>
  <c r="Q44" i="111"/>
  <c r="Q8" i="109"/>
  <c r="P32" i="108"/>
  <c r="N32" i="108"/>
  <c r="M32" i="108"/>
  <c r="L32" i="108"/>
  <c r="K32" i="108"/>
  <c r="J32" i="108"/>
  <c r="I32" i="108"/>
  <c r="H32" i="108"/>
  <c r="G32" i="108"/>
  <c r="O31" i="108"/>
  <c r="O30" i="108"/>
  <c r="O29" i="108"/>
  <c r="O28" i="108"/>
  <c r="O27" i="108"/>
  <c r="O26" i="108"/>
  <c r="O25" i="108"/>
  <c r="O23" i="108"/>
  <c r="Q23" i="108" s="1"/>
  <c r="O22" i="108"/>
  <c r="Q22" i="108" s="1"/>
  <c r="O21" i="108"/>
  <c r="Q21" i="108" s="1"/>
  <c r="O20" i="108"/>
  <c r="Q20" i="108" s="1"/>
  <c r="O19" i="108"/>
  <c r="Q19" i="108" s="1"/>
  <c r="O18" i="108"/>
  <c r="Q18" i="108" s="1"/>
  <c r="O17" i="108"/>
  <c r="Q17" i="108" s="1"/>
  <c r="O16" i="108"/>
  <c r="Q16" i="108" s="1"/>
  <c r="O15" i="108"/>
  <c r="Q15" i="108" s="1"/>
  <c r="O14" i="108"/>
  <c r="Q14" i="108" s="1"/>
  <c r="O13" i="108"/>
  <c r="Q13" i="108" s="1"/>
  <c r="O12" i="108"/>
  <c r="Q12" i="108" s="1"/>
  <c r="O11" i="108"/>
  <c r="Q11" i="108" s="1"/>
  <c r="O10" i="108"/>
  <c r="Q10" i="108" s="1"/>
  <c r="O9" i="108"/>
  <c r="Q9" i="108" s="1"/>
  <c r="O8" i="108"/>
  <c r="Q8" i="108" s="1"/>
  <c r="P36" i="107"/>
  <c r="N36" i="107"/>
  <c r="M36" i="107"/>
  <c r="L36" i="107"/>
  <c r="K36" i="107"/>
  <c r="J36" i="107"/>
  <c r="I36" i="107"/>
  <c r="G36" i="107"/>
  <c r="O35" i="107"/>
  <c r="O34" i="107"/>
  <c r="O33" i="107"/>
  <c r="O32" i="107"/>
  <c r="O31" i="107"/>
  <c r="O28" i="107"/>
  <c r="O27" i="107"/>
  <c r="O25" i="107"/>
  <c r="Q25" i="107" s="1"/>
  <c r="O24" i="107"/>
  <c r="Q24" i="107" s="1"/>
  <c r="O23" i="107"/>
  <c r="Q23" i="107" s="1"/>
  <c r="O22" i="107"/>
  <c r="Q22" i="107" s="1"/>
  <c r="O21" i="107"/>
  <c r="Q21" i="107" s="1"/>
  <c r="O20" i="107"/>
  <c r="Q20" i="107" s="1"/>
  <c r="O19" i="107"/>
  <c r="Q19" i="107" s="1"/>
  <c r="O18" i="107"/>
  <c r="Q18" i="107" s="1"/>
  <c r="O17" i="107"/>
  <c r="Q17" i="107" s="1"/>
  <c r="O16" i="107"/>
  <c r="Q16" i="107" s="1"/>
  <c r="O15" i="107"/>
  <c r="Q15" i="107" s="1"/>
  <c r="O14" i="107"/>
  <c r="Q14" i="107" s="1"/>
  <c r="O13" i="107"/>
  <c r="Q13" i="107" s="1"/>
  <c r="O12" i="107"/>
  <c r="Q12" i="107" s="1"/>
  <c r="O11" i="107"/>
  <c r="Q11" i="107" s="1"/>
  <c r="O10" i="107"/>
  <c r="Q10" i="107" s="1"/>
  <c r="O9" i="107"/>
  <c r="Q9" i="107" s="1"/>
  <c r="O8" i="107"/>
  <c r="Q8" i="107" s="1"/>
  <c r="O25" i="106"/>
  <c r="Q25" i="106" s="1"/>
  <c r="O26" i="106"/>
  <c r="Q26" i="106" s="1"/>
  <c r="O27" i="106"/>
  <c r="Q27" i="106" s="1"/>
  <c r="O28" i="106"/>
  <c r="Q28" i="106" s="1"/>
  <c r="O29" i="106"/>
  <c r="Q29" i="106" s="1"/>
  <c r="O30" i="106"/>
  <c r="Q30" i="106" s="1"/>
  <c r="P40" i="106"/>
  <c r="N40" i="106"/>
  <c r="M40" i="106"/>
  <c r="K40" i="106"/>
  <c r="J40" i="106"/>
  <c r="I40" i="106"/>
  <c r="O39" i="106"/>
  <c r="O38" i="106"/>
  <c r="O37" i="106"/>
  <c r="O36" i="106"/>
  <c r="O35" i="106"/>
  <c r="O33" i="106"/>
  <c r="O32" i="106"/>
  <c r="O24" i="106"/>
  <c r="Q24" i="106" s="1"/>
  <c r="O23" i="106"/>
  <c r="Q23" i="106" s="1"/>
  <c r="O22" i="106"/>
  <c r="Q22" i="106" s="1"/>
  <c r="O21" i="106"/>
  <c r="Q21" i="106" s="1"/>
  <c r="O20" i="106"/>
  <c r="Q20" i="106" s="1"/>
  <c r="O19" i="106"/>
  <c r="Q19" i="106" s="1"/>
  <c r="O18" i="106"/>
  <c r="Q18" i="106" s="1"/>
  <c r="O17" i="106"/>
  <c r="Q17" i="106" s="1"/>
  <c r="O16" i="106"/>
  <c r="Q16" i="106" s="1"/>
  <c r="O15" i="106"/>
  <c r="Q15" i="106" s="1"/>
  <c r="O14" i="106"/>
  <c r="Q14" i="106" s="1"/>
  <c r="O13" i="106"/>
  <c r="Q13" i="106" s="1"/>
  <c r="O12" i="106"/>
  <c r="Q12" i="106" s="1"/>
  <c r="O11" i="106"/>
  <c r="Q11" i="106" s="1"/>
  <c r="O10" i="106"/>
  <c r="Q10" i="106" s="1"/>
  <c r="O9" i="106"/>
  <c r="Q9" i="106" s="1"/>
  <c r="O8" i="106"/>
  <c r="H9" i="104"/>
  <c r="H10" i="104"/>
  <c r="H11" i="104"/>
  <c r="H12" i="104"/>
  <c r="H13" i="104"/>
  <c r="H14" i="104"/>
  <c r="H15" i="104"/>
  <c r="H8" i="104"/>
  <c r="H25" i="104"/>
  <c r="H26" i="104"/>
  <c r="H27" i="104"/>
  <c r="H28" i="104"/>
  <c r="H29" i="104"/>
  <c r="H30" i="104"/>
  <c r="H31" i="104"/>
  <c r="H24" i="104"/>
  <c r="H22" i="104"/>
  <c r="H23" i="104"/>
  <c r="H17" i="104"/>
  <c r="H18" i="104"/>
  <c r="H19" i="104"/>
  <c r="H20" i="104"/>
  <c r="H21" i="104"/>
  <c r="H16" i="104"/>
  <c r="H18" i="105"/>
  <c r="H19" i="105"/>
  <c r="H20" i="105"/>
  <c r="H21" i="105"/>
  <c r="H22" i="105"/>
  <c r="H23" i="105"/>
  <c r="H24" i="105"/>
  <c r="H17" i="105"/>
  <c r="H13" i="105"/>
  <c r="H14" i="105"/>
  <c r="H15" i="105"/>
  <c r="H16" i="105"/>
  <c r="H12" i="105"/>
  <c r="H9" i="105"/>
  <c r="H10" i="105"/>
  <c r="H11" i="105"/>
  <c r="H8" i="105"/>
  <c r="O38" i="105"/>
  <c r="O36" i="105"/>
  <c r="O37" i="105"/>
  <c r="L34" i="105"/>
  <c r="O34" i="105" s="1"/>
  <c r="O35" i="105"/>
  <c r="O33" i="105"/>
  <c r="O27" i="105"/>
  <c r="O28" i="105"/>
  <c r="O29" i="105"/>
  <c r="O30" i="105"/>
  <c r="O31" i="105"/>
  <c r="O32" i="105"/>
  <c r="O34" i="104"/>
  <c r="O35" i="104"/>
  <c r="O36" i="104"/>
  <c r="O29" i="103"/>
  <c r="O30" i="103"/>
  <c r="O31" i="103"/>
  <c r="O32" i="103"/>
  <c r="O33" i="103"/>
  <c r="O34" i="103"/>
  <c r="O35" i="103"/>
  <c r="O36" i="103"/>
  <c r="O37" i="103"/>
  <c r="O38" i="103"/>
  <c r="O39" i="103"/>
  <c r="O40" i="103"/>
  <c r="O41" i="103"/>
  <c r="O42" i="103"/>
  <c r="N40" i="103"/>
  <c r="O32" i="108" l="1"/>
  <c r="Q32" i="108" s="1"/>
  <c r="O36" i="107"/>
  <c r="Q36" i="107" s="1"/>
  <c r="Q8" i="106"/>
  <c r="O40" i="106"/>
  <c r="Q40" i="106" s="1"/>
  <c r="Q42" i="106" s="1"/>
  <c r="Q38" i="107" s="1"/>
  <c r="L40" i="106"/>
  <c r="J44" i="103"/>
  <c r="Q34" i="108" l="1"/>
  <c r="Q46" i="109" s="1"/>
  <c r="Q47" i="110" s="1"/>
  <c r="Q46" i="111" s="1"/>
  <c r="Q36" i="112" s="1"/>
  <c r="Q46" i="113" s="1"/>
  <c r="Q28" i="114" s="1"/>
  <c r="Q50" i="115" s="1"/>
  <c r="H22" i="103"/>
  <c r="H23" i="103"/>
  <c r="H24" i="103"/>
  <c r="H25" i="103"/>
  <c r="H26" i="103"/>
  <c r="H21" i="103"/>
  <c r="H20" i="103"/>
  <c r="H19" i="103"/>
  <c r="H15" i="103"/>
  <c r="H16" i="103"/>
  <c r="H17" i="103"/>
  <c r="H18" i="103"/>
  <c r="H14" i="103"/>
  <c r="H9" i="103"/>
  <c r="H10" i="103"/>
  <c r="H11" i="103"/>
  <c r="H12" i="103"/>
  <c r="H13" i="103"/>
  <c r="H8" i="103"/>
  <c r="O31" i="102"/>
  <c r="O32" i="102"/>
  <c r="N30" i="102"/>
  <c r="O30" i="102" s="1"/>
  <c r="O29" i="102"/>
  <c r="O33" i="102"/>
  <c r="J20" i="102"/>
  <c r="J34" i="102" s="1"/>
  <c r="H22" i="102"/>
  <c r="H23" i="102"/>
  <c r="H24" i="102"/>
  <c r="H25" i="102"/>
  <c r="H21" i="102"/>
  <c r="H20" i="102"/>
  <c r="H12" i="102"/>
  <c r="H13" i="102"/>
  <c r="H14" i="102"/>
  <c r="H15" i="102"/>
  <c r="H16" i="102"/>
  <c r="H17" i="102"/>
  <c r="H18" i="102"/>
  <c r="H19" i="102"/>
  <c r="H11" i="102"/>
  <c r="H10" i="102"/>
  <c r="H9" i="102"/>
  <c r="H8" i="102"/>
  <c r="P40" i="105" l="1"/>
  <c r="N40" i="105"/>
  <c r="M40" i="105"/>
  <c r="L40" i="105"/>
  <c r="K40" i="105"/>
  <c r="J40" i="105"/>
  <c r="I40" i="105"/>
  <c r="H40" i="105"/>
  <c r="G40" i="105"/>
  <c r="O39" i="105"/>
  <c r="O26" i="105"/>
  <c r="O25" i="105"/>
  <c r="O24" i="105"/>
  <c r="Q24" i="105" s="1"/>
  <c r="O23" i="105"/>
  <c r="Q23" i="105" s="1"/>
  <c r="O22" i="105"/>
  <c r="Q22" i="105" s="1"/>
  <c r="O21" i="105"/>
  <c r="Q21" i="105" s="1"/>
  <c r="O20" i="105"/>
  <c r="Q20" i="105" s="1"/>
  <c r="O19" i="105"/>
  <c r="Q19" i="105" s="1"/>
  <c r="O18" i="105"/>
  <c r="Q18" i="105" s="1"/>
  <c r="O17" i="105"/>
  <c r="Q17" i="105" s="1"/>
  <c r="O16" i="105"/>
  <c r="Q16" i="105" s="1"/>
  <c r="O15" i="105"/>
  <c r="Q15" i="105" s="1"/>
  <c r="O14" i="105"/>
  <c r="Q14" i="105" s="1"/>
  <c r="O13" i="105"/>
  <c r="Q13" i="105" s="1"/>
  <c r="O12" i="105"/>
  <c r="Q12" i="105" s="1"/>
  <c r="O11" i="105"/>
  <c r="Q11" i="105" s="1"/>
  <c r="O10" i="105"/>
  <c r="Q10" i="105" s="1"/>
  <c r="O9" i="105"/>
  <c r="Q9" i="105" s="1"/>
  <c r="O8" i="105"/>
  <c r="P38" i="104"/>
  <c r="O27" i="104"/>
  <c r="Q27" i="104" s="1"/>
  <c r="O28" i="104"/>
  <c r="Q28" i="104" s="1"/>
  <c r="O29" i="104"/>
  <c r="O30" i="104"/>
  <c r="Q30" i="104" s="1"/>
  <c r="O31" i="104"/>
  <c r="Q31" i="104" s="1"/>
  <c r="Q29" i="104"/>
  <c r="N38" i="104"/>
  <c r="M38" i="104"/>
  <c r="L38" i="104"/>
  <c r="K38" i="104"/>
  <c r="J38" i="104"/>
  <c r="I38" i="104"/>
  <c r="H38" i="104"/>
  <c r="G38" i="104"/>
  <c r="O37" i="104"/>
  <c r="O33" i="104"/>
  <c r="O32" i="104"/>
  <c r="O26" i="104"/>
  <c r="Q26" i="104" s="1"/>
  <c r="O25" i="104"/>
  <c r="Q25" i="104" s="1"/>
  <c r="O24" i="104"/>
  <c r="Q24" i="104" s="1"/>
  <c r="O23" i="104"/>
  <c r="Q23" i="104" s="1"/>
  <c r="O22" i="104"/>
  <c r="Q22" i="104" s="1"/>
  <c r="Q21" i="104"/>
  <c r="O21" i="104"/>
  <c r="O20" i="104"/>
  <c r="Q20" i="104" s="1"/>
  <c r="O19" i="104"/>
  <c r="Q19" i="104" s="1"/>
  <c r="O18" i="104"/>
  <c r="Q18" i="104" s="1"/>
  <c r="O17" i="104"/>
  <c r="Q17" i="104" s="1"/>
  <c r="O16" i="104"/>
  <c r="Q16" i="104" s="1"/>
  <c r="O15" i="104"/>
  <c r="Q15" i="104" s="1"/>
  <c r="O14" i="104"/>
  <c r="Q14" i="104" s="1"/>
  <c r="O13" i="104"/>
  <c r="Q13" i="104" s="1"/>
  <c r="O12" i="104"/>
  <c r="Q12" i="104" s="1"/>
  <c r="O11" i="104"/>
  <c r="Q11" i="104" s="1"/>
  <c r="O10" i="104"/>
  <c r="Q10" i="104" s="1"/>
  <c r="O9" i="104"/>
  <c r="Q9" i="104" s="1"/>
  <c r="O8" i="104"/>
  <c r="Q8" i="104" s="1"/>
  <c r="O26" i="103"/>
  <c r="Q26" i="103" s="1"/>
  <c r="P44" i="103"/>
  <c r="N44" i="103"/>
  <c r="M44" i="103"/>
  <c r="L44" i="103"/>
  <c r="K44" i="103"/>
  <c r="I44" i="103"/>
  <c r="H44" i="103"/>
  <c r="G44" i="103"/>
  <c r="O43" i="103"/>
  <c r="O44" i="103" s="1"/>
  <c r="O28" i="103"/>
  <c r="O27" i="103"/>
  <c r="O25" i="103"/>
  <c r="Q25" i="103" s="1"/>
  <c r="O24" i="103"/>
  <c r="Q24" i="103" s="1"/>
  <c r="O23" i="103"/>
  <c r="Q23" i="103" s="1"/>
  <c r="O22" i="103"/>
  <c r="Q22" i="103" s="1"/>
  <c r="O21" i="103"/>
  <c r="Q21" i="103" s="1"/>
  <c r="O20" i="103"/>
  <c r="Q20" i="103" s="1"/>
  <c r="O19" i="103"/>
  <c r="Q19" i="103" s="1"/>
  <c r="O18" i="103"/>
  <c r="Q18" i="103" s="1"/>
  <c r="O17" i="103"/>
  <c r="Q17" i="103" s="1"/>
  <c r="O16" i="103"/>
  <c r="Q16" i="103" s="1"/>
  <c r="O15" i="103"/>
  <c r="Q15" i="103" s="1"/>
  <c r="O14" i="103"/>
  <c r="Q14" i="103" s="1"/>
  <c r="O13" i="103"/>
  <c r="Q13" i="103" s="1"/>
  <c r="O12" i="103"/>
  <c r="Q12" i="103" s="1"/>
  <c r="O11" i="103"/>
  <c r="Q11" i="103" s="1"/>
  <c r="O10" i="103"/>
  <c r="Q10" i="103" s="1"/>
  <c r="O9" i="103"/>
  <c r="Q9" i="103" s="1"/>
  <c r="O8" i="103"/>
  <c r="P34" i="102"/>
  <c r="N34" i="102"/>
  <c r="M34" i="102"/>
  <c r="L34" i="102"/>
  <c r="K34" i="102"/>
  <c r="I34" i="102"/>
  <c r="H34" i="102"/>
  <c r="G34" i="102"/>
  <c r="O28" i="102"/>
  <c r="O27" i="102"/>
  <c r="O25" i="102"/>
  <c r="Q25" i="102" s="1"/>
  <c r="O24" i="102"/>
  <c r="Q24" i="102" s="1"/>
  <c r="O23" i="102"/>
  <c r="Q23" i="102" s="1"/>
  <c r="O22" i="102"/>
  <c r="Q22" i="102" s="1"/>
  <c r="O21" i="102"/>
  <c r="Q21" i="102" s="1"/>
  <c r="O20" i="102"/>
  <c r="Q20" i="102" s="1"/>
  <c r="O19" i="102"/>
  <c r="Q19" i="102" s="1"/>
  <c r="O18" i="102"/>
  <c r="Q18" i="102" s="1"/>
  <c r="O17" i="102"/>
  <c r="Q17" i="102" s="1"/>
  <c r="O16" i="102"/>
  <c r="Q16" i="102" s="1"/>
  <c r="O15" i="102"/>
  <c r="Q15" i="102" s="1"/>
  <c r="O14" i="102"/>
  <c r="Q14" i="102" s="1"/>
  <c r="O13" i="102"/>
  <c r="Q13" i="102" s="1"/>
  <c r="O12" i="102"/>
  <c r="Q12" i="102" s="1"/>
  <c r="O11" i="102"/>
  <c r="Q11" i="102" s="1"/>
  <c r="O10" i="102"/>
  <c r="Q10" i="102" s="1"/>
  <c r="O9" i="102"/>
  <c r="Q9" i="102" s="1"/>
  <c r="O8" i="102"/>
  <c r="Q8" i="102" s="1"/>
  <c r="H9" i="101"/>
  <c r="H10" i="101"/>
  <c r="H11" i="101"/>
  <c r="H8" i="101"/>
  <c r="Q8" i="105" l="1"/>
  <c r="O40" i="105"/>
  <c r="Q40" i="105" s="1"/>
  <c r="O38" i="104"/>
  <c r="Q38" i="104" s="1"/>
  <c r="Q44" i="103"/>
  <c r="Q8" i="103"/>
  <c r="O34" i="102"/>
  <c r="Q34" i="102" s="1"/>
  <c r="Q36" i="102" s="1"/>
  <c r="P34" i="100"/>
  <c r="Q46" i="103" l="1"/>
  <c r="Q40" i="104" s="1"/>
  <c r="Q42" i="105" s="1"/>
  <c r="O33" i="99"/>
  <c r="O31" i="99"/>
  <c r="H23" i="101" l="1"/>
  <c r="H24" i="101"/>
  <c r="H25" i="101"/>
  <c r="H26" i="101"/>
  <c r="H27" i="101"/>
  <c r="H28" i="101"/>
  <c r="H29" i="101"/>
  <c r="H30" i="101"/>
  <c r="H22" i="101"/>
  <c r="H14" i="101"/>
  <c r="H15" i="101"/>
  <c r="H16" i="101"/>
  <c r="H17" i="101"/>
  <c r="H18" i="101"/>
  <c r="H19" i="101"/>
  <c r="H20" i="101"/>
  <c r="H21" i="101"/>
  <c r="H13" i="101"/>
  <c r="H19" i="100"/>
  <c r="H20" i="100"/>
  <c r="H21" i="100"/>
  <c r="H22" i="100"/>
  <c r="H23" i="100"/>
  <c r="H24" i="100"/>
  <c r="H25" i="100"/>
  <c r="H26" i="100"/>
  <c r="H27" i="100"/>
  <c r="H28" i="100"/>
  <c r="H18" i="100"/>
  <c r="H17" i="100"/>
  <c r="H14" i="100"/>
  <c r="H15" i="100"/>
  <c r="H16" i="100"/>
  <c r="H13" i="100"/>
  <c r="H10" i="100"/>
  <c r="H11" i="100"/>
  <c r="H12" i="100"/>
  <c r="H9" i="100"/>
  <c r="H8" i="100"/>
  <c r="O29" i="101" l="1"/>
  <c r="Q29" i="101" s="1"/>
  <c r="O30" i="101"/>
  <c r="Q30" i="101" s="1"/>
  <c r="O31" i="101"/>
  <c r="Q31" i="101" s="1"/>
  <c r="P36" i="101" l="1"/>
  <c r="M36" i="101"/>
  <c r="L36" i="101"/>
  <c r="K36" i="101"/>
  <c r="J36" i="101"/>
  <c r="I36" i="101"/>
  <c r="H36" i="101"/>
  <c r="G36" i="101"/>
  <c r="O35" i="101"/>
  <c r="N36" i="101"/>
  <c r="O34" i="101"/>
  <c r="O33" i="101"/>
  <c r="O28" i="101"/>
  <c r="Q28" i="101" s="1"/>
  <c r="O27" i="101"/>
  <c r="Q27" i="101" s="1"/>
  <c r="O26" i="101"/>
  <c r="Q26" i="101" s="1"/>
  <c r="O25" i="101"/>
  <c r="Q25" i="101" s="1"/>
  <c r="O24" i="101"/>
  <c r="Q24" i="101" s="1"/>
  <c r="O23" i="101"/>
  <c r="Q23" i="101" s="1"/>
  <c r="O22" i="101"/>
  <c r="Q22" i="101" s="1"/>
  <c r="O21" i="101"/>
  <c r="Q21" i="101" s="1"/>
  <c r="O20" i="101"/>
  <c r="Q20" i="101" s="1"/>
  <c r="O19" i="101"/>
  <c r="Q19" i="101" s="1"/>
  <c r="O18" i="101"/>
  <c r="Q18" i="101" s="1"/>
  <c r="O17" i="101"/>
  <c r="Q17" i="101" s="1"/>
  <c r="O16" i="101"/>
  <c r="Q16" i="101" s="1"/>
  <c r="O15" i="101"/>
  <c r="Q15" i="101" s="1"/>
  <c r="O14" i="101"/>
  <c r="Q14" i="101" s="1"/>
  <c r="O13" i="101"/>
  <c r="Q13" i="101" s="1"/>
  <c r="O12" i="101"/>
  <c r="Q12" i="101" s="1"/>
  <c r="O11" i="101"/>
  <c r="Q11" i="101" s="1"/>
  <c r="O10" i="101"/>
  <c r="Q10" i="101" s="1"/>
  <c r="O9" i="101"/>
  <c r="Q9" i="101" s="1"/>
  <c r="O8" i="101"/>
  <c r="O28" i="100"/>
  <c r="Q28" i="100" s="1"/>
  <c r="M34" i="100"/>
  <c r="L34" i="100"/>
  <c r="K34" i="100"/>
  <c r="J34" i="100"/>
  <c r="I34" i="100"/>
  <c r="G34" i="100"/>
  <c r="O33" i="100"/>
  <c r="O32" i="100"/>
  <c r="N34" i="100"/>
  <c r="O30" i="100"/>
  <c r="O29" i="100"/>
  <c r="O27" i="100"/>
  <c r="Q27" i="100" s="1"/>
  <c r="O26" i="100"/>
  <c r="Q26" i="100" s="1"/>
  <c r="O25" i="100"/>
  <c r="Q25" i="100" s="1"/>
  <c r="O24" i="100"/>
  <c r="Q24" i="100" s="1"/>
  <c r="O23" i="100"/>
  <c r="Q23" i="100" s="1"/>
  <c r="O22" i="100"/>
  <c r="Q22" i="100" s="1"/>
  <c r="O21" i="100"/>
  <c r="Q21" i="100" s="1"/>
  <c r="O20" i="100"/>
  <c r="Q20" i="100" s="1"/>
  <c r="O19" i="100"/>
  <c r="Q19" i="100" s="1"/>
  <c r="O18" i="100"/>
  <c r="Q18" i="100" s="1"/>
  <c r="O17" i="100"/>
  <c r="Q17" i="100" s="1"/>
  <c r="O16" i="100"/>
  <c r="Q16" i="100" s="1"/>
  <c r="O15" i="100"/>
  <c r="Q15" i="100" s="1"/>
  <c r="O14" i="100"/>
  <c r="Q14" i="100" s="1"/>
  <c r="O13" i="100"/>
  <c r="Q13" i="100" s="1"/>
  <c r="O12" i="100"/>
  <c r="Q12" i="100" s="1"/>
  <c r="O11" i="100"/>
  <c r="Q11" i="100" s="1"/>
  <c r="O10" i="100"/>
  <c r="Q10" i="100" s="1"/>
  <c r="O9" i="100"/>
  <c r="Q9" i="100" s="1"/>
  <c r="H34" i="100"/>
  <c r="H19" i="99"/>
  <c r="H20" i="99"/>
  <c r="O20" i="99" s="1"/>
  <c r="Q20" i="99" s="1"/>
  <c r="H21" i="99"/>
  <c r="H22" i="99"/>
  <c r="O22" i="99" s="1"/>
  <c r="Q22" i="99" s="1"/>
  <c r="H23" i="99"/>
  <c r="H24" i="99"/>
  <c r="O24" i="99" s="1"/>
  <c r="Q24" i="99" s="1"/>
  <c r="H25" i="99"/>
  <c r="O25" i="99" s="1"/>
  <c r="Q25" i="99" s="1"/>
  <c r="H26" i="99"/>
  <c r="O26" i="99" s="1"/>
  <c r="Q26" i="99" s="1"/>
  <c r="H27" i="99"/>
  <c r="H18" i="99"/>
  <c r="O18" i="99" s="1"/>
  <c r="Q18" i="99" s="1"/>
  <c r="H16" i="99"/>
  <c r="H17" i="99"/>
  <c r="O17" i="99" s="1"/>
  <c r="Q17" i="99" s="1"/>
  <c r="H15" i="99"/>
  <c r="H9" i="99"/>
  <c r="O9" i="99" s="1"/>
  <c r="Q9" i="99" s="1"/>
  <c r="H10" i="99"/>
  <c r="H11" i="99"/>
  <c r="H12" i="99"/>
  <c r="O12" i="99" s="1"/>
  <c r="Q12" i="99" s="1"/>
  <c r="H13" i="99"/>
  <c r="O13" i="99" s="1"/>
  <c r="Q13" i="99" s="1"/>
  <c r="H14" i="99"/>
  <c r="H8" i="99"/>
  <c r="O35" i="99"/>
  <c r="O36" i="99"/>
  <c r="N32" i="99"/>
  <c r="N38" i="99" s="1"/>
  <c r="P38" i="99"/>
  <c r="M38" i="99"/>
  <c r="K38" i="99"/>
  <c r="I38" i="99"/>
  <c r="G38" i="99"/>
  <c r="O37" i="99"/>
  <c r="O34" i="99"/>
  <c r="L38" i="99"/>
  <c r="O30" i="99"/>
  <c r="O29" i="99"/>
  <c r="O27" i="99"/>
  <c r="Q27" i="99" s="1"/>
  <c r="O23" i="99"/>
  <c r="Q23" i="99" s="1"/>
  <c r="O21" i="99"/>
  <c r="Q21" i="99" s="1"/>
  <c r="O19" i="99"/>
  <c r="Q19" i="99" s="1"/>
  <c r="O16" i="99"/>
  <c r="Q16" i="99" s="1"/>
  <c r="O15" i="99"/>
  <c r="Q15" i="99" s="1"/>
  <c r="O14" i="99"/>
  <c r="Q14" i="99" s="1"/>
  <c r="O11" i="99"/>
  <c r="Q11" i="99" s="1"/>
  <c r="J38" i="99"/>
  <c r="O10" i="99"/>
  <c r="Q10" i="99" s="1"/>
  <c r="H20" i="98"/>
  <c r="H21" i="98"/>
  <c r="H22" i="98"/>
  <c r="H23" i="98"/>
  <c r="H24" i="98"/>
  <c r="H25" i="98"/>
  <c r="H26" i="98"/>
  <c r="H27" i="98"/>
  <c r="H19" i="98"/>
  <c r="H18" i="98"/>
  <c r="H15" i="98"/>
  <c r="H16" i="98"/>
  <c r="H17" i="98"/>
  <c r="H14" i="98"/>
  <c r="H13" i="98"/>
  <c r="H9" i="98"/>
  <c r="H10" i="98"/>
  <c r="H11" i="98"/>
  <c r="H12" i="98"/>
  <c r="H8" i="98"/>
  <c r="J10" i="98"/>
  <c r="H38" i="99" l="1"/>
  <c r="Q8" i="101"/>
  <c r="O36" i="101"/>
  <c r="Q36" i="101" s="1"/>
  <c r="O31" i="100"/>
  <c r="O8" i="100"/>
  <c r="O32" i="99"/>
  <c r="O8" i="99"/>
  <c r="L31" i="98"/>
  <c r="P35" i="98"/>
  <c r="N35" i="98"/>
  <c r="M35" i="98"/>
  <c r="L35" i="98"/>
  <c r="K35" i="98"/>
  <c r="I35" i="98"/>
  <c r="G35" i="98"/>
  <c r="O34" i="98"/>
  <c r="O33" i="98"/>
  <c r="O32" i="98"/>
  <c r="O31" i="98"/>
  <c r="O30" i="98"/>
  <c r="O29" i="98"/>
  <c r="O27" i="98"/>
  <c r="Q27" i="98" s="1"/>
  <c r="O26" i="98"/>
  <c r="Q26" i="98" s="1"/>
  <c r="O25" i="98"/>
  <c r="Q25" i="98" s="1"/>
  <c r="O24" i="98"/>
  <c r="Q24" i="98" s="1"/>
  <c r="O23" i="98"/>
  <c r="Q23" i="98" s="1"/>
  <c r="O22" i="98"/>
  <c r="Q22" i="98" s="1"/>
  <c r="O21" i="98"/>
  <c r="Q21" i="98" s="1"/>
  <c r="O20" i="98"/>
  <c r="Q20" i="98" s="1"/>
  <c r="O19" i="98"/>
  <c r="Q19" i="98" s="1"/>
  <c r="O18" i="98"/>
  <c r="Q18" i="98" s="1"/>
  <c r="O17" i="98"/>
  <c r="Q17" i="98" s="1"/>
  <c r="O16" i="98"/>
  <c r="Q16" i="98" s="1"/>
  <c r="O15" i="98"/>
  <c r="Q15" i="98" s="1"/>
  <c r="O14" i="98"/>
  <c r="Q14" i="98" s="1"/>
  <c r="O13" i="98"/>
  <c r="Q13" i="98" s="1"/>
  <c r="O12" i="98"/>
  <c r="Q12" i="98" s="1"/>
  <c r="O11" i="98"/>
  <c r="Q11" i="98" s="1"/>
  <c r="J35" i="98"/>
  <c r="O10" i="98"/>
  <c r="Q10" i="98" s="1"/>
  <c r="O9" i="98"/>
  <c r="Q9" i="98" s="1"/>
  <c r="P48" i="97"/>
  <c r="O31" i="97"/>
  <c r="O32" i="97"/>
  <c r="O33" i="97"/>
  <c r="O34" i="97"/>
  <c r="O35" i="97"/>
  <c r="O36" i="97"/>
  <c r="O37" i="97"/>
  <c r="O38" i="97"/>
  <c r="O39" i="97"/>
  <c r="O40" i="97"/>
  <c r="O41" i="97"/>
  <c r="O42" i="97"/>
  <c r="O43" i="97"/>
  <c r="O44" i="97"/>
  <c r="O45" i="97"/>
  <c r="O46" i="97"/>
  <c r="L39" i="97"/>
  <c r="L48" i="97" s="1"/>
  <c r="H22" i="97"/>
  <c r="O22" i="97" s="1"/>
  <c r="Q22" i="97" s="1"/>
  <c r="H21" i="97"/>
  <c r="H26" i="97"/>
  <c r="O26" i="97" s="1"/>
  <c r="Q26" i="97" s="1"/>
  <c r="H27" i="97"/>
  <c r="O27" i="97" s="1"/>
  <c r="Q27" i="97" s="1"/>
  <c r="H23" i="97"/>
  <c r="H24" i="97"/>
  <c r="H25" i="97"/>
  <c r="O25" i="97" s="1"/>
  <c r="Q25" i="97" s="1"/>
  <c r="O21" i="97"/>
  <c r="Q21" i="97" s="1"/>
  <c r="H20" i="97"/>
  <c r="H14" i="97"/>
  <c r="H15" i="97"/>
  <c r="O15" i="97" s="1"/>
  <c r="Q15" i="97" s="1"/>
  <c r="H16" i="97"/>
  <c r="O16" i="97" s="1"/>
  <c r="Q16" i="97" s="1"/>
  <c r="H17" i="97"/>
  <c r="H18" i="97"/>
  <c r="H19" i="97"/>
  <c r="O19" i="97" s="1"/>
  <c r="Q19" i="97" s="1"/>
  <c r="H13" i="97"/>
  <c r="O13" i="97" s="1"/>
  <c r="Q13" i="97" s="1"/>
  <c r="H9" i="97"/>
  <c r="O9" i="97" s="1"/>
  <c r="Q9" i="97" s="1"/>
  <c r="H10" i="97"/>
  <c r="H11" i="97"/>
  <c r="H12" i="97"/>
  <c r="H8" i="97"/>
  <c r="J11" i="97"/>
  <c r="N48" i="97"/>
  <c r="M48" i="97"/>
  <c r="K48" i="97"/>
  <c r="J48" i="97"/>
  <c r="I48" i="97"/>
  <c r="G48" i="97"/>
  <c r="O47" i="97"/>
  <c r="O30" i="97"/>
  <c r="O48" i="97" s="1"/>
  <c r="O29" i="97"/>
  <c r="O24" i="97"/>
  <c r="Q24" i="97" s="1"/>
  <c r="O23" i="97"/>
  <c r="Q23" i="97" s="1"/>
  <c r="O20" i="97"/>
  <c r="Q20" i="97" s="1"/>
  <c r="O18" i="97"/>
  <c r="Q18" i="97" s="1"/>
  <c r="O17" i="97"/>
  <c r="Q17" i="97" s="1"/>
  <c r="O14" i="97"/>
  <c r="Q14" i="97" s="1"/>
  <c r="O12" i="97"/>
  <c r="Q12" i="97" s="1"/>
  <c r="O10" i="97"/>
  <c r="Q10" i="97" s="1"/>
  <c r="O8" i="97"/>
  <c r="Q8" i="97" s="1"/>
  <c r="O34" i="96"/>
  <c r="O35" i="96"/>
  <c r="H30" i="96"/>
  <c r="H31" i="96"/>
  <c r="H32" i="96"/>
  <c r="H26" i="96"/>
  <c r="H27" i="96"/>
  <c r="H28" i="96"/>
  <c r="H29" i="96"/>
  <c r="H25" i="96"/>
  <c r="H18" i="96"/>
  <c r="H19" i="96"/>
  <c r="H20" i="96"/>
  <c r="H21" i="96"/>
  <c r="H22" i="96"/>
  <c r="H23" i="96"/>
  <c r="H24" i="96"/>
  <c r="H17" i="96"/>
  <c r="H9" i="96"/>
  <c r="H10" i="96"/>
  <c r="H11" i="96"/>
  <c r="H12" i="96"/>
  <c r="H13" i="96"/>
  <c r="H14" i="96"/>
  <c r="H15" i="96"/>
  <c r="H16" i="96"/>
  <c r="H8" i="96"/>
  <c r="J29" i="96"/>
  <c r="J9" i="96"/>
  <c r="O34" i="100" l="1"/>
  <c r="Q34" i="100" s="1"/>
  <c r="Q8" i="100"/>
  <c r="Q8" i="99"/>
  <c r="O38" i="99"/>
  <c r="Q38" i="99" s="1"/>
  <c r="H35" i="98"/>
  <c r="O8" i="98"/>
  <c r="H48" i="97"/>
  <c r="O11" i="97"/>
  <c r="Q11" i="97" s="1"/>
  <c r="H39" i="96"/>
  <c r="J39" i="96"/>
  <c r="O32" i="96"/>
  <c r="Q32" i="96" s="1"/>
  <c r="O31" i="96"/>
  <c r="Q31" i="96" s="1"/>
  <c r="O30" i="96"/>
  <c r="Q30" i="96" s="1"/>
  <c r="O29" i="96"/>
  <c r="Q29" i="96" s="1"/>
  <c r="P39" i="96"/>
  <c r="M39" i="96"/>
  <c r="L39" i="96"/>
  <c r="K39" i="96"/>
  <c r="I39" i="96"/>
  <c r="G39" i="96"/>
  <c r="O38" i="96"/>
  <c r="N39" i="96"/>
  <c r="O37" i="96"/>
  <c r="O36" i="96"/>
  <c r="O28" i="96"/>
  <c r="Q28" i="96" s="1"/>
  <c r="O27" i="96"/>
  <c r="Q27" i="96" s="1"/>
  <c r="O26" i="96"/>
  <c r="Q26" i="96" s="1"/>
  <c r="O25" i="96"/>
  <c r="Q25" i="96" s="1"/>
  <c r="O24" i="96"/>
  <c r="Q24" i="96" s="1"/>
  <c r="O23" i="96"/>
  <c r="Q23" i="96" s="1"/>
  <c r="O22" i="96"/>
  <c r="Q22" i="96" s="1"/>
  <c r="O21" i="96"/>
  <c r="Q21" i="96" s="1"/>
  <c r="O20" i="96"/>
  <c r="Q20" i="96" s="1"/>
  <c r="O19" i="96"/>
  <c r="Q19" i="96" s="1"/>
  <c r="O18" i="96"/>
  <c r="Q18" i="96" s="1"/>
  <c r="O17" i="96"/>
  <c r="Q17" i="96" s="1"/>
  <c r="O16" i="96"/>
  <c r="Q16" i="96" s="1"/>
  <c r="O15" i="96"/>
  <c r="Q15" i="96" s="1"/>
  <c r="O14" i="96"/>
  <c r="Q14" i="96" s="1"/>
  <c r="O13" i="96"/>
  <c r="Q13" i="96" s="1"/>
  <c r="O12" i="96"/>
  <c r="Q12" i="96" s="1"/>
  <c r="O11" i="96"/>
  <c r="Q11" i="96" s="1"/>
  <c r="O10" i="96"/>
  <c r="Q10" i="96" s="1"/>
  <c r="O9" i="96"/>
  <c r="Q9" i="96" s="1"/>
  <c r="O8" i="96"/>
  <c r="Q8" i="96" s="1"/>
  <c r="P38" i="95"/>
  <c r="O34" i="95"/>
  <c r="O35" i="95"/>
  <c r="N33" i="95"/>
  <c r="O33" i="95" s="1"/>
  <c r="K31" i="95"/>
  <c r="O19" i="95"/>
  <c r="Q19" i="95" s="1"/>
  <c r="O22" i="95"/>
  <c r="Q22" i="95" s="1"/>
  <c r="O23" i="95"/>
  <c r="Q23" i="95" s="1"/>
  <c r="O26" i="95"/>
  <c r="Q26" i="95" s="1"/>
  <c r="O27" i="95"/>
  <c r="Q27" i="95" s="1"/>
  <c r="H27" i="95"/>
  <c r="H28" i="95"/>
  <c r="O28" i="95" s="1"/>
  <c r="Q28" i="95" s="1"/>
  <c r="H26" i="95"/>
  <c r="H23" i="95"/>
  <c r="H24" i="95"/>
  <c r="O24" i="95" s="1"/>
  <c r="Q24" i="95" s="1"/>
  <c r="H25" i="95"/>
  <c r="O25" i="95" s="1"/>
  <c r="Q25" i="95" s="1"/>
  <c r="H22" i="95"/>
  <c r="H18" i="95"/>
  <c r="H19" i="95"/>
  <c r="H20" i="95"/>
  <c r="O20" i="95" s="1"/>
  <c r="Q20" i="95" s="1"/>
  <c r="H21" i="95"/>
  <c r="O21" i="95" s="1"/>
  <c r="Q21" i="95" s="1"/>
  <c r="H17" i="95"/>
  <c r="H15" i="95"/>
  <c r="H16" i="95"/>
  <c r="O16" i="95" s="1"/>
  <c r="Q16" i="95" s="1"/>
  <c r="H9" i="95"/>
  <c r="H10" i="95"/>
  <c r="H11" i="95"/>
  <c r="O11" i="95" s="1"/>
  <c r="Q11" i="95" s="1"/>
  <c r="H12" i="95"/>
  <c r="O12" i="95" s="1"/>
  <c r="Q12" i="95" s="1"/>
  <c r="H13" i="95"/>
  <c r="H14" i="95"/>
  <c r="O14" i="95" s="1"/>
  <c r="Q14" i="95" s="1"/>
  <c r="O15" i="95"/>
  <c r="Q15" i="95" s="1"/>
  <c r="H8" i="95"/>
  <c r="O8" i="95" s="1"/>
  <c r="Q8" i="95" s="1"/>
  <c r="M38" i="95"/>
  <c r="L38" i="95"/>
  <c r="K38" i="95"/>
  <c r="J38" i="95"/>
  <c r="I38" i="95"/>
  <c r="G38" i="95"/>
  <c r="O37" i="95"/>
  <c r="O36" i="95"/>
  <c r="O32" i="95"/>
  <c r="O31" i="95"/>
  <c r="O30" i="95"/>
  <c r="O18" i="95"/>
  <c r="Q18" i="95" s="1"/>
  <c r="O17" i="95"/>
  <c r="Q17" i="95" s="1"/>
  <c r="O13" i="95"/>
  <c r="Q13" i="95" s="1"/>
  <c r="O10" i="95"/>
  <c r="Q10" i="95" s="1"/>
  <c r="O9" i="95"/>
  <c r="Q9" i="95" s="1"/>
  <c r="P27" i="94"/>
  <c r="N27" i="94"/>
  <c r="M27" i="94"/>
  <c r="L27" i="94"/>
  <c r="K27" i="94"/>
  <c r="J27" i="94"/>
  <c r="I27" i="94"/>
  <c r="G27" i="94"/>
  <c r="O26" i="94"/>
  <c r="O25" i="94"/>
  <c r="O24" i="94"/>
  <c r="O23" i="94"/>
  <c r="O22" i="94"/>
  <c r="O21" i="94"/>
  <c r="H19" i="94"/>
  <c r="O19" i="94" s="1"/>
  <c r="Q19" i="94" s="1"/>
  <c r="O18" i="94"/>
  <c r="Q18" i="94" s="1"/>
  <c r="H18" i="94"/>
  <c r="H17" i="94"/>
  <c r="O17" i="94" s="1"/>
  <c r="Q17" i="94" s="1"/>
  <c r="H16" i="94"/>
  <c r="O16" i="94" s="1"/>
  <c r="Q16" i="94" s="1"/>
  <c r="H15" i="94"/>
  <c r="O15" i="94" s="1"/>
  <c r="Q15" i="94" s="1"/>
  <c r="H14" i="94"/>
  <c r="O14" i="94" s="1"/>
  <c r="Q14" i="94" s="1"/>
  <c r="H13" i="94"/>
  <c r="O13" i="94" s="1"/>
  <c r="Q13" i="94" s="1"/>
  <c r="H12" i="94"/>
  <c r="O12" i="94" s="1"/>
  <c r="Q12" i="94" s="1"/>
  <c r="H11" i="94"/>
  <c r="O11" i="94" s="1"/>
  <c r="Q11" i="94" s="1"/>
  <c r="H10" i="94"/>
  <c r="O10" i="94" s="1"/>
  <c r="Q10" i="94" s="1"/>
  <c r="H9" i="94"/>
  <c r="O9" i="94" s="1"/>
  <c r="Q9" i="94" s="1"/>
  <c r="H8" i="94"/>
  <c r="O8" i="94" s="1"/>
  <c r="O39" i="92"/>
  <c r="O38" i="95" l="1"/>
  <c r="Q38" i="95" s="1"/>
  <c r="Q8" i="98"/>
  <c r="O35" i="98"/>
  <c r="Q35" i="98" s="1"/>
  <c r="Q48" i="97"/>
  <c r="O39" i="96"/>
  <c r="Q39" i="96" s="1"/>
  <c r="N38" i="95"/>
  <c r="H38" i="95"/>
  <c r="Q40" i="95"/>
  <c r="Q41" i="96" s="1"/>
  <c r="Q8" i="94"/>
  <c r="O27" i="94"/>
  <c r="Q27" i="94"/>
  <c r="Q29" i="94" s="1"/>
  <c r="H27" i="94"/>
  <c r="Q50" i="97" l="1"/>
  <c r="Q37" i="98"/>
  <c r="Q40" i="99" s="1"/>
  <c r="Q36" i="100" s="1"/>
  <c r="Q38" i="101" s="1"/>
  <c r="O36" i="93"/>
  <c r="O37" i="91"/>
  <c r="P8" i="91"/>
  <c r="O36" i="90"/>
  <c r="P38" i="93"/>
  <c r="O32" i="93"/>
  <c r="O33" i="93"/>
  <c r="O34" i="92"/>
  <c r="H27" i="93"/>
  <c r="H22" i="93"/>
  <c r="O22" i="93" s="1"/>
  <c r="Q22" i="93" s="1"/>
  <c r="H23" i="93"/>
  <c r="O23" i="93" s="1"/>
  <c r="Q23" i="93" s="1"/>
  <c r="H24" i="93"/>
  <c r="O24" i="93" s="1"/>
  <c r="Q24" i="93" s="1"/>
  <c r="H25" i="93"/>
  <c r="O25" i="93" s="1"/>
  <c r="Q25" i="93" s="1"/>
  <c r="H26" i="93"/>
  <c r="O26" i="93" s="1"/>
  <c r="Q26" i="93" s="1"/>
  <c r="H21" i="93"/>
  <c r="O21" i="93" s="1"/>
  <c r="Q21" i="93" s="1"/>
  <c r="H20" i="93"/>
  <c r="O20" i="93" s="1"/>
  <c r="Q20" i="93" s="1"/>
  <c r="H17" i="93"/>
  <c r="O17" i="93" s="1"/>
  <c r="Q17" i="93" s="1"/>
  <c r="H18" i="93"/>
  <c r="O18" i="93" s="1"/>
  <c r="Q18" i="93" s="1"/>
  <c r="H19" i="93"/>
  <c r="O19" i="93" s="1"/>
  <c r="Q19" i="93" s="1"/>
  <c r="H16" i="93"/>
  <c r="O16" i="93" s="1"/>
  <c r="Q16" i="93" s="1"/>
  <c r="H9" i="93"/>
  <c r="O9" i="93" s="1"/>
  <c r="H10" i="93"/>
  <c r="O10" i="93" s="1"/>
  <c r="Q10" i="93" s="1"/>
  <c r="H11" i="93"/>
  <c r="O11" i="93" s="1"/>
  <c r="Q11" i="93" s="1"/>
  <c r="H12" i="93"/>
  <c r="O12" i="93" s="1"/>
  <c r="Q12" i="93" s="1"/>
  <c r="H13" i="93"/>
  <c r="O13" i="93" s="1"/>
  <c r="Q13" i="93" s="1"/>
  <c r="H14" i="93"/>
  <c r="O14" i="93" s="1"/>
  <c r="Q14" i="93" s="1"/>
  <c r="H15" i="93"/>
  <c r="O15" i="93" s="1"/>
  <c r="Q15" i="93" s="1"/>
  <c r="H8" i="93"/>
  <c r="O8" i="93" s="1"/>
  <c r="Q8" i="93" s="1"/>
  <c r="O27" i="93"/>
  <c r="Q27" i="93" s="1"/>
  <c r="N38" i="93"/>
  <c r="M38" i="93"/>
  <c r="L38" i="93"/>
  <c r="K38" i="93"/>
  <c r="J38" i="93"/>
  <c r="I38" i="93"/>
  <c r="G38" i="93"/>
  <c r="O37" i="93"/>
  <c r="O35" i="93"/>
  <c r="O34" i="93"/>
  <c r="O31" i="93"/>
  <c r="O30" i="93"/>
  <c r="O29" i="93"/>
  <c r="O32" i="92"/>
  <c r="H21" i="92"/>
  <c r="O21" i="92" s="1"/>
  <c r="Q21" i="92" s="1"/>
  <c r="H22" i="92"/>
  <c r="O22" i="92" s="1"/>
  <c r="Q22" i="92" s="1"/>
  <c r="H23" i="92"/>
  <c r="O23" i="92" s="1"/>
  <c r="Q23" i="92" s="1"/>
  <c r="H20" i="92"/>
  <c r="O20" i="92" s="1"/>
  <c r="Q20" i="92" s="1"/>
  <c r="H15" i="92"/>
  <c r="O15" i="92" s="1"/>
  <c r="Q15" i="92" s="1"/>
  <c r="H16" i="92"/>
  <c r="O16" i="92" s="1"/>
  <c r="Q16" i="92" s="1"/>
  <c r="H17" i="92"/>
  <c r="O17" i="92" s="1"/>
  <c r="Q17" i="92" s="1"/>
  <c r="H18" i="92"/>
  <c r="O18" i="92" s="1"/>
  <c r="Q18" i="92" s="1"/>
  <c r="H19" i="92"/>
  <c r="O19" i="92" s="1"/>
  <c r="Q19" i="92" s="1"/>
  <c r="H14" i="92"/>
  <c r="O14" i="92" s="1"/>
  <c r="Q14" i="92" s="1"/>
  <c r="H9" i="92"/>
  <c r="O9" i="92" s="1"/>
  <c r="H10" i="92"/>
  <c r="O10" i="92" s="1"/>
  <c r="Q10" i="92" s="1"/>
  <c r="H11" i="92"/>
  <c r="O11" i="92" s="1"/>
  <c r="Q11" i="92" s="1"/>
  <c r="H12" i="92"/>
  <c r="O12" i="92" s="1"/>
  <c r="Q12" i="92" s="1"/>
  <c r="H13" i="92"/>
  <c r="O13" i="92" s="1"/>
  <c r="Q13" i="92" s="1"/>
  <c r="H8" i="92"/>
  <c r="P39" i="92"/>
  <c r="N39" i="92"/>
  <c r="M39" i="92"/>
  <c r="L39" i="92"/>
  <c r="K39" i="92"/>
  <c r="I39" i="92"/>
  <c r="G39" i="92"/>
  <c r="O38" i="92"/>
  <c r="O37" i="92"/>
  <c r="O33" i="92"/>
  <c r="O31" i="92"/>
  <c r="O30" i="92"/>
  <c r="O29" i="92"/>
  <c r="O28" i="92"/>
  <c r="O27" i="92"/>
  <c r="O26" i="92"/>
  <c r="O25" i="92"/>
  <c r="J39" i="92"/>
  <c r="O8" i="92"/>
  <c r="Q8" i="92" s="1"/>
  <c r="O34" i="91"/>
  <c r="O33" i="91"/>
  <c r="O33" i="90"/>
  <c r="O34" i="90"/>
  <c r="O32" i="91"/>
  <c r="O32" i="90"/>
  <c r="H19" i="91"/>
  <c r="H21" i="91"/>
  <c r="H22" i="91"/>
  <c r="H23" i="91"/>
  <c r="O23" i="91" s="1"/>
  <c r="Q23" i="91" s="1"/>
  <c r="H24" i="91"/>
  <c r="O24" i="91" s="1"/>
  <c r="Q24" i="91" s="1"/>
  <c r="H20" i="91"/>
  <c r="O20" i="91" s="1"/>
  <c r="Q20" i="91" s="1"/>
  <c r="H17" i="91"/>
  <c r="O17" i="91" s="1"/>
  <c r="Q17" i="91" s="1"/>
  <c r="H18" i="91"/>
  <c r="H16" i="91"/>
  <c r="H9" i="91"/>
  <c r="O9" i="91" s="1"/>
  <c r="Q9" i="91" s="1"/>
  <c r="H10" i="91"/>
  <c r="H11" i="91"/>
  <c r="O11" i="91" s="1"/>
  <c r="Q11" i="91" s="1"/>
  <c r="H12" i="91"/>
  <c r="O12" i="91" s="1"/>
  <c r="Q12" i="91" s="1"/>
  <c r="H13" i="91"/>
  <c r="O13" i="91" s="1"/>
  <c r="Q13" i="91" s="1"/>
  <c r="H14" i="91"/>
  <c r="H15" i="91"/>
  <c r="O15" i="91" s="1"/>
  <c r="Q15" i="91" s="1"/>
  <c r="H8" i="91"/>
  <c r="J16" i="91"/>
  <c r="O16" i="91" s="1"/>
  <c r="Q16" i="91" s="1"/>
  <c r="J10" i="91"/>
  <c r="J39" i="91" s="1"/>
  <c r="P39" i="91"/>
  <c r="N39" i="91"/>
  <c r="M39" i="91"/>
  <c r="L39" i="91"/>
  <c r="K39" i="91"/>
  <c r="I39" i="91"/>
  <c r="G39" i="91"/>
  <c r="O38" i="91"/>
  <c r="O36" i="91"/>
  <c r="O35" i="91"/>
  <c r="O31" i="91"/>
  <c r="O30" i="91"/>
  <c r="O29" i="91"/>
  <c r="O28" i="91"/>
  <c r="O27" i="91"/>
  <c r="O26" i="91"/>
  <c r="O22" i="91"/>
  <c r="Q22" i="91" s="1"/>
  <c r="O21" i="91"/>
  <c r="Q21" i="91" s="1"/>
  <c r="O18" i="91"/>
  <c r="Q18" i="91" s="1"/>
  <c r="O14" i="91"/>
  <c r="Q14" i="91" s="1"/>
  <c r="O10" i="91"/>
  <c r="Q10" i="91" s="1"/>
  <c r="O8" i="91"/>
  <c r="Q8" i="91" s="1"/>
  <c r="H38" i="93" l="1"/>
  <c r="Q9" i="93"/>
  <c r="O38" i="93"/>
  <c r="Q38" i="93" s="1"/>
  <c r="H39" i="92"/>
  <c r="Q9" i="92"/>
  <c r="Q39" i="92"/>
  <c r="H39" i="91"/>
  <c r="O19" i="91"/>
  <c r="Q19" i="91" s="1"/>
  <c r="O31" i="90"/>
  <c r="O30" i="90"/>
  <c r="O39" i="91" l="1"/>
  <c r="Q39" i="91" s="1"/>
  <c r="H23" i="90"/>
  <c r="H24" i="90"/>
  <c r="H18" i="90"/>
  <c r="H19" i="90"/>
  <c r="H20" i="90"/>
  <c r="H21" i="90"/>
  <c r="H22" i="90"/>
  <c r="H17" i="90"/>
  <c r="H11" i="90"/>
  <c r="H12" i="90"/>
  <c r="H13" i="90"/>
  <c r="H14" i="90"/>
  <c r="H15" i="90"/>
  <c r="H16" i="90"/>
  <c r="H10" i="90"/>
  <c r="H9" i="90"/>
  <c r="H8" i="90"/>
  <c r="H38" i="90" l="1"/>
  <c r="J8" i="90"/>
  <c r="J38" i="90" s="1"/>
  <c r="P38" i="90"/>
  <c r="N38" i="90"/>
  <c r="M38" i="90"/>
  <c r="L38" i="90"/>
  <c r="K38" i="90"/>
  <c r="I38" i="90"/>
  <c r="G38" i="90"/>
  <c r="O37" i="90"/>
  <c r="O35" i="90"/>
  <c r="O29" i="90"/>
  <c r="O28" i="90"/>
  <c r="O27" i="90"/>
  <c r="O26" i="90"/>
  <c r="O24" i="90"/>
  <c r="Q24" i="90" s="1"/>
  <c r="O23" i="90"/>
  <c r="Q23" i="90" s="1"/>
  <c r="O22" i="90"/>
  <c r="Q22" i="90" s="1"/>
  <c r="O21" i="90"/>
  <c r="Q21" i="90" s="1"/>
  <c r="O20" i="90"/>
  <c r="Q20" i="90" s="1"/>
  <c r="O19" i="90"/>
  <c r="Q19" i="90" s="1"/>
  <c r="O18" i="90"/>
  <c r="Q18" i="90" s="1"/>
  <c r="O17" i="90"/>
  <c r="Q17" i="90" s="1"/>
  <c r="O16" i="90"/>
  <c r="Q16" i="90" s="1"/>
  <c r="O15" i="90"/>
  <c r="Q15" i="90" s="1"/>
  <c r="O14" i="90"/>
  <c r="Q14" i="90" s="1"/>
  <c r="O13" i="90"/>
  <c r="Q13" i="90" s="1"/>
  <c r="O12" i="90"/>
  <c r="Q12" i="90" s="1"/>
  <c r="O11" i="90"/>
  <c r="Q11" i="90" s="1"/>
  <c r="O10" i="90"/>
  <c r="Q10" i="90" s="1"/>
  <c r="O9" i="90"/>
  <c r="Q9" i="90" s="1"/>
  <c r="O31" i="88"/>
  <c r="P40" i="87"/>
  <c r="O31" i="86"/>
  <c r="O36" i="88"/>
  <c r="H39" i="89"/>
  <c r="H29" i="89"/>
  <c r="H30" i="89"/>
  <c r="H24" i="89"/>
  <c r="H25" i="89"/>
  <c r="H26" i="89"/>
  <c r="H27" i="89"/>
  <c r="H28" i="89"/>
  <c r="H23" i="89"/>
  <c r="H15" i="89"/>
  <c r="H16" i="89"/>
  <c r="H17" i="89"/>
  <c r="H18" i="89"/>
  <c r="H19" i="89"/>
  <c r="H20" i="89"/>
  <c r="H21" i="89"/>
  <c r="H22" i="89"/>
  <c r="H14" i="89"/>
  <c r="H13" i="89"/>
  <c r="H9" i="89"/>
  <c r="H10" i="89"/>
  <c r="H11" i="89"/>
  <c r="H12" i="89"/>
  <c r="H8" i="89"/>
  <c r="O8" i="90" l="1"/>
  <c r="Q8" i="90" s="1"/>
  <c r="H23" i="88"/>
  <c r="H24" i="88"/>
  <c r="H25" i="88"/>
  <c r="H26" i="88"/>
  <c r="H27" i="88"/>
  <c r="H28" i="88"/>
  <c r="H22" i="88"/>
  <c r="H18" i="88"/>
  <c r="H19" i="88"/>
  <c r="H20" i="88"/>
  <c r="H21" i="88"/>
  <c r="H14" i="88"/>
  <c r="H15" i="88"/>
  <c r="H16" i="88"/>
  <c r="H17" i="88"/>
  <c r="H13" i="88"/>
  <c r="H11" i="88"/>
  <c r="H12" i="88"/>
  <c r="H9" i="88"/>
  <c r="H10" i="88"/>
  <c r="H8" i="88"/>
  <c r="O32" i="88"/>
  <c r="O33" i="88"/>
  <c r="O34" i="88"/>
  <c r="O35" i="88"/>
  <c r="O30" i="88"/>
  <c r="O34" i="87"/>
  <c r="O32" i="86"/>
  <c r="O35" i="87"/>
  <c r="O36" i="87"/>
  <c r="O37" i="87"/>
  <c r="O31" i="87"/>
  <c r="Q31" i="87" s="1"/>
  <c r="H31" i="87"/>
  <c r="H32" i="87"/>
  <c r="O32" i="87" s="1"/>
  <c r="Q32" i="87" s="1"/>
  <c r="H30" i="87"/>
  <c r="O30" i="87" s="1"/>
  <c r="Q30" i="87" s="1"/>
  <c r="H29" i="87"/>
  <c r="O29" i="87" s="1"/>
  <c r="Q29" i="87" s="1"/>
  <c r="H24" i="87"/>
  <c r="H25" i="87"/>
  <c r="H26" i="87"/>
  <c r="H27" i="87"/>
  <c r="H28" i="87"/>
  <c r="H23" i="87"/>
  <c r="H17" i="87"/>
  <c r="H18" i="87"/>
  <c r="H19" i="87"/>
  <c r="H20" i="87"/>
  <c r="H21" i="87"/>
  <c r="H22" i="87"/>
  <c r="H16" i="87"/>
  <c r="H10" i="87"/>
  <c r="H11" i="87"/>
  <c r="H12" i="87"/>
  <c r="H13" i="87"/>
  <c r="H14" i="87"/>
  <c r="H15" i="87"/>
  <c r="H9" i="87"/>
  <c r="H8" i="87"/>
  <c r="P35" i="86"/>
  <c r="H27" i="86"/>
  <c r="H28" i="86"/>
  <c r="H23" i="86"/>
  <c r="H24" i="86"/>
  <c r="H25" i="86"/>
  <c r="H26" i="86"/>
  <c r="H22" i="86"/>
  <c r="H21" i="86"/>
  <c r="H20" i="86"/>
  <c r="H15" i="86"/>
  <c r="H16" i="86"/>
  <c r="H17" i="86"/>
  <c r="H18" i="86"/>
  <c r="H19" i="86"/>
  <c r="H14" i="86"/>
  <c r="H13" i="86"/>
  <c r="H9" i="86"/>
  <c r="H10" i="86"/>
  <c r="H11" i="86"/>
  <c r="H12" i="86"/>
  <c r="H8" i="86"/>
  <c r="P39" i="89"/>
  <c r="O33" i="89"/>
  <c r="O34" i="89"/>
  <c r="O35" i="89"/>
  <c r="O36" i="89"/>
  <c r="O30" i="89"/>
  <c r="Q30" i="89" s="1"/>
  <c r="O29" i="89"/>
  <c r="Q29" i="89" s="1"/>
  <c r="J24" i="89"/>
  <c r="O24" i="89" s="1"/>
  <c r="Q24" i="89" s="1"/>
  <c r="N39" i="89"/>
  <c r="M39" i="89"/>
  <c r="L39" i="89"/>
  <c r="K39" i="89"/>
  <c r="I39" i="89"/>
  <c r="G39" i="89"/>
  <c r="O38" i="89"/>
  <c r="O37" i="89"/>
  <c r="O32" i="89"/>
  <c r="J39" i="89"/>
  <c r="O27" i="89"/>
  <c r="Q27" i="89" s="1"/>
  <c r="O26" i="89"/>
  <c r="Q26" i="89" s="1"/>
  <c r="O25" i="89"/>
  <c r="Q25" i="89" s="1"/>
  <c r="O23" i="89"/>
  <c r="Q23" i="89" s="1"/>
  <c r="O22" i="89"/>
  <c r="Q22" i="89" s="1"/>
  <c r="O21" i="89"/>
  <c r="Q21" i="89" s="1"/>
  <c r="O20" i="89"/>
  <c r="Q20" i="89" s="1"/>
  <c r="O19" i="89"/>
  <c r="Q19" i="89" s="1"/>
  <c r="Q18" i="89"/>
  <c r="O18" i="89"/>
  <c r="O17" i="89"/>
  <c r="Q17" i="89" s="1"/>
  <c r="O16" i="89"/>
  <c r="Q16" i="89" s="1"/>
  <c r="O15" i="89"/>
  <c r="Q15" i="89" s="1"/>
  <c r="O14" i="89"/>
  <c r="Q14" i="89" s="1"/>
  <c r="O13" i="89"/>
  <c r="Q13" i="89" s="1"/>
  <c r="O12" i="89"/>
  <c r="Q12" i="89" s="1"/>
  <c r="O11" i="89"/>
  <c r="Q11" i="89" s="1"/>
  <c r="O10" i="89"/>
  <c r="Q10" i="89" s="1"/>
  <c r="O9" i="89"/>
  <c r="O8" i="89"/>
  <c r="Q8" i="89" s="1"/>
  <c r="J28" i="88"/>
  <c r="J39" i="88"/>
  <c r="O38" i="90" l="1"/>
  <c r="Q38" i="90" s="1"/>
  <c r="Q40" i="90" s="1"/>
  <c r="Q41" i="91" s="1"/>
  <c r="Q41" i="92" s="1"/>
  <c r="Q40" i="93" s="1"/>
  <c r="Q42" i="93" s="1"/>
  <c r="Q43" i="93" s="1"/>
  <c r="H35" i="86"/>
  <c r="Q9" i="89"/>
  <c r="O28" i="89"/>
  <c r="Q28" i="89" s="1"/>
  <c r="P39" i="88"/>
  <c r="N39" i="88"/>
  <c r="M39" i="88"/>
  <c r="L39" i="88"/>
  <c r="K39" i="88"/>
  <c r="I39" i="88"/>
  <c r="H39" i="88"/>
  <c r="G39" i="88"/>
  <c r="G44" i="88" s="1"/>
  <c r="O38" i="88"/>
  <c r="O37" i="88"/>
  <c r="O27" i="88"/>
  <c r="Q27" i="88" s="1"/>
  <c r="O26" i="88"/>
  <c r="Q26" i="88" s="1"/>
  <c r="O25" i="88"/>
  <c r="Q25" i="88" s="1"/>
  <c r="O24" i="88"/>
  <c r="Q24" i="88" s="1"/>
  <c r="O23" i="88"/>
  <c r="Q23" i="88" s="1"/>
  <c r="O22" i="88"/>
  <c r="Q22" i="88" s="1"/>
  <c r="O21" i="88"/>
  <c r="Q21" i="88" s="1"/>
  <c r="O20" i="88"/>
  <c r="Q20" i="88" s="1"/>
  <c r="O19" i="88"/>
  <c r="Q19" i="88" s="1"/>
  <c r="O18" i="88"/>
  <c r="Q18" i="88" s="1"/>
  <c r="O17" i="88"/>
  <c r="Q17" i="88" s="1"/>
  <c r="O16" i="88"/>
  <c r="Q16" i="88" s="1"/>
  <c r="O15" i="88"/>
  <c r="Q15" i="88" s="1"/>
  <c r="O14" i="88"/>
  <c r="Q14" i="88" s="1"/>
  <c r="O13" i="88"/>
  <c r="Q13" i="88" s="1"/>
  <c r="O12" i="88"/>
  <c r="Q12" i="88" s="1"/>
  <c r="O11" i="88"/>
  <c r="Q11" i="88" s="1"/>
  <c r="O10" i="88"/>
  <c r="Q10" i="88" s="1"/>
  <c r="O9" i="88"/>
  <c r="Q9" i="88" s="1"/>
  <c r="O8" i="88"/>
  <c r="O39" i="89" l="1"/>
  <c r="Q39" i="89" s="1"/>
  <c r="Q8" i="88"/>
  <c r="O28" i="88"/>
  <c r="Q28" i="88" s="1"/>
  <c r="O39" i="88" l="1"/>
  <c r="Q39" i="88" s="1"/>
  <c r="J40" i="87" l="1"/>
  <c r="N40" i="87"/>
  <c r="M40" i="87"/>
  <c r="L40" i="87"/>
  <c r="K40" i="87"/>
  <c r="I40" i="87"/>
  <c r="H40" i="87"/>
  <c r="G40" i="87"/>
  <c r="G45" i="87" s="1"/>
  <c r="O39" i="87"/>
  <c r="O38" i="87"/>
  <c r="O27" i="87"/>
  <c r="Q27" i="87" s="1"/>
  <c r="O26" i="87"/>
  <c r="Q26" i="87" s="1"/>
  <c r="O25" i="87"/>
  <c r="Q25" i="87" s="1"/>
  <c r="O24" i="87"/>
  <c r="Q24" i="87" s="1"/>
  <c r="O23" i="87"/>
  <c r="Q23" i="87" s="1"/>
  <c r="O22" i="87"/>
  <c r="Q22" i="87" s="1"/>
  <c r="O21" i="87"/>
  <c r="Q21" i="87" s="1"/>
  <c r="O20" i="87"/>
  <c r="Q20" i="87" s="1"/>
  <c r="O19" i="87"/>
  <c r="Q19" i="87" s="1"/>
  <c r="O18" i="87"/>
  <c r="Q18" i="87" s="1"/>
  <c r="O17" i="87"/>
  <c r="Q17" i="87" s="1"/>
  <c r="O16" i="87"/>
  <c r="Q16" i="87" s="1"/>
  <c r="O15" i="87"/>
  <c r="Q15" i="87" s="1"/>
  <c r="O14" i="87"/>
  <c r="Q14" i="87" s="1"/>
  <c r="O13" i="87"/>
  <c r="Q13" i="87" s="1"/>
  <c r="O12" i="87"/>
  <c r="Q12" i="87" s="1"/>
  <c r="O11" i="87"/>
  <c r="Q11" i="87" s="1"/>
  <c r="O10" i="87"/>
  <c r="Q10" i="87" s="1"/>
  <c r="O9" i="87"/>
  <c r="Q9" i="87" s="1"/>
  <c r="O8" i="87"/>
  <c r="Q8" i="87" s="1"/>
  <c r="O28" i="87" l="1"/>
  <c r="Q28" i="87" s="1"/>
  <c r="O40" i="87" l="1"/>
  <c r="Q40" i="87" s="1"/>
  <c r="N35" i="86" l="1"/>
  <c r="M35" i="86"/>
  <c r="L35" i="86"/>
  <c r="K35" i="86"/>
  <c r="J35" i="86"/>
  <c r="I35" i="86"/>
  <c r="G35" i="86"/>
  <c r="G40" i="86" s="1"/>
  <c r="O34" i="86"/>
  <c r="O33" i="86"/>
  <c r="O30" i="86"/>
  <c r="O28" i="86"/>
  <c r="Q28" i="86" s="1"/>
  <c r="O27" i="86"/>
  <c r="Q27" i="86" s="1"/>
  <c r="O26" i="86"/>
  <c r="Q26" i="86" s="1"/>
  <c r="O25" i="86"/>
  <c r="Q25" i="86" s="1"/>
  <c r="O24" i="86"/>
  <c r="Q24" i="86" s="1"/>
  <c r="O23" i="86"/>
  <c r="Q23" i="86" s="1"/>
  <c r="O22" i="86"/>
  <c r="Q22" i="86" s="1"/>
  <c r="O21" i="86"/>
  <c r="Q21" i="86" s="1"/>
  <c r="O20" i="86"/>
  <c r="Q20" i="86" s="1"/>
  <c r="O19" i="86"/>
  <c r="Q19" i="86" s="1"/>
  <c r="O18" i="86"/>
  <c r="Q18" i="86" s="1"/>
  <c r="O17" i="86"/>
  <c r="Q17" i="86" s="1"/>
  <c r="O16" i="86"/>
  <c r="Q16" i="86" s="1"/>
  <c r="O15" i="86"/>
  <c r="Q15" i="86" s="1"/>
  <c r="O14" i="86"/>
  <c r="Q14" i="86" s="1"/>
  <c r="O13" i="86"/>
  <c r="Q13" i="86" s="1"/>
  <c r="O12" i="86"/>
  <c r="Q12" i="86" s="1"/>
  <c r="O11" i="86"/>
  <c r="Q11" i="86" s="1"/>
  <c r="O10" i="86"/>
  <c r="Q10" i="86" s="1"/>
  <c r="O9" i="86"/>
  <c r="Q9" i="86" s="1"/>
  <c r="O8" i="86"/>
  <c r="Q8" i="86" s="1"/>
  <c r="Q40" i="85"/>
  <c r="Q38" i="85"/>
  <c r="H19" i="85"/>
  <c r="Q43" i="84"/>
  <c r="Q45" i="84" s="1"/>
  <c r="J17" i="84"/>
  <c r="O18" i="85"/>
  <c r="Q18" i="85" s="1"/>
  <c r="O19" i="85"/>
  <c r="Q19" i="85" s="1"/>
  <c r="O35" i="84"/>
  <c r="G43" i="85"/>
  <c r="P38" i="85"/>
  <c r="N38" i="85"/>
  <c r="M38" i="85"/>
  <c r="L38" i="85"/>
  <c r="K38" i="85"/>
  <c r="J38" i="85"/>
  <c r="I38" i="85"/>
  <c r="G38" i="85"/>
  <c r="O37" i="85"/>
  <c r="O36" i="85"/>
  <c r="O35" i="85"/>
  <c r="O34" i="85"/>
  <c r="O33" i="85"/>
  <c r="H31" i="85"/>
  <c r="O31" i="85" s="1"/>
  <c r="Q31" i="85" s="1"/>
  <c r="O30" i="85"/>
  <c r="Q30" i="85" s="1"/>
  <c r="O29" i="85"/>
  <c r="Q29" i="85" s="1"/>
  <c r="H29" i="85"/>
  <c r="H28" i="85"/>
  <c r="O28" i="85" s="1"/>
  <c r="Q28" i="85" s="1"/>
  <c r="H27" i="85"/>
  <c r="O27" i="85" s="1"/>
  <c r="Q27" i="85" s="1"/>
  <c r="H26" i="85"/>
  <c r="O26" i="85" s="1"/>
  <c r="Q26" i="85" s="1"/>
  <c r="O25" i="85"/>
  <c r="Q25" i="85" s="1"/>
  <c r="H25" i="85"/>
  <c r="H24" i="85"/>
  <c r="O24" i="85" s="1"/>
  <c r="Q24" i="85" s="1"/>
  <c r="H23" i="85"/>
  <c r="O23" i="85" s="1"/>
  <c r="Q23" i="85" s="1"/>
  <c r="H22" i="85"/>
  <c r="O22" i="85" s="1"/>
  <c r="Q22" i="85" s="1"/>
  <c r="O21" i="85"/>
  <c r="Q21" i="85" s="1"/>
  <c r="H21" i="85"/>
  <c r="H20" i="85"/>
  <c r="O20" i="85" s="1"/>
  <c r="Q20" i="85" s="1"/>
  <c r="H18" i="85"/>
  <c r="H17" i="85"/>
  <c r="O17" i="85" s="1"/>
  <c r="Q17" i="85" s="1"/>
  <c r="H16" i="85"/>
  <c r="O16" i="85" s="1"/>
  <c r="Q16" i="85" s="1"/>
  <c r="Q15" i="85"/>
  <c r="O15" i="85"/>
  <c r="H15" i="85"/>
  <c r="O14" i="85"/>
  <c r="Q14" i="85" s="1"/>
  <c r="H14" i="85"/>
  <c r="H13" i="85"/>
  <c r="O13" i="85" s="1"/>
  <c r="Q13" i="85" s="1"/>
  <c r="H12" i="85"/>
  <c r="O12" i="85" s="1"/>
  <c r="Q12" i="85" s="1"/>
  <c r="Q11" i="85"/>
  <c r="O11" i="85"/>
  <c r="H11" i="85"/>
  <c r="O10" i="85"/>
  <c r="Q10" i="85" s="1"/>
  <c r="H10" i="85"/>
  <c r="H9" i="85"/>
  <c r="O9" i="85" s="1"/>
  <c r="Q9" i="85" s="1"/>
  <c r="H8" i="85"/>
  <c r="H38" i="85" s="1"/>
  <c r="P43" i="84"/>
  <c r="N43" i="84"/>
  <c r="M43" i="84"/>
  <c r="L43" i="84"/>
  <c r="K43" i="84"/>
  <c r="I43" i="84"/>
  <c r="G43" i="84"/>
  <c r="O42" i="84"/>
  <c r="O41" i="84"/>
  <c r="O40" i="84"/>
  <c r="O39" i="84"/>
  <c r="O38" i="84"/>
  <c r="O37" i="84"/>
  <c r="O36" i="84"/>
  <c r="O34" i="84"/>
  <c r="O33" i="84"/>
  <c r="Q31" i="84"/>
  <c r="O31" i="84"/>
  <c r="H31" i="84"/>
  <c r="O30" i="84"/>
  <c r="Q30" i="84" s="1"/>
  <c r="H30" i="84"/>
  <c r="H29" i="84"/>
  <c r="O29" i="84" s="1"/>
  <c r="Q29" i="84" s="1"/>
  <c r="H28" i="84"/>
  <c r="O28" i="84" s="1"/>
  <c r="Q28" i="84" s="1"/>
  <c r="Q27" i="84"/>
  <c r="O27" i="84"/>
  <c r="H27" i="84"/>
  <c r="O26" i="84"/>
  <c r="Q26" i="84" s="1"/>
  <c r="H26" i="84"/>
  <c r="H25" i="84"/>
  <c r="O25" i="84" s="1"/>
  <c r="Q25" i="84" s="1"/>
  <c r="H24" i="84"/>
  <c r="O24" i="84" s="1"/>
  <c r="Q24" i="84" s="1"/>
  <c r="H23" i="84"/>
  <c r="O23" i="84" s="1"/>
  <c r="Q23" i="84" s="1"/>
  <c r="O22" i="84"/>
  <c r="Q22" i="84" s="1"/>
  <c r="H22" i="84"/>
  <c r="H21" i="84"/>
  <c r="O21" i="84" s="1"/>
  <c r="Q21" i="84" s="1"/>
  <c r="H20" i="84"/>
  <c r="O20" i="84" s="1"/>
  <c r="Q20" i="84" s="1"/>
  <c r="H19" i="84"/>
  <c r="O19" i="84" s="1"/>
  <c r="Q19" i="84" s="1"/>
  <c r="O18" i="84"/>
  <c r="Q18" i="84" s="1"/>
  <c r="H18" i="84"/>
  <c r="J43" i="84"/>
  <c r="H17" i="84"/>
  <c r="H16" i="84"/>
  <c r="O16" i="84" s="1"/>
  <c r="Q16" i="84" s="1"/>
  <c r="H15" i="84"/>
  <c r="O15" i="84" s="1"/>
  <c r="Q15" i="84" s="1"/>
  <c r="H14" i="84"/>
  <c r="O14" i="84" s="1"/>
  <c r="Q14" i="84" s="1"/>
  <c r="O13" i="84"/>
  <c r="Q13" i="84" s="1"/>
  <c r="H13" i="84"/>
  <c r="H12" i="84"/>
  <c r="O12" i="84" s="1"/>
  <c r="Q12" i="84" s="1"/>
  <c r="H11" i="84"/>
  <c r="O11" i="84" s="1"/>
  <c r="Q11" i="84" s="1"/>
  <c r="H10" i="84"/>
  <c r="O10" i="84" s="1"/>
  <c r="Q10" i="84" s="1"/>
  <c r="O9" i="84"/>
  <c r="Q9" i="84" s="1"/>
  <c r="H9" i="84"/>
  <c r="H8" i="84"/>
  <c r="H43" i="84" s="1"/>
  <c r="Q32" i="83"/>
  <c r="Q34" i="83" s="1"/>
  <c r="Q42" i="82"/>
  <c r="O34" i="82"/>
  <c r="O27" i="83"/>
  <c r="P32" i="83"/>
  <c r="O35" i="86" l="1"/>
  <c r="Q35" i="86" s="1"/>
  <c r="Q37" i="86" s="1"/>
  <c r="Q42" i="87" s="1"/>
  <c r="Q41" i="88" s="1"/>
  <c r="Q41" i="89" s="1"/>
  <c r="O8" i="84"/>
  <c r="O17" i="84"/>
  <c r="Q17" i="84" s="1"/>
  <c r="O8" i="85"/>
  <c r="H22" i="83"/>
  <c r="O22" i="83" s="1"/>
  <c r="Q22" i="83" s="1"/>
  <c r="H23" i="83"/>
  <c r="O23" i="83" s="1"/>
  <c r="Q23" i="83" s="1"/>
  <c r="H24" i="83"/>
  <c r="O24" i="83" s="1"/>
  <c r="Q24" i="83" s="1"/>
  <c r="H16" i="83"/>
  <c r="O16" i="83" s="1"/>
  <c r="Q16" i="83" s="1"/>
  <c r="H17" i="83"/>
  <c r="O17" i="83" s="1"/>
  <c r="Q17" i="83" s="1"/>
  <c r="H18" i="83"/>
  <c r="O18" i="83" s="1"/>
  <c r="Q18" i="83" s="1"/>
  <c r="H19" i="83"/>
  <c r="O19" i="83" s="1"/>
  <c r="Q19" i="83" s="1"/>
  <c r="H20" i="83"/>
  <c r="O20" i="83" s="1"/>
  <c r="Q20" i="83" s="1"/>
  <c r="H21" i="83"/>
  <c r="H15" i="83"/>
  <c r="O15" i="83" s="1"/>
  <c r="Q15" i="83" s="1"/>
  <c r="H13" i="83"/>
  <c r="O13" i="83" s="1"/>
  <c r="Q13" i="83" s="1"/>
  <c r="H14" i="83"/>
  <c r="O14" i="83" s="1"/>
  <c r="Q14" i="83" s="1"/>
  <c r="H12" i="83"/>
  <c r="O12" i="83" s="1"/>
  <c r="Q12" i="83" s="1"/>
  <c r="H9" i="83"/>
  <c r="O9" i="83" s="1"/>
  <c r="Q9" i="83" s="1"/>
  <c r="H10" i="83"/>
  <c r="O10" i="83" s="1"/>
  <c r="Q10" i="83" s="1"/>
  <c r="H8" i="83"/>
  <c r="O8" i="83" s="1"/>
  <c r="N32" i="83"/>
  <c r="M32" i="83"/>
  <c r="L32" i="83"/>
  <c r="K32" i="83"/>
  <c r="J32" i="83"/>
  <c r="I32" i="83"/>
  <c r="G32" i="83"/>
  <c r="O31" i="83"/>
  <c r="O30" i="83"/>
  <c r="O29" i="83"/>
  <c r="O28" i="83"/>
  <c r="O21" i="83"/>
  <c r="Q21" i="83" s="1"/>
  <c r="O11" i="83"/>
  <c r="Q11" i="83" s="1"/>
  <c r="O37" i="82"/>
  <c r="O38" i="82"/>
  <c r="O39" i="82"/>
  <c r="O40" i="82"/>
  <c r="O43" i="84" l="1"/>
  <c r="Q8" i="84"/>
  <c r="Q8" i="85"/>
  <c r="O38" i="85"/>
  <c r="O32" i="83"/>
  <c r="H32" i="83"/>
  <c r="Q8" i="83"/>
  <c r="H22" i="82"/>
  <c r="O22" i="82" s="1"/>
  <c r="Q22" i="82" s="1"/>
  <c r="H23" i="82"/>
  <c r="O23" i="82" s="1"/>
  <c r="Q23" i="82" s="1"/>
  <c r="H24" i="82"/>
  <c r="H25" i="82"/>
  <c r="O25" i="82" s="1"/>
  <c r="Q25" i="82" s="1"/>
  <c r="H26" i="82"/>
  <c r="O26" i="82" s="1"/>
  <c r="Q26" i="82" s="1"/>
  <c r="H27" i="82"/>
  <c r="O27" i="82" s="1"/>
  <c r="Q27" i="82" s="1"/>
  <c r="H28" i="82"/>
  <c r="O28" i="82" s="1"/>
  <c r="Q28" i="82" s="1"/>
  <c r="H29" i="82"/>
  <c r="O29" i="82" s="1"/>
  <c r="Q29" i="82" s="1"/>
  <c r="H30" i="82"/>
  <c r="O30" i="82" s="1"/>
  <c r="Q30" i="82" s="1"/>
  <c r="H21" i="82"/>
  <c r="O21" i="82" s="1"/>
  <c r="Q21" i="82" s="1"/>
  <c r="H14" i="82"/>
  <c r="H15" i="82"/>
  <c r="H16" i="82"/>
  <c r="O16" i="82" s="1"/>
  <c r="Q16" i="82" s="1"/>
  <c r="H17" i="82"/>
  <c r="O17" i="82" s="1"/>
  <c r="Q17" i="82" s="1"/>
  <c r="H18" i="82"/>
  <c r="H19" i="82"/>
  <c r="O19" i="82" s="1"/>
  <c r="Q19" i="82" s="1"/>
  <c r="H20" i="82"/>
  <c r="O20" i="82" s="1"/>
  <c r="Q20" i="82" s="1"/>
  <c r="H13" i="82"/>
  <c r="O13" i="82" s="1"/>
  <c r="Q13" i="82" s="1"/>
  <c r="H12" i="82"/>
  <c r="O12" i="82" s="1"/>
  <c r="Q12" i="82" s="1"/>
  <c r="H9" i="82"/>
  <c r="O9" i="82" s="1"/>
  <c r="Q9" i="82" s="1"/>
  <c r="H10" i="82"/>
  <c r="O10" i="82" s="1"/>
  <c r="Q10" i="82" s="1"/>
  <c r="H11" i="82"/>
  <c r="O11" i="82" s="1"/>
  <c r="Q11" i="82" s="1"/>
  <c r="H8" i="82"/>
  <c r="P42" i="82"/>
  <c r="N42" i="82"/>
  <c r="M42" i="82"/>
  <c r="L42" i="82"/>
  <c r="J42" i="82"/>
  <c r="I42" i="82"/>
  <c r="G42" i="82"/>
  <c r="O41" i="82"/>
  <c r="K42" i="82"/>
  <c r="O36" i="82"/>
  <c r="O35" i="82"/>
  <c r="O33" i="82"/>
  <c r="O32" i="82"/>
  <c r="O24" i="82"/>
  <c r="Q24" i="82" s="1"/>
  <c r="O18" i="82"/>
  <c r="Q18" i="82" s="1"/>
  <c r="O15" i="82"/>
  <c r="Q15" i="82" s="1"/>
  <c r="O14" i="82"/>
  <c r="Q14" i="82" s="1"/>
  <c r="O8" i="82"/>
  <c r="Q47" i="81"/>
  <c r="Q55" i="79"/>
  <c r="L45" i="81"/>
  <c r="P45" i="81"/>
  <c r="Q45" i="81" s="1"/>
  <c r="O45" i="81"/>
  <c r="O41" i="80"/>
  <c r="P41" i="80"/>
  <c r="Q41" i="80" s="1"/>
  <c r="P53" i="79"/>
  <c r="O36" i="81"/>
  <c r="Q33" i="81"/>
  <c r="Q34" i="81"/>
  <c r="Q35" i="81"/>
  <c r="Q36" i="81"/>
  <c r="H31" i="81"/>
  <c r="H32" i="81"/>
  <c r="H33" i="81"/>
  <c r="H34" i="81"/>
  <c r="O34" i="81" s="1"/>
  <c r="H35" i="81"/>
  <c r="H36" i="81"/>
  <c r="H30" i="81"/>
  <c r="H17" i="81"/>
  <c r="H18" i="81"/>
  <c r="H19" i="81"/>
  <c r="H20" i="81"/>
  <c r="H21" i="81"/>
  <c r="O21" i="81" s="1"/>
  <c r="Q21" i="81" s="1"/>
  <c r="H22" i="81"/>
  <c r="H23" i="81"/>
  <c r="H24" i="81"/>
  <c r="H25" i="81"/>
  <c r="O25" i="81" s="1"/>
  <c r="Q25" i="81" s="1"/>
  <c r="H26" i="81"/>
  <c r="H27" i="81"/>
  <c r="H28" i="81"/>
  <c r="H29" i="81"/>
  <c r="O29" i="81" s="1"/>
  <c r="Q29" i="81" s="1"/>
  <c r="H16" i="81"/>
  <c r="H10" i="81"/>
  <c r="H11" i="81"/>
  <c r="H12" i="81"/>
  <c r="O12" i="81" s="1"/>
  <c r="Q12" i="81" s="1"/>
  <c r="H13" i="81"/>
  <c r="H14" i="81"/>
  <c r="H15" i="81"/>
  <c r="H9" i="81"/>
  <c r="O9" i="81" s="1"/>
  <c r="Q9" i="81" s="1"/>
  <c r="K43" i="81"/>
  <c r="K45" i="81" s="1"/>
  <c r="O50" i="79"/>
  <c r="O44" i="79"/>
  <c r="O43" i="79"/>
  <c r="O35" i="81"/>
  <c r="O33" i="81"/>
  <c r="H27" i="80"/>
  <c r="H28" i="80"/>
  <c r="H29" i="80"/>
  <c r="H30" i="80"/>
  <c r="H31" i="80"/>
  <c r="H26" i="80"/>
  <c r="H14" i="80"/>
  <c r="H15" i="80"/>
  <c r="H16" i="80"/>
  <c r="H17" i="80"/>
  <c r="H18" i="80"/>
  <c r="H19" i="80"/>
  <c r="H20" i="80"/>
  <c r="H21" i="80"/>
  <c r="H22" i="80"/>
  <c r="H23" i="80"/>
  <c r="H24" i="80"/>
  <c r="H25" i="80"/>
  <c r="H13" i="80"/>
  <c r="H9" i="80"/>
  <c r="H10" i="80"/>
  <c r="H11" i="80"/>
  <c r="H12" i="80"/>
  <c r="H8" i="80"/>
  <c r="N45" i="81"/>
  <c r="M45" i="81"/>
  <c r="I45" i="81"/>
  <c r="H45" i="81"/>
  <c r="G45" i="81"/>
  <c r="O44" i="81"/>
  <c r="O42" i="81"/>
  <c r="O41" i="81"/>
  <c r="O40" i="81"/>
  <c r="O39" i="81"/>
  <c r="O38" i="81"/>
  <c r="O32" i="81"/>
  <c r="Q32" i="81" s="1"/>
  <c r="O31" i="81"/>
  <c r="Q31" i="81" s="1"/>
  <c r="O30" i="81"/>
  <c r="Q30" i="81" s="1"/>
  <c r="O28" i="81"/>
  <c r="Q28" i="81" s="1"/>
  <c r="O27" i="81"/>
  <c r="Q27" i="81" s="1"/>
  <c r="O26" i="81"/>
  <c r="Q26" i="81" s="1"/>
  <c r="O24" i="81"/>
  <c r="Q24" i="81" s="1"/>
  <c r="O23" i="81"/>
  <c r="Q23" i="81" s="1"/>
  <c r="O22" i="81"/>
  <c r="Q22" i="81" s="1"/>
  <c r="O20" i="81"/>
  <c r="Q20" i="81" s="1"/>
  <c r="O19" i="81"/>
  <c r="Q19" i="81" s="1"/>
  <c r="O18" i="81"/>
  <c r="Q18" i="81" s="1"/>
  <c r="O17" i="81"/>
  <c r="Q17" i="81" s="1"/>
  <c r="O16" i="81"/>
  <c r="Q16" i="81" s="1"/>
  <c r="O15" i="81"/>
  <c r="Q15" i="81" s="1"/>
  <c r="O14" i="81"/>
  <c r="Q14" i="81" s="1"/>
  <c r="O13" i="81"/>
  <c r="Q13" i="81" s="1"/>
  <c r="O11" i="81"/>
  <c r="Q11" i="81" s="1"/>
  <c r="O10" i="81"/>
  <c r="Q10" i="81" s="1"/>
  <c r="O8" i="81"/>
  <c r="Q8" i="81" s="1"/>
  <c r="J20" i="80"/>
  <c r="O42" i="82" l="1"/>
  <c r="Q44" i="82" s="1"/>
  <c r="H42" i="82"/>
  <c r="Q8" i="82"/>
  <c r="O43" i="81"/>
  <c r="J45" i="81"/>
  <c r="N41" i="80"/>
  <c r="M41" i="80"/>
  <c r="L41" i="80"/>
  <c r="K41" i="80"/>
  <c r="J41" i="80"/>
  <c r="I41" i="80"/>
  <c r="H41" i="80"/>
  <c r="G41" i="80"/>
  <c r="O40" i="80"/>
  <c r="K39" i="80"/>
  <c r="O39" i="80" s="1"/>
  <c r="O38" i="80"/>
  <c r="O37" i="80"/>
  <c r="O36" i="80"/>
  <c r="O35" i="80"/>
  <c r="O34" i="80"/>
  <c r="O32" i="80"/>
  <c r="Q32" i="80" s="1"/>
  <c r="O31" i="80"/>
  <c r="Q31" i="80" s="1"/>
  <c r="O30" i="80"/>
  <c r="Q30" i="80" s="1"/>
  <c r="O29" i="80"/>
  <c r="Q29" i="80" s="1"/>
  <c r="O28" i="80"/>
  <c r="Q28" i="80" s="1"/>
  <c r="O27" i="80"/>
  <c r="Q27" i="80" s="1"/>
  <c r="O26" i="80"/>
  <c r="Q26" i="80" s="1"/>
  <c r="O25" i="80"/>
  <c r="Q25" i="80" s="1"/>
  <c r="O24" i="80"/>
  <c r="Q24" i="80" s="1"/>
  <c r="O23" i="80"/>
  <c r="Q23" i="80" s="1"/>
  <c r="O22" i="80"/>
  <c r="Q22" i="80" s="1"/>
  <c r="O21" i="80"/>
  <c r="Q21" i="80" s="1"/>
  <c r="O20" i="80"/>
  <c r="Q20" i="80" s="1"/>
  <c r="O19" i="80"/>
  <c r="Q19" i="80" s="1"/>
  <c r="Q18" i="80"/>
  <c r="O18" i="80"/>
  <c r="O17" i="80"/>
  <c r="Q17" i="80" s="1"/>
  <c r="O16" i="80"/>
  <c r="Q16" i="80" s="1"/>
  <c r="O15" i="80"/>
  <c r="Q15" i="80" s="1"/>
  <c r="O14" i="80"/>
  <c r="Q14" i="80" s="1"/>
  <c r="O13" i="80"/>
  <c r="Q13" i="80" s="1"/>
  <c r="O12" i="80"/>
  <c r="Q12" i="80" s="1"/>
  <c r="O11" i="80"/>
  <c r="Q11" i="80" s="1"/>
  <c r="O10" i="80"/>
  <c r="Q10" i="80" s="1"/>
  <c r="O9" i="80"/>
  <c r="Q9" i="80" s="1"/>
  <c r="O8" i="80"/>
  <c r="Q8" i="80" s="1"/>
  <c r="H32" i="79"/>
  <c r="H33" i="79"/>
  <c r="H34" i="79"/>
  <c r="H31" i="79"/>
  <c r="H19" i="79"/>
  <c r="H20" i="79"/>
  <c r="H21" i="79"/>
  <c r="H22" i="79"/>
  <c r="H23" i="79"/>
  <c r="H24" i="79"/>
  <c r="H25" i="79"/>
  <c r="H26" i="79"/>
  <c r="H27" i="79"/>
  <c r="H28" i="79"/>
  <c r="H29" i="79"/>
  <c r="H30" i="79"/>
  <c r="H18" i="79"/>
  <c r="H9" i="79"/>
  <c r="H10" i="79"/>
  <c r="H11" i="79"/>
  <c r="H12" i="79"/>
  <c r="H13" i="79"/>
  <c r="H14" i="79"/>
  <c r="H15" i="79"/>
  <c r="H16" i="79"/>
  <c r="H8" i="79"/>
  <c r="O34" i="79" l="1"/>
  <c r="Q34" i="79" s="1"/>
  <c r="O33" i="79"/>
  <c r="Q33" i="79" s="1"/>
  <c r="M53" i="79" l="1"/>
  <c r="L53" i="79"/>
  <c r="J53" i="79"/>
  <c r="I53" i="79"/>
  <c r="H53" i="79"/>
  <c r="G53" i="79"/>
  <c r="O52" i="79"/>
  <c r="O51" i="79"/>
  <c r="K51" i="79"/>
  <c r="K53" i="79" s="1"/>
  <c r="O49" i="79"/>
  <c r="N53" i="79"/>
  <c r="O47" i="79"/>
  <c r="O46" i="79"/>
  <c r="O45" i="79"/>
  <c r="O42" i="79"/>
  <c r="O41" i="79"/>
  <c r="O40" i="79"/>
  <c r="O39" i="79"/>
  <c r="O38" i="79"/>
  <c r="O37" i="79"/>
  <c r="O36" i="79"/>
  <c r="O32" i="79"/>
  <c r="Q32" i="79" s="1"/>
  <c r="O31" i="79"/>
  <c r="Q31" i="79" s="1"/>
  <c r="Q30" i="79"/>
  <c r="O30" i="79"/>
  <c r="O29" i="79"/>
  <c r="Q29" i="79" s="1"/>
  <c r="O28" i="79"/>
  <c r="Q28" i="79" s="1"/>
  <c r="O27" i="79"/>
  <c r="Q27" i="79" s="1"/>
  <c r="O26" i="79"/>
  <c r="Q26" i="79" s="1"/>
  <c r="O25" i="79"/>
  <c r="Q25" i="79" s="1"/>
  <c r="O24" i="79"/>
  <c r="Q24" i="79" s="1"/>
  <c r="O23" i="79"/>
  <c r="Q23" i="79" s="1"/>
  <c r="O22" i="79"/>
  <c r="Q22" i="79" s="1"/>
  <c r="O21" i="79"/>
  <c r="Q21" i="79" s="1"/>
  <c r="O20" i="79"/>
  <c r="Q20" i="79" s="1"/>
  <c r="O19" i="79"/>
  <c r="Q19" i="79" s="1"/>
  <c r="O18" i="79"/>
  <c r="Q18" i="79" s="1"/>
  <c r="O17" i="79"/>
  <c r="Q17" i="79" s="1"/>
  <c r="O16" i="79"/>
  <c r="Q16" i="79" s="1"/>
  <c r="O15" i="79"/>
  <c r="Q15" i="79" s="1"/>
  <c r="O14" i="79"/>
  <c r="Q14" i="79" s="1"/>
  <c r="O13" i="79"/>
  <c r="Q13" i="79" s="1"/>
  <c r="O12" i="79"/>
  <c r="Q12" i="79" s="1"/>
  <c r="O11" i="79"/>
  <c r="Q11" i="79" s="1"/>
  <c r="O10" i="79"/>
  <c r="Q10" i="79" s="1"/>
  <c r="O9" i="79"/>
  <c r="Q9" i="79" s="1"/>
  <c r="O8" i="79"/>
  <c r="Q8" i="79" s="1"/>
  <c r="O46" i="78"/>
  <c r="O47" i="78"/>
  <c r="N46" i="78"/>
  <c r="Q61" i="77"/>
  <c r="Q59" i="77"/>
  <c r="O53" i="77"/>
  <c r="O54" i="77"/>
  <c r="H13" i="77"/>
  <c r="J12" i="77"/>
  <c r="Q53" i="76"/>
  <c r="Q51" i="76"/>
  <c r="O48" i="79" l="1"/>
  <c r="O53" i="79" s="1"/>
  <c r="Q53" i="79" s="1"/>
  <c r="Q43" i="80" s="1"/>
  <c r="P57" i="78"/>
  <c r="O54" i="78"/>
  <c r="N57" i="78"/>
  <c r="M57" i="78"/>
  <c r="L57" i="78"/>
  <c r="O53" i="78"/>
  <c r="H28" i="78"/>
  <c r="O28" i="78" s="1"/>
  <c r="Q28" i="78" s="1"/>
  <c r="H29" i="78"/>
  <c r="H30" i="78"/>
  <c r="H31" i="78"/>
  <c r="O31" i="78" s="1"/>
  <c r="Q31" i="78" s="1"/>
  <c r="H32" i="78"/>
  <c r="O32" i="78" s="1"/>
  <c r="Q32" i="78" s="1"/>
  <c r="H27" i="78"/>
  <c r="H12" i="78"/>
  <c r="H13" i="78"/>
  <c r="O13" i="78" s="1"/>
  <c r="Q13" i="78" s="1"/>
  <c r="H14" i="78"/>
  <c r="O14" i="78" s="1"/>
  <c r="Q14" i="78" s="1"/>
  <c r="H15" i="78"/>
  <c r="H16" i="78"/>
  <c r="H17" i="78"/>
  <c r="H18" i="78"/>
  <c r="O18" i="78" s="1"/>
  <c r="Q18" i="78" s="1"/>
  <c r="H19" i="78"/>
  <c r="H20" i="78"/>
  <c r="O20" i="78" s="1"/>
  <c r="Q20" i="78" s="1"/>
  <c r="H21" i="78"/>
  <c r="O21" i="78" s="1"/>
  <c r="Q21" i="78" s="1"/>
  <c r="H22" i="78"/>
  <c r="O22" i="78" s="1"/>
  <c r="Q22" i="78" s="1"/>
  <c r="H23" i="78"/>
  <c r="H24" i="78"/>
  <c r="H25" i="78"/>
  <c r="O25" i="78" s="1"/>
  <c r="Q25" i="78" s="1"/>
  <c r="H26" i="78"/>
  <c r="O26" i="78" s="1"/>
  <c r="Q26" i="78" s="1"/>
  <c r="H11" i="78"/>
  <c r="H9" i="78"/>
  <c r="H10" i="78"/>
  <c r="O10" i="78" s="1"/>
  <c r="Q10" i="78" s="1"/>
  <c r="H8" i="78"/>
  <c r="O8" i="78" s="1"/>
  <c r="G57" i="78"/>
  <c r="J57" i="78"/>
  <c r="I57" i="78"/>
  <c r="O56" i="78"/>
  <c r="K55" i="78"/>
  <c r="O55" i="78" s="1"/>
  <c r="O52" i="78"/>
  <c r="O51" i="78"/>
  <c r="O50" i="78"/>
  <c r="O49" i="78"/>
  <c r="O48" i="78"/>
  <c r="O45" i="78"/>
  <c r="O44" i="78"/>
  <c r="O43" i="78"/>
  <c r="O42" i="78"/>
  <c r="O41" i="78"/>
  <c r="O40" i="78"/>
  <c r="O39" i="78"/>
  <c r="O38" i="78"/>
  <c r="O37" i="78"/>
  <c r="O36" i="78"/>
  <c r="O35" i="78"/>
  <c r="O34" i="78"/>
  <c r="O33" i="78"/>
  <c r="O30" i="78"/>
  <c r="Q30" i="78" s="1"/>
  <c r="O29" i="78"/>
  <c r="Q29" i="78" s="1"/>
  <c r="O27" i="78"/>
  <c r="Q27" i="78" s="1"/>
  <c r="O24" i="78"/>
  <c r="Q24" i="78" s="1"/>
  <c r="O23" i="78"/>
  <c r="Q23" i="78" s="1"/>
  <c r="O19" i="78"/>
  <c r="Q19" i="78" s="1"/>
  <c r="O17" i="78"/>
  <c r="Q17" i="78" s="1"/>
  <c r="O16" i="78"/>
  <c r="Q16" i="78" s="1"/>
  <c r="O15" i="78"/>
  <c r="Q15" i="78" s="1"/>
  <c r="O12" i="78"/>
  <c r="Q12" i="78" s="1"/>
  <c r="O11" i="78"/>
  <c r="Q11" i="78" s="1"/>
  <c r="O9" i="78"/>
  <c r="Q9" i="78" s="1"/>
  <c r="P59" i="77"/>
  <c r="O57" i="78" l="1"/>
  <c r="Q57" i="78" s="1"/>
  <c r="Q8" i="78"/>
  <c r="H57" i="78"/>
  <c r="K57" i="78"/>
  <c r="L59" i="77"/>
  <c r="O55" i="77"/>
  <c r="O56" i="77"/>
  <c r="O51" i="77"/>
  <c r="O50" i="77"/>
  <c r="O49" i="77"/>
  <c r="O48" i="77"/>
  <c r="O47" i="77"/>
  <c r="K42" i="77"/>
  <c r="H32" i="77"/>
  <c r="H33" i="77"/>
  <c r="H34" i="77"/>
  <c r="H35" i="77"/>
  <c r="H31" i="77"/>
  <c r="H18" i="77"/>
  <c r="H19" i="77"/>
  <c r="H20" i="77"/>
  <c r="H21" i="77"/>
  <c r="H22" i="77"/>
  <c r="H23" i="77"/>
  <c r="H24" i="77"/>
  <c r="H25" i="77"/>
  <c r="H26" i="77"/>
  <c r="H27" i="77"/>
  <c r="H28" i="77"/>
  <c r="H29" i="77"/>
  <c r="H30" i="77"/>
  <c r="H16" i="77"/>
  <c r="H9" i="77"/>
  <c r="H11" i="77"/>
  <c r="H12" i="77"/>
  <c r="H14" i="77"/>
  <c r="H15" i="77"/>
  <c r="H8" i="77"/>
  <c r="J30" i="77" l="1"/>
  <c r="J16" i="77"/>
  <c r="O16" i="77" s="1"/>
  <c r="Q16" i="77" s="1"/>
  <c r="J13" i="77"/>
  <c r="O13" i="77" s="1"/>
  <c r="Q13" i="77" s="1"/>
  <c r="N59" i="77"/>
  <c r="M59" i="77"/>
  <c r="I59" i="77"/>
  <c r="H59" i="77"/>
  <c r="G59" i="77"/>
  <c r="O58" i="77"/>
  <c r="K57" i="77"/>
  <c r="K59" i="77" s="1"/>
  <c r="O52" i="77"/>
  <c r="O46" i="77"/>
  <c r="O45" i="77"/>
  <c r="O44" i="77"/>
  <c r="O43" i="77"/>
  <c r="O42" i="77"/>
  <c r="O41" i="77"/>
  <c r="O40" i="77"/>
  <c r="O39" i="77"/>
  <c r="O38" i="77"/>
  <c r="O37" i="77"/>
  <c r="O36" i="77"/>
  <c r="O35" i="77"/>
  <c r="Q35" i="77" s="1"/>
  <c r="O34" i="77"/>
  <c r="Q34" i="77" s="1"/>
  <c r="O33" i="77"/>
  <c r="Q33" i="77" s="1"/>
  <c r="O32" i="77"/>
  <c r="Q32" i="77" s="1"/>
  <c r="O31" i="77"/>
  <c r="Q31" i="77" s="1"/>
  <c r="O30" i="77"/>
  <c r="Q30" i="77" s="1"/>
  <c r="O29" i="77"/>
  <c r="Q29" i="77" s="1"/>
  <c r="O28" i="77"/>
  <c r="Q28" i="77" s="1"/>
  <c r="O27" i="77"/>
  <c r="Q27" i="77" s="1"/>
  <c r="O26" i="77"/>
  <c r="Q26" i="77" s="1"/>
  <c r="O25" i="77"/>
  <c r="Q25" i="77" s="1"/>
  <c r="O24" i="77"/>
  <c r="Q24" i="77" s="1"/>
  <c r="O23" i="77"/>
  <c r="Q23" i="77" s="1"/>
  <c r="O22" i="77"/>
  <c r="Q22" i="77" s="1"/>
  <c r="O21" i="77"/>
  <c r="Q21" i="77" s="1"/>
  <c r="O20" i="77"/>
  <c r="Q20" i="77" s="1"/>
  <c r="O19" i="77"/>
  <c r="Q19" i="77" s="1"/>
  <c r="Q18" i="77"/>
  <c r="O18" i="77"/>
  <c r="O17" i="77"/>
  <c r="Q17" i="77" s="1"/>
  <c r="O15" i="77"/>
  <c r="Q15" i="77" s="1"/>
  <c r="O14" i="77"/>
  <c r="Q14" i="77" s="1"/>
  <c r="O12" i="77"/>
  <c r="Q12" i="77" s="1"/>
  <c r="O11" i="77"/>
  <c r="Q11" i="77" s="1"/>
  <c r="O10" i="77"/>
  <c r="Q10" i="77" s="1"/>
  <c r="O9" i="77"/>
  <c r="Q9" i="77" s="1"/>
  <c r="O8" i="77"/>
  <c r="P51" i="76"/>
  <c r="O42" i="76"/>
  <c r="O43" i="76"/>
  <c r="O44" i="76"/>
  <c r="O45" i="76"/>
  <c r="O46" i="76"/>
  <c r="O47" i="76"/>
  <c r="O51" i="76" s="1"/>
  <c r="O48" i="76"/>
  <c r="Q8" i="77" l="1"/>
  <c r="O59" i="77"/>
  <c r="Q59" i="78" s="1"/>
  <c r="O57" i="77"/>
  <c r="J59" i="77"/>
  <c r="N51" i="76"/>
  <c r="M51" i="76"/>
  <c r="L51" i="76"/>
  <c r="J51" i="76"/>
  <c r="I51" i="76"/>
  <c r="O50" i="76"/>
  <c r="K49" i="76"/>
  <c r="O49" i="76" s="1"/>
  <c r="O41" i="76"/>
  <c r="O40" i="76"/>
  <c r="O39" i="76"/>
  <c r="O38" i="76"/>
  <c r="O37" i="76"/>
  <c r="H36" i="76"/>
  <c r="O36" i="76" s="1"/>
  <c r="Q36" i="76" s="1"/>
  <c r="H35" i="76"/>
  <c r="O35" i="76" s="1"/>
  <c r="Q35" i="76" s="1"/>
  <c r="H34" i="76"/>
  <c r="O34" i="76" s="1"/>
  <c r="Q34" i="76" s="1"/>
  <c r="H33" i="76"/>
  <c r="O33" i="76" s="1"/>
  <c r="Q33" i="76" s="1"/>
  <c r="H32" i="76"/>
  <c r="O32" i="76" s="1"/>
  <c r="Q32" i="76" s="1"/>
  <c r="H31" i="76"/>
  <c r="O31" i="76" s="1"/>
  <c r="Q31" i="76" s="1"/>
  <c r="G30" i="76"/>
  <c r="H30" i="76" s="1"/>
  <c r="O30" i="76" s="1"/>
  <c r="Q30" i="76" s="1"/>
  <c r="H29" i="76"/>
  <c r="O29" i="76" s="1"/>
  <c r="Q29" i="76" s="1"/>
  <c r="H28" i="76"/>
  <c r="O28" i="76" s="1"/>
  <c r="Q28" i="76" s="1"/>
  <c r="G27" i="76"/>
  <c r="H27" i="76" s="1"/>
  <c r="O27" i="76" s="1"/>
  <c r="Q27" i="76" s="1"/>
  <c r="H26" i="76"/>
  <c r="O26" i="76" s="1"/>
  <c r="Q26" i="76" s="1"/>
  <c r="H25" i="76"/>
  <c r="O25" i="76" s="1"/>
  <c r="Q25" i="76" s="1"/>
  <c r="G24" i="76"/>
  <c r="H24" i="76" s="1"/>
  <c r="O24" i="76" s="1"/>
  <c r="Q24" i="76" s="1"/>
  <c r="G23" i="76"/>
  <c r="H23" i="76" s="1"/>
  <c r="O23" i="76" s="1"/>
  <c r="Q23" i="76" s="1"/>
  <c r="G22" i="76"/>
  <c r="H22" i="76" s="1"/>
  <c r="O22" i="76" s="1"/>
  <c r="Q22" i="76" s="1"/>
  <c r="G21" i="76"/>
  <c r="H21" i="76" s="1"/>
  <c r="O21" i="76" s="1"/>
  <c r="Q21" i="76" s="1"/>
  <c r="G20" i="76"/>
  <c r="H20" i="76" s="1"/>
  <c r="O20" i="76" s="1"/>
  <c r="Q20" i="76" s="1"/>
  <c r="H19" i="76"/>
  <c r="O19" i="76" s="1"/>
  <c r="Q19" i="76" s="1"/>
  <c r="G19" i="76"/>
  <c r="G18" i="76"/>
  <c r="H18" i="76" s="1"/>
  <c r="O18" i="76" s="1"/>
  <c r="Q18" i="76" s="1"/>
  <c r="G17" i="76"/>
  <c r="H17" i="76" s="1"/>
  <c r="O17" i="76" s="1"/>
  <c r="Q17" i="76" s="1"/>
  <c r="O16" i="76"/>
  <c r="Q16" i="76" s="1"/>
  <c r="H16" i="76"/>
  <c r="H15" i="76"/>
  <c r="O15" i="76" s="1"/>
  <c r="Q15" i="76" s="1"/>
  <c r="H14" i="76"/>
  <c r="O14" i="76" s="1"/>
  <c r="Q14" i="76" s="1"/>
  <c r="H13" i="76"/>
  <c r="O13" i="76" s="1"/>
  <c r="Q13" i="76" s="1"/>
  <c r="H12" i="76"/>
  <c r="O12" i="76" s="1"/>
  <c r="Q12" i="76" s="1"/>
  <c r="H11" i="76"/>
  <c r="O11" i="76" s="1"/>
  <c r="Q11" i="76" s="1"/>
  <c r="H10" i="76"/>
  <c r="O10" i="76" s="1"/>
  <c r="Q10" i="76" s="1"/>
  <c r="H9" i="76"/>
  <c r="O9" i="76" s="1"/>
  <c r="Q9" i="76" s="1"/>
  <c r="H8" i="76"/>
  <c r="H51" i="76" l="1"/>
  <c r="O8" i="76"/>
  <c r="Q8" i="76" s="1"/>
  <c r="K51" i="76"/>
  <c r="G51" i="76"/>
  <c r="L46" i="75" l="1"/>
  <c r="G46" i="75"/>
  <c r="J11" i="75" l="1"/>
  <c r="O43" i="75" l="1"/>
  <c r="O45" i="75"/>
  <c r="K44" i="75"/>
  <c r="O44" i="75" s="1"/>
  <c r="J17" i="75"/>
  <c r="H33" i="75" l="1"/>
  <c r="H34" i="75"/>
  <c r="O34" i="75" s="1"/>
  <c r="Q34" i="75" s="1"/>
  <c r="H32" i="75"/>
  <c r="O32" i="75" s="1"/>
  <c r="Q32" i="75" s="1"/>
  <c r="H15" i="75"/>
  <c r="O15" i="75" s="1"/>
  <c r="Q15" i="75" s="1"/>
  <c r="H16" i="75"/>
  <c r="O16" i="75" s="1"/>
  <c r="Q16" i="75" s="1"/>
  <c r="H17" i="75"/>
  <c r="H18" i="75"/>
  <c r="O18" i="75" s="1"/>
  <c r="Q18" i="75" s="1"/>
  <c r="H19" i="75"/>
  <c r="O19" i="75" s="1"/>
  <c r="Q19" i="75" s="1"/>
  <c r="H20" i="75"/>
  <c r="O20" i="75" s="1"/>
  <c r="Q20" i="75" s="1"/>
  <c r="H21" i="75"/>
  <c r="O21" i="75" s="1"/>
  <c r="Q21" i="75" s="1"/>
  <c r="H22" i="75"/>
  <c r="O22" i="75" s="1"/>
  <c r="Q22" i="75" s="1"/>
  <c r="H23" i="75"/>
  <c r="O23" i="75" s="1"/>
  <c r="Q23" i="75" s="1"/>
  <c r="H24" i="75"/>
  <c r="O24" i="75" s="1"/>
  <c r="Q24" i="75" s="1"/>
  <c r="H25" i="75"/>
  <c r="H26" i="75"/>
  <c r="O26" i="75" s="1"/>
  <c r="Q26" i="75" s="1"/>
  <c r="H27" i="75"/>
  <c r="O27" i="75" s="1"/>
  <c r="Q27" i="75" s="1"/>
  <c r="H28" i="75"/>
  <c r="O28" i="75" s="1"/>
  <c r="Q28" i="75" s="1"/>
  <c r="H29" i="75"/>
  <c r="O29" i="75" s="1"/>
  <c r="Q29" i="75" s="1"/>
  <c r="H30" i="75"/>
  <c r="O30" i="75" s="1"/>
  <c r="Q30" i="75" s="1"/>
  <c r="H31" i="75"/>
  <c r="O31" i="75" s="1"/>
  <c r="Q31" i="75" s="1"/>
  <c r="H14" i="75"/>
  <c r="O14" i="75" s="1"/>
  <c r="Q14" i="75" s="1"/>
  <c r="H9" i="75"/>
  <c r="O9" i="75" s="1"/>
  <c r="Q9" i="75" s="1"/>
  <c r="H10" i="75"/>
  <c r="O10" i="75" s="1"/>
  <c r="Q10" i="75" s="1"/>
  <c r="H11" i="75"/>
  <c r="O11" i="75" s="1"/>
  <c r="Q11" i="75" s="1"/>
  <c r="H12" i="75"/>
  <c r="O12" i="75" s="1"/>
  <c r="Q12" i="75" s="1"/>
  <c r="H13" i="75"/>
  <c r="O13" i="75" s="1"/>
  <c r="Q13" i="75" s="1"/>
  <c r="H8" i="75"/>
  <c r="P46" i="75"/>
  <c r="N46" i="75"/>
  <c r="M46" i="75"/>
  <c r="J46" i="75"/>
  <c r="I46" i="75"/>
  <c r="K46" i="75"/>
  <c r="O42" i="75"/>
  <c r="O41" i="75"/>
  <c r="O40" i="75"/>
  <c r="O39" i="75"/>
  <c r="O38" i="75"/>
  <c r="O37" i="75"/>
  <c r="O33" i="75"/>
  <c r="Q33" i="75" s="1"/>
  <c r="O25" i="75"/>
  <c r="Q25" i="75" s="1"/>
  <c r="O17" i="75"/>
  <c r="Q17" i="75" s="1"/>
  <c r="H46" i="75" l="1"/>
  <c r="O8" i="75"/>
  <c r="Q8" i="75" s="1"/>
  <c r="L46" i="74"/>
  <c r="K44" i="74"/>
  <c r="K46" i="74" s="1"/>
  <c r="H35" i="74"/>
  <c r="H34" i="74"/>
  <c r="H31" i="74"/>
  <c r="H28" i="74"/>
  <c r="H25" i="74"/>
  <c r="H20" i="74"/>
  <c r="H16" i="74"/>
  <c r="H15" i="74"/>
  <c r="H14" i="74"/>
  <c r="H13" i="74"/>
  <c r="H12" i="74"/>
  <c r="H8" i="74"/>
  <c r="O46" i="75" l="1"/>
  <c r="Q46" i="75" s="1"/>
  <c r="P46" i="74"/>
  <c r="N46" i="74"/>
  <c r="M46" i="74"/>
  <c r="I46" i="74"/>
  <c r="G46" i="74"/>
  <c r="O45" i="74"/>
  <c r="O44" i="74"/>
  <c r="O43" i="74"/>
  <c r="O42" i="74"/>
  <c r="O41" i="74"/>
  <c r="O40" i="74"/>
  <c r="O39" i="74"/>
  <c r="O38" i="74"/>
  <c r="O35" i="74"/>
  <c r="Q35" i="74" s="1"/>
  <c r="O34" i="74"/>
  <c r="Q34" i="74" s="1"/>
  <c r="O33" i="74"/>
  <c r="Q33" i="74" s="1"/>
  <c r="O32" i="74"/>
  <c r="Q32" i="74" s="1"/>
  <c r="O31" i="74"/>
  <c r="Q31" i="74" s="1"/>
  <c r="O30" i="74"/>
  <c r="Q30" i="74" s="1"/>
  <c r="O29" i="74"/>
  <c r="Q29" i="74" s="1"/>
  <c r="O28" i="74"/>
  <c r="Q28" i="74" s="1"/>
  <c r="O27" i="74"/>
  <c r="Q27" i="74" s="1"/>
  <c r="O26" i="74"/>
  <c r="Q26" i="74" s="1"/>
  <c r="O25" i="74"/>
  <c r="Q25" i="74" s="1"/>
  <c r="O24" i="74"/>
  <c r="Q24" i="74" s="1"/>
  <c r="O23" i="74"/>
  <c r="Q23" i="74" s="1"/>
  <c r="O22" i="74"/>
  <c r="Q22" i="74" s="1"/>
  <c r="J46" i="74"/>
  <c r="O21" i="74"/>
  <c r="Q21" i="74" s="1"/>
  <c r="O20" i="74"/>
  <c r="Q20" i="74" s="1"/>
  <c r="O19" i="74"/>
  <c r="Q19" i="74" s="1"/>
  <c r="O18" i="74"/>
  <c r="Q18" i="74" s="1"/>
  <c r="O17" i="74"/>
  <c r="Q17" i="74" s="1"/>
  <c r="O16" i="74"/>
  <c r="Q16" i="74" s="1"/>
  <c r="O15" i="74"/>
  <c r="Q15" i="74" s="1"/>
  <c r="O14" i="74"/>
  <c r="Q14" i="74" s="1"/>
  <c r="O13" i="74"/>
  <c r="Q13" i="74" s="1"/>
  <c r="O12" i="74"/>
  <c r="Q12" i="74" s="1"/>
  <c r="O11" i="74"/>
  <c r="Q11" i="74" s="1"/>
  <c r="O10" i="74"/>
  <c r="Q10" i="74" s="1"/>
  <c r="O9" i="74"/>
  <c r="Q9" i="74" s="1"/>
  <c r="O8" i="74"/>
  <c r="O46" i="74" l="1"/>
  <c r="Q46" i="74" s="1"/>
  <c r="Q8" i="74"/>
  <c r="H46" i="74"/>
  <c r="K49" i="73" l="1"/>
  <c r="P50" i="73"/>
  <c r="N50" i="73"/>
  <c r="L50" i="73"/>
  <c r="J21" i="73" l="1"/>
  <c r="H35" i="73"/>
  <c r="H20" i="73"/>
  <c r="H21" i="73"/>
  <c r="H22" i="73"/>
  <c r="H23" i="73"/>
  <c r="H24" i="73"/>
  <c r="H25" i="73"/>
  <c r="H26" i="73"/>
  <c r="H27" i="73"/>
  <c r="H28" i="73"/>
  <c r="H29" i="73"/>
  <c r="H30" i="73"/>
  <c r="H31" i="73"/>
  <c r="H32" i="73"/>
  <c r="H33" i="73"/>
  <c r="H19" i="73"/>
  <c r="H9" i="73"/>
  <c r="O9" i="73" s="1"/>
  <c r="H10" i="73"/>
  <c r="H11" i="73"/>
  <c r="H12" i="73"/>
  <c r="H13" i="73"/>
  <c r="H14" i="73"/>
  <c r="H15" i="73"/>
  <c r="H16" i="73"/>
  <c r="H17" i="73"/>
  <c r="H18" i="73"/>
  <c r="H8" i="73"/>
  <c r="O8" i="73" s="1"/>
  <c r="Q9" i="73" l="1"/>
  <c r="O10" i="73"/>
  <c r="Q10" i="73" s="1"/>
  <c r="O11" i="73"/>
  <c r="Q11" i="73" s="1"/>
  <c r="O12" i="73"/>
  <c r="Q12" i="73" s="1"/>
  <c r="O13" i="73"/>
  <c r="Q13" i="73" s="1"/>
  <c r="O14" i="73"/>
  <c r="Q14" i="73" s="1"/>
  <c r="O15" i="73"/>
  <c r="Q15" i="73" s="1"/>
  <c r="O16" i="73"/>
  <c r="Q16" i="73" s="1"/>
  <c r="O17" i="73"/>
  <c r="Q17" i="73" s="1"/>
  <c r="O18" i="73"/>
  <c r="Q18" i="73" s="1"/>
  <c r="O19" i="73"/>
  <c r="Q19" i="73" s="1"/>
  <c r="O20" i="73"/>
  <c r="Q20" i="73" s="1"/>
  <c r="O21" i="73"/>
  <c r="Q21" i="73" s="1"/>
  <c r="O22" i="73"/>
  <c r="Q22" i="73" s="1"/>
  <c r="O23" i="73"/>
  <c r="Q23" i="73" s="1"/>
  <c r="O24" i="73"/>
  <c r="Q24" i="73" s="1"/>
  <c r="O25" i="73"/>
  <c r="Q25" i="73" s="1"/>
  <c r="M50" i="73"/>
  <c r="J50" i="73"/>
  <c r="I50" i="73"/>
  <c r="G50" i="73"/>
  <c r="O49" i="73"/>
  <c r="K50" i="73"/>
  <c r="O48" i="73"/>
  <c r="O47" i="73"/>
  <c r="O46" i="73"/>
  <c r="O45" i="73"/>
  <c r="O44" i="73"/>
  <c r="O43" i="73"/>
  <c r="O42" i="73"/>
  <c r="O41" i="73"/>
  <c r="O40" i="73"/>
  <c r="O39" i="73"/>
  <c r="O38" i="73"/>
  <c r="O35" i="73"/>
  <c r="Q35" i="73" s="1"/>
  <c r="O34" i="73"/>
  <c r="Q34" i="73" s="1"/>
  <c r="O33" i="73"/>
  <c r="Q33" i="73" s="1"/>
  <c r="O32" i="73"/>
  <c r="Q32" i="73" s="1"/>
  <c r="O31" i="73"/>
  <c r="Q31" i="73" s="1"/>
  <c r="O30" i="73"/>
  <c r="Q30" i="73" s="1"/>
  <c r="O29" i="73"/>
  <c r="Q29" i="73" s="1"/>
  <c r="O28" i="73"/>
  <c r="Q28" i="73" s="1"/>
  <c r="O27" i="73"/>
  <c r="Q27" i="73" s="1"/>
  <c r="O26" i="73"/>
  <c r="Q26" i="73" s="1"/>
  <c r="Q8" i="73"/>
  <c r="O50" i="73" l="1"/>
  <c r="Q50" i="73" s="1"/>
  <c r="H50" i="73"/>
  <c r="K33" i="71"/>
  <c r="O23" i="71" l="1"/>
  <c r="P35" i="71"/>
  <c r="O24" i="71"/>
  <c r="O25" i="71"/>
  <c r="O26" i="71"/>
  <c r="O27" i="71"/>
  <c r="O28" i="71"/>
  <c r="O29" i="71"/>
  <c r="O30" i="71"/>
  <c r="O31" i="71"/>
  <c r="O32" i="71"/>
  <c r="P18" i="72" l="1"/>
  <c r="N18" i="72"/>
  <c r="M18" i="72"/>
  <c r="L18" i="72"/>
  <c r="J18" i="72"/>
  <c r="I18" i="72"/>
  <c r="G18" i="72"/>
  <c r="Q17" i="72"/>
  <c r="K16" i="72"/>
  <c r="K18" i="72" s="1"/>
  <c r="O15" i="72"/>
  <c r="Q14" i="72"/>
  <c r="Q13" i="72"/>
  <c r="H12" i="72"/>
  <c r="O12" i="72" s="1"/>
  <c r="Q12" i="72" s="1"/>
  <c r="O11" i="72"/>
  <c r="Q11" i="72" s="1"/>
  <c r="O10" i="72"/>
  <c r="Q10" i="72" s="1"/>
  <c r="O9" i="72"/>
  <c r="Q9" i="72" s="1"/>
  <c r="H8" i="72"/>
  <c r="O8" i="72" s="1"/>
  <c r="Q8" i="72" s="1"/>
  <c r="O7" i="72"/>
  <c r="Q7" i="72" s="1"/>
  <c r="H18" i="72" l="1"/>
  <c r="O16" i="72"/>
  <c r="O18" i="72" s="1"/>
  <c r="Q18" i="72" s="1"/>
  <c r="G35" i="71"/>
  <c r="J35" i="71"/>
  <c r="H17" i="71" l="1"/>
  <c r="O9" i="71"/>
  <c r="Q9" i="71" s="1"/>
  <c r="H11" i="71"/>
  <c r="H13" i="71"/>
  <c r="O13" i="71" s="1"/>
  <c r="Q13" i="71" s="1"/>
  <c r="H15" i="71"/>
  <c r="O15" i="71" s="1"/>
  <c r="Q15" i="71" s="1"/>
  <c r="H8" i="71"/>
  <c r="O8" i="71" s="1"/>
  <c r="O10" i="71"/>
  <c r="Q10" i="71" s="1"/>
  <c r="O12" i="71"/>
  <c r="Q12" i="71" s="1"/>
  <c r="O14" i="71"/>
  <c r="Q14" i="71" s="1"/>
  <c r="Q8" i="71" l="1"/>
  <c r="O11" i="71"/>
  <c r="Q11" i="71" s="1"/>
  <c r="H35" i="71"/>
  <c r="K35" i="71" l="1"/>
  <c r="O19" i="71" l="1"/>
  <c r="H32" i="70"/>
  <c r="N35" i="71"/>
  <c r="M35" i="71"/>
  <c r="L35" i="71"/>
  <c r="I35" i="71"/>
  <c r="O33" i="71"/>
  <c r="O22" i="71"/>
  <c r="O18" i="71"/>
  <c r="Q18" i="71" s="1"/>
  <c r="O17" i="71"/>
  <c r="Q17" i="71" s="1"/>
  <c r="O7" i="71"/>
  <c r="Q7" i="71" s="1"/>
  <c r="Q19" i="71" l="1"/>
  <c r="O16" i="71"/>
  <c r="Q16" i="71" l="1"/>
  <c r="O35" i="71"/>
  <c r="Q35" i="71" s="1"/>
  <c r="O42" i="70"/>
  <c r="O41" i="70"/>
  <c r="O40" i="70"/>
  <c r="K43" i="70"/>
  <c r="O43" i="70" s="1"/>
  <c r="H30" i="70" l="1"/>
  <c r="H18" i="70"/>
  <c r="O18" i="70" s="1"/>
  <c r="Q18" i="70" s="1"/>
  <c r="H19" i="70"/>
  <c r="O19" i="70" s="1"/>
  <c r="Q19" i="70" s="1"/>
  <c r="H23" i="70"/>
  <c r="O23" i="70" s="1"/>
  <c r="Q23" i="70" s="1"/>
  <c r="H25" i="70"/>
  <c r="O25" i="70" s="1"/>
  <c r="Q25" i="70" s="1"/>
  <c r="H28" i="70"/>
  <c r="O28" i="70" s="1"/>
  <c r="Q28" i="70" s="1"/>
  <c r="H16" i="70"/>
  <c r="O16" i="70" s="1"/>
  <c r="Q16" i="70" s="1"/>
  <c r="H11" i="70"/>
  <c r="O11" i="70" s="1"/>
  <c r="Q11" i="70" s="1"/>
  <c r="H13" i="70"/>
  <c r="O13" i="70" s="1"/>
  <c r="Q13" i="70" s="1"/>
  <c r="H14" i="70"/>
  <c r="O14" i="70" s="1"/>
  <c r="Q14" i="70" s="1"/>
  <c r="H9" i="70"/>
  <c r="O32" i="70"/>
  <c r="Q32" i="70" s="1"/>
  <c r="J45" i="70"/>
  <c r="P45" i="70"/>
  <c r="N45" i="70"/>
  <c r="M45" i="70"/>
  <c r="L45" i="70"/>
  <c r="K45" i="70"/>
  <c r="I45" i="70"/>
  <c r="G45" i="70"/>
  <c r="O39" i="70"/>
  <c r="O38" i="70"/>
  <c r="O37" i="70"/>
  <c r="O36" i="70"/>
  <c r="O35" i="70"/>
  <c r="O34" i="70"/>
  <c r="O33" i="70"/>
  <c r="O31" i="70"/>
  <c r="Q31" i="70" s="1"/>
  <c r="O30" i="70"/>
  <c r="Q30" i="70" s="1"/>
  <c r="O29" i="70"/>
  <c r="Q29" i="70" s="1"/>
  <c r="O27" i="70"/>
  <c r="Q27" i="70" s="1"/>
  <c r="O26" i="70"/>
  <c r="Q26" i="70" s="1"/>
  <c r="O24" i="70"/>
  <c r="Q24" i="70" s="1"/>
  <c r="O22" i="70"/>
  <c r="Q22" i="70" s="1"/>
  <c r="O21" i="70"/>
  <c r="Q21" i="70" s="1"/>
  <c r="O20" i="70"/>
  <c r="Q20" i="70" s="1"/>
  <c r="O17" i="70"/>
  <c r="Q17" i="70" s="1"/>
  <c r="O15" i="70"/>
  <c r="Q15" i="70" s="1"/>
  <c r="O12" i="70"/>
  <c r="Q12" i="70" s="1"/>
  <c r="O10" i="70"/>
  <c r="Q10" i="70" s="1"/>
  <c r="O8" i="70"/>
  <c r="O7" i="70"/>
  <c r="Q7" i="70" s="1"/>
  <c r="Q8" i="70" l="1"/>
  <c r="H45" i="70"/>
  <c r="O9" i="70"/>
  <c r="Q9" i="70" s="1"/>
  <c r="P44" i="69"/>
  <c r="O40" i="69"/>
  <c r="O37" i="69"/>
  <c r="O36" i="69"/>
  <c r="O45" i="70" l="1"/>
  <c r="Q45" i="70" s="1"/>
  <c r="Q47" i="70" s="1"/>
  <c r="Q20" i="72" s="1"/>
  <c r="Q37" i="71" s="1"/>
  <c r="Q52" i="73" s="1"/>
  <c r="Q48" i="74" s="1"/>
  <c r="Q48" i="75" s="1"/>
  <c r="O34" i="69"/>
  <c r="O35" i="69"/>
  <c r="O38" i="69"/>
  <c r="O39" i="69"/>
  <c r="O41" i="69"/>
  <c r="O42" i="69"/>
  <c r="O33" i="69"/>
  <c r="H30" i="69" l="1"/>
  <c r="O30" i="69" s="1"/>
  <c r="Q30" i="69" s="1"/>
  <c r="H31" i="69"/>
  <c r="O31" i="69" s="1"/>
  <c r="Q31" i="69" s="1"/>
  <c r="H27" i="69"/>
  <c r="O27" i="69" s="1"/>
  <c r="Q27" i="69" s="1"/>
  <c r="H22" i="69"/>
  <c r="O22" i="69" s="1"/>
  <c r="Q22" i="69" s="1"/>
  <c r="H24" i="69"/>
  <c r="O24" i="69" s="1"/>
  <c r="Q24" i="69" s="1"/>
  <c r="H25" i="69"/>
  <c r="O25" i="69" s="1"/>
  <c r="Q25" i="69" s="1"/>
  <c r="H18" i="69"/>
  <c r="O18" i="69" s="1"/>
  <c r="Q18" i="69" s="1"/>
  <c r="H16" i="69"/>
  <c r="O16" i="69" s="1"/>
  <c r="Q16" i="69" s="1"/>
  <c r="H11" i="69"/>
  <c r="H10" i="69"/>
  <c r="O10" i="69" s="1"/>
  <c r="Q10" i="69" s="1"/>
  <c r="H8" i="69"/>
  <c r="O8" i="69" s="1"/>
  <c r="G44" i="69"/>
  <c r="O9" i="69"/>
  <c r="Q9" i="69" s="1"/>
  <c r="O11" i="69"/>
  <c r="Q11" i="69" s="1"/>
  <c r="O12" i="69"/>
  <c r="Q12" i="69" s="1"/>
  <c r="O13" i="69"/>
  <c r="Q13" i="69" s="1"/>
  <c r="O14" i="69"/>
  <c r="Q14" i="69" s="1"/>
  <c r="O15" i="69"/>
  <c r="Q15" i="69" s="1"/>
  <c r="O17" i="69"/>
  <c r="Q17" i="69" s="1"/>
  <c r="O19" i="69"/>
  <c r="Q19" i="69" s="1"/>
  <c r="O20" i="69"/>
  <c r="Q20" i="69" s="1"/>
  <c r="O21" i="69"/>
  <c r="Q21" i="69" s="1"/>
  <c r="O23" i="69"/>
  <c r="Q23" i="69" s="1"/>
  <c r="O26" i="69"/>
  <c r="Q26" i="69" s="1"/>
  <c r="O28" i="69"/>
  <c r="Q28" i="69" s="1"/>
  <c r="O29" i="69"/>
  <c r="Q29" i="69" s="1"/>
  <c r="N44" i="69"/>
  <c r="M44" i="69"/>
  <c r="L44" i="69"/>
  <c r="J44" i="69"/>
  <c r="I44" i="69"/>
  <c r="K44" i="69"/>
  <c r="O7" i="69"/>
  <c r="Q7" i="69" l="1"/>
  <c r="O44" i="69"/>
  <c r="Q8" i="69"/>
  <c r="Q44" i="69"/>
  <c r="H44" i="69"/>
  <c r="K36" i="68"/>
  <c r="P38" i="68" l="1"/>
  <c r="O35" i="68"/>
  <c r="K41" i="67"/>
  <c r="G38" i="68" l="1"/>
  <c r="P43" i="67" l="1"/>
  <c r="H28" i="68" l="1"/>
  <c r="O28" i="68" s="1"/>
  <c r="Q28" i="68" s="1"/>
  <c r="H17" i="68"/>
  <c r="O17" i="68" s="1"/>
  <c r="Q17" i="68" s="1"/>
  <c r="H19" i="68"/>
  <c r="O19" i="68" s="1"/>
  <c r="Q19" i="68" s="1"/>
  <c r="H22" i="68"/>
  <c r="O22" i="68" s="1"/>
  <c r="Q22" i="68" s="1"/>
  <c r="H24" i="68"/>
  <c r="O24" i="68" s="1"/>
  <c r="Q24" i="68" s="1"/>
  <c r="H26" i="68"/>
  <c r="O26" i="68" s="1"/>
  <c r="Q26" i="68" s="1"/>
  <c r="H15" i="68"/>
  <c r="H13" i="68"/>
  <c r="H12" i="68"/>
  <c r="O12" i="68" s="1"/>
  <c r="Q12" i="68" s="1"/>
  <c r="H8" i="68"/>
  <c r="N38" i="68"/>
  <c r="M38" i="68"/>
  <c r="L38" i="68"/>
  <c r="J38" i="68"/>
  <c r="I38" i="68"/>
  <c r="K38" i="68"/>
  <c r="O34" i="68"/>
  <c r="O33" i="68"/>
  <c r="O32" i="68"/>
  <c r="O31" i="68"/>
  <c r="O30" i="68"/>
  <c r="O27" i="68"/>
  <c r="Q27" i="68" s="1"/>
  <c r="O25" i="68"/>
  <c r="Q25" i="68" s="1"/>
  <c r="O23" i="68"/>
  <c r="Q23" i="68" s="1"/>
  <c r="O21" i="68"/>
  <c r="Q21" i="68" s="1"/>
  <c r="O20" i="68"/>
  <c r="Q20" i="68" s="1"/>
  <c r="O18" i="68"/>
  <c r="Q18" i="68" s="1"/>
  <c r="O16" i="68"/>
  <c r="Q16" i="68" s="1"/>
  <c r="O14" i="68"/>
  <c r="Q14" i="68" s="1"/>
  <c r="O13" i="68"/>
  <c r="Q13" i="68" s="1"/>
  <c r="O11" i="68"/>
  <c r="Q11" i="68" s="1"/>
  <c r="O10" i="68"/>
  <c r="Q10" i="68" s="1"/>
  <c r="O9" i="68"/>
  <c r="Q9" i="68" s="1"/>
  <c r="O8" i="68"/>
  <c r="Q8" i="68" s="1"/>
  <c r="O7" i="68"/>
  <c r="Q7" i="68" s="1"/>
  <c r="H38" i="68" l="1"/>
  <c r="O36" i="68"/>
  <c r="O38" i="68" s="1"/>
  <c r="Q38" i="68" s="1"/>
  <c r="O15" i="68"/>
  <c r="Q15" i="68" s="1"/>
  <c r="O35" i="67"/>
  <c r="O36" i="67"/>
  <c r="O37" i="67"/>
  <c r="O38" i="67"/>
  <c r="O39" i="67"/>
  <c r="O40" i="67"/>
  <c r="O41" i="67"/>
  <c r="H25" i="67"/>
  <c r="H32" i="67"/>
  <c r="O32" i="67" s="1"/>
  <c r="Q32" i="67" s="1"/>
  <c r="H30" i="67"/>
  <c r="O8" i="67"/>
  <c r="Q8" i="67" s="1"/>
  <c r="H10" i="67"/>
  <c r="O10" i="67" s="1"/>
  <c r="Q10" i="67" s="1"/>
  <c r="O12" i="67"/>
  <c r="Q12" i="67" s="1"/>
  <c r="H14" i="67"/>
  <c r="O14" i="67" s="1"/>
  <c r="Q14" i="67" s="1"/>
  <c r="H15" i="67"/>
  <c r="O15" i="67" s="1"/>
  <c r="Q15" i="67" s="1"/>
  <c r="O16" i="67"/>
  <c r="Q16" i="67" s="1"/>
  <c r="H18" i="67"/>
  <c r="O18" i="67" s="1"/>
  <c r="Q18" i="67" s="1"/>
  <c r="O20" i="67"/>
  <c r="Q20" i="67" s="1"/>
  <c r="H21" i="67"/>
  <c r="O21" i="67" s="1"/>
  <c r="Q21" i="67" s="1"/>
  <c r="O22" i="67"/>
  <c r="Q22" i="67" s="1"/>
  <c r="O24" i="67"/>
  <c r="Q24" i="67" s="1"/>
  <c r="O26" i="67"/>
  <c r="Q26" i="67" s="1"/>
  <c r="H27" i="67"/>
  <c r="O27" i="67" s="1"/>
  <c r="Q27" i="67" s="1"/>
  <c r="O28" i="67"/>
  <c r="Q28" i="67" s="1"/>
  <c r="H29" i="67"/>
  <c r="O29" i="67" s="1"/>
  <c r="Q29" i="67" s="1"/>
  <c r="H7" i="67"/>
  <c r="N43" i="67"/>
  <c r="M43" i="67"/>
  <c r="L43" i="67"/>
  <c r="J43" i="67"/>
  <c r="I43" i="67"/>
  <c r="G43" i="67"/>
  <c r="O34" i="67"/>
  <c r="O31" i="67"/>
  <c r="Q31" i="67" s="1"/>
  <c r="O30" i="67"/>
  <c r="Q30" i="67" s="1"/>
  <c r="O25" i="67"/>
  <c r="Q25" i="67" s="1"/>
  <c r="O23" i="67"/>
  <c r="Q23" i="67" s="1"/>
  <c r="O19" i="67"/>
  <c r="Q19" i="67" s="1"/>
  <c r="O17" i="67"/>
  <c r="Q17" i="67" s="1"/>
  <c r="O13" i="67"/>
  <c r="Q13" i="67" s="1"/>
  <c r="O11" i="67"/>
  <c r="Q11" i="67" s="1"/>
  <c r="O9" i="67"/>
  <c r="Q9" i="67" s="1"/>
  <c r="H43" i="67" l="1"/>
  <c r="K43" i="67"/>
  <c r="O7" i="67"/>
  <c r="Q7" i="67" s="1"/>
  <c r="P44" i="66"/>
  <c r="O43" i="67" l="1"/>
  <c r="Q43" i="67" s="1"/>
  <c r="K42" i="66"/>
  <c r="O7" i="66" l="1"/>
  <c r="Q7" i="66" l="1"/>
  <c r="K44" i="66" l="1"/>
  <c r="O14" i="66"/>
  <c r="Q14" i="66" s="1"/>
  <c r="O15" i="66"/>
  <c r="Q15" i="66" s="1"/>
  <c r="O17" i="66"/>
  <c r="Q17" i="66" s="1"/>
  <c r="O18" i="66"/>
  <c r="Q18" i="66" s="1"/>
  <c r="O19" i="66"/>
  <c r="Q19" i="66" s="1"/>
  <c r="O21" i="66"/>
  <c r="Q21" i="66" s="1"/>
  <c r="O23" i="66"/>
  <c r="Q23" i="66" s="1"/>
  <c r="O25" i="66"/>
  <c r="Q25" i="66" s="1"/>
  <c r="O27" i="66"/>
  <c r="Q27" i="66" s="1"/>
  <c r="O28" i="66"/>
  <c r="Q28" i="66" s="1"/>
  <c r="O29" i="66"/>
  <c r="Q29" i="66" s="1"/>
  <c r="O31" i="66"/>
  <c r="Q31" i="66" s="1"/>
  <c r="O32" i="66"/>
  <c r="Q32" i="66" s="1"/>
  <c r="O33" i="66"/>
  <c r="Q33" i="66" s="1"/>
  <c r="O36" i="66"/>
  <c r="Q36" i="66" s="1"/>
  <c r="H35" i="66" l="1"/>
  <c r="O35" i="66" s="1"/>
  <c r="Q35" i="66" s="1"/>
  <c r="H34" i="66"/>
  <c r="H22" i="66"/>
  <c r="O22" i="66" s="1"/>
  <c r="Q22" i="66" s="1"/>
  <c r="H24" i="66"/>
  <c r="H26" i="66"/>
  <c r="O26" i="66" s="1"/>
  <c r="Q26" i="66" s="1"/>
  <c r="H30" i="66"/>
  <c r="H20" i="66"/>
  <c r="O20" i="66" s="1"/>
  <c r="Q20" i="66" s="1"/>
  <c r="H16" i="66"/>
  <c r="H13" i="66"/>
  <c r="O13" i="66" s="1"/>
  <c r="Q13" i="66" s="1"/>
  <c r="H9" i="66"/>
  <c r="N44" i="66"/>
  <c r="M44" i="66"/>
  <c r="L44" i="66"/>
  <c r="J44" i="66"/>
  <c r="I44" i="66"/>
  <c r="G44" i="66"/>
  <c r="O43" i="66"/>
  <c r="O42" i="66"/>
  <c r="O41" i="66"/>
  <c r="O40" i="66"/>
  <c r="O39" i="66"/>
  <c r="O38" i="66"/>
  <c r="O12" i="66"/>
  <c r="Q12" i="66" s="1"/>
  <c r="O11" i="66"/>
  <c r="Q11" i="66" s="1"/>
  <c r="O10" i="66"/>
  <c r="Q10" i="66" s="1"/>
  <c r="O8" i="66"/>
  <c r="Q8" i="66" s="1"/>
  <c r="O16" i="66" l="1"/>
  <c r="Q16" i="66" s="1"/>
  <c r="O30" i="66"/>
  <c r="Q30" i="66" s="1"/>
  <c r="O24" i="66"/>
  <c r="Q24" i="66" s="1"/>
  <c r="O34" i="66"/>
  <c r="Q34" i="66" s="1"/>
  <c r="H44" i="66"/>
  <c r="O9" i="66"/>
  <c r="Q9" i="66" s="1"/>
  <c r="O40" i="65"/>
  <c r="L43" i="65"/>
  <c r="O44" i="66" l="1"/>
  <c r="Q44" i="66" s="1"/>
  <c r="P43" i="65"/>
  <c r="O23" i="65" l="1"/>
  <c r="Q23" i="65" s="1"/>
  <c r="O26" i="65"/>
  <c r="Q26" i="65" s="1"/>
  <c r="O27" i="65"/>
  <c r="Q27" i="65" s="1"/>
  <c r="O29" i="65"/>
  <c r="Q29" i="65" s="1"/>
  <c r="O31" i="65"/>
  <c r="Q31" i="65" s="1"/>
  <c r="J25" i="65"/>
  <c r="O25" i="65" s="1"/>
  <c r="Q25" i="65" s="1"/>
  <c r="H32" i="65"/>
  <c r="O32" i="65" s="1"/>
  <c r="Q32" i="65" s="1"/>
  <c r="H20" i="65"/>
  <c r="O20" i="65" s="1"/>
  <c r="Q20" i="65" s="1"/>
  <c r="H22" i="65"/>
  <c r="O22" i="65" s="1"/>
  <c r="Q22" i="65" s="1"/>
  <c r="H24" i="65"/>
  <c r="O24" i="65" s="1"/>
  <c r="Q24" i="65" s="1"/>
  <c r="H28" i="65"/>
  <c r="O28" i="65" s="1"/>
  <c r="Q28" i="65" s="1"/>
  <c r="H30" i="65"/>
  <c r="O30" i="65" s="1"/>
  <c r="Q30" i="65" s="1"/>
  <c r="H19" i="65"/>
  <c r="O19" i="65" s="1"/>
  <c r="Q19" i="65" s="1"/>
  <c r="H13" i="65"/>
  <c r="O13" i="65" s="1"/>
  <c r="Q13" i="65" s="1"/>
  <c r="H15" i="65"/>
  <c r="O15" i="65" s="1"/>
  <c r="Q15" i="65" s="1"/>
  <c r="H11" i="65"/>
  <c r="O11" i="65" s="1"/>
  <c r="Q11" i="65" s="1"/>
  <c r="N43" i="65"/>
  <c r="M43" i="65"/>
  <c r="K43" i="65"/>
  <c r="I43" i="65"/>
  <c r="G43" i="65"/>
  <c r="O42" i="65"/>
  <c r="O41" i="65"/>
  <c r="O39" i="65"/>
  <c r="O38" i="65"/>
  <c r="O37" i="65"/>
  <c r="O36" i="65"/>
  <c r="O35" i="65"/>
  <c r="O34" i="65"/>
  <c r="O21" i="65"/>
  <c r="Q21" i="65" s="1"/>
  <c r="O18" i="65"/>
  <c r="Q18" i="65" s="1"/>
  <c r="O17" i="65"/>
  <c r="Q17" i="65" s="1"/>
  <c r="O16" i="65"/>
  <c r="Q16" i="65" s="1"/>
  <c r="O14" i="65"/>
  <c r="Q14" i="65" s="1"/>
  <c r="O12" i="65"/>
  <c r="Q12" i="65" s="1"/>
  <c r="O10" i="65"/>
  <c r="Q10" i="65" s="1"/>
  <c r="O9" i="65"/>
  <c r="O8" i="65"/>
  <c r="Q8" i="65" s="1"/>
  <c r="O7" i="65"/>
  <c r="O43" i="65" l="1"/>
  <c r="Q9" i="65"/>
  <c r="J43" i="65"/>
  <c r="H43" i="65"/>
  <c r="Q7" i="65"/>
  <c r="O38" i="64"/>
  <c r="Q43" i="65" l="1"/>
  <c r="P43" i="64"/>
  <c r="M43" i="64"/>
  <c r="L43" i="64"/>
  <c r="K43" i="64"/>
  <c r="O40" i="64"/>
  <c r="O8" i="64"/>
  <c r="Q8" i="64" s="1"/>
  <c r="O9" i="64" l="1"/>
  <c r="O10" i="64"/>
  <c r="O14" i="64"/>
  <c r="O16" i="64"/>
  <c r="O17" i="64"/>
  <c r="O19" i="64"/>
  <c r="O20" i="64"/>
  <c r="O22" i="64"/>
  <c r="O23" i="64"/>
  <c r="O26" i="64"/>
  <c r="Q26" i="64" s="1"/>
  <c r="O32" i="64" l="1"/>
  <c r="O33" i="64"/>
  <c r="O34" i="64"/>
  <c r="O35" i="64"/>
  <c r="O36" i="64"/>
  <c r="O37" i="64"/>
  <c r="O39" i="64"/>
  <c r="O41" i="64"/>
  <c r="O31" i="64"/>
  <c r="J11" i="64"/>
  <c r="H29" i="64"/>
  <c r="O29" i="64" s="1"/>
  <c r="Q29" i="64" s="1"/>
  <c r="H28" i="64"/>
  <c r="O28" i="64" s="1"/>
  <c r="H12" i="64"/>
  <c r="H13" i="64"/>
  <c r="O13" i="64" s="1"/>
  <c r="Q13" i="64" s="1"/>
  <c r="H15" i="64"/>
  <c r="O15" i="64" s="1"/>
  <c r="Q15" i="64" s="1"/>
  <c r="H18" i="64"/>
  <c r="H21" i="64"/>
  <c r="O21" i="64" s="1"/>
  <c r="H24" i="64"/>
  <c r="H25" i="64"/>
  <c r="O25" i="64" s="1"/>
  <c r="Q25" i="64" s="1"/>
  <c r="H27" i="64"/>
  <c r="O27" i="64" s="1"/>
  <c r="Q27" i="64" s="1"/>
  <c r="H7" i="64"/>
  <c r="O7" i="64" s="1"/>
  <c r="Q7" i="64" s="1"/>
  <c r="N43" i="64"/>
  <c r="I43" i="64"/>
  <c r="G43" i="64"/>
  <c r="O42" i="64"/>
  <c r="Q23" i="64"/>
  <c r="Q22" i="64"/>
  <c r="Q21" i="64"/>
  <c r="Q20" i="64"/>
  <c r="Q19" i="64"/>
  <c r="Q17" i="64"/>
  <c r="Q16" i="64"/>
  <c r="Q14" i="64"/>
  <c r="Q10" i="64"/>
  <c r="J43" i="64" l="1"/>
  <c r="O11" i="64"/>
  <c r="Q11" i="64" s="1"/>
  <c r="H43" i="64"/>
  <c r="O12" i="64"/>
  <c r="O24" i="64"/>
  <c r="Q24" i="64" s="1"/>
  <c r="O18" i="64"/>
  <c r="Q18" i="64" s="1"/>
  <c r="Q28" i="64"/>
  <c r="Q9" i="64"/>
  <c r="O27" i="63"/>
  <c r="O43" i="64" l="1"/>
  <c r="Q43" i="64" s="1"/>
  <c r="Q12" i="64"/>
  <c r="P38" i="63"/>
  <c r="O34" i="63"/>
  <c r="O35" i="63"/>
  <c r="O36" i="63"/>
  <c r="O32" i="63"/>
  <c r="K38" i="63"/>
  <c r="Q27" i="63" l="1"/>
  <c r="O7" i="63" l="1"/>
  <c r="J28" i="63"/>
  <c r="O28" i="63" s="1"/>
  <c r="Q28" i="63" s="1"/>
  <c r="H29" i="63"/>
  <c r="H20" i="63"/>
  <c r="H23" i="63"/>
  <c r="H26" i="63"/>
  <c r="H18" i="63"/>
  <c r="H11" i="63"/>
  <c r="H15" i="63"/>
  <c r="H9" i="63"/>
  <c r="Q36" i="62"/>
  <c r="P34" i="62"/>
  <c r="N34" i="62"/>
  <c r="M34" i="62"/>
  <c r="L34" i="62"/>
  <c r="K34" i="62"/>
  <c r="I34" i="62"/>
  <c r="G34" i="62"/>
  <c r="O33" i="62"/>
  <c r="Q33" i="62" s="1"/>
  <c r="O32" i="62"/>
  <c r="Q32" i="62" s="1"/>
  <c r="O31" i="62"/>
  <c r="Q31" i="62" s="1"/>
  <c r="O30" i="62"/>
  <c r="Q30" i="62" s="1"/>
  <c r="O29" i="62"/>
  <c r="Q29" i="62" s="1"/>
  <c r="H28" i="62"/>
  <c r="O28" i="62" s="1"/>
  <c r="Q28" i="62" s="1"/>
  <c r="O27" i="62"/>
  <c r="Q27" i="62" s="1"/>
  <c r="J26" i="62"/>
  <c r="O26" i="62" s="1"/>
  <c r="Q26" i="62" s="1"/>
  <c r="H25" i="62"/>
  <c r="O25" i="62" s="1"/>
  <c r="Q25" i="62" s="1"/>
  <c r="O24" i="62"/>
  <c r="Q24" i="62" s="1"/>
  <c r="J23" i="62"/>
  <c r="O23" i="62" s="1"/>
  <c r="Q23" i="62" s="1"/>
  <c r="H22" i="62"/>
  <c r="O22" i="62" s="1"/>
  <c r="Q22" i="62" s="1"/>
  <c r="O21" i="62"/>
  <c r="Q21" i="62" s="1"/>
  <c r="O20" i="62"/>
  <c r="Q20" i="62" s="1"/>
  <c r="H19" i="62"/>
  <c r="O19" i="62" s="1"/>
  <c r="Q19" i="62" s="1"/>
  <c r="O18" i="62"/>
  <c r="Q18" i="62" s="1"/>
  <c r="H17" i="62"/>
  <c r="O17" i="62" s="1"/>
  <c r="Q17" i="62" s="1"/>
  <c r="O16" i="62"/>
  <c r="Q16" i="62" s="1"/>
  <c r="O15" i="62"/>
  <c r="Q15" i="62" s="1"/>
  <c r="H14" i="62"/>
  <c r="O14" i="62" s="1"/>
  <c r="Q14" i="62" s="1"/>
  <c r="O13" i="62"/>
  <c r="Q13" i="62" s="1"/>
  <c r="J12" i="62"/>
  <c r="H12" i="62"/>
  <c r="O12" i="62" s="1"/>
  <c r="Q12" i="62" s="1"/>
  <c r="O11" i="62"/>
  <c r="Q11" i="62" s="1"/>
  <c r="O10" i="62"/>
  <c r="Q10" i="62" s="1"/>
  <c r="H10" i="62"/>
  <c r="O9" i="62"/>
  <c r="Q9" i="62" s="1"/>
  <c r="H8" i="62"/>
  <c r="O7" i="62"/>
  <c r="Q7" i="62" s="1"/>
  <c r="J34" i="62" l="1"/>
  <c r="H34" i="62"/>
  <c r="O33" i="63"/>
  <c r="L38" i="63"/>
  <c r="Q7" i="63"/>
  <c r="O8" i="62"/>
  <c r="Q8" i="62" s="1"/>
  <c r="Q34" i="62" s="1"/>
  <c r="M38" i="63"/>
  <c r="I38" i="63"/>
  <c r="G38" i="63"/>
  <c r="O37" i="63"/>
  <c r="N38" i="63"/>
  <c r="O30" i="63"/>
  <c r="Q30" i="63" s="1"/>
  <c r="O29" i="63"/>
  <c r="Q29" i="63" s="1"/>
  <c r="O26" i="63"/>
  <c r="Q26" i="63" s="1"/>
  <c r="O25" i="63"/>
  <c r="Q25" i="63" s="1"/>
  <c r="O24" i="63"/>
  <c r="Q24" i="63" s="1"/>
  <c r="O23" i="63"/>
  <c r="Q23" i="63" s="1"/>
  <c r="O22" i="63"/>
  <c r="Q22" i="63" s="1"/>
  <c r="O21" i="63"/>
  <c r="Q21" i="63" s="1"/>
  <c r="O20" i="63"/>
  <c r="Q20" i="63" s="1"/>
  <c r="O19" i="63"/>
  <c r="Q19" i="63" s="1"/>
  <c r="O18" i="63"/>
  <c r="Q18" i="63" s="1"/>
  <c r="O17" i="63"/>
  <c r="Q17" i="63" s="1"/>
  <c r="O16" i="63"/>
  <c r="Q16" i="63" s="1"/>
  <c r="O15" i="63"/>
  <c r="Q15" i="63" s="1"/>
  <c r="O14" i="63"/>
  <c r="Q14" i="63" s="1"/>
  <c r="O13" i="63"/>
  <c r="Q13" i="63" s="1"/>
  <c r="J38" i="63"/>
  <c r="O12" i="63"/>
  <c r="Q12" i="63" s="1"/>
  <c r="O11" i="63"/>
  <c r="Q11" i="63" s="1"/>
  <c r="O10" i="63"/>
  <c r="Q10" i="63" s="1"/>
  <c r="O9" i="63"/>
  <c r="Q9" i="63" s="1"/>
  <c r="O8" i="63"/>
  <c r="H38" i="63"/>
  <c r="O34" i="62" l="1"/>
  <c r="O38" i="63"/>
  <c r="Q38" i="63"/>
  <c r="Q40" i="63" s="1"/>
  <c r="Q45" i="64" s="1"/>
  <c r="Q45" i="65" s="1"/>
  <c r="Q46" i="66" s="1"/>
  <c r="Q45" i="67" s="1"/>
  <c r="Q40" i="68" s="1"/>
  <c r="Q8" i="63"/>
  <c r="Q46" i="69" l="1"/>
  <c r="N36" i="61"/>
  <c r="O36" i="61" s="1"/>
  <c r="Q36" i="61" s="1"/>
  <c r="H18" i="61"/>
  <c r="H19" i="61"/>
  <c r="H20" i="61"/>
  <c r="O35" i="61" l="1"/>
  <c r="Q35" i="61" s="1"/>
  <c r="O34" i="61"/>
  <c r="Q34" i="61" s="1"/>
  <c r="O33" i="61"/>
  <c r="Q33" i="61" s="1"/>
  <c r="O32" i="61"/>
  <c r="Q32" i="61" s="1"/>
  <c r="O31" i="61"/>
  <c r="Q31" i="61" s="1"/>
  <c r="O30" i="61"/>
  <c r="Q30" i="61" s="1"/>
  <c r="H17" i="61" l="1"/>
  <c r="H15" i="61"/>
  <c r="H11" i="61"/>
  <c r="H12" i="61"/>
  <c r="H8" i="61"/>
  <c r="P39" i="61" l="1"/>
  <c r="N39" i="61"/>
  <c r="M39" i="61"/>
  <c r="L39" i="61"/>
  <c r="J39" i="61"/>
  <c r="I39" i="61"/>
  <c r="H39" i="61"/>
  <c r="G39" i="61"/>
  <c r="K38" i="61"/>
  <c r="O38" i="61" s="1"/>
  <c r="Q38" i="61" s="1"/>
  <c r="O37" i="61"/>
  <c r="Q37" i="61" s="1"/>
  <c r="O29" i="61"/>
  <c r="Q29" i="61" s="1"/>
  <c r="O28" i="61"/>
  <c r="Q28" i="61" s="1"/>
  <c r="O27" i="61"/>
  <c r="Q27" i="61" s="1"/>
  <c r="O26" i="61"/>
  <c r="Q26" i="61" s="1"/>
  <c r="O25" i="61"/>
  <c r="Q25" i="61" s="1"/>
  <c r="O24" i="61"/>
  <c r="Q24" i="61" s="1"/>
  <c r="O23" i="61"/>
  <c r="Q23" i="61" s="1"/>
  <c r="O22" i="61"/>
  <c r="Q22" i="61" s="1"/>
  <c r="O21" i="61"/>
  <c r="Q21" i="61" s="1"/>
  <c r="O20" i="61"/>
  <c r="Q20" i="61" s="1"/>
  <c r="O19" i="61"/>
  <c r="Q19" i="61" s="1"/>
  <c r="O18" i="61"/>
  <c r="Q18" i="61" s="1"/>
  <c r="O17" i="61"/>
  <c r="Q17" i="61" s="1"/>
  <c r="O16" i="61"/>
  <c r="Q16" i="61" s="1"/>
  <c r="O15" i="61"/>
  <c r="Q15" i="61" s="1"/>
  <c r="O14" i="61"/>
  <c r="Q14" i="61" s="1"/>
  <c r="O13" i="61"/>
  <c r="Q13" i="61" s="1"/>
  <c r="O12" i="61"/>
  <c r="Q12" i="61" s="1"/>
  <c r="O11" i="61"/>
  <c r="Q11" i="61" s="1"/>
  <c r="O10" i="61"/>
  <c r="Q10" i="61" s="1"/>
  <c r="O9" i="61"/>
  <c r="Q9" i="61" s="1"/>
  <c r="O8" i="61"/>
  <c r="Q8" i="61" s="1"/>
  <c r="O7" i="61"/>
  <c r="Q7" i="61" s="1"/>
  <c r="K39" i="61" l="1"/>
  <c r="Q39" i="61"/>
  <c r="O39" i="61"/>
  <c r="O34" i="60"/>
  <c r="Q34" i="60" s="1"/>
  <c r="O35" i="60"/>
  <c r="Q35" i="60" s="1"/>
  <c r="O36" i="60"/>
  <c r="Q36" i="60" s="1"/>
  <c r="O37" i="60"/>
  <c r="Q37" i="60" s="1"/>
  <c r="O38" i="60"/>
  <c r="Q38" i="60" s="1"/>
  <c r="O39" i="60"/>
  <c r="Q39" i="60" s="1"/>
  <c r="O40" i="60"/>
  <c r="Q40" i="60" s="1"/>
  <c r="O8" i="60" l="1"/>
  <c r="Q8" i="60" s="1"/>
  <c r="O9" i="60"/>
  <c r="Q9" i="60" s="1"/>
  <c r="O11" i="60"/>
  <c r="Q11" i="60" s="1"/>
  <c r="O12" i="60"/>
  <c r="Q12" i="60" s="1"/>
  <c r="O14" i="60"/>
  <c r="Q14" i="60" s="1"/>
  <c r="O16" i="60"/>
  <c r="Q16" i="60" s="1"/>
  <c r="O17" i="60"/>
  <c r="Q17" i="60" s="1"/>
  <c r="O19" i="60"/>
  <c r="Q19" i="60" s="1"/>
  <c r="O20" i="60"/>
  <c r="Q20" i="60" s="1"/>
  <c r="O22" i="60"/>
  <c r="Q22" i="60" s="1"/>
  <c r="O23" i="60"/>
  <c r="Q23" i="60" s="1"/>
  <c r="O25" i="60"/>
  <c r="Q25" i="60" s="1"/>
  <c r="O26" i="60"/>
  <c r="Q26" i="60" s="1"/>
  <c r="O27" i="60"/>
  <c r="Q27" i="60" s="1"/>
  <c r="O30" i="60"/>
  <c r="Q30" i="60" s="1"/>
  <c r="O31" i="60"/>
  <c r="Q31" i="60" s="1"/>
  <c r="O32" i="60"/>
  <c r="Q32" i="60" s="1"/>
  <c r="O33" i="60"/>
  <c r="Q33" i="60" s="1"/>
  <c r="H21" i="60" l="1"/>
  <c r="O21" i="60" s="1"/>
  <c r="Q21" i="60" s="1"/>
  <c r="H24" i="60"/>
  <c r="O24" i="60" s="1"/>
  <c r="Q24" i="60" s="1"/>
  <c r="H28" i="60"/>
  <c r="O28" i="60" s="1"/>
  <c r="Q28" i="60" s="1"/>
  <c r="H29" i="60"/>
  <c r="O29" i="60" s="1"/>
  <c r="Q29" i="60" s="1"/>
  <c r="H18" i="60"/>
  <c r="O18" i="60" s="1"/>
  <c r="Q18" i="60" s="1"/>
  <c r="H10" i="60"/>
  <c r="O10" i="60" s="1"/>
  <c r="Q10" i="60" s="1"/>
  <c r="H13" i="60"/>
  <c r="O13" i="60" s="1"/>
  <c r="Q13" i="60" s="1"/>
  <c r="H15" i="60"/>
  <c r="O15" i="60" s="1"/>
  <c r="Q15" i="60" s="1"/>
  <c r="H7" i="60"/>
  <c r="O7" i="60" s="1"/>
  <c r="Q7" i="60" s="1"/>
  <c r="P42" i="60"/>
  <c r="N42" i="60"/>
  <c r="M42" i="60"/>
  <c r="L42" i="60"/>
  <c r="J42" i="60"/>
  <c r="I42" i="60"/>
  <c r="G42" i="60"/>
  <c r="K41" i="60"/>
  <c r="O41" i="60" s="1"/>
  <c r="Q41" i="60" s="1"/>
  <c r="K42" i="60" l="1"/>
  <c r="H42" i="60"/>
  <c r="Q42" i="60"/>
  <c r="O42" i="60" l="1"/>
  <c r="P34" i="58"/>
  <c r="N34" i="58"/>
  <c r="M34" i="58"/>
  <c r="L34" i="58"/>
  <c r="J34" i="58"/>
  <c r="I34" i="58"/>
  <c r="G34" i="58"/>
  <c r="K33" i="58"/>
  <c r="K34" i="58" s="1"/>
  <c r="O32" i="58"/>
  <c r="Q32" i="58" s="1"/>
  <c r="O31" i="58"/>
  <c r="Q31" i="58" s="1"/>
  <c r="O30" i="58"/>
  <c r="Q30" i="58" s="1"/>
  <c r="O29" i="58"/>
  <c r="Q29" i="58" s="1"/>
  <c r="O28" i="58"/>
  <c r="Q28" i="58" s="1"/>
  <c r="O27" i="58"/>
  <c r="Q27" i="58" s="1"/>
  <c r="O26" i="58"/>
  <c r="Q26" i="58" s="1"/>
  <c r="O25" i="58"/>
  <c r="Q25" i="58" s="1"/>
  <c r="O24" i="58"/>
  <c r="Q24" i="58" s="1"/>
  <c r="O23" i="58"/>
  <c r="Q23" i="58" s="1"/>
  <c r="O22" i="58"/>
  <c r="Q22" i="58" s="1"/>
  <c r="H21" i="58"/>
  <c r="O21" i="58" s="1"/>
  <c r="Q21" i="58" s="1"/>
  <c r="H20" i="58"/>
  <c r="O20" i="58" s="1"/>
  <c r="Q20" i="58" s="1"/>
  <c r="O19" i="58"/>
  <c r="Q19" i="58" s="1"/>
  <c r="O18" i="58"/>
  <c r="Q18" i="58" s="1"/>
  <c r="O17" i="58"/>
  <c r="Q17" i="58" s="1"/>
  <c r="H16" i="58"/>
  <c r="O16" i="58" s="1"/>
  <c r="Q16" i="58" s="1"/>
  <c r="O15" i="58"/>
  <c r="Q15" i="58" s="1"/>
  <c r="H14" i="58"/>
  <c r="O14" i="58" s="1"/>
  <c r="Q14" i="58" s="1"/>
  <c r="O13" i="58"/>
  <c r="Q13" i="58" s="1"/>
  <c r="H12" i="58"/>
  <c r="O12" i="58" s="1"/>
  <c r="Q12" i="58" s="1"/>
  <c r="O11" i="58"/>
  <c r="Q11" i="58" s="1"/>
  <c r="O10" i="58"/>
  <c r="Q10" i="58" s="1"/>
  <c r="O9" i="58"/>
  <c r="Q9" i="58" s="1"/>
  <c r="O8" i="58"/>
  <c r="Q8" i="58" s="1"/>
  <c r="H7" i="58"/>
  <c r="O7" i="58" s="1"/>
  <c r="Q7" i="58" l="1"/>
  <c r="H34" i="58"/>
  <c r="O33" i="58"/>
  <c r="Q33" i="58" s="1"/>
  <c r="O34" i="58" l="1"/>
  <c r="Q34" i="58"/>
  <c r="Q36" i="58" s="1"/>
  <c r="O8" i="59" l="1"/>
  <c r="Q8" i="59" s="1"/>
  <c r="O11" i="59"/>
  <c r="Q11" i="59" s="1"/>
  <c r="O13" i="59"/>
  <c r="Q13" i="59" s="1"/>
  <c r="O15" i="59"/>
  <c r="Q15" i="59" s="1"/>
  <c r="O16" i="59"/>
  <c r="Q16" i="59" s="1"/>
  <c r="O18" i="59"/>
  <c r="Q18" i="59" s="1"/>
  <c r="O19" i="59"/>
  <c r="Q19" i="59" s="1"/>
  <c r="O21" i="59"/>
  <c r="Q21" i="59" s="1"/>
  <c r="O23" i="59"/>
  <c r="Q23" i="59" s="1"/>
  <c r="O24" i="59"/>
  <c r="Q24" i="59" s="1"/>
  <c r="O25" i="59"/>
  <c r="Q25" i="59" s="1"/>
  <c r="O26" i="59"/>
  <c r="Q26" i="59" s="1"/>
  <c r="J12" i="59"/>
  <c r="O12" i="59" s="1"/>
  <c r="Q12" i="59" s="1"/>
  <c r="J9" i="59"/>
  <c r="O9" i="59" s="1"/>
  <c r="Q9" i="59" s="1"/>
  <c r="H20" i="59"/>
  <c r="O20" i="59" s="1"/>
  <c r="Q20" i="59" s="1"/>
  <c r="H22" i="59"/>
  <c r="O22" i="59" s="1"/>
  <c r="Q22" i="59" s="1"/>
  <c r="H17" i="59"/>
  <c r="O17" i="59" s="1"/>
  <c r="Q17" i="59" s="1"/>
  <c r="H10" i="59"/>
  <c r="O10" i="59" s="1"/>
  <c r="Q10" i="59" s="1"/>
  <c r="H14" i="59"/>
  <c r="O14" i="59" s="1"/>
  <c r="Q14" i="59" s="1"/>
  <c r="H7" i="59"/>
  <c r="P28" i="59" l="1"/>
  <c r="N28" i="59"/>
  <c r="M28" i="59"/>
  <c r="L28" i="59"/>
  <c r="J28" i="59"/>
  <c r="I28" i="59"/>
  <c r="G28" i="59"/>
  <c r="K27" i="59"/>
  <c r="O7" i="59"/>
  <c r="K28" i="59" l="1"/>
  <c r="O27" i="59"/>
  <c r="Q27" i="59" s="1"/>
  <c r="Q7" i="59"/>
  <c r="H28" i="59"/>
  <c r="Q28" i="59" l="1"/>
  <c r="Q30" i="59" s="1"/>
  <c r="Q44" i="60" s="1"/>
  <c r="Q41" i="61" s="1"/>
  <c r="O28" i="59"/>
  <c r="Q43" i="57" l="1"/>
  <c r="O37" i="57" l="1"/>
  <c r="Q37" i="57" s="1"/>
  <c r="O38" i="57"/>
  <c r="Q38" i="57" s="1"/>
  <c r="O8" i="57" l="1"/>
  <c r="Q8" i="57" s="1"/>
  <c r="O9" i="57"/>
  <c r="Q9" i="57" s="1"/>
  <c r="O11" i="57"/>
  <c r="Q11" i="57" s="1"/>
  <c r="O12" i="57"/>
  <c r="Q12" i="57" s="1"/>
  <c r="O14" i="57"/>
  <c r="Q14" i="57" s="1"/>
  <c r="O15" i="57"/>
  <c r="Q15" i="57" s="1"/>
  <c r="O16" i="57"/>
  <c r="Q16" i="57" s="1"/>
  <c r="O18" i="57"/>
  <c r="Q18" i="57" s="1"/>
  <c r="O20" i="57"/>
  <c r="Q20" i="57" s="1"/>
  <c r="O21" i="57"/>
  <c r="Q21" i="57" s="1"/>
  <c r="O24" i="57"/>
  <c r="Q24" i="57" s="1"/>
  <c r="O25" i="57"/>
  <c r="Q25" i="57" s="1"/>
  <c r="O27" i="57"/>
  <c r="Q27" i="57" s="1"/>
  <c r="O30" i="57"/>
  <c r="Q30" i="57" s="1"/>
  <c r="O31" i="57"/>
  <c r="Q31" i="57" s="1"/>
  <c r="O32" i="57"/>
  <c r="Q32" i="57" s="1"/>
  <c r="O33" i="57"/>
  <c r="Q33" i="57" s="1"/>
  <c r="O34" i="57"/>
  <c r="Q34" i="57" s="1"/>
  <c r="O35" i="57"/>
  <c r="Q35" i="57" s="1"/>
  <c r="J23" i="57"/>
  <c r="O23" i="57" s="1"/>
  <c r="Q23" i="57" s="1"/>
  <c r="H22" i="57"/>
  <c r="O22" i="57" s="1"/>
  <c r="Q22" i="57" s="1"/>
  <c r="H26" i="57"/>
  <c r="O26" i="57" s="1"/>
  <c r="Q26" i="57" s="1"/>
  <c r="H28" i="57"/>
  <c r="O28" i="57" s="1"/>
  <c r="Q28" i="57" s="1"/>
  <c r="H29" i="57"/>
  <c r="O29" i="57" s="1"/>
  <c r="Q29" i="57" s="1"/>
  <c r="H19" i="57"/>
  <c r="O19" i="57" s="1"/>
  <c r="Q19" i="57" s="1"/>
  <c r="H10" i="57" l="1"/>
  <c r="O10" i="57" s="1"/>
  <c r="Q10" i="57" s="1"/>
  <c r="H13" i="57"/>
  <c r="O13" i="57" s="1"/>
  <c r="Q13" i="57" s="1"/>
  <c r="H17" i="57"/>
  <c r="O17" i="57" s="1"/>
  <c r="Q17" i="57" s="1"/>
  <c r="H7" i="57"/>
  <c r="O7" i="57" s="1"/>
  <c r="Q7" i="57" s="1"/>
  <c r="N36" i="57"/>
  <c r="O36" i="57" s="1"/>
  <c r="Q36" i="57" s="1"/>
  <c r="P40" i="57"/>
  <c r="M40" i="57"/>
  <c r="L40" i="57"/>
  <c r="J40" i="57"/>
  <c r="I40" i="57"/>
  <c r="G40" i="57"/>
  <c r="K39" i="57"/>
  <c r="O39" i="57" s="1"/>
  <c r="Q39" i="57" s="1"/>
  <c r="N40" i="57" l="1"/>
  <c r="H40" i="57"/>
  <c r="Q40" i="57"/>
  <c r="K40" i="57"/>
  <c r="O40" i="57"/>
  <c r="Q41" i="57" s="1"/>
  <c r="Q47" i="56" l="1"/>
  <c r="Q44" i="56"/>
  <c r="O8" i="56" l="1"/>
  <c r="Q8" i="56" s="1"/>
  <c r="O10" i="56"/>
  <c r="Q10" i="56" s="1"/>
  <c r="O12" i="56"/>
  <c r="Q12" i="56" s="1"/>
  <c r="O13" i="56"/>
  <c r="Q13" i="56" s="1"/>
  <c r="O15" i="56"/>
  <c r="Q15" i="56" s="1"/>
  <c r="O16" i="56"/>
  <c r="Q16" i="56" s="1"/>
  <c r="O17" i="56"/>
  <c r="Q17" i="56" s="1"/>
  <c r="O19" i="56"/>
  <c r="Q19" i="56" s="1"/>
  <c r="O20" i="56"/>
  <c r="Q20" i="56" s="1"/>
  <c r="O21" i="56"/>
  <c r="Q21" i="56" s="1"/>
  <c r="O23" i="56"/>
  <c r="Q23" i="56" s="1"/>
  <c r="O25" i="56"/>
  <c r="Q25" i="56" s="1"/>
  <c r="O26" i="56"/>
  <c r="Q26" i="56" s="1"/>
  <c r="O28" i="56"/>
  <c r="Q28" i="56" s="1"/>
  <c r="O29" i="56"/>
  <c r="Q29" i="56" s="1"/>
  <c r="O31" i="56"/>
  <c r="Q31" i="56" s="1"/>
  <c r="O33" i="56"/>
  <c r="Q33" i="56" s="1"/>
  <c r="O34" i="56"/>
  <c r="Q34" i="56" s="1"/>
  <c r="O35" i="56"/>
  <c r="Q35" i="56" s="1"/>
  <c r="O36" i="56"/>
  <c r="Q36" i="56" s="1"/>
  <c r="O37" i="56"/>
  <c r="Q37" i="56" s="1"/>
  <c r="O38" i="56"/>
  <c r="Q38" i="56" s="1"/>
  <c r="O39" i="56"/>
  <c r="Q39" i="56" s="1"/>
  <c r="J14" i="56"/>
  <c r="J41" i="56" s="1"/>
  <c r="H24" i="56"/>
  <c r="O24" i="56" s="1"/>
  <c r="Q24" i="56" s="1"/>
  <c r="H27" i="56"/>
  <c r="O27" i="56" s="1"/>
  <c r="Q27" i="56" s="1"/>
  <c r="H30" i="56"/>
  <c r="O30" i="56" s="1"/>
  <c r="Q30" i="56" s="1"/>
  <c r="H32" i="56"/>
  <c r="O32" i="56" s="1"/>
  <c r="Q32" i="56" s="1"/>
  <c r="H22" i="56"/>
  <c r="O22" i="56" s="1"/>
  <c r="Q22" i="56" s="1"/>
  <c r="H11" i="56"/>
  <c r="O11" i="56" s="1"/>
  <c r="Q11" i="56" s="1"/>
  <c r="H14" i="56"/>
  <c r="H18" i="56"/>
  <c r="O18" i="56" s="1"/>
  <c r="Q18" i="56" s="1"/>
  <c r="H9" i="56"/>
  <c r="O9" i="56" s="1"/>
  <c r="Q9" i="56" s="1"/>
  <c r="P41" i="56"/>
  <c r="N41" i="56"/>
  <c r="M41" i="56"/>
  <c r="L41" i="56"/>
  <c r="I41" i="56"/>
  <c r="G41" i="56"/>
  <c r="K40" i="56"/>
  <c r="O40" i="56" s="1"/>
  <c r="Q40" i="56" s="1"/>
  <c r="O7" i="56"/>
  <c r="Q7" i="56" s="1"/>
  <c r="O14" i="56" l="1"/>
  <c r="Q14" i="56" s="1"/>
  <c r="Q41" i="56" s="1"/>
  <c r="K41" i="56"/>
  <c r="H41" i="56"/>
  <c r="H30" i="55"/>
  <c r="O41" i="56" l="1"/>
  <c r="Q42" i="56" s="1"/>
  <c r="O19" i="55"/>
  <c r="Q19" i="55" s="1"/>
  <c r="O20" i="55"/>
  <c r="Q20" i="55" s="1"/>
  <c r="O28" i="55"/>
  <c r="Q28" i="55" s="1"/>
  <c r="O29" i="55"/>
  <c r="Q29" i="55" s="1"/>
  <c r="O30" i="55"/>
  <c r="Q30" i="55" s="1"/>
  <c r="O31" i="55"/>
  <c r="Q31" i="55" s="1"/>
  <c r="O32" i="55"/>
  <c r="Q32" i="55" s="1"/>
  <c r="O33" i="55"/>
  <c r="Q33" i="55" s="1"/>
  <c r="O34" i="55"/>
  <c r="Q34" i="55" s="1"/>
  <c r="O35" i="55"/>
  <c r="Q35" i="55" s="1"/>
  <c r="O36" i="55"/>
  <c r="Q36" i="55" s="1"/>
  <c r="O37" i="55"/>
  <c r="Q37" i="55" s="1"/>
  <c r="P39" i="55" l="1"/>
  <c r="H22" i="55" l="1"/>
  <c r="O22" i="55" s="1"/>
  <c r="Q22" i="55" s="1"/>
  <c r="H23" i="55"/>
  <c r="O23" i="55" s="1"/>
  <c r="Q23" i="55" s="1"/>
  <c r="H24" i="55"/>
  <c r="O24" i="55" s="1"/>
  <c r="Q24" i="55" s="1"/>
  <c r="H25" i="55"/>
  <c r="O25" i="55" s="1"/>
  <c r="Q25" i="55" s="1"/>
  <c r="H26" i="55"/>
  <c r="O26" i="55" s="1"/>
  <c r="Q26" i="55" s="1"/>
  <c r="H27" i="55"/>
  <c r="O27" i="55" s="1"/>
  <c r="Q27" i="55" s="1"/>
  <c r="H21" i="55"/>
  <c r="O21" i="55" s="1"/>
  <c r="Q21" i="55" s="1"/>
  <c r="H9" i="55"/>
  <c r="O9" i="55" s="1"/>
  <c r="Q9" i="55" s="1"/>
  <c r="H10" i="55"/>
  <c r="O10" i="55" s="1"/>
  <c r="Q10" i="55" s="1"/>
  <c r="H11" i="55"/>
  <c r="O11" i="55" s="1"/>
  <c r="Q11" i="55" s="1"/>
  <c r="H12" i="55"/>
  <c r="O12" i="55" s="1"/>
  <c r="Q12" i="55" s="1"/>
  <c r="H13" i="55"/>
  <c r="O13" i="55" s="1"/>
  <c r="Q13" i="55" s="1"/>
  <c r="H14" i="55"/>
  <c r="O14" i="55" s="1"/>
  <c r="Q14" i="55" s="1"/>
  <c r="H15" i="55"/>
  <c r="O15" i="55" s="1"/>
  <c r="Q15" i="55" s="1"/>
  <c r="H16" i="55"/>
  <c r="O16" i="55" s="1"/>
  <c r="Q16" i="55" s="1"/>
  <c r="H17" i="55"/>
  <c r="O17" i="55" s="1"/>
  <c r="Q17" i="55" s="1"/>
  <c r="H18" i="55"/>
  <c r="O18" i="55" s="1"/>
  <c r="Q18" i="55" s="1"/>
  <c r="H8" i="55"/>
  <c r="O8" i="55" s="1"/>
  <c r="Q8" i="55" s="1"/>
  <c r="N39" i="55"/>
  <c r="L39" i="55"/>
  <c r="I39" i="55"/>
  <c r="G39" i="55"/>
  <c r="K38" i="55"/>
  <c r="J39" i="55"/>
  <c r="K39" i="55" l="1"/>
  <c r="O38" i="55"/>
  <c r="Q38" i="55" s="1"/>
  <c r="H39" i="55"/>
  <c r="M39" i="55"/>
  <c r="O7" i="55"/>
  <c r="O39" i="55" l="1"/>
  <c r="Q40" i="55" s="1"/>
  <c r="Q7" i="55"/>
  <c r="Q39" i="55" s="1"/>
  <c r="O31" i="54"/>
  <c r="Q31" i="54" s="1"/>
  <c r="O30" i="54"/>
  <c r="Q30" i="54" s="1"/>
  <c r="P46" i="54"/>
  <c r="H20" i="54" l="1"/>
  <c r="O20" i="54" s="1"/>
  <c r="Q20" i="54" s="1"/>
  <c r="H24" i="54"/>
  <c r="O24" i="54" s="1"/>
  <c r="Q24" i="54" s="1"/>
  <c r="H26" i="54"/>
  <c r="O26" i="54" s="1"/>
  <c r="Q26" i="54" s="1"/>
  <c r="H29" i="54"/>
  <c r="O29" i="54" s="1"/>
  <c r="Q29" i="54" s="1"/>
  <c r="H19" i="54"/>
  <c r="O19" i="54" s="1"/>
  <c r="Q19" i="54" s="1"/>
  <c r="H9" i="54"/>
  <c r="O9" i="54" s="1"/>
  <c r="Q9" i="54" s="1"/>
  <c r="H11" i="54"/>
  <c r="O11" i="54" s="1"/>
  <c r="Q11" i="54" s="1"/>
  <c r="H13" i="54"/>
  <c r="O13" i="54" s="1"/>
  <c r="Q13" i="54" s="1"/>
  <c r="H16" i="54"/>
  <c r="O16" i="54" s="1"/>
  <c r="Q16" i="54" s="1"/>
  <c r="H7" i="54"/>
  <c r="O7" i="54" s="1"/>
  <c r="Q7" i="54" s="1"/>
  <c r="O10" i="54"/>
  <c r="Q10" i="54" s="1"/>
  <c r="O12" i="54"/>
  <c r="Q12" i="54" s="1"/>
  <c r="O14" i="54"/>
  <c r="Q14" i="54" s="1"/>
  <c r="O15" i="54"/>
  <c r="Q15" i="54" s="1"/>
  <c r="O17" i="54"/>
  <c r="Q17" i="54" s="1"/>
  <c r="O18" i="54"/>
  <c r="Q18" i="54" s="1"/>
  <c r="O22" i="54"/>
  <c r="Q22" i="54" s="1"/>
  <c r="O23" i="54"/>
  <c r="Q23" i="54" s="1"/>
  <c r="O25" i="54"/>
  <c r="Q25" i="54" s="1"/>
  <c r="O27" i="54"/>
  <c r="Q27" i="54" s="1"/>
  <c r="O28" i="54"/>
  <c r="Q28" i="54" s="1"/>
  <c r="O32" i="54"/>
  <c r="Q32" i="54" s="1"/>
  <c r="O33" i="54"/>
  <c r="Q33" i="54" s="1"/>
  <c r="O34" i="54"/>
  <c r="Q34" i="54" s="1"/>
  <c r="O35" i="54"/>
  <c r="Q35" i="54" s="1"/>
  <c r="O36" i="54"/>
  <c r="Q36" i="54" s="1"/>
  <c r="O37" i="54"/>
  <c r="Q37" i="54" s="1"/>
  <c r="O38" i="54"/>
  <c r="Q38" i="54" s="1"/>
  <c r="O39" i="54"/>
  <c r="Q39" i="54" s="1"/>
  <c r="O40" i="54"/>
  <c r="Q40" i="54" s="1"/>
  <c r="O42" i="54"/>
  <c r="Q42" i="54" s="1"/>
  <c r="O43" i="54"/>
  <c r="Q43" i="54" s="1"/>
  <c r="O44" i="54"/>
  <c r="Q44" i="54" s="1"/>
  <c r="J21" i="54"/>
  <c r="O21" i="54" s="1"/>
  <c r="Q21" i="54" s="1"/>
  <c r="J8" i="54"/>
  <c r="O8" i="54" s="1"/>
  <c r="Q8" i="54" s="1"/>
  <c r="M41" i="54"/>
  <c r="M46" i="54" s="1"/>
  <c r="N46" i="54"/>
  <c r="L46" i="54"/>
  <c r="I46" i="54"/>
  <c r="G46" i="54"/>
  <c r="K45" i="54"/>
  <c r="O45" i="54" s="1"/>
  <c r="Q45" i="54" s="1"/>
  <c r="J46" i="54" l="1"/>
  <c r="O41" i="54"/>
  <c r="Q41" i="54" s="1"/>
  <c r="Q46" i="54" s="1"/>
  <c r="H46" i="54"/>
  <c r="K46" i="54"/>
  <c r="O8" i="53"/>
  <c r="Q8" i="53" s="1"/>
  <c r="O10" i="53"/>
  <c r="Q10" i="53" s="1"/>
  <c r="O12" i="53"/>
  <c r="Q12" i="53" s="1"/>
  <c r="O13" i="53"/>
  <c r="Q13" i="53" s="1"/>
  <c r="O14" i="53"/>
  <c r="Q14" i="53" s="1"/>
  <c r="O16" i="53"/>
  <c r="Q16" i="53" s="1"/>
  <c r="O18" i="53"/>
  <c r="Q18" i="53" s="1"/>
  <c r="O19" i="53"/>
  <c r="Q19" i="53" s="1"/>
  <c r="O21" i="53"/>
  <c r="Q21" i="53" s="1"/>
  <c r="O22" i="53"/>
  <c r="Q22" i="53" s="1"/>
  <c r="O24" i="53"/>
  <c r="Q24" i="53" s="1"/>
  <c r="O26" i="53"/>
  <c r="Q26" i="53" s="1"/>
  <c r="O28" i="53"/>
  <c r="Q28" i="53" s="1"/>
  <c r="O30" i="53"/>
  <c r="Q30" i="53" s="1"/>
  <c r="O32" i="53"/>
  <c r="Q32" i="53" s="1"/>
  <c r="O34" i="53"/>
  <c r="Q34" i="53" s="1"/>
  <c r="O35" i="53"/>
  <c r="Q35" i="53" s="1"/>
  <c r="O36" i="53"/>
  <c r="Q36" i="53" s="1"/>
  <c r="O37" i="53"/>
  <c r="Q37" i="53" s="1"/>
  <c r="O38" i="53"/>
  <c r="Q38" i="53" s="1"/>
  <c r="O39" i="53"/>
  <c r="Q39" i="53" s="1"/>
  <c r="O46" i="54" l="1"/>
  <c r="Q47" i="54" s="1"/>
  <c r="H27" i="53"/>
  <c r="O27" i="53" s="1"/>
  <c r="Q27" i="53" s="1"/>
  <c r="H29" i="53"/>
  <c r="O29" i="53" s="1"/>
  <c r="Q29" i="53" s="1"/>
  <c r="H31" i="53"/>
  <c r="O31" i="53" s="1"/>
  <c r="Q31" i="53" s="1"/>
  <c r="H33" i="53"/>
  <c r="O33" i="53" s="1"/>
  <c r="Q33" i="53" s="1"/>
  <c r="H25" i="53"/>
  <c r="O25" i="53" s="1"/>
  <c r="Q25" i="53" s="1"/>
  <c r="H11" i="53"/>
  <c r="O11" i="53" s="1"/>
  <c r="Q11" i="53" s="1"/>
  <c r="H15" i="53"/>
  <c r="O15" i="53" s="1"/>
  <c r="Q15" i="53" s="1"/>
  <c r="H17" i="53"/>
  <c r="O17" i="53" s="1"/>
  <c r="Q17" i="53" s="1"/>
  <c r="H20" i="53"/>
  <c r="O20" i="53" s="1"/>
  <c r="Q20" i="53" s="1"/>
  <c r="H9" i="53"/>
  <c r="J23" i="53"/>
  <c r="O23" i="53" s="1"/>
  <c r="Q23" i="53" s="1"/>
  <c r="J9" i="53" l="1"/>
  <c r="O9" i="53" s="1"/>
  <c r="Q9" i="53" s="1"/>
  <c r="P41" i="53" l="1"/>
  <c r="N41" i="53"/>
  <c r="M41" i="53"/>
  <c r="L41" i="53"/>
  <c r="J41" i="53"/>
  <c r="I41" i="53"/>
  <c r="G41" i="53"/>
  <c r="K40" i="53"/>
  <c r="O40" i="53" s="1"/>
  <c r="Q40" i="53" s="1"/>
  <c r="O7" i="53"/>
  <c r="K41" i="53" l="1"/>
  <c r="O41" i="53"/>
  <c r="Q42" i="53" s="1"/>
  <c r="H41" i="53"/>
  <c r="Q7" i="53"/>
  <c r="Q41" i="53" s="1"/>
  <c r="O33" i="52"/>
  <c r="O34" i="52"/>
  <c r="O35" i="52"/>
  <c r="O37" i="52"/>
  <c r="Q37" i="52" s="1"/>
  <c r="N36" i="52"/>
  <c r="O36" i="52" s="1"/>
  <c r="Q36" i="52" s="1"/>
  <c r="H32" i="52" l="1"/>
  <c r="P40" i="52" l="1"/>
  <c r="N40" i="52"/>
  <c r="M40" i="52"/>
  <c r="L40" i="52"/>
  <c r="I40" i="52"/>
  <c r="G40" i="52"/>
  <c r="K39" i="52"/>
  <c r="K40" i="52" s="1"/>
  <c r="J38" i="52"/>
  <c r="J40" i="52" s="1"/>
  <c r="Q35" i="52"/>
  <c r="Q34" i="52"/>
  <c r="Q33" i="52"/>
  <c r="S32" i="52"/>
  <c r="O32" i="52"/>
  <c r="Q32" i="52" s="1"/>
  <c r="S31" i="52"/>
  <c r="O31" i="52"/>
  <c r="Q31" i="52" s="1"/>
  <c r="S30" i="52"/>
  <c r="O30" i="52"/>
  <c r="Q30" i="52" s="1"/>
  <c r="S29" i="52"/>
  <c r="O29" i="52"/>
  <c r="Q29" i="52" s="1"/>
  <c r="S28" i="52"/>
  <c r="O28" i="52"/>
  <c r="Q28" i="52" s="1"/>
  <c r="S27" i="52"/>
  <c r="H27" i="52"/>
  <c r="O27" i="52" s="1"/>
  <c r="Q27" i="52" s="1"/>
  <c r="S26" i="52"/>
  <c r="O26" i="52"/>
  <c r="Q26" i="52" s="1"/>
  <c r="S25" i="52"/>
  <c r="H25" i="52"/>
  <c r="O25" i="52" s="1"/>
  <c r="Q25" i="52" s="1"/>
  <c r="S24" i="52"/>
  <c r="O24" i="52"/>
  <c r="Q24" i="52" s="1"/>
  <c r="S23" i="52"/>
  <c r="H23" i="52"/>
  <c r="O23" i="52" s="1"/>
  <c r="Q23" i="52" s="1"/>
  <c r="S22" i="52"/>
  <c r="O22" i="52"/>
  <c r="Q22" i="52" s="1"/>
  <c r="S21" i="52"/>
  <c r="H21" i="52"/>
  <c r="O21" i="52" s="1"/>
  <c r="Q21" i="52" s="1"/>
  <c r="S20" i="52"/>
  <c r="O20" i="52"/>
  <c r="Q20" i="52" s="1"/>
  <c r="S19" i="52"/>
  <c r="H19" i="52"/>
  <c r="O19" i="52" s="1"/>
  <c r="Q19" i="52" s="1"/>
  <c r="S18" i="52"/>
  <c r="O18" i="52"/>
  <c r="Q18" i="52" s="1"/>
  <c r="S17" i="52"/>
  <c r="O17" i="52"/>
  <c r="Q17" i="52" s="1"/>
  <c r="S16" i="52"/>
  <c r="H16" i="52"/>
  <c r="O16" i="52" s="1"/>
  <c r="Q16" i="52" s="1"/>
  <c r="S15" i="52"/>
  <c r="O15" i="52"/>
  <c r="Q15" i="52" s="1"/>
  <c r="S14" i="52"/>
  <c r="O14" i="52"/>
  <c r="Q14" i="52" s="1"/>
  <c r="S13" i="52"/>
  <c r="H13" i="52"/>
  <c r="O13" i="52" s="1"/>
  <c r="Q13" i="52" s="1"/>
  <c r="S12" i="52"/>
  <c r="O12" i="52"/>
  <c r="Q12" i="52" s="1"/>
  <c r="S11" i="52"/>
  <c r="O11" i="52"/>
  <c r="Q11" i="52" s="1"/>
  <c r="S10" i="52"/>
  <c r="H10" i="52"/>
  <c r="O10" i="52" s="1"/>
  <c r="Q10" i="52" s="1"/>
  <c r="S9" i="52"/>
  <c r="O9" i="52"/>
  <c r="Q9" i="52" s="1"/>
  <c r="S8" i="52"/>
  <c r="H8" i="52"/>
  <c r="S7" i="52"/>
  <c r="O7" i="52"/>
  <c r="Q7" i="52" s="1"/>
  <c r="H40" i="52" l="1"/>
  <c r="O39" i="52"/>
  <c r="Q39" i="52" s="1"/>
  <c r="O8" i="52"/>
  <c r="Q8" i="52" s="1"/>
  <c r="O38" i="52"/>
  <c r="Q38" i="52" s="1"/>
  <c r="Q40" i="52" l="1"/>
  <c r="O40" i="52"/>
  <c r="Q41" i="52" s="1"/>
  <c r="O31" i="51" l="1"/>
  <c r="O33" i="51"/>
  <c r="O34" i="51"/>
  <c r="O35" i="51"/>
  <c r="O36" i="51"/>
  <c r="O37" i="51"/>
  <c r="J30" i="51" l="1"/>
  <c r="L32" i="51"/>
  <c r="O32" i="51" s="1"/>
  <c r="Q32" i="51" l="1"/>
  <c r="H30" i="51" l="1"/>
  <c r="O30" i="51" s="1"/>
  <c r="Q30" i="51" s="1"/>
  <c r="H27" i="51"/>
  <c r="H24" i="51"/>
  <c r="H21" i="51"/>
  <c r="H18" i="51"/>
  <c r="H16" i="51"/>
  <c r="O16" i="51" s="1"/>
  <c r="Q16" i="51" s="1"/>
  <c r="H14" i="51"/>
  <c r="H11" i="51"/>
  <c r="H8" i="51"/>
  <c r="P40" i="51"/>
  <c r="N40" i="51"/>
  <c r="M40" i="51"/>
  <c r="L40" i="51"/>
  <c r="I40" i="51"/>
  <c r="G40" i="51"/>
  <c r="K39" i="51"/>
  <c r="O39" i="51" s="1"/>
  <c r="Q39" i="51" s="1"/>
  <c r="O38" i="51"/>
  <c r="Q38" i="51" s="1"/>
  <c r="Q37" i="51"/>
  <c r="Q36" i="51"/>
  <c r="Q35" i="51"/>
  <c r="Q34" i="51"/>
  <c r="Q33" i="51"/>
  <c r="Q31" i="51"/>
  <c r="O29" i="51"/>
  <c r="Q29" i="51" s="1"/>
  <c r="O28" i="51"/>
  <c r="Q28" i="51" s="1"/>
  <c r="O26" i="51"/>
  <c r="Q26" i="51" s="1"/>
  <c r="O25" i="51"/>
  <c r="Q25" i="51" s="1"/>
  <c r="O24" i="51"/>
  <c r="Q24" i="51" s="1"/>
  <c r="O23" i="51"/>
  <c r="Q23" i="51" s="1"/>
  <c r="O15" i="51"/>
  <c r="Q15" i="51" s="1"/>
  <c r="O13" i="51"/>
  <c r="Q13" i="51" s="1"/>
  <c r="J40" i="51"/>
  <c r="K40" i="51" l="1"/>
  <c r="O14" i="51"/>
  <c r="Q14" i="51" s="1"/>
  <c r="O27" i="51"/>
  <c r="Q27" i="51" s="1"/>
  <c r="H40" i="51"/>
  <c r="O7" i="51"/>
  <c r="Q7" i="51" s="1"/>
  <c r="O12" i="51"/>
  <c r="Q12" i="51" s="1"/>
  <c r="O8" i="51"/>
  <c r="Q8" i="51" s="1"/>
  <c r="O9" i="51"/>
  <c r="Q9" i="51" s="1"/>
  <c r="O10" i="51"/>
  <c r="Q10" i="51" s="1"/>
  <c r="O11" i="51"/>
  <c r="Q11" i="51" s="1"/>
  <c r="O17" i="51"/>
  <c r="Q17" i="51" s="1"/>
  <c r="O18" i="51"/>
  <c r="Q18" i="51" s="1"/>
  <c r="O19" i="51"/>
  <c r="Q19" i="51" s="1"/>
  <c r="O20" i="51"/>
  <c r="Q20" i="51" s="1"/>
  <c r="O21" i="51"/>
  <c r="Q21" i="51" s="1"/>
  <c r="O22" i="51"/>
  <c r="Q22" i="51" s="1"/>
  <c r="J42" i="50"/>
  <c r="O40" i="51" l="1"/>
  <c r="Q41" i="51" s="1"/>
  <c r="Q40" i="51"/>
  <c r="O40" i="50"/>
  <c r="Q40" i="50" s="1"/>
  <c r="O39" i="50"/>
  <c r="Q39" i="50" s="1"/>
  <c r="H32" i="50" l="1"/>
  <c r="H29" i="50"/>
  <c r="H26" i="50"/>
  <c r="H23" i="50"/>
  <c r="H20" i="50"/>
  <c r="H17" i="50"/>
  <c r="H14" i="50"/>
  <c r="H11" i="50"/>
  <c r="H8" i="50"/>
  <c r="O37" i="50" l="1"/>
  <c r="Q37" i="50" s="1"/>
  <c r="H33" i="50"/>
  <c r="H31" i="50"/>
  <c r="H30" i="50"/>
  <c r="H28" i="50"/>
  <c r="H27" i="50"/>
  <c r="H25" i="50"/>
  <c r="H24" i="50"/>
  <c r="H22" i="50"/>
  <c r="H21" i="50"/>
  <c r="H19" i="50"/>
  <c r="H18" i="50"/>
  <c r="H16" i="50"/>
  <c r="H15" i="50"/>
  <c r="H13" i="50"/>
  <c r="H12" i="50"/>
  <c r="H10" i="50"/>
  <c r="H9" i="50"/>
  <c r="H7" i="50"/>
  <c r="P44" i="50"/>
  <c r="N44" i="50"/>
  <c r="M44" i="50"/>
  <c r="L44" i="50"/>
  <c r="I44" i="50"/>
  <c r="G44" i="50"/>
  <c r="K43" i="50"/>
  <c r="O43" i="50" s="1"/>
  <c r="Q43" i="50" s="1"/>
  <c r="K44" i="50"/>
  <c r="O38" i="50"/>
  <c r="Q38" i="50" s="1"/>
  <c r="O36" i="50"/>
  <c r="Q36" i="50" s="1"/>
  <c r="O35" i="50"/>
  <c r="Q35" i="50" s="1"/>
  <c r="O34" i="50"/>
  <c r="Q34" i="50" s="1"/>
  <c r="O23" i="50"/>
  <c r="Q23" i="50" s="1"/>
  <c r="O42" i="50" l="1"/>
  <c r="Q42" i="50" s="1"/>
  <c r="H44" i="50"/>
  <c r="O10" i="49" l="1"/>
  <c r="Q10" i="49" s="1"/>
  <c r="O11" i="49"/>
  <c r="Q11" i="49" s="1"/>
  <c r="O13" i="49"/>
  <c r="Q13" i="49" s="1"/>
  <c r="O14" i="49"/>
  <c r="Q14" i="49" s="1"/>
  <c r="O16" i="49"/>
  <c r="Q16" i="49" s="1"/>
  <c r="O18" i="49"/>
  <c r="Q18" i="49" s="1"/>
  <c r="O20" i="49"/>
  <c r="Q20" i="49" s="1"/>
  <c r="O21" i="49"/>
  <c r="Q21" i="49" s="1"/>
  <c r="O23" i="49"/>
  <c r="Q23" i="49" s="1"/>
  <c r="O24" i="49"/>
  <c r="Q24" i="49" s="1"/>
  <c r="O25" i="49"/>
  <c r="Q25" i="49" s="1"/>
  <c r="O27" i="49"/>
  <c r="Q27" i="49" s="1"/>
  <c r="O29" i="49"/>
  <c r="Q29" i="49" s="1"/>
  <c r="O30" i="49"/>
  <c r="Q30" i="49" s="1"/>
  <c r="O31" i="49"/>
  <c r="Q31" i="49" s="1"/>
  <c r="O32" i="49"/>
  <c r="Q32" i="49" s="1"/>
  <c r="O33" i="49"/>
  <c r="Q33" i="49" s="1"/>
  <c r="O34" i="49"/>
  <c r="Q34" i="49" s="1"/>
  <c r="O35" i="49"/>
  <c r="Q35" i="49" s="1"/>
  <c r="O36" i="49"/>
  <c r="Q36" i="49" s="1"/>
  <c r="O37" i="49"/>
  <c r="Q37" i="49" s="1"/>
  <c r="O38" i="49"/>
  <c r="Q38" i="49" s="1"/>
  <c r="O39" i="49"/>
  <c r="Q39" i="49" s="1"/>
  <c r="O40" i="49"/>
  <c r="Q40" i="49" s="1"/>
  <c r="K41" i="49" l="1"/>
  <c r="O41" i="49" s="1"/>
  <c r="Q41" i="49" s="1"/>
  <c r="H28" i="49" l="1"/>
  <c r="O28" i="49" s="1"/>
  <c r="Q28" i="49" s="1"/>
  <c r="H22" i="49"/>
  <c r="O22" i="49" s="1"/>
  <c r="Q22" i="49" s="1"/>
  <c r="H26" i="49"/>
  <c r="O26" i="49" s="1"/>
  <c r="Q26" i="49" s="1"/>
  <c r="H19" i="49"/>
  <c r="O19" i="49" s="1"/>
  <c r="Q19" i="49" s="1"/>
  <c r="H12" i="49"/>
  <c r="O12" i="49" s="1"/>
  <c r="Q12" i="49" s="1"/>
  <c r="H15" i="49"/>
  <c r="O15" i="49" s="1"/>
  <c r="Q15" i="49" s="1"/>
  <c r="H17" i="49"/>
  <c r="O17" i="49" s="1"/>
  <c r="Q17" i="49" s="1"/>
  <c r="H9" i="49"/>
  <c r="O9" i="49" s="1"/>
  <c r="Q9" i="49" s="1"/>
  <c r="H8" i="49"/>
  <c r="O8" i="49" s="1"/>
  <c r="Q8" i="49" s="1"/>
  <c r="P43" i="49"/>
  <c r="M43" i="49"/>
  <c r="L43" i="49"/>
  <c r="I43" i="49"/>
  <c r="G43" i="49"/>
  <c r="K42" i="49"/>
  <c r="O42" i="49" s="1"/>
  <c r="Q42" i="49" s="1"/>
  <c r="N43" i="49"/>
  <c r="J43" i="49"/>
  <c r="O7" i="49"/>
  <c r="Q7" i="49" s="1"/>
  <c r="H43" i="49" l="1"/>
  <c r="K43" i="49"/>
  <c r="K42" i="48"/>
  <c r="Q43" i="49" l="1"/>
  <c r="O43" i="49"/>
  <c r="Q44" i="49" s="1"/>
  <c r="N40" i="48"/>
  <c r="O9" i="48" l="1"/>
  <c r="Q9" i="48" s="1"/>
  <c r="O10" i="48"/>
  <c r="Q10" i="48" s="1"/>
  <c r="O34" i="48"/>
  <c r="Q34" i="48" s="1"/>
  <c r="O35" i="48"/>
  <c r="Q35" i="48" s="1"/>
  <c r="O36" i="48"/>
  <c r="Q36" i="48" s="1"/>
  <c r="O37" i="48"/>
  <c r="Q37" i="48" s="1"/>
  <c r="O38" i="48"/>
  <c r="Q38" i="48" s="1"/>
  <c r="O39" i="48"/>
  <c r="Q39" i="48" s="1"/>
  <c r="O40" i="48"/>
  <c r="Q40" i="48" s="1"/>
  <c r="O41" i="48"/>
  <c r="Q41" i="48" s="1"/>
  <c r="O42" i="48"/>
  <c r="Q42" i="48" s="1"/>
  <c r="H11" i="48"/>
  <c r="O11" i="48" s="1"/>
  <c r="Q11" i="48" s="1"/>
  <c r="H12" i="48"/>
  <c r="O12" i="48" s="1"/>
  <c r="Q12" i="48" s="1"/>
  <c r="H13" i="48"/>
  <c r="O13" i="48" s="1"/>
  <c r="Q13" i="48" s="1"/>
  <c r="H14" i="48"/>
  <c r="H15" i="48"/>
  <c r="O15" i="48" s="1"/>
  <c r="Q15" i="48" s="1"/>
  <c r="H16" i="48"/>
  <c r="O16" i="48" s="1"/>
  <c r="Q16" i="48" s="1"/>
  <c r="H17" i="48"/>
  <c r="O17" i="48" s="1"/>
  <c r="Q17" i="48" s="1"/>
  <c r="H18" i="48"/>
  <c r="O18" i="48" s="1"/>
  <c r="Q18" i="48" s="1"/>
  <c r="H19" i="48"/>
  <c r="O19" i="48" s="1"/>
  <c r="Q19" i="48" s="1"/>
  <c r="H20" i="48"/>
  <c r="O20" i="48" s="1"/>
  <c r="Q20" i="48" s="1"/>
  <c r="H21" i="48"/>
  <c r="O21" i="48" s="1"/>
  <c r="Q21" i="48" s="1"/>
  <c r="H22" i="48"/>
  <c r="O22" i="48" s="1"/>
  <c r="Q22" i="48" s="1"/>
  <c r="H23" i="48"/>
  <c r="O23" i="48" s="1"/>
  <c r="Q23" i="48" s="1"/>
  <c r="H24" i="48"/>
  <c r="O24" i="48" s="1"/>
  <c r="Q24" i="48" s="1"/>
  <c r="H25" i="48"/>
  <c r="O25" i="48" s="1"/>
  <c r="Q25" i="48" s="1"/>
  <c r="H26" i="48"/>
  <c r="O26" i="48" s="1"/>
  <c r="Q26" i="48" s="1"/>
  <c r="H27" i="48"/>
  <c r="O27" i="48" s="1"/>
  <c r="Q27" i="48" s="1"/>
  <c r="H28" i="48"/>
  <c r="O28" i="48" s="1"/>
  <c r="Q28" i="48" s="1"/>
  <c r="H29" i="48"/>
  <c r="O29" i="48" s="1"/>
  <c r="Q29" i="48" s="1"/>
  <c r="H30" i="48"/>
  <c r="O30" i="48" s="1"/>
  <c r="Q30" i="48" s="1"/>
  <c r="H31" i="48"/>
  <c r="O31" i="48" s="1"/>
  <c r="Q31" i="48" s="1"/>
  <c r="H32" i="48"/>
  <c r="H33" i="48"/>
  <c r="O33" i="48" s="1"/>
  <c r="Q33" i="48" s="1"/>
  <c r="H8" i="48"/>
  <c r="O8" i="48" s="1"/>
  <c r="Q8" i="48" s="1"/>
  <c r="J32" i="48"/>
  <c r="O32" i="48" l="1"/>
  <c r="Q32" i="48" s="1"/>
  <c r="J14" i="48"/>
  <c r="O14" i="48" s="1"/>
  <c r="Q14" i="48" s="1"/>
  <c r="P44" i="48"/>
  <c r="N44" i="48"/>
  <c r="M44" i="48"/>
  <c r="L44" i="48"/>
  <c r="I44" i="48"/>
  <c r="G44" i="48"/>
  <c r="K43" i="48"/>
  <c r="O43" i="48" s="1"/>
  <c r="Q43" i="48" s="1"/>
  <c r="J44" i="48"/>
  <c r="O7" i="48"/>
  <c r="Q7" i="48" s="1"/>
  <c r="K44" i="48" l="1"/>
  <c r="H44" i="48"/>
  <c r="Q44" i="48" l="1"/>
  <c r="O44" i="48"/>
  <c r="Q45" i="48" s="1"/>
  <c r="O9" i="47"/>
  <c r="Q9" i="47" s="1"/>
  <c r="O11" i="47"/>
  <c r="Q11" i="47" s="1"/>
  <c r="O13" i="47"/>
  <c r="Q13" i="47" s="1"/>
  <c r="O14" i="47"/>
  <c r="Q14" i="47" s="1"/>
  <c r="O17" i="47"/>
  <c r="Q17" i="47" s="1"/>
  <c r="O19" i="47"/>
  <c r="Q19" i="47" s="1"/>
  <c r="O20" i="47"/>
  <c r="Q20" i="47" s="1"/>
  <c r="O22" i="47"/>
  <c r="Q22" i="47" s="1"/>
  <c r="O23" i="47"/>
  <c r="Q23" i="47" s="1"/>
  <c r="O24" i="47"/>
  <c r="Q24" i="47" s="1"/>
  <c r="O25" i="47"/>
  <c r="Q25" i="47" s="1"/>
  <c r="O26" i="47"/>
  <c r="Q26" i="47" s="1"/>
  <c r="O27" i="47"/>
  <c r="Q27" i="47" s="1"/>
  <c r="O29" i="47"/>
  <c r="Q29" i="47" s="1"/>
  <c r="K28" i="47"/>
  <c r="O28" i="47" s="1"/>
  <c r="Q28" i="47" s="1"/>
  <c r="H33" i="46" l="1"/>
  <c r="J8" i="47" l="1"/>
  <c r="J31" i="47" s="1"/>
  <c r="H8" i="47"/>
  <c r="H10" i="47"/>
  <c r="O10" i="47" s="1"/>
  <c r="Q10" i="47" s="1"/>
  <c r="H12" i="47"/>
  <c r="O12" i="47" s="1"/>
  <c r="Q12" i="47" s="1"/>
  <c r="H15" i="47"/>
  <c r="O15" i="47" s="1"/>
  <c r="Q15" i="47" s="1"/>
  <c r="H16" i="47"/>
  <c r="O16" i="47" s="1"/>
  <c r="Q16" i="47" s="1"/>
  <c r="H18" i="47"/>
  <c r="O18" i="47" s="1"/>
  <c r="Q18" i="47" s="1"/>
  <c r="H21" i="47"/>
  <c r="O21" i="47" s="1"/>
  <c r="Q21" i="47" s="1"/>
  <c r="P31" i="47"/>
  <c r="M31" i="47"/>
  <c r="L31" i="47"/>
  <c r="I31" i="47"/>
  <c r="G31" i="47"/>
  <c r="K30" i="47"/>
  <c r="O30" i="47" s="1"/>
  <c r="Q30" i="47" s="1"/>
  <c r="N31" i="47"/>
  <c r="O8" i="47" l="1"/>
  <c r="Q8" i="47" s="1"/>
  <c r="K31" i="47"/>
  <c r="H31" i="47"/>
  <c r="O7" i="47"/>
  <c r="O9" i="46"/>
  <c r="Q9" i="46" s="1"/>
  <c r="O11" i="46"/>
  <c r="Q11" i="46" s="1"/>
  <c r="O12" i="46"/>
  <c r="Q12" i="46" s="1"/>
  <c r="O17" i="46"/>
  <c r="Q17" i="46" s="1"/>
  <c r="O19" i="46"/>
  <c r="Q19" i="46" s="1"/>
  <c r="O20" i="46"/>
  <c r="Q20" i="46" s="1"/>
  <c r="O21" i="46"/>
  <c r="Q21" i="46" s="1"/>
  <c r="O24" i="46"/>
  <c r="Q24" i="46" s="1"/>
  <c r="O27" i="46"/>
  <c r="Q27" i="46" s="1"/>
  <c r="O29" i="46"/>
  <c r="Q29" i="46" s="1"/>
  <c r="O30" i="46"/>
  <c r="Q30" i="46" s="1"/>
  <c r="O33" i="46"/>
  <c r="Q33" i="46" s="1"/>
  <c r="O34" i="46"/>
  <c r="Q34" i="46" s="1"/>
  <c r="O35" i="46"/>
  <c r="Q35" i="46" s="1"/>
  <c r="O36" i="46"/>
  <c r="Q36" i="46" s="1"/>
  <c r="O37" i="46"/>
  <c r="Q37" i="46" s="1"/>
  <c r="O38" i="46"/>
  <c r="Q38" i="46" s="1"/>
  <c r="O39" i="46"/>
  <c r="Q39" i="46" s="1"/>
  <c r="O40" i="46"/>
  <c r="Q40" i="46" s="1"/>
  <c r="O41" i="46"/>
  <c r="Q41" i="46" s="1"/>
  <c r="O42" i="46"/>
  <c r="Q42" i="46" s="1"/>
  <c r="O43" i="46"/>
  <c r="Q43" i="46" s="1"/>
  <c r="O44" i="46"/>
  <c r="Q44" i="46" s="1"/>
  <c r="O31" i="47" l="1"/>
  <c r="Q32" i="47" s="1"/>
  <c r="Q7" i="47"/>
  <c r="Q31" i="47" s="1"/>
  <c r="J32" i="46"/>
  <c r="O32" i="46" s="1"/>
  <c r="Q32" i="46" s="1"/>
  <c r="J16" i="46"/>
  <c r="J15" i="46"/>
  <c r="J14" i="46"/>
  <c r="O14" i="46" s="1"/>
  <c r="Q14" i="46" s="1"/>
  <c r="J13" i="46"/>
  <c r="O13" i="46" s="1"/>
  <c r="Q13" i="46" s="1"/>
  <c r="J10" i="46"/>
  <c r="J8" i="46"/>
  <c r="O8" i="46" s="1"/>
  <c r="Q8" i="46" s="1"/>
  <c r="H10" i="46"/>
  <c r="H15" i="46"/>
  <c r="H16" i="46"/>
  <c r="H18" i="46"/>
  <c r="O18" i="46" s="1"/>
  <c r="Q18" i="46" s="1"/>
  <c r="H22" i="46"/>
  <c r="O22" i="46" s="1"/>
  <c r="Q22" i="46" s="1"/>
  <c r="H23" i="46"/>
  <c r="O23" i="46" s="1"/>
  <c r="Q23" i="46" s="1"/>
  <c r="H25" i="46"/>
  <c r="O25" i="46" s="1"/>
  <c r="Q25" i="46" s="1"/>
  <c r="H26" i="46"/>
  <c r="O26" i="46" s="1"/>
  <c r="Q26" i="46" s="1"/>
  <c r="H28" i="46"/>
  <c r="O28" i="46" s="1"/>
  <c r="Q28" i="46" s="1"/>
  <c r="H31" i="46"/>
  <c r="O31" i="46" s="1"/>
  <c r="Q31" i="46" s="1"/>
  <c r="H7" i="46"/>
  <c r="O16" i="46" l="1"/>
  <c r="Q16" i="46" s="1"/>
  <c r="O15" i="46"/>
  <c r="Q15" i="46" s="1"/>
  <c r="O10" i="46"/>
  <c r="Q10" i="46" s="1"/>
  <c r="P46" i="46"/>
  <c r="N46" i="46"/>
  <c r="M46" i="46"/>
  <c r="I46" i="46"/>
  <c r="G46" i="46"/>
  <c r="K45" i="46"/>
  <c r="L46" i="46"/>
  <c r="J46" i="46"/>
  <c r="H46" i="46"/>
  <c r="H48" i="46" s="1"/>
  <c r="O7" i="46"/>
  <c r="Q7" i="46" s="1"/>
  <c r="K46" i="46" l="1"/>
  <c r="O45" i="46"/>
  <c r="Q45" i="46" s="1"/>
  <c r="Q46" i="46" s="1"/>
  <c r="J30" i="45"/>
  <c r="J14" i="45"/>
  <c r="Q33" i="47" l="1"/>
  <c r="Q48" i="46"/>
  <c r="O46" i="46"/>
  <c r="Q47" i="46" s="1"/>
  <c r="O41" i="45"/>
  <c r="Q41" i="45" s="1"/>
  <c r="O42" i="45"/>
  <c r="Q42" i="45" s="1"/>
  <c r="O43" i="45"/>
  <c r="Q43" i="45" s="1"/>
  <c r="Q46" i="48" l="1"/>
  <c r="J27" i="45"/>
  <c r="J12" i="45"/>
  <c r="J10" i="45"/>
  <c r="H30" i="45"/>
  <c r="O30" i="45" s="1"/>
  <c r="Q30" i="45" s="1"/>
  <c r="H28" i="45"/>
  <c r="O28" i="45" s="1"/>
  <c r="Q28" i="45" s="1"/>
  <c r="H14" i="45"/>
  <c r="O14" i="45" s="1"/>
  <c r="Q14" i="45" s="1"/>
  <c r="H16" i="45"/>
  <c r="O16" i="45" s="1"/>
  <c r="Q16" i="45" s="1"/>
  <c r="H19" i="45"/>
  <c r="O19" i="45" s="1"/>
  <c r="Q19" i="45" s="1"/>
  <c r="H22" i="45"/>
  <c r="H24" i="45"/>
  <c r="H12" i="45"/>
  <c r="O12" i="45" s="1"/>
  <c r="Q12" i="45" s="1"/>
  <c r="H10" i="45"/>
  <c r="H8" i="45"/>
  <c r="O8" i="45" s="1"/>
  <c r="Q8" i="45" s="1"/>
  <c r="L39" i="45"/>
  <c r="O39" i="45" s="1"/>
  <c r="Q39" i="45" s="1"/>
  <c r="L38" i="45"/>
  <c r="O38" i="45" s="1"/>
  <c r="Q38" i="45" s="1"/>
  <c r="L37" i="45"/>
  <c r="O37" i="45" s="1"/>
  <c r="Q37" i="45" s="1"/>
  <c r="L36" i="45"/>
  <c r="O36" i="45" s="1"/>
  <c r="Q36" i="45" s="1"/>
  <c r="P45" i="45"/>
  <c r="N45" i="45"/>
  <c r="M45" i="45"/>
  <c r="I45" i="45"/>
  <c r="G45" i="45"/>
  <c r="K44" i="45"/>
  <c r="O40" i="45"/>
  <c r="Q40" i="45" s="1"/>
  <c r="O35" i="45"/>
  <c r="Q35" i="45" s="1"/>
  <c r="O32" i="45"/>
  <c r="Q32" i="45" s="1"/>
  <c r="O31" i="45"/>
  <c r="Q31" i="45" s="1"/>
  <c r="O29" i="45"/>
  <c r="Q29" i="45" s="1"/>
  <c r="O27" i="45"/>
  <c r="Q27" i="45" s="1"/>
  <c r="O26" i="45"/>
  <c r="Q26" i="45" s="1"/>
  <c r="O25" i="45"/>
  <c r="Q25" i="45" s="1"/>
  <c r="O24" i="45"/>
  <c r="Q24" i="45" s="1"/>
  <c r="O23" i="45"/>
  <c r="Q23" i="45" s="1"/>
  <c r="O22" i="45"/>
  <c r="Q22" i="45" s="1"/>
  <c r="O21" i="45"/>
  <c r="Q21" i="45" s="1"/>
  <c r="O20" i="45"/>
  <c r="Q20" i="45" s="1"/>
  <c r="O18" i="45"/>
  <c r="Q18" i="45" s="1"/>
  <c r="O17" i="45"/>
  <c r="Q17" i="45" s="1"/>
  <c r="O15" i="45"/>
  <c r="Q15" i="45" s="1"/>
  <c r="O13" i="45"/>
  <c r="Q13" i="45" s="1"/>
  <c r="O11" i="45"/>
  <c r="Q11" i="45" s="1"/>
  <c r="O9" i="45"/>
  <c r="Q9" i="45" s="1"/>
  <c r="O7" i="45"/>
  <c r="O10" i="45" l="1"/>
  <c r="Q10" i="45" s="1"/>
  <c r="Q45" i="49"/>
  <c r="K45" i="45"/>
  <c r="O44" i="45"/>
  <c r="Q44" i="45" s="1"/>
  <c r="L45" i="45"/>
  <c r="H45" i="45"/>
  <c r="H47" i="45" s="1"/>
  <c r="J45" i="45"/>
  <c r="Q7" i="45"/>
  <c r="H32" i="44"/>
  <c r="H33" i="44"/>
  <c r="O45" i="45" l="1"/>
  <c r="Q46" i="45" s="1"/>
  <c r="Q45" i="45"/>
  <c r="J25" i="44"/>
  <c r="J18" i="44"/>
  <c r="H31" i="44"/>
  <c r="H28" i="44"/>
  <c r="H13" i="44"/>
  <c r="H15" i="44"/>
  <c r="H16" i="44"/>
  <c r="H20" i="44"/>
  <c r="H24" i="44"/>
  <c r="H11" i="44"/>
  <c r="H9" i="44"/>
  <c r="H7" i="44"/>
  <c r="O43" i="44" l="1"/>
  <c r="Q43" i="44" s="1"/>
  <c r="O42" i="44"/>
  <c r="Q42" i="44" s="1"/>
  <c r="O41" i="44"/>
  <c r="Q41" i="44" s="1"/>
  <c r="O40" i="44"/>
  <c r="Q40" i="44" s="1"/>
  <c r="N37" i="44"/>
  <c r="O37" i="44" s="1"/>
  <c r="Q37" i="44" s="1"/>
  <c r="P46" i="44"/>
  <c r="M46" i="44"/>
  <c r="L46" i="44"/>
  <c r="J46" i="44"/>
  <c r="I46" i="44"/>
  <c r="G46" i="44"/>
  <c r="K45" i="44"/>
  <c r="K46" i="44" s="1"/>
  <c r="O44" i="44"/>
  <c r="Q44" i="44" s="1"/>
  <c r="O39" i="44"/>
  <c r="Q39" i="44" s="1"/>
  <c r="O38" i="44"/>
  <c r="Q38" i="44" s="1"/>
  <c r="O36" i="44"/>
  <c r="Q36" i="44" s="1"/>
  <c r="O35" i="44"/>
  <c r="Q35" i="44" s="1"/>
  <c r="O33" i="44"/>
  <c r="Q33" i="44" s="1"/>
  <c r="O32" i="44"/>
  <c r="Q32" i="44" s="1"/>
  <c r="O31" i="44"/>
  <c r="Q31" i="44" s="1"/>
  <c r="O30" i="44"/>
  <c r="Q30" i="44" s="1"/>
  <c r="O29" i="44"/>
  <c r="Q29" i="44" s="1"/>
  <c r="O28" i="44"/>
  <c r="Q28" i="44" s="1"/>
  <c r="O27" i="44"/>
  <c r="Q27" i="44" s="1"/>
  <c r="O26" i="44"/>
  <c r="Q26" i="44" s="1"/>
  <c r="O25" i="44"/>
  <c r="Q25" i="44" s="1"/>
  <c r="O24" i="44"/>
  <c r="Q24" i="44" s="1"/>
  <c r="O23" i="44"/>
  <c r="Q23" i="44" s="1"/>
  <c r="O22" i="44"/>
  <c r="Q22" i="44" s="1"/>
  <c r="O21" i="44"/>
  <c r="Q21" i="44" s="1"/>
  <c r="O20" i="44"/>
  <c r="Q20" i="44" s="1"/>
  <c r="O19" i="44"/>
  <c r="Q19" i="44" s="1"/>
  <c r="O18" i="44"/>
  <c r="Q18" i="44" s="1"/>
  <c r="O17" i="44"/>
  <c r="Q17" i="44" s="1"/>
  <c r="O16" i="44"/>
  <c r="Q16" i="44" s="1"/>
  <c r="O15" i="44"/>
  <c r="Q15" i="44" s="1"/>
  <c r="O14" i="44"/>
  <c r="Q14" i="44" s="1"/>
  <c r="O13" i="44"/>
  <c r="Q13" i="44" s="1"/>
  <c r="O12" i="44"/>
  <c r="Q12" i="44" s="1"/>
  <c r="O11" i="44"/>
  <c r="Q11" i="44" s="1"/>
  <c r="O10" i="44"/>
  <c r="Q10" i="44" s="1"/>
  <c r="O9" i="44"/>
  <c r="Q9" i="44" s="1"/>
  <c r="O8" i="44"/>
  <c r="Q8" i="44" s="1"/>
  <c r="O7" i="44"/>
  <c r="Q7" i="44" s="1"/>
  <c r="N46" i="44" l="1"/>
  <c r="H46" i="44"/>
  <c r="H48" i="44" s="1"/>
  <c r="O45" i="44"/>
  <c r="Q45" i="44" s="1"/>
  <c r="Q46" i="44" s="1"/>
  <c r="O46" i="44" l="1"/>
  <c r="Q47" i="44" s="1"/>
  <c r="O9" i="43"/>
  <c r="Q9" i="43" s="1"/>
  <c r="O10" i="43"/>
  <c r="Q10" i="43" s="1"/>
  <c r="O11" i="43"/>
  <c r="Q11" i="43" s="1"/>
  <c r="O12" i="43"/>
  <c r="Q12" i="43" s="1"/>
  <c r="O13" i="43"/>
  <c r="Q13" i="43" s="1"/>
  <c r="O14" i="43"/>
  <c r="Q14" i="43" s="1"/>
  <c r="O19" i="43"/>
  <c r="Q19" i="43" s="1"/>
  <c r="O20" i="43"/>
  <c r="Q20" i="43" s="1"/>
  <c r="O21" i="43"/>
  <c r="Q21" i="43" s="1"/>
  <c r="O23" i="43"/>
  <c r="Q23" i="43" s="1"/>
  <c r="O25" i="43"/>
  <c r="Q25" i="43" s="1"/>
  <c r="O27" i="43"/>
  <c r="Q27" i="43" s="1"/>
  <c r="O29" i="43"/>
  <c r="Q29" i="43" s="1"/>
  <c r="O30" i="43"/>
  <c r="Q30" i="43" s="1"/>
  <c r="O33" i="43"/>
  <c r="Q33" i="43" s="1"/>
  <c r="O34" i="43"/>
  <c r="Q34" i="43" s="1"/>
  <c r="O35" i="43"/>
  <c r="Q35" i="43" s="1"/>
  <c r="O36" i="43"/>
  <c r="Q36" i="43" s="1"/>
  <c r="O37" i="43"/>
  <c r="Q37" i="43" s="1"/>
  <c r="O38" i="43"/>
  <c r="Q38" i="43" s="1"/>
  <c r="O39" i="43"/>
  <c r="Q39" i="43" s="1"/>
  <c r="O40" i="43"/>
  <c r="Q40" i="43" s="1"/>
  <c r="J28" i="43" l="1"/>
  <c r="J17" i="43" l="1"/>
  <c r="J8" i="43"/>
  <c r="O8" i="43" s="1"/>
  <c r="Q8" i="43" s="1"/>
  <c r="H22" i="43"/>
  <c r="O22" i="43" s="1"/>
  <c r="Q22" i="43" s="1"/>
  <c r="H24" i="43"/>
  <c r="O24" i="43" s="1"/>
  <c r="Q24" i="43" s="1"/>
  <c r="H26" i="43"/>
  <c r="O26" i="43" s="1"/>
  <c r="Q26" i="43" s="1"/>
  <c r="H28" i="43"/>
  <c r="O28" i="43" s="1"/>
  <c r="Q28" i="43" s="1"/>
  <c r="H31" i="43"/>
  <c r="O31" i="43" s="1"/>
  <c r="Q31" i="43" s="1"/>
  <c r="H32" i="43"/>
  <c r="O32" i="43" s="1"/>
  <c r="Q32" i="43" s="1"/>
  <c r="H16" i="43"/>
  <c r="O16" i="43" s="1"/>
  <c r="Q16" i="43" s="1"/>
  <c r="H17" i="43"/>
  <c r="H18" i="43"/>
  <c r="O18" i="43" s="1"/>
  <c r="Q18" i="43" s="1"/>
  <c r="H15" i="43"/>
  <c r="O15" i="43" s="1"/>
  <c r="Q15" i="43" s="1"/>
  <c r="P42" i="43"/>
  <c r="N42" i="43"/>
  <c r="M42" i="43"/>
  <c r="L42" i="43"/>
  <c r="I42" i="43"/>
  <c r="G42" i="43"/>
  <c r="K41" i="43"/>
  <c r="O7" i="43"/>
  <c r="Q7" i="43" s="1"/>
  <c r="O17" i="43" l="1"/>
  <c r="Q17" i="43" s="1"/>
  <c r="K42" i="43"/>
  <c r="O41" i="43"/>
  <c r="Q41" i="43" s="1"/>
  <c r="J42" i="43"/>
  <c r="H42" i="43"/>
  <c r="H44" i="43" s="1"/>
  <c r="J29" i="42"/>
  <c r="J25" i="42"/>
  <c r="J24" i="42"/>
  <c r="Q42" i="43" l="1"/>
  <c r="O42" i="43"/>
  <c r="N39" i="42"/>
  <c r="P39" i="42"/>
  <c r="M39" i="42"/>
  <c r="L39" i="42"/>
  <c r="I39" i="42"/>
  <c r="H39" i="42"/>
  <c r="G39" i="42"/>
  <c r="K38" i="42"/>
  <c r="K39" i="42" s="1"/>
  <c r="O37" i="42"/>
  <c r="Q37" i="42" s="1"/>
  <c r="O36" i="42"/>
  <c r="Q36" i="42" s="1"/>
  <c r="O35" i="42"/>
  <c r="Q35" i="42" s="1"/>
  <c r="O34" i="42"/>
  <c r="Q34" i="42" s="1"/>
  <c r="O33" i="42"/>
  <c r="Q33" i="42" s="1"/>
  <c r="O32" i="42"/>
  <c r="Q32" i="42" s="1"/>
  <c r="O31" i="42"/>
  <c r="Q31" i="42" s="1"/>
  <c r="O30" i="42"/>
  <c r="Q30" i="42" s="1"/>
  <c r="O29" i="42"/>
  <c r="Q29" i="42" s="1"/>
  <c r="O28" i="42"/>
  <c r="Q28" i="42" s="1"/>
  <c r="O27" i="42"/>
  <c r="Q27" i="42" s="1"/>
  <c r="O26" i="42"/>
  <c r="Q26" i="42" s="1"/>
  <c r="O25" i="42"/>
  <c r="Q25" i="42" s="1"/>
  <c r="O24" i="42"/>
  <c r="Q24" i="42" s="1"/>
  <c r="O23" i="42"/>
  <c r="Q23" i="42" s="1"/>
  <c r="O22" i="42"/>
  <c r="Q22" i="42" s="1"/>
  <c r="O21" i="42"/>
  <c r="Q21" i="42" s="1"/>
  <c r="O20" i="42"/>
  <c r="Q20" i="42" s="1"/>
  <c r="O19" i="42"/>
  <c r="Q19" i="42" s="1"/>
  <c r="O18" i="42"/>
  <c r="Q18" i="42" s="1"/>
  <c r="O17" i="42"/>
  <c r="Q17" i="42" s="1"/>
  <c r="O16" i="42"/>
  <c r="Q16" i="42" s="1"/>
  <c r="O15" i="42"/>
  <c r="Q15" i="42" s="1"/>
  <c r="O14" i="42"/>
  <c r="Q14" i="42" s="1"/>
  <c r="O13" i="42"/>
  <c r="Q13" i="42" s="1"/>
  <c r="O12" i="42"/>
  <c r="O11" i="42"/>
  <c r="Q11" i="42" s="1"/>
  <c r="O10" i="42"/>
  <c r="Q10" i="42" s="1"/>
  <c r="O9" i="42"/>
  <c r="Q9" i="42" s="1"/>
  <c r="O8" i="42"/>
  <c r="Q8" i="42" s="1"/>
  <c r="O7" i="42"/>
  <c r="Q12" i="42" l="1"/>
  <c r="J39" i="42"/>
  <c r="Q7" i="42"/>
  <c r="O38" i="42"/>
  <c r="Q38" i="42" s="1"/>
  <c r="O35" i="41"/>
  <c r="O37" i="41"/>
  <c r="O38" i="41"/>
  <c r="O39" i="41"/>
  <c r="O40" i="41"/>
  <c r="O41" i="41"/>
  <c r="O42" i="41"/>
  <c r="O43" i="41"/>
  <c r="O44" i="41"/>
  <c r="O45" i="41"/>
  <c r="O46" i="41"/>
  <c r="O47" i="41"/>
  <c r="O48" i="41"/>
  <c r="O49" i="41"/>
  <c r="O50" i="41"/>
  <c r="O8" i="41"/>
  <c r="O9" i="41"/>
  <c r="O10" i="41"/>
  <c r="O11" i="41"/>
  <c r="O12" i="41"/>
  <c r="O13" i="41"/>
  <c r="O15" i="41"/>
  <c r="O17" i="41"/>
  <c r="O20" i="41"/>
  <c r="O21" i="41"/>
  <c r="O22" i="41"/>
  <c r="O23" i="41"/>
  <c r="O25" i="41"/>
  <c r="O26" i="41"/>
  <c r="O27" i="41"/>
  <c r="O28" i="41"/>
  <c r="O29" i="41"/>
  <c r="O30" i="41"/>
  <c r="O32" i="41"/>
  <c r="O33" i="41"/>
  <c r="O7" i="41"/>
  <c r="I52" i="41"/>
  <c r="L52" i="41"/>
  <c r="M52" i="41"/>
  <c r="N52" i="41"/>
  <c r="H52" i="41"/>
  <c r="Q39" i="42" l="1"/>
  <c r="O39" i="42"/>
  <c r="J18" i="41" l="1"/>
  <c r="O18" i="41" s="1"/>
  <c r="J36" i="41"/>
  <c r="O36" i="41" s="1"/>
  <c r="Q49" i="41" l="1"/>
  <c r="Q35" i="41" l="1"/>
  <c r="Q36" i="41"/>
  <c r="Q37" i="41"/>
  <c r="Q38" i="41"/>
  <c r="Q39" i="41"/>
  <c r="Q48" i="41" l="1"/>
  <c r="Q47" i="41"/>
  <c r="Q46" i="41"/>
  <c r="J34" i="41"/>
  <c r="J31" i="41"/>
  <c r="J24" i="41"/>
  <c r="O24" i="41" s="1"/>
  <c r="Q24" i="41" s="1"/>
  <c r="J19" i="41"/>
  <c r="J16" i="41"/>
  <c r="J14" i="41"/>
  <c r="P52" i="41"/>
  <c r="G52" i="41"/>
  <c r="K51" i="41"/>
  <c r="Q50" i="41"/>
  <c r="Q44" i="41"/>
  <c r="Q43" i="41"/>
  <c r="Q42" i="41"/>
  <c r="Q41" i="41"/>
  <c r="Q40" i="41"/>
  <c r="Q33" i="41"/>
  <c r="Q32" i="41"/>
  <c r="Q30" i="41"/>
  <c r="Q29" i="41"/>
  <c r="Q28" i="41"/>
  <c r="Q27" i="41"/>
  <c r="Q26" i="41"/>
  <c r="Q25" i="41"/>
  <c r="Q23" i="41"/>
  <c r="Q22" i="41"/>
  <c r="Q21" i="41"/>
  <c r="Q20" i="41"/>
  <c r="Q18" i="41"/>
  <c r="Q17" i="41"/>
  <c r="Q15" i="41"/>
  <c r="Q13" i="41"/>
  <c r="Q12" i="41"/>
  <c r="Q11" i="41"/>
  <c r="Q10" i="41"/>
  <c r="Q9" i="41"/>
  <c r="Q8" i="41"/>
  <c r="Q7" i="41"/>
  <c r="O34" i="41" l="1"/>
  <c r="Q34" i="41" s="1"/>
  <c r="O16" i="41"/>
  <c r="Q16" i="41" s="1"/>
  <c r="O19" i="41"/>
  <c r="Q19" i="41" s="1"/>
  <c r="O31" i="41"/>
  <c r="Q31" i="41" s="1"/>
  <c r="K52" i="41"/>
  <c r="O51" i="41"/>
  <c r="Q51" i="41" s="1"/>
  <c r="J52" i="41"/>
  <c r="O14" i="41"/>
  <c r="H33" i="40"/>
  <c r="O41" i="40"/>
  <c r="Q41" i="40" s="1"/>
  <c r="N40" i="40"/>
  <c r="O40" i="40" s="1"/>
  <c r="Q40" i="40" s="1"/>
  <c r="O52" i="41" l="1"/>
  <c r="Q14" i="41"/>
  <c r="Q45" i="41"/>
  <c r="O9" i="40"/>
  <c r="Q9" i="40" s="1"/>
  <c r="O10" i="40"/>
  <c r="Q10" i="40" s="1"/>
  <c r="O11" i="40"/>
  <c r="Q11" i="40" s="1"/>
  <c r="O12" i="40"/>
  <c r="Q12" i="40" s="1"/>
  <c r="O13" i="40"/>
  <c r="Q13" i="40" s="1"/>
  <c r="O14" i="40"/>
  <c r="Q14" i="40" s="1"/>
  <c r="O15" i="40"/>
  <c r="Q15" i="40" s="1"/>
  <c r="O16" i="40"/>
  <c r="Q16" i="40" s="1"/>
  <c r="O17" i="40"/>
  <c r="Q17" i="40" s="1"/>
  <c r="O18" i="40"/>
  <c r="Q18" i="40" s="1"/>
  <c r="O19" i="40"/>
  <c r="Q19" i="40" s="1"/>
  <c r="O20" i="40"/>
  <c r="Q20" i="40" s="1"/>
  <c r="O21" i="40"/>
  <c r="Q21" i="40" s="1"/>
  <c r="O23" i="40"/>
  <c r="Q23" i="40" s="1"/>
  <c r="O24" i="40"/>
  <c r="Q24" i="40" s="1"/>
  <c r="O25" i="40"/>
  <c r="Q25" i="40" s="1"/>
  <c r="O27" i="40"/>
  <c r="Q27" i="40" s="1"/>
  <c r="O28" i="40"/>
  <c r="Q28" i="40" s="1"/>
  <c r="O29" i="40"/>
  <c r="Q29" i="40" s="1"/>
  <c r="O30" i="40"/>
  <c r="Q30" i="40" s="1"/>
  <c r="O31" i="40"/>
  <c r="Q31" i="40" s="1"/>
  <c r="O32" i="40"/>
  <c r="Q32" i="40" s="1"/>
  <c r="O33" i="40"/>
  <c r="Q33" i="40" s="1"/>
  <c r="O34" i="40"/>
  <c r="Q34" i="40" s="1"/>
  <c r="O35" i="40"/>
  <c r="Q35" i="40" s="1"/>
  <c r="O36" i="40"/>
  <c r="Q36" i="40" s="1"/>
  <c r="O37" i="40"/>
  <c r="Q37" i="40" s="1"/>
  <c r="O38" i="40"/>
  <c r="Q38" i="40" s="1"/>
  <c r="O39" i="40"/>
  <c r="Q39" i="40" s="1"/>
  <c r="Q52" i="41" l="1"/>
  <c r="J26" i="40"/>
  <c r="O26" i="40" s="1"/>
  <c r="Q26" i="40" s="1"/>
  <c r="J22" i="40"/>
  <c r="O22" i="40" s="1"/>
  <c r="Q22" i="40" s="1"/>
  <c r="J8" i="40"/>
  <c r="O8" i="40" s="1"/>
  <c r="Q8" i="40" s="1"/>
  <c r="J7" i="40"/>
  <c r="O7" i="40" s="1"/>
  <c r="Q7" i="40" s="1"/>
  <c r="P43" i="40"/>
  <c r="N43" i="40"/>
  <c r="M43" i="40"/>
  <c r="L43" i="40"/>
  <c r="I43" i="40"/>
  <c r="H43" i="40"/>
  <c r="G43" i="40"/>
  <c r="K42" i="40"/>
  <c r="K43" i="40" l="1"/>
  <c r="O42" i="40"/>
  <c r="Q42" i="40" s="1"/>
  <c r="Q43" i="40" s="1"/>
  <c r="J43" i="40"/>
  <c r="J23" i="39"/>
  <c r="O43" i="40" l="1"/>
  <c r="P38" i="39"/>
  <c r="N38" i="39"/>
  <c r="M38" i="39"/>
  <c r="L38" i="39"/>
  <c r="I38" i="39"/>
  <c r="H38" i="39"/>
  <c r="G38" i="39"/>
  <c r="K37" i="39"/>
  <c r="O37" i="39" s="1"/>
  <c r="Q37" i="39" s="1"/>
  <c r="O36" i="39"/>
  <c r="Q36" i="39" s="1"/>
  <c r="O35" i="39"/>
  <c r="Q35" i="39" s="1"/>
  <c r="O34" i="39"/>
  <c r="Q34" i="39" s="1"/>
  <c r="O33" i="39"/>
  <c r="Q33" i="39" s="1"/>
  <c r="O32" i="39"/>
  <c r="Q32" i="39" s="1"/>
  <c r="O30" i="39"/>
  <c r="Q30" i="39" s="1"/>
  <c r="O29" i="39"/>
  <c r="Q29" i="39" s="1"/>
  <c r="O28" i="39"/>
  <c r="Q28" i="39" s="1"/>
  <c r="O27" i="39"/>
  <c r="Q27" i="39" s="1"/>
  <c r="O26" i="39"/>
  <c r="Q26" i="39" s="1"/>
  <c r="O25" i="39"/>
  <c r="Q25" i="39" s="1"/>
  <c r="J24" i="39"/>
  <c r="O24" i="39" s="1"/>
  <c r="Q24" i="39" s="1"/>
  <c r="O23" i="39"/>
  <c r="Q23" i="39" s="1"/>
  <c r="O22" i="39"/>
  <c r="Q22" i="39" s="1"/>
  <c r="O21" i="39"/>
  <c r="Q21" i="39" s="1"/>
  <c r="O20" i="39"/>
  <c r="Q20" i="39" s="1"/>
  <c r="O19" i="39"/>
  <c r="Q19" i="39" s="1"/>
  <c r="J18" i="39"/>
  <c r="O17" i="39"/>
  <c r="Q17" i="39" s="1"/>
  <c r="O16" i="39"/>
  <c r="Q16" i="39" s="1"/>
  <c r="O15" i="39"/>
  <c r="Q15" i="39" s="1"/>
  <c r="O14" i="39"/>
  <c r="Q14" i="39" s="1"/>
  <c r="O13" i="39"/>
  <c r="Q13" i="39" s="1"/>
  <c r="O12" i="39"/>
  <c r="Q12" i="39" s="1"/>
  <c r="O11" i="39"/>
  <c r="Q11" i="39" s="1"/>
  <c r="O10" i="39"/>
  <c r="Q10" i="39" s="1"/>
  <c r="O9" i="39"/>
  <c r="Q9" i="39" s="1"/>
  <c r="O8" i="39"/>
  <c r="Q8" i="39" s="1"/>
  <c r="O7" i="39"/>
  <c r="Q7" i="39" s="1"/>
  <c r="K38" i="39" l="1"/>
  <c r="J38" i="39"/>
  <c r="O18" i="39"/>
  <c r="Q18" i="39" s="1"/>
  <c r="Q38" i="39" s="1"/>
  <c r="O38" i="39" l="1"/>
  <c r="P16" i="38"/>
  <c r="J11" i="38" l="1"/>
  <c r="J17" i="38" l="1"/>
  <c r="O8" i="38" l="1"/>
  <c r="Q8" i="38" s="1"/>
  <c r="O9" i="38"/>
  <c r="Q9" i="38" s="1"/>
  <c r="O10" i="38"/>
  <c r="Q10" i="38" s="1"/>
  <c r="O12" i="38"/>
  <c r="Q12" i="38" s="1"/>
  <c r="O14" i="38"/>
  <c r="Q14" i="38" s="1"/>
  <c r="O15" i="38"/>
  <c r="Q15" i="38" s="1"/>
  <c r="O19" i="38"/>
  <c r="Q19" i="38" s="1"/>
  <c r="O20" i="38"/>
  <c r="Q20" i="38" s="1"/>
  <c r="O21" i="38"/>
  <c r="Q21" i="38" s="1"/>
  <c r="O22" i="38"/>
  <c r="Q22" i="38" s="1"/>
  <c r="O23" i="38"/>
  <c r="Q23" i="38" s="1"/>
  <c r="O24" i="38"/>
  <c r="Q24" i="38" s="1"/>
  <c r="O25" i="38"/>
  <c r="Q25" i="38" s="1"/>
  <c r="O26" i="38"/>
  <c r="Q26" i="38" s="1"/>
  <c r="O27" i="38"/>
  <c r="Q27" i="38" s="1"/>
  <c r="O28" i="38"/>
  <c r="Q28" i="38" s="1"/>
  <c r="O30" i="38"/>
  <c r="Q30" i="38" s="1"/>
  <c r="O31" i="38"/>
  <c r="Q31" i="38" s="1"/>
  <c r="O32" i="38"/>
  <c r="Q32" i="38" s="1"/>
  <c r="O33" i="38"/>
  <c r="Q33" i="38" s="1"/>
  <c r="O34" i="38"/>
  <c r="Q34" i="38" s="1"/>
  <c r="O35" i="38"/>
  <c r="Q35" i="38" s="1"/>
  <c r="O36" i="38"/>
  <c r="Q36" i="38" s="1"/>
  <c r="O37" i="38"/>
  <c r="Q37" i="38" s="1"/>
  <c r="O38" i="38"/>
  <c r="Q38" i="38" s="1"/>
  <c r="O39" i="38"/>
  <c r="Q39" i="38" s="1"/>
  <c r="O40" i="38"/>
  <c r="Q40" i="38" s="1"/>
  <c r="O41" i="38"/>
  <c r="Q41" i="38" s="1"/>
  <c r="O42" i="38"/>
  <c r="Q42" i="38" s="1"/>
  <c r="O7" i="38"/>
  <c r="J29" i="38" l="1"/>
  <c r="O29" i="38" s="1"/>
  <c r="Q29" i="38" s="1"/>
  <c r="O18" i="38"/>
  <c r="Q18" i="38" s="1"/>
  <c r="O17" i="38"/>
  <c r="Q17" i="38" s="1"/>
  <c r="J16" i="38"/>
  <c r="O16" i="38" s="1"/>
  <c r="Q16" i="38" s="1"/>
  <c r="J13" i="38"/>
  <c r="O13" i="38" s="1"/>
  <c r="Q13" i="38" s="1"/>
  <c r="O11" i="38"/>
  <c r="Q11" i="38" s="1"/>
  <c r="P44" i="38"/>
  <c r="I44" i="38"/>
  <c r="G44" i="38"/>
  <c r="K43" i="38"/>
  <c r="O43" i="38" s="1"/>
  <c r="Q43" i="38" s="1"/>
  <c r="M44" i="38"/>
  <c r="L44" i="38"/>
  <c r="N44" i="38"/>
  <c r="H44" i="38"/>
  <c r="J44" i="38" l="1"/>
  <c r="O44" i="38"/>
  <c r="Q7" i="38"/>
  <c r="K44" i="38"/>
  <c r="N33" i="37"/>
  <c r="O33" i="37" s="1"/>
  <c r="Q33" i="37" s="1"/>
  <c r="H30" i="37"/>
  <c r="Q44" i="38" l="1"/>
  <c r="O8" i="37"/>
  <c r="O9" i="37"/>
  <c r="O12" i="37"/>
  <c r="O13" i="37"/>
  <c r="O14" i="37"/>
  <c r="O15" i="37"/>
  <c r="O16" i="37"/>
  <c r="O17" i="37"/>
  <c r="O18" i="37"/>
  <c r="O19" i="37"/>
  <c r="O20" i="37"/>
  <c r="O21" i="37"/>
  <c r="O22" i="37"/>
  <c r="O24" i="37"/>
  <c r="O25" i="37"/>
  <c r="O26" i="37"/>
  <c r="O27" i="37"/>
  <c r="O28" i="37"/>
  <c r="O29" i="37"/>
  <c r="O30" i="37"/>
  <c r="O31" i="37"/>
  <c r="O32" i="37"/>
  <c r="O35" i="37"/>
  <c r="O37" i="37"/>
  <c r="O38" i="37"/>
  <c r="O39" i="37"/>
  <c r="O40" i="37"/>
  <c r="O41" i="37"/>
  <c r="O42" i="37"/>
  <c r="O43" i="37"/>
  <c r="O44" i="37"/>
  <c r="K34" i="37"/>
  <c r="O34" i="37" s="1"/>
  <c r="Q30" i="37" l="1"/>
  <c r="Q31" i="37"/>
  <c r="Q32" i="37"/>
  <c r="Q35" i="37"/>
  <c r="Q37" i="37"/>
  <c r="Q38" i="37"/>
  <c r="Q39" i="37"/>
  <c r="Q40" i="37"/>
  <c r="Q41" i="37"/>
  <c r="Q42" i="37"/>
  <c r="Q43" i="37"/>
  <c r="Q44" i="37"/>
  <c r="Q29" i="37"/>
  <c r="Q34" i="37"/>
  <c r="J23" i="37"/>
  <c r="O23" i="37" s="1"/>
  <c r="J11" i="37"/>
  <c r="O11" i="37" s="1"/>
  <c r="J10" i="37"/>
  <c r="O10" i="37" s="1"/>
  <c r="M45" i="37" l="1"/>
  <c r="O45" i="37" s="1"/>
  <c r="Q45" i="37" s="1"/>
  <c r="L36" i="37"/>
  <c r="O36" i="37" s="1"/>
  <c r="Q36" i="37" s="1"/>
  <c r="P47" i="37"/>
  <c r="N47" i="37"/>
  <c r="J47" i="37"/>
  <c r="I47" i="37"/>
  <c r="H47" i="37"/>
  <c r="G47" i="37"/>
  <c r="K46" i="37"/>
  <c r="Q28" i="37"/>
  <c r="Q27" i="37"/>
  <c r="Q26" i="37"/>
  <c r="Q25" i="37"/>
  <c r="Q24" i="37"/>
  <c r="Q23" i="37"/>
  <c r="Q22" i="37"/>
  <c r="Q21" i="37"/>
  <c r="Q20" i="37"/>
  <c r="Q19" i="37"/>
  <c r="Q18" i="37"/>
  <c r="Q17" i="37"/>
  <c r="Q16" i="37"/>
  <c r="Q15" i="37"/>
  <c r="Q14" i="37"/>
  <c r="Q13" i="37"/>
  <c r="Q12" i="37"/>
  <c r="Q11" i="37"/>
  <c r="Q10" i="37"/>
  <c r="Q9" i="37"/>
  <c r="Q8" i="37"/>
  <c r="O7" i="37"/>
  <c r="M47" i="37" l="1"/>
  <c r="L47" i="37"/>
  <c r="K47" i="37"/>
  <c r="O46" i="37"/>
  <c r="Q46" i="37" s="1"/>
  <c r="Q7" i="37"/>
  <c r="O8" i="36"/>
  <c r="Q8" i="36" s="1"/>
  <c r="O9" i="36"/>
  <c r="Q9" i="36" s="1"/>
  <c r="O10" i="36"/>
  <c r="Q10" i="36" s="1"/>
  <c r="O11" i="36"/>
  <c r="Q11" i="36" s="1"/>
  <c r="O12" i="36"/>
  <c r="Q12" i="36" s="1"/>
  <c r="O13" i="36"/>
  <c r="Q13" i="36" s="1"/>
  <c r="O14" i="36"/>
  <c r="Q14" i="36" s="1"/>
  <c r="O15" i="36"/>
  <c r="Q15" i="36" s="1"/>
  <c r="O16" i="36"/>
  <c r="Q16" i="36" s="1"/>
  <c r="O17" i="36"/>
  <c r="Q17" i="36" s="1"/>
  <c r="O18" i="36"/>
  <c r="Q18" i="36" s="1"/>
  <c r="O19" i="36"/>
  <c r="Q19" i="36" s="1"/>
  <c r="O20" i="36"/>
  <c r="Q20" i="36" s="1"/>
  <c r="O21" i="36"/>
  <c r="Q21" i="36" s="1"/>
  <c r="O22" i="36"/>
  <c r="Q22" i="36" s="1"/>
  <c r="O23" i="36"/>
  <c r="Q23" i="36" s="1"/>
  <c r="O24" i="36"/>
  <c r="Q24" i="36" s="1"/>
  <c r="O25" i="36"/>
  <c r="Q25" i="36" s="1"/>
  <c r="O26" i="36"/>
  <c r="Q26" i="36" s="1"/>
  <c r="O27" i="36"/>
  <c r="Q27" i="36" s="1"/>
  <c r="O28" i="36"/>
  <c r="Q28" i="36" s="1"/>
  <c r="O29" i="36"/>
  <c r="Q29" i="36" s="1"/>
  <c r="O30" i="36"/>
  <c r="Q30" i="36" s="1"/>
  <c r="O31" i="36"/>
  <c r="Q31" i="36" s="1"/>
  <c r="O32" i="36"/>
  <c r="Q32" i="36" s="1"/>
  <c r="O33" i="36"/>
  <c r="Q33" i="36" s="1"/>
  <c r="O34" i="36"/>
  <c r="Q34" i="36" s="1"/>
  <c r="O35" i="36"/>
  <c r="Q35" i="36" s="1"/>
  <c r="P37" i="36"/>
  <c r="N37" i="36"/>
  <c r="M37" i="36"/>
  <c r="L37" i="36"/>
  <c r="I37" i="36"/>
  <c r="H37" i="36"/>
  <c r="G37" i="36"/>
  <c r="K36" i="36"/>
  <c r="K37" i="36" s="1"/>
  <c r="O7" i="36"/>
  <c r="O47" i="37" l="1"/>
  <c r="Q47" i="37"/>
  <c r="O36" i="36"/>
  <c r="Q36" i="36" s="1"/>
  <c r="Q7" i="36"/>
  <c r="J37" i="36"/>
  <c r="O37" i="36" l="1"/>
  <c r="Q37" i="36"/>
  <c r="J7" i="35" l="1"/>
  <c r="O22" i="35"/>
  <c r="Q22" i="35" s="1"/>
  <c r="P24" i="35" l="1"/>
  <c r="J10" i="35" l="1"/>
  <c r="J24" i="35" s="1"/>
  <c r="N24" i="35"/>
  <c r="M24" i="35"/>
  <c r="L24" i="35"/>
  <c r="I24" i="35"/>
  <c r="H24" i="35"/>
  <c r="G24" i="35"/>
  <c r="K23" i="35"/>
  <c r="K24" i="35" s="1"/>
  <c r="O21" i="35"/>
  <c r="Q21" i="35" s="1"/>
  <c r="O20" i="35"/>
  <c r="Q20" i="35" s="1"/>
  <c r="O19" i="35"/>
  <c r="Q19" i="35" s="1"/>
  <c r="O18" i="35"/>
  <c r="Q18" i="35" s="1"/>
  <c r="O17" i="35"/>
  <c r="Q17" i="35" s="1"/>
  <c r="O16" i="35"/>
  <c r="Q16" i="35" s="1"/>
  <c r="O15" i="35"/>
  <c r="Q15" i="35" s="1"/>
  <c r="O14" i="35"/>
  <c r="Q14" i="35" s="1"/>
  <c r="O13" i="35"/>
  <c r="Q13" i="35" s="1"/>
  <c r="O12" i="35"/>
  <c r="Q12" i="35" s="1"/>
  <c r="O11" i="35"/>
  <c r="Q11" i="35" s="1"/>
  <c r="O9" i="35"/>
  <c r="Q9" i="35" s="1"/>
  <c r="O8" i="35"/>
  <c r="Q8" i="35" s="1"/>
  <c r="O7" i="35"/>
  <c r="O10" i="35" l="1"/>
  <c r="Q10" i="35" s="1"/>
  <c r="Q7" i="35"/>
  <c r="O23" i="35"/>
  <c r="Q23" i="35" s="1"/>
  <c r="P40" i="34"/>
  <c r="L40" i="34"/>
  <c r="H40" i="34"/>
  <c r="J23" i="34"/>
  <c r="Q24" i="35" l="1"/>
  <c r="O24" i="35"/>
  <c r="J34" i="34"/>
  <c r="O34" i="34" s="1"/>
  <c r="Q34" i="34" s="1"/>
  <c r="J31" i="34"/>
  <c r="O31" i="34" s="1"/>
  <c r="Q31" i="34" s="1"/>
  <c r="J29" i="34"/>
  <c r="O29" i="34" s="1"/>
  <c r="Q29" i="34" s="1"/>
  <c r="J24" i="34"/>
  <c r="O24" i="34" s="1"/>
  <c r="Q24" i="34" s="1"/>
  <c r="J19" i="34"/>
  <c r="O19" i="34" s="1"/>
  <c r="Q19" i="34" s="1"/>
  <c r="J18" i="34"/>
  <c r="O18" i="34" s="1"/>
  <c r="Q18" i="34" s="1"/>
  <c r="J17" i="34"/>
  <c r="O17" i="34" s="1"/>
  <c r="Q17" i="34" s="1"/>
  <c r="J16" i="34"/>
  <c r="O16" i="34" s="1"/>
  <c r="Q16" i="34" s="1"/>
  <c r="J15" i="34"/>
  <c r="O15" i="34" s="1"/>
  <c r="Q15" i="34" s="1"/>
  <c r="J13" i="34"/>
  <c r="O13" i="34" s="1"/>
  <c r="Q13" i="34" s="1"/>
  <c r="J11" i="34"/>
  <c r="O11" i="34" s="1"/>
  <c r="Q11" i="34" s="1"/>
  <c r="J10" i="34"/>
  <c r="O10" i="34" s="1"/>
  <c r="Q10" i="34" s="1"/>
  <c r="J9" i="34"/>
  <c r="O9" i="34" s="1"/>
  <c r="N40" i="34"/>
  <c r="M40" i="34"/>
  <c r="I40" i="34"/>
  <c r="G40" i="34"/>
  <c r="K39" i="34"/>
  <c r="K40" i="34" s="1"/>
  <c r="O38" i="34"/>
  <c r="Q38" i="34" s="1"/>
  <c r="O37" i="34"/>
  <c r="Q37" i="34" s="1"/>
  <c r="O36" i="34"/>
  <c r="Q36" i="34" s="1"/>
  <c r="O35" i="34"/>
  <c r="Q35" i="34" s="1"/>
  <c r="O33" i="34"/>
  <c r="Q33" i="34" s="1"/>
  <c r="O32" i="34"/>
  <c r="Q32" i="34" s="1"/>
  <c r="O30" i="34"/>
  <c r="Q30" i="34" s="1"/>
  <c r="O27" i="34"/>
  <c r="Q27" i="34" s="1"/>
  <c r="O26" i="34"/>
  <c r="Q26" i="34" s="1"/>
  <c r="O25" i="34"/>
  <c r="Q25" i="34" s="1"/>
  <c r="O22" i="34"/>
  <c r="Q22" i="34" s="1"/>
  <c r="O21" i="34"/>
  <c r="Q21" i="34" s="1"/>
  <c r="O20" i="34"/>
  <c r="Q20" i="34" s="1"/>
  <c r="O14" i="34"/>
  <c r="Q14" i="34" s="1"/>
  <c r="O12" i="34"/>
  <c r="Q12" i="34" s="1"/>
  <c r="J40" i="34" l="1"/>
  <c r="Q9" i="34"/>
  <c r="O39" i="34"/>
  <c r="Q39" i="34" s="1"/>
  <c r="O23" i="34"/>
  <c r="Q23" i="34" s="1"/>
  <c r="O28" i="34"/>
  <c r="Q28" i="34" s="1"/>
  <c r="O41" i="33"/>
  <c r="Q41" i="33" s="1"/>
  <c r="Q40" i="34" l="1"/>
  <c r="Q42" i="34" s="1"/>
  <c r="O40" i="34"/>
  <c r="O42" i="33"/>
  <c r="Q42" i="33" s="1"/>
  <c r="Q26" i="35" l="1"/>
  <c r="O10" i="33"/>
  <c r="O11" i="33"/>
  <c r="O12" i="33"/>
  <c r="O13" i="33"/>
  <c r="O14" i="33"/>
  <c r="O15" i="33"/>
  <c r="O16" i="33"/>
  <c r="O17" i="33"/>
  <c r="O18" i="33"/>
  <c r="O19" i="33"/>
  <c r="O20" i="33"/>
  <c r="O21" i="33"/>
  <c r="O22" i="33"/>
  <c r="O26" i="33"/>
  <c r="O30" i="33"/>
  <c r="O32" i="33"/>
  <c r="O33" i="33"/>
  <c r="O36" i="33"/>
  <c r="O37" i="33"/>
  <c r="O39" i="33"/>
  <c r="O40" i="33"/>
  <c r="O43" i="33"/>
  <c r="O44" i="33"/>
  <c r="Q28" i="35" l="1"/>
  <c r="Q29" i="35" s="1"/>
  <c r="Q39" i="36"/>
  <c r="Q49" i="37" s="1"/>
  <c r="Q46" i="38" s="1"/>
  <c r="L38" i="33"/>
  <c r="O38" i="33" s="1"/>
  <c r="Q38" i="33" s="1"/>
  <c r="H28" i="33"/>
  <c r="Q26" i="33"/>
  <c r="J35" i="33"/>
  <c r="O35" i="33" s="1"/>
  <c r="J34" i="33"/>
  <c r="J31" i="33"/>
  <c r="O31" i="33" s="1"/>
  <c r="Q31" i="33" s="1"/>
  <c r="J29" i="33"/>
  <c r="J28" i="33"/>
  <c r="J27" i="33"/>
  <c r="J25" i="33"/>
  <c r="O25" i="33" s="1"/>
  <c r="Q25" i="33" s="1"/>
  <c r="J24" i="33"/>
  <c r="O24" i="33" s="1"/>
  <c r="Q24" i="33" s="1"/>
  <c r="J23" i="33"/>
  <c r="O23" i="33" s="1"/>
  <c r="Q23" i="33" s="1"/>
  <c r="Q22" i="33"/>
  <c r="Q21" i="33"/>
  <c r="Q20" i="33"/>
  <c r="Q19" i="33"/>
  <c r="Q18" i="33"/>
  <c r="Q17" i="33"/>
  <c r="Q16" i="33"/>
  <c r="P46" i="33"/>
  <c r="N46" i="33"/>
  <c r="M46" i="33"/>
  <c r="I46" i="33"/>
  <c r="G46" i="33"/>
  <c r="K45" i="33"/>
  <c r="Q43" i="33"/>
  <c r="Q40" i="33"/>
  <c r="Q39" i="33"/>
  <c r="Q37" i="33"/>
  <c r="Q36" i="33"/>
  <c r="Q33" i="33"/>
  <c r="Q32" i="33"/>
  <c r="Q30" i="33"/>
  <c r="Q15" i="33"/>
  <c r="Q14" i="33"/>
  <c r="Q13" i="33"/>
  <c r="Q12" i="33"/>
  <c r="Q11" i="33"/>
  <c r="Q10" i="33"/>
  <c r="O9" i="33"/>
  <c r="Q9" i="33" s="1"/>
  <c r="L46" i="33" l="1"/>
  <c r="Q40" i="39"/>
  <c r="O34" i="33"/>
  <c r="Q34" i="33" s="1"/>
  <c r="K46" i="33"/>
  <c r="O45" i="33"/>
  <c r="Q45" i="33" s="1"/>
  <c r="O27" i="33"/>
  <c r="Q27" i="33" s="1"/>
  <c r="O29" i="33"/>
  <c r="Q29" i="33" s="1"/>
  <c r="H46" i="33"/>
  <c r="O28" i="33"/>
  <c r="Q28" i="33" s="1"/>
  <c r="J46" i="33"/>
  <c r="O39" i="32"/>
  <c r="Q39" i="32" s="1"/>
  <c r="Q45" i="40" l="1"/>
  <c r="Q35" i="33"/>
  <c r="Q46" i="33" s="1"/>
  <c r="O46" i="33"/>
  <c r="O41" i="32"/>
  <c r="Q41" i="32" s="1"/>
  <c r="O42" i="32"/>
  <c r="Q42" i="32" s="1"/>
  <c r="O43" i="32"/>
  <c r="Q43" i="32" s="1"/>
  <c r="O44" i="32"/>
  <c r="Q44" i="32" s="1"/>
  <c r="O45" i="32"/>
  <c r="Q45" i="32" s="1"/>
  <c r="O46" i="32"/>
  <c r="Q46" i="32" s="1"/>
  <c r="J19" i="32"/>
  <c r="Q54" i="41" l="1"/>
  <c r="O10" i="32"/>
  <c r="Q10" i="32" s="1"/>
  <c r="O11" i="32"/>
  <c r="Q11" i="32" s="1"/>
  <c r="O12" i="32"/>
  <c r="Q12" i="32" s="1"/>
  <c r="O13" i="32"/>
  <c r="Q13" i="32" s="1"/>
  <c r="O14" i="32"/>
  <c r="Q14" i="32" s="1"/>
  <c r="O15" i="32"/>
  <c r="Q15" i="32" s="1"/>
  <c r="O16" i="32"/>
  <c r="Q16" i="32" s="1"/>
  <c r="O17" i="32"/>
  <c r="Q17" i="32" s="1"/>
  <c r="O18" i="32"/>
  <c r="Q18" i="32" s="1"/>
  <c r="O19" i="32"/>
  <c r="Q19" i="32" s="1"/>
  <c r="O20" i="32"/>
  <c r="Q20" i="32" s="1"/>
  <c r="O21" i="32"/>
  <c r="Q21" i="32" s="1"/>
  <c r="O22" i="32"/>
  <c r="Q22" i="32" s="1"/>
  <c r="O23" i="32"/>
  <c r="Q23" i="32" s="1"/>
  <c r="O25" i="32"/>
  <c r="Q25" i="32" s="1"/>
  <c r="O26" i="32"/>
  <c r="Q26" i="32" s="1"/>
  <c r="O27" i="32"/>
  <c r="Q27" i="32" s="1"/>
  <c r="O28" i="32"/>
  <c r="Q28" i="32" s="1"/>
  <c r="O29" i="32"/>
  <c r="Q29" i="32" s="1"/>
  <c r="O30" i="32"/>
  <c r="Q30" i="32" s="1"/>
  <c r="O31" i="32"/>
  <c r="Q31" i="32" s="1"/>
  <c r="O32" i="32"/>
  <c r="Q32" i="32" s="1"/>
  <c r="O33" i="32"/>
  <c r="Q33" i="32" s="1"/>
  <c r="O34" i="32"/>
  <c r="Q34" i="32" s="1"/>
  <c r="O35" i="32"/>
  <c r="Q35" i="32" s="1"/>
  <c r="O36" i="32"/>
  <c r="Q36" i="32" s="1"/>
  <c r="O37" i="32"/>
  <c r="Q37" i="32" s="1"/>
  <c r="O40" i="32"/>
  <c r="J24" i="32"/>
  <c r="O24" i="32" s="1"/>
  <c r="Q24" i="32" s="1"/>
  <c r="Q41" i="42" l="1"/>
  <c r="Q40" i="32"/>
  <c r="L38" i="32"/>
  <c r="O38" i="32" s="1"/>
  <c r="Q38" i="32" s="1"/>
  <c r="P48" i="32"/>
  <c r="N48" i="32"/>
  <c r="M48" i="32"/>
  <c r="J48" i="32"/>
  <c r="I48" i="32"/>
  <c r="H48" i="32"/>
  <c r="G48" i="32"/>
  <c r="K47" i="32"/>
  <c r="O9" i="32"/>
  <c r="Q44" i="43" l="1"/>
  <c r="L48" i="32"/>
  <c r="K48" i="32"/>
  <c r="O47" i="32"/>
  <c r="Q47" i="32" s="1"/>
  <c r="Q9" i="32"/>
  <c r="O33" i="31"/>
  <c r="Q33" i="31" s="1"/>
  <c r="O10" i="31"/>
  <c r="Q10" i="31" s="1"/>
  <c r="O11" i="31"/>
  <c r="Q11" i="31" s="1"/>
  <c r="O12" i="31"/>
  <c r="Q12" i="31" s="1"/>
  <c r="O13" i="31"/>
  <c r="Q13" i="31" s="1"/>
  <c r="O14" i="31"/>
  <c r="Q14" i="31" s="1"/>
  <c r="O15" i="31"/>
  <c r="Q15" i="31" s="1"/>
  <c r="O16" i="31"/>
  <c r="Q16" i="31" s="1"/>
  <c r="O17" i="31"/>
  <c r="Q17" i="31" s="1"/>
  <c r="O18" i="31"/>
  <c r="Q18" i="31" s="1"/>
  <c r="O19" i="31"/>
  <c r="Q19" i="31" s="1"/>
  <c r="O20" i="31"/>
  <c r="Q20" i="31" s="1"/>
  <c r="O21" i="31"/>
  <c r="Q21" i="31" s="1"/>
  <c r="O22" i="31"/>
  <c r="Q22" i="31" s="1"/>
  <c r="O23" i="31"/>
  <c r="Q23" i="31" s="1"/>
  <c r="O24" i="31"/>
  <c r="Q24" i="31" s="1"/>
  <c r="O25" i="31"/>
  <c r="Q25" i="31" s="1"/>
  <c r="O26" i="31"/>
  <c r="Q26" i="31" s="1"/>
  <c r="O27" i="31"/>
  <c r="Q27" i="31" s="1"/>
  <c r="O28" i="31"/>
  <c r="Q28" i="31" s="1"/>
  <c r="O29" i="31"/>
  <c r="Q29" i="31" s="1"/>
  <c r="O30" i="31"/>
  <c r="Q30" i="31" s="1"/>
  <c r="O31" i="31"/>
  <c r="Q31" i="31" s="1"/>
  <c r="O32" i="31"/>
  <c r="Q32" i="31" s="1"/>
  <c r="Q48" i="44" l="1"/>
  <c r="Q48" i="32"/>
  <c r="O48" i="32"/>
  <c r="P35" i="31"/>
  <c r="N35" i="31"/>
  <c r="M35" i="31"/>
  <c r="L35" i="31"/>
  <c r="I35" i="31"/>
  <c r="H35" i="31"/>
  <c r="G35" i="31"/>
  <c r="K34" i="31"/>
  <c r="J35" i="31"/>
  <c r="O9" i="31"/>
  <c r="Q47" i="45" l="1"/>
  <c r="K35" i="31"/>
  <c r="O34" i="31"/>
  <c r="Q34" i="31" s="1"/>
  <c r="Q9" i="31"/>
  <c r="J28" i="30"/>
  <c r="J18" i="30"/>
  <c r="J16" i="30"/>
  <c r="Q35" i="31" l="1"/>
  <c r="O35" i="31"/>
  <c r="O16" i="30"/>
  <c r="Q16" i="30" s="1"/>
  <c r="O18" i="30"/>
  <c r="Q18" i="30" s="1"/>
  <c r="O21" i="30"/>
  <c r="Q21" i="30" s="1"/>
  <c r="O22" i="30"/>
  <c r="Q22" i="30" s="1"/>
  <c r="O23" i="30"/>
  <c r="Q23" i="30" s="1"/>
  <c r="O24" i="30"/>
  <c r="Q24" i="30" s="1"/>
  <c r="O25" i="30"/>
  <c r="Q25" i="30" s="1"/>
  <c r="O26" i="30"/>
  <c r="Q26" i="30" s="1"/>
  <c r="O27" i="30"/>
  <c r="Q27" i="30" s="1"/>
  <c r="O28" i="30"/>
  <c r="Q28" i="30" s="1"/>
  <c r="O29" i="30"/>
  <c r="Q29" i="30" s="1"/>
  <c r="O30" i="30"/>
  <c r="Q30" i="30" s="1"/>
  <c r="O31" i="30"/>
  <c r="Q31" i="30" s="1"/>
  <c r="O32" i="30"/>
  <c r="Q32" i="30" s="1"/>
  <c r="O33" i="30"/>
  <c r="Q33" i="30" s="1"/>
  <c r="O34" i="30"/>
  <c r="Q34" i="30" s="1"/>
  <c r="J20" i="30" l="1"/>
  <c r="O20" i="30" s="1"/>
  <c r="Q20" i="30" s="1"/>
  <c r="J19" i="30"/>
  <c r="O19" i="30" s="1"/>
  <c r="Q19" i="30" s="1"/>
  <c r="Q41" i="29" l="1"/>
  <c r="P39" i="29"/>
  <c r="M39" i="29"/>
  <c r="L39" i="29"/>
  <c r="I39" i="29"/>
  <c r="H39" i="29"/>
  <c r="G39" i="29"/>
  <c r="K38" i="29"/>
  <c r="K39" i="29" s="1"/>
  <c r="N37" i="29"/>
  <c r="O37" i="29" s="1"/>
  <c r="Q37" i="29" s="1"/>
  <c r="O36" i="29"/>
  <c r="Q36" i="29" s="1"/>
  <c r="O35" i="29"/>
  <c r="Q35" i="29" s="1"/>
  <c r="O34" i="29"/>
  <c r="Q34" i="29" s="1"/>
  <c r="O33" i="29"/>
  <c r="Q33" i="29" s="1"/>
  <c r="O32" i="29"/>
  <c r="Q32" i="29" s="1"/>
  <c r="J31" i="29"/>
  <c r="O31" i="29" s="1"/>
  <c r="Q31" i="29" s="1"/>
  <c r="J30" i="29"/>
  <c r="O30" i="29" s="1"/>
  <c r="Q30" i="29" s="1"/>
  <c r="J29" i="29"/>
  <c r="O29" i="29" s="1"/>
  <c r="Q29" i="29" s="1"/>
  <c r="J28" i="29"/>
  <c r="O28" i="29" s="1"/>
  <c r="Q28" i="29" s="1"/>
  <c r="J27" i="29"/>
  <c r="O27" i="29" s="1"/>
  <c r="Q27" i="29" s="1"/>
  <c r="J26" i="29"/>
  <c r="O26" i="29" s="1"/>
  <c r="Q26" i="29" s="1"/>
  <c r="J25" i="29"/>
  <c r="O25" i="29" s="1"/>
  <c r="Q25" i="29" s="1"/>
  <c r="J24" i="29"/>
  <c r="O24" i="29" s="1"/>
  <c r="Q24" i="29" s="1"/>
  <c r="J23" i="29"/>
  <c r="O23" i="29" s="1"/>
  <c r="Q23" i="29" s="1"/>
  <c r="J22" i="29"/>
  <c r="O22" i="29" s="1"/>
  <c r="Q22" i="29" s="1"/>
  <c r="J21" i="29"/>
  <c r="O21" i="29" s="1"/>
  <c r="Q21" i="29" s="1"/>
  <c r="J20" i="29"/>
  <c r="O20" i="29" s="1"/>
  <c r="Q20" i="29" s="1"/>
  <c r="J19" i="29"/>
  <c r="O19" i="29" s="1"/>
  <c r="Q19" i="29" s="1"/>
  <c r="J18" i="29"/>
  <c r="O18" i="29" s="1"/>
  <c r="Q18" i="29" s="1"/>
  <c r="J17" i="29"/>
  <c r="O17" i="29" s="1"/>
  <c r="Q17" i="29" s="1"/>
  <c r="J16" i="29"/>
  <c r="O16" i="29" s="1"/>
  <c r="Q16" i="29" s="1"/>
  <c r="J15" i="29"/>
  <c r="O15" i="29" s="1"/>
  <c r="Q15" i="29" s="1"/>
  <c r="J14" i="29"/>
  <c r="O14" i="29" s="1"/>
  <c r="Q14" i="29" s="1"/>
  <c r="J13" i="29"/>
  <c r="O13" i="29" s="1"/>
  <c r="Q13" i="29" s="1"/>
  <c r="J12" i="29"/>
  <c r="O12" i="29" s="1"/>
  <c r="Q12" i="29" s="1"/>
  <c r="J11" i="29"/>
  <c r="O11" i="29" s="1"/>
  <c r="Q11" i="29" s="1"/>
  <c r="J10" i="29"/>
  <c r="O10" i="29" s="1"/>
  <c r="Q10" i="29" s="1"/>
  <c r="J9" i="29"/>
  <c r="J39" i="29" l="1"/>
  <c r="N39" i="29"/>
  <c r="O9" i="29"/>
  <c r="O38" i="29"/>
  <c r="Q38" i="29" s="1"/>
  <c r="Q9" i="29" l="1"/>
  <c r="Q39" i="29" s="1"/>
  <c r="O39" i="29"/>
  <c r="J17" i="30" l="1"/>
  <c r="O17" i="30" s="1"/>
  <c r="Q17" i="30" s="1"/>
  <c r="J15" i="30"/>
  <c r="O15" i="30" s="1"/>
  <c r="Q15" i="30" s="1"/>
  <c r="J14" i="30"/>
  <c r="O14" i="30" s="1"/>
  <c r="Q14" i="30" s="1"/>
  <c r="J13" i="30"/>
  <c r="O13" i="30" s="1"/>
  <c r="Q13" i="30" s="1"/>
  <c r="J12" i="30"/>
  <c r="O12" i="30" s="1"/>
  <c r="Q12" i="30" s="1"/>
  <c r="J11" i="30"/>
  <c r="O11" i="30" s="1"/>
  <c r="Q11" i="30" s="1"/>
  <c r="J10" i="30"/>
  <c r="O10" i="30" s="1"/>
  <c r="Q10" i="30" s="1"/>
  <c r="J9" i="30"/>
  <c r="P36" i="30"/>
  <c r="M36" i="30"/>
  <c r="L36" i="30"/>
  <c r="I36" i="30"/>
  <c r="H36" i="30"/>
  <c r="G36" i="30"/>
  <c r="K35" i="30"/>
  <c r="N36" i="30"/>
  <c r="K36" i="30" l="1"/>
  <c r="O35" i="30"/>
  <c r="Q35" i="30" s="1"/>
  <c r="J36" i="30"/>
  <c r="O9" i="30"/>
  <c r="Q9" i="30" l="1"/>
  <c r="Q36" i="30" s="1"/>
  <c r="O36" i="30"/>
  <c r="Q38" i="30" l="1"/>
  <c r="O11" i="28"/>
  <c r="Q11" i="28" s="1"/>
  <c r="O31" i="28"/>
  <c r="Q31" i="28" s="1"/>
  <c r="O32" i="28"/>
  <c r="Q32" i="28" s="1"/>
  <c r="O33" i="28"/>
  <c r="Q33" i="28" s="1"/>
  <c r="O34" i="28"/>
  <c r="Q34" i="28" s="1"/>
  <c r="O35" i="28"/>
  <c r="Q35" i="28" s="1"/>
  <c r="O36" i="28"/>
  <c r="Q36" i="28" s="1"/>
  <c r="O37" i="28"/>
  <c r="Q37" i="28" s="1"/>
  <c r="O38" i="28"/>
  <c r="Q38" i="28" s="1"/>
  <c r="O39" i="28"/>
  <c r="Q39" i="28" s="1"/>
  <c r="O40" i="28"/>
  <c r="Q40" i="28" s="1"/>
  <c r="O41" i="28"/>
  <c r="Q41" i="28" s="1"/>
  <c r="O42" i="28"/>
  <c r="Q42" i="28" s="1"/>
  <c r="Q37" i="31" l="1"/>
  <c r="K43" i="28"/>
  <c r="O43" i="28" s="1"/>
  <c r="Q43" i="28" s="1"/>
  <c r="J30" i="28"/>
  <c r="O30" i="28" s="1"/>
  <c r="Q30" i="28" s="1"/>
  <c r="J29" i="28"/>
  <c r="O29" i="28" s="1"/>
  <c r="Q29" i="28" s="1"/>
  <c r="J28" i="28"/>
  <c r="O28" i="28" s="1"/>
  <c r="Q28" i="28" s="1"/>
  <c r="J27" i="28"/>
  <c r="O27" i="28" s="1"/>
  <c r="Q27" i="28" s="1"/>
  <c r="J26" i="28"/>
  <c r="O26" i="28" s="1"/>
  <c r="Q26" i="28" s="1"/>
  <c r="J25" i="28"/>
  <c r="O25" i="28" s="1"/>
  <c r="Q25" i="28" s="1"/>
  <c r="J24" i="28"/>
  <c r="O24" i="28" s="1"/>
  <c r="Q24" i="28" s="1"/>
  <c r="J23" i="28"/>
  <c r="O23" i="28" s="1"/>
  <c r="Q23" i="28" s="1"/>
  <c r="J22" i="28"/>
  <c r="O22" i="28" s="1"/>
  <c r="Q22" i="28" s="1"/>
  <c r="J21" i="28"/>
  <c r="O21" i="28" s="1"/>
  <c r="Q21" i="28" s="1"/>
  <c r="J20" i="28"/>
  <c r="O20" i="28" s="1"/>
  <c r="Q20" i="28" s="1"/>
  <c r="J19" i="28"/>
  <c r="O19" i="28" s="1"/>
  <c r="Q19" i="28" s="1"/>
  <c r="J18" i="28"/>
  <c r="O18" i="28" s="1"/>
  <c r="Q18" i="28" s="1"/>
  <c r="J17" i="28"/>
  <c r="O17" i="28" s="1"/>
  <c r="Q17" i="28" s="1"/>
  <c r="J16" i="28"/>
  <c r="O16" i="28" s="1"/>
  <c r="Q16" i="28" s="1"/>
  <c r="J15" i="28"/>
  <c r="O15" i="28" s="1"/>
  <c r="Q15" i="28" s="1"/>
  <c r="J13" i="28"/>
  <c r="O13" i="28" s="1"/>
  <c r="Q13" i="28" s="1"/>
  <c r="J14" i="28"/>
  <c r="O14" i="28" s="1"/>
  <c r="Q14" i="28" s="1"/>
  <c r="J12" i="28"/>
  <c r="O12" i="28" s="1"/>
  <c r="Q12" i="28" s="1"/>
  <c r="J10" i="28"/>
  <c r="O10" i="28" s="1"/>
  <c r="Q10" i="28" s="1"/>
  <c r="J9" i="28"/>
  <c r="O9" i="28" s="1"/>
  <c r="Q9" i="28" s="1"/>
  <c r="P44" i="28"/>
  <c r="N44" i="28"/>
  <c r="M44" i="28"/>
  <c r="I44" i="28"/>
  <c r="G44" i="28"/>
  <c r="H44" i="28"/>
  <c r="Q50" i="32" l="1"/>
  <c r="Q48" i="33" s="1"/>
  <c r="K44" i="28"/>
  <c r="J44" i="28"/>
  <c r="L44" i="28"/>
  <c r="Q44" i="28" l="1"/>
  <c r="O44" i="28"/>
  <c r="J20" i="27"/>
  <c r="H33" i="27" l="1"/>
  <c r="J32" i="27" l="1"/>
  <c r="O20" i="27" l="1"/>
  <c r="Q20" i="27" s="1"/>
  <c r="O21" i="27"/>
  <c r="Q21" i="27" s="1"/>
  <c r="O23" i="27"/>
  <c r="Q23" i="27" s="1"/>
  <c r="O32" i="27"/>
  <c r="O33" i="27"/>
  <c r="Q33" i="27" s="1"/>
  <c r="O34" i="27"/>
  <c r="Q34" i="27" s="1"/>
  <c r="O36" i="27"/>
  <c r="Q36" i="27" s="1"/>
  <c r="O31" i="27"/>
  <c r="J30" i="27"/>
  <c r="O30" i="27" s="1"/>
  <c r="J29" i="27"/>
  <c r="O29" i="27" s="1"/>
  <c r="J28" i="27"/>
  <c r="O28" i="27" s="1"/>
  <c r="J27" i="27"/>
  <c r="O27" i="27" s="1"/>
  <c r="Q27" i="27" s="1"/>
  <c r="J26" i="27"/>
  <c r="O26" i="27" s="1"/>
  <c r="Q26" i="27" s="1"/>
  <c r="J25" i="27"/>
  <c r="O25" i="27" s="1"/>
  <c r="Q25" i="27" s="1"/>
  <c r="J24" i="27"/>
  <c r="O24" i="27" s="1"/>
  <c r="Q24" i="27" s="1"/>
  <c r="J22" i="27"/>
  <c r="O22" i="27" s="1"/>
  <c r="Q22" i="27" s="1"/>
  <c r="J19" i="27"/>
  <c r="O19" i="27" s="1"/>
  <c r="Q19" i="27" s="1"/>
  <c r="J18" i="27"/>
  <c r="O18" i="27" s="1"/>
  <c r="Q18" i="27" s="1"/>
  <c r="J17" i="27"/>
  <c r="O17" i="27" s="1"/>
  <c r="Q17" i="27" s="1"/>
  <c r="J16" i="27"/>
  <c r="O16" i="27" s="1"/>
  <c r="Q16" i="27" s="1"/>
  <c r="J15" i="27"/>
  <c r="O15" i="27" s="1"/>
  <c r="Q15" i="27" s="1"/>
  <c r="J14" i="27"/>
  <c r="O14" i="27" s="1"/>
  <c r="Q14" i="27" s="1"/>
  <c r="J13" i="27"/>
  <c r="O13" i="27" s="1"/>
  <c r="Q13" i="27" s="1"/>
  <c r="J12" i="27"/>
  <c r="O12" i="27" s="1"/>
  <c r="Q12" i="27" s="1"/>
  <c r="J11" i="27"/>
  <c r="O11" i="27" s="1"/>
  <c r="Q11" i="27" s="1"/>
  <c r="J10" i="27"/>
  <c r="O10" i="27" s="1"/>
  <c r="Q10" i="27" s="1"/>
  <c r="J9" i="27"/>
  <c r="L35" i="27" l="1"/>
  <c r="N37" i="27"/>
  <c r="M37" i="27"/>
  <c r="I37" i="27"/>
  <c r="H37" i="27"/>
  <c r="G37" i="27"/>
  <c r="Q32" i="27"/>
  <c r="Q31" i="27"/>
  <c r="Q30" i="27"/>
  <c r="Q29" i="27"/>
  <c r="Q28" i="27"/>
  <c r="O9" i="27"/>
  <c r="Q9" i="27" s="1"/>
  <c r="P37" i="27"/>
  <c r="K37" i="27"/>
  <c r="L37" i="27" l="1"/>
  <c r="O35" i="27"/>
  <c r="Q35" i="27" s="1"/>
  <c r="Q37" i="27" s="1"/>
  <c r="J37" i="27"/>
  <c r="O23" i="26"/>
  <c r="Q23" i="26" s="1"/>
  <c r="K8" i="26"/>
  <c r="O8" i="26" s="1"/>
  <c r="P8" i="26"/>
  <c r="Q8" i="26" l="1"/>
  <c r="O37" i="27"/>
  <c r="J17" i="26"/>
  <c r="J9" i="26"/>
  <c r="O17" i="26" l="1"/>
  <c r="Q17" i="26" s="1"/>
  <c r="O19" i="26"/>
  <c r="Q19" i="26" s="1"/>
  <c r="O20" i="26"/>
  <c r="Q20" i="26" s="1"/>
  <c r="O22" i="26"/>
  <c r="Q22" i="26" s="1"/>
  <c r="O24" i="26"/>
  <c r="Q24" i="26" s="1"/>
  <c r="L21" i="26" l="1"/>
  <c r="O21" i="26" s="1"/>
  <c r="Q21" i="26" s="1"/>
  <c r="J18" i="26"/>
  <c r="O18" i="26" s="1"/>
  <c r="Q18" i="26" s="1"/>
  <c r="J16" i="26"/>
  <c r="O16" i="26" s="1"/>
  <c r="Q16" i="26" s="1"/>
  <c r="J15" i="26"/>
  <c r="O15" i="26" s="1"/>
  <c r="Q15" i="26" s="1"/>
  <c r="J14" i="26"/>
  <c r="O14" i="26" s="1"/>
  <c r="Q14" i="26" s="1"/>
  <c r="J13" i="26"/>
  <c r="O13" i="26" s="1"/>
  <c r="Q13" i="26" s="1"/>
  <c r="J12" i="26"/>
  <c r="O12" i="26" s="1"/>
  <c r="Q12" i="26" s="1"/>
  <c r="J11" i="26"/>
  <c r="O11" i="26" s="1"/>
  <c r="Q11" i="26" s="1"/>
  <c r="J10" i="26"/>
  <c r="O10" i="26" s="1"/>
  <c r="Q10" i="26" s="1"/>
  <c r="P25" i="26"/>
  <c r="N25" i="26"/>
  <c r="M25" i="26"/>
  <c r="K25" i="26"/>
  <c r="I25" i="26"/>
  <c r="H25" i="26"/>
  <c r="G25" i="26"/>
  <c r="L25" i="26" l="1"/>
  <c r="J25" i="26"/>
  <c r="O9" i="26"/>
  <c r="O25" i="26" s="1"/>
  <c r="Q9" i="26" l="1"/>
  <c r="Q25" i="26" s="1"/>
  <c r="J23" i="25"/>
  <c r="J21" i="25"/>
  <c r="J30" i="25" l="1"/>
  <c r="J28" i="25"/>
  <c r="J27" i="25" l="1"/>
  <c r="O27" i="25" s="1"/>
  <c r="Q27" i="25" s="1"/>
  <c r="J26" i="25"/>
  <c r="O26" i="25" s="1"/>
  <c r="Q26" i="25" s="1"/>
  <c r="J25" i="25"/>
  <c r="O25" i="25" s="1"/>
  <c r="Q25" i="25" s="1"/>
  <c r="J22" i="25"/>
  <c r="O22" i="25" s="1"/>
  <c r="Q22" i="25" s="1"/>
  <c r="J20" i="25"/>
  <c r="O20" i="25" s="1"/>
  <c r="Q20" i="25" s="1"/>
  <c r="J19" i="25"/>
  <c r="O19" i="25" s="1"/>
  <c r="Q19" i="25" s="1"/>
  <c r="J18" i="25"/>
  <c r="O18" i="25" s="1"/>
  <c r="Q18" i="25" s="1"/>
  <c r="J17" i="25"/>
  <c r="O17" i="25" s="1"/>
  <c r="Q17" i="25" s="1"/>
  <c r="J16" i="25"/>
  <c r="O16" i="25" s="1"/>
  <c r="Q16" i="25" s="1"/>
  <c r="J15" i="25"/>
  <c r="O15" i="25" s="1"/>
  <c r="Q15" i="25" s="1"/>
  <c r="J14" i="25"/>
  <c r="O14" i="25" s="1"/>
  <c r="Q14" i="25" s="1"/>
  <c r="J13" i="25"/>
  <c r="O13" i="25" s="1"/>
  <c r="Q13" i="25" s="1"/>
  <c r="J12" i="25"/>
  <c r="O12" i="25" s="1"/>
  <c r="Q12" i="25" s="1"/>
  <c r="J11" i="25"/>
  <c r="O11" i="25" s="1"/>
  <c r="Q11" i="25" s="1"/>
  <c r="J10" i="25"/>
  <c r="O10" i="25" s="1"/>
  <c r="Q10" i="25" s="1"/>
  <c r="J9" i="25"/>
  <c r="J8" i="25"/>
  <c r="O8" i="25" s="1"/>
  <c r="Q8" i="25" s="1"/>
  <c r="O38" i="25"/>
  <c r="Q38" i="25" s="1"/>
  <c r="O37" i="25"/>
  <c r="Q37" i="25" s="1"/>
  <c r="O36" i="25"/>
  <c r="Q36" i="25" s="1"/>
  <c r="P40" i="25"/>
  <c r="N40" i="25"/>
  <c r="M40" i="25"/>
  <c r="L40" i="25"/>
  <c r="K40" i="25"/>
  <c r="I40" i="25"/>
  <c r="H40" i="25"/>
  <c r="G40" i="25"/>
  <c r="O39" i="25"/>
  <c r="Q39" i="25" s="1"/>
  <c r="O35" i="25"/>
  <c r="Q35" i="25" s="1"/>
  <c r="O34" i="25"/>
  <c r="Q34" i="25" s="1"/>
  <c r="O33" i="25"/>
  <c r="Q33" i="25" s="1"/>
  <c r="O32" i="25"/>
  <c r="Q32" i="25" s="1"/>
  <c r="O31" i="25"/>
  <c r="Q31" i="25" s="1"/>
  <c r="O30" i="25"/>
  <c r="Q30" i="25" s="1"/>
  <c r="O29" i="25"/>
  <c r="Q29" i="25" s="1"/>
  <c r="O28" i="25"/>
  <c r="Q28" i="25" s="1"/>
  <c r="O24" i="25"/>
  <c r="Q24" i="25" s="1"/>
  <c r="O23" i="25"/>
  <c r="Q23" i="25" s="1"/>
  <c r="O21" i="25"/>
  <c r="Q21" i="25" s="1"/>
  <c r="J40" i="25" l="1"/>
  <c r="O9" i="25"/>
  <c r="Q9" i="25" s="1"/>
  <c r="Q40" i="25" s="1"/>
  <c r="J11" i="24"/>
  <c r="J10" i="24"/>
  <c r="O40" i="25" l="1"/>
  <c r="Q41" i="25" s="1"/>
  <c r="J30" i="24"/>
  <c r="J18" i="24"/>
  <c r="J17" i="24"/>
  <c r="J9" i="24"/>
  <c r="O9" i="24" l="1"/>
  <c r="Q9" i="24" s="1"/>
  <c r="O10" i="24"/>
  <c r="Q10" i="24" s="1"/>
  <c r="O11" i="24"/>
  <c r="Q11" i="24" s="1"/>
  <c r="O17" i="24"/>
  <c r="Q17" i="24" s="1"/>
  <c r="O18" i="24"/>
  <c r="Q18" i="24" s="1"/>
  <c r="O30" i="24"/>
  <c r="Q30" i="24" s="1"/>
  <c r="O31" i="24"/>
  <c r="Q31" i="24" s="1"/>
  <c r="O35" i="24"/>
  <c r="Q35" i="24" s="1"/>
  <c r="O36" i="24"/>
  <c r="Q36" i="24" s="1"/>
  <c r="O37" i="24"/>
  <c r="Q37" i="24" s="1"/>
  <c r="O38" i="24"/>
  <c r="Q38" i="24" s="1"/>
  <c r="O39" i="24"/>
  <c r="Q39" i="24" s="1"/>
  <c r="J34" i="24"/>
  <c r="O34" i="24" s="1"/>
  <c r="Q34" i="24" s="1"/>
  <c r="J33" i="24"/>
  <c r="O33" i="24" s="1"/>
  <c r="Q33" i="24" s="1"/>
  <c r="J32" i="24"/>
  <c r="O32" i="24" s="1"/>
  <c r="Q32" i="24" s="1"/>
  <c r="J29" i="24"/>
  <c r="O29" i="24" s="1"/>
  <c r="Q29" i="24" s="1"/>
  <c r="J28" i="24"/>
  <c r="O28" i="24" s="1"/>
  <c r="Q28" i="24" s="1"/>
  <c r="J27" i="24"/>
  <c r="O27" i="24" s="1"/>
  <c r="Q27" i="24" s="1"/>
  <c r="J26" i="24"/>
  <c r="O26" i="24" s="1"/>
  <c r="Q26" i="24" s="1"/>
  <c r="J25" i="24"/>
  <c r="O25" i="24" s="1"/>
  <c r="Q25" i="24" s="1"/>
  <c r="J24" i="24"/>
  <c r="O24" i="24" s="1"/>
  <c r="Q24" i="24" s="1"/>
  <c r="J23" i="24"/>
  <c r="O23" i="24" s="1"/>
  <c r="Q23" i="24" s="1"/>
  <c r="J22" i="24"/>
  <c r="O22" i="24" s="1"/>
  <c r="Q22" i="24" s="1"/>
  <c r="J21" i="24"/>
  <c r="O21" i="24" s="1"/>
  <c r="Q21" i="24" s="1"/>
  <c r="J20" i="24"/>
  <c r="O20" i="24" s="1"/>
  <c r="Q20" i="24" s="1"/>
  <c r="J19" i="24"/>
  <c r="O19" i="24" s="1"/>
  <c r="Q19" i="24" s="1"/>
  <c r="J16" i="24"/>
  <c r="O16" i="24" s="1"/>
  <c r="Q16" i="24" s="1"/>
  <c r="J15" i="24"/>
  <c r="O15" i="24" s="1"/>
  <c r="Q15" i="24" s="1"/>
  <c r="J14" i="24"/>
  <c r="O14" i="24" s="1"/>
  <c r="Q14" i="24" s="1"/>
  <c r="J13" i="24"/>
  <c r="O13" i="24" s="1"/>
  <c r="Q13" i="24" s="1"/>
  <c r="J12" i="24"/>
  <c r="O12" i="24" s="1"/>
  <c r="Q12" i="24" s="1"/>
  <c r="J8" i="24"/>
  <c r="O8" i="24" s="1"/>
  <c r="Q8" i="24" s="1"/>
  <c r="P40" i="24"/>
  <c r="N40" i="24"/>
  <c r="M40" i="24"/>
  <c r="L40" i="24"/>
  <c r="K40" i="24"/>
  <c r="I40" i="24"/>
  <c r="H40" i="24"/>
  <c r="G40" i="24"/>
  <c r="O7" i="24"/>
  <c r="Q7" i="24" s="1"/>
  <c r="J40" i="24" l="1"/>
  <c r="Q40" i="24"/>
  <c r="O40" i="24"/>
  <c r="Q41" i="24" s="1"/>
  <c r="O9" i="23"/>
  <c r="Q9" i="23" s="1"/>
  <c r="O11" i="23"/>
  <c r="Q11" i="23" s="1"/>
  <c r="O12" i="23"/>
  <c r="Q12" i="23" s="1"/>
  <c r="O13" i="23"/>
  <c r="Q13" i="23" s="1"/>
  <c r="O15" i="23"/>
  <c r="Q15" i="23" s="1"/>
  <c r="O16" i="23"/>
  <c r="Q16" i="23" s="1"/>
  <c r="O17" i="23"/>
  <c r="Q17" i="23" s="1"/>
  <c r="O19" i="23"/>
  <c r="Q19" i="23" s="1"/>
  <c r="O20" i="23"/>
  <c r="Q20" i="23" s="1"/>
  <c r="O21" i="23"/>
  <c r="Q21" i="23" s="1"/>
  <c r="O23" i="23"/>
  <c r="Q23" i="23" s="1"/>
  <c r="O24" i="23"/>
  <c r="Q24" i="23" s="1"/>
  <c r="O25" i="23"/>
  <c r="Q25" i="23" s="1"/>
  <c r="O26" i="23"/>
  <c r="Q26" i="23" s="1"/>
  <c r="O27" i="23"/>
  <c r="Q27" i="23" s="1"/>
  <c r="O28" i="23"/>
  <c r="Q28" i="23" s="1"/>
  <c r="O30" i="23"/>
  <c r="Q30" i="23" s="1"/>
  <c r="O31" i="23"/>
  <c r="Q31" i="23" s="1"/>
  <c r="O32" i="23"/>
  <c r="Q32" i="23" s="1"/>
  <c r="O33" i="23"/>
  <c r="Q33" i="23" s="1"/>
  <c r="O34" i="23"/>
  <c r="Q34" i="23" s="1"/>
  <c r="J22" i="23"/>
  <c r="O22" i="23" s="1"/>
  <c r="Q22" i="23" s="1"/>
  <c r="P35" i="23"/>
  <c r="J29" i="23" l="1"/>
  <c r="O29" i="23" s="1"/>
  <c r="Q29" i="23" s="1"/>
  <c r="J18" i="23"/>
  <c r="O18" i="23" s="1"/>
  <c r="Q18" i="23" s="1"/>
  <c r="J14" i="23"/>
  <c r="O14" i="23" s="1"/>
  <c r="Q14" i="23" s="1"/>
  <c r="J10" i="23"/>
  <c r="O10" i="23" s="1"/>
  <c r="Q10" i="23" s="1"/>
  <c r="N35" i="23"/>
  <c r="M35" i="23"/>
  <c r="L35" i="23"/>
  <c r="K35" i="23"/>
  <c r="I35" i="23"/>
  <c r="G35" i="23"/>
  <c r="H35" i="23"/>
  <c r="O8" i="23"/>
  <c r="Q8" i="23" s="1"/>
  <c r="J35" i="23" l="1"/>
  <c r="Q35" i="23"/>
  <c r="H34" i="22"/>
  <c r="O36" i="22"/>
  <c r="Q36" i="22" s="1"/>
  <c r="O35" i="23" l="1"/>
  <c r="Q36" i="23" s="1"/>
  <c r="J29" i="22"/>
  <c r="J27" i="22"/>
  <c r="J21" i="22"/>
  <c r="J19" i="22"/>
  <c r="J15" i="22"/>
  <c r="J13" i="22"/>
  <c r="J34" i="22" l="1"/>
  <c r="O34" i="22" s="1"/>
  <c r="Q34" i="22" s="1"/>
  <c r="J33" i="22"/>
  <c r="O33" i="22" s="1"/>
  <c r="Q33" i="22" s="1"/>
  <c r="J32" i="22"/>
  <c r="O32" i="22" s="1"/>
  <c r="Q32" i="22" s="1"/>
  <c r="J31" i="22"/>
  <c r="O31" i="22" s="1"/>
  <c r="Q31" i="22" s="1"/>
  <c r="O27" i="22"/>
  <c r="Q27" i="22" s="1"/>
  <c r="J26" i="22"/>
  <c r="O26" i="22" s="1"/>
  <c r="Q26" i="22" s="1"/>
  <c r="J25" i="22"/>
  <c r="O25" i="22" s="1"/>
  <c r="Q25" i="22" s="1"/>
  <c r="J24" i="22"/>
  <c r="O24" i="22" s="1"/>
  <c r="Q24" i="22" s="1"/>
  <c r="J23" i="22"/>
  <c r="O23" i="22" s="1"/>
  <c r="Q23" i="22" s="1"/>
  <c r="O21" i="22"/>
  <c r="Q21" i="22" s="1"/>
  <c r="O19" i="22"/>
  <c r="Q19" i="22" s="1"/>
  <c r="J18" i="22"/>
  <c r="O18" i="22" s="1"/>
  <c r="Q18" i="22" s="1"/>
  <c r="J17" i="22"/>
  <c r="O17" i="22" s="1"/>
  <c r="Q17" i="22" s="1"/>
  <c r="O13" i="22"/>
  <c r="Q13" i="22" s="1"/>
  <c r="J11" i="22"/>
  <c r="O11" i="22" s="1"/>
  <c r="Q11" i="22" s="1"/>
  <c r="J9" i="22"/>
  <c r="O9" i="22" s="1"/>
  <c r="Q9" i="22" s="1"/>
  <c r="P39" i="22"/>
  <c r="N39" i="22"/>
  <c r="M39" i="22"/>
  <c r="L39" i="22"/>
  <c r="I39" i="22"/>
  <c r="H39" i="22"/>
  <c r="G39" i="22"/>
  <c r="O38" i="22"/>
  <c r="Q38" i="22" s="1"/>
  <c r="O37" i="22"/>
  <c r="Q37" i="22" s="1"/>
  <c r="K39" i="22"/>
  <c r="O30" i="22"/>
  <c r="Q30" i="22" s="1"/>
  <c r="O29" i="22"/>
  <c r="Q29" i="22" s="1"/>
  <c r="O28" i="22"/>
  <c r="Q28" i="22" s="1"/>
  <c r="O22" i="22"/>
  <c r="Q22" i="22" s="1"/>
  <c r="O20" i="22"/>
  <c r="Q20" i="22" s="1"/>
  <c r="O16" i="22"/>
  <c r="Q16" i="22" s="1"/>
  <c r="O15" i="22"/>
  <c r="Q15" i="22" s="1"/>
  <c r="O14" i="22"/>
  <c r="Q14" i="22" s="1"/>
  <c r="O12" i="22"/>
  <c r="Q12" i="22" s="1"/>
  <c r="O10" i="22"/>
  <c r="Q10" i="22" s="1"/>
  <c r="J39" i="22" l="1"/>
  <c r="O8" i="22"/>
  <c r="O35" i="22"/>
  <c r="Q35" i="22" s="1"/>
  <c r="K36" i="21"/>
  <c r="J34" i="21"/>
  <c r="J31" i="21"/>
  <c r="J29" i="21"/>
  <c r="J18" i="21"/>
  <c r="J15" i="21"/>
  <c r="J10" i="21"/>
  <c r="O39" i="22" l="1"/>
  <c r="Q40" i="22" s="1"/>
  <c r="Q8" i="22"/>
  <c r="Q39" i="22" s="1"/>
  <c r="Q41" i="22" s="1"/>
  <c r="Q37" i="23" s="1"/>
  <c r="Q42" i="24" s="1"/>
  <c r="Q42" i="25" s="1"/>
  <c r="Q27" i="26" s="1"/>
  <c r="O10" i="21"/>
  <c r="Q10" i="21" s="1"/>
  <c r="O11" i="21"/>
  <c r="Q11" i="21" s="1"/>
  <c r="O15" i="21"/>
  <c r="Q15" i="21" s="1"/>
  <c r="O16" i="21"/>
  <c r="Q16" i="21" s="1"/>
  <c r="O18" i="21"/>
  <c r="Q18" i="21" s="1"/>
  <c r="O19" i="21"/>
  <c r="Q19" i="21" s="1"/>
  <c r="O24" i="21"/>
  <c r="Q24" i="21" s="1"/>
  <c r="O29" i="21"/>
  <c r="Q29" i="21" s="1"/>
  <c r="O31" i="21"/>
  <c r="Q31" i="21" s="1"/>
  <c r="O32" i="21"/>
  <c r="Q32" i="21" s="1"/>
  <c r="O34" i="21"/>
  <c r="Q34" i="21" s="1"/>
  <c r="O35" i="21"/>
  <c r="Q35" i="21" s="1"/>
  <c r="O36" i="21"/>
  <c r="Q36" i="21" s="1"/>
  <c r="O37" i="21"/>
  <c r="Q37" i="21" s="1"/>
  <c r="O38" i="21"/>
  <c r="Q38" i="21" s="1"/>
  <c r="O39" i="21"/>
  <c r="Q39" i="21" s="1"/>
  <c r="O40" i="21"/>
  <c r="Q40" i="21" s="1"/>
  <c r="Q39" i="27" l="1"/>
  <c r="J22" i="21"/>
  <c r="O22" i="21" s="1"/>
  <c r="Q22" i="21" s="1"/>
  <c r="J33" i="21"/>
  <c r="O33" i="21" s="1"/>
  <c r="Q33" i="21" s="1"/>
  <c r="J30" i="21"/>
  <c r="O30" i="21" s="1"/>
  <c r="Q30" i="21" s="1"/>
  <c r="J28" i="21"/>
  <c r="O28" i="21" s="1"/>
  <c r="Q28" i="21" s="1"/>
  <c r="J27" i="21"/>
  <c r="O27" i="21" s="1"/>
  <c r="Q27" i="21" s="1"/>
  <c r="J26" i="21"/>
  <c r="O26" i="21" s="1"/>
  <c r="Q26" i="21" s="1"/>
  <c r="J25" i="21"/>
  <c r="O25" i="21" s="1"/>
  <c r="Q25" i="21" s="1"/>
  <c r="J23" i="21"/>
  <c r="O23" i="21" s="1"/>
  <c r="Q23" i="21" s="1"/>
  <c r="J21" i="21"/>
  <c r="O21" i="21" s="1"/>
  <c r="Q21" i="21" s="1"/>
  <c r="J20" i="21"/>
  <c r="O20" i="21" s="1"/>
  <c r="Q20" i="21" s="1"/>
  <c r="J17" i="21"/>
  <c r="O17" i="21" s="1"/>
  <c r="Q17" i="21" s="1"/>
  <c r="J14" i="21"/>
  <c r="O14" i="21" s="1"/>
  <c r="Q14" i="21" s="1"/>
  <c r="J13" i="21"/>
  <c r="O13" i="21" s="1"/>
  <c r="Q13" i="21" s="1"/>
  <c r="J12" i="21"/>
  <c r="O12" i="21" s="1"/>
  <c r="Q12" i="21" s="1"/>
  <c r="J9" i="21"/>
  <c r="O9" i="21" s="1"/>
  <c r="Q9" i="21" s="1"/>
  <c r="J8" i="21"/>
  <c r="O8" i="21" s="1"/>
  <c r="Q8" i="21" s="1"/>
  <c r="P41" i="21"/>
  <c r="M41" i="21"/>
  <c r="L41" i="21"/>
  <c r="K41" i="21"/>
  <c r="I41" i="21"/>
  <c r="H41" i="21"/>
  <c r="G41" i="21"/>
  <c r="N41" i="21"/>
  <c r="Q46" i="28" l="1"/>
  <c r="J41" i="21"/>
  <c r="Q41" i="21"/>
  <c r="O41" i="21"/>
  <c r="Q42" i="21" s="1"/>
  <c r="O34" i="20"/>
  <c r="Q34" i="20" s="1"/>
  <c r="O15" i="20" l="1"/>
  <c r="Q15" i="20" s="1"/>
  <c r="O20" i="20"/>
  <c r="Q20" i="20" s="1"/>
  <c r="O24" i="20"/>
  <c r="Q24" i="20" s="1"/>
  <c r="O25" i="20"/>
  <c r="Q25" i="20" s="1"/>
  <c r="O27" i="20"/>
  <c r="Q27" i="20" s="1"/>
  <c r="O28" i="20"/>
  <c r="Q28" i="20" s="1"/>
  <c r="O29" i="20"/>
  <c r="Q29" i="20" s="1"/>
  <c r="O30" i="20"/>
  <c r="Q30" i="20" s="1"/>
  <c r="O31" i="20"/>
  <c r="Q31" i="20" s="1"/>
  <c r="O32" i="20"/>
  <c r="Q32" i="20" s="1"/>
  <c r="O33" i="20"/>
  <c r="Q33" i="20" s="1"/>
  <c r="O35" i="20"/>
  <c r="Q35" i="20" s="1"/>
  <c r="J22" i="20"/>
  <c r="O22" i="20" s="1"/>
  <c r="Q22" i="20" s="1"/>
  <c r="J19" i="20"/>
  <c r="O19" i="20" s="1"/>
  <c r="Q19" i="20" s="1"/>
  <c r="J18" i="20"/>
  <c r="O18" i="20" s="1"/>
  <c r="Q18" i="20" s="1"/>
  <c r="J17" i="20"/>
  <c r="O17" i="20" s="1"/>
  <c r="Q17" i="20" s="1"/>
  <c r="J16" i="20"/>
  <c r="O16" i="20" s="1"/>
  <c r="Q16" i="20" s="1"/>
  <c r="J14" i="20"/>
  <c r="O14" i="20" s="1"/>
  <c r="Q14" i="20" s="1"/>
  <c r="J11" i="20"/>
  <c r="O11" i="20" s="1"/>
  <c r="Q11" i="20" s="1"/>
  <c r="J10" i="20"/>
  <c r="O10" i="20" s="1"/>
  <c r="Q10" i="20" s="1"/>
  <c r="J9" i="20"/>
  <c r="O9" i="20" s="1"/>
  <c r="Q9" i="20" s="1"/>
  <c r="N26" i="20" l="1"/>
  <c r="O26" i="20" s="1"/>
  <c r="Q26" i="20" s="1"/>
  <c r="J23" i="20"/>
  <c r="O23" i="20" s="1"/>
  <c r="Q23" i="20" s="1"/>
  <c r="J21" i="20"/>
  <c r="O21" i="20" s="1"/>
  <c r="Q21" i="20" s="1"/>
  <c r="J13" i="20"/>
  <c r="O13" i="20" s="1"/>
  <c r="Q13" i="20" s="1"/>
  <c r="J12" i="20"/>
  <c r="O12" i="20" s="1"/>
  <c r="Q12" i="20" s="1"/>
  <c r="J8" i="20"/>
  <c r="P36" i="20"/>
  <c r="M36" i="20"/>
  <c r="L36" i="20"/>
  <c r="I36" i="20"/>
  <c r="H36" i="20"/>
  <c r="G36" i="20"/>
  <c r="K36" i="20"/>
  <c r="N36" i="20" l="1"/>
  <c r="O8" i="20"/>
  <c r="Q8" i="20" s="1"/>
  <c r="J36" i="20"/>
  <c r="K32" i="19"/>
  <c r="G35" i="19"/>
  <c r="Q36" i="20" l="1"/>
  <c r="O36" i="20"/>
  <c r="Q37" i="20" s="1"/>
  <c r="J27" i="19"/>
  <c r="J31" i="19" l="1"/>
  <c r="J25" i="19"/>
  <c r="J22" i="19"/>
  <c r="J20" i="19"/>
  <c r="H35" i="19" l="1"/>
  <c r="J30" i="19" l="1"/>
  <c r="O30" i="19" s="1"/>
  <c r="Q30" i="19" s="1"/>
  <c r="J26" i="19"/>
  <c r="O26" i="19" s="1"/>
  <c r="Q26" i="19" s="1"/>
  <c r="J24" i="19"/>
  <c r="O24" i="19" s="1"/>
  <c r="Q24" i="19" s="1"/>
  <c r="J23" i="19"/>
  <c r="O23" i="19" s="1"/>
  <c r="Q23" i="19" s="1"/>
  <c r="J19" i="19"/>
  <c r="O19" i="19" s="1"/>
  <c r="Q19" i="19" s="1"/>
  <c r="J17" i="19"/>
  <c r="O17" i="19" s="1"/>
  <c r="Q17" i="19" s="1"/>
  <c r="J16" i="19"/>
  <c r="O16" i="19" s="1"/>
  <c r="Q16" i="19" s="1"/>
  <c r="J15" i="19"/>
  <c r="O15" i="19" s="1"/>
  <c r="Q15" i="19" s="1"/>
  <c r="J10" i="19"/>
  <c r="J12" i="19"/>
  <c r="O12" i="19" s="1"/>
  <c r="Q12" i="19" s="1"/>
  <c r="J11" i="19"/>
  <c r="O11" i="19" s="1"/>
  <c r="Q11" i="19" s="1"/>
  <c r="J9" i="19"/>
  <c r="O9" i="19" s="1"/>
  <c r="Q9" i="19" s="1"/>
  <c r="P35" i="19"/>
  <c r="N35" i="19"/>
  <c r="M35" i="19"/>
  <c r="L35" i="19"/>
  <c r="K35" i="19"/>
  <c r="I35" i="19"/>
  <c r="O34" i="19"/>
  <c r="Q34" i="19" s="1"/>
  <c r="O33" i="19"/>
  <c r="Q33" i="19" s="1"/>
  <c r="O32" i="19"/>
  <c r="Q32" i="19" s="1"/>
  <c r="O31" i="19"/>
  <c r="Q31" i="19" s="1"/>
  <c r="O29" i="19"/>
  <c r="Q29" i="19" s="1"/>
  <c r="O28" i="19"/>
  <c r="Q28" i="19" s="1"/>
  <c r="O27" i="19"/>
  <c r="Q27" i="19" s="1"/>
  <c r="O25" i="19"/>
  <c r="Q25" i="19" s="1"/>
  <c r="O22" i="19"/>
  <c r="Q22" i="19" s="1"/>
  <c r="O21" i="19"/>
  <c r="Q21" i="19" s="1"/>
  <c r="O20" i="19"/>
  <c r="Q20" i="19" s="1"/>
  <c r="O18" i="19"/>
  <c r="Q18" i="19" s="1"/>
  <c r="O14" i="19"/>
  <c r="Q14" i="19" s="1"/>
  <c r="O13" i="19"/>
  <c r="Q13" i="19" s="1"/>
  <c r="O8" i="19"/>
  <c r="Q8" i="19" s="1"/>
  <c r="J35" i="19" l="1"/>
  <c r="O10" i="19"/>
  <c r="Q10" i="19" s="1"/>
  <c r="Q35" i="19" s="1"/>
  <c r="J14" i="18"/>
  <c r="J10" i="18"/>
  <c r="O35" i="19" l="1"/>
  <c r="Q36" i="19" s="1"/>
  <c r="J23" i="18"/>
  <c r="J37" i="18" s="1"/>
  <c r="O14" i="18"/>
  <c r="Q14" i="18" s="1"/>
  <c r="P37" i="18"/>
  <c r="N37" i="18"/>
  <c r="M37" i="18"/>
  <c r="L37" i="18"/>
  <c r="K37" i="18"/>
  <c r="I37" i="18"/>
  <c r="H37" i="18"/>
  <c r="G37" i="18"/>
  <c r="O36" i="18"/>
  <c r="Q36" i="18" s="1"/>
  <c r="O35" i="18"/>
  <c r="Q35" i="18" s="1"/>
  <c r="O34" i="18"/>
  <c r="Q34" i="18" s="1"/>
  <c r="O33" i="18"/>
  <c r="Q33" i="18" s="1"/>
  <c r="O32" i="18"/>
  <c r="Q32" i="18" s="1"/>
  <c r="O31" i="18"/>
  <c r="Q31" i="18" s="1"/>
  <c r="O30" i="18"/>
  <c r="Q30" i="18" s="1"/>
  <c r="O29" i="18"/>
  <c r="Q29" i="18" s="1"/>
  <c r="O28" i="18"/>
  <c r="Q28" i="18" s="1"/>
  <c r="O27" i="18"/>
  <c r="Q27" i="18" s="1"/>
  <c r="O26" i="18"/>
  <c r="Q26" i="18" s="1"/>
  <c r="O25" i="18"/>
  <c r="Q25" i="18" s="1"/>
  <c r="O24" i="18"/>
  <c r="Q24" i="18" s="1"/>
  <c r="O22" i="18"/>
  <c r="Q22" i="18" s="1"/>
  <c r="O21" i="18"/>
  <c r="Q21" i="18" s="1"/>
  <c r="O20" i="18"/>
  <c r="Q20" i="18" s="1"/>
  <c r="O19" i="18"/>
  <c r="Q19" i="18" s="1"/>
  <c r="O18" i="18"/>
  <c r="Q18" i="18" s="1"/>
  <c r="O17" i="18"/>
  <c r="Q17" i="18" s="1"/>
  <c r="O16" i="18"/>
  <c r="Q16" i="18" s="1"/>
  <c r="O15" i="18"/>
  <c r="Q15" i="18" s="1"/>
  <c r="O13" i="18"/>
  <c r="Q13" i="18" s="1"/>
  <c r="O12" i="18"/>
  <c r="Q12" i="18" s="1"/>
  <c r="O11" i="18"/>
  <c r="Q11" i="18" s="1"/>
  <c r="O10" i="18"/>
  <c r="Q10" i="18" s="1"/>
  <c r="O9" i="18"/>
  <c r="Q9" i="18" s="1"/>
  <c r="O8" i="18"/>
  <c r="Q8" i="18" s="1"/>
  <c r="O23" i="18" l="1"/>
  <c r="Q23" i="18" s="1"/>
  <c r="Q37" i="18" s="1"/>
  <c r="O40" i="17"/>
  <c r="Q40" i="17" s="1"/>
  <c r="O41" i="17"/>
  <c r="Q41" i="17" s="1"/>
  <c r="O42" i="17"/>
  <c r="Q42" i="17" s="1"/>
  <c r="O43" i="17"/>
  <c r="Q43" i="17" s="1"/>
  <c r="O44" i="17"/>
  <c r="Q44" i="17" s="1"/>
  <c r="O45" i="17"/>
  <c r="Q45" i="17" s="1"/>
  <c r="O46" i="17"/>
  <c r="Q46" i="17" s="1"/>
  <c r="O9" i="17"/>
  <c r="Q9" i="17" s="1"/>
  <c r="O10" i="17"/>
  <c r="Q10" i="17" s="1"/>
  <c r="O11" i="17"/>
  <c r="Q11" i="17" s="1"/>
  <c r="O12" i="17"/>
  <c r="Q12" i="17" s="1"/>
  <c r="O13" i="17"/>
  <c r="Q13" i="17" s="1"/>
  <c r="O14" i="17"/>
  <c r="Q14" i="17" s="1"/>
  <c r="O15" i="17"/>
  <c r="Q15" i="17" s="1"/>
  <c r="O16" i="17"/>
  <c r="Q16" i="17" s="1"/>
  <c r="O17" i="17"/>
  <c r="Q17" i="17" s="1"/>
  <c r="O18" i="17"/>
  <c r="Q18" i="17" s="1"/>
  <c r="O19" i="17"/>
  <c r="Q19" i="17" s="1"/>
  <c r="O20" i="17"/>
  <c r="Q20" i="17" s="1"/>
  <c r="O21" i="17"/>
  <c r="Q21" i="17" s="1"/>
  <c r="O22" i="17"/>
  <c r="Q22" i="17" s="1"/>
  <c r="O23" i="17"/>
  <c r="Q23" i="17" s="1"/>
  <c r="O24" i="17"/>
  <c r="Q24" i="17" s="1"/>
  <c r="O25" i="17"/>
  <c r="Q25" i="17" s="1"/>
  <c r="O26" i="17"/>
  <c r="Q26" i="17" s="1"/>
  <c r="O27" i="17"/>
  <c r="Q27" i="17" s="1"/>
  <c r="O28" i="17"/>
  <c r="Q28" i="17" s="1"/>
  <c r="O29" i="17"/>
  <c r="Q29" i="17" s="1"/>
  <c r="O30" i="17"/>
  <c r="Q30" i="17" s="1"/>
  <c r="O31" i="17"/>
  <c r="Q31" i="17" s="1"/>
  <c r="O32" i="17"/>
  <c r="Q32" i="17" s="1"/>
  <c r="O33" i="17"/>
  <c r="Q33" i="17" s="1"/>
  <c r="O34" i="17"/>
  <c r="Q34" i="17" s="1"/>
  <c r="O35" i="17"/>
  <c r="Q35" i="17" s="1"/>
  <c r="O36" i="17"/>
  <c r="Q36" i="17" s="1"/>
  <c r="O37" i="17"/>
  <c r="Q37" i="17" s="1"/>
  <c r="O38" i="17"/>
  <c r="Q38" i="17" s="1"/>
  <c r="O39" i="17"/>
  <c r="Q39" i="17" s="1"/>
  <c r="O8" i="17"/>
  <c r="Q8" i="17" s="1"/>
  <c r="O37" i="18" l="1"/>
  <c r="Q38" i="18" s="1"/>
  <c r="P47" i="17"/>
  <c r="N47" i="17"/>
  <c r="M47" i="17"/>
  <c r="L47" i="17"/>
  <c r="K47" i="17"/>
  <c r="J47" i="17"/>
  <c r="I47" i="17"/>
  <c r="H47" i="17"/>
  <c r="G47" i="17"/>
  <c r="Q47" i="17" l="1"/>
  <c r="O47" i="17"/>
  <c r="Q48" i="17" s="1"/>
  <c r="O40" i="16" l="1"/>
  <c r="Q40" i="16" s="1"/>
  <c r="O9" i="16"/>
  <c r="Q9" i="16" s="1"/>
  <c r="O10" i="16"/>
  <c r="Q10" i="16" s="1"/>
  <c r="O11" i="16"/>
  <c r="Q11" i="16" s="1"/>
  <c r="O12" i="16"/>
  <c r="Q12" i="16" s="1"/>
  <c r="O13" i="16"/>
  <c r="Q13" i="16" s="1"/>
  <c r="O14" i="16"/>
  <c r="Q14" i="16" s="1"/>
  <c r="O15" i="16"/>
  <c r="Q15" i="16" s="1"/>
  <c r="O16" i="16"/>
  <c r="Q16" i="16" s="1"/>
  <c r="O17" i="16"/>
  <c r="Q17" i="16" s="1"/>
  <c r="O18" i="16"/>
  <c r="Q18" i="16" s="1"/>
  <c r="O19" i="16"/>
  <c r="Q19" i="16" s="1"/>
  <c r="O20" i="16"/>
  <c r="Q20" i="16" s="1"/>
  <c r="O21" i="16"/>
  <c r="Q21" i="16" s="1"/>
  <c r="O22" i="16"/>
  <c r="Q22" i="16" s="1"/>
  <c r="O23" i="16"/>
  <c r="Q23" i="16" s="1"/>
  <c r="O24" i="16"/>
  <c r="Q24" i="16" s="1"/>
  <c r="O25" i="16"/>
  <c r="Q25" i="16" s="1"/>
  <c r="O26" i="16"/>
  <c r="Q26" i="16" s="1"/>
  <c r="O27" i="16"/>
  <c r="Q27" i="16" s="1"/>
  <c r="O28" i="16"/>
  <c r="Q28" i="16" s="1"/>
  <c r="O29" i="16"/>
  <c r="Q29" i="16" s="1"/>
  <c r="O30" i="16"/>
  <c r="Q30" i="16" s="1"/>
  <c r="O31" i="16"/>
  <c r="Q31" i="16" s="1"/>
  <c r="O32" i="16"/>
  <c r="Q32" i="16" s="1"/>
  <c r="O33" i="16"/>
  <c r="Q33" i="16" s="1"/>
  <c r="O34" i="16"/>
  <c r="Q34" i="16" s="1"/>
  <c r="O35" i="16"/>
  <c r="Q35" i="16" s="1"/>
  <c r="O36" i="16"/>
  <c r="Q36" i="16" s="1"/>
  <c r="O37" i="16"/>
  <c r="Q37" i="16" s="1"/>
  <c r="O38" i="16"/>
  <c r="Q38" i="16" s="1"/>
  <c r="O39" i="16"/>
  <c r="Q39" i="16" s="1"/>
  <c r="O8" i="16"/>
  <c r="Q8" i="16" s="1"/>
  <c r="O43" i="16"/>
  <c r="Q43" i="16" s="1"/>
  <c r="O44" i="16"/>
  <c r="Q44" i="16" s="1"/>
  <c r="O45" i="16"/>
  <c r="Q45" i="16" s="1"/>
  <c r="O46" i="16"/>
  <c r="Q46" i="16" s="1"/>
  <c r="O42" i="16"/>
  <c r="Q42" i="16" s="1"/>
  <c r="P47" i="16"/>
  <c r="N47" i="16"/>
  <c r="M47" i="16"/>
  <c r="L47" i="16"/>
  <c r="K47" i="16"/>
  <c r="J47" i="16"/>
  <c r="I47" i="16"/>
  <c r="G47" i="16"/>
  <c r="O41" i="16"/>
  <c r="Q41" i="16" s="1"/>
  <c r="H47" i="16"/>
  <c r="Q47" i="16" l="1"/>
  <c r="O47" i="16"/>
  <c r="Q48" i="16" s="1"/>
  <c r="H42" i="15"/>
  <c r="O28" i="15" l="1"/>
  <c r="Q28" i="15" s="1"/>
  <c r="O29" i="15"/>
  <c r="Q29" i="15" s="1"/>
  <c r="O30" i="15"/>
  <c r="Q30" i="15" s="1"/>
  <c r="O31" i="15"/>
  <c r="Q31" i="15" s="1"/>
  <c r="O32" i="15"/>
  <c r="Q32" i="15" s="1"/>
  <c r="O33" i="15"/>
  <c r="Q33" i="15" s="1"/>
  <c r="O34" i="15"/>
  <c r="Q34" i="15" s="1"/>
  <c r="O35" i="15"/>
  <c r="Q35" i="15" s="1"/>
  <c r="O36" i="15"/>
  <c r="Q36" i="15" s="1"/>
  <c r="O37" i="15"/>
  <c r="Q37" i="15" s="1"/>
  <c r="O38" i="15"/>
  <c r="Q38" i="15" s="1"/>
  <c r="O39" i="15"/>
  <c r="Q39" i="15" s="1"/>
  <c r="O40" i="15"/>
  <c r="Q40" i="15" s="1"/>
  <c r="O41" i="15"/>
  <c r="Q41" i="15" s="1"/>
  <c r="O42" i="15"/>
  <c r="Q42" i="15" s="1"/>
  <c r="O43" i="15"/>
  <c r="Q43" i="15" s="1"/>
  <c r="O44" i="15"/>
  <c r="Q44" i="15" s="1"/>
  <c r="O45" i="15"/>
  <c r="Q45" i="15" s="1"/>
  <c r="O46" i="15"/>
  <c r="Q46" i="15" s="1"/>
  <c r="O47" i="15"/>
  <c r="Q47" i="15" s="1"/>
  <c r="O26" i="15"/>
  <c r="Q26" i="15" s="1"/>
  <c r="O27" i="15"/>
  <c r="Q27" i="15" s="1"/>
  <c r="P48" i="15" l="1"/>
  <c r="N48" i="15"/>
  <c r="M48" i="15"/>
  <c r="K48" i="15"/>
  <c r="J48" i="15"/>
  <c r="I48" i="15"/>
  <c r="H48" i="15"/>
  <c r="G48" i="15"/>
  <c r="L48" i="15"/>
  <c r="O25" i="15"/>
  <c r="Q25" i="15" s="1"/>
  <c r="O24" i="15"/>
  <c r="Q24" i="15" s="1"/>
  <c r="O23" i="15"/>
  <c r="Q23" i="15" s="1"/>
  <c r="O22" i="15"/>
  <c r="Q22" i="15" s="1"/>
  <c r="O21" i="15"/>
  <c r="Q21" i="15" s="1"/>
  <c r="O20" i="15"/>
  <c r="Q20" i="15" s="1"/>
  <c r="O19" i="15"/>
  <c r="Q19" i="15" s="1"/>
  <c r="O18" i="15"/>
  <c r="Q18" i="15" s="1"/>
  <c r="O17" i="15"/>
  <c r="Q17" i="15" s="1"/>
  <c r="O16" i="15"/>
  <c r="Q16" i="15" s="1"/>
  <c r="O15" i="15"/>
  <c r="Q15" i="15" s="1"/>
  <c r="O14" i="15"/>
  <c r="Q14" i="15" s="1"/>
  <c r="O13" i="15"/>
  <c r="Q13" i="15" s="1"/>
  <c r="O11" i="15"/>
  <c r="Q11" i="15" s="1"/>
  <c r="O10" i="15"/>
  <c r="Q10" i="15" s="1"/>
  <c r="O9" i="15"/>
  <c r="Q9" i="15" s="1"/>
  <c r="O8" i="15"/>
  <c r="O48" i="15" l="1"/>
  <c r="Q49" i="15" s="1"/>
  <c r="Q8" i="15"/>
  <c r="Q48" i="15" s="1"/>
  <c r="L33" i="14"/>
  <c r="L37" i="14" l="1"/>
  <c r="P37" i="14" l="1"/>
  <c r="N37" i="14"/>
  <c r="M37" i="14"/>
  <c r="K37" i="14"/>
  <c r="J37" i="14"/>
  <c r="I37" i="14"/>
  <c r="H37" i="14"/>
  <c r="G37" i="14"/>
  <c r="O36" i="14"/>
  <c r="Q36" i="14" s="1"/>
  <c r="O35" i="14"/>
  <c r="Q35" i="14" s="1"/>
  <c r="O34" i="14"/>
  <c r="Q34" i="14" s="1"/>
  <c r="O33" i="14"/>
  <c r="Q33" i="14" s="1"/>
  <c r="O32" i="14"/>
  <c r="Q32" i="14" s="1"/>
  <c r="O31" i="14"/>
  <c r="Q31" i="14" s="1"/>
  <c r="O30" i="14"/>
  <c r="Q30" i="14" s="1"/>
  <c r="O29" i="14"/>
  <c r="Q29" i="14" s="1"/>
  <c r="O28" i="14"/>
  <c r="Q28" i="14" s="1"/>
  <c r="O27" i="14"/>
  <c r="Q27" i="14" s="1"/>
  <c r="O26" i="14"/>
  <c r="Q26" i="14" s="1"/>
  <c r="O25" i="14"/>
  <c r="Q25" i="14" s="1"/>
  <c r="O24" i="14"/>
  <c r="Q24" i="14" s="1"/>
  <c r="O23" i="14"/>
  <c r="Q23" i="14" s="1"/>
  <c r="O22" i="14"/>
  <c r="Q22" i="14" s="1"/>
  <c r="O21" i="14"/>
  <c r="Q21" i="14" s="1"/>
  <c r="O20" i="14"/>
  <c r="Q20" i="14" s="1"/>
  <c r="O19" i="14"/>
  <c r="Q19" i="14" s="1"/>
  <c r="O18" i="14"/>
  <c r="Q18" i="14" s="1"/>
  <c r="O17" i="14"/>
  <c r="Q17" i="14" s="1"/>
  <c r="O16" i="14"/>
  <c r="Q16" i="14" s="1"/>
  <c r="O15" i="14"/>
  <c r="Q15" i="14" s="1"/>
  <c r="O14" i="14"/>
  <c r="Q14" i="14" s="1"/>
  <c r="O13" i="14"/>
  <c r="Q13" i="14" s="1"/>
  <c r="O12" i="14"/>
  <c r="Q12" i="14" s="1"/>
  <c r="O11" i="14"/>
  <c r="Q11" i="14" s="1"/>
  <c r="O10" i="14"/>
  <c r="Q10" i="14" s="1"/>
  <c r="O9" i="14"/>
  <c r="Q9" i="14" s="1"/>
  <c r="O8" i="14"/>
  <c r="Q8" i="14" s="1"/>
  <c r="Q37" i="14" l="1"/>
  <c r="O37" i="14"/>
  <c r="Q38" i="14" s="1"/>
  <c r="O41" i="13" l="1"/>
  <c r="Q41" i="13" s="1"/>
  <c r="O40" i="13"/>
  <c r="Q40" i="13" s="1"/>
  <c r="H33" i="13" l="1"/>
  <c r="H43" i="13" s="1"/>
  <c r="I43" i="13"/>
  <c r="P43" i="13"/>
  <c r="N43" i="13"/>
  <c r="M43" i="13"/>
  <c r="K43" i="13"/>
  <c r="J43" i="13"/>
  <c r="G43" i="13"/>
  <c r="O42" i="13"/>
  <c r="Q42" i="13" s="1"/>
  <c r="L39" i="13"/>
  <c r="L43" i="13" s="1"/>
  <c r="O38" i="13"/>
  <c r="Q38" i="13" s="1"/>
  <c r="O37" i="13"/>
  <c r="Q37" i="13" s="1"/>
  <c r="O36" i="13"/>
  <c r="Q36" i="13" s="1"/>
  <c r="O35" i="13"/>
  <c r="Q35" i="13" s="1"/>
  <c r="O32" i="13"/>
  <c r="Q32" i="13" s="1"/>
  <c r="O31" i="13"/>
  <c r="Q31" i="13" s="1"/>
  <c r="O30" i="13"/>
  <c r="Q30" i="13" s="1"/>
  <c r="O29" i="13"/>
  <c r="Q29" i="13" s="1"/>
  <c r="O28" i="13"/>
  <c r="Q28" i="13" s="1"/>
  <c r="O27" i="13"/>
  <c r="Q27" i="13" s="1"/>
  <c r="O26" i="13"/>
  <c r="Q26" i="13" s="1"/>
  <c r="O25" i="13"/>
  <c r="Q25" i="13" s="1"/>
  <c r="O24" i="13"/>
  <c r="Q24" i="13" s="1"/>
  <c r="O23" i="13"/>
  <c r="Q23" i="13" s="1"/>
  <c r="O22" i="13"/>
  <c r="Q22" i="13" s="1"/>
  <c r="O21" i="13"/>
  <c r="Q21" i="13" s="1"/>
  <c r="O20" i="13"/>
  <c r="Q20" i="13" s="1"/>
  <c r="O19" i="13"/>
  <c r="Q19" i="13" s="1"/>
  <c r="O18" i="13"/>
  <c r="Q18" i="13" s="1"/>
  <c r="O17" i="13"/>
  <c r="Q17" i="13" s="1"/>
  <c r="O16" i="13"/>
  <c r="Q16" i="13" s="1"/>
  <c r="O15" i="13"/>
  <c r="Q15" i="13" s="1"/>
  <c r="O14" i="13"/>
  <c r="Q14" i="13" s="1"/>
  <c r="O13" i="13"/>
  <c r="Q13" i="13" s="1"/>
  <c r="O12" i="13"/>
  <c r="Q12" i="13" s="1"/>
  <c r="O11" i="13"/>
  <c r="Q11" i="13" s="1"/>
  <c r="O10" i="13"/>
  <c r="Q10" i="13" s="1"/>
  <c r="O9" i="13"/>
  <c r="Q9" i="13" s="1"/>
  <c r="O8" i="13"/>
  <c r="O33" i="13" l="1"/>
  <c r="Q33" i="13" s="1"/>
  <c r="O39" i="13"/>
  <c r="Q39" i="13" s="1"/>
  <c r="Q8" i="13"/>
  <c r="O43" i="13" l="1"/>
  <c r="Q43" i="13"/>
  <c r="R47" i="16" l="1"/>
  <c r="P47" i="12"/>
  <c r="N47" i="12"/>
  <c r="M47" i="12"/>
  <c r="K47" i="12"/>
  <c r="I47" i="12"/>
  <c r="H47" i="12"/>
  <c r="G47" i="12"/>
  <c r="O46" i="12"/>
  <c r="Q46" i="12" s="1"/>
  <c r="L45" i="12"/>
  <c r="O45" i="12" s="1"/>
  <c r="Q45" i="12" s="1"/>
  <c r="O44" i="12"/>
  <c r="Q44" i="12" s="1"/>
  <c r="O43" i="12"/>
  <c r="Q43" i="12" s="1"/>
  <c r="O42" i="12"/>
  <c r="Q42" i="12" s="1"/>
  <c r="O41" i="12"/>
  <c r="Q41" i="12" s="1"/>
  <c r="O40" i="12"/>
  <c r="Q40" i="12" s="1"/>
  <c r="O39" i="12"/>
  <c r="Q39" i="12" s="1"/>
  <c r="O38" i="12"/>
  <c r="Q38" i="12" s="1"/>
  <c r="O37" i="12"/>
  <c r="Q37" i="12" s="1"/>
  <c r="O36" i="12"/>
  <c r="Q36" i="12" s="1"/>
  <c r="O35" i="12"/>
  <c r="Q35" i="12" s="1"/>
  <c r="O34" i="12"/>
  <c r="Q34" i="12" s="1"/>
  <c r="O33" i="12"/>
  <c r="Q33" i="12" s="1"/>
  <c r="J32" i="12"/>
  <c r="O32" i="12" s="1"/>
  <c r="Q32" i="12" s="1"/>
  <c r="O31" i="12"/>
  <c r="Q31" i="12" s="1"/>
  <c r="O30" i="12"/>
  <c r="Q30" i="12" s="1"/>
  <c r="O29" i="12"/>
  <c r="Q29" i="12" s="1"/>
  <c r="O28" i="12"/>
  <c r="Q28" i="12" s="1"/>
  <c r="O27" i="12"/>
  <c r="Q27" i="12" s="1"/>
  <c r="O26" i="12"/>
  <c r="Q26" i="12" s="1"/>
  <c r="O25" i="12"/>
  <c r="Q25" i="12" s="1"/>
  <c r="O24" i="12"/>
  <c r="Q24" i="12" s="1"/>
  <c r="O23" i="12"/>
  <c r="Q23" i="12" s="1"/>
  <c r="O22" i="12"/>
  <c r="Q22" i="12" s="1"/>
  <c r="O21" i="12"/>
  <c r="Q21" i="12" s="1"/>
  <c r="O20" i="12"/>
  <c r="Q20" i="12" s="1"/>
  <c r="O19" i="12"/>
  <c r="Q19" i="12" s="1"/>
  <c r="O18" i="12"/>
  <c r="Q18" i="12" s="1"/>
  <c r="O17" i="12"/>
  <c r="Q17" i="12" s="1"/>
  <c r="O16" i="12"/>
  <c r="Q16" i="12" s="1"/>
  <c r="O15" i="12"/>
  <c r="Q15" i="12" s="1"/>
  <c r="O14" i="12"/>
  <c r="Q14" i="12" s="1"/>
  <c r="J13" i="12"/>
  <c r="O12" i="12"/>
  <c r="Q12" i="12" s="1"/>
  <c r="O11" i="12"/>
  <c r="Q11" i="12" s="1"/>
  <c r="O10" i="12"/>
  <c r="Q10" i="12" s="1"/>
  <c r="O9" i="12"/>
  <c r="Q9" i="12" s="1"/>
  <c r="O8" i="12"/>
  <c r="O48" i="12" l="1"/>
  <c r="O13" i="12"/>
  <c r="Q13" i="12" s="1"/>
  <c r="L47" i="12"/>
  <c r="Q8" i="12"/>
  <c r="J47" i="12"/>
  <c r="Q47" i="12" l="1"/>
  <c r="O47" i="12"/>
  <c r="O49" i="12" s="1"/>
  <c r="P8" i="11"/>
  <c r="J8" i="11"/>
  <c r="O8" i="11" s="1"/>
  <c r="Q8" i="11" l="1"/>
  <c r="O21" i="10"/>
  <c r="O23" i="10"/>
  <c r="O24" i="10"/>
  <c r="O20" i="10"/>
  <c r="O9" i="10" l="1"/>
  <c r="Q9" i="10" s="1"/>
  <c r="H22" i="10"/>
  <c r="O22" i="10" s="1"/>
  <c r="P8" i="10" l="1"/>
  <c r="P33" i="10" s="1"/>
  <c r="K33" i="10"/>
  <c r="L33" i="10"/>
  <c r="M33" i="10"/>
  <c r="N33" i="10"/>
  <c r="J8" i="10"/>
  <c r="J33" i="10" s="1"/>
  <c r="O8" i="10" l="1"/>
  <c r="Q8" i="10" s="1"/>
  <c r="G33" i="10"/>
  <c r="P17" i="11" l="1"/>
  <c r="N17" i="11"/>
  <c r="M17" i="11"/>
  <c r="L17" i="11"/>
  <c r="K17" i="11"/>
  <c r="J17" i="11"/>
  <c r="I17" i="11"/>
  <c r="H17" i="11"/>
  <c r="G17" i="11"/>
  <c r="O16" i="11"/>
  <c r="Q16" i="11" s="1"/>
  <c r="O15" i="11"/>
  <c r="Q15" i="11" s="1"/>
  <c r="O14" i="11"/>
  <c r="Q14" i="11" s="1"/>
  <c r="O13" i="11"/>
  <c r="Q13" i="11" s="1"/>
  <c r="O12" i="11"/>
  <c r="Q12" i="11" s="1"/>
  <c r="O11" i="11"/>
  <c r="Q11" i="11" s="1"/>
  <c r="O10" i="11"/>
  <c r="Q10" i="11" s="1"/>
  <c r="O9" i="11"/>
  <c r="Q9" i="11" s="1"/>
  <c r="O10" i="10"/>
  <c r="Q10" i="10" s="1"/>
  <c r="O11" i="10"/>
  <c r="Q11" i="10" s="1"/>
  <c r="O12" i="10"/>
  <c r="Q12" i="10" s="1"/>
  <c r="O13" i="10"/>
  <c r="Q13" i="10" s="1"/>
  <c r="O14" i="10"/>
  <c r="Q14" i="10" s="1"/>
  <c r="O15" i="10"/>
  <c r="Q15" i="10" s="1"/>
  <c r="O16" i="10"/>
  <c r="O17" i="10"/>
  <c r="Q17" i="10" s="1"/>
  <c r="O18" i="10"/>
  <c r="Q18" i="10" s="1"/>
  <c r="O19" i="10"/>
  <c r="Q19" i="10" s="1"/>
  <c r="Q20" i="10"/>
  <c r="Q22" i="10"/>
  <c r="I33" i="10"/>
  <c r="H33" i="10"/>
  <c r="O32" i="10"/>
  <c r="Q32" i="10" s="1"/>
  <c r="O31" i="10"/>
  <c r="Q31" i="10" s="1"/>
  <c r="O30" i="10"/>
  <c r="Q30" i="10" s="1"/>
  <c r="O29" i="10"/>
  <c r="Q29" i="10" s="1"/>
  <c r="O28" i="10"/>
  <c r="Q28" i="10" s="1"/>
  <c r="O27" i="10"/>
  <c r="Q27" i="10" s="1"/>
  <c r="O26" i="10"/>
  <c r="Q26" i="10" s="1"/>
  <c r="O25" i="10"/>
  <c r="Q25" i="10" s="1"/>
  <c r="Q24" i="10"/>
  <c r="Q16" i="10" l="1"/>
  <c r="O33" i="10"/>
  <c r="Q21" i="10"/>
  <c r="Q17" i="11"/>
  <c r="O17" i="11"/>
  <c r="Q33" i="10" l="1"/>
  <c r="J34" i="9"/>
  <c r="J46" i="9" s="1"/>
  <c r="I46" i="9"/>
  <c r="K46" i="9"/>
  <c r="L46" i="9"/>
  <c r="M46" i="9"/>
  <c r="N46" i="9"/>
  <c r="G46" i="9"/>
  <c r="O35" i="9"/>
  <c r="Q35" i="9" s="1"/>
  <c r="P9" i="9"/>
  <c r="P10" i="9"/>
  <c r="P11" i="9"/>
  <c r="P12" i="9"/>
  <c r="P13" i="9"/>
  <c r="P14" i="9"/>
  <c r="P15" i="9"/>
  <c r="P16" i="9"/>
  <c r="P17" i="9"/>
  <c r="P18" i="9"/>
  <c r="P19" i="9"/>
  <c r="P20" i="9"/>
  <c r="P21" i="9"/>
  <c r="P22" i="9"/>
  <c r="P23" i="9"/>
  <c r="P24" i="9"/>
  <c r="P25" i="9"/>
  <c r="P26" i="9"/>
  <c r="P27" i="9"/>
  <c r="P28" i="9"/>
  <c r="P29" i="9"/>
  <c r="P30" i="9"/>
  <c r="P31" i="9"/>
  <c r="P32" i="9"/>
  <c r="P33" i="9"/>
  <c r="P34" i="9"/>
  <c r="P36" i="9"/>
  <c r="P37" i="9"/>
  <c r="P38" i="9"/>
  <c r="P39" i="9"/>
  <c r="P40" i="9"/>
  <c r="P41" i="9"/>
  <c r="P42" i="9"/>
  <c r="P43" i="9"/>
  <c r="P44" i="9"/>
  <c r="P45" i="9"/>
  <c r="P8" i="9"/>
  <c r="R47" i="12" l="1"/>
  <c r="R48" i="12" s="1"/>
  <c r="R49" i="12" s="1"/>
  <c r="Q35" i="10"/>
  <c r="Q19" i="11" s="1"/>
  <c r="Q50" i="12" s="1"/>
  <c r="Q45" i="13" s="1"/>
  <c r="Q39" i="14" s="1"/>
  <c r="Q50" i="15" s="1"/>
  <c r="Q49" i="16" s="1"/>
  <c r="Q49" i="17" s="1"/>
  <c r="Q39" i="18" s="1"/>
  <c r="Q37" i="19" s="1"/>
  <c r="Q38" i="20" s="1"/>
  <c r="Q43" i="21" s="1"/>
  <c r="S47" i="16"/>
  <c r="P46" i="9"/>
  <c r="O36" i="9"/>
  <c r="Q36" i="9" s="1"/>
  <c r="O37" i="9"/>
  <c r="Q37" i="9" s="1"/>
  <c r="O38" i="9"/>
  <c r="Q38" i="9" s="1"/>
  <c r="O39" i="9"/>
  <c r="Q39" i="9" s="1"/>
  <c r="O40" i="9"/>
  <c r="Q40" i="9" s="1"/>
  <c r="O41" i="9"/>
  <c r="Q41" i="9" s="1"/>
  <c r="O42" i="9"/>
  <c r="Q42" i="9" s="1"/>
  <c r="O43" i="9"/>
  <c r="Q43" i="9" s="1"/>
  <c r="O44" i="9"/>
  <c r="Q44" i="9" s="1"/>
  <c r="O45" i="9"/>
  <c r="Q45" i="9" s="1"/>
  <c r="H31" i="9" l="1"/>
  <c r="O31" i="9" s="1"/>
  <c r="Q31" i="9" s="1"/>
  <c r="H32" i="9"/>
  <c r="O32" i="9" s="1"/>
  <c r="Q32" i="9" s="1"/>
  <c r="H33" i="9"/>
  <c r="O33" i="9" s="1"/>
  <c r="Q33" i="9" s="1"/>
  <c r="H34" i="9"/>
  <c r="O34" i="9" s="1"/>
  <c r="Q34" i="9" s="1"/>
  <c r="H30" i="9"/>
  <c r="O30" i="9" s="1"/>
  <c r="Q30" i="9" s="1"/>
  <c r="H14" i="9"/>
  <c r="O14" i="9" s="1"/>
  <c r="Q14" i="9" s="1"/>
  <c r="H15" i="9"/>
  <c r="O15" i="9" s="1"/>
  <c r="Q15" i="9" s="1"/>
  <c r="H16" i="9"/>
  <c r="O16" i="9" s="1"/>
  <c r="Q16" i="9" s="1"/>
  <c r="H17" i="9"/>
  <c r="O17" i="9" s="1"/>
  <c r="Q17" i="9" s="1"/>
  <c r="H18" i="9"/>
  <c r="O18" i="9" s="1"/>
  <c r="Q18" i="9" s="1"/>
  <c r="H19" i="9"/>
  <c r="O19" i="9" s="1"/>
  <c r="Q19" i="9" s="1"/>
  <c r="H20" i="9"/>
  <c r="O20" i="9" s="1"/>
  <c r="Q20" i="9" s="1"/>
  <c r="H21" i="9"/>
  <c r="O21" i="9" s="1"/>
  <c r="Q21" i="9" s="1"/>
  <c r="H22" i="9"/>
  <c r="O22" i="9" s="1"/>
  <c r="Q22" i="9" s="1"/>
  <c r="H23" i="9"/>
  <c r="O23" i="9" s="1"/>
  <c r="Q23" i="9" s="1"/>
  <c r="H24" i="9"/>
  <c r="O24" i="9" s="1"/>
  <c r="Q24" i="9" s="1"/>
  <c r="H25" i="9"/>
  <c r="O25" i="9" s="1"/>
  <c r="Q25" i="9" s="1"/>
  <c r="H13" i="9"/>
  <c r="O13" i="9" s="1"/>
  <c r="Q13" i="9" s="1"/>
  <c r="H9" i="9"/>
  <c r="O9" i="9" s="1"/>
  <c r="Q9" i="9" s="1"/>
  <c r="H10" i="9"/>
  <c r="O10" i="9" s="1"/>
  <c r="Q10" i="9" s="1"/>
  <c r="H11" i="9"/>
  <c r="O11" i="9" s="1"/>
  <c r="H12" i="9"/>
  <c r="O12" i="9" s="1"/>
  <c r="Q12" i="9" s="1"/>
  <c r="H8" i="9"/>
  <c r="H29" i="9"/>
  <c r="O29" i="9" s="1"/>
  <c r="Q29" i="9" s="1"/>
  <c r="H28" i="9"/>
  <c r="O28" i="9" s="1"/>
  <c r="Q28" i="9" s="1"/>
  <c r="H27" i="9"/>
  <c r="O27" i="9" s="1"/>
  <c r="Q27" i="9" s="1"/>
  <c r="H26" i="9"/>
  <c r="O26" i="9" s="1"/>
  <c r="Q26" i="9" s="1"/>
  <c r="O7" i="9"/>
  <c r="Q7" i="9" s="1"/>
  <c r="O8" i="9" l="1"/>
  <c r="Q8" i="9" s="1"/>
  <c r="H46" i="9"/>
  <c r="H48" i="9" s="1"/>
  <c r="Q11" i="9"/>
  <c r="O46" i="9" l="1"/>
  <c r="Q47" i="9" s="1"/>
  <c r="S48" i="9" s="1"/>
  <c r="Q46" i="9"/>
  <c r="O47" i="9"/>
  <c r="O48" i="9" l="1"/>
  <c r="Q48" i="9"/>
  <c r="S49" i="9"/>
  <c r="S50" i="9" s="1"/>
  <c r="T48" i="9"/>
  <c r="T49" i="9" s="1"/>
  <c r="S52" i="9" l="1"/>
  <c r="S51" i="9"/>
  <c r="J33" i="50" l="1"/>
  <c r="O33" i="50" s="1"/>
  <c r="Q33" i="50" s="1"/>
  <c r="J31" i="50"/>
  <c r="O31" i="50" s="1"/>
  <c r="Q31" i="50" s="1"/>
  <c r="J29" i="50"/>
  <c r="O29" i="50" s="1"/>
  <c r="Q29" i="50" s="1"/>
  <c r="J27" i="50"/>
  <c r="O27" i="50" s="1"/>
  <c r="Q27" i="50" s="1"/>
  <c r="J25" i="50"/>
  <c r="O25" i="50" s="1"/>
  <c r="Q25" i="50" s="1"/>
  <c r="J22" i="50"/>
  <c r="O22" i="50" s="1"/>
  <c r="Q22" i="50" s="1"/>
  <c r="J20" i="50"/>
  <c r="O20" i="50" s="1"/>
  <c r="Q20" i="50" s="1"/>
  <c r="J18" i="50"/>
  <c r="O18" i="50" s="1"/>
  <c r="Q18" i="50" s="1"/>
  <c r="J16" i="50"/>
  <c r="O16" i="50" s="1"/>
  <c r="Q16" i="50" s="1"/>
  <c r="J14" i="50"/>
  <c r="O14" i="50" s="1"/>
  <c r="Q14" i="50" s="1"/>
  <c r="J12" i="50"/>
  <c r="O12" i="50" s="1"/>
  <c r="Q12" i="50" s="1"/>
  <c r="J10" i="50"/>
  <c r="O10" i="50" s="1"/>
  <c r="Q10" i="50" s="1"/>
  <c r="J8" i="50"/>
  <c r="O8" i="50" s="1"/>
  <c r="Q8" i="50" s="1"/>
  <c r="J32" i="50"/>
  <c r="O32" i="50" s="1"/>
  <c r="Q32" i="50" s="1"/>
  <c r="J30" i="50"/>
  <c r="O30" i="50" s="1"/>
  <c r="Q30" i="50" s="1"/>
  <c r="J28" i="50"/>
  <c r="O28" i="50" s="1"/>
  <c r="Q28" i="50" s="1"/>
  <c r="J26" i="50"/>
  <c r="O26" i="50" s="1"/>
  <c r="Q26" i="50" s="1"/>
  <c r="J24" i="50"/>
  <c r="O24" i="50" s="1"/>
  <c r="Q24" i="50" s="1"/>
  <c r="J21" i="50"/>
  <c r="O21" i="50" s="1"/>
  <c r="Q21" i="50" s="1"/>
  <c r="J19" i="50"/>
  <c r="O19" i="50" s="1"/>
  <c r="Q19" i="50" s="1"/>
  <c r="J17" i="50"/>
  <c r="O17" i="50" s="1"/>
  <c r="Q17" i="50" s="1"/>
  <c r="J15" i="50"/>
  <c r="O15" i="50" s="1"/>
  <c r="Q15" i="50" s="1"/>
  <c r="J13" i="50"/>
  <c r="O13" i="50" s="1"/>
  <c r="Q13" i="50" s="1"/>
  <c r="J11" i="50"/>
  <c r="O11" i="50" s="1"/>
  <c r="Q11" i="50" s="1"/>
  <c r="J9" i="50"/>
  <c r="O9" i="50" s="1"/>
  <c r="Q9" i="50" s="1"/>
  <c r="O7" i="50" l="1"/>
  <c r="J44" i="50"/>
  <c r="Q7" i="50" l="1"/>
  <c r="Q44" i="50" s="1"/>
  <c r="Q46" i="50" s="1"/>
  <c r="Q42" i="51" s="1"/>
  <c r="Q42" i="52" s="1"/>
  <c r="O44" i="50"/>
  <c r="Q45" i="50" s="1"/>
  <c r="Q43" i="53" l="1"/>
  <c r="Q48" i="54" l="1"/>
  <c r="Q41" i="55" l="1"/>
  <c r="Q43" i="56" l="1"/>
  <c r="Q42" i="57" l="1"/>
  <c r="Q44" i="57" s="1"/>
  <c r="S43" i="56"/>
  <c r="Q45" i="56"/>
  <c r="Q46" i="56" s="1"/>
  <c r="Q48" i="56" s="1"/>
  <c r="Q50" i="56" s="1"/>
  <c r="S42" i="57" l="1"/>
  <c r="Q46" i="57"/>
  <c r="Q45"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Nghia</author>
  </authors>
  <commentList>
    <comment ref="D22" authorId="0" shapeId="0" xr:uid="{00000000-0006-0000-0400-000001000000}">
      <text>
        <r>
          <rPr>
            <b/>
            <sz val="9"/>
            <color indexed="81"/>
            <rFont val="Tahoma"/>
            <family val="2"/>
          </rPr>
          <t>Nghia:</t>
        </r>
        <r>
          <rPr>
            <sz val="9"/>
            <color indexed="81"/>
            <rFont val="Tahoma"/>
            <family val="2"/>
          </rPr>
          <t xml:space="preserve">
Kết hợp cont YMLU3246938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Nghia</author>
    <author>Peter</author>
  </authors>
  <commentList>
    <comment ref="J27" authorId="0" shapeId="0" xr:uid="{00000000-0006-0000-0A00-000001000000}">
      <text/>
    </comment>
    <comment ref="C32" authorId="1" shapeId="0" xr:uid="{00000000-0006-0000-0A00-000002000000}">
      <text>
        <r>
          <rPr>
            <b/>
            <sz val="9"/>
            <color indexed="81"/>
            <rFont val="Tahoma"/>
            <family val="2"/>
          </rPr>
          <t>Peter:</t>
        </r>
        <r>
          <rPr>
            <sz val="9"/>
            <color indexed="81"/>
            <rFont val="Tahoma"/>
            <family val="2"/>
          </rPr>
          <t xml:space="preserve">
Lương của Huấn cần trừ 01 ngày tương ứng với chuyến chọn vỏ nhầm, khách không trả cước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C25" authorId="0" shapeId="0" xr:uid="{00000000-0006-0000-0B00-000001000000}">
      <text>
        <r>
          <rPr>
            <b/>
            <sz val="9"/>
            <color indexed="81"/>
            <rFont val="Tahoma"/>
            <family val="2"/>
          </rPr>
          <t>Peter:</t>
        </r>
        <r>
          <rPr>
            <sz val="9"/>
            <color indexed="81"/>
            <rFont val="Tahoma"/>
            <family val="2"/>
          </rPr>
          <t xml:space="preserve">
Lương của Huấn cần trừ 01 ngày tương ứng với chuyến chọn vỏ nhầm, khách không trả cước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C36" authorId="0" shapeId="0" xr:uid="{00000000-0006-0000-0C00-000001000000}">
      <text>
        <r>
          <rPr>
            <b/>
            <sz val="9"/>
            <color indexed="81"/>
            <rFont val="Tahoma"/>
            <family val="2"/>
          </rPr>
          <t>Peter:</t>
        </r>
        <r>
          <rPr>
            <sz val="9"/>
            <color indexed="81"/>
            <rFont val="Tahoma"/>
            <family val="2"/>
          </rPr>
          <t xml:space="preserve">
Lương của Huấn cần trừ 01 ngày tương ứng với chuyến chọn vỏ nhầm, khách không trả cước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C35" authorId="0" shapeId="0" xr:uid="{00000000-0006-0000-0D00-000001000000}">
      <text>
        <r>
          <rPr>
            <b/>
            <sz val="9"/>
            <color indexed="81"/>
            <rFont val="Tahoma"/>
            <family val="2"/>
          </rPr>
          <t>Peter:</t>
        </r>
        <r>
          <rPr>
            <sz val="9"/>
            <color indexed="81"/>
            <rFont val="Tahoma"/>
            <family val="2"/>
          </rPr>
          <t xml:space="preserve">
Lương của Huấn cần trừ 01 ngày tương ứng với chuyến chọn vỏ nhầm, khách không trả cước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C30" authorId="0" shapeId="0" xr:uid="{00000000-0006-0000-0E00-000001000000}">
      <text>
        <r>
          <rPr>
            <b/>
            <sz val="9"/>
            <color indexed="81"/>
            <rFont val="Tahoma"/>
            <family val="2"/>
          </rPr>
          <t>Peter:</t>
        </r>
        <r>
          <rPr>
            <sz val="9"/>
            <color indexed="81"/>
            <rFont val="Tahoma"/>
            <family val="2"/>
          </rPr>
          <t xml:space="preserve">
Lương của Huấn cần trừ 01 ngày tương ứng với chuyến chọn vỏ nhầm, khách không trả cước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J20" authorId="0" shapeId="0" xr:uid="{00000000-0006-0000-1900-000001000000}">
      <text>
        <r>
          <rPr>
            <b/>
            <sz val="9"/>
            <color indexed="81"/>
            <rFont val="Tahoma"/>
            <family val="2"/>
          </rPr>
          <t>Peter:</t>
        </r>
        <r>
          <rPr>
            <sz val="9"/>
            <color indexed="81"/>
            <rFont val="Tahoma"/>
            <family val="2"/>
          </rPr>
          <t xml:space="preserve">
Trừ vé 90k</t>
        </r>
      </text>
    </comment>
    <comment ref="J25" authorId="0" shapeId="0" xr:uid="{00000000-0006-0000-1900-000002000000}">
      <text>
        <r>
          <rPr>
            <b/>
            <sz val="9"/>
            <color indexed="81"/>
            <rFont val="Tahoma"/>
            <family val="2"/>
          </rPr>
          <t>Peter:</t>
        </r>
        <r>
          <rPr>
            <sz val="9"/>
            <color indexed="81"/>
            <rFont val="Tahoma"/>
            <family val="2"/>
          </rPr>
          <t xml:space="preserve">
Trừ vé 90k</t>
        </r>
      </text>
    </comment>
    <comment ref="J34" authorId="0" shapeId="0" xr:uid="{00000000-0006-0000-1900-000003000000}">
      <text>
        <r>
          <rPr>
            <b/>
            <sz val="9"/>
            <color indexed="81"/>
            <rFont val="Tahoma"/>
            <family val="2"/>
          </rPr>
          <t>Peter:</t>
        </r>
        <r>
          <rPr>
            <sz val="9"/>
            <color indexed="81"/>
            <rFont val="Tahoma"/>
            <family val="2"/>
          </rPr>
          <t xml:space="preserve">
Trừ vé 90k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Phan Kim Phung</author>
  </authors>
  <commentList>
    <comment ref="J30" authorId="0" shapeId="0" xr:uid="{00000000-0006-0000-2A00-000001000000}">
      <text>
        <r>
          <rPr>
            <b/>
            <sz val="9"/>
            <color indexed="81"/>
            <rFont val="Tahoma"/>
            <family val="2"/>
          </rPr>
          <t>Phan Kim Phung:</t>
        </r>
        <r>
          <rPr>
            <sz val="9"/>
            <color indexed="81"/>
            <rFont val="Tahoma"/>
            <family val="2"/>
          </rPr>
          <t xml:space="preserve">
Lượt về lái xe đi trốn vé Phố Nối, trừ 50% tiền trốn vé = 90k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Phan Kim Phung</author>
  </authors>
  <commentList>
    <comment ref="J14" authorId="0" shapeId="0" xr:uid="{00000000-0006-0000-2C00-000001000000}">
      <text>
        <r>
          <rPr>
            <b/>
            <sz val="9"/>
            <color indexed="81"/>
            <rFont val="Tahoma"/>
            <family val="2"/>
          </rPr>
          <t>Phan Kim Phung:</t>
        </r>
        <r>
          <rPr>
            <sz val="9"/>
            <color indexed="81"/>
            <rFont val="Tahoma"/>
            <family val="2"/>
          </rPr>
          <t xml:space="preserve">
Bổ sun tiền kết hợp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tc={A617AFD1-AD2C-46CC-B1CB-3D1E74616979}</author>
  </authors>
  <commentList>
    <comment ref="C47" authorId="0" shapeId="0" xr:uid="{A617AFD1-AD2C-46CC-B1CB-3D1E74616979}">
      <text>
        <t>[Threaded comment]
Your version of Excel allows you to read this threaded comment; however, any edits to it will get removed if the file is opened in a newer version of Excel. Learn more: https://go.microsoft.com/fwlink/?linkid=870924
Comment:
    Sổ quỹ ghi 720k</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tc={FF92620B-1771-44D6-9841-DEE0398CA301}</author>
  </authors>
  <commentList>
    <comment ref="J12" authorId="0" shapeId="0" xr:uid="{FF92620B-1771-44D6-9841-DEE0398CA301}">
      <text>
        <t>[Threaded comment]
Your version of Excel allows you to read this threaded comment; however, any edits to it will get removed if the file is opened in a newer version of Excel. Learn more: https://go.microsoft.com/fwlink/?linkid=870924
Comment:
    Sổ quỹ đã chi 200k tiền nằm lại</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tc={04ACD57D-2C1F-42E5-AFA9-23C8D2A61FFA}</author>
  </authors>
  <commentList>
    <comment ref="C40" authorId="0" shapeId="0" xr:uid="{04ACD57D-2C1F-42E5-AFA9-23C8D2A61FFA}">
      <text>
        <t>[Threaded comment]
Your version of Excel allows you to read this threaded comment; however, any edits to it will get removed if the file is opened in a newer version of Excel. Learn more: https://go.microsoft.com/fwlink/?linkid=870924
Comment:
    Tên lốp và loại lốp ghi sai, đã sửa lại</t>
      </text>
    </comment>
  </commentList>
</comments>
</file>

<file path=xl/sharedStrings.xml><?xml version="1.0" encoding="utf-8"?>
<sst xmlns="http://schemas.openxmlformats.org/spreadsheetml/2006/main" count="10961" uniqueCount="5711">
  <si>
    <t>Bảng theo dõi doanh thu/ chi phí theo phương tiện vận chuyển</t>
  </si>
  <si>
    <t>STT</t>
  </si>
  <si>
    <t>Ngày tháng</t>
  </si>
  <si>
    <t>Diễn giải</t>
  </si>
  <si>
    <t>Tuyến đường vận chuyển</t>
  </si>
  <si>
    <t>Số cont</t>
  </si>
  <si>
    <t>Chi phí</t>
  </si>
  <si>
    <t>Dầu (l)</t>
  </si>
  <si>
    <t>Đi đường</t>
  </si>
  <si>
    <t>Lương lx</t>
  </si>
  <si>
    <t>Sửa chữa</t>
  </si>
  <si>
    <t>Lốp</t>
  </si>
  <si>
    <t>Dầu máy</t>
  </si>
  <si>
    <t>Cước vận chuyển</t>
  </si>
  <si>
    <t>Lợi nhuận gộp</t>
  </si>
  <si>
    <t>Dầu (đồng)</t>
  </si>
  <si>
    <t>Mức TTBQ</t>
  </si>
  <si>
    <t>Khoảng cách (km)</t>
  </si>
  <si>
    <t>Tổng chi phí</t>
  </si>
  <si>
    <t>Biển số xe: 15C - 139.82</t>
  </si>
  <si>
    <t>TỔNG CỘNG</t>
  </si>
  <si>
    <t>Mỹ Hào, Hưng Yên</t>
  </si>
  <si>
    <t>Bắc Ninh - Hà Nam</t>
  </si>
  <si>
    <t>Mộc Châu, Sơn La</t>
  </si>
  <si>
    <t>Phủ Lý, Hà Nam</t>
  </si>
  <si>
    <t>Mỹ Bằng, Yên Sơn, Tuyên Quang</t>
  </si>
  <si>
    <t>Phí gửi xe</t>
  </si>
  <si>
    <t>Tam Điệp, Ninh Bình</t>
  </si>
  <si>
    <t>Trả hàng NK sáng 03/12</t>
  </si>
  <si>
    <t>Đóng hàng bột đá chiều 03/12</t>
  </si>
  <si>
    <t>Trả hàng sáng 07/12</t>
  </si>
  <si>
    <t>Đóng hàng XK 07/12</t>
  </si>
  <si>
    <t>Trả hàng sáng 08/12</t>
  </si>
  <si>
    <t>Đóng hàng XK 08/12</t>
  </si>
  <si>
    <t>Đóng hàng chè sáng 11/12</t>
  </si>
  <si>
    <t>Đóng hàng chè sáng 14/12</t>
  </si>
  <si>
    <t>Trả hàng sáng 15/12</t>
  </si>
  <si>
    <t>Đóng hàng XK 15/12</t>
  </si>
  <si>
    <t>Trả hàng sáng 16/12</t>
  </si>
  <si>
    <t>Đóng hàng bình khí 16/12</t>
  </si>
  <si>
    <t>Trả hàng sáng 17/12</t>
  </si>
  <si>
    <t>Đóng hàng XK sáng 18/12</t>
  </si>
  <si>
    <t>Trả hàng 18/12</t>
  </si>
  <si>
    <t>Trả hàng NK sáng 20/12</t>
  </si>
  <si>
    <t>Đóng hàng XK 20/12</t>
  </si>
  <si>
    <t>Trả hàng sáng 21/12</t>
  </si>
  <si>
    <t>Đóng hàng XK 21/12</t>
  </si>
  <si>
    <t>Đóng hàng chè sáng 23/12</t>
  </si>
  <si>
    <t>Trả hàng NK sáng 24/12</t>
  </si>
  <si>
    <t>Trả hàng NK 27/12</t>
  </si>
  <si>
    <t>VSLU4026224</t>
  </si>
  <si>
    <t>KKTU7978160</t>
  </si>
  <si>
    <t>DRYU3022433</t>
  </si>
  <si>
    <t>CAXU6113950</t>
  </si>
  <si>
    <t>GMDU2409583</t>
  </si>
  <si>
    <t>TCKU2640820</t>
  </si>
  <si>
    <t>RFCU2241173</t>
  </si>
  <si>
    <t>VSLU3031904</t>
  </si>
  <si>
    <t>TCKU3592563</t>
  </si>
  <si>
    <t>TCLU9112550</t>
  </si>
  <si>
    <t>TCNU8139960</t>
  </si>
  <si>
    <t>DRYU2924032</t>
  </si>
  <si>
    <t>AKLU6029108</t>
  </si>
  <si>
    <t>DRYU2923273</t>
  </si>
  <si>
    <t>PCIU3151530</t>
  </si>
  <si>
    <t>VNLU3016277</t>
  </si>
  <si>
    <t>WHLU0499246</t>
  </si>
  <si>
    <t>WFHU1362683</t>
  </si>
  <si>
    <t>DRYU3094515</t>
  </si>
  <si>
    <t>MAGU2327532</t>
  </si>
  <si>
    <t>DRYU3095804</t>
  </si>
  <si>
    <t>MRKU8758048</t>
  </si>
  <si>
    <t>DRYU2852729</t>
  </si>
  <si>
    <t>BMOU5260477</t>
  </si>
  <si>
    <t>WHLU5451100</t>
  </si>
  <si>
    <t>TEMU9037789</t>
  </si>
  <si>
    <t>Long Biên, Hà Nội - Hà Nam</t>
  </si>
  <si>
    <t>Kim Bảng, Hà Nam</t>
  </si>
  <si>
    <t>Văn Lâm, Hưng Yên - Hà Nam</t>
  </si>
  <si>
    <t>KCN Đại Đồng, Bắc Ninh</t>
  </si>
  <si>
    <t>Hoa Lư, Ninh Bình</t>
  </si>
  <si>
    <t>Phú Thị, Gia Lâm, Hà Nội</t>
  </si>
  <si>
    <t>TX Nghĩa Lộ, Yên Bái</t>
  </si>
  <si>
    <t>Hoà Lạc, Hà Nội</t>
  </si>
  <si>
    <t>Từ Liêm, Hà Nội</t>
  </si>
  <si>
    <t>Văn Điển, Hà Nội</t>
  </si>
  <si>
    <t>Mường Chài, Điện Biên</t>
  </si>
  <si>
    <t>THÁNG 12/2015</t>
  </si>
  <si>
    <t>Trả hàng + đóng hàng  02/12</t>
  </si>
  <si>
    <t>Trả hàng + đóng hàng  04/12</t>
  </si>
  <si>
    <t>Trả hàng + đóng hàng  05/12</t>
  </si>
  <si>
    <t>Trả hàng + đóng hàng  22/12</t>
  </si>
  <si>
    <t>Anh Phụng thanh toán tiền sửa xe 15C-139.82</t>
  </si>
  <si>
    <t>A. Huấn bơm mỡ xe 15C-139.82</t>
  </si>
  <si>
    <t>Anh Phụng thanh toán sửa xe 15C-139.382</t>
  </si>
  <si>
    <t>A. Huấn sửa giằng gương xe 15C-139.82</t>
  </si>
  <si>
    <t>Thanh toán tiền lốp xe 15C-139.82 (4 quả)</t>
  </si>
  <si>
    <t>Thanh toán tiền thay lốp xe 15C-139.82 (2 quả)</t>
  </si>
  <si>
    <t xml:space="preserve"> gửi xe: 150.000, cắt hàn đinh mooc: 300.000, mỡ bò: 40.000, sửa hơi: 50.000</t>
  </si>
  <si>
    <t>Lương lái xe + thưởng</t>
  </si>
  <si>
    <t>Đóng hàng chè sáng 01/12</t>
  </si>
  <si>
    <t>WHLU0542640</t>
  </si>
  <si>
    <t>Thu tiền bồi thường tai nạn xe 08/12</t>
  </si>
  <si>
    <t>T10</t>
  </si>
  <si>
    <t>T11</t>
  </si>
  <si>
    <t>10+11+12</t>
  </si>
  <si>
    <t>Phí quản lý</t>
  </si>
  <si>
    <t>Sau phí quản lý</t>
  </si>
  <si>
    <t>T9</t>
  </si>
  <si>
    <t>T8</t>
  </si>
  <si>
    <t>T7</t>
  </si>
  <si>
    <t>T6</t>
  </si>
  <si>
    <t>T5</t>
  </si>
  <si>
    <t>THÁNG 01.2016</t>
  </si>
  <si>
    <t>TP. Trà Vinh</t>
  </si>
  <si>
    <t>Văn Lâm, Hưng Yên</t>
  </si>
  <si>
    <t>KCN Quất Động, Thường Tín, Hà Nội</t>
  </si>
  <si>
    <t>Đóng hàng XK chiều 19/01</t>
  </si>
  <si>
    <t>KCN VSIP, Thủy Nguyên, Hải Phòng</t>
  </si>
  <si>
    <t>Trả hàng Vietsun sáng 20/01</t>
  </si>
  <si>
    <t>Đóng hàng than hoạt tính chiều 20/01</t>
  </si>
  <si>
    <t>Lương lái xe</t>
  </si>
  <si>
    <t>Bơm mỡ xe</t>
  </si>
  <si>
    <t>Đóng hàng chè sáng 14/01</t>
  </si>
  <si>
    <t>TCLU9522302</t>
  </si>
  <si>
    <t>Trả hàng NK sáng 15/01</t>
  </si>
  <si>
    <t>HLXU6420609</t>
  </si>
  <si>
    <t>KCN Nam Sách, Hải Dương</t>
  </si>
  <si>
    <t>Trả hàng NK sáng 16/01</t>
  </si>
  <si>
    <t>TEMU2888067</t>
  </si>
  <si>
    <t>KCN Song Khê, Bắc Giang</t>
  </si>
  <si>
    <t>Đóng hàng tinh bột sáng 18/01</t>
  </si>
  <si>
    <t>TRHU1347141</t>
  </si>
  <si>
    <t>KCN Mỹ Phước 2, Bến Cát, BD</t>
  </si>
  <si>
    <t>TCLU8556817</t>
  </si>
  <si>
    <t>WFHU5152854</t>
  </si>
  <si>
    <t>Trả hàng Vietsun sáng 21/01</t>
  </si>
  <si>
    <t>VSLU9371400</t>
  </si>
  <si>
    <t>Đóng hàng chè sáng 22/01</t>
  </si>
  <si>
    <t>MAGU5185658</t>
  </si>
  <si>
    <t>Trả hàng + đóng hàng KH sáng 23/01</t>
  </si>
  <si>
    <t>EITU0420938</t>
  </si>
  <si>
    <t>OOLU1665435</t>
  </si>
  <si>
    <t>Bình Xuyên, Vĩnh Phúc</t>
  </si>
  <si>
    <t>Trả hàng + đóng hàng KH 25/01</t>
  </si>
  <si>
    <t>TRHU1343723</t>
  </si>
  <si>
    <t>KCN Đại Đồng, Bắc Ninh - Hà Nam</t>
  </si>
  <si>
    <t>Trả hàng NK 26/01</t>
  </si>
  <si>
    <t>SZLU9073612</t>
  </si>
  <si>
    <t>CK Ma Lù Thàng, Lai Châu</t>
  </si>
  <si>
    <t>Lắp đặt thiết bị định vị</t>
  </si>
  <si>
    <t>Sửa điều hóa</t>
  </si>
  <si>
    <t>Trả hàng + đóng hàng KH 23/02</t>
  </si>
  <si>
    <t>Trả hàng NK sáng 25/02</t>
  </si>
  <si>
    <t>Đóng hàng chè sáng 29/02</t>
  </si>
  <si>
    <t>VSLU1046000</t>
  </si>
  <si>
    <t>TEMU0282131</t>
  </si>
  <si>
    <t>BMOU4555040</t>
  </si>
  <si>
    <t>THÁNG 02.2016</t>
  </si>
  <si>
    <t>Thưởng Tết AL</t>
  </si>
  <si>
    <t>Lưu ca xe từ 29/12 đến 11/01</t>
  </si>
  <si>
    <t>Tiền ăn lưu ca xe 1 ngày 21.01</t>
  </si>
  <si>
    <t>Tiền gửi xe T01/2016</t>
  </si>
  <si>
    <t>Luật phát sinh thêm 500k</t>
  </si>
  <si>
    <t>Tiền gửi xe T2</t>
  </si>
  <si>
    <t>Lưu ca xe từ 30/01 đến 16/02 (21 ngày)</t>
  </si>
  <si>
    <t>THÁNG 03.2016</t>
  </si>
  <si>
    <t>Trả hàng + đóng hàng KH 01/03</t>
  </si>
  <si>
    <t>TCKU3311500</t>
  </si>
  <si>
    <t>Đóng hàng than hoạt tính sáng 03/03</t>
  </si>
  <si>
    <t>YMLU8172144</t>
  </si>
  <si>
    <t>Trả hàng NK sáng 04/03</t>
  </si>
  <si>
    <t>TGHU2733093</t>
  </si>
  <si>
    <t>Đóng hàng bột đá chiều 04/03</t>
  </si>
  <si>
    <t>GMTU4486575</t>
  </si>
  <si>
    <t>Đóng hàng XK sáng 05/03</t>
  </si>
  <si>
    <t>EGSU9100671</t>
  </si>
  <si>
    <t>KCN Vân Trung, Việt Yên, Bắc Giang</t>
  </si>
  <si>
    <t>Trả hàng + đóng hàng KH 07/03</t>
  </si>
  <si>
    <t>DRYU3094032</t>
  </si>
  <si>
    <t>Đóng hàng XK 08/03</t>
  </si>
  <si>
    <t>TCKU2310937</t>
  </si>
  <si>
    <t>Đóng hàng XK sáng 09/03</t>
  </si>
  <si>
    <t>TTNU3744431</t>
  </si>
  <si>
    <t>Cầu Đá Bạc, Hải Phòng</t>
  </si>
  <si>
    <t>Đóng hàng XK chiều 09/03</t>
  </si>
  <si>
    <t>UESU2439304</t>
  </si>
  <si>
    <t>Trả hàng NK sáng 10/03</t>
  </si>
  <si>
    <t>UETU2239130</t>
  </si>
  <si>
    <t>Cảng Phà Đen, Hà Nội</t>
  </si>
  <si>
    <t>Đóng hàng chiều 11/03</t>
  </si>
  <si>
    <t>EITU1509845</t>
  </si>
  <si>
    <t>Trả hàng NK sáng 12/03</t>
  </si>
  <si>
    <t>TWCU2069203</t>
  </si>
  <si>
    <t>Trả hàng sáng 14/03</t>
  </si>
  <si>
    <t>TCKU3061968</t>
  </si>
  <si>
    <t>Kim Sơn, Ninh Bình</t>
  </si>
  <si>
    <t>Đóng hàng vôi XK chiều 14/03</t>
  </si>
  <si>
    <t>DFSU1104451</t>
  </si>
  <si>
    <t>Đóng hàng XK sáng 15/03</t>
  </si>
  <si>
    <t>TEMU6644027</t>
  </si>
  <si>
    <t>Phả Lại, Hải Dương</t>
  </si>
  <si>
    <t>Đóng hàng XK sáng 16/03</t>
  </si>
  <si>
    <t>FCIU8864600</t>
  </si>
  <si>
    <t>Trả hàng + đóng hàng KH 17/03</t>
  </si>
  <si>
    <t>NPLU2212795</t>
  </si>
  <si>
    <t>Hoài Đức, Hà Nội</t>
  </si>
  <si>
    <t>GMTU4021834</t>
  </si>
  <si>
    <t>Trả hàng + đóng hàng KH 18/03</t>
  </si>
  <si>
    <t>EMCU3680697</t>
  </si>
  <si>
    <t>Trôi, Hà Nội</t>
  </si>
  <si>
    <t>TCLU2357443</t>
  </si>
  <si>
    <t>Trả hàng NK 20/03</t>
  </si>
  <si>
    <t>TEMU4650355</t>
  </si>
  <si>
    <t>Đóng hàng vôi XK chiều 20/03</t>
  </si>
  <si>
    <t>TCKU3739470</t>
  </si>
  <si>
    <t>Trả hàng sáng 23/03</t>
  </si>
  <si>
    <t>TRIU6800507</t>
  </si>
  <si>
    <t>KCN Tiên Sơn, Bắc Ninh</t>
  </si>
  <si>
    <t>TEXU9017929</t>
  </si>
  <si>
    <t>Trả hàng NK sáng 24/03</t>
  </si>
  <si>
    <t>HAHU2058597</t>
  </si>
  <si>
    <t>Trả hàng NK ngày 25/03</t>
  </si>
  <si>
    <t>TCNU5846445</t>
  </si>
  <si>
    <t>Trả hàng + đóng hàng KH 28/03</t>
  </si>
  <si>
    <t>FCIU5416201</t>
  </si>
  <si>
    <t>EMCU3670092</t>
  </si>
  <si>
    <t>Đóng hàng KH sáng 29/03</t>
  </si>
  <si>
    <t>TCNU7470716</t>
  </si>
  <si>
    <t>Giáp Bát, Hà Nội</t>
  </si>
  <si>
    <t>Đóng hàng sáng 30/03</t>
  </si>
  <si>
    <t>FCIU9458041</t>
  </si>
  <si>
    <t>Rửa xe + bơm mỡ xe</t>
  </si>
  <si>
    <t>Vé đường bộ</t>
  </si>
  <si>
    <t>Mua gạt mưa xe</t>
  </si>
  <si>
    <t>LK</t>
  </si>
  <si>
    <t>Phí QL 12%</t>
  </si>
  <si>
    <t>LN chia</t>
  </si>
  <si>
    <t>THÁNG 04.2016</t>
  </si>
  <si>
    <t>Trả hàng NK sáng 01/04</t>
  </si>
  <si>
    <t>BSIU2616883</t>
  </si>
  <si>
    <t>Trả hàng sáng 05/04</t>
  </si>
  <si>
    <t>GMDU2150830</t>
  </si>
  <si>
    <t>KCN Tân Trường, Hải Dương</t>
  </si>
  <si>
    <t>Đóng hàng KH sáng 05/04</t>
  </si>
  <si>
    <t>CBHU5588500</t>
  </si>
  <si>
    <t>Đóng hàng chè sáng 06/04</t>
  </si>
  <si>
    <t>TCNU9076131</t>
  </si>
  <si>
    <t>Phủ Lỗ, Sóc Sơn, Hà Nội</t>
  </si>
  <si>
    <t>Trả hàng + đóng hàng KH 07/04</t>
  </si>
  <si>
    <t>GMTU4494185</t>
  </si>
  <si>
    <t>Bắc Giang - Ninh Bình</t>
  </si>
  <si>
    <t>Đóng hàng chiều 08/04</t>
  </si>
  <si>
    <t>DFSU3014085</t>
  </si>
  <si>
    <t>Trả hàng + đóng hàng KH 09/04</t>
  </si>
  <si>
    <t>DRYU3094990</t>
  </si>
  <si>
    <t>Đồng Văn, Hà Nam - Hà Nam</t>
  </si>
  <si>
    <t>Trả hàng KH sáng 12/04</t>
  </si>
  <si>
    <t>WFHU1352411</t>
  </si>
  <si>
    <t>Thạch Thất, Hà Nội</t>
  </si>
  <si>
    <t>Đóng hàng KH sáng 12/04</t>
  </si>
  <si>
    <t>TEMU0161248</t>
  </si>
  <si>
    <t>Trả hàng + đóng hàng KH 13/04</t>
  </si>
  <si>
    <t>DRYU2853129</t>
  </si>
  <si>
    <t>Trả hàng NK chiều 19/04</t>
  </si>
  <si>
    <t>YMLU3246938</t>
  </si>
  <si>
    <t>Trả hàng + đóng hàng KH 14/04</t>
  </si>
  <si>
    <t>WFHU1358512</t>
  </si>
  <si>
    <t>Trả hàng KH sáng 15/04</t>
  </si>
  <si>
    <t>VSLU4492027</t>
  </si>
  <si>
    <t>Đóng hàng chiều 15/04</t>
  </si>
  <si>
    <t>WHLU2602560</t>
  </si>
  <si>
    <t>Đóng hàng KH bột đá chiều 19/04</t>
  </si>
  <si>
    <t>WFHU1351673</t>
  </si>
  <si>
    <t>Trả hàng + đóng hàng KH sáng 20/04</t>
  </si>
  <si>
    <t>VSLU4497163</t>
  </si>
  <si>
    <t>KCN Hà Bình Phương, Hà Nội - Hà Nam</t>
  </si>
  <si>
    <t>Đóng hàng chè sáng 21/04</t>
  </si>
  <si>
    <t>DFSU3066900</t>
  </si>
  <si>
    <t>TT Trần Phú, Văn Chấn, Yên Bái</t>
  </si>
  <si>
    <t>Trả hàng + đóng hàng 22/04</t>
  </si>
  <si>
    <t>DRYU3095229</t>
  </si>
  <si>
    <t>KCN Đồng Văn, Hà Nam - Hà Nam</t>
  </si>
  <si>
    <t>Trả hàng chiều 23/04</t>
  </si>
  <si>
    <t>TGHU3953493</t>
  </si>
  <si>
    <t>Trả hàng NK chiều 25/04</t>
  </si>
  <si>
    <t>TWCU2052983</t>
  </si>
  <si>
    <t>Đóng hàng XK sáng 26/04</t>
  </si>
  <si>
    <t>TCNU8581231</t>
  </si>
  <si>
    <t>Đóng hàng than hoạt tính sáng 27/04</t>
  </si>
  <si>
    <t>FSCU9408800</t>
  </si>
  <si>
    <t>KCN Quế Võ, Bắc Ninh</t>
  </si>
  <si>
    <t>Trả hàng NK sáng 28/04</t>
  </si>
  <si>
    <t>SITU2930683</t>
  </si>
  <si>
    <t>Đóng hàng KH chiều 28/04</t>
  </si>
  <si>
    <t>MSKU7323654</t>
  </si>
  <si>
    <t>Trả hàng NK sáng 29/04</t>
  </si>
  <si>
    <t>EGSU9157770</t>
  </si>
  <si>
    <t>Ngọc Hồi, Hà Nội</t>
  </si>
  <si>
    <t>Trả hàng NK sáng 30/04</t>
  </si>
  <si>
    <t>TGHU6829547</t>
  </si>
  <si>
    <t xml:space="preserve">Tiền dịch vụ đăng kiểm xe </t>
  </si>
  <si>
    <t>Mua 1/2 phuy nhớt máy</t>
  </si>
  <si>
    <t>Lương lái xe + thưởng 30/4</t>
  </si>
  <si>
    <t>Bổ sung phí thay lọc nhớt + lọc dầu xe từ 26/12/2015</t>
  </si>
  <si>
    <t>Nộp lệ phí sử dụng đường bộ 12 tháng</t>
  </si>
  <si>
    <t>Lệ phí đăng kiểm đầu kéo</t>
  </si>
  <si>
    <t>Phí gửi xe T4/2016</t>
  </si>
  <si>
    <t>THÁNG 05.2016</t>
  </si>
  <si>
    <t>Trả hàng sáng 01/05</t>
  </si>
  <si>
    <t>SITU2821086</t>
  </si>
  <si>
    <t>Ninh Phúc, Ninh Bình</t>
  </si>
  <si>
    <t>Đóng hàng KH sáng 01/05</t>
  </si>
  <si>
    <t>MSKU3757077</t>
  </si>
  <si>
    <t>Đóng hàng thép sáng 11/05</t>
  </si>
  <si>
    <t>BISU2841729</t>
  </si>
  <si>
    <t>Kinh Môn, Hải Dương</t>
  </si>
  <si>
    <t xml:space="preserve">Đóng hàng XK chiều 12/05 </t>
  </si>
  <si>
    <t>TCKU3292904</t>
  </si>
  <si>
    <t>Đóng hàng bột đá chiều 12/05</t>
  </si>
  <si>
    <t>DRYU2852740</t>
  </si>
  <si>
    <t>Trả hàng NK chiều 13/05</t>
  </si>
  <si>
    <t>TCLU3872406</t>
  </si>
  <si>
    <t>ICD Mỹ Đình - Mỹ Hào, Hưng Yên</t>
  </si>
  <si>
    <t>Trả hàng + đóng hàng KH 16/05</t>
  </si>
  <si>
    <t>WFHU1356309</t>
  </si>
  <si>
    <t>Trả hàng NK chiều 17/05</t>
  </si>
  <si>
    <t>BSIU2868340</t>
  </si>
  <si>
    <t>Trả hàng NK sáng 20/05</t>
  </si>
  <si>
    <t>MRKU5622192</t>
  </si>
  <si>
    <t>KCN Châu Sơn, Phủ Lý, Hà Nam</t>
  </si>
  <si>
    <t>Trả hàng + đóng hàng KH 23/05</t>
  </si>
  <si>
    <t>VSLU1042089</t>
  </si>
  <si>
    <t>Yên Mỹ, Hưng Yên - Hà Nam</t>
  </si>
  <si>
    <t>Đóng hàng tinh bột chiều 24/05</t>
  </si>
  <si>
    <t>TCKU3441799</t>
  </si>
  <si>
    <t>Trả hàng + đóng hàng KH 25/05</t>
  </si>
  <si>
    <t>NLLU9008889</t>
  </si>
  <si>
    <t>Long Biên, Hà Nội</t>
  </si>
  <si>
    <t>TCKU3320138</t>
  </si>
  <si>
    <t>Trả hàng + đóng hàng KH 26/05</t>
  </si>
  <si>
    <t>DRYU2901778</t>
  </si>
  <si>
    <t>Hai Bà Trưng, Hà Nội - Hà Nam</t>
  </si>
  <si>
    <t>Trả hàng + đóng hàng KH 27/05</t>
  </si>
  <si>
    <t>DRYU2851450</t>
  </si>
  <si>
    <t>KCN Sông Trà, Thái Bình - Hà Nam</t>
  </si>
  <si>
    <t>Đóng hàng chè sáng 30/05</t>
  </si>
  <si>
    <t>TCNU6793099</t>
  </si>
  <si>
    <t>Trả hàng + đóng hàng KH 31/05</t>
  </si>
  <si>
    <t>WHLU2322492</t>
  </si>
  <si>
    <t>Sửa + rửa xe 15C139.82</t>
  </si>
  <si>
    <t>Sửa chữa</t>
  </si>
  <si>
    <t>"Trả tiền sửa xe 15C139.82:
Thay tăng áp: 23.000.000đ
Thay 2 kim phun : 8.000.000đ*2
Công thợ : 3.000.000đ"</t>
  </si>
  <si>
    <t>KCN Thụy Vân, Việt Trì</t>
  </si>
  <si>
    <t>Mua kim phun dầu 4c * 8tr</t>
  </si>
  <si>
    <t>Phí bảo hiểm 2016</t>
  </si>
  <si>
    <t>Phí gửi xe T5/2016</t>
  </si>
  <si>
    <t>Thuê xe ngoài cứu hộ hàng</t>
  </si>
  <si>
    <t>Tiền cứu hộ kéo xe 15C139.82</t>
  </si>
  <si>
    <t>Lọc nhớt xe 15C139.82</t>
  </si>
  <si>
    <t>THÁNG 06.2016</t>
  </si>
  <si>
    <t>Trả hàng sáng 14/06</t>
  </si>
  <si>
    <t>Trả hàng + đóng hàng KH 15/06</t>
  </si>
  <si>
    <t>Đóng hàng chiều 16/06</t>
  </si>
  <si>
    <t>Trả hàng + đóng hàng KH 17/06</t>
  </si>
  <si>
    <t>Trả hàng + đóng hàng KH 18/06</t>
  </si>
  <si>
    <t>Trả hàng NK sáng 19/06</t>
  </si>
  <si>
    <t>Đóng hàng KH chiều 19/06</t>
  </si>
  <si>
    <t>Trả hàng + đóng hàng KH 20/06</t>
  </si>
  <si>
    <t>Trả hàng + đóng hàng KH 21/06</t>
  </si>
  <si>
    <t>Trả hàng NK chiều 22/06</t>
  </si>
  <si>
    <t>Trả hàng sáng 23/06</t>
  </si>
  <si>
    <t>Đóng hàng KH chiều 23/06</t>
  </si>
  <si>
    <t>Trả hàng 24/06</t>
  </si>
  <si>
    <t>Đóng hàng bột đá KH chiều 24/06</t>
  </si>
  <si>
    <t>Trả hàng + đóng hàng KH 27/06</t>
  </si>
  <si>
    <t>Trả hàng + đóng hàng KH 28/06</t>
  </si>
  <si>
    <t>Trả hàng Vietsun sáng 29/06</t>
  </si>
  <si>
    <t>Trả hàng NK sáng 30/06</t>
  </si>
  <si>
    <t>Đóng hàng KH chiều 30/06</t>
  </si>
  <si>
    <t>DRYU9367617</t>
  </si>
  <si>
    <t>WFHU1351966</t>
  </si>
  <si>
    <t>MRKU6511640</t>
  </si>
  <si>
    <t>WFHU1361500</t>
  </si>
  <si>
    <t>TEMU3523886</t>
  </si>
  <si>
    <t>CAXU6968153</t>
  </si>
  <si>
    <t>MRKU8883646</t>
  </si>
  <si>
    <t>DRYU2851851</t>
  </si>
  <si>
    <t>DRYU3093988</t>
  </si>
  <si>
    <t>DRYU2923519</t>
  </si>
  <si>
    <t>BMOU5398861</t>
  </si>
  <si>
    <t>VSLU4486976</t>
  </si>
  <si>
    <t>IMTU3085230</t>
  </si>
  <si>
    <t>MRKU9570332</t>
  </si>
  <si>
    <t>GATU0129975</t>
  </si>
  <si>
    <t>TCKU3587886</t>
  </si>
  <si>
    <t>DRYU3095337</t>
  </si>
  <si>
    <t>WFHU1352807</t>
  </si>
  <si>
    <t>DRYU9878495</t>
  </si>
  <si>
    <t>TGHU3665310</t>
  </si>
  <si>
    <t>PCIU3944771</t>
  </si>
  <si>
    <t>Kiện Khê, Hà Nam</t>
  </si>
  <si>
    <t>KCN Ngọc Hồi, Hà Nội - Hà Nam</t>
  </si>
  <si>
    <t>Chí Linh, Hải Dương</t>
  </si>
  <si>
    <t>Dương Xá, Gia Lâm, Hà Nội - Hà Nam</t>
  </si>
  <si>
    <t>Xuân Quang, Văn Giang, Hưng Yên</t>
  </si>
  <si>
    <t>KCN Đồng Văn, Hà Nam</t>
  </si>
  <si>
    <t>KCN Ngọc Hồi, Thanh Trì, Hà Nội</t>
  </si>
  <si>
    <t xml:space="preserve">Dương Xá, Gia Lâm, Hà Nội </t>
  </si>
  <si>
    <t>KCN Phố Nối A, Hưng Yên</t>
  </si>
  <si>
    <t>Như Quỳnh, Hưng Yên - Hà Nam</t>
  </si>
  <si>
    <t>Kho D, cảng Hà Nội - Hà Nam</t>
  </si>
  <si>
    <t>Đóng hàng sáng 01/06</t>
  </si>
  <si>
    <t>Trả hàng NK sáng 02/06</t>
  </si>
  <si>
    <t>Trả hàng NK tối 02/06</t>
  </si>
  <si>
    <t>Đóng hàng kết hợp 03/06</t>
  </si>
  <si>
    <t>Trả hàng NK tối 04/06</t>
  </si>
  <si>
    <t>Đóng hàng KH 05/06</t>
  </si>
  <si>
    <t>Trả hàng + đóng hàng KH 06/06</t>
  </si>
  <si>
    <t>Trả hàng + đóng hàng KH 07/06</t>
  </si>
  <si>
    <t>Trả hàng + đóng hàng KH 08/06</t>
  </si>
  <si>
    <t>Trả hàng + đóng hàng KH 09/06</t>
  </si>
  <si>
    <t>Trả hàng + đóng hàng KH 10/06</t>
  </si>
  <si>
    <t>Trả hàng + đóng hàng KH 13/06</t>
  </si>
  <si>
    <t>HJLU1370821</t>
  </si>
  <si>
    <t>SEGU5359374</t>
  </si>
  <si>
    <t>TEMU4077246</t>
  </si>
  <si>
    <t>TTNU1617090</t>
  </si>
  <si>
    <t>BSIU2620820</t>
  </si>
  <si>
    <t xml:space="preserve"> DRYU3093041</t>
  </si>
  <si>
    <t>DRYU3094752</t>
  </si>
  <si>
    <t>TTNU2348606</t>
  </si>
  <si>
    <t>WFHU1362467</t>
  </si>
  <si>
    <t>WFHU1364834</t>
  </si>
  <si>
    <t>DRYU2853772</t>
  </si>
  <si>
    <t>VSLU1048770</t>
  </si>
  <si>
    <t>KCN Thạch Thất, Hà Nội</t>
  </si>
  <si>
    <t>Phố Nối , Hưng Yên- Hà Nam</t>
  </si>
  <si>
    <t>Hà Nam- Hà Nam</t>
  </si>
  <si>
    <t>Lương lái xe T06/2016</t>
  </si>
  <si>
    <t xml:space="preserve">Lọc dầu diesel (2 cấp) </t>
  </si>
  <si>
    <t>Sửa chữa xe</t>
  </si>
  <si>
    <t>Phí gửi xe T06/2016</t>
  </si>
  <si>
    <t>THÁNG 07.2016</t>
  </si>
  <si>
    <t>Đóng hàng chè sáng 01/07</t>
  </si>
  <si>
    <t>Trả hàng sáng  02/07</t>
  </si>
  <si>
    <t>Đóng hàng chiều 02/07</t>
  </si>
  <si>
    <t>Trả hàng + đóng hàng KH 04/07</t>
  </si>
  <si>
    <t>Trả hàng sáng  05/07</t>
  </si>
  <si>
    <t>Đóng hàng kết hợp sáng 06/07</t>
  </si>
  <si>
    <t>Đóng hàng chè sáng 07/07</t>
  </si>
  <si>
    <t>Trả hàng + đóng hàng KH 08/07</t>
  </si>
  <si>
    <t>Đóng hàng chè sáng 09/07</t>
  </si>
  <si>
    <t>Đóng hàng sáng 11/07</t>
  </si>
  <si>
    <t>Đóng hàng chè chiều 11/07</t>
  </si>
  <si>
    <t>Trả hàng + đóng hàng KH sáng 13/07</t>
  </si>
  <si>
    <t>Trả hàng + đóng hàng KH sáng 14/07</t>
  </si>
  <si>
    <t>Trả hàng + đóng hàng KH sáng 15/07</t>
  </si>
  <si>
    <t xml:space="preserve">Trả hàng NK sáng 16/07 </t>
  </si>
  <si>
    <t>Đóng hàng chiều 16/07</t>
  </si>
  <si>
    <t>Trả hàng sáng 18/07</t>
  </si>
  <si>
    <t>Đóng hàng KH chiều 18/07</t>
  </si>
  <si>
    <t>Trả hàng sáng 19/07</t>
  </si>
  <si>
    <t>Đóng hàng KH 19/07</t>
  </si>
  <si>
    <t>Đóng hàng chè sáng 20/07</t>
  </si>
  <si>
    <t>Trả hàng + đóng hàng KH 21/07</t>
  </si>
  <si>
    <t>Đóng hàng chè sáng 22/07</t>
  </si>
  <si>
    <t>Trả hàng NK sáng 23/07</t>
  </si>
  <si>
    <t>Đóng hàng chiều 23/07</t>
  </si>
  <si>
    <t>Trả hàng NK sáng 25/07</t>
  </si>
  <si>
    <t>Đóng hàng vôi KH chiều 25/07</t>
  </si>
  <si>
    <t>Trả hàng + đóng hàng KH 26/07</t>
  </si>
  <si>
    <t>Đóng hàng chè sáng 27/07</t>
  </si>
  <si>
    <t>Trả hàng sáng 28/07</t>
  </si>
  <si>
    <t>Đóng hàng KH chiều 28/07</t>
  </si>
  <si>
    <t>Trả hàng sáng 30/07</t>
  </si>
  <si>
    <t>Đóng hàng KH gạch 30/07</t>
  </si>
  <si>
    <t>MRKU3989804</t>
  </si>
  <si>
    <t>SEGU1763454</t>
  </si>
  <si>
    <t>TCLU3237632</t>
  </si>
  <si>
    <t>DRYU2853900</t>
  </si>
  <si>
    <t>DRYU9878140</t>
  </si>
  <si>
    <t>YMLU8774286</t>
  </si>
  <si>
    <t>DRYU3093606</t>
  </si>
  <si>
    <t>TCNU6285610</t>
  </si>
  <si>
    <t>DRYU4293527</t>
  </si>
  <si>
    <t>TCLU9642904</t>
  </si>
  <si>
    <t>DRYU3094963</t>
  </si>
  <si>
    <t>WFHU1352047</t>
  </si>
  <si>
    <t>WFHU1352880</t>
  </si>
  <si>
    <t>OOLU1865201</t>
  </si>
  <si>
    <t>DRYU2923062</t>
  </si>
  <si>
    <t>GMDU2151159</t>
  </si>
  <si>
    <t>DRYU3023506</t>
  </si>
  <si>
    <t>MSKU5108122</t>
  </si>
  <si>
    <t>MIEU0012896</t>
  </si>
  <si>
    <t>DRYU3095425</t>
  </si>
  <si>
    <t>BMOU5731252</t>
  </si>
  <si>
    <t>MSKU5219548</t>
  </si>
  <si>
    <t>WHLU0222436</t>
  </si>
  <si>
    <t>PONU0555637</t>
  </si>
  <si>
    <t>WHLU2698139</t>
  </si>
  <si>
    <t>GMDU2142898</t>
  </si>
  <si>
    <t>MRKU4051988</t>
  </si>
  <si>
    <t>DFSU3054426</t>
  </si>
  <si>
    <t>DFSU2942021</t>
  </si>
  <si>
    <t>WHLU2931657</t>
  </si>
  <si>
    <t>BSIU2821743</t>
  </si>
  <si>
    <t>Ngũ Hiệp, Thanh Trì, Hà Nội</t>
  </si>
  <si>
    <t>KCN Hà Bình Phương, Hà Nội</t>
  </si>
  <si>
    <t>Thanh Hóa - Hà Nam</t>
  </si>
  <si>
    <t>Lai Cách, Cẩm Giàng, Hải Dương</t>
  </si>
  <si>
    <t>Thanh Trì, Hà Nội - Hà Nam</t>
  </si>
  <si>
    <t>Thường Tín, Hà Nội</t>
  </si>
  <si>
    <t>Sóc Sơn, Hà Nội</t>
  </si>
  <si>
    <t>KCN Tân Trường, Hải Dương - Hà Nam</t>
  </si>
  <si>
    <t>Chu Đậu, Nam Sách, Hải Dương</t>
  </si>
  <si>
    <t>Bát Tràng, Hà Nội</t>
  </si>
  <si>
    <t>KCN Bình Xuyên, Vĩnh Phúc</t>
  </si>
  <si>
    <t>Lương lái xe T07/2016</t>
  </si>
  <si>
    <t>Phí gửi xe T07/2016</t>
  </si>
  <si>
    <t>Bơm mỡ xe</t>
  </si>
  <si>
    <t>Căn chỉnh cầu trục đầu+móc xe</t>
  </si>
  <si>
    <t>Thay cao su tay giằng cầu móc xe</t>
  </si>
  <si>
    <t>LK 4+5+6+7</t>
  </si>
  <si>
    <t>LK từ đầu năm</t>
  </si>
  <si>
    <t>THÁNG 08.2016</t>
  </si>
  <si>
    <t>Trả hàng sáng 01/08</t>
  </si>
  <si>
    <t>Đóng hàng vôi chiều 01/08</t>
  </si>
  <si>
    <t>Trả hàng sáng 03/08</t>
  </si>
  <si>
    <t>Đóng hàng KH chiều 03/08</t>
  </si>
  <si>
    <t>Trả hàng + đóng hàng KH 04/08</t>
  </si>
  <si>
    <t>Đóng hàng chè chiều 05/08</t>
  </si>
  <si>
    <t>Đóng hàng XK sáng 06/08</t>
  </si>
  <si>
    <t>Trả hàng NK sáng 07/08</t>
  </si>
  <si>
    <t>Đóng hàng KH chiều 07/08</t>
  </si>
  <si>
    <t>Đóng hàng XK sáng 08/08</t>
  </si>
  <si>
    <t>Trả hàng NK sáng 09/08</t>
  </si>
  <si>
    <t>Đóng hàng bột đá chiều 09/08</t>
  </si>
  <si>
    <t>Đóng hàng chè chiều 10/08</t>
  </si>
  <si>
    <t>Đóng hàng chè chiều 11/08</t>
  </si>
  <si>
    <t>Trả hàng + đóng hàng KH 12/08</t>
  </si>
  <si>
    <t>Trả hàng sáng 13/08</t>
  </si>
  <si>
    <t>Đóng hàng bột đá chiều 13/08</t>
  </si>
  <si>
    <t>Trả hàng + đóng hàng kết hợp 15/08</t>
  </si>
  <si>
    <t>Trả hàng + đóng hàng KH 16/08</t>
  </si>
  <si>
    <t>Đóng hàng chè sáng 19/08</t>
  </si>
  <si>
    <t>Trả hàng NK sáng 22/09</t>
  </si>
  <si>
    <t>Đóng hàng bột đá chiều 22/08</t>
  </si>
  <si>
    <t>Trả hàng Vietsun sáng 23/08</t>
  </si>
  <si>
    <t>Trả hàng Vietsun sáng 24/08</t>
  </si>
  <si>
    <t>Trả hàng Vietsun tối 24/08</t>
  </si>
  <si>
    <t>Đóng hàng kết hợp sáng 25/08</t>
  </si>
  <si>
    <t>Trả hàng + đóng hàng KH 26/08</t>
  </si>
  <si>
    <t>YMLU3199409</t>
  </si>
  <si>
    <t>OOLU0526409</t>
  </si>
  <si>
    <t>WHLU0447290</t>
  </si>
  <si>
    <t>DRYU2852884</t>
  </si>
  <si>
    <t>DRYU3025469</t>
  </si>
  <si>
    <t>MRKU3402516</t>
  </si>
  <si>
    <t>DFSU3136904</t>
  </si>
  <si>
    <t>SKLU1526286</t>
  </si>
  <si>
    <t>DRYU3023300</t>
  </si>
  <si>
    <t>DRYU9926314</t>
  </si>
  <si>
    <t>NYKU2975144</t>
  </si>
  <si>
    <t>DRYU3095661</t>
  </si>
  <si>
    <t>BMOU6267697</t>
  </si>
  <si>
    <t>TGHU7743514</t>
  </si>
  <si>
    <t>WFHU1355961</t>
  </si>
  <si>
    <t>DYLU2101357</t>
  </si>
  <si>
    <t>DRYU3095790</t>
  </si>
  <si>
    <t>DRYU2853303</t>
  </si>
  <si>
    <t>DRYU2852591</t>
  </si>
  <si>
    <t>WHLU5683430</t>
  </si>
  <si>
    <t>MAGU5761706</t>
  </si>
  <si>
    <t>WHLU0210707</t>
  </si>
  <si>
    <t>DRYU2849582</t>
  </si>
  <si>
    <t>TCNU8134104</t>
  </si>
  <si>
    <t>DRYU9718645</t>
  </si>
  <si>
    <t>TCNU4595670</t>
  </si>
  <si>
    <t>WFHU1358019</t>
  </si>
  <si>
    <t>Đức Giang, Hà Nội</t>
  </si>
  <si>
    <t>Nga Sơn, Thanh Hóa - Hà Nam</t>
  </si>
  <si>
    <t>Xuân Mai, Hà Nội - Hà Nam</t>
  </si>
  <si>
    <t>Tam Trinh, Hoàng Mai, Hà Nội</t>
  </si>
  <si>
    <t>Đóng hàng chè sáng 18/08</t>
  </si>
  <si>
    <t>Đóng hàng sáng 27/08</t>
  </si>
  <si>
    <t>Trả hàng sáng 29/08</t>
  </si>
  <si>
    <t>Đóng hàng sáng 30/08</t>
  </si>
  <si>
    <t>Đóng hàng xỉ bọt 31/08</t>
  </si>
  <si>
    <t>YMLU8809335</t>
  </si>
  <si>
    <t>DRYU9171115</t>
  </si>
  <si>
    <t>TCNU8538976</t>
  </si>
  <si>
    <t>SKHU4546502</t>
  </si>
  <si>
    <t>KCN Châu Sơn, Hà Nam</t>
  </si>
  <si>
    <t>Thanh toán tiền sửa chữa, hàn đắp bướm, mâm xe 15C-139.82</t>
  </si>
  <si>
    <t>Thanh toán tiền lọc nhớt</t>
  </si>
  <si>
    <t>Thanh toán tiền bơm mỡ xe</t>
  </si>
  <si>
    <t>Thanh toán tiền mua Săm 11R20</t>
  </si>
  <si>
    <r>
      <t xml:space="preserve">KCN Phố Nối A, Hưng Yên - </t>
    </r>
    <r>
      <rPr>
        <sz val="10"/>
        <color rgb="FFFF0000"/>
        <rFont val="Times New Roman"/>
        <family val="1"/>
      </rPr>
      <t>Hà Nam</t>
    </r>
  </si>
  <si>
    <t>Lương lái xe T08/2016</t>
  </si>
  <si>
    <t>THÁNG 09.2016</t>
  </si>
  <si>
    <t>Trả hàng + đóng hàng KH 01/09</t>
  </si>
  <si>
    <t>Trả hàng Vietsun sáng 02/09</t>
  </si>
  <si>
    <t>Trả hàng + đóng hàng KH 05/09</t>
  </si>
  <si>
    <t>Đóng hàng chè sáng 07/09</t>
  </si>
  <si>
    <t>Trả hàng + đóng hàng KH 08/09</t>
  </si>
  <si>
    <t>Trả hàng + đóng hàng KH 09/09</t>
  </si>
  <si>
    <t>Trả hàng NK 10/09</t>
  </si>
  <si>
    <t>Đóng hàng bột đá 11/09</t>
  </si>
  <si>
    <t>Trả hàng + đóng hàng KH 12/09</t>
  </si>
  <si>
    <t>Trả hàng + đóng hàng KH 13/09</t>
  </si>
  <si>
    <t>Đóng hàng chè chiều 14/09</t>
  </si>
  <si>
    <t>Trả hàng + đóng hàng KH 15/09</t>
  </si>
  <si>
    <t>Trả hàng + đóng hàng KH 16/09</t>
  </si>
  <si>
    <t>Trả hàng + đóng hàng KH 19/09</t>
  </si>
  <si>
    <t>Trả hàng + đóng hàng KH 20/09</t>
  </si>
  <si>
    <t>Trả hàng Vietsun sáng 21/09</t>
  </si>
  <si>
    <t>Đóng hàng kết hợp chiều 21/09</t>
  </si>
  <si>
    <t>Trả hàng + đóng hàng KH 22/09</t>
  </si>
  <si>
    <t>Trả hàng sáng 24/09</t>
  </si>
  <si>
    <t>Đóng hàng kết hợp 24/09</t>
  </si>
  <si>
    <t>Trả hàng sáng 26/09</t>
  </si>
  <si>
    <t>Đóng hàng bột đá chiều 26/09</t>
  </si>
  <si>
    <t>Đóng hàng sáng 27/09</t>
  </si>
  <si>
    <t>Đóng hàng chè sáng 28/09 - 29/09</t>
  </si>
  <si>
    <t>Trả hàng + đóng hàng KH 30/09</t>
  </si>
  <si>
    <t>DRYU3092976</t>
  </si>
  <si>
    <t>DRYU9592388</t>
  </si>
  <si>
    <t>DRYU3094618</t>
  </si>
  <si>
    <t>TCLU8283287</t>
  </si>
  <si>
    <t>DRYU2924407</t>
  </si>
  <si>
    <t>WFHU1365044</t>
  </si>
  <si>
    <t>BMOU2443400</t>
  </si>
  <si>
    <t>VSLU4480527</t>
  </si>
  <si>
    <t>GMDU2412822</t>
  </si>
  <si>
    <t>GMDU2152999</t>
  </si>
  <si>
    <t>BHCU4973660</t>
  </si>
  <si>
    <t>GMDU2153341</t>
  </si>
  <si>
    <t>TRHU1344355</t>
  </si>
  <si>
    <t>DRYU2851358</t>
  </si>
  <si>
    <t>DRYU3023785</t>
  </si>
  <si>
    <t>DRYU9592520</t>
  </si>
  <si>
    <t>TCKU1334934</t>
  </si>
  <si>
    <t>WHLU0248071</t>
  </si>
  <si>
    <t>DRYU3094710</t>
  </si>
  <si>
    <t>WHLU0318918</t>
  </si>
  <si>
    <t>WFHU1354883</t>
  </si>
  <si>
    <t>VSLU9109726</t>
  </si>
  <si>
    <t>DFSU6884303</t>
  </si>
  <si>
    <t>DRYU2852020</t>
  </si>
  <si>
    <t>KCN Tây Bắc, Thanh Hóa - Hà Nam</t>
  </si>
  <si>
    <t>KCN Đại Đồng, BN - Hà Nam</t>
  </si>
  <si>
    <t>KCN Phố Nối A, Hưng Yên Hà Nam</t>
  </si>
  <si>
    <t>Mỹ Hào, Hưng Yên - Hà Nam</t>
  </si>
  <si>
    <t xml:space="preserve">Thanh Trì, Hà Nội </t>
  </si>
  <si>
    <t>Phù Ninh, Phú Thọ - Hà Nam</t>
  </si>
  <si>
    <t>Từ Sơn, Bắc Ninh - Hà Nam</t>
  </si>
  <si>
    <t>KCN Phố Nối, Hưng Yên - Hà Nam</t>
  </si>
  <si>
    <t>Ngọc Hồi, Hà Nội - Hà Nam</t>
  </si>
  <si>
    <t>Chương Mỹ, Hà Nội</t>
  </si>
  <si>
    <t>KCN Kiện Khê, Hà Nam</t>
  </si>
  <si>
    <t>Gia Lâm, Hà Nội - Hà Nam</t>
  </si>
  <si>
    <t>Hậu Lộc, Thanh Hóa - Hà Nam</t>
  </si>
  <si>
    <t>Phí gửi xe T09/2016</t>
  </si>
  <si>
    <t>Lương lái xe T09/2016</t>
  </si>
  <si>
    <t>Thanh toán 01 vé cao tốc đi ngày 09/8</t>
  </si>
  <si>
    <t>THÁNG 10.2016</t>
  </si>
  <si>
    <t>Đóng hàng chè sáng 01/10</t>
  </si>
  <si>
    <t>Đóng hàng chè sáng 03/10</t>
  </si>
  <si>
    <t>Trả hàng + đóng hàng KH sán 04/10</t>
  </si>
  <si>
    <t>Trả hàng + đóng hàng KH 05/10</t>
  </si>
  <si>
    <t>Trả hàng + đóng hàng KH 06/10</t>
  </si>
  <si>
    <t>Trả hàng + đóng hàng KH 08/10</t>
  </si>
  <si>
    <t>Trả hàng sáng 11/10</t>
  </si>
  <si>
    <t>Trả hàng + đóng hàng KH 12/10</t>
  </si>
  <si>
    <t>Trả hàng Vietsun sáng 13/10</t>
  </si>
  <si>
    <t>Trả hàng sáng 14/10</t>
  </si>
  <si>
    <t>Đóng hàng KH chiều 14/10</t>
  </si>
  <si>
    <t>Trả hàng + đóng hàng KH 15/10</t>
  </si>
  <si>
    <t>Trả hàng sáng 18/10</t>
  </si>
  <si>
    <t>Đóng hàng kết hợp chiều 18/10</t>
  </si>
  <si>
    <t>Đóng hàng bọt xỉ sáng 20/10</t>
  </si>
  <si>
    <t>Đóng hàng sáng 21/10</t>
  </si>
  <si>
    <t>Đóng hàng cốp pha sáng 22/10</t>
  </si>
  <si>
    <t>Đóng hàng chè sáng 24/10</t>
  </si>
  <si>
    <t>Trả hàng + đóng hàng KH 26/10</t>
  </si>
  <si>
    <t>Trả hàng Vietsun sáng 27/10</t>
  </si>
  <si>
    <t>Đóng hàng kết hợp chiều 28/10</t>
  </si>
  <si>
    <t>Trả hàng + đóng hàng KH 29/10</t>
  </si>
  <si>
    <t>Trả hàng Vietsun sáng 30/10</t>
  </si>
  <si>
    <t>Trả hàng Vietsun sáng 31/10</t>
  </si>
  <si>
    <t>MRKU4469788</t>
  </si>
  <si>
    <t>MSKU0724568</t>
  </si>
  <si>
    <t>DRYU2924156</t>
  </si>
  <si>
    <t>TRHU3295100</t>
  </si>
  <si>
    <t>GMDU2153700</t>
  </si>
  <si>
    <t>DRYU2923191</t>
  </si>
  <si>
    <t>DRYU9878411</t>
  </si>
  <si>
    <t>GMDU2418775</t>
  </si>
  <si>
    <t>TCNU4785514</t>
  </si>
  <si>
    <t>EITU0462379</t>
  </si>
  <si>
    <t>GMDU2419494</t>
  </si>
  <si>
    <t>GMDU2153423</t>
  </si>
  <si>
    <t>DRYU9592290</t>
  </si>
  <si>
    <t>SKHU8709742</t>
  </si>
  <si>
    <t>VSLU7024694</t>
  </si>
  <si>
    <t>TRLU5007685</t>
  </si>
  <si>
    <t>FSCU9308647</t>
  </si>
  <si>
    <t>DRYU3095698</t>
  </si>
  <si>
    <t>TCNU4785962</t>
  </si>
  <si>
    <t>GMDU2402465</t>
  </si>
  <si>
    <t>DRYU9877570</t>
  </si>
  <si>
    <t>TCNU4595638</t>
  </si>
  <si>
    <t>Chương Mỹ, Hà Nội - Hà Nam</t>
  </si>
  <si>
    <t>Đông Anh, Hà Nội - Hà Nam</t>
  </si>
  <si>
    <t>Thọ Xuân, Thanh Hóa - Hà Nam</t>
  </si>
  <si>
    <t>Cẩm Giàng, Hải Dương</t>
  </si>
  <si>
    <t>TP Ninh Bình</t>
  </si>
  <si>
    <t>Ninh Hiệp, Gia Lâm, Hà Nội</t>
  </si>
  <si>
    <t>Hoàng Mai, Hà Nội - Hà Nam</t>
  </si>
  <si>
    <t>KCN Thăng Long, Hà Nội</t>
  </si>
  <si>
    <t>Phường Việt Hòa, Hải Dương - Hà Nam</t>
  </si>
  <si>
    <t>Dị Sử, Mỹ Hào, Hưng Yên</t>
  </si>
  <si>
    <t>Lương lái xe T10/2016</t>
  </si>
  <si>
    <t>Phí gửi xe T10/2016</t>
  </si>
  <si>
    <t>Sửa xe (đèn led sườn)</t>
  </si>
  <si>
    <t>THÁNG 11.2016</t>
  </si>
  <si>
    <t>Trả hàng + đóng hàng KH 01/11</t>
  </si>
  <si>
    <t>Đóng hàng bình khí 02/11</t>
  </si>
  <si>
    <t>Trả hàng NK sáng 03/11</t>
  </si>
  <si>
    <t>Trả hàng + đóng hàng KH 04/11</t>
  </si>
  <si>
    <t>Đóng hàng XK sáng 05/11</t>
  </si>
  <si>
    <t>Trả hàng Vietsun sáng 07/11</t>
  </si>
  <si>
    <t>Đóng hàng chè sáng 08/11</t>
  </si>
  <si>
    <t>Trả hàng sáng 22/11</t>
  </si>
  <si>
    <t>Trả hàng sáng 19/11</t>
  </si>
  <si>
    <t>Đóng hàng chè sáng 21/11</t>
  </si>
  <si>
    <t>Trả hàng NK sáng 23/11</t>
  </si>
  <si>
    <t>Trả hàng Vietsun sáng 24/11</t>
  </si>
  <si>
    <t>Đóng hàng kết hợp chiều 24/11</t>
  </si>
  <si>
    <t>Trả hàng Vietsun sáng 25/11</t>
  </si>
  <si>
    <t>Trả hàng sáng 29/11</t>
  </si>
  <si>
    <t>Trả hàng Vietsun sáng 30/11</t>
  </si>
  <si>
    <t>Đóng hàng kết hợp chiều 30/11</t>
  </si>
  <si>
    <t>DRYU3095770</t>
  </si>
  <si>
    <t>TCKU3114939</t>
  </si>
  <si>
    <t>DYLU2105922</t>
  </si>
  <si>
    <t>WFHU1352031</t>
  </si>
  <si>
    <t>WHLU0596591</t>
  </si>
  <si>
    <t>MAGU5663850</t>
  </si>
  <si>
    <t>MSKU9322955</t>
  </si>
  <si>
    <t>WHSU5012232</t>
  </si>
  <si>
    <t>SITU9044434</t>
  </si>
  <si>
    <t>UETU5392122</t>
  </si>
  <si>
    <t>TGHU6438080</t>
  </si>
  <si>
    <t>DRYU9961700</t>
  </si>
  <si>
    <t>DRYU9876379</t>
  </si>
  <si>
    <t>WHLU5801826</t>
  </si>
  <si>
    <t>DRYU9969430</t>
  </si>
  <si>
    <t>KCN Thường Tín, Hà Nội - Hà Nam</t>
  </si>
  <si>
    <t>Dương Xá, Gia Lâm, Hà Nội</t>
  </si>
  <si>
    <t>Tề Lỗ, Yên Lạc, Vĩnh Phúc</t>
  </si>
  <si>
    <t>Ngọc Hồi, Thanh Trì, Hà Nội</t>
  </si>
  <si>
    <t>Phúc Yên, Vĩnh Phúc</t>
  </si>
  <si>
    <t>Lương lái xe T11/2016</t>
  </si>
  <si>
    <t>Phí gửi xe T11/2016</t>
  </si>
  <si>
    <t xml:space="preserve">Thanh toán tiền rửa xe bơm mỡ xe 15C-139.82 </t>
  </si>
  <si>
    <t>Thanh toán tiền sửa xe 15C-139.82 (mooc xe, công thợ xiết quay nhip mooc+xiết 6 đầu may-ơ)</t>
  </si>
  <si>
    <t>Thanh toán tiền sửa xe 15C-139.82 (ống dầu cấp km số 2)</t>
  </si>
  <si>
    <t>Thanh toán phí giữ hộ tài liệu xe 15C-139.82 cho ngân hàng sacombank ngày 11/11/2016</t>
  </si>
  <si>
    <t>Thanh toán phí cấp lưu hành xe 15C-139.82 cho ngân hàng sacombank ngày 11/11/2016</t>
  </si>
  <si>
    <t>Thanh toán tiền sửa xe 15C-139.82 (làm tăng dây curoa</t>
  </si>
  <si>
    <t>Thanh toán tiền mua lốp xe 15C-139.82 (2 quả) cho Công ty Hiệp Sinh</t>
  </si>
  <si>
    <t>Thanh toán tiền lọc ly tâm</t>
  </si>
  <si>
    <t>Dầu nhớt rimula 15W40</t>
  </si>
  <si>
    <t>THÁNG 1.2017</t>
  </si>
  <si>
    <t>Trả hàng Vietsun sáng 01/12</t>
  </si>
  <si>
    <t>Trả hàng Vietsun sáng 02/12</t>
  </si>
  <si>
    <t>Trả hàng + đóng hàng KH 03/12</t>
  </si>
  <si>
    <t>Trả hàng + đóng hàng KH 05/12</t>
  </si>
  <si>
    <t>Đóng hàng Vietsun sáng 06/12</t>
  </si>
  <si>
    <t>Đóng hàng sáng 07/12</t>
  </si>
  <si>
    <t>Trả hàng Vietsun sáng 08/12</t>
  </si>
  <si>
    <t>Đóng hàng kết hợp sáng 09/12</t>
  </si>
  <si>
    <t>Trả hàng NK chiều 10/12</t>
  </si>
  <si>
    <t>Trả hàng Vietsun sáng 12/12</t>
  </si>
  <si>
    <t>Đóng hàng kết hợp chiều 12/12</t>
  </si>
  <si>
    <t>Trả hàng Vietsun sáng 13/12</t>
  </si>
  <si>
    <t>Trả hàng Vietsun sáng 14/12</t>
  </si>
  <si>
    <t>Đóng hàng chè sáng 15/12</t>
  </si>
  <si>
    <t>Trả hàng Vietsun sáng 16/12</t>
  </si>
  <si>
    <t>Đóng hàng kết hợp Vietsun chiều 16/12</t>
  </si>
  <si>
    <t>Trả hàng Vietsun sáng 17/12</t>
  </si>
  <si>
    <t>Trả hàng + đóng hàng KH sáng 19/12</t>
  </si>
  <si>
    <t>Trả hàng + đóng hàng KH sáng 20/12</t>
  </si>
  <si>
    <t>Đóng hàng chè sáng 22/12</t>
  </si>
  <si>
    <t>Trả hàng + đóng hàng KH 23/12</t>
  </si>
  <si>
    <t>Trả hàng + đóng hàng KH 26/12</t>
  </si>
  <si>
    <t>Trả hàng Vietsun sáng 27/12</t>
  </si>
  <si>
    <t>Đóng hàng kết hợp chiều 27/12</t>
  </si>
  <si>
    <t>Trả hàng + đóng hàng KH 28/12</t>
  </si>
  <si>
    <t>Trả hàng Vietsun sáng 29/12</t>
  </si>
  <si>
    <t>Đóng hàng kết hợp chiều 29/12</t>
  </si>
  <si>
    <t>TCNU4785427</t>
  </si>
  <si>
    <t>DRYU9718162</t>
  </si>
  <si>
    <t>XINU1556839</t>
  </si>
  <si>
    <t>DRYU2853556</t>
  </si>
  <si>
    <t>GMDU2152767</t>
  </si>
  <si>
    <t>HDMU6969950</t>
  </si>
  <si>
    <t>CAIU9077005</t>
  </si>
  <si>
    <t>DRYU9592182</t>
  </si>
  <si>
    <t>CCLU3687187</t>
  </si>
  <si>
    <t>DRYU9962841</t>
  </si>
  <si>
    <t>TCNU4595833</t>
  </si>
  <si>
    <t>TCNU4595387</t>
  </si>
  <si>
    <t>TCLU5766065</t>
  </si>
  <si>
    <t>DRYU9877246</t>
  </si>
  <si>
    <t>DRYU9961779</t>
  </si>
  <si>
    <t>TRHU1344864</t>
  </si>
  <si>
    <t>DRYU2851070</t>
  </si>
  <si>
    <t>TEMU8419386</t>
  </si>
  <si>
    <t>WFHU1356356</t>
  </si>
  <si>
    <t>DRYU2852288</t>
  </si>
  <si>
    <t>DRYU9961188</t>
  </si>
  <si>
    <t>GMDU2151117</t>
  </si>
  <si>
    <t>DRYU9590636</t>
  </si>
  <si>
    <t>Sài Đồng, Long Biên, Hà Nội</t>
  </si>
  <si>
    <t>Khoái Châu, Hưng Yên</t>
  </si>
  <si>
    <t>Thanh Liêm, Hà Nam</t>
  </si>
  <si>
    <t>Tam Điệp, Ninh Bình - Hà Nam</t>
  </si>
  <si>
    <t>Chương Mỹ, Hà Nội - Tam Dương, VP</t>
  </si>
  <si>
    <t>KCN Hà Bình Phương - Vĩnh Tường, VP</t>
  </si>
  <si>
    <t>Hà Đông, Hà Nội - Vĩnh Phúc</t>
  </si>
  <si>
    <t>KCN Quất Động, Thường Tín Hà Nội</t>
  </si>
  <si>
    <t>Yên Nghĩa, Hà Đông, Hà Nội - Hà Nam</t>
  </si>
  <si>
    <t>Lương lái xe T12/2016</t>
  </si>
  <si>
    <t>Rửa xe, bơm mỡ</t>
  </si>
  <si>
    <t>Phí gửi xe T12/2016</t>
  </si>
  <si>
    <t>Lấy phiếu xe</t>
  </si>
  <si>
    <t>Thanh toán tiền sửa xe 15C-139.82 (tiện đắp mỡ gật, công tháo lắp mỡ gật, mỡ moay ơ, thay dây hơi
tăng áp, công thay dây hơi)</t>
  </si>
  <si>
    <t>THÁNG 12.2016</t>
  </si>
  <si>
    <t>Trả hàng Vietsun sáng 04/01</t>
  </si>
  <si>
    <t>Trả hàng Vietsun chiều 04/01</t>
  </si>
  <si>
    <t>Trả hàng + đóng hàng KH 05/01</t>
  </si>
  <si>
    <t>Trả hàng Vietsun sáng 06/01</t>
  </si>
  <si>
    <t>Đóng hàng kết hợp chiều 06/01</t>
  </si>
  <si>
    <t>Trả hàng Vietsun sáng 07/01</t>
  </si>
  <si>
    <t>Đóng hàng KH chiều 07/01</t>
  </si>
  <si>
    <t>Trả hàng Vietsun sáng 09/01</t>
  </si>
  <si>
    <t>Đóng hàng kết hợp chiều 09/01</t>
  </si>
  <si>
    <t>Trả hàng + đóng  hàng KH 10/01</t>
  </si>
  <si>
    <t>Trả hàng Vietsun sáng 11/01</t>
  </si>
  <si>
    <t>Trả hàng Vietsun sáng 12/01</t>
  </si>
  <si>
    <t>Đóng hàng kết hợp chiều 12/01</t>
  </si>
  <si>
    <t>Trả hàng Vietsun sáng 13/01</t>
  </si>
  <si>
    <t>Đóng hàng kết hợp chiều 13/01</t>
  </si>
  <si>
    <t>Trả hàng NK sáng 14/01</t>
  </si>
  <si>
    <t>Trả hàng sáng 15/01</t>
  </si>
  <si>
    <t>Trả hàng sáng 16/01</t>
  </si>
  <si>
    <t>Trả hàng + đóng hàng KH 17/01</t>
  </si>
  <si>
    <t>Trả hàng Vietsun sáng 18/01</t>
  </si>
  <si>
    <t>Đóng hàng kết hợp chiều 18/01</t>
  </si>
  <si>
    <t>Trả hàng Vietsun sáng 19/01</t>
  </si>
  <si>
    <t>Đóng hàng kết hợp chiều 19/01</t>
  </si>
  <si>
    <t>Trả hàng  sáng 21/01</t>
  </si>
  <si>
    <t>Đóng hàng sáng 23/01</t>
  </si>
  <si>
    <t>Trả hàng Vietsun sáng 24/01</t>
  </si>
  <si>
    <t>TCNU4595601</t>
  </si>
  <si>
    <t>DRYU9589511</t>
  </si>
  <si>
    <t>DRYU3093252</t>
  </si>
  <si>
    <t>DRYU9876337</t>
  </si>
  <si>
    <t>DRYU9961254</t>
  </si>
  <si>
    <t>DRYU9719045</t>
  </si>
  <si>
    <t>DRYU3094602</t>
  </si>
  <si>
    <t>DRYU9592670</t>
  </si>
  <si>
    <t>DRYU9592304</t>
  </si>
  <si>
    <t>TCNU4785978</t>
  </si>
  <si>
    <t>TGHU0471409</t>
  </si>
  <si>
    <t>VSLU7024713</t>
  </si>
  <si>
    <t>DRYU9961742</t>
  </si>
  <si>
    <t>VSLU3035160</t>
  </si>
  <si>
    <t>DRYU9168554</t>
  </si>
  <si>
    <t>DRYU9877713</t>
  </si>
  <si>
    <t>TCNU4785448</t>
  </si>
  <si>
    <t>HAHU5023228</t>
  </si>
  <si>
    <t>TCNU6542724</t>
  </si>
  <si>
    <t>DRYU9592264</t>
  </si>
  <si>
    <t>Ngọc Hồi, Thanh Trì, Hà Nội - Hà Nam</t>
  </si>
  <si>
    <t>TT Bần, Mỹ Hào, Hưng Yên</t>
  </si>
  <si>
    <t>NM giấy Bãi Bằng, Phù Ninh, Phú Thọ</t>
  </si>
  <si>
    <t>Kim Thành, Phú Thái, Hải Dương</t>
  </si>
  <si>
    <t>Thạch Thất, Hà Nội - Hà Nam</t>
  </si>
  <si>
    <t>KCN Duyên Thái, Thường Tín, Hà Nội</t>
  </si>
  <si>
    <t>Yên Mỹ, Hưng Yên</t>
  </si>
  <si>
    <t xml:space="preserve">Văn Lâm, Hưng Yên </t>
  </si>
  <si>
    <t>KCN Đình Trám, Bắc Giang</t>
  </si>
  <si>
    <t>Cầu Phong Châu, Phú Thọ</t>
  </si>
  <si>
    <t>Lương lái xe T1/2017</t>
  </si>
  <si>
    <t>Chi thưởng tết âm lịch</t>
  </si>
  <si>
    <t>Phí gửi xe T1/2017</t>
  </si>
  <si>
    <t>Lấy phiếu xe (3 phiếu)</t>
  </si>
  <si>
    <t>THÁNG 2.2017</t>
  </si>
  <si>
    <t>Trả hàng Vietsun sáng 03/02</t>
  </si>
  <si>
    <t>Trả hàng Vietsun sáng 04/02</t>
  </si>
  <si>
    <t>Trả hàng Vietsun sáng 06/02</t>
  </si>
  <si>
    <t>Đóng hàng kết hợp sáng 07/02</t>
  </si>
  <si>
    <t>Đóng hàng xỉ bọt sáng 08/02</t>
  </si>
  <si>
    <t>Đóng hàng sáng 09/02</t>
  </si>
  <si>
    <t>Trả hàng sáng 10/02</t>
  </si>
  <si>
    <t>Trả hàng Vietsun sáng 11/02</t>
  </si>
  <si>
    <t>Trả hàng + đóng hàng KH 13/02</t>
  </si>
  <si>
    <t>Đóng hàng chè sáng 14/02</t>
  </si>
  <si>
    <t>Trả hàng Vietsun sáng 15/02</t>
  </si>
  <si>
    <t>Đóng hàng kết hợp sáng 16/02</t>
  </si>
  <si>
    <t>Trả hàng + đóng hàng KH 17/02</t>
  </si>
  <si>
    <t>Đóng hàng Vietsun sáng 18/02</t>
  </si>
  <si>
    <t>Trả hàng Vietsun sáng 20/02</t>
  </si>
  <si>
    <t>Đóng hàng KH chiều 20/02</t>
  </si>
  <si>
    <t>Trả hàng sáng 21/02</t>
  </si>
  <si>
    <t>Trả hàng + đóng hàng KH 22/02</t>
  </si>
  <si>
    <t>Trả hàng sáng 23/02</t>
  </si>
  <si>
    <t>Trả hàng + đóng hàng KH 24/02</t>
  </si>
  <si>
    <t>Trả hàng + đóng bột đá KH 27/02</t>
  </si>
  <si>
    <t>Trả hàng + đóng bột đá KH 28/02</t>
  </si>
  <si>
    <t>DRYU9592156</t>
  </si>
  <si>
    <t>TCNU4785134</t>
  </si>
  <si>
    <t>TCNU4785113</t>
  </si>
  <si>
    <t>TCNU7730135</t>
  </si>
  <si>
    <t>DRYU3086042</t>
  </si>
  <si>
    <t>APRU5794276</t>
  </si>
  <si>
    <t>TCNU4785031</t>
  </si>
  <si>
    <t>WFHU1351816</t>
  </si>
  <si>
    <t>CAIU8920199</t>
  </si>
  <si>
    <t>DRYU9591530</t>
  </si>
  <si>
    <t>GMDU2151288</t>
  </si>
  <si>
    <t>VSLU7024550</t>
  </si>
  <si>
    <t>DRYU9961980</t>
  </si>
  <si>
    <t>UETU2434543</t>
  </si>
  <si>
    <t>DRYU3093669</t>
  </si>
  <si>
    <t>EGSU9151030</t>
  </si>
  <si>
    <t>DRYU3089524</t>
  </si>
  <si>
    <t>GMDU2152129</t>
  </si>
  <si>
    <t>TRHU1344798</t>
  </si>
  <si>
    <t>Bạch Sam, Mỹ Hào, Hưng Yên</t>
  </si>
  <si>
    <t>KCN Quang Minh, Vĩnh Phúc</t>
  </si>
  <si>
    <t>TP. Hưng Yên - Hà Nam</t>
  </si>
  <si>
    <t>Trưng Trắc, Văn Lâm, Hưng Yên</t>
  </si>
  <si>
    <t>Cẩm Giàng, Hải Dương - Hà Nam</t>
  </si>
  <si>
    <t>Cầu Phùng, Phúc Thọ, Hà Nội</t>
  </si>
  <si>
    <t xml:space="preserve"> TP. Thái Bình - Hà Nam</t>
  </si>
  <si>
    <t>Thanh toán tiền sửa xe 15C-139.82 (bơm mỡ, đảo lốp)</t>
  </si>
  <si>
    <t>Thanh toán tiền lọc dầu D168+R120T</t>
  </si>
  <si>
    <t>Thay bình ắc quy xe 15C-139.82</t>
  </si>
  <si>
    <t>THÁNG 3.2017</t>
  </si>
  <si>
    <t>Trả hàng + đóng bột đá KH 01/03</t>
  </si>
  <si>
    <t>Trả hàng + đóng bột đá 02/03</t>
  </si>
  <si>
    <t>Trả hàng + đóng bột đá 03/03</t>
  </si>
  <si>
    <t>Trả hàng + đóng hàng KH 04/03</t>
  </si>
  <si>
    <t>Trả hàng + đóng hàng KH 06/03</t>
  </si>
  <si>
    <t>Trả hàng + đóng hàng KH 08/03</t>
  </si>
  <si>
    <t>Trả hàng + đóng hàng KH 09/03</t>
  </si>
  <si>
    <t>Trả hàng + đóng hàng KH 10/03</t>
  </si>
  <si>
    <t>Trả hàng + đóng hàng KH 13/03</t>
  </si>
  <si>
    <t>Trả hàng + đóng hàng KH 14/03</t>
  </si>
  <si>
    <t>Trả hàng Vietsun sáng 15/03</t>
  </si>
  <si>
    <t>Trả hàng Vietsun sáng 16/03</t>
  </si>
  <si>
    <t>Trả hàng Vietsun sáng 17/03</t>
  </si>
  <si>
    <t>Trả hàng NK sáng 18/03</t>
  </si>
  <si>
    <t>Trả hàng tối 18/03</t>
  </si>
  <si>
    <t>Trả hàng + đóng hàng KH 20/03</t>
  </si>
  <si>
    <t>Trả hàng NK sáng 21/03</t>
  </si>
  <si>
    <t>Trả hàng + đóng hàng KH 22/03</t>
  </si>
  <si>
    <t>Trả hàng + đóng hàng KH 23/03</t>
  </si>
  <si>
    <t>Trả hàng + đóng hàng KH 24/03</t>
  </si>
  <si>
    <t>Trả hàng + đóng hàng KH 25/03</t>
  </si>
  <si>
    <t>Trả hàng + đóng hàng KH 27/03</t>
  </si>
  <si>
    <t>Trả hàng Vietsun sáng 28/03</t>
  </si>
  <si>
    <t>Đóng hàng kết hợp chiều 28/03</t>
  </si>
  <si>
    <t>Trả hàng Vietsun sáng 29/03</t>
  </si>
  <si>
    <t>Trả hàng + đóng hàng KH 30/03</t>
  </si>
  <si>
    <t>Trả hàng + đóng hàng KH 31/03</t>
  </si>
  <si>
    <t>VSLU4497780</t>
  </si>
  <si>
    <t>VSLU3038365</t>
  </si>
  <si>
    <t>DRYU3095002</t>
  </si>
  <si>
    <t>DRYU2851640</t>
  </si>
  <si>
    <t>DRYU3094623</t>
  </si>
  <si>
    <t>TRHU1344756</t>
  </si>
  <si>
    <t>TRHU3295305</t>
  </si>
  <si>
    <t>GMDU2142579</t>
  </si>
  <si>
    <t>WFHU1356124</t>
  </si>
  <si>
    <t>DRYU3089632</t>
  </si>
  <si>
    <t>GMDU2153552</t>
  </si>
  <si>
    <t>DRYU9591587</t>
  </si>
  <si>
    <t>TCNU4785936</t>
  </si>
  <si>
    <t>DRYU9961362</t>
  </si>
  <si>
    <t>TCLU3624009</t>
  </si>
  <si>
    <t>TCKU3464602</t>
  </si>
  <si>
    <t>DRYU3094897</t>
  </si>
  <si>
    <t>ZCSU8234258</t>
  </si>
  <si>
    <t>GMDU2152134</t>
  </si>
  <si>
    <t>DRYU2851912</t>
  </si>
  <si>
    <t>TRHU1344503</t>
  </si>
  <si>
    <t>TCKU2737940</t>
  </si>
  <si>
    <t>WFHU1356227</t>
  </si>
  <si>
    <t>TCNU4785772</t>
  </si>
  <si>
    <t>DRYU9367582</t>
  </si>
  <si>
    <t>DRYU2923118</t>
  </si>
  <si>
    <t>DRYU2901736</t>
  </si>
  <si>
    <t>Khu đô thị Quốc Oai, Hà Nội - Hà Nam</t>
  </si>
  <si>
    <t>Yên Nghĩa, Hà Đông, Hà Nội</t>
  </si>
  <si>
    <t>Văn Lâm, Hung Yên - Hà Nam</t>
  </si>
  <si>
    <t>Phú Lãm, Hà Đông, Hà Nội</t>
  </si>
  <si>
    <t>Lĩnh Nam, Hoàng Mai, Hà Nội</t>
  </si>
  <si>
    <t>cảng Phà Đen, Hà Nội</t>
  </si>
  <si>
    <t>Lạng Giang, Bắc Giang</t>
  </si>
  <si>
    <t>Phổ Yên, Thái Nguyên - Hà Nam</t>
  </si>
  <si>
    <t xml:space="preserve">Phú Xuyên, Hà Nội </t>
  </si>
  <si>
    <t>KCN Phong Khê, Bắc Ninh - Hà Nam</t>
  </si>
  <si>
    <t>Hà Trung, Thanh Hóa</t>
  </si>
  <si>
    <t>Đông Tân, TP. Thanh Hóa - Hà Nam</t>
  </si>
  <si>
    <t>Liên Phương, Thường Tín, Hà Nội</t>
  </si>
  <si>
    <t>Lương lái xe T3/2017</t>
  </si>
  <si>
    <t>Lương lái xe T2/2017</t>
  </si>
  <si>
    <t>Thanh toán tiền sửa xe 15C-139.82 (thay gạt mưa)</t>
  </si>
  <si>
    <t>Thanh toán tiền sửa xe 15C-139.82 (sửa cáp vô lăng T12.2016)</t>
  </si>
  <si>
    <t>Thanh toán tiền sửa xe 15C-139.82 (mặt lốc bơm nước, công thợ tháo lắp)</t>
  </si>
  <si>
    <t>Phí gửi xe T3/2017</t>
  </si>
  <si>
    <t>THÁNG 4.2017</t>
  </si>
  <si>
    <t>Trả hàng + đóng hàng KH 03/04</t>
  </si>
  <si>
    <t>Trả hàng Vietsun sáng 04/04</t>
  </si>
  <si>
    <t>Trả hàng NK 05/04</t>
  </si>
  <si>
    <t>Trả hàng NK sáng 08/04</t>
  </si>
  <si>
    <t>Trả hàng Vietsun tối 08/04</t>
  </si>
  <si>
    <t>Trả hàng + đóng hàng KH 10/04</t>
  </si>
  <si>
    <t>Trả hàng + đóng hàng KH 11/04</t>
  </si>
  <si>
    <t>Trả hàng + đóng hàng KH 12/04</t>
  </si>
  <si>
    <t>Trả hàng Vietsun sáng 13/04</t>
  </si>
  <si>
    <t>Trả hàng NK sáng 14/04</t>
  </si>
  <si>
    <t>Trả hàng NK sáng 15/04</t>
  </si>
  <si>
    <t>Trả hàng NK sáng 16/04</t>
  </si>
  <si>
    <t>Trả hàng + đóng hàng KH 17/04</t>
  </si>
  <si>
    <t>Đóng hàng chè sáng 18/04</t>
  </si>
  <si>
    <t>Đóng hàng chiều 19/04</t>
  </si>
  <si>
    <t>Đóng hàng chè chiều 20/04</t>
  </si>
  <si>
    <t>Trả hàng sáng 20/04</t>
  </si>
  <si>
    <t>Trả hàng + đóng hàng KH 21/04</t>
  </si>
  <si>
    <t>Trả hàng + đóng hàng KH 22/04</t>
  </si>
  <si>
    <t>Trả hàng + đóng hàng KH 24/04</t>
  </si>
  <si>
    <t xml:space="preserve">Trả hàng + đóng hàng KH </t>
  </si>
  <si>
    <t>Đóng hàng XK sáng 27/04</t>
  </si>
  <si>
    <t>Trả hàng + đóng hàng KH 28/04</t>
  </si>
  <si>
    <t>Trả hàng NK 29/04</t>
  </si>
  <si>
    <t>NPLU2217159</t>
  </si>
  <si>
    <t>DRYU2084180</t>
  </si>
  <si>
    <t>DFSU7630767</t>
  </si>
  <si>
    <t>TCNU6246430</t>
  </si>
  <si>
    <t>DRYU9592840</t>
  </si>
  <si>
    <t>DRYU3093885</t>
  </si>
  <si>
    <t>DRYU3093801</t>
  </si>
  <si>
    <t>GMDU2140010</t>
  </si>
  <si>
    <t>DRYU9718440</t>
  </si>
  <si>
    <t>CMAU4799796</t>
  </si>
  <si>
    <t>FSCU8368826</t>
  </si>
  <si>
    <t>BMOU6469337</t>
  </si>
  <si>
    <t>GMDU2152880</t>
  </si>
  <si>
    <t>TCLU1611527</t>
  </si>
  <si>
    <t>GLDU3431574</t>
  </si>
  <si>
    <t>WHLU0644410</t>
  </si>
  <si>
    <t>GMDU2153634</t>
  </si>
  <si>
    <t>GMDU2153594</t>
  </si>
  <si>
    <t>WFHU1364829</t>
  </si>
  <si>
    <t>GMDU2141839</t>
  </si>
  <si>
    <t>TRHU3295141</t>
  </si>
  <si>
    <t>MEDU4144901</t>
  </si>
  <si>
    <t>DRYU3093910</t>
  </si>
  <si>
    <t>OOLU6235885</t>
  </si>
  <si>
    <t>KCN Hòa Xá, TP. Nam Định</t>
  </si>
  <si>
    <t>Hạ Long, Quảng Ninh</t>
  </si>
  <si>
    <t>CK Bình Nghi, Lạng Sơn</t>
  </si>
  <si>
    <t>KCN Ngọc Hồi, Hà Nội</t>
  </si>
  <si>
    <t>Tự Khoát, Ngũ Hiệp, Thanh Trì, Hà Nội</t>
  </si>
  <si>
    <t>Cảng Phà Đen, Hà Nội - Hưng Yên</t>
  </si>
  <si>
    <t>Văn Điển, Ngọc Hồi, Hà Nội - Hà Nam</t>
  </si>
  <si>
    <t>Phúc Thọ - Thạch Thất, Hà Nội</t>
  </si>
  <si>
    <t>Lương Sơn, Hòa Bình - Hà Nam</t>
  </si>
  <si>
    <t>CK A Mú Sung, Lào Cai</t>
  </si>
  <si>
    <t>Lương lái xe +thưởng</t>
  </si>
  <si>
    <t>Thanh toán tiền sửa xe 15C-139.82 (thay lò xo bốc kê, bát phanh, quang lốc kê, công thợ)</t>
  </si>
  <si>
    <t>Thanh toán tiền lọc nhớt xe 15C-139.82</t>
  </si>
  <si>
    <t>Phí dịch vụ đăng kiểm xe 15C-139.82</t>
  </si>
  <si>
    <t>Phí sử dụng đường bộ xe 15C-139.82</t>
  </si>
  <si>
    <t>Phí kiểm định xe 15C-139.82</t>
  </si>
  <si>
    <t>Bơm mỡ xe 15C-139.82 ngày 15/4</t>
  </si>
  <si>
    <t xml:space="preserve">Phí gửi xe </t>
  </si>
  <si>
    <t>LK =</t>
  </si>
  <si>
    <t>THÁNG 5.2017</t>
  </si>
  <si>
    <t>Trả hàng NK sáng 19/05</t>
  </si>
  <si>
    <t>Trả hàng + đóng hàng KH 20/05</t>
  </si>
  <si>
    <t>Trả hàng + đóng hàng KH 22/05</t>
  </si>
  <si>
    <t>Trả hàng + đóng hàng KH 24/05</t>
  </si>
  <si>
    <t>Đóng hàng chè sáng 26/05</t>
  </si>
  <si>
    <t>Trả hàng + đóng hàng KH 29/05</t>
  </si>
  <si>
    <t>Trả hàng + đóng hàng KH 30/05</t>
  </si>
  <si>
    <t>GESU4696273</t>
  </si>
  <si>
    <t>GMDU2153439</t>
  </si>
  <si>
    <t>TRHU3295795</t>
  </si>
  <si>
    <t>WFHU1358301</t>
  </si>
  <si>
    <t>GMDU2150023</t>
  </si>
  <si>
    <t>BISU2821419</t>
  </si>
  <si>
    <t>TEMU7510824</t>
  </si>
  <si>
    <t>VSLU4496676</t>
  </si>
  <si>
    <t>GMDU2140241</t>
  </si>
  <si>
    <t>Tề Lỗ, Yên Lạc, Vĩnh Phúc - Hải Dương</t>
  </si>
  <si>
    <t>KCN Tân Quang, Hưng Yên - Hà Nam</t>
  </si>
  <si>
    <t>TP. Thái Bình - Hà Nam</t>
  </si>
  <si>
    <t>Thanh toán tiền định vị bách khoa xe</t>
  </si>
  <si>
    <t>Mua BH xe</t>
  </si>
  <si>
    <t>Thanh toán phí cấp lưu hành xe 15C-139.82 cho Sacombank</t>
  </si>
  <si>
    <t>Cước vận chuyển hàng về + lưu ca</t>
  </si>
  <si>
    <t>Lào Cai - Hải Phòng</t>
  </si>
  <si>
    <t>Thay 02 săm xe 11.00-20</t>
  </si>
  <si>
    <t>THÁNG 6.2017</t>
  </si>
  <si>
    <t>Đóng hàng chè chiều 01/06</t>
  </si>
  <si>
    <t>Trả hàng + đóng hàng KH 05/06</t>
  </si>
  <si>
    <t>Trả hàng NK sáng 06/06</t>
  </si>
  <si>
    <t>Trả hàng + đóng hàng KH 12/06</t>
  </si>
  <si>
    <t>Trả hàng NK sáng 13/06</t>
  </si>
  <si>
    <t>Trả hàng Vietsun sáng 14/06</t>
  </si>
  <si>
    <t>Đóng hàng XK tối 14/06</t>
  </si>
  <si>
    <t>Trả hàng Vietsun sáng 16/06</t>
  </si>
  <si>
    <t>Đóng hàng kết hợp chiều 16/06</t>
  </si>
  <si>
    <t>Trả hàng Vietsun sáng 17/06</t>
  </si>
  <si>
    <t>Đóng hàng kết hợp chiều 17/06</t>
  </si>
  <si>
    <t xml:space="preserve">Đóng hàng bột đá sáng 21/06 </t>
  </si>
  <si>
    <t>Trả hàng Vietsun sáng 22/06</t>
  </si>
  <si>
    <t>Trả hàng NK sáng 23/06</t>
  </si>
  <si>
    <t>Trả hàng NK sáng 24/06</t>
  </si>
  <si>
    <t>Trả hàng NK sáng 26/06</t>
  </si>
  <si>
    <t>Trả hàng chiều 28/06</t>
  </si>
  <si>
    <t>Đóng hàng chè sáng 29/06</t>
  </si>
  <si>
    <t>TCLU5134192</t>
  </si>
  <si>
    <t>DRYU3094407</t>
  </si>
  <si>
    <t>SEGU4754245</t>
  </si>
  <si>
    <t>GMDU2141464</t>
  </si>
  <si>
    <t>GMDU2150044</t>
  </si>
  <si>
    <t>WFHU1352509</t>
  </si>
  <si>
    <t>GMDU2140811</t>
  </si>
  <si>
    <t>MAEU6351083</t>
  </si>
  <si>
    <t>WFHU5137103</t>
  </si>
  <si>
    <t>KMTU9239817</t>
  </si>
  <si>
    <t>DRYU9961830</t>
  </si>
  <si>
    <t>DRYU9962008</t>
  </si>
  <si>
    <t>GMDU2152406</t>
  </si>
  <si>
    <t>DRYU3094705</t>
  </si>
  <si>
    <t>DRYU9591231</t>
  </si>
  <si>
    <t>TCLU4779448</t>
  </si>
  <si>
    <t>TCNU7755684</t>
  </si>
  <si>
    <t>TEMU8791990</t>
  </si>
  <si>
    <t>TRHU3295250</t>
  </si>
  <si>
    <t>BISU2841924</t>
  </si>
  <si>
    <t>WHSU2194513</t>
  </si>
  <si>
    <t>KCN Phú Thị, Gia Lâm, Hà Nội - Hà Nam</t>
  </si>
  <si>
    <t>KCN Ngọc Hồi,Thanh Trì, Hà Nội</t>
  </si>
  <si>
    <t>Dị Sử, Mỹ Hào, Hưng Yên - Hà Nam</t>
  </si>
  <si>
    <t>Hoài Đức, Hà Nội - Hà Nam</t>
  </si>
  <si>
    <t>NM Giấy Bãi Bằng, Phù Ninh, Phú Thọ</t>
  </si>
  <si>
    <t xml:space="preserve">Dị Sử, Mỹ Hào, Hưng Yên </t>
  </si>
  <si>
    <t>KCN VSIP, Từ Sơn, Bắc Ninh</t>
  </si>
  <si>
    <t xml:space="preserve">Cẩm Đông, Cẩm Phả, Quảng Ninh </t>
  </si>
  <si>
    <t>Tân Lập, Mộc Châu, Sơn La</t>
  </si>
  <si>
    <t>Công chứng giấy đăng kiểm xe 15C-139.82</t>
  </si>
  <si>
    <t>Thanh toán tiền mua 02 lốp lái, xe 15C-139.82</t>
  </si>
  <si>
    <t>THÁNG 7.2017</t>
  </si>
  <si>
    <t>Đóng hàng chè sáng 04/07</t>
  </si>
  <si>
    <t>Trả hàng NK sáng 06/07</t>
  </si>
  <si>
    <t>Trả hàng NK sáng 07/07</t>
  </si>
  <si>
    <t>Trả hàng sáng 08/07</t>
  </si>
  <si>
    <t>Trả hàng NK sáng 09/07</t>
  </si>
  <si>
    <t>Trả hàng + đóng hàng KH sáng 10/07</t>
  </si>
  <si>
    <t>Trả hàng + đóng hàng KH 11/07</t>
  </si>
  <si>
    <t>Trả hàng NK sáng 12/07</t>
  </si>
  <si>
    <t>Trả hàng sáng 12/07</t>
  </si>
  <si>
    <t>Trả hàng chè chiều 14/07</t>
  </si>
  <si>
    <t>Trả hàng + đóng hàng KH 17/07</t>
  </si>
  <si>
    <t>Trả hàng + đóng hàng KH 19/07</t>
  </si>
  <si>
    <t>Đóng hàng chè chiều 20/07</t>
  </si>
  <si>
    <t>Đóng hàng phân sáng 22/07</t>
  </si>
  <si>
    <t>Đóng hàng chè sáng 23/07</t>
  </si>
  <si>
    <t>Đóng hàng phân sáng 24/07</t>
  </si>
  <si>
    <t>Đóng hàng phân sáng 25/07</t>
  </si>
  <si>
    <t>Đóng hàng phân sáng 26/07</t>
  </si>
  <si>
    <t>Trả hàng NK sáng 27/07</t>
  </si>
  <si>
    <t>Trả hàng + đóng hàng KH 29/07</t>
  </si>
  <si>
    <t>Trả hàng NK sáng 31/07</t>
  </si>
  <si>
    <t>TCLU1668610</t>
  </si>
  <si>
    <t>TCNU7782720</t>
  </si>
  <si>
    <t>BMOU6308646</t>
  </si>
  <si>
    <t>UACU5782358</t>
  </si>
  <si>
    <t>OOLU9581726</t>
  </si>
  <si>
    <t>DRYU2853514</t>
  </si>
  <si>
    <t>DRYU3094433</t>
  </si>
  <si>
    <t>MAGU5661306</t>
  </si>
  <si>
    <t>MSCU5606131</t>
  </si>
  <si>
    <t>WHLU5685080</t>
  </si>
  <si>
    <t>DRYU2853155</t>
  </si>
  <si>
    <t>OOLU8260629</t>
  </si>
  <si>
    <t>WFHU1352957</t>
  </si>
  <si>
    <t>WHSU2202630</t>
  </si>
  <si>
    <t>XINU1479476</t>
  </si>
  <si>
    <t>TCNU5886598</t>
  </si>
  <si>
    <t>EISU2039362</t>
  </si>
  <si>
    <t>CLHU3748976</t>
  </si>
  <si>
    <t>EMCU3924746</t>
  </si>
  <si>
    <t>NEXU9551306</t>
  </si>
  <si>
    <t>TRHU3295856</t>
  </si>
  <si>
    <t>KMTU7425622</t>
  </si>
  <si>
    <t>Trung Giã, Sóc Sơn, Hà Nội</t>
  </si>
  <si>
    <t>KCN Vân Trung, Bắc Giang</t>
  </si>
  <si>
    <t>Kim Động, Hưng Yên</t>
  </si>
  <si>
    <t>KCN Nam Sách, Hải Dương - Hà Nam</t>
  </si>
  <si>
    <t>Phú Xuyên, Hà Nội</t>
  </si>
  <si>
    <t>KCN Đình Bảng, Bắc Ninh</t>
  </si>
  <si>
    <t>Cụm CN Yên Nghĩa, Hà Nội</t>
  </si>
  <si>
    <t>KCN Gia Lách, Hà Tĩnh</t>
  </si>
  <si>
    <t>KCN Phố Nối B, Hưng Yên</t>
  </si>
  <si>
    <t>Ép plastic phù hiệu xe</t>
  </si>
  <si>
    <t xml:space="preserve">Thanh toán tiền đổi phù hiệu xe </t>
  </si>
  <si>
    <t>Thanh toán tiền sửa xe 15C-139.82</t>
  </si>
  <si>
    <t>Thanh toán tiền mua lốp xe 15C-139.82</t>
  </si>
  <si>
    <t>Lọc dầu xe 15C-139.82</t>
  </si>
  <si>
    <t>Thanh toán tiền sửa xe 15C-139.82 (thay 1 lọ dâù côn+công thay)</t>
  </si>
  <si>
    <t>Thanh toán tiền sửa xe 15C-139.82 (bi con tông, dầu, công kiểm tra, công tháo lắp, con tăng) ngày 25/07</t>
  </si>
  <si>
    <t>Thanh toán tiền sửa xe 15C-139.82 (công tháo lắp, côn sau, chân côn) ngày 28/7</t>
  </si>
  <si>
    <t>Thanh toán tiền sửa xe 15C-139.82 ngày 18/5 (bơm mỡ, cản hậu mooc)</t>
  </si>
  <si>
    <t>Thanh toán tiền sửa xe 15C-139.82 ngày 28/5 (ép bạc zằng cầu đầu kéo, công tháo lắp, thay bi moay ơ lái, thay phớt 
moay ơ lái, dầu cầu, công tháo lắp...)</t>
  </si>
  <si>
    <t xml:space="preserve">Bơm mỡ xe 15C-139.82 ngày 23/6 </t>
  </si>
  <si>
    <t>THÁNG 8.2017</t>
  </si>
  <si>
    <t>Trả hàng + đóng hàng KH 01/08</t>
  </si>
  <si>
    <t>Trả hàng NK chiều 02/08</t>
  </si>
  <si>
    <t>Đóng hàng chè sáng 03/08</t>
  </si>
  <si>
    <t>Đóng hàng tro bay sáng 05/08</t>
  </si>
  <si>
    <t>Trả hàng đường ngắn 04/08</t>
  </si>
  <si>
    <t>Đóng hàng tro bay sáng 06/08</t>
  </si>
  <si>
    <t>Đóng hàng phân 07/08</t>
  </si>
  <si>
    <t>Đóng hàng phân 09/08</t>
  </si>
  <si>
    <t>Trả hàng + đóng hàng KH 08/08</t>
  </si>
  <si>
    <t>Đóng hàng chè sáng 15/08</t>
  </si>
  <si>
    <t>Trả hàng + đóng hàng KH 14/08</t>
  </si>
  <si>
    <t>Trả hàng Vietsun sáng 17/08</t>
  </si>
  <si>
    <t>Trả hàng + đóng hàng KH 22/08</t>
  </si>
  <si>
    <t>Trả hàng + đóng hàng KH 23/08</t>
  </si>
  <si>
    <t>Đóng hàng chè sáng 25/08</t>
  </si>
  <si>
    <t>Trả hàng + đóng hàng KH 24/08</t>
  </si>
  <si>
    <t>Trả hàng + đóng hàng KH 27/08</t>
  </si>
  <si>
    <t>Đóng hàng chè sáng 28/08</t>
  </si>
  <si>
    <t>Đóng hàng chè sáng 29/08</t>
  </si>
  <si>
    <t>Trả hàng NK sáng 31/08</t>
  </si>
  <si>
    <t>DRYU2852035</t>
  </si>
  <si>
    <t>TGHU5175272</t>
  </si>
  <si>
    <t>SEGU4326020</t>
  </si>
  <si>
    <t>MSKU4468715</t>
  </si>
  <si>
    <t>WHLU5314833</t>
  </si>
  <si>
    <t>MRKU9272981</t>
  </si>
  <si>
    <t>BEAU2100372</t>
  </si>
  <si>
    <t>TCLU3554600</t>
  </si>
  <si>
    <t>VNLU3095717</t>
  </si>
  <si>
    <t>WHLU5826125</t>
  </si>
  <si>
    <t>DRYU2852251</t>
  </si>
  <si>
    <t>TCLU8251470</t>
  </si>
  <si>
    <t>CAXU3139082</t>
  </si>
  <si>
    <t>DRYU9970071</t>
  </si>
  <si>
    <t>TCLU4910305</t>
  </si>
  <si>
    <t>DRYU2923421</t>
  </si>
  <si>
    <t>DRYU3093484</t>
  </si>
  <si>
    <t>BMOU5703266</t>
  </si>
  <si>
    <t>GMDU2153892</t>
  </si>
  <si>
    <t>CAXU6834914</t>
  </si>
  <si>
    <t>SEGU5111095</t>
  </si>
  <si>
    <t>WHLU0510962</t>
  </si>
  <si>
    <t>FCIU9970314</t>
  </si>
  <si>
    <t>KCN VSIP Thủy Nguyên, Hải Phòng</t>
  </si>
  <si>
    <t>Long Biên, Hà Nội- Hà Nam</t>
  </si>
  <si>
    <t>Như Quỳnh, Văn Lâm, Hưng Yên</t>
  </si>
  <si>
    <t>Tô Múa, Vân Hồ, Sơn La</t>
  </si>
  <si>
    <t>TT Trần Phú,Văn Chấn, Yên Bái</t>
  </si>
  <si>
    <t>Lương + t lái xe</t>
  </si>
  <si>
    <t>Thanh toán tiền mua 02 lốp cho xe 15C-139.82</t>
  </si>
  <si>
    <t>Thanh toán tiền sửa xe 15C-139.82 (sửa tổng hơi, thay zoăng, thay 1 rắc co)</t>
  </si>
  <si>
    <t>Thanh toán tiền sửa xe 15C-139.82 ngày 14/8</t>
  </si>
  <si>
    <t>Thanh toán tiền sửa xe 15C-139.82 (thay cốc lọc hơi, công làm) ngày 30/8</t>
  </si>
  <si>
    <t>Dầu nhớt 40L</t>
  </si>
  <si>
    <t>THÁNG 9.2017</t>
  </si>
  <si>
    <t>Trả hàng + đóng hàng KH 04/09</t>
  </si>
  <si>
    <t>Đóng hàng XK sáng 05/09</t>
  </si>
  <si>
    <t>Đóng hàng chè sáng 06/09</t>
  </si>
  <si>
    <t>Trả hàng + đóng hàng KH 07/09</t>
  </si>
  <si>
    <t>Trả hàng NK sáng 08/09</t>
  </si>
  <si>
    <t>Trả hàng NK sáng 09/09</t>
  </si>
  <si>
    <t>Trả hàng + đóng hàng KH 11/09</t>
  </si>
  <si>
    <t>Trả hàng Vietsun sáng 12/09</t>
  </si>
  <si>
    <t>BISU2837375</t>
  </si>
  <si>
    <t>GMDU2153167</t>
  </si>
  <si>
    <t>DFSU3012312</t>
  </si>
  <si>
    <t>CAIU9971734</t>
  </si>
  <si>
    <t>DRYU2924053</t>
  </si>
  <si>
    <t>WHLU6020010</t>
  </si>
  <si>
    <t>TCNU3570086</t>
  </si>
  <si>
    <t>DRYU2851846</t>
  </si>
  <si>
    <t>DRYU9593110</t>
  </si>
  <si>
    <t>DRYU2901510</t>
  </si>
  <si>
    <t>Cầu Diễn, Hà Nội -  Hà Nam</t>
  </si>
  <si>
    <t>Kho D, Cảng Hà Nội - Hà Nam</t>
  </si>
  <si>
    <t>Trả hàng Vietsun sáng 19/09</t>
  </si>
  <si>
    <t>Đóng hàng XK sáng 20/09</t>
  </si>
  <si>
    <t>Trả hàng NK sáng 21/09</t>
  </si>
  <si>
    <t>Đóng hàng chè sáng 22/09</t>
  </si>
  <si>
    <t>Đóng hàng sáng 23/09</t>
  </si>
  <si>
    <t>Trả hàng NK sáng 25/09</t>
  </si>
  <si>
    <t>Trả hàng Vietsun sáng 26/09</t>
  </si>
  <si>
    <t>Đóng hàng chè sáng 27/09</t>
  </si>
  <si>
    <t>Trả hàng NK sáng 28/09</t>
  </si>
  <si>
    <t>Trả hàng NK sáng 29/09</t>
  </si>
  <si>
    <t>Đóng hàng xỉ bọt sáng 30/09</t>
  </si>
  <si>
    <t>DRYU9718347</t>
  </si>
  <si>
    <t>WHLU0512414</t>
  </si>
  <si>
    <t>FCIU9398359</t>
  </si>
  <si>
    <t>DFSU6787284</t>
  </si>
  <si>
    <t>MSKU6810555</t>
  </si>
  <si>
    <t>SEGU4433754</t>
  </si>
  <si>
    <t>DRYU9718120</t>
  </si>
  <si>
    <t>TCNU7620138</t>
  </si>
  <si>
    <t>TEMU4592285</t>
  </si>
  <si>
    <t>ISMU3008603</t>
  </si>
  <si>
    <t>TEMU6169307</t>
  </si>
  <si>
    <t xml:space="preserve">KCN Phú Nghĩa, Chương Mỹ, Hà Nội </t>
  </si>
  <si>
    <t>KCN VSIP Bắc Ninh</t>
  </si>
  <si>
    <t xml:space="preserve">Lương </t>
  </si>
  <si>
    <t>Thanh toán tiền sửa xe 15C-139.82 ngày 16/8 (bô lò so, công tháo lắp thay bộ lò so bánh lái, hàn+sơn lại ba đờ sốc mooc)</t>
  </si>
  <si>
    <t>THÁNG 10.2017</t>
  </si>
  <si>
    <t>Đóng hàng tro bay 02/10</t>
  </si>
  <si>
    <t>Đóng hàng tro bay 03/10</t>
  </si>
  <si>
    <t>Trả hàng NK chiều 04/10</t>
  </si>
  <si>
    <t>Đóng hàng bình khí sáng 05/10</t>
  </si>
  <si>
    <t>Đóng hàng chè sáng 06/10</t>
  </si>
  <si>
    <t>Đóng hàng chè sáng 07/10</t>
  </si>
  <si>
    <t>Đóng hàng chè sáng 19/10</t>
  </si>
  <si>
    <t>Trả hàng Vietsun sáng 20/10</t>
  </si>
  <si>
    <t>Trả hàng + đóng hàng KH 21/10</t>
  </si>
  <si>
    <t>Đóng hàng chè sáng 23/10</t>
  </si>
  <si>
    <t>Đóng hàng sáng 24/10</t>
  </si>
  <si>
    <t>Trả hàng + đóng hàng KH 25/10</t>
  </si>
  <si>
    <t>Trả hàng NK sáng 27/10</t>
  </si>
  <si>
    <t>Trả hàng sáng 28/10</t>
  </si>
  <si>
    <t>Trả hàng sáng 30/10</t>
  </si>
  <si>
    <t>Đóng hàng chè sáng 31/10</t>
  </si>
  <si>
    <t>MSKU3066970</t>
  </si>
  <si>
    <t>MRKU6698269</t>
  </si>
  <si>
    <t>CSLU1294833</t>
  </si>
  <si>
    <t>CCZU9912783</t>
  </si>
  <si>
    <t>CAIU8757121</t>
  </si>
  <si>
    <t>DRYU9693383</t>
  </si>
  <si>
    <t>TCLU1773620</t>
  </si>
  <si>
    <t>TCNU4785535</t>
  </si>
  <si>
    <t>DRYU2852077</t>
  </si>
  <si>
    <t>DRYU6086642</t>
  </si>
  <si>
    <t>GLDU7601133</t>
  </si>
  <si>
    <t>VSLU1042520</t>
  </si>
  <si>
    <t>MRKU0509265</t>
  </si>
  <si>
    <t>YMLU8859589</t>
  </si>
  <si>
    <t>TLLU4412173</t>
  </si>
  <si>
    <t>SEGU4627913</t>
  </si>
  <si>
    <t>KCN Đại Đồng, Bắc Ninh - Ninh Bình</t>
  </si>
  <si>
    <t>Lập Thạch, Vĩnh Phúc</t>
  </si>
  <si>
    <t>Bạch Sam, Hưng Yên - Hà Nam</t>
  </si>
  <si>
    <t>Tiên Du, Bắc Ninh</t>
  </si>
  <si>
    <t>Mua vé cao tốc T10</t>
  </si>
  <si>
    <t>Anh Háu mua ắc quy cho xe 15C-139.82</t>
  </si>
  <si>
    <t>Thanh toán tiền sửa xe 15C-139.82 
(thay 1 bát phanh)</t>
  </si>
  <si>
    <t>Thanh toán tiền sửa xe 15C-139.82 
ngày 30/9 (tán má phanh, mỡ bảo dưỡng, công bảo dưỡng, rẻ lau, dầu rửa)</t>
  </si>
  <si>
    <t>THÁNG 11.2017</t>
  </si>
  <si>
    <t>Trả hàng NK sáng 01/11</t>
  </si>
  <si>
    <t>Đóng hàng chè sáng 02/11</t>
  </si>
  <si>
    <t>Trả hàng NK sáng 06/11</t>
  </si>
  <si>
    <t>Đóng hàng sáng 04/11</t>
  </si>
  <si>
    <t>Đóng hàng chè sáng 07/11</t>
  </si>
  <si>
    <t>Đóng hàng sáng 09/11</t>
  </si>
  <si>
    <t>Trả hàng Vietsun sáng 10/11</t>
  </si>
  <si>
    <t>Đóng hàng chè sáng 11/11</t>
  </si>
  <si>
    <t>Đóng hàng gỗ bóc sáng 14/11</t>
  </si>
  <si>
    <t>Trả hàng Vietsun sáng 15/11</t>
  </si>
  <si>
    <t>Đóng hàng KH chiều 15/11</t>
  </si>
  <si>
    <t>Trả hàng NK 16/11</t>
  </si>
  <si>
    <t>Trả hàng Vietsun sáng 18/11</t>
  </si>
  <si>
    <t>Trả hàng + đóng hàng KH 20/11</t>
  </si>
  <si>
    <t>Trả hàng Vietsun sáng 22/11</t>
  </si>
  <si>
    <t>Đóng hàng KH Vietsun chiều 22/11</t>
  </si>
  <si>
    <t>Trả hàng + đóng hàng KH 24/11</t>
  </si>
  <si>
    <t>Trả hàng + đóng hàng KH 25/11</t>
  </si>
  <si>
    <t>Trả hàng + đóng hàng KH 27/11</t>
  </si>
  <si>
    <t>Trả hàng + đóng hàng KH 28/11</t>
  </si>
  <si>
    <t>Trả hàng Vietsun sáng 29/11</t>
  </si>
  <si>
    <t>TEMU8127091</t>
  </si>
  <si>
    <t>EITU1890582</t>
  </si>
  <si>
    <t>TCNU4739859</t>
  </si>
  <si>
    <t>YMLU8798924</t>
  </si>
  <si>
    <t>SNBU8225379</t>
  </si>
  <si>
    <t>CAIU7365018</t>
  </si>
  <si>
    <t>EMCU9832499</t>
  </si>
  <si>
    <t>DRYU9969698</t>
  </si>
  <si>
    <t>TGBU5163768</t>
  </si>
  <si>
    <t>CCLU7110465</t>
  </si>
  <si>
    <t>OOLU1408798</t>
  </si>
  <si>
    <t>DRYU9593147</t>
  </si>
  <si>
    <t>GMDU2151483</t>
  </si>
  <si>
    <t>DRYU9589980</t>
  </si>
  <si>
    <t>GMDU2152896</t>
  </si>
  <si>
    <t>GMDU2140196</t>
  </si>
  <si>
    <t>GMDU2151863</t>
  </si>
  <si>
    <t>GMDU2151143</t>
  </si>
  <si>
    <t>DRYU9593471</t>
  </si>
  <si>
    <t>Làng Khoai, Như Quỳnh, Hưng yên</t>
  </si>
  <si>
    <t>KCN Hà Bình Phương, Thường Tín, HN</t>
  </si>
  <si>
    <t>NM Giấy An Hòa, Sơn Dương, TQ</t>
  </si>
  <si>
    <t>Đoan Hùng, Phú Thọ</t>
  </si>
  <si>
    <t>Ga Giáp Bát , Hà Nội</t>
  </si>
  <si>
    <t>Duyên Thái , Thường Tín, Hà Nội</t>
  </si>
  <si>
    <t>Hà Đông, Hà Nội - Hà Nam</t>
  </si>
  <si>
    <t>TP Hải Dương - Hà Nam</t>
  </si>
  <si>
    <t>Liên Phương, Hưng Yên</t>
  </si>
  <si>
    <t>Thanh toán tiền sửa xe 15C-139.82 (thay 2 bát phanh, thay lò xo, công làm)</t>
  </si>
  <si>
    <t>Thanh toán tiền sửa xe 15C-139.82 
(mua 1 bộ côn sửa bơm hơi cứu hộ trên Hải Dương...)</t>
  </si>
  <si>
    <t>Thanh toán tiền sửa xe 15C-139.82 
(sửa bóng tải, hàn bóng hơi)</t>
  </si>
  <si>
    <t>Thanh toán tiền mua dầu Total Rubia</t>
  </si>
  <si>
    <t>Thanh toán tiền gia hạn giấy tờ xe 
15C-139.82 cho Sacombank</t>
  </si>
  <si>
    <t>Chi phí giả quyết xe tai 15C-139.82 đi đóng hàng Chè Mỹ Lâm</t>
  </si>
  <si>
    <t>Bảo hiểm bồi thường xe tai nạn</t>
  </si>
  <si>
    <t>Thanh toán tiền lốp xe 15C-139.82 ngày 23/11</t>
  </si>
  <si>
    <t>Thanh toán tiền sửa xe 15C-139.82 ngày 18/10</t>
  </si>
  <si>
    <t>Mua vé cao tốc T11</t>
  </si>
  <si>
    <t>VAT hóa đơn bảo hiểm xe tai nan</t>
  </si>
  <si>
    <t>Thay lọc nhớt</t>
  </si>
  <si>
    <t>THÁNG 12.2017</t>
  </si>
  <si>
    <t>Trả hàng NK sáng 01/12</t>
  </si>
  <si>
    <t>Trả hàng + đóng hàng KH 02/12</t>
  </si>
  <si>
    <t>Trả hàng + đóng hàng KH 04/12</t>
  </si>
  <si>
    <t>Trả hàng + đóng hàng KH 06/12</t>
  </si>
  <si>
    <t>Trả hàng + đóng hàng KH 07/12</t>
  </si>
  <si>
    <t>Trả hàng NK sáng 08/12</t>
  </si>
  <si>
    <t>Trả hàng + đóng hàng KH 09/12</t>
  </si>
  <si>
    <t>Trả hàng NK sáng 11/12</t>
  </si>
  <si>
    <t>Trả hàng + đóng hàng KH 12/12</t>
  </si>
  <si>
    <t>Trả hàng + đóng hàng KH 13/12</t>
  </si>
  <si>
    <t>Trả hàng + đóng hàng KH 14/12</t>
  </si>
  <si>
    <t>Trả hàng + đóng hàng KH 15/12</t>
  </si>
  <si>
    <t>Đóng hàng chè sáng 16/12</t>
  </si>
  <si>
    <t>Trả hàng + đóng hàng KH 18/12</t>
  </si>
  <si>
    <t>Trả hàng NK sáng 19/12</t>
  </si>
  <si>
    <t>Trả hàng Vietsun tối 19/12</t>
  </si>
  <si>
    <t>Trả hàng Vietsun sáng 20/12</t>
  </si>
  <si>
    <t>Trả hàng NK sáng 21/12</t>
  </si>
  <si>
    <t>Đóng hàng sáng 22/12</t>
  </si>
  <si>
    <t>Đóng hàng sáng 23/12</t>
  </si>
  <si>
    <t>Trả hàng NK sáng 25/12</t>
  </si>
  <si>
    <t>Trả hàng Vietsun sáng 26/12</t>
  </si>
  <si>
    <t>Trả hàng NK sáng 27/12</t>
  </si>
  <si>
    <t>Trả hàng NK sáng 28/12</t>
  </si>
  <si>
    <t>Trả hàng + đóng hàng KH 29/12</t>
  </si>
  <si>
    <t>Trả hàng Vietsun sáng 30/12</t>
  </si>
  <si>
    <t>TLLU2011778</t>
  </si>
  <si>
    <t>DRYU3023770</t>
  </si>
  <si>
    <t>DRYU2139317</t>
  </si>
  <si>
    <t>GMDU2152258</t>
  </si>
  <si>
    <t>GMDU2142202</t>
  </si>
  <si>
    <t>TRHU3295460</t>
  </si>
  <si>
    <t>BEAU4306819</t>
  </si>
  <si>
    <t>DRYU2923550</t>
  </si>
  <si>
    <t>WHLU5652933</t>
  </si>
  <si>
    <t>GMDU2142408</t>
  </si>
  <si>
    <t>TCKU4319162</t>
  </si>
  <si>
    <t>DRYU2901886</t>
  </si>
  <si>
    <t>TCLU1740695</t>
  </si>
  <si>
    <t>WFHU1357861</t>
  </si>
  <si>
    <t>HAHU4034172</t>
  </si>
  <si>
    <t>TCNU4785730</t>
  </si>
  <si>
    <t>DRYU9592808</t>
  </si>
  <si>
    <t>BMOU6312245</t>
  </si>
  <si>
    <t>WSCU3876122</t>
  </si>
  <si>
    <t>TCNU3948622</t>
  </si>
  <si>
    <t>WHLU0672080</t>
  </si>
  <si>
    <t>DRYU9592243</t>
  </si>
  <si>
    <t>UETU5311326</t>
  </si>
  <si>
    <t>TTNU5265660</t>
  </si>
  <si>
    <t>CRSU1405210</t>
  </si>
  <si>
    <t>DRYU9961589</t>
  </si>
  <si>
    <t>Vân Hồ, Sơn La</t>
  </si>
  <si>
    <t>Quốc Oai, Hà Nội - Hà Nam</t>
  </si>
  <si>
    <t>Hòa Mạc, Duy Tiên, Hà Nam - Hà Nam</t>
  </si>
  <si>
    <t>Cẩm Giàng, Hải Dương- Hà Nam</t>
  </si>
  <si>
    <t>Phú Thị, Hà Nội - Hà Nam</t>
  </si>
  <si>
    <t>KCN Đại Đồng, Băc Ninh - Hà Nam</t>
  </si>
  <si>
    <t>Phủ Lý , Hà Nam - Hà Nam</t>
  </si>
  <si>
    <t>Láng Hòa Lạc, Hà Nội - Hà Nam</t>
  </si>
  <si>
    <t>Hoàng Mai, Hà Nội</t>
  </si>
  <si>
    <t>Đại Từ, Hoàng Mai, Hà Nội</t>
  </si>
  <si>
    <t>Vĩnh Bảo, Hải Phòng</t>
  </si>
  <si>
    <t>Tân Xuân, Từ Liêm, Hà Nội</t>
  </si>
  <si>
    <t>Đồng Văn, Hà Nam</t>
  </si>
  <si>
    <t>Văn Giang, Hưng Yên - Hà Nam</t>
  </si>
  <si>
    <t>Thanh toán tiền mua nước làm mát</t>
  </si>
  <si>
    <t xml:space="preserve">Thanh toán tiền sửa xe 15C-139.82 </t>
  </si>
  <si>
    <t>Thanh toán tiền sửa xe 15C-139.82 (gạt mưa..)</t>
  </si>
  <si>
    <t>Chi thưởng tết dương lịch</t>
  </si>
  <si>
    <t>Thanh toán tiền sửa xe ngày 3/12 (tán 4 bộ má phanh, công tháo lắp)</t>
  </si>
  <si>
    <t>Thanh toán tiền sửa xe 15C-139.82 ngày 8/11 (công tháo lắp làm đường dầu diezen)</t>
  </si>
  <si>
    <t xml:space="preserve">Mua vé cao tốc </t>
  </si>
  <si>
    <t>chi LN cho Chị Thoa ngày 2/8</t>
  </si>
  <si>
    <t>THÁNG 01.2018</t>
  </si>
  <si>
    <t>Trả hàng + đóng hàng KH 02/01</t>
  </si>
  <si>
    <t>Trả hàng NK sáng 03/01</t>
  </si>
  <si>
    <t>Trả hàng NK sáng 04/01</t>
  </si>
  <si>
    <t>Trả hàng + đóng hàng KH 05/01</t>
  </si>
  <si>
    <t>Trả hàng + đóng hàng KH 06/01</t>
  </si>
  <si>
    <t>Đóng hàng XK sáng 08/01</t>
  </si>
  <si>
    <t>Trả hàng + đóng hàng KH 09/01</t>
  </si>
  <si>
    <t>Trả hàng NK sáng 10/01</t>
  </si>
  <si>
    <t>Trả hàng + đóng hàng KH 11/01</t>
  </si>
  <si>
    <t>Trả hàng + đóng hàng KH 12/01</t>
  </si>
  <si>
    <t>Trả hàng + đóng hàng KH 13/01</t>
  </si>
  <si>
    <t>Trả hàng + đóng hàng KH 15/01</t>
  </si>
  <si>
    <t>Đóng hàng viên gỗ nén chiều 16/01</t>
  </si>
  <si>
    <t>Trả hàng NK sáng 18/01</t>
  </si>
  <si>
    <t>Trả hàng + đóng hàng KH 19/01</t>
  </si>
  <si>
    <t>Trả hàng + đóng hàng KH 23/01</t>
  </si>
  <si>
    <t>Trả hàng + đóng hàng KH 24/01</t>
  </si>
  <si>
    <t>Trả hàng + đóng hàng KH 26/01</t>
  </si>
  <si>
    <t>Trả hàng NK sáng 27/01</t>
  </si>
  <si>
    <t>Trả hàng + đóng hàng KH 29/01</t>
  </si>
  <si>
    <t>Trả hàng + đóng hàng KH 30/01</t>
  </si>
  <si>
    <t>Trả hàng + đóng hàng KH 31/01</t>
  </si>
  <si>
    <t>DRYU3090891</t>
  </si>
  <si>
    <t>TCNU4523495</t>
  </si>
  <si>
    <t>SEGU5476880</t>
  </si>
  <si>
    <t>TCLU3106036</t>
  </si>
  <si>
    <t>TRHU2109448</t>
  </si>
  <si>
    <t>OOCU6876711</t>
  </si>
  <si>
    <t>GMDU2140278</t>
  </si>
  <si>
    <t>TEMU7636216</t>
  </si>
  <si>
    <t>CRSU1273069</t>
  </si>
  <si>
    <t>GMDU2142054</t>
  </si>
  <si>
    <t>GMDU2153742</t>
  </si>
  <si>
    <t>WHSU2126627</t>
  </si>
  <si>
    <t>TCKU2286677</t>
  </si>
  <si>
    <t>GMDU2151420</t>
  </si>
  <si>
    <t>MAGU5761244</t>
  </si>
  <si>
    <t>GMDU2152875</t>
  </si>
  <si>
    <t>TCNU3746848</t>
  </si>
  <si>
    <t>GMDU2153444</t>
  </si>
  <si>
    <t>GMDU2151204</t>
  </si>
  <si>
    <t>HJMU2127342</t>
  </si>
  <si>
    <t>TCKU2135264</t>
  </si>
  <si>
    <t>SEGU5147061</t>
  </si>
  <si>
    <t>GMDU2140576</t>
  </si>
  <si>
    <t>WFHU1352026</t>
  </si>
  <si>
    <t>DRYU2853598</t>
  </si>
  <si>
    <t>Trôi, Hà Nội - Hà Nam</t>
  </si>
  <si>
    <t>KCN Phố Nối, Hưng Yên</t>
  </si>
  <si>
    <t>Mỹ Đình, Hà Nội - Hà Nam</t>
  </si>
  <si>
    <t>KCN VSIP, Bắc Ninh</t>
  </si>
  <si>
    <t>TT Cầu Gồ, Yên Thế, Bắc Giang</t>
  </si>
  <si>
    <t>Lim, Bắc Ninh - Hà Nam</t>
  </si>
  <si>
    <t>Quốc Oai, Hà Nội</t>
  </si>
  <si>
    <t>Dị Sử, Hưng Yên - Hà Nam</t>
  </si>
  <si>
    <t>Thanh toán tiền sửa xe 15C-139.82 (thay đèn hậu mooc)</t>
  </si>
  <si>
    <t>THÁNG 02.2018</t>
  </si>
  <si>
    <t>Trả hàng + đóng hàng KH 01/02</t>
  </si>
  <si>
    <t>Trả hàng NK sáng 02/02</t>
  </si>
  <si>
    <t>Trả hàng + đóng hàng KH 03/02</t>
  </si>
  <si>
    <t>Trả hàng NK sáng 05/02</t>
  </si>
  <si>
    <t>Trả hàng + đóng hàng KH 06/02</t>
  </si>
  <si>
    <t>Trả hàng NK sáng 07/02</t>
  </si>
  <si>
    <t>Trả hàng NK sáng 08/02</t>
  </si>
  <si>
    <t>Trả hàng + đóng hàng KH 09/02</t>
  </si>
  <si>
    <t>Trả hàng + đóng hàng KH 10/02</t>
  </si>
  <si>
    <t>Trả hàng NK sáng 23/02</t>
  </si>
  <si>
    <t>Đóng hàng chè sáng 25/02</t>
  </si>
  <si>
    <t>DRYU2902223</t>
  </si>
  <si>
    <t>YMLU8831684</t>
  </si>
  <si>
    <t>DRYU2923761</t>
  </si>
  <si>
    <t>TCNU4771064</t>
  </si>
  <si>
    <t>DRYU3090016</t>
  </si>
  <si>
    <t>YMMU6030632</t>
  </si>
  <si>
    <t>WFHU1351729</t>
  </si>
  <si>
    <t>NPLU2213338</t>
  </si>
  <si>
    <t>BSIU9773400</t>
  </si>
  <si>
    <t>GMDU2152849</t>
  </si>
  <si>
    <t>GMDU2150640</t>
  </si>
  <si>
    <t>BMOU4876185</t>
  </si>
  <si>
    <t>Văn Điển, Hà Nôi - Hà Nam</t>
  </si>
  <si>
    <t>Phùng, Hà Nội - Hà Nam</t>
  </si>
  <si>
    <t>Thanh Trì , Hà Nội - Hà Nam</t>
  </si>
  <si>
    <t>BMOU5686615</t>
  </si>
  <si>
    <t>Thanh toán tiền mua 2 lốp xe Otani 295/75R22.5</t>
  </si>
  <si>
    <t xml:space="preserve">LK = </t>
  </si>
  <si>
    <t>chi phí QL T1+2/18</t>
  </si>
  <si>
    <t>Mr. Huấn 47.08%</t>
  </si>
  <si>
    <t>THÁNG 03.2018</t>
  </si>
  <si>
    <t>Trả hàng NK sáng 06/03</t>
  </si>
  <si>
    <t>Trả hàng NK sáng 07/03</t>
  </si>
  <si>
    <t>Trả hàng + đóng hàng KH 12/03</t>
  </si>
  <si>
    <t>Đóng hàng tro bay sáng 14/03</t>
  </si>
  <si>
    <t>Trả hàng + đóng hàng KH 15/03</t>
  </si>
  <si>
    <t>Trả hàng + đóng hàng KH 16/03</t>
  </si>
  <si>
    <t>Trả hàng + đóng hàng KH 19/03</t>
  </si>
  <si>
    <t>Trả hàng NK tối 21/03</t>
  </si>
  <si>
    <t>Đóng hàng cốp pha sáng 22/03</t>
  </si>
  <si>
    <t>Trả hàng + đóng hàng KH 26/03</t>
  </si>
  <si>
    <t>Đóng hàng sáng 28/03</t>
  </si>
  <si>
    <t>Trả hàng NK sáng 29/03</t>
  </si>
  <si>
    <t>BEAU4478926</t>
  </si>
  <si>
    <t>YMMU6027156</t>
  </si>
  <si>
    <t>TRHU3295408</t>
  </si>
  <si>
    <t>GMDU2141588</t>
  </si>
  <si>
    <t>WFHU1364860</t>
  </si>
  <si>
    <t>GMDU2153465</t>
  </si>
  <si>
    <t>GMDU2152812</t>
  </si>
  <si>
    <t>TCKU2739480</t>
  </si>
  <si>
    <t>GMDU2150738</t>
  </si>
  <si>
    <t>WFHU1365126</t>
  </si>
  <si>
    <t>SEGU4258327</t>
  </si>
  <si>
    <t>SEGU9561568</t>
  </si>
  <si>
    <t>GMDU2418435</t>
  </si>
  <si>
    <t>WFHU1358657</t>
  </si>
  <si>
    <t>GMDU2141504</t>
  </si>
  <si>
    <t>GMDU2150466</t>
  </si>
  <si>
    <t>EISU9048469</t>
  </si>
  <si>
    <t>BMOU6204636</t>
  </si>
  <si>
    <t>GMDU2413367</t>
  </si>
  <si>
    <t>GMDU2150403</t>
  </si>
  <si>
    <t>TP. Thanh Hóa - Hà Nam</t>
  </si>
  <si>
    <t>Quảng Hà, Quảng Yên, Quảng Ninh</t>
  </si>
  <si>
    <t>TT Đức Hòa, huyện Đức Hòa, Long An</t>
  </si>
  <si>
    <t>Gia Thụy, Hà Nội - Hà Nam</t>
  </si>
  <si>
    <t>Thanh toán tiền sửa xe 15C-139.82 (thay 4 đèn led, công thay)</t>
  </si>
  <si>
    <t>Thanh toán tiền sửa xe 15C-139.82 (bơm mỡ, đảo lốp, đảo cần)</t>
  </si>
  <si>
    <t>THÁNG 04.2018</t>
  </si>
  <si>
    <t>Trả hàng + đóng hàng KH 02/04</t>
  </si>
  <si>
    <t>Trả hàng + đóng hàng KH 04/04</t>
  </si>
  <si>
    <t>Đóng hàng chè sáng 05/04</t>
  </si>
  <si>
    <t>Đóng hàng chè sáng 07/04</t>
  </si>
  <si>
    <t>Trả háng sáng 09/04</t>
  </si>
  <si>
    <t>Đóng hàng cốp pha chiều 09/04</t>
  </si>
  <si>
    <t>Đóng hàng chè sáng 13/04</t>
  </si>
  <si>
    <t>Trả hàng  sáng 16/04</t>
  </si>
  <si>
    <t>Đóng háng sáng 17/04</t>
  </si>
  <si>
    <t>Trả hàng + đóng hàng KH 18/04</t>
  </si>
  <si>
    <t>Trả hàng + đóng hàng KH 19/04</t>
  </si>
  <si>
    <t>Đóng hàng chè sáng 20/04</t>
  </si>
  <si>
    <t>Trả hàng NK sáng 21/04</t>
  </si>
  <si>
    <t>Đóng hàng sáng 23/04</t>
  </si>
  <si>
    <t>Trả hàng NK sáng 25/04</t>
  </si>
  <si>
    <t>Trả hàng + đóng hàng KH 26/04</t>
  </si>
  <si>
    <t>Trả hàng + đóng hàng KH 27/04</t>
  </si>
  <si>
    <t>DRYU3027585</t>
  </si>
  <si>
    <t>WFHU1351740</t>
  </si>
  <si>
    <t>BISU2834674</t>
  </si>
  <si>
    <t>WHSU5093595</t>
  </si>
  <si>
    <t>OOLU9175943</t>
  </si>
  <si>
    <t>DRYU9590343</t>
  </si>
  <si>
    <t>DRYU2902408</t>
  </si>
  <si>
    <t>TCLU2355857</t>
  </si>
  <si>
    <t>TRHU1343852</t>
  </si>
  <si>
    <t>OOLU8520095</t>
  </si>
  <si>
    <t>DRYU3010242</t>
  </si>
  <si>
    <t>GMTU7030613</t>
  </si>
  <si>
    <t>BSIU2985829</t>
  </si>
  <si>
    <t>TCLU2338891</t>
  </si>
  <si>
    <t>WHSU2131900</t>
  </si>
  <si>
    <t>BMOU6463679</t>
  </si>
  <si>
    <t>WHLU0525052</t>
  </si>
  <si>
    <t>DRYU2853540</t>
  </si>
  <si>
    <t>PCLU5153007</t>
  </si>
  <si>
    <t>HJMU2110720</t>
  </si>
  <si>
    <t>CRSU1095239</t>
  </si>
  <si>
    <t>TEMU6138055</t>
  </si>
  <si>
    <t>Hoài Đức, Hà Nôi - Hà Nam</t>
  </si>
  <si>
    <t>TP Hải Dương</t>
  </si>
  <si>
    <t>Tam Dương, Vĩnh Phúc</t>
  </si>
  <si>
    <t>TP. Bắc Ninh</t>
  </si>
  <si>
    <t>Vĩnh Yên, Vĩnh Phúc - Hà Nam</t>
  </si>
  <si>
    <t>Thạch Thất, Quốc Oai, Hà Nội</t>
  </si>
  <si>
    <t>Mua dây curoa dự phòng cho xe 15C-139.82</t>
  </si>
  <si>
    <t>Thanh toán tiền sửa xe 15C-139.82 (lắp bóng tải hơi, thay bát phanh lốc kê..)</t>
  </si>
  <si>
    <t>Thanh toán tiền sửa xe 15C-139.82 (bạc nhíp)</t>
  </si>
  <si>
    <t>Thanh toán tiền sửa xe 15C-139.82 (bóng tải)</t>
  </si>
  <si>
    <t>Sửa hơi xe 15C-139.82</t>
  </si>
  <si>
    <t>Thưởng 1.5</t>
  </si>
  <si>
    <t>Thanh toán 1/2 tiền lốp xe 15C-139.82</t>
  </si>
  <si>
    <t>Thay dầu nhớt 40l + 10l dự phòng = 50l</t>
  </si>
  <si>
    <t>THÁNG 05.2018</t>
  </si>
  <si>
    <t>Trả hàng NK sáng 02/05</t>
  </si>
  <si>
    <t>Đóng hàng chè sáng 03/05</t>
  </si>
  <si>
    <t>Trả hàng NK sáng 04/05</t>
  </si>
  <si>
    <t>Trả hàng NK sáng 05/05</t>
  </si>
  <si>
    <t>Trả hàng NK sáng 07/05</t>
  </si>
  <si>
    <t>Trả hàng NK sáng 08/05</t>
  </si>
  <si>
    <t>Trả hàng NK đêm 08/05</t>
  </si>
  <si>
    <t>Đóng hàng KH sáng 09/05</t>
  </si>
  <si>
    <t>Trả hàng + đóng hàng KH 11/05</t>
  </si>
  <si>
    <t>Trả hàng + đóng hàng KH 12/05</t>
  </si>
  <si>
    <t>Trả hàng Vietsun sáng 14/05</t>
  </si>
  <si>
    <t>Trả hàng + đóng hàng KH 15/05</t>
  </si>
  <si>
    <t>Trả hàng NK sáng 16/05</t>
  </si>
  <si>
    <t>Trả hàng NK sáng 17/05</t>
  </si>
  <si>
    <t>Trả hàng Vietsun sáng 18/05</t>
  </si>
  <si>
    <t>Đóng hàng kết hợp chiều 19/05</t>
  </si>
  <si>
    <t>Trả hàng + đóng hàng KH 21/05</t>
  </si>
  <si>
    <t>Trả hàng NK sáng 22/05</t>
  </si>
  <si>
    <t>Đóng hàng chè sáng 23/05</t>
  </si>
  <si>
    <t>Trả hàng NK sáng 24/05</t>
  </si>
  <si>
    <t>Trả hàng Vietsun sáng 25/05</t>
  </si>
  <si>
    <t>Đóng hàng kết hợp chiều 25/05</t>
  </si>
  <si>
    <t>Trả hàng + đóng hàng KH 28/05</t>
  </si>
  <si>
    <t>BMOU6189207</t>
  </si>
  <si>
    <t>WHLU4251495</t>
  </si>
  <si>
    <t>TEMU7713708</t>
  </si>
  <si>
    <t>SEGU4531030</t>
  </si>
  <si>
    <t>DFSU6738660</t>
  </si>
  <si>
    <t>UETU5544884</t>
  </si>
  <si>
    <t>OOLU8886382</t>
  </si>
  <si>
    <t>SEGU2122795</t>
  </si>
  <si>
    <t>DRYU3094808</t>
  </si>
  <si>
    <t>TCNU4785089</t>
  </si>
  <si>
    <t>CRSU1252662</t>
  </si>
  <si>
    <t>YMLU6092552</t>
  </si>
  <si>
    <t>SEGU5397409</t>
  </si>
  <si>
    <t>TCNU4595664</t>
  </si>
  <si>
    <t>NSSU7066457</t>
  </si>
  <si>
    <t>DRYU2902331</t>
  </si>
  <si>
    <t>CCLU3302011</t>
  </si>
  <si>
    <t>WHSU2331473</t>
  </si>
  <si>
    <t>WHSU2330902</t>
  </si>
  <si>
    <t>FSCU8215766</t>
  </si>
  <si>
    <t>DRYU9961207</t>
  </si>
  <si>
    <t>GMDU2417383</t>
  </si>
  <si>
    <t>La Khê, Hà Đông, Hà Nội</t>
  </si>
  <si>
    <t>Mạo Khê, Quảng Ninh</t>
  </si>
  <si>
    <t>Việt Yên, Bắc Giang - Hà Nam</t>
  </si>
  <si>
    <t>Hưng Yên - TP, Bắc Giang - Hà Nam</t>
  </si>
  <si>
    <t>Phố Nối A, Văn Lâm, Hưng Yên</t>
  </si>
  <si>
    <t>Vĩnh Yên - Vĩnh Tường, VP - Hà Nam</t>
  </si>
  <si>
    <t>Gia Thụy, Long Biên, Hà Nội</t>
  </si>
  <si>
    <t>Đồng Kị, Bắc Ninh - Hà Nam</t>
  </si>
  <si>
    <t>Thanh toán 01 lốp xe 15C-139.82</t>
  </si>
  <si>
    <t>Thanh toán tiền bảo hiểm xe 15C-139.82</t>
  </si>
  <si>
    <t>VSLU2293969</t>
  </si>
  <si>
    <t>OOCU7505567</t>
  </si>
  <si>
    <t>SEGU5595235</t>
  </si>
  <si>
    <t xml:space="preserve">Đại Đồng, Bắc Ninh - Hà Nam </t>
  </si>
  <si>
    <t>Lý Nhân, Hà Nam</t>
  </si>
  <si>
    <t>Đóng hàng XK sáng 31/05</t>
  </si>
  <si>
    <t xml:space="preserve">Thanh toán tiền sửa xe 15C-139.82 ngày 14/5 </t>
  </si>
  <si>
    <t>Thanh toán tiền sửa xe 15C-139.82 ngày 31/5 (Hàn chắn sau+hông+chắn bùn)</t>
  </si>
  <si>
    <t>Thanh toán tiền sửa xe 15C-139.82 ngày 22/4 (công tháo lắp thay cốc lọc, làm bạc nhíp) cho xưởng Tuân Thành</t>
  </si>
  <si>
    <t>THÁNG 06.2018</t>
  </si>
  <si>
    <t>Vận chuyển hàng bình khí sáng 01/06</t>
  </si>
  <si>
    <t>FCIU3803454</t>
  </si>
  <si>
    <t>Kho DDC, Hải Phòng</t>
  </si>
  <si>
    <t>Đóng hàng chè sáng 02/06</t>
  </si>
  <si>
    <t>OOCU6496455</t>
  </si>
  <si>
    <t>Trả hàng Vietsun sáng 04/06</t>
  </si>
  <si>
    <t>DRYU9593023</t>
  </si>
  <si>
    <t>Trả hàng Vietsun sáng 05/06</t>
  </si>
  <si>
    <t>DRYU9591714</t>
  </si>
  <si>
    <t>Cụm CN Tây Nam, Phủ Lý, Hà Nam</t>
  </si>
  <si>
    <t>WFHU1352978</t>
  </si>
  <si>
    <t>Đóng hàng chè sáng 07/06</t>
  </si>
  <si>
    <t>WHSU2153411</t>
  </si>
  <si>
    <t>DRYU3090253</t>
  </si>
  <si>
    <t>Duy Tiên, Hà Nam - Hà Nam</t>
  </si>
  <si>
    <t>Trả hàng NK sáng 09/06</t>
  </si>
  <si>
    <t>TCLU7638084</t>
  </si>
  <si>
    <t>Trả hàng + đóng hàng KH 11/06</t>
  </si>
  <si>
    <t>BISU2835080</t>
  </si>
  <si>
    <t>Thường Tín, Hà Nôi - Hà Nam</t>
  </si>
  <si>
    <t>Đóng hàng chè sáng 13/06</t>
  </si>
  <si>
    <t>WHSU2082540</t>
  </si>
  <si>
    <t>Trả hàng + đóng hàng KH 14/06</t>
  </si>
  <si>
    <t>CAIU9320727</t>
  </si>
  <si>
    <t>Thường Tín, Hà Nội - Hà Nội - Hải Phòng</t>
  </si>
  <si>
    <t>cộng 250k tiền bốc vác vào tiền đi đường</t>
  </si>
  <si>
    <t>Trả hàng NK sáng 15/06</t>
  </si>
  <si>
    <t>TCNU5124334</t>
  </si>
  <si>
    <t>Trả hàng NK sáng 16/06</t>
  </si>
  <si>
    <t>CMAU5952132</t>
  </si>
  <si>
    <t>WFHU1362169</t>
  </si>
  <si>
    <t>Quế Võ, Bắc Ninh - Hà Nam</t>
  </si>
  <si>
    <t>TGHU6757719</t>
  </si>
  <si>
    <t>Trả hàng Vietsun sáng 20/06</t>
  </si>
  <si>
    <t>DRYU9168488</t>
  </si>
  <si>
    <t>Gia Viễn , Ninh Bình</t>
  </si>
  <si>
    <t>DRYU2902049</t>
  </si>
  <si>
    <t>Trả hàng + đóng hàng KH 22/06</t>
  </si>
  <si>
    <t>NPLU2212291</t>
  </si>
  <si>
    <t>Văn Điển, Hà Nội - Hà Nam</t>
  </si>
  <si>
    <t>TEMU8887073</t>
  </si>
  <si>
    <t>Trả hàng + đóng hàng KH 25/06</t>
  </si>
  <si>
    <t>TTNU1523909</t>
  </si>
  <si>
    <t>Trả hàng NK sáng 28/06</t>
  </si>
  <si>
    <t>OOLU8103342</t>
  </si>
  <si>
    <t>Đóng hàng xỉ  bọt sáng 29/06</t>
  </si>
  <si>
    <t>TEMU6140915</t>
  </si>
  <si>
    <t>BSIU2755934</t>
  </si>
  <si>
    <t>KCN Thụy Vân, Việt trì</t>
  </si>
  <si>
    <t>Lắp đèn biển số xe 15C-139.82</t>
  </si>
  <si>
    <t>Hỗ trợ xe tai nạn</t>
  </si>
  <si>
    <t>Thanh toán tiền sửa xe 15C-139.82 ngày 15/6 (dầu côn, công cứu hộ)</t>
  </si>
  <si>
    <t>THÁNG 07.2018</t>
  </si>
  <si>
    <t>Trả hàng + đóng hàng KH 02/07</t>
  </si>
  <si>
    <t>Trả hàng Vietsun sáng 03/07</t>
  </si>
  <si>
    <t>Đóng hàng kết hợp sáng 04/07</t>
  </si>
  <si>
    <t>Trả hàng + đóng hàng KH 05/07</t>
  </si>
  <si>
    <t>Đóng hàng chè sáng 05/07</t>
  </si>
  <si>
    <t>Trả hàng + đóng hàng KH 07/07</t>
  </si>
  <si>
    <t>Trả hàng + đóng hàng KH 10/07</t>
  </si>
  <si>
    <t>Vận chuyển hàng sáng 12/07</t>
  </si>
  <si>
    <t>Trả hàng NK sáng 14/07</t>
  </si>
  <si>
    <t>Đóng hàng chiều 13/07</t>
  </si>
  <si>
    <t>Đóng hàng XK sáng 15/07</t>
  </si>
  <si>
    <t>Đóng hàng chè sáng 16/07</t>
  </si>
  <si>
    <t>Trả hàng NK sáng 17/07</t>
  </si>
  <si>
    <t>Trả hàng + đóng hàng KH 18/07</t>
  </si>
  <si>
    <t>Trả hàng NK sáng 20/07</t>
  </si>
  <si>
    <t>Trả hàng + đóng hàng KH 23/07</t>
  </si>
  <si>
    <t>Đóng hàng chè sáng 24/07</t>
  </si>
  <si>
    <t>Trả hàng + đóng hàng KH 25/07</t>
  </si>
  <si>
    <t>Trả hàng NK sáng 26/07</t>
  </si>
  <si>
    <t>Đóng hàng chè sáng 28/07</t>
  </si>
  <si>
    <t>Trả hàng NK sáng 30/07</t>
  </si>
  <si>
    <t>Trả hàng + đóng hàng KH 31/07</t>
  </si>
  <si>
    <t>DRYU3094860</t>
  </si>
  <si>
    <t>DRYU9961439</t>
  </si>
  <si>
    <t>TTNU3499036</t>
  </si>
  <si>
    <t>CLKU5016825</t>
  </si>
  <si>
    <t>EITU1777257</t>
  </si>
  <si>
    <t>BISU2830560</t>
  </si>
  <si>
    <t>CAXU9069399</t>
  </si>
  <si>
    <t>TLLU4149318</t>
  </si>
  <si>
    <t>OOLU7318650</t>
  </si>
  <si>
    <t>TEMU0870665</t>
  </si>
  <si>
    <t>EITU1432384</t>
  </si>
  <si>
    <t>TGHU6889145</t>
  </si>
  <si>
    <t>DRYU2852760</t>
  </si>
  <si>
    <t>CAIU8572637</t>
  </si>
  <si>
    <t>TRHU2116283</t>
  </si>
  <si>
    <t>TCLU5544197</t>
  </si>
  <si>
    <t>NPLU2213528</t>
  </si>
  <si>
    <t>CAIU7664132</t>
  </si>
  <si>
    <t>DRYU3094726</t>
  </si>
  <si>
    <t>EMCU9874880</t>
  </si>
  <si>
    <t>MRKU2917029</t>
  </si>
  <si>
    <t>HMMU6195379</t>
  </si>
  <si>
    <t>TCNU2409945</t>
  </si>
  <si>
    <t>TRHU3295579</t>
  </si>
  <si>
    <t>Yên Phong, Bắc Ninh- Hà Nam</t>
  </si>
  <si>
    <t>KCN Cái Lân, Quảng Ninh</t>
  </si>
  <si>
    <t>Đông Sơn, Thủy Nguyên</t>
  </si>
  <si>
    <t>Từ Liêm, Hà Nội - Hà Nam</t>
  </si>
  <si>
    <t>Đông Anh, Hà Nôi - Hà Nam</t>
  </si>
  <si>
    <t>Bát Tràng, Gia Lâm, Hà Nội - Hà Nam</t>
  </si>
  <si>
    <t>KCN Hải Yên, Móng Cái, Quảng Ninh</t>
  </si>
  <si>
    <t>Tân Dĩnh, Lạng Giang, Bắc Giang</t>
  </si>
  <si>
    <t>Vụ Bản, Nam Định</t>
  </si>
  <si>
    <t>Cẩm Giàng, Hải Dương -Hà Nội - Hà Nam</t>
  </si>
  <si>
    <t xml:space="preserve">Thường Tín, Hà Nội - Hà Nội </t>
  </si>
  <si>
    <t>Thanh Oai, Hà Nôi - Hà Nội</t>
  </si>
  <si>
    <t>KCN Quang Minh, Hà Nội</t>
  </si>
  <si>
    <t>Bơm mỡ</t>
  </si>
  <si>
    <t xml:space="preserve">Thanh toán tiền sửa xe 15C-139.82 ngày 26/7 (thay lốp) </t>
  </si>
  <si>
    <t>Thay nhớt + dầu nhớt dự phòng 15w-40</t>
  </si>
  <si>
    <t>Thanh toán tiền mua 02 lốp xe 15C-139.82: Otani 295/75R22.5</t>
  </si>
  <si>
    <t>THÁNG 08.2018</t>
  </si>
  <si>
    <t>Đóng hàng chè sáng 01/08</t>
  </si>
  <si>
    <t>Đóng hàng chè sáng 02/08</t>
  </si>
  <si>
    <t>Trả hàng NK sáng 04/08</t>
  </si>
  <si>
    <t>Trả hàng NK sáng 06/08</t>
  </si>
  <si>
    <t>Trả hàng NK sáng 08/08</t>
  </si>
  <si>
    <t>Trả hàng sáng 10/08</t>
  </si>
  <si>
    <t>Đóng hàng kết hợp chiều 10/08</t>
  </si>
  <si>
    <t>Trả hàng NK sáng 11/08</t>
  </si>
  <si>
    <t>Đóng hàng chè sáng 13/08</t>
  </si>
  <si>
    <t>Trả hàng sáng 14/08</t>
  </si>
  <si>
    <t>Trả hàng NK sáng 15/08</t>
  </si>
  <si>
    <t>Đóng hàng kết hợp chiều 15/08</t>
  </si>
  <si>
    <t>Trả hàng sáng 16/08</t>
  </si>
  <si>
    <t>Trả hàng NK sáng 17/08</t>
  </si>
  <si>
    <t>Trả hàng sáng 18/08</t>
  </si>
  <si>
    <t>Trả hàng sáng 20/08</t>
  </si>
  <si>
    <t>Đóng hàng KH chiều 20/08</t>
  </si>
  <si>
    <t>Trả hàng + đóng hàng KH 21/08</t>
  </si>
  <si>
    <t>Trả hàng sáng 22/08</t>
  </si>
  <si>
    <t>Đóng hàng chè  sáng 23/08</t>
  </si>
  <si>
    <t>Đóng hàng bột đá 25/08</t>
  </si>
  <si>
    <t>Trả hàng Vietsun sáng 27/08</t>
  </si>
  <si>
    <t>Đóng hàng KH Vietsun chiều 27/08</t>
  </si>
  <si>
    <t>Trả hàng + đóng hàng KH 28/08</t>
  </si>
  <si>
    <t>Đóng hàng KH chiều 29/08</t>
  </si>
  <si>
    <t>Trả hàng + đóng hàng KH 30/08</t>
  </si>
  <si>
    <t>TGBU5553956</t>
  </si>
  <si>
    <t>OOCU7713684</t>
  </si>
  <si>
    <t>TGBU5179928</t>
  </si>
  <si>
    <t>BEAU4536920</t>
  </si>
  <si>
    <t>GMDU8140737</t>
  </si>
  <si>
    <t>CBHU4399272</t>
  </si>
  <si>
    <t>SITU9031550</t>
  </si>
  <si>
    <t>TCNU9643554</t>
  </si>
  <si>
    <t>DFSU1163876</t>
  </si>
  <si>
    <t>DRYU9736187</t>
  </si>
  <si>
    <t>DRYU9592897</t>
  </si>
  <si>
    <t>RFCU5005063</t>
  </si>
  <si>
    <t>ZIMU1121686</t>
  </si>
  <si>
    <t>EITU1217437</t>
  </si>
  <si>
    <t>PONU0498202</t>
  </si>
  <si>
    <t>DRYU9171347</t>
  </si>
  <si>
    <t>VSLU4037379</t>
  </si>
  <si>
    <t>GESU6442468</t>
  </si>
  <si>
    <t>CAIU7710238</t>
  </si>
  <si>
    <t>TCKU3715884</t>
  </si>
  <si>
    <t>BISU2830072</t>
  </si>
  <si>
    <t>DRYU9718990</t>
  </si>
  <si>
    <t>GAOU6143329</t>
  </si>
  <si>
    <t>HHSU9002681</t>
  </si>
  <si>
    <t>HDMU6307969</t>
  </si>
  <si>
    <t>Sài Đồng, Hà Nội</t>
  </si>
  <si>
    <t>Hậu Lộc, Thanh Hóa</t>
  </si>
  <si>
    <t>KCN Ninh Hiệp, Hà Nội</t>
  </si>
  <si>
    <t xml:space="preserve">Thanh Oai, Hà Nội </t>
  </si>
  <si>
    <t>Đình Bảng, Bắc Ninh</t>
  </si>
  <si>
    <t>Yamaha Sóc Sơn, Hà Nội</t>
  </si>
  <si>
    <t>Hoà Xá, Nam Định</t>
  </si>
  <si>
    <t>TP. Hòa Bình - Hà Nam</t>
  </si>
  <si>
    <t>Bình Xuyên - Khai Quang, VP - Hải Phòng</t>
  </si>
  <si>
    <t>TP Thái Nguyên</t>
  </si>
  <si>
    <t>Trả Anh Vinh tiền sửa xe 15C-139.82 (mua 1 quả lốc kê, mua 1 bát phanh, công làm)</t>
  </si>
  <si>
    <t>Bán la zăng nhôm xe 15C-139.82</t>
  </si>
  <si>
    <t>Mua la zăng sắt xe 15C-139.82</t>
  </si>
  <si>
    <t>Thanh toán tiền sửa xe 15C-139.82 (gia công bạc gạt, công thơh tháo lắp gạt, mua ốc, công làm...)</t>
  </si>
  <si>
    <t>Thanh toán tiền lọc gió xe 15C-139.82</t>
  </si>
  <si>
    <t>Anh Phụng thanh toán tiền mua 02 lốp xe 15C-139.82
TH295/ 75R22.5 - 14PRCR960A</t>
  </si>
  <si>
    <t>Bơm nước rửa kính xe 15C-139.82</t>
  </si>
  <si>
    <t>Tiền công thay 2 lốp đầu kéo 295/75R.225 xe 15C-139.82</t>
  </si>
  <si>
    <t>Tiền công thay lốp dự phòng xe 15C-139.82 ngày 22/8</t>
  </si>
  <si>
    <t>THÁNG 09.2018</t>
  </si>
  <si>
    <t>Trả hàng NK sáng 01/09</t>
  </si>
  <si>
    <t>Đóng hàng chè chiều 04/09</t>
  </si>
  <si>
    <t>Trả hàng NK sáng 05/09</t>
  </si>
  <si>
    <t>Trả hàng + đóng hàng KH 06/09</t>
  </si>
  <si>
    <t>Trả hàng NK sáng 07/09</t>
  </si>
  <si>
    <t>Đóng hàng chiều 07/09</t>
  </si>
  <si>
    <t>Trả hàng NK sáng 10/09</t>
  </si>
  <si>
    <t>Đóng hàng chè sáng 12/09</t>
  </si>
  <si>
    <t>Trả hàng NK sáng 13/09</t>
  </si>
  <si>
    <t>Đóng hàng chè sáng 14/09</t>
  </si>
  <si>
    <t>Trả hàng sáng 15/09</t>
  </si>
  <si>
    <t>Trả hàng + đóng hàng KH 18/09</t>
  </si>
  <si>
    <t>Đóng hàng chè sáng 20/09</t>
  </si>
  <si>
    <t>Trả hàng + đóng hàng KH 24/09</t>
  </si>
  <si>
    <t>Đóng hàng chè chiều 25/09</t>
  </si>
  <si>
    <t>Trả hàng + đóng hàng KH 26/09</t>
  </si>
  <si>
    <t>Trả hàng + đóng hàng KH 27/09</t>
  </si>
  <si>
    <t>Đóng hàng chè sáng 28/09</t>
  </si>
  <si>
    <t>TEMU7772017</t>
  </si>
  <si>
    <t>CAIU9841509</t>
  </si>
  <si>
    <t>BISU6824545</t>
  </si>
  <si>
    <t>CAIU9042755</t>
  </si>
  <si>
    <t>GAOU6146550</t>
  </si>
  <si>
    <t>CMAU1325643</t>
  </si>
  <si>
    <t>BEAU4317475</t>
  </si>
  <si>
    <t>SEGU5403230</t>
  </si>
  <si>
    <t>DRYU2852056</t>
  </si>
  <si>
    <t>EITU1433992</t>
  </si>
  <si>
    <t>GCXU5019399</t>
  </si>
  <si>
    <t>CSNU1056540</t>
  </si>
  <si>
    <t>EISU9975738</t>
  </si>
  <si>
    <t>WHLU2512178</t>
  </si>
  <si>
    <t>GMDU2141823</t>
  </si>
  <si>
    <t>TCNU3652800</t>
  </si>
  <si>
    <t>YMMU6166399</t>
  </si>
  <si>
    <t>DRYU9969928</t>
  </si>
  <si>
    <t>CAIU8994972</t>
  </si>
  <si>
    <t>TCLU9331585</t>
  </si>
  <si>
    <t>CAIU8605200</t>
  </si>
  <si>
    <t>GAOU6145419</t>
  </si>
  <si>
    <t>TLLU4179992</t>
  </si>
  <si>
    <t>HASU4567426</t>
  </si>
  <si>
    <t>Sửa vi điện mở hơi xe 15C-139.82</t>
  </si>
  <si>
    <t>Bơm mỡ đầu kéo+mooc xe 15C-139.82</t>
  </si>
  <si>
    <t xml:space="preserve">Phố Nối A, Văn Lâm, Hưng Yên </t>
  </si>
  <si>
    <t>NM Giấy Thái Nguyên</t>
  </si>
  <si>
    <t>Khai Quang, Vĩnh Phúc - Hà Nam</t>
  </si>
  <si>
    <t>Long Biên, Hà Nội - NM Giấy An Hòa</t>
  </si>
  <si>
    <t>Cảng Hà Nội - Thanh Trì - Hải Phòng</t>
  </si>
  <si>
    <t>Thạch Thất - KCN Duyên Thái - Hải Phòng</t>
  </si>
  <si>
    <t>Thường Tín, Hà Nội - NM Giấy An Hòa</t>
  </si>
  <si>
    <t>Bạc ca bin xe 15C-139.82</t>
  </si>
  <si>
    <t>Thanh toán tiền đổ thêm dầu diesel xe 15C-139.82 cho Anh Vinh ngày 28/9</t>
  </si>
  <si>
    <t>THÁNG 10.2018</t>
  </si>
  <si>
    <t>Trả hàng sáng 01/10</t>
  </si>
  <si>
    <t>Trả hàng + đóng hàng KH 02/10</t>
  </si>
  <si>
    <t>Trả hàng + đóng hàng KH 03/10</t>
  </si>
  <si>
    <t>Đóng hàng chè sáng 04/10</t>
  </si>
  <si>
    <t>Đóng hàng chè sáng 05/10</t>
  </si>
  <si>
    <t>Đóng hàng chè sáng 08/10</t>
  </si>
  <si>
    <t>Trả hàng Nk sáng 09/10</t>
  </si>
  <si>
    <t>Trả hàng NK sáng 10/10</t>
  </si>
  <si>
    <t>Đóng hàng chè sáng 11/10</t>
  </si>
  <si>
    <t>Đóng hàng chè sáng 12/10</t>
  </si>
  <si>
    <t>Đóng hàng bột đá 13/10</t>
  </si>
  <si>
    <t>Trả hàng + đóng hàng KH 16/10</t>
  </si>
  <si>
    <t>Trả hàng NK sáng 17/10</t>
  </si>
  <si>
    <t>Trả hàng NK sáng 18/10</t>
  </si>
  <si>
    <t>Trả hàng NK sáng 19/10</t>
  </si>
  <si>
    <t>Trả hàng NK sáng 20/10</t>
  </si>
  <si>
    <t>Trả hàng NK sáng 21/10</t>
  </si>
  <si>
    <t>Đóng  hàng sáng 22/10</t>
  </si>
  <si>
    <t>Trả hàng + đóng hàng KH 23/10</t>
  </si>
  <si>
    <t>Trả hàng NK sáng 24/10</t>
  </si>
  <si>
    <t>Trả hàng NK sáng 25/10</t>
  </si>
  <si>
    <t>Trả hàng NK sáng 26/10</t>
  </si>
  <si>
    <t>Đóng hàng chè sáng 27/10</t>
  </si>
  <si>
    <t>Trả hàng + đóng hàng KH 31/10</t>
  </si>
  <si>
    <t>TCLU3502926</t>
  </si>
  <si>
    <t>VSLU1041591</t>
  </si>
  <si>
    <t>DRYU3025387</t>
  </si>
  <si>
    <t>TCNU7392001</t>
  </si>
  <si>
    <t>TEMU7611630</t>
  </si>
  <si>
    <t>DRYU3094840</t>
  </si>
  <si>
    <t>TCKU6373189</t>
  </si>
  <si>
    <t>TEMU8615347</t>
  </si>
  <si>
    <t>EGSU1022850</t>
  </si>
  <si>
    <t>SEGU5629187</t>
  </si>
  <si>
    <t>WHSU2064021</t>
  </si>
  <si>
    <t>BISU2834761</t>
  </si>
  <si>
    <t>TCKU3011128</t>
  </si>
  <si>
    <t>DRYU3095466</t>
  </si>
  <si>
    <t>CSNU1619880</t>
  </si>
  <si>
    <t>CSNU1618734</t>
  </si>
  <si>
    <t>TEMU7664840</t>
  </si>
  <si>
    <t>YMLU8989200</t>
  </si>
  <si>
    <t>DRYU9898526</t>
  </si>
  <si>
    <t>CAIU4369426</t>
  </si>
  <si>
    <t>DRYU2852009</t>
  </si>
  <si>
    <t>EISU2204148</t>
  </si>
  <si>
    <t>WBPU7056095</t>
  </si>
  <si>
    <t>TCNU6060907</t>
  </si>
  <si>
    <t>SEGU5852570</t>
  </si>
  <si>
    <t>BISU2831443</t>
  </si>
  <si>
    <t>DRYU9969445</t>
  </si>
  <si>
    <t>DRYU2853793</t>
  </si>
  <si>
    <t>Thanh Sơn, Phú Thọ</t>
  </si>
  <si>
    <t>Tiền Hải, Thái Bình</t>
  </si>
  <si>
    <t>KCN Thụy Vân, TP. Việt Trì</t>
  </si>
  <si>
    <t>TP. Việt Trì, Phú Thọ</t>
  </si>
  <si>
    <t>Văn Giang, Hưng Yên -  Hà Nam</t>
  </si>
  <si>
    <t>KCN Đồng Văn, Hà Nam - Long Biên, Hà Nội</t>
  </si>
  <si>
    <t>Thanh toán tiền sửa xe 15C-139.82 (mua 
bạc tay dằng, ép bạc, công tháo lắp, công thay bạc chân cabin)</t>
  </si>
  <si>
    <t>Kiểm định xe 15C-139.82</t>
  </si>
  <si>
    <t>THÁNG 11.2018</t>
  </si>
  <si>
    <t>Đóng hàng chè sáng 01/11</t>
  </si>
  <si>
    <t>Trả hàng + đóng hàng KH 02/11</t>
  </si>
  <si>
    <t>Đóng hàng chè sáng 03/11</t>
  </si>
  <si>
    <t>Trả hàng + đóng hàng KH 05/11</t>
  </si>
  <si>
    <t>Trả hàng + đóng hàng KH 08/11</t>
  </si>
  <si>
    <t>Trả hàng NK sáng 09/11</t>
  </si>
  <si>
    <t>Trả hàng NK sáng 10/11</t>
  </si>
  <si>
    <t>Đóng hàng sáng 12/11</t>
  </si>
  <si>
    <t>Trả hàng Vietsun sáng 13/11</t>
  </si>
  <si>
    <t>Đóng hàng kết hợp chiều 13/11</t>
  </si>
  <si>
    <t>Trả hàng NK sáng 14/11</t>
  </si>
  <si>
    <t>Trả hàng NK sáng 16/11</t>
  </si>
  <si>
    <t>Trả hàng NK sáng 17/11</t>
  </si>
  <si>
    <t>Trả hàng NK sáng 19/11</t>
  </si>
  <si>
    <t>Trả hàng NK sáng 20/11</t>
  </si>
  <si>
    <t>Đóng hàng kết hợp sáng 21/11</t>
  </si>
  <si>
    <t>Trả hàng NK sáng 22/11</t>
  </si>
  <si>
    <t>Đóng hàng phân sáng 23/11</t>
  </si>
  <si>
    <t>Đóng hàng phân sáng 24/11</t>
  </si>
  <si>
    <t>Trả hàng NK sáng 27/11</t>
  </si>
  <si>
    <t>Trả hàng NK sáng 28/11</t>
  </si>
  <si>
    <t>Đóng hàng chè sáng 29/11</t>
  </si>
  <si>
    <t>Đóng hàng chè chiều 30/11</t>
  </si>
  <si>
    <t>TCNU4164116</t>
  </si>
  <si>
    <t>TCLU1609113</t>
  </si>
  <si>
    <t>WHLU2587963</t>
  </si>
  <si>
    <t>TGBU5156250</t>
  </si>
  <si>
    <t>OOLU9244155</t>
  </si>
  <si>
    <t>GAOU2114153</t>
  </si>
  <si>
    <t>TGHU6893485</t>
  </si>
  <si>
    <t>TCNU1514442</t>
  </si>
  <si>
    <t>OOLU9335656</t>
  </si>
  <si>
    <t>SEGU5829354</t>
  </si>
  <si>
    <t>DRYU9592562</t>
  </si>
  <si>
    <t>SMCU1166424</t>
  </si>
  <si>
    <t>GAOU6143036</t>
  </si>
  <si>
    <t>BMOU5919661</t>
  </si>
  <si>
    <t>BEAU4841440</t>
  </si>
  <si>
    <t>TGBU5175265</t>
  </si>
  <si>
    <t>PCIU9909335</t>
  </si>
  <si>
    <t>HDMU6410350</t>
  </si>
  <si>
    <t>TCLU2377007</t>
  </si>
  <si>
    <t>BMOU2475666</t>
  </si>
  <si>
    <t>WHLU5650252</t>
  </si>
  <si>
    <t>OCGU8049170</t>
  </si>
  <si>
    <t>OOLU8552277</t>
  </si>
  <si>
    <t>CAIU9841089</t>
  </si>
  <si>
    <t>KCN Khai Quang, Vĩnh Phúc - Hà Nam</t>
  </si>
  <si>
    <t>Văn Giang, HY- Đồng Văn, HN - Hà Nam</t>
  </si>
  <si>
    <t>Thanh toán tiền lọc diesel, lọc ly tâm xe 15C-139.82</t>
  </si>
  <si>
    <t>Thanh toán tiền mua dầu total rubia tir 7400</t>
  </si>
  <si>
    <t>Thanh toán phí lưu hành đầu kéo + rơ mooc xe 15C-139.82 (6 tháng)</t>
  </si>
  <si>
    <t>Thanh toán phí gữ hộ tài liệu xe 15C-139.82</t>
  </si>
  <si>
    <t>Thanh toán tiền sửa xe 15C-139.82 ngày 4/11 (mua phớt may ơ lái, công làm may ơ lái, mua dầu may ơ, thay bạc chân cabin+công, làm bạc giảm sóc+công tháo lắp)</t>
  </si>
  <si>
    <t>Thanh toán tiền sửa xe 15C-139.82 ngày 7/11 (mua giảm sóc lái)</t>
  </si>
  <si>
    <t>Thanh toán tiền bơm mỡ đầu kéo, mooc, thay dầu, cốc lọc xe 15C-139.82</t>
  </si>
  <si>
    <t>Thanh toán tiền sửa xe 15C-139.82 ngày 9/11 (mua 1 tổng phanh mooc+giắc cơ, 3 chạc+cây chế tổng, mua 1 sợi dây phanh+giắc cơ, công làm</t>
  </si>
  <si>
    <t>THÁNG 12.2018</t>
  </si>
  <si>
    <t>Đóng hàng chè chiều 01/12</t>
  </si>
  <si>
    <t>Trả hàng Vietsun sáng 03/12</t>
  </si>
  <si>
    <t>Trả hàng Vietsun chiều 03/12</t>
  </si>
  <si>
    <t>Trả hàng + đóng hàng KH 10/12</t>
  </si>
  <si>
    <t>Trả hàng NK sáng 12/12</t>
  </si>
  <si>
    <t>Trả hàng NK sáng 13/12</t>
  </si>
  <si>
    <t>Đóng hàng phân sáng 14/12</t>
  </si>
  <si>
    <t>Trả hàng NK sáng 15/12</t>
  </si>
  <si>
    <t>Trả hàng NK sáng 17/12</t>
  </si>
  <si>
    <t>Trả hàng NK sáng 18/12</t>
  </si>
  <si>
    <t>Đóng hàng chè sáng 19/12</t>
  </si>
  <si>
    <t>Trả hàng NK sáng 22/12</t>
  </si>
  <si>
    <t>Trả hàng NK sáng 26/12</t>
  </si>
  <si>
    <t>Đóng hàng chè chiều 27/12</t>
  </si>
  <si>
    <t>Đóng hàng phân sáng 28/12</t>
  </si>
  <si>
    <t>Đóng hàng phân sáng 29/12</t>
  </si>
  <si>
    <t>OOLU6773371</t>
  </si>
  <si>
    <t>TCNU4595073</t>
  </si>
  <si>
    <t>WFHU1356335</t>
  </si>
  <si>
    <t>DRYU3093524</t>
  </si>
  <si>
    <t>GMDU8150458</t>
  </si>
  <si>
    <t>MRKU7008959</t>
  </si>
  <si>
    <t>PONU7530522</t>
  </si>
  <si>
    <t>DRYU3095403</t>
  </si>
  <si>
    <t>TEMU7997332</t>
  </si>
  <si>
    <t>FSCU8037577</t>
  </si>
  <si>
    <t>YMMU6266588</t>
  </si>
  <si>
    <t>TEMU5919602</t>
  </si>
  <si>
    <t>DFSU1841530</t>
  </si>
  <si>
    <t>SEGU4753341</t>
  </si>
  <si>
    <t>SITU9015632</t>
  </si>
  <si>
    <t>OOLU9874827</t>
  </si>
  <si>
    <t>SEGU4593032</t>
  </si>
  <si>
    <t>SEGU4254086</t>
  </si>
  <si>
    <t>BMOU5735514</t>
  </si>
  <si>
    <t>TEMU6765287</t>
  </si>
  <si>
    <t>XINU8204763</t>
  </si>
  <si>
    <t>CXDU1658018</t>
  </si>
  <si>
    <t>WHSU5247704</t>
  </si>
  <si>
    <t>MAGU2277771</t>
  </si>
  <si>
    <t>TEMU4308764</t>
  </si>
  <si>
    <t>Việt Hòa, TP Hải Dương</t>
  </si>
  <si>
    <t>Thạch Thất, Hà Nội - Từ Sơn, Bắc Ninh</t>
  </si>
  <si>
    <t xml:space="preserve">Đồng Văn, Hà Nam </t>
  </si>
  <si>
    <t xml:space="preserve">Nguyễn Văn Linh, Long Biên, Hà Nội </t>
  </si>
  <si>
    <t>Mua cầu chì</t>
  </si>
  <si>
    <t xml:space="preserve">Mua nước lọc </t>
  </si>
  <si>
    <t>Lắp camera hành trình</t>
  </si>
  <si>
    <t>Thanh toán nước làm mát</t>
  </si>
  <si>
    <t>Thanh toán tiền sửa xe 15C-139.82 (mua bi quang cheo + thay) ngày 29/12</t>
  </si>
  <si>
    <t>Thưởng tế dương lịch</t>
  </si>
  <si>
    <t>Thay 4 bộ đèn hậu mooc xe 15C-139.82 ngày 20/12/18</t>
  </si>
  <si>
    <t>THÁNG 01.2019</t>
  </si>
  <si>
    <t>Đóng hàng phân sáng 02/01</t>
  </si>
  <si>
    <t>Đóng hàng chè sáng 03/01</t>
  </si>
  <si>
    <t>Trả hàng + đóng hàng KH 08/01</t>
  </si>
  <si>
    <t>Đóng hàng phân sáng 09/01</t>
  </si>
  <si>
    <t>Trả hàng + đóng hàng KH 10/01</t>
  </si>
  <si>
    <t>Đóng hàng XK sáng 11/01</t>
  </si>
  <si>
    <t>Đóng hàng chè sáng 12/01</t>
  </si>
  <si>
    <t>Trả hàng Vietsun sáng 14/01</t>
  </si>
  <si>
    <t>Đóng hàng phân sáng 16/01</t>
  </si>
  <si>
    <t>Đóng hàng phân sáng 18/01</t>
  </si>
  <si>
    <t>Đóng hàng phân sáng 19/01</t>
  </si>
  <si>
    <t>Trả hàng NK sáng 21/01</t>
  </si>
  <si>
    <t>Đóng hàng phân sáng 22/01</t>
  </si>
  <si>
    <t>Đóng hàng phân sáng 23/01</t>
  </si>
  <si>
    <t>Vận chuyển hàng cốp pha chiều 26/01</t>
  </si>
  <si>
    <t>Đóng hàng chè sáng 28/01</t>
  </si>
  <si>
    <t>Trả hàng NK đêm 28/01</t>
  </si>
  <si>
    <t>Trả hàng NK sáng 31/01</t>
  </si>
  <si>
    <t>EGSU3127340</t>
  </si>
  <si>
    <t>WHSU5224015</t>
  </si>
  <si>
    <t>DFSU6983902</t>
  </si>
  <si>
    <t>GMDU8191950</t>
  </si>
  <si>
    <t>GAOU6145532</t>
  </si>
  <si>
    <t>GAOU6145363</t>
  </si>
  <si>
    <t>TCNU6250825</t>
  </si>
  <si>
    <t>MSKU5764115</t>
  </si>
  <si>
    <t>GESU3884450</t>
  </si>
  <si>
    <t>MAGU5541907</t>
  </si>
  <si>
    <t>MAGU5413275</t>
  </si>
  <si>
    <t>DRYU9876070</t>
  </si>
  <si>
    <t>DRYU2854001</t>
  </si>
  <si>
    <t>TRHU1609182</t>
  </si>
  <si>
    <t>HACU4181935</t>
  </si>
  <si>
    <t>PONU0078920</t>
  </si>
  <si>
    <t>SUDU1304780</t>
  </si>
  <si>
    <t>YMMU6113104</t>
  </si>
  <si>
    <t>TCLU3663710</t>
  </si>
  <si>
    <t>EISU2033127</t>
  </si>
  <si>
    <t>VNLU3093951</t>
  </si>
  <si>
    <t>GAOU2110008</t>
  </si>
  <si>
    <t>WHLU5602911</t>
  </si>
  <si>
    <t>SEGU5211577</t>
  </si>
  <si>
    <t>GAOU2113795</t>
  </si>
  <si>
    <t>TGBU2373457</t>
  </si>
  <si>
    <t>Thường Tín, Hà Nội - Tiên Sơn, Bắc Ninh</t>
  </si>
  <si>
    <t>Sơn Dương, Tuyên Quang - Hà Nam</t>
  </si>
  <si>
    <t>TT Kép, Lạng Giang, Bắc Giang</t>
  </si>
  <si>
    <t>Duyên Thái, Thường Tín, Hà Nội - Hải Phòng</t>
  </si>
  <si>
    <t>TT Mường Lát, Mai Sơn, Sơn La</t>
  </si>
  <si>
    <t>Cầu Diễn, Từ Liêm, Hà Nội</t>
  </si>
  <si>
    <t>Khai Quang, Vĩnh Phúc -  Hà Nam</t>
  </si>
  <si>
    <t>Thanh toán tiền mua bình ắc quy cho xe 15C-139.82</t>
  </si>
  <si>
    <t>Bán lại bình ắc quy cũ của xe 15C-139.82</t>
  </si>
  <si>
    <t>Thay 2 lốp xe 15C-139.82 (Lốp 295/75R225, đani tải 350) (đã trừ lương anh Vinh 7 triệu)</t>
  </si>
  <si>
    <t>Mua bóng hơi cho xe 15C-139.82</t>
  </si>
  <si>
    <t>Thanh toán tiền sửa xe 15C-139.82 ngày 6/1 (sửa tổng hơi, lắp bóng)</t>
  </si>
  <si>
    <t>Thanh toán tiền sửa xe 15C-139.82 (phớt cúp bên trên tổng côn+công làm)</t>
  </si>
  <si>
    <t>Thanh toán tiền sửa xe 15C-139.82 (mua tổng côn dưới, dầu côn, công làm)</t>
  </si>
  <si>
    <t>THÁNG 02.2019</t>
  </si>
  <si>
    <t>Đóng hàng phân sáng 12/02</t>
  </si>
  <si>
    <t>Trả hàng + đóng hàng KH 14/02</t>
  </si>
  <si>
    <t>Trả hàng NK sáng 15/02</t>
  </si>
  <si>
    <t>Trả hàng NK sáng 16/02</t>
  </si>
  <si>
    <t>Trả hàng + đóng hàng KH 18/02</t>
  </si>
  <si>
    <t>Trả hàng NK sáng 19/02</t>
  </si>
  <si>
    <t>Trả hàng NK sáng 20/02</t>
  </si>
  <si>
    <t>Trả hàng + đóng hàng KH 21/02</t>
  </si>
  <si>
    <t>Đóng hàng phân sáng 22/02</t>
  </si>
  <si>
    <t>Đóng hàng chè sáng 26/02</t>
  </si>
  <si>
    <t>Trả hàng + đóng hàng KH 27/02</t>
  </si>
  <si>
    <t>Đóng hàng phân sáng 28/02</t>
  </si>
  <si>
    <t>EISU2028373</t>
  </si>
  <si>
    <t>GMDU2150234</t>
  </si>
  <si>
    <t>GAOU2112675</t>
  </si>
  <si>
    <t>PONU7559167</t>
  </si>
  <si>
    <t>BEAU2875009</t>
  </si>
  <si>
    <t>DRYU3095379</t>
  </si>
  <si>
    <t>WHSU2094495</t>
  </si>
  <si>
    <t>TCNU6893924</t>
  </si>
  <si>
    <t>BISU2821466</t>
  </si>
  <si>
    <t>DRYU2367030</t>
  </si>
  <si>
    <t>RFCU5003287</t>
  </si>
  <si>
    <t>SITU9085372</t>
  </si>
  <si>
    <t>BEAU4802450</t>
  </si>
  <si>
    <t>DRYU2901675</t>
  </si>
  <si>
    <t>MRKU9063024</t>
  </si>
  <si>
    <t>KCN Nam Cấm, Nghệ An</t>
  </si>
  <si>
    <t>Thái Nguyên - Hà Nam</t>
  </si>
  <si>
    <t>Ngọc Hồi,Thanh Trì, Hà  Nội</t>
  </si>
  <si>
    <t>Nghĩa Hưng , Nam Định - Hà Nam</t>
  </si>
  <si>
    <t>Lì xì đầu năm</t>
  </si>
  <si>
    <t>Mua bóng hơi ca bin xe 15C-139.82</t>
  </si>
  <si>
    <t>Thưởng tết</t>
  </si>
  <si>
    <t>Thanh toán tiền bơm mỡ đầu kéo xe 15C-139.82 ngày 28.2</t>
  </si>
  <si>
    <t>Thanh toán tiền sửa xe 15C-139.82 ngày 16/2 (thay bóng hơi ca bin)</t>
  </si>
  <si>
    <t>Thanh toán tiền sửa xe 15C-139.82 ngày 12/2 (sửa khóa, thay tay mở, công)</t>
  </si>
  <si>
    <t>THÁNG 03.2019</t>
  </si>
  <si>
    <t>Đóng hàng chè sáng 01/03</t>
  </si>
  <si>
    <t>Trả hàng + đóng hàng KH 02/03</t>
  </si>
  <si>
    <t>Trả hàng + đóng hàng KH 03/03</t>
  </si>
  <si>
    <t>Trả hàng + đóng hàng KH 05/03</t>
  </si>
  <si>
    <t>Trả hàng NK sáng 08/03</t>
  </si>
  <si>
    <t>Đóng hàng Kh chiều 08/03</t>
  </si>
  <si>
    <t>Trả hàng NK sáng 09/03</t>
  </si>
  <si>
    <t>Trả hàng + đóng hàng KH 11/03</t>
  </si>
  <si>
    <t>Đóng hàng chè sáng 15/03</t>
  </si>
  <si>
    <t>Đóng hàng phân sáng 16/03</t>
  </si>
  <si>
    <t>Đóng hàng phân sáng 18/03</t>
  </si>
  <si>
    <t>Đóng hàng phân sáng 19/03</t>
  </si>
  <si>
    <t>Đóng hàng phân sáng 20/03</t>
  </si>
  <si>
    <t>Trả hàng + đóng hàng KH 21/03</t>
  </si>
  <si>
    <t>Trả hàng NK sáng 25/03</t>
  </si>
  <si>
    <t>Đóng hàng phân sáng 27/03</t>
  </si>
  <si>
    <t>Trả hàng + đóng hàng KH 29/03</t>
  </si>
  <si>
    <t>DFSU7749226</t>
  </si>
  <si>
    <t>DRYU2853068</t>
  </si>
  <si>
    <t>SEGU4873408</t>
  </si>
  <si>
    <t>GAOU2110142</t>
  </si>
  <si>
    <t>GAOU2115400</t>
  </si>
  <si>
    <t>GESU3626456</t>
  </si>
  <si>
    <t>GESU3455245</t>
  </si>
  <si>
    <t>CRSU9361145</t>
  </si>
  <si>
    <t>MEDU4066190</t>
  </si>
  <si>
    <t>GMDU8191708</t>
  </si>
  <si>
    <t>GMDU8190701</t>
  </si>
  <si>
    <t>GMDU2402932</t>
  </si>
  <si>
    <t>BISU2832460</t>
  </si>
  <si>
    <t>HMMU6117020</t>
  </si>
  <si>
    <t>TCLU6933444</t>
  </si>
  <si>
    <t>EGHU3325070</t>
  </si>
  <si>
    <t>TEMU0628944</t>
  </si>
  <si>
    <t>DRYU2258764</t>
  </si>
  <si>
    <t>VNLU2094450</t>
  </si>
  <si>
    <t>GMTU3033229</t>
  </si>
  <si>
    <t>GAOU2115268</t>
  </si>
  <si>
    <t>UESU4580986</t>
  </si>
  <si>
    <t>VSLU3035108</t>
  </si>
  <si>
    <t>MSKU4348936</t>
  </si>
  <si>
    <t>GAOU2114770</t>
  </si>
  <si>
    <t>GMDU2150445</t>
  </si>
  <si>
    <t>DRYU3026146</t>
  </si>
  <si>
    <t>Tiền Hải, Thái Bình - Hà Nam</t>
  </si>
  <si>
    <t>Hải Phòng</t>
  </si>
  <si>
    <t>Thường Tín, Hà Nội - Hải Phòng</t>
  </si>
  <si>
    <t>TP Hòa Bình - Hà Nam</t>
  </si>
  <si>
    <t>Nho Quan, Ninh Bình - Hà Nam</t>
  </si>
  <si>
    <t>Phố Nối A, Hưng Yên</t>
  </si>
  <si>
    <t>Giao Thủy, Nam Định - Hà Nam</t>
  </si>
  <si>
    <t>Thanh toán tiền lọc dầu tinh max xe 15C-139.82</t>
  </si>
  <si>
    <t>Thanh toán tiền lọc dầu thô max xe 15C-139.82</t>
  </si>
  <si>
    <t>Thanh toán tiền dầu rubia tir</t>
  </si>
  <si>
    <t>Thanh toán tiền lốp xe 15C-139.82 (lốp 1100K20 Goodede 987)</t>
  </si>
  <si>
    <t>4,560,000</t>
  </si>
  <si>
    <t>4,900,000</t>
  </si>
  <si>
    <t>4,000,000</t>
  </si>
  <si>
    <t>5,260,000</t>
  </si>
  <si>
    <t>4,360,000</t>
  </si>
  <si>
    <t>2,000,000</t>
  </si>
  <si>
    <t>5,200,000</t>
  </si>
  <si>
    <t>5,600,000</t>
  </si>
  <si>
    <t>7,100,000</t>
  </si>
  <si>
    <t>7,500,000</t>
  </si>
  <si>
    <t>5,000,000</t>
  </si>
  <si>
    <t>2,800,000</t>
  </si>
  <si>
    <t>6,100,000</t>
  </si>
  <si>
    <t>THÁNG 04.2019</t>
  </si>
  <si>
    <t>Đóng hàng chè sáng 01/04</t>
  </si>
  <si>
    <t>Đóng hàng phân 02/04</t>
  </si>
  <si>
    <t>Đóng hàng chè sáng 03/04</t>
  </si>
  <si>
    <t>Trả hàng NK sáng 06/04</t>
  </si>
  <si>
    <t>Đóng hàng sáng 12/04</t>
  </si>
  <si>
    <t>Trả hàng NK sáng 18/04</t>
  </si>
  <si>
    <t>Đóng hàng chè sáng 19/04</t>
  </si>
  <si>
    <t>Trả hàng NK sáng 20/04</t>
  </si>
  <si>
    <t>Trả hàng + đóng hàng KH 23/04</t>
  </si>
  <si>
    <t>Trả hàng NK sáng 24/04</t>
  </si>
  <si>
    <t>Trả hàng NK sáng 26/04</t>
  </si>
  <si>
    <t>Đóng hàng chè sáng 27/04</t>
  </si>
  <si>
    <t>Trả hàng sáng 29/04</t>
  </si>
  <si>
    <t>OOCU7767280</t>
  </si>
  <si>
    <t>MSKU3398104</t>
  </si>
  <si>
    <t>ZCSU7116630</t>
  </si>
  <si>
    <t>DRYU2853411</t>
  </si>
  <si>
    <t>WHSU5323321</t>
  </si>
  <si>
    <t>PCIU8296671</t>
  </si>
  <si>
    <t>GMDU2153260</t>
  </si>
  <si>
    <t>DRYU2901952</t>
  </si>
  <si>
    <t>TRHU3295178</t>
  </si>
  <si>
    <t>BMOU5198204</t>
  </si>
  <si>
    <t>WHSU5262062</t>
  </si>
  <si>
    <t>GESU3719923</t>
  </si>
  <si>
    <t>NYKU4990960</t>
  </si>
  <si>
    <t>WHSU5118935</t>
  </si>
  <si>
    <t>TLLU4186517</t>
  </si>
  <si>
    <t>KKFU1613746</t>
  </si>
  <si>
    <t>TRHU1340600</t>
  </si>
  <si>
    <t>DRYU3092913</t>
  </si>
  <si>
    <t>TCNU5758262</t>
  </si>
  <si>
    <t>SMCU1193076</t>
  </si>
  <si>
    <t>SMCU1093879</t>
  </si>
  <si>
    <t>TGBU5497512</t>
  </si>
  <si>
    <t>GMDU8151330</t>
  </si>
  <si>
    <t>Cẩm Giàng, HD - Chương Mỹ, HN - Hà Nam</t>
  </si>
  <si>
    <t>Trấn Yên, Yên Bái</t>
  </si>
  <si>
    <t>Nghĩa Hưng, Nam Định - Hà Nam</t>
  </si>
  <si>
    <t>Thổ Tang, Vĩnh Tường, Vĩnh Phúc</t>
  </si>
  <si>
    <t>Thanh toán tiền định vị bách khoa xe 15C-139.82 ( từ T1/19 đến T4/20)</t>
  </si>
  <si>
    <t>Phí đăng kiểm xe 15C-139.82</t>
  </si>
  <si>
    <t>Tiền dịch vụ đăng kiểm xe 15C-139.82</t>
  </si>
  <si>
    <t>Thanh toán 01 lốp xe 15C-139.82 (lốp 1100R20 gooodede 987)</t>
  </si>
  <si>
    <t>Chi thưởng 1,5</t>
  </si>
  <si>
    <t>Thanh toán tiền sửa xe 139.82 ngày 17/4 (sửa điện hành trình đuôi mooc, điện đèn soi biển số mooc, sửa điện hành trình sườn mooc, đấu lại 1 đèn sườn theo mooc, sửa điện hàng trình đuôi đầu kéo bên phụ)</t>
  </si>
  <si>
    <t>Thanh toán tiền sửa xe 15C-139.82 ngày 16/4 (tán má phanh mooc, muabacj tay dằng, công thao lắp, mua mỡ may ơ mooc, mua dầu rửa, công tháo lắp may ơ)</t>
  </si>
  <si>
    <t>Thanh toán tiền sửa xe 15C-139.82 ngày 19/4 (tán má phanh đầu kéo cầu sau, công thợ, mua rê tuyn ba ngang+công thay)</t>
  </si>
  <si>
    <t>Trả hàng sáng 02/05</t>
  </si>
  <si>
    <t>Trả hàng + đóng hàng KH 03/05</t>
  </si>
  <si>
    <t>Trả hàng Vietsun sáng 04/05</t>
  </si>
  <si>
    <t>Trả hàng + đóng hàng KH 06/05</t>
  </si>
  <si>
    <t>Trả hàng + đóng hàng KH 07/05</t>
  </si>
  <si>
    <t>Trả hàng NK sáng 09/05</t>
  </si>
  <si>
    <t>Đóng hàng chè sáng 10/05</t>
  </si>
  <si>
    <t>Đóng hàng chè sáng 11/05</t>
  </si>
  <si>
    <t>Trả hàng Vietsun sáng 13/05</t>
  </si>
  <si>
    <t>Trả hàng NK sáng 14/05</t>
  </si>
  <si>
    <t>Trả hàng sáng 16/05</t>
  </si>
  <si>
    <t>Đóng phân lân sáng 17/05</t>
  </si>
  <si>
    <t>Trả hàng + đóng hàng KH 18/05</t>
  </si>
  <si>
    <t>Đóng phân lân sáng 19/05</t>
  </si>
  <si>
    <t>Đóng hàng sáng 20/05</t>
  </si>
  <si>
    <t>Trả hàng sáng 24/05</t>
  </si>
  <si>
    <t>Đóng hàng bột đá chiều 25/05</t>
  </si>
  <si>
    <t>Trả hàng sáng 27/05</t>
  </si>
  <si>
    <t>Đóng hàng chè sáng 28/05</t>
  </si>
  <si>
    <t>Trả hàng NK sáng 31/05</t>
  </si>
  <si>
    <t>Thạch Thất, Hà Nội - Hà Nội</t>
  </si>
  <si>
    <t>Liên Phương, TP Hưng Yên</t>
  </si>
  <si>
    <t>Thanh Trì, Hà Nội - Hà Nội</t>
  </si>
  <si>
    <t>KCN VSIP Bắc Ninh - Hải Dương</t>
  </si>
  <si>
    <t>NM Giấy An Hòa, Sơn Dương, Tuyên Quang</t>
  </si>
  <si>
    <t>Long Biên , Hà Nội</t>
  </si>
  <si>
    <t>Tam Hiệp, Thanh Trì, Hà Nội</t>
  </si>
  <si>
    <t>Thọ Xương, Bắc Giang</t>
  </si>
  <si>
    <t>GMDU8152682</t>
  </si>
  <si>
    <t>CRSU1153485</t>
  </si>
  <si>
    <t>DRYU9962040</t>
  </si>
  <si>
    <t>TRLU8262180</t>
  </si>
  <si>
    <t>TLLU4071328</t>
  </si>
  <si>
    <t>TGBU6755247</t>
  </si>
  <si>
    <t>TGHU1450289</t>
  </si>
  <si>
    <t>WHSU2368092</t>
  </si>
  <si>
    <t>CAIU4851274</t>
  </si>
  <si>
    <t>DRYU9718223</t>
  </si>
  <si>
    <t>BMOU4899220</t>
  </si>
  <si>
    <t>TRHU1344453</t>
  </si>
  <si>
    <t>CMAU4844832</t>
  </si>
  <si>
    <t>TRHU1204292</t>
  </si>
  <si>
    <t>CAIU6865066</t>
  </si>
  <si>
    <t>EITU0430556</t>
  </si>
  <si>
    <t>VHPU170305</t>
  </si>
  <si>
    <t>DRYU3012353</t>
  </si>
  <si>
    <t>SITU9043470</t>
  </si>
  <si>
    <t>MRSU3486700</t>
  </si>
  <si>
    <t>TGHU3592066</t>
  </si>
  <si>
    <t>GAOU2116238</t>
  </si>
  <si>
    <t>PCIU9082545</t>
  </si>
  <si>
    <t>MRKU5717472</t>
  </si>
  <si>
    <t>GMDU2181810</t>
  </si>
  <si>
    <t>GAOU2113624</t>
  </si>
  <si>
    <t>FSCU8895811</t>
  </si>
  <si>
    <t>Thanh toán tiền sửa xe 15C-139.82 (thay lốc lạnh, ga lạnh, công thợ sửa chữa, nước sục rửa hệ thống)</t>
  </si>
  <si>
    <t>THÁNG 05.2019</t>
  </si>
  <si>
    <t>Gia hạn giấy tờ xe</t>
  </si>
  <si>
    <t>Công chứng giấy tờ xe</t>
  </si>
  <si>
    <t>Thay cảm biến ô xy + cân bằng áp suất</t>
  </si>
  <si>
    <t>THÁNG 06.2019</t>
  </si>
  <si>
    <t>Trả hàng + đóng hàng KH 01/06</t>
  </si>
  <si>
    <t>Đóng hàng phân lân sáng 04/06</t>
  </si>
  <si>
    <t>Đóng hàng phân lân sáng 05/06</t>
  </si>
  <si>
    <t>Trả hàng NK sáng 08/06</t>
  </si>
  <si>
    <t>Trả hàng NK sáng 10/06</t>
  </si>
  <si>
    <t>Đóng hàng chè sáng 11/06</t>
  </si>
  <si>
    <t>Trả hàng Vietsun sáng 12/06</t>
  </si>
  <si>
    <t>Đóng hàng chè sáng 14/06</t>
  </si>
  <si>
    <t>Trả hàng Vietsun sáng 15/06</t>
  </si>
  <si>
    <t>Trả hàng + đóng hàng KH 19/06</t>
  </si>
  <si>
    <t>Đóng hàng chè sáng 20/06</t>
  </si>
  <si>
    <t>Đóng hàng chiều 21/06</t>
  </si>
  <si>
    <t>Trả hàng NK sáng 22/06</t>
  </si>
  <si>
    <t>Trả hàng Vietsun sáng 24/06</t>
  </si>
  <si>
    <t>Đóng hàng sáng 25/06</t>
  </si>
  <si>
    <t>Trả hàng + đóng hàng KH 26/06</t>
  </si>
  <si>
    <t>Đóng hàng chè chiều 27/06</t>
  </si>
  <si>
    <t>Trả hàng NK sáng 29/06</t>
  </si>
  <si>
    <t>GMDU2184276</t>
  </si>
  <si>
    <t>EMCU3951741</t>
  </si>
  <si>
    <t>DRYU2970758</t>
  </si>
  <si>
    <t>TCNU8024771</t>
  </si>
  <si>
    <t>GMDU2140909</t>
  </si>
  <si>
    <t>YMLU8516640</t>
  </si>
  <si>
    <t>MOTU0703076</t>
  </si>
  <si>
    <t>TCNU4230120</t>
  </si>
  <si>
    <t>DRYU9969790</t>
  </si>
  <si>
    <t>VNLU3097812</t>
  </si>
  <si>
    <t>WHSU5038303</t>
  </si>
  <si>
    <t>TCNU4785880</t>
  </si>
  <si>
    <t>TCKU3321788</t>
  </si>
  <si>
    <t>GMDU2141886</t>
  </si>
  <si>
    <t>GMDU8140629</t>
  </si>
  <si>
    <t>WHSU5134164</t>
  </si>
  <si>
    <t>BMOU3118030</t>
  </si>
  <si>
    <t>TCKU6116046</t>
  </si>
  <si>
    <t>DRYU9961130</t>
  </si>
  <si>
    <t>WHLU5691550</t>
  </si>
  <si>
    <t>GMDU2182838</t>
  </si>
  <si>
    <t>WHSU5666439</t>
  </si>
  <si>
    <t>GMDU2141654</t>
  </si>
  <si>
    <t>HMMU6044388</t>
  </si>
  <si>
    <t>Bích Hòa, Thanh Oai, HN - Bắc Ninh</t>
  </si>
  <si>
    <t>Từ Sơn, Bắc Ninh</t>
  </si>
  <si>
    <t>Long Biên, Hà Nôi - Hà Nội</t>
  </si>
  <si>
    <t>KCN Hòa Xá, Nam Định</t>
  </si>
  <si>
    <t>Sửa chữa : củ điện EGR, phục hồi van, thông xúc bầu, ống góp gió... xe 15C-139.82</t>
  </si>
  <si>
    <t>Sửa chữa : tổng côn công thợ làm xe 15C-139.82</t>
  </si>
  <si>
    <t>Sửa chữa: DOT 3 xe 15C-139.82</t>
  </si>
  <si>
    <t>Sửa chữa: dầu phanh xe 15C-139.82</t>
  </si>
  <si>
    <t>Sửa chữa: thay ốc tích kê 15C-139.82</t>
  </si>
  <si>
    <t>Mua bảo hiểm vật chất + TNDS, TNNN xe 15C-139.82</t>
  </si>
  <si>
    <t>Lương lái xe tháng 6</t>
  </si>
  <si>
    <t>Thu tiền khách bồi thường tai nạn xe ngày 18/06</t>
  </si>
  <si>
    <t>THÁNG 07.2019</t>
  </si>
  <si>
    <t>Đóng hàng chè sáng 02/07</t>
  </si>
  <si>
    <t>HLBU1293443</t>
  </si>
  <si>
    <t>Trả hàng + đóng hàng KH 03/07</t>
  </si>
  <si>
    <t>GESU3877791</t>
  </si>
  <si>
    <t>Lâm Thao, Phú Thọ - Hà Nam</t>
  </si>
  <si>
    <t>Trả hàng Vietsun sáng 04/07</t>
  </si>
  <si>
    <t>DRYU9876390</t>
  </si>
  <si>
    <t>Trả hàng NK sáng 05/07</t>
  </si>
  <si>
    <t>BMOU2354387</t>
  </si>
  <si>
    <t>Yên Phong, Bắc Ninh</t>
  </si>
  <si>
    <t>Trả hàng Vietsun sáng 06/07</t>
  </si>
  <si>
    <t>DRYU9592433</t>
  </si>
  <si>
    <t>Trả hàng NK sáng 08/07</t>
  </si>
  <si>
    <t>NYKU4388845</t>
  </si>
  <si>
    <t>Trả hàng Vietsun sáng 09/07</t>
  </si>
  <si>
    <t>DRYU9969569</t>
  </si>
  <si>
    <t>Đóng hàng chè sáng 10/07</t>
  </si>
  <si>
    <t>TEMU8764192</t>
  </si>
  <si>
    <t>GMDU2181050</t>
  </si>
  <si>
    <t>Hà Trung, Thanh Hóa - Hà Nam</t>
  </si>
  <si>
    <t>Trả hàng Vietsun sáng 12/07</t>
  </si>
  <si>
    <t>TCNU4785303</t>
  </si>
  <si>
    <t>Phú Sơn, TP. Thanh Hóa</t>
  </si>
  <si>
    <t>Đóng hàng sáng 13/07</t>
  </si>
  <si>
    <t>CAXU9028933</t>
  </si>
  <si>
    <t>Đông Anh, Hà Nội</t>
  </si>
  <si>
    <t>Trả hàng sáng 14/07</t>
  </si>
  <si>
    <t>GAOU6256460</t>
  </si>
  <si>
    <t>Trả hàng Vietsun sáng 16/07</t>
  </si>
  <si>
    <t>GAOU6144665</t>
  </si>
  <si>
    <t>KCN Cái Lân, Hạ Long</t>
  </si>
  <si>
    <t>Đóng hàng chè sáng 17/07</t>
  </si>
  <si>
    <t>SEGU4884927</t>
  </si>
  <si>
    <t>Trả hàng NK sáng 18/07</t>
  </si>
  <si>
    <t>CBHU8796811</t>
  </si>
  <si>
    <t>TCLU1931480</t>
  </si>
  <si>
    <t>Đóng chè sáng 20/07</t>
  </si>
  <si>
    <t>OOCU7041337</t>
  </si>
  <si>
    <t>TCNU3653093</t>
  </si>
  <si>
    <t>FCIU9997146</t>
  </si>
  <si>
    <t>Trả hàng + đóng hàng KH 24/07</t>
  </si>
  <si>
    <t>GAOU2107750</t>
  </si>
  <si>
    <t>Tân Long, TP Thái Nguyên - Hà Nam</t>
  </si>
  <si>
    <t>GLDU3836783</t>
  </si>
  <si>
    <t>Phú Lãm, Hà Đông, Hà Nội - Hà Nam</t>
  </si>
  <si>
    <t>GMDU8185602</t>
  </si>
  <si>
    <t>Bình Phú, Thạch Thất, Hà Nội - Hà Nội</t>
  </si>
  <si>
    <t>CKLU4112793</t>
  </si>
  <si>
    <t>Trả hàng NK sáng 29/07</t>
  </si>
  <si>
    <t>DFSU2308700</t>
  </si>
  <si>
    <t>Trả hàng VIetsun sáng 30/07</t>
  </si>
  <si>
    <t>TCNU4595263</t>
  </si>
  <si>
    <t>Gián Khẩu, Ninh Bình</t>
  </si>
  <si>
    <t>DRYU2853089</t>
  </si>
  <si>
    <t>Sửa chữa: Lọc nước xe maxx 15C-139.82</t>
  </si>
  <si>
    <t>Một quả thay trong T7, 2 quả thay trong T8</t>
  </si>
  <si>
    <t>Sửa chữa: Lọc nhớt xe maxx 15C-139.82</t>
  </si>
  <si>
    <t>Thay dầu nhớt động cơ</t>
  </si>
  <si>
    <t>Sửa chữa Nga thanh toán tiền thay lốp xe 15C-139.82: 1 quả 11.00-20 BFGoodrich</t>
  </si>
  <si>
    <t>THÁNG 08.2019</t>
  </si>
  <si>
    <t>Trả hàng + đóng hàng KH 02/08</t>
  </si>
  <si>
    <t>Trả hàng NK sáng 03/08</t>
  </si>
  <si>
    <t>Đóng hàng chè sáng 05/08</t>
  </si>
  <si>
    <t>Trả hàng + đóng hàng KH 06/08</t>
  </si>
  <si>
    <t>Đóng hàng chè sáng 07/08</t>
  </si>
  <si>
    <t>Trả hàng Vietsun sáng 08/08</t>
  </si>
  <si>
    <t>Đóng hàng KH chiều 08/08</t>
  </si>
  <si>
    <t>Trả hàng + đóng hàng KH 09/08</t>
  </si>
  <si>
    <t>Đóng hàng chè sáng 10/08</t>
  </si>
  <si>
    <t>Đóng hàng chè sáng 12/08</t>
  </si>
  <si>
    <t>Trả hàng NK sáng 13/08</t>
  </si>
  <si>
    <t>Trả hàng Vietsun sáng 15/08</t>
  </si>
  <si>
    <t>Trả hàng NK tối 15/08</t>
  </si>
  <si>
    <t>Trả hàng Vietsun sáng 19/08</t>
  </si>
  <si>
    <t>Đóng hàng KH chiều 19/08</t>
  </si>
  <si>
    <t>Trả hàng + đóng hàng KH 20/08</t>
  </si>
  <si>
    <t>Đóng hàng chè sáng 22/08</t>
  </si>
  <si>
    <t>Đóng hàng chè sáng 24/08</t>
  </si>
  <si>
    <t>Đóng hàng sáng 26/08</t>
  </si>
  <si>
    <t>Đóng hàng chè sáng 27/08</t>
  </si>
  <si>
    <t>Trả hàng + đóng hàng KH 29/08</t>
  </si>
  <si>
    <t>Trả hàng NK chiều 31/08</t>
  </si>
  <si>
    <t>Thường Tín, Hà Nội - Mỹ Hào, Hưng Yên</t>
  </si>
  <si>
    <t>KCN Phúc Khánh, Thái Bình</t>
  </si>
  <si>
    <t>KCN Nam Cầu Kiền, Hải Phòng</t>
  </si>
  <si>
    <t>Nam Sách, Hải Dương - Hà Nam</t>
  </si>
  <si>
    <t xml:space="preserve">Lương Yên, Hà Nội </t>
  </si>
  <si>
    <t>Song Khê, Bắc Giang</t>
  </si>
  <si>
    <t>KCN Phúc Sơn , Ninh Bình</t>
  </si>
  <si>
    <t>Tiên Du , Bắc Ninh</t>
  </si>
  <si>
    <t>Tân Quang, Văn Lâm, Hưng Yên - Hà Nam</t>
  </si>
  <si>
    <t>Trôi , Hà Nội - Hà Nam</t>
  </si>
  <si>
    <t>DRYU2853005</t>
  </si>
  <si>
    <t>TCKU2692336</t>
  </si>
  <si>
    <t>MRKU2151041</t>
  </si>
  <si>
    <t>TCNU4707281</t>
  </si>
  <si>
    <t>TCKU3818943</t>
  </si>
  <si>
    <t>WHSU5402230</t>
  </si>
  <si>
    <t>DRYU9962950</t>
  </si>
  <si>
    <t>TCKU1368929</t>
  </si>
  <si>
    <t>DFSU6537813</t>
  </si>
  <si>
    <t>TCNU2754047</t>
  </si>
  <si>
    <t>TGBU2323461</t>
  </si>
  <si>
    <t>CAIU6870360</t>
  </si>
  <si>
    <t>GAOU6145907</t>
  </si>
  <si>
    <t>YMMU6270103</t>
  </si>
  <si>
    <t>SEGU5415776</t>
  </si>
  <si>
    <t>GAOU6144270</t>
  </si>
  <si>
    <t>TRHU1451287</t>
  </si>
  <si>
    <t>GMDU8141780</t>
  </si>
  <si>
    <t>DFSU7619794</t>
  </si>
  <si>
    <t>GLDU9910070</t>
  </si>
  <si>
    <t>MSKU1573342</t>
  </si>
  <si>
    <t>DFSU6939659</t>
  </si>
  <si>
    <t>FSCU8622587</t>
  </si>
  <si>
    <t>TCKU3932344</t>
  </si>
  <si>
    <t>TCKU2723186</t>
  </si>
  <si>
    <t>DRYU3093313</t>
  </si>
  <si>
    <t>HASU1167386</t>
  </si>
  <si>
    <t>Chi thưởng 2.9</t>
  </si>
  <si>
    <t>Thanh toán tiền thay lốp xe 15C-139.82: 2 quả 11.00-20 BFGoodrich</t>
  </si>
  <si>
    <t>Bơm mỡ đầu kéo + mooc 15C-139.82 ngày 11/8</t>
  </si>
  <si>
    <t>Thường Tín, Hà Nôi - Hà Nội</t>
  </si>
  <si>
    <t>THÁNG 09.2019</t>
  </si>
  <si>
    <t>Trả hàng NK sáng 03/09</t>
  </si>
  <si>
    <t>Đóng hàng chè chiều 09/09</t>
  </si>
  <si>
    <t>Trả hàng + đóng hàng KH 10/09</t>
  </si>
  <si>
    <t>Trả hàng NK sáng 12/09</t>
  </si>
  <si>
    <t>Đóng hàng chè sáng 13/09</t>
  </si>
  <si>
    <t>Trả hàng + đóng hàng KH 14/09</t>
  </si>
  <si>
    <t>Trả hàng + đóng hàng KH 17/09</t>
  </si>
  <si>
    <t>Trả hàng + đóng hàng KH sáng 18/09</t>
  </si>
  <si>
    <t>Đóng hàng kết hợp chiều 19/09</t>
  </si>
  <si>
    <t>Trả hàng NK sáng 23/09</t>
  </si>
  <si>
    <t>Đóng hàng chè sáng 24/09</t>
  </si>
  <si>
    <t>Trả hàng Vietsun sáng 27/09</t>
  </si>
  <si>
    <t>Trả hàng + đóng hàng KH 28/09</t>
  </si>
  <si>
    <t>FCIU2031844</t>
  </si>
  <si>
    <t>HACU2162854</t>
  </si>
  <si>
    <t>GLDU3856959</t>
  </si>
  <si>
    <t>GLDU9925168</t>
  </si>
  <si>
    <t>TTNU2498138</t>
  </si>
  <si>
    <t>TLLU4507047</t>
  </si>
  <si>
    <t>GLDU3908754</t>
  </si>
  <si>
    <t>GMDU8182814</t>
  </si>
  <si>
    <t>CAXU8064643</t>
  </si>
  <si>
    <t>BSIU9680035</t>
  </si>
  <si>
    <t>GAOU2108280</t>
  </si>
  <si>
    <t>TRHU3461561</t>
  </si>
  <si>
    <t>TCKU3599676</t>
  </si>
  <si>
    <t>VNLU3095574</t>
  </si>
  <si>
    <t>DRYU9969949</t>
  </si>
  <si>
    <t>SEGU2122769</t>
  </si>
  <si>
    <t>BMOU1234690</t>
  </si>
  <si>
    <t>TCKU4831375</t>
  </si>
  <si>
    <t>OOCU7515591</t>
  </si>
  <si>
    <t>VNLU2091255</t>
  </si>
  <si>
    <t>GAOU2114003</t>
  </si>
  <si>
    <t>GAOU2107637</t>
  </si>
  <si>
    <t>Tiên Du, Bắc Ninh - Hà Nam</t>
  </si>
  <si>
    <t>Phúc Yên, Vĩnh Phúc - Hà Nam</t>
  </si>
  <si>
    <t>CCN Duyên Thái, Hà Nội - Hà Nội</t>
  </si>
  <si>
    <t>Thiệu Hóa, Thanh Hóa - Hà Nam</t>
  </si>
  <si>
    <t>Thạch Thất, Hà Nội  - Hà Nam</t>
  </si>
  <si>
    <t>KCN Phú Nghĩa, Chương Mỹ, HN - Hà Nam</t>
  </si>
  <si>
    <t>Cảng Hà Nội - Hà Nam</t>
  </si>
  <si>
    <t>Tân Trường, Hải Dương - Hà Nam</t>
  </si>
  <si>
    <t>TP. Thái Nguyên - Hà Nam</t>
  </si>
  <si>
    <t>Thay tuy ô dầu và công thợ xe 15C-139.82 ngày 7/9</t>
  </si>
  <si>
    <t>Thanh toán tiền lốp xe 15C-139.82: 1 quả BF Goodrich 11.00-20</t>
  </si>
  <si>
    <t>Mua bóng hơi xe 15C-139.82</t>
  </si>
  <si>
    <t>Thanh toán tiền sửa xe 15C-139.82 ngày 15.9 (tháo lắp 1 quả bóng hơi tải)</t>
  </si>
  <si>
    <t>Thanh toán tiền sửa xe 15C-139.82 ngày 13.9 (bơm hơii)</t>
  </si>
  <si>
    <t>Anh Phụng mua cốc lọc nước cho xe 15C-139.82</t>
  </si>
  <si>
    <t>Thanh toán tiền sửa xe 15C-139.82 ngày 8/9 (tán má phanh đầu kéo, thay con lăn treo má phanh, công tháo lắp má 
phanh, gia công hai đầu giảm sóc, công tháo lắp giảm sóc, mua bạc nhíp, công thay)</t>
  </si>
  <si>
    <t>Thanh toán tiền lốp xe 15C-139.82 (lốp lái 295/75R22.5 DRC)</t>
  </si>
  <si>
    <t>Thanh toán tiền lọc ly tâm xe 15C-139.82</t>
  </si>
  <si>
    <t>Thay 2 bình ắc quy xe 15C-139.82</t>
  </si>
  <si>
    <t>Thanh toán tiền dầu total rubia tir</t>
  </si>
  <si>
    <t>THÁNG 10.2019</t>
  </si>
  <si>
    <t>Trả hàng Vietsun sáng 01/10</t>
  </si>
  <si>
    <t>Trả hàng Vietsun sáng 04/10</t>
  </si>
  <si>
    <t>Trả hàng NK sáng 05/10</t>
  </si>
  <si>
    <t>Trả hàng Vietsun sáng 07/10</t>
  </si>
  <si>
    <t>Đóng hàng XK sáng 09/10</t>
  </si>
  <si>
    <t>Đóng hàng chè sáng 10/10</t>
  </si>
  <si>
    <t>Trả hàng sáng Vietsun sáng 11/10</t>
  </si>
  <si>
    <t>Trả hàng NK sáng 12/10</t>
  </si>
  <si>
    <t>Trả hàng + đóng hàng KH 13/10</t>
  </si>
  <si>
    <t>Đóng hàng XK sáng 14/10</t>
  </si>
  <si>
    <t>Đóng hàng chè sáng 15/10</t>
  </si>
  <si>
    <t>Đóng hàng bột đá chiều 19/10</t>
  </si>
  <si>
    <t>Đóng hàng chè sáng 22/10</t>
  </si>
  <si>
    <t>Trả hàng Vietsun sáng 25/10</t>
  </si>
  <si>
    <t>Đóng hàng chiều 25/10</t>
  </si>
  <si>
    <t>Đóng hàng sáng 28/10</t>
  </si>
  <si>
    <t>Đóng hàng XK sáng 29/10</t>
  </si>
  <si>
    <t>Trả hàng NK sáng 30/10</t>
  </si>
  <si>
    <t>GAOU6144808</t>
  </si>
  <si>
    <t>VNLU2090583</t>
  </si>
  <si>
    <t>CSNU6358619</t>
  </si>
  <si>
    <t>GAOU6144897</t>
  </si>
  <si>
    <t>PCIU1788216</t>
  </si>
  <si>
    <t>TCNU4785577</t>
  </si>
  <si>
    <t>WBPU7078432</t>
  </si>
  <si>
    <t>OOCU7654724</t>
  </si>
  <si>
    <t>GAOU6144449</t>
  </si>
  <si>
    <t>TCLU5247476</t>
  </si>
  <si>
    <t>GAOU2109814</t>
  </si>
  <si>
    <t>H9912991</t>
  </si>
  <si>
    <t>EITU1668169</t>
  </si>
  <si>
    <t>DRYU3097292</t>
  </si>
  <si>
    <t>MAGU5686048</t>
  </si>
  <si>
    <t>FCIU9946391</t>
  </si>
  <si>
    <t>BMOU4636950</t>
  </si>
  <si>
    <t>ZIMU1277215</t>
  </si>
  <si>
    <t>DRYU9969527</t>
  </si>
  <si>
    <t>GESU5664202</t>
  </si>
  <si>
    <t>SEGU6657959</t>
  </si>
  <si>
    <t>TEMU8764654</t>
  </si>
  <si>
    <t>MSKU3486822</t>
  </si>
  <si>
    <t>GAOU2110970</t>
  </si>
  <si>
    <t>TP. Thanh Hóa</t>
  </si>
  <si>
    <t>TP. Hải Dương</t>
  </si>
  <si>
    <t>Thanh Hà, Hải Dương</t>
  </si>
  <si>
    <t>KCN Phong Khê, Bắc Ninh</t>
  </si>
  <si>
    <t>Ngọc Hồi, Văn Điển, Hà Nội</t>
  </si>
  <si>
    <t>Ba Vì, Hà Nội</t>
  </si>
  <si>
    <t>TP. Bắc Giang</t>
  </si>
  <si>
    <t>Nam Sách, Hải Dương</t>
  </si>
  <si>
    <t>KCN Nomura Hải Phòng</t>
  </si>
  <si>
    <t>Tây Bắc Ga, Thanh Hóa - Hà Nam</t>
  </si>
  <si>
    <t>Thanh toán tiền bơm mỡ đầu kéo+mooc xe 15C-139.82</t>
  </si>
  <si>
    <t>Mua dây curoa xe 15C-139.82</t>
  </si>
  <si>
    <t>Nộp phí sử dụng đường bộ xe 15C-139.82</t>
  </si>
  <si>
    <t>Dịch vụ đăng kiểm xe 15C-139.82</t>
  </si>
  <si>
    <t>Thanh toán tiền sửa xe 15C-139.82 ngày 8/9 (thay thanh BH sau, thay thanh ốp)</t>
  </si>
  <si>
    <t>THÁNG 11.2019</t>
  </si>
  <si>
    <t>Đóng hàng sáng 02/11</t>
  </si>
  <si>
    <t>Trả hàng NK sáng 04/11</t>
  </si>
  <si>
    <t>Trả hàng NK sáng 05/11</t>
  </si>
  <si>
    <t>Đóng hàng chè sáng 06/11</t>
  </si>
  <si>
    <t>Trả hàng NK sáng 07/11</t>
  </si>
  <si>
    <t>Trả hàng NK sáng 08/11</t>
  </si>
  <si>
    <t>Đóng hàng KH chiều 09/11</t>
  </si>
  <si>
    <t>Trả hàng NK sáng 11/11</t>
  </si>
  <si>
    <t>Đóng hàng chè sáng 12/11</t>
  </si>
  <si>
    <t>Trả hàng + đóng hàng KH 14/11</t>
  </si>
  <si>
    <t>Đóng hàng XK sáng 15/11</t>
  </si>
  <si>
    <t>Trả hàng + đóng hàng KH 16/11</t>
  </si>
  <si>
    <t>Đóng hàng XK sáng 18/11</t>
  </si>
  <si>
    <t>Trả hàng Vietsun sáng 20/11</t>
  </si>
  <si>
    <t>Trả hàng + đóng hàng KH 21/11</t>
  </si>
  <si>
    <t>Trả hàng + đóng hàng KH 22/11</t>
  </si>
  <si>
    <t>Trả hàng + đóng hàng KH 23/11</t>
  </si>
  <si>
    <t>Trả hàng NK sáng 26/11</t>
  </si>
  <si>
    <t>Đóng hàng chè sáng 27/11</t>
  </si>
  <si>
    <t>Đóng hàng sáng 29/11</t>
  </si>
  <si>
    <t>Đóng hàng XK đêm 29/11</t>
  </si>
  <si>
    <t>PONU8036514</t>
  </si>
  <si>
    <t>DJLU5017172</t>
  </si>
  <si>
    <t>WHSU2727000</t>
  </si>
  <si>
    <t>UNXU4971044</t>
  </si>
  <si>
    <t>EGHU9094256</t>
  </si>
  <si>
    <t>CAIU4554419</t>
  </si>
  <si>
    <t>KDCU5170703</t>
  </si>
  <si>
    <t>SMCU1240080</t>
  </si>
  <si>
    <t>TCNU5685750</t>
  </si>
  <si>
    <t>TGBU5541277</t>
  </si>
  <si>
    <t>EITU1622698</t>
  </si>
  <si>
    <t>DRYU9588557</t>
  </si>
  <si>
    <t>TCKU2936453</t>
  </si>
  <si>
    <t>TCNU3698478</t>
  </si>
  <si>
    <t>VNLU3094388</t>
  </si>
  <si>
    <t>TWCU4035373</t>
  </si>
  <si>
    <t>MSKU1939160</t>
  </si>
  <si>
    <t>GLDU3924903</t>
  </si>
  <si>
    <t>FCIU5137444</t>
  </si>
  <si>
    <t>TCKU3083226</t>
  </si>
  <si>
    <t>TCNU7856904</t>
  </si>
  <si>
    <t>GESU3825720</t>
  </si>
  <si>
    <t>TCNU4982560</t>
  </si>
  <si>
    <t>DFSU1955889</t>
  </si>
  <si>
    <t>HCVT0008</t>
  </si>
  <si>
    <t>WFHU5136663</t>
  </si>
  <si>
    <t>Nghi Sơn, Thanh Hóa</t>
  </si>
  <si>
    <t>An Dương, Hải Phòng</t>
  </si>
  <si>
    <t>CCN Quất Động, Thường Tín, Hà Nội</t>
  </si>
  <si>
    <t>Đình Dù, Văn Lâm, Hưng Yên - Hà Nam</t>
  </si>
  <si>
    <t>Xuân Mai, Chương Mỹ, Hà Nội</t>
  </si>
  <si>
    <t>Phổ Yên, Thái Nguyên</t>
  </si>
  <si>
    <t>Nguyễn Văn Linh, Long Biên, Hà Nội</t>
  </si>
  <si>
    <t>Cầu Diễn, Hà Nội - Hà Nam</t>
  </si>
  <si>
    <t>Thanh toán tiền sửa xe 15C-139.82 ngày 8/11 (tháo lắp 1 quả bóng hơi tải, thay 1 cút 3 trạc ở chia hơi)</t>
  </si>
  <si>
    <t>Công chứng giấy tờ xe 15C-139.82</t>
  </si>
  <si>
    <t>Trả tiền 2 quả lốp xe 15C139.82 (lốp BFGoodrich 11.00-20)</t>
  </si>
  <si>
    <t>Lợi nhuận xe:</t>
  </si>
  <si>
    <t>Chị Thoa 23.6%</t>
  </si>
  <si>
    <t>Giá CP xe 23.6%</t>
  </si>
  <si>
    <t>Phải trả chị Thoa</t>
  </si>
  <si>
    <t>Đã trả</t>
  </si>
  <si>
    <t>Còn lại</t>
  </si>
  <si>
    <t>THÁNG 12.2019</t>
  </si>
  <si>
    <t>Đóng hàng sáng 03/12</t>
  </si>
  <si>
    <t>Đóng hàng sáng 04/12</t>
  </si>
  <si>
    <t>Trả hàng NK sáng 06/12</t>
  </si>
  <si>
    <t>Trả hàng NK chiều 12/12</t>
  </si>
  <si>
    <t>Trả hàng NK sáng 14/12</t>
  </si>
  <si>
    <t>Trả hàng + đóng hàng KH 16/12</t>
  </si>
  <si>
    <t>Trả hàng + đóng hàng KH 19/12</t>
  </si>
  <si>
    <t>Đóng hàng KH sáng 22/12</t>
  </si>
  <si>
    <t>Trả hàng + đóng hàng KH 24/12</t>
  </si>
  <si>
    <t>Đóng hàng chè sáng 25/12</t>
  </si>
  <si>
    <t>Đóng hàng chè chiều 26/12</t>
  </si>
  <si>
    <t>Trả hàng + đóng hàng KH 27/12</t>
  </si>
  <si>
    <t>Đóng hàng chè sáng 28/12</t>
  </si>
  <si>
    <t>Trả hàng + đóng hàng KH 31/12</t>
  </si>
  <si>
    <t>GMDU2141130</t>
  </si>
  <si>
    <t>DRYU9955483</t>
  </si>
  <si>
    <t>CAIU9037912</t>
  </si>
  <si>
    <t>GAOU2110332</t>
  </si>
  <si>
    <t>SNBU2257018</t>
  </si>
  <si>
    <t>GLDU9926077</t>
  </si>
  <si>
    <t>TCKU2956064</t>
  </si>
  <si>
    <t>TCLU1503477</t>
  </si>
  <si>
    <t>DFSU4337591</t>
  </si>
  <si>
    <t>SEGU5608060</t>
  </si>
  <si>
    <t>WHLU4275178</t>
  </si>
  <si>
    <t>TCKU2605901</t>
  </si>
  <si>
    <t>DRYU9957172</t>
  </si>
  <si>
    <t>DRYU2923566</t>
  </si>
  <si>
    <t>TCKU2821691</t>
  </si>
  <si>
    <t>TWCU8022081</t>
  </si>
  <si>
    <t>TCNU6216857</t>
  </si>
  <si>
    <t>TCKU3588440</t>
  </si>
  <si>
    <t>CSLU6020012</t>
  </si>
  <si>
    <t>HMMU6097217</t>
  </si>
  <si>
    <t>TCKU3772354</t>
  </si>
  <si>
    <t>NYKU4980263</t>
  </si>
  <si>
    <t>DRYU3095430</t>
  </si>
  <si>
    <t>KCN Phố Nối A, Hưng Yên - Hà Nam</t>
  </si>
  <si>
    <t>CCN Duyên Thái, Thường Tín, Hà Nội</t>
  </si>
  <si>
    <t>CCN Hoàng Mai, Việt Yên, Bắc Giang</t>
  </si>
  <si>
    <t>Nhổn, Hoài Đức, Hà Nội - Hà Nam</t>
  </si>
  <si>
    <t>Đan Phượng, Hà Nội</t>
  </si>
  <si>
    <t>KCN VSIP Bắc Ninh - Hà Nam</t>
  </si>
  <si>
    <t>Thanh toán tiền sửa xe 15C-139.82 (tháo lắp thông 1 két nước chính, tháo lắp thông 3 két nước phụ, thông két gió, hàn chảy 20 chân két gió, thay 15cm ống phi 10, thay lắp bình nước phụ) ngày 23/12</t>
  </si>
  <si>
    <t>Thanh toán tiền sửa xe 15C-139.82 ngày 23/12 (thay tăng máy chính, dây curoa, chỉnh bô)</t>
  </si>
  <si>
    <t>Anh Phụng mua miếng đệm cao su nắp ca pô xe</t>
  </si>
  <si>
    <t>Thanh toán tiền lọc dầu nhớt P551088</t>
  </si>
  <si>
    <t>Thưởng tết âm lịch</t>
  </si>
  <si>
    <t>Mr. Háu 35%</t>
  </si>
  <si>
    <t>Mr. Sơn 11.7%</t>
  </si>
  <si>
    <t>THÁNG 01.2020</t>
  </si>
  <si>
    <t>Đóng hàng chè sáng 02/01</t>
  </si>
  <si>
    <t>Trả hàng NK sáng 06/01</t>
  </si>
  <si>
    <t>Đóng hàng KH chiều 06/01</t>
  </si>
  <si>
    <t>Trả hàng NK sáng 07/01</t>
  </si>
  <si>
    <t>Trả hàng Vietsun sáng 08/01</t>
  </si>
  <si>
    <t>Trả hàng NK sáng 09/01</t>
  </si>
  <si>
    <t>Đóng hàng chè sáng 13/01</t>
  </si>
  <si>
    <t>Đóng hàng XK chiều 14/01</t>
  </si>
  <si>
    <t>MOTU0774130</t>
  </si>
  <si>
    <t>TEMU8916696</t>
  </si>
  <si>
    <t>MRKU4791710</t>
  </si>
  <si>
    <t>GAOU6143123</t>
  </si>
  <si>
    <t>CAIU8587112</t>
  </si>
  <si>
    <t>GAOU6145975</t>
  </si>
  <si>
    <t>BMOU5825789</t>
  </si>
  <si>
    <t>BMOU6220940</t>
  </si>
  <si>
    <t>TCLU9719734</t>
  </si>
  <si>
    <t>DRYU9592618</t>
  </si>
  <si>
    <t>PARU5019777</t>
  </si>
  <si>
    <t>Phú Cát, Quốc Oai, Hà Nội</t>
  </si>
  <si>
    <t>KCN Phố Nối A, Văn Lâm, Hưng Yên</t>
  </si>
  <si>
    <t>Ba Trại, Ba Vì, Hà Nội</t>
  </si>
  <si>
    <t>Phan Đình Phùng, Mỹ Hào, Hưng Yên</t>
  </si>
  <si>
    <t>Đông Côi, Thuận Thành, Bắc Ninh</t>
  </si>
  <si>
    <t>Thanh toán tiền bơm mỡ</t>
  </si>
  <si>
    <t>Thanh toán tiền sửa xe 15C-139.82 (tiền công thay bóng hơi cabin)</t>
  </si>
  <si>
    <t>Thanh toán tiền sửa xe 15C-139.82 (Bảo dưỡng củ đề + máy phát)</t>
  </si>
  <si>
    <t>Thanh toán tiền sửa xe 15C-139.82 (Hàn táp xương bắt giảm xóc cabin)</t>
  </si>
  <si>
    <t>Đóng hàng XK sáng 16/01</t>
  </si>
  <si>
    <t>Trả hàng NK sáng 17/01</t>
  </si>
  <si>
    <t>Đóng hàng chè sáng 18/01</t>
  </si>
  <si>
    <t>Trả hàng Vietsun sáng 30/01</t>
  </si>
  <si>
    <t>Trả hàng Vietsun sáng 31/01</t>
  </si>
  <si>
    <t>BSIU9252335</t>
  </si>
  <si>
    <t>SMCU1040713</t>
  </si>
  <si>
    <t>TLLU5424219</t>
  </si>
  <si>
    <t>DRYU9961758</t>
  </si>
  <si>
    <t>GAOU6144990</t>
  </si>
  <si>
    <t>Việt Yên, Bắc Giang</t>
  </si>
  <si>
    <t>CCN Biên Giang, Hà Đông, Hà Nội</t>
  </si>
  <si>
    <t>Bóng ca bin xe 15C-139.82</t>
  </si>
  <si>
    <t>THÁNG 02.2020</t>
  </si>
  <si>
    <t>Đóng hàng XK sáng 03/02</t>
  </si>
  <si>
    <t>Đóng hàng chè sáng 04/02</t>
  </si>
  <si>
    <t>Đóng hàng KH sáng 06/02</t>
  </si>
  <si>
    <t>Trả hàng NK sáng 11/02</t>
  </si>
  <si>
    <t>Đóng hàng KH chiều 11/02</t>
  </si>
  <si>
    <t>Trả hàng NK sáng 12/02</t>
  </si>
  <si>
    <t>Trả hàng sáng 16/02</t>
  </si>
  <si>
    <t>Trả hàng sáng 17/02</t>
  </si>
  <si>
    <t>Trả hàng Vietsun sáng 19/02</t>
  </si>
  <si>
    <t>Đóng hàng chè chiều 21/02</t>
  </si>
  <si>
    <t>Đóng hàng XK sáng 25/02</t>
  </si>
  <si>
    <t>Trả hàng chiều 28/02</t>
  </si>
  <si>
    <t>Trả hàng NK sáng 29/02</t>
  </si>
  <si>
    <t>NYKU5234926</t>
  </si>
  <si>
    <t>FSCU8592749</t>
  </si>
  <si>
    <t>BEAU5016500</t>
  </si>
  <si>
    <t>EISU2206840</t>
  </si>
  <si>
    <t>CSLU6205320</t>
  </si>
  <si>
    <t>TCKU2789619</t>
  </si>
  <si>
    <t>BISU6822141</t>
  </si>
  <si>
    <t>CAIU9015750</t>
  </si>
  <si>
    <t>TCKU9342392</t>
  </si>
  <si>
    <t>TCNU3978817</t>
  </si>
  <si>
    <t>BEAU4327869</t>
  </si>
  <si>
    <t>SGCU5135901</t>
  </si>
  <si>
    <t>TRHU1715250</t>
  </si>
  <si>
    <t>BISU6825773</t>
  </si>
  <si>
    <t>FFAU1131456</t>
  </si>
  <si>
    <t>KCN Lương Sơn, Hòa Bình</t>
  </si>
  <si>
    <t>KCN Tân Quang, Văn Lâm, Hưng Yên</t>
  </si>
  <si>
    <t>486 Ngọc Hồi, Văn Điển, Hà Nội</t>
  </si>
  <si>
    <t>Thọ Xuân, Thanh Hóa</t>
  </si>
  <si>
    <t>Thuận Thành, Bắc Ninh - Phủ Lý, Hà Nam</t>
  </si>
  <si>
    <t>Anh Phụng thanh toán tiền sửa xe 15C-139.82 (thay dây, bơm mỡ côn, thay phớt tổng côn dưới, , mua cặp côn, mua côn mới, công thợ hạ côn)</t>
  </si>
  <si>
    <t>Thay bóng đèn pha</t>
  </si>
  <si>
    <t>DRYU9969770</t>
  </si>
  <si>
    <t>THÁNG 03.2020</t>
  </si>
  <si>
    <t>Trả hàng NK sáng 03/03</t>
  </si>
  <si>
    <t>Trả hàng sáng 06/03</t>
  </si>
  <si>
    <t>Trả hàng sáng 07/03</t>
  </si>
  <si>
    <t>Đóng hàng phân sáng 08/03</t>
  </si>
  <si>
    <t>Đóng hàng phân sáng 09/03</t>
  </si>
  <si>
    <t>Đóng hàng phân sáng 11/03</t>
  </si>
  <si>
    <t>Trả hàng Vietsun sáng 13/03</t>
  </si>
  <si>
    <t>Trả hàng Vietsun sáng 14/03</t>
  </si>
  <si>
    <t>Trả hàng Vietsun sáng 18/03</t>
  </si>
  <si>
    <t>Trả hàng NK sáng 19/03</t>
  </si>
  <si>
    <t>Trả hàng NK sáng 20/03</t>
  </si>
  <si>
    <t>Trả hàng NK sáng 22/03</t>
  </si>
  <si>
    <t>Trả hàng Vietsun sáng 23/03</t>
  </si>
  <si>
    <t>Đóng hàng XK sáng 24/03</t>
  </si>
  <si>
    <t>Trả hàng Vietsun sáng 26/03</t>
  </si>
  <si>
    <t>Trả hàng Vietsun sáng 27/03</t>
  </si>
  <si>
    <t>Trả hàng NK sáng 28/03</t>
  </si>
  <si>
    <t>Trả hàng NK sáng 30/03</t>
  </si>
  <si>
    <t>TCNU4785140</t>
  </si>
  <si>
    <t>GAOU6002110</t>
  </si>
  <si>
    <t>SFSU6998002</t>
  </si>
  <si>
    <t>GAOU2072356</t>
  </si>
  <si>
    <t>CAIU8488697</t>
  </si>
  <si>
    <t>MRKU7338138</t>
  </si>
  <si>
    <t>EITU0510395</t>
  </si>
  <si>
    <t>EISU9316108</t>
  </si>
  <si>
    <t>EISU2157961</t>
  </si>
  <si>
    <t>BSIU3138670</t>
  </si>
  <si>
    <t>CBHU8097727</t>
  </si>
  <si>
    <t>CAIU4674836</t>
  </si>
  <si>
    <t>TGHU7946635</t>
  </si>
  <si>
    <t>WBPU2022683</t>
  </si>
  <si>
    <t>GMDU8141501</t>
  </si>
  <si>
    <t>DFSU1497976</t>
  </si>
  <si>
    <t>SGRU2046286</t>
  </si>
  <si>
    <t>TCNU8418693</t>
  </si>
  <si>
    <t>SEGU5549435</t>
  </si>
  <si>
    <t>GCXU5070913</t>
  </si>
  <si>
    <t>TCNU4595514</t>
  </si>
  <si>
    <t>SPZU9857218</t>
  </si>
  <si>
    <t>TCLU1500966</t>
  </si>
  <si>
    <t>SEGU3032485</t>
  </si>
  <si>
    <t>Mai Lâm, Đông Anh, Hà Nội</t>
  </si>
  <si>
    <t>Kho Masan, Dị Sử, Hưng Yên</t>
  </si>
  <si>
    <t>Xuân Phương, Từ Liêm, Hà Nội</t>
  </si>
  <si>
    <t>KCN Đại An, Hải Dương</t>
  </si>
  <si>
    <t>Lạc Đạo, Văn Lâm, Hưng Yên</t>
  </si>
  <si>
    <t>Km12 Ngọc Hồi, Văn Điển, Thanh Trì, Hà Nội</t>
  </si>
  <si>
    <t>Phong Khê, Bắc Ninh</t>
  </si>
  <si>
    <t>Hồng Bàng, Hải Phòng</t>
  </si>
  <si>
    <t>Cổ Loa, Đông Anh, Hà Nội</t>
  </si>
  <si>
    <t>Tổng kho 6, Thanh Trì, Hà Nội</t>
  </si>
  <si>
    <t>cầu Bến Thủy, Hà Tĩnh</t>
  </si>
  <si>
    <t>Thanh toán tiền sửa xe 15C-139.82 (dây hơi mooc hộp, bát phanh)</t>
  </si>
  <si>
    <t>Thanh toán tiền sửa xe 15C-139.82 (sửa hơi mooc, thay 12 bát phanh, 6 quả lốc kê)</t>
  </si>
  <si>
    <t>Thanh toán tiền bơm mỡ xe</t>
  </si>
  <si>
    <t>Thanh toán tiền 01 quả lốp 11R20 GooDride M987 cho xe 15C-139.82</t>
  </si>
  <si>
    <t>Thanh toán tiền mua cút hơi, thay bát phanh đầu xe 15C-139.82 ngày 10/3</t>
  </si>
  <si>
    <t>Thanh toán tiền sửa xe 15C-139.82 ngày 11/3 (thay 2 đèn báo hãm mooc, thay 1 đèn báo hãm đầu kéo, thay 1 đèn sườn to)</t>
  </si>
  <si>
    <t>Thanh toán tiền cứu hộ đường 5 xe 15C-139.82 ngày 20/3</t>
  </si>
  <si>
    <t>THÁNG 04.2020</t>
  </si>
  <si>
    <t>Trả hàng sáng 02/04</t>
  </si>
  <si>
    <t>Trả hàng NK sáng 04/04</t>
  </si>
  <si>
    <t>Đóng hàng Vietsun chiều 06/04</t>
  </si>
  <si>
    <t>Trả hàng Vietsun sáng 07/04</t>
  </si>
  <si>
    <t>Đóng hàng chè sáng 08/04</t>
  </si>
  <si>
    <t>Đóng hàng chè sáng 22/04</t>
  </si>
  <si>
    <t>Trả hàng NK sáng 23/04</t>
  </si>
  <si>
    <t>Đóng hàng chè sáng 24/04</t>
  </si>
  <si>
    <t>Đóng hàng xỉ bọt sáng 25/04</t>
  </si>
  <si>
    <t>Trả hàng Vietsun sáng 29/04</t>
  </si>
  <si>
    <t>Trả hàng về kho DDC chiều 29/04</t>
  </si>
  <si>
    <t>TRHU2598950</t>
  </si>
  <si>
    <t>GAOU2133153</t>
  </si>
  <si>
    <t>TCKU6201472</t>
  </si>
  <si>
    <t>GAOU6143782</t>
  </si>
  <si>
    <t>PONU8195619</t>
  </si>
  <si>
    <t>FCIU9405864</t>
  </si>
  <si>
    <t>MAGU5599180</t>
  </si>
  <si>
    <t>WHSU5379341</t>
  </si>
  <si>
    <t>CAIU7981899</t>
  </si>
  <si>
    <t>OOCU7269158</t>
  </si>
  <si>
    <t>PKEU5041785</t>
  </si>
  <si>
    <t>KKFU7889074</t>
  </si>
  <si>
    <t>TCNU4834861</t>
  </si>
  <si>
    <t>FCIU3473054</t>
  </si>
  <si>
    <t>cầu Bình, Chí Linh, Hải Dương</t>
  </si>
  <si>
    <t>KCN Nguyễn Đức Cảnh, Thái Bình</t>
  </si>
  <si>
    <t>Dương Kinh, Hải Phòng</t>
  </si>
  <si>
    <t>Anh Phụng thanh toán tiền sửa xe 15C-139.82 ngày 10/4 (tán má phanh mooc, thay bi may ơ mooc, mua dầu rửa, mua mỡ may ơ mooc, công bảo dưỡng may ơ mooc)</t>
  </si>
  <si>
    <t>Kiểm định rơ mooc xe 15C-139.82</t>
  </si>
  <si>
    <t xml:space="preserve">Anh Phụng trả tiền bơm mỡ </t>
  </si>
  <si>
    <t>Anh Phụng mua nước lọc (pha nước làm mát)</t>
  </si>
  <si>
    <t>Lọc nhiên liệu P551858 xe 15C-139.82 ngày 29/4</t>
  </si>
  <si>
    <t>Thanh toán tiền lọc nhiên liệu P550821 xe 15C-139.82 ngày 29/4</t>
  </si>
  <si>
    <t>Thanh toán tiền lọc dầu nhớt</t>
  </si>
  <si>
    <t>Thanh toán tiền nước làm mát P502648 xe 15C-139.82</t>
  </si>
  <si>
    <t>Lọc nước làm mát P554073</t>
  </si>
  <si>
    <t>Thay dầu nhớt Total Rubia Tir 7400 15W-40</t>
  </si>
  <si>
    <t>THÁNG 05.2020</t>
  </si>
  <si>
    <t>Trả hàng Vietsun sáng 05/05</t>
  </si>
  <si>
    <t>Trả hàng NK sáng 06/05</t>
  </si>
  <si>
    <t>Đóng hàng chè sáng 07/05</t>
  </si>
  <si>
    <t>Đóng hàng chè sáng 09/05</t>
  </si>
  <si>
    <t>Trả hàng NK sáng 12/05</t>
  </si>
  <si>
    <t>Đóng hàng phân chiều 12/05 - 13/05</t>
  </si>
  <si>
    <t>Đóng hàng phân sáng 14/05</t>
  </si>
  <si>
    <t>Trả hàng Vietsun sáng 15/05</t>
  </si>
  <si>
    <t>Trả hàng NK sáng 18/05</t>
  </si>
  <si>
    <t>Trả hàng Vietsun sáng 21/05</t>
  </si>
  <si>
    <t>Đóng hàng phân sáng 24/05</t>
  </si>
  <si>
    <t>Đóng hàng phân sáng 25/05</t>
  </si>
  <si>
    <t>Trả hàng NK sáng 26/05</t>
  </si>
  <si>
    <t>Đóng hàng phân chiều 26 - 27/05</t>
  </si>
  <si>
    <t>Đóng hàng KH chiều 27/05</t>
  </si>
  <si>
    <t>Trả hàng NK sáng 29/05</t>
  </si>
  <si>
    <t>Trả hàng Vietsun sáng 30/05</t>
  </si>
  <si>
    <t>05/05/20</t>
  </si>
  <si>
    <t>06/05/20</t>
  </si>
  <si>
    <t>07/05/20</t>
  </si>
  <si>
    <t>08/05/20</t>
  </si>
  <si>
    <t>09/05/20</t>
  </si>
  <si>
    <t>12/05/20</t>
  </si>
  <si>
    <t>14/05/20</t>
  </si>
  <si>
    <t>15/05/20</t>
  </si>
  <si>
    <t>16/05/20</t>
  </si>
  <si>
    <t>18/05/20</t>
  </si>
  <si>
    <t>19/05/20</t>
  </si>
  <si>
    <t>20/05/20</t>
  </si>
  <si>
    <t>21/05/20</t>
  </si>
  <si>
    <t>24/05/20</t>
  </si>
  <si>
    <t>25/05/20</t>
  </si>
  <si>
    <t>26/05/20</t>
  </si>
  <si>
    <t>27/05/20</t>
  </si>
  <si>
    <t>28/05/20</t>
  </si>
  <si>
    <t>29/05/20</t>
  </si>
  <si>
    <t>30/05/20</t>
  </si>
  <si>
    <t>TCNU4595854</t>
  </si>
  <si>
    <t>NLLU9502464</t>
  </si>
  <si>
    <t>WHSU5211487</t>
  </si>
  <si>
    <t>TCKU6567883</t>
  </si>
  <si>
    <t>TEMU8605842</t>
  </si>
  <si>
    <t>YMLU8604926</t>
  </si>
  <si>
    <t>MRKU7784654</t>
  </si>
  <si>
    <t>DFSU6958772</t>
  </si>
  <si>
    <t>TCNU6722834</t>
  </si>
  <si>
    <t>TRLU9187522</t>
  </si>
  <si>
    <t>TACU4002836</t>
  </si>
  <si>
    <t>DRYU9959956</t>
  </si>
  <si>
    <t>GLDU9510120</t>
  </si>
  <si>
    <t>DRYU2242304</t>
  </si>
  <si>
    <t>CSNU7691990</t>
  </si>
  <si>
    <t>TCKU3242586</t>
  </si>
  <si>
    <t>YMLU8760430</t>
  </si>
  <si>
    <t>DRYU9969609</t>
  </si>
  <si>
    <t>Gia Lâm, Hà Nội</t>
  </si>
  <si>
    <t>Bình Giang, Hải Dương</t>
  </si>
  <si>
    <t>Quán Triều, Thái Nguyên</t>
  </si>
  <si>
    <t>Đông Anh, Hà Nội - Văn Điển, Hà Nội</t>
  </si>
  <si>
    <t>Đóng hàng chè sáng 01/06</t>
  </si>
  <si>
    <t>Đóng hàng chè chiều 02/06</t>
  </si>
  <si>
    <t>Trả hàng Vietsun sáng 03/06</t>
  </si>
  <si>
    <t>Đóng hàng chiều 04/06</t>
  </si>
  <si>
    <t>Đóng hàng XK sáng 05/06</t>
  </si>
  <si>
    <t>Đóng hàng XK sáng 06/06</t>
  </si>
  <si>
    <t>Đóng hàng chè sáng 08/06</t>
  </si>
  <si>
    <t>Đóng hàng phân sáng 09/06</t>
  </si>
  <si>
    <t>Đóng hàng phân sáng 11/06</t>
  </si>
  <si>
    <t>Đóng hàng chè sáng 12/06</t>
  </si>
  <si>
    <t>Đóng hàng chiều 13/06</t>
  </si>
  <si>
    <t>Đóng hàng phân chiều 16/06</t>
  </si>
  <si>
    <t>Đóng hàng chè sáng 18/06</t>
  </si>
  <si>
    <t>Trả hàng Vietsun sáng 19/06</t>
  </si>
  <si>
    <t>Đóng hàng KH sáng 20/06</t>
  </si>
  <si>
    <t>Trả hàng Vietsun sáng 23/06</t>
  </si>
  <si>
    <t>Đóng hàng XK sáng 24/06</t>
  </si>
  <si>
    <t>Trả hàng Vietsun sáng 25/06</t>
  </si>
  <si>
    <t>Đóng hàng phân chiều 25/06</t>
  </si>
  <si>
    <t>Trả hàng NK đêm 26/06</t>
  </si>
  <si>
    <t>Đóng hàng KH sáng 27/06</t>
  </si>
  <si>
    <t>Đóng hàng chè sáng 30/06</t>
  </si>
  <si>
    <t>TGHU9846208</t>
  </si>
  <si>
    <t>TCNU3969950</t>
  </si>
  <si>
    <t>GAOU6145445</t>
  </si>
  <si>
    <t>DRYU9202140</t>
  </si>
  <si>
    <t>GAOU6118218</t>
  </si>
  <si>
    <t>N/A</t>
  </si>
  <si>
    <t>YMLU8729604</t>
  </si>
  <si>
    <t>OCGU2054184</t>
  </si>
  <si>
    <t>OOLU8624567</t>
  </si>
  <si>
    <t>EISU2002830</t>
  </si>
  <si>
    <t>SEGU6789343</t>
  </si>
  <si>
    <t>BMOU5392349</t>
  </si>
  <si>
    <t>PONU0247465</t>
  </si>
  <si>
    <t>CAIU4674820</t>
  </si>
  <si>
    <t>GAOU6037965</t>
  </si>
  <si>
    <t>DRYU9592367</t>
  </si>
  <si>
    <t>DRYU9957510</t>
  </si>
  <si>
    <t>TGHU5316982</t>
  </si>
  <si>
    <t>DRYU9718080</t>
  </si>
  <si>
    <t>MSKU7465540</t>
  </si>
  <si>
    <t>TCNU8152957</t>
  </si>
  <si>
    <t>TEMU8137612</t>
  </si>
  <si>
    <t>01/06/2020</t>
  </si>
  <si>
    <t>02/06/2020</t>
  </si>
  <si>
    <t>03/06/2020</t>
  </si>
  <si>
    <t>04/06/2020</t>
  </si>
  <si>
    <t>05/06/2020</t>
  </si>
  <si>
    <t>06/06/2020</t>
  </si>
  <si>
    <t>08/06/2020</t>
  </si>
  <si>
    <t>09/06/2020</t>
  </si>
  <si>
    <t>10/06/2020</t>
  </si>
  <si>
    <t>11/06/2020</t>
  </si>
  <si>
    <t>12/06/2020</t>
  </si>
  <si>
    <t>13/06/2020</t>
  </si>
  <si>
    <t>16/06/2020</t>
  </si>
  <si>
    <t>17/06/2020</t>
  </si>
  <si>
    <t>18/06/2020</t>
  </si>
  <si>
    <t>19/06/2020</t>
  </si>
  <si>
    <t>20/06/2020</t>
  </si>
  <si>
    <t>23/06/2020</t>
  </si>
  <si>
    <t>24/06/2020</t>
  </si>
  <si>
    <t>25/06/2020</t>
  </si>
  <si>
    <t>26/06/2020</t>
  </si>
  <si>
    <t>27/06/2020</t>
  </si>
  <si>
    <t>30/06/2020</t>
  </si>
  <si>
    <t>???, Bắc Ninh</t>
  </si>
  <si>
    <t>KCN Hà Bình Phương, Thường Tín, Hà Nội</t>
  </si>
  <si>
    <t>Đường 61, Hồng Nam, TP. Hưng Yên</t>
  </si>
  <si>
    <t>Linh Đường, Hoàng Mai, Hà Nội</t>
  </si>
  <si>
    <t>Đống Đa, Hà Nội</t>
  </si>
  <si>
    <t>Ninh Hiệp, Hà Nội</t>
  </si>
  <si>
    <t>Thanh toán tiền sửa xe 15C-139.82 ngày 9/6 (thay 1 cổ góp quạt gió, công làm)</t>
  </si>
  <si>
    <t>Chỉ thanh toán 50% do anh lái xe thay không báo</t>
  </si>
  <si>
    <t>Thanh toán tiền sửa xe 15C-139.82 ngày 20/03 (Đắp dáu vè ắcquy trong ngoài, bả sơn vè ắcquy L)</t>
  </si>
  <si>
    <t>THÁNG 06.2020</t>
  </si>
  <si>
    <t>Hải Đăng hủy kế hoạch, lưu ca 500k</t>
  </si>
  <si>
    <t>Thanh toán tiền sửa xe 15C-139.82 ngày 02/06 ( lấy 0/1 dàn nóng Movfor)</t>
  </si>
  <si>
    <t>THÁNG 07.2020</t>
  </si>
  <si>
    <t>Đóng hàng phân sáng 01/07</t>
  </si>
  <si>
    <t>Đóng hàng phân sáng 02/07</t>
  </si>
  <si>
    <t>Trả hàng NK sáng 03/07</t>
  </si>
  <si>
    <t>Trả hàng Vietsun chiều 07/07</t>
  </si>
  <si>
    <t>Đóng hàng phân trả 08/07</t>
  </si>
  <si>
    <t>Đóng hàng phân sáng 10/07</t>
  </si>
  <si>
    <t>Đóng hàng chè sáng 13/07</t>
  </si>
  <si>
    <t>Trả hàng Vietsun sáng 14/07</t>
  </si>
  <si>
    <t>Trả hàng NK sáng 15/07</t>
  </si>
  <si>
    <t>Trả hàng NK sáng 16/07</t>
  </si>
  <si>
    <t>Đóng hàng chè chiều 16/07</t>
  </si>
  <si>
    <t>Đóng hàng XK chiều 17/07</t>
  </si>
  <si>
    <t>Đóng hàng chè sáng 18/07</t>
  </si>
  <si>
    <t>Trả hàng NK sáng 19/07</t>
  </si>
  <si>
    <t>Trả hàng Vietsun sáng 20/07</t>
  </si>
  <si>
    <t>Đóng hàng XK sáng 24/07</t>
  </si>
  <si>
    <t>Đóng hàng phân chiều 25/07</t>
  </si>
  <si>
    <t>Đóng hàng XK sáng 30/07</t>
  </si>
  <si>
    <t>EITU0410014</t>
  </si>
  <si>
    <t>EGHU3585674</t>
  </si>
  <si>
    <t>CSLU6150417</t>
  </si>
  <si>
    <t>OOLU9510790</t>
  </si>
  <si>
    <t>DRYU9705817</t>
  </si>
  <si>
    <t>MSKU1580104</t>
  </si>
  <si>
    <t>EISU3993082</t>
  </si>
  <si>
    <t>NYKU4760546</t>
  </si>
  <si>
    <t>TCNU8846860</t>
  </si>
  <si>
    <t>TEMU7934308</t>
  </si>
  <si>
    <t>EITU1371714</t>
  </si>
  <si>
    <t>SEGU4944076</t>
  </si>
  <si>
    <t>FFAU1118979</t>
  </si>
  <si>
    <t>BEAU4603083</t>
  </si>
  <si>
    <t>DFSU1782211</t>
  </si>
  <si>
    <t>DRYU9957505</t>
  </si>
  <si>
    <t>WHSU2510822</t>
  </si>
  <si>
    <t>TCNU5480274</t>
  </si>
  <si>
    <t>MSKU7043885</t>
  </si>
  <si>
    <t>TEMU3530611</t>
  </si>
  <si>
    <t>YMLU8653480</t>
  </si>
  <si>
    <t>SEGU2147685</t>
  </si>
  <si>
    <t>Thanh Trì, Hà Nội</t>
  </si>
  <si>
    <t>Thanh Giang, Thanh Miện, Hải Dương</t>
  </si>
  <si>
    <t>TT Đông Anh, Hà Nội</t>
  </si>
  <si>
    <t>Quỳ Hợp, Nghệ An</t>
  </si>
  <si>
    <t>Thanh toán tiền lốp 1 quả Good Ride 11.00-20 cho xe 15C-139.82</t>
  </si>
  <si>
    <t>Thanh toán tiền nhớt máy xe 15C-139.82 ngày 22/07/2020</t>
  </si>
  <si>
    <t>Thanh toán tiền dầu xe 15C-139.82 ngày 22/07/2020</t>
  </si>
  <si>
    <t>Thanh toán tiền sửa xe 15C-139.82 ngày 25/07( thay lốc lạnh, phin lọc ga, bơm ga+ dầu lạnh, công thợ)</t>
  </si>
  <si>
    <t>Thanh toán tiền thay 02 lốp Deestone 295/75R22.5 gai lái xe 15C-139.82 ngày 25/07</t>
  </si>
  <si>
    <t>Thanh toán tiền sửa xe 15C-139.82 ngày 23/07 (Nhớt máy, lọc nhớt, xử lý chảy dầu)</t>
  </si>
  <si>
    <t>Thanh toán tiền bơm mỡ xe 15C-139.82 ngày 29/07</t>
  </si>
  <si>
    <t>Thanh toán tiền sửa xe 15C-139.82 ngày 31/7 (Thay 02 cút măng xông ống phi 16-&gt;20, 2 cút tàn táo ( phi 6,10,12) )</t>
  </si>
  <si>
    <t>TT tiền sửa xe 15C-139.82 ngày 25/07  (Mua lắp may ơ lái, công thay)</t>
  </si>
  <si>
    <t>THÁNG 08.2020</t>
  </si>
  <si>
    <t>Đóng hàng XK sáng 01/08</t>
  </si>
  <si>
    <t>Trả hàng NK sáng 02/08</t>
  </si>
  <si>
    <t>Trả hàng Vietsun sáng 03/08</t>
  </si>
  <si>
    <t>Đóng hàng phân sáng 05/08</t>
  </si>
  <si>
    <t>Đóng hàng phân sáng 06/08</t>
  </si>
  <si>
    <t>Trả hàng Vietsun sáng 11/08</t>
  </si>
  <si>
    <t>Trả hàng Vietsun sáng 13/08</t>
  </si>
  <si>
    <t>Trả hàng NK sáng 14/08</t>
  </si>
  <si>
    <t>Đóng hàng phân sáng 19/08</t>
  </si>
  <si>
    <t>Trả hàng NK sáng 20/08</t>
  </si>
  <si>
    <t>Trả hàng NK sáng 21/08</t>
  </si>
  <si>
    <t>Trả hàng NK chiều 22/08</t>
  </si>
  <si>
    <t>Đóng hàng KH chiều 24/08</t>
  </si>
  <si>
    <t>Trả hàng Vietsun sáng 25/08</t>
  </si>
  <si>
    <t>Trả hàng Vietsun sáng 26/08</t>
  </si>
  <si>
    <t>Trả hàng Vietsun sáng 31/08</t>
  </si>
  <si>
    <t>SNBU4134687</t>
  </si>
  <si>
    <t>BSIU2950864</t>
  </si>
  <si>
    <t>GAOU6143519</t>
  </si>
  <si>
    <t>MAGU2425333</t>
  </si>
  <si>
    <t>DFSU1311891</t>
  </si>
  <si>
    <t>GLDU5754200</t>
  </si>
  <si>
    <t>OOCU7322545</t>
  </si>
  <si>
    <t>DRYU9957573</t>
  </si>
  <si>
    <t>DRYU9957110</t>
  </si>
  <si>
    <t>WHSU5863736</t>
  </si>
  <si>
    <t>DRYU9958203</t>
  </si>
  <si>
    <t>BMOU6390248</t>
  </si>
  <si>
    <t>TEMU8534380</t>
  </si>
  <si>
    <t>FFAU1317728</t>
  </si>
  <si>
    <t>SUDU7983688</t>
  </si>
  <si>
    <t>SMCU1021668</t>
  </si>
  <si>
    <t>SMCU1170152</t>
  </si>
  <si>
    <t>TCNU4213904</t>
  </si>
  <si>
    <t>GAOU6145738</t>
  </si>
  <si>
    <t>DRYU9958311</t>
  </si>
  <si>
    <t>DRYU9877380</t>
  </si>
  <si>
    <t>HDMU6530648</t>
  </si>
  <si>
    <t>WHLU5772461</t>
  </si>
  <si>
    <t>TCNU5802386</t>
  </si>
  <si>
    <t>Thôn An Chiểu 2, Liên Phương, Hưng Yên</t>
  </si>
  <si>
    <t>Yên Viên, Gia Lâm, Hà Nội</t>
  </si>
  <si>
    <t>Đức Giang, Long Biên, Hà Nội</t>
  </si>
  <si>
    <t>KCN Bá Thiện 2, Bình Xuyên, Vĩnh Phúc</t>
  </si>
  <si>
    <t>xã Phương Tú, Ứng Hòa, Hà Nội</t>
  </si>
  <si>
    <t>Traphaco, Hoàng Liệt, Hoàng Mai, Hà Nội</t>
  </si>
  <si>
    <t>Thanh toán tiền sửa xe 15C-139.82 ngày 09/8 (Thay môtơ khiển giá trong, ngoài)</t>
  </si>
  <si>
    <t>Thanh toán tiền mua dây coroa 8PK 2020 xe 15C-139.82</t>
  </si>
  <si>
    <t>Thanh toán tiền thay ống lạnh xe 15C-139.82 ngày 17/08</t>
  </si>
  <si>
    <t>Thanh toán tiền sửa xe 15C-139.82 ngày 14/08( Phớt ly tâm cánh quạt, công thợ)</t>
  </si>
  <si>
    <t>Thanh toán tiền sửa xe 15C-139.82 ngày 27/8( Thay khóa, cửa, lái+ công)</t>
  </si>
  <si>
    <t>Thay con tăng dây cu-roa + công thay 17/08</t>
  </si>
  <si>
    <t>THÁNG 09.2020</t>
  </si>
  <si>
    <t>Trả hàng Vietsun sáng 03/09</t>
  </si>
  <si>
    <t>Trả hàng đường ngắn 03/09</t>
  </si>
  <si>
    <t>Trả hàng Vietsun sáng 04/09</t>
  </si>
  <si>
    <t>Đóng hàng xỉ bọt sáng 05/09</t>
  </si>
  <si>
    <t>Trả hàng Vietsun sáng 08/09</t>
  </si>
  <si>
    <t>Trả hàng NK chiều 08/09</t>
  </si>
  <si>
    <t>Đóng hàng chè sáng 10/09</t>
  </si>
  <si>
    <t>Đóng hàng chè sáng 11/09</t>
  </si>
  <si>
    <t>Trả hàng sáng 14/09</t>
  </si>
  <si>
    <t>Đóng hàng KH chiều 14/09</t>
  </si>
  <si>
    <t>Đóng hàng XK sáng 15/09</t>
  </si>
  <si>
    <t>Trả hàng NK sáng 16/09</t>
  </si>
  <si>
    <t>Đóng hàng chè sáng 17/09</t>
  </si>
  <si>
    <t>Trả hàng Vietsun sáng 18/09</t>
  </si>
  <si>
    <t>Đóng hàng chè sáng 19/09</t>
  </si>
  <si>
    <t>Đóng hàng XK sáng 22/09</t>
  </si>
  <si>
    <t>Trả hàng NK tối 23/09</t>
  </si>
  <si>
    <t>Trả hàng NK sáng 24/09</t>
  </si>
  <si>
    <t>Đóng hàng XK sáng 26/09</t>
  </si>
  <si>
    <t>Trả hàng NK sáng 27/09</t>
  </si>
  <si>
    <t>Đóng hàng chè sáng 29/09</t>
  </si>
  <si>
    <t>Trả hàng NK sáng 30/09</t>
  </si>
  <si>
    <t>Đóng hàng KH chiều 30/09 trả 01/10</t>
  </si>
  <si>
    <t>EGHU3278934</t>
  </si>
  <si>
    <t>DRYU9593152</t>
  </si>
  <si>
    <t>GCXU5077245</t>
  </si>
  <si>
    <t>OOLU7806171</t>
  </si>
  <si>
    <t>CXDU1363465</t>
  </si>
  <si>
    <t>GAOU6143308</t>
  </si>
  <si>
    <t>DFSU4365778</t>
  </si>
  <si>
    <t>TCNU6591143</t>
  </si>
  <si>
    <t>TCLU5687496</t>
  </si>
  <si>
    <t>MSCU9920222</t>
  </si>
  <si>
    <t>DRYU9589912</t>
  </si>
  <si>
    <t>TCLU3911755</t>
  </si>
  <si>
    <t>TCNU8540551</t>
  </si>
  <si>
    <t>TLLU6169503</t>
  </si>
  <si>
    <t>FBLU0217555</t>
  </si>
  <si>
    <t>GAOU6505578</t>
  </si>
  <si>
    <t>OOCU7426616</t>
  </si>
  <si>
    <t>OOCU7071901</t>
  </si>
  <si>
    <t>GLDU7099200</t>
  </si>
  <si>
    <t>APHU7088411</t>
  </si>
  <si>
    <t>CAIU9733042</t>
  </si>
  <si>
    <t>BEAU4357760</t>
  </si>
  <si>
    <t>TEMU8535998</t>
  </si>
  <si>
    <t>IMTU9077885</t>
  </si>
  <si>
    <t>TCNU4203280</t>
  </si>
  <si>
    <t>TCNU2554795</t>
  </si>
  <si>
    <t>NYKU4065230</t>
  </si>
  <si>
    <t>TCNU6008072</t>
  </si>
  <si>
    <t>Kho 89 Vạn Mỹ, Hải Phòng</t>
  </si>
  <si>
    <t>KCN Tân Liên, Vĩnh Bảo, Hải Phòng</t>
  </si>
  <si>
    <t>Văn Môn, Yên Phong, Bắc Ninh</t>
  </si>
  <si>
    <t>Quỳnh Phụ, Thái Bình</t>
  </si>
  <si>
    <t>Văn Giang, Hưng Yên</t>
  </si>
  <si>
    <t>Thanh Oai, Hà Nội</t>
  </si>
  <si>
    <t>Hoàn</t>
  </si>
  <si>
    <t xml:space="preserve">Thanh toán tiền sửa xe 15C-139.82 ngày 14/09 (Thay xăm cũ) </t>
  </si>
  <si>
    <t>Thanh toán tiền bơm mỡ xe 15C-139.82 ngày 15/9</t>
  </si>
  <si>
    <t>Chi tiền thưởng mùng 2/9</t>
  </si>
  <si>
    <t>THÁNG 10.2020</t>
  </si>
  <si>
    <t>Trả hàng Vietsun sáng 02/10</t>
  </si>
  <si>
    <t>Trả hàng NK sáng 03/10</t>
  </si>
  <si>
    <t>Trả hàng Vietsun sáng 05/10</t>
  </si>
  <si>
    <t>Đóng hàng phân sáng 06/10</t>
  </si>
  <si>
    <t>Trả hàng NK sáng 07/10</t>
  </si>
  <si>
    <t>Trả hàng Vietsun sáng 09/10</t>
  </si>
  <si>
    <t>Đóng hàng KH sáng 13/10</t>
  </si>
  <si>
    <t>Đóng hàng chè sáng 14/10</t>
  </si>
  <si>
    <t>Trả hàng NK sáng 16/10</t>
  </si>
  <si>
    <t>Trả hàng NK đêm 16/10</t>
  </si>
  <si>
    <t>Trả hàng Vietsun sáng 19/10</t>
  </si>
  <si>
    <t>Đóng hàng chè sáng 21/10</t>
  </si>
  <si>
    <t>Trả hàng Vietsun sáng 22/10</t>
  </si>
  <si>
    <t>Trả hàng NK sáng 23/10</t>
  </si>
  <si>
    <t>Đóng hàng XK sáng 24/10</t>
  </si>
  <si>
    <t>Đóng hàng chè chiều 28/10</t>
  </si>
  <si>
    <t>Trả hàng Vietsun sáng 29/10</t>
  </si>
  <si>
    <t>Đóng hàng XK sáng 30/10</t>
  </si>
  <si>
    <t>Trả hàng NK sáng 31/10</t>
  </si>
  <si>
    <t>OOLU7828735</t>
  </si>
  <si>
    <t>TCNU6603291</t>
  </si>
  <si>
    <t>TCLU8931184</t>
  </si>
  <si>
    <t>EGSU3099742</t>
  </si>
  <si>
    <t>EMCU5390320</t>
  </si>
  <si>
    <t>TCNU4755504</t>
  </si>
  <si>
    <t>DRYU9957188</t>
  </si>
  <si>
    <t>TCKU7531191</t>
  </si>
  <si>
    <t>MOFU1404162</t>
  </si>
  <si>
    <t>WHSU2285681</t>
  </si>
  <si>
    <t>TGHU9615913</t>
  </si>
  <si>
    <t>STXU4544000</t>
  </si>
  <si>
    <t>TGCU0116582</t>
  </si>
  <si>
    <t>WHSU2137431</t>
  </si>
  <si>
    <t>GLDU7704785</t>
  </si>
  <si>
    <t>GLDU7660748</t>
  </si>
  <si>
    <t>BEAU4805546</t>
  </si>
  <si>
    <t>EISU9337944</t>
  </si>
  <si>
    <t>WBPU7062740</t>
  </si>
  <si>
    <t>TGBU5564190</t>
  </si>
  <si>
    <t>TEMU8784136</t>
  </si>
  <si>
    <t>GAOU6143273</t>
  </si>
  <si>
    <t>BMOU6860362</t>
  </si>
  <si>
    <t>DFSU6450312</t>
  </si>
  <si>
    <t>BV Phụ sản Hải Phòng</t>
  </si>
  <si>
    <t>Thác Bà, Yên Bái</t>
  </si>
  <si>
    <t>Thanh Chương, Nghệ An</t>
  </si>
  <si>
    <t>KCN Hải Hà, Móng Cái, Quảng Ninh</t>
  </si>
  <si>
    <t>KCN Tràng Duệ, Hải Phòng</t>
  </si>
  <si>
    <t>Thanh toán tiền mua 2 ắc quy xe 15C-139.82</t>
  </si>
  <si>
    <t>Thanh toán phí sử dụng đường bộ xe 15C-139.82</t>
  </si>
  <si>
    <t>Chi tiền cho nhân viên đăng kiểm 15C-139.82</t>
  </si>
  <si>
    <t>Thanh toán tiền thay 1 quả lốp cũ đầu kéo xe 15C-139.82 ngày 27/10</t>
  </si>
  <si>
    <t>TT tiền sửa xe 15C-139.82 ngày 15/10( Tán phanh đầu kéo, con lăn má phanh, bộ cần trên, bạc nhíp, gia công bạc tay giằng, công)</t>
  </si>
  <si>
    <t>THÁNG 11.2020</t>
  </si>
  <si>
    <t>Trả hàng Vietsun sáng 02/11</t>
  </si>
  <si>
    <t>Đóng hàng chè chiều 02/11</t>
  </si>
  <si>
    <t>Đóng hàng chè sáng 04/11</t>
  </si>
  <si>
    <t>Đóng hàng chè sáng 09/11</t>
  </si>
  <si>
    <t>Đóng hàng chè sáng 14/11</t>
  </si>
  <si>
    <t>Đóng hàng chè chiều 16/11</t>
  </si>
  <si>
    <t>Trả hàng NK sáng 18/11</t>
  </si>
  <si>
    <t>Đóng hàng KH chiều 18/11</t>
  </si>
  <si>
    <t>Đóng hàng chè sáng 19/11</t>
  </si>
  <si>
    <t>Đóng hàng chè sáng 20/11</t>
  </si>
  <si>
    <t>Trả hàng NK sáng 21/11</t>
  </si>
  <si>
    <t>Đóng hàng chè sáng 23/11</t>
  </si>
  <si>
    <t>Đóng hàng chè sáng 24/11</t>
  </si>
  <si>
    <t>Trả hàng NK sáng 25/11</t>
  </si>
  <si>
    <t>Trả hàng Vietsun sáng 26/11</t>
  </si>
  <si>
    <t>Trả hàng Vietsun sáng 27/11</t>
  </si>
  <si>
    <t>Đóng hàng chè sáng 28/11</t>
  </si>
  <si>
    <t>HDMU6580398</t>
  </si>
  <si>
    <t>BMOU5699063</t>
  </si>
  <si>
    <t>TCLU8594000</t>
  </si>
  <si>
    <t>BMOU6485554</t>
  </si>
  <si>
    <t>TCLU6252380</t>
  </si>
  <si>
    <t>CAIU7678434</t>
  </si>
  <si>
    <t>TCKU6181334</t>
  </si>
  <si>
    <t>SEGU5263740</t>
  </si>
  <si>
    <t>TCLU8001948</t>
  </si>
  <si>
    <t>TCNU9150732</t>
  </si>
  <si>
    <t>SEGU6186463</t>
  </si>
  <si>
    <t>TEMU8829204</t>
  </si>
  <si>
    <t>BEAU4471536</t>
  </si>
  <si>
    <t>TCKU9316135</t>
  </si>
  <si>
    <t>SKLU1985937</t>
  </si>
  <si>
    <t>CAIU4277799</t>
  </si>
  <si>
    <t>SEGU4334284</t>
  </si>
  <si>
    <t>MRKU4254413</t>
  </si>
  <si>
    <t>DRYU9591930</t>
  </si>
  <si>
    <t>TGBU5950167</t>
  </si>
  <si>
    <t>FBLU0240621</t>
  </si>
  <si>
    <t>KCN Phúc Sơn, Ninh Bình</t>
  </si>
  <si>
    <t>Lĩnh Nam, Mai Động, Hoàng Mai, Hà Nội</t>
  </si>
  <si>
    <t>Trả tiền sửa xe: mua dây cấp dầu từ bình vào lọc + công thay xe 15C-139.82 (06/11)</t>
  </si>
  <si>
    <t>Thanh toán tiền cứu hộ lốp tối xe 15C-139.82 ngày 18/11</t>
  </si>
  <si>
    <t>Thanh toán tiền mua lốp Goodride 295/75R22.5 Tuấn Hưng xe 15C-139.82 ngày 18/11</t>
  </si>
  <si>
    <t>Thanh toán tiền sửa xe 15C-139.82 ngày 30/11 (Lọc nhớt Maxxyorce, lọc tinh, ly tâm, lọc tách nước)</t>
  </si>
  <si>
    <t>Thu lại 300k</t>
  </si>
  <si>
    <t>Thanh toán tiền dầu nhớt Total 20w-50CI-4 cho xe 15C-139.82 tháng 11/20</t>
  </si>
  <si>
    <t>Đóng hàng chè sáng 03/12</t>
  </si>
  <si>
    <t>Đóng hàng XK sáng 04/12</t>
  </si>
  <si>
    <t>Trả hàng Vietsun sáng 05/12</t>
  </si>
  <si>
    <t>Đóng hàng XK sáng 07/12</t>
  </si>
  <si>
    <t>Đóng hàng phân sáng 08/12</t>
  </si>
  <si>
    <t>Trả hàng Vietsun sáng 09/12</t>
  </si>
  <si>
    <t>Trả hàng Vietsun sáng 15/12</t>
  </si>
  <si>
    <t>Trả hàng NK sáng 16 - 17/12</t>
  </si>
  <si>
    <t>Trả hàng Vietsun sáng 18/12 - 19/12</t>
  </si>
  <si>
    <t>Trả hàng Vietsun sáng 21/12</t>
  </si>
  <si>
    <t>Đóng hàng chè chiều 24/12</t>
  </si>
  <si>
    <t>Trả hàng Vietsun sáng 28/12</t>
  </si>
  <si>
    <t>Đóng hàng Vietsun chiều 28/12</t>
  </si>
  <si>
    <t>Đóng hàng chè sáng 29/12</t>
  </si>
  <si>
    <t>Đóng hàng XK sáng 30/12</t>
  </si>
  <si>
    <t>Trả hàng NK sáng 31/12</t>
  </si>
  <si>
    <t>WHSU2325423</t>
  </si>
  <si>
    <t>BMOU5133590</t>
  </si>
  <si>
    <t>ZCSU8600505</t>
  </si>
  <si>
    <t>TCNU4595242</t>
  </si>
  <si>
    <t>TCLU3780038</t>
  </si>
  <si>
    <t>EGHU3914018</t>
  </si>
  <si>
    <t>MSKU4005388</t>
  </si>
  <si>
    <t>YMLU8720084</t>
  </si>
  <si>
    <t>GLDU5464453</t>
  </si>
  <si>
    <t>BMOU3173526</t>
  </si>
  <si>
    <t>TEMU8616019</t>
  </si>
  <si>
    <t>TCNU4595936</t>
  </si>
  <si>
    <t>DRYU9591308</t>
  </si>
  <si>
    <t>PASU2017136</t>
  </si>
  <si>
    <t>GAOU6145527</t>
  </si>
  <si>
    <t>AMFU8671020</t>
  </si>
  <si>
    <t>SITU9052846</t>
  </si>
  <si>
    <t>NYKU5758409</t>
  </si>
  <si>
    <t>FCIU7122021</t>
  </si>
  <si>
    <t>TCNU4785010</t>
  </si>
  <si>
    <t>DRYU9878155</t>
  </si>
  <si>
    <t>MRKU5037963</t>
  </si>
  <si>
    <t>TEMU8620739</t>
  </si>
  <si>
    <t>TGBU5417292</t>
  </si>
  <si>
    <t>An Dương, Hải Phòng - Yên Mỹ, Hưng Yên</t>
  </si>
  <si>
    <t>TT Bần, Yên Mỹ, Hưng Yên</t>
  </si>
  <si>
    <t>Kho Aqua, Hà Bình Phương, Thường Tín, Hà Nội</t>
  </si>
  <si>
    <t>xã Đại Đồng, Văn Lâm, Hưng Yên - Phủ Lý, Hà Nam</t>
  </si>
  <si>
    <t>43 Tô Hiệu, P. Ngô Quyền, TP. Nam Định</t>
  </si>
  <si>
    <t>Kho 64 Hoa Lâm, Long Biên, Hà Nội</t>
  </si>
  <si>
    <t>Thanh Ba, Phú Thọ+Mỹ Bằng, Yên Sơn, Tuyên Quang</t>
  </si>
  <si>
    <t>Đường Trường Chinh, TP. Hải Dương</t>
  </si>
  <si>
    <t>An Đồng, An Dương, Hải Phòng</t>
  </si>
  <si>
    <t>CCN Bình Lục, Bình Lục, Hà Nam</t>
  </si>
  <si>
    <t>Mua 02 ốp khóa cửa xe 15C-139.82</t>
  </si>
  <si>
    <t>Mua bơm nước rửa kính xe 15C-139.82</t>
  </si>
  <si>
    <t xml:space="preserve">Chi tiền thưởng tết dương </t>
  </si>
  <si>
    <t>Thay giảm xóc lái B phụ, thay giảm xóc tải, thay đế bóng hơi xe 15C-139.82 ngày 27/12</t>
  </si>
  <si>
    <t>Mua tổng côn trên + dầu + công xe 15C-139.82 ngày 24/12</t>
  </si>
  <si>
    <t>THÁNG 12.2020</t>
  </si>
  <si>
    <t>Tháng 1</t>
  </si>
  <si>
    <t>Mua  hộp chì tạm cho lái xe 15C-139.82</t>
  </si>
  <si>
    <t>Thanh toán tiền sửa xe 15C-139.82 ngày 28/12 ( thay 2 bát phanh lốc kê)</t>
  </si>
  <si>
    <t>Thanh toán tiền sửa xe 15C-139.82 ngày 27/12 ( Thay lương BĐS, hàu dáu mặt BĐS, hàu dáu vè dầu, bả sơn BĐS, vè dầu)</t>
  </si>
  <si>
    <t>THÁNG 01.2021</t>
  </si>
  <si>
    <t>Trả hàng Vietsun sáng 05/01</t>
  </si>
  <si>
    <t>Đóng hàng chè sáng 08/01</t>
  </si>
  <si>
    <t>Đóng hàng XK sáng 09/01</t>
  </si>
  <si>
    <t>Đóng hàng chè sáng 12/02</t>
  </si>
  <si>
    <t>Trả hàng NK sáng 13/01</t>
  </si>
  <si>
    <t>Trả hàng Vietsun sáng 15/01</t>
  </si>
  <si>
    <t>Trả hàng NK sáng 19/01</t>
  </si>
  <si>
    <t>Đóng hàng KH chiều 19/01</t>
  </si>
  <si>
    <t>Đóng hàng XK sáng 20/01</t>
  </si>
  <si>
    <t>Trả hàng Vietsun sáng 23/01</t>
  </si>
  <si>
    <t>Trả hàng Vietsun sáng 25/01</t>
  </si>
  <si>
    <t>Trả hàng NK sáng 26/01</t>
  </si>
  <si>
    <t>Trả hàng NK sáng 28/01</t>
  </si>
  <si>
    <t>Trả hàng NK sáng 29/01</t>
  </si>
  <si>
    <t>Đóng hàng chè sáng 30/01</t>
  </si>
  <si>
    <t>Cargill, KCN Đồng Văn, Hà Nam</t>
  </si>
  <si>
    <t>KCN Bảo Minh, Vụ Bản, Nam Định</t>
  </si>
  <si>
    <t>Đại Cương, Kim Bảng, Hà Nam</t>
  </si>
  <si>
    <t>Phường Phú Xá, TP. Thái Nguyên</t>
  </si>
  <si>
    <t>KCN Yên Phong, Bắc Ninh</t>
  </si>
  <si>
    <t>Đông Dư, Gia Lâm, Hà Nội</t>
  </si>
  <si>
    <t>xã Vĩnh Ngọc, Đông Anh, Hà Nội</t>
  </si>
  <si>
    <t>GAOU6143421</t>
  </si>
  <si>
    <t>MSDU7376535</t>
  </si>
  <si>
    <t>DRYU9362127</t>
  </si>
  <si>
    <t>BMOU6146545</t>
  </si>
  <si>
    <t>TCNU3672220</t>
  </si>
  <si>
    <t>TCNU5901497</t>
  </si>
  <si>
    <t>MRKU6403373</t>
  </si>
  <si>
    <t>CCLU5259830</t>
  </si>
  <si>
    <t>FBLU0241905</t>
  </si>
  <si>
    <t>DRYU9593070</t>
  </si>
  <si>
    <t>TGCU5158261</t>
  </si>
  <si>
    <t>DRYU9592285</t>
  </si>
  <si>
    <t>CSNU7704172</t>
  </si>
  <si>
    <t>GESU6232630</t>
  </si>
  <si>
    <t>HDMU6776230</t>
  </si>
  <si>
    <t>TEMU8615650</t>
  </si>
  <si>
    <t>GAOU6144500</t>
  </si>
  <si>
    <t>DRYU9593506</t>
  </si>
  <si>
    <t>HMMU6256962</t>
  </si>
  <si>
    <t>FCIU9843897</t>
  </si>
  <si>
    <t>CAIU4959377</t>
  </si>
  <si>
    <t>BISU6821171</t>
  </si>
  <si>
    <t>EITU0447306</t>
  </si>
  <si>
    <t>CAIU6087843</t>
  </si>
  <si>
    <t>Thanh toán tiền mua kìm cắt chì cho xe 15C-139.82</t>
  </si>
  <si>
    <t>Thanh toán tiền bơm mỡ xe 15C-139.82</t>
  </si>
  <si>
    <t>Thanh toán tiền sửa xe 15C-139.82 ngày 11/1 (Thay tỏi đinh, sửa chữa hàn đắp khóa màn)</t>
  </si>
  <si>
    <t xml:space="preserve"> Trả tiền sửa xe (mua 2 van điều tiết) xe 15C-139.82 ngày 06/01</t>
  </si>
  <si>
    <t>Thanh toán tiền sửa xe 15C-139.82 ngày 24/01 (Thay giằng mô nhíp, hàu xương vè BH, nắp hàu chắn bùn sau)</t>
  </si>
  <si>
    <t xml:space="preserve">Thanh toán tiền sang tích mooc , cắm máy kiểm tra, kiếm tra van điều tiết xe 15C-139.82 ngày 05/01
</t>
  </si>
  <si>
    <t>Thanh toán tiền sửa xe 15C-139.82 ( Láng tăng bua, ốc xuyên tay dằng, bạc tay dằng + công tháo lắp) ngày 17/01</t>
  </si>
  <si>
    <t>Thanh toán tiền sửa xe 15C-139.82( mua đế tay giằng, bi may ơ, mỡ may ơ, dầu rửa, sang tích mooc + công) ngày 17/01</t>
  </si>
  <si>
    <t>Thanh toán tiền thay bạc cabin, tán phanh lái, mua con lăn, siết may ơ cầu,..+ công  xe 15C-139.82 ngày 24/01</t>
  </si>
  <si>
    <t>THÁNG 02.2021</t>
  </si>
  <si>
    <t>Đóng hàng chè chiều 01/02</t>
  </si>
  <si>
    <t>Trả hàng NK sáng 04/02</t>
  </si>
  <si>
    <t>Trả hàng Vietsun sáng 05/02</t>
  </si>
  <si>
    <t>Đóng hàng chè chiều 08/02</t>
  </si>
  <si>
    <t>CXDU2167385</t>
  </si>
  <si>
    <t>MSKU1477591</t>
  </si>
  <si>
    <t>BMOU6296782</t>
  </si>
  <si>
    <t>TCNU6042550</t>
  </si>
  <si>
    <t>FCIU5147041</t>
  </si>
  <si>
    <t>KOCU2182702</t>
  </si>
  <si>
    <t>Đóng hàng phân sáng 13/03</t>
  </si>
  <si>
    <t>Đóng hàng chè sáng 23/03</t>
  </si>
  <si>
    <t>Đóng hàng phân sáng 24/03</t>
  </si>
  <si>
    <t>Trả hàng NK sáng 27/03</t>
  </si>
  <si>
    <t>Đóng hàng phân sáng 30/03</t>
  </si>
  <si>
    <t>Trả hàng Vietsun sáng 31/03</t>
  </si>
  <si>
    <t>DRYU2968196</t>
  </si>
  <si>
    <t>FCIU5175927</t>
  </si>
  <si>
    <t>DRYU3050190</t>
  </si>
  <si>
    <t>CXDU2266449</t>
  </si>
  <si>
    <t>EGHU3903754</t>
  </si>
  <si>
    <t>BMOU1091645</t>
  </si>
  <si>
    <t>TEMU4124469</t>
  </si>
  <si>
    <t>NYKU4747349</t>
  </si>
  <si>
    <t>BEAU4890276</t>
  </si>
  <si>
    <t>CAIU8927070</t>
  </si>
  <si>
    <t>GAOU6144794</t>
  </si>
  <si>
    <t>EGHU3657882</t>
  </si>
  <si>
    <t>GAOU6145553</t>
  </si>
  <si>
    <t>Xuân Trường, Nam Định</t>
  </si>
  <si>
    <t>Liên Mạc, Từ Liêm, Hà Nội</t>
  </si>
  <si>
    <t>Tribeco, TT Bần, Mỹ Hào, Hưng Yên</t>
  </si>
  <si>
    <t>cảng Khuyến Lương, Hoàng Mai, Hà Nội</t>
  </si>
  <si>
    <t>Lái xe Mạnh</t>
  </si>
  <si>
    <t>THÁNG 03.2021</t>
  </si>
  <si>
    <t>Thanh toán tiền sửa xe 15C-139.82 ngày 10/3 (Thay Xi lanh, xéc măng, zoăng quy lát, zoăng lát đàn cò, cắt EGR, nhớt máy, công)</t>
  </si>
  <si>
    <t>Thanh toán tiền sửa xe 15C-139.82 ( Thay lọc gió ngoài, lọc nhiên liệu tách nước, nước làm mát, lọc nước làm mát,lọc dầu nhớt)</t>
  </si>
  <si>
    <t>Thanh toán tiền tháo lắp thông 0.1 két nước chính, 0.3 két nước phụ, 0.1 két gió xe 15C-139.82 ngày 5/3/21</t>
  </si>
  <si>
    <t>Thanh toán tiền mua đồ cho xe 15C-139.82 ( đèn hậu mooc, tam giác phản quang)</t>
  </si>
  <si>
    <t>Thay dàn nóng, ống lạnh, bơm ga + dầu lạnh xe 15C-139.82 ngày 2/3</t>
  </si>
  <si>
    <t>Thanh toán tiền lốp xe Googride 295/75R225983 cho xe 15C-139.82</t>
  </si>
  <si>
    <t>Thay trở quạt sau, moto khiển nóng lạnh xe 15C-139.82</t>
  </si>
  <si>
    <t>Thanh toán tiền mua nước chưng cất xe 15C-139.82</t>
  </si>
  <si>
    <t xml:space="preserve">Mua bạc tay giằng, tép bạc , lọc dầu tự lái + công </t>
  </si>
  <si>
    <t>Thay tổng công dưới + dầu + công thợ cứu hộ</t>
  </si>
  <si>
    <t>THÁNG 04.2021</t>
  </si>
  <si>
    <t>Trả hàng Vietsun sáng 01/04</t>
  </si>
  <si>
    <t>Đóng hàng KH chiều 01/04</t>
  </si>
  <si>
    <t>Đóng hàng chè sáng 02/04</t>
  </si>
  <si>
    <t>Trả hàng NK sáng 03/04</t>
  </si>
  <si>
    <t>Đóng hàng chè chiều 04/04</t>
  </si>
  <si>
    <t>Đóng hàng XK sáng 06/04</t>
  </si>
  <si>
    <t>Trả hàng NK sáng 07/04</t>
  </si>
  <si>
    <t>Đóng hàng KH chiều 07/04</t>
  </si>
  <si>
    <t>Đóng hàng phân sáng 08/04</t>
  </si>
  <si>
    <t>Trả hàng Vietsun sáng 09/04</t>
  </si>
  <si>
    <t>Đóng hàng XK sáng 10/04</t>
  </si>
  <si>
    <t>Đóng hàng chè chiều 12/04</t>
  </si>
  <si>
    <t>Trả hàng NK sáng 13/04</t>
  </si>
  <si>
    <t>Trả hàng Vietsun sáng 14/04</t>
  </si>
  <si>
    <t>Đóng hàng chè sáng 15/04</t>
  </si>
  <si>
    <t>Đóng hàng chè chiều 15/04</t>
  </si>
  <si>
    <t>Trả hàng Vietsun sáng 16/04</t>
  </si>
  <si>
    <t>Trả hàng NK sáng 17/04</t>
  </si>
  <si>
    <t>Đóng hàng phân sáng 18/04</t>
  </si>
  <si>
    <t>Trả hàng Vietsun sáng 19/04</t>
  </si>
  <si>
    <t>Trả hàng Vietsun sáng 20/04</t>
  </si>
  <si>
    <t>Đóng hàng phân sáng 23/04</t>
  </si>
  <si>
    <t>Đóng hàng KH 28/04 - 29/04</t>
  </si>
  <si>
    <t>TCNU4595730</t>
  </si>
  <si>
    <t>MSKU8851234</t>
  </si>
  <si>
    <t>TCNU9007439</t>
  </si>
  <si>
    <t>DRYU2286642</t>
  </si>
  <si>
    <t>TEMU6323650</t>
  </si>
  <si>
    <t>TLLU5581990</t>
  </si>
  <si>
    <t>EGHU3526630</t>
  </si>
  <si>
    <t>DRYU9962013</t>
  </si>
  <si>
    <t>OOCU7490195</t>
  </si>
  <si>
    <t>HASU4629024</t>
  </si>
  <si>
    <t>TGHU7953059</t>
  </si>
  <si>
    <t>DRYU9961167</t>
  </si>
  <si>
    <t>WHSU2509354</t>
  </si>
  <si>
    <t>WHSU2669460</t>
  </si>
  <si>
    <t>GAOU6143139</t>
  </si>
  <si>
    <t>EGHU3410927</t>
  </si>
  <si>
    <t>MRKU8288495</t>
  </si>
  <si>
    <t>DRYU9592140</t>
  </si>
  <si>
    <t>DRYU9718326</t>
  </si>
  <si>
    <t>WHSU5176909</t>
  </si>
  <si>
    <t>MRKU8935903</t>
  </si>
  <si>
    <t>APHU7294840</t>
  </si>
  <si>
    <t>SEGU4310235</t>
  </si>
  <si>
    <t>TCLU7941547</t>
  </si>
  <si>
    <t>HMMU6206025</t>
  </si>
  <si>
    <t>KCN Đại Đồng, Bắc Ninh - Yên Phong, Bắc Ninh</t>
  </si>
  <si>
    <t>Phong Khê, TP. Bắc Ninh</t>
  </si>
  <si>
    <t>Thuận Châu, Sơn La</t>
  </si>
  <si>
    <t>Cẩm Thủy, Thanh Hóa</t>
  </si>
  <si>
    <t>Đình Xuyên, Gia Lâm, Hà Nội</t>
  </si>
  <si>
    <t>Đồng Hỷ, Thái Nguyên</t>
  </si>
  <si>
    <t>Yên Khánh, Ninh Bình</t>
  </si>
  <si>
    <t>KCN Đồng Văn 2, Duy Tiên, Hà Nam</t>
  </si>
  <si>
    <t>Dương Liễu, Hoài Đức, Hà Nội</t>
  </si>
  <si>
    <t>Thanh toán tiền sửa chữa mạch điện điều khiển bóng hơi xe 15C-139.82</t>
  </si>
  <si>
    <t>Thanh toán tiền sửa kính lên xuống cánh lái ( bánh răng sắt làm mặt trong) xe 15C-139.82 ngày 03/04</t>
  </si>
  <si>
    <t>Thanh toán tiền sửa 1 tổng phanh mooc xe 15C-139.82 ngày 03/04</t>
  </si>
  <si>
    <t>Thanh toán tiền dầu nhớt Total Rubia 20W50  cho 15C-139.82 tháng 04/21</t>
  </si>
  <si>
    <t>Chi tiền cho nhân viên đăng kiểm xe 15C-139.82</t>
  </si>
  <si>
    <t>Thanh toán tiền hàn gia cổ mã 2 bên bảo hiểm mooc xe 15C-139.82 ngày 24/4</t>
  </si>
  <si>
    <t>Chi tiền thưởng lễ 30-4,1-5</t>
  </si>
  <si>
    <t>THÁNG 05.2021</t>
  </si>
  <si>
    <t>Đóng hàng phân sáng 03/05</t>
  </si>
  <si>
    <t>Đóng hàng chè sáng 04/05</t>
  </si>
  <si>
    <t>Trả hàng Vietsun sáng 06/05</t>
  </si>
  <si>
    <t>Đóng hàng chè sáng 08/05</t>
  </si>
  <si>
    <t>Đóng hàng phân sáng 10/05</t>
  </si>
  <si>
    <t>Đóng hàng phân sáng 11/05</t>
  </si>
  <si>
    <t>Trả hàng Vietsun sáng 12/05</t>
  </si>
  <si>
    <t>Đóng hàng KH chiều 12/05 - 13/05</t>
  </si>
  <si>
    <t>Đóng hàng KH chiều 14/05</t>
  </si>
  <si>
    <t>Đóng hàng KH chiều 15/05</t>
  </si>
  <si>
    <t>Đóng hàng phân chiều 18/05</t>
  </si>
  <si>
    <t>Đóng hàng phân chiều 19/05</t>
  </si>
  <si>
    <t>Đóng hàng vỏ bình khí chiều 20/05</t>
  </si>
  <si>
    <t>Đóng hàng xỉ bọt sáng 21/05</t>
  </si>
  <si>
    <t>Trả hàng GLS sáng 22/05</t>
  </si>
  <si>
    <t>Đóng hàng KH bột đá chiều 22/05</t>
  </si>
  <si>
    <t>Trả hàng Vietsun sáng 24/05</t>
  </si>
  <si>
    <t>Trả hàng Vietsun chiều 25/05</t>
  </si>
  <si>
    <t>Trả hàng Vietsun sáng 26/05</t>
  </si>
  <si>
    <t>Trả hàng Vietsun sáng 27/05</t>
  </si>
  <si>
    <t>Đóng hàng sáng 29/05</t>
  </si>
  <si>
    <t>Đóng hàng Vietsun sáng 31/05</t>
  </si>
  <si>
    <t>TEMU4064478</t>
  </si>
  <si>
    <t>TRHU5330426</t>
  </si>
  <si>
    <t>CAIU4668509</t>
  </si>
  <si>
    <t>DRYU9876260</t>
  </si>
  <si>
    <t>TLLU4086884</t>
  </si>
  <si>
    <t>TCNU4636716</t>
  </si>
  <si>
    <t>EGHU3683048</t>
  </si>
  <si>
    <t>EGSU3106353</t>
  </si>
  <si>
    <t>CAIU4667760</t>
  </si>
  <si>
    <t>GIPU4372049</t>
  </si>
  <si>
    <t>DRYU9593131</t>
  </si>
  <si>
    <t>EGHU3208032</t>
  </si>
  <si>
    <t>DRYU2762538</t>
  </si>
  <si>
    <t>BEAU2614427</t>
  </si>
  <si>
    <t>TCLU8158773</t>
  </si>
  <si>
    <t>CAIU3493176</t>
  </si>
  <si>
    <t>DRYU9961399</t>
  </si>
  <si>
    <t>DRYU9592011</t>
  </si>
  <si>
    <t>DRYU9961547</t>
  </si>
  <si>
    <t>DRYU9718922</t>
  </si>
  <si>
    <t>GAOU6144602</t>
  </si>
  <si>
    <t>TCLU9436837</t>
  </si>
  <si>
    <t>DRYU9718901</t>
  </si>
  <si>
    <t>GAOU6505963</t>
  </si>
  <si>
    <t>KCN Tân Hồng, Từ Sơn, Bắc Ninh</t>
  </si>
  <si>
    <t>TT Lim, Tiên Du, Bắc Ninh</t>
  </si>
  <si>
    <t>Kho DDC - Nhật Tân, Hà Nội</t>
  </si>
  <si>
    <t>CCN Dốc Sặt, Trang Hạ, Từ Sơn, Bắc Ninh</t>
  </si>
  <si>
    <t>154 Trường Chinh, Hải Dương</t>
  </si>
  <si>
    <t>Vật Cách, Quán Toan, Hải Phòng</t>
  </si>
  <si>
    <t>Bạch Hạc, Việt Trì</t>
  </si>
  <si>
    <t>Tháng 6</t>
  </si>
  <si>
    <t xml:space="preserve">Mua áo bảo hộ </t>
  </si>
  <si>
    <t>Thanh toán tiền mua lọc gió điều hòa MF, chổi gạt mưa xe 15C-139.82</t>
  </si>
  <si>
    <t>Mua hộp chì tạm</t>
  </si>
  <si>
    <t>Thanh toán tiền sửa xe 15C-139.82 (Thông xúc bầu xinh hàn, bộ van điện, phục hồi van cơ 2.5 tr, công)</t>
  </si>
  <si>
    <t>Thanh toán tiền mua BH vật chất, TNDS xe 15C-139.82 ngày 11/05</t>
  </si>
  <si>
    <t>Thanh toán tiền thay giảm xóc lái B + công thợ xe 15C-139.82 ngày 19/05</t>
  </si>
  <si>
    <t>Lương</t>
  </si>
  <si>
    <t>THÁNG 06.2021</t>
  </si>
  <si>
    <t>Trả hàng Vietsun chiều 03/06 - 04/06</t>
  </si>
  <si>
    <t>Trả hàng NK sáng 05/06</t>
  </si>
  <si>
    <t>Đóng hàng chè chiều 09/06</t>
  </si>
  <si>
    <t>Đóng hàng XK sáng 11/06</t>
  </si>
  <si>
    <t>Đóng hàng Vietsun sáng 12/06</t>
  </si>
  <si>
    <t>Trả hàng NK sáng 14/06</t>
  </si>
  <si>
    <t>Đóng hàng kết hợp chiều 14/06</t>
  </si>
  <si>
    <t>Đóng hàng XK chiều 15/06</t>
  </si>
  <si>
    <t>Đóng hàng chè sáng 16/06</t>
  </si>
  <si>
    <t>Đóng hàng XK chiều 18/06</t>
  </si>
  <si>
    <t>Trả hàng Vietsun chiều 19/06</t>
  </si>
  <si>
    <t>Trả hàng Vietsun chiều 21/06</t>
  </si>
  <si>
    <t>Đóng hàng XK sáng 22/06</t>
  </si>
  <si>
    <t>Đóng hàng chè sáng 23/06</t>
  </si>
  <si>
    <t>Đóng hàng chè sáng 27/06</t>
  </si>
  <si>
    <t>Đóng hàng chè sáng 28/06</t>
  </si>
  <si>
    <t>WHSU2762608</t>
  </si>
  <si>
    <t>WHSU2494167</t>
  </si>
  <si>
    <t>DRYU9877544</t>
  </si>
  <si>
    <t>UETU5403464</t>
  </si>
  <si>
    <t>YMLU8574987</t>
  </si>
  <si>
    <t>WHSU2254464</t>
  </si>
  <si>
    <t>WHSU2222111</t>
  </si>
  <si>
    <t>TCNU5670649</t>
  </si>
  <si>
    <t>DRYU2852863</t>
  </si>
  <si>
    <t>BMOU6822188</t>
  </si>
  <si>
    <t>TCLU1670514</t>
  </si>
  <si>
    <t>WHSU2842998</t>
  </si>
  <si>
    <t>WHSU2227094</t>
  </si>
  <si>
    <t>TGHU6437130</t>
  </si>
  <si>
    <t>DRYU9591611</t>
  </si>
  <si>
    <t>GAOU6143648</t>
  </si>
  <si>
    <t>HACU4215948</t>
  </si>
  <si>
    <t>WHSU5276805</t>
  </si>
  <si>
    <t>TCLU9427389</t>
  </si>
  <si>
    <t>TCLU3628257</t>
  </si>
  <si>
    <t>TGBU6163269</t>
  </si>
  <si>
    <t>WHSU4054423</t>
  </si>
  <si>
    <t>Duy Tiên, Hà Nam</t>
  </si>
  <si>
    <t>Text Hong, KCN Hải Hà, Móng Cái</t>
  </si>
  <si>
    <t>Sông Công, Thái Nguyên</t>
  </si>
  <si>
    <t>Đông Hội, Đông Anh, Hà Nội</t>
  </si>
  <si>
    <t>Cargill Đồng Văn, Hà Nam - Cargill Phố Nối, Hưng Yên</t>
  </si>
  <si>
    <t>KCN VSIP Hải Phòng</t>
  </si>
  <si>
    <t>528 Lê Thánh Tông, Hải Phòng</t>
  </si>
  <si>
    <t>Thanh Miếu, TP. Việt Trì</t>
  </si>
  <si>
    <t>Cargill Phố Nối, Hưng Yên - Cargill Đồng Văn, Hà Nam</t>
  </si>
  <si>
    <t>TCNU8166821</t>
  </si>
  <si>
    <t>Thay rơ le ngắt xe 15C-139.82</t>
  </si>
  <si>
    <t xml:space="preserve">Thanh toán tiền mua lọc dầu nhớt xe 15C-139.82 </t>
  </si>
  <si>
    <t>Ktr số cont</t>
  </si>
  <si>
    <t xml:space="preserve">Thanh toán tiền phí duy trì định vị xe </t>
  </si>
  <si>
    <t xml:space="preserve">Đổi biển số màu vàng cho xe </t>
  </si>
  <si>
    <t xml:space="preserve">Thanh toán tiền dầu nhớt xe </t>
  </si>
  <si>
    <t>THÁNG 07.2021</t>
  </si>
  <si>
    <t>Trả hàng NK sáng 02/07</t>
  </si>
  <si>
    <t>EMCU1368150</t>
  </si>
  <si>
    <t>Đỗ Xá, Thường Tín, Hà Nội</t>
  </si>
  <si>
    <t>GAOU6507098</t>
  </si>
  <si>
    <t>Cargill, KCN Phố Nối A, Hưng Yên</t>
  </si>
  <si>
    <t>HMMU6178392</t>
  </si>
  <si>
    <t>TCNU4785406</t>
  </si>
  <si>
    <t>Trả hàng Vietsun chiều 06/07</t>
  </si>
  <si>
    <t>GAOU6145717</t>
  </si>
  <si>
    <t>Đóng hàng XK sáng 07/07</t>
  </si>
  <si>
    <t>DFSU7390882</t>
  </si>
  <si>
    <t>CCN Ngọc Hồi, Thanh Trì, Hà Nội</t>
  </si>
  <si>
    <t>Đóng hàng XK sáng 08/07</t>
  </si>
  <si>
    <t>TCNU6076919</t>
  </si>
  <si>
    <t>Cẩm Hưng, Cẩm Giàng, Hải Dương</t>
  </si>
  <si>
    <t>TRHU3620200</t>
  </si>
  <si>
    <t>EGHU3792060</t>
  </si>
  <si>
    <t>TCNU3002276</t>
  </si>
  <si>
    <t>Trả hàng NK sáng 13/07</t>
  </si>
  <si>
    <t>UACU8425138</t>
  </si>
  <si>
    <t>TCKU6874998</t>
  </si>
  <si>
    <t>Đóng hàng chè sáng 15/07</t>
  </si>
  <si>
    <t>WHSU5354301</t>
  </si>
  <si>
    <t>Đóng hàng Vietsun sáng 16/07</t>
  </si>
  <si>
    <t>WHSU5295873</t>
  </si>
  <si>
    <t>BISU6824859</t>
  </si>
  <si>
    <t>Hà Đông, Hà Nội</t>
  </si>
  <si>
    <t>Trả hàng Vietsun sáng 19/07</t>
  </si>
  <si>
    <t>DRYU9592984</t>
  </si>
  <si>
    <t>MEDU7485713</t>
  </si>
  <si>
    <t>Trả hàng NK sáng 21/07</t>
  </si>
  <si>
    <t>TGHU8347204</t>
  </si>
  <si>
    <t>Trả hàng Vietsun sáng 22/07</t>
  </si>
  <si>
    <t>YMLU8685506</t>
  </si>
  <si>
    <t>Đóng hàng chè chiều 23/07</t>
  </si>
  <si>
    <t>EGHU3293841</t>
  </si>
  <si>
    <t>EGHU3493557</t>
  </si>
  <si>
    <t>FCIU7219984</t>
  </si>
  <si>
    <t>Trả hàng Vietsun sáng 26/07</t>
  </si>
  <si>
    <t>Trả hàng Vietsun sáng 27/07</t>
  </si>
  <si>
    <t>DRYU9591864</t>
  </si>
  <si>
    <t>Đóng hàng phân sáng 28/07</t>
  </si>
  <si>
    <t>EITU0147823</t>
  </si>
  <si>
    <t>Đóng hàng chè sáng 29/07</t>
  </si>
  <si>
    <t>WHSU2458323</t>
  </si>
  <si>
    <t>Đóng hàng Vietsun sáng 30/07</t>
  </si>
  <si>
    <t>BEAU5274742</t>
  </si>
  <si>
    <t>Đóng hàng XK sáng 31/07</t>
  </si>
  <si>
    <t>TGBU7831613</t>
  </si>
  <si>
    <t>Thanh toán tiền lắp cảm biến dầu xe 15C-139.82</t>
  </si>
  <si>
    <t>Thanh toán tiền cọc camera 3 xe 15C-139.82, 15C-119.57, 15C-136.31</t>
  </si>
  <si>
    <t>Mua bóng đèn + bát phanh xe 15C-139.82</t>
  </si>
  <si>
    <t>Thanh toán tiền lốp Good ride 11.00-20 xe 15C-139.82</t>
  </si>
  <si>
    <t>Thanh toán tiền thay 1 tuy o lốc kê moocs + 2 tần zắc co xe 15C-139.82</t>
  </si>
  <si>
    <t>Trả tiền anh Chính test covid nhanh ngày 25/7 xe 15C-139.82</t>
  </si>
  <si>
    <t>Trả tiền test covid chuyến Bắc Giang nhưng không đi cho anh Trung + tiền taxi xe 15C-139.82</t>
  </si>
  <si>
    <t>TT tiền anh Chính test covid cont UACU8425138 xe 15C-139.82</t>
  </si>
  <si>
    <t>Trả tiền anh Chính test covid 2 phiếu nhanh + PCR ngày 22/7 xe 15C-139.82</t>
  </si>
  <si>
    <t>Trả tiền anh Chính test covid PCR ngày 28/7 xe 15C-139.82</t>
  </si>
  <si>
    <t xml:space="preserve">		Trả tiền anh Chính test covid nhanh ngày 31/7 xe 15C-139.82</t>
  </si>
  <si>
    <t>THÁNG 08.2021</t>
  </si>
  <si>
    <t>Trả hàng sáng 02/08</t>
  </si>
  <si>
    <t>Trả hàng sáng 04/08</t>
  </si>
  <si>
    <t>Trả hàng kết hợp sáng 05/08</t>
  </si>
  <si>
    <t>Đóng hàng chè sáng 11/08</t>
  </si>
  <si>
    <t>Trả hàng Vietsun sáng 14/08</t>
  </si>
  <si>
    <t>Đóng hàng chè sáng 16/08</t>
  </si>
  <si>
    <t>Đóng hàng XK sáng 20/08</t>
  </si>
  <si>
    <t>Đóng hàng ván ép sáng 21/08</t>
  </si>
  <si>
    <t>Đóng hàng XK chiều 23/08</t>
  </si>
  <si>
    <t>Đóng hàng XK sáng 27/08</t>
  </si>
  <si>
    <t>Trả hàng NK sáng 28/08</t>
  </si>
  <si>
    <t>Trả hàng đường ngắn 30/08</t>
  </si>
  <si>
    <t>Đóng hàng chè sáng 31/08</t>
  </si>
  <si>
    <t>DRYU2891453</t>
  </si>
  <si>
    <t>EISU2197877</t>
  </si>
  <si>
    <t>EITU0105140</t>
  </si>
  <si>
    <t>HACU4181160</t>
  </si>
  <si>
    <t>YMLU8847947</t>
  </si>
  <si>
    <t>YMLU8533294</t>
  </si>
  <si>
    <t>TCNU3389437</t>
  </si>
  <si>
    <t>EGHU3689088</t>
  </si>
  <si>
    <t>EGHU3435735</t>
  </si>
  <si>
    <t>YMLU3567856</t>
  </si>
  <si>
    <t>DFSU1494690</t>
  </si>
  <si>
    <t>MRKU5116635</t>
  </si>
  <si>
    <t>MSKU8988124</t>
  </si>
  <si>
    <t>DRYU9968691</t>
  </si>
  <si>
    <t>YMLU8987620</t>
  </si>
  <si>
    <t>EISU2266751</t>
  </si>
  <si>
    <t>WHSU5497128</t>
  </si>
  <si>
    <t>BEAU4309309</t>
  </si>
  <si>
    <t>BSIU9799852</t>
  </si>
  <si>
    <t>TCNU3667733</t>
  </si>
  <si>
    <t>GATU8799382</t>
  </si>
  <si>
    <t>FCIU9396058</t>
  </si>
  <si>
    <t>TCNU5935265</t>
  </si>
  <si>
    <t>FCIU7076040</t>
  </si>
  <si>
    <t>VOSU8803225</t>
  </si>
  <si>
    <t>TGBU4386793</t>
  </si>
  <si>
    <t>WHSU5779754</t>
  </si>
  <si>
    <t>Phố Nối, Hưng Yên</t>
  </si>
  <si>
    <t>Masan Hải Dương, KCN Đại An, Hải Dương</t>
  </si>
  <si>
    <t>Kim Động, Hưng Yên - Yên Mỹ, Hưng Yên</t>
  </si>
  <si>
    <t>Hiền Ninh, Sóc Sơn, Hà Nội</t>
  </si>
  <si>
    <t>Diêm Điền, Thái Bình</t>
  </si>
  <si>
    <t>xã Phúc Thịnh, Chiêm Hóa, Tuyên Quang</t>
  </si>
  <si>
    <t>Vĩnh Ngọc, Đông Anh, Hà Nội</t>
  </si>
  <si>
    <t>Kho 3 Lạc Viên, Hải Phòng</t>
  </si>
  <si>
    <t>Trả tiền anh Chính test covid ngày 2/8 xe 15C-139.82</t>
  </si>
  <si>
    <t>Thanh toán tiền mua curoa cho xe 15C-139.82</t>
  </si>
  <si>
    <t>Thanh toán tiền sửa tổng xả điều tiết hơi xe 15C-139.82</t>
  </si>
  <si>
    <t>Trả tiền anh Chính test covid ngày 5/8 xe 15C-139.82</t>
  </si>
  <si>
    <t>Thanh toán tiền mua áo bảo hộ xe 15C-119.57, 15C-136.31, 15C-139.82, 15C-070.63</t>
  </si>
  <si>
    <t>Trả tiền anh Chính test covid ngày 8/8 xe 15C-139.82</t>
  </si>
  <si>
    <t>Trả tiền anh Chính test covid ngày 12/8 xe 15C-139.82</t>
  </si>
  <si>
    <t>Trả tiền anh Chính test covid ngày 15/8 xe 15C-139.82</t>
  </si>
  <si>
    <t>Trả tiền anh Chính test covid ngày 17/8 xe 15C-139.82</t>
  </si>
  <si>
    <t>Thanh toán tiền mua bóng tải MF Faiton xe 15C-139.82</t>
  </si>
  <si>
    <t>Trả tiền test covid anh Chính ngày 20/8 xe 15C-139.82</t>
  </si>
  <si>
    <t>Trả tiền anh Chính test covid ngày 24/8 xe 15C-139.82</t>
  </si>
  <si>
    <t>Trả tiền anh Chính test covid ngày 25/8 xe 15C-139.82</t>
  </si>
  <si>
    <t>Trả tiền anh Chính test covid ngày 29/8 xe 15C-139.82</t>
  </si>
  <si>
    <t>Trả tiền anh Chính test covid ngày 30/8 xe 15C-139.82</t>
  </si>
  <si>
    <t>Thanh toán tiền mua tăng dây cuzoa, thay bóng phơi, tay giằng đầu kéo, ốc tay giằng xe 15C-139.82 ngày 22/8</t>
  </si>
  <si>
    <t>Thanh toán mua 1 bộ bi cao su quang treo đi cứu hộ xe 15C-139.82 ngày 25/8</t>
  </si>
  <si>
    <t>THÁNG 09.2021</t>
  </si>
  <si>
    <t>Đóng hàng XK sáng 06/09</t>
  </si>
  <si>
    <t>Đóng hàng XK chiều 10/09</t>
  </si>
  <si>
    <t>Trả hàng NK sáng 11/09</t>
  </si>
  <si>
    <t>Trả hàng Vietsun sáng 13/09</t>
  </si>
  <si>
    <t>Trả hàng Vietsun sáng 15/09</t>
  </si>
  <si>
    <t>Đóng hàng chè chiều 16/09</t>
  </si>
  <si>
    <t>Trả hàng Vietsun sáng 17/09</t>
  </si>
  <si>
    <t>Trả hàng Vietsun chiều 20/09</t>
  </si>
  <si>
    <t>Trả hàng Vietsun sáng 22/09</t>
  </si>
  <si>
    <t>Trả hàng Vietsun chiều 22/09</t>
  </si>
  <si>
    <t>Đóng hàng phân sáng 28/09</t>
  </si>
  <si>
    <t>Trả hàng Vietsun sáng 29/09</t>
  </si>
  <si>
    <t>Đóng hàng kết hợp chiều 29/09</t>
  </si>
  <si>
    <t>Đóng hàng chè sáng 30/09</t>
  </si>
  <si>
    <t>CCN Hoàng Diệu, Gia Lộc, Hải Dương</t>
  </si>
  <si>
    <t>Phúc Lợi, Long Biên, Hà Nội</t>
  </si>
  <si>
    <t>KCN Quang Châu, Việt Yên, Bắc Giang</t>
  </si>
  <si>
    <t>Quán Gỏi, Hải Dương + Hạ Đoạn 2, Đông Hải, HP</t>
  </si>
  <si>
    <t>NM Proconco, KCN Đình Vũ, Hải Phòng</t>
  </si>
  <si>
    <t>KCN Đình Vũ + KCN VSIP Thủy Nguyên, Hải Phòng</t>
  </si>
  <si>
    <t>529 Phạm Văn Đồng, Dương Kinh, Hải Phòng</t>
  </si>
  <si>
    <t>TCNU4595279</t>
  </si>
  <si>
    <t>KKFU7902812</t>
  </si>
  <si>
    <t>TRHU7197230</t>
  </si>
  <si>
    <t>HDMU6790481</t>
  </si>
  <si>
    <t>OOCU4983984</t>
  </si>
  <si>
    <t>TEMU3694359</t>
  </si>
  <si>
    <t>MEDU2582433</t>
  </si>
  <si>
    <t>WHSU2948362</t>
  </si>
  <si>
    <t>DRYU9876110</t>
  </si>
  <si>
    <t>TGBU5167125</t>
  </si>
  <si>
    <t>DRYU9877441</t>
  </si>
  <si>
    <t>BEAU4822327</t>
  </si>
  <si>
    <t>DRYU9876316</t>
  </si>
  <si>
    <t>BEAU2069430</t>
  </si>
  <si>
    <t>DRYU9956427</t>
  </si>
  <si>
    <t>GAOU6506785</t>
  </si>
  <si>
    <t>TCNU4595469</t>
  </si>
  <si>
    <t>GLDU5347143</t>
  </si>
  <si>
    <t>EMCU9715907</t>
  </si>
  <si>
    <t>TGBU9294832</t>
  </si>
  <si>
    <t>PONU7200808</t>
  </si>
  <si>
    <t>MRKU8877598</t>
  </si>
  <si>
    <t>DRYU9969553</t>
  </si>
  <si>
    <t>YMMU6325546</t>
  </si>
  <si>
    <t>Chi tiền thưởng 2/9 cho Anh Hoàn 15C-136.31; anh Chính 15C-139.82, anh Lâm 15C-070.63</t>
  </si>
  <si>
    <t>Thanh toán tiền đổi ắc quy cũ xe 15C-139.82</t>
  </si>
  <si>
    <t>Trả tiền anh Chính test covid ngày 3/9 xe 15C-139.82</t>
  </si>
  <si>
    <t>Thanh toán tiền hoàn ti ô, dầu lạp, nạp ga, công làm xe 15C-139.82 ngày 30/8</t>
  </si>
  <si>
    <t>Thay áp cao điều hòa xe 15C-139.82 ngày 30/8</t>
  </si>
  <si>
    <t>Trả tiền anh Chính test covid ngày 5/9 xe 15C-139.82</t>
  </si>
  <si>
    <t>Trả tiền anh Chính test covid ngày 7/9 xe 15C-139.82</t>
  </si>
  <si>
    <t>Trả tiền anh Chính test covid ngày 9/9  xe 15C-139.82</t>
  </si>
  <si>
    <t>Trả tiền anh Chính test covid ngày 12/9 xe 15C-139.82</t>
  </si>
  <si>
    <t>Trả tiền anh Chính test covid ngày 13/9 xe 15C-139.82</t>
  </si>
  <si>
    <t>Thanh toán tiền cứu hộ lốp xe 15C-139.82 ngày 10/9</t>
  </si>
  <si>
    <t>Thanh toán 2 quả lốp lái Pirelli 295/75R22.5 cho xe 15C-139.82 ngày 10/9</t>
  </si>
  <si>
    <t>Thanh toán tiền mua lọc dầu nhớt, lọc nhiên liệu, lọc nhiên liệu tách nước xe 15C-139.82</t>
  </si>
  <si>
    <t>Trả tiền anh Chính test covid ngày 15/9 xe 15C-139.82</t>
  </si>
  <si>
    <t xml:space="preserve">Thanh toán tiền mua gáo hơi xe 15C-139.82 </t>
  </si>
  <si>
    <t>Trả tiền anh Chính test covid ngày 18/9 xe 15C-139.82</t>
  </si>
  <si>
    <t>Trả tiền anh Chính test covid ngày 21/9 xe 15C-139.82</t>
  </si>
  <si>
    <t>Trả tiền anh Chính test covid ngày 23/9 xe 15C-139.82</t>
  </si>
  <si>
    <t>Trả tiền anh Chính test covid ngày 26/9 xe 15C-139.82</t>
  </si>
  <si>
    <t>Trả tiền anh Chính test covid ngày 28/9 xe 15C-139.82</t>
  </si>
  <si>
    <t>Thanh toán tiền bơm mỡ xe 15C-139.82 ngày 18/9</t>
  </si>
  <si>
    <t>Thanh toán tiền mua 2 lốp Casumina BS881 11.00-20 xe 15C-139.82 ngày 10/9</t>
  </si>
  <si>
    <t>Mua 1 phuy dầu nhớt Total 20w-50 CI4 208L cho 4 xe</t>
  </si>
  <si>
    <t>THÁNG 10.2021</t>
  </si>
  <si>
    <t>Đóng hàng XK sáng 04/10</t>
  </si>
  <si>
    <t>Đóng hàng XK sáng 07/10</t>
  </si>
  <si>
    <t>Chuyển vỏ rỗng chiều 07/10</t>
  </si>
  <si>
    <t>Đóng hàng chè chiều 10/10</t>
  </si>
  <si>
    <t>Đóng hàng Vietsun sáng 13/10</t>
  </si>
  <si>
    <t>Đóng hàng chè chiều 14/10</t>
  </si>
  <si>
    <t>Đóng hàng chè chiều 15/10</t>
  </si>
  <si>
    <t>Đóng hàng chè đêm 16/10</t>
  </si>
  <si>
    <t>Đóng hàng XK sáng 19/10</t>
  </si>
  <si>
    <t>Đóng hàng chè sáng 20/10</t>
  </si>
  <si>
    <t>Đóng hàng XK sáng 22/10</t>
  </si>
  <si>
    <t>Trả hàng Vietsun sáng 23/10</t>
  </si>
  <si>
    <t>Đóng hàng chè sáng 25/10</t>
  </si>
  <si>
    <t>Đóng hàng chè sáng 26/10</t>
  </si>
  <si>
    <t>Đóng hàng chè sáng 28/10</t>
  </si>
  <si>
    <t>Đóng hàng Vietsun sáng 29/10</t>
  </si>
  <si>
    <t>SEGU6531810</t>
  </si>
  <si>
    <t>HDMU6849912</t>
  </si>
  <si>
    <t>TCLU4969514</t>
  </si>
  <si>
    <t>WHSU5870479</t>
  </si>
  <si>
    <t>DYLU5115101</t>
  </si>
  <si>
    <t>EGHU3944368</t>
  </si>
  <si>
    <t>EGHU3495858</t>
  </si>
  <si>
    <t>SEGU5103382</t>
  </si>
  <si>
    <t>BMOU5705551</t>
  </si>
  <si>
    <t>TEMU7631636</t>
  </si>
  <si>
    <t>GAOU6505433</t>
  </si>
  <si>
    <t>BSIU9762956</t>
  </si>
  <si>
    <t>MEDU4556407</t>
  </si>
  <si>
    <t>VOSU8802738</t>
  </si>
  <si>
    <t>CAAU2055070</t>
  </si>
  <si>
    <t>TCLU5635790</t>
  </si>
  <si>
    <t>BEAU4519619</t>
  </si>
  <si>
    <t>WHSU5734940</t>
  </si>
  <si>
    <t>TBJU7233740</t>
  </si>
  <si>
    <t>DRYU9961300</t>
  </si>
  <si>
    <t>YMMU6025488</t>
  </si>
  <si>
    <t>TCNU3094565</t>
  </si>
  <si>
    <t>FFAU1504020</t>
  </si>
  <si>
    <t>YMLU8696218</t>
  </si>
  <si>
    <t>TCNU4595108</t>
  </si>
  <si>
    <t>xã Nghĩa Lộ, tx. Nghĩa Lộ, Yên Bái</t>
  </si>
  <si>
    <t>Kho DDC</t>
  </si>
  <si>
    <t>Vĩnh Tường, Vĩnh Phúc</t>
  </si>
  <si>
    <t>KCN Cầu Gáo, Đan Phượng, Hà Nội</t>
  </si>
  <si>
    <t>TT. Đông Anh, Đông Anh, Hà Nội</t>
  </si>
  <si>
    <t>Bần, Yên Nhân, Mỹ Hào, Hưng Yên</t>
  </si>
  <si>
    <t>Thanh toán tiền mua bộ dây điện kim+ công lắp xe 15C-139.82</t>
  </si>
  <si>
    <t>Trả tiền anh Chính test covid ngày 6/10 xe 15C-139.82</t>
  </si>
  <si>
    <t>Trả tiền anh Chính test covid ngày 8/10 Xe 15C-139.82</t>
  </si>
  <si>
    <t>Trả tiền anh Chính test covid ngày 11/10 Xe 15C-139.82</t>
  </si>
  <si>
    <t>Chi tiền phí sử dụng đường bộ xe 15C-139.82</t>
  </si>
  <si>
    <t>Chi tiền đăng kiểm xe 15C-139.82</t>
  </si>
  <si>
    <t>Chi tiền ngoài đăng kiểm xe 15C-139.82</t>
  </si>
  <si>
    <t>Thanh toán 1 tuy ô lốc kê, 1 tổng xả hơi lắc kê xe 15C-139.82</t>
  </si>
  <si>
    <t>Trả tiền anh Chính test covid ngày 13/10 xe 15C-139.82</t>
  </si>
  <si>
    <t>Trả tiền anh Chính test covid ngày 17/10 Xe 15C-139.82</t>
  </si>
  <si>
    <t>THÁNG 11.2021</t>
  </si>
  <si>
    <t>Đóng hàng XK chiều 02/11</t>
  </si>
  <si>
    <t>Trả hàng Vietsun sáng 04/11</t>
  </si>
  <si>
    <t>Đóng hàng KH chiều 04/11 trả 05/11</t>
  </si>
  <si>
    <t>Đóng hàng chè sáng 10/11</t>
  </si>
  <si>
    <t>Trả hàng Vietsun sáng 11/11</t>
  </si>
  <si>
    <t>Đóng hàng KH Vietsun sáng 15/11</t>
  </si>
  <si>
    <t>Đóng hàng KH chiều 16/11 trả sáng 17/11</t>
  </si>
  <si>
    <t>Đóng hàng chè sáng 18/11</t>
  </si>
  <si>
    <t>Trả hàng Vietsun sáng 19/11</t>
  </si>
  <si>
    <t>Đóng hàng KH chiều 19/11</t>
  </si>
  <si>
    <t>Đóng hàng XK sáng 22/11</t>
  </si>
  <si>
    <t>Đóng hàng chè sáng 25/11</t>
  </si>
  <si>
    <t>Đóng hàng XK sáng 26/11</t>
  </si>
  <si>
    <t>Đóng hàng KH trả sáng 30/11</t>
  </si>
  <si>
    <t>TLLU4075684</t>
  </si>
  <si>
    <t>EITU9035911</t>
  </si>
  <si>
    <t>TCNU1092619</t>
  </si>
  <si>
    <t>GAOU6144140</t>
  </si>
  <si>
    <t>MRKU7450699</t>
  </si>
  <si>
    <t>FSCU8063200</t>
  </si>
  <si>
    <t>GAOU6143587</t>
  </si>
  <si>
    <t>YMMU6237506</t>
  </si>
  <si>
    <t>GAOU6144372</t>
  </si>
  <si>
    <t>CBHU8566017</t>
  </si>
  <si>
    <t>YMMU6194791</t>
  </si>
  <si>
    <t>WHLU0310007</t>
  </si>
  <si>
    <t>TGBU6239071</t>
  </si>
  <si>
    <t>YMMU6127129</t>
  </si>
  <si>
    <t>TGBU4008480</t>
  </si>
  <si>
    <t>MSMU8335389</t>
  </si>
  <si>
    <t>DRYU9718429</t>
  </si>
  <si>
    <t>DRYU9961969</t>
  </si>
  <si>
    <t>Thạch Cầu, Long Biên, Hà Nội</t>
  </si>
  <si>
    <t>Hoàng Long, Yên Mỹ, Hưng Yên</t>
  </si>
  <si>
    <t>KCN Tân Trường, Cẩm Giàng, Hải Dương</t>
  </si>
  <si>
    <t>18 Trần Thái Tông, TP. Thái Bình</t>
  </si>
  <si>
    <t>An Lạc, Trưng Trắc, Văn Lâm, Hưng Yên</t>
  </si>
  <si>
    <t>TT Bần, Yên Nhân, Mỹ Hào, Hưng Yên</t>
  </si>
  <si>
    <t>Kho Masan Dị Sử, Hưng Yên</t>
  </si>
  <si>
    <t>Phùng Xá, Thạch Thất, Hà Nội</t>
  </si>
  <si>
    <t>Minh Lãng, Vũ Thư, TP. Thái Bình</t>
  </si>
  <si>
    <t xml:space="preserve">Thanh toán tiền mua lốp 1100R20 xe 15C-139.82 </t>
  </si>
  <si>
    <t>Trả tiền anh Chính test covid ngày 15/11 Xe 15C-139.82</t>
  </si>
  <si>
    <t>Trả tiền anh Chính test covid ngày 22/11 Xe 15C-139.82</t>
  </si>
  <si>
    <t>Trả tiền anh Chính test covid ngày 21/11 Xe 15C-139.82</t>
  </si>
  <si>
    <t>Trả tiền anh Chính test covid ngày 8/12 Xe 15C-139.82</t>
  </si>
  <si>
    <t>Thanh toán tiền thay moto khiển cửa gió trong xe 15C-139.82 ngày 12/12</t>
  </si>
  <si>
    <t>Thanh toán tiền lọc dầu nhớt, lọc nhiên liệu, lọc nhiên liệu tách nước, lọc ly tâm xe 15C-139.82</t>
  </si>
  <si>
    <t>Trả tiền anh Chính test covid ngày 22/12 Xe 15C-139.82</t>
  </si>
  <si>
    <t>Đóng hàng Vietsun sáng 01/12</t>
  </si>
  <si>
    <t>Trả hàng Vietsun sáng 04/12</t>
  </si>
  <si>
    <t>Đóng hàng chè sáng 06/12</t>
  </si>
  <si>
    <t>Đóng hàng XK sáng 09/12</t>
  </si>
  <si>
    <t>Đóng hàng XK chiều 10/12</t>
  </si>
  <si>
    <t>Đóng hàng Vietsun sáng 11/12</t>
  </si>
  <si>
    <t>Đóng hàng KH 13/12 trả sáng 14/12</t>
  </si>
  <si>
    <t>Đóng hàng XK sáng 16/12</t>
  </si>
  <si>
    <t>Trả hàng Vietsun sáng 18/12</t>
  </si>
  <si>
    <t>Đóng hàng XK sáng 23/12</t>
  </si>
  <si>
    <t>Đóng hàng hoa quả 27/12</t>
  </si>
  <si>
    <t>Trả hàng NK sáng 30/12</t>
  </si>
  <si>
    <t>Đóng hàng XK sáng 31/12</t>
  </si>
  <si>
    <t>TCNU4785094</t>
  </si>
  <si>
    <t>CBHU6442059</t>
  </si>
  <si>
    <t>GCXU5012882</t>
  </si>
  <si>
    <t>OOCU8316399</t>
  </si>
  <si>
    <t>SEGU5556100</t>
  </si>
  <si>
    <t>DRYU9718861</t>
  </si>
  <si>
    <t>CXDU1842072</t>
  </si>
  <si>
    <t>TCNU6478760</t>
  </si>
  <si>
    <t>DRYU9969506</t>
  </si>
  <si>
    <t>HMMU6322690</t>
  </si>
  <si>
    <t>EGHU3794400</t>
  </si>
  <si>
    <t>EITU3129079</t>
  </si>
  <si>
    <t>TRHU5044504</t>
  </si>
  <si>
    <t>CSNU7955331</t>
  </si>
  <si>
    <t>DRYU9876300</t>
  </si>
  <si>
    <t>HDMU6284898</t>
  </si>
  <si>
    <t>BSIU9314340</t>
  </si>
  <si>
    <t>WHSU4050747</t>
  </si>
  <si>
    <t>SEGU4595170</t>
  </si>
  <si>
    <t>FCIU9946508</t>
  </si>
  <si>
    <t>MRKU4290489</t>
  </si>
  <si>
    <t>NSRU8005982</t>
  </si>
  <si>
    <t>NSRU8006398</t>
  </si>
  <si>
    <t>DRYU9592114</t>
  </si>
  <si>
    <t>DFSU6803301</t>
  </si>
  <si>
    <t>OOLU4373057</t>
  </si>
  <si>
    <t>WHLU5693505</t>
  </si>
  <si>
    <t>Nguyễn Trãi, Thanh Xuân, Hà Nội</t>
  </si>
  <si>
    <t>Phú Nghĩa, Chương Mỹ, Hà Nội</t>
  </si>
  <si>
    <t>Phong Khê, Yên Phong, Bắc Ninh</t>
  </si>
  <si>
    <t>Quán Gỏi, Hải Dương</t>
  </si>
  <si>
    <t>Vạn Phúc, Thanh Trì, Hà Nội</t>
  </si>
  <si>
    <t>Hoàn Sơn, Tiên Du, Bắc Ninh</t>
  </si>
  <si>
    <t>Kho Vinatrans HP</t>
  </si>
  <si>
    <t>Trả tiền anh Chính test covid ngày 30/9 xe 15C-139.82</t>
  </si>
  <si>
    <t>Trả tiền anh Chính test covid ngày 3/10 xe 15C-139.82</t>
  </si>
  <si>
    <t>Trả tiền anh Chính test covid ngày 30/10 xe 15C-139.82</t>
  </si>
  <si>
    <t>Lương (27 ngày)</t>
  </si>
  <si>
    <t>THÁNG 12.2021</t>
  </si>
  <si>
    <t>THÁNG 01.2022</t>
  </si>
  <si>
    <t>Trả hàng Vietsun sáng 10/01</t>
  </si>
  <si>
    <t>Đóng hàng chè sáng 11/01</t>
  </si>
  <si>
    <t>Trả hàng NK sáng 12/01</t>
  </si>
  <si>
    <t>Đóng hàng XK sáng 17/01</t>
  </si>
  <si>
    <t>Đóng hàng XK sáng 19/01</t>
  </si>
  <si>
    <t>Trả hàng NK sáng 20/01</t>
  </si>
  <si>
    <t>Đóng hàng KH chiều 20/01</t>
  </si>
  <si>
    <t>Đóng hàng XK sáng 21/01</t>
  </si>
  <si>
    <t>Trả hàng Vietsun sáng 22/01</t>
  </si>
  <si>
    <t>Trả hàng NK sáng 24/01</t>
  </si>
  <si>
    <t>Trả hàng NK sáng 25/01</t>
  </si>
  <si>
    <t>Đóng hàng chè sáng 26/01</t>
  </si>
  <si>
    <t>Trả hàng Vietsun sáng 27/01</t>
  </si>
  <si>
    <t>Trả hàng Vietsun sáng 28/01</t>
  </si>
  <si>
    <t>WHSU6277679</t>
  </si>
  <si>
    <t>GAOU6506131</t>
  </si>
  <si>
    <t>DRYU9961378</t>
  </si>
  <si>
    <t>OOCU7590487</t>
  </si>
  <si>
    <t>GAOU6145893</t>
  </si>
  <si>
    <t>GAOU6145297</t>
  </si>
  <si>
    <t>TCNU5388785</t>
  </si>
  <si>
    <t>TCKU6499264</t>
  </si>
  <si>
    <t>UETU5788983</t>
  </si>
  <si>
    <t>MSKU1916462</t>
  </si>
  <si>
    <t>DRYU9476665</t>
  </si>
  <si>
    <t>MSCU5096399</t>
  </si>
  <si>
    <t>TGHU7974909</t>
  </si>
  <si>
    <t>TRHU6514095</t>
  </si>
  <si>
    <t>SEGU5965089</t>
  </si>
  <si>
    <t>BSIU9210140</t>
  </si>
  <si>
    <t>CXDU1060242</t>
  </si>
  <si>
    <t>KOCU4741055</t>
  </si>
  <si>
    <t>EMCU8726091</t>
  </si>
  <si>
    <t>BMOU4150227</t>
  </si>
  <si>
    <t>DRYU9718075</t>
  </si>
  <si>
    <t>Hoàng Liệt, Hoàng Mai, HN + Vinafco Thanh Trì, HN</t>
  </si>
  <si>
    <t>Bình Nguyên, Kiến Xương, Thái Bình</t>
  </si>
  <si>
    <t>Kho DHL, KCN VSIP, Bắc Ninh</t>
  </si>
  <si>
    <t>Phú Xá, TP. Thái Nguyên</t>
  </si>
  <si>
    <t>Đạo Đức, Bình Xuyên, Vĩnh Phúc</t>
  </si>
  <si>
    <t>Thanh toán tiền mua máy nén khí cho xe 15C-139.82</t>
  </si>
  <si>
    <t>Trả tiền mua 1 bộ la răng dự phòng 20" rơ mooc xe 15C-139.82</t>
  </si>
  <si>
    <t>Thanh toán tiền lốp 1100R20 Casu 881 xe 15C-139.82 ( 251104030-201203107)</t>
  </si>
  <si>
    <t>Thanh toán tiền mua bóng tải MF Firestone xe 15C-139.82</t>
  </si>
  <si>
    <t xml:space="preserve">Chi tiền tết âm lịch </t>
  </si>
  <si>
    <t>Lương (26 ngày)</t>
  </si>
  <si>
    <t>Thanh toán tiền mua dây hơi xe 15C-139.82 ngày 28/1</t>
  </si>
  <si>
    <t>THÁNG 02.2022</t>
  </si>
  <si>
    <t>Trả hàng Vietsun sáng 08/02</t>
  </si>
  <si>
    <t>Trả hàng Vietsun sáng 09/02</t>
  </si>
  <si>
    <t>Trả hàng NK đêm 09/02</t>
  </si>
  <si>
    <t>Đóng hàng KH sáng 10/02</t>
  </si>
  <si>
    <t>Trả hàng NK sáng 14/02</t>
  </si>
  <si>
    <t>Đóng hàng XK sáng 16/02</t>
  </si>
  <si>
    <t>Trả hàng Vietsun sáng 17/02</t>
  </si>
  <si>
    <t>Trả hàng NK sáng 18/02</t>
  </si>
  <si>
    <t>Vận chuyển hàng qua máy soi 21/02</t>
  </si>
  <si>
    <t>Trả hàng NK sáng 22/02</t>
  </si>
  <si>
    <t>Trả hàng NK chiều 22/02</t>
  </si>
  <si>
    <t>Đóng hàng chè sáng 28/02</t>
  </si>
  <si>
    <t>GAOU6145189</t>
  </si>
  <si>
    <t>NLLU4194137</t>
  </si>
  <si>
    <t>CSNU6432697</t>
  </si>
  <si>
    <t>TRHU8645685</t>
  </si>
  <si>
    <t>MSKU0457986</t>
  </si>
  <si>
    <t>HASU4097256</t>
  </si>
  <si>
    <t>GAOU6506147</t>
  </si>
  <si>
    <t>TEMU6496090</t>
  </si>
  <si>
    <t>JZPU8017939</t>
  </si>
  <si>
    <t>TCNU5855597</t>
  </si>
  <si>
    <t>TGHU6918238</t>
  </si>
  <si>
    <t>BMOU6048050</t>
  </si>
  <si>
    <t>TCNU3826157</t>
  </si>
  <si>
    <t>YMMU6082066</t>
  </si>
  <si>
    <t>Cargill KCN Phố Nối A, Hưng Yên</t>
  </si>
  <si>
    <t>Chùa Láng, Láng Thượng, Đống Đa, Hà Nội</t>
  </si>
  <si>
    <t>KCN Phố Nối B, Mỹ Hào, Hưng Yên</t>
  </si>
  <si>
    <t>Máy soi container Tasa Duyên Hải, Hải Phòng</t>
  </si>
  <si>
    <t>Dục, Đông Anh, Hà Nội</t>
  </si>
  <si>
    <t>Thanh toán tiền thay bơm nước rửa kính, nối vòi, đui bóng cốt xe 15C-139.82 ngày 7/2</t>
  </si>
  <si>
    <t>Thanh toán tiền dầu nhớt cho xe 15C-136.31; 15C-139.82; 15C-070.63; 15C-119.57</t>
  </si>
  <si>
    <t>Lương (21 ngày)</t>
  </si>
  <si>
    <t xml:space="preserve">Lì xì đầu năm </t>
  </si>
  <si>
    <t>Thanh toán tiền chế tài BH xe 15C-139.82</t>
  </si>
  <si>
    <t>THÁNG 03.2022</t>
  </si>
  <si>
    <t>BMOU6334202</t>
  </si>
  <si>
    <t>Cty chè Thành Đạt, Thanh Chương, Nghệ An</t>
  </si>
  <si>
    <t>Đóng hàng XK ngày 02/03</t>
  </si>
  <si>
    <t>FSCU5914163</t>
  </si>
  <si>
    <t>Bãi 1 Lê Thánh Tông, Hải Phòng</t>
  </si>
  <si>
    <t>ZCSU7305064</t>
  </si>
  <si>
    <t>Trả hàng Vietsun sáng 04/03</t>
  </si>
  <si>
    <t>TCNU3919590</t>
  </si>
  <si>
    <t>Trả hàng Vietsun sáng 05/03</t>
  </si>
  <si>
    <t>CAIU4667776</t>
  </si>
  <si>
    <t>Đóng hàng XK ngày 07/03</t>
  </si>
  <si>
    <t>SEGU9791811</t>
  </si>
  <si>
    <t>Trả hàng NK tối 07/03</t>
  </si>
  <si>
    <t>FDCU0013604</t>
  </si>
  <si>
    <t>Đại Kim, Hoàng Mai, Hà Nội</t>
  </si>
  <si>
    <t>Đóng hàng KH chiều 09/03 trả 10/03</t>
  </si>
  <si>
    <t>Đóng hàng chè sáng 11/03</t>
  </si>
  <si>
    <t>GAOU6156671</t>
  </si>
  <si>
    <t>Trả hàng Vietsun sáng 12/03</t>
  </si>
  <si>
    <t>GCXU5017415</t>
  </si>
  <si>
    <t>Đóng hàng XK sáng 14/03</t>
  </si>
  <si>
    <t>SZLU6011875</t>
  </si>
  <si>
    <t>Đóng hàng XK chiều 14/03</t>
  </si>
  <si>
    <t>FSCU5972576</t>
  </si>
  <si>
    <t>Vận chuyển vỏ rỗng 15/03</t>
  </si>
  <si>
    <t>SVWU6295510</t>
  </si>
  <si>
    <t>TX. Hồng Lĩnh, Hà Tĩnh</t>
  </si>
  <si>
    <t>Vận chuyển vỏ rỗng 17/03</t>
  </si>
  <si>
    <t>TCKU9844575</t>
  </si>
  <si>
    <t>HASU4935791</t>
  </si>
  <si>
    <t>Đóng hàng XK chiều 21/03</t>
  </si>
  <si>
    <t>TSTU8506879</t>
  </si>
  <si>
    <t>Đóng hàng chè sáng 22/03</t>
  </si>
  <si>
    <t>CMAU6430805</t>
  </si>
  <si>
    <t>GAOU6507328</t>
  </si>
  <si>
    <t>Cargill Đồng Văn, Hà Nam + Cargill Phố Nối, HY</t>
  </si>
  <si>
    <t>Đóng hàng chè sáng 24/03</t>
  </si>
  <si>
    <t>DFSU7817887</t>
  </si>
  <si>
    <t>Đóng hàng chè chiều 25/03</t>
  </si>
  <si>
    <t>WHSU4024753</t>
  </si>
  <si>
    <t>Trả hàng NK sáng 26/03</t>
  </si>
  <si>
    <t>TRHU7320197</t>
  </si>
  <si>
    <t>Đóng hàng chè chiều 28/03</t>
  </si>
  <si>
    <t>CAIU7698256</t>
  </si>
  <si>
    <t>Đóng hàng XK 29/03</t>
  </si>
  <si>
    <t>SEGU9909910</t>
  </si>
  <si>
    <t>TRHU4735250</t>
  </si>
  <si>
    <t>Xuân Hòa, Phúc Yên, Vĩnh Phúc</t>
  </si>
  <si>
    <t>Thanh toán tiền mua 1 la răng dự phòng đầu kéo xe 15C-139.82</t>
  </si>
  <si>
    <t>Thanh toán tiền hệ thống camera giám sát xe 15C-136.31; 15C-139.82; 15C-070.63; 15C-119.57</t>
  </si>
  <si>
    <t>Thanh toán tiền mua đèn hậu led , đèn sườn to xe 15C-139.82</t>
  </si>
  <si>
    <t>Thanh toán tiền mua dây hơi moóc xe 15C-139.82</t>
  </si>
  <si>
    <t>Thanh toán tiền mua bi mayơ, phớt may ơ + công thợ xe 15C-139.82 ngày 17/2</t>
  </si>
  <si>
    <t>Thanh toán tiền thay côn mới, thay trung gian bàn ép, thay mặt gương côn, địa phanh xe 15C-139.82 ngày 06/3</t>
  </si>
  <si>
    <t>Lương (26/26 ngày)</t>
  </si>
  <si>
    <t>THÁNG 04.2022</t>
  </si>
  <si>
    <t>FFAU1287747</t>
  </si>
  <si>
    <t>Trả hàng NK sáng 05/04</t>
  </si>
  <si>
    <t>EITU1983324</t>
  </si>
  <si>
    <t>PCIU1813005</t>
  </si>
  <si>
    <t>Đóng hàng XK 07/04</t>
  </si>
  <si>
    <t>SEGU9719437</t>
  </si>
  <si>
    <t>SEGU9679144</t>
  </si>
  <si>
    <t>Trả hàng Vietsun sáng 08/04</t>
  </si>
  <si>
    <t>GAOU6506430</t>
  </si>
  <si>
    <t>Trả hàng NK sáng 09/04</t>
  </si>
  <si>
    <t>ZIMU1291867</t>
  </si>
  <si>
    <t>Khắc Niệm, Tiên Du, Bắc Ninh</t>
  </si>
  <si>
    <t>Trả hàng Vietsun sáng 12/04</t>
  </si>
  <si>
    <t>HMMU6305352</t>
  </si>
  <si>
    <t>Đóng hàng chè chiều 13/04</t>
  </si>
  <si>
    <t>FFAU1397831</t>
  </si>
  <si>
    <t>SMCU1142741</t>
  </si>
  <si>
    <t>Lai Cách, Hải Dương</t>
  </si>
  <si>
    <t>TEMU8593510</t>
  </si>
  <si>
    <t>ZCSU7759370</t>
  </si>
  <si>
    <t>Trả hàng Vietsun sáng 18/04</t>
  </si>
  <si>
    <t>YMLU8823605</t>
  </si>
  <si>
    <t>Đóng hàng KH 18/04 trả sáng 19/04</t>
  </si>
  <si>
    <t>TCLU1533810</t>
  </si>
  <si>
    <t>Đóng hàng XK 21/04</t>
  </si>
  <si>
    <t>FSCU5981080</t>
  </si>
  <si>
    <t>Trả hàng Vietsun chiều 21/04</t>
  </si>
  <si>
    <t>GAOU6144958</t>
  </si>
  <si>
    <t>OOCU6970158</t>
  </si>
  <si>
    <t>TCNU4306822</t>
  </si>
  <si>
    <t>Tề Lỗ, Vĩnh Tường, Vĩnh Phúc</t>
  </si>
  <si>
    <t>Đóng hàng chè chiều 25/04</t>
  </si>
  <si>
    <t>WHSU5425935</t>
  </si>
  <si>
    <t>MSDU7031087</t>
  </si>
  <si>
    <t>TEMU8158235</t>
  </si>
  <si>
    <t>Phù Chẩn, Từ Sơn, Bắc Ninh</t>
  </si>
  <si>
    <t>Trả hàng NK sáng 29/04</t>
  </si>
  <si>
    <t>DFSU7677975</t>
  </si>
  <si>
    <t>Đóng hàng KH chiều 29/04</t>
  </si>
  <si>
    <t xml:space="preserve">Đăng kiểm 15C-139.82 </t>
  </si>
  <si>
    <t>Đăng kiểm rơ moóc 15R-070.51 xe 15C-139.82</t>
  </si>
  <si>
    <t>Chi phí bồi dưỡng đăng kiểm xe 15C-139.82 và moóc</t>
  </si>
  <si>
    <t>Thanh toán tiền mua lọc dầu nhớt, lọc nhiên liệu tác nước xe 15C-139.82</t>
  </si>
  <si>
    <t>Xe 070.63</t>
  </si>
  <si>
    <t>THÁNG 05.2022</t>
  </si>
  <si>
    <t>Trả hàng NK sáng 10/05</t>
  </si>
  <si>
    <t>Trả hàng NK sáng 11/05</t>
  </si>
  <si>
    <t>Trả hàng NK sáng 13/05</t>
  </si>
  <si>
    <t>Đóng hàng chè sáng 18/05</t>
  </si>
  <si>
    <t>Đóng hàng chè sáng 20/05</t>
  </si>
  <si>
    <t>Trả hàng NK sáng 21/05</t>
  </si>
  <si>
    <t>Trả hàng Vietsun sáng 23/05</t>
  </si>
  <si>
    <t>Trả hàng NK sáng 27/05</t>
  </si>
  <si>
    <t>Trả hàng Vietsun sáng 28/05</t>
  </si>
  <si>
    <t>Trả hàng Vietsun sáng 31/05</t>
  </si>
  <si>
    <t>TCNU2867038</t>
  </si>
  <si>
    <t>FFAU1074654</t>
  </si>
  <si>
    <t>GESU6576338</t>
  </si>
  <si>
    <t>TGBU9979636</t>
  </si>
  <si>
    <t>OERU4192050</t>
  </si>
  <si>
    <t>ZCSU7327783</t>
  </si>
  <si>
    <t>CCLU7851175</t>
  </si>
  <si>
    <t>ZCSU7327459</t>
  </si>
  <si>
    <t>TCNU9387112</t>
  </si>
  <si>
    <t>DRYU9969466</t>
  </si>
  <si>
    <t>TGBU4942552</t>
  </si>
  <si>
    <t>MSMU8065719</t>
  </si>
  <si>
    <t>FSCU8983300</t>
  </si>
  <si>
    <t>TCNU5436749</t>
  </si>
  <si>
    <t>TCLU5179704</t>
  </si>
  <si>
    <t>WHSU5309431</t>
  </si>
  <si>
    <t>FFAU3920047</t>
  </si>
  <si>
    <t>KMTU9319996</t>
  </si>
  <si>
    <t>HMMU6295758</t>
  </si>
  <si>
    <t>CSNU7721652</t>
  </si>
  <si>
    <t>GAOU6505412</t>
  </si>
  <si>
    <t>Hải Bối, Đông Anh, Hà Nội</t>
  </si>
  <si>
    <t>KCN Tây Bắc Ga, Thanh Hóa</t>
  </si>
  <si>
    <t>Ngọc Long, Yên Mỹ, Hưng Yên</t>
  </si>
  <si>
    <t>KCN Thuận Thành 3, Bắc Ninh</t>
  </si>
  <si>
    <t>Dân Hòa, Kỳ Sơn, Hòa Bình</t>
  </si>
  <si>
    <t>Tanuco, xã Tân Dân, Khoái  Châu, Hưng Yên</t>
  </si>
  <si>
    <t>Kho DHL - Samsung, KCN VSIP Bắc Ninh</t>
  </si>
  <si>
    <t>Thanh toán tiền bảo hiểm TNDS, bảo hiểm vật chất xe 15C-139.82 ngày 16/5</t>
  </si>
  <si>
    <t>Trả hàng Vietsun sáng 01/06</t>
  </si>
  <si>
    <t>Trả hàng NK sáng 03/06</t>
  </si>
  <si>
    <t>Trả hàng NK sáng 04/06</t>
  </si>
  <si>
    <t>Đóng hàng XK sáng 07/06</t>
  </si>
  <si>
    <t>Trả hàng NK chiều 08/06</t>
  </si>
  <si>
    <t>Trả hàng NK sáng 17/06</t>
  </si>
  <si>
    <t>Trả hàng NK sáng 18/06</t>
  </si>
  <si>
    <t>Trả hàng Vietsun sáng 21/06</t>
  </si>
  <si>
    <t>Trả hàng NK sáng 25/06</t>
  </si>
  <si>
    <t>Đóng hàng chè chiều 28/06</t>
  </si>
  <si>
    <t>GAOU6144650</t>
  </si>
  <si>
    <t>WHSU4032960</t>
  </si>
  <si>
    <t>MRSU6447100</t>
  </si>
  <si>
    <t>GAOU6100327</t>
  </si>
  <si>
    <t>TGCU2009536</t>
  </si>
  <si>
    <t>EGHU1030770</t>
  </si>
  <si>
    <t>CSNU1537000</t>
  </si>
  <si>
    <t>GCXU5521956</t>
  </si>
  <si>
    <t>EITU9323190</t>
  </si>
  <si>
    <t>UETU5224685</t>
  </si>
  <si>
    <t>CAAU5138563</t>
  </si>
  <si>
    <t>DRYU9593403</t>
  </si>
  <si>
    <t>SEGU6121170</t>
  </si>
  <si>
    <t>TFLU4908983</t>
  </si>
  <si>
    <t>ZCSU7800290</t>
  </si>
  <si>
    <t>BMOU5723529</t>
  </si>
  <si>
    <t>DRYU9877565</t>
  </si>
  <si>
    <t>OOCU8342839</t>
  </si>
  <si>
    <t>FCIU7581524</t>
  </si>
  <si>
    <t>FFAU1156789</t>
  </si>
  <si>
    <t>WHSU2987477</t>
  </si>
  <si>
    <t>TGBU5560451</t>
  </si>
  <si>
    <t>TCNU2181120</t>
  </si>
  <si>
    <t>DFSU6876674</t>
  </si>
  <si>
    <t>WHSU4016779</t>
  </si>
  <si>
    <t>Bình Lục, Hà Nam</t>
  </si>
  <si>
    <t>CCN Vừa và nhỏ, Từ Liêm, Hà Nội</t>
  </si>
  <si>
    <t>TT. Lai  Cách, Cẩm Giàng, Hải Dương</t>
  </si>
  <si>
    <t>TT Thanh Ba, Thanh Ba, Phú Thọ</t>
  </si>
  <si>
    <t>3-5 Nguyễn Văn Linh, Long Biên, Hà Nội</t>
  </si>
  <si>
    <t>KCN Đồng Văn 4, Hà Nam</t>
  </si>
  <si>
    <t>KCN Tam Quang, Vũ Thư, Thái Bình</t>
  </si>
  <si>
    <t>KCN Quang Minh 2, Mê Linh, Hà Nội</t>
  </si>
  <si>
    <t>Trả hàng NK chiều 01/07</t>
  </si>
  <si>
    <t>Đóng hàng XK sáng 05/07</t>
  </si>
  <si>
    <t>Đóng hàng chè chiều 09/07</t>
  </si>
  <si>
    <t>Trả hàng Vietsun sáng 11/07</t>
  </si>
  <si>
    <t>Đóng hàng KH chiều 11/07</t>
  </si>
  <si>
    <t>Đóng hàng XK sáng + chiều 12/07</t>
  </si>
  <si>
    <t>Trả hàng Vietsun + đóng hàng KH 14/07</t>
  </si>
  <si>
    <t>Trả hàng NK sáng 22/07</t>
  </si>
  <si>
    <t>Đóng hàng chè sáng 25/07</t>
  </si>
  <si>
    <t>Trả hàng NK sáng 27/07 - 28/07</t>
  </si>
  <si>
    <t>UETU5870936</t>
  </si>
  <si>
    <t>HACU2220375</t>
  </si>
  <si>
    <t>DFSU2949284</t>
  </si>
  <si>
    <t>WHSU4035402</t>
  </si>
  <si>
    <t>CAIU7983314</t>
  </si>
  <si>
    <t>FFAU3121098</t>
  </si>
  <si>
    <t>GAOU6143165</t>
  </si>
  <si>
    <t>KKFU8073336</t>
  </si>
  <si>
    <t>CCLU5190862</t>
  </si>
  <si>
    <t>FFAU1135929</t>
  </si>
  <si>
    <t>FBLU0246316</t>
  </si>
  <si>
    <t>TRHU8129082</t>
  </si>
  <si>
    <t>GAOU6799981</t>
  </si>
  <si>
    <t>TGBU3683890</t>
  </si>
  <si>
    <t>TCNU7146409</t>
  </si>
  <si>
    <t>CULU1934699</t>
  </si>
  <si>
    <t>IAAU2771737</t>
  </si>
  <si>
    <t>FBLU0254040</t>
  </si>
  <si>
    <t>BURU6675987</t>
  </si>
  <si>
    <t>Kiểm hóa + KCN Yên Phong, Bắc Ninh</t>
  </si>
  <si>
    <t>Tân Chi, Tiên Du, Bắc Ninh - KCN Quế Võ 2, Bắc Ninh</t>
  </si>
  <si>
    <t>Hưng Thịnh, Bình Giang, Hải Dương</t>
  </si>
  <si>
    <t>CCN Nội Hoàng, Yên Dũng, Bắc Giang</t>
  </si>
  <si>
    <t>TP. Bắc Ninh + Đình Xuyên, Gia Lâm, Hà Nội</t>
  </si>
  <si>
    <t>Cargill Đồng Văn + Cargill Phố Nối, HY - Phả Lại, HD</t>
  </si>
  <si>
    <t>CCN Đồng Sóc, Vũ Di, Vĩnh Tường, Vĩnh Phúc</t>
  </si>
  <si>
    <t>Phúc Khoa, Tân Uyên, Lai Châu</t>
  </si>
  <si>
    <t>Máy soi container + Thuận Châu, Sơn La</t>
  </si>
  <si>
    <t>Thanh toán tiền mua dầu total Rubia Tir 7400 cho xe 15C-136.31, 15C-139.82, 15C-070.63,15C180.99 ngày 13/6</t>
  </si>
  <si>
    <t>Thanh toán mua 4 ắc quy cho xe 15C-139.82 ngày 29/6</t>
  </si>
  <si>
    <t>Thanh toán tiền mua dây điện mooc xe 15C-139.82 ngày 30/7</t>
  </si>
  <si>
    <t>Thanh toán tiền thay con lăn dây xe 15C-139.82 ngày 17/7</t>
  </si>
  <si>
    <t>Thanh toán tiền  bổ sung 9 lít dầu cầu, 2ốc cút xe 15C-139.82 ngày 12/7</t>
  </si>
  <si>
    <t>Thanh toán tiền lọc nhiên liệu, lọc nhớt, lọc nhiên liệu tách nước xe 15C-139.82 ngày 13/6</t>
  </si>
  <si>
    <t>THÁNG 08.2022</t>
  </si>
  <si>
    <t>THÁNG 07.2022</t>
  </si>
  <si>
    <t>THÁNG 06.2022</t>
  </si>
  <si>
    <t>Đóng hàng chè chiều 01/08 - 02/08</t>
  </si>
  <si>
    <t>Trả hàng NK sáng 05/08 - 06/08</t>
  </si>
  <si>
    <t>Đóng hàng chè sáng 09/08</t>
  </si>
  <si>
    <t>Trả hàng Vietsun sáng 10/08</t>
  </si>
  <si>
    <t>Trả hàng NK sáng 16/08</t>
  </si>
  <si>
    <t>Trả hàng NK sáng 18/08</t>
  </si>
  <si>
    <t>Trả hàng NK chiều 20/08</t>
  </si>
  <si>
    <t>Trả hàng Vietsun sáng 22/08</t>
  </si>
  <si>
    <t>Trả hàng + đóng hàng KH 23 - 24/08</t>
  </si>
  <si>
    <t>Đóng hàng chè sáng 26/08</t>
  </si>
  <si>
    <t>Đóng hàng chè sáng 30/08</t>
  </si>
  <si>
    <t>FCIU7630953</t>
  </si>
  <si>
    <t>SEGU1773405</t>
  </si>
  <si>
    <t>BMOU6320071</t>
  </si>
  <si>
    <t>TCNU4595345</t>
  </si>
  <si>
    <t>WHSU2499030</t>
  </si>
  <si>
    <t>CCLU7391383</t>
  </si>
  <si>
    <t>WHSU2759538</t>
  </si>
  <si>
    <t>TCKU1184623</t>
  </si>
  <si>
    <t>DRYU9962899</t>
  </si>
  <si>
    <t>DRYU9969851</t>
  </si>
  <si>
    <t>FSCU8535950</t>
  </si>
  <si>
    <t>FJKU6007424</t>
  </si>
  <si>
    <t>CCLU5234153</t>
  </si>
  <si>
    <t>MEDU4419507</t>
  </si>
  <si>
    <t>BMOU4335299</t>
  </si>
  <si>
    <t>DRYU9962796</t>
  </si>
  <si>
    <t>CBHU9468329</t>
  </si>
  <si>
    <t>YMMU6051872</t>
  </si>
  <si>
    <t>YMMU6452860</t>
  </si>
  <si>
    <t>SEKU4071109</t>
  </si>
  <si>
    <t>WHSU6347903</t>
  </si>
  <si>
    <t>SEGU6859327</t>
  </si>
  <si>
    <t>TCNU4720339</t>
  </si>
  <si>
    <t>Vân Hà, Đông Anh, Hà Nội</t>
  </si>
  <si>
    <t>Lô 38G, KCN Quang Minh, Hà Nội</t>
  </si>
  <si>
    <t>Cargill Phố Nối, Hưng Yên</t>
  </si>
  <si>
    <t>Làng Khoai, Như Quỳnh, Văn Lâm, Hưng Yên</t>
  </si>
  <si>
    <t>TP. Hải Dương + Yên Mỹ, Hưng Yên</t>
  </si>
  <si>
    <t>Bản Bo, TP. Tam Đường, Lai Châu</t>
  </si>
  <si>
    <t>Hoài Đức, Hà Nội - Tam Nông, Phú Thọ</t>
  </si>
  <si>
    <t>Địch Quả, Thanh Sơn, Phú Thọ</t>
  </si>
  <si>
    <t>Phù Ninh, Phú Thọ</t>
  </si>
  <si>
    <t>TT Tân Uyên, Tân Uyên, Lai Châu</t>
  </si>
  <si>
    <t>Thanh toán tiền mua cầu chì xe 15C-139.82 ngày 7/8</t>
  </si>
  <si>
    <t>Thanh toán tiền mua dây nối đồng, đan xiết, dây, lạt xe 15C-139.82 ngày 15/8</t>
  </si>
  <si>
    <t xml:space="preserve">Thanh toán tiền mua đèn biển số xe 15C-139.82 </t>
  </si>
  <si>
    <t>Anh Huy Vietsun</t>
  </si>
  <si>
    <t>Tiền vé trạm thu phí Epass</t>
  </si>
  <si>
    <t xml:space="preserve">Thanh toán tiền bảo dưỡng rơ mooc xe 15C-139.82 </t>
  </si>
  <si>
    <t>Thanh toán tiền thay 8 con lăn phanh, 4 lò xo to, 8 lò xo nhỏ, tán 4 tăng bua, 4 bộ phanh, 1 giảm sóc tải, 2 bạc nhíp tải ,1 ốc nhíp, đóng bạc 3 đầu giảm sóc, cút nhựa 6 đầu, công tháo lắp 3 giảm sóc, 4 bộ phanh xe 15C-139.82 ngày 25/7</t>
  </si>
  <si>
    <t>Thanh toán tiền bơm mỡ, lọc dầu xe 15C-139.82 ngày 17/7</t>
  </si>
  <si>
    <t>Thanh toán tiền tháo lắp hàn chảy bình dầu xe 15C-139.82 ngày 28/8</t>
  </si>
  <si>
    <t>Lương (26/26 ngày) + tiền sinh nhật</t>
  </si>
  <si>
    <t>Mua con tăng dây cu-roa 18/07</t>
  </si>
  <si>
    <t>THÁNG 09.2022</t>
  </si>
  <si>
    <t>Đóng hàng chè sáng 03/09</t>
  </si>
  <si>
    <t>Đóng hàng chè sáng 15/09</t>
  </si>
  <si>
    <t>Trả hàng Vietsun sáng 16/09</t>
  </si>
  <si>
    <t>Đóng hàng XK sáng 17/09</t>
  </si>
  <si>
    <t>Trả hàng Vietsun sáng 28/09</t>
  </si>
  <si>
    <t>BEAU4970176</t>
  </si>
  <si>
    <t>TEMU5495166</t>
  </si>
  <si>
    <t>FFAU3310240</t>
  </si>
  <si>
    <t>TCNU3574939</t>
  </si>
  <si>
    <t>MAGU5535463</t>
  </si>
  <si>
    <t>CAIU9281359</t>
  </si>
  <si>
    <t>WHSU2432838</t>
  </si>
  <si>
    <t>OOCU8317190</t>
  </si>
  <si>
    <t>MATU2776405</t>
  </si>
  <si>
    <t>TGBU6076591</t>
  </si>
  <si>
    <t>OOCU8983703</t>
  </si>
  <si>
    <t>MAGU2526581</t>
  </si>
  <si>
    <t>TCKU3025359</t>
  </si>
  <si>
    <t>YMMU6251968</t>
  </si>
  <si>
    <t>GAOU6144726</t>
  </si>
  <si>
    <t>GESU6362296</t>
  </si>
  <si>
    <t>Bản Giang, Tam Đường, Lào Cai</t>
  </si>
  <si>
    <t>TT. Phong Hải, Bảo Thắng, Lào Cai</t>
  </si>
  <si>
    <t>Quán Triều, TP. Thái Nguyên</t>
  </si>
  <si>
    <t>Vạn Điểm, Thường Tín, Hà Nội</t>
  </si>
  <si>
    <t>KCN Phúc Khánh, TP. Thái Bình</t>
  </si>
  <si>
    <t>Lương (27/26 ngày)</t>
  </si>
  <si>
    <t>Thanh toán tiền mua lọc nhiên liệu P550821; lọc nhiên liệu tách nước P550748; lọc dầu nhớt P551088 xe 15C-139.82</t>
  </si>
  <si>
    <t>Thanh toán tiền làm đèn vàng + đèn pha cốt + 2m dây xe 15C-139.82</t>
  </si>
  <si>
    <t>Thanh toán tiền công sửa điện xe 15C-139.82 ngày 30/9</t>
  </si>
  <si>
    <t>Thanh toán tiền mua Ty bơm cao áp bãi xe 15C-139.82 ngày 29/9</t>
  </si>
  <si>
    <t>Thanh toán tiền sửa xe 15C-139.82 ( đắp dấu capo, thay bộ quay treo lốp, hàn táp xương, vè BH) ngày 6/6</t>
  </si>
  <si>
    <t>Thanh toán tiền sửa xe 15C-139.82 (Thay vè, bả sơn vè , tháo bắt xương chắn nắng) ngày 6/11/21</t>
  </si>
  <si>
    <t>THÁNG 10.2022</t>
  </si>
  <si>
    <t>Đóng hàng chè sáng 02/10</t>
  </si>
  <si>
    <t>Đóng hàng chè chiều 06/10</t>
  </si>
  <si>
    <t>Đóng hàng KH Vietsun sáng 08/10</t>
  </si>
  <si>
    <t>Trả hàng Vietsun sáng 11/10</t>
  </si>
  <si>
    <t>Đóng hàng chè chiều 12/10</t>
  </si>
  <si>
    <t>Đóng hàng chè sáng 16/10</t>
  </si>
  <si>
    <t>Đóng hàng chè chiều 18/10</t>
  </si>
  <si>
    <t>Đóng hàng xỉ bọt sáng 26/10</t>
  </si>
  <si>
    <t>FFAU3339393</t>
  </si>
  <si>
    <t>TEMU8796986</t>
  </si>
  <si>
    <t>SLLU2212093</t>
  </si>
  <si>
    <t>WHSU2462935</t>
  </si>
  <si>
    <t>GAOU6145830</t>
  </si>
  <si>
    <t>TXGU5342663</t>
  </si>
  <si>
    <t>BISU6821401</t>
  </si>
  <si>
    <t>BMOU6337897</t>
  </si>
  <si>
    <t>TRHU6457380</t>
  </si>
  <si>
    <t>YMMU6081970</t>
  </si>
  <si>
    <t>CAIU7966549</t>
  </si>
  <si>
    <t>OOCU7133027</t>
  </si>
  <si>
    <t>TCNU1972023</t>
  </si>
  <si>
    <t>TGHU6767255</t>
  </si>
  <si>
    <t>TCLU9824719</t>
  </si>
  <si>
    <t>YMLU8673700</t>
  </si>
  <si>
    <t>Mai Đình, Sóc Sơn, Hà Nội</t>
  </si>
  <si>
    <t>Tân Phong, TP. Lai Châu</t>
  </si>
  <si>
    <t>Thanh toán tiền mua đôi ngáo hơi xe 15C-139.82 ngày 2/10</t>
  </si>
  <si>
    <t>Thanh toán tiền mua ống sáo, bộ ống dầu cao áp bơm, công thợ xe 15C-139.82 ngày 4/10</t>
  </si>
  <si>
    <t>Thanh toán tiền mua ống dầu cao áp xe 15C-139.82 ngày 1/10</t>
  </si>
  <si>
    <t>Thanh toán tiền phí đường bộ và đăng kiểm xe 15C-139.82</t>
  </si>
  <si>
    <t>Thanh toán tiền mua 3 hộp chì tạm cho xe</t>
  </si>
  <si>
    <t xml:space="preserve">Chi ngoài đăng kiểm xe 15C-139.82 </t>
  </si>
  <si>
    <t>Thanh toán tiền lốp xe 15C-139.82 ngày 10/9</t>
  </si>
  <si>
    <t xml:space="preserve">Thanh toán tiền mùa đèn sườn to, bóng cabin MF to X cho xe 15C-139.82 </t>
  </si>
  <si>
    <t>Thanh toán tiền thùng dầu cho Việt Phát cho xe 15C-139.82; 15C-070.63; 15C-136.31, 15C-180.99 ngày 10/9</t>
  </si>
  <si>
    <t>Thanh toán tiền thay bóng hơi cabin xe 15C-139.82 ngày 29/10</t>
  </si>
  <si>
    <t>Thanh toán tiền bơm mỡ xe 15C-139.82 ngày 25/10</t>
  </si>
  <si>
    <t>THÁNG 11.2022</t>
  </si>
  <si>
    <t>Trả hàng phế liệu sáng 08/11</t>
  </si>
  <si>
    <t>Đóng hàng chè chiều 15/11</t>
  </si>
  <si>
    <t>Trả hàng Vietsun sáng 30/11</t>
  </si>
  <si>
    <t>Bản Giang, Tam Đường, Lai Châu</t>
  </si>
  <si>
    <t>Đồng Tâm, Lạc Thủy, Hòa Bình</t>
  </si>
  <si>
    <t>Minh Trí, Sóc Sơn, Hà Nội</t>
  </si>
  <si>
    <t>Kho DHL - Samsung, KCN VSIP, Bắc Ninh</t>
  </si>
  <si>
    <t>KCN Đồng Văn 2, Bạch Thượng, Duy Tiên, Hà Nam</t>
  </si>
  <si>
    <t>Số 18, Trần Thái Tông, TP. Thái Bình</t>
  </si>
  <si>
    <t>FCIU7591800</t>
  </si>
  <si>
    <t>TCLU4688414</t>
  </si>
  <si>
    <t>WHSU5839576</t>
  </si>
  <si>
    <t>TLLU4598200</t>
  </si>
  <si>
    <t>SEGU5574232</t>
  </si>
  <si>
    <t>GLDU5597287</t>
  </si>
  <si>
    <t>KKFU7974290</t>
  </si>
  <si>
    <t>FFAU2891807</t>
  </si>
  <si>
    <t>TCNU1872045</t>
  </si>
  <si>
    <t>CAAU5536905</t>
  </si>
  <si>
    <t>GAOU6143627</t>
  </si>
  <si>
    <t>GAOU6505602</t>
  </si>
  <si>
    <t>HASU4552827</t>
  </si>
  <si>
    <t>TWCU4047013</t>
  </si>
  <si>
    <t>TCKU6000436</t>
  </si>
  <si>
    <t>GAOU6800300</t>
  </si>
  <si>
    <t>Thanh toán tiền mua phớt 50 +77 xe 15C-139.82</t>
  </si>
  <si>
    <t>Thanh toán tiền thay 1 chân cao su cần chia hơi bóng tải xe 15C-139.82 ngày 26/11</t>
  </si>
  <si>
    <t>Thanh toán tiền cắt hồi tiếp xe 15C-139.82 ngày 26/11</t>
  </si>
  <si>
    <t>Thanh toán tiền lọc ly tâm MF BD xe 15C-139.82 ngày 29/11</t>
  </si>
  <si>
    <t>Thanh toán tiền gia cố bảo hiểm hai bên moóc xe 15C-139.82 ngày 30/11</t>
  </si>
  <si>
    <t>Thanh toán tiền mua 3 cút nước, công làm ống nước VRG, thay bô li cánh quạt, làm bơm dầu xe 15C-139.82 ngày 21/11</t>
  </si>
  <si>
    <t>Thanh toán tiền mua dầu lọc nhớt P551088, lọc nhiên liệu P550821, lọc nhiên liệu tách nước P550748 xe 15C-139.82 ngày 26/11</t>
  </si>
  <si>
    <t>Lương (25/26 ngày)</t>
  </si>
  <si>
    <t>Lương (22/26 ngày)</t>
  </si>
  <si>
    <t>Đóng hàng chè sáng 02/12</t>
  </si>
  <si>
    <t>Đóng hàng chè chiều 03/12</t>
  </si>
  <si>
    <t>Đóng hàng chè chiều 06/12</t>
  </si>
  <si>
    <t>Đóng hàng chè chiều 08/12</t>
  </si>
  <si>
    <t>Đóng hàng XK sáng 10/12</t>
  </si>
  <si>
    <t>Đóng hàng chè sáng 12/12</t>
  </si>
  <si>
    <t>Trả hàng Vietsun chiều 20/12</t>
  </si>
  <si>
    <t>Đóng hàng chè sáng 21/12</t>
  </si>
  <si>
    <t>Đóng hàng chè sáng 26/12</t>
  </si>
  <si>
    <t>Đóng hàng XK sáng 27/12</t>
  </si>
  <si>
    <t>Đóng hàng chè chiều 31/12</t>
  </si>
  <si>
    <t>Phường Tân Phong, TP. Lai Châu</t>
  </si>
  <si>
    <t>Nguyễn Văn Linh, Bần Yên Nhân, Mỹ Hào, Hưng Yên</t>
  </si>
  <si>
    <t>P. Tân Phong, TP. Lai Châu, Lai Châu</t>
  </si>
  <si>
    <t>YMMU6342224</t>
  </si>
  <si>
    <t>OOCU8119620</t>
  </si>
  <si>
    <t>YMMU6040902</t>
  </si>
  <si>
    <t>DRYU9592270</t>
  </si>
  <si>
    <t>TCNU4671717</t>
  </si>
  <si>
    <t>TCNU4604410</t>
  </si>
  <si>
    <t>BEAU4640929</t>
  </si>
  <si>
    <t>YMMU6555148</t>
  </si>
  <si>
    <t>FFAU1274987</t>
  </si>
  <si>
    <t>BEAU4828876</t>
  </si>
  <si>
    <t>BEAU6299215</t>
  </si>
  <si>
    <t>GAOU6506342</t>
  </si>
  <si>
    <t>TGBU5171716</t>
  </si>
  <si>
    <t>TXGU5782600</t>
  </si>
  <si>
    <t>TGBU5558860</t>
  </si>
  <si>
    <t>CMAU8854103</t>
  </si>
  <si>
    <t>TLLU8405017</t>
  </si>
  <si>
    <t>TEMU8746521</t>
  </si>
  <si>
    <t>YMMU6504990</t>
  </si>
  <si>
    <t>THÁNG 12.2022</t>
  </si>
  <si>
    <t xml:space="preserve">Thanh toán tiền thay côn 39 Enton CH, phanh Acơ Enton, Nato 39 CH cho xe 15C-139.82 </t>
  </si>
  <si>
    <t>Thanh toán tiền lốp L1100R20 casu881 cho  xe 15C-139.82 ngày 23/12</t>
  </si>
  <si>
    <t>Thanh toán tiền thay cảm biển áp suất 23527828 xe 15C-139.82</t>
  </si>
  <si>
    <t>Lương (28/26 ngày)</t>
  </si>
  <si>
    <t>Thanh toán tiền mua dầu Total Quartz 7000 5w30 ngày 25/11xe 15C-136.31; 15C-180.99; 15C-070.63; 15C-139.82</t>
  </si>
  <si>
    <t>Thanh toán công hạ côn xe 15C-139.82 ngày 28/12</t>
  </si>
  <si>
    <t>Thanh toán tiền cút đồng ép táo, sửa 2 quả lốc kề đầu xe 15C-139.82 ngày 15/12</t>
  </si>
  <si>
    <t>Bổ sung dầu cầu 4L</t>
  </si>
  <si>
    <t>Tiền cứu hộ xe Tuyên Quang - Hải Phòng</t>
  </si>
  <si>
    <t>Giảm 50% cước do xe hỏng phải cứu hộ, chuyển 50% sang cho xe 15C-136.31 (đi cứu hộ)</t>
  </si>
  <si>
    <t>Thanh toán tiền mua lốp 295/75/16/ Casu/881 + săm xe 15C-139.82 ngày 12/11</t>
  </si>
  <si>
    <t>Thưởng Tết</t>
  </si>
  <si>
    <t>THÁNG 01.2023</t>
  </si>
  <si>
    <t>Đóng hàng chè sáng 04/01</t>
  </si>
  <si>
    <t>EMCU8465737</t>
  </si>
  <si>
    <t>TT. Thanh Ba, Thanh Ba, Phú Thọ</t>
  </si>
  <si>
    <t>TCNU4605870</t>
  </si>
  <si>
    <t>BMOU6246009</t>
  </si>
  <si>
    <t>Ngọc Lâm, Mỹ Hào, Hưng Yên</t>
  </si>
  <si>
    <t>Đóng hàng chè sáng 07/01</t>
  </si>
  <si>
    <t>TCNU2092676</t>
  </si>
  <si>
    <t>Đóng hàng chè sáng 09/01</t>
  </si>
  <si>
    <t>BEAU5805197</t>
  </si>
  <si>
    <t>Đóng hàng chè chiều 10/01</t>
  </si>
  <si>
    <t>CAIU4292622</t>
  </si>
  <si>
    <t>BEAU4319987</t>
  </si>
  <si>
    <t>Đóng hàng chè chiều 13/01</t>
  </si>
  <si>
    <t>YMMU6454055</t>
  </si>
  <si>
    <t>Đóng hàng chè sáng 16/01</t>
  </si>
  <si>
    <t>OOLU6982073</t>
  </si>
  <si>
    <t>TCNU2132151</t>
  </si>
  <si>
    <t>GAOU6145764</t>
  </si>
  <si>
    <t>Tân Quang, Văn Lâm, Hưng Yên</t>
  </si>
  <si>
    <t>DRYU9876039</t>
  </si>
  <si>
    <t>Thưởng tết dương lịch</t>
  </si>
  <si>
    <t>Thanh toán tiền mua bơm nước mới + công xe 15C-139.82</t>
  </si>
  <si>
    <t>Thanh toán tiền thay bát phanh moóc xe 15C-139.82 ngày 30/1</t>
  </si>
  <si>
    <t>Đóng hàng chè sáng 01/02</t>
  </si>
  <si>
    <t>Đóng hàng chè sáng 02/02</t>
  </si>
  <si>
    <t>Trả hàng NK sáng 03/02</t>
  </si>
  <si>
    <t>Đóng hàng chè sáng 06/02</t>
  </si>
  <si>
    <t>Trả hàng phế liệu sáng 07/02</t>
  </si>
  <si>
    <t>Trả hàng phế liệu sáng 08/02</t>
  </si>
  <si>
    <t>Đóng hàng chè sáng 09/02</t>
  </si>
  <si>
    <t>Đóng hàng vỏ bình khí chiều 10/02</t>
  </si>
  <si>
    <t>Đóng hàng chè sáng 11/02</t>
  </si>
  <si>
    <t>Đóng hàng chè sáng 13/02</t>
  </si>
  <si>
    <t>Đóng hàng XK sáng 14/02</t>
  </si>
  <si>
    <t>Đóng hàng KH sáng 16/02</t>
  </si>
  <si>
    <t>Trả hàng + đóng hàng KH 23/02</t>
  </si>
  <si>
    <t>Trả hàng Vietsun sáng 25/02</t>
  </si>
  <si>
    <t>Đóng hàng xỉ bọt dáng 27/02</t>
  </si>
  <si>
    <t>Trả hàng Vietsun sáng 28/02</t>
  </si>
  <si>
    <t>TGBU8618428</t>
  </si>
  <si>
    <t>CAIU9634836</t>
  </si>
  <si>
    <t>FFAU4424421</t>
  </si>
  <si>
    <t>CAAU5482476</t>
  </si>
  <si>
    <t>TEMU3041436</t>
  </si>
  <si>
    <t>OOLU1427550</t>
  </si>
  <si>
    <t>OOCU7731081</t>
  </si>
  <si>
    <t>TCKU3724504</t>
  </si>
  <si>
    <t>SEGU6451628</t>
  </si>
  <si>
    <t>EGHU9408655</t>
  </si>
  <si>
    <t>CAAU5722941</t>
  </si>
  <si>
    <t>FBLU0161184</t>
  </si>
  <si>
    <t>CAIU4667185</t>
  </si>
  <si>
    <t>CAIU7058454</t>
  </si>
  <si>
    <t>DRYU9591993</t>
  </si>
  <si>
    <t>MSMU8159720</t>
  </si>
  <si>
    <t>HACU2162577</t>
  </si>
  <si>
    <t>GAOU6506445</t>
  </si>
  <si>
    <t>MRKU5780876</t>
  </si>
  <si>
    <t>DRYU9593337</t>
  </si>
  <si>
    <t>Kho DDC Hải Phòng - HCM</t>
  </si>
  <si>
    <t>Bình Giang, Hải Dương - Thanh Liêm, Hà Nam</t>
  </si>
  <si>
    <t>Thanh toán tiền tháo may ơ, .. xe 15C-139.82 ngày 02/2</t>
  </si>
  <si>
    <t xml:space="preserve">Thanh toán Cty định vị bách khoa tiền thu phí duy trì camera 4 xe 15C-136.31, 15C-139.82, 15C-070.63, 15C-180.99 hết 12/2023 </t>
  </si>
  <si>
    <t>Thanh toán tiền hàn chắn bùn  moóc xe 15C-139.82 ngày 09/2</t>
  </si>
  <si>
    <t>Thanh toán tiền dầu total rubia tir 7400 20W50-208L xe 15C-139.82; 15C-180.99; 15C-136.31; 15C-070.63</t>
  </si>
  <si>
    <t>Thanh toán tiền bơm mỡ xe 15C-139.82 ngày 20/09/22</t>
  </si>
  <si>
    <t>THÁNG 02.2023</t>
  </si>
  <si>
    <t>THÁNG 03.2023</t>
  </si>
  <si>
    <t>Đóng hàng XK sáng 01/03</t>
  </si>
  <si>
    <t>Trả hàng phế liệu sáng 02/03</t>
  </si>
  <si>
    <t>Trả hàng NK chiều 03/03</t>
  </si>
  <si>
    <t>Đóng hàng XK sáng 04/03</t>
  </si>
  <si>
    <t>Đóng hàng chè sáng 06/03</t>
  </si>
  <si>
    <t>Trả hàng Vietsun sáng 08/03</t>
  </si>
  <si>
    <t>Trả hàng Vietsun sáng 10/03</t>
  </si>
  <si>
    <t>Đóng hàng XK sáng 11/03</t>
  </si>
  <si>
    <t>Trả hàng phế liệu ngày 13/03</t>
  </si>
  <si>
    <t>Trả hàng NK sáng 15/03</t>
  </si>
  <si>
    <t>Đóng hàng XK sáng 17/03</t>
  </si>
  <si>
    <t>Đóng hàng XK chiều 19/03</t>
  </si>
  <si>
    <t>Trả hàng Vietsun sáng 20/03</t>
  </si>
  <si>
    <t>Đóng hàng XK sáng 21/03</t>
  </si>
  <si>
    <t>Trả hàng phế liệu sáng 27/03</t>
  </si>
  <si>
    <t>Trả hàng NK sáng 31/03</t>
  </si>
  <si>
    <t>Tiên Phú, Phù Ninh, Phú Thọ</t>
  </si>
  <si>
    <t>Mỹ Lộc, Nam Định</t>
  </si>
  <si>
    <t>TT. Phùng, Đan Phượng, Hà Nội</t>
  </si>
  <si>
    <t>Thanh Ba, Phú Thọ</t>
  </si>
  <si>
    <t>Yên Khánh, Ninh Bình - Kim Bảng, Hà Nam</t>
  </si>
  <si>
    <t>Kho VSIP, Bắc Ninh</t>
  </si>
  <si>
    <t>xã Điềm Thụy, huyện Phú Bình, Thái Nguyên</t>
  </si>
  <si>
    <t>Phú Thứ, Kinh Môn, Hải Dương</t>
  </si>
  <si>
    <t>KCN Yên Mỹ 2, TT Yên Mỹ, Hưng Yên</t>
  </si>
  <si>
    <t>KCN Đồng Văn IV, Đại Cương, Kim Bảng, Hà Nam</t>
  </si>
  <si>
    <t>Bảo Yên, Thanh Thủy, Phú Thọ</t>
  </si>
  <si>
    <t>Kim Lương, Kim Thành, Hải Dương</t>
  </si>
  <si>
    <t>YMMU6750191</t>
  </si>
  <si>
    <t>TTNU4274435</t>
  </si>
  <si>
    <t>UNIU5022713</t>
  </si>
  <si>
    <t>MSMU5821495</t>
  </si>
  <si>
    <t>OOCU7685406</t>
  </si>
  <si>
    <t>BISU2833702</t>
  </si>
  <si>
    <t>GAOU6506276</t>
  </si>
  <si>
    <t>TCLU7488488</t>
  </si>
  <si>
    <t>TGBU6259988</t>
  </si>
  <si>
    <t>CBHU9002536</t>
  </si>
  <si>
    <t>BSIU9686985</t>
  </si>
  <si>
    <t>EITU1946207</t>
  </si>
  <si>
    <t>DRYU9969532</t>
  </si>
  <si>
    <t>MRKU6687937</t>
  </si>
  <si>
    <t>IPXU3475592</t>
  </si>
  <si>
    <t>DRYU9875990</t>
  </si>
  <si>
    <t>MEDU7270926</t>
  </si>
  <si>
    <t>YMMU6114559</t>
  </si>
  <si>
    <t>DFSU1958595</t>
  </si>
  <si>
    <t>TGHU3238197</t>
  </si>
  <si>
    <t>FCIU9730479</t>
  </si>
  <si>
    <t>TGHU6956937</t>
  </si>
  <si>
    <t>TRHU6867770</t>
  </si>
  <si>
    <t>SZLU9692854</t>
  </si>
  <si>
    <t>Thanh toán tiền lọc nhớt P551088, lọc nhiên liệu P550821, lọc tách nước  P550748 cho xe 15C-139.82</t>
  </si>
  <si>
    <t>Ép ống dây lọc li tâm, công thay xe 15C-139.82 ngày 13/1</t>
  </si>
  <si>
    <t>Thẻ epass</t>
  </si>
  <si>
    <t>THÁNG 04.2023</t>
  </si>
  <si>
    <t>Đóng hàng XK sáng 05/04</t>
  </si>
  <si>
    <t>Trả hàng NK sáng 06/04 + qua máy soi</t>
  </si>
  <si>
    <t>Đóng hàng XK sáng 07/04</t>
  </si>
  <si>
    <t>Đóng hàng XK sáng 08/04</t>
  </si>
  <si>
    <t>Đóng hàng chè sáng 14/04</t>
  </si>
  <si>
    <t>Trả hàng NK chiều 15/04</t>
  </si>
  <si>
    <t>Đóng hàng chè sáng 17/04</t>
  </si>
  <si>
    <t>Trả hàng phế liệu sáng 20/04</t>
  </si>
  <si>
    <t>Đóng hàng XK sáng 21/04</t>
  </si>
  <si>
    <t>Trả hàng Vietsun sáng 24/04</t>
  </si>
  <si>
    <t>Đóng hàng XK sáng 25/04</t>
  </si>
  <si>
    <t>Đóng hàng chè sáng 26/04</t>
  </si>
  <si>
    <t>Trả hàng NK sáng 27/04</t>
  </si>
  <si>
    <t>Đóng hàng XK sáng 28/04</t>
  </si>
  <si>
    <t>Máy soi Tasa Duyên Hải, HP - KCN Quế Võ 3, BN</t>
  </si>
  <si>
    <t>KCN Đông Mai, Quảng Yên, Quảng Ninh</t>
  </si>
  <si>
    <t>Km756, Thanh Chương, Nghệ An</t>
  </si>
  <si>
    <t>CCN Duyên Thái, Thanh Trì, Hà Nội</t>
  </si>
  <si>
    <t>KĐT Thanh Hà, Hà Đông, Hà Nội</t>
  </si>
  <si>
    <t>YMMU6326270</t>
  </si>
  <si>
    <t>TGBU8042820</t>
  </si>
  <si>
    <t>ZIMU3112467</t>
  </si>
  <si>
    <t>POLU4501360</t>
  </si>
  <si>
    <t>EITU0224637</t>
  </si>
  <si>
    <t>EGHU3511820</t>
  </si>
  <si>
    <t>EITU0302560</t>
  </si>
  <si>
    <t>REGU5094588</t>
  </si>
  <si>
    <t>CSNU7758224</t>
  </si>
  <si>
    <t>EISU2119426</t>
  </si>
  <si>
    <t>OOCU9086773</t>
  </si>
  <si>
    <t>OOCU7507575</t>
  </si>
  <si>
    <t>FCIU9047462</t>
  </si>
  <si>
    <t>MSDU4039016</t>
  </si>
  <si>
    <t>OOCU8206642</t>
  </si>
  <si>
    <t>BEAU4315024</t>
  </si>
  <si>
    <t>MEDU4050620</t>
  </si>
  <si>
    <t>WHSU0003726</t>
  </si>
  <si>
    <t>LCGU8173697</t>
  </si>
  <si>
    <t>WHSU5773993</t>
  </si>
  <si>
    <t>Thanh toán tiền phớt trước SKF Bi 3782 , bi 212049 xe 15C-139.82 ngày 09/4</t>
  </si>
  <si>
    <t>Thanh toán tiền hàn rơ moóc, chắn bùn, treo lốp xe 15C-139.82</t>
  </si>
  <si>
    <t>Thanh toán tiền thay kính chắn gió xe 15C-139.82 ngày 12/4</t>
  </si>
  <si>
    <t>Phí kiểm định xe 15C-139.82 , rơ moóc 15R-07051</t>
  </si>
  <si>
    <t>Phí đường bộ đăng kiểm xe 15C-139.82 , rơ moóc 15R-07051</t>
  </si>
  <si>
    <t>Làm lại thẻ epass cho xe 15C-139.82</t>
  </si>
  <si>
    <t>Thanh toán tiền thuê lốp, chỉnh phanh xe 15C-139.82 ngày 12/4</t>
  </si>
  <si>
    <t>Thanh toán tiền mua 2 đèn hiệu led, 1 công tắc đèn, 1 còi điện, 1 mô tơ bơm nước, công cho xe 15C-139.82 ngày 10/4</t>
  </si>
  <si>
    <t>Thanh toán tiền mua bình cứu hỏa, búa thoát hiểm cho xe 15C-139.82</t>
  </si>
  <si>
    <t>Thanh toán tiền mua tam giác moóc, tem cẩm lửa  cho xe 15C-136.31; 15C-139.82; 15C-070.63; 15C-180.99</t>
  </si>
  <si>
    <t>Chi tiền thưởng nghỉ lễ 30/4-1/5</t>
  </si>
  <si>
    <t>Thanh toán tiền đổi 2 bầu phanh lái, lốc kề đầu xe 15C-139.82 ngày 10/4</t>
  </si>
  <si>
    <t>Thanh toán tiền mua 1 bạc nhíp tải , xăng tích, xương phanh tán, công thay, ép ống dây phanh lái .. xe 15C-139.82 ngày 9/4</t>
  </si>
  <si>
    <t>Thanh toán tiền làm ống nước VRG xe 15C-139.82 ngày 16/4</t>
  </si>
  <si>
    <t>Thanh toán tiền mua phớt đuôi cá hộp số, công thay phớt xe 15C-139.82 ngày 14/4</t>
  </si>
  <si>
    <t>Thanh toán tiền mua 12 bạc, 12 ắc, tàn 6 bộ phanh, bảo dưỡng mayơ, mỡ 12 cân, 2 vòng bi moóc xe 15C-139.82 ngày 11/4</t>
  </si>
  <si>
    <t>THÁNG 05.2023</t>
  </si>
  <si>
    <t>Thanh toán tiền mua nước xanh cho xe 15C-136.31; 15C-180.99; 15C-139.82; 15C-070.63</t>
  </si>
  <si>
    <t>Thanh toán tiền cứu hộ xe ở Yên Bái, sửa lại bơm MF, thay 1 bộ căn thép, 1 bô cân + 1 lá zoăng mặt bơm xe 15C-139.82 ngày 9/5</t>
  </si>
  <si>
    <t>Thanh toán tiền bảo hiểm vật chất , bảo hiểm dân sự xe 15C-139.82 tháng 5/23</t>
  </si>
  <si>
    <t>Bản Bo, Tam Đường, Lai Châu</t>
  </si>
  <si>
    <t>CCN Kỳ Sơn, Tứ Kỳ, Hải Dương</t>
  </si>
  <si>
    <t>KCN Ninh Phúc, Yên Khánh, Ninh Bình</t>
  </si>
  <si>
    <t>Quang Vinh, Ân Thi, Hưng Yên</t>
  </si>
  <si>
    <t>CAIU4674780</t>
  </si>
  <si>
    <t>TEMU8147436</t>
  </si>
  <si>
    <t>CSNU8069791</t>
  </si>
  <si>
    <t>TGBU5838938</t>
  </si>
  <si>
    <t>PCIU8991776</t>
  </si>
  <si>
    <t>YMMU6059575</t>
  </si>
  <si>
    <t>BEAU6148918</t>
  </si>
  <si>
    <t>OOCU6535037</t>
  </si>
  <si>
    <t>FTAU1318130</t>
  </si>
  <si>
    <t>OOCU7177811</t>
  </si>
  <si>
    <t>TCNU3533328</t>
  </si>
  <si>
    <t>NLLU2059668</t>
  </si>
  <si>
    <t>FFAU3661943</t>
  </si>
  <si>
    <t>TGBU6512170</t>
  </si>
  <si>
    <t>TEMU6473285</t>
  </si>
  <si>
    <t>MSKU1144190</t>
  </si>
  <si>
    <t>CAAU2135534</t>
  </si>
  <si>
    <t>FFAU3593216</t>
  </si>
  <si>
    <t>DRYU9961491</t>
  </si>
  <si>
    <t>EITU9122472</t>
  </si>
  <si>
    <t>Đóng hàng chè sáng 05/05</t>
  </si>
  <si>
    <t>Đóng hàng chè sáng 07/05 - 08/05</t>
  </si>
  <si>
    <t>Trà hàng NK sáng 11/05</t>
  </si>
  <si>
    <t>Đóng hàng chè sáng 12/05</t>
  </si>
  <si>
    <t>Đóng hàng chè sáng 14/05</t>
  </si>
  <si>
    <t>Đóng hàng chè chiều 16/05</t>
  </si>
  <si>
    <t>Đóng hàng XK sáng 17/05</t>
  </si>
  <si>
    <t>Đóng hàng chè sáng 19/05</t>
  </si>
  <si>
    <t>Trả hàng NK chiều 20/05</t>
  </si>
  <si>
    <t>Đóng hàng XK sáng 22/05</t>
  </si>
  <si>
    <t>Trả hàng NK sáng 23/05</t>
  </si>
  <si>
    <t>Đóng hàng chè sáng 24/05</t>
  </si>
  <si>
    <t>Đóng hàng XK chiều 29/05</t>
  </si>
  <si>
    <t>THÁNG 06.2023</t>
  </si>
  <si>
    <t>Trả hàng NK sáng 01/06</t>
  </si>
  <si>
    <t>Đóng hàng KH chiều 01/06 trả 02/06</t>
  </si>
  <si>
    <t>Đóng hàng chè sáng 04/06</t>
  </si>
  <si>
    <t>Trả hàng Vietsun sáng 06/06</t>
  </si>
  <si>
    <t>Trả hàng NK sáng 07/06</t>
  </si>
  <si>
    <t>Đóng hàng KH trả 08/06</t>
  </si>
  <si>
    <t>Trả hàng Vietsun sáng 09/06</t>
  </si>
  <si>
    <t>Đóng hàng chè chiều 11/06</t>
  </si>
  <si>
    <t>Đóng hàng XK sáng 15/06</t>
  </si>
  <si>
    <t>Đóng hàng chè sáng 19/06</t>
  </si>
  <si>
    <t>Trả hàng NK chiều 20/06</t>
  </si>
  <si>
    <t>Trả hàng NK sáng 21/06</t>
  </si>
  <si>
    <t>Đóng hàng chè sáng 22/06</t>
  </si>
  <si>
    <t>Đóng hàng chè chiều 24/06</t>
  </si>
  <si>
    <t>MSMU6364330</t>
  </si>
  <si>
    <t>TCLU9606506</t>
  </si>
  <si>
    <t>DRYU9874442</t>
  </si>
  <si>
    <t>BEAU5640760</t>
  </si>
  <si>
    <t>TEMU7889322</t>
  </si>
  <si>
    <t>FBLU0237058</t>
  </si>
  <si>
    <t>TCNU3068890</t>
  </si>
  <si>
    <t>ZCSU7898099</t>
  </si>
  <si>
    <t>BEAU4296794</t>
  </si>
  <si>
    <t>CAIU9395330</t>
  </si>
  <si>
    <t>SNBU2330530</t>
  </si>
  <si>
    <t>HASU1183366</t>
  </si>
  <si>
    <t>TXGU6095634</t>
  </si>
  <si>
    <t>YMMU6494844</t>
  </si>
  <si>
    <t>CAIU8876861</t>
  </si>
  <si>
    <t>FDCU0534161</t>
  </si>
  <si>
    <t>TWCU8063157</t>
  </si>
  <si>
    <t>EITU0060600</t>
  </si>
  <si>
    <t>Kho Vinafco, Thanh Trì, Hà Nội</t>
  </si>
  <si>
    <t>Tam Tiến, Yên Thế, Bắc Giang</t>
  </si>
  <si>
    <t>Minh Đức, Thủy Nguyên, Hải Phòng</t>
  </si>
  <si>
    <t>Ngã 4 Tân Quang, Bắc Quang, Hà Giang</t>
  </si>
  <si>
    <t>KCN Hạp Lĩnh, TP. Bắc Ninh</t>
  </si>
  <si>
    <t>Thanh toán mua 1 xô dầu nhớt 18L cho 15C-136.31 +  15C-180.99 +  15C-139.82</t>
  </si>
  <si>
    <t>Thanh toán tiền 2 lốp 295/75/16 CSM/611 xe 15C-139.82</t>
  </si>
  <si>
    <t>Thanh toán tiền thay 1 quả bóng hơi xe 15C-139.82 ngày 2/6</t>
  </si>
  <si>
    <t>Thanh toán tiền Lốp 1100R20 CSM/881 cho xe 15C-139.82 ngày 21/6</t>
  </si>
  <si>
    <t>THÁNG 07.2023</t>
  </si>
  <si>
    <t>Đóng hàng chè sáng 03/07</t>
  </si>
  <si>
    <t>Trả hàng Vietsun sáng 05/07</t>
  </si>
  <si>
    <t>Đóng hàng chè sáng 06/07</t>
  </si>
  <si>
    <t>Đóng hàng XK chiều 14/07</t>
  </si>
  <si>
    <t>Đóng hàng XK sáng 18/07</t>
  </si>
  <si>
    <t>Đóng hàng chè sáng 19/07</t>
  </si>
  <si>
    <t>Đóng hàng XK sáng 20/07</t>
  </si>
  <si>
    <t>Đóng hàng XK sáng 21/07</t>
  </si>
  <si>
    <t>Trả hàng NK sáng 24/07</t>
  </si>
  <si>
    <t>Đóng hàng chè sáng 26/07</t>
  </si>
  <si>
    <t>Đóng hàng bình khí 29/07</t>
  </si>
  <si>
    <t>TEMU8980484</t>
  </si>
  <si>
    <t>DRYU9969867</t>
  </si>
  <si>
    <t>YMMU6208107</t>
  </si>
  <si>
    <t>MSDU8752642</t>
  </si>
  <si>
    <t>BEAU4894353</t>
  </si>
  <si>
    <t>GAOU6506701</t>
  </si>
  <si>
    <t>MSMU4375249</t>
  </si>
  <si>
    <t>TGBU4396929</t>
  </si>
  <si>
    <t>PCIU9347393</t>
  </si>
  <si>
    <t>TCNU2184520</t>
  </si>
  <si>
    <t>TGHU6916873</t>
  </si>
  <si>
    <t>CSYU4010952</t>
  </si>
  <si>
    <t>OOCU7068301</t>
  </si>
  <si>
    <t>CAAU6411800</t>
  </si>
  <si>
    <t>EITU9112047</t>
  </si>
  <si>
    <t>WHSU5767835</t>
  </si>
  <si>
    <t>OOCU8730428</t>
  </si>
  <si>
    <t>TRHU5654702</t>
  </si>
  <si>
    <t>DRYU3014090</t>
  </si>
  <si>
    <t>Đường D2, KCN Yên Mỹ 2, Hưng Yên</t>
  </si>
  <si>
    <t>KCN Đồng Văn, Duy Tiên, Hà Nam</t>
  </si>
  <si>
    <t>KCN Nam Đình Vũ, Hải Phòng</t>
  </si>
  <si>
    <t>TT Hùng Sơn, Đại Từ, Thái Nguyên</t>
  </si>
  <si>
    <t>Messer An Dương - kho DDC - Củ Chi, HCM</t>
  </si>
  <si>
    <t>THÁNG 08.2023</t>
  </si>
  <si>
    <t>Trả hàng Vietsun sáng 07/08</t>
  </si>
  <si>
    <t>Đóng hàng KH trả sáng 08/08</t>
  </si>
  <si>
    <t>Đóng hàng XK sáng 12/08</t>
  </si>
  <si>
    <t>Đóng hàng chè sáng 14/08</t>
  </si>
  <si>
    <t>Đóng hàng XK sáng 19/08</t>
  </si>
  <si>
    <t>Đóng hàng chè sáng 21/08</t>
  </si>
  <si>
    <t>Trả hàng phế liệu sáng 22/08</t>
  </si>
  <si>
    <t>Đóng hàng chè sáng 23/08</t>
  </si>
  <si>
    <t>Đóng hàng XK sáng 26/08</t>
  </si>
  <si>
    <t>Trả hàng Vietsun sáng 28/08</t>
  </si>
  <si>
    <t>Trả hàng Vietsun sáng 29/08</t>
  </si>
  <si>
    <t>Trả hàng NK sáng 30/08</t>
  </si>
  <si>
    <t>Đóng hàng KH 30/08 trả 31/08</t>
  </si>
  <si>
    <t>TLLU4073526</t>
  </si>
  <si>
    <t>YMMU6697760</t>
  </si>
  <si>
    <t>BMOU5769474</t>
  </si>
  <si>
    <t>GAOU6799852</t>
  </si>
  <si>
    <t>TGBU4913826</t>
  </si>
  <si>
    <t>DRYU9592201</t>
  </si>
  <si>
    <t>PCIU9356610</t>
  </si>
  <si>
    <t>EITU1909693</t>
  </si>
  <si>
    <t>YMMU6538963</t>
  </si>
  <si>
    <t>EGHU9206253</t>
  </si>
  <si>
    <t>FCIU7151230</t>
  </si>
  <si>
    <t>TXGU5826755</t>
  </si>
  <si>
    <t>IAAU2741856</t>
  </si>
  <si>
    <t>TCNU2432077</t>
  </si>
  <si>
    <t>BMOU4947150</t>
  </si>
  <si>
    <t>TCNU1845332</t>
  </si>
  <si>
    <t>MRKU4163099</t>
  </si>
  <si>
    <t>YMMU6641462</t>
  </si>
  <si>
    <t>TCKU1365350</t>
  </si>
  <si>
    <t>GAOU6143680</t>
  </si>
  <si>
    <t>GAOU6798440</t>
  </si>
  <si>
    <t>MSMU6075840</t>
  </si>
  <si>
    <t>KCN Đồng Văn II, Duy Tiên, Hà Nam</t>
  </si>
  <si>
    <t>KCN Yên Mỹ, Yên Mỹ, Hưng Yên</t>
  </si>
  <si>
    <t>KCN Yên Mỹ 2, Yên Mỹ, Hưng Yên</t>
  </si>
  <si>
    <t>SLPU5014901</t>
  </si>
  <si>
    <t xml:space="preserve">Thanh toán tiền mua chì tạm cho xe 15C-136.31; 15C-139.82; 15C-180.99; 15C-070.63 </t>
  </si>
  <si>
    <t>Thanh toán tiền bơm mỡ xe 15C-139.82 ngày 10/7</t>
  </si>
  <si>
    <t>Lương (24/25 ngày)</t>
  </si>
  <si>
    <t>Thanh toán tiền lọc nhớt, lọc nước xe 15C-136.31; 15C-139.82; 15C-070.63; 15C-180.99</t>
  </si>
  <si>
    <t>Thanh toán tiền chổi gạt mưa xe 15C-139.82</t>
  </si>
  <si>
    <t>WHSU5803758</t>
  </si>
  <si>
    <t>Đóng hàng chè sáng 05/09</t>
  </si>
  <si>
    <t>Đóng hàng KH chiều 13/09</t>
  </si>
  <si>
    <t>Trả hàng NK sáng 14/09</t>
  </si>
  <si>
    <t>Đóng hàng KH chiều 15/09</t>
  </si>
  <si>
    <t>Đóng hàng chè sáng 19/09 - 20/09</t>
  </si>
  <si>
    <t>Đóng hàng XK sáng 27/09</t>
  </si>
  <si>
    <t>EGHU9724951</t>
  </si>
  <si>
    <t>WHSU2488267</t>
  </si>
  <si>
    <t>WHSU4003447</t>
  </si>
  <si>
    <t>DFSU1464355</t>
  </si>
  <si>
    <t>MAGU5209174</t>
  </si>
  <si>
    <t>GAOU6143890</t>
  </si>
  <si>
    <t>TRHU5978640</t>
  </si>
  <si>
    <t>OOLU8500313</t>
  </si>
  <si>
    <t>MIOU4961150</t>
  </si>
  <si>
    <t>SEGU6524581</t>
  </si>
  <si>
    <t>CNCU5602440</t>
  </si>
  <si>
    <t>MSKU7167865</t>
  </si>
  <si>
    <t>MSKU4152624</t>
  </si>
  <si>
    <t>TSSU5082290</t>
  </si>
  <si>
    <t>EMCU8255134</t>
  </si>
  <si>
    <t>Dục Tú, Đông Anh, Hà Nội</t>
  </si>
  <si>
    <t>TT. Phúc Thọ, Phúc Thọ, Hà Nội</t>
  </si>
  <si>
    <t>Vĩnh Hưng, Hoàng Mai, Hà Nội</t>
  </si>
  <si>
    <t>Nguyên Khê, Đông Anh, Hà Nội</t>
  </si>
  <si>
    <t>Phú Lương, Thái Nguyên</t>
  </si>
  <si>
    <t>Sơn Dương, Tuyên Quang + Bắc Quang, Hà Giang</t>
  </si>
  <si>
    <t>THÁNG 09.2023</t>
  </si>
  <si>
    <t>THÁNG 10.2023</t>
  </si>
  <si>
    <t>Đóng hàng KH chiều 02/10</t>
  </si>
  <si>
    <t>Đóng hàng chè chiều 08/10</t>
  </si>
  <si>
    <t>Đóng hàng chè sáng 13/10</t>
  </si>
  <si>
    <t>Trả hàng Vietsun chiều 19/10</t>
  </si>
  <si>
    <t>Trả hàng NK sáng 25/10 + đóng hàng KH</t>
  </si>
  <si>
    <t>Trả hàng NK sáng 28/10</t>
  </si>
  <si>
    <t>CAIU4670682</t>
  </si>
  <si>
    <t>TEMU8759792</t>
  </si>
  <si>
    <t>EITU9438429</t>
  </si>
  <si>
    <t>DRYU9961932</t>
  </si>
  <si>
    <t>EMCU1515420</t>
  </si>
  <si>
    <t>EMKU9212244</t>
  </si>
  <si>
    <t>CAIU7988168</t>
  </si>
  <si>
    <t>BMOU5529832</t>
  </si>
  <si>
    <t>TGBU5159310</t>
  </si>
  <si>
    <t>TCNU4595746</t>
  </si>
  <si>
    <t>FCIU7558910</t>
  </si>
  <si>
    <t>EITU9422382</t>
  </si>
  <si>
    <t>TCLU8366421</t>
  </si>
  <si>
    <t>EITU1095370</t>
  </si>
  <si>
    <t>YMMU6734077</t>
  </si>
  <si>
    <t>DRYU9962883</t>
  </si>
  <si>
    <t>WHSU5872574</t>
  </si>
  <si>
    <t>GAOU6799678</t>
  </si>
  <si>
    <t>Cảng nội địa, Việt Hòa, TP. Hải Dương</t>
  </si>
  <si>
    <t>TT Như Quỳnh, Hưng Yên - KCN Đại Đồng, Bắc Ninh</t>
  </si>
  <si>
    <t>Thượng Thanh, Long Biên, Hà Nội</t>
  </si>
  <si>
    <t>KCN Yên Mỹ, Hưng Yên</t>
  </si>
  <si>
    <t>KCN Quang Minh, Mê Linh, HN</t>
  </si>
  <si>
    <t>Đông Thọ, Yên Phong, Bắc Ninh</t>
  </si>
  <si>
    <t>Kho Thăng Long, Dị Sử, Mỹ Hào, Hưng Yên</t>
  </si>
  <si>
    <t>Cargill KCN Phố Nối A, Văn Lâm, Hưng Yên</t>
  </si>
  <si>
    <t>Chỉ Đạo, Văn Lâm, Hưng Yên</t>
  </si>
  <si>
    <t>TGCU5056022</t>
  </si>
  <si>
    <t>CAAU5737690</t>
  </si>
  <si>
    <t>BEAU4595075</t>
  </si>
  <si>
    <t>DRYU9593086</t>
  </si>
  <si>
    <t>TTNU8813793</t>
  </si>
  <si>
    <t>WHSU5711311</t>
  </si>
  <si>
    <t>TDRU8047480</t>
  </si>
  <si>
    <t>IAAU1949526</t>
  </si>
  <si>
    <t>OOCU6500621</t>
  </si>
  <si>
    <t>TCNU4785561</t>
  </si>
  <si>
    <t>OOCU7822793</t>
  </si>
  <si>
    <t>GAOU6799209</t>
  </si>
  <si>
    <t>EMCU8566809</t>
  </si>
  <si>
    <t>TCLU8646232</t>
  </si>
  <si>
    <t>FCIU7259185</t>
  </si>
  <si>
    <t>GAOU6799261</t>
  </si>
  <si>
    <t>GAOU6145430</t>
  </si>
  <si>
    <t>BSIU9905759</t>
  </si>
  <si>
    <t>TCNU6216287</t>
  </si>
  <si>
    <t>DRYU9593050</t>
  </si>
  <si>
    <t>TCNU3920306</t>
  </si>
  <si>
    <t>FFAU1765229</t>
  </si>
  <si>
    <t>MIOU5067253</t>
  </si>
  <si>
    <t>TEMU7071193</t>
  </si>
  <si>
    <t>Đóng hàng chè sán 09/11</t>
  </si>
  <si>
    <t>Đóng hàng XK sáng 11/11</t>
  </si>
  <si>
    <t>Đóng hàng chè sáng 13/11</t>
  </si>
  <si>
    <t>Trả hàng Vietsun sáng 14/11</t>
  </si>
  <si>
    <t>Trả hàng Vietsun sáng 16/11</t>
  </si>
  <si>
    <t>Đóng hàng chè sáng 17/11</t>
  </si>
  <si>
    <t>Trả hàng Vietsun sáng 21/11</t>
  </si>
  <si>
    <t>Đóng hàng XK sáng 27/11</t>
  </si>
  <si>
    <t>Trả hàng NK sáng 30/11</t>
  </si>
  <si>
    <t>Trả hàng NK sáng 02/12</t>
  </si>
  <si>
    <t>Đóng hàng chè sáng 05/12</t>
  </si>
  <si>
    <t>Trả hàng Vietsun sáng 07/12</t>
  </si>
  <si>
    <t>Đóng hàng chè sáng 17/12</t>
  </si>
  <si>
    <t>Đóng hàng chè sáng 20/12</t>
  </si>
  <si>
    <t>Đóng hàng chè chiều 21/12</t>
  </si>
  <si>
    <t>Trả hàng Vietsun sáng 22/12</t>
  </si>
  <si>
    <t>Đóng hàng chè sáng 27/12</t>
  </si>
  <si>
    <t>Đóng hàng XK sáng 29/12</t>
  </si>
  <si>
    <t>MEDU9856393</t>
  </si>
  <si>
    <t>EITU9071014</t>
  </si>
  <si>
    <t>EMCU8892739</t>
  </si>
  <si>
    <t>TCNU8632112</t>
  </si>
  <si>
    <t>GAOU6145390</t>
  </si>
  <si>
    <t>CAAU5037212</t>
  </si>
  <si>
    <t>BEAU4807106</t>
  </si>
  <si>
    <t>YMMU6457666</t>
  </si>
  <si>
    <t>KKFU8006636</t>
  </si>
  <si>
    <t>YMMU6034319</t>
  </si>
  <si>
    <t>TCNU6558525</t>
  </si>
  <si>
    <t>FFAU1292722</t>
  </si>
  <si>
    <t>TLLU4165216</t>
  </si>
  <si>
    <t>EITU9012921</t>
  </si>
  <si>
    <t>TGBU6179007</t>
  </si>
  <si>
    <t>CSNU6241387</t>
  </si>
  <si>
    <t>FCIU7240277</t>
  </si>
  <si>
    <t>Hy Cương, TP. Việt Trì, Phú Thọ</t>
  </si>
  <si>
    <t>Võ Miếu, Thanh Sơn, Phú Thọ</t>
  </si>
  <si>
    <t>TP. Hưng Yên, Hưng Yên</t>
  </si>
  <si>
    <t>THÁNG 12.2023</t>
  </si>
  <si>
    <t>Thanh toán tiền lọc dầu nhớt P551088; lọc nhiên liệu P550821; Lọc nhiên liệu tách nước P550748, 
lọc dầu nhớt P574863 xe 15C-139.82</t>
  </si>
  <si>
    <t xml:space="preserve">Thanh toán tiền dầu nhớt cho 4 xe 15C-136.31; 15C-139.82; 15C-070.63; 15C-180.99 </t>
  </si>
  <si>
    <t>Thanh toán tiền ổ điện moóc xe 15C-139.82 ngày 29/9</t>
  </si>
  <si>
    <t>Thanh toán tiền thay lốc lạnh, van điều áp, phin lọc ga, ống, dàn nóng, dầu lạnh xe 15C-139.82 ngày 21/9</t>
  </si>
  <si>
    <t>Thanh toán tiền phí sử dụng đường bộ xe 15C-139.82</t>
  </si>
  <si>
    <t>Thanh toán tiền lệ phí đăng kiểm xe 15C-139.82</t>
  </si>
  <si>
    <t>Thanh toán tiền làm thẻ epass xe 15C-139.82</t>
  </si>
  <si>
    <t xml:space="preserve">Thanh toán tiền sửa ghế, thay bạc, thay bi tiện lỗ bạc tiện trục,bọc ghế da, thay điểm giật ghế xe 15C-139.82 </t>
  </si>
  <si>
    <t xml:space="preserve">Thanh toán tiền quá hơi xe 15C-139.82 </t>
  </si>
  <si>
    <t>Thanh toán tiền mua nắp lọc nhớt xe 15C-139.82</t>
  </si>
  <si>
    <t>Thanh toán tiền lốp L1100R20 casu 881 cho xe 15C-139.82  ngày 30/10</t>
  </si>
  <si>
    <t>Thanh toán tiền thay cân binh, công thợ xe 15C-139.82 ngày 30/10</t>
  </si>
  <si>
    <t>Thanh toán tiền chế lắp 1 bộ chia hơi, sửa tổng phanh dưới mâm, thay bộ nhớt xe 15C-139.82 ngày 11/10</t>
  </si>
  <si>
    <t>Thanh toán tiền thay 1 van khóa xả nước ở bình hơi moóc xe 15C-139.82 ngày 17/10</t>
  </si>
  <si>
    <t>Thanh toán tiền lọc nhớt cho xe 15C-136.31; 15C-139.82; 15C-180.99 ngày 27/10</t>
  </si>
  <si>
    <t>Thanh toán tiền mua xăng tích, bạc nhíp, đóng bạc tay giằng, mua 1 ốc xe 15C-139.82 ngày 11/10</t>
  </si>
  <si>
    <t>Thanh toán tiền tán 2 bộ phanh, thay 4 con lăn, đóc bạc tay giằng cầu, mua xăn tích, bạc nhíp tải, công xe 15C-139.82 ngày 12/10</t>
  </si>
  <si>
    <t>THÁNG 11.2023</t>
  </si>
  <si>
    <t>Lương (20/26 ngày)</t>
  </si>
  <si>
    <t>Thanh toán tiền vá nhựa ca bô + sơn dặm, hàn vá bắt lại vè bình dầu sau, nắn chỉnh cánh cửa lái xe 15C-139.82</t>
  </si>
  <si>
    <t>Thanh toán tiền sửa chữa, làm khóa màn, công tháo lắp xe 15C-139.82 ngày 1/11</t>
  </si>
  <si>
    <t xml:space="preserve">Thanh toán tiền dầu nhớt  cho xe 15C-136.31; 15C-139.82; 15C-180.99; 15C-070.63 </t>
  </si>
  <si>
    <t xml:space="preserve">Thanh toán tiền kính lái xe 15C-139.82 </t>
  </si>
  <si>
    <t>Thanh toán 2 bát phanh moóc xe 15C-139.82</t>
  </si>
  <si>
    <t>Thanh toán tiền dán cách nhiệt xe 15C-139.82</t>
  </si>
  <si>
    <t>Thanh toán tiền mua chì tạm cho xe 15C-136.31; 15C-139.82; 15C-180.99; 15C-070.63</t>
  </si>
  <si>
    <t xml:space="preserve">Thanh toán tiền mua 02 ắc quy xe 15C-139.82 </t>
  </si>
  <si>
    <t>Thanh toán mua 2 la răng cho xe 15C-136.31 + 15C-139.82</t>
  </si>
  <si>
    <t>Thanh toán tiền thay bảo hiểm 2 bên , sơn lại lan can, thay 2 chắn bùn xe 15C-139.82</t>
  </si>
  <si>
    <t>Thanh toán tiền mua ắc quy xe 15C-139.82</t>
  </si>
  <si>
    <t>Thanh toán tiền lốp 295/75R22.5 xe 15C-139.82 ngày 20/12</t>
  </si>
  <si>
    <t>Thanh toán tiền thay 1 quả bóng tải , lắp van 1 chiều, chế cút đồng, thay 1 bộ van khóa bình hơi xe 15C-139.82 ngày 16/12</t>
  </si>
  <si>
    <t>Thanh toán tiền bơm mỡ xe 15C-139.82 ngày 05/12</t>
  </si>
  <si>
    <t>Thanh toán tiền mua 1 bạc nhíp tải, 3 cút nước, 1 phớt mayơ, ống nước xe 15C-139.82 ngày 05/12</t>
  </si>
  <si>
    <t>Thanh toán tiền lốp cũ xe 15C-139.82 ngày 16/10</t>
  </si>
  <si>
    <t>THÁNG 01.2024</t>
  </si>
  <si>
    <t>Trả hàng Vietsun sáng 01/02</t>
  </si>
  <si>
    <t>Đóng hàng chè sáng 05/01</t>
  </si>
  <si>
    <t>Lái xe lấy vỏ không đạt yêu cầu 06/01</t>
  </si>
  <si>
    <t>Đóng hàng chè chiều 09/01</t>
  </si>
  <si>
    <t>Đóng hàng chè sáng 15/01</t>
  </si>
  <si>
    <t>Trả hàng Vietsun sáng 16/01</t>
  </si>
  <si>
    <t>Đóng hàng chè sáng 17/01</t>
  </si>
  <si>
    <t>Trả hàng NK sáng 23/01</t>
  </si>
  <si>
    <t>Đóng hàng chè sáng 25/01</t>
  </si>
  <si>
    <t>Đóng hàng chè sáng 27/01</t>
  </si>
  <si>
    <t>Đóng hàng chè sáng 29/01</t>
  </si>
  <si>
    <t>DRYU9591479</t>
  </si>
  <si>
    <t>FFAU2410692</t>
  </si>
  <si>
    <t>BMOU9004020</t>
  </si>
  <si>
    <t>OOCU8386101</t>
  </si>
  <si>
    <t>OOCU7912198</t>
  </si>
  <si>
    <t>UETU5960520</t>
  </si>
  <si>
    <t>TCNU3047028</t>
  </si>
  <si>
    <t>EGHU9741970</t>
  </si>
  <si>
    <t>GAOU6799765</t>
  </si>
  <si>
    <t>YMMU6363382</t>
  </si>
  <si>
    <t>MIOU5022916</t>
  </si>
  <si>
    <t>CAIU7981760</t>
  </si>
  <si>
    <t>GAOU6507251</t>
  </si>
  <si>
    <t>EGHU9876450</t>
  </si>
  <si>
    <t>FCIU5070042</t>
  </si>
  <si>
    <t>BMOU5713264</t>
  </si>
  <si>
    <t>FSCU8798339</t>
  </si>
  <si>
    <t>TSSU5096993</t>
  </si>
  <si>
    <t>YMMU6615627</t>
  </si>
  <si>
    <t>CICU2668778</t>
  </si>
  <si>
    <t>WHSU6600020</t>
  </si>
  <si>
    <t>FFAU1305748</t>
  </si>
  <si>
    <t>TCKU6708132</t>
  </si>
  <si>
    <t>Vân Lĩnh, Thanh Ba, Phú Thọ</t>
  </si>
  <si>
    <t>TT Bần Yên Nhân, Mỹ Hào, Hưng Yên</t>
  </si>
  <si>
    <t>Ngã tư Quán Gỏi, Bình Giang, Hải Dương</t>
  </si>
  <si>
    <t>NM chè Thành Đạt, Thanh Chương, Nghệ An</t>
  </si>
  <si>
    <t>Phù Ủng, Ân Thi, Hưng Yên</t>
  </si>
  <si>
    <t>THÁNG 02.2024</t>
  </si>
  <si>
    <t>Trả hàng NK sáng 01/02</t>
  </si>
  <si>
    <t>Đóng hàng XK sáng 05/02</t>
  </si>
  <si>
    <t>Đóng hàng Vietsun sáng 15/02</t>
  </si>
  <si>
    <t>Trả hàng Vietsun sáng 16/02</t>
  </si>
  <si>
    <t>Đóng hàng XK sáng 20/02</t>
  </si>
  <si>
    <t>Trả hàng NK sáng 21/02</t>
  </si>
  <si>
    <t>Trả hàng Vietsun sáng 22/02</t>
  </si>
  <si>
    <t>Đóng hàng XK sáng 23/02</t>
  </si>
  <si>
    <t>Trả hàng NK sáng 24/02</t>
  </si>
  <si>
    <t>Trả  hàng Vietsun sáng 26/02</t>
  </si>
  <si>
    <t>Trả hàng NK sáng 27/02</t>
  </si>
  <si>
    <t>Đóng hàng KH chiều 28/02 trả 29/02</t>
  </si>
  <si>
    <t>Km23 Bần Yên Nhân, Mỹ Hào, Hưng Yên</t>
  </si>
  <si>
    <t>Đường D2, KCN Yên Mỹ II, Hưng Yên</t>
  </si>
  <si>
    <t>Thanh Miện, Hải Dương</t>
  </si>
  <si>
    <t>Hào Sơn, Lương Sơn, Hòa Bình</t>
  </si>
  <si>
    <t>xã Cộng Hòa, Hưng Hà, Thái Bình</t>
  </si>
  <si>
    <t>Chân cầu Lộ Cương, TP. Hải Dương</t>
  </si>
  <si>
    <t>GLDU7731060</t>
  </si>
  <si>
    <t>OOCU7502064</t>
  </si>
  <si>
    <t>PCIU9409366</t>
  </si>
  <si>
    <t>BEAU5577034</t>
  </si>
  <si>
    <t>DRYU9969893</t>
  </si>
  <si>
    <t>GAOU6506677</t>
  </si>
  <si>
    <t>DRYU9593358</t>
  </si>
  <si>
    <t>GAOU6798814</t>
  </si>
  <si>
    <t>DRYU9718521</t>
  </si>
  <si>
    <t>ZCSU6650507</t>
  </si>
  <si>
    <t>EGHU9782496</t>
  </si>
  <si>
    <t>GAOU6144752</t>
  </si>
  <si>
    <t>TCNU2800780</t>
  </si>
  <si>
    <t>WHSU2635120</t>
  </si>
  <si>
    <t>GAOU6507190</t>
  </si>
  <si>
    <t>TCLU8369483</t>
  </si>
  <si>
    <t>GAOU6505789</t>
  </si>
  <si>
    <t>THÁNG 03.2024</t>
  </si>
  <si>
    <t>Trả hàng Vietsun sáng 02/03</t>
  </si>
  <si>
    <t>Đóng hàng chè sáng 04/03</t>
  </si>
  <si>
    <t>Trả hàng Vietsun sáng 06/03</t>
  </si>
  <si>
    <t>Đóng hàng KH chiều 06/03</t>
  </si>
  <si>
    <t>Đóng hàng chè sáng 08/03</t>
  </si>
  <si>
    <t>Đóng hàng XK sáng 18/03</t>
  </si>
  <si>
    <t>Trả hàng Vietsun chiều 19/03</t>
  </si>
  <si>
    <t>Đóng hàng chè sáng 20/03</t>
  </si>
  <si>
    <t>Trả hàng Vietsun sáng 21/03</t>
  </si>
  <si>
    <t>WHSU2189800</t>
  </si>
  <si>
    <t>DRYU9591458</t>
  </si>
  <si>
    <t>EMCU8478082</t>
  </si>
  <si>
    <t>DRYU9592161</t>
  </si>
  <si>
    <t>MSKU0898528</t>
  </si>
  <si>
    <t>BEAU4520857</t>
  </si>
  <si>
    <t>TEMU7938535</t>
  </si>
  <si>
    <t>DRYU9969810</t>
  </si>
  <si>
    <t>TCNU6630126</t>
  </si>
  <si>
    <t>GAOU6799549</t>
  </si>
  <si>
    <t>MRSU3060843</t>
  </si>
  <si>
    <t>GAOU6505881</t>
  </si>
  <si>
    <t>MRKU4240997</t>
  </si>
  <si>
    <t>DRYU9877502</t>
  </si>
  <si>
    <t>HPCU4556478</t>
  </si>
  <si>
    <t>Yên Định, Hải Hậu, Nam Định</t>
  </si>
  <si>
    <t>KCN Triệu Sơn, Thanh Hóa</t>
  </si>
  <si>
    <t>Bản Ngoại, Đại Từ, Thái Nguyên</t>
  </si>
  <si>
    <t>Ninh Khánh, TP. Ninh Bình</t>
  </si>
  <si>
    <t>Giai Phạm, Yên Mỹ, Hưng Yên</t>
  </si>
  <si>
    <t>Nghĩa Hưng, Nam Định</t>
  </si>
  <si>
    <t>Kho Vũ Hải, Km23 Bần Yên Nhân, Mỹ Hào, Hưng Yên</t>
  </si>
  <si>
    <t>Đông Kết, Khoái Châu, Hưng Yên</t>
  </si>
  <si>
    <t>Lùng Vai, Mường Khương, Lào Cai</t>
  </si>
  <si>
    <t>THÁNG 04.2024</t>
  </si>
  <si>
    <t>Đóng hàng Vietsun sáng 01/04</t>
  </si>
  <si>
    <t>Đóng hàng XK sáng 02/04</t>
  </si>
  <si>
    <t>Trả hàng Vietsun sáng 06/04</t>
  </si>
  <si>
    <t>Trả hàng NK sáng 10/04</t>
  </si>
  <si>
    <t>Trả hàng Vietsun sáng 11/04</t>
  </si>
  <si>
    <t>Đóng hàng XK sáng 12/04</t>
  </si>
  <si>
    <t>Trả hàng Vietsun sáng 15/04</t>
  </si>
  <si>
    <t>Đóng hàng XK sáng 16/04</t>
  </si>
  <si>
    <t>Trả hàng Vietsun chiều 20/04</t>
  </si>
  <si>
    <t>Trả hàng NK sáng 22/04</t>
  </si>
  <si>
    <t>Trả hàng Vietsun sáng 23/04</t>
  </si>
  <si>
    <t>Đóng hàng chè sáng 25/04</t>
  </si>
  <si>
    <t>Đóng hàng KH chiều 27/04</t>
  </si>
  <si>
    <t>NM Dầu Cái Lân, KCN Cái Lân, Quảng Ninh</t>
  </si>
  <si>
    <t>KCN Thuận Thành 3, Thuận Thành, Bắc Ninh</t>
  </si>
  <si>
    <t>Long Hưng, Văn Giang, Hưng Yên</t>
  </si>
  <si>
    <t>TT Yên Mỹ, Yên Mỹ, Hưng Yên - Thanh Liêm, Hà Nam</t>
  </si>
  <si>
    <t>KCN Yên Phong, Yên Phong, Bắc Ninh</t>
  </si>
  <si>
    <t>KCN VSIP, Bắc Ninh + KCN Tân Quang, Văn Lâm, HY</t>
  </si>
  <si>
    <t>Khu 1, Ninh Dân, Thanh Ba, Phú Thọ</t>
  </si>
  <si>
    <t>KCN Điềm Thụy, Phú Bình, Thái Nguyên</t>
  </si>
  <si>
    <t>GAOU2113840</t>
  </si>
  <si>
    <t>MSKU4171877</t>
  </si>
  <si>
    <t>UETU5394193</t>
  </si>
  <si>
    <t>TCNU4595915</t>
  </si>
  <si>
    <t>TLLU8838017</t>
  </si>
  <si>
    <t>GAOU6143490</t>
  </si>
  <si>
    <t>CSNU7085606</t>
  </si>
  <si>
    <t>FBLU0186958</t>
  </si>
  <si>
    <t>GAOU6799359</t>
  </si>
  <si>
    <t>MSKU4187430</t>
  </si>
  <si>
    <t>VNLU2092267</t>
  </si>
  <si>
    <t>GAOU6145023</t>
  </si>
  <si>
    <t>CAAU5875730</t>
  </si>
  <si>
    <t>AXEU2022103</t>
  </si>
  <si>
    <t>SKHU8912338</t>
  </si>
  <si>
    <t>TCNU4595221</t>
  </si>
  <si>
    <t>TLLU3618302</t>
  </si>
  <si>
    <t>SKHU9933762</t>
  </si>
  <si>
    <t>OOCU8354779</t>
  </si>
  <si>
    <t>YMMU6708118</t>
  </si>
  <si>
    <t>BEAU4527466</t>
  </si>
  <si>
    <t>CSNU6037985</t>
  </si>
  <si>
    <t>THÁNG 05.2024</t>
  </si>
  <si>
    <t>Đóng hàng chè sáng 02/05</t>
  </si>
  <si>
    <t>Đóng hàng XK chiều 04/05</t>
  </si>
  <si>
    <t>Đóng hàng chè sáng 06/05</t>
  </si>
  <si>
    <t>Trả hàng Vietsun sáng 07/05</t>
  </si>
  <si>
    <t>Đóng hàng XK sáng 08/05</t>
  </si>
  <si>
    <t>Đóng hàng chè sáng 15/05</t>
  </si>
  <si>
    <t>Đóng hàng chè sáng 17/05</t>
  </si>
  <si>
    <t>Đóng hàng chè chiều 20/05</t>
  </si>
  <si>
    <t>Đóng hàng chè sáng 22/05</t>
  </si>
  <si>
    <t>Đóng hàng KH chiều 23/05 trả 24/05</t>
  </si>
  <si>
    <t>Trả hàng NK sáng 25/05</t>
  </si>
  <si>
    <t>Đóng hàng chè sáng 27/05</t>
  </si>
  <si>
    <t>Đóng hàng chè sáng 29/05</t>
  </si>
  <si>
    <t>YMMU6010575</t>
  </si>
  <si>
    <t>SGRU2043965</t>
  </si>
  <si>
    <t>YMLU3548413</t>
  </si>
  <si>
    <t>DRYU9819445</t>
  </si>
  <si>
    <t>DRYU9592773</t>
  </si>
  <si>
    <t>NLLU4220051</t>
  </si>
  <si>
    <t>FFAU3285260</t>
  </si>
  <si>
    <t>YMMU6683811</t>
  </si>
  <si>
    <t>YMMU6908121</t>
  </si>
  <si>
    <t>DRYU9593255</t>
  </si>
  <si>
    <t>HPCU4397756</t>
  </si>
  <si>
    <t>CULU6306205</t>
  </si>
  <si>
    <t>GAOU6799322</t>
  </si>
  <si>
    <t>FFAU3217461</t>
  </si>
  <si>
    <t>WHSU6543450</t>
  </si>
  <si>
    <t>MSDU4486518</t>
  </si>
  <si>
    <t>TCNU2780940</t>
  </si>
  <si>
    <t>BMOU6856784</t>
  </si>
  <si>
    <t>WHSU5335739</t>
  </si>
  <si>
    <t>TCNU1069460</t>
  </si>
  <si>
    <t>Ân Thi, Hưng Yên</t>
  </si>
  <si>
    <t>Tây Cốc, Đoan Hùng, Phú Thọ</t>
  </si>
  <si>
    <t>Cargill, KCN Phố Nối A, Văn Lâm, Hưng Yên</t>
  </si>
  <si>
    <t>Khu 8, Đồng Xuân, Thanh Ba, Phú Thọ</t>
  </si>
  <si>
    <t>TT Bần - Yên Nhân, Mỹ Hào, Hưng Yên</t>
  </si>
  <si>
    <t>Đóng hàng chè sáng 05/06</t>
  </si>
  <si>
    <t>Đóng hàng chè sáng 10/06</t>
  </si>
  <si>
    <t>Đóng hàng KH chiều 12/06</t>
  </si>
  <si>
    <t>Đóng hàng chè sáng 15/06</t>
  </si>
  <si>
    <t>Trả hàng Vietsun sáng 18/06</t>
  </si>
  <si>
    <t>Đóng hàng chè sáng 21/06</t>
  </si>
  <si>
    <t>Đóng hàng KH chiều 22/06</t>
  </si>
  <si>
    <t>Đóng hàng XK sáng 25/06</t>
  </si>
  <si>
    <t>Đóng hàng chè sáng 26/06</t>
  </si>
  <si>
    <t>BXAU4505763</t>
  </si>
  <si>
    <t>TEMU8942571</t>
  </si>
  <si>
    <t>HNKU5134702</t>
  </si>
  <si>
    <t>WHSU6219775</t>
  </si>
  <si>
    <t>GAOU6144264</t>
  </si>
  <si>
    <t>HASU4699839</t>
  </si>
  <si>
    <t>DRYU9961444</t>
  </si>
  <si>
    <t>TRHU4302245</t>
  </si>
  <si>
    <t>GAOU6143885</t>
  </si>
  <si>
    <t>TGBU6465891</t>
  </si>
  <si>
    <t>CCLU7797475</t>
  </si>
  <si>
    <t>FFAU3398668</t>
  </si>
  <si>
    <t>TLLU4132790</t>
  </si>
  <si>
    <t>YMLU8803635</t>
  </si>
  <si>
    <t>UETU6484413</t>
  </si>
  <si>
    <t>YMLU8692418</t>
  </si>
  <si>
    <t>FCIU7089495</t>
  </si>
  <si>
    <t>FBLU0196982</t>
  </si>
  <si>
    <t>YMLU9025507</t>
  </si>
  <si>
    <t>Masan HD, KCN Đại An, Hải Dương</t>
  </si>
  <si>
    <t>TK Cờ Đỏ, tt NT Mộc Châu, Sơn La</t>
  </si>
  <si>
    <t>Chuyên Ngoại, Duy Tiên, Hà Nam</t>
  </si>
  <si>
    <t>Trung Lương, Bình Lục, Hà Nam</t>
  </si>
  <si>
    <t>Khu 5, TT Thanh Ba, Phú Thọ</t>
  </si>
  <si>
    <t>THÁNG 06.2024</t>
  </si>
  <si>
    <t>Đóng hàng chè chiều 01/07 - 02/07</t>
  </si>
  <si>
    <t>Trả hàng Vietsun sáng 08/07</t>
  </si>
  <si>
    <t>Đóng hàng chè sáng 12/07</t>
  </si>
  <si>
    <t>Đóng hàng chè sáng 15/07 - 16/07</t>
  </si>
  <si>
    <t>Đóng hàng chè chiều 21/07</t>
  </si>
  <si>
    <t>Đóng hàng XK sáng 26/07</t>
  </si>
  <si>
    <t>Đóng hàng chè sáng 30/07</t>
  </si>
  <si>
    <t>Mai Đình, Phủ Lỗ, Sóc Sơn, Hà Nội</t>
  </si>
  <si>
    <t>GreenFeed, KCN Phố Nối A, Văn Lâm, Hưng Yên</t>
  </si>
  <si>
    <t>Thiện Kế, Bình Xuyên, Vĩnh Phúc</t>
  </si>
  <si>
    <t>KCN Thanh Liêm, Phủ Lý, Hà Nam</t>
  </si>
  <si>
    <t>Khu 1, Vân Lĩnh, Thanh Ba, Phú Thọ</t>
  </si>
  <si>
    <t>Hưng Hà, Thái Bình</t>
  </si>
  <si>
    <t>MIOU4869233</t>
  </si>
  <si>
    <t>DRYU9592325</t>
  </si>
  <si>
    <t>OOCU7522100</t>
  </si>
  <si>
    <t>DRYU9718115</t>
  </si>
  <si>
    <t>AXEU6024510</t>
  </si>
  <si>
    <t>WHSU5472665</t>
  </si>
  <si>
    <t>HMMU6523307</t>
  </si>
  <si>
    <t>SEGU4179742</t>
  </si>
  <si>
    <t>FFAU3360370</t>
  </si>
  <si>
    <t>EMCU8519140</t>
  </si>
  <si>
    <t>SEGU5970300</t>
  </si>
  <si>
    <t>CSNU8205305</t>
  </si>
  <si>
    <t>DRYU9592330</t>
  </si>
  <si>
    <t>BMOU6269149</t>
  </si>
  <si>
    <t>BMOU6289799</t>
  </si>
  <si>
    <t>HMMU5427572</t>
  </si>
  <si>
    <t>OOCU8320064</t>
  </si>
  <si>
    <t>CAIU7332734</t>
  </si>
  <si>
    <t>THÁNG 07.2024</t>
  </si>
  <si>
    <t>Trả hàng Vietsun chiều 05/08</t>
  </si>
  <si>
    <t>Đóng hàng XK sáng 6/8</t>
  </si>
  <si>
    <t>Đóng hàng XK sáng 7/8</t>
  </si>
  <si>
    <t>Đóng hàng chè sáng 8/8</t>
  </si>
  <si>
    <t>Đóng hàng chè chiều 9/8</t>
  </si>
  <si>
    <t>Đóng hàng chè sáng 12 - 13/8</t>
  </si>
  <si>
    <t>Đóng hàng chè sáng 14/8</t>
  </si>
  <si>
    <t>Đóng hàng chè sáng 16/8</t>
  </si>
  <si>
    <t>Đóng hàng chè tối 19/8</t>
  </si>
  <si>
    <t>Trả hàng Vietsun sáng 21/8</t>
  </si>
  <si>
    <t>Đóng hàng XK chiều 22/8</t>
  </si>
  <si>
    <t>Đóng hàng chè chiều 23/8</t>
  </si>
  <si>
    <t>Đóng hàng chè chiều 24/8</t>
  </si>
  <si>
    <t>Đóng hàng chè sáng 26/8</t>
  </si>
  <si>
    <t>Đóng hàng chè sáng 27/8</t>
  </si>
  <si>
    <t>Đóng hàng chè sáng 29/8</t>
  </si>
  <si>
    <t>Trả hàng Vietsun sáng 30/8</t>
  </si>
  <si>
    <t>Đóng hàng KH chiều 30/8</t>
  </si>
  <si>
    <t>Đường TS6, KCN Tiên Sơn, Bắc Ninh</t>
  </si>
  <si>
    <t>Đội Cân, tp. Tuyên Quang</t>
  </si>
  <si>
    <t>Thanh Hà, Thanh Liêm, Hà Nam</t>
  </si>
  <si>
    <t>Đức Thắng, Hiệp Hòa, Bắc Giang</t>
  </si>
  <si>
    <t>TLLU3226106</t>
  </si>
  <si>
    <t>GAOU7025104</t>
  </si>
  <si>
    <t>GAOU6143632</t>
  </si>
  <si>
    <t>KKTU8130786</t>
  </si>
  <si>
    <t>KKTU8139844</t>
  </si>
  <si>
    <t>TGBU8630486</t>
  </si>
  <si>
    <t>SLVU4669005</t>
  </si>
  <si>
    <t>OOCU7267659</t>
  </si>
  <si>
    <t>UETU5255665</t>
  </si>
  <si>
    <t>YMMU6240710</t>
  </si>
  <si>
    <t>SEKU4042008</t>
  </si>
  <si>
    <t>TRZU1144093</t>
  </si>
  <si>
    <t>CICU3666321</t>
  </si>
  <si>
    <t>BMOU5443493</t>
  </si>
  <si>
    <t>YMMU6334810</t>
  </si>
  <si>
    <t>BSIU9781513</t>
  </si>
  <si>
    <t>TIIU4722599</t>
  </si>
  <si>
    <t>TCNU4785710</t>
  </si>
  <si>
    <t>THÁNG 08.2024</t>
  </si>
  <si>
    <t>Đóng hàng chè sáng 3/9</t>
  </si>
  <si>
    <t>Trả hàng Vietsun sáng 5/9</t>
  </si>
  <si>
    <t>Đòng hàng chè sáng 6/9</t>
  </si>
  <si>
    <t>Đóng hàng chè sáng 10 - chiều 11/9</t>
  </si>
  <si>
    <t>Trả hàng Viietsun sáng 16/9</t>
  </si>
  <si>
    <t>Đóng hàng chè sáng 17/9</t>
  </si>
  <si>
    <t>Đóng hàng chè sáng 19/9</t>
  </si>
  <si>
    <t>Đóng hàng chè sáng 21/9</t>
  </si>
  <si>
    <t>Trả hàng Vietsun sáng 23/9</t>
  </si>
  <si>
    <t>Trả hàng Vietsun sáng 24/9</t>
  </si>
  <si>
    <t>Đóng hàng chè sáng 27/9</t>
  </si>
  <si>
    <t>Đóng hàng chè sáng 29/9</t>
  </si>
  <si>
    <t>THÁNG 09.2024</t>
  </si>
  <si>
    <t>TCNU1881915</t>
  </si>
  <si>
    <t>GAOU6800383</t>
  </si>
  <si>
    <t>WHLU4319023</t>
  </si>
  <si>
    <t>YMMU6925279</t>
  </si>
  <si>
    <t>GAOU6799554</t>
  </si>
  <si>
    <t>YMMU6188612</t>
  </si>
  <si>
    <t>SEGU6187670</t>
  </si>
  <si>
    <t>CSNU7137989</t>
  </si>
  <si>
    <t>CAIU4672052</t>
  </si>
  <si>
    <t>GAOU6798970</t>
  </si>
  <si>
    <t>TGBU8873629</t>
  </si>
  <si>
    <t>EGSU9313635</t>
  </si>
  <si>
    <t>Văn Luông, Tân Sơn, Phú Thọ</t>
  </si>
  <si>
    <t>BEAU5062830</t>
  </si>
  <si>
    <t>YMMU6110471</t>
  </si>
  <si>
    <t>TRHU5958583</t>
  </si>
  <si>
    <t>OCGU8015170</t>
  </si>
  <si>
    <t>TCNU4595860</t>
  </si>
  <si>
    <t>TGSU2292345</t>
  </si>
  <si>
    <t>YMMU6744115</t>
  </si>
  <si>
    <t>CAAU6943850</t>
  </si>
  <si>
    <t>GAOU6143381</t>
  </si>
  <si>
    <t>YMMU6753164</t>
  </si>
  <si>
    <t>YMMU7020095</t>
  </si>
  <si>
    <t>YMMU6662362</t>
  </si>
  <si>
    <t>WHSU6503502</t>
  </si>
  <si>
    <t>YMMU6602002</t>
  </si>
  <si>
    <t>GAOU6143376</t>
  </si>
  <si>
    <t>QL6, Yên Nghĩa, Hà Đông, Hà Nội</t>
  </si>
  <si>
    <t>Minh Đài, Tân Sơn, Phú Thọ</t>
  </si>
  <si>
    <t>Dương Hồng Thủy, Thái Thụy, Thái Bình</t>
  </si>
  <si>
    <t>Nguyễn Văn Linh, Bần - Yên Nhân, Mỹ Hào, Hưng Yên</t>
  </si>
  <si>
    <t>Bảo Khê, TP. Hưng Yên</t>
  </si>
  <si>
    <t>Hùng An, Bắc Quang, Hà Giang</t>
  </si>
  <si>
    <t>Hoàn Long, Yên Mỹ, Hưng Yên</t>
  </si>
  <si>
    <t>Trả hàng Vietsun chiều 1/10</t>
  </si>
  <si>
    <t>Trả hàng Vietsun sáng 2/10</t>
  </si>
  <si>
    <t>Đóng hàng chè sáng 3/10</t>
  </si>
  <si>
    <t>Đóng hàng chè chiều 5/10</t>
  </si>
  <si>
    <t>Đóng hàng chè sáng 8/10</t>
  </si>
  <si>
    <t>Đóng hàng XK sáng 12/10</t>
  </si>
  <si>
    <t>Đóng hàng XK sáng 16/10</t>
  </si>
  <si>
    <t>Trả hàng Vietsun sáng 17/10</t>
  </si>
  <si>
    <t>Trả hàng Vietsun chiều 18/10</t>
  </si>
  <si>
    <t>Trả hàng Vietsun sáng 28/10</t>
  </si>
  <si>
    <t>Đóng hàng chè sáng 30/10</t>
  </si>
  <si>
    <t>Trả hàng Vietsun chiều 31/10</t>
  </si>
  <si>
    <t>Thanh toán tiền lọc nhớt , lọc nhiên liệu, lọc nhiên liệu tách nước xe 15C-139.82 ngày 15/1</t>
  </si>
  <si>
    <t xml:space="preserve">Thanh toán Việt phát tiền thùng dầu </t>
  </si>
  <si>
    <t>Thanh toán tiền hàn giàn nóng, bơm ga dầu lạnh xe 15C-139.82 ngày 6/1</t>
  </si>
  <si>
    <t>Thanh toán tiền hàn két nước, công thợ tháo lắm két nước xe 15C-139.82 ngày 24/1</t>
  </si>
  <si>
    <t>Thanh toán tiền mua đèn cho xe 15C-136.31; 15C-139.82; 15C-180.99; 15C-070.63</t>
  </si>
  <si>
    <t>Thanh toán Cty định vị bách khoa tiền thu phí duy trì camera 4 xe 15C-136.31, 15C-139.82, 15C-070.63, 15C-180.99 hết T03/2025</t>
  </si>
  <si>
    <t>Thanh toán tiền mua chì cho xe 15C-139.82; 15C-070.63; 15C-180.99; 15C-136.31</t>
  </si>
  <si>
    <t>Thanh toán tiền hạn 2 chặn nhiếp, hàn giằng nhiếp xe 15C-139.82</t>
  </si>
  <si>
    <t>Thanh toán nước làm mát, lọc nước làm mát, nước cất pha nước làm mát xe 15C-139.82</t>
  </si>
  <si>
    <t>Thanh toán tiền lọc gió ngoài P613336 cho xe 15C-139.82</t>
  </si>
  <si>
    <t>Thanh toán tiền phí kiểm định Rơ moóc 15R-070.51 xe 15C-139.82</t>
  </si>
  <si>
    <t>Thanh toán tiền phí kiểm định xe 15C-139.82</t>
  </si>
  <si>
    <t>Thanh toán tiền dầu trợ lực lái xe 15C-139.82</t>
  </si>
  <si>
    <t>Thanh toán dây lốp bánh lái xe 15C-139.82 ngày 27/5</t>
  </si>
  <si>
    <t>Thanh toán mayơ, keo cho xe 15C-139.82 ngày 27/5</t>
  </si>
  <si>
    <t>Thanh toán tiền bảo dưỡng chân moóc, công tháo lắp sửa chân rơ moóc 15C-070.51 xe 15C-139.82</t>
  </si>
  <si>
    <t>Chi tiền thẩm định giá 3 ce 15C-136.31; 15C-139.82; 15C-180.99</t>
  </si>
  <si>
    <t>Thanh toán tiền bảo hiểm TNDS 15C-139.82  ngày 16/5</t>
  </si>
  <si>
    <t>Thanh toán tiền bảo hiểm vật chất  xe 15C-139.82 ngày 16/5</t>
  </si>
  <si>
    <t>Thanh tóan 1 tổng phanh moóc đứng 3 dàn, 1 bát phanh moóc xe 15C-139.82 ngày 26/2</t>
  </si>
  <si>
    <t xml:space="preserve">Thanh toán sửa tổng phanh chân, thay 1 bộ phớt xe 15C-139.82 ngày 04/6 </t>
  </si>
  <si>
    <t>Thanh toán thay 1 tổng chia hơi lốc kê dầu, 1 bát phanh moóc xe 15C-139.82 ngày 20/4</t>
  </si>
  <si>
    <t>Thanh toán tiền thay 1,2 m dây pi 12 éo táo xe 15C-139.82 ngày 23/6</t>
  </si>
  <si>
    <t>Chi tiền thưởng tết dương lịch</t>
  </si>
  <si>
    <t>Thanh toán tiền mua con tăng dây Curoa cho xe 15C-139.82</t>
  </si>
  <si>
    <t>Thanh toán tiền sửa xe 15C-139.82 ( Thay xi lanh, xéc măng, nhớt máy, bạc biên balie, cân kim...) ngày 30/03/2024</t>
  </si>
  <si>
    <t>Thanh toán tiền lốp 295/75R22.5/16 CSM 611 cho xe 15C-139.82 ngày 16/5</t>
  </si>
  <si>
    <t>Thanh toán 1 phần tiền lốp 1100R20 Blacklion xe 15C-139.82 ngày 16/5</t>
  </si>
  <si>
    <t>Thanh toán tiền thay lọc nhớt, lọc nhiên liệu, lọc nhiên liệu tách nước xe 15C-139.82 ngày 18/6</t>
  </si>
  <si>
    <t>TT tán 1 bộ phanh đầu kéo, thay 2 bộ lò xo phanh, 2 con lăn phanh , công 1 bộ phanh xe 15C-139.82 ngày 10/4</t>
  </si>
  <si>
    <t>Thanh toán tiền thông két nước, thay 3 két nước dàn phụ, thông két gió, bình phụ, công xe 15C-139.82 ngày 30/3</t>
  </si>
  <si>
    <t>Thanh toán tiền lọc nhớt  xe 15C-139.82 ngày 28/5</t>
  </si>
  <si>
    <t>Thanh toán tiền cảm biến áp lực nhớt MF, công thợ xe 15C-139.82 ngày 25/5</t>
  </si>
  <si>
    <t>Thanh toán tiền bơm nhớt mới xe 15C-139.82 ngày 31/5</t>
  </si>
  <si>
    <t>Thanh toán tiền 04 san tích xe 15C-139.82 ngày 29/7</t>
  </si>
  <si>
    <t>Thanh toán tiền thay 1 bát phanh bánh lái , 1 bát phanh, 1 lò xo xe 15C-139.82 ngày 29/7</t>
  </si>
  <si>
    <t>Thanh toán tiền thay bóng cabinMF to PW, bo quang treo MRT xe 15C-139.82 ngày 07/8</t>
  </si>
  <si>
    <t>Thanh toán tiền thay áp cao, cuộn điện, bơm ga, dầu lạnh, công thợ xe 15C-139.82 ngày 18/6</t>
  </si>
  <si>
    <t>Thay ống lạnh, hàn đầu van, bơm ga, dầu lạnh công thợ xe 15C-139.82 ngày 07/6</t>
  </si>
  <si>
    <t>Thah toán tiền thay khiển cửa gió trong + ngoài xe 15C-139.82 ngày 22/7</t>
  </si>
  <si>
    <t>Thanh toán tiền 01 lốp 295/75R22.5/16 CSM881  xe 15C-139.82 ngày 04/7 + săm xe 11.00R20 cho lốp được bảo hành</t>
  </si>
  <si>
    <t>Thay 01 nhíp lái xe 15C-139.82 ngày 19/8</t>
  </si>
  <si>
    <t>Thay 01 bơm bót lái xe 15C-139.82 ngày 19/8</t>
  </si>
  <si>
    <t>Thay dầu bóp lái xe 15C-139.82 ngày 19/8</t>
  </si>
  <si>
    <t xml:space="preserve">Tiền công cứu hộ, tiền tháo lắp bằng súng hơi xe (400k) 15C-139.82 ngày 19/8 </t>
  </si>
  <si>
    <t xml:space="preserve">Thanh toán tiền camera GS hành trình xe 15C-139.82 </t>
  </si>
  <si>
    <t>Thanh toán tiền lốp 1100R20 Black lion 267 xe 15C-139.82 ngày 13/8</t>
  </si>
  <si>
    <t>Chi tiền thưởng 2-9</t>
  </si>
  <si>
    <t>Thanh toán tiền thay bóng tải xe 15C-139.82 ngày 31/8 . BH 6 tháng</t>
  </si>
  <si>
    <t>Thanh toán tiền thay lọc dầu nhớt P551088, P574863 cho xe 15C-139.82 ngày 26/8</t>
  </si>
  <si>
    <t>Thanh toán tiền thay 1 bộ chia hơi, 1 bộ cút đồng, 4 bát phanh lốc kê moóc, 1 lò xo nhỏ xe 15C-139.82 ngày 31/8</t>
  </si>
  <si>
    <t>Thanh toán tiền thay bóng hơi cabin, bi van treo xe 15C-139.82 ngày 06/8</t>
  </si>
  <si>
    <t>Thanh toán tiền làm trục bớt lái + thay bi, dầu bớt lái 4 lít xe 15C-139.82 ngày 26/8</t>
  </si>
  <si>
    <t>Thanh toán tiền sửa ghế, thay bạc,bi, giảm xóc ghế, thay bóng hơi (BH 30/9/25) ngày 30/9 xe 15C-139.82</t>
  </si>
  <si>
    <t xml:space="preserve">Thanh toán tiền đăng kiểm xe 15C-139.82 </t>
  </si>
  <si>
    <t>Thanh toán tiền thay moto nước, công tắc còi, chuyển còi hơi, dây nước, dây điện .. xe 15C-139.82 ngày 7/10</t>
  </si>
  <si>
    <t>Thanh toán tiền kính xe 15C-139.82 ngày 7/10</t>
  </si>
  <si>
    <t>Thanh toán tiền thay chân cắm zơ le, công thợ xe 15C-139.82 ngày 16/10</t>
  </si>
  <si>
    <t>Thanh toán tiền cắt hàn tay gương đầu xe 15C-139.82 ngày 19.10</t>
  </si>
  <si>
    <t>Thanh toán tiền làm lốp + thay yếm xe 15C-139.82 ngày 20/10</t>
  </si>
  <si>
    <t>Thanh toán tiền lốc bơm, gia công trục bơm, ty bơm mới, .. xe 15C-139.82 ngày 01/10</t>
  </si>
  <si>
    <t>Thanh toán bảo dưỡng ly tâm, vòng bi tì xe 15C-139.82 ngày 18/10</t>
  </si>
  <si>
    <t>Thanh toán thay moto bơm nước, công tắc, làm giá đỡ bình nươc, ốc , ống .. xe 15C-139.82</t>
  </si>
  <si>
    <t>Thanh toán tiền lọc nước nhiên liệu xe 15C-139.82 ngày 26/9</t>
  </si>
  <si>
    <t>Thanh toán tiền nước làm mát xe 15C-139.82; 15C-136.31; 15C-070.63; 15C-180.99 ngày 16/10</t>
  </si>
  <si>
    <t>Thanh toán tiền nhíp lái MF LS1, bạc 45 Hn, San tan 12, công ép bạc xe 15C-139.82 ngày 25/10</t>
  </si>
  <si>
    <t>Trâu Quỳ, Gia Lâm, Hà Nội</t>
  </si>
  <si>
    <t>TGBU9209574</t>
  </si>
  <si>
    <t>THÁNG 10.2024</t>
  </si>
  <si>
    <t>Lương (29/26 ngày)</t>
  </si>
  <si>
    <t>Lương (21/26 ngày)</t>
  </si>
  <si>
    <t>Chi tiền thưởng tết âm lịch</t>
  </si>
  <si>
    <t xml:space="preserve">Chi tiền lì xì đầu năm </t>
  </si>
  <si>
    <t>Công làm 1 bộ nhíp lái xe 15C-139.82 ngày 25/10</t>
  </si>
  <si>
    <t>Trả hàng Vietsun sáng 2/12</t>
  </si>
  <si>
    <t>Đóng hàng chè sáng 3/12</t>
  </si>
  <si>
    <t>Trả hàng Vietsun sáng 4/12</t>
  </si>
  <si>
    <t>Đóng hàng XK sáng 5/12</t>
  </si>
  <si>
    <t>Trả hàng Vietsun sáng 6/12</t>
  </si>
  <si>
    <t>Trả hàng Vietsun sáng 9/12</t>
  </si>
  <si>
    <t>Đóng hàng chè sáng 10/12</t>
  </si>
  <si>
    <t>Trả hàng Vietsun sáng 11/12</t>
  </si>
  <si>
    <t>Đóng hàng chè sáng 13/12</t>
  </si>
  <si>
    <t>Trả hàng Vietsun chiều 23/12</t>
  </si>
  <si>
    <t>Đóng hàng chè sáng 24/12</t>
  </si>
  <si>
    <t>Đóng hàng XK sáng 26/12</t>
  </si>
  <si>
    <t>Đóng hàng KH Vietsun chiều 27/12</t>
  </si>
  <si>
    <t>Vận chuyển hàng hạ cảng 31/12</t>
  </si>
  <si>
    <t>KCN Minh Quang, Mỹ Hào, Hưng Yên</t>
  </si>
  <si>
    <t>Đường D2, KCN Yên Mỹ, Hưng Yên</t>
  </si>
  <si>
    <t>Quan Độ, Yên Phong, Bắc Ninh</t>
  </si>
  <si>
    <t>Tân Tiến, Văn Giang, Hưng Yên</t>
  </si>
  <si>
    <t>Khu 14, Tiên Phú, Phù Ninh, Phú Thọ</t>
  </si>
  <si>
    <t>KCN Đại An, TP. Hải Dương</t>
  </si>
  <si>
    <t>KCN Đồng Văn 4, Kim Bảng, Hà Nam</t>
  </si>
  <si>
    <t>Đạo Trù, Tam Đảo, Vĩnh Phúc</t>
  </si>
  <si>
    <t>TT Mộc Châu, Mộc Châu, Sơn La</t>
  </si>
  <si>
    <t>An Bình, Thuận Thành, Bắc Ninh</t>
  </si>
  <si>
    <t>Cảng Lạch Huyện, Cát Hải, Hải Phòng</t>
  </si>
  <si>
    <t>DRYU9814314</t>
  </si>
  <si>
    <t>WHSU5215522</t>
  </si>
  <si>
    <t>VSGU4242450</t>
  </si>
  <si>
    <t>MSKU4491000</t>
  </si>
  <si>
    <t>VSGU4240376</t>
  </si>
  <si>
    <t>DRYU9877272</t>
  </si>
  <si>
    <t>EISU8213928</t>
  </si>
  <si>
    <t>DRYU9878598</t>
  </si>
  <si>
    <t>DRYU9970493</t>
  </si>
  <si>
    <t>BMOU6053627</t>
  </si>
  <si>
    <t>GAOU7022300</t>
  </si>
  <si>
    <t>VSGU4242126</t>
  </si>
  <si>
    <t>BSIU8160229</t>
  </si>
  <si>
    <t>VSGU4242281</t>
  </si>
  <si>
    <t>TCKU6037420</t>
  </si>
  <si>
    <t>CAIU4668793</t>
  </si>
  <si>
    <t>EMCU1613935</t>
  </si>
  <si>
    <t>YMMU6727294</t>
  </si>
  <si>
    <t>SEGU5038190</t>
  </si>
  <si>
    <t>GAOU6145949</t>
  </si>
  <si>
    <t>DRYU9591437</t>
  </si>
  <si>
    <t>NYKU4824656</t>
  </si>
  <si>
    <t>OOLU1736945</t>
  </si>
  <si>
    <t>THÁNG 11.2024</t>
  </si>
  <si>
    <t>THÁNG 12.2024</t>
  </si>
  <si>
    <t>Trả hàng Vietsun sáng 1/11</t>
  </si>
  <si>
    <t>Trả hàng Vietsun sáng 2/11</t>
  </si>
  <si>
    <t>Đóng hàng chè sáng 5/11</t>
  </si>
  <si>
    <t>Trả hàng Vietsun sáng 6/11</t>
  </si>
  <si>
    <t>Đóng hàng XK sáng 7/11</t>
  </si>
  <si>
    <t>Đóng hàng XK sáng 8/11</t>
  </si>
  <si>
    <t>Đóng hàng chè sáng 9/11</t>
  </si>
  <si>
    <t>Đóng hàng chè sáng 11/11 - 12/11</t>
  </si>
  <si>
    <t>Đóng hàng XK sáng 19/11</t>
  </si>
  <si>
    <t>Đóng hàng chè sáng 21/11 - 22/11</t>
  </si>
  <si>
    <t>Đóng hàng XK sáng 25/11</t>
  </si>
  <si>
    <t>Đóng hàng chè sáng 30/11</t>
  </si>
  <si>
    <t>TCNU4785828</t>
  </si>
  <si>
    <t>CSNU7638213</t>
  </si>
  <si>
    <t>IAAU1701118</t>
  </si>
  <si>
    <t>MRSU0253052</t>
  </si>
  <si>
    <t>TLLU7798305</t>
  </si>
  <si>
    <t>OOCU8813688</t>
  </si>
  <si>
    <t>VSGU4242532</t>
  </si>
  <si>
    <t>CSNU6119656</t>
  </si>
  <si>
    <t>YMLU8839406</t>
  </si>
  <si>
    <t>WHSU6262405</t>
  </si>
  <si>
    <t>TEMU8588410</t>
  </si>
  <si>
    <t>YMMU6584634</t>
  </si>
  <si>
    <t>MRKU9007139</t>
  </si>
  <si>
    <t>GAOU6799467</t>
  </si>
  <si>
    <t>OOCU8082789</t>
  </si>
  <si>
    <t>YMMU6709290</t>
  </si>
  <si>
    <t>OOCU7281050</t>
  </si>
  <si>
    <t>Cẩm Phúc, Cẩm Giàng, Hải Dương</t>
  </si>
  <si>
    <t>Hưng Thi, Lạc Thủy, Hòa Bình</t>
  </si>
  <si>
    <t>Phan Trọng Tuệ, Văn Điển, Thanh Trì,  Hà Nội</t>
  </si>
  <si>
    <t>Nậm Búng, Văn Chấn, Yên Bái</t>
  </si>
  <si>
    <t>Tán nhíp côn , thay bi, dây bơm mỡ, công thợ, thay bạc tay giằng .. Xe 15C-139.82 ngày 26/10</t>
  </si>
  <si>
    <t xml:space="preserve">Thanh toán tiền bơm mỡ đầu moóc xe 15C-139.82 </t>
  </si>
  <si>
    <t>Thanh toán tiền thay lốc, van điều áp, phin lọc ga, dây curoa, hóa chất vệ sinh, bơm ga-dầu lạnh xe 15C-139.82 ngày 17/10</t>
  </si>
  <si>
    <t>Thanh toán tiền lọc nhớt P551088 xe 15C-139.82 ngày 21/11</t>
  </si>
  <si>
    <t>Thanh toán tiền mua dây nivo, đồng, nối, ren, tiền công sửa xe 15C-139.82 ngày 01/12</t>
  </si>
  <si>
    <t xml:space="preserve">Thanh toán tiền mua seal tạm cho xe </t>
  </si>
  <si>
    <t>Thanh toán tiền Xe 15C-139.82 thay săm, yếm ngày 21/10</t>
  </si>
  <si>
    <t>Thanh toán tiền Xe 15C-139.82 thay 2 lốp 11.00R20 Black Lion gai BA267 ngày 04/10</t>
  </si>
  <si>
    <t>Thanh toán Thay trục a cơ số, công thay, thay côn mới 6 cánh xe 15C-139.82 ngày 29/10</t>
  </si>
  <si>
    <t>Thanh toán tiền dầu cho xe 15C-136.31; 15C-139.82; 15C-180.99; 15C-070.63</t>
  </si>
  <si>
    <t>Thanh toán tiền thay đèn sườn xe 15C-139.82 ngày 10.12</t>
  </si>
  <si>
    <t>Thanh toán tiền bơm mỡ xe 15C-136.31; 15C-139.82 ngày 16/12</t>
  </si>
  <si>
    <t>Thanh toán 2 dây phanh lái xe 15C-139.82 ngày 23/12</t>
  </si>
  <si>
    <t>Thay 1 bố khóa xả hơi bình, 1 cút đồng ép táo pi 20 xe 15C-139.82 ngày 25/11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</si>
</sst>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
    <numFmt numFmtId="165" formatCode="_(* #,##0_);_(* \(#,##0\);_(* &quot;-&quot;??_);_(@_)"/>
  </numFmts>
  <fonts count="43" x14ac:knownFonts="1">
    <font>
      <sz val="11"/>
      <color theme="1"/>
      <name val="Calibri"/>
      <family val="2"/>
      <scheme val="minor"/>
    </font>
    <font>
      <sz val="11"/>
      <color theme="1"/>
      <name val="Calibri"/>
      <family val="2"/>
      <scheme val="minor"/>
    </font>
    <font>
      <b/>
      <sz val="10"/>
      <color theme="1"/>
      <name val="Arial Narrow"/>
      <family val="2"/>
    </font>
    <font>
      <sz val="10"/>
      <color theme="1"/>
      <name val="Arial Narrow"/>
      <family val="2"/>
    </font>
    <font>
      <sz val="10"/>
      <name val="Arial Narrow"/>
      <family val="2"/>
    </font>
    <font>
      <sz val="10"/>
      <color rgb="FFFF0000"/>
      <name val="Arial Narrow"/>
      <family val="2"/>
    </font>
    <font>
      <i/>
      <sz val="10"/>
      <color theme="9" tint="-0.249977111117893"/>
      <name val="Arial Narrow"/>
      <family val="2"/>
    </font>
    <font>
      <i/>
      <sz val="10"/>
      <color theme="4"/>
      <name val="Arial Narrow"/>
      <family val="2"/>
    </font>
    <font>
      <i/>
      <sz val="10"/>
      <color rgb="FF0070C0"/>
      <name val="Arial Narrow"/>
      <family val="2"/>
    </font>
    <font>
      <i/>
      <sz val="10"/>
      <color rgb="FFFF0000"/>
      <name val="Arial Narrow"/>
      <family val="2"/>
    </font>
    <font>
      <b/>
      <sz val="20"/>
      <color theme="1"/>
      <name val="Arial Narrow"/>
      <family val="2"/>
    </font>
    <font>
      <sz val="12"/>
      <color theme="1"/>
      <name val="Arial Narrow"/>
      <family val="2"/>
    </font>
    <font>
      <sz val="8"/>
      <color theme="1"/>
      <name val="Arial"/>
      <family val="2"/>
    </font>
    <font>
      <b/>
      <sz val="10"/>
      <color rgb="FF00B050"/>
      <name val="Arial Narrow"/>
      <family val="2"/>
    </font>
    <font>
      <b/>
      <sz val="18"/>
      <color theme="1"/>
      <name val="Arial Narrow"/>
      <family val="2"/>
    </font>
    <font>
      <b/>
      <sz val="12"/>
      <color theme="1"/>
      <name val="Arial Narrow"/>
      <family val="2"/>
    </font>
    <font>
      <i/>
      <sz val="10"/>
      <color theme="3" tint="0.39997558519241921"/>
      <name val="Arial Narrow"/>
      <family val="2"/>
    </font>
    <font>
      <sz val="10"/>
      <color theme="5" tint="-0.249977111117893"/>
      <name val="Arial Narrow"/>
      <family val="2"/>
    </font>
    <font>
      <sz val="8"/>
      <color rgb="FFFF0000"/>
      <name val="Arial"/>
      <family val="2"/>
    </font>
    <font>
      <b/>
      <sz val="10"/>
      <color rgb="FF00B0F0"/>
      <name val="Arial Narrow"/>
      <family val="2"/>
    </font>
    <font>
      <b/>
      <sz val="9"/>
      <color indexed="81"/>
      <name val="Tahoma"/>
      <family val="2"/>
    </font>
    <font>
      <sz val="9"/>
      <color indexed="81"/>
      <name val="Tahoma"/>
      <family val="2"/>
    </font>
    <font>
      <b/>
      <sz val="18"/>
      <color theme="1"/>
      <name val="Times New Roman"/>
      <family val="1"/>
    </font>
    <font>
      <b/>
      <sz val="10"/>
      <color theme="1"/>
      <name val="Times New Roman"/>
      <family val="1"/>
    </font>
    <font>
      <sz val="10"/>
      <color theme="1"/>
      <name val="Times New Roman"/>
      <family val="1"/>
    </font>
    <font>
      <b/>
      <sz val="12"/>
      <color theme="1"/>
      <name val="Times New Roman"/>
      <family val="1"/>
    </font>
    <font>
      <sz val="12"/>
      <color theme="1"/>
      <name val="Times New Roman"/>
      <family val="1"/>
    </font>
    <font>
      <sz val="10"/>
      <name val="Times New Roman"/>
      <family val="1"/>
    </font>
    <font>
      <sz val="10"/>
      <color theme="5" tint="-0.249977111117893"/>
      <name val="Times New Roman"/>
      <family val="1"/>
    </font>
    <font>
      <sz val="10"/>
      <color rgb="FFFF0000"/>
      <name val="Times New Roman"/>
      <family val="1"/>
    </font>
    <font>
      <i/>
      <sz val="10"/>
      <color rgb="FFFF0000"/>
      <name val="Times New Roman"/>
      <family val="1"/>
    </font>
    <font>
      <sz val="10"/>
      <color theme="1"/>
      <name val="Arial"/>
      <family val="2"/>
    </font>
    <font>
      <i/>
      <sz val="10"/>
      <name val="Times New Roman"/>
      <family val="1"/>
    </font>
    <font>
      <b/>
      <sz val="10"/>
      <color rgb="FF00B050"/>
      <name val="Times New Roman"/>
      <family val="1"/>
    </font>
    <font>
      <b/>
      <sz val="10"/>
      <color rgb="FFFF0000"/>
      <name val="Times New Roman"/>
      <family val="1"/>
    </font>
    <font>
      <i/>
      <sz val="10"/>
      <color rgb="FFFF0000"/>
      <name val="Arial"/>
      <family val="2"/>
    </font>
    <font>
      <i/>
      <sz val="10"/>
      <color theme="1"/>
      <name val="Times New Roman"/>
      <family val="1"/>
    </font>
    <font>
      <b/>
      <i/>
      <sz val="10"/>
      <color rgb="FFFF0000"/>
      <name val="Times New Roman"/>
      <family val="1"/>
    </font>
    <font>
      <b/>
      <sz val="10"/>
      <color rgb="FFFF0000"/>
      <name val="Arial Narrow"/>
      <family val="2"/>
    </font>
    <font>
      <sz val="10"/>
      <name val=".VnTime"/>
      <family val="2"/>
    </font>
    <font>
      <sz val="11"/>
      <color rgb="FFFF0000"/>
      <name val="Times New Roman"/>
      <family val="1"/>
    </font>
    <font>
      <i/>
      <strike/>
      <sz val="10"/>
      <color rgb="FFFF0000"/>
      <name val="Times New Roman"/>
      <family val="1"/>
    </font>
    <font>
      <strike/>
      <sz val="10"/>
      <color rgb="FFFF0000"/>
      <name val="Times New Roman"/>
      <family val="1"/>
    </font>
  </fonts>
  <fills count="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30">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hair">
        <color auto="1"/>
      </top>
      <bottom/>
      <diagonal/>
    </border>
    <border>
      <left style="thin">
        <color auto="1"/>
      </left>
      <right/>
      <top/>
      <bottom style="hair">
        <color auto="1"/>
      </bottom>
      <diagonal/>
    </border>
    <border>
      <left/>
      <right style="thin">
        <color auto="1"/>
      </right>
      <top style="hair">
        <color auto="1"/>
      </top>
      <bottom/>
      <diagonal/>
    </border>
    <border>
      <left style="thin">
        <color auto="1"/>
      </left>
      <right style="thin">
        <color auto="1"/>
      </right>
      <top/>
      <bottom/>
      <diagonal/>
    </border>
    <border>
      <left/>
      <right style="medium">
        <color rgb="FFCCCCCC"/>
      </right>
      <top style="medium">
        <color rgb="FFCCCCCC"/>
      </top>
      <bottom style="medium">
        <color rgb="FFCCCCCC"/>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right/>
      <top style="hair">
        <color auto="1"/>
      </top>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medium">
        <color rgb="FFCCCCCC"/>
      </top>
      <bottom style="hair">
        <color auto="1"/>
      </bottom>
      <diagonal/>
    </border>
  </borders>
  <cellStyleXfs count="3">
    <xf numFmtId="0" fontId="0" fillId="0" borderId="0"/>
    <xf numFmtId="43" fontId="1" fillId="0" borderId="0" applyFont="0" applyFill="0" applyBorder="0" applyAlignment="0" applyProtection="0"/>
    <xf numFmtId="0" fontId="39" fillId="0" borderId="0"/>
  </cellStyleXfs>
  <cellXfs count="480">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horizontal="center" vertical="center"/>
    </xf>
    <xf numFmtId="0" fontId="2" fillId="2" borderId="3" xfId="0" applyFont="1" applyFill="1" applyBorder="1" applyAlignment="1">
      <alignment horizontal="center" vertical="center"/>
    </xf>
    <xf numFmtId="3" fontId="2" fillId="2" borderId="3" xfId="0" applyNumberFormat="1" applyFont="1" applyFill="1" applyBorder="1" applyAlignment="1">
      <alignment horizontal="center" vertical="center"/>
    </xf>
    <xf numFmtId="0" fontId="3" fillId="0" borderId="4" xfId="0" applyFont="1" applyBorder="1"/>
    <xf numFmtId="164" fontId="3" fillId="0" borderId="4" xfId="0" applyNumberFormat="1" applyFont="1" applyBorder="1"/>
    <xf numFmtId="3" fontId="3" fillId="0" borderId="4" xfId="0" applyNumberFormat="1" applyFont="1" applyBorder="1"/>
    <xf numFmtId="3" fontId="3" fillId="0" borderId="2" xfId="0" applyNumberFormat="1" applyFont="1" applyBorder="1"/>
    <xf numFmtId="3" fontId="3" fillId="3" borderId="4" xfId="0" applyNumberFormat="1" applyFont="1" applyFill="1" applyBorder="1"/>
    <xf numFmtId="164" fontId="4" fillId="0" borderId="4" xfId="0" applyNumberFormat="1" applyFont="1" applyBorder="1"/>
    <xf numFmtId="0" fontId="4" fillId="0" borderId="4" xfId="0" applyFont="1" applyBorder="1" applyAlignment="1">
      <alignment wrapText="1"/>
    </xf>
    <xf numFmtId="0" fontId="4" fillId="0" borderId="4" xfId="0" applyFont="1" applyBorder="1"/>
    <xf numFmtId="0" fontId="3" fillId="3" borderId="2" xfId="0" applyFont="1" applyFill="1" applyBorder="1"/>
    <xf numFmtId="3" fontId="3" fillId="3" borderId="2" xfId="0" applyNumberFormat="1" applyFont="1" applyFill="1" applyBorder="1"/>
    <xf numFmtId="0" fontId="3" fillId="3" borderId="0" xfId="0" applyFont="1" applyFill="1"/>
    <xf numFmtId="0" fontId="5" fillId="3" borderId="0" xfId="0" applyFont="1" applyFill="1"/>
    <xf numFmtId="0" fontId="5" fillId="0" borderId="0" xfId="0" applyFont="1"/>
    <xf numFmtId="0" fontId="6" fillId="0" borderId="4" xfId="0" applyFont="1" applyBorder="1"/>
    <xf numFmtId="0" fontId="6" fillId="3" borderId="2" xfId="0" applyFont="1" applyFill="1" applyBorder="1"/>
    <xf numFmtId="3" fontId="6" fillId="3" borderId="2" xfId="0" applyNumberFormat="1" applyFont="1" applyFill="1" applyBorder="1"/>
    <xf numFmtId="0" fontId="7" fillId="0" borderId="4" xfId="0" applyFont="1" applyBorder="1"/>
    <xf numFmtId="0" fontId="7" fillId="3" borderId="2" xfId="0" applyFont="1" applyFill="1" applyBorder="1"/>
    <xf numFmtId="3" fontId="7" fillId="3" borderId="2" xfId="0" applyNumberFormat="1" applyFont="1" applyFill="1" applyBorder="1"/>
    <xf numFmtId="164" fontId="8" fillId="0" borderId="4" xfId="0" applyNumberFormat="1" applyFont="1" applyBorder="1"/>
    <xf numFmtId="0" fontId="8" fillId="0" borderId="4" xfId="0" applyFont="1" applyBorder="1" applyAlignment="1">
      <alignment wrapText="1"/>
    </xf>
    <xf numFmtId="3" fontId="8" fillId="3" borderId="2" xfId="0" applyNumberFormat="1" applyFont="1" applyFill="1" applyBorder="1"/>
    <xf numFmtId="164" fontId="6" fillId="0" borderId="4" xfId="0" applyNumberFormat="1" applyFont="1" applyBorder="1"/>
    <xf numFmtId="0" fontId="7" fillId="0" borderId="4" xfId="0" applyFont="1" applyBorder="1" applyAlignment="1">
      <alignment wrapText="1"/>
    </xf>
    <xf numFmtId="0" fontId="9" fillId="0" borderId="4" xfId="0" applyFont="1" applyBorder="1" applyAlignment="1">
      <alignment wrapText="1"/>
    </xf>
    <xf numFmtId="0" fontId="6" fillId="0" borderId="4" xfId="0" applyFont="1" applyBorder="1" applyAlignment="1">
      <alignment wrapText="1"/>
    </xf>
    <xf numFmtId="3" fontId="9" fillId="3" borderId="2" xfId="0" applyNumberFormat="1" applyFont="1" applyFill="1" applyBorder="1"/>
    <xf numFmtId="0" fontId="3" fillId="0" borderId="4" xfId="0" applyFont="1" applyBorder="1" applyAlignment="1">
      <alignment wrapText="1"/>
    </xf>
    <xf numFmtId="0" fontId="3" fillId="0" borderId="3" xfId="0" applyFont="1" applyBorder="1"/>
    <xf numFmtId="165" fontId="2" fillId="0" borderId="3" xfId="1" applyNumberFormat="1" applyFont="1" applyBorder="1"/>
    <xf numFmtId="164" fontId="3" fillId="0" borderId="0" xfId="0" applyNumberFormat="1" applyFont="1"/>
    <xf numFmtId="3" fontId="3" fillId="0" borderId="0" xfId="0" applyNumberFormat="1" applyFont="1"/>
    <xf numFmtId="3" fontId="5" fillId="0" borderId="0" xfId="0" applyNumberFormat="1" applyFont="1"/>
    <xf numFmtId="0" fontId="11" fillId="0" borderId="0" xfId="0" applyFont="1" applyAlignment="1">
      <alignment horizontal="center"/>
    </xf>
    <xf numFmtId="3" fontId="12" fillId="0" borderId="11" xfId="0" applyNumberFormat="1" applyFont="1" applyBorder="1" applyAlignment="1">
      <alignment horizontal="right" wrapText="1"/>
    </xf>
    <xf numFmtId="0" fontId="12" fillId="0" borderId="11" xfId="0" applyFont="1" applyBorder="1" applyAlignment="1">
      <alignment horizontal="right" wrapText="1"/>
    </xf>
    <xf numFmtId="3" fontId="12" fillId="0" borderId="0" xfId="0" applyNumberFormat="1" applyFont="1" applyAlignment="1">
      <alignment horizontal="right" wrapText="1"/>
    </xf>
    <xf numFmtId="3" fontId="3" fillId="0" borderId="0" xfId="0" applyNumberFormat="1" applyFont="1" applyAlignment="1">
      <alignment horizontal="center"/>
    </xf>
    <xf numFmtId="3" fontId="13" fillId="0" borderId="0" xfId="0" applyNumberFormat="1" applyFont="1" applyAlignment="1">
      <alignment horizontal="center"/>
    </xf>
    <xf numFmtId="3" fontId="3" fillId="0" borderId="3" xfId="0" applyNumberFormat="1" applyFont="1" applyBorder="1"/>
    <xf numFmtId="9" fontId="3" fillId="0" borderId="3" xfId="0" applyNumberFormat="1" applyFont="1" applyBorder="1" applyAlignment="1">
      <alignment horizontal="center"/>
    </xf>
    <xf numFmtId="3" fontId="2" fillId="0" borderId="3" xfId="0" applyNumberFormat="1" applyFont="1" applyBorder="1" applyAlignment="1">
      <alignment horizontal="center"/>
    </xf>
    <xf numFmtId="10" fontId="3" fillId="0" borderId="3" xfId="0" applyNumberFormat="1" applyFont="1" applyBorder="1" applyAlignment="1">
      <alignment horizontal="center"/>
    </xf>
    <xf numFmtId="3" fontId="2" fillId="0" borderId="0" xfId="0" applyNumberFormat="1" applyFont="1"/>
    <xf numFmtId="3" fontId="2" fillId="3" borderId="0" xfId="0" applyNumberFormat="1" applyFont="1" applyFill="1" applyAlignment="1">
      <alignment horizontal="center" vertical="center" wrapText="1"/>
    </xf>
    <xf numFmtId="0" fontId="3" fillId="0" borderId="0" xfId="0" applyFont="1" applyAlignment="1">
      <alignment vertical="center"/>
    </xf>
    <xf numFmtId="0" fontId="11" fillId="0" borderId="0" xfId="0" applyFont="1" applyAlignment="1">
      <alignment horizontal="center" vertical="center"/>
    </xf>
    <xf numFmtId="0" fontId="3" fillId="0" borderId="2" xfId="0" applyFont="1" applyBorder="1" applyAlignment="1">
      <alignment vertical="center"/>
    </xf>
    <xf numFmtId="164" fontId="4" fillId="3" borderId="4" xfId="0" applyNumberFormat="1" applyFont="1" applyFill="1" applyBorder="1" applyAlignment="1">
      <alignment vertical="center"/>
    </xf>
    <xf numFmtId="0" fontId="4" fillId="0" borderId="2"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3" borderId="2" xfId="0" applyFont="1" applyFill="1" applyBorder="1" applyAlignment="1">
      <alignment vertical="center"/>
    </xf>
    <xf numFmtId="3" fontId="3" fillId="0" borderId="2" xfId="0" applyNumberFormat="1" applyFont="1" applyBorder="1" applyAlignment="1">
      <alignment vertical="center"/>
    </xf>
    <xf numFmtId="165" fontId="3" fillId="0" borderId="2" xfId="1" applyNumberFormat="1" applyFont="1" applyBorder="1" applyAlignment="1">
      <alignment vertical="center"/>
    </xf>
    <xf numFmtId="3" fontId="3" fillId="3" borderId="2" xfId="0" applyNumberFormat="1" applyFont="1" applyFill="1" applyBorder="1" applyAlignment="1">
      <alignment vertical="center"/>
    </xf>
    <xf numFmtId="3" fontId="3" fillId="0" borderId="4" xfId="0" applyNumberFormat="1" applyFont="1" applyBorder="1" applyAlignment="1">
      <alignment vertical="center"/>
    </xf>
    <xf numFmtId="0" fontId="12" fillId="4" borderId="11" xfId="0" applyFont="1" applyFill="1" applyBorder="1" applyAlignment="1">
      <alignment horizontal="right" vertical="center" wrapText="1"/>
    </xf>
    <xf numFmtId="0" fontId="3" fillId="3" borderId="0" xfId="0" applyFont="1" applyFill="1" applyAlignment="1">
      <alignment vertical="center"/>
    </xf>
    <xf numFmtId="164" fontId="3" fillId="3" borderId="4" xfId="0" applyNumberFormat="1" applyFont="1" applyFill="1" applyBorder="1" applyAlignment="1">
      <alignment vertical="center"/>
    </xf>
    <xf numFmtId="0" fontId="3" fillId="3" borderId="2" xfId="0" applyFont="1" applyFill="1" applyBorder="1" applyAlignment="1">
      <alignment vertical="center" wrapText="1"/>
    </xf>
    <xf numFmtId="3" fontId="17" fillId="3" borderId="2" xfId="0" applyNumberFormat="1" applyFont="1" applyFill="1" applyBorder="1" applyAlignment="1">
      <alignment vertical="center"/>
    </xf>
    <xf numFmtId="164" fontId="3" fillId="0" borderId="12" xfId="0" applyNumberFormat="1" applyFont="1" applyBorder="1" applyAlignment="1">
      <alignment vertical="center"/>
    </xf>
    <xf numFmtId="0" fontId="3" fillId="0" borderId="12" xfId="0" applyFont="1" applyBorder="1" applyAlignment="1">
      <alignment vertical="center"/>
    </xf>
    <xf numFmtId="0" fontId="3" fillId="0" borderId="12" xfId="0" applyFont="1" applyBorder="1" applyAlignment="1">
      <alignment vertical="center" wrapText="1"/>
    </xf>
    <xf numFmtId="3" fontId="3" fillId="0" borderId="12" xfId="0" applyNumberFormat="1" applyFont="1" applyBorder="1" applyAlignment="1">
      <alignment vertical="center"/>
    </xf>
    <xf numFmtId="0" fontId="16" fillId="0" borderId="2" xfId="0" applyFont="1" applyBorder="1" applyAlignment="1">
      <alignment vertical="center" wrapText="1"/>
    </xf>
    <xf numFmtId="0" fontId="9" fillId="0" borderId="2" xfId="0" applyFont="1" applyBorder="1" applyAlignment="1">
      <alignment vertical="center" wrapText="1"/>
    </xf>
    <xf numFmtId="3" fontId="9" fillId="3" borderId="2" xfId="0" applyNumberFormat="1" applyFont="1" applyFill="1" applyBorder="1" applyAlignment="1">
      <alignment vertical="center"/>
    </xf>
    <xf numFmtId="165" fontId="2" fillId="0" borderId="3" xfId="1" applyNumberFormat="1" applyFont="1" applyBorder="1" applyAlignment="1">
      <alignment vertical="center"/>
    </xf>
    <xf numFmtId="3" fontId="2" fillId="0" borderId="3" xfId="0" applyNumberFormat="1" applyFont="1" applyBorder="1" applyAlignment="1">
      <alignment vertical="center"/>
    </xf>
    <xf numFmtId="164" fontId="3" fillId="0" borderId="0" xfId="0" applyNumberFormat="1" applyFont="1" applyAlignment="1">
      <alignment vertical="center"/>
    </xf>
    <xf numFmtId="3" fontId="3" fillId="0" borderId="0" xfId="0" applyNumberFormat="1" applyFont="1" applyAlignment="1">
      <alignment vertical="center"/>
    </xf>
    <xf numFmtId="3" fontId="5" fillId="0" borderId="0" xfId="0" applyNumberFormat="1" applyFont="1" applyAlignment="1">
      <alignment vertical="center"/>
    </xf>
    <xf numFmtId="3" fontId="2" fillId="0" borderId="0" xfId="0" applyNumberFormat="1" applyFont="1" applyAlignment="1">
      <alignment vertical="center"/>
    </xf>
    <xf numFmtId="0" fontId="5" fillId="0" borderId="2" xfId="0" applyFont="1" applyBorder="1" applyAlignment="1">
      <alignment vertical="center"/>
    </xf>
    <xf numFmtId="0" fontId="5" fillId="0" borderId="12" xfId="0" applyFont="1" applyBorder="1" applyAlignment="1">
      <alignment vertical="center"/>
    </xf>
    <xf numFmtId="0" fontId="5" fillId="0" borderId="12" xfId="0" applyFont="1" applyBorder="1" applyAlignment="1">
      <alignment vertical="center" wrapText="1"/>
    </xf>
    <xf numFmtId="3" fontId="5" fillId="0" borderId="2" xfId="0" applyNumberFormat="1" applyFont="1" applyBorder="1" applyAlignment="1">
      <alignment vertical="center"/>
    </xf>
    <xf numFmtId="3" fontId="5" fillId="0" borderId="12" xfId="0" applyNumberFormat="1" applyFont="1" applyBorder="1" applyAlignment="1">
      <alignment vertical="center"/>
    </xf>
    <xf numFmtId="3" fontId="5" fillId="0" borderId="4" xfId="0" applyNumberFormat="1" applyFont="1" applyBorder="1" applyAlignment="1">
      <alignment vertical="center"/>
    </xf>
    <xf numFmtId="0" fontId="5" fillId="0" borderId="0" xfId="0" applyFont="1" applyAlignment="1">
      <alignment vertical="center"/>
    </xf>
    <xf numFmtId="0" fontId="5" fillId="0" borderId="4" xfId="0" applyFont="1" applyBorder="1" applyAlignment="1">
      <alignment vertical="center"/>
    </xf>
    <xf numFmtId="0" fontId="5" fillId="0" borderId="2" xfId="0" applyFont="1" applyBorder="1" applyAlignment="1">
      <alignment vertical="center" wrapText="1"/>
    </xf>
    <xf numFmtId="0" fontId="5" fillId="0" borderId="4" xfId="0" applyFont="1" applyBorder="1" applyAlignment="1">
      <alignment vertical="center" wrapText="1"/>
    </xf>
    <xf numFmtId="0" fontId="5" fillId="3" borderId="2" xfId="0" applyFont="1" applyFill="1" applyBorder="1" applyAlignment="1">
      <alignment vertical="center"/>
    </xf>
    <xf numFmtId="3" fontId="5" fillId="3" borderId="2" xfId="0" applyNumberFormat="1" applyFont="1" applyFill="1" applyBorder="1" applyAlignment="1">
      <alignment vertical="center"/>
    </xf>
    <xf numFmtId="0" fontId="5" fillId="3" borderId="0" xfId="0" applyFont="1" applyFill="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vertical="center"/>
    </xf>
    <xf numFmtId="3" fontId="5" fillId="0" borderId="0" xfId="0" applyNumberFormat="1" applyFont="1" applyAlignment="1">
      <alignment horizontal="center" vertical="center"/>
    </xf>
    <xf numFmtId="0" fontId="12" fillId="4" borderId="0" xfId="0" applyFont="1" applyFill="1" applyAlignment="1">
      <alignment horizontal="right" vertical="center" wrapText="1"/>
    </xf>
    <xf numFmtId="0" fontId="12" fillId="0" borderId="11" xfId="0" applyFont="1" applyBorder="1" applyAlignment="1">
      <alignment horizontal="right" vertical="center" wrapText="1"/>
    </xf>
    <xf numFmtId="0" fontId="12" fillId="0" borderId="0" xfId="0" applyFont="1" applyAlignment="1">
      <alignment horizontal="right" vertical="center" wrapText="1"/>
    </xf>
    <xf numFmtId="164" fontId="5" fillId="3" borderId="4" xfId="0" applyNumberFormat="1" applyFont="1" applyFill="1" applyBorder="1" applyAlignment="1">
      <alignment vertical="center"/>
    </xf>
    <xf numFmtId="165" fontId="5" fillId="0" borderId="2" xfId="1" applyNumberFormat="1" applyFont="1" applyBorder="1" applyAlignment="1">
      <alignment vertical="center"/>
    </xf>
    <xf numFmtId="0" fontId="18" fillId="0" borderId="0" xfId="0" applyFont="1" applyAlignment="1">
      <alignment horizontal="right" vertical="center" wrapText="1"/>
    </xf>
    <xf numFmtId="0" fontId="9" fillId="0" borderId="2" xfId="0" applyFont="1" applyBorder="1" applyAlignment="1">
      <alignment vertical="center"/>
    </xf>
    <xf numFmtId="0" fontId="9" fillId="3" borderId="2" xfId="0" applyFont="1" applyFill="1" applyBorder="1" applyAlignment="1">
      <alignment vertical="center"/>
    </xf>
    <xf numFmtId="3" fontId="9" fillId="0" borderId="2" xfId="0" applyNumberFormat="1" applyFont="1" applyBorder="1" applyAlignment="1">
      <alignment vertical="center"/>
    </xf>
    <xf numFmtId="0" fontId="3" fillId="3" borderId="12" xfId="0" applyFont="1" applyFill="1" applyBorder="1" applyAlignment="1">
      <alignment vertical="center"/>
    </xf>
    <xf numFmtId="0" fontId="3" fillId="3" borderId="12" xfId="0" applyFont="1" applyFill="1" applyBorder="1" applyAlignment="1">
      <alignment vertical="center" wrapText="1"/>
    </xf>
    <xf numFmtId="3" fontId="3" fillId="3" borderId="12" xfId="0" applyNumberFormat="1" applyFont="1" applyFill="1" applyBorder="1" applyAlignment="1">
      <alignment vertical="center"/>
    </xf>
    <xf numFmtId="3" fontId="3" fillId="4" borderId="12" xfId="0" applyNumberFormat="1" applyFont="1" applyFill="1" applyBorder="1" applyAlignment="1">
      <alignment vertical="center"/>
    </xf>
    <xf numFmtId="3" fontId="13" fillId="0" borderId="0" xfId="0" applyNumberFormat="1" applyFont="1" applyAlignment="1">
      <alignment vertical="center"/>
    </xf>
    <xf numFmtId="3" fontId="3" fillId="0" borderId="0" xfId="0" applyNumberFormat="1" applyFont="1" applyAlignment="1">
      <alignment horizontal="center" vertical="center"/>
    </xf>
    <xf numFmtId="3" fontId="19" fillId="0" borderId="0" xfId="0" applyNumberFormat="1" applyFont="1" applyAlignment="1">
      <alignment vertical="center"/>
    </xf>
    <xf numFmtId="164" fontId="4" fillId="3"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0" fontId="9" fillId="0" borderId="2" xfId="0" applyFont="1" applyBorder="1" applyAlignment="1">
      <alignment horizontal="center" vertical="center" wrapText="1"/>
    </xf>
    <xf numFmtId="0" fontId="9" fillId="0" borderId="12" xfId="0" applyFont="1" applyBorder="1" applyAlignment="1">
      <alignment vertical="center" wrapText="1"/>
    </xf>
    <xf numFmtId="164" fontId="3" fillId="0" borderId="12" xfId="0" applyNumberFormat="1" applyFont="1" applyBorder="1" applyAlignment="1">
      <alignment horizontal="center" vertical="center"/>
    </xf>
    <xf numFmtId="164" fontId="3" fillId="0" borderId="0" xfId="0" applyNumberFormat="1" applyFont="1" applyAlignment="1">
      <alignment horizontal="center" vertical="center"/>
    </xf>
    <xf numFmtId="3" fontId="3" fillId="0" borderId="1" xfId="0" applyNumberFormat="1" applyFont="1" applyBorder="1" applyAlignment="1">
      <alignment vertical="center"/>
    </xf>
    <xf numFmtId="164" fontId="3" fillId="3" borderId="4" xfId="0" applyNumberFormat="1" applyFont="1" applyFill="1" applyBorder="1" applyAlignment="1">
      <alignment horizontal="right" vertical="center"/>
    </xf>
    <xf numFmtId="0" fontId="3" fillId="0" borderId="4" xfId="0" applyFont="1" applyBorder="1" applyAlignment="1">
      <alignment vertical="center"/>
    </xf>
    <xf numFmtId="0" fontId="9" fillId="0" borderId="12" xfId="0" applyFont="1" applyBorder="1" applyAlignment="1">
      <alignment horizontal="center" vertical="center" wrapText="1"/>
    </xf>
    <xf numFmtId="3" fontId="9" fillId="3" borderId="12" xfId="0" applyNumberFormat="1" applyFont="1" applyFill="1" applyBorder="1" applyAlignment="1">
      <alignment vertical="center"/>
    </xf>
    <xf numFmtId="165" fontId="3" fillId="0" borderId="12" xfId="1" applyNumberFormat="1" applyFont="1" applyBorder="1" applyAlignment="1">
      <alignment vertical="center"/>
    </xf>
    <xf numFmtId="3" fontId="9" fillId="0" borderId="12" xfId="0" applyNumberFormat="1" applyFont="1" applyBorder="1" applyAlignment="1">
      <alignment vertical="center"/>
    </xf>
    <xf numFmtId="3" fontId="5" fillId="3" borderId="12" xfId="0" applyNumberFormat="1" applyFont="1" applyFill="1" applyBorder="1" applyAlignment="1">
      <alignment vertical="center"/>
    </xf>
    <xf numFmtId="0" fontId="23"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vertical="center"/>
    </xf>
    <xf numFmtId="0" fontId="26" fillId="0" borderId="0" xfId="0" applyFont="1" applyAlignment="1">
      <alignment horizontal="center" vertical="center"/>
    </xf>
    <xf numFmtId="3" fontId="23" fillId="3" borderId="0" xfId="0" applyNumberFormat="1" applyFont="1" applyFill="1" applyAlignment="1">
      <alignment horizontal="center" vertical="center" wrapText="1"/>
    </xf>
    <xf numFmtId="0" fontId="23" fillId="2" borderId="3" xfId="0" applyFont="1" applyFill="1" applyBorder="1" applyAlignment="1">
      <alignment horizontal="center" vertical="center"/>
    </xf>
    <xf numFmtId="3" fontId="23" fillId="2" borderId="3" xfId="0" applyNumberFormat="1" applyFont="1" applyFill="1" applyBorder="1" applyAlignment="1">
      <alignment horizontal="center" vertical="center"/>
    </xf>
    <xf numFmtId="0" fontId="24" fillId="0" borderId="2" xfId="0" applyFont="1" applyBorder="1" applyAlignment="1">
      <alignment vertical="center"/>
    </xf>
    <xf numFmtId="164" fontId="27" fillId="3" borderId="4" xfId="0" applyNumberFormat="1" applyFont="1" applyFill="1" applyBorder="1" applyAlignment="1">
      <alignment horizontal="center" vertical="center"/>
    </xf>
    <xf numFmtId="0" fontId="24" fillId="0" borderId="2" xfId="0" applyFont="1" applyBorder="1" applyAlignment="1">
      <alignment vertical="center" wrapText="1"/>
    </xf>
    <xf numFmtId="0" fontId="24" fillId="0" borderId="4" xfId="0" applyFont="1" applyBorder="1" applyAlignment="1">
      <alignment vertical="center" wrapText="1"/>
    </xf>
    <xf numFmtId="0" fontId="24" fillId="3" borderId="2" xfId="0" applyFont="1" applyFill="1" applyBorder="1" applyAlignment="1">
      <alignment vertical="center"/>
    </xf>
    <xf numFmtId="3" fontId="24" fillId="0" borderId="2" xfId="0" applyNumberFormat="1" applyFont="1" applyBorder="1" applyAlignment="1">
      <alignment vertical="center"/>
    </xf>
    <xf numFmtId="165" fontId="24" fillId="0" borderId="2" xfId="1" applyNumberFormat="1" applyFont="1" applyBorder="1" applyAlignment="1">
      <alignment vertical="center"/>
    </xf>
    <xf numFmtId="3" fontId="24" fillId="3" borderId="2" xfId="0" applyNumberFormat="1" applyFont="1" applyFill="1" applyBorder="1" applyAlignment="1">
      <alignment vertical="center"/>
    </xf>
    <xf numFmtId="3" fontId="24" fillId="0" borderId="4" xfId="0" applyNumberFormat="1" applyFont="1" applyBorder="1" applyAlignment="1">
      <alignment vertical="center"/>
    </xf>
    <xf numFmtId="3" fontId="24" fillId="0" borderId="0" xfId="0" applyNumberFormat="1" applyFont="1" applyAlignment="1">
      <alignment vertical="center"/>
    </xf>
    <xf numFmtId="0" fontId="24" fillId="3" borderId="0" xfId="0" applyFont="1" applyFill="1" applyAlignment="1">
      <alignment vertical="center"/>
    </xf>
    <xf numFmtId="164" fontId="24" fillId="3" borderId="4" xfId="0" applyNumberFormat="1" applyFont="1" applyFill="1" applyBorder="1" applyAlignment="1">
      <alignment horizontal="right" vertical="center"/>
    </xf>
    <xf numFmtId="0" fontId="24" fillId="3" borderId="2" xfId="0" applyFont="1" applyFill="1" applyBorder="1" applyAlignment="1">
      <alignment vertical="center" wrapText="1"/>
    </xf>
    <xf numFmtId="0" fontId="24" fillId="3" borderId="12" xfId="0" applyFont="1" applyFill="1" applyBorder="1" applyAlignment="1">
      <alignment vertical="center"/>
    </xf>
    <xf numFmtId="0" fontId="24" fillId="3" borderId="12" xfId="0" applyFont="1" applyFill="1" applyBorder="1" applyAlignment="1">
      <alignment vertical="center" wrapText="1"/>
    </xf>
    <xf numFmtId="3" fontId="24" fillId="3" borderId="12" xfId="0" applyNumberFormat="1" applyFont="1" applyFill="1" applyBorder="1" applyAlignment="1">
      <alignment vertical="center"/>
    </xf>
    <xf numFmtId="3" fontId="28" fillId="3" borderId="2" xfId="0" applyNumberFormat="1" applyFont="1" applyFill="1" applyBorder="1" applyAlignment="1">
      <alignment vertical="center"/>
    </xf>
    <xf numFmtId="0" fontId="29" fillId="0" borderId="4" xfId="0" applyFont="1" applyBorder="1" applyAlignment="1">
      <alignment vertical="center"/>
    </xf>
    <xf numFmtId="0" fontId="30" fillId="0" borderId="12" xfId="0" applyFont="1" applyBorder="1" applyAlignment="1">
      <alignment vertical="center" wrapText="1"/>
    </xf>
    <xf numFmtId="0" fontId="29" fillId="0" borderId="12" xfId="0" applyFont="1" applyBorder="1" applyAlignment="1">
      <alignment vertical="center"/>
    </xf>
    <xf numFmtId="0" fontId="29" fillId="0" borderId="12" xfId="0" applyFont="1" applyBorder="1" applyAlignment="1">
      <alignment vertical="center" wrapText="1"/>
    </xf>
    <xf numFmtId="3" fontId="29" fillId="0" borderId="2" xfId="0" applyNumberFormat="1" applyFont="1" applyBorder="1" applyAlignment="1">
      <alignment vertical="center"/>
    </xf>
    <xf numFmtId="3" fontId="29" fillId="0" borderId="12" xfId="0" applyNumberFormat="1" applyFont="1" applyBorder="1" applyAlignment="1">
      <alignment vertical="center"/>
    </xf>
    <xf numFmtId="3" fontId="30" fillId="3" borderId="2" xfId="0" applyNumberFormat="1" applyFont="1" applyFill="1" applyBorder="1" applyAlignment="1">
      <alignment vertical="center"/>
    </xf>
    <xf numFmtId="3" fontId="29" fillId="0" borderId="0" xfId="0" applyNumberFormat="1" applyFont="1" applyAlignment="1">
      <alignment vertical="center"/>
    </xf>
    <xf numFmtId="0" fontId="29" fillId="0" borderId="0" xfId="0" applyFont="1" applyAlignment="1">
      <alignment vertical="center"/>
    </xf>
    <xf numFmtId="165" fontId="23" fillId="0" borderId="3" xfId="1" applyNumberFormat="1" applyFont="1" applyBorder="1" applyAlignment="1">
      <alignment vertical="center"/>
    </xf>
    <xf numFmtId="3" fontId="23" fillId="0" borderId="3" xfId="0" applyNumberFormat="1" applyFont="1" applyBorder="1" applyAlignment="1">
      <alignment vertical="center"/>
    </xf>
    <xf numFmtId="3" fontId="23" fillId="0" borderId="0" xfId="0" applyNumberFormat="1" applyFont="1" applyAlignment="1">
      <alignment horizontal="center" vertical="center"/>
    </xf>
    <xf numFmtId="164" fontId="24" fillId="0" borderId="0" xfId="0" applyNumberFormat="1" applyFont="1" applyAlignment="1">
      <alignment horizontal="center" vertical="center"/>
    </xf>
    <xf numFmtId="3" fontId="29" fillId="0" borderId="0" xfId="0" applyNumberFormat="1" applyFont="1" applyAlignment="1">
      <alignment horizontal="center" vertical="center"/>
    </xf>
    <xf numFmtId="15" fontId="30" fillId="0" borderId="2" xfId="0" applyNumberFormat="1" applyFont="1" applyBorder="1" applyAlignment="1">
      <alignment horizontal="center" vertical="center" wrapText="1"/>
    </xf>
    <xf numFmtId="164" fontId="24" fillId="3" borderId="13" xfId="0" applyNumberFormat="1" applyFont="1" applyFill="1" applyBorder="1" applyAlignment="1">
      <alignment horizontal="right" vertical="center"/>
    </xf>
    <xf numFmtId="0" fontId="24" fillId="3" borderId="14" xfId="0" applyFont="1" applyFill="1" applyBorder="1" applyAlignment="1">
      <alignment vertical="center"/>
    </xf>
    <xf numFmtId="0" fontId="27" fillId="0" borderId="12" xfId="0" applyFont="1" applyBorder="1" applyAlignment="1">
      <alignment vertical="center" wrapText="1"/>
    </xf>
    <xf numFmtId="0" fontId="31" fillId="3" borderId="2" xfId="0" applyFont="1" applyFill="1" applyBorder="1" applyAlignment="1">
      <alignment wrapText="1"/>
    </xf>
    <xf numFmtId="3" fontId="31" fillId="0" borderId="11" xfId="0" applyNumberFormat="1" applyFont="1" applyBorder="1" applyAlignment="1">
      <alignment horizontal="right" wrapText="1"/>
    </xf>
    <xf numFmtId="0" fontId="31" fillId="0" borderId="11" xfId="0" applyFont="1" applyBorder="1" applyAlignment="1">
      <alignment horizontal="right" wrapText="1"/>
    </xf>
    <xf numFmtId="3" fontId="24" fillId="0" borderId="13" xfId="0" applyNumberFormat="1" applyFont="1" applyBorder="1" applyAlignment="1">
      <alignment vertical="center"/>
    </xf>
    <xf numFmtId="3" fontId="24" fillId="0" borderId="6" xfId="0" applyNumberFormat="1" applyFont="1" applyBorder="1" applyAlignment="1">
      <alignment vertical="center"/>
    </xf>
    <xf numFmtId="3" fontId="24" fillId="0" borderId="15" xfId="0" applyNumberFormat="1" applyFont="1" applyBorder="1" applyAlignment="1">
      <alignment vertical="center"/>
    </xf>
    <xf numFmtId="3" fontId="31" fillId="0" borderId="2" xfId="0" applyNumberFormat="1" applyFont="1" applyBorder="1" applyAlignment="1">
      <alignment horizontal="right" wrapText="1"/>
    </xf>
    <xf numFmtId="0" fontId="31" fillId="0" borderId="2" xfId="0" applyFont="1" applyBorder="1" applyAlignment="1">
      <alignment horizontal="right" wrapText="1"/>
    </xf>
    <xf numFmtId="0" fontId="27" fillId="3" borderId="14" xfId="0" applyFont="1" applyFill="1" applyBorder="1" applyAlignment="1">
      <alignment vertical="center"/>
    </xf>
    <xf numFmtId="0" fontId="32" fillId="0" borderId="12" xfId="0" applyFont="1" applyBorder="1" applyAlignment="1">
      <alignment vertical="center" wrapText="1"/>
    </xf>
    <xf numFmtId="0" fontId="27" fillId="0" borderId="12" xfId="0" applyFont="1" applyBorder="1" applyAlignment="1">
      <alignment vertical="center"/>
    </xf>
    <xf numFmtId="3" fontId="27" fillId="0" borderId="2" xfId="0" applyNumberFormat="1" applyFont="1" applyBorder="1" applyAlignment="1">
      <alignment vertical="center"/>
    </xf>
    <xf numFmtId="3" fontId="27" fillId="0" borderId="12" xfId="0" applyNumberFormat="1" applyFont="1" applyBorder="1" applyAlignment="1">
      <alignment vertical="center"/>
    </xf>
    <xf numFmtId="3" fontId="32" fillId="3" borderId="2" xfId="0" applyNumberFormat="1" applyFont="1" applyFill="1" applyBorder="1" applyAlignment="1">
      <alignment vertical="center"/>
    </xf>
    <xf numFmtId="3" fontId="27" fillId="0" borderId="13" xfId="0" applyNumberFormat="1" applyFont="1" applyBorder="1" applyAlignment="1">
      <alignment vertical="center"/>
    </xf>
    <xf numFmtId="0" fontId="27" fillId="0" borderId="0" xfId="0" applyFont="1" applyAlignment="1">
      <alignment vertical="center"/>
    </xf>
    <xf numFmtId="3" fontId="30" fillId="5" borderId="2" xfId="0" applyNumberFormat="1" applyFont="1" applyFill="1" applyBorder="1" applyAlignment="1">
      <alignment vertical="center"/>
    </xf>
    <xf numFmtId="0" fontId="33" fillId="0" borderId="0" xfId="0" applyFont="1" applyAlignment="1">
      <alignment horizontal="center" vertical="center"/>
    </xf>
    <xf numFmtId="3" fontId="33" fillId="0" borderId="0" xfId="0" applyNumberFormat="1" applyFont="1" applyAlignment="1">
      <alignment horizontal="center" vertical="center"/>
    </xf>
    <xf numFmtId="0" fontId="34" fillId="0" borderId="0" xfId="0" applyFont="1" applyAlignment="1">
      <alignment vertical="center"/>
    </xf>
    <xf numFmtId="3" fontId="34" fillId="0" borderId="0" xfId="0" applyNumberFormat="1" applyFont="1" applyAlignment="1">
      <alignment vertical="center"/>
    </xf>
    <xf numFmtId="0" fontId="27" fillId="0" borderId="2" xfId="0" applyFont="1" applyBorder="1" applyAlignment="1">
      <alignment vertical="center" wrapText="1"/>
    </xf>
    <xf numFmtId="164" fontId="24" fillId="3" borderId="2" xfId="0" applyNumberFormat="1" applyFont="1" applyFill="1" applyBorder="1" applyAlignment="1">
      <alignment horizontal="right" vertical="center"/>
    </xf>
    <xf numFmtId="0" fontId="27" fillId="3" borderId="2" xfId="0" applyFont="1" applyFill="1" applyBorder="1" applyAlignment="1">
      <alignment vertical="center"/>
    </xf>
    <xf numFmtId="0" fontId="32" fillId="0" borderId="2" xfId="0" applyFont="1" applyBorder="1" applyAlignment="1">
      <alignment vertical="center" wrapText="1"/>
    </xf>
    <xf numFmtId="0" fontId="27" fillId="0" borderId="2" xfId="0" applyFont="1" applyBorder="1" applyAlignment="1">
      <alignment vertical="center"/>
    </xf>
    <xf numFmtId="0" fontId="29" fillId="0" borderId="2" xfId="0" applyFont="1" applyBorder="1" applyAlignment="1">
      <alignment vertical="center"/>
    </xf>
    <xf numFmtId="0" fontId="30" fillId="0" borderId="2" xfId="0" applyFont="1" applyBorder="1" applyAlignment="1">
      <alignment vertical="center" wrapText="1"/>
    </xf>
    <xf numFmtId="0" fontId="29" fillId="0" borderId="2" xfId="0" applyFont="1" applyBorder="1" applyAlignment="1">
      <alignment vertical="center" wrapText="1"/>
    </xf>
    <xf numFmtId="0" fontId="24" fillId="0" borderId="4" xfId="0" applyFont="1" applyBorder="1" applyAlignment="1">
      <alignment vertical="center"/>
    </xf>
    <xf numFmtId="0" fontId="27" fillId="0" borderId="4" xfId="0" applyFont="1" applyBorder="1" applyAlignment="1">
      <alignment vertical="center" wrapText="1"/>
    </xf>
    <xf numFmtId="0" fontId="24" fillId="3" borderId="4" xfId="0" applyFont="1" applyFill="1" applyBorder="1" applyAlignment="1">
      <alignment vertical="center"/>
    </xf>
    <xf numFmtId="165" fontId="24" fillId="0" borderId="4" xfId="1" applyNumberFormat="1" applyFont="1" applyBorder="1" applyAlignment="1">
      <alignment vertical="center"/>
    </xf>
    <xf numFmtId="3" fontId="24" fillId="3" borderId="4" xfId="0" applyNumberFormat="1" applyFont="1" applyFill="1" applyBorder="1" applyAlignment="1">
      <alignment vertical="center"/>
    </xf>
    <xf numFmtId="15" fontId="30" fillId="0" borderId="12" xfId="0" applyNumberFormat="1" applyFont="1" applyBorder="1" applyAlignment="1">
      <alignment horizontal="center" vertical="center" wrapText="1"/>
    </xf>
    <xf numFmtId="3" fontId="30" fillId="3" borderId="12" xfId="0" applyNumberFormat="1" applyFont="1" applyFill="1" applyBorder="1" applyAlignment="1">
      <alignment vertical="center"/>
    </xf>
    <xf numFmtId="3" fontId="30" fillId="5" borderId="12" xfId="0" applyNumberFormat="1" applyFont="1" applyFill="1" applyBorder="1" applyAlignment="1">
      <alignment vertical="center"/>
    </xf>
    <xf numFmtId="3" fontId="24" fillId="0" borderId="12" xfId="0" applyNumberFormat="1" applyFont="1" applyBorder="1" applyAlignment="1">
      <alignment vertical="center"/>
    </xf>
    <xf numFmtId="3" fontId="29" fillId="4" borderId="2" xfId="0" applyNumberFormat="1" applyFont="1" applyFill="1" applyBorder="1" applyAlignment="1">
      <alignment vertical="center"/>
    </xf>
    <xf numFmtId="3" fontId="24" fillId="4" borderId="2" xfId="0" applyNumberFormat="1" applyFont="1" applyFill="1" applyBorder="1" applyAlignment="1">
      <alignment vertical="center"/>
    </xf>
    <xf numFmtId="3" fontId="27" fillId="3" borderId="2" xfId="0" applyNumberFormat="1" applyFont="1" applyFill="1" applyBorder="1" applyAlignment="1">
      <alignment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9" fillId="0" borderId="2" xfId="0" applyFont="1" applyBorder="1" applyAlignment="1">
      <alignment horizontal="center" vertical="center"/>
    </xf>
    <xf numFmtId="0" fontId="29" fillId="0" borderId="12" xfId="0" applyFont="1" applyBorder="1" applyAlignment="1">
      <alignment horizontal="center" vertical="center"/>
    </xf>
    <xf numFmtId="0" fontId="24" fillId="4" borderId="2" xfId="0" applyFont="1" applyFill="1" applyBorder="1" applyAlignment="1">
      <alignment vertical="center"/>
    </xf>
    <xf numFmtId="3" fontId="24" fillId="3" borderId="0" xfId="0" applyNumberFormat="1" applyFont="1" applyFill="1" applyAlignment="1">
      <alignment vertical="center"/>
    </xf>
    <xf numFmtId="3" fontId="23" fillId="0" borderId="0" xfId="0" applyNumberFormat="1" applyFont="1" applyAlignment="1">
      <alignment vertical="center"/>
    </xf>
    <xf numFmtId="3" fontId="31" fillId="0" borderId="0" xfId="0" applyNumberFormat="1" applyFont="1" applyAlignment="1">
      <alignment horizontal="right" wrapText="1"/>
    </xf>
    <xf numFmtId="0" fontId="23" fillId="0" borderId="0" xfId="0" applyFont="1" applyAlignment="1">
      <alignment vertical="center"/>
    </xf>
    <xf numFmtId="3" fontId="30" fillId="0" borderId="2" xfId="0" applyNumberFormat="1" applyFont="1" applyBorder="1" applyAlignment="1">
      <alignment vertical="center"/>
    </xf>
    <xf numFmtId="0" fontId="30" fillId="3" borderId="2" xfId="0" applyFont="1" applyFill="1" applyBorder="1" applyAlignment="1">
      <alignment vertical="center"/>
    </xf>
    <xf numFmtId="0" fontId="30" fillId="3" borderId="2" xfId="0" applyFont="1" applyFill="1" applyBorder="1" applyAlignment="1">
      <alignment vertical="center" wrapText="1"/>
    </xf>
    <xf numFmtId="3" fontId="30" fillId="3" borderId="0" xfId="0" applyNumberFormat="1" applyFont="1" applyFill="1" applyAlignment="1">
      <alignment vertical="center"/>
    </xf>
    <xf numFmtId="0" fontId="35" fillId="0" borderId="0" xfId="0" applyFont="1" applyAlignment="1">
      <alignment wrapText="1"/>
    </xf>
    <xf numFmtId="0" fontId="30" fillId="3" borderId="0" xfId="0" applyFont="1" applyFill="1" applyAlignment="1">
      <alignment vertical="center" wrapText="1"/>
    </xf>
    <xf numFmtId="3" fontId="30" fillId="4" borderId="0" xfId="0" applyNumberFormat="1" applyFont="1" applyFill="1" applyAlignment="1">
      <alignment vertical="center"/>
    </xf>
    <xf numFmtId="3" fontId="24" fillId="5" borderId="2" xfId="0" applyNumberFormat="1" applyFont="1" applyFill="1" applyBorder="1" applyAlignment="1">
      <alignment vertical="center"/>
    </xf>
    <xf numFmtId="3" fontId="33" fillId="0" borderId="0" xfId="0" applyNumberFormat="1" applyFont="1" applyAlignment="1">
      <alignment vertical="center"/>
    </xf>
    <xf numFmtId="3" fontId="36" fillId="0" borderId="0" xfId="0" applyNumberFormat="1" applyFont="1" applyAlignment="1">
      <alignment vertical="center"/>
    </xf>
    <xf numFmtId="3" fontId="24" fillId="6" borderId="2" xfId="0" applyNumberFormat="1" applyFont="1" applyFill="1" applyBorder="1" applyAlignment="1">
      <alignment vertical="center"/>
    </xf>
    <xf numFmtId="3" fontId="37" fillId="0" borderId="0" xfId="0" applyNumberFormat="1" applyFont="1" applyAlignment="1">
      <alignment vertical="center"/>
    </xf>
    <xf numFmtId="15" fontId="24" fillId="3" borderId="0" xfId="0" applyNumberFormat="1" applyFont="1" applyFill="1" applyAlignment="1">
      <alignment vertical="center"/>
    </xf>
    <xf numFmtId="164" fontId="24" fillId="3" borderId="0" xfId="0" applyNumberFormat="1" applyFont="1" applyFill="1" applyAlignment="1">
      <alignment horizontal="right" vertical="center"/>
    </xf>
    <xf numFmtId="3" fontId="30" fillId="4" borderId="2" xfId="0" applyNumberFormat="1" applyFont="1" applyFill="1" applyBorder="1" applyAlignment="1">
      <alignment vertical="center"/>
    </xf>
    <xf numFmtId="3" fontId="23" fillId="5" borderId="3" xfId="0" applyNumberFormat="1" applyFont="1" applyFill="1" applyBorder="1" applyAlignment="1">
      <alignment vertical="center"/>
    </xf>
    <xf numFmtId="3" fontId="30" fillId="4" borderId="12" xfId="0" applyNumberFormat="1" applyFont="1" applyFill="1" applyBorder="1" applyAlignment="1">
      <alignment vertical="center"/>
    </xf>
    <xf numFmtId="14" fontId="24" fillId="3" borderId="2" xfId="0" applyNumberFormat="1" applyFont="1" applyFill="1" applyBorder="1" applyAlignment="1">
      <alignment horizontal="right" vertical="center"/>
    </xf>
    <xf numFmtId="14" fontId="24" fillId="3" borderId="2" xfId="0" applyNumberFormat="1" applyFont="1" applyFill="1" applyBorder="1" applyAlignment="1">
      <alignment vertical="center" wrapText="1"/>
    </xf>
    <xf numFmtId="0" fontId="27" fillId="3" borderId="2" xfId="0" applyFont="1" applyFill="1" applyBorder="1" applyAlignment="1">
      <alignment vertical="center" wrapText="1"/>
    </xf>
    <xf numFmtId="0" fontId="30" fillId="4" borderId="2" xfId="0" applyFont="1" applyFill="1" applyBorder="1" applyAlignment="1">
      <alignment vertical="center" wrapText="1"/>
    </xf>
    <xf numFmtId="0" fontId="31" fillId="0" borderId="16" xfId="0" applyFont="1" applyBorder="1" applyAlignment="1">
      <alignment horizontal="right" wrapText="1"/>
    </xf>
    <xf numFmtId="0" fontId="23" fillId="2" borderId="6" xfId="0" applyFont="1" applyFill="1" applyBorder="1" applyAlignment="1">
      <alignment horizontal="center" vertical="center"/>
    </xf>
    <xf numFmtId="3" fontId="23" fillId="2" borderId="6" xfId="0" applyNumberFormat="1" applyFont="1" applyFill="1" applyBorder="1" applyAlignment="1">
      <alignment horizontal="center" vertical="center"/>
    </xf>
    <xf numFmtId="0" fontId="24" fillId="0" borderId="1" xfId="0" applyFont="1" applyBorder="1" applyAlignment="1">
      <alignment horizontal="center" vertical="center"/>
    </xf>
    <xf numFmtId="14" fontId="24" fillId="3" borderId="1" xfId="0" applyNumberFormat="1" applyFont="1" applyFill="1" applyBorder="1" applyAlignment="1">
      <alignment horizontal="right" vertical="center"/>
    </xf>
    <xf numFmtId="0" fontId="24" fillId="3" borderId="1" xfId="0" applyFont="1" applyFill="1" applyBorder="1" applyAlignment="1">
      <alignment vertical="center"/>
    </xf>
    <xf numFmtId="0" fontId="24" fillId="3" borderId="1" xfId="0" applyFont="1" applyFill="1" applyBorder="1" applyAlignment="1">
      <alignment vertical="center" wrapText="1"/>
    </xf>
    <xf numFmtId="3" fontId="24" fillId="3" borderId="1" xfId="0" applyNumberFormat="1" applyFont="1" applyFill="1" applyBorder="1" applyAlignment="1">
      <alignment vertical="center"/>
    </xf>
    <xf numFmtId="3" fontId="24" fillId="4" borderId="1" xfId="0" applyNumberFormat="1" applyFont="1" applyFill="1" applyBorder="1" applyAlignment="1">
      <alignment vertical="center"/>
    </xf>
    <xf numFmtId="3" fontId="28" fillId="3" borderId="1" xfId="0" applyNumberFormat="1" applyFont="1" applyFill="1" applyBorder="1" applyAlignment="1">
      <alignment vertical="center"/>
    </xf>
    <xf numFmtId="3" fontId="24" fillId="0" borderId="1" xfId="0" applyNumberFormat="1" applyFont="1" applyBorder="1" applyAlignment="1">
      <alignment vertical="center"/>
    </xf>
    <xf numFmtId="3" fontId="3" fillId="0" borderId="1" xfId="0" applyNumberFormat="1" applyFont="1" applyBorder="1" applyAlignment="1">
      <alignment horizontal="right" wrapText="1"/>
    </xf>
    <xf numFmtId="3" fontId="3" fillId="0" borderId="2" xfId="0" applyNumberFormat="1" applyFont="1" applyBorder="1" applyAlignment="1">
      <alignment horizontal="right" wrapText="1"/>
    </xf>
    <xf numFmtId="0" fontId="24" fillId="0" borderId="5" xfId="0" applyFont="1" applyBorder="1" applyAlignment="1">
      <alignment horizontal="center" vertical="center"/>
    </xf>
    <xf numFmtId="15" fontId="30" fillId="0" borderId="5" xfId="0" applyNumberFormat="1" applyFont="1" applyBorder="1" applyAlignment="1">
      <alignment horizontal="center" vertical="center" wrapText="1"/>
    </xf>
    <xf numFmtId="0" fontId="30" fillId="0" borderId="5" xfId="0" applyFont="1" applyBorder="1" applyAlignment="1">
      <alignment vertical="center" wrapText="1"/>
    </xf>
    <xf numFmtId="0" fontId="29" fillId="0" borderId="5" xfId="0" applyFont="1" applyBorder="1" applyAlignment="1">
      <alignment vertical="center"/>
    </xf>
    <xf numFmtId="0" fontId="29" fillId="0" borderId="5" xfId="0" applyFont="1" applyBorder="1" applyAlignment="1">
      <alignment vertical="center" wrapText="1"/>
    </xf>
    <xf numFmtId="3" fontId="29" fillId="0" borderId="5" xfId="0" applyNumberFormat="1" applyFont="1" applyBorder="1" applyAlignment="1">
      <alignment vertical="center"/>
    </xf>
    <xf numFmtId="3" fontId="30" fillId="5" borderId="5" xfId="0" applyNumberFormat="1" applyFont="1" applyFill="1" applyBorder="1" applyAlignment="1">
      <alignment vertical="center"/>
    </xf>
    <xf numFmtId="3" fontId="30" fillId="3" borderId="5" xfId="0" applyNumberFormat="1" applyFont="1" applyFill="1" applyBorder="1" applyAlignment="1">
      <alignment vertical="center"/>
    </xf>
    <xf numFmtId="3" fontId="24" fillId="0" borderId="5" xfId="0" applyNumberFormat="1" applyFont="1" applyBorder="1" applyAlignment="1">
      <alignment vertical="center"/>
    </xf>
    <xf numFmtId="3" fontId="28" fillId="0" borderId="1" xfId="0" applyNumberFormat="1" applyFont="1" applyBorder="1" applyAlignment="1">
      <alignment vertical="center"/>
    </xf>
    <xf numFmtId="3" fontId="28" fillId="0" borderId="2" xfId="0" applyNumberFormat="1" applyFont="1" applyBorder="1" applyAlignment="1">
      <alignment vertical="center"/>
    </xf>
    <xf numFmtId="0" fontId="30" fillId="3" borderId="19" xfId="0" applyFont="1" applyFill="1" applyBorder="1" applyAlignment="1">
      <alignment vertical="center" wrapText="1"/>
    </xf>
    <xf numFmtId="0" fontId="30" fillId="3" borderId="17" xfId="0" applyFont="1" applyFill="1" applyBorder="1" applyAlignment="1">
      <alignment vertical="center"/>
    </xf>
    <xf numFmtId="0" fontId="30" fillId="3" borderId="18" xfId="0" applyFont="1" applyFill="1" applyBorder="1" applyAlignment="1">
      <alignment vertical="center"/>
    </xf>
    <xf numFmtId="0" fontId="30" fillId="3" borderId="19" xfId="0" applyFont="1" applyFill="1" applyBorder="1" applyAlignment="1">
      <alignment vertical="center"/>
    </xf>
    <xf numFmtId="3" fontId="24" fillId="5" borderId="1" xfId="0" applyNumberFormat="1" applyFont="1" applyFill="1" applyBorder="1" applyAlignment="1">
      <alignment vertical="center"/>
    </xf>
    <xf numFmtId="3" fontId="30" fillId="0" borderId="5" xfId="0" applyNumberFormat="1" applyFont="1" applyBorder="1" applyAlignment="1">
      <alignment vertical="center"/>
    </xf>
    <xf numFmtId="3" fontId="32" fillId="0" borderId="2" xfId="0" applyNumberFormat="1" applyFont="1" applyBorder="1" applyAlignment="1">
      <alignment vertical="center"/>
    </xf>
    <xf numFmtId="3" fontId="24" fillId="0" borderId="1" xfId="0" applyNumberFormat="1" applyFont="1" applyBorder="1" applyAlignment="1">
      <alignment horizontal="right" wrapText="1"/>
    </xf>
    <xf numFmtId="3" fontId="24" fillId="0" borderId="2" xfId="0" applyNumberFormat="1" applyFont="1" applyBorder="1" applyAlignment="1">
      <alignment horizontal="right" wrapText="1"/>
    </xf>
    <xf numFmtId="3" fontId="24" fillId="4" borderId="2" xfId="0" applyNumberFormat="1" applyFont="1" applyFill="1" applyBorder="1" applyAlignment="1">
      <alignment horizontal="right" wrapText="1"/>
    </xf>
    <xf numFmtId="3" fontId="32" fillId="4" borderId="2" xfId="0" applyNumberFormat="1" applyFont="1" applyFill="1" applyBorder="1" applyAlignment="1">
      <alignment vertical="center"/>
    </xf>
    <xf numFmtId="14" fontId="24" fillId="0" borderId="2" xfId="0" applyNumberFormat="1" applyFont="1" applyBorder="1" applyAlignment="1">
      <alignment horizontal="right" vertical="center"/>
    </xf>
    <xf numFmtId="0" fontId="27" fillId="3" borderId="17" xfId="0" applyFont="1" applyFill="1" applyBorder="1" applyAlignment="1">
      <alignment vertical="center"/>
    </xf>
    <xf numFmtId="0" fontId="24" fillId="3" borderId="18" xfId="0" applyFont="1" applyFill="1" applyBorder="1" applyAlignment="1">
      <alignment vertical="center"/>
    </xf>
    <xf numFmtId="0" fontId="24" fillId="3" borderId="18" xfId="0" applyFont="1" applyFill="1" applyBorder="1" applyAlignment="1">
      <alignment vertical="center" wrapText="1"/>
    </xf>
    <xf numFmtId="0" fontId="24" fillId="3" borderId="19" xfId="0" applyFont="1" applyFill="1" applyBorder="1" applyAlignment="1">
      <alignment vertical="center"/>
    </xf>
    <xf numFmtId="0" fontId="27" fillId="3" borderId="18" xfId="0" applyFont="1" applyFill="1" applyBorder="1" applyAlignment="1">
      <alignment vertical="center"/>
    </xf>
    <xf numFmtId="0" fontId="30" fillId="3" borderId="17" xfId="0" applyFont="1" applyFill="1" applyBorder="1" applyAlignment="1">
      <alignment horizontal="left" vertical="center" wrapText="1"/>
    </xf>
    <xf numFmtId="0" fontId="30" fillId="3" borderId="18" xfId="0" applyFont="1" applyFill="1" applyBorder="1" applyAlignment="1">
      <alignment horizontal="left" vertical="center" wrapText="1"/>
    </xf>
    <xf numFmtId="0" fontId="30" fillId="3" borderId="19" xfId="0" applyFont="1" applyFill="1" applyBorder="1" applyAlignment="1">
      <alignment horizontal="left" vertical="center" wrapText="1"/>
    </xf>
    <xf numFmtId="3" fontId="38" fillId="0" borderId="0" xfId="0" applyNumberFormat="1" applyFont="1"/>
    <xf numFmtId="0" fontId="30" fillId="0" borderId="23" xfId="0" applyFont="1" applyBorder="1" applyAlignment="1">
      <alignment vertical="center" wrapText="1"/>
    </xf>
    <xf numFmtId="0" fontId="30" fillId="0" borderId="24" xfId="0" applyFont="1" applyBorder="1" applyAlignment="1">
      <alignment vertical="center" wrapText="1"/>
    </xf>
    <xf numFmtId="0" fontId="30" fillId="0" borderId="14" xfId="0" applyFont="1" applyBorder="1" applyAlignment="1">
      <alignment vertical="center" wrapText="1"/>
    </xf>
    <xf numFmtId="3" fontId="30" fillId="0" borderId="12" xfId="0" applyNumberFormat="1" applyFont="1" applyBorder="1" applyAlignment="1">
      <alignment vertical="center"/>
    </xf>
    <xf numFmtId="0" fontId="24" fillId="4" borderId="2" xfId="0" applyFont="1" applyFill="1" applyBorder="1" applyAlignment="1">
      <alignment vertical="center" wrapText="1"/>
    </xf>
    <xf numFmtId="3" fontId="28" fillId="4" borderId="2" xfId="0" applyNumberFormat="1" applyFont="1" applyFill="1" applyBorder="1" applyAlignment="1">
      <alignment vertical="center"/>
    </xf>
    <xf numFmtId="3" fontId="31" fillId="4" borderId="0" xfId="0" applyNumberFormat="1" applyFont="1" applyFill="1"/>
    <xf numFmtId="3" fontId="31" fillId="3" borderId="0" xfId="0" applyNumberFormat="1" applyFont="1" applyFill="1"/>
    <xf numFmtId="0" fontId="35" fillId="0" borderId="0" xfId="0" applyFont="1"/>
    <xf numFmtId="0" fontId="30" fillId="4" borderId="17" xfId="0" applyFont="1" applyFill="1" applyBorder="1" applyAlignment="1">
      <alignment vertical="center"/>
    </xf>
    <xf numFmtId="49" fontId="24" fillId="3" borderId="2" xfId="0" applyNumberFormat="1" applyFont="1" applyFill="1" applyBorder="1" applyAlignment="1">
      <alignment horizontal="right" vertical="center"/>
    </xf>
    <xf numFmtId="3" fontId="23" fillId="6" borderId="3" xfId="0" applyNumberFormat="1" applyFont="1" applyFill="1" applyBorder="1" applyAlignment="1">
      <alignment vertical="center"/>
    </xf>
    <xf numFmtId="3" fontId="23" fillId="4" borderId="3" xfId="0" applyNumberFormat="1" applyFont="1" applyFill="1" applyBorder="1" applyAlignment="1">
      <alignment vertical="center"/>
    </xf>
    <xf numFmtId="3" fontId="33" fillId="4" borderId="0" xfId="0" applyNumberFormat="1" applyFont="1" applyFill="1" applyAlignment="1">
      <alignment vertical="center"/>
    </xf>
    <xf numFmtId="0" fontId="29" fillId="3" borderId="2" xfId="0" applyFont="1" applyFill="1" applyBorder="1" applyAlignment="1">
      <alignment vertical="center"/>
    </xf>
    <xf numFmtId="3" fontId="30" fillId="3" borderId="15" xfId="0" applyNumberFormat="1" applyFont="1" applyFill="1" applyBorder="1" applyAlignment="1">
      <alignment vertical="center"/>
    </xf>
    <xf numFmtId="3" fontId="40" fillId="3" borderId="2" xfId="2" applyNumberFormat="1" applyFont="1" applyFill="1" applyBorder="1" applyAlignment="1">
      <alignment horizontal="right"/>
    </xf>
    <xf numFmtId="0" fontId="31" fillId="0" borderId="0" xfId="0" applyFont="1"/>
    <xf numFmtId="14" fontId="24" fillId="3" borderId="2" xfId="0" applyNumberFormat="1" applyFont="1" applyFill="1" applyBorder="1" applyAlignment="1">
      <alignment horizontal="center" vertical="center"/>
    </xf>
    <xf numFmtId="0" fontId="30" fillId="3" borderId="13" xfId="0" applyFont="1" applyFill="1" applyBorder="1" applyAlignment="1">
      <alignment vertical="center"/>
    </xf>
    <xf numFmtId="0" fontId="24" fillId="3" borderId="25" xfId="0" applyFont="1" applyFill="1" applyBorder="1" applyAlignment="1">
      <alignment vertical="center"/>
    </xf>
    <xf numFmtId="0" fontId="24" fillId="3" borderId="25" xfId="0" applyFont="1" applyFill="1" applyBorder="1" applyAlignment="1">
      <alignment vertical="center" wrapText="1"/>
    </xf>
    <xf numFmtId="0" fontId="24" fillId="3" borderId="26" xfId="0" applyFont="1" applyFill="1" applyBorder="1" applyAlignment="1">
      <alignment vertical="center"/>
    </xf>
    <xf numFmtId="0" fontId="24" fillId="3" borderId="2" xfId="0" applyFont="1" applyFill="1" applyBorder="1" applyAlignment="1">
      <alignment horizontal="center" vertical="center"/>
    </xf>
    <xf numFmtId="0" fontId="27" fillId="3" borderId="2" xfId="0" applyFont="1" applyFill="1" applyBorder="1" applyAlignment="1">
      <alignment horizontal="center" vertical="center"/>
    </xf>
    <xf numFmtId="0" fontId="30" fillId="0" borderId="13" xfId="0" applyFont="1" applyBorder="1" applyAlignment="1">
      <alignment vertical="center"/>
    </xf>
    <xf numFmtId="0" fontId="24" fillId="0" borderId="25" xfId="0" applyFont="1" applyBorder="1" applyAlignment="1">
      <alignment vertical="center"/>
    </xf>
    <xf numFmtId="0" fontId="24" fillId="0" borderId="25" xfId="0" applyFont="1" applyBorder="1" applyAlignment="1">
      <alignment vertical="center" wrapText="1"/>
    </xf>
    <xf numFmtId="0" fontId="24" fillId="0" borderId="26" xfId="0" applyFont="1" applyBorder="1" applyAlignment="1">
      <alignment vertical="center"/>
    </xf>
    <xf numFmtId="0" fontId="30" fillId="0" borderId="17" xfId="0" applyFont="1" applyBorder="1" applyAlignment="1">
      <alignment vertical="center"/>
    </xf>
    <xf numFmtId="0" fontId="24" fillId="0" borderId="18" xfId="0" applyFont="1" applyBorder="1" applyAlignment="1">
      <alignment vertical="center"/>
    </xf>
    <xf numFmtId="0" fontId="24" fillId="0" borderId="18" xfId="0" applyFont="1" applyBorder="1" applyAlignment="1">
      <alignment vertical="center" wrapText="1"/>
    </xf>
    <xf numFmtId="0" fontId="24" fillId="0" borderId="19" xfId="0" applyFont="1" applyBorder="1" applyAlignment="1">
      <alignment vertical="center"/>
    </xf>
    <xf numFmtId="0" fontId="24" fillId="4" borderId="18" xfId="0" applyFont="1" applyFill="1" applyBorder="1" applyAlignment="1">
      <alignment vertical="center"/>
    </xf>
    <xf numFmtId="0" fontId="24" fillId="4" borderId="18" xfId="0" applyFont="1" applyFill="1" applyBorder="1" applyAlignment="1">
      <alignment vertical="center" wrapText="1"/>
    </xf>
    <xf numFmtId="0" fontId="24" fillId="4" borderId="19" xfId="0" applyFont="1" applyFill="1" applyBorder="1" applyAlignment="1">
      <alignment vertical="center"/>
    </xf>
    <xf numFmtId="3" fontId="24" fillId="4" borderId="12" xfId="0" applyNumberFormat="1" applyFont="1" applyFill="1" applyBorder="1" applyAlignment="1">
      <alignment vertical="center"/>
    </xf>
    <xf numFmtId="0" fontId="27" fillId="0" borderId="2" xfId="0" applyFont="1" applyBorder="1" applyAlignment="1">
      <alignment horizontal="center" vertical="center"/>
    </xf>
    <xf numFmtId="0" fontId="30" fillId="0" borderId="17" xfId="0" applyFont="1" applyBorder="1" applyAlignment="1">
      <alignment horizontal="left" vertical="center"/>
    </xf>
    <xf numFmtId="0" fontId="30" fillId="0" borderId="18" xfId="0" applyFont="1" applyBorder="1" applyAlignment="1">
      <alignment horizontal="left" vertical="center"/>
    </xf>
    <xf numFmtId="0" fontId="30" fillId="0" borderId="19" xfId="0" applyFont="1" applyBorder="1" applyAlignment="1">
      <alignment horizontal="left" vertical="center"/>
    </xf>
    <xf numFmtId="14" fontId="24" fillId="4" borderId="2" xfId="0" applyNumberFormat="1" applyFont="1" applyFill="1" applyBorder="1" applyAlignment="1">
      <alignment horizontal="center" vertical="center"/>
    </xf>
    <xf numFmtId="0" fontId="24" fillId="4" borderId="2" xfId="0" applyFont="1" applyFill="1" applyBorder="1" applyAlignment="1">
      <alignment horizontal="center" vertical="center"/>
    </xf>
    <xf numFmtId="14" fontId="24" fillId="0" borderId="2" xfId="0" applyNumberFormat="1" applyFont="1" applyBorder="1" applyAlignment="1">
      <alignment horizontal="center" vertical="center"/>
    </xf>
    <xf numFmtId="3" fontId="40" fillId="0" borderId="2" xfId="2" applyNumberFormat="1" applyFont="1" applyBorder="1" applyAlignment="1">
      <alignment horizontal="right"/>
    </xf>
    <xf numFmtId="3" fontId="30" fillId="0" borderId="15" xfId="0" applyNumberFormat="1" applyFont="1" applyBorder="1" applyAlignment="1">
      <alignment vertical="center"/>
    </xf>
    <xf numFmtId="14" fontId="24" fillId="0" borderId="1" xfId="0" applyNumberFormat="1" applyFont="1" applyBorder="1" applyAlignment="1">
      <alignment horizontal="center" vertical="center"/>
    </xf>
    <xf numFmtId="0" fontId="24" fillId="0" borderId="1" xfId="0" applyFont="1" applyBorder="1" applyAlignment="1">
      <alignment vertical="center"/>
    </xf>
    <xf numFmtId="0" fontId="24" fillId="0" borderId="1" xfId="0" applyFont="1" applyBorder="1" applyAlignment="1">
      <alignment vertical="center" wrapText="1"/>
    </xf>
    <xf numFmtId="3" fontId="23" fillId="0" borderId="5" xfId="0" applyNumberFormat="1" applyFont="1" applyBorder="1" applyAlignment="1">
      <alignment vertical="center"/>
    </xf>
    <xf numFmtId="3" fontId="23" fillId="5" borderId="5" xfId="0" applyNumberFormat="1" applyFont="1" applyFill="1" applyBorder="1" applyAlignment="1">
      <alignment vertical="center"/>
    </xf>
    <xf numFmtId="0" fontId="30" fillId="0" borderId="2" xfId="0" applyFont="1" applyBorder="1" applyAlignment="1">
      <alignment horizontal="left" vertical="center"/>
    </xf>
    <xf numFmtId="164" fontId="24" fillId="0" borderId="2" xfId="0" applyNumberFormat="1" applyFont="1" applyBorder="1" applyAlignment="1">
      <alignment horizontal="right" vertical="center"/>
    </xf>
    <xf numFmtId="0" fontId="24" fillId="0" borderId="27" xfId="0" applyFont="1" applyBorder="1" applyAlignment="1">
      <alignment horizontal="center" vertical="center"/>
    </xf>
    <xf numFmtId="0" fontId="24" fillId="0" borderId="28" xfId="0" applyFont="1" applyBorder="1" applyAlignment="1">
      <alignment horizontal="center" vertical="center"/>
    </xf>
    <xf numFmtId="3" fontId="31" fillId="0" borderId="29" xfId="0" applyNumberFormat="1" applyFont="1" applyBorder="1" applyAlignment="1">
      <alignment horizontal="right" wrapText="1"/>
    </xf>
    <xf numFmtId="0" fontId="23" fillId="0" borderId="1" xfId="0" applyFont="1" applyBorder="1" applyAlignment="1">
      <alignment horizontal="center" vertical="center"/>
    </xf>
    <xf numFmtId="164" fontId="23" fillId="0" borderId="1" xfId="0" applyNumberFormat="1" applyFont="1" applyBorder="1" applyAlignment="1">
      <alignment horizontal="center" vertical="center"/>
    </xf>
    <xf numFmtId="0" fontId="23" fillId="0" borderId="1" xfId="0" applyFont="1" applyBorder="1" applyAlignment="1">
      <alignment horizontal="center" vertical="center" wrapText="1"/>
    </xf>
    <xf numFmtId="3" fontId="23" fillId="0" borderId="1" xfId="0" applyNumberFormat="1" applyFont="1" applyBorder="1" applyAlignment="1">
      <alignment horizontal="center" vertical="center"/>
    </xf>
    <xf numFmtId="3" fontId="23" fillId="0" borderId="1" xfId="0" applyNumberFormat="1" applyFont="1" applyBorder="1" applyAlignment="1">
      <alignment horizontal="center" vertical="center" wrapText="1"/>
    </xf>
    <xf numFmtId="3" fontId="27" fillId="5" borderId="2" xfId="0" applyNumberFormat="1" applyFont="1" applyFill="1" applyBorder="1" applyAlignment="1">
      <alignment vertical="center"/>
    </xf>
    <xf numFmtId="3" fontId="28" fillId="5" borderId="2" xfId="0" applyNumberFormat="1" applyFont="1" applyFill="1" applyBorder="1" applyAlignment="1">
      <alignment vertical="center"/>
    </xf>
    <xf numFmtId="3" fontId="23" fillId="4" borderId="5" xfId="0" applyNumberFormat="1" applyFont="1" applyFill="1" applyBorder="1" applyAlignment="1">
      <alignment vertical="center"/>
    </xf>
    <xf numFmtId="3" fontId="29" fillId="5" borderId="2" xfId="0" applyNumberFormat="1" applyFont="1" applyFill="1" applyBorder="1" applyAlignment="1">
      <alignment vertical="center"/>
    </xf>
    <xf numFmtId="0" fontId="30" fillId="4" borderId="17" xfId="0" applyFont="1" applyFill="1" applyBorder="1" applyAlignment="1">
      <alignment horizontal="left" vertical="center" wrapText="1"/>
    </xf>
    <xf numFmtId="0" fontId="30" fillId="4" borderId="18" xfId="0" applyFont="1" applyFill="1" applyBorder="1" applyAlignment="1">
      <alignment horizontal="left" vertical="center" wrapText="1"/>
    </xf>
    <xf numFmtId="0" fontId="30" fillId="4" borderId="19" xfId="0" applyFont="1" applyFill="1" applyBorder="1" applyAlignment="1">
      <alignment horizontal="left" vertical="center" wrapText="1"/>
    </xf>
    <xf numFmtId="0" fontId="29" fillId="4" borderId="2" xfId="0" applyFont="1" applyFill="1" applyBorder="1" applyAlignment="1">
      <alignment vertical="center"/>
    </xf>
    <xf numFmtId="0" fontId="23" fillId="0" borderId="3" xfId="0" applyFont="1" applyBorder="1" applyAlignment="1">
      <alignment horizontal="center" vertical="center"/>
    </xf>
    <xf numFmtId="3" fontId="23" fillId="0" borderId="3" xfId="0" applyNumberFormat="1" applyFont="1" applyBorder="1" applyAlignment="1">
      <alignment horizontal="center" vertical="center"/>
    </xf>
    <xf numFmtId="0" fontId="30" fillId="0" borderId="17" xfId="0" applyFont="1" applyBorder="1" applyAlignment="1">
      <alignment vertical="center" wrapText="1"/>
    </xf>
    <xf numFmtId="0" fontId="30" fillId="0" borderId="18" xfId="0" applyFont="1" applyBorder="1" applyAlignment="1">
      <alignment vertical="center" wrapText="1"/>
    </xf>
    <xf numFmtId="0" fontId="30" fillId="0" borderId="19" xfId="0" applyFont="1" applyBorder="1" applyAlignment="1">
      <alignment vertical="center" wrapText="1"/>
    </xf>
    <xf numFmtId="0" fontId="27" fillId="6" borderId="2" xfId="0" applyFont="1" applyFill="1" applyBorder="1" applyAlignment="1">
      <alignment vertical="center"/>
    </xf>
    <xf numFmtId="0" fontId="23" fillId="3" borderId="1" xfId="0" applyFont="1" applyFill="1" applyBorder="1" applyAlignment="1">
      <alignment horizontal="center" vertical="center"/>
    </xf>
    <xf numFmtId="164" fontId="23" fillId="3" borderId="1" xfId="0" applyNumberFormat="1" applyFont="1" applyFill="1" applyBorder="1" applyAlignment="1">
      <alignment horizontal="center" vertical="center"/>
    </xf>
    <xf numFmtId="0" fontId="23" fillId="3" borderId="1" xfId="0" applyFont="1" applyFill="1" applyBorder="1" applyAlignment="1">
      <alignment horizontal="center" vertical="center" wrapText="1"/>
    </xf>
    <xf numFmtId="3" fontId="23" fillId="3" borderId="1" xfId="0" applyNumberFormat="1" applyFont="1" applyFill="1" applyBorder="1" applyAlignment="1">
      <alignment horizontal="center" vertical="center"/>
    </xf>
    <xf numFmtId="3" fontId="23" fillId="3" borderId="1" xfId="0" applyNumberFormat="1" applyFont="1" applyFill="1" applyBorder="1" applyAlignment="1">
      <alignment horizontal="center" vertical="center" wrapText="1"/>
    </xf>
    <xf numFmtId="0" fontId="30" fillId="0" borderId="18" xfId="0" applyFont="1" applyBorder="1" applyAlignment="1">
      <alignment horizontal="left" vertical="center" wrapText="1"/>
    </xf>
    <xf numFmtId="0" fontId="30" fillId="0" borderId="19" xfId="0" applyFont="1" applyBorder="1" applyAlignment="1">
      <alignment horizontal="left" vertical="center" wrapText="1"/>
    </xf>
    <xf numFmtId="3" fontId="24" fillId="4" borderId="0" xfId="0" applyNumberFormat="1" applyFont="1" applyFill="1" applyAlignment="1">
      <alignment vertical="center"/>
    </xf>
    <xf numFmtId="0" fontId="41" fillId="4" borderId="2" xfId="0" applyFont="1" applyFill="1" applyBorder="1" applyAlignment="1">
      <alignment vertical="center" wrapText="1"/>
    </xf>
    <xf numFmtId="0" fontId="42" fillId="4" borderId="2" xfId="0" applyFont="1" applyFill="1" applyBorder="1" applyAlignment="1">
      <alignment vertical="center"/>
    </xf>
    <xf numFmtId="3" fontId="42" fillId="4" borderId="2" xfId="0" applyNumberFormat="1" applyFont="1" applyFill="1" applyBorder="1" applyAlignment="1">
      <alignment vertical="center"/>
    </xf>
    <xf numFmtId="3" fontId="41" fillId="4" borderId="2" xfId="0" applyNumberFormat="1" applyFont="1" applyFill="1" applyBorder="1" applyAlignment="1">
      <alignment vertical="center"/>
    </xf>
    <xf numFmtId="3" fontId="23" fillId="5" borderId="0" xfId="0" applyNumberFormat="1" applyFont="1" applyFill="1" applyAlignment="1">
      <alignment vertical="center"/>
    </xf>
    <xf numFmtId="0" fontId="30" fillId="0" borderId="17" xfId="0" applyFont="1" applyBorder="1" applyAlignment="1">
      <alignment horizontal="left" vertical="center" wrapText="1"/>
    </xf>
    <xf numFmtId="0" fontId="24" fillId="3" borderId="4" xfId="0" applyFont="1" applyFill="1" applyBorder="1" applyAlignment="1">
      <alignment horizontal="center" vertical="center"/>
    </xf>
    <xf numFmtId="14" fontId="24" fillId="3" borderId="4" xfId="0" applyNumberFormat="1" applyFont="1" applyFill="1" applyBorder="1" applyAlignment="1">
      <alignment horizontal="center" vertical="center"/>
    </xf>
    <xf numFmtId="0" fontId="30" fillId="0" borderId="4" xfId="0" applyFont="1" applyBorder="1" applyAlignment="1">
      <alignment vertical="center" wrapText="1"/>
    </xf>
    <xf numFmtId="3" fontId="29" fillId="0" borderId="4" xfId="0" applyNumberFormat="1" applyFont="1" applyBorder="1" applyAlignment="1">
      <alignment vertical="center"/>
    </xf>
    <xf numFmtId="3" fontId="30" fillId="0" borderId="4" xfId="0" applyNumberFormat="1" applyFont="1" applyBorder="1" applyAlignment="1">
      <alignment vertical="center"/>
    </xf>
    <xf numFmtId="0" fontId="24" fillId="0" borderId="12" xfId="0" applyFont="1" applyBorder="1" applyAlignment="1">
      <alignment horizontal="center" vertical="center"/>
    </xf>
    <xf numFmtId="164" fontId="24" fillId="0" borderId="12" xfId="0" applyNumberFormat="1" applyFont="1" applyBorder="1" applyAlignment="1">
      <alignment horizontal="right" vertical="center"/>
    </xf>
    <xf numFmtId="14" fontId="24" fillId="0" borderId="4" xfId="0" applyNumberFormat="1" applyFont="1" applyBorder="1" applyAlignment="1">
      <alignment horizontal="center" vertical="center"/>
    </xf>
    <xf numFmtId="3" fontId="30" fillId="5" borderId="4" xfId="0" applyNumberFormat="1" applyFont="1" applyFill="1" applyBorder="1" applyAlignment="1">
      <alignment vertical="center"/>
    </xf>
    <xf numFmtId="0" fontId="24" fillId="0" borderId="13" xfId="0" applyFont="1" applyBorder="1" applyAlignment="1">
      <alignment vertical="center"/>
    </xf>
    <xf numFmtId="0" fontId="24" fillId="0" borderId="25" xfId="0" applyFont="1" applyBorder="1" applyAlignment="1">
      <alignment horizontal="center" vertical="center"/>
    </xf>
    <xf numFmtId="0" fontId="24" fillId="0" borderId="26" xfId="0" applyFont="1" applyBorder="1" applyAlignment="1">
      <alignment vertical="center" wrapText="1"/>
    </xf>
    <xf numFmtId="3" fontId="28" fillId="0" borderId="4" xfId="0" applyNumberFormat="1" applyFont="1" applyBorder="1" applyAlignment="1">
      <alignment vertical="center"/>
    </xf>
    <xf numFmtId="0" fontId="24" fillId="0" borderId="17" xfId="0" applyFont="1" applyBorder="1" applyAlignment="1">
      <alignment vertical="center"/>
    </xf>
    <xf numFmtId="0" fontId="24" fillId="0" borderId="18" xfId="0" applyFont="1" applyBorder="1" applyAlignment="1">
      <alignment horizontal="center" vertical="center"/>
    </xf>
    <xf numFmtId="0" fontId="24" fillId="0" borderId="19" xfId="0" applyFont="1" applyBorder="1" applyAlignment="1">
      <alignment vertical="center" wrapText="1"/>
    </xf>
    <xf numFmtId="3" fontId="30" fillId="4" borderId="4" xfId="0" applyNumberFormat="1" applyFont="1" applyFill="1" applyBorder="1" applyAlignment="1">
      <alignment vertical="center"/>
    </xf>
    <xf numFmtId="14" fontId="24" fillId="0" borderId="12" xfId="0" applyNumberFormat="1" applyFont="1" applyBorder="1" applyAlignment="1">
      <alignment horizontal="center" vertical="center"/>
    </xf>
    <xf numFmtId="3" fontId="2" fillId="2" borderId="1"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2" fillId="2" borderId="1" xfId="0" applyFont="1" applyFill="1" applyBorder="1" applyAlignment="1">
      <alignment horizontal="center" vertical="center"/>
    </xf>
    <xf numFmtId="0" fontId="2" fillId="2" borderId="5" xfId="0"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3" fontId="23" fillId="2" borderId="1" xfId="0" applyNumberFormat="1" applyFont="1" applyFill="1" applyBorder="1" applyAlignment="1">
      <alignment horizontal="center" vertical="center" wrapText="1"/>
    </xf>
    <xf numFmtId="3" fontId="23" fillId="2" borderId="5" xfId="0" applyNumberFormat="1" applyFont="1" applyFill="1" applyBorder="1" applyAlignment="1">
      <alignment horizontal="center" vertical="center" wrapText="1"/>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2" fillId="0" borderId="0" xfId="0" applyFont="1" applyAlignment="1">
      <alignment horizontal="center" vertical="center"/>
    </xf>
    <xf numFmtId="0" fontId="25" fillId="0" borderId="0" xfId="0" applyFont="1" applyAlignment="1">
      <alignment horizontal="center" vertical="center"/>
    </xf>
    <xf numFmtId="0" fontId="23" fillId="2" borderId="1" xfId="0" applyFont="1" applyFill="1" applyBorder="1" applyAlignment="1">
      <alignment horizontal="center" vertical="center"/>
    </xf>
    <xf numFmtId="0" fontId="23" fillId="2" borderId="5" xfId="0" applyFont="1" applyFill="1" applyBorder="1" applyAlignment="1">
      <alignment horizontal="center" vertical="center"/>
    </xf>
    <xf numFmtId="164" fontId="23" fillId="2" borderId="1" xfId="0" applyNumberFormat="1" applyFont="1" applyFill="1" applyBorder="1" applyAlignment="1">
      <alignment horizontal="center" vertical="center"/>
    </xf>
    <xf numFmtId="164" fontId="23" fillId="2" borderId="5" xfId="0" applyNumberFormat="1" applyFont="1" applyFill="1" applyBorder="1" applyAlignment="1">
      <alignment horizontal="center" vertical="center"/>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3" xfId="0" applyFont="1" applyFill="1" applyBorder="1" applyAlignment="1">
      <alignment horizontal="center" vertical="center"/>
    </xf>
    <xf numFmtId="3" fontId="23" fillId="2" borderId="3" xfId="0" applyNumberFormat="1" applyFont="1" applyFill="1" applyBorder="1" applyAlignment="1">
      <alignment horizontal="center" vertical="center" wrapText="1"/>
    </xf>
    <xf numFmtId="0" fontId="23" fillId="0" borderId="3" xfId="0" applyFont="1" applyBorder="1" applyAlignment="1">
      <alignment horizontal="center" vertical="center"/>
    </xf>
    <xf numFmtId="164" fontId="23" fillId="2" borderId="3" xfId="0" applyNumberFormat="1" applyFont="1" applyFill="1" applyBorder="1" applyAlignment="1">
      <alignment horizontal="center" vertical="center"/>
    </xf>
    <xf numFmtId="0" fontId="23" fillId="2" borderId="3" xfId="0" applyFont="1" applyFill="1" applyBorder="1" applyAlignment="1">
      <alignment horizontal="center" vertical="center" wrapText="1"/>
    </xf>
    <xf numFmtId="0" fontId="30" fillId="3" borderId="2" xfId="0" applyFont="1" applyFill="1" applyBorder="1" applyAlignment="1">
      <alignment vertical="center" wrapText="1"/>
    </xf>
    <xf numFmtId="3" fontId="23" fillId="2" borderId="6" xfId="0" applyNumberFormat="1" applyFont="1" applyFill="1" applyBorder="1" applyAlignment="1">
      <alignment horizontal="center" vertical="center" wrapText="1"/>
    </xf>
    <xf numFmtId="0" fontId="30" fillId="3" borderId="2" xfId="0" applyFont="1" applyFill="1" applyBorder="1" applyAlignment="1">
      <alignment horizontal="left" vertical="center" wrapText="1"/>
    </xf>
    <xf numFmtId="0" fontId="23" fillId="2" borderId="6" xfId="0" applyFont="1" applyFill="1" applyBorder="1" applyAlignment="1">
      <alignment horizontal="center" vertical="center"/>
    </xf>
    <xf numFmtId="164" fontId="23" fillId="2" borderId="6" xfId="0" applyNumberFormat="1" applyFont="1" applyFill="1" applyBorder="1" applyAlignment="1">
      <alignment horizontal="center" vertical="center"/>
    </xf>
    <xf numFmtId="0" fontId="30" fillId="0" borderId="20" xfId="0" applyFont="1" applyBorder="1" applyAlignment="1">
      <alignment vertical="center" wrapText="1"/>
    </xf>
    <xf numFmtId="0" fontId="30" fillId="0" borderId="21" xfId="0" applyFont="1" applyBorder="1" applyAlignment="1">
      <alignment vertical="center" wrapText="1"/>
    </xf>
    <xf numFmtId="0" fontId="30" fillId="0" borderId="22" xfId="0" applyFont="1" applyBorder="1" applyAlignment="1">
      <alignment vertical="center" wrapText="1"/>
    </xf>
    <xf numFmtId="0" fontId="30" fillId="3" borderId="17" xfId="0" applyFont="1" applyFill="1" applyBorder="1" applyAlignment="1">
      <alignment vertical="center" wrapText="1"/>
    </xf>
    <xf numFmtId="0" fontId="30" fillId="3" borderId="18" xfId="0" applyFont="1" applyFill="1" applyBorder="1" applyAlignment="1">
      <alignment vertical="center" wrapText="1"/>
    </xf>
    <xf numFmtId="0" fontId="30" fillId="3" borderId="19" xfId="0" applyFont="1" applyFill="1" applyBorder="1" applyAlignment="1">
      <alignment vertical="center" wrapText="1"/>
    </xf>
    <xf numFmtId="0" fontId="30" fillId="0" borderId="17" xfId="0" applyFont="1" applyBorder="1" applyAlignment="1">
      <alignment vertical="center" wrapText="1"/>
    </xf>
    <xf numFmtId="0" fontId="30" fillId="0" borderId="18" xfId="0" applyFont="1" applyBorder="1" applyAlignment="1">
      <alignment vertical="center" wrapText="1"/>
    </xf>
    <xf numFmtId="0" fontId="30" fillId="0" borderId="19" xfId="0" applyFont="1" applyBorder="1" applyAlignment="1">
      <alignment vertical="center" wrapText="1"/>
    </xf>
    <xf numFmtId="0" fontId="30" fillId="3" borderId="17" xfId="0" applyFont="1" applyFill="1" applyBorder="1" applyAlignment="1">
      <alignment horizontal="left" vertical="center" wrapText="1"/>
    </xf>
    <xf numFmtId="0" fontId="30" fillId="3" borderId="18" xfId="0" applyFont="1" applyFill="1" applyBorder="1" applyAlignment="1">
      <alignment horizontal="left" vertical="center" wrapText="1"/>
    </xf>
    <xf numFmtId="0" fontId="30" fillId="3" borderId="19" xfId="0" applyFont="1" applyFill="1" applyBorder="1" applyAlignment="1">
      <alignment horizontal="left" vertical="center" wrapText="1"/>
    </xf>
    <xf numFmtId="0" fontId="30" fillId="0" borderId="17" xfId="0" applyFont="1" applyBorder="1" applyAlignment="1">
      <alignment horizontal="left" vertical="center"/>
    </xf>
    <xf numFmtId="0" fontId="30" fillId="0" borderId="18" xfId="0" applyFont="1" applyBorder="1" applyAlignment="1">
      <alignment horizontal="left" vertical="center"/>
    </xf>
    <xf numFmtId="0" fontId="30" fillId="0" borderId="19" xfId="0" applyFont="1" applyBorder="1" applyAlignment="1">
      <alignment horizontal="left" vertical="center"/>
    </xf>
    <xf numFmtId="0" fontId="30" fillId="0" borderId="2" xfId="0" applyFont="1" applyBorder="1" applyAlignment="1">
      <alignment vertical="center" wrapText="1"/>
    </xf>
    <xf numFmtId="0" fontId="23" fillId="0" borderId="5" xfId="0" applyFont="1" applyBorder="1" applyAlignment="1">
      <alignment horizontal="center" vertical="center"/>
    </xf>
    <xf numFmtId="0" fontId="30" fillId="0" borderId="2" xfId="0" applyFont="1" applyBorder="1" applyAlignment="1">
      <alignment horizontal="left" vertical="center"/>
    </xf>
    <xf numFmtId="0" fontId="30" fillId="0" borderId="17" xfId="0" applyFont="1" applyBorder="1" applyAlignment="1">
      <alignment horizontal="left" vertical="center" wrapText="1"/>
    </xf>
    <xf numFmtId="0" fontId="30" fillId="0" borderId="18" xfId="0" applyFont="1" applyBorder="1" applyAlignment="1">
      <alignment horizontal="left" vertical="center" wrapText="1"/>
    </xf>
    <xf numFmtId="0" fontId="30" fillId="0" borderId="19" xfId="0" applyFont="1" applyBorder="1" applyAlignment="1">
      <alignment horizontal="left" vertical="center" wrapText="1"/>
    </xf>
    <xf numFmtId="0" fontId="30" fillId="0" borderId="17"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9" xfId="0" applyFont="1" applyBorder="1" applyAlignment="1">
      <alignment horizontal="center" vertical="center" wrapText="1"/>
    </xf>
    <xf numFmtId="0" fontId="41" fillId="0" borderId="2" xfId="0" applyFont="1" applyBorder="1" applyAlignment="1">
      <alignment vertical="center" wrapText="1"/>
    </xf>
    <xf numFmtId="0" fontId="30" fillId="4" borderId="17" xfId="0" applyFont="1" applyFill="1" applyBorder="1" applyAlignment="1">
      <alignment horizontal="left" vertical="center" wrapText="1"/>
    </xf>
    <xf numFmtId="0" fontId="30" fillId="4" borderId="18" xfId="0" applyFont="1" applyFill="1" applyBorder="1" applyAlignment="1">
      <alignment horizontal="left" vertical="center" wrapText="1"/>
    </xf>
    <xf numFmtId="0" fontId="30" fillId="4" borderId="19" xfId="0" applyFont="1" applyFill="1" applyBorder="1" applyAlignment="1">
      <alignment horizontal="left" vertical="center" wrapText="1"/>
    </xf>
    <xf numFmtId="3" fontId="23" fillId="0" borderId="3" xfId="0" applyNumberFormat="1" applyFont="1" applyBorder="1" applyAlignment="1">
      <alignment horizontal="center" vertical="center" wrapText="1"/>
    </xf>
    <xf numFmtId="164" fontId="23" fillId="0" borderId="3" xfId="0" applyNumberFormat="1" applyFont="1" applyBorder="1" applyAlignment="1">
      <alignment horizontal="center" vertical="center"/>
    </xf>
    <xf numFmtId="0" fontId="23" fillId="0" borderId="3" xfId="0" applyFont="1" applyBorder="1" applyAlignment="1">
      <alignment horizontal="center" vertical="center" wrapText="1"/>
    </xf>
    <xf numFmtId="0" fontId="30" fillId="4" borderId="17" xfId="0" applyFont="1" applyFill="1" applyBorder="1" applyAlignment="1">
      <alignment vertical="center" wrapText="1"/>
    </xf>
    <xf numFmtId="0" fontId="30" fillId="4" borderId="18" xfId="0" applyFont="1" applyFill="1" applyBorder="1" applyAlignment="1">
      <alignment vertical="center" wrapText="1"/>
    </xf>
    <xf numFmtId="0" fontId="30" fillId="4" borderId="19" xfId="0" applyFont="1" applyFill="1" applyBorder="1" applyAlignment="1">
      <alignment vertical="center" wrapText="1"/>
    </xf>
    <xf numFmtId="0" fontId="41" fillId="4" borderId="17" xfId="0" applyFont="1" applyFill="1" applyBorder="1" applyAlignment="1">
      <alignment horizontal="left" vertical="center" wrapText="1"/>
    </xf>
    <xf numFmtId="0" fontId="41" fillId="4" borderId="18" xfId="0" applyFont="1" applyFill="1" applyBorder="1" applyAlignment="1">
      <alignment horizontal="left" vertical="center" wrapText="1"/>
    </xf>
    <xf numFmtId="0" fontId="41" fillId="4" borderId="19" xfId="0" applyFont="1" applyFill="1" applyBorder="1" applyAlignment="1">
      <alignment horizontal="left" vertical="center" wrapText="1"/>
    </xf>
    <xf numFmtId="0" fontId="30" fillId="0" borderId="23" xfId="0" applyFont="1" applyBorder="1" applyAlignment="1">
      <alignment horizontal="left" vertical="center" wrapText="1"/>
    </xf>
    <xf numFmtId="0" fontId="30" fillId="0" borderId="24" xfId="0" applyFont="1" applyBorder="1" applyAlignment="1">
      <alignment horizontal="left" vertical="center" wrapText="1"/>
    </xf>
    <xf numFmtId="0" fontId="30" fillId="0" borderId="14" xfId="0" applyFont="1" applyBorder="1" applyAlignment="1">
      <alignment horizontal="left" vertical="center" wrapText="1"/>
    </xf>
    <xf numFmtId="0" fontId="30" fillId="0" borderId="13" xfId="0" applyFont="1" applyBorder="1" applyAlignment="1">
      <alignment horizontal="left" vertical="center" wrapText="1"/>
    </xf>
    <xf numFmtId="0" fontId="30" fillId="0" borderId="25" xfId="0" applyFont="1" applyBorder="1" applyAlignment="1">
      <alignment horizontal="left" vertical="center" wrapText="1"/>
    </xf>
    <xf numFmtId="0" fontId="30" fillId="0" borderId="26" xfId="0" applyFont="1" applyBorder="1" applyAlignment="1">
      <alignment horizontal="left" vertical="center" wrapText="1"/>
    </xf>
    <xf numFmtId="0" fontId="30" fillId="0" borderId="17" xfId="0" applyFont="1" applyFill="1" applyBorder="1" applyAlignment="1">
      <alignment horizontal="left" vertical="center" wrapText="1"/>
    </xf>
    <xf numFmtId="0" fontId="30" fillId="0" borderId="18" xfId="0" applyFont="1" applyFill="1" applyBorder="1" applyAlignment="1">
      <alignment horizontal="left" vertical="center" wrapText="1"/>
    </xf>
    <xf numFmtId="0" fontId="30" fillId="0" borderId="19" xfId="0" applyFont="1" applyFill="1" applyBorder="1" applyAlignment="1">
      <alignment horizontal="left" vertical="center" wrapText="1"/>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haredStrings" Target="sharedString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externalLink" Target="externalLinks/externalLink3.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xml"/><Relationship Id="rId118" Type="http://schemas.microsoft.com/office/2017/10/relationships/person" Target="persons/perso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xml"/><Relationship Id="rId119"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xml"/><Relationship Id="rId115"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hia\AppData\Local\Microsoft\Windows\Temporary%20Internet%20Files\Content.Outlook\8OTP2HFP\Xe%2015C-139%2082-2017%20(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ghia\AppData\Local\Microsoft\Windows\Temporary%20Internet%20Files\Content.Outlook\8OTP2HFP\S&#7893;%20qu&#7929;%20NEPO%20T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hung's%20Docs\Theo%20doi%20xe\07-2019\S&#7893;%20qu&#7929;%20NEPO%20T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HANH\THEO%20DOI%20DOANH%20THU%20CHI%20PHI%20TUNG%20XE\New%20folder\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THANH\BANG%20LUONG\BANG%20LUONG%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2.2015"/>
      <sheetName val="T01-2016"/>
      <sheetName val="T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6">
          <cell r="Q46">
            <v>141579859</v>
          </cell>
        </row>
      </sheetData>
      <sheetData sheetId="20">
        <row r="39">
          <cell r="Q39">
            <v>24009775.53846154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015"/>
      <sheetName val="02-2015"/>
      <sheetName val="03-2015"/>
      <sheetName val="04-2015"/>
      <sheetName val="05-2015"/>
      <sheetName val="06-2015"/>
      <sheetName val="07-2015"/>
      <sheetName val="08-2015"/>
      <sheetName val="09-2015"/>
      <sheetName val="10-2015"/>
      <sheetName val="11-2015"/>
      <sheetName val="12-2015"/>
      <sheetName val="01.2016"/>
      <sheetName val="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 val="09.2017"/>
      <sheetName val="10.2017"/>
      <sheetName val="11.2017"/>
      <sheetName val="12.2017"/>
      <sheetName val="01.2018"/>
      <sheetName val="02.2018"/>
      <sheetName val="03.2018"/>
      <sheetName val="04.2018"/>
      <sheetName val="05.2018"/>
      <sheetName val="06.2018"/>
      <sheetName val="07.2018"/>
      <sheetName val="08.2018"/>
      <sheetName val="09.2018"/>
      <sheetName val="10.2018"/>
      <sheetName val="11.2018"/>
      <sheetName val="12.2018"/>
      <sheetName val="01.2019"/>
      <sheetName val="02.2019"/>
      <sheetName val="03.2019"/>
      <sheetName val="04.2019"/>
      <sheetName val="05.2019"/>
      <sheetName val="06.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I5" t="str">
            <v>Tạm</v>
          </cell>
          <cell r="J5">
            <v>0</v>
          </cell>
        </row>
        <row r="6">
          <cell r="I6" t="str">
            <v>Nộp</v>
          </cell>
          <cell r="J6">
            <v>0</v>
          </cell>
        </row>
        <row r="7">
          <cell r="I7" t="str">
            <v>Vie</v>
          </cell>
          <cell r="J7">
            <v>0</v>
          </cell>
        </row>
        <row r="8">
          <cell r="I8" t="str">
            <v>Nộp</v>
          </cell>
          <cell r="J8">
            <v>0</v>
          </cell>
        </row>
        <row r="9">
          <cell r="I9" t="str">
            <v>Anh</v>
          </cell>
          <cell r="J9">
            <v>0</v>
          </cell>
        </row>
        <row r="10">
          <cell r="H10" t="str">
            <v>SMCU1193076</v>
          </cell>
          <cell r="I10" t="str">
            <v>Thu</v>
          </cell>
          <cell r="J10">
            <v>1</v>
          </cell>
          <cell r="K10">
            <v>0</v>
          </cell>
        </row>
        <row r="11">
          <cell r="H11" t="str">
            <v>GMDU8152682</v>
          </cell>
          <cell r="I11" t="str">
            <v>Trả</v>
          </cell>
          <cell r="J11">
            <v>1</v>
          </cell>
          <cell r="K11">
            <v>300000</v>
          </cell>
        </row>
        <row r="12">
          <cell r="H12" t="str">
            <v>HJMU1532612</v>
          </cell>
          <cell r="I12" t="str">
            <v>Trả</v>
          </cell>
          <cell r="J12">
            <v>1</v>
          </cell>
          <cell r="K12">
            <v>540000</v>
          </cell>
        </row>
        <row r="13">
          <cell r="H13" t="str">
            <v>WHSU2282070</v>
          </cell>
          <cell r="I13" t="str">
            <v>Đưa</v>
          </cell>
          <cell r="J13">
            <v>1</v>
          </cell>
          <cell r="K13">
            <v>1270000</v>
          </cell>
        </row>
        <row r="14">
          <cell r="H14" t="str">
            <v>DRYU2852586</v>
          </cell>
          <cell r="I14" t="str">
            <v>Đưa</v>
          </cell>
          <cell r="J14">
            <v>1</v>
          </cell>
          <cell r="K14">
            <v>1380000</v>
          </cell>
        </row>
        <row r="15">
          <cell r="H15" t="str">
            <v>CRSU1153485</v>
          </cell>
          <cell r="I15" t="str">
            <v>Đưa</v>
          </cell>
          <cell r="J15">
            <v>1</v>
          </cell>
          <cell r="K15">
            <v>1510000</v>
          </cell>
        </row>
        <row r="16">
          <cell r="H16" t="str">
            <v>TCNU4595140</v>
          </cell>
          <cell r="I16" t="str">
            <v>Đưa</v>
          </cell>
          <cell r="J16">
            <v>1</v>
          </cell>
          <cell r="K16">
            <v>790000</v>
          </cell>
        </row>
        <row r="17">
          <cell r="I17" t="str">
            <v>Tạm</v>
          </cell>
          <cell r="J17">
            <v>0</v>
          </cell>
        </row>
        <row r="18">
          <cell r="I18" t="str">
            <v>Phí</v>
          </cell>
          <cell r="J18">
            <v>0</v>
          </cell>
        </row>
        <row r="19">
          <cell r="I19" t="str">
            <v>Trả</v>
          </cell>
          <cell r="J19">
            <v>0</v>
          </cell>
        </row>
        <row r="20">
          <cell r="I20" t="str">
            <v>Tạm</v>
          </cell>
          <cell r="J20">
            <v>0</v>
          </cell>
        </row>
        <row r="21">
          <cell r="I21" t="str">
            <v>Anh</v>
          </cell>
          <cell r="J21">
            <v>0</v>
          </cell>
        </row>
        <row r="22">
          <cell r="I22" t="str">
            <v>Anh</v>
          </cell>
          <cell r="J22">
            <v>0</v>
          </cell>
        </row>
        <row r="23">
          <cell r="I23" t="str">
            <v>Thu</v>
          </cell>
          <cell r="J23">
            <v>0</v>
          </cell>
          <cell r="K23">
            <v>0</v>
          </cell>
        </row>
        <row r="24">
          <cell r="H24" t="str">
            <v>DRYU9962040</v>
          </cell>
          <cell r="I24" t="str">
            <v>Đưa</v>
          </cell>
          <cell r="J24">
            <v>1</v>
          </cell>
          <cell r="K24">
            <v>790000</v>
          </cell>
        </row>
        <row r="25">
          <cell r="H25" t="str">
            <v>CCLU3333389</v>
          </cell>
          <cell r="I25" t="str">
            <v>Đưa</v>
          </cell>
          <cell r="J25">
            <v>1</v>
          </cell>
          <cell r="K25">
            <v>930000</v>
          </cell>
        </row>
        <row r="26">
          <cell r="I26" t="str">
            <v>Trả</v>
          </cell>
          <cell r="J26">
            <v>0</v>
          </cell>
          <cell r="K26">
            <v>60000</v>
          </cell>
        </row>
        <row r="27">
          <cell r="H27" t="str">
            <v>GMDU8151032</v>
          </cell>
          <cell r="I27" t="str">
            <v>Đưa</v>
          </cell>
          <cell r="J27">
            <v>1</v>
          </cell>
          <cell r="K27">
            <v>1510000</v>
          </cell>
        </row>
        <row r="28">
          <cell r="H28" t="str">
            <v>GMDU8141836</v>
          </cell>
          <cell r="I28" t="str">
            <v>Đưa</v>
          </cell>
          <cell r="J28">
            <v>1</v>
          </cell>
          <cell r="K28">
            <v>1800000</v>
          </cell>
        </row>
        <row r="29">
          <cell r="H29" t="str">
            <v/>
          </cell>
          <cell r="I29" t="str">
            <v/>
          </cell>
          <cell r="J29">
            <v>228</v>
          </cell>
        </row>
        <row r="30">
          <cell r="I30" t="str">
            <v>Tha</v>
          </cell>
          <cell r="J30">
            <v>0</v>
          </cell>
        </row>
        <row r="31">
          <cell r="I31" t="str">
            <v>Tha</v>
          </cell>
          <cell r="J31">
            <v>0</v>
          </cell>
        </row>
        <row r="32">
          <cell r="I32" t="str">
            <v>Tha</v>
          </cell>
          <cell r="J32">
            <v>0</v>
          </cell>
        </row>
        <row r="33">
          <cell r="I33" t="str">
            <v>Anh</v>
          </cell>
          <cell r="J33">
            <v>0</v>
          </cell>
        </row>
        <row r="34">
          <cell r="H34" t="str">
            <v>SZLU9428991</v>
          </cell>
          <cell r="I34" t="str">
            <v>Đưa</v>
          </cell>
          <cell r="J34">
            <v>1</v>
          </cell>
          <cell r="K34">
            <v>1170000</v>
          </cell>
        </row>
        <row r="35">
          <cell r="I35" t="str">
            <v>Đưa</v>
          </cell>
          <cell r="J35">
            <v>0</v>
          </cell>
        </row>
        <row r="36">
          <cell r="H36" t="str">
            <v>TCNU5054284</v>
          </cell>
          <cell r="I36" t="str">
            <v>Đưa</v>
          </cell>
          <cell r="J36">
            <v>1</v>
          </cell>
          <cell r="K36">
            <v>650000</v>
          </cell>
        </row>
        <row r="37">
          <cell r="I37" t="str">
            <v>Đưa</v>
          </cell>
          <cell r="J37">
            <v>0</v>
          </cell>
        </row>
        <row r="38">
          <cell r="H38" t="str">
            <v>TRLU8262180</v>
          </cell>
          <cell r="I38" t="str">
            <v>Đưa</v>
          </cell>
          <cell r="J38">
            <v>1</v>
          </cell>
          <cell r="K38">
            <v>1270000</v>
          </cell>
        </row>
        <row r="39">
          <cell r="H39" t="str">
            <v>TCKU1001039</v>
          </cell>
          <cell r="I39" t="str">
            <v>Đưa</v>
          </cell>
          <cell r="J39">
            <v>1</v>
          </cell>
          <cell r="K39">
            <v>930000</v>
          </cell>
        </row>
        <row r="40">
          <cell r="I40" t="str">
            <v>Trả</v>
          </cell>
          <cell r="J40">
            <v>0</v>
          </cell>
          <cell r="K40">
            <v>300000</v>
          </cell>
        </row>
        <row r="41">
          <cell r="I41" t="str">
            <v>Nộp</v>
          </cell>
          <cell r="J41">
            <v>0</v>
          </cell>
          <cell r="K41">
            <v>946000</v>
          </cell>
        </row>
        <row r="42">
          <cell r="I42" t="str">
            <v>Trả</v>
          </cell>
          <cell r="J42">
            <v>0</v>
          </cell>
          <cell r="K42">
            <v>170000</v>
          </cell>
        </row>
        <row r="43">
          <cell r="I43" t="str">
            <v>Rút</v>
          </cell>
          <cell r="J43">
            <v>0</v>
          </cell>
        </row>
        <row r="44">
          <cell r="I44" t="str">
            <v>Tạm</v>
          </cell>
          <cell r="J44">
            <v>0</v>
          </cell>
        </row>
        <row r="45">
          <cell r="I45" t="str">
            <v>Tha</v>
          </cell>
          <cell r="J45">
            <v>0</v>
          </cell>
        </row>
        <row r="46">
          <cell r="I46" t="str">
            <v>Tha</v>
          </cell>
          <cell r="J46">
            <v>0</v>
          </cell>
        </row>
        <row r="47">
          <cell r="I47" t="str">
            <v>Tha</v>
          </cell>
          <cell r="J47">
            <v>0</v>
          </cell>
        </row>
        <row r="48">
          <cell r="I48" t="str">
            <v>Tha</v>
          </cell>
          <cell r="J48">
            <v>0</v>
          </cell>
        </row>
        <row r="49">
          <cell r="I49" t="str">
            <v>Tha</v>
          </cell>
          <cell r="J49">
            <v>0</v>
          </cell>
        </row>
        <row r="50">
          <cell r="I50" t="str">
            <v>Tha</v>
          </cell>
          <cell r="J50">
            <v>0</v>
          </cell>
        </row>
        <row r="51">
          <cell r="I51" t="str">
            <v>Tha</v>
          </cell>
          <cell r="J51">
            <v>0</v>
          </cell>
        </row>
        <row r="52">
          <cell r="I52" t="str">
            <v>Tha</v>
          </cell>
          <cell r="J52">
            <v>0</v>
          </cell>
        </row>
        <row r="53">
          <cell r="I53" t="str">
            <v>Anh</v>
          </cell>
          <cell r="J53">
            <v>0</v>
          </cell>
        </row>
        <row r="54">
          <cell r="I54" t="str">
            <v>Thu</v>
          </cell>
          <cell r="J54">
            <v>0</v>
          </cell>
          <cell r="K54">
            <v>0</v>
          </cell>
        </row>
        <row r="55">
          <cell r="H55" t="str">
            <v>WHSU2264734</v>
          </cell>
          <cell r="I55" t="str">
            <v>Đưa</v>
          </cell>
          <cell r="J55">
            <v>1</v>
          </cell>
          <cell r="K55">
            <v>2470000</v>
          </cell>
        </row>
        <row r="56">
          <cell r="H56" t="str">
            <v>GMDU8141646</v>
          </cell>
          <cell r="I56" t="str">
            <v>Đưa</v>
          </cell>
          <cell r="J56">
            <v>1</v>
          </cell>
          <cell r="K56">
            <v>1270000</v>
          </cell>
        </row>
        <row r="57">
          <cell r="H57" t="str">
            <v>TLLU4071328</v>
          </cell>
          <cell r="I57" t="str">
            <v>Đưa</v>
          </cell>
          <cell r="J57">
            <v>1</v>
          </cell>
          <cell r="K57">
            <v>1450000</v>
          </cell>
        </row>
        <row r="58">
          <cell r="H58" t="str">
            <v>GAOU2111283</v>
          </cell>
          <cell r="I58" t="str">
            <v>Đưa</v>
          </cell>
          <cell r="J58">
            <v>1</v>
          </cell>
          <cell r="K58">
            <v>1240000</v>
          </cell>
        </row>
        <row r="59">
          <cell r="I59" t="str">
            <v>Nộp</v>
          </cell>
          <cell r="J59">
            <v>0</v>
          </cell>
          <cell r="K59">
            <v>540000</v>
          </cell>
        </row>
        <row r="60">
          <cell r="I60" t="str">
            <v>Tha</v>
          </cell>
          <cell r="J60">
            <v>0</v>
          </cell>
        </row>
        <row r="61">
          <cell r="I61" t="str">
            <v>Tha</v>
          </cell>
          <cell r="J61">
            <v>0</v>
          </cell>
        </row>
        <row r="62">
          <cell r="I62" t="str">
            <v>Tha</v>
          </cell>
          <cell r="J62">
            <v>0</v>
          </cell>
        </row>
        <row r="63">
          <cell r="I63" t="str">
            <v>Tha</v>
          </cell>
          <cell r="J63">
            <v>0</v>
          </cell>
        </row>
        <row r="64">
          <cell r="I64" t="str">
            <v>Tha</v>
          </cell>
          <cell r="J64">
            <v>0</v>
          </cell>
        </row>
        <row r="65">
          <cell r="I65" t="str">
            <v>Mua</v>
          </cell>
          <cell r="J65">
            <v>0</v>
          </cell>
        </row>
        <row r="66">
          <cell r="I66" t="str">
            <v>Tạm</v>
          </cell>
          <cell r="J66">
            <v>0</v>
          </cell>
        </row>
        <row r="67">
          <cell r="I67" t="str">
            <v>Tha</v>
          </cell>
          <cell r="J67">
            <v>0</v>
          </cell>
        </row>
        <row r="68">
          <cell r="I68" t="str">
            <v>Tha</v>
          </cell>
          <cell r="J68">
            <v>0</v>
          </cell>
        </row>
        <row r="69">
          <cell r="I69" t="str">
            <v>Tạm</v>
          </cell>
          <cell r="J69">
            <v>0</v>
          </cell>
        </row>
        <row r="70">
          <cell r="I70" t="str">
            <v>Côn</v>
          </cell>
          <cell r="J70">
            <v>0</v>
          </cell>
        </row>
        <row r="71">
          <cell r="I71" t="str">
            <v>Anh</v>
          </cell>
          <cell r="J71">
            <v>0</v>
          </cell>
        </row>
        <row r="72">
          <cell r="I72" t="str">
            <v>Trả</v>
          </cell>
          <cell r="J72">
            <v>0</v>
          </cell>
          <cell r="K72">
            <v>300000</v>
          </cell>
        </row>
        <row r="73">
          <cell r="I73" t="str">
            <v>Trả</v>
          </cell>
          <cell r="J73">
            <v>0</v>
          </cell>
          <cell r="K73">
            <v>300000</v>
          </cell>
        </row>
        <row r="74">
          <cell r="H74" t="str">
            <v>TGBU6755247</v>
          </cell>
          <cell r="I74" t="str">
            <v>Đưa</v>
          </cell>
          <cell r="J74">
            <v>1</v>
          </cell>
          <cell r="K74">
            <v>1150000</v>
          </cell>
        </row>
        <row r="75">
          <cell r="H75" t="str">
            <v>MSKU1823061</v>
          </cell>
          <cell r="I75" t="str">
            <v>Đưa</v>
          </cell>
          <cell r="J75">
            <v>1</v>
          </cell>
          <cell r="K75">
            <v>1150000</v>
          </cell>
        </row>
        <row r="76">
          <cell r="H76" t="str">
            <v>GMDU8152110</v>
          </cell>
          <cell r="I76" t="str">
            <v>Đưa</v>
          </cell>
          <cell r="J76">
            <v>1</v>
          </cell>
          <cell r="K76">
            <v>1270000</v>
          </cell>
        </row>
        <row r="77">
          <cell r="H77" t="str">
            <v>DRYU2852858</v>
          </cell>
          <cell r="I77" t="str">
            <v>Đưa</v>
          </cell>
          <cell r="J77">
            <v>1</v>
          </cell>
          <cell r="K77">
            <v>1440000</v>
          </cell>
        </row>
        <row r="78">
          <cell r="I78" t="str">
            <v>Trả</v>
          </cell>
          <cell r="J78">
            <v>0</v>
          </cell>
          <cell r="K78">
            <v>240000</v>
          </cell>
        </row>
        <row r="79">
          <cell r="H79" t="str">
            <v>OOCU7026672</v>
          </cell>
          <cell r="I79" t="str">
            <v>Đưa</v>
          </cell>
          <cell r="J79">
            <v>1</v>
          </cell>
          <cell r="K79">
            <v>2740000</v>
          </cell>
        </row>
        <row r="80">
          <cell r="I80" t="str">
            <v>Rút</v>
          </cell>
          <cell r="J80">
            <v>0</v>
          </cell>
        </row>
        <row r="81">
          <cell r="I81" t="str">
            <v>Tạm</v>
          </cell>
          <cell r="J81">
            <v>0</v>
          </cell>
        </row>
        <row r="82">
          <cell r="I82" t="str">
            <v>Trả</v>
          </cell>
          <cell r="J82">
            <v>0</v>
          </cell>
        </row>
        <row r="83">
          <cell r="I83" t="str">
            <v>Tha</v>
          </cell>
          <cell r="J83">
            <v>0</v>
          </cell>
        </row>
        <row r="84">
          <cell r="I84" t="str">
            <v>Anh</v>
          </cell>
          <cell r="J84">
            <v>0</v>
          </cell>
        </row>
        <row r="85">
          <cell r="I85" t="str">
            <v>Trả</v>
          </cell>
          <cell r="J85">
            <v>0</v>
          </cell>
          <cell r="K85">
            <v>300000</v>
          </cell>
        </row>
        <row r="86">
          <cell r="H86" t="str">
            <v>CPSU1821580</v>
          </cell>
          <cell r="I86" t="str">
            <v>Đưa</v>
          </cell>
          <cell r="J86">
            <v>1</v>
          </cell>
          <cell r="K86">
            <v>1890000</v>
          </cell>
        </row>
        <row r="87">
          <cell r="H87" t="str">
            <v>TGHU1450289</v>
          </cell>
          <cell r="I87" t="str">
            <v>Đưa</v>
          </cell>
          <cell r="J87">
            <v>1</v>
          </cell>
          <cell r="K87">
            <v>1890000</v>
          </cell>
        </row>
        <row r="88">
          <cell r="H88" t="str">
            <v>WHLU0217928</v>
          </cell>
          <cell r="I88" t="str">
            <v>Đưa</v>
          </cell>
          <cell r="J88">
            <v>1</v>
          </cell>
          <cell r="K88">
            <v>930000</v>
          </cell>
        </row>
        <row r="89">
          <cell r="I89" t="str">
            <v>Tạm</v>
          </cell>
          <cell r="J89">
            <v>0</v>
          </cell>
        </row>
        <row r="90">
          <cell r="I90" t="str">
            <v>Tạm</v>
          </cell>
          <cell r="J90">
            <v>0</v>
          </cell>
        </row>
        <row r="91">
          <cell r="I91" t="str">
            <v>Tân</v>
          </cell>
          <cell r="J91">
            <v>0</v>
          </cell>
        </row>
        <row r="92">
          <cell r="I92" t="str">
            <v>Anh</v>
          </cell>
          <cell r="J92">
            <v>0</v>
          </cell>
        </row>
        <row r="93">
          <cell r="H93" t="str">
            <v>UACU3987209</v>
          </cell>
          <cell r="I93" t="str">
            <v>Đưa</v>
          </cell>
          <cell r="J93">
            <v>1</v>
          </cell>
          <cell r="K93">
            <v>1890000</v>
          </cell>
        </row>
        <row r="94">
          <cell r="H94" t="str">
            <v>WHSU2368092</v>
          </cell>
          <cell r="I94" t="str">
            <v>Đưa</v>
          </cell>
          <cell r="J94">
            <v>1</v>
          </cell>
          <cell r="K94">
            <v>970000</v>
          </cell>
        </row>
        <row r="95">
          <cell r="H95" t="str">
            <v>CSNU1462908</v>
          </cell>
          <cell r="I95" t="str">
            <v>Đưa</v>
          </cell>
          <cell r="J95">
            <v>1</v>
          </cell>
          <cell r="K95">
            <v>810000</v>
          </cell>
        </row>
        <row r="96">
          <cell r="H96" t="str">
            <v>GMDU8191328</v>
          </cell>
          <cell r="I96" t="str">
            <v>Đưa</v>
          </cell>
          <cell r="J96">
            <v>1</v>
          </cell>
          <cell r="K96">
            <v>1270000</v>
          </cell>
        </row>
        <row r="97">
          <cell r="I97" t="str">
            <v>Trả</v>
          </cell>
          <cell r="J97">
            <v>0</v>
          </cell>
          <cell r="K97">
            <v>300000</v>
          </cell>
        </row>
        <row r="98">
          <cell r="I98" t="str">
            <v>Nộp</v>
          </cell>
          <cell r="J98">
            <v>0</v>
          </cell>
          <cell r="K98">
            <v>500000</v>
          </cell>
        </row>
        <row r="99">
          <cell r="I99" t="str">
            <v>Làm</v>
          </cell>
          <cell r="J99">
            <v>0</v>
          </cell>
          <cell r="K99">
            <v>340000</v>
          </cell>
        </row>
        <row r="100">
          <cell r="I100" t="str">
            <v>Trả</v>
          </cell>
          <cell r="J100">
            <v>0</v>
          </cell>
          <cell r="K100">
            <v>760000</v>
          </cell>
        </row>
        <row r="101">
          <cell r="I101" t="str">
            <v>Tạm</v>
          </cell>
          <cell r="J101">
            <v>0</v>
          </cell>
        </row>
        <row r="102">
          <cell r="I102" t="str">
            <v>Tạm</v>
          </cell>
          <cell r="J102">
            <v>0</v>
          </cell>
        </row>
        <row r="103">
          <cell r="I103" t="str">
            <v>Tha</v>
          </cell>
          <cell r="J103">
            <v>0</v>
          </cell>
        </row>
        <row r="104">
          <cell r="I104" t="str">
            <v>Anh</v>
          </cell>
          <cell r="J104">
            <v>0</v>
          </cell>
        </row>
        <row r="105">
          <cell r="H105" t="str">
            <v>CAIU4851274</v>
          </cell>
          <cell r="I105" t="str">
            <v>Đưa</v>
          </cell>
          <cell r="J105">
            <v>1</v>
          </cell>
          <cell r="K105">
            <v>1500000</v>
          </cell>
        </row>
        <row r="106">
          <cell r="H106" t="str">
            <v>GAOU2115294</v>
          </cell>
          <cell r="I106" t="str">
            <v>Đưa</v>
          </cell>
          <cell r="J106">
            <v>1</v>
          </cell>
          <cell r="K106">
            <v>1780000</v>
          </cell>
        </row>
        <row r="107">
          <cell r="H107" t="str">
            <v>DRYU2924475</v>
          </cell>
          <cell r="I107" t="str">
            <v>Đưa</v>
          </cell>
          <cell r="J107">
            <v>1</v>
          </cell>
          <cell r="K107">
            <v>1160000</v>
          </cell>
        </row>
        <row r="108">
          <cell r="H108" t="str">
            <v>HDMU2700108</v>
          </cell>
          <cell r="I108" t="str">
            <v>Đưa</v>
          </cell>
          <cell r="J108">
            <v>1</v>
          </cell>
          <cell r="K108">
            <v>810000</v>
          </cell>
        </row>
        <row r="109">
          <cell r="I109" t="str">
            <v>Tạm</v>
          </cell>
          <cell r="J109">
            <v>0</v>
          </cell>
        </row>
        <row r="110">
          <cell r="I110" t="str">
            <v>Kiể</v>
          </cell>
          <cell r="J110">
            <v>0</v>
          </cell>
        </row>
        <row r="111">
          <cell r="I111" t="str">
            <v>Tha</v>
          </cell>
          <cell r="J111">
            <v>0</v>
          </cell>
        </row>
        <row r="112">
          <cell r="I112" t="str">
            <v>Thu</v>
          </cell>
          <cell r="J112">
            <v>0</v>
          </cell>
        </row>
        <row r="113">
          <cell r="I113" t="str">
            <v>Thu</v>
          </cell>
          <cell r="J113">
            <v>0</v>
          </cell>
        </row>
        <row r="114">
          <cell r="I114" t="str">
            <v>Thu</v>
          </cell>
          <cell r="J114">
            <v>0</v>
          </cell>
        </row>
        <row r="115">
          <cell r="I115" t="str">
            <v>Tạm</v>
          </cell>
          <cell r="J115">
            <v>0</v>
          </cell>
        </row>
        <row r="116">
          <cell r="I116" t="str">
            <v>Tha</v>
          </cell>
          <cell r="J116">
            <v>0</v>
          </cell>
        </row>
        <row r="117">
          <cell r="I117" t="str">
            <v>Mua</v>
          </cell>
          <cell r="J117">
            <v>0</v>
          </cell>
        </row>
        <row r="118">
          <cell r="I118" t="str">
            <v>Anh</v>
          </cell>
          <cell r="J118">
            <v>0</v>
          </cell>
        </row>
        <row r="119">
          <cell r="I119" t="str">
            <v>Tha</v>
          </cell>
          <cell r="J119">
            <v>0</v>
          </cell>
        </row>
        <row r="120">
          <cell r="I120" t="str">
            <v>Tha</v>
          </cell>
          <cell r="J120">
            <v>0</v>
          </cell>
        </row>
        <row r="121">
          <cell r="I121" t="str">
            <v>Anh</v>
          </cell>
          <cell r="J121">
            <v>0</v>
          </cell>
        </row>
        <row r="122">
          <cell r="H122" t="str">
            <v>DRYU2853622</v>
          </cell>
          <cell r="I122" t="str">
            <v>Đưa</v>
          </cell>
          <cell r="J122">
            <v>1</v>
          </cell>
          <cell r="K122">
            <v>1060000</v>
          </cell>
        </row>
        <row r="123">
          <cell r="H123" t="str">
            <v>SEGU5603623</v>
          </cell>
          <cell r="I123" t="str">
            <v>Đưa</v>
          </cell>
          <cell r="J123">
            <v>1</v>
          </cell>
          <cell r="K123">
            <v>790000</v>
          </cell>
        </row>
        <row r="124">
          <cell r="H124" t="str">
            <v>DRYU9718223</v>
          </cell>
          <cell r="I124" t="str">
            <v>Đưa</v>
          </cell>
          <cell r="J124">
            <v>1</v>
          </cell>
          <cell r="K124">
            <v>970000</v>
          </cell>
        </row>
        <row r="125">
          <cell r="H125" t="str">
            <v>HJMU1925991</v>
          </cell>
          <cell r="I125" t="str">
            <v>Đưa</v>
          </cell>
          <cell r="J125">
            <v>1</v>
          </cell>
          <cell r="K125">
            <v>1950000</v>
          </cell>
        </row>
        <row r="126">
          <cell r="I126" t="str">
            <v>Nộp</v>
          </cell>
          <cell r="J126">
            <v>0</v>
          </cell>
          <cell r="K126">
            <v>961000</v>
          </cell>
        </row>
        <row r="127">
          <cell r="I127" t="str">
            <v>Tạm</v>
          </cell>
          <cell r="J127">
            <v>0</v>
          </cell>
        </row>
        <row r="128">
          <cell r="I128" t="str">
            <v>Tha</v>
          </cell>
          <cell r="J128">
            <v>0</v>
          </cell>
        </row>
        <row r="129">
          <cell r="I129" t="str">
            <v>Tha</v>
          </cell>
          <cell r="J129">
            <v>0</v>
          </cell>
        </row>
        <row r="130">
          <cell r="I130" t="str">
            <v>Hải</v>
          </cell>
          <cell r="J130">
            <v>0</v>
          </cell>
        </row>
        <row r="131">
          <cell r="I131" t="str">
            <v>Rút</v>
          </cell>
          <cell r="J131">
            <v>0</v>
          </cell>
        </row>
        <row r="132">
          <cell r="I132" t="str">
            <v>Tạm</v>
          </cell>
          <cell r="J132">
            <v>0</v>
          </cell>
        </row>
        <row r="133">
          <cell r="I133" t="str">
            <v>Anh</v>
          </cell>
          <cell r="J133">
            <v>0</v>
          </cell>
        </row>
        <row r="134">
          <cell r="I134" t="str">
            <v>Trả</v>
          </cell>
          <cell r="J134">
            <v>0</v>
          </cell>
          <cell r="K134">
            <v>580000</v>
          </cell>
        </row>
        <row r="135">
          <cell r="I135" t="str">
            <v>Trả</v>
          </cell>
          <cell r="J135">
            <v>0</v>
          </cell>
          <cell r="K135">
            <v>400000</v>
          </cell>
        </row>
        <row r="136">
          <cell r="H136" t="str">
            <v>DRYU9592428</v>
          </cell>
          <cell r="I136" t="str">
            <v>Đưa</v>
          </cell>
          <cell r="J136">
            <v>1</v>
          </cell>
          <cell r="K136">
            <v>1000000</v>
          </cell>
        </row>
        <row r="137">
          <cell r="H137" t="str">
            <v>TCLU2803709</v>
          </cell>
          <cell r="I137" t="str">
            <v>Đưa</v>
          </cell>
          <cell r="J137">
            <v>1</v>
          </cell>
          <cell r="K137">
            <v>930000</v>
          </cell>
        </row>
        <row r="138">
          <cell r="H138" t="str">
            <v>WHSU5456303</v>
          </cell>
          <cell r="I138" t="str">
            <v>Đưa</v>
          </cell>
          <cell r="J138">
            <v>1</v>
          </cell>
          <cell r="K138">
            <v>970000</v>
          </cell>
        </row>
        <row r="139">
          <cell r="H139" t="str">
            <v>BMOU4899220</v>
          </cell>
          <cell r="I139" t="str">
            <v>Đưa</v>
          </cell>
          <cell r="J139">
            <v>1</v>
          </cell>
          <cell r="K139">
            <v>970000</v>
          </cell>
        </row>
        <row r="140">
          <cell r="I140" t="str">
            <v>Trả</v>
          </cell>
          <cell r="J140">
            <v>0</v>
          </cell>
        </row>
        <row r="141">
          <cell r="H141" t="str">
            <v>WHSU2361755</v>
          </cell>
          <cell r="I141" t="str">
            <v>Đưa</v>
          </cell>
          <cell r="J141">
            <v>1</v>
          </cell>
          <cell r="K141">
            <v>2590000</v>
          </cell>
        </row>
        <row r="142">
          <cell r="I142" t="str">
            <v>Tạm</v>
          </cell>
          <cell r="J142">
            <v>0</v>
          </cell>
          <cell r="K142">
            <v>557000</v>
          </cell>
        </row>
        <row r="143">
          <cell r="I143" t="str">
            <v>Tạm</v>
          </cell>
          <cell r="J143">
            <v>0</v>
          </cell>
          <cell r="K143">
            <v>10000000</v>
          </cell>
        </row>
        <row r="144">
          <cell r="I144" t="str">
            <v>Kim</v>
          </cell>
          <cell r="J144">
            <v>0</v>
          </cell>
          <cell r="K144">
            <v>0</v>
          </cell>
        </row>
        <row r="145">
          <cell r="I145" t="str">
            <v>Anh</v>
          </cell>
          <cell r="J145">
            <v>0</v>
          </cell>
        </row>
        <row r="146">
          <cell r="I146" t="str">
            <v>Nộp</v>
          </cell>
          <cell r="J146">
            <v>0</v>
          </cell>
          <cell r="K146">
            <v>1287000</v>
          </cell>
        </row>
        <row r="147">
          <cell r="H147" t="str">
            <v>TLLU4858000</v>
          </cell>
          <cell r="I147" t="str">
            <v>Đưa</v>
          </cell>
          <cell r="J147">
            <v>1</v>
          </cell>
          <cell r="K147">
            <v>1890000</v>
          </cell>
        </row>
        <row r="148">
          <cell r="H148" t="str">
            <v>TRHU1344453</v>
          </cell>
          <cell r="I148" t="str">
            <v>Đưa</v>
          </cell>
          <cell r="J148">
            <v>1</v>
          </cell>
          <cell r="K148">
            <v>1160000</v>
          </cell>
        </row>
        <row r="149">
          <cell r="H149" t="str">
            <v>GAOU6145928</v>
          </cell>
          <cell r="I149" t="str">
            <v>Đưa</v>
          </cell>
          <cell r="J149">
            <v>1</v>
          </cell>
          <cell r="K149">
            <v>790000</v>
          </cell>
        </row>
        <row r="150">
          <cell r="I150" t="str">
            <v>Đưa</v>
          </cell>
          <cell r="J150">
            <v>0</v>
          </cell>
        </row>
        <row r="151">
          <cell r="I151" t="str">
            <v>Trả</v>
          </cell>
          <cell r="J151">
            <v>0</v>
          </cell>
          <cell r="K151">
            <v>1375000</v>
          </cell>
        </row>
        <row r="152">
          <cell r="I152" t="str">
            <v>Nộp</v>
          </cell>
          <cell r="J152">
            <v>0</v>
          </cell>
          <cell r="K152">
            <v>500000</v>
          </cell>
        </row>
        <row r="153">
          <cell r="I153" t="str">
            <v>Tạm</v>
          </cell>
          <cell r="J153">
            <v>0</v>
          </cell>
        </row>
        <row r="154">
          <cell r="I154" t="str">
            <v>Chu</v>
          </cell>
          <cell r="J154">
            <v>0</v>
          </cell>
        </row>
        <row r="155">
          <cell r="I155" t="str">
            <v>Tạm</v>
          </cell>
          <cell r="J155">
            <v>0</v>
          </cell>
        </row>
        <row r="156">
          <cell r="I156" t="str">
            <v>Anh</v>
          </cell>
          <cell r="J156">
            <v>0</v>
          </cell>
        </row>
        <row r="157">
          <cell r="I157" t="str">
            <v>Nộp</v>
          </cell>
          <cell r="J157">
            <v>0</v>
          </cell>
          <cell r="K157">
            <v>90000</v>
          </cell>
        </row>
        <row r="158">
          <cell r="I158" t="str">
            <v>Nộp</v>
          </cell>
          <cell r="J158">
            <v>0</v>
          </cell>
          <cell r="K158">
            <v>250000</v>
          </cell>
        </row>
        <row r="159">
          <cell r="I159" t="str">
            <v>Làm</v>
          </cell>
          <cell r="J159">
            <v>0</v>
          </cell>
          <cell r="K159">
            <v>340000</v>
          </cell>
        </row>
        <row r="160">
          <cell r="H160" t="str">
            <v>CMAU4844832</v>
          </cell>
          <cell r="I160" t="str">
            <v>Đưa</v>
          </cell>
          <cell r="J160">
            <v>1</v>
          </cell>
          <cell r="K160">
            <v>970000</v>
          </cell>
        </row>
        <row r="161">
          <cell r="H161" t="str">
            <v>TCLU9800640</v>
          </cell>
          <cell r="I161" t="str">
            <v>Đưa</v>
          </cell>
          <cell r="J161">
            <v>1</v>
          </cell>
          <cell r="K161">
            <v>970000</v>
          </cell>
        </row>
        <row r="162">
          <cell r="H162" t="str">
            <v>BISU2838371</v>
          </cell>
          <cell r="I162" t="str">
            <v>Đưa</v>
          </cell>
          <cell r="J162">
            <v>1</v>
          </cell>
          <cell r="K162">
            <v>1510000</v>
          </cell>
        </row>
        <row r="163">
          <cell r="H163" t="str">
            <v>VOSU1805102</v>
          </cell>
          <cell r="I163" t="str">
            <v>Đưa</v>
          </cell>
          <cell r="J163">
            <v>1</v>
          </cell>
          <cell r="K163">
            <v>1230000</v>
          </cell>
        </row>
        <row r="164">
          <cell r="I164" t="str">
            <v>Đưa</v>
          </cell>
          <cell r="J164">
            <v>0</v>
          </cell>
          <cell r="K164">
            <v>300000</v>
          </cell>
        </row>
        <row r="165">
          <cell r="I165" t="str">
            <v>Tạm</v>
          </cell>
          <cell r="J165">
            <v>0</v>
          </cell>
        </row>
        <row r="166">
          <cell r="I166" t="str">
            <v>Tạm</v>
          </cell>
          <cell r="J166">
            <v>0</v>
          </cell>
        </row>
        <row r="167">
          <cell r="I167" t="str">
            <v>Anh</v>
          </cell>
          <cell r="J167">
            <v>0</v>
          </cell>
        </row>
        <row r="168">
          <cell r="H168" t="str">
            <v>WHSU5406914</v>
          </cell>
          <cell r="I168" t="str">
            <v>Đưa</v>
          </cell>
          <cell r="J168">
            <v>1</v>
          </cell>
          <cell r="K168">
            <v>970000</v>
          </cell>
        </row>
        <row r="169">
          <cell r="H169" t="str">
            <v>TRHU1204292</v>
          </cell>
          <cell r="I169" t="str">
            <v>Đưa</v>
          </cell>
          <cell r="J169">
            <v>1</v>
          </cell>
          <cell r="K169">
            <v>790000</v>
          </cell>
        </row>
        <row r="170">
          <cell r="I170" t="str">
            <v>Đưa</v>
          </cell>
          <cell r="J170">
            <v>0</v>
          </cell>
        </row>
        <row r="171">
          <cell r="H171" t="str">
            <v>TEMU3848536</v>
          </cell>
          <cell r="I171" t="str">
            <v>Đưa</v>
          </cell>
          <cell r="J171">
            <v>1</v>
          </cell>
          <cell r="K171">
            <v>790000</v>
          </cell>
        </row>
        <row r="172">
          <cell r="I172" t="str">
            <v>Đưa</v>
          </cell>
          <cell r="J172">
            <v>0</v>
          </cell>
        </row>
        <row r="173">
          <cell r="H173" t="str">
            <v>TGCU2018055</v>
          </cell>
          <cell r="I173" t="str">
            <v>Đưa</v>
          </cell>
          <cell r="J173">
            <v>1</v>
          </cell>
          <cell r="K173">
            <v>680000</v>
          </cell>
        </row>
        <row r="174">
          <cell r="I174" t="str">
            <v>Đưa</v>
          </cell>
          <cell r="J174">
            <v>0</v>
          </cell>
        </row>
        <row r="175">
          <cell r="I175" t="str">
            <v>Tạm</v>
          </cell>
          <cell r="J175">
            <v>0</v>
          </cell>
        </row>
        <row r="176">
          <cell r="I176" t="str">
            <v>Tạm</v>
          </cell>
          <cell r="J176">
            <v>0</v>
          </cell>
        </row>
        <row r="177">
          <cell r="I177" t="str">
            <v>Tha</v>
          </cell>
          <cell r="J177">
            <v>0</v>
          </cell>
        </row>
        <row r="178">
          <cell r="I178" t="str">
            <v>Tha</v>
          </cell>
          <cell r="J178">
            <v>0</v>
          </cell>
        </row>
        <row r="179">
          <cell r="I179" t="str">
            <v>Anh</v>
          </cell>
          <cell r="J179">
            <v>0</v>
          </cell>
        </row>
        <row r="180">
          <cell r="I180" t="str">
            <v>Lấy</v>
          </cell>
          <cell r="J180">
            <v>0</v>
          </cell>
          <cell r="K180">
            <v>1650000</v>
          </cell>
        </row>
        <row r="181">
          <cell r="H181" t="str">
            <v>CAIU6865066</v>
          </cell>
          <cell r="I181" t="str">
            <v>Đưa</v>
          </cell>
          <cell r="J181">
            <v>1</v>
          </cell>
          <cell r="K181">
            <v>1510000</v>
          </cell>
        </row>
        <row r="182">
          <cell r="H182" t="str">
            <v>HMCU3001778</v>
          </cell>
          <cell r="I182" t="str">
            <v>Đưa</v>
          </cell>
          <cell r="J182">
            <v>1</v>
          </cell>
          <cell r="K182">
            <v>790000</v>
          </cell>
        </row>
        <row r="183">
          <cell r="I183" t="str">
            <v>Đưa</v>
          </cell>
          <cell r="J183">
            <v>0</v>
          </cell>
        </row>
        <row r="184">
          <cell r="H184" t="str">
            <v>DRYU2299634</v>
          </cell>
          <cell r="I184" t="str">
            <v>Đưa</v>
          </cell>
          <cell r="J184">
            <v>1</v>
          </cell>
          <cell r="K184">
            <v>790000</v>
          </cell>
        </row>
        <row r="185">
          <cell r="I185" t="str">
            <v>Đưa</v>
          </cell>
          <cell r="J185">
            <v>0</v>
          </cell>
        </row>
        <row r="186">
          <cell r="H186" t="str">
            <v>EITU0018430</v>
          </cell>
          <cell r="I186" t="str">
            <v>Đưa</v>
          </cell>
          <cell r="J186">
            <v>1</v>
          </cell>
          <cell r="K186">
            <v>680000</v>
          </cell>
        </row>
        <row r="187">
          <cell r="I187" t="str">
            <v>Đưa</v>
          </cell>
          <cell r="J187">
            <v>0</v>
          </cell>
        </row>
        <row r="188">
          <cell r="I188" t="str">
            <v>Trả</v>
          </cell>
          <cell r="J188">
            <v>0</v>
          </cell>
        </row>
        <row r="189">
          <cell r="I189" t="str">
            <v>Tạm</v>
          </cell>
          <cell r="J189">
            <v>0</v>
          </cell>
        </row>
        <row r="190">
          <cell r="I190" t="str">
            <v>Anh</v>
          </cell>
          <cell r="J190">
            <v>0</v>
          </cell>
        </row>
        <row r="191">
          <cell r="H191" t="str">
            <v>EITU0361558</v>
          </cell>
          <cell r="I191" t="str">
            <v>Đưa</v>
          </cell>
          <cell r="J191">
            <v>1</v>
          </cell>
          <cell r="K191">
            <v>790000</v>
          </cell>
        </row>
        <row r="192">
          <cell r="I192" t="str">
            <v>Đưa</v>
          </cell>
          <cell r="J192">
            <v>0</v>
          </cell>
        </row>
        <row r="193">
          <cell r="H193" t="str">
            <v>EISU2105973</v>
          </cell>
          <cell r="I193" t="str">
            <v>Đưa</v>
          </cell>
          <cell r="J193">
            <v>1</v>
          </cell>
          <cell r="K193">
            <v>790000</v>
          </cell>
        </row>
        <row r="194">
          <cell r="I194" t="str">
            <v>Đưa</v>
          </cell>
          <cell r="J194">
            <v>0</v>
          </cell>
        </row>
        <row r="195">
          <cell r="H195" t="str">
            <v>EITU0430556</v>
          </cell>
          <cell r="I195" t="str">
            <v>Đưa</v>
          </cell>
          <cell r="J195">
            <v>1</v>
          </cell>
          <cell r="K195">
            <v>790000</v>
          </cell>
        </row>
        <row r="196">
          <cell r="I196" t="str">
            <v>Đưa</v>
          </cell>
          <cell r="J196">
            <v>0</v>
          </cell>
          <cell r="K196">
            <v>980000</v>
          </cell>
        </row>
        <row r="197">
          <cell r="H197" t="str">
            <v>CAIU7160698</v>
          </cell>
          <cell r="I197" t="str">
            <v>Đưa</v>
          </cell>
          <cell r="J197">
            <v>1</v>
          </cell>
          <cell r="K197">
            <v>1150000</v>
          </cell>
        </row>
        <row r="198">
          <cell r="H198" t="str">
            <v xml:space="preserve"> VHPU170305</v>
          </cell>
          <cell r="I198" t="str">
            <v>Đưa</v>
          </cell>
          <cell r="J198">
            <v>1</v>
          </cell>
          <cell r="K198">
            <v>1150000</v>
          </cell>
        </row>
        <row r="199">
          <cell r="I199" t="str">
            <v>Đưa</v>
          </cell>
          <cell r="J199">
            <v>0</v>
          </cell>
        </row>
        <row r="200">
          <cell r="I200" t="str">
            <v>A H</v>
          </cell>
          <cell r="J200">
            <v>0</v>
          </cell>
        </row>
        <row r="201">
          <cell r="I201" t="str">
            <v>Tạm</v>
          </cell>
          <cell r="J201">
            <v>0</v>
          </cell>
        </row>
        <row r="202">
          <cell r="I202" t="str">
            <v>A H</v>
          </cell>
          <cell r="J202">
            <v>0</v>
          </cell>
        </row>
        <row r="203">
          <cell r="I203" t="str">
            <v>Nộp</v>
          </cell>
          <cell r="J203">
            <v>0</v>
          </cell>
          <cell r="K203">
            <v>561000</v>
          </cell>
        </row>
        <row r="204">
          <cell r="H204" t="str">
            <v>WHSU2254356</v>
          </cell>
          <cell r="I204" t="str">
            <v>Đưa</v>
          </cell>
          <cell r="J204">
            <v>1</v>
          </cell>
          <cell r="K204">
            <v>2470000</v>
          </cell>
        </row>
        <row r="205">
          <cell r="I205" t="str">
            <v>Đưa</v>
          </cell>
          <cell r="J205">
            <v>0</v>
          </cell>
          <cell r="K205">
            <v>400000</v>
          </cell>
        </row>
        <row r="206">
          <cell r="H206" t="str">
            <v>GAOU2108926</v>
          </cell>
          <cell r="I206" t="str">
            <v>Đưa</v>
          </cell>
          <cell r="J206">
            <v>1</v>
          </cell>
          <cell r="K206">
            <v>1510000</v>
          </cell>
        </row>
        <row r="207">
          <cell r="H207" t="str">
            <v>GMDU8186070</v>
          </cell>
          <cell r="I207" t="str">
            <v>Đưa</v>
          </cell>
          <cell r="J207">
            <v>1</v>
          </cell>
          <cell r="K207">
            <v>1270000</v>
          </cell>
        </row>
        <row r="208">
          <cell r="H208" t="str">
            <v>DRYU3012353</v>
          </cell>
          <cell r="I208" t="str">
            <v>Đưa</v>
          </cell>
          <cell r="J208">
            <v>1</v>
          </cell>
          <cell r="K208">
            <v>1160000</v>
          </cell>
        </row>
        <row r="209">
          <cell r="I209" t="str">
            <v>Rút</v>
          </cell>
          <cell r="J209">
            <v>0</v>
          </cell>
        </row>
        <row r="210">
          <cell r="I210" t="str">
            <v>a H</v>
          </cell>
          <cell r="J210">
            <v>0</v>
          </cell>
        </row>
        <row r="211">
          <cell r="I211" t="str">
            <v>A P</v>
          </cell>
          <cell r="J211">
            <v>0</v>
          </cell>
        </row>
        <row r="212">
          <cell r="I212" t="str">
            <v>A H</v>
          </cell>
          <cell r="J212">
            <v>0</v>
          </cell>
        </row>
        <row r="213">
          <cell r="I213" t="str">
            <v>a H</v>
          </cell>
          <cell r="J213">
            <v>0</v>
          </cell>
        </row>
        <row r="214">
          <cell r="I214" t="str">
            <v>A H</v>
          </cell>
          <cell r="J214">
            <v>0</v>
          </cell>
        </row>
        <row r="215">
          <cell r="H215" t="str">
            <v>SITU9043470</v>
          </cell>
          <cell r="I215" t="str">
            <v>Đưa</v>
          </cell>
          <cell r="J215">
            <v>1</v>
          </cell>
          <cell r="K215">
            <v>790000</v>
          </cell>
        </row>
        <row r="216">
          <cell r="H216" t="str">
            <v>DRYU3093838</v>
          </cell>
          <cell r="I216" t="str">
            <v>Đưa</v>
          </cell>
          <cell r="J216">
            <v>1</v>
          </cell>
          <cell r="K216">
            <v>1160000</v>
          </cell>
        </row>
        <row r="217">
          <cell r="I217" t="str">
            <v>Nân</v>
          </cell>
          <cell r="J217">
            <v>0</v>
          </cell>
          <cell r="K217">
            <v>400000</v>
          </cell>
        </row>
        <row r="218">
          <cell r="I218" t="str">
            <v xml:space="preserve">Hạ </v>
          </cell>
          <cell r="J218">
            <v>0</v>
          </cell>
          <cell r="K218">
            <v>561000</v>
          </cell>
        </row>
        <row r="219">
          <cell r="I219" t="str">
            <v xml:space="preserve">Hạ </v>
          </cell>
          <cell r="J219">
            <v>0</v>
          </cell>
          <cell r="K219">
            <v>561000</v>
          </cell>
        </row>
        <row r="220">
          <cell r="H220" t="str">
            <v>WHSU2150990</v>
          </cell>
          <cell r="I220" t="str">
            <v>Đưa</v>
          </cell>
          <cell r="J220">
            <v>1</v>
          </cell>
          <cell r="K220">
            <v>2470000</v>
          </cell>
        </row>
        <row r="221">
          <cell r="I221" t="str">
            <v>Đưa</v>
          </cell>
          <cell r="J221">
            <v>0</v>
          </cell>
          <cell r="K221">
            <v>400000</v>
          </cell>
        </row>
        <row r="222">
          <cell r="I222" t="str">
            <v>A H</v>
          </cell>
          <cell r="J222">
            <v>0</v>
          </cell>
        </row>
        <row r="223">
          <cell r="I223" t="str">
            <v>Vie</v>
          </cell>
          <cell r="J223">
            <v>0</v>
          </cell>
        </row>
        <row r="224">
          <cell r="I224" t="str">
            <v>Háu</v>
          </cell>
          <cell r="J224">
            <v>0</v>
          </cell>
        </row>
        <row r="225">
          <cell r="I225" t="str">
            <v>A H</v>
          </cell>
          <cell r="J225">
            <v>0</v>
          </cell>
        </row>
        <row r="226">
          <cell r="I226" t="str">
            <v>Nân</v>
          </cell>
          <cell r="J226">
            <v>0</v>
          </cell>
          <cell r="K226">
            <v>1200000</v>
          </cell>
        </row>
        <row r="227">
          <cell r="H227" t="str">
            <v>MRSU3486700</v>
          </cell>
          <cell r="I227" t="str">
            <v>Đưa</v>
          </cell>
          <cell r="J227">
            <v>1</v>
          </cell>
          <cell r="K227">
            <v>1890000</v>
          </cell>
        </row>
        <row r="228">
          <cell r="I228" t="str">
            <v>Đưa</v>
          </cell>
          <cell r="J228">
            <v>0</v>
          </cell>
          <cell r="K228">
            <v>760000</v>
          </cell>
        </row>
        <row r="229">
          <cell r="H229" t="str">
            <v>MRKU4634795</v>
          </cell>
          <cell r="I229" t="str">
            <v>Đưa</v>
          </cell>
          <cell r="J229">
            <v>1</v>
          </cell>
          <cell r="K229">
            <v>1890000</v>
          </cell>
        </row>
        <row r="230">
          <cell r="I230" t="str">
            <v>Đưa</v>
          </cell>
          <cell r="J230">
            <v>0</v>
          </cell>
          <cell r="K230">
            <v>760000</v>
          </cell>
        </row>
        <row r="231">
          <cell r="I231" t="str">
            <v>Nộp</v>
          </cell>
          <cell r="J231">
            <v>0</v>
          </cell>
          <cell r="K231">
            <v>1518000</v>
          </cell>
        </row>
        <row r="232">
          <cell r="I232" t="str">
            <v>Mua</v>
          </cell>
          <cell r="J232">
            <v>0</v>
          </cell>
        </row>
        <row r="233">
          <cell r="I233" t="str">
            <v>A H</v>
          </cell>
          <cell r="J233">
            <v>0</v>
          </cell>
        </row>
        <row r="234">
          <cell r="I234" t="str">
            <v>Mua</v>
          </cell>
          <cell r="J234">
            <v>0</v>
          </cell>
        </row>
        <row r="235">
          <cell r="I235" t="str">
            <v>Anh</v>
          </cell>
          <cell r="J235">
            <v>0</v>
          </cell>
        </row>
        <row r="236">
          <cell r="I236" t="str">
            <v>A H</v>
          </cell>
          <cell r="J236">
            <v>0</v>
          </cell>
        </row>
        <row r="237">
          <cell r="H237" t="str">
            <v>WHSU2312529</v>
          </cell>
          <cell r="I237" t="str">
            <v>Đưa</v>
          </cell>
          <cell r="J237">
            <v>1</v>
          </cell>
          <cell r="K237">
            <v>690000</v>
          </cell>
        </row>
        <row r="238">
          <cell r="H238" t="str">
            <v>TGHU3592066</v>
          </cell>
          <cell r="I238" t="str">
            <v>Đưa</v>
          </cell>
          <cell r="J238">
            <v>1</v>
          </cell>
          <cell r="K238">
            <v>1890000</v>
          </cell>
        </row>
        <row r="239">
          <cell r="H239" t="str">
            <v>CRSU1224059</v>
          </cell>
          <cell r="I239" t="str">
            <v>Đưa</v>
          </cell>
          <cell r="J239">
            <v>1</v>
          </cell>
          <cell r="K239">
            <v>1890000</v>
          </cell>
        </row>
        <row r="240">
          <cell r="I240" t="str">
            <v>Nộp</v>
          </cell>
          <cell r="J240">
            <v>0</v>
          </cell>
          <cell r="K240">
            <v>1000000</v>
          </cell>
        </row>
        <row r="241">
          <cell r="I241" t="str">
            <v>Nộp</v>
          </cell>
          <cell r="J241">
            <v>0</v>
          </cell>
        </row>
        <row r="242">
          <cell r="I242" t="str">
            <v>Trả</v>
          </cell>
          <cell r="J242">
            <v>0</v>
          </cell>
          <cell r="K242">
            <v>1080000</v>
          </cell>
        </row>
        <row r="243">
          <cell r="H243" t="str">
            <v>WHSU2687090</v>
          </cell>
          <cell r="I243" t="str">
            <v>Đưa</v>
          </cell>
          <cell r="J243">
            <v>1</v>
          </cell>
          <cell r="K243">
            <v>2590000</v>
          </cell>
        </row>
        <row r="244">
          <cell r="I244" t="str">
            <v>A H</v>
          </cell>
          <cell r="J244">
            <v>0</v>
          </cell>
        </row>
        <row r="245">
          <cell r="I245" t="str">
            <v>Mua</v>
          </cell>
          <cell r="J245">
            <v>0</v>
          </cell>
        </row>
        <row r="246">
          <cell r="I246" t="str">
            <v>Anh</v>
          </cell>
          <cell r="J246">
            <v>0</v>
          </cell>
        </row>
        <row r="247">
          <cell r="I247" t="str">
            <v>Thu</v>
          </cell>
          <cell r="J247">
            <v>0</v>
          </cell>
        </row>
        <row r="248">
          <cell r="I248" t="str">
            <v>A H</v>
          </cell>
          <cell r="J248">
            <v>0</v>
          </cell>
        </row>
        <row r="249">
          <cell r="I249" t="str">
            <v>Anh</v>
          </cell>
          <cell r="J249">
            <v>0</v>
          </cell>
        </row>
        <row r="250">
          <cell r="I250" t="str">
            <v>Sửa</v>
          </cell>
          <cell r="J250">
            <v>0</v>
          </cell>
        </row>
        <row r="251">
          <cell r="I251" t="str">
            <v>Mua</v>
          </cell>
          <cell r="J251">
            <v>0</v>
          </cell>
        </row>
        <row r="252">
          <cell r="I252" t="str">
            <v>A H</v>
          </cell>
          <cell r="J252">
            <v>0</v>
          </cell>
        </row>
        <row r="253">
          <cell r="H253" t="str">
            <v>GAOU2116238</v>
          </cell>
          <cell r="I253" t="str">
            <v>Đưa</v>
          </cell>
          <cell r="J253">
            <v>1</v>
          </cell>
          <cell r="K253">
            <v>790000</v>
          </cell>
        </row>
        <row r="254">
          <cell r="H254" t="str">
            <v>GAOU2110435</v>
          </cell>
          <cell r="I254" t="str">
            <v>Đưa</v>
          </cell>
          <cell r="J254">
            <v>1</v>
          </cell>
          <cell r="K254">
            <v>790000</v>
          </cell>
        </row>
        <row r="255">
          <cell r="H255" t="str">
            <v>PCIU9082545</v>
          </cell>
          <cell r="I255" t="str">
            <v>Đưa</v>
          </cell>
          <cell r="J255">
            <v>1</v>
          </cell>
          <cell r="K255">
            <v>1150000</v>
          </cell>
        </row>
        <row r="256">
          <cell r="H256" t="str">
            <v>TCNU5320532</v>
          </cell>
          <cell r="I256" t="str">
            <v>Đưa</v>
          </cell>
          <cell r="J256">
            <v>1</v>
          </cell>
          <cell r="K256">
            <v>650000</v>
          </cell>
        </row>
        <row r="257">
          <cell r="H257" t="str">
            <v>TRHU3295183</v>
          </cell>
          <cell r="I257" t="str">
            <v>Đưa</v>
          </cell>
          <cell r="J257">
            <v>1</v>
          </cell>
          <cell r="K257">
            <v>1060000</v>
          </cell>
        </row>
        <row r="258">
          <cell r="H258" t="str">
            <v>DRYU2923226</v>
          </cell>
          <cell r="I258" t="str">
            <v>Đưa</v>
          </cell>
          <cell r="J258">
            <v>1</v>
          </cell>
          <cell r="K258">
            <v>1160000</v>
          </cell>
        </row>
        <row r="259">
          <cell r="I259" t="str">
            <v>Nộp</v>
          </cell>
          <cell r="J259">
            <v>0</v>
          </cell>
        </row>
        <row r="260">
          <cell r="I260" t="str">
            <v>Nộp</v>
          </cell>
          <cell r="J260">
            <v>0</v>
          </cell>
          <cell r="K260">
            <v>250000</v>
          </cell>
        </row>
        <row r="261">
          <cell r="I261" t="str">
            <v>Nộp</v>
          </cell>
          <cell r="J261">
            <v>0</v>
          </cell>
          <cell r="K261">
            <v>340000</v>
          </cell>
        </row>
        <row r="262">
          <cell r="I262" t="str">
            <v>Nân</v>
          </cell>
          <cell r="J262">
            <v>0</v>
          </cell>
          <cell r="K262">
            <v>484000</v>
          </cell>
        </row>
        <row r="263">
          <cell r="H263" t="str">
            <v>MAGU5766565</v>
          </cell>
          <cell r="I263" t="str">
            <v>Đưa</v>
          </cell>
          <cell r="J263">
            <v>1</v>
          </cell>
          <cell r="K263">
            <v>2740000</v>
          </cell>
        </row>
        <row r="264">
          <cell r="H264" t="str">
            <v>MRKU5717472</v>
          </cell>
          <cell r="I264" t="str">
            <v>Đưa</v>
          </cell>
          <cell r="J264">
            <v>1</v>
          </cell>
          <cell r="K264">
            <v>1890000</v>
          </cell>
        </row>
        <row r="265">
          <cell r="I265" t="str">
            <v>Đưa</v>
          </cell>
          <cell r="J265">
            <v>0</v>
          </cell>
          <cell r="K265">
            <v>1260000</v>
          </cell>
        </row>
        <row r="266">
          <cell r="H266" t="str">
            <v>BMOU6493122</v>
          </cell>
          <cell r="I266" t="str">
            <v>Đưa</v>
          </cell>
          <cell r="J266">
            <v>1</v>
          </cell>
          <cell r="K266">
            <v>970000</v>
          </cell>
        </row>
        <row r="267">
          <cell r="H267" t="str">
            <v>TRHU1344329</v>
          </cell>
          <cell r="I267" t="str">
            <v>Đưa</v>
          </cell>
          <cell r="J267">
            <v>1</v>
          </cell>
          <cell r="K267">
            <v>1380000</v>
          </cell>
        </row>
        <row r="268">
          <cell r="I268" t="str">
            <v>Đưa</v>
          </cell>
          <cell r="J268">
            <v>0</v>
          </cell>
          <cell r="K268">
            <v>760000</v>
          </cell>
        </row>
        <row r="269">
          <cell r="I269" t="str">
            <v>A H</v>
          </cell>
          <cell r="J269">
            <v>0</v>
          </cell>
        </row>
        <row r="270">
          <cell r="I270" t="str">
            <v>Thu</v>
          </cell>
          <cell r="J270">
            <v>0</v>
          </cell>
        </row>
        <row r="271">
          <cell r="I271" t="str">
            <v>A H</v>
          </cell>
          <cell r="J271">
            <v>0</v>
          </cell>
        </row>
        <row r="272">
          <cell r="I272" t="str">
            <v>Đổi</v>
          </cell>
          <cell r="J272">
            <v>0</v>
          </cell>
        </row>
        <row r="273">
          <cell r="I273" t="str">
            <v>Cượ</v>
          </cell>
          <cell r="J273">
            <v>0</v>
          </cell>
          <cell r="K273">
            <v>5000000</v>
          </cell>
        </row>
        <row r="274">
          <cell r="I274" t="str">
            <v>Nộp</v>
          </cell>
          <cell r="J274">
            <v>0</v>
          </cell>
          <cell r="K274">
            <v>500000</v>
          </cell>
        </row>
        <row r="275">
          <cell r="I275" t="str">
            <v>Nộp</v>
          </cell>
          <cell r="J275">
            <v>0</v>
          </cell>
          <cell r="K275">
            <v>90000</v>
          </cell>
        </row>
        <row r="276">
          <cell r="I276" t="str">
            <v>Nộp</v>
          </cell>
          <cell r="J276">
            <v>0</v>
          </cell>
          <cell r="K276">
            <v>500000</v>
          </cell>
        </row>
        <row r="277">
          <cell r="I277" t="str">
            <v>Nộp</v>
          </cell>
          <cell r="J277">
            <v>0</v>
          </cell>
          <cell r="K277">
            <v>340000</v>
          </cell>
        </row>
        <row r="278">
          <cell r="I278" t="str">
            <v>Nộp</v>
          </cell>
          <cell r="J278">
            <v>0</v>
          </cell>
          <cell r="K278">
            <v>385000</v>
          </cell>
        </row>
        <row r="279">
          <cell r="I279" t="str">
            <v>Nộp</v>
          </cell>
          <cell r="J279">
            <v>0</v>
          </cell>
          <cell r="K279">
            <v>400000</v>
          </cell>
        </row>
        <row r="280">
          <cell r="H280" t="str">
            <v>WHSU2651100</v>
          </cell>
          <cell r="I280" t="str">
            <v>Đưa</v>
          </cell>
          <cell r="J280">
            <v>1</v>
          </cell>
          <cell r="K280">
            <v>1650000</v>
          </cell>
        </row>
        <row r="281">
          <cell r="I281" t="str">
            <v xml:space="preserve">hđ </v>
          </cell>
          <cell r="J281">
            <v>0</v>
          </cell>
          <cell r="K281">
            <v>1890000</v>
          </cell>
        </row>
        <row r="282">
          <cell r="I282" t="str">
            <v>Trả</v>
          </cell>
          <cell r="J282">
            <v>0</v>
          </cell>
          <cell r="K282">
            <v>60000</v>
          </cell>
        </row>
        <row r="283">
          <cell r="I283" t="str">
            <v>Trả</v>
          </cell>
          <cell r="J283">
            <v>0</v>
          </cell>
          <cell r="K283">
            <v>50000</v>
          </cell>
        </row>
        <row r="284">
          <cell r="H284" t="str">
            <v>GMDU2181810</v>
          </cell>
          <cell r="I284" t="str">
            <v>Đưa</v>
          </cell>
          <cell r="J284">
            <v>1</v>
          </cell>
          <cell r="K284">
            <v>1160000</v>
          </cell>
        </row>
        <row r="285">
          <cell r="H285" t="str">
            <v>GAOU2114929</v>
          </cell>
          <cell r="I285" t="str">
            <v>Đưa</v>
          </cell>
          <cell r="J285">
            <v>1</v>
          </cell>
          <cell r="K285">
            <v>1320000</v>
          </cell>
        </row>
        <row r="286">
          <cell r="H286" t="str">
            <v>ZCSU7033285</v>
          </cell>
          <cell r="I286" t="str">
            <v>Đưa</v>
          </cell>
          <cell r="J286">
            <v>1</v>
          </cell>
          <cell r="K286">
            <v>530000</v>
          </cell>
        </row>
        <row r="287">
          <cell r="I287" t="str">
            <v>Nộp</v>
          </cell>
          <cell r="J287">
            <v>0</v>
          </cell>
          <cell r="K287">
            <v>759000</v>
          </cell>
        </row>
        <row r="288">
          <cell r="I288" t="str">
            <v>Nộp</v>
          </cell>
          <cell r="J288">
            <v>0</v>
          </cell>
          <cell r="K288">
            <v>1122000</v>
          </cell>
        </row>
        <row r="289">
          <cell r="I289" t="str">
            <v>A H</v>
          </cell>
          <cell r="J289">
            <v>0</v>
          </cell>
        </row>
        <row r="290">
          <cell r="I290" t="str">
            <v>A H</v>
          </cell>
          <cell r="J290">
            <v>0</v>
          </cell>
        </row>
        <row r="291">
          <cell r="I291" t="str">
            <v>A P</v>
          </cell>
          <cell r="J291">
            <v>0</v>
          </cell>
        </row>
        <row r="292">
          <cell r="I292" t="str">
            <v>A P</v>
          </cell>
          <cell r="J292">
            <v>0</v>
          </cell>
        </row>
        <row r="293">
          <cell r="I293" t="str">
            <v>Trả</v>
          </cell>
          <cell r="J293">
            <v>0</v>
          </cell>
        </row>
        <row r="294">
          <cell r="I294" t="str">
            <v>Nộp</v>
          </cell>
          <cell r="J294">
            <v>0</v>
          </cell>
        </row>
        <row r="295">
          <cell r="I295" t="str">
            <v>Thu</v>
          </cell>
          <cell r="J295">
            <v>0</v>
          </cell>
        </row>
        <row r="296">
          <cell r="I296" t="str">
            <v>Tha</v>
          </cell>
          <cell r="J296">
            <v>0</v>
          </cell>
        </row>
        <row r="297">
          <cell r="I297" t="str">
            <v>Anh</v>
          </cell>
          <cell r="J297">
            <v>0</v>
          </cell>
        </row>
        <row r="298">
          <cell r="I298" t="str">
            <v>A H</v>
          </cell>
          <cell r="J298">
            <v>0</v>
          </cell>
        </row>
        <row r="299">
          <cell r="I299" t="str">
            <v>Nộp</v>
          </cell>
          <cell r="J299">
            <v>0</v>
          </cell>
          <cell r="K299">
            <v>500000</v>
          </cell>
        </row>
        <row r="300">
          <cell r="I300" t="str">
            <v>Nộp</v>
          </cell>
          <cell r="J300">
            <v>0</v>
          </cell>
          <cell r="K300">
            <v>90000</v>
          </cell>
        </row>
        <row r="301">
          <cell r="I301" t="str">
            <v>Nộp</v>
          </cell>
          <cell r="J301">
            <v>0</v>
          </cell>
          <cell r="K301">
            <v>250000</v>
          </cell>
        </row>
        <row r="302">
          <cell r="I302" t="str">
            <v>Nộp</v>
          </cell>
          <cell r="J302">
            <v>0</v>
          </cell>
          <cell r="K302">
            <v>340000</v>
          </cell>
        </row>
        <row r="303">
          <cell r="I303" t="str">
            <v>Nộp</v>
          </cell>
          <cell r="J303">
            <v>0</v>
          </cell>
          <cell r="K303">
            <v>250000</v>
          </cell>
        </row>
        <row r="304">
          <cell r="I304" t="str">
            <v>Nộp</v>
          </cell>
          <cell r="J304">
            <v>0</v>
          </cell>
          <cell r="K304">
            <v>340000</v>
          </cell>
        </row>
        <row r="305">
          <cell r="H305" t="str">
            <v>WHLU5627925</v>
          </cell>
          <cell r="I305" t="str">
            <v>Đưa</v>
          </cell>
          <cell r="J305">
            <v>1</v>
          </cell>
          <cell r="K305">
            <v>970000</v>
          </cell>
        </row>
        <row r="306">
          <cell r="H306" t="str">
            <v>CSLU6198771</v>
          </cell>
          <cell r="I306" t="str">
            <v>Đưa</v>
          </cell>
          <cell r="J306">
            <v>1</v>
          </cell>
          <cell r="K306">
            <v>1200000</v>
          </cell>
        </row>
        <row r="307">
          <cell r="H307" t="str">
            <v>GAOU2113624</v>
          </cell>
          <cell r="I307" t="str">
            <v>Đưa</v>
          </cell>
          <cell r="J307">
            <v>1</v>
          </cell>
          <cell r="K307">
            <v>1780000</v>
          </cell>
        </row>
        <row r="308">
          <cell r="H308" t="str">
            <v>TRHU3295898</v>
          </cell>
          <cell r="I308" t="str">
            <v>Đưa</v>
          </cell>
          <cell r="J308">
            <v>1</v>
          </cell>
          <cell r="K308">
            <v>1500000</v>
          </cell>
        </row>
        <row r="309">
          <cell r="I309" t="str">
            <v>A H</v>
          </cell>
          <cell r="J309">
            <v>0</v>
          </cell>
        </row>
        <row r="310">
          <cell r="I310" t="str">
            <v>Anh</v>
          </cell>
          <cell r="J310">
            <v>0</v>
          </cell>
        </row>
        <row r="311">
          <cell r="I311" t="str">
            <v>Tha</v>
          </cell>
          <cell r="J311">
            <v>0</v>
          </cell>
        </row>
        <row r="312">
          <cell r="I312" t="str">
            <v>Tha</v>
          </cell>
          <cell r="J312">
            <v>0</v>
          </cell>
        </row>
        <row r="313">
          <cell r="I313" t="str">
            <v>Anh</v>
          </cell>
          <cell r="J313">
            <v>0</v>
          </cell>
        </row>
        <row r="314">
          <cell r="I314" t="str">
            <v>Háu</v>
          </cell>
          <cell r="J314">
            <v>0</v>
          </cell>
        </row>
        <row r="315">
          <cell r="I315" t="str">
            <v>A H</v>
          </cell>
          <cell r="J315">
            <v>0</v>
          </cell>
        </row>
        <row r="316">
          <cell r="I316" t="str">
            <v xml:space="preserve">Ký </v>
          </cell>
          <cell r="J316">
            <v>0</v>
          </cell>
          <cell r="K316">
            <v>90000</v>
          </cell>
        </row>
        <row r="317">
          <cell r="I317" t="str">
            <v>Nân</v>
          </cell>
          <cell r="J317">
            <v>0</v>
          </cell>
          <cell r="K317">
            <v>759000</v>
          </cell>
        </row>
        <row r="318">
          <cell r="H318" t="str">
            <v>MRSU3408029</v>
          </cell>
          <cell r="I318" t="str">
            <v>Đưa</v>
          </cell>
          <cell r="J318">
            <v>1</v>
          </cell>
          <cell r="K318">
            <v>3820000</v>
          </cell>
        </row>
        <row r="319">
          <cell r="H319" t="str">
            <v>HNSU5002437</v>
          </cell>
          <cell r="I319" t="str">
            <v>Đưa</v>
          </cell>
          <cell r="J319">
            <v>1</v>
          </cell>
          <cell r="K319">
            <v>970000</v>
          </cell>
        </row>
        <row r="320">
          <cell r="H320" t="str">
            <v>FSCU8895811</v>
          </cell>
          <cell r="I320" t="str">
            <v>Đưa</v>
          </cell>
          <cell r="J320">
            <v>1</v>
          </cell>
          <cell r="K320">
            <v>1200000</v>
          </cell>
        </row>
        <row r="321">
          <cell r="H321" t="str">
            <v>FCIU6205013</v>
          </cell>
          <cell r="I321" t="str">
            <v>Đưa</v>
          </cell>
          <cell r="J321">
            <v>1</v>
          </cell>
          <cell r="K321">
            <v>930000</v>
          </cell>
        </row>
        <row r="322">
          <cell r="I322" t="str">
            <v>Nộp</v>
          </cell>
          <cell r="J322">
            <v>0</v>
          </cell>
          <cell r="K322">
            <v>500000</v>
          </cell>
        </row>
        <row r="323">
          <cell r="I323" t="str">
            <v>Thu</v>
          </cell>
          <cell r="J323">
            <v>0</v>
          </cell>
          <cell r="K323">
            <v>0</v>
          </cell>
        </row>
        <row r="324">
          <cell r="I324" t="str">
            <v>Trả</v>
          </cell>
          <cell r="J324">
            <v>0</v>
          </cell>
        </row>
        <row r="325">
          <cell r="H325" t="str">
            <v>GMDU2184276</v>
          </cell>
          <cell r="I325" t="str">
            <v>Đưa</v>
          </cell>
          <cell r="J325">
            <v>1</v>
          </cell>
          <cell r="K325">
            <v>1160000</v>
          </cell>
        </row>
        <row r="326">
          <cell r="H326" t="str">
            <v>CAIU4827278</v>
          </cell>
          <cell r="I326" t="str">
            <v>Đưa</v>
          </cell>
          <cell r="J326">
            <v>1</v>
          </cell>
          <cell r="K326">
            <v>1150000</v>
          </cell>
        </row>
        <row r="327">
          <cell r="I327" t="str">
            <v>Trả</v>
          </cell>
          <cell r="J327">
            <v>0</v>
          </cell>
          <cell r="K327">
            <v>1254000</v>
          </cell>
        </row>
        <row r="328">
          <cell r="I328" t="str">
            <v>Nộp</v>
          </cell>
          <cell r="J328">
            <v>0</v>
          </cell>
          <cell r="K328">
            <v>90000</v>
          </cell>
        </row>
        <row r="329">
          <cell r="H329" t="str">
            <v>SKLU1659993</v>
          </cell>
          <cell r="I329" t="str">
            <v>Đưa</v>
          </cell>
          <cell r="J329">
            <v>1</v>
          </cell>
          <cell r="K329">
            <v>830000</v>
          </cell>
        </row>
        <row r="330">
          <cell r="I330" t="str">
            <v>Trả</v>
          </cell>
          <cell r="J330">
            <v>0</v>
          </cell>
        </row>
        <row r="331">
          <cell r="I331" t="str">
            <v>Trả</v>
          </cell>
          <cell r="J331">
            <v>0</v>
          </cell>
        </row>
        <row r="332">
          <cell r="I332" t="str">
            <v>Trả</v>
          </cell>
          <cell r="J332">
            <v>0</v>
          </cell>
        </row>
        <row r="333">
          <cell r="I333" t="str">
            <v>Trả</v>
          </cell>
          <cell r="J333">
            <v>0</v>
          </cell>
        </row>
        <row r="334">
          <cell r="I334" t="str">
            <v>A H</v>
          </cell>
        </row>
      </sheetData>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015"/>
      <sheetName val="02-2015"/>
      <sheetName val="03-2015"/>
      <sheetName val="04-2015"/>
      <sheetName val="05-2015"/>
      <sheetName val="06-2015"/>
      <sheetName val="07-2015"/>
      <sheetName val="08-2015"/>
      <sheetName val="09-2015"/>
      <sheetName val="10-2015"/>
      <sheetName val="11-2015"/>
      <sheetName val="12-2015"/>
      <sheetName val="01.2016"/>
      <sheetName val="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 val="09.2017"/>
      <sheetName val="10.2017"/>
      <sheetName val="11.2017"/>
      <sheetName val="12.2017"/>
      <sheetName val="01.2018"/>
      <sheetName val="02.2018"/>
      <sheetName val="03.2018"/>
      <sheetName val="04.2018"/>
      <sheetName val="05.2018"/>
      <sheetName val="06.2018"/>
      <sheetName val="07.2018"/>
      <sheetName val="08.2018"/>
      <sheetName val="09.2018"/>
      <sheetName val="10.2018"/>
      <sheetName val="11.2018"/>
      <sheetName val="12.2018"/>
      <sheetName val="01.2019"/>
      <sheetName val="02.2019"/>
      <sheetName val="03.2019"/>
      <sheetName val="04.2019"/>
      <sheetName val="05.2019"/>
      <sheetName val="06.2019"/>
      <sheetName val="07.2019"/>
      <sheetName val="08.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2">
          <cell r="N12" t="str">
            <v>TCKU1477299</v>
          </cell>
          <cell r="O12">
            <v>1870000</v>
          </cell>
        </row>
        <row r="13">
          <cell r="N13" t="str">
            <v>WHSU4040522</v>
          </cell>
          <cell r="O13">
            <v>4740000</v>
          </cell>
        </row>
        <row r="14">
          <cell r="N14" t="str">
            <v>HLBU1293443</v>
          </cell>
          <cell r="O14">
            <v>1890000</v>
          </cell>
        </row>
        <row r="15">
          <cell r="N15" t="str">
            <v>WHSU4040522</v>
          </cell>
        </row>
        <row r="23">
          <cell r="N23" t="str">
            <v>WHSU2361755</v>
          </cell>
          <cell r="O23">
            <v>-120000</v>
          </cell>
        </row>
        <row r="24">
          <cell r="N24" t="str">
            <v>HMMU6044388</v>
          </cell>
          <cell r="O24">
            <v>-180000</v>
          </cell>
        </row>
        <row r="25">
          <cell r="N25" t="str">
            <v>TRHU3290284</v>
          </cell>
          <cell r="O25">
            <v>810000</v>
          </cell>
        </row>
        <row r="26">
          <cell r="N26" t="str">
            <v>GMDU2153589</v>
          </cell>
          <cell r="O26">
            <v>1750000</v>
          </cell>
        </row>
        <row r="35">
          <cell r="N35" t="str">
            <v>EITU0162617</v>
          </cell>
          <cell r="O35">
            <v>680000</v>
          </cell>
        </row>
        <row r="37">
          <cell r="N37" t="str">
            <v>MAGU2455894</v>
          </cell>
          <cell r="O37">
            <v>790000</v>
          </cell>
        </row>
        <row r="39">
          <cell r="N39" t="str">
            <v>CAIU8815547</v>
          </cell>
          <cell r="O39">
            <v>1270000</v>
          </cell>
        </row>
        <row r="40">
          <cell r="N40" t="str">
            <v>GESU3877791</v>
          </cell>
          <cell r="O40">
            <v>2090000</v>
          </cell>
        </row>
        <row r="52">
          <cell r="N52" t="str">
            <v>WHSU2668150</v>
          </cell>
          <cell r="O52">
            <v>1970000</v>
          </cell>
        </row>
        <row r="53">
          <cell r="N53" t="str">
            <v>TCKU1935935</v>
          </cell>
          <cell r="O53">
            <v>1510000</v>
          </cell>
        </row>
        <row r="54">
          <cell r="N54" t="str">
            <v>DRYU9875813</v>
          </cell>
          <cell r="O54">
            <v>1150000</v>
          </cell>
        </row>
        <row r="55">
          <cell r="N55" t="str">
            <v>DRYU9876390</v>
          </cell>
          <cell r="O55">
            <v>790000</v>
          </cell>
        </row>
        <row r="58">
          <cell r="N58" t="str">
            <v xml:space="preserve"> 15C-230.03</v>
          </cell>
        </row>
        <row r="63">
          <cell r="O63">
            <v>300000</v>
          </cell>
        </row>
        <row r="65">
          <cell r="N65" t="str">
            <v>BMOU2354387</v>
          </cell>
          <cell r="O65">
            <v>1060000</v>
          </cell>
        </row>
        <row r="66">
          <cell r="N66" t="str">
            <v>BMOU5852948</v>
          </cell>
          <cell r="O66">
            <v>1060000</v>
          </cell>
        </row>
        <row r="67">
          <cell r="N67" t="str">
            <v>HAHU8297222</v>
          </cell>
          <cell r="O67">
            <v>1320000</v>
          </cell>
        </row>
        <row r="68">
          <cell r="N68" t="str">
            <v>WHSU5254771</v>
          </cell>
          <cell r="O68">
            <v>970000</v>
          </cell>
        </row>
        <row r="77">
          <cell r="N77" t="str">
            <v>MSKU3353368</v>
          </cell>
          <cell r="O77">
            <v>1150000</v>
          </cell>
        </row>
        <row r="78">
          <cell r="N78" t="str">
            <v>TCKU2463026</v>
          </cell>
          <cell r="O78">
            <v>1320000</v>
          </cell>
        </row>
        <row r="79">
          <cell r="N79" t="str">
            <v>DRYU9592433</v>
          </cell>
          <cell r="O79">
            <v>790000</v>
          </cell>
        </row>
        <row r="80">
          <cell r="N80" t="str">
            <v>DRYU9592367</v>
          </cell>
          <cell r="O80">
            <v>1070000</v>
          </cell>
        </row>
        <row r="83">
          <cell r="N83" t="str">
            <v>MRKU5427051</v>
          </cell>
          <cell r="O83">
            <v>1890000</v>
          </cell>
        </row>
        <row r="89">
          <cell r="N89" t="str">
            <v>NYKU4388845</v>
          </cell>
          <cell r="O89">
            <v>970000</v>
          </cell>
        </row>
        <row r="90">
          <cell r="N90" t="str">
            <v>NYKU4784656</v>
          </cell>
          <cell r="O90">
            <v>970000</v>
          </cell>
        </row>
        <row r="91">
          <cell r="N91" t="str">
            <v>WHSU2103128</v>
          </cell>
          <cell r="O91">
            <v>680000</v>
          </cell>
        </row>
        <row r="95">
          <cell r="N95" t="str">
            <v>15C-119.57</v>
          </cell>
        </row>
        <row r="96">
          <cell r="N96" t="str">
            <v>15C-070.63</v>
          </cell>
        </row>
        <row r="97">
          <cell r="N97" t="str">
            <v>15C-070.63</v>
          </cell>
        </row>
        <row r="99">
          <cell r="N99" t="str">
            <v>DRYU3093186</v>
          </cell>
          <cell r="O99">
            <v>1510000</v>
          </cell>
        </row>
        <row r="100">
          <cell r="N100" t="str">
            <v>GAOU2113943</v>
          </cell>
          <cell r="O100">
            <v>1320000</v>
          </cell>
        </row>
        <row r="101">
          <cell r="N101" t="str">
            <v>DRYU9593390</v>
          </cell>
          <cell r="O101">
            <v>970000</v>
          </cell>
        </row>
        <row r="102">
          <cell r="N102" t="str">
            <v>DRYU9969569</v>
          </cell>
          <cell r="O102">
            <v>970000</v>
          </cell>
        </row>
        <row r="114">
          <cell r="N114" t="str">
            <v xml:space="preserve"> 15C-139.82</v>
          </cell>
        </row>
        <row r="115">
          <cell r="N115" t="str">
            <v xml:space="preserve"> 15C-136.31</v>
          </cell>
        </row>
        <row r="116">
          <cell r="N116" t="str">
            <v xml:space="preserve"> 15C-119.57</v>
          </cell>
        </row>
        <row r="123">
          <cell r="N123" t="str">
            <v>TEMU8764192</v>
          </cell>
          <cell r="O123">
            <v>1890000</v>
          </cell>
        </row>
        <row r="124">
          <cell r="N124" t="str">
            <v>GMDU8191190</v>
          </cell>
          <cell r="O124">
            <v>1270000</v>
          </cell>
        </row>
        <row r="125">
          <cell r="N125" t="str">
            <v>GMDU8151161</v>
          </cell>
          <cell r="O125">
            <v>1270000</v>
          </cell>
        </row>
        <row r="126">
          <cell r="N126" t="str">
            <v>GMDU2142959</v>
          </cell>
          <cell r="O126">
            <v>1060000</v>
          </cell>
        </row>
        <row r="129">
          <cell r="N129" t="str">
            <v xml:space="preserve"> 15C-139.82</v>
          </cell>
        </row>
        <row r="130">
          <cell r="N130" t="str">
            <v xml:space="preserve"> 15C-119.57</v>
          </cell>
        </row>
        <row r="131">
          <cell r="N131" t="str">
            <v xml:space="preserve"> 15c-070.63</v>
          </cell>
        </row>
        <row r="134">
          <cell r="N134" t="str">
            <v xml:space="preserve"> 15C-070.63</v>
          </cell>
        </row>
        <row r="135">
          <cell r="N135" t="str">
            <v xml:space="preserve"> 15C-136.31</v>
          </cell>
        </row>
        <row r="136">
          <cell r="N136" t="str">
            <v xml:space="preserve"> 15C-139.82</v>
          </cell>
        </row>
        <row r="137">
          <cell r="N137" t="str">
            <v xml:space="preserve"> 15C-139.82</v>
          </cell>
        </row>
        <row r="138">
          <cell r="N138" t="str">
            <v xml:space="preserve"> 15C-139.82</v>
          </cell>
        </row>
        <row r="139">
          <cell r="N139" t="str">
            <v xml:space="preserve"> 15C-119.57</v>
          </cell>
        </row>
        <row r="140">
          <cell r="N140" t="str">
            <v xml:space="preserve"> 15C-119.57</v>
          </cell>
        </row>
        <row r="141">
          <cell r="N141" t="str">
            <v xml:space="preserve"> 15C-119.57</v>
          </cell>
        </row>
        <row r="142">
          <cell r="N142" t="str">
            <v xml:space="preserve"> 15C-119.57</v>
          </cell>
        </row>
        <row r="143">
          <cell r="N143" t="str">
            <v xml:space="preserve"> 15C-119.57</v>
          </cell>
        </row>
        <row r="144">
          <cell r="N144" t="str">
            <v xml:space="preserve"> 15C-119.57</v>
          </cell>
        </row>
        <row r="145">
          <cell r="N145" t="str">
            <v xml:space="preserve"> 15C-136.31</v>
          </cell>
        </row>
        <row r="146">
          <cell r="N146" t="str">
            <v xml:space="preserve"> 15C-136.31</v>
          </cell>
        </row>
        <row r="147">
          <cell r="N147" t="str">
            <v xml:space="preserve"> 15C-139.82</v>
          </cell>
        </row>
        <row r="148">
          <cell r="N148" t="str">
            <v xml:space="preserve"> 15C-139.82</v>
          </cell>
        </row>
        <row r="149">
          <cell r="N149" t="str">
            <v xml:space="preserve"> 15C-119.57</v>
          </cell>
        </row>
        <row r="156">
          <cell r="N156" t="str">
            <v xml:space="preserve"> 15C-119.57</v>
          </cell>
        </row>
        <row r="157">
          <cell r="N157" t="str">
            <v>GMDU2181050</v>
          </cell>
          <cell r="O157">
            <v>1240000</v>
          </cell>
        </row>
        <row r="158">
          <cell r="N158" t="str">
            <v>TGHU5178950</v>
          </cell>
          <cell r="O158">
            <v>1150000</v>
          </cell>
        </row>
        <row r="159">
          <cell r="N159" t="str">
            <v>WHSU5438510</v>
          </cell>
          <cell r="O159">
            <v>1500000</v>
          </cell>
        </row>
        <row r="160">
          <cell r="N160" t="str">
            <v>BSIU3181960</v>
          </cell>
          <cell r="O160">
            <v>2470000</v>
          </cell>
        </row>
        <row r="165">
          <cell r="N165" t="str">
            <v>GMDU2400483</v>
          </cell>
          <cell r="O165">
            <v>1510000</v>
          </cell>
        </row>
        <row r="166">
          <cell r="N166" t="str">
            <v>GMDU2181425</v>
          </cell>
          <cell r="O166">
            <v>1320000</v>
          </cell>
        </row>
        <row r="167">
          <cell r="N167" t="str">
            <v>DRYU9591838</v>
          </cell>
          <cell r="O167">
            <v>790000</v>
          </cell>
        </row>
        <row r="168">
          <cell r="N168" t="str">
            <v>TCNU4785303</v>
          </cell>
          <cell r="O168">
            <v>1000000</v>
          </cell>
        </row>
        <row r="176">
          <cell r="N176" t="str">
            <v>TCKU1968287</v>
          </cell>
          <cell r="O176">
            <v>1500000</v>
          </cell>
        </row>
        <row r="177">
          <cell r="N177" t="str">
            <v>CAXU9028933</v>
          </cell>
          <cell r="O177">
            <v>970000</v>
          </cell>
        </row>
        <row r="178">
          <cell r="N178" t="str">
            <v>DRYU9970493</v>
          </cell>
          <cell r="O178">
            <v>790000</v>
          </cell>
        </row>
        <row r="179">
          <cell r="N179" t="str">
            <v>BMOU2822050</v>
          </cell>
          <cell r="O179">
            <v>1150000</v>
          </cell>
        </row>
        <row r="183">
          <cell r="N183" t="str">
            <v>DRYU9959869</v>
          </cell>
          <cell r="O183">
            <v>790000</v>
          </cell>
        </row>
        <row r="184">
          <cell r="N184" t="str">
            <v>GLDU7696606</v>
          </cell>
          <cell r="O184">
            <v>790000</v>
          </cell>
        </row>
        <row r="185">
          <cell r="N185" t="str">
            <v>GAOU6256460</v>
          </cell>
          <cell r="O185">
            <v>790000</v>
          </cell>
        </row>
        <row r="186">
          <cell r="N186" t="str">
            <v>GAOU2108588</v>
          </cell>
          <cell r="O186">
            <v>1240000</v>
          </cell>
        </row>
        <row r="187">
          <cell r="N187" t="str">
            <v>WHSU5450584</v>
          </cell>
          <cell r="O187">
            <v>970000</v>
          </cell>
        </row>
        <row r="188">
          <cell r="N188" t="str">
            <v>HNSU2066905</v>
          </cell>
          <cell r="O188">
            <v>1380000</v>
          </cell>
        </row>
        <row r="196">
          <cell r="N196" t="str">
            <v>GAOU6144665</v>
          </cell>
          <cell r="O196">
            <v>790000</v>
          </cell>
        </row>
        <row r="197">
          <cell r="N197" t="str">
            <v>WHLU0610149</v>
          </cell>
          <cell r="O197">
            <v>930000</v>
          </cell>
        </row>
        <row r="198">
          <cell r="N198" t="str">
            <v>SEGU5363760</v>
          </cell>
          <cell r="O198">
            <v>1890000</v>
          </cell>
        </row>
        <row r="199">
          <cell r="N199" t="str">
            <v>SEGU4884927</v>
          </cell>
          <cell r="O199">
            <v>1890000</v>
          </cell>
        </row>
        <row r="200">
          <cell r="N200" t="str">
            <v>DRYU2902291</v>
          </cell>
          <cell r="O200">
            <v>1750000</v>
          </cell>
        </row>
        <row r="201">
          <cell r="N201" t="str">
            <v>WHSU2701120</v>
          </cell>
          <cell r="O201">
            <v>2470000</v>
          </cell>
        </row>
        <row r="213">
          <cell r="O213" t="str">
            <v>Đã vào CP T6 rồi</v>
          </cell>
        </row>
        <row r="214">
          <cell r="O214" t="str">
            <v>Đã vào CP T6 rồi</v>
          </cell>
        </row>
        <row r="215">
          <cell r="O215" t="str">
            <v>Đã vào CP T6 rồi</v>
          </cell>
        </row>
        <row r="220">
          <cell r="N220" t="str">
            <v>TEMU5787804</v>
          </cell>
          <cell r="O220">
            <v>1890000</v>
          </cell>
        </row>
        <row r="221">
          <cell r="N221" t="str">
            <v>UETU5417431</v>
          </cell>
          <cell r="O221">
            <v>1890000</v>
          </cell>
        </row>
        <row r="222">
          <cell r="N222" t="str">
            <v>CBHU8796811</v>
          </cell>
          <cell r="O222">
            <v>970000</v>
          </cell>
        </row>
        <row r="223">
          <cell r="N223" t="str">
            <v>TCKU1847829</v>
          </cell>
          <cell r="O223">
            <v>1320000</v>
          </cell>
        </row>
        <row r="236">
          <cell r="N236" t="str">
            <v>TCLU1931480</v>
          </cell>
          <cell r="O236">
            <v>1510000</v>
          </cell>
        </row>
        <row r="237">
          <cell r="N237" t="str">
            <v>DFSU2388959</v>
          </cell>
          <cell r="O237">
            <v>930000</v>
          </cell>
        </row>
        <row r="238">
          <cell r="N238" t="str">
            <v>PONU7530800</v>
          </cell>
          <cell r="O238">
            <v>970000</v>
          </cell>
        </row>
        <row r="239">
          <cell r="N239" t="str">
            <v>GMDU8191586</v>
          </cell>
          <cell r="O239">
            <v>1840000</v>
          </cell>
        </row>
        <row r="255">
          <cell r="N255" t="str">
            <v>OOCU7041337</v>
          </cell>
          <cell r="O255">
            <v>2740000</v>
          </cell>
        </row>
        <row r="256">
          <cell r="N256" t="str">
            <v>OOCU7585177</v>
          </cell>
          <cell r="O256">
            <v>2740000</v>
          </cell>
        </row>
        <row r="257">
          <cell r="N257" t="str">
            <v>OOCU6406430</v>
          </cell>
          <cell r="O257">
            <v>2740000</v>
          </cell>
        </row>
        <row r="261">
          <cell r="N261" t="str">
            <v>TCNU3653093</v>
          </cell>
          <cell r="O261">
            <v>1890000</v>
          </cell>
        </row>
        <row r="262">
          <cell r="N262" t="str">
            <v>TCLU1931752</v>
          </cell>
          <cell r="O262">
            <v>1060000</v>
          </cell>
        </row>
        <row r="263">
          <cell r="N263" t="str">
            <v>TCKU3637797</v>
          </cell>
          <cell r="O263">
            <v>1500000</v>
          </cell>
        </row>
        <row r="264">
          <cell r="O264">
            <v>110000</v>
          </cell>
        </row>
        <row r="276">
          <cell r="N276" t="str">
            <v>BMOU1230139</v>
          </cell>
          <cell r="O276">
            <v>2470000</v>
          </cell>
        </row>
        <row r="277">
          <cell r="N277" t="str">
            <v>OOCU7730697</v>
          </cell>
          <cell r="O277">
            <v>2740000</v>
          </cell>
        </row>
        <row r="279">
          <cell r="N279" t="str">
            <v>FCIU9997146</v>
          </cell>
          <cell r="O279">
            <v>2740000</v>
          </cell>
        </row>
        <row r="281">
          <cell r="N281" t="str">
            <v>15C-119.57</v>
          </cell>
        </row>
        <row r="294">
          <cell r="N294" t="str">
            <v>15C-119.57</v>
          </cell>
        </row>
        <row r="298">
          <cell r="N298" t="str">
            <v>GAOU2107750</v>
          </cell>
          <cell r="O298">
            <v>1510000</v>
          </cell>
        </row>
        <row r="299">
          <cell r="N299" t="str">
            <v>GMDU2418116</v>
          </cell>
          <cell r="O299">
            <v>1390000</v>
          </cell>
        </row>
        <row r="300">
          <cell r="N300" t="str">
            <v>TCNU4595622</v>
          </cell>
          <cell r="O300">
            <v>1150000</v>
          </cell>
        </row>
        <row r="302">
          <cell r="N302" t="str">
            <v>OOLU0898474</v>
          </cell>
          <cell r="O302">
            <v>3240000</v>
          </cell>
        </row>
        <row r="312">
          <cell r="N312" t="str">
            <v>GMDU2182606</v>
          </cell>
          <cell r="O312">
            <v>1060000</v>
          </cell>
        </row>
        <row r="313">
          <cell r="N313" t="str">
            <v>GLDU3836783</v>
          </cell>
          <cell r="O313">
            <v>1510000</v>
          </cell>
        </row>
        <row r="325">
          <cell r="N325" t="str">
            <v>SKHU9624038</v>
          </cell>
          <cell r="O325">
            <v>650000</v>
          </cell>
        </row>
        <row r="326">
          <cell r="N326" t="str">
            <v>DFSU2797303</v>
          </cell>
          <cell r="O326">
            <v>680000</v>
          </cell>
        </row>
        <row r="327">
          <cell r="N327" t="str">
            <v>GMDU8185602</v>
          </cell>
          <cell r="O327">
            <v>1270000</v>
          </cell>
        </row>
        <row r="333">
          <cell r="N333" t="str">
            <v>BEAU4358324</v>
          </cell>
          <cell r="O333">
            <v>1150000</v>
          </cell>
        </row>
        <row r="334">
          <cell r="N334" t="str">
            <v>CKLU4112793</v>
          </cell>
          <cell r="O334">
            <v>1150000</v>
          </cell>
        </row>
        <row r="335">
          <cell r="N335" t="str">
            <v>SLSU2106878</v>
          </cell>
          <cell r="O335">
            <v>680000</v>
          </cell>
        </row>
        <row r="338">
          <cell r="N338" t="str">
            <v>DFSU1751709</v>
          </cell>
          <cell r="O338">
            <v>680000</v>
          </cell>
        </row>
        <row r="349">
          <cell r="N349" t="str">
            <v>FCIU5396321</v>
          </cell>
          <cell r="O349">
            <v>680000</v>
          </cell>
        </row>
        <row r="351">
          <cell r="N351" t="str">
            <v>DFSU2308700</v>
          </cell>
          <cell r="O351">
            <v>790000</v>
          </cell>
        </row>
        <row r="354">
          <cell r="N354" t="str">
            <v>WHSU5139459</v>
          </cell>
          <cell r="O354">
            <v>1150000</v>
          </cell>
        </row>
        <row r="361">
          <cell r="N361" t="str">
            <v>TCNU4595263</v>
          </cell>
          <cell r="O361">
            <v>790000</v>
          </cell>
        </row>
        <row r="362">
          <cell r="N362" t="str">
            <v>GLDU5473780</v>
          </cell>
          <cell r="O362">
            <v>1510000</v>
          </cell>
        </row>
        <row r="363">
          <cell r="N363" t="str">
            <v>GMDU2182524</v>
          </cell>
          <cell r="O363">
            <v>1060000</v>
          </cell>
        </row>
        <row r="369">
          <cell r="N369" t="str">
            <v>15C-119.57</v>
          </cell>
        </row>
        <row r="370">
          <cell r="N370" t="str">
            <v>15C-119.57</v>
          </cell>
        </row>
        <row r="371">
          <cell r="N371" t="str">
            <v>DRYU2853089</v>
          </cell>
          <cell r="O371">
            <v>1780000</v>
          </cell>
        </row>
        <row r="381">
          <cell r="N381" t="str">
            <v>GMDU2181430</v>
          </cell>
          <cell r="O381">
            <v>1060000</v>
          </cell>
        </row>
      </sheetData>
      <sheetData sheetId="5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2.2015"/>
      <sheetName val="T01-2016"/>
      <sheetName val="T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 val="09-2017"/>
      <sheetName val="10-2017"/>
      <sheetName val="11-2017"/>
      <sheetName val="12-2017"/>
      <sheetName val="01-2018"/>
      <sheetName val="02-2018"/>
      <sheetName val="03-2018"/>
      <sheetName val="04-2018"/>
      <sheetName val="05-2018"/>
      <sheetName val="06-2018"/>
      <sheetName val="07-2018"/>
      <sheetName val="08-2018"/>
      <sheetName val="09-2018"/>
      <sheetName val="10-2018"/>
      <sheetName val="11-2018"/>
      <sheetName val="12.2018"/>
      <sheetName val="1.2019"/>
      <sheetName val="2.2019"/>
      <sheetName val="3.2019"/>
      <sheetName val="4.2019"/>
      <sheetName val="5.2019"/>
      <sheetName val="6.2019"/>
      <sheetName val="7.2019"/>
      <sheetName val="8.2019"/>
      <sheetName val="9.2019"/>
      <sheetName val="10.2019"/>
      <sheetName val="11.2019"/>
      <sheetName val="12.2019"/>
      <sheetName val="01.2020"/>
      <sheetName val="02.2020"/>
      <sheetName val="03.2020"/>
      <sheetName val="04.2020"/>
      <sheetName val="05.2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41">
          <cell r="Q41">
            <v>53669633</v>
          </cell>
        </row>
      </sheetData>
      <sheetData sheetId="53">
        <row r="34">
          <cell r="Q34">
            <v>14938924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020"/>
      <sheetName val="02.2020"/>
      <sheetName val="03.2020"/>
      <sheetName val="04.2020"/>
      <sheetName val="05.2020"/>
      <sheetName val="06.2020 "/>
      <sheetName val="07.2020"/>
      <sheetName val="08.2020"/>
      <sheetName val="09.2020"/>
      <sheetName val="10.2020"/>
      <sheetName val="11.2020"/>
      <sheetName val="12.2020"/>
    </sheetNames>
    <sheetDataSet>
      <sheetData sheetId="0"/>
      <sheetData sheetId="1"/>
      <sheetData sheetId="2"/>
      <sheetData sheetId="3"/>
      <sheetData sheetId="4"/>
      <sheetData sheetId="5"/>
      <sheetData sheetId="6"/>
      <sheetData sheetId="7"/>
      <sheetData sheetId="8">
        <row r="9">
          <cell r="K9">
            <v>8307692.307692307</v>
          </cell>
        </row>
        <row r="10">
          <cell r="K10">
            <v>9692307.692307692</v>
          </cell>
        </row>
      </sheetData>
      <sheetData sheetId="9">
        <row r="9">
          <cell r="K9">
            <v>9000000</v>
          </cell>
        </row>
        <row r="10">
          <cell r="K10">
            <v>9692307.692307692</v>
          </cell>
        </row>
      </sheetData>
      <sheetData sheetId="10">
        <row r="9">
          <cell r="K9">
            <v>7615384.615384615</v>
          </cell>
        </row>
        <row r="10">
          <cell r="K10">
            <v>8307692.307692307</v>
          </cell>
        </row>
      </sheetData>
      <sheetData sheetId="11"/>
    </sheetDataSet>
  </externalBook>
</externalLink>
</file>

<file path=xl/persons/person.xml><?xml version="1.0" encoding="utf-8"?>
<personList xmlns="http://schemas.microsoft.com/office/spreadsheetml/2018/threadedcomments" xmlns:x="http://schemas.openxmlformats.org/spreadsheetml/2006/main">
  <person displayName="Phan Kim Phung" id="{396E18DD-5AD5-433B-88B9-49FA8E5365EA}" userId="acb7a17a75687446"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7" dT="2021-11-26T08:38:22.23" personId="{396E18DD-5AD5-433B-88B9-49FA8E5365EA}" id="{A617AFD1-AD2C-46CC-B1CB-3D1E74616979}">
    <text>Sổ quỹ ghi 720k</text>
  </threadedComment>
</ThreadedComments>
</file>

<file path=xl/threadedComments/threadedComment2.xml><?xml version="1.0" encoding="utf-8"?>
<ThreadedComments xmlns="http://schemas.microsoft.com/office/spreadsheetml/2018/threadedcomments" xmlns:x="http://schemas.openxmlformats.org/spreadsheetml/2006/main">
  <threadedComment ref="J12" dT="2021-11-26T08:59:48.14" personId="{396E18DD-5AD5-433B-88B9-49FA8E5365EA}" id="{FF92620B-1771-44D6-9841-DEE0398CA301}">
    <text>Sổ quỹ đã chi 200k tiền nằm lại</text>
  </threadedComment>
</ThreadedComments>
</file>

<file path=xl/threadedComments/threadedComment3.xml><?xml version="1.0" encoding="utf-8"?>
<ThreadedComments xmlns="http://schemas.microsoft.com/office/spreadsheetml/2018/threadedcomments" xmlns:x="http://schemas.openxmlformats.org/spreadsheetml/2006/main">
  <threadedComment ref="C40" dT="2021-11-26T09:08:35.05" personId="{396E18DD-5AD5-433B-88B9-49FA8E5365EA}" id="{04ACD57D-2C1F-42E5-AFA9-23C8D2A61FFA}">
    <text>Tên lốp và loại lốp ghi sai, đã sửa lại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6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61.bin"/><Relationship Id="rId4" Type="http://schemas.microsoft.com/office/2017/10/relationships/threadedComment" Target="../threadedComments/threadedComment2.xml"/></Relationships>
</file>

<file path=xl/worksheets/_rels/sheet7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62.bin"/><Relationship Id="rId4" Type="http://schemas.microsoft.com/office/2017/10/relationships/threadedComment" Target="../threadedComments/threadedComment3.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2"/>
  <sheetViews>
    <sheetView topLeftCell="F37" zoomScale="110" zoomScaleNormal="110" workbookViewId="0">
      <selection activeCell="T48" sqref="T48"/>
    </sheetView>
  </sheetViews>
  <sheetFormatPr defaultColWidth="9.140625" defaultRowHeight="12.75" x14ac:dyDescent="0.2"/>
  <cols>
    <col min="1" max="1" width="4.28515625" style="1" customWidth="1"/>
    <col min="2" max="2" width="9.140625" style="36" customWidth="1"/>
    <col min="3" max="3" width="36.140625" style="1" customWidth="1"/>
    <col min="4" max="4" width="13.28515625" style="1" customWidth="1"/>
    <col min="5" max="5" width="25.42578125" style="1" customWidth="1"/>
    <col min="6" max="6" width="11.7109375" style="1" customWidth="1"/>
    <col min="7" max="7" width="8.140625" style="1" customWidth="1"/>
    <col min="8" max="8" width="11.42578125" style="37" customWidth="1"/>
    <col min="9" max="9" width="12" style="1" customWidth="1"/>
    <col min="10" max="10" width="11.7109375" style="37" customWidth="1"/>
    <col min="11" max="11" width="13.85546875" style="37" customWidth="1"/>
    <col min="12" max="13" width="12" style="37" customWidth="1"/>
    <col min="14" max="14" width="11.7109375" style="37" customWidth="1"/>
    <col min="15" max="15" width="12.7109375" style="37" customWidth="1"/>
    <col min="16" max="16" width="15.140625" style="37" customWidth="1"/>
    <col min="17" max="17" width="12.7109375" style="37" customWidth="1"/>
    <col min="18" max="18" width="12.140625" style="1" customWidth="1"/>
    <col min="19" max="19" width="10.140625" style="1" customWidth="1"/>
    <col min="20" max="20" width="9.7109375" style="1" bestFit="1" customWidth="1"/>
    <col min="21" max="16384" width="9.140625" style="1"/>
  </cols>
  <sheetData>
    <row r="1" spans="1:19" ht="25.5" x14ac:dyDescent="0.35">
      <c r="A1" s="397" t="s">
        <v>0</v>
      </c>
      <c r="B1" s="397"/>
      <c r="C1" s="397"/>
      <c r="D1" s="397"/>
      <c r="E1" s="397"/>
      <c r="F1" s="397"/>
      <c r="G1" s="397"/>
      <c r="H1" s="397"/>
      <c r="I1" s="397"/>
      <c r="J1" s="397"/>
      <c r="K1" s="397"/>
      <c r="L1" s="397"/>
      <c r="M1" s="397"/>
      <c r="N1" s="397"/>
      <c r="O1" s="397"/>
      <c r="P1" s="397"/>
      <c r="Q1" s="397"/>
    </row>
    <row r="2" spans="1:19" ht="24" customHeight="1" x14ac:dyDescent="0.25">
      <c r="A2" s="398" t="s">
        <v>19</v>
      </c>
      <c r="B2" s="398"/>
      <c r="C2" s="398"/>
      <c r="D2" s="398"/>
      <c r="E2" s="398"/>
      <c r="F2" s="398"/>
      <c r="G2" s="398"/>
      <c r="H2" s="398"/>
      <c r="I2" s="398"/>
      <c r="J2" s="398"/>
      <c r="K2" s="398"/>
      <c r="L2" s="398"/>
      <c r="M2" s="398"/>
      <c r="N2" s="398"/>
      <c r="O2" s="398"/>
      <c r="P2" s="398"/>
      <c r="Q2" s="398"/>
    </row>
    <row r="3" spans="1:19" ht="21" customHeight="1" x14ac:dyDescent="0.25">
      <c r="A3" s="2"/>
      <c r="B3" s="2"/>
      <c r="C3" s="2"/>
      <c r="D3" s="2"/>
      <c r="E3" s="2"/>
      <c r="F3" s="2"/>
      <c r="G3" s="2"/>
      <c r="H3" s="39" t="s">
        <v>87</v>
      </c>
      <c r="I3" s="2"/>
      <c r="J3" s="2"/>
      <c r="K3" s="2"/>
      <c r="L3" s="2"/>
      <c r="M3" s="2"/>
      <c r="N3" s="2"/>
      <c r="O3" s="2"/>
      <c r="P3" s="2"/>
      <c r="Q3" s="2"/>
    </row>
    <row r="4" spans="1:19" ht="15.75" customHeight="1" x14ac:dyDescent="0.2"/>
    <row r="5" spans="1:19"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row>
    <row r="6" spans="1:19" s="3" customFormat="1" x14ac:dyDescent="0.25">
      <c r="A6" s="400"/>
      <c r="B6" s="402"/>
      <c r="C6" s="400"/>
      <c r="D6" s="400"/>
      <c r="E6" s="404"/>
      <c r="F6" s="404"/>
      <c r="G6" s="4" t="s">
        <v>7</v>
      </c>
      <c r="H6" s="5" t="s">
        <v>15</v>
      </c>
      <c r="I6" s="4" t="s">
        <v>16</v>
      </c>
      <c r="J6" s="5" t="s">
        <v>8</v>
      </c>
      <c r="K6" s="5" t="s">
        <v>9</v>
      </c>
      <c r="L6" s="5" t="s">
        <v>10</v>
      </c>
      <c r="M6" s="5" t="s">
        <v>11</v>
      </c>
      <c r="N6" s="5" t="s">
        <v>12</v>
      </c>
      <c r="O6" s="393"/>
      <c r="P6" s="393"/>
      <c r="Q6" s="393"/>
    </row>
    <row r="7" spans="1:19" ht="13.5" thickBot="1" x14ac:dyDescent="0.25">
      <c r="A7" s="6"/>
      <c r="B7" s="7"/>
      <c r="C7" s="6"/>
      <c r="D7" s="6"/>
      <c r="E7" s="6"/>
      <c r="F7" s="6"/>
      <c r="G7" s="6"/>
      <c r="H7" s="8"/>
      <c r="I7" s="6"/>
      <c r="J7" s="8"/>
      <c r="K7" s="8"/>
      <c r="L7" s="9"/>
      <c r="M7" s="8"/>
      <c r="N7" s="8"/>
      <c r="O7" s="8">
        <f>H7+J7+K7+L7+M7+N7</f>
        <v>0</v>
      </c>
      <c r="P7" s="10"/>
      <c r="Q7" s="8">
        <f>P7-O7</f>
        <v>0</v>
      </c>
    </row>
    <row r="8" spans="1:19" ht="21" customHeight="1" thickBot="1" x14ac:dyDescent="0.25">
      <c r="A8" s="6">
        <v>1</v>
      </c>
      <c r="B8" s="11">
        <v>42705</v>
      </c>
      <c r="C8" s="12" t="s">
        <v>100</v>
      </c>
      <c r="D8" s="13" t="s">
        <v>101</v>
      </c>
      <c r="E8" s="12" t="s">
        <v>25</v>
      </c>
      <c r="F8" s="6"/>
      <c r="G8" s="13">
        <v>0</v>
      </c>
      <c r="H8" s="8">
        <f>G8*13510</f>
        <v>0</v>
      </c>
      <c r="I8" s="6"/>
      <c r="J8" s="8">
        <v>2320000</v>
      </c>
      <c r="K8" s="8"/>
      <c r="L8" s="9"/>
      <c r="M8" s="8"/>
      <c r="N8" s="8"/>
      <c r="O8" s="10">
        <f>H8+J8+K8+L8+M8+N8</f>
        <v>2320000</v>
      </c>
      <c r="P8" s="10">
        <f>S8</f>
        <v>9545455</v>
      </c>
      <c r="Q8" s="8">
        <f t="shared" ref="Q8:Q45" si="0">P8-O8</f>
        <v>7225455</v>
      </c>
      <c r="S8" s="40">
        <v>9545455</v>
      </c>
    </row>
    <row r="9" spans="1:19" ht="21" customHeight="1" thickBot="1" x14ac:dyDescent="0.25">
      <c r="A9" s="6">
        <v>2</v>
      </c>
      <c r="B9" s="11">
        <v>42339</v>
      </c>
      <c r="C9" s="12" t="s">
        <v>88</v>
      </c>
      <c r="D9" s="13" t="s">
        <v>50</v>
      </c>
      <c r="E9" s="12" t="s">
        <v>76</v>
      </c>
      <c r="F9" s="6"/>
      <c r="G9" s="13">
        <v>260</v>
      </c>
      <c r="H9" s="8">
        <f t="shared" ref="H9:H12" si="1">G9*13510</f>
        <v>3512600</v>
      </c>
      <c r="I9" s="6"/>
      <c r="J9" s="8">
        <v>1750000</v>
      </c>
      <c r="K9" s="8"/>
      <c r="L9" s="9"/>
      <c r="M9" s="8"/>
      <c r="N9" s="8"/>
      <c r="O9" s="10">
        <f t="shared" ref="O9:O45" si="2">H9+J9+K9+L9+M9+N9</f>
        <v>5262600</v>
      </c>
      <c r="P9" s="10">
        <f t="shared" ref="P9:P45" si="3">S9</f>
        <v>5960000</v>
      </c>
      <c r="Q9" s="8">
        <f t="shared" si="0"/>
        <v>697400</v>
      </c>
      <c r="S9" s="40">
        <v>5960000</v>
      </c>
    </row>
    <row r="10" spans="1:19" s="16" customFormat="1" ht="21" customHeight="1" thickBot="1" x14ac:dyDescent="0.25">
      <c r="A10" s="6">
        <v>3</v>
      </c>
      <c r="B10" s="11">
        <v>42340</v>
      </c>
      <c r="C10" s="12" t="s">
        <v>28</v>
      </c>
      <c r="D10" s="13" t="s">
        <v>51</v>
      </c>
      <c r="E10" s="12" t="s">
        <v>77</v>
      </c>
      <c r="F10" s="6"/>
      <c r="G10" s="13"/>
      <c r="H10" s="8">
        <f t="shared" si="1"/>
        <v>0</v>
      </c>
      <c r="I10" s="14"/>
      <c r="J10" s="15">
        <v>1430000</v>
      </c>
      <c r="K10" s="15"/>
      <c r="L10" s="15"/>
      <c r="M10" s="15"/>
      <c r="N10" s="15"/>
      <c r="O10" s="10">
        <f t="shared" si="2"/>
        <v>1430000</v>
      </c>
      <c r="P10" s="10">
        <f t="shared" si="3"/>
        <v>3800000</v>
      </c>
      <c r="Q10" s="8">
        <f t="shared" si="0"/>
        <v>2370000</v>
      </c>
      <c r="S10" s="40">
        <v>3800000</v>
      </c>
    </row>
    <row r="11" spans="1:19" s="16" customFormat="1" ht="21" customHeight="1" thickBot="1" x14ac:dyDescent="0.25">
      <c r="A11" s="6">
        <v>4</v>
      </c>
      <c r="B11" s="11">
        <v>42340</v>
      </c>
      <c r="C11" s="12" t="s">
        <v>29</v>
      </c>
      <c r="D11" s="13" t="s">
        <v>52</v>
      </c>
      <c r="E11" s="12" t="s">
        <v>24</v>
      </c>
      <c r="F11" s="6"/>
      <c r="G11" s="13"/>
      <c r="H11" s="8">
        <f t="shared" si="1"/>
        <v>0</v>
      </c>
      <c r="I11" s="14"/>
      <c r="J11" s="15">
        <v>0</v>
      </c>
      <c r="K11" s="15"/>
      <c r="L11" s="15"/>
      <c r="M11" s="15"/>
      <c r="N11" s="15"/>
      <c r="O11" s="10">
        <f t="shared" si="2"/>
        <v>0</v>
      </c>
      <c r="P11" s="10">
        <f t="shared" si="3"/>
        <v>3000000</v>
      </c>
      <c r="Q11" s="8">
        <f t="shared" si="0"/>
        <v>3000000</v>
      </c>
      <c r="S11" s="40">
        <v>3000000</v>
      </c>
    </row>
    <row r="12" spans="1:19" s="17" customFormat="1" ht="21" customHeight="1" thickBot="1" x14ac:dyDescent="0.25">
      <c r="A12" s="6">
        <v>5</v>
      </c>
      <c r="B12" s="11">
        <v>42341</v>
      </c>
      <c r="C12" s="12" t="s">
        <v>89</v>
      </c>
      <c r="D12" s="13" t="s">
        <v>53</v>
      </c>
      <c r="E12" s="12" t="s">
        <v>78</v>
      </c>
      <c r="F12" s="6"/>
      <c r="G12" s="13"/>
      <c r="H12" s="8">
        <f t="shared" si="1"/>
        <v>0</v>
      </c>
      <c r="I12" s="14"/>
      <c r="J12" s="15">
        <v>1510000</v>
      </c>
      <c r="K12" s="15"/>
      <c r="L12" s="15"/>
      <c r="M12" s="15"/>
      <c r="N12" s="15"/>
      <c r="O12" s="10">
        <f t="shared" si="2"/>
        <v>1510000</v>
      </c>
      <c r="P12" s="10">
        <f t="shared" si="3"/>
        <v>5580000</v>
      </c>
      <c r="Q12" s="8">
        <f t="shared" si="0"/>
        <v>4070000</v>
      </c>
      <c r="S12" s="40">
        <v>5580000</v>
      </c>
    </row>
    <row r="13" spans="1:19" s="16" customFormat="1" ht="21" customHeight="1" thickBot="1" x14ac:dyDescent="0.25">
      <c r="A13" s="6">
        <v>6</v>
      </c>
      <c r="B13" s="11">
        <v>42342</v>
      </c>
      <c r="C13" s="12" t="s">
        <v>90</v>
      </c>
      <c r="D13" s="13" t="s">
        <v>54</v>
      </c>
      <c r="E13" s="12" t="s">
        <v>22</v>
      </c>
      <c r="F13" s="6"/>
      <c r="G13" s="13">
        <v>340</v>
      </c>
      <c r="H13" s="8">
        <f>G13*13230</f>
        <v>4498200</v>
      </c>
      <c r="I13" s="14"/>
      <c r="J13" s="15">
        <v>1740000</v>
      </c>
      <c r="K13" s="15"/>
      <c r="L13" s="15"/>
      <c r="M13" s="15"/>
      <c r="N13" s="15"/>
      <c r="O13" s="10">
        <f t="shared" si="2"/>
        <v>6238200</v>
      </c>
      <c r="P13" s="10">
        <f t="shared" si="3"/>
        <v>6060000</v>
      </c>
      <c r="Q13" s="8">
        <f t="shared" si="0"/>
        <v>-178200</v>
      </c>
      <c r="S13" s="40">
        <v>6060000</v>
      </c>
    </row>
    <row r="14" spans="1:19" s="17" customFormat="1" ht="21" customHeight="1" thickBot="1" x14ac:dyDescent="0.25">
      <c r="A14" s="6">
        <v>7</v>
      </c>
      <c r="B14" s="11">
        <v>42343</v>
      </c>
      <c r="C14" s="12" t="s">
        <v>30</v>
      </c>
      <c r="D14" s="13" t="s">
        <v>55</v>
      </c>
      <c r="E14" s="12" t="s">
        <v>79</v>
      </c>
      <c r="F14" s="6"/>
      <c r="G14" s="13">
        <v>0</v>
      </c>
      <c r="H14" s="8">
        <f t="shared" ref="H14:H25" si="4">G14*13230</f>
        <v>0</v>
      </c>
      <c r="I14" s="14"/>
      <c r="J14" s="15">
        <v>1750000</v>
      </c>
      <c r="K14" s="15"/>
      <c r="L14" s="15"/>
      <c r="M14" s="15"/>
      <c r="N14" s="15"/>
      <c r="O14" s="10">
        <f t="shared" si="2"/>
        <v>1750000</v>
      </c>
      <c r="P14" s="10">
        <f t="shared" si="3"/>
        <v>3360000</v>
      </c>
      <c r="Q14" s="8">
        <f t="shared" si="0"/>
        <v>1610000</v>
      </c>
      <c r="S14" s="40">
        <v>3360000</v>
      </c>
    </row>
    <row r="15" spans="1:19" s="17" customFormat="1" ht="21" customHeight="1" thickBot="1" x14ac:dyDescent="0.25">
      <c r="A15" s="6">
        <v>8</v>
      </c>
      <c r="B15" s="11">
        <v>42343</v>
      </c>
      <c r="C15" s="12" t="s">
        <v>31</v>
      </c>
      <c r="D15" s="13" t="s">
        <v>56</v>
      </c>
      <c r="E15" s="12" t="s">
        <v>80</v>
      </c>
      <c r="F15" s="6"/>
      <c r="G15" s="13">
        <v>0</v>
      </c>
      <c r="H15" s="8">
        <f t="shared" si="4"/>
        <v>0</v>
      </c>
      <c r="I15" s="14"/>
      <c r="J15" s="15">
        <v>0</v>
      </c>
      <c r="K15" s="15"/>
      <c r="L15" s="15"/>
      <c r="M15" s="15"/>
      <c r="N15" s="15"/>
      <c r="O15" s="10">
        <f t="shared" si="2"/>
        <v>0</v>
      </c>
      <c r="P15" s="10">
        <f t="shared" si="3"/>
        <v>4200000</v>
      </c>
      <c r="Q15" s="8">
        <f t="shared" si="0"/>
        <v>4200000</v>
      </c>
      <c r="S15" s="40">
        <v>4200000</v>
      </c>
    </row>
    <row r="16" spans="1:19" s="17" customFormat="1" ht="21" customHeight="1" thickBot="1" x14ac:dyDescent="0.25">
      <c r="A16" s="6">
        <v>9</v>
      </c>
      <c r="B16" s="11">
        <v>42345</v>
      </c>
      <c r="C16" s="12" t="s">
        <v>32</v>
      </c>
      <c r="D16" s="13" t="s">
        <v>57</v>
      </c>
      <c r="E16" s="12" t="s">
        <v>81</v>
      </c>
      <c r="F16" s="6"/>
      <c r="G16" s="13">
        <v>0</v>
      </c>
      <c r="H16" s="8">
        <f t="shared" si="4"/>
        <v>0</v>
      </c>
      <c r="I16" s="14"/>
      <c r="J16" s="15">
        <v>1740000</v>
      </c>
      <c r="K16" s="15"/>
      <c r="L16" s="15"/>
      <c r="M16" s="15"/>
      <c r="N16" s="15"/>
      <c r="O16" s="10">
        <f t="shared" si="2"/>
        <v>1740000</v>
      </c>
      <c r="P16" s="10">
        <f t="shared" si="3"/>
        <v>3240000</v>
      </c>
      <c r="Q16" s="8">
        <f t="shared" si="0"/>
        <v>1500000</v>
      </c>
      <c r="S16" s="40">
        <v>3240000</v>
      </c>
    </row>
    <row r="17" spans="1:19" s="17" customFormat="1" ht="21" customHeight="1" thickBot="1" x14ac:dyDescent="0.25">
      <c r="A17" s="6">
        <v>10</v>
      </c>
      <c r="B17" s="11">
        <v>42345</v>
      </c>
      <c r="C17" s="12" t="s">
        <v>33</v>
      </c>
      <c r="D17" s="13" t="s">
        <v>58</v>
      </c>
      <c r="E17" s="12" t="s">
        <v>80</v>
      </c>
      <c r="F17" s="6"/>
      <c r="G17" s="13">
        <v>248</v>
      </c>
      <c r="H17" s="8">
        <f t="shared" si="4"/>
        <v>3281040</v>
      </c>
      <c r="I17" s="14"/>
      <c r="J17" s="15">
        <v>0</v>
      </c>
      <c r="K17" s="15"/>
      <c r="L17" s="15"/>
      <c r="M17" s="15"/>
      <c r="N17" s="15"/>
      <c r="O17" s="10">
        <f t="shared" si="2"/>
        <v>3281040</v>
      </c>
      <c r="P17" s="10">
        <f t="shared" si="3"/>
        <v>4200000</v>
      </c>
      <c r="Q17" s="8">
        <f t="shared" si="0"/>
        <v>918960</v>
      </c>
      <c r="S17" s="40">
        <v>4200000</v>
      </c>
    </row>
    <row r="18" spans="1:19" s="17" customFormat="1" ht="21" customHeight="1" thickBot="1" x14ac:dyDescent="0.25">
      <c r="A18" s="6">
        <v>11</v>
      </c>
      <c r="B18" s="11">
        <v>42347</v>
      </c>
      <c r="C18" s="12" t="s">
        <v>34</v>
      </c>
      <c r="D18" s="13" t="s">
        <v>59</v>
      </c>
      <c r="E18" s="12" t="s">
        <v>82</v>
      </c>
      <c r="F18" s="6"/>
      <c r="G18" s="13">
        <v>0</v>
      </c>
      <c r="H18" s="8">
        <f t="shared" si="4"/>
        <v>0</v>
      </c>
      <c r="I18" s="14"/>
      <c r="J18" s="15">
        <v>2320000</v>
      </c>
      <c r="K18" s="15"/>
      <c r="L18" s="15"/>
      <c r="M18" s="15"/>
      <c r="N18" s="15"/>
      <c r="O18" s="10">
        <f t="shared" si="2"/>
        <v>2320000</v>
      </c>
      <c r="P18" s="10">
        <f t="shared" si="3"/>
        <v>11363636</v>
      </c>
      <c r="Q18" s="8">
        <f t="shared" si="0"/>
        <v>9043636</v>
      </c>
      <c r="S18" s="40">
        <v>11363636</v>
      </c>
    </row>
    <row r="19" spans="1:19" s="17" customFormat="1" ht="21" customHeight="1" thickBot="1" x14ac:dyDescent="0.25">
      <c r="A19" s="6">
        <v>12</v>
      </c>
      <c r="B19" s="11">
        <v>42349</v>
      </c>
      <c r="C19" s="12" t="s">
        <v>35</v>
      </c>
      <c r="D19" s="13" t="s">
        <v>60</v>
      </c>
      <c r="E19" s="12" t="s">
        <v>25</v>
      </c>
      <c r="F19" s="6"/>
      <c r="G19" s="13">
        <v>371</v>
      </c>
      <c r="H19" s="8">
        <f t="shared" si="4"/>
        <v>4908330</v>
      </c>
      <c r="I19" s="14"/>
      <c r="J19" s="15">
        <v>2320000</v>
      </c>
      <c r="K19" s="15"/>
      <c r="L19" s="15"/>
      <c r="M19" s="15"/>
      <c r="N19" s="15"/>
      <c r="O19" s="10">
        <f t="shared" si="2"/>
        <v>7228330</v>
      </c>
      <c r="P19" s="10">
        <f t="shared" si="3"/>
        <v>10000000</v>
      </c>
      <c r="Q19" s="8">
        <f t="shared" si="0"/>
        <v>2771670</v>
      </c>
      <c r="S19" s="40">
        <v>10000000</v>
      </c>
    </row>
    <row r="20" spans="1:19" s="16" customFormat="1" ht="21" customHeight="1" thickBot="1" x14ac:dyDescent="0.25">
      <c r="A20" s="6">
        <v>13</v>
      </c>
      <c r="B20" s="11">
        <v>42352</v>
      </c>
      <c r="C20" s="12" t="s">
        <v>36</v>
      </c>
      <c r="D20" s="13" t="s">
        <v>61</v>
      </c>
      <c r="E20" s="12" t="s">
        <v>79</v>
      </c>
      <c r="F20" s="6"/>
      <c r="G20" s="13"/>
      <c r="H20" s="8">
        <f t="shared" si="4"/>
        <v>0</v>
      </c>
      <c r="I20" s="14"/>
      <c r="J20" s="15">
        <v>1520000</v>
      </c>
      <c r="K20" s="15"/>
      <c r="L20" s="15"/>
      <c r="M20" s="15"/>
      <c r="N20" s="15"/>
      <c r="O20" s="10">
        <f t="shared" si="2"/>
        <v>1520000</v>
      </c>
      <c r="P20" s="10">
        <f t="shared" si="3"/>
        <v>6100000</v>
      </c>
      <c r="Q20" s="8">
        <f t="shared" si="0"/>
        <v>4580000</v>
      </c>
      <c r="S20" s="40">
        <v>6100000</v>
      </c>
    </row>
    <row r="21" spans="1:19" s="16" customFormat="1" ht="21" customHeight="1" thickBot="1" x14ac:dyDescent="0.25">
      <c r="A21" s="6">
        <v>14</v>
      </c>
      <c r="B21" s="11">
        <v>42352</v>
      </c>
      <c r="C21" s="12" t="s">
        <v>37</v>
      </c>
      <c r="D21" s="13" t="s">
        <v>62</v>
      </c>
      <c r="E21" s="12" t="s">
        <v>83</v>
      </c>
      <c r="F21" s="6"/>
      <c r="G21" s="13"/>
      <c r="H21" s="8">
        <f t="shared" si="4"/>
        <v>0</v>
      </c>
      <c r="I21" s="14"/>
      <c r="J21" s="15">
        <v>0</v>
      </c>
      <c r="K21" s="15"/>
      <c r="L21" s="15"/>
      <c r="M21" s="15"/>
      <c r="N21" s="15"/>
      <c r="O21" s="10">
        <f t="shared" si="2"/>
        <v>0</v>
      </c>
      <c r="P21" s="10">
        <f t="shared" si="3"/>
        <v>0</v>
      </c>
      <c r="Q21" s="8">
        <f t="shared" si="0"/>
        <v>0</v>
      </c>
      <c r="S21" s="41">
        <v>0</v>
      </c>
    </row>
    <row r="22" spans="1:19" s="18" customFormat="1" ht="21" customHeight="1" thickBot="1" x14ac:dyDescent="0.25">
      <c r="A22" s="6">
        <v>15</v>
      </c>
      <c r="B22" s="11">
        <v>42353</v>
      </c>
      <c r="C22" s="12" t="s">
        <v>38</v>
      </c>
      <c r="D22" s="13" t="s">
        <v>63</v>
      </c>
      <c r="E22" s="12" t="s">
        <v>79</v>
      </c>
      <c r="F22" s="6"/>
      <c r="G22" s="13"/>
      <c r="H22" s="8">
        <f t="shared" si="4"/>
        <v>0</v>
      </c>
      <c r="I22" s="14"/>
      <c r="J22" s="15">
        <v>1520000</v>
      </c>
      <c r="K22" s="15"/>
      <c r="L22" s="15"/>
      <c r="M22" s="15"/>
      <c r="N22" s="15"/>
      <c r="O22" s="10">
        <f t="shared" si="2"/>
        <v>1520000</v>
      </c>
      <c r="P22" s="10">
        <f t="shared" si="3"/>
        <v>3360000</v>
      </c>
      <c r="Q22" s="8">
        <f t="shared" si="0"/>
        <v>1840000</v>
      </c>
      <c r="S22" s="40">
        <v>3360000</v>
      </c>
    </row>
    <row r="23" spans="1:19" ht="21" customHeight="1" thickBot="1" x14ac:dyDescent="0.25">
      <c r="A23" s="6">
        <v>16</v>
      </c>
      <c r="B23" s="11">
        <v>42353</v>
      </c>
      <c r="C23" s="12" t="s">
        <v>39</v>
      </c>
      <c r="D23" s="13" t="s">
        <v>64</v>
      </c>
      <c r="E23" s="12" t="s">
        <v>84</v>
      </c>
      <c r="F23" s="6"/>
      <c r="G23" s="13"/>
      <c r="H23" s="8">
        <f t="shared" si="4"/>
        <v>0</v>
      </c>
      <c r="I23" s="14"/>
      <c r="J23" s="15">
        <v>0</v>
      </c>
      <c r="K23" s="15"/>
      <c r="L23" s="15"/>
      <c r="M23" s="15"/>
      <c r="N23" s="15"/>
      <c r="O23" s="10">
        <f t="shared" si="2"/>
        <v>0</v>
      </c>
      <c r="P23" s="10">
        <f t="shared" si="3"/>
        <v>4500000</v>
      </c>
      <c r="Q23" s="8">
        <f t="shared" si="0"/>
        <v>4500000</v>
      </c>
      <c r="S23" s="40">
        <v>4500000</v>
      </c>
    </row>
    <row r="24" spans="1:19" s="16" customFormat="1" ht="21" customHeight="1" thickBot="1" x14ac:dyDescent="0.25">
      <c r="A24" s="6">
        <v>17</v>
      </c>
      <c r="B24" s="11">
        <v>42354</v>
      </c>
      <c r="C24" s="12" t="s">
        <v>40</v>
      </c>
      <c r="D24" s="13" t="s">
        <v>65</v>
      </c>
      <c r="E24" s="12" t="s">
        <v>85</v>
      </c>
      <c r="F24" s="6"/>
      <c r="G24" s="13"/>
      <c r="H24" s="8">
        <f t="shared" si="4"/>
        <v>0</v>
      </c>
      <c r="I24" s="14"/>
      <c r="J24" s="15">
        <v>1520000</v>
      </c>
      <c r="K24" s="15"/>
      <c r="L24" s="15"/>
      <c r="M24" s="15"/>
      <c r="N24" s="15"/>
      <c r="O24" s="10">
        <f t="shared" si="2"/>
        <v>1520000</v>
      </c>
      <c r="P24" s="10">
        <f t="shared" si="3"/>
        <v>3000000</v>
      </c>
      <c r="Q24" s="8">
        <f t="shared" si="0"/>
        <v>1480000</v>
      </c>
      <c r="S24" s="40">
        <v>3000000</v>
      </c>
    </row>
    <row r="25" spans="1:19" s="17" customFormat="1" ht="21" customHeight="1" thickBot="1" x14ac:dyDescent="0.25">
      <c r="A25" s="6">
        <v>18</v>
      </c>
      <c r="B25" s="11">
        <v>42354</v>
      </c>
      <c r="C25" s="12" t="s">
        <v>41</v>
      </c>
      <c r="D25" s="13" t="s">
        <v>66</v>
      </c>
      <c r="E25" s="12" t="s">
        <v>21</v>
      </c>
      <c r="F25" s="6"/>
      <c r="G25" s="13">
        <v>285</v>
      </c>
      <c r="H25" s="8">
        <f t="shared" si="4"/>
        <v>3770550</v>
      </c>
      <c r="I25" s="14"/>
      <c r="J25" s="15">
        <v>200000</v>
      </c>
      <c r="K25" s="15"/>
      <c r="L25" s="15"/>
      <c r="M25" s="15"/>
      <c r="N25" s="15"/>
      <c r="O25" s="10">
        <f t="shared" si="2"/>
        <v>3970550</v>
      </c>
      <c r="P25" s="10">
        <f t="shared" si="3"/>
        <v>3090909</v>
      </c>
      <c r="Q25" s="8">
        <f t="shared" si="0"/>
        <v>-879641</v>
      </c>
      <c r="S25" s="40">
        <v>3090909</v>
      </c>
    </row>
    <row r="26" spans="1:19" ht="21" customHeight="1" thickBot="1" x14ac:dyDescent="0.25">
      <c r="A26" s="6">
        <v>19</v>
      </c>
      <c r="B26" s="11">
        <v>42355</v>
      </c>
      <c r="C26" s="12" t="s">
        <v>42</v>
      </c>
      <c r="D26" s="13" t="s">
        <v>67</v>
      </c>
      <c r="E26" s="12" t="s">
        <v>21</v>
      </c>
      <c r="F26" s="6"/>
      <c r="G26" s="13"/>
      <c r="H26" s="8">
        <f t="shared" ref="H26:H29" si="5">G26*13510</f>
        <v>0</v>
      </c>
      <c r="I26" s="14"/>
      <c r="J26" s="15">
        <v>1110000</v>
      </c>
      <c r="K26" s="15"/>
      <c r="L26" s="15"/>
      <c r="M26" s="15"/>
      <c r="N26" s="15"/>
      <c r="O26" s="10">
        <f t="shared" si="2"/>
        <v>1110000</v>
      </c>
      <c r="P26" s="10">
        <f t="shared" si="3"/>
        <v>2890000</v>
      </c>
      <c r="Q26" s="8">
        <f t="shared" si="0"/>
        <v>1780000</v>
      </c>
      <c r="S26" s="40">
        <v>2890000</v>
      </c>
    </row>
    <row r="27" spans="1:19" s="18" customFormat="1" ht="21" customHeight="1" thickBot="1" x14ac:dyDescent="0.25">
      <c r="A27" s="6">
        <v>20</v>
      </c>
      <c r="B27" s="11">
        <v>42357</v>
      </c>
      <c r="C27" s="12" t="s">
        <v>43</v>
      </c>
      <c r="D27" s="13" t="s">
        <v>68</v>
      </c>
      <c r="E27" s="12" t="s">
        <v>21</v>
      </c>
      <c r="F27" s="6"/>
      <c r="G27" s="13"/>
      <c r="H27" s="8">
        <f t="shared" si="5"/>
        <v>0</v>
      </c>
      <c r="I27" s="14"/>
      <c r="J27" s="15">
        <v>1480000</v>
      </c>
      <c r="K27" s="15"/>
      <c r="L27" s="15"/>
      <c r="M27" s="15"/>
      <c r="N27" s="15"/>
      <c r="O27" s="10">
        <f t="shared" si="2"/>
        <v>1480000</v>
      </c>
      <c r="P27" s="10">
        <f t="shared" si="3"/>
        <v>5780000</v>
      </c>
      <c r="Q27" s="8">
        <f t="shared" si="0"/>
        <v>4300000</v>
      </c>
      <c r="S27" s="40">
        <v>5780000</v>
      </c>
    </row>
    <row r="28" spans="1:19" s="18" customFormat="1" ht="21" customHeight="1" thickBot="1" x14ac:dyDescent="0.25">
      <c r="A28" s="6">
        <v>21</v>
      </c>
      <c r="B28" s="11">
        <v>42357</v>
      </c>
      <c r="C28" s="12" t="s">
        <v>44</v>
      </c>
      <c r="D28" s="13" t="s">
        <v>69</v>
      </c>
      <c r="E28" s="12" t="s">
        <v>27</v>
      </c>
      <c r="F28" s="6"/>
      <c r="G28" s="13"/>
      <c r="H28" s="8">
        <f t="shared" si="5"/>
        <v>0</v>
      </c>
      <c r="I28" s="14"/>
      <c r="J28" s="15">
        <v>0</v>
      </c>
      <c r="K28" s="15"/>
      <c r="L28" s="15"/>
      <c r="M28" s="15"/>
      <c r="N28" s="15"/>
      <c r="O28" s="10">
        <f t="shared" si="2"/>
        <v>0</v>
      </c>
      <c r="P28" s="10">
        <f t="shared" si="3"/>
        <v>0</v>
      </c>
      <c r="Q28" s="8">
        <f t="shared" si="0"/>
        <v>0</v>
      </c>
      <c r="S28" s="41">
        <v>0</v>
      </c>
    </row>
    <row r="29" spans="1:19" s="17" customFormat="1" ht="21" customHeight="1" thickBot="1" x14ac:dyDescent="0.25">
      <c r="A29" s="6">
        <v>22</v>
      </c>
      <c r="B29" s="11">
        <v>42358</v>
      </c>
      <c r="C29" s="12" t="s">
        <v>45</v>
      </c>
      <c r="D29" s="13" t="s">
        <v>70</v>
      </c>
      <c r="E29" s="12" t="s">
        <v>79</v>
      </c>
      <c r="F29" s="6"/>
      <c r="G29" s="6"/>
      <c r="H29" s="8">
        <f t="shared" si="5"/>
        <v>0</v>
      </c>
      <c r="I29" s="14"/>
      <c r="J29" s="15">
        <v>1740000</v>
      </c>
      <c r="K29" s="15"/>
      <c r="L29" s="15"/>
      <c r="M29" s="15"/>
      <c r="N29" s="15"/>
      <c r="O29" s="10">
        <f t="shared" si="2"/>
        <v>1740000</v>
      </c>
      <c r="P29" s="10">
        <f t="shared" si="3"/>
        <v>3360000</v>
      </c>
      <c r="Q29" s="8">
        <f t="shared" si="0"/>
        <v>1620000</v>
      </c>
      <c r="S29" s="40">
        <v>3360000</v>
      </c>
    </row>
    <row r="30" spans="1:19" s="17" customFormat="1" ht="21" customHeight="1" thickBot="1" x14ac:dyDescent="0.25">
      <c r="A30" s="6">
        <v>23</v>
      </c>
      <c r="B30" s="11">
        <v>42358</v>
      </c>
      <c r="C30" s="12" t="s">
        <v>46</v>
      </c>
      <c r="D30" s="13" t="s">
        <v>71</v>
      </c>
      <c r="E30" s="12" t="s">
        <v>80</v>
      </c>
      <c r="F30" s="6"/>
      <c r="G30" s="6">
        <v>176</v>
      </c>
      <c r="H30" s="15">
        <f>G30*11980</f>
        <v>2108480</v>
      </c>
      <c r="I30" s="14"/>
      <c r="J30" s="15">
        <v>0</v>
      </c>
      <c r="K30" s="15"/>
      <c r="L30" s="15"/>
      <c r="M30" s="15"/>
      <c r="N30" s="15"/>
      <c r="O30" s="10">
        <f t="shared" si="2"/>
        <v>2108480</v>
      </c>
      <c r="P30" s="10">
        <f t="shared" si="3"/>
        <v>4200000</v>
      </c>
      <c r="Q30" s="8">
        <f t="shared" si="0"/>
        <v>2091520</v>
      </c>
      <c r="S30" s="40">
        <v>4200000</v>
      </c>
    </row>
    <row r="31" spans="1:19" s="18" customFormat="1" ht="21" customHeight="1" thickBot="1" x14ac:dyDescent="0.25">
      <c r="A31" s="6">
        <v>24</v>
      </c>
      <c r="B31" s="11">
        <v>42359</v>
      </c>
      <c r="C31" s="12" t="s">
        <v>91</v>
      </c>
      <c r="D31" s="13" t="s">
        <v>72</v>
      </c>
      <c r="E31" s="12" t="s">
        <v>22</v>
      </c>
      <c r="F31" s="6"/>
      <c r="G31" s="6"/>
      <c r="H31" s="15">
        <f t="shared" ref="H31:H34" si="6">G31*11980</f>
        <v>0</v>
      </c>
      <c r="I31" s="14"/>
      <c r="J31" s="15">
        <v>1750000</v>
      </c>
      <c r="K31" s="15"/>
      <c r="L31" s="15"/>
      <c r="M31" s="15"/>
      <c r="N31" s="15"/>
      <c r="O31" s="10">
        <f t="shared" si="2"/>
        <v>1750000</v>
      </c>
      <c r="P31" s="10">
        <f t="shared" si="3"/>
        <v>6060000</v>
      </c>
      <c r="Q31" s="8">
        <f t="shared" si="0"/>
        <v>4310000</v>
      </c>
      <c r="S31" s="40">
        <v>6060000</v>
      </c>
    </row>
    <row r="32" spans="1:19" s="18" customFormat="1" ht="21" customHeight="1" thickBot="1" x14ac:dyDescent="0.25">
      <c r="A32" s="6">
        <v>25</v>
      </c>
      <c r="B32" s="11">
        <v>42360</v>
      </c>
      <c r="C32" s="12" t="s">
        <v>47</v>
      </c>
      <c r="D32" s="13" t="s">
        <v>73</v>
      </c>
      <c r="E32" s="12" t="s">
        <v>25</v>
      </c>
      <c r="F32" s="19"/>
      <c r="G32" s="6">
        <v>420</v>
      </c>
      <c r="H32" s="15">
        <f t="shared" si="6"/>
        <v>5031600</v>
      </c>
      <c r="I32" s="20"/>
      <c r="J32" s="15">
        <v>2320000</v>
      </c>
      <c r="K32" s="21"/>
      <c r="L32" s="21"/>
      <c r="M32" s="21"/>
      <c r="N32" s="21"/>
      <c r="O32" s="10">
        <f t="shared" si="2"/>
        <v>7351600</v>
      </c>
      <c r="P32" s="10">
        <f t="shared" si="3"/>
        <v>10000000</v>
      </c>
      <c r="Q32" s="8">
        <f t="shared" si="0"/>
        <v>2648400</v>
      </c>
      <c r="S32" s="40">
        <v>10000000</v>
      </c>
    </row>
    <row r="33" spans="1:20" ht="21" customHeight="1" thickBot="1" x14ac:dyDescent="0.25">
      <c r="A33" s="6">
        <v>26</v>
      </c>
      <c r="B33" s="11">
        <v>42361</v>
      </c>
      <c r="C33" s="12" t="s">
        <v>48</v>
      </c>
      <c r="D33" s="13" t="s">
        <v>74</v>
      </c>
      <c r="E33" s="12" t="s">
        <v>23</v>
      </c>
      <c r="F33" s="22"/>
      <c r="G33" s="22"/>
      <c r="H33" s="15">
        <f t="shared" si="6"/>
        <v>0</v>
      </c>
      <c r="I33" s="23"/>
      <c r="J33" s="15">
        <v>3100000</v>
      </c>
      <c r="K33" s="24"/>
      <c r="L33" s="24"/>
      <c r="M33" s="21"/>
      <c r="N33" s="21"/>
      <c r="O33" s="10">
        <f t="shared" si="2"/>
        <v>3100000</v>
      </c>
      <c r="P33" s="10">
        <f t="shared" si="3"/>
        <v>13636364</v>
      </c>
      <c r="Q33" s="8">
        <f t="shared" si="0"/>
        <v>10536364</v>
      </c>
      <c r="S33" s="40">
        <v>13636364</v>
      </c>
    </row>
    <row r="34" spans="1:20" ht="21" customHeight="1" thickBot="1" x14ac:dyDescent="0.25">
      <c r="A34" s="6">
        <v>27</v>
      </c>
      <c r="B34" s="11">
        <v>42363</v>
      </c>
      <c r="C34" s="12" t="s">
        <v>49</v>
      </c>
      <c r="D34" s="13" t="s">
        <v>75</v>
      </c>
      <c r="E34" s="12" t="s">
        <v>86</v>
      </c>
      <c r="F34" s="22"/>
      <c r="G34" s="6">
        <v>567</v>
      </c>
      <c r="H34" s="15">
        <f t="shared" si="6"/>
        <v>6792660</v>
      </c>
      <c r="I34" s="23"/>
      <c r="J34" s="15">
        <f>8000000+8000000</f>
        <v>16000000</v>
      </c>
      <c r="K34" s="24"/>
      <c r="L34" s="24"/>
      <c r="M34" s="21"/>
      <c r="N34" s="21"/>
      <c r="O34" s="10">
        <f t="shared" si="2"/>
        <v>22792660</v>
      </c>
      <c r="P34" s="10">
        <f t="shared" si="3"/>
        <v>45000000</v>
      </c>
      <c r="Q34" s="8">
        <f t="shared" si="0"/>
        <v>22207340</v>
      </c>
      <c r="S34" s="40">
        <v>45000000</v>
      </c>
    </row>
    <row r="35" spans="1:20" ht="21" customHeight="1" x14ac:dyDescent="0.2">
      <c r="A35" s="6">
        <v>28</v>
      </c>
      <c r="B35" s="11">
        <v>42735</v>
      </c>
      <c r="C35" s="12" t="s">
        <v>102</v>
      </c>
      <c r="D35" s="13"/>
      <c r="E35" s="12"/>
      <c r="F35" s="22"/>
      <c r="G35" s="6"/>
      <c r="H35" s="15"/>
      <c r="I35" s="23"/>
      <c r="J35" s="15"/>
      <c r="K35" s="24"/>
      <c r="L35" s="24"/>
      <c r="M35" s="21"/>
      <c r="N35" s="21"/>
      <c r="O35" s="10">
        <f t="shared" si="2"/>
        <v>0</v>
      </c>
      <c r="P35" s="10">
        <v>19000000</v>
      </c>
      <c r="Q35" s="8">
        <f t="shared" si="0"/>
        <v>19000000</v>
      </c>
      <c r="S35" s="42"/>
    </row>
    <row r="36" spans="1:20" ht="24" customHeight="1" x14ac:dyDescent="0.2">
      <c r="A36" s="6"/>
      <c r="B36" s="25">
        <v>42714</v>
      </c>
      <c r="C36" s="26" t="s">
        <v>98</v>
      </c>
      <c r="D36" s="13"/>
      <c r="E36" s="12"/>
      <c r="F36" s="22"/>
      <c r="G36" s="22"/>
      <c r="H36" s="24"/>
      <c r="I36" s="23"/>
      <c r="J36" s="24"/>
      <c r="K36" s="24"/>
      <c r="L36" s="27">
        <v>540000</v>
      </c>
      <c r="M36" s="21"/>
      <c r="N36" s="21"/>
      <c r="O36" s="10">
        <f t="shared" si="2"/>
        <v>540000</v>
      </c>
      <c r="P36" s="10">
        <f t="shared" si="3"/>
        <v>0</v>
      </c>
      <c r="Q36" s="8">
        <f t="shared" si="0"/>
        <v>-540000</v>
      </c>
    </row>
    <row r="37" spans="1:20" ht="24" customHeight="1" x14ac:dyDescent="0.2">
      <c r="A37" s="6"/>
      <c r="B37" s="25">
        <v>42714</v>
      </c>
      <c r="C37" s="26" t="s">
        <v>92</v>
      </c>
      <c r="D37" s="13"/>
      <c r="E37" s="12"/>
      <c r="F37" s="22"/>
      <c r="G37" s="22"/>
      <c r="H37" s="24"/>
      <c r="I37" s="23"/>
      <c r="J37" s="24"/>
      <c r="K37" s="24"/>
      <c r="L37" s="27">
        <v>5000000</v>
      </c>
      <c r="M37" s="21"/>
      <c r="N37" s="21"/>
      <c r="O37" s="10">
        <f t="shared" si="2"/>
        <v>5000000</v>
      </c>
      <c r="P37" s="10">
        <f t="shared" si="3"/>
        <v>0</v>
      </c>
      <c r="Q37" s="8">
        <f t="shared" si="0"/>
        <v>-5000000</v>
      </c>
    </row>
    <row r="38" spans="1:20" ht="24" customHeight="1" x14ac:dyDescent="0.2">
      <c r="A38" s="6"/>
      <c r="B38" s="25">
        <v>42716</v>
      </c>
      <c r="C38" s="26" t="s">
        <v>93</v>
      </c>
      <c r="D38" s="13"/>
      <c r="E38" s="12"/>
      <c r="F38" s="22"/>
      <c r="G38" s="22"/>
      <c r="H38" s="24"/>
      <c r="I38" s="23"/>
      <c r="J38" s="24"/>
      <c r="K38" s="24"/>
      <c r="L38" s="27">
        <v>170000</v>
      </c>
      <c r="M38" s="21"/>
      <c r="N38" s="21"/>
      <c r="O38" s="10">
        <f t="shared" si="2"/>
        <v>170000</v>
      </c>
      <c r="P38" s="10">
        <f t="shared" si="3"/>
        <v>0</v>
      </c>
      <c r="Q38" s="8">
        <f t="shared" si="0"/>
        <v>-170000</v>
      </c>
    </row>
    <row r="39" spans="1:20" ht="24" customHeight="1" x14ac:dyDescent="0.2">
      <c r="A39" s="6"/>
      <c r="B39" s="25">
        <v>42719</v>
      </c>
      <c r="C39" s="26" t="s">
        <v>94</v>
      </c>
      <c r="D39" s="13"/>
      <c r="E39" s="12"/>
      <c r="F39" s="22"/>
      <c r="G39" s="22"/>
      <c r="H39" s="24"/>
      <c r="I39" s="23"/>
      <c r="J39" s="24"/>
      <c r="K39" s="24"/>
      <c r="L39" s="27">
        <v>3900000</v>
      </c>
      <c r="M39" s="21"/>
      <c r="N39" s="21"/>
      <c r="O39" s="10">
        <f t="shared" si="2"/>
        <v>3900000</v>
      </c>
      <c r="P39" s="10">
        <f t="shared" si="3"/>
        <v>0</v>
      </c>
      <c r="Q39" s="8">
        <f t="shared" si="0"/>
        <v>-3900000</v>
      </c>
    </row>
    <row r="40" spans="1:20" ht="24" customHeight="1" x14ac:dyDescent="0.2">
      <c r="A40" s="6"/>
      <c r="B40" s="25">
        <v>42729</v>
      </c>
      <c r="C40" s="26" t="s">
        <v>95</v>
      </c>
      <c r="D40" s="13"/>
      <c r="E40" s="12"/>
      <c r="F40" s="22"/>
      <c r="G40" s="22"/>
      <c r="H40" s="24"/>
      <c r="I40" s="23"/>
      <c r="J40" s="24"/>
      <c r="K40" s="24"/>
      <c r="L40" s="27">
        <v>300000</v>
      </c>
      <c r="M40" s="21"/>
      <c r="N40" s="21"/>
      <c r="O40" s="10">
        <f t="shared" si="2"/>
        <v>300000</v>
      </c>
      <c r="P40" s="10">
        <f t="shared" si="3"/>
        <v>0</v>
      </c>
      <c r="Q40" s="8">
        <f t="shared" si="0"/>
        <v>-300000</v>
      </c>
    </row>
    <row r="41" spans="1:20" ht="24" customHeight="1" x14ac:dyDescent="0.2">
      <c r="A41" s="6"/>
      <c r="B41" s="25">
        <v>42730</v>
      </c>
      <c r="C41" s="26" t="s">
        <v>96</v>
      </c>
      <c r="D41" s="13"/>
      <c r="E41" s="12"/>
      <c r="F41" s="22"/>
      <c r="G41" s="22"/>
      <c r="H41" s="24"/>
      <c r="I41" s="23"/>
      <c r="J41" s="24"/>
      <c r="K41" s="24"/>
      <c r="L41" s="27"/>
      <c r="M41" s="27">
        <v>23200000</v>
      </c>
      <c r="N41" s="21"/>
      <c r="O41" s="10">
        <f t="shared" si="2"/>
        <v>23200000</v>
      </c>
      <c r="P41" s="10">
        <f t="shared" si="3"/>
        <v>0</v>
      </c>
      <c r="Q41" s="8">
        <f t="shared" si="0"/>
        <v>-23200000</v>
      </c>
      <c r="R41" s="2" t="s">
        <v>112</v>
      </c>
      <c r="T41" s="37">
        <v>42389340</v>
      </c>
    </row>
    <row r="42" spans="1:20" ht="24" customHeight="1" x14ac:dyDescent="0.2">
      <c r="A42" s="6"/>
      <c r="B42" s="25">
        <v>42734</v>
      </c>
      <c r="C42" s="26" t="s">
        <v>97</v>
      </c>
      <c r="D42" s="13"/>
      <c r="E42" s="12"/>
      <c r="F42" s="22"/>
      <c r="G42" s="22"/>
      <c r="H42" s="24"/>
      <c r="I42" s="23"/>
      <c r="J42" s="24"/>
      <c r="K42" s="24"/>
      <c r="L42" s="27"/>
      <c r="M42" s="27">
        <v>9800000</v>
      </c>
      <c r="N42" s="21"/>
      <c r="O42" s="10">
        <f t="shared" si="2"/>
        <v>9800000</v>
      </c>
      <c r="P42" s="10">
        <f t="shared" si="3"/>
        <v>0</v>
      </c>
      <c r="Q42" s="8">
        <f t="shared" si="0"/>
        <v>-9800000</v>
      </c>
      <c r="R42" s="2" t="s">
        <v>111</v>
      </c>
      <c r="T42" s="37">
        <v>83740570.909090891</v>
      </c>
    </row>
    <row r="43" spans="1:20" ht="21" customHeight="1" x14ac:dyDescent="0.2">
      <c r="A43" s="6"/>
      <c r="B43" s="28"/>
      <c r="C43" s="29" t="s">
        <v>26</v>
      </c>
      <c r="D43" s="22"/>
      <c r="E43" s="29"/>
      <c r="F43" s="22"/>
      <c r="G43" s="22"/>
      <c r="H43" s="24"/>
      <c r="I43" s="23"/>
      <c r="J43" s="24"/>
      <c r="K43" s="24"/>
      <c r="L43" s="24">
        <v>1200000</v>
      </c>
      <c r="M43" s="21"/>
      <c r="N43" s="21"/>
      <c r="O43" s="10">
        <f t="shared" si="2"/>
        <v>1200000</v>
      </c>
      <c r="P43" s="10">
        <f t="shared" si="3"/>
        <v>0</v>
      </c>
      <c r="Q43" s="8">
        <f t="shared" si="0"/>
        <v>-1200000</v>
      </c>
      <c r="R43" s="2" t="s">
        <v>110</v>
      </c>
      <c r="T43" s="37">
        <v>75594614.545454547</v>
      </c>
    </row>
    <row r="44" spans="1:20" ht="21" customHeight="1" x14ac:dyDescent="0.2">
      <c r="A44" s="6"/>
      <c r="B44" s="28"/>
      <c r="C44" s="30" t="s">
        <v>99</v>
      </c>
      <c r="D44" s="19"/>
      <c r="E44" s="31"/>
      <c r="F44" s="19"/>
      <c r="G44" s="19"/>
      <c r="H44" s="21"/>
      <c r="I44" s="20"/>
      <c r="J44" s="21"/>
      <c r="K44" s="32">
        <v>9500000</v>
      </c>
      <c r="L44" s="21"/>
      <c r="M44" s="21"/>
      <c r="N44" s="21"/>
      <c r="O44" s="10">
        <f t="shared" si="2"/>
        <v>9500000</v>
      </c>
      <c r="P44" s="10">
        <f t="shared" si="3"/>
        <v>0</v>
      </c>
      <c r="Q44" s="8">
        <f t="shared" si="0"/>
        <v>-9500000</v>
      </c>
      <c r="R44" s="2" t="s">
        <v>109</v>
      </c>
      <c r="T44" s="37">
        <v>44295100</v>
      </c>
    </row>
    <row r="45" spans="1:20" ht="21" customHeight="1" x14ac:dyDescent="0.2">
      <c r="A45" s="6"/>
      <c r="B45" s="7"/>
      <c r="C45" s="33"/>
      <c r="D45" s="6"/>
      <c r="E45" s="33"/>
      <c r="F45" s="6"/>
      <c r="G45" s="6"/>
      <c r="H45" s="15"/>
      <c r="I45" s="14"/>
      <c r="J45" s="15"/>
      <c r="K45" s="15"/>
      <c r="L45" s="15"/>
      <c r="M45" s="15"/>
      <c r="N45" s="15"/>
      <c r="O45" s="10">
        <f t="shared" si="2"/>
        <v>0</v>
      </c>
      <c r="P45" s="10">
        <f t="shared" si="3"/>
        <v>0</v>
      </c>
      <c r="Q45" s="8">
        <f t="shared" si="0"/>
        <v>0</v>
      </c>
      <c r="R45" s="2" t="s">
        <v>108</v>
      </c>
      <c r="T45" s="37">
        <v>86918984</v>
      </c>
    </row>
    <row r="46" spans="1:20" x14ac:dyDescent="0.2">
      <c r="A46" s="394" t="s">
        <v>20</v>
      </c>
      <c r="B46" s="395"/>
      <c r="C46" s="395"/>
      <c r="D46" s="395"/>
      <c r="E46" s="396"/>
      <c r="F46" s="34"/>
      <c r="G46" s="35">
        <f>SUM(G8:G45)</f>
        <v>2667</v>
      </c>
      <c r="H46" s="35">
        <f t="shared" ref="H46:N46" si="7">SUM(H8:H45)</f>
        <v>33903460</v>
      </c>
      <c r="I46" s="35">
        <f t="shared" si="7"/>
        <v>0</v>
      </c>
      <c r="J46" s="35">
        <f t="shared" si="7"/>
        <v>49140000</v>
      </c>
      <c r="K46" s="35">
        <f t="shared" si="7"/>
        <v>9500000</v>
      </c>
      <c r="L46" s="35">
        <f t="shared" si="7"/>
        <v>11110000</v>
      </c>
      <c r="M46" s="35">
        <f t="shared" si="7"/>
        <v>33000000</v>
      </c>
      <c r="N46" s="35">
        <f t="shared" si="7"/>
        <v>0</v>
      </c>
      <c r="O46" s="35">
        <f>SUM(O7:O45)</f>
        <v>136653460</v>
      </c>
      <c r="P46" s="35">
        <f t="shared" ref="P46:Q46" si="8">SUM(P7:P45)</f>
        <v>200286364</v>
      </c>
      <c r="Q46" s="35">
        <f t="shared" si="8"/>
        <v>63632904</v>
      </c>
      <c r="R46" s="2" t="s">
        <v>103</v>
      </c>
      <c r="S46" s="43">
        <v>70554826</v>
      </c>
    </row>
    <row r="47" spans="1:20" x14ac:dyDescent="0.2">
      <c r="H47" s="37">
        <v>35646250</v>
      </c>
      <c r="O47" s="38">
        <f>H46+J46+K46+L46+M46+N46</f>
        <v>136653460</v>
      </c>
      <c r="Q47" s="38">
        <f>P46-O46</f>
        <v>63632904</v>
      </c>
      <c r="R47" s="2" t="s">
        <v>104</v>
      </c>
      <c r="S47" s="43">
        <v>58124426</v>
      </c>
    </row>
    <row r="48" spans="1:20" x14ac:dyDescent="0.2">
      <c r="H48" s="37">
        <f>H46-H47</f>
        <v>-1742790</v>
      </c>
      <c r="O48" s="37">
        <f>O46-O47</f>
        <v>0</v>
      </c>
      <c r="Q48" s="37">
        <f>Q46-Q47</f>
        <v>0</v>
      </c>
      <c r="R48" s="2" t="s">
        <v>105</v>
      </c>
      <c r="S48" s="44">
        <f>Q47+S46+S47</f>
        <v>192312156</v>
      </c>
      <c r="T48" s="284">
        <f>T41+T42+T43+T44+T45+S48</f>
        <v>525250765.45454544</v>
      </c>
    </row>
    <row r="49" spans="17:20" x14ac:dyDescent="0.2">
      <c r="Q49" s="45" t="s">
        <v>106</v>
      </c>
      <c r="R49" s="46">
        <v>0.12</v>
      </c>
      <c r="S49" s="47">
        <f>S48*R49</f>
        <v>23077458.719999999</v>
      </c>
      <c r="T49" s="49">
        <f>T48/8</f>
        <v>65656345.68181818</v>
      </c>
    </row>
    <row r="50" spans="17:20" x14ac:dyDescent="0.2">
      <c r="Q50" s="45" t="s">
        <v>107</v>
      </c>
      <c r="R50" s="46"/>
      <c r="S50" s="47">
        <f>S48-S49</f>
        <v>169234697.28</v>
      </c>
    </row>
    <row r="51" spans="17:20" x14ac:dyDescent="0.2">
      <c r="Q51" s="45"/>
      <c r="R51" s="48">
        <v>0.23599999999999999</v>
      </c>
      <c r="S51" s="47">
        <f>S50*R51</f>
        <v>39939388.558079995</v>
      </c>
    </row>
    <row r="52" spans="17:20" x14ac:dyDescent="0.2">
      <c r="Q52" s="45"/>
      <c r="R52" s="48">
        <v>0.4708</v>
      </c>
      <c r="S52" s="47">
        <f>S50*R52</f>
        <v>79675695.479424</v>
      </c>
    </row>
  </sheetData>
  <mergeCells count="13">
    <mergeCell ref="P5:P6"/>
    <mergeCell ref="Q5:Q6"/>
    <mergeCell ref="A46:E46"/>
    <mergeCell ref="A1:Q1"/>
    <mergeCell ref="A2:Q2"/>
    <mergeCell ref="A5:A6"/>
    <mergeCell ref="B5:B6"/>
    <mergeCell ref="C5:C6"/>
    <mergeCell ref="D5:D6"/>
    <mergeCell ref="E5:E6"/>
    <mergeCell ref="F5:F6"/>
    <mergeCell ref="G5:N5"/>
    <mergeCell ref="O5:O6"/>
  </mergeCells>
  <pageMargins left="0.25" right="0.16" top="0.25" bottom="0.26" header="0.3" footer="0.3"/>
  <pageSetup paperSize="9" scale="5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42"/>
  <sheetViews>
    <sheetView topLeftCell="E16" workbookViewId="0">
      <selection activeCell="Q36" sqref="Q36"/>
    </sheetView>
  </sheetViews>
  <sheetFormatPr defaultColWidth="9.140625" defaultRowHeight="12.75" x14ac:dyDescent="0.25"/>
  <cols>
    <col min="1" max="1" width="4.5703125" style="51" customWidth="1"/>
    <col min="2" max="2" width="10.28515625" style="77" customWidth="1"/>
    <col min="3" max="3" width="31" style="51" customWidth="1"/>
    <col min="4" max="4" width="12.42578125" style="51" customWidth="1"/>
    <col min="5" max="5" width="28.5703125" style="51" customWidth="1"/>
    <col min="6" max="6" width="11.5703125" style="51" customWidth="1"/>
    <col min="7" max="7" width="8" style="51" customWidth="1"/>
    <col min="8" max="8" width="11" style="78" customWidth="1"/>
    <col min="9" max="9" width="12.28515625" style="51" customWidth="1"/>
    <col min="10" max="10" width="11.140625" style="78" customWidth="1"/>
    <col min="11" max="11" width="9.5703125" style="78" customWidth="1"/>
    <col min="12" max="12" width="9.42578125" style="78" customWidth="1"/>
    <col min="13" max="13" width="8.5703125" style="78" customWidth="1"/>
    <col min="14" max="14" width="9.5703125" style="78" customWidth="1"/>
    <col min="15" max="15" width="12.7109375" style="78" customWidth="1"/>
    <col min="16" max="16" width="13.85546875" style="78" customWidth="1"/>
    <col min="17" max="17" width="12.28515625" style="78" customWidth="1"/>
    <col min="18" max="18" width="15.85546875" style="51" customWidth="1"/>
    <col min="19" max="19" width="12.140625" style="51" customWidth="1"/>
    <col min="20" max="16384" width="9.140625" style="51"/>
  </cols>
  <sheetData>
    <row r="1" spans="1:21" ht="23.25" x14ac:dyDescent="0.25">
      <c r="A1" s="409" t="s">
        <v>0</v>
      </c>
      <c r="B1" s="409"/>
      <c r="C1" s="409"/>
      <c r="D1" s="409"/>
      <c r="E1" s="409"/>
      <c r="F1" s="409"/>
      <c r="G1" s="409"/>
      <c r="H1" s="409"/>
      <c r="I1" s="409"/>
      <c r="J1" s="409"/>
      <c r="K1" s="409"/>
      <c r="L1" s="409"/>
      <c r="M1" s="409"/>
      <c r="N1" s="409"/>
      <c r="O1" s="409"/>
      <c r="P1" s="409"/>
      <c r="Q1" s="409"/>
    </row>
    <row r="2" spans="1:21" ht="17.25" customHeight="1" x14ac:dyDescent="0.25">
      <c r="A2" s="410" t="s">
        <v>19</v>
      </c>
      <c r="B2" s="410"/>
      <c r="C2" s="410"/>
      <c r="D2" s="410"/>
      <c r="E2" s="410"/>
      <c r="F2" s="410"/>
      <c r="G2" s="410"/>
      <c r="H2" s="410"/>
      <c r="I2" s="410"/>
      <c r="J2" s="410"/>
      <c r="K2" s="410"/>
      <c r="L2" s="410"/>
      <c r="M2" s="410"/>
      <c r="N2" s="410"/>
      <c r="O2" s="410"/>
      <c r="P2" s="410"/>
      <c r="Q2" s="410"/>
    </row>
    <row r="3" spans="1:21" ht="21" customHeight="1" x14ac:dyDescent="0.25">
      <c r="A3" s="52"/>
      <c r="B3" s="410" t="s">
        <v>113</v>
      </c>
      <c r="C3" s="410"/>
      <c r="D3" s="410"/>
      <c r="E3" s="410"/>
      <c r="F3" s="410"/>
      <c r="G3" s="410"/>
      <c r="H3" s="410"/>
      <c r="I3" s="410"/>
      <c r="J3" s="410"/>
      <c r="K3" s="410"/>
      <c r="L3" s="410"/>
      <c r="M3" s="410"/>
      <c r="N3" s="410"/>
      <c r="O3" s="410"/>
      <c r="P3" s="410"/>
      <c r="Q3" s="410"/>
    </row>
    <row r="5" spans="1:21"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row>
    <row r="6" spans="1:21" s="3" customFormat="1" ht="13.5" thickBot="1" x14ac:dyDescent="0.3">
      <c r="A6" s="400"/>
      <c r="B6" s="402"/>
      <c r="C6" s="400"/>
      <c r="D6" s="400"/>
      <c r="E6" s="404"/>
      <c r="F6" s="404"/>
      <c r="G6" s="4" t="s">
        <v>7</v>
      </c>
      <c r="H6" s="5" t="s">
        <v>15</v>
      </c>
      <c r="I6" s="4" t="s">
        <v>16</v>
      </c>
      <c r="J6" s="5" t="s">
        <v>8</v>
      </c>
      <c r="K6" s="5" t="s">
        <v>9</v>
      </c>
      <c r="L6" s="5" t="s">
        <v>10</v>
      </c>
      <c r="M6" s="5" t="s">
        <v>11</v>
      </c>
      <c r="N6" s="5" t="s">
        <v>12</v>
      </c>
      <c r="O6" s="393"/>
      <c r="P6" s="393"/>
      <c r="Q6" s="393"/>
    </row>
    <row r="7" spans="1:21" s="64" customFormat="1" ht="17.25" customHeight="1" thickBot="1" x14ac:dyDescent="0.3">
      <c r="A7" s="53"/>
      <c r="B7" s="54"/>
      <c r="C7" s="55"/>
      <c r="D7" s="56"/>
      <c r="E7" s="57"/>
      <c r="F7" s="58"/>
      <c r="G7" s="59"/>
      <c r="H7" s="60"/>
      <c r="I7" s="60"/>
      <c r="J7" s="61"/>
      <c r="K7" s="61"/>
      <c r="L7" s="61"/>
      <c r="M7" s="61"/>
      <c r="N7" s="61"/>
      <c r="O7" s="62"/>
      <c r="P7" s="62"/>
      <c r="Q7" s="62"/>
      <c r="R7" s="98"/>
      <c r="S7" s="51"/>
      <c r="T7" s="51"/>
      <c r="U7" s="51"/>
    </row>
    <row r="8" spans="1:21" s="64" customFormat="1" ht="17.25" customHeight="1" x14ac:dyDescent="0.25">
      <c r="A8" s="53">
        <v>1</v>
      </c>
      <c r="B8" s="54"/>
      <c r="C8" s="55" t="s">
        <v>160</v>
      </c>
      <c r="D8" s="56" t="s">
        <v>75</v>
      </c>
      <c r="E8" s="57"/>
      <c r="F8" s="58"/>
      <c r="G8" s="59"/>
      <c r="H8" s="60"/>
      <c r="I8" s="60"/>
      <c r="J8" s="61">
        <f>13*400000</f>
        <v>5200000</v>
      </c>
      <c r="K8" s="61"/>
      <c r="L8" s="61"/>
      <c r="M8" s="61"/>
      <c r="N8" s="61"/>
      <c r="O8" s="62">
        <f t="shared" ref="O8:O24" si="0">N8+M8+L8+K8+J8+H8</f>
        <v>5200000</v>
      </c>
      <c r="P8" s="62">
        <f>13*1800000</f>
        <v>23400000</v>
      </c>
      <c r="Q8" s="62">
        <f>P8-O8</f>
        <v>18200000</v>
      </c>
      <c r="R8" s="99"/>
      <c r="S8" s="51"/>
      <c r="T8" s="51"/>
      <c r="U8" s="51"/>
    </row>
    <row r="9" spans="1:21" s="64" customFormat="1" ht="17.25" customHeight="1" x14ac:dyDescent="0.25">
      <c r="A9" s="53"/>
      <c r="B9" s="54"/>
      <c r="C9" s="55" t="s">
        <v>163</v>
      </c>
      <c r="D9" s="56" t="s">
        <v>75</v>
      </c>
      <c r="E9" s="57"/>
      <c r="F9" s="58"/>
      <c r="G9" s="59"/>
      <c r="H9" s="60"/>
      <c r="I9" s="60"/>
      <c r="J9" s="61">
        <v>500000</v>
      </c>
      <c r="K9" s="61"/>
      <c r="L9" s="61"/>
      <c r="M9" s="61"/>
      <c r="N9" s="61"/>
      <c r="O9" s="62">
        <f t="shared" si="0"/>
        <v>500000</v>
      </c>
      <c r="P9" s="62">
        <v>0</v>
      </c>
      <c r="Q9" s="62">
        <f t="shared" ref="Q9:Q10" si="1">P9-O9</f>
        <v>-500000</v>
      </c>
      <c r="R9" s="99"/>
      <c r="S9" s="51"/>
      <c r="T9" s="51"/>
      <c r="U9" s="51"/>
    </row>
    <row r="10" spans="1:21" s="64" customFormat="1" ht="17.25" customHeight="1" x14ac:dyDescent="0.25">
      <c r="A10" s="53">
        <v>2</v>
      </c>
      <c r="B10" s="54">
        <v>42380</v>
      </c>
      <c r="C10" s="55" t="s">
        <v>123</v>
      </c>
      <c r="D10" s="56" t="s">
        <v>124</v>
      </c>
      <c r="E10" s="57" t="s">
        <v>25</v>
      </c>
      <c r="F10" s="58"/>
      <c r="G10" s="59"/>
      <c r="H10" s="60"/>
      <c r="I10" s="60"/>
      <c r="J10" s="61">
        <v>2420000</v>
      </c>
      <c r="K10" s="61"/>
      <c r="L10" s="61"/>
      <c r="M10" s="61"/>
      <c r="N10" s="61"/>
      <c r="O10" s="62">
        <f t="shared" si="0"/>
        <v>2420000</v>
      </c>
      <c r="P10" s="62">
        <v>9545455</v>
      </c>
      <c r="Q10" s="62">
        <f t="shared" si="1"/>
        <v>7125455</v>
      </c>
      <c r="R10" s="99"/>
      <c r="S10" s="51"/>
      <c r="T10" s="51"/>
      <c r="U10" s="51"/>
    </row>
    <row r="11" spans="1:21" s="64" customFormat="1" ht="17.25" customHeight="1" x14ac:dyDescent="0.25">
      <c r="A11" s="53">
        <v>3</v>
      </c>
      <c r="B11" s="54">
        <v>42383</v>
      </c>
      <c r="C11" s="55" t="s">
        <v>125</v>
      </c>
      <c r="D11" s="56" t="s">
        <v>126</v>
      </c>
      <c r="E11" s="57" t="s">
        <v>127</v>
      </c>
      <c r="F11" s="58"/>
      <c r="G11" s="59">
        <v>610</v>
      </c>
      <c r="H11" s="60">
        <v>6777100</v>
      </c>
      <c r="I11" s="60"/>
      <c r="J11" s="61">
        <v>660000</v>
      </c>
      <c r="K11" s="61"/>
      <c r="L11" s="61"/>
      <c r="M11" s="61"/>
      <c r="N11" s="61"/>
      <c r="O11" s="62">
        <f t="shared" si="0"/>
        <v>7437100</v>
      </c>
      <c r="P11" s="62">
        <v>2800000</v>
      </c>
      <c r="Q11" s="62">
        <f t="shared" ref="Q11:Q24" si="2">P11-O11</f>
        <v>-4637100</v>
      </c>
      <c r="R11" s="99"/>
      <c r="S11" s="51"/>
      <c r="T11" s="51"/>
      <c r="U11" s="51"/>
    </row>
    <row r="12" spans="1:21" s="64" customFormat="1" ht="17.25" customHeight="1" x14ac:dyDescent="0.25">
      <c r="A12" s="53">
        <v>4</v>
      </c>
      <c r="B12" s="54">
        <v>42384</v>
      </c>
      <c r="C12" s="55" t="s">
        <v>128</v>
      </c>
      <c r="D12" s="56" t="s">
        <v>129</v>
      </c>
      <c r="E12" s="57" t="s">
        <v>130</v>
      </c>
      <c r="F12" s="58"/>
      <c r="G12" s="59"/>
      <c r="H12" s="60"/>
      <c r="I12" s="60"/>
      <c r="J12" s="61">
        <v>2280000</v>
      </c>
      <c r="K12" s="61"/>
      <c r="L12" s="61"/>
      <c r="M12" s="61"/>
      <c r="N12" s="61"/>
      <c r="O12" s="62">
        <f t="shared" si="0"/>
        <v>2280000</v>
      </c>
      <c r="P12" s="62">
        <v>4000000</v>
      </c>
      <c r="Q12" s="62">
        <f t="shared" si="2"/>
        <v>1720000</v>
      </c>
      <c r="R12" s="99"/>
      <c r="S12" s="51"/>
      <c r="T12" s="51"/>
      <c r="U12" s="51"/>
    </row>
    <row r="13" spans="1:21" s="64" customFormat="1" ht="17.25" customHeight="1" x14ac:dyDescent="0.25">
      <c r="A13" s="53">
        <v>5</v>
      </c>
      <c r="B13" s="54">
        <v>42384</v>
      </c>
      <c r="C13" s="55" t="s">
        <v>131</v>
      </c>
      <c r="D13" s="56" t="s">
        <v>132</v>
      </c>
      <c r="E13" s="57" t="s">
        <v>133</v>
      </c>
      <c r="F13" s="58"/>
      <c r="G13" s="59"/>
      <c r="H13" s="60"/>
      <c r="I13" s="60"/>
      <c r="J13" s="61">
        <v>0</v>
      </c>
      <c r="K13" s="61"/>
      <c r="L13" s="61"/>
      <c r="M13" s="61"/>
      <c r="N13" s="61"/>
      <c r="O13" s="62">
        <f t="shared" si="0"/>
        <v>0</v>
      </c>
      <c r="P13" s="62">
        <v>5200000</v>
      </c>
      <c r="Q13" s="62">
        <f t="shared" si="2"/>
        <v>5200000</v>
      </c>
      <c r="R13" s="99"/>
      <c r="S13" s="51"/>
      <c r="T13" s="51"/>
      <c r="U13" s="51"/>
    </row>
    <row r="14" spans="1:21" s="64" customFormat="1" ht="17.25" customHeight="1" x14ac:dyDescent="0.25">
      <c r="A14" s="53">
        <v>6</v>
      </c>
      <c r="B14" s="54">
        <v>42387</v>
      </c>
      <c r="C14" s="55" t="s">
        <v>117</v>
      </c>
      <c r="D14" s="56" t="s">
        <v>134</v>
      </c>
      <c r="E14" s="57" t="s">
        <v>118</v>
      </c>
      <c r="F14" s="58"/>
      <c r="G14" s="59"/>
      <c r="H14" s="60"/>
      <c r="I14" s="60"/>
      <c r="J14" s="61">
        <v>300000</v>
      </c>
      <c r="K14" s="61"/>
      <c r="L14" s="61"/>
      <c r="M14" s="61"/>
      <c r="N14" s="61"/>
      <c r="O14" s="62">
        <f t="shared" si="0"/>
        <v>300000</v>
      </c>
      <c r="P14" s="62">
        <v>1750000</v>
      </c>
      <c r="Q14" s="62">
        <f t="shared" si="2"/>
        <v>1450000</v>
      </c>
      <c r="R14" s="99"/>
      <c r="S14" s="51"/>
      <c r="T14" s="51"/>
      <c r="U14" s="51"/>
    </row>
    <row r="15" spans="1:21" s="64" customFormat="1" ht="17.25" customHeight="1" x14ac:dyDescent="0.25">
      <c r="A15" s="53">
        <v>7</v>
      </c>
      <c r="B15" s="54">
        <v>42388</v>
      </c>
      <c r="C15" s="55" t="s">
        <v>119</v>
      </c>
      <c r="D15" s="56" t="s">
        <v>135</v>
      </c>
      <c r="E15" s="57" t="s">
        <v>116</v>
      </c>
      <c r="F15" s="58"/>
      <c r="G15" s="59"/>
      <c r="H15" s="60"/>
      <c r="I15" s="60"/>
      <c r="J15" s="61">
        <v>1450000</v>
      </c>
      <c r="K15" s="61"/>
      <c r="L15" s="61"/>
      <c r="M15" s="61"/>
      <c r="N15" s="61"/>
      <c r="O15" s="62">
        <f t="shared" si="0"/>
        <v>1450000</v>
      </c>
      <c r="P15" s="62">
        <v>3481818</v>
      </c>
      <c r="Q15" s="62">
        <f t="shared" si="2"/>
        <v>2031818</v>
      </c>
      <c r="R15" s="99"/>
      <c r="S15" s="51"/>
      <c r="T15" s="51"/>
      <c r="U15" s="51"/>
    </row>
    <row r="16" spans="1:21" s="64" customFormat="1" ht="17.25" customHeight="1" x14ac:dyDescent="0.25">
      <c r="A16" s="53">
        <v>8</v>
      </c>
      <c r="B16" s="54">
        <v>42388</v>
      </c>
      <c r="C16" s="55" t="s">
        <v>120</v>
      </c>
      <c r="D16" s="56" t="s">
        <v>135</v>
      </c>
      <c r="E16" s="57" t="s">
        <v>114</v>
      </c>
      <c r="F16" s="58"/>
      <c r="G16" s="59">
        <v>405</v>
      </c>
      <c r="H16" s="60">
        <v>4499550</v>
      </c>
      <c r="I16" s="60"/>
      <c r="J16" s="61">
        <v>0</v>
      </c>
      <c r="K16" s="61"/>
      <c r="L16" s="61"/>
      <c r="M16" s="61"/>
      <c r="N16" s="61"/>
      <c r="O16" s="62">
        <f t="shared" si="0"/>
        <v>4499550</v>
      </c>
      <c r="P16" s="62">
        <v>3000000</v>
      </c>
      <c r="Q16" s="62">
        <f t="shared" si="2"/>
        <v>-1499550</v>
      </c>
      <c r="R16" s="99"/>
      <c r="S16" s="51"/>
      <c r="T16" s="51"/>
      <c r="U16" s="51"/>
    </row>
    <row r="17" spans="1:21" s="64" customFormat="1" ht="17.25" customHeight="1" x14ac:dyDescent="0.25">
      <c r="A17" s="53">
        <v>9</v>
      </c>
      <c r="B17" s="54">
        <v>42389</v>
      </c>
      <c r="C17" s="55" t="s">
        <v>136</v>
      </c>
      <c r="D17" s="56" t="s">
        <v>137</v>
      </c>
      <c r="E17" s="57" t="s">
        <v>115</v>
      </c>
      <c r="F17" s="58"/>
      <c r="G17" s="59"/>
      <c r="H17" s="60"/>
      <c r="I17" s="60"/>
      <c r="J17" s="61">
        <v>970000</v>
      </c>
      <c r="K17" s="61"/>
      <c r="L17" s="61"/>
      <c r="M17" s="61"/>
      <c r="N17" s="61"/>
      <c r="O17" s="62">
        <f t="shared" si="0"/>
        <v>970000</v>
      </c>
      <c r="P17" s="62">
        <v>3190909</v>
      </c>
      <c r="Q17" s="62">
        <f t="shared" si="2"/>
        <v>2220909</v>
      </c>
      <c r="R17" s="99"/>
      <c r="S17" s="51"/>
      <c r="T17" s="51"/>
      <c r="U17" s="51"/>
    </row>
    <row r="18" spans="1:21" s="64" customFormat="1" ht="17.25" customHeight="1" x14ac:dyDescent="0.25">
      <c r="A18" s="53">
        <v>10</v>
      </c>
      <c r="B18" s="54">
        <v>42389</v>
      </c>
      <c r="C18" s="55" t="s">
        <v>138</v>
      </c>
      <c r="D18" s="56" t="s">
        <v>139</v>
      </c>
      <c r="E18" s="57" t="s">
        <v>25</v>
      </c>
      <c r="F18" s="58"/>
      <c r="G18" s="59"/>
      <c r="H18" s="60"/>
      <c r="I18" s="60"/>
      <c r="J18" s="61">
        <v>2320000</v>
      </c>
      <c r="K18" s="61"/>
      <c r="L18" s="61"/>
      <c r="M18" s="61"/>
      <c r="N18" s="61"/>
      <c r="O18" s="62">
        <f t="shared" si="0"/>
        <v>2320000</v>
      </c>
      <c r="P18" s="62">
        <v>9545455</v>
      </c>
      <c r="Q18" s="62">
        <f t="shared" si="2"/>
        <v>7225455</v>
      </c>
      <c r="R18" s="99"/>
      <c r="S18" s="51"/>
      <c r="T18" s="51"/>
      <c r="U18" s="51"/>
    </row>
    <row r="19" spans="1:21" s="64" customFormat="1" ht="17.25" customHeight="1" x14ac:dyDescent="0.25">
      <c r="A19" s="53">
        <v>11</v>
      </c>
      <c r="B19" s="54">
        <v>42391</v>
      </c>
      <c r="C19" s="55" t="s">
        <v>140</v>
      </c>
      <c r="D19" s="56" t="s">
        <v>141</v>
      </c>
      <c r="E19" s="57" t="s">
        <v>85</v>
      </c>
      <c r="F19" s="58"/>
      <c r="G19" s="59"/>
      <c r="H19" s="60"/>
      <c r="I19" s="60"/>
      <c r="J19" s="61">
        <v>1800000</v>
      </c>
      <c r="K19" s="61"/>
      <c r="L19" s="61"/>
      <c r="M19" s="61"/>
      <c r="N19" s="61"/>
      <c r="O19" s="62">
        <f t="shared" si="0"/>
        <v>1800000</v>
      </c>
      <c r="P19" s="62">
        <v>6500000</v>
      </c>
      <c r="Q19" s="62">
        <f t="shared" si="2"/>
        <v>4700000</v>
      </c>
      <c r="R19" s="99"/>
      <c r="S19" s="51"/>
      <c r="T19" s="51"/>
      <c r="U19" s="51"/>
    </row>
    <row r="20" spans="1:21" s="64" customFormat="1" ht="17.25" customHeight="1" x14ac:dyDescent="0.25">
      <c r="A20" s="53">
        <v>12</v>
      </c>
      <c r="B20" s="54">
        <v>42391</v>
      </c>
      <c r="C20" s="55" t="s">
        <v>140</v>
      </c>
      <c r="D20" s="56" t="s">
        <v>142</v>
      </c>
      <c r="E20" s="57" t="s">
        <v>143</v>
      </c>
      <c r="F20" s="58"/>
      <c r="G20" s="59">
        <v>510</v>
      </c>
      <c r="H20" s="60">
        <v>5202000</v>
      </c>
      <c r="I20" s="60"/>
      <c r="J20" s="61">
        <v>0</v>
      </c>
      <c r="K20" s="61"/>
      <c r="L20" s="61"/>
      <c r="M20" s="61"/>
      <c r="N20" s="61"/>
      <c r="O20" s="62">
        <f t="shared" si="0"/>
        <v>5202000</v>
      </c>
      <c r="P20" s="62">
        <v>0</v>
      </c>
      <c r="Q20" s="62">
        <f t="shared" si="2"/>
        <v>-5202000</v>
      </c>
      <c r="R20" s="99"/>
      <c r="S20" s="51"/>
      <c r="T20" s="51"/>
      <c r="U20" s="51"/>
    </row>
    <row r="21" spans="1:21" s="64" customFormat="1" ht="17.25" customHeight="1" x14ac:dyDescent="0.25">
      <c r="A21" s="53">
        <v>13</v>
      </c>
      <c r="B21" s="54">
        <v>42393</v>
      </c>
      <c r="C21" s="55" t="s">
        <v>144</v>
      </c>
      <c r="D21" s="56" t="s">
        <v>145</v>
      </c>
      <c r="E21" s="57" t="s">
        <v>146</v>
      </c>
      <c r="F21" s="58"/>
      <c r="G21" s="59">
        <v>120</v>
      </c>
      <c r="H21" s="60">
        <v>1224000</v>
      </c>
      <c r="I21" s="60"/>
      <c r="J21" s="61">
        <v>1750000</v>
      </c>
      <c r="K21" s="61"/>
      <c r="L21" s="61"/>
      <c r="M21" s="61"/>
      <c r="N21" s="61"/>
      <c r="O21" s="62">
        <f t="shared" si="0"/>
        <v>2974000</v>
      </c>
      <c r="P21" s="62">
        <v>5860000</v>
      </c>
      <c r="Q21" s="62">
        <f t="shared" si="2"/>
        <v>2886000</v>
      </c>
      <c r="R21" s="99"/>
      <c r="S21" s="51"/>
      <c r="T21" s="51"/>
      <c r="U21" s="51"/>
    </row>
    <row r="22" spans="1:21" s="64" customFormat="1" ht="17.25" customHeight="1" x14ac:dyDescent="0.25">
      <c r="A22" s="53">
        <v>14</v>
      </c>
      <c r="B22" s="54">
        <v>42394</v>
      </c>
      <c r="C22" s="55" t="s">
        <v>147</v>
      </c>
      <c r="D22" s="56" t="s">
        <v>148</v>
      </c>
      <c r="E22" s="57" t="s">
        <v>149</v>
      </c>
      <c r="F22" s="58"/>
      <c r="G22" s="59">
        <v>580</v>
      </c>
      <c r="H22" s="60">
        <f>G22*10200</f>
        <v>5916000</v>
      </c>
      <c r="I22" s="60"/>
      <c r="J22" s="61">
        <v>8500000</v>
      </c>
      <c r="K22" s="61"/>
      <c r="L22" s="61"/>
      <c r="M22" s="61"/>
      <c r="N22" s="61"/>
      <c r="O22" s="62">
        <f t="shared" si="0"/>
        <v>14416000</v>
      </c>
      <c r="P22" s="62">
        <v>34000000</v>
      </c>
      <c r="Q22" s="62">
        <f t="shared" si="2"/>
        <v>19584000</v>
      </c>
      <c r="R22" s="99"/>
      <c r="S22" s="51"/>
      <c r="T22" s="51"/>
      <c r="U22" s="51"/>
    </row>
    <row r="23" spans="1:21" s="64" customFormat="1" ht="17.25" customHeight="1" x14ac:dyDescent="0.25">
      <c r="A23" s="53"/>
      <c r="B23" s="54"/>
      <c r="C23" s="55"/>
      <c r="D23" s="56"/>
      <c r="E23" s="57"/>
      <c r="F23" s="58"/>
      <c r="G23" s="59"/>
      <c r="H23" s="60"/>
      <c r="I23" s="60"/>
      <c r="J23" s="61"/>
      <c r="K23" s="61"/>
      <c r="L23" s="61"/>
      <c r="M23" s="61"/>
      <c r="N23" s="61"/>
      <c r="O23" s="62">
        <f t="shared" si="0"/>
        <v>0</v>
      </c>
      <c r="P23" s="62"/>
      <c r="Q23" s="62"/>
      <c r="R23" s="99"/>
      <c r="S23" s="51"/>
      <c r="T23" s="51"/>
      <c r="U23" s="51"/>
    </row>
    <row r="24" spans="1:21" s="93" customFormat="1" ht="17.25" customHeight="1" x14ac:dyDescent="0.25">
      <c r="A24" s="81"/>
      <c r="B24" s="100"/>
      <c r="C24" s="89" t="s">
        <v>162</v>
      </c>
      <c r="D24" s="89"/>
      <c r="E24" s="90"/>
      <c r="F24" s="91"/>
      <c r="G24" s="84"/>
      <c r="H24" s="101"/>
      <c r="I24" s="101"/>
      <c r="J24" s="92"/>
      <c r="K24" s="92"/>
      <c r="L24" s="92">
        <v>1200000</v>
      </c>
      <c r="M24" s="92"/>
      <c r="N24" s="92"/>
      <c r="O24" s="86">
        <f t="shared" si="0"/>
        <v>1200000</v>
      </c>
      <c r="P24" s="86"/>
      <c r="Q24" s="86">
        <f t="shared" si="2"/>
        <v>-1200000</v>
      </c>
      <c r="R24" s="102"/>
      <c r="S24" s="87"/>
      <c r="T24" s="87"/>
      <c r="U24" s="87"/>
    </row>
    <row r="25" spans="1:21" s="93" customFormat="1" ht="17.25" customHeight="1" x14ac:dyDescent="0.25">
      <c r="A25" s="81"/>
      <c r="B25" s="100"/>
      <c r="C25" s="89" t="s">
        <v>121</v>
      </c>
      <c r="D25" s="89"/>
      <c r="E25" s="90"/>
      <c r="F25" s="91"/>
      <c r="G25" s="84"/>
      <c r="H25" s="101"/>
      <c r="I25" s="101"/>
      <c r="J25" s="92"/>
      <c r="K25" s="92">
        <v>9000000</v>
      </c>
      <c r="L25" s="92"/>
      <c r="M25" s="92"/>
      <c r="N25" s="92"/>
      <c r="O25" s="86">
        <f t="shared" ref="O25:O32" si="3">N25+M25+L25+K25+J25+H25</f>
        <v>9000000</v>
      </c>
      <c r="P25" s="86"/>
      <c r="Q25" s="86">
        <f t="shared" ref="Q25:Q32" si="4">P25-O25</f>
        <v>-9000000</v>
      </c>
      <c r="R25" s="102"/>
      <c r="S25" s="87"/>
      <c r="T25" s="87"/>
      <c r="U25" s="87"/>
    </row>
    <row r="26" spans="1:21" s="93" customFormat="1" ht="17.25" customHeight="1" x14ac:dyDescent="0.25">
      <c r="A26" s="81"/>
      <c r="B26" s="100"/>
      <c r="C26" s="89" t="s">
        <v>150</v>
      </c>
      <c r="D26" s="89"/>
      <c r="E26" s="90"/>
      <c r="F26" s="91"/>
      <c r="G26" s="84"/>
      <c r="H26" s="101"/>
      <c r="I26" s="101"/>
      <c r="J26" s="92"/>
      <c r="K26" s="92"/>
      <c r="L26" s="92">
        <v>2740000</v>
      </c>
      <c r="M26" s="92"/>
      <c r="N26" s="92"/>
      <c r="O26" s="86">
        <f t="shared" si="3"/>
        <v>2740000</v>
      </c>
      <c r="P26" s="86"/>
      <c r="Q26" s="86">
        <f t="shared" si="4"/>
        <v>-2740000</v>
      </c>
      <c r="R26" s="102"/>
      <c r="S26" s="87"/>
      <c r="T26" s="87"/>
      <c r="U26" s="87"/>
    </row>
    <row r="27" spans="1:21" s="93" customFormat="1" ht="17.25" customHeight="1" x14ac:dyDescent="0.25">
      <c r="A27" s="81"/>
      <c r="B27" s="100"/>
      <c r="C27" s="89" t="s">
        <v>151</v>
      </c>
      <c r="D27" s="89"/>
      <c r="E27" s="90"/>
      <c r="F27" s="91"/>
      <c r="G27" s="84"/>
      <c r="H27" s="101"/>
      <c r="I27" s="101"/>
      <c r="J27" s="92"/>
      <c r="K27" s="92"/>
      <c r="L27" s="92">
        <v>1300000</v>
      </c>
      <c r="M27" s="92"/>
      <c r="N27" s="92"/>
      <c r="O27" s="86">
        <f t="shared" si="3"/>
        <v>1300000</v>
      </c>
      <c r="P27" s="86"/>
      <c r="Q27" s="86">
        <f t="shared" si="4"/>
        <v>-1300000</v>
      </c>
      <c r="R27" s="102"/>
      <c r="S27" s="87"/>
      <c r="T27" s="87"/>
      <c r="U27" s="87"/>
    </row>
    <row r="28" spans="1:21" s="93" customFormat="1" ht="17.25" customHeight="1" x14ac:dyDescent="0.25">
      <c r="A28" s="81"/>
      <c r="B28" s="100"/>
      <c r="C28" s="89" t="s">
        <v>122</v>
      </c>
      <c r="D28" s="89"/>
      <c r="E28" s="90"/>
      <c r="F28" s="91"/>
      <c r="G28" s="84"/>
      <c r="H28" s="101"/>
      <c r="I28" s="101"/>
      <c r="J28" s="92"/>
      <c r="K28" s="92"/>
      <c r="L28" s="92">
        <v>180000</v>
      </c>
      <c r="M28" s="92"/>
      <c r="N28" s="92"/>
      <c r="O28" s="86">
        <f t="shared" si="3"/>
        <v>180000</v>
      </c>
      <c r="P28" s="86"/>
      <c r="Q28" s="86">
        <f t="shared" si="4"/>
        <v>-180000</v>
      </c>
      <c r="R28" s="102"/>
      <c r="S28" s="87"/>
      <c r="T28" s="87"/>
      <c r="U28" s="87"/>
    </row>
    <row r="29" spans="1:21" s="93" customFormat="1" ht="17.25" customHeight="1" x14ac:dyDescent="0.25">
      <c r="A29" s="81"/>
      <c r="B29" s="100"/>
      <c r="C29" s="89" t="s">
        <v>161</v>
      </c>
      <c r="D29" s="89"/>
      <c r="E29" s="90"/>
      <c r="F29" s="91"/>
      <c r="G29" s="84"/>
      <c r="H29" s="101"/>
      <c r="I29" s="101"/>
      <c r="J29" s="92"/>
      <c r="K29" s="92"/>
      <c r="L29" s="92">
        <v>200000</v>
      </c>
      <c r="M29" s="92"/>
      <c r="N29" s="92"/>
      <c r="O29" s="86">
        <f t="shared" si="3"/>
        <v>200000</v>
      </c>
      <c r="P29" s="86"/>
      <c r="Q29" s="86">
        <f t="shared" si="4"/>
        <v>-200000</v>
      </c>
      <c r="R29" s="102"/>
      <c r="S29" s="87"/>
      <c r="T29" s="87"/>
      <c r="U29" s="87"/>
    </row>
    <row r="30" spans="1:21" s="93" customFormat="1" ht="17.25" customHeight="1" x14ac:dyDescent="0.25">
      <c r="A30" s="81"/>
      <c r="B30" s="100"/>
      <c r="C30" s="89" t="s">
        <v>159</v>
      </c>
      <c r="D30" s="89"/>
      <c r="E30" s="90"/>
      <c r="F30" s="91"/>
      <c r="G30" s="84"/>
      <c r="H30" s="101"/>
      <c r="I30" s="101"/>
      <c r="J30" s="92"/>
      <c r="K30" s="92">
        <v>7000000</v>
      </c>
      <c r="L30" s="92"/>
      <c r="M30" s="92"/>
      <c r="N30" s="92"/>
      <c r="O30" s="86">
        <f t="shared" si="3"/>
        <v>7000000</v>
      </c>
      <c r="P30" s="86"/>
      <c r="Q30" s="86">
        <f t="shared" si="4"/>
        <v>-7000000</v>
      </c>
      <c r="R30" s="102"/>
      <c r="S30" s="87"/>
      <c r="T30" s="87"/>
      <c r="U30" s="87"/>
    </row>
    <row r="31" spans="1:21" s="64" customFormat="1" ht="17.25" customHeight="1" x14ac:dyDescent="0.25">
      <c r="A31" s="53"/>
      <c r="B31" s="54"/>
      <c r="C31" s="55"/>
      <c r="D31" s="56"/>
      <c r="E31" s="57"/>
      <c r="F31" s="58"/>
      <c r="G31" s="59"/>
      <c r="H31" s="60"/>
      <c r="I31" s="60"/>
      <c r="J31" s="61"/>
      <c r="K31" s="61"/>
      <c r="L31" s="61"/>
      <c r="M31" s="61"/>
      <c r="N31" s="61"/>
      <c r="O31" s="62">
        <f t="shared" si="3"/>
        <v>0</v>
      </c>
      <c r="P31" s="62"/>
      <c r="Q31" s="62">
        <f t="shared" si="4"/>
        <v>0</v>
      </c>
      <c r="R31" s="99"/>
      <c r="S31" s="51"/>
      <c r="T31" s="51"/>
      <c r="U31" s="51"/>
    </row>
    <row r="32" spans="1:21" s="64" customFormat="1" ht="17.25" customHeight="1" x14ac:dyDescent="0.25">
      <c r="A32" s="53"/>
      <c r="B32" s="54"/>
      <c r="C32" s="55"/>
      <c r="D32" s="56"/>
      <c r="E32" s="57"/>
      <c r="F32" s="58"/>
      <c r="G32" s="59"/>
      <c r="H32" s="60"/>
      <c r="I32" s="60"/>
      <c r="J32" s="61"/>
      <c r="K32" s="61"/>
      <c r="L32" s="61"/>
      <c r="M32" s="61"/>
      <c r="N32" s="61"/>
      <c r="O32" s="62">
        <f t="shared" si="3"/>
        <v>0</v>
      </c>
      <c r="P32" s="62"/>
      <c r="Q32" s="62">
        <f t="shared" si="4"/>
        <v>0</v>
      </c>
      <c r="R32" s="99"/>
      <c r="S32" s="51"/>
      <c r="T32" s="51"/>
      <c r="U32" s="51"/>
    </row>
    <row r="33" spans="1:19" x14ac:dyDescent="0.25">
      <c r="A33" s="406" t="s">
        <v>20</v>
      </c>
      <c r="B33" s="407"/>
      <c r="C33" s="407"/>
      <c r="D33" s="407"/>
      <c r="E33" s="407"/>
      <c r="F33" s="408"/>
      <c r="G33" s="75">
        <f>SUM(G7:G32)</f>
        <v>2225</v>
      </c>
      <c r="H33" s="76">
        <f t="shared" ref="H33:I33" si="5">SUM(H7:H32)</f>
        <v>23618650</v>
      </c>
      <c r="I33" s="76">
        <f t="shared" si="5"/>
        <v>0</v>
      </c>
      <c r="J33" s="76">
        <f>SUM(J8:J32)</f>
        <v>28150000</v>
      </c>
      <c r="K33" s="76">
        <f t="shared" ref="K33:N33" si="6">SUM(K8:K32)</f>
        <v>16000000</v>
      </c>
      <c r="L33" s="76">
        <f t="shared" si="6"/>
        <v>5620000</v>
      </c>
      <c r="M33" s="76">
        <f t="shared" si="6"/>
        <v>0</v>
      </c>
      <c r="N33" s="76">
        <f t="shared" si="6"/>
        <v>0</v>
      </c>
      <c r="O33" s="76">
        <f>SUM(O8:O32)</f>
        <v>73388650</v>
      </c>
      <c r="P33" s="76">
        <f t="shared" ref="P33:Q33" si="7">SUM(P8:P32)</f>
        <v>112273637</v>
      </c>
      <c r="Q33" s="76">
        <f t="shared" si="7"/>
        <v>38884987</v>
      </c>
    </row>
    <row r="34" spans="1:19" x14ac:dyDescent="0.25">
      <c r="O34" s="79"/>
      <c r="Q34" s="79"/>
      <c r="R34" s="78"/>
    </row>
    <row r="35" spans="1:19" x14ac:dyDescent="0.25">
      <c r="P35" s="78" t="s">
        <v>235</v>
      </c>
      <c r="Q35" s="78">
        <f>Q33</f>
        <v>38884987</v>
      </c>
      <c r="R35" s="78"/>
    </row>
    <row r="36" spans="1:19" x14ac:dyDescent="0.25">
      <c r="B36" s="51"/>
      <c r="H36" s="51"/>
      <c r="J36" s="51"/>
      <c r="K36" s="51"/>
      <c r="L36" s="51"/>
      <c r="M36" s="51"/>
      <c r="N36" s="51"/>
      <c r="O36" s="51"/>
      <c r="P36" s="51"/>
      <c r="Q36" s="51"/>
      <c r="R36" s="78"/>
    </row>
    <row r="37" spans="1:19" x14ac:dyDescent="0.25">
      <c r="B37" s="51"/>
      <c r="H37" s="51"/>
      <c r="J37" s="51"/>
      <c r="K37" s="51"/>
      <c r="L37" s="51"/>
      <c r="M37" s="51"/>
      <c r="N37" s="51"/>
      <c r="O37" s="51"/>
      <c r="P37" s="51"/>
      <c r="Q37" s="51"/>
      <c r="R37" s="78"/>
    </row>
    <row r="38" spans="1:19" x14ac:dyDescent="0.25">
      <c r="B38" s="51"/>
      <c r="H38" s="51"/>
      <c r="J38" s="51"/>
      <c r="K38" s="51"/>
      <c r="L38" s="51"/>
      <c r="M38" s="51"/>
      <c r="N38" s="51"/>
      <c r="O38" s="51"/>
      <c r="P38" s="51"/>
      <c r="Q38" s="51"/>
      <c r="R38" s="78"/>
    </row>
    <row r="39" spans="1:19" x14ac:dyDescent="0.25">
      <c r="B39" s="51"/>
      <c r="H39" s="51"/>
      <c r="J39" s="51"/>
      <c r="K39" s="51"/>
      <c r="L39" s="51"/>
      <c r="M39" s="51"/>
      <c r="N39" s="51"/>
      <c r="O39" s="51"/>
      <c r="P39" s="51"/>
      <c r="Q39" s="51"/>
      <c r="R39" s="78"/>
    </row>
    <row r="40" spans="1:19" x14ac:dyDescent="0.25">
      <c r="B40" s="51"/>
      <c r="H40" s="51"/>
      <c r="J40" s="51"/>
      <c r="K40" s="51"/>
      <c r="L40" s="51"/>
      <c r="M40" s="51"/>
      <c r="N40" s="51"/>
      <c r="O40" s="51"/>
      <c r="P40" s="51"/>
      <c r="Q40" s="51"/>
      <c r="R40" s="78"/>
    </row>
    <row r="41" spans="1:19" x14ac:dyDescent="0.25">
      <c r="B41" s="51"/>
      <c r="H41" s="51"/>
      <c r="J41" s="51"/>
      <c r="K41" s="51"/>
      <c r="L41" s="51"/>
      <c r="M41" s="51"/>
      <c r="N41" s="51"/>
      <c r="O41" s="51"/>
      <c r="P41" s="51"/>
      <c r="Q41" s="51"/>
      <c r="R41" s="78"/>
    </row>
    <row r="42" spans="1:19" x14ac:dyDescent="0.25">
      <c r="B42" s="51"/>
      <c r="H42" s="51"/>
      <c r="J42" s="51"/>
      <c r="K42" s="51"/>
      <c r="L42" s="51"/>
      <c r="M42" s="51"/>
      <c r="N42" s="51"/>
      <c r="O42" s="51"/>
      <c r="P42" s="51"/>
      <c r="Q42" s="51"/>
      <c r="R42" s="80"/>
      <c r="S42" s="80"/>
    </row>
  </sheetData>
  <mergeCells count="14">
    <mergeCell ref="A33:F33"/>
    <mergeCell ref="A1:Q1"/>
    <mergeCell ref="A2:Q2"/>
    <mergeCell ref="A5:A6"/>
    <mergeCell ref="B5:B6"/>
    <mergeCell ref="C5:C6"/>
    <mergeCell ref="D5:D6"/>
    <mergeCell ref="E5:E6"/>
    <mergeCell ref="F5:F6"/>
    <mergeCell ref="G5:N5"/>
    <mergeCell ref="O5:O6"/>
    <mergeCell ref="P5:P6"/>
    <mergeCell ref="Q5:Q6"/>
    <mergeCell ref="B3:Q3"/>
  </mergeCells>
  <pageMargins left="0.16" right="0.16" top="0.28999999999999998" bottom="0.75" header="0.3" footer="0.3"/>
  <pageSetup paperSize="9" scale="62"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26"/>
  <sheetViews>
    <sheetView topLeftCell="C1" workbookViewId="0">
      <selection activeCell="Q20" sqref="Q20"/>
    </sheetView>
  </sheetViews>
  <sheetFormatPr defaultColWidth="9.140625" defaultRowHeight="12.75" x14ac:dyDescent="0.25"/>
  <cols>
    <col min="1" max="1" width="4.5703125" style="51" customWidth="1"/>
    <col min="2" max="2" width="10.28515625" style="77" customWidth="1"/>
    <col min="3" max="3" width="29.7109375" style="51" customWidth="1"/>
    <col min="4" max="4" width="12.42578125" style="51" customWidth="1"/>
    <col min="5" max="5" width="26.7109375" style="51" customWidth="1"/>
    <col min="6" max="6" width="11.5703125" style="51" customWidth="1"/>
    <col min="7" max="7" width="8" style="51" customWidth="1"/>
    <col min="8" max="8" width="11" style="78" customWidth="1"/>
    <col min="9" max="9" width="12.28515625" style="51" customWidth="1"/>
    <col min="10" max="10" width="11.140625" style="78" customWidth="1"/>
    <col min="11" max="11" width="9.5703125" style="78" customWidth="1"/>
    <col min="12" max="12" width="9.42578125" style="78" customWidth="1"/>
    <col min="13" max="13" width="8.5703125" style="78" customWidth="1"/>
    <col min="14" max="14" width="9.5703125" style="78" customWidth="1"/>
    <col min="15" max="15" width="12.7109375" style="78" customWidth="1"/>
    <col min="16" max="16" width="13.85546875" style="78" customWidth="1"/>
    <col min="17" max="17" width="12.28515625" style="78" customWidth="1"/>
    <col min="18" max="18" width="12.5703125" style="78" customWidth="1"/>
    <col min="19" max="19" width="15.85546875" style="51" customWidth="1"/>
    <col min="20" max="20" width="12.140625" style="51" customWidth="1"/>
    <col min="21" max="16384" width="9.140625" style="51"/>
  </cols>
  <sheetData>
    <row r="1" spans="1:22" ht="23.25" x14ac:dyDescent="0.25">
      <c r="A1" s="409" t="s">
        <v>0</v>
      </c>
      <c r="B1" s="409"/>
      <c r="C1" s="409"/>
      <c r="D1" s="409"/>
      <c r="E1" s="409"/>
      <c r="F1" s="409"/>
      <c r="G1" s="409"/>
      <c r="H1" s="409"/>
      <c r="I1" s="409"/>
      <c r="J1" s="409"/>
      <c r="K1" s="409"/>
      <c r="L1" s="409"/>
      <c r="M1" s="409"/>
      <c r="N1" s="409"/>
      <c r="O1" s="409"/>
      <c r="P1" s="409"/>
      <c r="Q1" s="409"/>
      <c r="R1" s="94"/>
    </row>
    <row r="2" spans="1:22" ht="15.75" x14ac:dyDescent="0.25">
      <c r="A2" s="410" t="s">
        <v>19</v>
      </c>
      <c r="B2" s="410"/>
      <c r="C2" s="410"/>
      <c r="D2" s="410"/>
      <c r="E2" s="410"/>
      <c r="F2" s="410"/>
      <c r="G2" s="410"/>
      <c r="H2" s="410"/>
      <c r="I2" s="410"/>
      <c r="J2" s="410"/>
      <c r="K2" s="410"/>
      <c r="L2" s="410"/>
      <c r="M2" s="410"/>
      <c r="N2" s="410"/>
      <c r="O2" s="410"/>
      <c r="P2" s="410"/>
      <c r="Q2" s="410"/>
      <c r="R2" s="3"/>
    </row>
    <row r="3" spans="1:22" ht="15.75" x14ac:dyDescent="0.25">
      <c r="A3" s="52"/>
      <c r="B3" s="410" t="s">
        <v>158</v>
      </c>
      <c r="C3" s="410"/>
      <c r="D3" s="410"/>
      <c r="E3" s="410"/>
      <c r="F3" s="410"/>
      <c r="G3" s="410"/>
      <c r="H3" s="410"/>
      <c r="I3" s="410"/>
      <c r="J3" s="410"/>
      <c r="K3" s="410"/>
      <c r="L3" s="410"/>
      <c r="M3" s="410"/>
      <c r="N3" s="410"/>
      <c r="O3" s="410"/>
      <c r="P3" s="410"/>
      <c r="Q3" s="410"/>
      <c r="R3" s="3"/>
    </row>
    <row r="5" spans="1:22"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c r="R5" s="50"/>
    </row>
    <row r="6" spans="1:22" s="3" customFormat="1" ht="13.5" thickBot="1" x14ac:dyDescent="0.3">
      <c r="A6" s="400"/>
      <c r="B6" s="402"/>
      <c r="C6" s="400"/>
      <c r="D6" s="400"/>
      <c r="E6" s="404"/>
      <c r="F6" s="404"/>
      <c r="G6" s="4" t="s">
        <v>7</v>
      </c>
      <c r="H6" s="5" t="s">
        <v>15</v>
      </c>
      <c r="I6" s="4" t="s">
        <v>16</v>
      </c>
      <c r="J6" s="5" t="s">
        <v>8</v>
      </c>
      <c r="K6" s="5" t="s">
        <v>9</v>
      </c>
      <c r="L6" s="5" t="s">
        <v>10</v>
      </c>
      <c r="M6" s="5" t="s">
        <v>11</v>
      </c>
      <c r="N6" s="5" t="s">
        <v>12</v>
      </c>
      <c r="O6" s="393"/>
      <c r="P6" s="393"/>
      <c r="Q6" s="393"/>
      <c r="R6" s="50"/>
    </row>
    <row r="7" spans="1:22" s="64" customFormat="1" ht="13.5" thickBot="1" x14ac:dyDescent="0.3">
      <c r="A7" s="53"/>
      <c r="B7" s="54"/>
      <c r="C7" s="55"/>
      <c r="D7" s="56"/>
      <c r="E7" s="57"/>
      <c r="F7" s="58"/>
      <c r="G7" s="59"/>
      <c r="H7" s="60"/>
      <c r="I7" s="60"/>
      <c r="J7" s="61"/>
      <c r="K7" s="61"/>
      <c r="L7" s="61"/>
      <c r="M7" s="61"/>
      <c r="N7" s="61"/>
      <c r="O7" s="62"/>
      <c r="P7" s="62"/>
      <c r="Q7" s="62"/>
      <c r="R7" s="78"/>
      <c r="S7" s="63"/>
      <c r="T7" s="51"/>
      <c r="U7" s="51"/>
      <c r="V7" s="51"/>
    </row>
    <row r="8" spans="1:22" s="64" customFormat="1" x14ac:dyDescent="0.25">
      <c r="A8" s="53"/>
      <c r="B8" s="54"/>
      <c r="C8" s="55" t="s">
        <v>165</v>
      </c>
      <c r="D8" s="56" t="s">
        <v>148</v>
      </c>
      <c r="E8" s="57"/>
      <c r="F8" s="58"/>
      <c r="G8" s="59"/>
      <c r="H8" s="60"/>
      <c r="I8" s="60"/>
      <c r="J8" s="61">
        <f>21*400000</f>
        <v>8400000</v>
      </c>
      <c r="K8" s="61"/>
      <c r="L8" s="61"/>
      <c r="M8" s="61"/>
      <c r="N8" s="61"/>
      <c r="O8" s="62">
        <f t="shared" ref="O8:O16" si="0">N8+M8+L8+K8+J8+H8</f>
        <v>8400000</v>
      </c>
      <c r="P8" s="62">
        <f>21*1800000</f>
        <v>37800000</v>
      </c>
      <c r="Q8" s="62">
        <f>P8-O8</f>
        <v>29400000</v>
      </c>
      <c r="R8" s="78"/>
      <c r="S8" s="97"/>
      <c r="T8" s="51"/>
      <c r="U8" s="51"/>
      <c r="V8" s="51"/>
    </row>
    <row r="9" spans="1:22" s="64" customFormat="1" x14ac:dyDescent="0.25">
      <c r="A9" s="53">
        <v>1</v>
      </c>
      <c r="B9" s="65">
        <v>42422</v>
      </c>
      <c r="C9" s="66" t="s">
        <v>152</v>
      </c>
      <c r="D9" s="58" t="s">
        <v>155</v>
      </c>
      <c r="E9" s="66" t="s">
        <v>146</v>
      </c>
      <c r="F9" s="58"/>
      <c r="G9" s="58"/>
      <c r="H9" s="59"/>
      <c r="I9" s="58"/>
      <c r="J9" s="61">
        <v>1740000</v>
      </c>
      <c r="K9" s="61"/>
      <c r="L9" s="67"/>
      <c r="M9" s="61"/>
      <c r="N9" s="61"/>
      <c r="O9" s="62">
        <f t="shared" si="0"/>
        <v>1740000</v>
      </c>
      <c r="P9" s="62">
        <v>5720000</v>
      </c>
      <c r="Q9" s="62">
        <f>P9-O9</f>
        <v>3980000</v>
      </c>
      <c r="R9" s="78"/>
      <c r="S9" s="51"/>
      <c r="T9" s="51"/>
      <c r="U9" s="51"/>
      <c r="V9" s="51"/>
    </row>
    <row r="10" spans="1:22" s="64" customFormat="1" ht="25.5" x14ac:dyDescent="0.25">
      <c r="A10" s="53">
        <v>2</v>
      </c>
      <c r="B10" s="65">
        <v>42425</v>
      </c>
      <c r="C10" s="66" t="s">
        <v>153</v>
      </c>
      <c r="D10" s="58" t="s">
        <v>156</v>
      </c>
      <c r="E10" s="66" t="s">
        <v>118</v>
      </c>
      <c r="F10" s="58"/>
      <c r="G10" s="58"/>
      <c r="H10" s="59"/>
      <c r="I10" s="58"/>
      <c r="J10" s="61">
        <v>200000</v>
      </c>
      <c r="K10" s="61"/>
      <c r="L10" s="67"/>
      <c r="M10" s="61"/>
      <c r="N10" s="61"/>
      <c r="O10" s="62">
        <f t="shared" si="0"/>
        <v>200000</v>
      </c>
      <c r="P10" s="62">
        <v>1750000</v>
      </c>
      <c r="Q10" s="62">
        <f t="shared" ref="Q10:Q11" si="1">P10-O10</f>
        <v>1550000</v>
      </c>
      <c r="R10" s="78"/>
      <c r="S10" s="51"/>
      <c r="T10" s="51"/>
      <c r="U10" s="51"/>
      <c r="V10" s="51"/>
    </row>
    <row r="11" spans="1:22" s="64" customFormat="1" x14ac:dyDescent="0.25">
      <c r="A11" s="53">
        <v>3</v>
      </c>
      <c r="B11" s="65">
        <v>42426</v>
      </c>
      <c r="C11" s="66" t="s">
        <v>154</v>
      </c>
      <c r="D11" s="58" t="s">
        <v>157</v>
      </c>
      <c r="E11" s="66" t="s">
        <v>25</v>
      </c>
      <c r="F11" s="58"/>
      <c r="G11" s="58"/>
      <c r="H11" s="59"/>
      <c r="I11" s="58"/>
      <c r="J11" s="61">
        <v>2320000</v>
      </c>
      <c r="K11" s="61"/>
      <c r="L11" s="67"/>
      <c r="M11" s="61"/>
      <c r="N11" s="61"/>
      <c r="O11" s="62">
        <f t="shared" si="0"/>
        <v>2320000</v>
      </c>
      <c r="P11" s="62">
        <v>9090909</v>
      </c>
      <c r="Q11" s="62">
        <f t="shared" si="1"/>
        <v>6770909</v>
      </c>
      <c r="R11" s="78"/>
      <c r="S11" s="51"/>
      <c r="T11" s="51"/>
      <c r="U11" s="51"/>
      <c r="V11" s="51"/>
    </row>
    <row r="12" spans="1:22" s="64" customFormat="1" x14ac:dyDescent="0.25">
      <c r="A12" s="53"/>
      <c r="B12" s="65"/>
      <c r="C12" s="66"/>
      <c r="D12" s="58"/>
      <c r="E12" s="66"/>
      <c r="F12" s="58"/>
      <c r="G12" s="58"/>
      <c r="H12" s="59"/>
      <c r="I12" s="58"/>
      <c r="J12" s="61"/>
      <c r="K12" s="61"/>
      <c r="L12" s="67"/>
      <c r="M12" s="61"/>
      <c r="N12" s="61"/>
      <c r="O12" s="62">
        <f t="shared" si="0"/>
        <v>0</v>
      </c>
      <c r="P12" s="62"/>
      <c r="Q12" s="62">
        <f t="shared" ref="Q12:Q13" si="2">P12-O12</f>
        <v>0</v>
      </c>
      <c r="R12" s="78"/>
      <c r="S12" s="51"/>
      <c r="T12" s="51"/>
      <c r="U12" s="51"/>
      <c r="V12" s="51"/>
    </row>
    <row r="13" spans="1:22" s="87" customFormat="1" x14ac:dyDescent="0.25">
      <c r="A13" s="81"/>
      <c r="B13" s="73"/>
      <c r="C13" s="73" t="s">
        <v>121</v>
      </c>
      <c r="D13" s="82"/>
      <c r="E13" s="83"/>
      <c r="F13" s="82"/>
      <c r="G13" s="82"/>
      <c r="H13" s="84"/>
      <c r="I13" s="82"/>
      <c r="J13" s="85"/>
      <c r="K13" s="74">
        <v>8280000</v>
      </c>
      <c r="L13" s="74"/>
      <c r="M13" s="85"/>
      <c r="N13" s="85"/>
      <c r="O13" s="86">
        <f t="shared" si="0"/>
        <v>8280000</v>
      </c>
      <c r="P13" s="86"/>
      <c r="Q13" s="86">
        <f t="shared" si="2"/>
        <v>-8280000</v>
      </c>
      <c r="R13" s="79"/>
    </row>
    <row r="14" spans="1:22" s="93" customFormat="1" x14ac:dyDescent="0.25">
      <c r="A14" s="88"/>
      <c r="B14" s="73"/>
      <c r="C14" s="73" t="s">
        <v>164</v>
      </c>
      <c r="D14" s="103"/>
      <c r="E14" s="73"/>
      <c r="F14" s="104"/>
      <c r="G14" s="105"/>
      <c r="H14" s="105"/>
      <c r="I14" s="104"/>
      <c r="J14" s="74"/>
      <c r="K14" s="74"/>
      <c r="L14" s="74">
        <v>1200000</v>
      </c>
      <c r="M14" s="92"/>
      <c r="N14" s="92"/>
      <c r="O14" s="86">
        <f t="shared" si="0"/>
        <v>1200000</v>
      </c>
      <c r="P14" s="86"/>
      <c r="Q14" s="86">
        <f t="shared" ref="Q14:Q16" si="3">P14-O14</f>
        <v>-1200000</v>
      </c>
      <c r="R14" s="79"/>
      <c r="S14" s="87"/>
      <c r="T14" s="87"/>
      <c r="U14" s="87"/>
      <c r="V14" s="87"/>
    </row>
    <row r="15" spans="1:22" s="64" customFormat="1" x14ac:dyDescent="0.25">
      <c r="A15" s="53"/>
      <c r="B15" s="72"/>
      <c r="C15" s="72"/>
      <c r="D15" s="58"/>
      <c r="E15" s="66"/>
      <c r="F15" s="58"/>
      <c r="G15" s="58"/>
      <c r="H15" s="59"/>
      <c r="I15" s="58"/>
      <c r="J15" s="61"/>
      <c r="K15" s="61"/>
      <c r="L15" s="67"/>
      <c r="M15" s="61"/>
      <c r="N15" s="61"/>
      <c r="O15" s="62">
        <f t="shared" si="0"/>
        <v>0</v>
      </c>
      <c r="P15" s="62"/>
      <c r="Q15" s="62">
        <f t="shared" si="3"/>
        <v>0</v>
      </c>
      <c r="R15" s="78"/>
      <c r="S15" s="51"/>
      <c r="T15" s="51"/>
      <c r="U15" s="51"/>
      <c r="V15" s="51"/>
    </row>
    <row r="16" spans="1:22" x14ac:dyDescent="0.25">
      <c r="A16" s="53"/>
      <c r="B16" s="68"/>
      <c r="C16" s="70"/>
      <c r="D16" s="69"/>
      <c r="E16" s="70"/>
      <c r="F16" s="69"/>
      <c r="G16" s="69"/>
      <c r="H16" s="59"/>
      <c r="I16" s="69"/>
      <c r="J16" s="71"/>
      <c r="K16" s="71"/>
      <c r="L16" s="71"/>
      <c r="M16" s="71"/>
      <c r="N16" s="71"/>
      <c r="O16" s="62">
        <f t="shared" si="0"/>
        <v>0</v>
      </c>
      <c r="P16" s="62"/>
      <c r="Q16" s="62">
        <f t="shared" si="3"/>
        <v>0</v>
      </c>
    </row>
    <row r="17" spans="1:20" x14ac:dyDescent="0.25">
      <c r="A17" s="406" t="s">
        <v>20</v>
      </c>
      <c r="B17" s="407"/>
      <c r="C17" s="407"/>
      <c r="D17" s="407"/>
      <c r="E17" s="407"/>
      <c r="F17" s="408"/>
      <c r="G17" s="75">
        <f t="shared" ref="G17:P17" si="4">SUM(G7:G16)</f>
        <v>0</v>
      </c>
      <c r="H17" s="76">
        <f t="shared" si="4"/>
        <v>0</v>
      </c>
      <c r="I17" s="76">
        <f t="shared" si="4"/>
        <v>0</v>
      </c>
      <c r="J17" s="76">
        <f t="shared" si="4"/>
        <v>12660000</v>
      </c>
      <c r="K17" s="76">
        <f t="shared" si="4"/>
        <v>8280000</v>
      </c>
      <c r="L17" s="76">
        <f t="shared" si="4"/>
        <v>1200000</v>
      </c>
      <c r="M17" s="76">
        <f t="shared" si="4"/>
        <v>0</v>
      </c>
      <c r="N17" s="76">
        <f t="shared" si="4"/>
        <v>0</v>
      </c>
      <c r="O17" s="76">
        <f t="shared" si="4"/>
        <v>22140000</v>
      </c>
      <c r="P17" s="76">
        <f t="shared" si="4"/>
        <v>54360909</v>
      </c>
      <c r="Q17" s="76">
        <f>SUM(Q7:Q16)</f>
        <v>32220909</v>
      </c>
      <c r="R17" s="95"/>
    </row>
    <row r="18" spans="1:20" x14ac:dyDescent="0.25">
      <c r="O18" s="79"/>
      <c r="Q18" s="79"/>
      <c r="R18" s="96"/>
      <c r="S18" s="78"/>
    </row>
    <row r="19" spans="1:20" x14ac:dyDescent="0.25">
      <c r="P19" s="78" t="s">
        <v>235</v>
      </c>
      <c r="Q19" s="78">
        <f>'T01-2016'!Q35+'T02-2016'!Q17</f>
        <v>71105896</v>
      </c>
      <c r="R19" s="96"/>
      <c r="S19" s="78"/>
    </row>
    <row r="20" spans="1:20" x14ac:dyDescent="0.25">
      <c r="B20" s="51"/>
      <c r="H20" s="51"/>
      <c r="J20" s="51"/>
      <c r="K20" s="51"/>
      <c r="L20" s="51"/>
      <c r="M20" s="51"/>
      <c r="N20" s="51"/>
      <c r="O20" s="51"/>
      <c r="P20" s="51"/>
      <c r="Q20" s="51"/>
      <c r="R20" s="96"/>
      <c r="S20" s="78"/>
    </row>
    <row r="21" spans="1:20" x14ac:dyDescent="0.25">
      <c r="B21" s="51"/>
      <c r="H21" s="51"/>
      <c r="J21" s="51"/>
      <c r="K21" s="51"/>
      <c r="L21" s="51"/>
      <c r="M21" s="51"/>
      <c r="N21" s="51"/>
      <c r="O21" s="51"/>
      <c r="P21" s="51"/>
      <c r="Q21" s="51"/>
      <c r="R21" s="96"/>
      <c r="S21" s="78"/>
    </row>
    <row r="22" spans="1:20" x14ac:dyDescent="0.25">
      <c r="B22" s="51"/>
      <c r="H22" s="51"/>
      <c r="J22" s="51"/>
      <c r="K22" s="51"/>
      <c r="L22" s="51"/>
      <c r="M22" s="51"/>
      <c r="N22" s="51"/>
      <c r="O22" s="51"/>
      <c r="P22" s="51"/>
      <c r="Q22" s="51"/>
      <c r="R22" s="96"/>
      <c r="S22" s="78"/>
    </row>
    <row r="23" spans="1:20" x14ac:dyDescent="0.25">
      <c r="B23" s="51"/>
      <c r="H23" s="51"/>
      <c r="J23" s="51"/>
      <c r="K23" s="51"/>
      <c r="L23" s="51"/>
      <c r="M23" s="51"/>
      <c r="N23" s="51"/>
      <c r="O23" s="51"/>
      <c r="P23" s="51"/>
      <c r="Q23" s="51"/>
      <c r="R23" s="96"/>
      <c r="S23" s="78"/>
    </row>
    <row r="24" spans="1:20" x14ac:dyDescent="0.25">
      <c r="B24" s="51"/>
      <c r="H24" s="51"/>
      <c r="J24" s="51"/>
      <c r="K24" s="51"/>
      <c r="L24" s="51"/>
      <c r="M24" s="51"/>
      <c r="N24" s="51"/>
      <c r="O24" s="51"/>
      <c r="P24" s="51"/>
      <c r="Q24" s="51"/>
      <c r="R24" s="96"/>
      <c r="S24" s="78"/>
    </row>
    <row r="25" spans="1:20" x14ac:dyDescent="0.25">
      <c r="B25" s="51"/>
      <c r="H25" s="51"/>
      <c r="J25" s="51"/>
      <c r="K25" s="51"/>
      <c r="L25" s="51"/>
      <c r="M25" s="51"/>
      <c r="N25" s="51"/>
      <c r="O25" s="51"/>
      <c r="P25" s="51"/>
      <c r="Q25" s="51"/>
      <c r="R25" s="96"/>
      <c r="S25" s="78"/>
    </row>
    <row r="26" spans="1:20" x14ac:dyDescent="0.25">
      <c r="B26" s="51"/>
      <c r="H26" s="51"/>
      <c r="J26" s="51"/>
      <c r="K26" s="51"/>
      <c r="L26" s="51"/>
      <c r="M26" s="51"/>
      <c r="N26" s="51"/>
      <c r="O26" s="51"/>
      <c r="P26" s="51"/>
      <c r="Q26" s="51"/>
      <c r="R26" s="95"/>
      <c r="S26" s="80"/>
      <c r="T26" s="80"/>
    </row>
  </sheetData>
  <mergeCells count="14">
    <mergeCell ref="O5:O6"/>
    <mergeCell ref="P5:P6"/>
    <mergeCell ref="Q5:Q6"/>
    <mergeCell ref="A17:F17"/>
    <mergeCell ref="A1:Q1"/>
    <mergeCell ref="A2:Q2"/>
    <mergeCell ref="B3:Q3"/>
    <mergeCell ref="A5:A6"/>
    <mergeCell ref="B5:B6"/>
    <mergeCell ref="C5:C6"/>
    <mergeCell ref="D5:D6"/>
    <mergeCell ref="E5:E6"/>
    <mergeCell ref="F5:F6"/>
    <mergeCell ref="G5:N5"/>
  </mergeCells>
  <pageMargins left="0.2" right="0.16" top="0.26" bottom="0.28999999999999998" header="0.3" footer="0.3"/>
  <pageSetup paperSize="9" scale="5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56"/>
  <sheetViews>
    <sheetView topLeftCell="D31" workbookViewId="0">
      <selection activeCell="Q51" sqref="Q51"/>
    </sheetView>
  </sheetViews>
  <sheetFormatPr defaultColWidth="9.140625" defaultRowHeight="12.75" x14ac:dyDescent="0.25"/>
  <cols>
    <col min="1" max="1" width="4.5703125" style="51" customWidth="1"/>
    <col min="2" max="2" width="10.28515625" style="77" customWidth="1"/>
    <col min="3" max="3" width="27" style="51" customWidth="1"/>
    <col min="4" max="4" width="12.42578125" style="51" customWidth="1"/>
    <col min="5" max="5" width="26.7109375" style="51" customWidth="1"/>
    <col min="6" max="6" width="11.5703125" style="51" customWidth="1"/>
    <col min="7" max="7" width="8" style="51" customWidth="1"/>
    <col min="8" max="8" width="11" style="78" customWidth="1"/>
    <col min="9" max="9" width="12.28515625" style="51" customWidth="1"/>
    <col min="10" max="10" width="11.140625" style="78" customWidth="1"/>
    <col min="11" max="11" width="9.5703125" style="78" customWidth="1"/>
    <col min="12" max="12" width="9.42578125" style="78" customWidth="1"/>
    <col min="13" max="13" width="8.5703125" style="78" customWidth="1"/>
    <col min="14" max="14" width="9.5703125" style="78" customWidth="1"/>
    <col min="15" max="15" width="12.7109375" style="78" customWidth="1"/>
    <col min="16" max="16" width="13.85546875" style="78" customWidth="1"/>
    <col min="17" max="17" width="12.28515625" style="78" customWidth="1"/>
    <col min="18" max="18" width="12.140625" style="78" customWidth="1"/>
    <col min="19" max="16384" width="9.140625" style="51"/>
  </cols>
  <sheetData>
    <row r="1" spans="1:20" ht="23.25" x14ac:dyDescent="0.25">
      <c r="A1" s="409" t="s">
        <v>0</v>
      </c>
      <c r="B1" s="409"/>
      <c r="C1" s="409"/>
      <c r="D1" s="409"/>
      <c r="E1" s="409"/>
      <c r="F1" s="409"/>
      <c r="G1" s="409"/>
      <c r="H1" s="409"/>
      <c r="I1" s="409"/>
      <c r="J1" s="409"/>
      <c r="K1" s="409"/>
      <c r="L1" s="409"/>
      <c r="M1" s="409"/>
      <c r="N1" s="409"/>
      <c r="O1" s="409"/>
      <c r="P1" s="409"/>
      <c r="Q1" s="409"/>
    </row>
    <row r="2" spans="1:20" ht="15.75" x14ac:dyDescent="0.25">
      <c r="A2" s="410" t="s">
        <v>19</v>
      </c>
      <c r="B2" s="410"/>
      <c r="C2" s="410"/>
      <c r="D2" s="410"/>
      <c r="E2" s="410"/>
      <c r="F2" s="410"/>
      <c r="G2" s="410"/>
      <c r="H2" s="410"/>
      <c r="I2" s="410"/>
      <c r="J2" s="410"/>
      <c r="K2" s="410"/>
      <c r="L2" s="410"/>
      <c r="M2" s="410"/>
      <c r="N2" s="410"/>
      <c r="O2" s="410"/>
      <c r="P2" s="410"/>
      <c r="Q2" s="410"/>
    </row>
    <row r="3" spans="1:20" ht="15.75" x14ac:dyDescent="0.25">
      <c r="A3" s="52"/>
      <c r="B3" s="410" t="s">
        <v>166</v>
      </c>
      <c r="C3" s="410"/>
      <c r="D3" s="410"/>
      <c r="E3" s="410"/>
      <c r="F3" s="410"/>
      <c r="G3" s="410"/>
      <c r="H3" s="410"/>
      <c r="I3" s="410"/>
      <c r="J3" s="410"/>
      <c r="K3" s="410"/>
      <c r="L3" s="410"/>
      <c r="M3" s="410"/>
      <c r="N3" s="410"/>
      <c r="O3" s="410"/>
      <c r="P3" s="410"/>
      <c r="Q3" s="410"/>
    </row>
    <row r="5" spans="1:20"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c r="R5" s="111"/>
    </row>
    <row r="6" spans="1:20" s="3" customFormat="1" x14ac:dyDescent="0.25">
      <c r="A6" s="400"/>
      <c r="B6" s="402"/>
      <c r="C6" s="400"/>
      <c r="D6" s="400"/>
      <c r="E6" s="404"/>
      <c r="F6" s="404"/>
      <c r="G6" s="4" t="s">
        <v>7</v>
      </c>
      <c r="H6" s="5" t="s">
        <v>15</v>
      </c>
      <c r="I6" s="4" t="s">
        <v>16</v>
      </c>
      <c r="J6" s="5" t="s">
        <v>8</v>
      </c>
      <c r="K6" s="5" t="s">
        <v>9</v>
      </c>
      <c r="L6" s="5" t="s">
        <v>10</v>
      </c>
      <c r="M6" s="5" t="s">
        <v>11</v>
      </c>
      <c r="N6" s="5" t="s">
        <v>12</v>
      </c>
      <c r="O6" s="393"/>
      <c r="P6" s="393"/>
      <c r="Q6" s="393"/>
      <c r="R6" s="111"/>
    </row>
    <row r="7" spans="1:20" s="64" customFormat="1" x14ac:dyDescent="0.25">
      <c r="A7" s="53"/>
      <c r="B7" s="54"/>
      <c r="C7" s="55"/>
      <c r="D7" s="56"/>
      <c r="E7" s="57"/>
      <c r="F7" s="58"/>
      <c r="G7" s="59"/>
      <c r="H7" s="60"/>
      <c r="I7" s="60"/>
      <c r="J7" s="61"/>
      <c r="K7" s="61"/>
      <c r="L7" s="61"/>
      <c r="M7" s="61"/>
      <c r="N7" s="61"/>
      <c r="O7" s="62"/>
      <c r="P7" s="62"/>
      <c r="Q7" s="62"/>
      <c r="R7" s="78"/>
      <c r="S7" s="51"/>
      <c r="T7" s="51"/>
    </row>
    <row r="8" spans="1:20" s="64" customFormat="1" ht="13.5" customHeight="1" x14ac:dyDescent="0.25">
      <c r="A8" s="53">
        <v>1</v>
      </c>
      <c r="B8" s="65">
        <v>42429</v>
      </c>
      <c r="C8" s="66" t="s">
        <v>167</v>
      </c>
      <c r="D8" s="106" t="s">
        <v>168</v>
      </c>
      <c r="E8" s="107" t="s">
        <v>146</v>
      </c>
      <c r="F8" s="106"/>
      <c r="G8" s="106"/>
      <c r="H8" s="59"/>
      <c r="I8" s="106"/>
      <c r="J8" s="108">
        <v>1700000</v>
      </c>
      <c r="K8" s="61"/>
      <c r="L8" s="67"/>
      <c r="M8" s="108"/>
      <c r="N8" s="108"/>
      <c r="O8" s="108">
        <f>SUM(H8:N8)</f>
        <v>1700000</v>
      </c>
      <c r="P8" s="108">
        <v>5720000</v>
      </c>
      <c r="Q8" s="62">
        <f>P8-O8</f>
        <v>4020000</v>
      </c>
      <c r="R8" s="78"/>
      <c r="S8" s="51"/>
      <c r="T8" s="51"/>
    </row>
    <row r="9" spans="1:20" s="64" customFormat="1" ht="13.5" customHeight="1" x14ac:dyDescent="0.25">
      <c r="A9" s="53">
        <v>2</v>
      </c>
      <c r="B9" s="65">
        <v>42431</v>
      </c>
      <c r="C9" s="66" t="s">
        <v>169</v>
      </c>
      <c r="D9" s="106" t="s">
        <v>170</v>
      </c>
      <c r="E9" s="107" t="s">
        <v>114</v>
      </c>
      <c r="F9" s="106"/>
      <c r="G9" s="106"/>
      <c r="H9" s="59"/>
      <c r="I9" s="106"/>
      <c r="J9" s="108">
        <v>960000</v>
      </c>
      <c r="K9" s="61"/>
      <c r="L9" s="67"/>
      <c r="M9" s="108"/>
      <c r="N9" s="108"/>
      <c r="O9" s="108">
        <f t="shared" ref="O9:O46" si="0">N9+M9+L9+K9+J9+H9</f>
        <v>960000</v>
      </c>
      <c r="P9" s="108">
        <v>3000000</v>
      </c>
      <c r="Q9" s="62">
        <f t="shared" ref="Q9:Q46" si="1">P9-O9</f>
        <v>2040000</v>
      </c>
      <c r="R9" s="78"/>
      <c r="S9" s="51"/>
      <c r="T9" s="51"/>
    </row>
    <row r="10" spans="1:20" s="64" customFormat="1" ht="13.5" customHeight="1" x14ac:dyDescent="0.25">
      <c r="A10" s="53">
        <v>3</v>
      </c>
      <c r="B10" s="65">
        <v>42432</v>
      </c>
      <c r="C10" s="66" t="s">
        <v>171</v>
      </c>
      <c r="D10" s="106" t="s">
        <v>172</v>
      </c>
      <c r="E10" s="107" t="s">
        <v>81</v>
      </c>
      <c r="F10" s="106"/>
      <c r="G10" s="106">
        <v>438</v>
      </c>
      <c r="H10" s="59">
        <v>4196040</v>
      </c>
      <c r="I10" s="106"/>
      <c r="J10" s="109">
        <v>1740000</v>
      </c>
      <c r="K10" s="61"/>
      <c r="L10" s="67"/>
      <c r="M10" s="108"/>
      <c r="N10" s="108"/>
      <c r="O10" s="108">
        <f t="shared" si="0"/>
        <v>5936040</v>
      </c>
      <c r="P10" s="108">
        <v>3600000</v>
      </c>
      <c r="Q10" s="62">
        <f t="shared" si="1"/>
        <v>-2336040</v>
      </c>
      <c r="R10" s="78"/>
      <c r="S10" s="51"/>
      <c r="T10" s="51"/>
    </row>
    <row r="11" spans="1:20" s="64" customFormat="1" ht="13.5" customHeight="1" x14ac:dyDescent="0.25">
      <c r="A11" s="53"/>
      <c r="B11" s="65">
        <v>42432</v>
      </c>
      <c r="C11" s="66" t="s">
        <v>173</v>
      </c>
      <c r="D11" s="106" t="s">
        <v>174</v>
      </c>
      <c r="E11" s="107" t="s">
        <v>24</v>
      </c>
      <c r="F11" s="106"/>
      <c r="G11" s="106"/>
      <c r="H11" s="59"/>
      <c r="I11" s="106"/>
      <c r="J11" s="109">
        <v>0</v>
      </c>
      <c r="K11" s="61"/>
      <c r="L11" s="67"/>
      <c r="M11" s="108"/>
      <c r="N11" s="108"/>
      <c r="O11" s="108">
        <f t="shared" si="0"/>
        <v>0</v>
      </c>
      <c r="P11" s="108">
        <v>2800000</v>
      </c>
      <c r="Q11" s="62">
        <f t="shared" si="1"/>
        <v>2800000</v>
      </c>
      <c r="R11" s="78"/>
      <c r="S11" s="51"/>
      <c r="T11" s="51"/>
    </row>
    <row r="12" spans="1:20" s="64" customFormat="1" ht="13.5" customHeight="1" x14ac:dyDescent="0.25">
      <c r="A12" s="53"/>
      <c r="B12" s="65">
        <v>42433</v>
      </c>
      <c r="C12" s="66" t="s">
        <v>175</v>
      </c>
      <c r="D12" s="106" t="s">
        <v>176</v>
      </c>
      <c r="E12" s="107" t="s">
        <v>177</v>
      </c>
      <c r="F12" s="106"/>
      <c r="G12" s="106"/>
      <c r="H12" s="59"/>
      <c r="I12" s="106"/>
      <c r="J12" s="108">
        <v>1120000</v>
      </c>
      <c r="K12" s="61"/>
      <c r="L12" s="67"/>
      <c r="M12" s="108"/>
      <c r="N12" s="108"/>
      <c r="O12" s="108">
        <f t="shared" si="0"/>
        <v>1120000</v>
      </c>
      <c r="P12" s="108">
        <v>3800000</v>
      </c>
      <c r="Q12" s="62">
        <f t="shared" si="1"/>
        <v>2680000</v>
      </c>
      <c r="R12" s="78"/>
      <c r="S12" s="51"/>
      <c r="T12" s="51"/>
    </row>
    <row r="13" spans="1:20" s="64" customFormat="1" ht="13.5" customHeight="1" x14ac:dyDescent="0.25">
      <c r="A13" s="53"/>
      <c r="B13" s="65">
        <v>42434</v>
      </c>
      <c r="C13" s="66" t="s">
        <v>178</v>
      </c>
      <c r="D13" s="106" t="s">
        <v>179</v>
      </c>
      <c r="E13" s="107" t="s">
        <v>146</v>
      </c>
      <c r="F13" s="106"/>
      <c r="G13" s="106"/>
      <c r="H13" s="59"/>
      <c r="I13" s="106"/>
      <c r="J13" s="108">
        <f>780000+960000</f>
        <v>1740000</v>
      </c>
      <c r="K13" s="61"/>
      <c r="L13" s="67"/>
      <c r="M13" s="108"/>
      <c r="N13" s="108"/>
      <c r="O13" s="108">
        <f t="shared" si="0"/>
        <v>1740000</v>
      </c>
      <c r="P13" s="108">
        <v>5720000</v>
      </c>
      <c r="Q13" s="62">
        <f t="shared" si="1"/>
        <v>3980000</v>
      </c>
      <c r="R13" s="78"/>
      <c r="S13" s="51"/>
      <c r="T13" s="51"/>
    </row>
    <row r="14" spans="1:20" s="64" customFormat="1" ht="13.5" customHeight="1" x14ac:dyDescent="0.25">
      <c r="A14" s="53"/>
      <c r="B14" s="65">
        <v>42436</v>
      </c>
      <c r="C14" s="66" t="s">
        <v>180</v>
      </c>
      <c r="D14" s="106" t="s">
        <v>181</v>
      </c>
      <c r="E14" s="107" t="s">
        <v>84</v>
      </c>
      <c r="F14" s="106"/>
      <c r="G14" s="106"/>
      <c r="H14" s="59"/>
      <c r="I14" s="106"/>
      <c r="J14" s="108">
        <v>1120000</v>
      </c>
      <c r="K14" s="61"/>
      <c r="L14" s="67"/>
      <c r="M14" s="108"/>
      <c r="N14" s="108"/>
      <c r="O14" s="108">
        <f t="shared" si="0"/>
        <v>1120000</v>
      </c>
      <c r="P14" s="108">
        <v>4318182</v>
      </c>
      <c r="Q14" s="62">
        <f t="shared" si="1"/>
        <v>3198182</v>
      </c>
      <c r="R14" s="78"/>
      <c r="S14" s="51"/>
      <c r="T14" s="51"/>
    </row>
    <row r="15" spans="1:20" s="64" customFormat="1" ht="13.5" customHeight="1" x14ac:dyDescent="0.25">
      <c r="A15" s="53"/>
      <c r="B15" s="65">
        <v>42438</v>
      </c>
      <c r="C15" s="66" t="s">
        <v>182</v>
      </c>
      <c r="D15" s="106" t="s">
        <v>183</v>
      </c>
      <c r="E15" s="107" t="s">
        <v>184</v>
      </c>
      <c r="F15" s="106"/>
      <c r="G15" s="106"/>
      <c r="H15" s="59"/>
      <c r="I15" s="106"/>
      <c r="J15" s="109">
        <v>400000</v>
      </c>
      <c r="K15" s="61"/>
      <c r="L15" s="67"/>
      <c r="M15" s="108"/>
      <c r="N15" s="108"/>
      <c r="O15" s="108">
        <f t="shared" si="0"/>
        <v>400000</v>
      </c>
      <c r="P15" s="108">
        <v>2000000</v>
      </c>
      <c r="Q15" s="62">
        <f t="shared" si="1"/>
        <v>1600000</v>
      </c>
      <c r="R15" s="78"/>
      <c r="S15" s="51"/>
      <c r="T15" s="51"/>
    </row>
    <row r="16" spans="1:20" s="64" customFormat="1" ht="13.5" customHeight="1" x14ac:dyDescent="0.25">
      <c r="A16" s="53"/>
      <c r="B16" s="65">
        <v>42438</v>
      </c>
      <c r="C16" s="66" t="s">
        <v>185</v>
      </c>
      <c r="D16" s="106" t="s">
        <v>186</v>
      </c>
      <c r="E16" s="107" t="s">
        <v>184</v>
      </c>
      <c r="F16" s="106"/>
      <c r="G16" s="106">
        <v>485</v>
      </c>
      <c r="H16" s="59">
        <v>4646300</v>
      </c>
      <c r="I16" s="106"/>
      <c r="J16" s="109">
        <v>400000</v>
      </c>
      <c r="K16" s="61"/>
      <c r="L16" s="67"/>
      <c r="M16" s="108"/>
      <c r="N16" s="108"/>
      <c r="O16" s="108">
        <f t="shared" si="0"/>
        <v>5046300</v>
      </c>
      <c r="P16" s="108">
        <v>2000000</v>
      </c>
      <c r="Q16" s="62">
        <f t="shared" si="1"/>
        <v>-3046300</v>
      </c>
      <c r="R16" s="78"/>
      <c r="S16" s="51"/>
      <c r="T16" s="51"/>
    </row>
    <row r="17" spans="1:20" s="64" customFormat="1" ht="13.5" customHeight="1" x14ac:dyDescent="0.25">
      <c r="A17" s="53"/>
      <c r="B17" s="65">
        <v>42438</v>
      </c>
      <c r="C17" s="66" t="s">
        <v>187</v>
      </c>
      <c r="D17" s="106" t="s">
        <v>188</v>
      </c>
      <c r="E17" s="107" t="s">
        <v>189</v>
      </c>
      <c r="F17" s="106"/>
      <c r="G17" s="106"/>
      <c r="H17" s="59"/>
      <c r="I17" s="106"/>
      <c r="J17" s="108">
        <v>1120000</v>
      </c>
      <c r="K17" s="61"/>
      <c r="L17" s="67"/>
      <c r="M17" s="108"/>
      <c r="N17" s="108"/>
      <c r="O17" s="108">
        <f t="shared" si="0"/>
        <v>1120000</v>
      </c>
      <c r="P17" s="108">
        <v>4300000</v>
      </c>
      <c r="Q17" s="62">
        <f t="shared" si="1"/>
        <v>3180000</v>
      </c>
      <c r="R17" s="78"/>
      <c r="S17" s="51"/>
      <c r="T17" s="51"/>
    </row>
    <row r="18" spans="1:20" s="64" customFormat="1" ht="13.5" customHeight="1" x14ac:dyDescent="0.25">
      <c r="A18" s="53"/>
      <c r="B18" s="65">
        <v>42440</v>
      </c>
      <c r="C18" s="66" t="s">
        <v>190</v>
      </c>
      <c r="D18" s="106" t="s">
        <v>191</v>
      </c>
      <c r="E18" s="107" t="s">
        <v>118</v>
      </c>
      <c r="F18" s="106"/>
      <c r="G18" s="106"/>
      <c r="H18" s="59"/>
      <c r="I18" s="106"/>
      <c r="J18" s="108">
        <v>300000</v>
      </c>
      <c r="K18" s="61"/>
      <c r="L18" s="67"/>
      <c r="M18" s="108"/>
      <c r="N18" s="108"/>
      <c r="O18" s="108">
        <f t="shared" si="0"/>
        <v>300000</v>
      </c>
      <c r="P18" s="108">
        <v>1750000</v>
      </c>
      <c r="Q18" s="62">
        <f t="shared" si="1"/>
        <v>1450000</v>
      </c>
      <c r="R18" s="78"/>
      <c r="S18" s="51"/>
      <c r="T18" s="51"/>
    </row>
    <row r="19" spans="1:20" s="64" customFormat="1" ht="13.5" customHeight="1" x14ac:dyDescent="0.25">
      <c r="A19" s="53"/>
      <c r="B19" s="65">
        <v>42441</v>
      </c>
      <c r="C19" s="66" t="s">
        <v>192</v>
      </c>
      <c r="D19" s="106" t="s">
        <v>193</v>
      </c>
      <c r="E19" s="107" t="s">
        <v>177</v>
      </c>
      <c r="F19" s="106"/>
      <c r="G19" s="106"/>
      <c r="H19" s="59"/>
      <c r="I19" s="106"/>
      <c r="J19" s="108">
        <v>1120000</v>
      </c>
      <c r="K19" s="61"/>
      <c r="L19" s="67"/>
      <c r="M19" s="108"/>
      <c r="N19" s="108"/>
      <c r="O19" s="108">
        <f t="shared" si="0"/>
        <v>1120000</v>
      </c>
      <c r="P19" s="108">
        <v>3500000</v>
      </c>
      <c r="Q19" s="62">
        <f t="shared" si="1"/>
        <v>2380000</v>
      </c>
      <c r="R19" s="78"/>
      <c r="S19" s="51"/>
      <c r="T19" s="51"/>
    </row>
    <row r="20" spans="1:20" s="64" customFormat="1" ht="13.5" customHeight="1" x14ac:dyDescent="0.25">
      <c r="A20" s="53"/>
      <c r="B20" s="65">
        <v>42442</v>
      </c>
      <c r="C20" s="66" t="s">
        <v>194</v>
      </c>
      <c r="D20" s="106" t="s">
        <v>195</v>
      </c>
      <c r="E20" s="107" t="s">
        <v>196</v>
      </c>
      <c r="F20" s="106"/>
      <c r="G20" s="106"/>
      <c r="H20" s="59"/>
      <c r="I20" s="106"/>
      <c r="J20" s="108">
        <v>1200000</v>
      </c>
      <c r="K20" s="61"/>
      <c r="L20" s="67"/>
      <c r="M20" s="108"/>
      <c r="N20" s="108"/>
      <c r="O20" s="108">
        <f t="shared" si="0"/>
        <v>1200000</v>
      </c>
      <c r="P20" s="108">
        <v>5500000</v>
      </c>
      <c r="Q20" s="62">
        <f t="shared" si="1"/>
        <v>4300000</v>
      </c>
      <c r="R20" s="78"/>
      <c r="S20" s="51"/>
      <c r="T20" s="51"/>
    </row>
    <row r="21" spans="1:20" s="64" customFormat="1" ht="13.5" customHeight="1" x14ac:dyDescent="0.25">
      <c r="A21" s="53"/>
      <c r="B21" s="65">
        <v>42442</v>
      </c>
      <c r="C21" s="66" t="s">
        <v>197</v>
      </c>
      <c r="D21" s="106" t="s">
        <v>198</v>
      </c>
      <c r="E21" s="107" t="s">
        <v>27</v>
      </c>
      <c r="F21" s="106"/>
      <c r="G21" s="106"/>
      <c r="H21" s="59"/>
      <c r="I21" s="106"/>
      <c r="J21" s="108">
        <v>0</v>
      </c>
      <c r="K21" s="61"/>
      <c r="L21" s="67"/>
      <c r="M21" s="108"/>
      <c r="N21" s="108"/>
      <c r="O21" s="108">
        <f t="shared" si="0"/>
        <v>0</v>
      </c>
      <c r="P21" s="108">
        <v>0</v>
      </c>
      <c r="Q21" s="62">
        <f t="shared" si="1"/>
        <v>0</v>
      </c>
      <c r="R21" s="78"/>
      <c r="S21" s="51"/>
      <c r="T21" s="51"/>
    </row>
    <row r="22" spans="1:20" s="64" customFormat="1" ht="13.5" customHeight="1" x14ac:dyDescent="0.25">
      <c r="A22" s="53"/>
      <c r="B22" s="65">
        <v>42443</v>
      </c>
      <c r="C22" s="66" t="s">
        <v>199</v>
      </c>
      <c r="D22" s="106" t="s">
        <v>200</v>
      </c>
      <c r="E22" s="107" t="s">
        <v>201</v>
      </c>
      <c r="F22" s="106"/>
      <c r="G22" s="106"/>
      <c r="H22" s="59"/>
      <c r="I22" s="106"/>
      <c r="J22" s="108">
        <v>660000</v>
      </c>
      <c r="K22" s="61"/>
      <c r="L22" s="67"/>
      <c r="M22" s="108"/>
      <c r="N22" s="108"/>
      <c r="O22" s="108">
        <f t="shared" si="0"/>
        <v>660000</v>
      </c>
      <c r="P22" s="108">
        <v>3160000</v>
      </c>
      <c r="Q22" s="62">
        <f t="shared" si="1"/>
        <v>2500000</v>
      </c>
      <c r="R22" s="78"/>
      <c r="S22" s="51"/>
      <c r="T22" s="51"/>
    </row>
    <row r="23" spans="1:20" s="64" customFormat="1" ht="13.5" customHeight="1" x14ac:dyDescent="0.25">
      <c r="A23" s="53"/>
      <c r="B23" s="65">
        <v>42443</v>
      </c>
      <c r="C23" s="66" t="s">
        <v>202</v>
      </c>
      <c r="D23" s="106" t="s">
        <v>203</v>
      </c>
      <c r="E23" s="107" t="s">
        <v>201</v>
      </c>
      <c r="F23" s="106"/>
      <c r="G23" s="106">
        <v>420</v>
      </c>
      <c r="H23" s="59">
        <v>4023600</v>
      </c>
      <c r="I23" s="106"/>
      <c r="J23" s="108">
        <v>660000</v>
      </c>
      <c r="K23" s="61"/>
      <c r="L23" s="67"/>
      <c r="M23" s="108"/>
      <c r="N23" s="108"/>
      <c r="O23" s="108">
        <f t="shared" si="0"/>
        <v>4683600</v>
      </c>
      <c r="P23" s="108">
        <v>3160000</v>
      </c>
      <c r="Q23" s="62">
        <f t="shared" si="1"/>
        <v>-1523600</v>
      </c>
      <c r="R23" s="78"/>
      <c r="S23" s="51"/>
      <c r="T23" s="51"/>
    </row>
    <row r="24" spans="1:20" s="64" customFormat="1" ht="13.5" customHeight="1" x14ac:dyDescent="0.25">
      <c r="A24" s="53"/>
      <c r="B24" s="65">
        <v>42445</v>
      </c>
      <c r="C24" s="66" t="s">
        <v>204</v>
      </c>
      <c r="D24" s="106" t="s">
        <v>205</v>
      </c>
      <c r="E24" s="107" t="s">
        <v>206</v>
      </c>
      <c r="F24" s="106"/>
      <c r="G24" s="106"/>
      <c r="H24" s="59"/>
      <c r="I24" s="106"/>
      <c r="J24" s="108">
        <v>1740000</v>
      </c>
      <c r="K24" s="61"/>
      <c r="L24" s="67"/>
      <c r="M24" s="108"/>
      <c r="N24" s="108"/>
      <c r="O24" s="108">
        <f t="shared" si="0"/>
        <v>1740000</v>
      </c>
      <c r="P24" s="108">
        <v>5900000</v>
      </c>
      <c r="Q24" s="62">
        <f t="shared" si="1"/>
        <v>4160000</v>
      </c>
      <c r="R24" s="78"/>
      <c r="S24" s="51"/>
      <c r="T24" s="51"/>
    </row>
    <row r="25" spans="1:20" s="64" customFormat="1" ht="13.5" customHeight="1" x14ac:dyDescent="0.25">
      <c r="A25" s="53"/>
      <c r="B25" s="65">
        <v>42445</v>
      </c>
      <c r="C25" s="66" t="s">
        <v>204</v>
      </c>
      <c r="D25" s="106" t="s">
        <v>207</v>
      </c>
      <c r="E25" s="107" t="s">
        <v>24</v>
      </c>
      <c r="F25" s="106"/>
      <c r="G25" s="106"/>
      <c r="H25" s="59"/>
      <c r="I25" s="106"/>
      <c r="J25" s="108">
        <v>0</v>
      </c>
      <c r="K25" s="61"/>
      <c r="L25" s="67"/>
      <c r="M25" s="108"/>
      <c r="N25" s="108"/>
      <c r="O25" s="108">
        <f t="shared" si="0"/>
        <v>0</v>
      </c>
      <c r="P25" s="108">
        <v>0</v>
      </c>
      <c r="Q25" s="62">
        <f t="shared" si="1"/>
        <v>0</v>
      </c>
      <c r="R25" s="78"/>
      <c r="S25" s="51"/>
      <c r="T25" s="51"/>
    </row>
    <row r="26" spans="1:20" s="64" customFormat="1" ht="13.5" customHeight="1" x14ac:dyDescent="0.25">
      <c r="A26" s="53"/>
      <c r="B26" s="65">
        <v>42446</v>
      </c>
      <c r="C26" s="66" t="s">
        <v>208</v>
      </c>
      <c r="D26" s="106" t="s">
        <v>209</v>
      </c>
      <c r="E26" s="107" t="s">
        <v>210</v>
      </c>
      <c r="F26" s="106"/>
      <c r="G26" s="106"/>
      <c r="H26" s="59"/>
      <c r="I26" s="106"/>
      <c r="J26" s="108">
        <v>1740000</v>
      </c>
      <c r="K26" s="61"/>
      <c r="L26" s="67"/>
      <c r="M26" s="108"/>
      <c r="N26" s="108"/>
      <c r="O26" s="108">
        <f t="shared" si="0"/>
        <v>1740000</v>
      </c>
      <c r="P26" s="108">
        <v>5900000</v>
      </c>
      <c r="Q26" s="62">
        <f t="shared" si="1"/>
        <v>4160000</v>
      </c>
      <c r="R26" s="78"/>
      <c r="S26" s="51"/>
      <c r="T26" s="51"/>
    </row>
    <row r="27" spans="1:20" s="64" customFormat="1" ht="13.5" customHeight="1" x14ac:dyDescent="0.25">
      <c r="A27" s="53"/>
      <c r="B27" s="65">
        <v>42446</v>
      </c>
      <c r="C27" s="66" t="s">
        <v>208</v>
      </c>
      <c r="D27" s="106" t="s">
        <v>211</v>
      </c>
      <c r="E27" s="107" t="s">
        <v>24</v>
      </c>
      <c r="F27" s="106"/>
      <c r="G27" s="106"/>
      <c r="H27" s="59"/>
      <c r="I27" s="106"/>
      <c r="J27" s="108">
        <v>0</v>
      </c>
      <c r="K27" s="61"/>
      <c r="L27" s="67"/>
      <c r="M27" s="108"/>
      <c r="N27" s="108"/>
      <c r="O27" s="108">
        <f t="shared" si="0"/>
        <v>0</v>
      </c>
      <c r="P27" s="108">
        <v>0</v>
      </c>
      <c r="Q27" s="62">
        <f t="shared" si="1"/>
        <v>0</v>
      </c>
      <c r="R27" s="78"/>
      <c r="S27" s="51"/>
      <c r="T27" s="51"/>
    </row>
    <row r="28" spans="1:20" s="64" customFormat="1" ht="13.5" customHeight="1" x14ac:dyDescent="0.25">
      <c r="A28" s="53"/>
      <c r="B28" s="65">
        <v>42448</v>
      </c>
      <c r="C28" s="66" t="s">
        <v>212</v>
      </c>
      <c r="D28" s="106" t="s">
        <v>213</v>
      </c>
      <c r="E28" s="107" t="s">
        <v>189</v>
      </c>
      <c r="F28" s="106"/>
      <c r="G28" s="106">
        <v>373</v>
      </c>
      <c r="H28" s="59">
        <v>3573340</v>
      </c>
      <c r="I28" s="106"/>
      <c r="J28" s="108">
        <v>1740000</v>
      </c>
      <c r="K28" s="61"/>
      <c r="L28" s="67"/>
      <c r="M28" s="108"/>
      <c r="N28" s="108"/>
      <c r="O28" s="108">
        <f t="shared" si="0"/>
        <v>5313340</v>
      </c>
      <c r="P28" s="108">
        <v>4300000</v>
      </c>
      <c r="Q28" s="62">
        <f t="shared" si="1"/>
        <v>-1013340</v>
      </c>
      <c r="R28" s="78"/>
      <c r="S28" s="51"/>
      <c r="T28" s="51"/>
    </row>
    <row r="29" spans="1:20" s="64" customFormat="1" ht="13.5" customHeight="1" x14ac:dyDescent="0.25">
      <c r="A29" s="53"/>
      <c r="B29" s="65">
        <v>42450</v>
      </c>
      <c r="C29" s="66" t="s">
        <v>214</v>
      </c>
      <c r="D29" s="106" t="s">
        <v>215</v>
      </c>
      <c r="E29" s="107" t="s">
        <v>27</v>
      </c>
      <c r="F29" s="106"/>
      <c r="G29" s="106"/>
      <c r="H29" s="59"/>
      <c r="I29" s="106"/>
      <c r="J29" s="108">
        <v>0</v>
      </c>
      <c r="K29" s="61"/>
      <c r="L29" s="67"/>
      <c r="M29" s="108"/>
      <c r="N29" s="108"/>
      <c r="O29" s="108">
        <f t="shared" si="0"/>
        <v>0</v>
      </c>
      <c r="P29" s="108">
        <v>2900000</v>
      </c>
      <c r="Q29" s="62">
        <f t="shared" si="1"/>
        <v>2900000</v>
      </c>
      <c r="R29" s="78"/>
      <c r="S29" s="51"/>
      <c r="T29" s="51"/>
    </row>
    <row r="30" spans="1:20" s="64" customFormat="1" ht="13.5" customHeight="1" x14ac:dyDescent="0.25">
      <c r="A30" s="53"/>
      <c r="B30" s="65">
        <v>42451</v>
      </c>
      <c r="C30" s="66" t="s">
        <v>216</v>
      </c>
      <c r="D30" s="106" t="s">
        <v>217</v>
      </c>
      <c r="E30" s="107" t="s">
        <v>218</v>
      </c>
      <c r="F30" s="106"/>
      <c r="G30" s="106"/>
      <c r="H30" s="59"/>
      <c r="I30" s="106"/>
      <c r="J30" s="108">
        <v>1320000</v>
      </c>
      <c r="K30" s="61"/>
      <c r="L30" s="67"/>
      <c r="M30" s="108"/>
      <c r="N30" s="108"/>
      <c r="O30" s="108">
        <f t="shared" si="0"/>
        <v>1320000</v>
      </c>
      <c r="P30" s="108">
        <v>5000000</v>
      </c>
      <c r="Q30" s="62">
        <f>P30-O30</f>
        <v>3680000</v>
      </c>
      <c r="R30" s="78"/>
      <c r="S30" s="51"/>
      <c r="T30" s="51"/>
    </row>
    <row r="31" spans="1:20" s="64" customFormat="1" ht="13.5" customHeight="1" x14ac:dyDescent="0.25">
      <c r="A31" s="53"/>
      <c r="B31" s="65">
        <v>42452</v>
      </c>
      <c r="C31" s="66" t="s">
        <v>216</v>
      </c>
      <c r="D31" s="106" t="s">
        <v>219</v>
      </c>
      <c r="E31" s="107" t="s">
        <v>218</v>
      </c>
      <c r="F31" s="106"/>
      <c r="G31" s="106"/>
      <c r="H31" s="59"/>
      <c r="I31" s="106"/>
      <c r="J31" s="108">
        <v>0</v>
      </c>
      <c r="K31" s="61"/>
      <c r="L31" s="67"/>
      <c r="M31" s="108"/>
      <c r="N31" s="108"/>
      <c r="O31" s="108">
        <f t="shared" si="0"/>
        <v>0</v>
      </c>
      <c r="P31" s="108">
        <v>0</v>
      </c>
      <c r="Q31" s="62">
        <f t="shared" si="1"/>
        <v>0</v>
      </c>
      <c r="R31" s="78"/>
      <c r="S31" s="51"/>
      <c r="T31" s="51"/>
    </row>
    <row r="32" spans="1:20" s="64" customFormat="1" ht="13.5" customHeight="1" x14ac:dyDescent="0.25">
      <c r="A32" s="53"/>
      <c r="B32" s="65">
        <v>42452</v>
      </c>
      <c r="C32" s="66" t="s">
        <v>220</v>
      </c>
      <c r="D32" s="106" t="s">
        <v>221</v>
      </c>
      <c r="E32" s="107" t="s">
        <v>189</v>
      </c>
      <c r="F32" s="106"/>
      <c r="G32" s="106"/>
      <c r="H32" s="59"/>
      <c r="I32" s="106"/>
      <c r="J32" s="108">
        <f>1740000-620000</f>
        <v>1120000</v>
      </c>
      <c r="K32" s="61"/>
      <c r="L32" s="67"/>
      <c r="M32" s="108"/>
      <c r="N32" s="108"/>
      <c r="O32" s="108">
        <f t="shared" si="0"/>
        <v>1120000</v>
      </c>
      <c r="P32" s="108">
        <v>4300000</v>
      </c>
      <c r="Q32" s="62">
        <f t="shared" si="1"/>
        <v>3180000</v>
      </c>
      <c r="R32" s="78"/>
      <c r="S32" s="51"/>
      <c r="T32" s="51"/>
    </row>
    <row r="33" spans="1:20" s="64" customFormat="1" ht="13.5" customHeight="1" x14ac:dyDescent="0.25">
      <c r="A33" s="53"/>
      <c r="B33" s="65">
        <v>42453</v>
      </c>
      <c r="C33" s="66" t="s">
        <v>222</v>
      </c>
      <c r="D33" s="106" t="s">
        <v>223</v>
      </c>
      <c r="E33" s="107" t="s">
        <v>23</v>
      </c>
      <c r="F33" s="106"/>
      <c r="G33" s="106"/>
      <c r="H33" s="59"/>
      <c r="I33" s="106"/>
      <c r="J33" s="108">
        <v>3180000</v>
      </c>
      <c r="K33" s="61"/>
      <c r="L33" s="67"/>
      <c r="M33" s="108"/>
      <c r="N33" s="108"/>
      <c r="O33" s="108">
        <f t="shared" si="0"/>
        <v>3180000</v>
      </c>
      <c r="P33" s="108">
        <v>15454545</v>
      </c>
      <c r="Q33" s="62">
        <f t="shared" si="1"/>
        <v>12274545</v>
      </c>
      <c r="R33" s="78"/>
      <c r="S33" s="51"/>
      <c r="T33" s="51"/>
    </row>
    <row r="34" spans="1:20" s="64" customFormat="1" ht="13.5" customHeight="1" x14ac:dyDescent="0.25">
      <c r="A34" s="53"/>
      <c r="B34" s="65">
        <v>42457</v>
      </c>
      <c r="C34" s="66" t="s">
        <v>224</v>
      </c>
      <c r="D34" s="106" t="s">
        <v>225</v>
      </c>
      <c r="E34" s="107" t="s">
        <v>84</v>
      </c>
      <c r="F34" s="106"/>
      <c r="G34" s="106">
        <v>540</v>
      </c>
      <c r="H34" s="59">
        <v>5329800</v>
      </c>
      <c r="I34" s="106"/>
      <c r="J34" s="108">
        <v>1740000</v>
      </c>
      <c r="K34" s="61"/>
      <c r="L34" s="67"/>
      <c r="M34" s="108"/>
      <c r="N34" s="108"/>
      <c r="O34" s="108">
        <f t="shared" si="0"/>
        <v>7069800</v>
      </c>
      <c r="P34" s="108">
        <v>5740000</v>
      </c>
      <c r="Q34" s="62">
        <f t="shared" si="1"/>
        <v>-1329800</v>
      </c>
      <c r="R34" s="78"/>
      <c r="S34" s="51"/>
      <c r="T34" s="51"/>
    </row>
    <row r="35" spans="1:20" s="64" customFormat="1" ht="13.5" customHeight="1" x14ac:dyDescent="0.25">
      <c r="A35" s="53"/>
      <c r="B35" s="65">
        <v>42457</v>
      </c>
      <c r="C35" s="66" t="s">
        <v>224</v>
      </c>
      <c r="D35" s="106" t="s">
        <v>226</v>
      </c>
      <c r="E35" s="107" t="s">
        <v>27</v>
      </c>
      <c r="F35" s="106"/>
      <c r="G35" s="106"/>
      <c r="H35" s="59"/>
      <c r="I35" s="106"/>
      <c r="J35" s="108">
        <v>0</v>
      </c>
      <c r="K35" s="61"/>
      <c r="L35" s="67"/>
      <c r="M35" s="108"/>
      <c r="N35" s="108"/>
      <c r="O35" s="108">
        <f t="shared" si="0"/>
        <v>0</v>
      </c>
      <c r="P35" s="108">
        <v>0</v>
      </c>
      <c r="Q35" s="62">
        <f t="shared" si="1"/>
        <v>0</v>
      </c>
      <c r="R35" s="78"/>
      <c r="S35" s="51"/>
      <c r="T35" s="51"/>
    </row>
    <row r="36" spans="1:20" s="64" customFormat="1" ht="13.5" customHeight="1" x14ac:dyDescent="0.25">
      <c r="A36" s="53"/>
      <c r="B36" s="65">
        <v>42457</v>
      </c>
      <c r="C36" s="66" t="s">
        <v>227</v>
      </c>
      <c r="D36" s="106" t="s">
        <v>228</v>
      </c>
      <c r="E36" s="107" t="s">
        <v>229</v>
      </c>
      <c r="F36" s="106"/>
      <c r="G36" s="106"/>
      <c r="H36" s="59"/>
      <c r="I36" s="106"/>
      <c r="J36" s="108">
        <v>1120000</v>
      </c>
      <c r="K36" s="61"/>
      <c r="L36" s="67"/>
      <c r="M36" s="108"/>
      <c r="N36" s="108"/>
      <c r="O36" s="108">
        <f t="shared" si="0"/>
        <v>1120000</v>
      </c>
      <c r="P36" s="108">
        <v>3536364</v>
      </c>
      <c r="Q36" s="62">
        <f t="shared" si="1"/>
        <v>2416364</v>
      </c>
      <c r="R36" s="78"/>
      <c r="S36" s="51"/>
      <c r="T36" s="51"/>
    </row>
    <row r="37" spans="1:20" s="64" customFormat="1" ht="13.5" customHeight="1" x14ac:dyDescent="0.25">
      <c r="A37" s="53"/>
      <c r="B37" s="65">
        <v>42458</v>
      </c>
      <c r="C37" s="66" t="s">
        <v>230</v>
      </c>
      <c r="D37" s="106" t="s">
        <v>231</v>
      </c>
      <c r="E37" s="107" t="s">
        <v>118</v>
      </c>
      <c r="F37" s="106"/>
      <c r="G37" s="106"/>
      <c r="H37" s="59"/>
      <c r="I37" s="106"/>
      <c r="J37" s="108">
        <v>200000</v>
      </c>
      <c r="K37" s="61"/>
      <c r="L37" s="67"/>
      <c r="M37" s="108"/>
      <c r="N37" s="108"/>
      <c r="O37" s="108">
        <f t="shared" si="0"/>
        <v>200000</v>
      </c>
      <c r="P37" s="108">
        <v>1750000</v>
      </c>
      <c r="Q37" s="62">
        <f t="shared" si="1"/>
        <v>1550000</v>
      </c>
      <c r="R37" s="78"/>
      <c r="S37" s="51"/>
      <c r="T37" s="51"/>
    </row>
    <row r="38" spans="1:20" s="64" customFormat="1" x14ac:dyDescent="0.25">
      <c r="A38" s="53"/>
      <c r="B38" s="65"/>
      <c r="C38" s="66"/>
      <c r="D38" s="106"/>
      <c r="E38" s="107"/>
      <c r="F38" s="106"/>
      <c r="G38" s="106"/>
      <c r="H38" s="59"/>
      <c r="I38" s="106"/>
      <c r="J38" s="108"/>
      <c r="K38" s="61"/>
      <c r="L38" s="67"/>
      <c r="M38" s="108"/>
      <c r="N38" s="108"/>
      <c r="O38" s="108">
        <f t="shared" si="0"/>
        <v>0</v>
      </c>
      <c r="P38" s="108"/>
      <c r="Q38" s="62">
        <f t="shared" si="1"/>
        <v>0</v>
      </c>
      <c r="R38" s="78"/>
      <c r="S38" s="51"/>
      <c r="T38" s="51"/>
    </row>
    <row r="39" spans="1:20" s="64" customFormat="1" x14ac:dyDescent="0.25">
      <c r="A39" s="53"/>
      <c r="B39" s="65"/>
      <c r="C39" s="66"/>
      <c r="D39" s="106"/>
      <c r="E39" s="107"/>
      <c r="F39" s="106"/>
      <c r="G39" s="106"/>
      <c r="H39" s="59"/>
      <c r="I39" s="106"/>
      <c r="J39" s="108"/>
      <c r="K39" s="61"/>
      <c r="L39" s="67"/>
      <c r="M39" s="108"/>
      <c r="N39" s="108"/>
      <c r="O39" s="108">
        <f t="shared" si="0"/>
        <v>0</v>
      </c>
      <c r="P39" s="108"/>
      <c r="Q39" s="62">
        <f t="shared" si="1"/>
        <v>0</v>
      </c>
      <c r="R39" s="78"/>
      <c r="S39" s="51"/>
      <c r="T39" s="51"/>
    </row>
    <row r="40" spans="1:20" s="87" customFormat="1" x14ac:dyDescent="0.25">
      <c r="A40" s="81"/>
      <c r="B40" s="73"/>
      <c r="C40" s="73" t="s">
        <v>121</v>
      </c>
      <c r="D40" s="82"/>
      <c r="E40" s="83"/>
      <c r="F40" s="82"/>
      <c r="G40" s="82"/>
      <c r="H40" s="84"/>
      <c r="I40" s="82"/>
      <c r="J40" s="85"/>
      <c r="K40" s="74">
        <v>9000000</v>
      </c>
      <c r="L40" s="74"/>
      <c r="M40" s="85"/>
      <c r="N40" s="85"/>
      <c r="O40" s="108">
        <f t="shared" si="0"/>
        <v>9000000</v>
      </c>
      <c r="P40" s="108"/>
      <c r="Q40" s="86">
        <f t="shared" si="1"/>
        <v>-9000000</v>
      </c>
      <c r="R40" s="79"/>
    </row>
    <row r="41" spans="1:20" s="87" customFormat="1" x14ac:dyDescent="0.25">
      <c r="A41" s="88"/>
      <c r="B41" s="73"/>
      <c r="C41" s="73" t="s">
        <v>232</v>
      </c>
      <c r="D41" s="82"/>
      <c r="E41" s="83"/>
      <c r="F41" s="82"/>
      <c r="G41" s="82"/>
      <c r="H41" s="84"/>
      <c r="I41" s="82"/>
      <c r="J41" s="85"/>
      <c r="K41" s="74"/>
      <c r="L41" s="74">
        <v>290000</v>
      </c>
      <c r="M41" s="85"/>
      <c r="N41" s="85"/>
      <c r="O41" s="108">
        <f t="shared" si="0"/>
        <v>290000</v>
      </c>
      <c r="P41" s="108"/>
      <c r="Q41" s="86">
        <f t="shared" si="1"/>
        <v>-290000</v>
      </c>
      <c r="R41" s="79"/>
    </row>
    <row r="42" spans="1:20" s="87" customFormat="1" x14ac:dyDescent="0.25">
      <c r="A42" s="88"/>
      <c r="B42" s="73"/>
      <c r="C42" s="73" t="s">
        <v>233</v>
      </c>
      <c r="D42" s="82"/>
      <c r="E42" s="83"/>
      <c r="F42" s="82"/>
      <c r="G42" s="82"/>
      <c r="H42" s="84"/>
      <c r="I42" s="82"/>
      <c r="J42" s="85"/>
      <c r="K42" s="74"/>
      <c r="L42" s="74">
        <v>475000</v>
      </c>
      <c r="M42" s="85"/>
      <c r="N42" s="85"/>
      <c r="O42" s="108">
        <f t="shared" si="0"/>
        <v>475000</v>
      </c>
      <c r="P42" s="108"/>
      <c r="Q42" s="86">
        <f t="shared" si="1"/>
        <v>-475000</v>
      </c>
      <c r="R42" s="79"/>
    </row>
    <row r="43" spans="1:20" s="87" customFormat="1" x14ac:dyDescent="0.25">
      <c r="A43" s="88"/>
      <c r="B43" s="73"/>
      <c r="C43" s="73" t="s">
        <v>122</v>
      </c>
      <c r="D43" s="82"/>
      <c r="E43" s="83"/>
      <c r="F43" s="82"/>
      <c r="G43" s="82"/>
      <c r="H43" s="84"/>
      <c r="I43" s="82"/>
      <c r="J43" s="85"/>
      <c r="K43" s="74"/>
      <c r="L43" s="74">
        <v>180000</v>
      </c>
      <c r="M43" s="85"/>
      <c r="N43" s="85"/>
      <c r="O43" s="108">
        <f t="shared" si="0"/>
        <v>180000</v>
      </c>
      <c r="P43" s="108"/>
      <c r="Q43" s="86">
        <f t="shared" si="1"/>
        <v>-180000</v>
      </c>
      <c r="R43" s="79"/>
    </row>
    <row r="44" spans="1:20" s="87" customFormat="1" x14ac:dyDescent="0.25">
      <c r="A44" s="88"/>
      <c r="B44" s="73"/>
      <c r="C44" s="73" t="s">
        <v>234</v>
      </c>
      <c r="D44" s="82"/>
      <c r="E44" s="83"/>
      <c r="F44" s="82"/>
      <c r="G44" s="82"/>
      <c r="H44" s="84"/>
      <c r="I44" s="82"/>
      <c r="J44" s="85"/>
      <c r="K44" s="74"/>
      <c r="L44" s="74">
        <v>150000</v>
      </c>
      <c r="M44" s="85"/>
      <c r="N44" s="85"/>
      <c r="O44" s="108">
        <f t="shared" si="0"/>
        <v>150000</v>
      </c>
      <c r="P44" s="108"/>
      <c r="Q44" s="86">
        <f t="shared" si="1"/>
        <v>-150000</v>
      </c>
      <c r="R44" s="79"/>
    </row>
    <row r="45" spans="1:20" s="87" customFormat="1" x14ac:dyDescent="0.25">
      <c r="A45" s="88"/>
      <c r="B45" s="73"/>
      <c r="C45" s="73" t="s">
        <v>26</v>
      </c>
      <c r="D45" s="82"/>
      <c r="E45" s="83"/>
      <c r="F45" s="82"/>
      <c r="G45" s="82"/>
      <c r="H45" s="84"/>
      <c r="I45" s="82"/>
      <c r="J45" s="85"/>
      <c r="K45" s="74"/>
      <c r="L45" s="74">
        <f>3960000/3</f>
        <v>1320000</v>
      </c>
      <c r="M45" s="85"/>
      <c r="N45" s="85"/>
      <c r="O45" s="108">
        <f t="shared" si="0"/>
        <v>1320000</v>
      </c>
      <c r="P45" s="108"/>
      <c r="Q45" s="86">
        <f t="shared" si="1"/>
        <v>-1320000</v>
      </c>
      <c r="R45" s="79"/>
    </row>
    <row r="46" spans="1:20" s="87" customFormat="1" x14ac:dyDescent="0.25">
      <c r="A46" s="88"/>
      <c r="B46" s="73"/>
      <c r="C46" s="73"/>
      <c r="D46" s="82"/>
      <c r="E46" s="83"/>
      <c r="F46" s="82"/>
      <c r="G46" s="82"/>
      <c r="H46" s="84"/>
      <c r="I46" s="82"/>
      <c r="J46" s="85"/>
      <c r="K46" s="74"/>
      <c r="L46" s="74"/>
      <c r="M46" s="85"/>
      <c r="N46" s="85"/>
      <c r="O46" s="108">
        <f t="shared" si="0"/>
        <v>0</v>
      </c>
      <c r="P46" s="108"/>
      <c r="Q46" s="86">
        <f t="shared" si="1"/>
        <v>0</v>
      </c>
      <c r="R46" s="79" t="s">
        <v>235</v>
      </c>
    </row>
    <row r="47" spans="1:20" x14ac:dyDescent="0.25">
      <c r="A47" s="406" t="s">
        <v>20</v>
      </c>
      <c r="B47" s="407"/>
      <c r="C47" s="407"/>
      <c r="D47" s="407"/>
      <c r="E47" s="407"/>
      <c r="F47" s="408"/>
      <c r="G47" s="75">
        <f>SUM(G7:G46)</f>
        <v>2256</v>
      </c>
      <c r="H47" s="76">
        <f>SUM(H7:H46)</f>
        <v>21769080</v>
      </c>
      <c r="I47" s="76">
        <f>SUM(I7:I46)</f>
        <v>0</v>
      </c>
      <c r="J47" s="76">
        <f>SUM(J7:J46)</f>
        <v>28140000</v>
      </c>
      <c r="K47" s="76">
        <f t="shared" ref="K47:Q47" si="2">SUM(K7:K46)</f>
        <v>9000000</v>
      </c>
      <c r="L47" s="76">
        <f t="shared" si="2"/>
        <v>2415000</v>
      </c>
      <c r="M47" s="76">
        <f t="shared" si="2"/>
        <v>0</v>
      </c>
      <c r="N47" s="76">
        <f t="shared" si="2"/>
        <v>0</v>
      </c>
      <c r="O47" s="76">
        <f>SUM(O8:O46)</f>
        <v>61324080</v>
      </c>
      <c r="P47" s="76">
        <f t="shared" si="2"/>
        <v>109109091</v>
      </c>
      <c r="Q47" s="76">
        <f t="shared" si="2"/>
        <v>47785011</v>
      </c>
      <c r="R47" s="110">
        <f>'T01-2016'!Q33+'T02-2016'!Q17+'03-2016'!Q47</f>
        <v>118890907</v>
      </c>
    </row>
    <row r="48" spans="1:20" x14ac:dyDescent="0.25">
      <c r="O48" s="79">
        <f>SUM(H8:N45)</f>
        <v>61324080</v>
      </c>
      <c r="Q48" s="79" t="s">
        <v>236</v>
      </c>
      <c r="R48" s="78">
        <f>R47*12%</f>
        <v>14266908.84</v>
      </c>
    </row>
    <row r="49" spans="2:18" x14ac:dyDescent="0.25">
      <c r="O49" s="78">
        <f>O48-O47</f>
        <v>0</v>
      </c>
      <c r="Q49" s="78" t="s">
        <v>237</v>
      </c>
      <c r="R49" s="78">
        <f>R47-R48</f>
        <v>104623998.16</v>
      </c>
    </row>
    <row r="50" spans="2:18" x14ac:dyDescent="0.25">
      <c r="B50" s="51"/>
      <c r="H50" s="51"/>
      <c r="J50" s="51"/>
      <c r="K50" s="51"/>
      <c r="L50" s="51"/>
      <c r="M50" s="51"/>
      <c r="N50" s="51"/>
      <c r="O50" s="51"/>
      <c r="P50" s="51" t="s">
        <v>235</v>
      </c>
      <c r="Q50" s="112">
        <f>Q47+'T02-2016'!Q19</f>
        <v>118890907</v>
      </c>
      <c r="R50" s="112"/>
    </row>
    <row r="51" spans="2:18" x14ac:dyDescent="0.25">
      <c r="B51" s="51"/>
      <c r="H51" s="51"/>
      <c r="J51" s="51"/>
      <c r="K51" s="51"/>
      <c r="L51" s="51"/>
      <c r="M51" s="51"/>
      <c r="N51" s="51"/>
      <c r="O51" s="51"/>
      <c r="P51" s="51"/>
      <c r="Q51" s="51"/>
    </row>
    <row r="52" spans="2:18" x14ac:dyDescent="0.25">
      <c r="B52" s="51"/>
      <c r="H52" s="51"/>
      <c r="J52" s="51"/>
      <c r="K52" s="51"/>
      <c r="L52" s="51"/>
      <c r="M52" s="51"/>
      <c r="N52" s="51"/>
      <c r="O52" s="51"/>
      <c r="P52" s="51"/>
      <c r="Q52" s="51"/>
    </row>
    <row r="53" spans="2:18" x14ac:dyDescent="0.25">
      <c r="B53" s="51"/>
      <c r="H53" s="51"/>
      <c r="J53" s="51"/>
      <c r="K53" s="51"/>
      <c r="L53" s="51"/>
      <c r="M53" s="51"/>
      <c r="N53" s="51"/>
      <c r="O53" s="51"/>
      <c r="P53" s="51"/>
      <c r="Q53" s="51"/>
    </row>
    <row r="54" spans="2:18" x14ac:dyDescent="0.25">
      <c r="B54" s="51"/>
      <c r="H54" s="51"/>
      <c r="J54" s="51"/>
      <c r="K54" s="51"/>
      <c r="L54" s="51"/>
      <c r="M54" s="51"/>
      <c r="N54" s="51"/>
      <c r="O54" s="51"/>
      <c r="P54" s="51"/>
      <c r="Q54" s="51"/>
    </row>
    <row r="55" spans="2:18" x14ac:dyDescent="0.25">
      <c r="B55" s="51"/>
      <c r="H55" s="51"/>
      <c r="J55" s="51"/>
      <c r="K55" s="51"/>
      <c r="L55" s="51"/>
      <c r="M55" s="51"/>
      <c r="N55" s="51"/>
      <c r="O55" s="51"/>
      <c r="P55" s="51"/>
      <c r="Q55" s="51"/>
    </row>
    <row r="56" spans="2:18" x14ac:dyDescent="0.25">
      <c r="B56" s="51"/>
      <c r="H56" s="51"/>
      <c r="J56" s="51"/>
      <c r="K56" s="51"/>
      <c r="L56" s="51"/>
      <c r="M56" s="51"/>
      <c r="N56" s="51"/>
      <c r="O56" s="51"/>
      <c r="P56" s="51"/>
      <c r="Q56" s="51"/>
      <c r="R56" s="80"/>
    </row>
  </sheetData>
  <mergeCells count="14">
    <mergeCell ref="O5:O6"/>
    <mergeCell ref="P5:P6"/>
    <mergeCell ref="Q5:Q6"/>
    <mergeCell ref="A47:F47"/>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8" orientation="landscape"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2"/>
  <sheetViews>
    <sheetView topLeftCell="C23" workbookViewId="0">
      <selection activeCell="Q46" sqref="Q46"/>
    </sheetView>
  </sheetViews>
  <sheetFormatPr defaultColWidth="9.140625" defaultRowHeight="12.75" x14ac:dyDescent="0.25"/>
  <cols>
    <col min="1" max="1" width="4.5703125" style="51" customWidth="1"/>
    <col min="2" max="2" width="10.28515625" style="118" customWidth="1"/>
    <col min="3" max="3" width="27" style="51" customWidth="1"/>
    <col min="4" max="4" width="12.42578125" style="51" customWidth="1"/>
    <col min="5" max="5" width="30.28515625" style="51" customWidth="1"/>
    <col min="6" max="6" width="11.5703125" style="51" customWidth="1"/>
    <col min="7" max="7" width="8" style="51" customWidth="1"/>
    <col min="8" max="8" width="11" style="78" customWidth="1"/>
    <col min="9" max="9" width="12.28515625" style="51" customWidth="1"/>
    <col min="10" max="10" width="8.7109375" style="78" bestFit="1" customWidth="1"/>
    <col min="11" max="11" width="9.5703125" style="78" customWidth="1"/>
    <col min="12" max="12" width="9.42578125" style="78" customWidth="1"/>
    <col min="13" max="13" width="8.5703125" style="78" customWidth="1"/>
    <col min="14" max="14" width="9.5703125" style="78" customWidth="1"/>
    <col min="15" max="15" width="12.7109375" style="78" customWidth="1"/>
    <col min="16" max="16" width="13.85546875" style="78" customWidth="1"/>
    <col min="17" max="17" width="12.28515625" style="78" customWidth="1"/>
    <col min="18" max="18" width="12.5703125" style="78" customWidth="1"/>
    <col min="19" max="16384" width="9.140625" style="51"/>
  </cols>
  <sheetData>
    <row r="1" spans="1:19" ht="23.25" x14ac:dyDescent="0.25">
      <c r="A1" s="409" t="s">
        <v>0</v>
      </c>
      <c r="B1" s="409"/>
      <c r="C1" s="409"/>
      <c r="D1" s="409"/>
      <c r="E1" s="409"/>
      <c r="F1" s="409"/>
      <c r="G1" s="409"/>
      <c r="H1" s="409"/>
      <c r="I1" s="409"/>
      <c r="J1" s="409"/>
      <c r="K1" s="409"/>
      <c r="L1" s="409"/>
      <c r="M1" s="409"/>
      <c r="N1" s="409"/>
      <c r="O1" s="409"/>
      <c r="P1" s="409"/>
      <c r="Q1" s="409"/>
      <c r="R1" s="94"/>
    </row>
    <row r="2" spans="1:19" ht="15.75" x14ac:dyDescent="0.25">
      <c r="A2" s="410" t="s">
        <v>19</v>
      </c>
      <c r="B2" s="410"/>
      <c r="C2" s="410"/>
      <c r="D2" s="410"/>
      <c r="E2" s="410"/>
      <c r="F2" s="410"/>
      <c r="G2" s="410"/>
      <c r="H2" s="410"/>
      <c r="I2" s="410"/>
      <c r="J2" s="410"/>
      <c r="K2" s="410"/>
      <c r="L2" s="410"/>
      <c r="M2" s="410"/>
      <c r="N2" s="410"/>
      <c r="O2" s="410"/>
      <c r="P2" s="410"/>
      <c r="Q2" s="410"/>
      <c r="R2" s="3"/>
    </row>
    <row r="3" spans="1:19" ht="15.75" x14ac:dyDescent="0.25">
      <c r="A3" s="52"/>
      <c r="B3" s="410" t="s">
        <v>238</v>
      </c>
      <c r="C3" s="410"/>
      <c r="D3" s="410"/>
      <c r="E3" s="410"/>
      <c r="F3" s="410"/>
      <c r="G3" s="410"/>
      <c r="H3" s="410"/>
      <c r="I3" s="410"/>
      <c r="J3" s="410"/>
      <c r="K3" s="410"/>
      <c r="L3" s="410"/>
      <c r="M3" s="410"/>
      <c r="N3" s="410"/>
      <c r="O3" s="410"/>
      <c r="P3" s="410"/>
      <c r="Q3" s="410"/>
      <c r="R3" s="3"/>
    </row>
    <row r="5" spans="1:19"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c r="R5" s="50"/>
    </row>
    <row r="6" spans="1:19" s="3" customFormat="1" x14ac:dyDescent="0.25">
      <c r="A6" s="400"/>
      <c r="B6" s="402"/>
      <c r="C6" s="400"/>
      <c r="D6" s="400"/>
      <c r="E6" s="404"/>
      <c r="F6" s="404"/>
      <c r="G6" s="4" t="s">
        <v>7</v>
      </c>
      <c r="H6" s="5" t="s">
        <v>15</v>
      </c>
      <c r="I6" s="4" t="s">
        <v>16</v>
      </c>
      <c r="J6" s="5" t="s">
        <v>8</v>
      </c>
      <c r="K6" s="5" t="s">
        <v>9</v>
      </c>
      <c r="L6" s="5" t="s">
        <v>10</v>
      </c>
      <c r="M6" s="5" t="s">
        <v>11</v>
      </c>
      <c r="N6" s="5" t="s">
        <v>12</v>
      </c>
      <c r="O6" s="393"/>
      <c r="P6" s="393"/>
      <c r="Q6" s="393"/>
      <c r="R6" s="50"/>
    </row>
    <row r="7" spans="1:19" s="64" customFormat="1" x14ac:dyDescent="0.25">
      <c r="A7" s="53"/>
      <c r="B7" s="113"/>
      <c r="C7" s="55"/>
      <c r="D7" s="56"/>
      <c r="E7" s="57"/>
      <c r="F7" s="58"/>
      <c r="G7" s="59"/>
      <c r="H7" s="60"/>
      <c r="I7" s="60"/>
      <c r="J7" s="61"/>
      <c r="K7" s="61"/>
      <c r="L7" s="61"/>
      <c r="M7" s="61"/>
      <c r="N7" s="61"/>
      <c r="O7" s="62"/>
      <c r="P7" s="119"/>
      <c r="Q7" s="62"/>
      <c r="R7" s="78"/>
      <c r="S7" s="51"/>
    </row>
    <row r="8" spans="1:19" s="64" customFormat="1" ht="13.5" customHeight="1" x14ac:dyDescent="0.25">
      <c r="A8" s="53">
        <v>1</v>
      </c>
      <c r="B8" s="114">
        <v>42460</v>
      </c>
      <c r="C8" s="66" t="s">
        <v>239</v>
      </c>
      <c r="D8" s="106" t="s">
        <v>240</v>
      </c>
      <c r="E8" s="107" t="s">
        <v>189</v>
      </c>
      <c r="F8" s="106"/>
      <c r="G8" s="106"/>
      <c r="H8" s="59"/>
      <c r="I8" s="106"/>
      <c r="J8" s="108">
        <v>1120000</v>
      </c>
      <c r="K8" s="61"/>
      <c r="L8" s="67"/>
      <c r="M8" s="108"/>
      <c r="N8" s="108"/>
      <c r="O8" s="62">
        <f t="shared" ref="O8:O42" si="0">N8+M8+L8+K8+J8+H8</f>
        <v>1120000</v>
      </c>
      <c r="P8" s="61">
        <v>4300000</v>
      </c>
      <c r="Q8" s="62">
        <f>P8-O8</f>
        <v>3180000</v>
      </c>
      <c r="R8" s="78"/>
      <c r="S8" s="51"/>
    </row>
    <row r="9" spans="1:19" s="64" customFormat="1" ht="13.5" customHeight="1" x14ac:dyDescent="0.25">
      <c r="A9" s="53">
        <v>2</v>
      </c>
      <c r="B9" s="114">
        <v>42464</v>
      </c>
      <c r="C9" s="66" t="s">
        <v>241</v>
      </c>
      <c r="D9" s="106" t="s">
        <v>242</v>
      </c>
      <c r="E9" s="107" t="s">
        <v>243</v>
      </c>
      <c r="F9" s="106"/>
      <c r="G9" s="106"/>
      <c r="H9" s="59"/>
      <c r="I9" s="106"/>
      <c r="J9" s="108">
        <v>1400000</v>
      </c>
      <c r="K9" s="61"/>
      <c r="L9" s="67"/>
      <c r="M9" s="108"/>
      <c r="N9" s="108"/>
      <c r="O9" s="62">
        <f t="shared" si="0"/>
        <v>1400000</v>
      </c>
      <c r="P9" s="61">
        <v>5100000</v>
      </c>
      <c r="Q9" s="62">
        <f t="shared" ref="Q9:Q33" si="1">P9-O9</f>
        <v>3700000</v>
      </c>
      <c r="R9" s="78"/>
      <c r="S9" s="51"/>
    </row>
    <row r="10" spans="1:19" s="64" customFormat="1" ht="13.5" customHeight="1" x14ac:dyDescent="0.25">
      <c r="A10" s="53">
        <v>3</v>
      </c>
      <c r="B10" s="114">
        <v>42464</v>
      </c>
      <c r="C10" s="66" t="s">
        <v>244</v>
      </c>
      <c r="D10" s="106" t="s">
        <v>245</v>
      </c>
      <c r="E10" s="107" t="s">
        <v>27</v>
      </c>
      <c r="F10" s="106"/>
      <c r="G10" s="106"/>
      <c r="H10" s="59"/>
      <c r="I10" s="106"/>
      <c r="J10" s="108">
        <v>0</v>
      </c>
      <c r="K10" s="61"/>
      <c r="L10" s="67"/>
      <c r="M10" s="108"/>
      <c r="N10" s="108"/>
      <c r="O10" s="62">
        <f t="shared" si="0"/>
        <v>0</v>
      </c>
      <c r="P10" s="61">
        <v>0</v>
      </c>
      <c r="Q10" s="62">
        <f t="shared" si="1"/>
        <v>0</v>
      </c>
      <c r="R10" s="78"/>
      <c r="S10" s="51"/>
    </row>
    <row r="11" spans="1:19" s="64" customFormat="1" ht="13.5" customHeight="1" x14ac:dyDescent="0.25">
      <c r="A11" s="53">
        <v>4</v>
      </c>
      <c r="B11" s="114">
        <v>42465</v>
      </c>
      <c r="C11" s="66" t="s">
        <v>246</v>
      </c>
      <c r="D11" s="106" t="s">
        <v>247</v>
      </c>
      <c r="E11" s="107" t="s">
        <v>248</v>
      </c>
      <c r="F11" s="106"/>
      <c r="G11" s="106"/>
      <c r="H11" s="59"/>
      <c r="I11" s="106"/>
      <c r="J11" s="108">
        <v>1380000</v>
      </c>
      <c r="K11" s="61"/>
      <c r="L11" s="67"/>
      <c r="M11" s="108"/>
      <c r="N11" s="108"/>
      <c r="O11" s="62">
        <f t="shared" si="0"/>
        <v>1380000</v>
      </c>
      <c r="P11" s="61">
        <v>4400000</v>
      </c>
      <c r="Q11" s="62">
        <f t="shared" si="1"/>
        <v>3020000</v>
      </c>
      <c r="R11" s="78"/>
      <c r="S11" s="51"/>
    </row>
    <row r="12" spans="1:19" s="64" customFormat="1" ht="13.5" customHeight="1" x14ac:dyDescent="0.25">
      <c r="A12" s="53">
        <v>5</v>
      </c>
      <c r="B12" s="114">
        <v>42466</v>
      </c>
      <c r="C12" s="66" t="s">
        <v>249</v>
      </c>
      <c r="D12" s="106" t="s">
        <v>250</v>
      </c>
      <c r="E12" s="107" t="s">
        <v>251</v>
      </c>
      <c r="F12" s="106"/>
      <c r="G12" s="106"/>
      <c r="H12" s="59"/>
      <c r="I12" s="106"/>
      <c r="J12" s="108">
        <v>1820000</v>
      </c>
      <c r="K12" s="61"/>
      <c r="L12" s="67"/>
      <c r="M12" s="108"/>
      <c r="N12" s="108"/>
      <c r="O12" s="62">
        <f t="shared" si="0"/>
        <v>1820000</v>
      </c>
      <c r="P12" s="61">
        <v>5500000</v>
      </c>
      <c r="Q12" s="62">
        <f t="shared" si="1"/>
        <v>3680000</v>
      </c>
      <c r="R12" s="78"/>
      <c r="S12" s="51"/>
    </row>
    <row r="13" spans="1:19" s="64" customFormat="1" ht="13.5" customHeight="1" x14ac:dyDescent="0.25">
      <c r="A13" s="53">
        <v>6</v>
      </c>
      <c r="B13" s="114">
        <v>42467</v>
      </c>
      <c r="C13" s="66" t="s">
        <v>252</v>
      </c>
      <c r="D13" s="106" t="s">
        <v>253</v>
      </c>
      <c r="E13" s="107" t="s">
        <v>21</v>
      </c>
      <c r="F13" s="106"/>
      <c r="G13" s="106"/>
      <c r="H13" s="59"/>
      <c r="I13" s="106"/>
      <c r="J13" s="108">
        <v>890000</v>
      </c>
      <c r="K13" s="61"/>
      <c r="L13" s="67"/>
      <c r="M13" s="108"/>
      <c r="N13" s="108"/>
      <c r="O13" s="62">
        <f t="shared" si="0"/>
        <v>890000</v>
      </c>
      <c r="P13" s="61">
        <v>3090909</v>
      </c>
      <c r="Q13" s="62">
        <f t="shared" si="1"/>
        <v>2200909</v>
      </c>
      <c r="R13" s="78"/>
      <c r="S13" s="51"/>
    </row>
    <row r="14" spans="1:19" s="64" customFormat="1" ht="13.5" customHeight="1" x14ac:dyDescent="0.25">
      <c r="A14" s="53">
        <v>7</v>
      </c>
      <c r="B14" s="114">
        <v>42468</v>
      </c>
      <c r="C14" s="66" t="s">
        <v>254</v>
      </c>
      <c r="D14" s="106" t="s">
        <v>255</v>
      </c>
      <c r="E14" s="107" t="s">
        <v>256</v>
      </c>
      <c r="F14" s="106"/>
      <c r="G14" s="106">
        <v>680</v>
      </c>
      <c r="H14" s="59">
        <v>6711600</v>
      </c>
      <c r="I14" s="106"/>
      <c r="J14" s="108">
        <v>1400000</v>
      </c>
      <c r="K14" s="61"/>
      <c r="L14" s="67"/>
      <c r="M14" s="108"/>
      <c r="N14" s="108"/>
      <c r="O14" s="62">
        <f t="shared" si="0"/>
        <v>8111600</v>
      </c>
      <c r="P14" s="61">
        <v>5300000</v>
      </c>
      <c r="Q14" s="62">
        <f t="shared" si="1"/>
        <v>-2811600</v>
      </c>
      <c r="R14" s="78"/>
      <c r="S14" s="51"/>
    </row>
    <row r="15" spans="1:19" s="64" customFormat="1" ht="13.5" customHeight="1" x14ac:dyDescent="0.25">
      <c r="A15" s="53">
        <v>8</v>
      </c>
      <c r="B15" s="114">
        <v>42471</v>
      </c>
      <c r="C15" s="66" t="s">
        <v>257</v>
      </c>
      <c r="D15" s="106" t="s">
        <v>258</v>
      </c>
      <c r="E15" s="107" t="s">
        <v>259</v>
      </c>
      <c r="F15" s="106"/>
      <c r="G15" s="106"/>
      <c r="H15" s="59"/>
      <c r="I15" s="106"/>
      <c r="J15" s="108">
        <v>1820000</v>
      </c>
      <c r="K15" s="61"/>
      <c r="L15" s="67"/>
      <c r="M15" s="108"/>
      <c r="N15" s="108"/>
      <c r="O15" s="62">
        <f t="shared" si="0"/>
        <v>1820000</v>
      </c>
      <c r="P15" s="61">
        <v>6000000</v>
      </c>
      <c r="Q15" s="62">
        <f t="shared" si="1"/>
        <v>4180000</v>
      </c>
      <c r="R15" s="78"/>
      <c r="S15" s="51"/>
    </row>
    <row r="16" spans="1:19" s="64" customFormat="1" ht="13.5" customHeight="1" x14ac:dyDescent="0.25">
      <c r="A16" s="53">
        <v>9</v>
      </c>
      <c r="B16" s="114">
        <v>42471</v>
      </c>
      <c r="C16" s="66" t="s">
        <v>260</v>
      </c>
      <c r="D16" s="106" t="s">
        <v>261</v>
      </c>
      <c r="E16" s="107" t="s">
        <v>27</v>
      </c>
      <c r="F16" s="106"/>
      <c r="G16" s="106"/>
      <c r="H16" s="59"/>
      <c r="I16" s="106"/>
      <c r="J16" s="108">
        <v>0</v>
      </c>
      <c r="K16" s="61"/>
      <c r="L16" s="67"/>
      <c r="M16" s="108"/>
      <c r="N16" s="108"/>
      <c r="O16" s="62">
        <f t="shared" si="0"/>
        <v>0</v>
      </c>
      <c r="P16" s="61">
        <v>0</v>
      </c>
      <c r="Q16" s="62">
        <f t="shared" si="1"/>
        <v>0</v>
      </c>
      <c r="R16" s="78"/>
      <c r="S16" s="51"/>
    </row>
    <row r="17" spans="1:19" s="64" customFormat="1" ht="13.5" customHeight="1" x14ac:dyDescent="0.25">
      <c r="A17" s="53">
        <v>10</v>
      </c>
      <c r="B17" s="114">
        <v>42472</v>
      </c>
      <c r="C17" s="66" t="s">
        <v>262</v>
      </c>
      <c r="D17" s="106" t="s">
        <v>263</v>
      </c>
      <c r="E17" s="107" t="s">
        <v>146</v>
      </c>
      <c r="F17" s="106"/>
      <c r="G17" s="106"/>
      <c r="H17" s="59"/>
      <c r="I17" s="106"/>
      <c r="J17" s="108">
        <v>1820000</v>
      </c>
      <c r="K17" s="61"/>
      <c r="L17" s="67"/>
      <c r="M17" s="108"/>
      <c r="N17" s="108"/>
      <c r="O17" s="62">
        <f t="shared" si="0"/>
        <v>1820000</v>
      </c>
      <c r="P17" s="61">
        <v>5500000</v>
      </c>
      <c r="Q17" s="62">
        <f t="shared" si="1"/>
        <v>3680000</v>
      </c>
      <c r="R17" s="78"/>
      <c r="S17" s="51"/>
    </row>
    <row r="18" spans="1:19" s="64" customFormat="1" ht="13.5" customHeight="1" x14ac:dyDescent="0.25">
      <c r="A18" s="53">
        <v>11</v>
      </c>
      <c r="B18" s="114">
        <v>42473</v>
      </c>
      <c r="C18" s="66" t="s">
        <v>264</v>
      </c>
      <c r="D18" s="106" t="s">
        <v>265</v>
      </c>
      <c r="E18" s="107" t="s">
        <v>21</v>
      </c>
      <c r="F18" s="106"/>
      <c r="G18" s="106"/>
      <c r="H18" s="59"/>
      <c r="I18" s="106"/>
      <c r="J18" s="108">
        <v>1470000</v>
      </c>
      <c r="K18" s="61"/>
      <c r="L18" s="67"/>
      <c r="M18" s="108"/>
      <c r="N18" s="108"/>
      <c r="O18" s="62">
        <f t="shared" si="0"/>
        <v>1470000</v>
      </c>
      <c r="P18" s="61">
        <v>3090909</v>
      </c>
      <c r="Q18" s="62">
        <f t="shared" si="1"/>
        <v>1620909</v>
      </c>
      <c r="R18" s="78"/>
      <c r="S18" s="51"/>
    </row>
    <row r="19" spans="1:19" s="64" customFormat="1" ht="13.5" customHeight="1" x14ac:dyDescent="0.25">
      <c r="A19" s="53">
        <v>12</v>
      </c>
      <c r="B19" s="114">
        <v>42473</v>
      </c>
      <c r="C19" s="66" t="s">
        <v>266</v>
      </c>
      <c r="D19" s="106" t="s">
        <v>267</v>
      </c>
      <c r="E19" s="107" t="s">
        <v>146</v>
      </c>
      <c r="F19" s="106"/>
      <c r="G19" s="106"/>
      <c r="H19" s="59"/>
      <c r="I19" s="106"/>
      <c r="J19" s="108">
        <v>1820000</v>
      </c>
      <c r="K19" s="61"/>
      <c r="L19" s="67"/>
      <c r="M19" s="108"/>
      <c r="N19" s="108"/>
      <c r="O19" s="62">
        <f t="shared" si="0"/>
        <v>1820000</v>
      </c>
      <c r="P19" s="61">
        <v>5500000</v>
      </c>
      <c r="Q19" s="62">
        <f t="shared" si="1"/>
        <v>3680000</v>
      </c>
      <c r="R19" s="78"/>
      <c r="S19" s="51"/>
    </row>
    <row r="20" spans="1:19" s="64" customFormat="1" ht="13.5" customHeight="1" x14ac:dyDescent="0.25">
      <c r="A20" s="53">
        <v>13</v>
      </c>
      <c r="B20" s="114">
        <v>42474</v>
      </c>
      <c r="C20" s="66" t="s">
        <v>268</v>
      </c>
      <c r="D20" s="106" t="s">
        <v>269</v>
      </c>
      <c r="E20" s="107" t="s">
        <v>79</v>
      </c>
      <c r="F20" s="106"/>
      <c r="G20" s="106">
        <v>437</v>
      </c>
      <c r="H20" s="59">
        <v>4313190</v>
      </c>
      <c r="I20" s="106"/>
      <c r="J20" s="108">
        <v>1820000</v>
      </c>
      <c r="K20" s="61"/>
      <c r="L20" s="67"/>
      <c r="M20" s="108"/>
      <c r="N20" s="108"/>
      <c r="O20" s="62">
        <f t="shared" si="0"/>
        <v>6133190</v>
      </c>
      <c r="P20" s="61">
        <v>5500000</v>
      </c>
      <c r="Q20" s="62">
        <f t="shared" si="1"/>
        <v>-633190</v>
      </c>
      <c r="R20" s="78"/>
      <c r="S20" s="51"/>
    </row>
    <row r="21" spans="1:19" s="64" customFormat="1" ht="13.5" customHeight="1" x14ac:dyDescent="0.25">
      <c r="A21" s="53">
        <v>14</v>
      </c>
      <c r="B21" s="114">
        <v>42474</v>
      </c>
      <c r="C21" s="66" t="s">
        <v>270</v>
      </c>
      <c r="D21" s="106" t="s">
        <v>271</v>
      </c>
      <c r="E21" s="107" t="s">
        <v>27</v>
      </c>
      <c r="F21" s="106"/>
      <c r="G21" s="106"/>
      <c r="H21" s="59"/>
      <c r="I21" s="106"/>
      <c r="J21" s="108">
        <v>0</v>
      </c>
      <c r="K21" s="61"/>
      <c r="L21" s="67"/>
      <c r="M21" s="108"/>
      <c r="N21" s="108"/>
      <c r="O21" s="62">
        <f t="shared" si="0"/>
        <v>0</v>
      </c>
      <c r="P21" s="61">
        <v>0</v>
      </c>
      <c r="Q21" s="62">
        <f t="shared" si="1"/>
        <v>0</v>
      </c>
      <c r="R21" s="78"/>
      <c r="S21" s="51"/>
    </row>
    <row r="22" spans="1:19" s="64" customFormat="1" ht="13.5" customHeight="1" x14ac:dyDescent="0.25">
      <c r="A22" s="53">
        <v>15</v>
      </c>
      <c r="B22" s="114">
        <v>42478</v>
      </c>
      <c r="C22" s="66" t="s">
        <v>272</v>
      </c>
      <c r="D22" s="106" t="s">
        <v>273</v>
      </c>
      <c r="E22" s="107" t="s">
        <v>24</v>
      </c>
      <c r="F22" s="106"/>
      <c r="G22" s="106"/>
      <c r="H22" s="59"/>
      <c r="I22" s="106"/>
      <c r="J22" s="108">
        <v>0</v>
      </c>
      <c r="K22" s="61"/>
      <c r="L22" s="67"/>
      <c r="M22" s="108"/>
      <c r="N22" s="108"/>
      <c r="O22" s="62">
        <f t="shared" si="0"/>
        <v>0</v>
      </c>
      <c r="P22" s="61">
        <v>2700000</v>
      </c>
      <c r="Q22" s="62">
        <f t="shared" si="1"/>
        <v>2700000</v>
      </c>
      <c r="R22" s="78"/>
      <c r="S22" s="51"/>
    </row>
    <row r="23" spans="1:19" s="64" customFormat="1" ht="13.5" customHeight="1" x14ac:dyDescent="0.25">
      <c r="A23" s="53">
        <v>16</v>
      </c>
      <c r="B23" s="114">
        <v>42479</v>
      </c>
      <c r="C23" s="66" t="s">
        <v>274</v>
      </c>
      <c r="D23" s="106" t="s">
        <v>275</v>
      </c>
      <c r="E23" s="107" t="s">
        <v>276</v>
      </c>
      <c r="F23" s="106"/>
      <c r="G23" s="106"/>
      <c r="H23" s="59"/>
      <c r="I23" s="106"/>
      <c r="J23" s="108">
        <v>1820000</v>
      </c>
      <c r="K23" s="61"/>
      <c r="L23" s="67"/>
      <c r="M23" s="108"/>
      <c r="N23" s="108"/>
      <c r="O23" s="62">
        <f t="shared" si="0"/>
        <v>1820000</v>
      </c>
      <c r="P23" s="61">
        <v>5600000</v>
      </c>
      <c r="Q23" s="62">
        <f t="shared" si="1"/>
        <v>3780000</v>
      </c>
      <c r="R23" s="78"/>
      <c r="S23" s="51"/>
    </row>
    <row r="24" spans="1:19" s="64" customFormat="1" ht="13.5" customHeight="1" x14ac:dyDescent="0.25">
      <c r="A24" s="53">
        <v>17</v>
      </c>
      <c r="B24" s="114">
        <v>42479</v>
      </c>
      <c r="C24" s="66" t="s">
        <v>277</v>
      </c>
      <c r="D24" s="106" t="s">
        <v>278</v>
      </c>
      <c r="E24" s="107" t="s">
        <v>279</v>
      </c>
      <c r="F24" s="106"/>
      <c r="G24" s="106">
        <v>560</v>
      </c>
      <c r="H24" s="59">
        <v>5807200</v>
      </c>
      <c r="I24" s="106"/>
      <c r="J24" s="108">
        <v>2480000</v>
      </c>
      <c r="K24" s="61"/>
      <c r="L24" s="67"/>
      <c r="M24" s="108"/>
      <c r="N24" s="108"/>
      <c r="O24" s="62">
        <f t="shared" si="0"/>
        <v>8287200</v>
      </c>
      <c r="P24" s="61">
        <v>10454545</v>
      </c>
      <c r="Q24" s="62">
        <f t="shared" si="1"/>
        <v>2167345</v>
      </c>
      <c r="R24" s="78"/>
      <c r="S24" s="51"/>
    </row>
    <row r="25" spans="1:19" s="64" customFormat="1" ht="13.5" customHeight="1" x14ac:dyDescent="0.25">
      <c r="A25" s="53">
        <v>18</v>
      </c>
      <c r="B25" s="114">
        <v>42481</v>
      </c>
      <c r="C25" s="66" t="s">
        <v>280</v>
      </c>
      <c r="D25" s="106" t="s">
        <v>281</v>
      </c>
      <c r="E25" s="107" t="s">
        <v>282</v>
      </c>
      <c r="F25" s="106"/>
      <c r="G25" s="106"/>
      <c r="H25" s="59"/>
      <c r="I25" s="106"/>
      <c r="J25" s="108">
        <v>1470000</v>
      </c>
      <c r="K25" s="61"/>
      <c r="L25" s="67"/>
      <c r="M25" s="108"/>
      <c r="N25" s="108"/>
      <c r="O25" s="62">
        <f t="shared" si="0"/>
        <v>1470000</v>
      </c>
      <c r="P25" s="61">
        <v>5300000</v>
      </c>
      <c r="Q25" s="62">
        <f t="shared" si="1"/>
        <v>3830000</v>
      </c>
      <c r="R25" s="78"/>
      <c r="S25" s="51"/>
    </row>
    <row r="26" spans="1:19" s="64" customFormat="1" ht="13.5" customHeight="1" x14ac:dyDescent="0.25">
      <c r="A26" s="53">
        <v>19</v>
      </c>
      <c r="B26" s="114">
        <v>42483</v>
      </c>
      <c r="C26" s="66" t="s">
        <v>283</v>
      </c>
      <c r="D26" s="106" t="s">
        <v>284</v>
      </c>
      <c r="E26" s="107" t="s">
        <v>189</v>
      </c>
      <c r="F26" s="106"/>
      <c r="G26" s="106"/>
      <c r="H26" s="59"/>
      <c r="I26" s="106"/>
      <c r="J26" s="108">
        <v>1280000</v>
      </c>
      <c r="K26" s="61"/>
      <c r="L26" s="67"/>
      <c r="M26" s="108"/>
      <c r="N26" s="108"/>
      <c r="O26" s="62">
        <f t="shared" si="0"/>
        <v>1280000</v>
      </c>
      <c r="P26" s="61">
        <v>4300000</v>
      </c>
      <c r="Q26" s="62">
        <f>P26-O26</f>
        <v>3020000</v>
      </c>
      <c r="R26" s="78"/>
      <c r="S26" s="51"/>
    </row>
    <row r="27" spans="1:19" s="64" customFormat="1" ht="13.5" customHeight="1" x14ac:dyDescent="0.25">
      <c r="A27" s="53">
        <v>20</v>
      </c>
      <c r="B27" s="114">
        <v>42485</v>
      </c>
      <c r="C27" s="66" t="s">
        <v>285</v>
      </c>
      <c r="D27" s="106" t="s">
        <v>286</v>
      </c>
      <c r="E27" s="107" t="s">
        <v>118</v>
      </c>
      <c r="F27" s="106"/>
      <c r="G27" s="106"/>
      <c r="H27" s="59"/>
      <c r="I27" s="106"/>
      <c r="J27" s="108">
        <v>200000</v>
      </c>
      <c r="K27" s="61"/>
      <c r="L27" s="67"/>
      <c r="M27" s="108"/>
      <c r="N27" s="108"/>
      <c r="O27" s="62">
        <f t="shared" si="0"/>
        <v>200000</v>
      </c>
      <c r="P27" s="61">
        <v>1750000</v>
      </c>
      <c r="Q27" s="62">
        <f t="shared" si="1"/>
        <v>1550000</v>
      </c>
      <c r="R27" s="78"/>
      <c r="S27" s="51"/>
    </row>
    <row r="28" spans="1:19" s="64" customFormat="1" ht="13.5" customHeight="1" x14ac:dyDescent="0.25">
      <c r="A28" s="53">
        <v>21</v>
      </c>
      <c r="B28" s="114">
        <v>42485</v>
      </c>
      <c r="C28" s="66" t="s">
        <v>287</v>
      </c>
      <c r="D28" s="106" t="s">
        <v>288</v>
      </c>
      <c r="E28" s="107" t="s">
        <v>201</v>
      </c>
      <c r="F28" s="106"/>
      <c r="G28" s="106">
        <v>391</v>
      </c>
      <c r="H28" s="59">
        <v>4054670</v>
      </c>
      <c r="I28" s="106"/>
      <c r="J28" s="108">
        <v>740000</v>
      </c>
      <c r="K28" s="61"/>
      <c r="L28" s="67"/>
      <c r="M28" s="108"/>
      <c r="N28" s="108"/>
      <c r="O28" s="62">
        <f t="shared" si="0"/>
        <v>4794670</v>
      </c>
      <c r="P28" s="61">
        <v>3240000</v>
      </c>
      <c r="Q28" s="62">
        <f t="shared" si="1"/>
        <v>-1554670</v>
      </c>
      <c r="R28" s="78"/>
      <c r="S28" s="51"/>
    </row>
    <row r="29" spans="1:19" s="64" customFormat="1" ht="13.5" customHeight="1" x14ac:dyDescent="0.25">
      <c r="A29" s="53">
        <v>22</v>
      </c>
      <c r="B29" s="114">
        <v>42486</v>
      </c>
      <c r="C29" s="66" t="s">
        <v>289</v>
      </c>
      <c r="D29" s="106" t="s">
        <v>290</v>
      </c>
      <c r="E29" s="107" t="s">
        <v>291</v>
      </c>
      <c r="F29" s="106"/>
      <c r="G29" s="106"/>
      <c r="H29" s="59"/>
      <c r="I29" s="106"/>
      <c r="J29" s="108">
        <v>1040000</v>
      </c>
      <c r="K29" s="61"/>
      <c r="L29" s="67"/>
      <c r="M29" s="108"/>
      <c r="N29" s="108"/>
      <c r="O29" s="62">
        <f t="shared" si="0"/>
        <v>1040000</v>
      </c>
      <c r="P29" s="61">
        <v>3800000</v>
      </c>
      <c r="Q29" s="62">
        <f t="shared" si="1"/>
        <v>2760000</v>
      </c>
      <c r="R29" s="78"/>
      <c r="S29" s="51"/>
    </row>
    <row r="30" spans="1:19" s="64" customFormat="1" ht="13.5" customHeight="1" x14ac:dyDescent="0.25">
      <c r="A30" s="53">
        <v>23</v>
      </c>
      <c r="B30" s="114">
        <v>42487</v>
      </c>
      <c r="C30" s="66" t="s">
        <v>292</v>
      </c>
      <c r="D30" s="106" t="s">
        <v>293</v>
      </c>
      <c r="E30" s="107" t="s">
        <v>189</v>
      </c>
      <c r="F30" s="106"/>
      <c r="G30" s="106"/>
      <c r="H30" s="59"/>
      <c r="I30" s="106"/>
      <c r="J30" s="108">
        <v>1820000</v>
      </c>
      <c r="K30" s="61"/>
      <c r="L30" s="67"/>
      <c r="M30" s="108"/>
      <c r="N30" s="108"/>
      <c r="O30" s="62">
        <f t="shared" si="0"/>
        <v>1820000</v>
      </c>
      <c r="P30" s="61">
        <v>4300000</v>
      </c>
      <c r="Q30" s="62">
        <f t="shared" si="1"/>
        <v>2480000</v>
      </c>
      <c r="R30" s="78"/>
      <c r="S30" s="51"/>
    </row>
    <row r="31" spans="1:19" s="64" customFormat="1" ht="13.5" customHeight="1" x14ac:dyDescent="0.25">
      <c r="A31" s="53">
        <v>24</v>
      </c>
      <c r="B31" s="114">
        <v>42487</v>
      </c>
      <c r="C31" s="66" t="s">
        <v>294</v>
      </c>
      <c r="D31" s="106" t="s">
        <v>295</v>
      </c>
      <c r="E31" s="107" t="s">
        <v>27</v>
      </c>
      <c r="F31" s="106"/>
      <c r="G31" s="106"/>
      <c r="H31" s="59"/>
      <c r="I31" s="106"/>
      <c r="J31" s="108">
        <v>0</v>
      </c>
      <c r="K31" s="61"/>
      <c r="L31" s="67"/>
      <c r="M31" s="108"/>
      <c r="N31" s="108"/>
      <c r="O31" s="62">
        <f t="shared" si="0"/>
        <v>0</v>
      </c>
      <c r="P31" s="61">
        <v>2800000</v>
      </c>
      <c r="Q31" s="62">
        <f t="shared" si="1"/>
        <v>2800000</v>
      </c>
      <c r="R31" s="78"/>
      <c r="S31" s="51"/>
    </row>
    <row r="32" spans="1:19" s="64" customFormat="1" ht="13.5" customHeight="1" x14ac:dyDescent="0.25">
      <c r="A32" s="53">
        <v>25</v>
      </c>
      <c r="B32" s="114">
        <v>42488</v>
      </c>
      <c r="C32" s="66" t="s">
        <v>296</v>
      </c>
      <c r="D32" s="106" t="s">
        <v>297</v>
      </c>
      <c r="E32" s="107" t="s">
        <v>298</v>
      </c>
      <c r="F32" s="106"/>
      <c r="G32" s="106"/>
      <c r="H32" s="59"/>
      <c r="I32" s="106"/>
      <c r="J32" s="108">
        <v>1280000</v>
      </c>
      <c r="K32" s="61"/>
      <c r="L32" s="67"/>
      <c r="M32" s="108"/>
      <c r="N32" s="108"/>
      <c r="O32" s="62">
        <f t="shared" si="0"/>
        <v>1280000</v>
      </c>
      <c r="P32" s="61">
        <v>4300000</v>
      </c>
      <c r="Q32" s="62">
        <f t="shared" si="1"/>
        <v>3020000</v>
      </c>
      <c r="R32" s="78"/>
      <c r="S32" s="51"/>
    </row>
    <row r="33" spans="1:19" s="64" customFormat="1" ht="13.5" customHeight="1" x14ac:dyDescent="0.25">
      <c r="A33" s="53">
        <v>26</v>
      </c>
      <c r="B33" s="114">
        <v>42494</v>
      </c>
      <c r="C33" s="66" t="s">
        <v>299</v>
      </c>
      <c r="D33" s="106" t="s">
        <v>300</v>
      </c>
      <c r="E33" s="107" t="s">
        <v>118</v>
      </c>
      <c r="F33" s="106"/>
      <c r="G33" s="106">
        <v>444</v>
      </c>
      <c r="H33" s="59">
        <f>G33*(10370+650)</f>
        <v>4892880</v>
      </c>
      <c r="I33" s="106"/>
      <c r="J33" s="108">
        <v>200000</v>
      </c>
      <c r="K33" s="61"/>
      <c r="L33" s="67"/>
      <c r="M33" s="108"/>
      <c r="N33" s="108"/>
      <c r="O33" s="62">
        <f t="shared" si="0"/>
        <v>5092880</v>
      </c>
      <c r="P33" s="61">
        <v>1750000</v>
      </c>
      <c r="Q33" s="62">
        <f t="shared" si="1"/>
        <v>-3342880</v>
      </c>
      <c r="R33" s="78"/>
      <c r="S33" s="51"/>
    </row>
    <row r="34" spans="1:19" s="87" customFormat="1" x14ac:dyDescent="0.25">
      <c r="A34" s="88"/>
      <c r="B34" s="115"/>
      <c r="C34" s="116"/>
      <c r="D34" s="82"/>
      <c r="E34" s="83"/>
      <c r="F34" s="82"/>
      <c r="G34" s="82"/>
      <c r="H34" s="84"/>
      <c r="I34" s="82"/>
      <c r="J34" s="85"/>
      <c r="K34" s="74"/>
      <c r="L34" s="74"/>
      <c r="M34" s="85"/>
      <c r="N34" s="85"/>
      <c r="O34" s="86"/>
      <c r="P34" s="84"/>
      <c r="Q34" s="86"/>
      <c r="R34" s="79"/>
    </row>
    <row r="35" spans="1:19" s="87" customFormat="1" x14ac:dyDescent="0.25">
      <c r="A35" s="88"/>
      <c r="B35" s="115"/>
      <c r="C35" s="116" t="s">
        <v>303</v>
      </c>
      <c r="D35" s="82"/>
      <c r="E35" s="83"/>
      <c r="F35" s="82"/>
      <c r="G35" s="82"/>
      <c r="H35" s="84"/>
      <c r="I35" s="82"/>
      <c r="J35" s="85"/>
      <c r="K35" s="74">
        <v>9500000</v>
      </c>
      <c r="L35" s="74"/>
      <c r="M35" s="85"/>
      <c r="N35" s="85"/>
      <c r="O35" s="86">
        <f t="shared" si="0"/>
        <v>9500000</v>
      </c>
      <c r="P35" s="84"/>
      <c r="Q35" s="86">
        <f>P35-O35</f>
        <v>-9500000</v>
      </c>
      <c r="R35" s="79"/>
    </row>
    <row r="36" spans="1:19" s="87" customFormat="1" ht="25.5" x14ac:dyDescent="0.25">
      <c r="A36" s="88"/>
      <c r="B36" s="115"/>
      <c r="C36" s="116" t="s">
        <v>305</v>
      </c>
      <c r="D36" s="82"/>
      <c r="E36" s="83"/>
      <c r="F36" s="82"/>
      <c r="G36" s="82"/>
      <c r="H36" s="84"/>
      <c r="I36" s="82"/>
      <c r="J36" s="85"/>
      <c r="K36" s="74"/>
      <c r="L36" s="74"/>
      <c r="M36" s="85"/>
      <c r="N36" s="85">
        <v>17160000</v>
      </c>
      <c r="O36" s="86">
        <f t="shared" si="0"/>
        <v>17160000</v>
      </c>
      <c r="P36" s="84"/>
      <c r="Q36" s="86">
        <f t="shared" ref="Q36:Q42" si="2">P36-O36</f>
        <v>-17160000</v>
      </c>
      <c r="R36" s="79"/>
    </row>
    <row r="37" spans="1:19" s="87" customFormat="1" x14ac:dyDescent="0.25">
      <c r="A37" s="88"/>
      <c r="B37" s="115"/>
      <c r="C37" s="116" t="s">
        <v>306</v>
      </c>
      <c r="D37" s="82"/>
      <c r="E37" s="83"/>
      <c r="F37" s="82"/>
      <c r="G37" s="82"/>
      <c r="H37" s="84"/>
      <c r="I37" s="82"/>
      <c r="J37" s="85"/>
      <c r="K37" s="74"/>
      <c r="L37" s="74">
        <v>610000</v>
      </c>
      <c r="M37" s="85"/>
      <c r="N37" s="85"/>
      <c r="O37" s="86">
        <f t="shared" si="0"/>
        <v>610000</v>
      </c>
      <c r="P37" s="84"/>
      <c r="Q37" s="86">
        <f t="shared" si="2"/>
        <v>-610000</v>
      </c>
      <c r="R37" s="79"/>
    </row>
    <row r="38" spans="1:19" s="87" customFormat="1" x14ac:dyDescent="0.25">
      <c r="A38" s="88"/>
      <c r="B38" s="115"/>
      <c r="C38" s="116" t="s">
        <v>301</v>
      </c>
      <c r="D38" s="82"/>
      <c r="E38" s="83"/>
      <c r="F38" s="82"/>
      <c r="G38" s="82"/>
      <c r="H38" s="84"/>
      <c r="I38" s="82"/>
      <c r="J38" s="85"/>
      <c r="K38" s="74"/>
      <c r="L38" s="74">
        <v>200000</v>
      </c>
      <c r="M38" s="85"/>
      <c r="N38" s="85"/>
      <c r="O38" s="86">
        <f t="shared" si="0"/>
        <v>200000</v>
      </c>
      <c r="P38" s="84"/>
      <c r="Q38" s="86">
        <f t="shared" si="2"/>
        <v>-200000</v>
      </c>
      <c r="R38" s="79"/>
    </row>
    <row r="39" spans="1:19" s="87" customFormat="1" x14ac:dyDescent="0.25">
      <c r="A39" s="88"/>
      <c r="B39" s="115"/>
      <c r="C39" s="116" t="s">
        <v>307</v>
      </c>
      <c r="D39" s="82"/>
      <c r="E39" s="83"/>
      <c r="F39" s="82"/>
      <c r="G39" s="82"/>
      <c r="H39" s="84"/>
      <c r="I39" s="82"/>
      <c r="J39" s="85"/>
      <c r="K39" s="74"/>
      <c r="L39" s="74">
        <f>3960000/3</f>
        <v>1320000</v>
      </c>
      <c r="M39" s="85"/>
      <c r="N39" s="85"/>
      <c r="O39" s="86">
        <f t="shared" si="0"/>
        <v>1320000</v>
      </c>
      <c r="P39" s="84"/>
      <c r="Q39" s="86">
        <f t="shared" si="2"/>
        <v>-1320000</v>
      </c>
      <c r="R39" s="79"/>
    </row>
    <row r="40" spans="1:19" s="87" customFormat="1" x14ac:dyDescent="0.25">
      <c r="A40" s="88"/>
      <c r="B40" s="115"/>
      <c r="C40" s="116" t="s">
        <v>302</v>
      </c>
      <c r="D40" s="82"/>
      <c r="E40" s="83"/>
      <c r="F40" s="82"/>
      <c r="G40" s="82"/>
      <c r="H40" s="84"/>
      <c r="I40" s="82"/>
      <c r="J40" s="85"/>
      <c r="K40" s="74"/>
      <c r="L40" s="74"/>
      <c r="M40" s="85"/>
      <c r="N40" s="85">
        <v>6000000</v>
      </c>
      <c r="O40" s="86">
        <f t="shared" si="0"/>
        <v>6000000</v>
      </c>
      <c r="P40" s="84"/>
      <c r="Q40" s="86">
        <f t="shared" si="2"/>
        <v>-6000000</v>
      </c>
      <c r="R40" s="79"/>
    </row>
    <row r="41" spans="1:19" s="87" customFormat="1" ht="25.5" x14ac:dyDescent="0.25">
      <c r="A41" s="88"/>
      <c r="B41" s="115"/>
      <c r="C41" s="116" t="s">
        <v>304</v>
      </c>
      <c r="D41" s="82"/>
      <c r="E41" s="83"/>
      <c r="F41" s="82"/>
      <c r="G41" s="82"/>
      <c r="H41" s="84"/>
      <c r="I41" s="82"/>
      <c r="J41" s="85"/>
      <c r="K41" s="74"/>
      <c r="L41" s="74"/>
      <c r="M41" s="85"/>
      <c r="N41" s="85">
        <v>2200000</v>
      </c>
      <c r="O41" s="86">
        <f t="shared" si="0"/>
        <v>2200000</v>
      </c>
      <c r="P41" s="84"/>
      <c r="Q41" s="86">
        <f t="shared" si="2"/>
        <v>-2200000</v>
      </c>
      <c r="R41" s="79"/>
    </row>
    <row r="42" spans="1:19" x14ac:dyDescent="0.25">
      <c r="A42" s="53"/>
      <c r="B42" s="117"/>
      <c r="C42" s="70"/>
      <c r="D42" s="69"/>
      <c r="E42" s="70"/>
      <c r="F42" s="69"/>
      <c r="G42" s="69"/>
      <c r="H42" s="59"/>
      <c r="I42" s="69"/>
      <c r="J42" s="71"/>
      <c r="K42" s="71"/>
      <c r="L42" s="71"/>
      <c r="M42" s="71"/>
      <c r="N42" s="71"/>
      <c r="O42" s="62">
        <f t="shared" si="0"/>
        <v>0</v>
      </c>
      <c r="P42" s="86"/>
      <c r="Q42" s="86">
        <f t="shared" si="2"/>
        <v>0</v>
      </c>
    </row>
    <row r="43" spans="1:19" x14ac:dyDescent="0.25">
      <c r="A43" s="406" t="s">
        <v>20</v>
      </c>
      <c r="B43" s="407"/>
      <c r="C43" s="407"/>
      <c r="D43" s="407"/>
      <c r="E43" s="407"/>
      <c r="F43" s="408"/>
      <c r="G43" s="75">
        <f>SUM(G7:G42)</f>
        <v>2512</v>
      </c>
      <c r="H43" s="76">
        <f>SUM(H7:H42)</f>
        <v>25779540</v>
      </c>
      <c r="I43" s="76">
        <f>SUM(I7:I42)</f>
        <v>0</v>
      </c>
      <c r="J43" s="76">
        <f>SUM(J7:J42)</f>
        <v>29090000</v>
      </c>
      <c r="K43" s="76">
        <f t="shared" ref="K43:P43" si="3">SUM(K7:K42)</f>
        <v>9500000</v>
      </c>
      <c r="L43" s="76">
        <f t="shared" si="3"/>
        <v>2130000</v>
      </c>
      <c r="M43" s="76">
        <f t="shared" si="3"/>
        <v>0</v>
      </c>
      <c r="N43" s="76">
        <f t="shared" si="3"/>
        <v>25360000</v>
      </c>
      <c r="O43" s="76">
        <f t="shared" si="3"/>
        <v>91859540</v>
      </c>
      <c r="P43" s="76">
        <f t="shared" si="3"/>
        <v>103576363</v>
      </c>
      <c r="Q43" s="76">
        <f>SUM(Q7:Q42)</f>
        <v>11716823</v>
      </c>
      <c r="R43" s="95"/>
    </row>
    <row r="44" spans="1:19" x14ac:dyDescent="0.25">
      <c r="O44" s="79"/>
      <c r="Q44" s="79"/>
      <c r="R44" s="96"/>
    </row>
    <row r="45" spans="1:19" x14ac:dyDescent="0.25">
      <c r="P45" s="78" t="s">
        <v>235</v>
      </c>
      <c r="Q45" s="78">
        <f>Q43+'03-2016'!Q50</f>
        <v>130607730</v>
      </c>
      <c r="R45" s="96"/>
    </row>
    <row r="46" spans="1:19" x14ac:dyDescent="0.25">
      <c r="B46" s="3"/>
      <c r="H46" s="51"/>
      <c r="J46" s="51"/>
      <c r="K46" s="51"/>
      <c r="L46" s="51"/>
      <c r="M46" s="51"/>
      <c r="N46" s="51"/>
      <c r="O46" s="51"/>
      <c r="P46" s="51"/>
      <c r="Q46" s="51"/>
      <c r="R46" s="96"/>
    </row>
    <row r="47" spans="1:19" x14ac:dyDescent="0.25">
      <c r="B47" s="3"/>
      <c r="H47" s="51"/>
      <c r="J47" s="51"/>
      <c r="K47" s="51"/>
      <c r="L47" s="51"/>
      <c r="M47" s="51"/>
      <c r="N47" s="51"/>
      <c r="O47" s="51"/>
      <c r="P47" s="51"/>
      <c r="Q47" s="51"/>
      <c r="R47" s="96"/>
    </row>
    <row r="48" spans="1:19" x14ac:dyDescent="0.25">
      <c r="B48" s="3"/>
      <c r="H48" s="51"/>
      <c r="J48" s="51"/>
      <c r="K48" s="51"/>
      <c r="L48" s="51"/>
      <c r="M48" s="51"/>
      <c r="N48" s="51"/>
      <c r="O48" s="51"/>
      <c r="P48" s="51"/>
      <c r="Q48" s="51"/>
      <c r="R48" s="96"/>
    </row>
    <row r="49" spans="2:18" x14ac:dyDescent="0.25">
      <c r="B49" s="3"/>
      <c r="H49" s="51"/>
      <c r="J49" s="51"/>
      <c r="K49" s="51"/>
      <c r="L49" s="51"/>
      <c r="M49" s="51"/>
      <c r="N49" s="51"/>
      <c r="O49" s="51"/>
      <c r="P49" s="51"/>
      <c r="Q49" s="51"/>
      <c r="R49" s="96"/>
    </row>
    <row r="50" spans="2:18" x14ac:dyDescent="0.25">
      <c r="B50" s="3"/>
      <c r="H50" s="51"/>
      <c r="J50" s="51"/>
      <c r="K50" s="51"/>
      <c r="L50" s="51"/>
      <c r="M50" s="51"/>
      <c r="N50" s="51"/>
      <c r="O50" s="51"/>
      <c r="P50" s="51"/>
      <c r="Q50" s="51"/>
      <c r="R50" s="96"/>
    </row>
    <row r="51" spans="2:18" x14ac:dyDescent="0.25">
      <c r="B51" s="3"/>
      <c r="H51" s="51"/>
      <c r="J51" s="51"/>
      <c r="K51" s="51"/>
      <c r="L51" s="51"/>
      <c r="M51" s="51"/>
      <c r="N51" s="51"/>
      <c r="O51" s="51"/>
      <c r="P51" s="51"/>
      <c r="Q51" s="51"/>
      <c r="R51" s="96"/>
    </row>
    <row r="52" spans="2:18" x14ac:dyDescent="0.25">
      <c r="B52" s="3"/>
      <c r="H52" s="51"/>
      <c r="J52" s="51"/>
      <c r="K52" s="51"/>
      <c r="L52" s="51"/>
      <c r="M52" s="51"/>
      <c r="N52" s="51"/>
      <c r="O52" s="51"/>
      <c r="P52" s="51"/>
      <c r="Q52" s="51"/>
      <c r="R52" s="95"/>
    </row>
  </sheetData>
  <mergeCells count="14">
    <mergeCell ref="O5:O6"/>
    <mergeCell ref="P5:P6"/>
    <mergeCell ref="Q5:Q6"/>
    <mergeCell ref="A43:F43"/>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6"/>
  <sheetViews>
    <sheetView topLeftCell="D16" workbookViewId="0">
      <selection activeCell="Q39" sqref="Q39"/>
    </sheetView>
  </sheetViews>
  <sheetFormatPr defaultColWidth="9.140625" defaultRowHeight="12.75" x14ac:dyDescent="0.25"/>
  <cols>
    <col min="1" max="1" width="4.5703125" style="51" customWidth="1"/>
    <col min="2" max="2" width="10.28515625" style="118" customWidth="1"/>
    <col min="3" max="3" width="27" style="51" customWidth="1"/>
    <col min="4" max="4" width="12.42578125" style="51" customWidth="1"/>
    <col min="5" max="5" width="30.28515625" style="51" customWidth="1"/>
    <col min="6" max="6" width="11.5703125" style="51" customWidth="1"/>
    <col min="7" max="7" width="8" style="51" customWidth="1"/>
    <col min="8" max="8" width="11" style="78" customWidth="1"/>
    <col min="9" max="9" width="12.28515625" style="51" customWidth="1"/>
    <col min="10" max="10" width="8.7109375" style="78" bestFit="1" customWidth="1"/>
    <col min="11" max="11" width="9.5703125" style="78" customWidth="1"/>
    <col min="12" max="12" width="9.42578125" style="78" customWidth="1"/>
    <col min="13" max="13" width="8.5703125" style="78" customWidth="1"/>
    <col min="14" max="14" width="9.5703125" style="78" customWidth="1"/>
    <col min="15" max="15" width="12.7109375" style="78" customWidth="1"/>
    <col min="16" max="16" width="13.85546875" style="78" customWidth="1"/>
    <col min="17" max="17" width="12.28515625" style="78" customWidth="1"/>
    <col min="18" max="18" width="12.5703125" style="78" customWidth="1"/>
    <col min="19" max="16384" width="9.140625" style="51"/>
  </cols>
  <sheetData>
    <row r="1" spans="1:19" ht="23.25" x14ac:dyDescent="0.25">
      <c r="A1" s="409" t="s">
        <v>0</v>
      </c>
      <c r="B1" s="409"/>
      <c r="C1" s="409"/>
      <c r="D1" s="409"/>
      <c r="E1" s="409"/>
      <c r="F1" s="409"/>
      <c r="G1" s="409"/>
      <c r="H1" s="409"/>
      <c r="I1" s="409"/>
      <c r="J1" s="409"/>
      <c r="K1" s="409"/>
      <c r="L1" s="409"/>
      <c r="M1" s="409"/>
      <c r="N1" s="409"/>
      <c r="O1" s="409"/>
      <c r="P1" s="409"/>
      <c r="Q1" s="409"/>
      <c r="R1" s="94"/>
    </row>
    <row r="2" spans="1:19" ht="15.75" x14ac:dyDescent="0.25">
      <c r="A2" s="410" t="s">
        <v>19</v>
      </c>
      <c r="B2" s="410"/>
      <c r="C2" s="410"/>
      <c r="D2" s="410"/>
      <c r="E2" s="410"/>
      <c r="F2" s="410"/>
      <c r="G2" s="410"/>
      <c r="H2" s="410"/>
      <c r="I2" s="410"/>
      <c r="J2" s="410"/>
      <c r="K2" s="410"/>
      <c r="L2" s="410"/>
      <c r="M2" s="410"/>
      <c r="N2" s="410"/>
      <c r="O2" s="410"/>
      <c r="P2" s="410"/>
      <c r="Q2" s="410"/>
      <c r="R2" s="3"/>
    </row>
    <row r="3" spans="1:19" ht="15.75" x14ac:dyDescent="0.25">
      <c r="A3" s="52"/>
      <c r="B3" s="410" t="s">
        <v>308</v>
      </c>
      <c r="C3" s="410"/>
      <c r="D3" s="410"/>
      <c r="E3" s="410"/>
      <c r="F3" s="410"/>
      <c r="G3" s="410"/>
      <c r="H3" s="410"/>
      <c r="I3" s="410"/>
      <c r="J3" s="410"/>
      <c r="K3" s="410"/>
      <c r="L3" s="410"/>
      <c r="M3" s="410"/>
      <c r="N3" s="410"/>
      <c r="O3" s="410"/>
      <c r="P3" s="410"/>
      <c r="Q3" s="410"/>
      <c r="R3" s="3"/>
    </row>
    <row r="5" spans="1:19" s="3" customFormat="1" x14ac:dyDescent="0.25">
      <c r="A5" s="399" t="s">
        <v>1</v>
      </c>
      <c r="B5" s="401" t="s">
        <v>2</v>
      </c>
      <c r="C5" s="399" t="s">
        <v>3</v>
      </c>
      <c r="D5" s="399" t="s">
        <v>5</v>
      </c>
      <c r="E5" s="403" t="s">
        <v>4</v>
      </c>
      <c r="F5" s="403" t="s">
        <v>17</v>
      </c>
      <c r="G5" s="405" t="s">
        <v>6</v>
      </c>
      <c r="H5" s="405"/>
      <c r="I5" s="405"/>
      <c r="J5" s="405"/>
      <c r="K5" s="405"/>
      <c r="L5" s="405"/>
      <c r="M5" s="405"/>
      <c r="N5" s="405"/>
      <c r="O5" s="392" t="s">
        <v>18</v>
      </c>
      <c r="P5" s="392" t="s">
        <v>13</v>
      </c>
      <c r="Q5" s="392" t="s">
        <v>14</v>
      </c>
      <c r="R5" s="50"/>
    </row>
    <row r="6" spans="1:19" s="3" customFormat="1" x14ac:dyDescent="0.25">
      <c r="A6" s="400"/>
      <c r="B6" s="402"/>
      <c r="C6" s="400"/>
      <c r="D6" s="400"/>
      <c r="E6" s="404"/>
      <c r="F6" s="404"/>
      <c r="G6" s="4" t="s">
        <v>7</v>
      </c>
      <c r="H6" s="5" t="s">
        <v>15</v>
      </c>
      <c r="I6" s="4" t="s">
        <v>16</v>
      </c>
      <c r="J6" s="5" t="s">
        <v>8</v>
      </c>
      <c r="K6" s="5" t="s">
        <v>9</v>
      </c>
      <c r="L6" s="5" t="s">
        <v>10</v>
      </c>
      <c r="M6" s="5" t="s">
        <v>11</v>
      </c>
      <c r="N6" s="5" t="s">
        <v>12</v>
      </c>
      <c r="O6" s="393"/>
      <c r="P6" s="393"/>
      <c r="Q6" s="393"/>
      <c r="R6" s="50"/>
    </row>
    <row r="7" spans="1:19" s="64" customFormat="1" x14ac:dyDescent="0.25">
      <c r="A7" s="53"/>
      <c r="B7" s="113"/>
      <c r="C7" s="55"/>
      <c r="D7" s="56"/>
      <c r="E7" s="57"/>
      <c r="F7" s="58"/>
      <c r="G7" s="59"/>
      <c r="H7" s="60"/>
      <c r="I7" s="60"/>
      <c r="J7" s="61"/>
      <c r="K7" s="61"/>
      <c r="L7" s="61"/>
      <c r="M7" s="61"/>
      <c r="N7" s="61"/>
      <c r="O7" s="62"/>
      <c r="P7" s="119"/>
      <c r="Q7" s="62"/>
      <c r="R7" s="78"/>
      <c r="S7" s="51"/>
    </row>
    <row r="8" spans="1:19" s="64" customFormat="1" ht="13.5" customHeight="1" x14ac:dyDescent="0.25">
      <c r="A8" s="53">
        <v>1</v>
      </c>
      <c r="B8" s="120">
        <v>42494</v>
      </c>
      <c r="C8" s="66" t="s">
        <v>309</v>
      </c>
      <c r="D8" s="106" t="s">
        <v>310</v>
      </c>
      <c r="E8" s="107" t="s">
        <v>311</v>
      </c>
      <c r="F8" s="106"/>
      <c r="G8" s="106"/>
      <c r="H8" s="59"/>
      <c r="I8" s="106"/>
      <c r="J8" s="108">
        <v>1200000</v>
      </c>
      <c r="K8" s="61"/>
      <c r="L8" s="67"/>
      <c r="M8" s="108"/>
      <c r="N8" s="108"/>
      <c r="O8" s="62">
        <f>N8+M8+L8+K8+J8+H8</f>
        <v>1200000</v>
      </c>
      <c r="P8" s="61">
        <v>5500000</v>
      </c>
      <c r="Q8" s="62">
        <f>P8-O8</f>
        <v>4300000</v>
      </c>
      <c r="R8" s="78"/>
      <c r="S8" s="51"/>
    </row>
    <row r="9" spans="1:19" s="64" customFormat="1" ht="13.5" customHeight="1" x14ac:dyDescent="0.25">
      <c r="A9" s="53">
        <v>2</v>
      </c>
      <c r="B9" s="120">
        <v>42494</v>
      </c>
      <c r="C9" s="66" t="s">
        <v>312</v>
      </c>
      <c r="D9" s="106" t="s">
        <v>313</v>
      </c>
      <c r="E9" s="107" t="s">
        <v>27</v>
      </c>
      <c r="F9" s="106"/>
      <c r="G9" s="106"/>
      <c r="H9" s="59"/>
      <c r="I9" s="106"/>
      <c r="J9" s="108">
        <v>0</v>
      </c>
      <c r="K9" s="61"/>
      <c r="L9" s="67"/>
      <c r="M9" s="108"/>
      <c r="N9" s="108"/>
      <c r="O9" s="62">
        <f t="shared" ref="O9:O36" si="0">N9+M9+L9+K9+J9+H9</f>
        <v>0</v>
      </c>
      <c r="P9" s="61">
        <v>0</v>
      </c>
      <c r="Q9" s="62">
        <f t="shared" ref="Q9:Q36" si="1">P9-O9</f>
        <v>0</v>
      </c>
      <c r="R9" s="78"/>
      <c r="S9" s="51"/>
    </row>
    <row r="10" spans="1:19" s="64" customFormat="1" ht="13.5" customHeight="1" x14ac:dyDescent="0.25">
      <c r="A10" s="53">
        <v>3</v>
      </c>
      <c r="B10" s="120">
        <v>42500</v>
      </c>
      <c r="C10" s="66" t="s">
        <v>314</v>
      </c>
      <c r="D10" s="106" t="s">
        <v>315</v>
      </c>
      <c r="E10" s="107" t="s">
        <v>316</v>
      </c>
      <c r="F10" s="106"/>
      <c r="G10" s="106"/>
      <c r="H10" s="59"/>
      <c r="I10" s="106"/>
      <c r="J10" s="108">
        <v>980000</v>
      </c>
      <c r="K10" s="61"/>
      <c r="L10" s="67"/>
      <c r="M10" s="108"/>
      <c r="N10" s="108"/>
      <c r="O10" s="62">
        <f t="shared" si="0"/>
        <v>980000</v>
      </c>
      <c r="P10" s="61">
        <v>2500000</v>
      </c>
      <c r="Q10" s="62">
        <f t="shared" si="1"/>
        <v>1520000</v>
      </c>
      <c r="R10" s="78"/>
      <c r="S10" s="51"/>
    </row>
    <row r="11" spans="1:19" s="64" customFormat="1" ht="13.5" customHeight="1" x14ac:dyDescent="0.25">
      <c r="A11" s="53">
        <v>4</v>
      </c>
      <c r="B11" s="120">
        <v>42502</v>
      </c>
      <c r="C11" s="66" t="s">
        <v>317</v>
      </c>
      <c r="D11" s="106" t="s">
        <v>318</v>
      </c>
      <c r="E11" s="107" t="s">
        <v>84</v>
      </c>
      <c r="F11" s="106"/>
      <c r="G11" s="106"/>
      <c r="H11" s="59"/>
      <c r="I11" s="106"/>
      <c r="J11" s="108">
        <v>1700000</v>
      </c>
      <c r="K11" s="61"/>
      <c r="L11" s="67"/>
      <c r="M11" s="108"/>
      <c r="N11" s="108"/>
      <c r="O11" s="62">
        <f t="shared" si="0"/>
        <v>1700000</v>
      </c>
      <c r="P11" s="61">
        <v>4318182</v>
      </c>
      <c r="Q11" s="62">
        <f t="shared" si="1"/>
        <v>2618182</v>
      </c>
      <c r="R11" s="78"/>
      <c r="S11" s="51"/>
    </row>
    <row r="12" spans="1:19" s="64" customFormat="1" ht="13.5" customHeight="1" x14ac:dyDescent="0.25">
      <c r="A12" s="53">
        <v>5</v>
      </c>
      <c r="B12" s="120">
        <v>42502</v>
      </c>
      <c r="C12" s="66" t="s">
        <v>319</v>
      </c>
      <c r="D12" s="106" t="s">
        <v>320</v>
      </c>
      <c r="E12" s="107" t="s">
        <v>24</v>
      </c>
      <c r="F12" s="106"/>
      <c r="G12" s="106"/>
      <c r="H12" s="59"/>
      <c r="I12" s="106"/>
      <c r="J12" s="108">
        <v>0</v>
      </c>
      <c r="K12" s="61"/>
      <c r="L12" s="67"/>
      <c r="M12" s="108"/>
      <c r="N12" s="108"/>
      <c r="O12" s="62">
        <f t="shared" si="0"/>
        <v>0</v>
      </c>
      <c r="P12" s="61">
        <v>2600000</v>
      </c>
      <c r="Q12" s="62">
        <f t="shared" si="1"/>
        <v>2600000</v>
      </c>
      <c r="R12" s="78"/>
      <c r="S12" s="51"/>
    </row>
    <row r="13" spans="1:19" s="64" customFormat="1" ht="13.5" customHeight="1" x14ac:dyDescent="0.25">
      <c r="A13" s="53">
        <v>6</v>
      </c>
      <c r="B13" s="120">
        <v>42502</v>
      </c>
      <c r="C13" s="66" t="s">
        <v>321</v>
      </c>
      <c r="D13" s="106" t="s">
        <v>322</v>
      </c>
      <c r="E13" s="107" t="s">
        <v>323</v>
      </c>
      <c r="F13" s="106"/>
      <c r="G13" s="106"/>
      <c r="H13" s="59"/>
      <c r="I13" s="106"/>
      <c r="J13" s="108">
        <v>1280000</v>
      </c>
      <c r="K13" s="61"/>
      <c r="L13" s="67"/>
      <c r="M13" s="108"/>
      <c r="N13" s="108"/>
      <c r="O13" s="62">
        <f t="shared" si="0"/>
        <v>1280000</v>
      </c>
      <c r="P13" s="61">
        <v>4409091</v>
      </c>
      <c r="Q13" s="62">
        <f t="shared" si="1"/>
        <v>3129091</v>
      </c>
      <c r="R13" s="78"/>
      <c r="S13" s="51"/>
    </row>
    <row r="14" spans="1:19" s="64" customFormat="1" ht="13.5" customHeight="1" x14ac:dyDescent="0.25">
      <c r="A14" s="53">
        <v>7</v>
      </c>
      <c r="B14" s="120">
        <v>42504</v>
      </c>
      <c r="C14" s="66" t="s">
        <v>324</v>
      </c>
      <c r="D14" s="106" t="s">
        <v>325</v>
      </c>
      <c r="E14" s="107" t="s">
        <v>146</v>
      </c>
      <c r="F14" s="106"/>
      <c r="G14" s="106">
        <v>480</v>
      </c>
      <c r="H14" s="59">
        <v>5289600</v>
      </c>
      <c r="I14" s="106"/>
      <c r="J14" s="108">
        <v>1700000</v>
      </c>
      <c r="K14" s="61"/>
      <c r="L14" s="67"/>
      <c r="M14" s="108"/>
      <c r="N14" s="108"/>
      <c r="O14" s="62">
        <f t="shared" si="0"/>
        <v>6989600</v>
      </c>
      <c r="P14" s="61">
        <v>5500000</v>
      </c>
      <c r="Q14" s="62">
        <f t="shared" si="1"/>
        <v>-1489600</v>
      </c>
      <c r="R14" s="78"/>
      <c r="S14" s="51"/>
    </row>
    <row r="15" spans="1:19" s="64" customFormat="1" ht="13.5" customHeight="1" x14ac:dyDescent="0.25">
      <c r="A15" s="53">
        <v>8</v>
      </c>
      <c r="B15" s="120">
        <v>42506</v>
      </c>
      <c r="C15" s="66" t="s">
        <v>326</v>
      </c>
      <c r="D15" s="106" t="s">
        <v>327</v>
      </c>
      <c r="E15" s="107" t="s">
        <v>25</v>
      </c>
      <c r="F15" s="106"/>
      <c r="G15" s="106"/>
      <c r="H15" s="59"/>
      <c r="I15" s="106"/>
      <c r="J15" s="108">
        <v>2480000</v>
      </c>
      <c r="K15" s="61"/>
      <c r="L15" s="67"/>
      <c r="M15" s="108"/>
      <c r="N15" s="108"/>
      <c r="O15" s="62">
        <f t="shared" si="0"/>
        <v>2480000</v>
      </c>
      <c r="P15" s="61">
        <v>8181818</v>
      </c>
      <c r="Q15" s="62">
        <f t="shared" si="1"/>
        <v>5701818</v>
      </c>
      <c r="R15" s="78"/>
      <c r="S15" s="51"/>
    </row>
    <row r="16" spans="1:19" s="64" customFormat="1" ht="13.5" customHeight="1" x14ac:dyDescent="0.25">
      <c r="A16" s="53">
        <v>9</v>
      </c>
      <c r="B16" s="120">
        <v>42510</v>
      </c>
      <c r="C16" s="66" t="s">
        <v>328</v>
      </c>
      <c r="D16" s="106" t="s">
        <v>329</v>
      </c>
      <c r="E16" s="107" t="s">
        <v>330</v>
      </c>
      <c r="F16" s="106"/>
      <c r="G16" s="106"/>
      <c r="H16" s="59"/>
      <c r="I16" s="106"/>
      <c r="J16" s="108">
        <v>1000000</v>
      </c>
      <c r="K16" s="61"/>
      <c r="L16" s="67"/>
      <c r="M16" s="108"/>
      <c r="N16" s="108"/>
      <c r="O16" s="62">
        <f t="shared" si="0"/>
        <v>1000000</v>
      </c>
      <c r="P16" s="61">
        <v>3600000</v>
      </c>
      <c r="Q16" s="62">
        <f t="shared" si="1"/>
        <v>2600000</v>
      </c>
      <c r="R16" s="78"/>
      <c r="S16" s="51"/>
    </row>
    <row r="17" spans="1:19" s="64" customFormat="1" ht="13.5" customHeight="1" x14ac:dyDescent="0.25">
      <c r="A17" s="53">
        <v>10</v>
      </c>
      <c r="B17" s="120">
        <v>42511</v>
      </c>
      <c r="C17" s="66" t="s">
        <v>331</v>
      </c>
      <c r="D17" s="106" t="s">
        <v>332</v>
      </c>
      <c r="E17" s="107" t="s">
        <v>333</v>
      </c>
      <c r="F17" s="106"/>
      <c r="G17" s="106"/>
      <c r="H17" s="59"/>
      <c r="I17" s="106"/>
      <c r="J17" s="108">
        <v>1400000</v>
      </c>
      <c r="K17" s="61"/>
      <c r="L17" s="67"/>
      <c r="M17" s="108"/>
      <c r="N17" s="108"/>
      <c r="O17" s="62">
        <f t="shared" si="0"/>
        <v>1400000</v>
      </c>
      <c r="P17" s="61">
        <v>5000000</v>
      </c>
      <c r="Q17" s="62">
        <f t="shared" si="1"/>
        <v>3600000</v>
      </c>
      <c r="R17" s="78"/>
      <c r="S17" s="51"/>
    </row>
    <row r="18" spans="1:19" s="64" customFormat="1" ht="13.5" customHeight="1" x14ac:dyDescent="0.25">
      <c r="A18" s="53">
        <v>11</v>
      </c>
      <c r="B18" s="120">
        <v>42513</v>
      </c>
      <c r="C18" s="66" t="s">
        <v>334</v>
      </c>
      <c r="D18" s="106" t="s">
        <v>335</v>
      </c>
      <c r="E18" s="107" t="s">
        <v>353</v>
      </c>
      <c r="F18" s="106"/>
      <c r="G18" s="106">
        <v>430</v>
      </c>
      <c r="H18" s="59">
        <v>4859000</v>
      </c>
      <c r="I18" s="106"/>
      <c r="J18" s="108">
        <v>2040000</v>
      </c>
      <c r="K18" s="61"/>
      <c r="L18" s="67"/>
      <c r="M18" s="108"/>
      <c r="N18" s="108"/>
      <c r="O18" s="62">
        <f t="shared" si="0"/>
        <v>6899000</v>
      </c>
      <c r="P18" s="61">
        <v>5500000</v>
      </c>
      <c r="Q18" s="62">
        <f t="shared" si="1"/>
        <v>-1399000</v>
      </c>
      <c r="R18" s="78"/>
      <c r="S18" s="51"/>
    </row>
    <row r="19" spans="1:19" s="64" customFormat="1" ht="13.5" customHeight="1" x14ac:dyDescent="0.25">
      <c r="A19" s="53">
        <v>12</v>
      </c>
      <c r="B19" s="120">
        <v>42514</v>
      </c>
      <c r="C19" s="66" t="s">
        <v>336</v>
      </c>
      <c r="D19" s="106" t="s">
        <v>337</v>
      </c>
      <c r="E19" s="107" t="s">
        <v>338</v>
      </c>
      <c r="F19" s="106"/>
      <c r="G19" s="106">
        <v>123</v>
      </c>
      <c r="H19" s="59">
        <v>1389900</v>
      </c>
      <c r="I19" s="106"/>
      <c r="J19" s="108">
        <v>1700000</v>
      </c>
      <c r="K19" s="61"/>
      <c r="L19" s="67"/>
      <c r="M19" s="108"/>
      <c r="N19" s="108"/>
      <c r="O19" s="62">
        <f t="shared" si="0"/>
        <v>3089900</v>
      </c>
      <c r="P19" s="61">
        <v>5500000</v>
      </c>
      <c r="Q19" s="62">
        <f t="shared" si="1"/>
        <v>2410100</v>
      </c>
      <c r="R19" s="78"/>
      <c r="S19" s="51"/>
    </row>
    <row r="20" spans="1:19" s="64" customFormat="1" ht="13.5" customHeight="1" x14ac:dyDescent="0.25">
      <c r="A20" s="53">
        <v>13</v>
      </c>
      <c r="B20" s="120">
        <v>42514</v>
      </c>
      <c r="C20" s="66" t="s">
        <v>336</v>
      </c>
      <c r="D20" s="106" t="s">
        <v>339</v>
      </c>
      <c r="E20" s="107" t="s">
        <v>24</v>
      </c>
      <c r="F20" s="106"/>
      <c r="G20" s="106"/>
      <c r="H20" s="59"/>
      <c r="I20" s="106"/>
      <c r="J20" s="108">
        <v>0</v>
      </c>
      <c r="K20" s="61"/>
      <c r="L20" s="67"/>
      <c r="M20" s="108"/>
      <c r="N20" s="108"/>
      <c r="O20" s="62">
        <f t="shared" si="0"/>
        <v>0</v>
      </c>
      <c r="P20" s="61">
        <v>0</v>
      </c>
      <c r="Q20" s="62">
        <f t="shared" si="1"/>
        <v>0</v>
      </c>
      <c r="R20" s="78"/>
      <c r="S20" s="51"/>
    </row>
    <row r="21" spans="1:19" s="64" customFormat="1" ht="13.5" customHeight="1" x14ac:dyDescent="0.25">
      <c r="A21" s="53">
        <v>14</v>
      </c>
      <c r="B21" s="120">
        <v>42515</v>
      </c>
      <c r="C21" s="66" t="s">
        <v>340</v>
      </c>
      <c r="D21" s="106" t="s">
        <v>341</v>
      </c>
      <c r="E21" s="107" t="s">
        <v>342</v>
      </c>
      <c r="F21" s="106"/>
      <c r="G21" s="106"/>
      <c r="H21" s="59"/>
      <c r="I21" s="106"/>
      <c r="J21" s="108">
        <v>1700000</v>
      </c>
      <c r="K21" s="61"/>
      <c r="L21" s="67"/>
      <c r="M21" s="108"/>
      <c r="N21" s="108"/>
      <c r="O21" s="62">
        <f t="shared" si="0"/>
        <v>1700000</v>
      </c>
      <c r="P21" s="61">
        <v>5500000</v>
      </c>
      <c r="Q21" s="62">
        <f t="shared" si="1"/>
        <v>3800000</v>
      </c>
      <c r="R21" s="78"/>
      <c r="S21" s="51"/>
    </row>
    <row r="22" spans="1:19" s="64" customFormat="1" ht="13.5" customHeight="1" x14ac:dyDescent="0.25">
      <c r="A22" s="53">
        <v>15</v>
      </c>
      <c r="B22" s="120">
        <v>42516</v>
      </c>
      <c r="C22" s="66" t="s">
        <v>343</v>
      </c>
      <c r="D22" s="106" t="s">
        <v>344</v>
      </c>
      <c r="E22" s="107" t="s">
        <v>345</v>
      </c>
      <c r="F22" s="106"/>
      <c r="G22" s="106"/>
      <c r="H22" s="59"/>
      <c r="I22" s="106"/>
      <c r="J22" s="108">
        <v>1200000</v>
      </c>
      <c r="K22" s="61"/>
      <c r="L22" s="67"/>
      <c r="M22" s="108"/>
      <c r="N22" s="108"/>
      <c r="O22" s="62">
        <f t="shared" si="0"/>
        <v>1200000</v>
      </c>
      <c r="P22" s="61">
        <v>4800000</v>
      </c>
      <c r="Q22" s="62">
        <f t="shared" si="1"/>
        <v>3600000</v>
      </c>
      <c r="R22" s="78"/>
      <c r="S22" s="51"/>
    </row>
    <row r="23" spans="1:19" s="64" customFormat="1" ht="13.5" customHeight="1" x14ac:dyDescent="0.25">
      <c r="A23" s="53">
        <v>16</v>
      </c>
      <c r="B23" s="120">
        <v>42518</v>
      </c>
      <c r="C23" s="66" t="s">
        <v>346</v>
      </c>
      <c r="D23" s="106" t="s">
        <v>347</v>
      </c>
      <c r="E23" s="107" t="s">
        <v>25</v>
      </c>
      <c r="F23" s="106"/>
      <c r="G23" s="106"/>
      <c r="H23" s="59"/>
      <c r="I23" s="106"/>
      <c r="J23" s="108">
        <v>1800000</v>
      </c>
      <c r="K23" s="61"/>
      <c r="L23" s="67"/>
      <c r="M23" s="108"/>
      <c r="N23" s="108"/>
      <c r="O23" s="62">
        <f t="shared" si="0"/>
        <v>1800000</v>
      </c>
      <c r="P23" s="61">
        <v>8545455</v>
      </c>
      <c r="Q23" s="62">
        <f t="shared" si="1"/>
        <v>6745455</v>
      </c>
      <c r="R23" s="78"/>
      <c r="S23" s="51"/>
    </row>
    <row r="24" spans="1:19" s="64" customFormat="1" ht="13.5" customHeight="1" x14ac:dyDescent="0.25">
      <c r="A24" s="53">
        <v>17</v>
      </c>
      <c r="B24" s="120">
        <v>42520</v>
      </c>
      <c r="C24" s="66" t="s">
        <v>348</v>
      </c>
      <c r="D24" s="106" t="s">
        <v>349</v>
      </c>
      <c r="E24" s="107" t="s">
        <v>146</v>
      </c>
      <c r="F24" s="106"/>
      <c r="G24" s="106">
        <v>500</v>
      </c>
      <c r="H24" s="59">
        <v>5650000</v>
      </c>
      <c r="I24" s="106"/>
      <c r="J24" s="108">
        <v>1700000</v>
      </c>
      <c r="K24" s="61"/>
      <c r="L24" s="67"/>
      <c r="M24" s="108"/>
      <c r="N24" s="108"/>
      <c r="O24" s="62">
        <f t="shared" si="0"/>
        <v>7350000</v>
      </c>
      <c r="P24" s="61">
        <v>5500000</v>
      </c>
      <c r="Q24" s="62">
        <f t="shared" si="1"/>
        <v>-1850000</v>
      </c>
      <c r="R24" s="78"/>
      <c r="S24" s="51"/>
    </row>
    <row r="25" spans="1:19" s="64" customFormat="1" ht="13.5" customHeight="1" x14ac:dyDescent="0.25">
      <c r="A25" s="121"/>
      <c r="B25" s="120"/>
      <c r="C25" s="107"/>
      <c r="D25" s="106"/>
      <c r="E25" s="107"/>
      <c r="F25" s="106"/>
      <c r="G25" s="106"/>
      <c r="H25" s="59"/>
      <c r="I25" s="106"/>
      <c r="J25" s="108"/>
      <c r="K25" s="61"/>
      <c r="L25" s="67"/>
      <c r="M25" s="108"/>
      <c r="N25" s="108"/>
      <c r="O25" s="62">
        <f t="shared" si="0"/>
        <v>0</v>
      </c>
      <c r="P25" s="61"/>
      <c r="Q25" s="62">
        <f t="shared" si="1"/>
        <v>0</v>
      </c>
      <c r="R25" s="78"/>
      <c r="S25" s="51"/>
    </row>
    <row r="26" spans="1:19" s="87" customFormat="1" x14ac:dyDescent="0.25">
      <c r="A26" s="88"/>
      <c r="B26" s="115"/>
      <c r="C26" s="116"/>
      <c r="D26" s="82"/>
      <c r="E26" s="83"/>
      <c r="F26" s="82"/>
      <c r="G26" s="82"/>
      <c r="H26" s="84"/>
      <c r="I26" s="82"/>
      <c r="J26" s="85"/>
      <c r="K26" s="74"/>
      <c r="L26" s="74"/>
      <c r="M26" s="85"/>
      <c r="N26" s="85"/>
      <c r="O26" s="62">
        <f t="shared" si="0"/>
        <v>0</v>
      </c>
      <c r="P26" s="84"/>
      <c r="Q26" s="62">
        <f t="shared" si="1"/>
        <v>0</v>
      </c>
      <c r="R26" s="79"/>
    </row>
    <row r="27" spans="1:19" s="87" customFormat="1" x14ac:dyDescent="0.25">
      <c r="A27" s="88"/>
      <c r="B27" s="115"/>
      <c r="C27" s="116" t="s">
        <v>121</v>
      </c>
      <c r="D27" s="82"/>
      <c r="E27" s="83"/>
      <c r="F27" s="82"/>
      <c r="G27" s="82"/>
      <c r="H27" s="84"/>
      <c r="I27" s="82"/>
      <c r="J27" s="85"/>
      <c r="K27" s="74">
        <v>7418000</v>
      </c>
      <c r="L27" s="74"/>
      <c r="M27" s="85"/>
      <c r="N27" s="85"/>
      <c r="O27" s="62">
        <f t="shared" si="0"/>
        <v>7418000</v>
      </c>
      <c r="P27" s="84"/>
      <c r="Q27" s="62">
        <f t="shared" si="1"/>
        <v>-7418000</v>
      </c>
      <c r="R27" s="79"/>
    </row>
    <row r="28" spans="1:19" s="87" customFormat="1" x14ac:dyDescent="0.25">
      <c r="A28" s="88"/>
      <c r="B28" s="115"/>
      <c r="C28" s="116" t="s">
        <v>350</v>
      </c>
      <c r="D28" s="82"/>
      <c r="E28" s="83"/>
      <c r="F28" s="82"/>
      <c r="G28" s="82"/>
      <c r="H28" s="84"/>
      <c r="I28" s="82"/>
      <c r="J28" s="85"/>
      <c r="K28" s="74"/>
      <c r="L28" s="74">
        <v>535000</v>
      </c>
      <c r="M28" s="126"/>
      <c r="N28" s="126"/>
      <c r="O28" s="62">
        <f t="shared" si="0"/>
        <v>535000</v>
      </c>
      <c r="P28" s="84"/>
      <c r="Q28" s="62">
        <f t="shared" si="1"/>
        <v>-535000</v>
      </c>
      <c r="R28" s="79"/>
    </row>
    <row r="29" spans="1:19" s="87" customFormat="1" ht="12.75" customHeight="1" x14ac:dyDescent="0.25">
      <c r="A29" s="88"/>
      <c r="B29" s="115"/>
      <c r="C29" s="116" t="s">
        <v>358</v>
      </c>
      <c r="D29" s="82"/>
      <c r="E29" s="83"/>
      <c r="F29" s="82"/>
      <c r="G29" s="82"/>
      <c r="H29" s="84"/>
      <c r="I29" s="82"/>
      <c r="J29" s="85"/>
      <c r="K29" s="74"/>
      <c r="L29" s="74">
        <v>1500000</v>
      </c>
      <c r="M29" s="126"/>
      <c r="N29" s="126"/>
      <c r="O29" s="62">
        <f t="shared" si="0"/>
        <v>1500000</v>
      </c>
      <c r="P29" s="84"/>
      <c r="Q29" s="62">
        <f t="shared" si="1"/>
        <v>-1500000</v>
      </c>
      <c r="R29" s="79"/>
    </row>
    <row r="30" spans="1:19" s="87" customFormat="1" x14ac:dyDescent="0.25">
      <c r="A30" s="88"/>
      <c r="B30" s="115"/>
      <c r="C30" s="116" t="s">
        <v>359</v>
      </c>
      <c r="D30" s="82"/>
      <c r="E30" s="83"/>
      <c r="F30" s="82"/>
      <c r="G30" s="82"/>
      <c r="H30" s="84"/>
      <c r="I30" s="82"/>
      <c r="J30" s="85"/>
      <c r="K30" s="74"/>
      <c r="L30" s="74"/>
      <c r="M30" s="126"/>
      <c r="N30" s="126">
        <v>1200000</v>
      </c>
      <c r="O30" s="62">
        <f t="shared" si="0"/>
        <v>1200000</v>
      </c>
      <c r="P30" s="84"/>
      <c r="Q30" s="62">
        <f t="shared" si="1"/>
        <v>-1200000</v>
      </c>
      <c r="R30" s="79"/>
    </row>
    <row r="31" spans="1:19" s="87" customFormat="1" x14ac:dyDescent="0.25">
      <c r="A31" s="88"/>
      <c r="B31" s="122"/>
      <c r="C31" s="116" t="s">
        <v>354</v>
      </c>
      <c r="D31" s="82"/>
      <c r="E31" s="83"/>
      <c r="F31" s="82"/>
      <c r="G31" s="82"/>
      <c r="H31" s="84"/>
      <c r="I31" s="82"/>
      <c r="J31" s="85"/>
      <c r="K31" s="123"/>
      <c r="L31" s="123">
        <v>32000000</v>
      </c>
      <c r="M31" s="126"/>
      <c r="N31" s="126"/>
      <c r="O31" s="62">
        <f t="shared" si="0"/>
        <v>32000000</v>
      </c>
      <c r="P31" s="86"/>
      <c r="Q31" s="62">
        <f t="shared" si="1"/>
        <v>-32000000</v>
      </c>
      <c r="R31" s="79"/>
    </row>
    <row r="32" spans="1:19" s="87" customFormat="1" x14ac:dyDescent="0.25">
      <c r="A32" s="88"/>
      <c r="B32" s="122"/>
      <c r="C32" s="116" t="s">
        <v>351</v>
      </c>
      <c r="D32" s="82"/>
      <c r="E32" s="83"/>
      <c r="F32" s="82"/>
      <c r="G32" s="82"/>
      <c r="H32" s="84"/>
      <c r="I32" s="82"/>
      <c r="J32" s="85"/>
      <c r="K32" s="123"/>
      <c r="L32" s="123">
        <v>420000</v>
      </c>
      <c r="M32" s="126"/>
      <c r="N32" s="126"/>
      <c r="O32" s="62">
        <f t="shared" si="0"/>
        <v>420000</v>
      </c>
      <c r="P32" s="86"/>
      <c r="Q32" s="62">
        <f t="shared" si="1"/>
        <v>-420000</v>
      </c>
      <c r="R32" s="79"/>
    </row>
    <row r="33" spans="1:18" s="87" customFormat="1" x14ac:dyDescent="0.25">
      <c r="A33" s="88"/>
      <c r="B33" s="122"/>
      <c r="C33" s="116" t="s">
        <v>355</v>
      </c>
      <c r="D33" s="82"/>
      <c r="E33" s="83"/>
      <c r="F33" s="82"/>
      <c r="G33" s="82"/>
      <c r="H33" s="84"/>
      <c r="I33" s="82"/>
      <c r="J33" s="85"/>
      <c r="K33" s="123"/>
      <c r="L33" s="123">
        <f>26815000-3500000</f>
        <v>23315000</v>
      </c>
      <c r="M33" s="126"/>
      <c r="N33" s="126"/>
      <c r="O33" s="62">
        <f t="shared" si="0"/>
        <v>23315000</v>
      </c>
      <c r="P33" s="86"/>
      <c r="Q33" s="62">
        <f t="shared" si="1"/>
        <v>-23315000</v>
      </c>
      <c r="R33" s="79"/>
    </row>
    <row r="34" spans="1:18" s="87" customFormat="1" x14ac:dyDescent="0.25">
      <c r="A34" s="88"/>
      <c r="B34" s="122"/>
      <c r="C34" s="116" t="s">
        <v>356</v>
      </c>
      <c r="D34" s="82"/>
      <c r="E34" s="83"/>
      <c r="F34" s="82"/>
      <c r="G34" s="82"/>
      <c r="H34" s="84"/>
      <c r="I34" s="82"/>
      <c r="J34" s="85"/>
      <c r="K34" s="123"/>
      <c r="L34" s="123">
        <v>1320000</v>
      </c>
      <c r="M34" s="126"/>
      <c r="N34" s="126"/>
      <c r="O34" s="62">
        <f t="shared" si="0"/>
        <v>1320000</v>
      </c>
      <c r="P34" s="86"/>
      <c r="Q34" s="62">
        <f t="shared" si="1"/>
        <v>-1320000</v>
      </c>
      <c r="R34" s="79"/>
    </row>
    <row r="35" spans="1:18" s="87" customFormat="1" ht="51" x14ac:dyDescent="0.25">
      <c r="A35" s="88"/>
      <c r="B35" s="122"/>
      <c r="C35" s="116" t="s">
        <v>352</v>
      </c>
      <c r="D35" s="70"/>
      <c r="E35" s="71"/>
      <c r="F35" s="106"/>
      <c r="G35" s="71"/>
      <c r="H35" s="60"/>
      <c r="I35" s="124"/>
      <c r="J35" s="108"/>
      <c r="K35" s="123"/>
      <c r="L35" s="123">
        <v>42000000</v>
      </c>
      <c r="M35" s="126"/>
      <c r="N35" s="126"/>
      <c r="O35" s="62">
        <f t="shared" si="0"/>
        <v>42000000</v>
      </c>
      <c r="P35" s="86"/>
      <c r="Q35" s="62">
        <f t="shared" si="1"/>
        <v>-42000000</v>
      </c>
      <c r="R35" s="79"/>
    </row>
    <row r="36" spans="1:18" x14ac:dyDescent="0.25">
      <c r="A36" s="53"/>
      <c r="B36" s="117"/>
      <c r="C36" s="116" t="s">
        <v>357</v>
      </c>
      <c r="D36" s="69"/>
      <c r="E36" s="70"/>
      <c r="F36" s="69"/>
      <c r="G36" s="69"/>
      <c r="H36" s="59"/>
      <c r="I36" s="69"/>
      <c r="J36" s="71"/>
      <c r="K36" s="71"/>
      <c r="L36" s="125">
        <v>1100000</v>
      </c>
      <c r="M36" s="71"/>
      <c r="N36" s="71"/>
      <c r="O36" s="62">
        <f t="shared" si="0"/>
        <v>1100000</v>
      </c>
      <c r="P36" s="86"/>
      <c r="Q36" s="62">
        <f t="shared" si="1"/>
        <v>-1100000</v>
      </c>
    </row>
    <row r="37" spans="1:18" x14ac:dyDescent="0.25">
      <c r="A37" s="406" t="s">
        <v>20</v>
      </c>
      <c r="B37" s="407"/>
      <c r="C37" s="407"/>
      <c r="D37" s="407"/>
      <c r="E37" s="407"/>
      <c r="F37" s="408"/>
      <c r="G37" s="75">
        <f>SUM(G7:G36)</f>
        <v>1533</v>
      </c>
      <c r="H37" s="76">
        <f>SUM(H7:H36)</f>
        <v>17188500</v>
      </c>
      <c r="I37" s="76">
        <f>SUM(I7:I36)</f>
        <v>0</v>
      </c>
      <c r="J37" s="76">
        <f>SUM(J7:J36)</f>
        <v>21880000</v>
      </c>
      <c r="K37" s="76">
        <f t="shared" ref="K37:P37" si="2">SUM(K7:K36)</f>
        <v>7418000</v>
      </c>
      <c r="L37" s="76">
        <f>SUM(L7:L36)</f>
        <v>102190000</v>
      </c>
      <c r="M37" s="76">
        <f t="shared" si="2"/>
        <v>0</v>
      </c>
      <c r="N37" s="76">
        <f t="shared" si="2"/>
        <v>1200000</v>
      </c>
      <c r="O37" s="76">
        <f t="shared" si="2"/>
        <v>149876500</v>
      </c>
      <c r="P37" s="76">
        <f t="shared" si="2"/>
        <v>76954546</v>
      </c>
      <c r="Q37" s="76">
        <f>SUM(Q7:Q36)</f>
        <v>-72921954</v>
      </c>
      <c r="R37" s="95"/>
    </row>
    <row r="38" spans="1:18" x14ac:dyDescent="0.25">
      <c r="O38" s="79"/>
      <c r="Q38" s="79">
        <f>P37-O37</f>
        <v>-72921954</v>
      </c>
      <c r="R38" s="96"/>
    </row>
    <row r="39" spans="1:18" x14ac:dyDescent="0.25">
      <c r="P39" s="78" t="s">
        <v>235</v>
      </c>
      <c r="Q39" s="80">
        <f>Q37+'04-2016'!Q45</f>
        <v>57685776</v>
      </c>
      <c r="R39" s="96"/>
    </row>
    <row r="40" spans="1:18" x14ac:dyDescent="0.25">
      <c r="B40" s="3"/>
      <c r="H40" s="51"/>
      <c r="J40" s="51"/>
      <c r="K40" s="51"/>
      <c r="L40" s="51"/>
      <c r="M40" s="51"/>
      <c r="N40" s="51"/>
      <c r="O40" s="51"/>
      <c r="P40" s="51"/>
      <c r="Q40" s="51"/>
      <c r="R40" s="96"/>
    </row>
    <row r="41" spans="1:18" x14ac:dyDescent="0.25">
      <c r="B41" s="3"/>
      <c r="H41" s="51"/>
      <c r="J41" s="51"/>
      <c r="K41" s="51"/>
      <c r="L41" s="51"/>
      <c r="M41" s="51"/>
      <c r="N41" s="51"/>
      <c r="O41" s="51"/>
      <c r="P41" s="51"/>
      <c r="Q41" s="51"/>
      <c r="R41" s="96"/>
    </row>
    <row r="42" spans="1:18" x14ac:dyDescent="0.25">
      <c r="B42" s="3"/>
      <c r="H42" s="51"/>
      <c r="J42" s="51"/>
      <c r="K42" s="51"/>
      <c r="L42" s="51"/>
      <c r="M42" s="51"/>
      <c r="N42" s="51"/>
      <c r="O42" s="51"/>
      <c r="P42" s="51"/>
      <c r="Q42" s="51"/>
      <c r="R42" s="96"/>
    </row>
    <row r="43" spans="1:18" x14ac:dyDescent="0.25">
      <c r="B43" s="3"/>
      <c r="H43" s="51"/>
      <c r="J43" s="51"/>
      <c r="K43" s="51"/>
      <c r="L43" s="51"/>
      <c r="M43" s="51"/>
      <c r="N43" s="51"/>
      <c r="O43" s="51"/>
      <c r="P43" s="51"/>
      <c r="Q43" s="51"/>
      <c r="R43" s="96"/>
    </row>
    <row r="44" spans="1:18" x14ac:dyDescent="0.25">
      <c r="B44" s="3"/>
      <c r="H44" s="51"/>
      <c r="J44" s="51"/>
      <c r="K44" s="51"/>
      <c r="L44" s="51"/>
      <c r="M44" s="51"/>
      <c r="N44" s="51"/>
      <c r="O44" s="51"/>
      <c r="P44" s="51"/>
      <c r="Q44" s="51"/>
      <c r="R44" s="96"/>
    </row>
    <row r="45" spans="1:18" x14ac:dyDescent="0.25">
      <c r="B45" s="3"/>
      <c r="H45" s="51"/>
      <c r="J45" s="51"/>
      <c r="K45" s="51"/>
      <c r="L45" s="51"/>
      <c r="M45" s="51"/>
      <c r="N45" s="51"/>
      <c r="O45" s="51"/>
      <c r="P45" s="51"/>
      <c r="Q45" s="51"/>
      <c r="R45" s="96"/>
    </row>
    <row r="46" spans="1:18" x14ac:dyDescent="0.25">
      <c r="B46" s="3"/>
      <c r="H46" s="51"/>
      <c r="J46" s="51"/>
      <c r="K46" s="51"/>
      <c r="L46" s="51"/>
      <c r="M46" s="51"/>
      <c r="N46" s="51"/>
      <c r="O46" s="51"/>
      <c r="P46" s="51"/>
      <c r="Q46" s="51"/>
      <c r="R46" s="95"/>
    </row>
  </sheetData>
  <mergeCells count="14">
    <mergeCell ref="O5:O6"/>
    <mergeCell ref="P5:P6"/>
    <mergeCell ref="Q5:Q6"/>
    <mergeCell ref="A37:F3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7"/>
  <sheetViews>
    <sheetView topLeftCell="D25" workbookViewId="0">
      <selection activeCell="Q50" sqref="Q50"/>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0.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2.5703125" style="143" customWidth="1"/>
    <col min="19" max="16384" width="9.140625" style="128"/>
  </cols>
  <sheetData>
    <row r="1" spans="1:19" ht="22.5" x14ac:dyDescent="0.25">
      <c r="A1" s="416" t="s">
        <v>0</v>
      </c>
      <c r="B1" s="416"/>
      <c r="C1" s="416"/>
      <c r="D1" s="416"/>
      <c r="E1" s="416"/>
      <c r="F1" s="416"/>
      <c r="G1" s="416"/>
      <c r="H1" s="416"/>
      <c r="I1" s="416"/>
      <c r="J1" s="416"/>
      <c r="K1" s="416"/>
      <c r="L1" s="416"/>
      <c r="M1" s="416"/>
      <c r="N1" s="416"/>
      <c r="O1" s="416"/>
      <c r="P1" s="416"/>
      <c r="Q1" s="416"/>
      <c r="R1" s="127"/>
    </row>
    <row r="2" spans="1:19" ht="15.75" x14ac:dyDescent="0.25">
      <c r="A2" s="417" t="s">
        <v>19</v>
      </c>
      <c r="B2" s="417"/>
      <c r="C2" s="417"/>
      <c r="D2" s="417"/>
      <c r="E2" s="417"/>
      <c r="F2" s="417"/>
      <c r="G2" s="417"/>
      <c r="H2" s="417"/>
      <c r="I2" s="417"/>
      <c r="J2" s="417"/>
      <c r="K2" s="417"/>
      <c r="L2" s="417"/>
      <c r="M2" s="417"/>
      <c r="N2" s="417"/>
      <c r="O2" s="417"/>
      <c r="P2" s="417"/>
      <c r="Q2" s="417"/>
      <c r="R2" s="129"/>
    </row>
    <row r="3" spans="1:19" ht="15.75" x14ac:dyDescent="0.25">
      <c r="A3" s="130"/>
      <c r="B3" s="417" t="s">
        <v>360</v>
      </c>
      <c r="C3" s="417"/>
      <c r="D3" s="417"/>
      <c r="E3" s="417"/>
      <c r="F3" s="417"/>
      <c r="G3" s="417"/>
      <c r="H3" s="417"/>
      <c r="I3" s="417"/>
      <c r="J3" s="417"/>
      <c r="K3" s="417"/>
      <c r="L3" s="417"/>
      <c r="M3" s="417"/>
      <c r="N3" s="417"/>
      <c r="O3" s="417"/>
      <c r="P3" s="417"/>
      <c r="Q3" s="417"/>
      <c r="R3" s="129"/>
    </row>
    <row r="5" spans="1:19" s="129" customFormat="1" x14ac:dyDescent="0.25">
      <c r="A5" s="418" t="s">
        <v>1</v>
      </c>
      <c r="B5" s="420" t="s">
        <v>2</v>
      </c>
      <c r="C5" s="418" t="s">
        <v>3</v>
      </c>
      <c r="D5" s="418" t="s">
        <v>5</v>
      </c>
      <c r="E5" s="422" t="s">
        <v>4</v>
      </c>
      <c r="F5" s="422" t="s">
        <v>17</v>
      </c>
      <c r="G5" s="424" t="s">
        <v>6</v>
      </c>
      <c r="H5" s="424"/>
      <c r="I5" s="424"/>
      <c r="J5" s="424"/>
      <c r="K5" s="424"/>
      <c r="L5" s="424"/>
      <c r="M5" s="424"/>
      <c r="N5" s="424"/>
      <c r="O5" s="411" t="s">
        <v>18</v>
      </c>
      <c r="P5" s="411" t="s">
        <v>13</v>
      </c>
      <c r="Q5" s="411" t="s">
        <v>14</v>
      </c>
      <c r="R5" s="131"/>
    </row>
    <row r="6" spans="1:19" s="129" customFormat="1" x14ac:dyDescent="0.25">
      <c r="A6" s="419"/>
      <c r="B6" s="421"/>
      <c r="C6" s="419"/>
      <c r="D6" s="419"/>
      <c r="E6" s="423"/>
      <c r="F6" s="423"/>
      <c r="G6" s="132" t="s">
        <v>7</v>
      </c>
      <c r="H6" s="133" t="s">
        <v>15</v>
      </c>
      <c r="I6" s="132" t="s">
        <v>16</v>
      </c>
      <c r="J6" s="133" t="s">
        <v>8</v>
      </c>
      <c r="K6" s="133" t="s">
        <v>9</v>
      </c>
      <c r="L6" s="133" t="s">
        <v>10</v>
      </c>
      <c r="M6" s="133" t="s">
        <v>11</v>
      </c>
      <c r="N6" s="133" t="s">
        <v>12</v>
      </c>
      <c r="O6" s="412"/>
      <c r="P6" s="412"/>
      <c r="Q6" s="412"/>
      <c r="R6" s="131"/>
    </row>
    <row r="7" spans="1:19" s="144" customFormat="1" ht="13.5" thickBot="1" x14ac:dyDescent="0.3">
      <c r="A7" s="134"/>
      <c r="B7" s="135"/>
      <c r="C7" s="168"/>
      <c r="D7" s="136"/>
      <c r="E7" s="137"/>
      <c r="F7" s="138"/>
      <c r="G7" s="139"/>
      <c r="H7" s="140"/>
      <c r="I7" s="140"/>
      <c r="J7" s="141"/>
      <c r="K7" s="141"/>
      <c r="L7" s="141"/>
      <c r="M7" s="141"/>
      <c r="N7" s="141"/>
      <c r="O7" s="142"/>
      <c r="P7" s="173"/>
      <c r="Q7" s="174"/>
      <c r="R7" s="143"/>
      <c r="S7" s="128"/>
    </row>
    <row r="8" spans="1:19" s="144" customFormat="1" ht="13.5" customHeight="1" thickBot="1" x14ac:dyDescent="0.25">
      <c r="A8" s="134">
        <v>1</v>
      </c>
      <c r="B8" s="166">
        <v>42520</v>
      </c>
      <c r="C8" s="169" t="s">
        <v>412</v>
      </c>
      <c r="D8" s="167" t="s">
        <v>424</v>
      </c>
      <c r="E8" s="148" t="s">
        <v>21</v>
      </c>
      <c r="F8" s="147"/>
      <c r="G8" s="147"/>
      <c r="H8" s="139"/>
      <c r="I8" s="147"/>
      <c r="J8" s="149">
        <v>890000</v>
      </c>
      <c r="K8" s="141"/>
      <c r="L8" s="150"/>
      <c r="M8" s="149"/>
      <c r="N8" s="149"/>
      <c r="O8" s="172">
        <f>N8+M8+L8+K8+J8+H8</f>
        <v>890000</v>
      </c>
      <c r="P8" s="175">
        <v>3090909</v>
      </c>
      <c r="Q8" s="139">
        <f>P8-O8</f>
        <v>2200909</v>
      </c>
      <c r="R8" s="143"/>
      <c r="S8" s="170"/>
    </row>
    <row r="9" spans="1:19" s="144" customFormat="1" ht="13.5" customHeight="1" thickBot="1" x14ac:dyDescent="0.25">
      <c r="A9" s="134">
        <v>2</v>
      </c>
      <c r="B9" s="166">
        <v>42522</v>
      </c>
      <c r="C9" s="169" t="s">
        <v>413</v>
      </c>
      <c r="D9" s="167" t="s">
        <v>425</v>
      </c>
      <c r="E9" s="148" t="s">
        <v>436</v>
      </c>
      <c r="F9" s="147"/>
      <c r="G9" s="147"/>
      <c r="H9" s="139"/>
      <c r="I9" s="147"/>
      <c r="J9" s="149">
        <v>1280000</v>
      </c>
      <c r="K9" s="141"/>
      <c r="L9" s="150"/>
      <c r="M9" s="149"/>
      <c r="N9" s="149"/>
      <c r="O9" s="172">
        <f t="shared" ref="O9:O47" si="0">N9+M9+L9+K9+J9+H9</f>
        <v>1280000</v>
      </c>
      <c r="P9" s="175">
        <v>4100000</v>
      </c>
      <c r="Q9" s="139">
        <f t="shared" ref="Q9:Q11" si="1">P9-O9</f>
        <v>2820000</v>
      </c>
      <c r="R9" s="143"/>
      <c r="S9" s="170"/>
    </row>
    <row r="10" spans="1:19" s="144" customFormat="1" ht="13.5" customHeight="1" thickBot="1" x14ac:dyDescent="0.25">
      <c r="A10" s="134">
        <v>3</v>
      </c>
      <c r="B10" s="166">
        <v>42523</v>
      </c>
      <c r="C10" s="169" t="s">
        <v>414</v>
      </c>
      <c r="D10" s="167" t="s">
        <v>426</v>
      </c>
      <c r="E10" s="148" t="s">
        <v>189</v>
      </c>
      <c r="F10" s="147"/>
      <c r="G10" s="147"/>
      <c r="H10" s="139"/>
      <c r="I10" s="147"/>
      <c r="J10" s="149">
        <v>1700000</v>
      </c>
      <c r="K10" s="141"/>
      <c r="L10" s="150"/>
      <c r="M10" s="149"/>
      <c r="N10" s="149"/>
      <c r="O10" s="172">
        <f t="shared" si="0"/>
        <v>1700000</v>
      </c>
      <c r="P10" s="175">
        <v>4000000</v>
      </c>
      <c r="Q10" s="139">
        <f t="shared" si="1"/>
        <v>2300000</v>
      </c>
      <c r="R10" s="143"/>
      <c r="S10" s="170"/>
    </row>
    <row r="11" spans="1:19" s="144" customFormat="1" ht="13.5" customHeight="1" thickBot="1" x14ac:dyDescent="0.25">
      <c r="A11" s="134">
        <v>4</v>
      </c>
      <c r="B11" s="166">
        <v>42523</v>
      </c>
      <c r="C11" s="169" t="s">
        <v>415</v>
      </c>
      <c r="D11" s="167" t="s">
        <v>427</v>
      </c>
      <c r="E11" s="148" t="s">
        <v>24</v>
      </c>
      <c r="F11" s="147"/>
      <c r="G11" s="147"/>
      <c r="H11" s="139"/>
      <c r="I11" s="147"/>
      <c r="J11" s="149"/>
      <c r="K11" s="141"/>
      <c r="L11" s="150"/>
      <c r="M11" s="149"/>
      <c r="N11" s="149"/>
      <c r="O11" s="172">
        <f t="shared" si="0"/>
        <v>0</v>
      </c>
      <c r="P11" s="175">
        <v>2600000</v>
      </c>
      <c r="Q11" s="139">
        <f t="shared" si="1"/>
        <v>2600000</v>
      </c>
      <c r="R11" s="143"/>
      <c r="S11" s="170"/>
    </row>
    <row r="12" spans="1:19" s="144" customFormat="1" ht="13.5" customHeight="1" thickBot="1" x14ac:dyDescent="0.25">
      <c r="A12" s="134">
        <v>5</v>
      </c>
      <c r="B12" s="166">
        <v>42524</v>
      </c>
      <c r="C12" s="169"/>
      <c r="D12" s="167"/>
      <c r="E12" s="148"/>
      <c r="F12" s="147"/>
      <c r="G12" s="147">
        <v>442</v>
      </c>
      <c r="H12" s="139">
        <v>4994600</v>
      </c>
      <c r="I12" s="147"/>
      <c r="J12" s="149"/>
      <c r="K12" s="141"/>
      <c r="L12" s="150"/>
      <c r="M12" s="149"/>
      <c r="N12" s="149"/>
      <c r="O12" s="172"/>
      <c r="P12" s="141"/>
      <c r="Q12" s="139"/>
      <c r="R12" s="143"/>
      <c r="S12" s="170"/>
    </row>
    <row r="13" spans="1:19" s="144" customFormat="1" ht="13.5" customHeight="1" thickBot="1" x14ac:dyDescent="0.25">
      <c r="A13" s="134">
        <v>6</v>
      </c>
      <c r="B13" s="166">
        <v>42525</v>
      </c>
      <c r="C13" s="169" t="s">
        <v>416</v>
      </c>
      <c r="D13" s="167" t="s">
        <v>428</v>
      </c>
      <c r="E13" s="148" t="s">
        <v>338</v>
      </c>
      <c r="F13" s="147"/>
      <c r="G13" s="147"/>
      <c r="H13" s="139"/>
      <c r="I13" s="147"/>
      <c r="J13" s="149">
        <v>1700000</v>
      </c>
      <c r="K13" s="141"/>
      <c r="L13" s="150"/>
      <c r="M13" s="149"/>
      <c r="N13" s="149"/>
      <c r="O13" s="172">
        <f t="shared" si="0"/>
        <v>1700000</v>
      </c>
      <c r="P13" s="175">
        <v>3200000</v>
      </c>
      <c r="Q13" s="139">
        <f t="shared" ref="Q13:Q26" si="2">P13-O13</f>
        <v>1500000</v>
      </c>
      <c r="R13" s="143"/>
      <c r="S13" s="170"/>
    </row>
    <row r="14" spans="1:19" s="144" customFormat="1" ht="13.5" customHeight="1" thickBot="1" x14ac:dyDescent="0.25">
      <c r="A14" s="134">
        <v>7</v>
      </c>
      <c r="B14" s="166">
        <v>42525</v>
      </c>
      <c r="C14" s="169" t="s">
        <v>417</v>
      </c>
      <c r="D14" s="167" t="s">
        <v>429</v>
      </c>
      <c r="E14" s="148" t="s">
        <v>24</v>
      </c>
      <c r="F14" s="147"/>
      <c r="G14" s="147"/>
      <c r="H14" s="139"/>
      <c r="I14" s="147"/>
      <c r="J14" s="149"/>
      <c r="K14" s="141"/>
      <c r="L14" s="150"/>
      <c r="M14" s="149"/>
      <c r="N14" s="149"/>
      <c r="O14" s="172">
        <f t="shared" si="0"/>
        <v>0</v>
      </c>
      <c r="P14" s="175">
        <v>2600000</v>
      </c>
      <c r="Q14" s="139">
        <f t="shared" si="2"/>
        <v>2600000</v>
      </c>
      <c r="R14" s="143"/>
      <c r="S14" s="170"/>
    </row>
    <row r="15" spans="1:19" s="144" customFormat="1" ht="13.5" customHeight="1" thickBot="1" x14ac:dyDescent="0.25">
      <c r="A15" s="134">
        <v>8</v>
      </c>
      <c r="B15" s="166">
        <v>42527</v>
      </c>
      <c r="C15" s="169" t="s">
        <v>418</v>
      </c>
      <c r="D15" s="167" t="s">
        <v>430</v>
      </c>
      <c r="E15" s="148" t="s">
        <v>410</v>
      </c>
      <c r="F15" s="147"/>
      <c r="G15" s="147"/>
      <c r="H15" s="139"/>
      <c r="I15" s="147"/>
      <c r="J15" s="149">
        <v>1700000</v>
      </c>
      <c r="K15" s="141"/>
      <c r="L15" s="150"/>
      <c r="M15" s="149"/>
      <c r="N15" s="149"/>
      <c r="O15" s="172">
        <f t="shared" si="0"/>
        <v>1700000</v>
      </c>
      <c r="P15" s="175">
        <v>5200000</v>
      </c>
      <c r="Q15" s="139">
        <f t="shared" si="2"/>
        <v>3500000</v>
      </c>
      <c r="R15" s="143"/>
      <c r="S15" s="170"/>
    </row>
    <row r="16" spans="1:19" s="144" customFormat="1" ht="13.5" customHeight="1" thickBot="1" x14ac:dyDescent="0.25">
      <c r="A16" s="134">
        <v>9</v>
      </c>
      <c r="B16" s="166">
        <v>42527</v>
      </c>
      <c r="C16" s="169" t="s">
        <v>419</v>
      </c>
      <c r="D16" s="167" t="s">
        <v>431</v>
      </c>
      <c r="E16" s="148" t="s">
        <v>146</v>
      </c>
      <c r="F16" s="147"/>
      <c r="G16" s="147"/>
      <c r="H16" s="139"/>
      <c r="I16" s="147"/>
      <c r="J16" s="149">
        <v>1700000</v>
      </c>
      <c r="K16" s="141"/>
      <c r="L16" s="150"/>
      <c r="M16" s="149"/>
      <c r="N16" s="149"/>
      <c r="O16" s="172">
        <f t="shared" si="0"/>
        <v>1700000</v>
      </c>
      <c r="P16" s="175">
        <v>5500000</v>
      </c>
      <c r="Q16" s="139">
        <f t="shared" si="2"/>
        <v>3800000</v>
      </c>
      <c r="R16" s="143"/>
      <c r="S16" s="170"/>
    </row>
    <row r="17" spans="1:19" s="144" customFormat="1" ht="13.5" customHeight="1" thickBot="1" x14ac:dyDescent="0.25">
      <c r="A17" s="134">
        <v>10</v>
      </c>
      <c r="B17" s="166">
        <v>42528</v>
      </c>
      <c r="C17" s="169" t="s">
        <v>420</v>
      </c>
      <c r="D17" s="167" t="s">
        <v>432</v>
      </c>
      <c r="E17" s="148" t="s">
        <v>437</v>
      </c>
      <c r="F17" s="147"/>
      <c r="G17" s="147">
        <v>384</v>
      </c>
      <c r="H17" s="139">
        <v>4569600</v>
      </c>
      <c r="I17" s="147"/>
      <c r="J17" s="149">
        <v>1400000</v>
      </c>
      <c r="K17" s="141"/>
      <c r="L17" s="150"/>
      <c r="M17" s="149"/>
      <c r="N17" s="149"/>
      <c r="O17" s="172">
        <f t="shared" si="0"/>
        <v>5969600</v>
      </c>
      <c r="P17" s="175">
        <v>5200000</v>
      </c>
      <c r="Q17" s="139">
        <f t="shared" si="2"/>
        <v>-769600</v>
      </c>
      <c r="R17" s="143"/>
      <c r="S17" s="170"/>
    </row>
    <row r="18" spans="1:19" s="144" customFormat="1" ht="13.5" customHeight="1" thickBot="1" x14ac:dyDescent="0.25">
      <c r="A18" s="134">
        <v>11</v>
      </c>
      <c r="B18" s="166">
        <v>42529</v>
      </c>
      <c r="C18" s="169" t="s">
        <v>421</v>
      </c>
      <c r="D18" s="167" t="s">
        <v>433</v>
      </c>
      <c r="E18" s="148" t="s">
        <v>410</v>
      </c>
      <c r="F18" s="147"/>
      <c r="G18" s="147"/>
      <c r="H18" s="139"/>
      <c r="I18" s="147"/>
      <c r="J18" s="149">
        <v>1700000</v>
      </c>
      <c r="K18" s="141"/>
      <c r="L18" s="150"/>
      <c r="M18" s="149"/>
      <c r="N18" s="149"/>
      <c r="O18" s="172">
        <f t="shared" si="0"/>
        <v>1700000</v>
      </c>
      <c r="P18" s="175">
        <v>5200000</v>
      </c>
      <c r="Q18" s="139">
        <f t="shared" si="2"/>
        <v>3500000</v>
      </c>
      <c r="R18" s="143"/>
      <c r="S18" s="170"/>
    </row>
    <row r="19" spans="1:19" s="144" customFormat="1" ht="13.5" customHeight="1" thickBot="1" x14ac:dyDescent="0.25">
      <c r="A19" s="134">
        <v>12</v>
      </c>
      <c r="B19" s="166">
        <v>42530</v>
      </c>
      <c r="C19" s="169" t="s">
        <v>422</v>
      </c>
      <c r="D19" s="167" t="s">
        <v>434</v>
      </c>
      <c r="E19" s="148" t="s">
        <v>146</v>
      </c>
      <c r="F19" s="147"/>
      <c r="G19" s="147"/>
      <c r="H19" s="139"/>
      <c r="I19" s="147"/>
      <c r="J19" s="149">
        <v>1700000</v>
      </c>
      <c r="K19" s="141"/>
      <c r="L19" s="150"/>
      <c r="M19" s="149"/>
      <c r="N19" s="149"/>
      <c r="O19" s="172">
        <f t="shared" si="0"/>
        <v>1700000</v>
      </c>
      <c r="P19" s="175">
        <v>5500000</v>
      </c>
      <c r="Q19" s="139">
        <f t="shared" si="2"/>
        <v>3800000</v>
      </c>
      <c r="R19" s="143"/>
      <c r="S19" s="170"/>
    </row>
    <row r="20" spans="1:19" s="144" customFormat="1" ht="13.5" customHeight="1" thickBot="1" x14ac:dyDescent="0.25">
      <c r="A20" s="134">
        <v>13</v>
      </c>
      <c r="B20" s="166">
        <v>42533</v>
      </c>
      <c r="C20" s="169" t="s">
        <v>423</v>
      </c>
      <c r="D20" s="167" t="s">
        <v>435</v>
      </c>
      <c r="E20" s="148" t="s">
        <v>438</v>
      </c>
      <c r="F20" s="147"/>
      <c r="G20" s="147"/>
      <c r="H20" s="139"/>
      <c r="I20" s="147"/>
      <c r="J20" s="149">
        <v>1200000</v>
      </c>
      <c r="K20" s="141"/>
      <c r="L20" s="150"/>
      <c r="M20" s="149"/>
      <c r="N20" s="149"/>
      <c r="O20" s="172">
        <f t="shared" si="0"/>
        <v>1200000</v>
      </c>
      <c r="P20" s="175">
        <v>5100000</v>
      </c>
      <c r="Q20" s="139">
        <f t="shared" si="2"/>
        <v>3900000</v>
      </c>
      <c r="R20" s="143"/>
      <c r="S20" s="170"/>
    </row>
    <row r="21" spans="1:19" s="144" customFormat="1" ht="13.5" customHeight="1" thickBot="1" x14ac:dyDescent="0.25">
      <c r="A21" s="134">
        <v>14</v>
      </c>
      <c r="B21" s="166">
        <v>42534</v>
      </c>
      <c r="C21" s="169" t="s">
        <v>361</v>
      </c>
      <c r="D21" s="167" t="s">
        <v>380</v>
      </c>
      <c r="E21" s="148" t="s">
        <v>401</v>
      </c>
      <c r="F21" s="147"/>
      <c r="G21" s="147">
        <v>448</v>
      </c>
      <c r="H21" s="139">
        <v>5331200</v>
      </c>
      <c r="I21" s="147"/>
      <c r="J21" s="149">
        <v>1000000</v>
      </c>
      <c r="K21" s="141"/>
      <c r="L21" s="150"/>
      <c r="M21" s="149"/>
      <c r="N21" s="149"/>
      <c r="O21" s="172">
        <f t="shared" si="0"/>
        <v>6331200</v>
      </c>
      <c r="P21" s="175">
        <v>3727273</v>
      </c>
      <c r="Q21" s="139">
        <f t="shared" si="2"/>
        <v>-2603927</v>
      </c>
      <c r="R21" s="143"/>
      <c r="S21" s="170"/>
    </row>
    <row r="22" spans="1:19" s="144" customFormat="1" ht="13.5" customHeight="1" thickBot="1" x14ac:dyDescent="0.25">
      <c r="A22" s="134">
        <v>15</v>
      </c>
      <c r="B22" s="166">
        <v>42535</v>
      </c>
      <c r="C22" s="169" t="s">
        <v>362</v>
      </c>
      <c r="D22" s="167" t="s">
        <v>381</v>
      </c>
      <c r="E22" s="148" t="s">
        <v>402</v>
      </c>
      <c r="F22" s="147"/>
      <c r="G22" s="147"/>
      <c r="H22" s="139"/>
      <c r="I22" s="147"/>
      <c r="J22" s="149">
        <v>1700000</v>
      </c>
      <c r="K22" s="141"/>
      <c r="L22" s="150"/>
      <c r="M22" s="149"/>
      <c r="N22" s="149"/>
      <c r="O22" s="172">
        <f t="shared" si="0"/>
        <v>1700000</v>
      </c>
      <c r="P22" s="175">
        <v>5500000</v>
      </c>
      <c r="Q22" s="139">
        <f t="shared" si="2"/>
        <v>3800000</v>
      </c>
      <c r="R22" s="143"/>
      <c r="S22" s="170"/>
    </row>
    <row r="23" spans="1:19" s="144" customFormat="1" ht="13.5" customHeight="1" thickBot="1" x14ac:dyDescent="0.25">
      <c r="A23" s="134">
        <v>16</v>
      </c>
      <c r="B23" s="166">
        <v>42536</v>
      </c>
      <c r="C23" s="169" t="s">
        <v>363</v>
      </c>
      <c r="D23" s="167" t="s">
        <v>382</v>
      </c>
      <c r="E23" s="148" t="s">
        <v>403</v>
      </c>
      <c r="F23" s="147"/>
      <c r="G23" s="147"/>
      <c r="H23" s="139"/>
      <c r="I23" s="147"/>
      <c r="J23" s="149">
        <v>740000</v>
      </c>
      <c r="K23" s="141"/>
      <c r="L23" s="150"/>
      <c r="M23" s="149"/>
      <c r="N23" s="149"/>
      <c r="O23" s="172">
        <f t="shared" si="0"/>
        <v>740000</v>
      </c>
      <c r="P23" s="175">
        <v>2400000</v>
      </c>
      <c r="Q23" s="139">
        <f t="shared" si="2"/>
        <v>1660000</v>
      </c>
      <c r="R23" s="143"/>
      <c r="S23" s="170"/>
    </row>
    <row r="24" spans="1:19" s="144" customFormat="1" ht="13.5" customHeight="1" thickBot="1" x14ac:dyDescent="0.25">
      <c r="A24" s="134">
        <v>17</v>
      </c>
      <c r="B24" s="166">
        <v>42537</v>
      </c>
      <c r="C24" s="169" t="s">
        <v>364</v>
      </c>
      <c r="D24" s="167" t="s">
        <v>383</v>
      </c>
      <c r="E24" s="148" t="s">
        <v>404</v>
      </c>
      <c r="F24" s="147"/>
      <c r="G24" s="147"/>
      <c r="H24" s="139"/>
      <c r="I24" s="147"/>
      <c r="J24" s="149">
        <v>1700000</v>
      </c>
      <c r="K24" s="141"/>
      <c r="L24" s="150"/>
      <c r="M24" s="149"/>
      <c r="N24" s="149"/>
      <c r="O24" s="172">
        <f t="shared" si="0"/>
        <v>1700000</v>
      </c>
      <c r="P24" s="175">
        <v>5500000</v>
      </c>
      <c r="Q24" s="139">
        <f t="shared" si="2"/>
        <v>3800000</v>
      </c>
      <c r="R24" s="143"/>
      <c r="S24" s="170"/>
    </row>
    <row r="25" spans="1:19" s="144" customFormat="1" ht="13.5" customHeight="1" thickBot="1" x14ac:dyDescent="0.25">
      <c r="A25" s="134">
        <v>18</v>
      </c>
      <c r="B25" s="166">
        <v>42538</v>
      </c>
      <c r="C25" s="169" t="s">
        <v>365</v>
      </c>
      <c r="D25" s="167" t="s">
        <v>384</v>
      </c>
      <c r="E25" s="148" t="s">
        <v>405</v>
      </c>
      <c r="F25" s="147"/>
      <c r="G25" s="147"/>
      <c r="H25" s="139"/>
      <c r="I25" s="147"/>
      <c r="J25" s="149">
        <v>1700000</v>
      </c>
      <c r="K25" s="141"/>
      <c r="L25" s="150"/>
      <c r="M25" s="149"/>
      <c r="N25" s="149"/>
      <c r="O25" s="172">
        <f t="shared" si="0"/>
        <v>1700000</v>
      </c>
      <c r="P25" s="175">
        <v>5800000</v>
      </c>
      <c r="Q25" s="139">
        <f t="shared" si="2"/>
        <v>4100000</v>
      </c>
      <c r="R25" s="143"/>
      <c r="S25" s="171"/>
    </row>
    <row r="26" spans="1:19" s="144" customFormat="1" ht="13.5" customHeight="1" thickBot="1" x14ac:dyDescent="0.25">
      <c r="A26" s="134">
        <v>19</v>
      </c>
      <c r="B26" s="166">
        <v>42538</v>
      </c>
      <c r="C26" s="169" t="s">
        <v>365</v>
      </c>
      <c r="D26" s="167" t="s">
        <v>385</v>
      </c>
      <c r="E26" s="148" t="s">
        <v>24</v>
      </c>
      <c r="F26" s="147"/>
      <c r="G26" s="147"/>
      <c r="H26" s="139"/>
      <c r="I26" s="147"/>
      <c r="J26" s="149"/>
      <c r="K26" s="141"/>
      <c r="L26" s="150"/>
      <c r="M26" s="149"/>
      <c r="N26" s="149"/>
      <c r="O26" s="172">
        <f t="shared" si="0"/>
        <v>0</v>
      </c>
      <c r="P26" s="141">
        <v>0</v>
      </c>
      <c r="Q26" s="139">
        <f t="shared" si="2"/>
        <v>0</v>
      </c>
      <c r="R26" s="143"/>
      <c r="S26" s="170"/>
    </row>
    <row r="27" spans="1:19" s="144" customFormat="1" ht="13.5" customHeight="1" thickBot="1" x14ac:dyDescent="0.25">
      <c r="A27" s="134">
        <v>20</v>
      </c>
      <c r="B27" s="166">
        <v>42539</v>
      </c>
      <c r="C27" s="169" t="s">
        <v>366</v>
      </c>
      <c r="D27" s="167" t="s">
        <v>386</v>
      </c>
      <c r="E27" s="148" t="s">
        <v>406</v>
      </c>
      <c r="F27" s="147"/>
      <c r="G27" s="147"/>
      <c r="H27" s="139"/>
      <c r="I27" s="147"/>
      <c r="J27" s="149">
        <v>1200000</v>
      </c>
      <c r="K27" s="141"/>
      <c r="L27" s="150"/>
      <c r="M27" s="149"/>
      <c r="N27" s="149"/>
      <c r="O27" s="172">
        <f t="shared" si="0"/>
        <v>1200000</v>
      </c>
      <c r="P27" s="141">
        <v>5100000</v>
      </c>
      <c r="Q27" s="139">
        <f>P27-O27</f>
        <v>3900000</v>
      </c>
      <c r="R27" s="143"/>
      <c r="S27" s="171"/>
    </row>
    <row r="28" spans="1:19" s="144" customFormat="1" ht="13.5" customHeight="1" thickBot="1" x14ac:dyDescent="0.25">
      <c r="A28" s="134">
        <v>21</v>
      </c>
      <c r="B28" s="166">
        <v>42539</v>
      </c>
      <c r="C28" s="169" t="s">
        <v>367</v>
      </c>
      <c r="D28" s="167" t="s">
        <v>387</v>
      </c>
      <c r="E28" s="148" t="s">
        <v>24</v>
      </c>
      <c r="F28" s="147"/>
      <c r="G28" s="147"/>
      <c r="H28" s="139"/>
      <c r="I28" s="147"/>
      <c r="J28" s="149"/>
      <c r="K28" s="141"/>
      <c r="L28" s="150"/>
      <c r="M28" s="149"/>
      <c r="N28" s="149"/>
      <c r="O28" s="172">
        <f t="shared" si="0"/>
        <v>0</v>
      </c>
      <c r="P28" s="141">
        <v>0</v>
      </c>
      <c r="Q28" s="139">
        <f t="shared" ref="Q28:Q47" si="3">P28-O28</f>
        <v>0</v>
      </c>
      <c r="R28" s="143"/>
      <c r="S28" s="170"/>
    </row>
    <row r="29" spans="1:19" s="144" customFormat="1" ht="13.5" customHeight="1" thickBot="1" x14ac:dyDescent="0.25">
      <c r="A29" s="134">
        <v>22</v>
      </c>
      <c r="B29" s="166">
        <v>42540</v>
      </c>
      <c r="C29" s="169"/>
      <c r="D29" s="167"/>
      <c r="E29" s="148"/>
      <c r="F29" s="147"/>
      <c r="G29" s="147">
        <v>590</v>
      </c>
      <c r="H29" s="139">
        <v>7021000</v>
      </c>
      <c r="I29" s="147"/>
      <c r="J29" s="149"/>
      <c r="K29" s="141"/>
      <c r="L29" s="150"/>
      <c r="M29" s="149"/>
      <c r="N29" s="149"/>
      <c r="O29" s="172">
        <f t="shared" si="0"/>
        <v>7021000</v>
      </c>
      <c r="P29" s="141"/>
      <c r="Q29" s="139">
        <f t="shared" si="3"/>
        <v>-7021000</v>
      </c>
      <c r="R29" s="143"/>
      <c r="S29" s="170"/>
    </row>
    <row r="30" spans="1:19" s="144" customFormat="1" ht="13.5" customHeight="1" thickBot="1" x14ac:dyDescent="0.25">
      <c r="A30" s="134">
        <v>23</v>
      </c>
      <c r="B30" s="166">
        <v>42541</v>
      </c>
      <c r="C30" s="169" t="s">
        <v>368</v>
      </c>
      <c r="D30" s="167" t="s">
        <v>388</v>
      </c>
      <c r="E30" s="148" t="s">
        <v>333</v>
      </c>
      <c r="F30" s="147"/>
      <c r="G30" s="147"/>
      <c r="H30" s="139"/>
      <c r="I30" s="147"/>
      <c r="J30" s="149">
        <v>1400000</v>
      </c>
      <c r="K30" s="141"/>
      <c r="L30" s="150"/>
      <c r="M30" s="149"/>
      <c r="N30" s="149"/>
      <c r="O30" s="172">
        <f t="shared" si="0"/>
        <v>1400000</v>
      </c>
      <c r="P30" s="175">
        <v>5000000</v>
      </c>
      <c r="Q30" s="139">
        <f t="shared" si="3"/>
        <v>3600000</v>
      </c>
      <c r="R30" s="143"/>
      <c r="S30" s="170"/>
    </row>
    <row r="31" spans="1:19" s="144" customFormat="1" ht="13.5" customHeight="1" thickBot="1" x14ac:dyDescent="0.25">
      <c r="A31" s="134">
        <v>24</v>
      </c>
      <c r="B31" s="166">
        <v>42541</v>
      </c>
      <c r="C31" s="146" t="s">
        <v>369</v>
      </c>
      <c r="D31" s="167" t="s">
        <v>389</v>
      </c>
      <c r="E31" s="148" t="s">
        <v>146</v>
      </c>
      <c r="F31" s="147"/>
      <c r="G31" s="147"/>
      <c r="H31" s="139"/>
      <c r="I31" s="147"/>
      <c r="J31" s="149">
        <v>1700000</v>
      </c>
      <c r="K31" s="141"/>
      <c r="L31" s="150"/>
      <c r="M31" s="149"/>
      <c r="N31" s="149"/>
      <c r="O31" s="172">
        <f t="shared" si="0"/>
        <v>1700000</v>
      </c>
      <c r="P31" s="175">
        <v>5500000</v>
      </c>
      <c r="Q31" s="139">
        <f t="shared" si="3"/>
        <v>3800000</v>
      </c>
      <c r="R31" s="143"/>
      <c r="S31" s="170"/>
    </row>
    <row r="32" spans="1:19" s="144" customFormat="1" ht="13.5" customHeight="1" thickBot="1" x14ac:dyDescent="0.25">
      <c r="A32" s="134">
        <v>25</v>
      </c>
      <c r="B32" s="166">
        <v>42543</v>
      </c>
      <c r="C32" s="146" t="s">
        <v>370</v>
      </c>
      <c r="D32" s="167" t="s">
        <v>390</v>
      </c>
      <c r="E32" s="148" t="s">
        <v>407</v>
      </c>
      <c r="F32" s="147"/>
      <c r="G32" s="147"/>
      <c r="H32" s="139"/>
      <c r="I32" s="147"/>
      <c r="J32" s="149">
        <v>1280000</v>
      </c>
      <c r="K32" s="141"/>
      <c r="L32" s="150"/>
      <c r="M32" s="149"/>
      <c r="N32" s="149"/>
      <c r="O32" s="172">
        <f t="shared" si="0"/>
        <v>1280000</v>
      </c>
      <c r="P32" s="175">
        <v>4000000</v>
      </c>
      <c r="Q32" s="139">
        <f t="shared" si="3"/>
        <v>2720000</v>
      </c>
      <c r="R32" s="143"/>
      <c r="S32" s="171"/>
    </row>
    <row r="33" spans="1:19" s="144" customFormat="1" ht="13.5" customHeight="1" thickBot="1" x14ac:dyDescent="0.25">
      <c r="A33" s="134">
        <v>26</v>
      </c>
      <c r="B33" s="166">
        <v>42543</v>
      </c>
      <c r="C33" s="146" t="s">
        <v>371</v>
      </c>
      <c r="D33" s="167" t="s">
        <v>391</v>
      </c>
      <c r="E33" s="148" t="s">
        <v>408</v>
      </c>
      <c r="F33" s="147"/>
      <c r="G33" s="147"/>
      <c r="H33" s="139"/>
      <c r="I33" s="147"/>
      <c r="J33" s="149">
        <v>1700000</v>
      </c>
      <c r="K33" s="141"/>
      <c r="L33" s="150"/>
      <c r="M33" s="149"/>
      <c r="N33" s="149"/>
      <c r="O33" s="172">
        <f t="shared" si="0"/>
        <v>1700000</v>
      </c>
      <c r="P33" s="175">
        <v>5600000</v>
      </c>
      <c r="Q33" s="139">
        <f t="shared" si="3"/>
        <v>3900000</v>
      </c>
      <c r="R33" s="143"/>
      <c r="S33" s="170"/>
    </row>
    <row r="34" spans="1:19" s="144" customFormat="1" ht="13.5" customHeight="1" thickBot="1" x14ac:dyDescent="0.25">
      <c r="A34" s="134">
        <v>27</v>
      </c>
      <c r="B34" s="166">
        <v>42543</v>
      </c>
      <c r="C34" s="146" t="s">
        <v>372</v>
      </c>
      <c r="D34" s="167" t="s">
        <v>392</v>
      </c>
      <c r="E34" s="148" t="s">
        <v>27</v>
      </c>
      <c r="F34" s="147"/>
      <c r="G34" s="147"/>
      <c r="H34" s="139"/>
      <c r="I34" s="147"/>
      <c r="J34" s="149"/>
      <c r="K34" s="141"/>
      <c r="L34" s="150"/>
      <c r="M34" s="149"/>
      <c r="N34" s="149"/>
      <c r="O34" s="172">
        <f t="shared" si="0"/>
        <v>0</v>
      </c>
      <c r="P34" s="176">
        <v>0</v>
      </c>
      <c r="Q34" s="139">
        <f t="shared" si="3"/>
        <v>0</v>
      </c>
      <c r="R34" s="143"/>
      <c r="S34" s="171"/>
    </row>
    <row r="35" spans="1:19" s="144" customFormat="1" ht="13.5" customHeight="1" thickBot="1" x14ac:dyDescent="0.25">
      <c r="A35" s="134">
        <v>28</v>
      </c>
      <c r="B35" s="166">
        <v>42544</v>
      </c>
      <c r="C35" s="146" t="s">
        <v>373</v>
      </c>
      <c r="D35" s="167" t="s">
        <v>393</v>
      </c>
      <c r="E35" s="148" t="s">
        <v>409</v>
      </c>
      <c r="F35" s="147"/>
      <c r="G35" s="147"/>
      <c r="H35" s="139"/>
      <c r="I35" s="147"/>
      <c r="J35" s="149">
        <v>1400000</v>
      </c>
      <c r="K35" s="141"/>
      <c r="L35" s="150"/>
      <c r="M35" s="149"/>
      <c r="N35" s="149"/>
      <c r="O35" s="172">
        <f t="shared" si="0"/>
        <v>1400000</v>
      </c>
      <c r="P35" s="175">
        <v>5000000</v>
      </c>
      <c r="Q35" s="139">
        <f t="shared" si="3"/>
        <v>3600000</v>
      </c>
      <c r="R35" s="143"/>
      <c r="S35" s="170"/>
    </row>
    <row r="36" spans="1:19" s="144" customFormat="1" ht="13.5" customHeight="1" thickBot="1" x14ac:dyDescent="0.25">
      <c r="A36" s="134">
        <v>29</v>
      </c>
      <c r="B36" s="145">
        <v>42544</v>
      </c>
      <c r="C36" s="148" t="s">
        <v>374</v>
      </c>
      <c r="D36" s="147" t="s">
        <v>394</v>
      </c>
      <c r="E36" s="148" t="s">
        <v>24</v>
      </c>
      <c r="F36" s="147"/>
      <c r="G36" s="147"/>
      <c r="H36" s="139"/>
      <c r="I36" s="147"/>
      <c r="J36" s="149"/>
      <c r="K36" s="141"/>
      <c r="L36" s="150"/>
      <c r="M36" s="149"/>
      <c r="N36" s="149"/>
      <c r="O36" s="172">
        <f t="shared" si="0"/>
        <v>0</v>
      </c>
      <c r="P36" s="176">
        <v>0</v>
      </c>
      <c r="Q36" s="139">
        <f t="shared" si="3"/>
        <v>0</v>
      </c>
      <c r="R36" s="143"/>
      <c r="S36" s="170"/>
    </row>
    <row r="37" spans="1:19" s="144" customFormat="1" ht="13.5" customHeight="1" thickBot="1" x14ac:dyDescent="0.25">
      <c r="A37" s="134">
        <v>30</v>
      </c>
      <c r="B37" s="145">
        <v>42545</v>
      </c>
      <c r="C37" s="148" t="s">
        <v>336</v>
      </c>
      <c r="D37" s="147" t="s">
        <v>395</v>
      </c>
      <c r="E37" s="148" t="s">
        <v>410</v>
      </c>
      <c r="F37" s="147"/>
      <c r="G37" s="147"/>
      <c r="H37" s="139"/>
      <c r="I37" s="147"/>
      <c r="J37" s="149">
        <v>1700000</v>
      </c>
      <c r="K37" s="141"/>
      <c r="L37" s="150"/>
      <c r="M37" s="149"/>
      <c r="N37" s="149"/>
      <c r="O37" s="172">
        <f t="shared" si="0"/>
        <v>1700000</v>
      </c>
      <c r="P37" s="175">
        <v>5200000</v>
      </c>
      <c r="Q37" s="139">
        <f t="shared" si="3"/>
        <v>3500000</v>
      </c>
      <c r="R37" s="143"/>
      <c r="S37" s="170"/>
    </row>
    <row r="38" spans="1:19" s="144" customFormat="1" ht="13.5" customHeight="1" thickBot="1" x14ac:dyDescent="0.25">
      <c r="A38" s="134">
        <v>31</v>
      </c>
      <c r="B38" s="145">
        <v>42546</v>
      </c>
      <c r="C38" s="148" t="s">
        <v>375</v>
      </c>
      <c r="D38" s="147" t="s">
        <v>396</v>
      </c>
      <c r="E38" s="148" t="s">
        <v>146</v>
      </c>
      <c r="F38" s="147"/>
      <c r="G38" s="147">
        <v>688</v>
      </c>
      <c r="H38" s="139">
        <v>8455520</v>
      </c>
      <c r="I38" s="147"/>
      <c r="J38" s="149">
        <v>1700000</v>
      </c>
      <c r="K38" s="141"/>
      <c r="L38" s="150"/>
      <c r="M38" s="149"/>
      <c r="N38" s="149"/>
      <c r="O38" s="172">
        <f t="shared" si="0"/>
        <v>10155520</v>
      </c>
      <c r="P38" s="175">
        <v>5500000</v>
      </c>
      <c r="Q38" s="139">
        <f t="shared" si="3"/>
        <v>-4655520</v>
      </c>
      <c r="R38" s="143"/>
      <c r="S38" s="170"/>
    </row>
    <row r="39" spans="1:19" s="144" customFormat="1" ht="13.5" customHeight="1" thickBot="1" x14ac:dyDescent="0.25">
      <c r="A39" s="134">
        <v>32</v>
      </c>
      <c r="B39" s="145">
        <v>42548</v>
      </c>
      <c r="C39" s="148" t="s">
        <v>376</v>
      </c>
      <c r="D39" s="147" t="s">
        <v>397</v>
      </c>
      <c r="E39" s="148" t="s">
        <v>411</v>
      </c>
      <c r="F39" s="147"/>
      <c r="G39" s="147"/>
      <c r="H39" s="139"/>
      <c r="I39" s="147"/>
      <c r="J39" s="149">
        <v>1700000</v>
      </c>
      <c r="K39" s="141"/>
      <c r="L39" s="150"/>
      <c r="M39" s="149"/>
      <c r="N39" s="149"/>
      <c r="O39" s="172">
        <f t="shared" si="0"/>
        <v>1700000</v>
      </c>
      <c r="P39" s="175">
        <v>5500000</v>
      </c>
      <c r="Q39" s="139">
        <f t="shared" si="3"/>
        <v>3800000</v>
      </c>
      <c r="R39" s="143"/>
      <c r="S39" s="170"/>
    </row>
    <row r="40" spans="1:19" s="144" customFormat="1" ht="13.5" customHeight="1" thickBot="1" x14ac:dyDescent="0.25">
      <c r="A40" s="134">
        <v>33</v>
      </c>
      <c r="B40" s="145">
        <v>42549</v>
      </c>
      <c r="C40" s="148" t="s">
        <v>377</v>
      </c>
      <c r="D40" s="147" t="s">
        <v>398</v>
      </c>
      <c r="E40" s="148" t="s">
        <v>291</v>
      </c>
      <c r="F40" s="147"/>
      <c r="G40" s="147"/>
      <c r="H40" s="139"/>
      <c r="I40" s="147"/>
      <c r="J40" s="149">
        <v>1280000</v>
      </c>
      <c r="K40" s="141"/>
      <c r="L40" s="150"/>
      <c r="M40" s="149"/>
      <c r="N40" s="149"/>
      <c r="O40" s="172">
        <f t="shared" si="0"/>
        <v>1280000</v>
      </c>
      <c r="P40" s="175">
        <v>3463636</v>
      </c>
      <c r="Q40" s="139">
        <f t="shared" si="3"/>
        <v>2183636</v>
      </c>
      <c r="R40" s="143"/>
      <c r="S40" s="170"/>
    </row>
    <row r="41" spans="1:19" s="144" customFormat="1" ht="13.5" customHeight="1" x14ac:dyDescent="0.2">
      <c r="A41" s="134">
        <v>34</v>
      </c>
      <c r="B41" s="145">
        <v>42550</v>
      </c>
      <c r="C41" s="148" t="s">
        <v>378</v>
      </c>
      <c r="D41" s="147" t="s">
        <v>399</v>
      </c>
      <c r="E41" s="148" t="s">
        <v>21</v>
      </c>
      <c r="F41" s="147"/>
      <c r="G41" s="147"/>
      <c r="H41" s="139"/>
      <c r="I41" s="147"/>
      <c r="J41" s="149">
        <v>1400000</v>
      </c>
      <c r="K41" s="141"/>
      <c r="L41" s="150"/>
      <c r="M41" s="149"/>
      <c r="N41" s="149"/>
      <c r="O41" s="172">
        <f t="shared" si="0"/>
        <v>1400000</v>
      </c>
      <c r="P41" s="175">
        <v>3090909</v>
      </c>
      <c r="Q41" s="139">
        <f t="shared" si="3"/>
        <v>1690909</v>
      </c>
      <c r="R41" s="143"/>
      <c r="S41" s="128"/>
    </row>
    <row r="42" spans="1:19" s="144" customFormat="1" ht="13.5" customHeight="1" x14ac:dyDescent="0.2">
      <c r="A42" s="134">
        <v>35</v>
      </c>
      <c r="B42" s="145">
        <v>42550</v>
      </c>
      <c r="C42" s="148" t="s">
        <v>379</v>
      </c>
      <c r="D42" s="147" t="s">
        <v>400</v>
      </c>
      <c r="E42" s="148" t="s">
        <v>24</v>
      </c>
      <c r="F42" s="147"/>
      <c r="G42" s="147">
        <v>580</v>
      </c>
      <c r="H42" s="139">
        <f>G42*12290</f>
        <v>7128200</v>
      </c>
      <c r="I42" s="147"/>
      <c r="J42" s="149"/>
      <c r="K42" s="141"/>
      <c r="L42" s="150"/>
      <c r="M42" s="149"/>
      <c r="N42" s="149"/>
      <c r="O42" s="172">
        <f t="shared" si="0"/>
        <v>7128200</v>
      </c>
      <c r="P42" s="175">
        <v>2600000</v>
      </c>
      <c r="Q42" s="139">
        <f t="shared" si="3"/>
        <v>-4528200</v>
      </c>
      <c r="R42" s="143"/>
      <c r="S42" s="128"/>
    </row>
    <row r="43" spans="1:19" s="159" customFormat="1" x14ac:dyDescent="0.25">
      <c r="A43" s="151"/>
      <c r="B43" s="165"/>
      <c r="C43" s="152"/>
      <c r="D43" s="153"/>
      <c r="E43" s="154"/>
      <c r="F43" s="153"/>
      <c r="G43" s="153"/>
      <c r="H43" s="155"/>
      <c r="I43" s="153"/>
      <c r="J43" s="156"/>
      <c r="K43" s="157"/>
      <c r="L43" s="157"/>
      <c r="M43" s="156"/>
      <c r="N43" s="156"/>
      <c r="O43" s="172">
        <f t="shared" si="0"/>
        <v>0</v>
      </c>
      <c r="P43" s="155"/>
      <c r="Q43" s="139">
        <f t="shared" si="3"/>
        <v>0</v>
      </c>
      <c r="R43" s="158"/>
    </row>
    <row r="44" spans="1:19" s="159" customFormat="1" x14ac:dyDescent="0.25">
      <c r="A44" s="151"/>
      <c r="B44" s="165"/>
      <c r="C44" s="152" t="s">
        <v>439</v>
      </c>
      <c r="D44" s="153"/>
      <c r="E44" s="154"/>
      <c r="F44" s="153"/>
      <c r="G44" s="153"/>
      <c r="H44" s="155"/>
      <c r="I44" s="153"/>
      <c r="J44" s="156"/>
      <c r="K44" s="157">
        <v>9000000</v>
      </c>
      <c r="L44" s="157"/>
      <c r="M44" s="156"/>
      <c r="N44" s="156"/>
      <c r="O44" s="172">
        <f t="shared" si="0"/>
        <v>9000000</v>
      </c>
      <c r="P44" s="155"/>
      <c r="Q44" s="139">
        <f t="shared" si="3"/>
        <v>-9000000</v>
      </c>
      <c r="R44" s="158"/>
    </row>
    <row r="45" spans="1:19" s="159" customFormat="1" x14ac:dyDescent="0.25">
      <c r="A45" s="151"/>
      <c r="B45" s="165"/>
      <c r="C45" s="152" t="s">
        <v>440</v>
      </c>
      <c r="D45" s="153"/>
      <c r="E45" s="154"/>
      <c r="F45" s="153"/>
      <c r="G45" s="153"/>
      <c r="H45" s="155"/>
      <c r="I45" s="153"/>
      <c r="J45" s="156"/>
      <c r="K45" s="157"/>
      <c r="L45" s="157">
        <v>1600000</v>
      </c>
      <c r="M45" s="156"/>
      <c r="N45" s="156"/>
      <c r="O45" s="172">
        <f t="shared" si="0"/>
        <v>1600000</v>
      </c>
      <c r="P45" s="155"/>
      <c r="Q45" s="139">
        <f t="shared" si="3"/>
        <v>-1600000</v>
      </c>
      <c r="R45" s="158"/>
    </row>
    <row r="46" spans="1:19" s="159" customFormat="1" x14ac:dyDescent="0.25">
      <c r="A46" s="151"/>
      <c r="B46" s="165"/>
      <c r="C46" s="152" t="s">
        <v>441</v>
      </c>
      <c r="D46" s="153"/>
      <c r="E46" s="154"/>
      <c r="F46" s="153"/>
      <c r="G46" s="153"/>
      <c r="H46" s="155"/>
      <c r="I46" s="153"/>
      <c r="J46" s="156"/>
      <c r="K46" s="157"/>
      <c r="L46" s="157">
        <v>500000</v>
      </c>
      <c r="M46" s="156"/>
      <c r="N46" s="156"/>
      <c r="O46" s="172">
        <f t="shared" si="0"/>
        <v>500000</v>
      </c>
      <c r="P46" s="155"/>
      <c r="Q46" s="139">
        <f t="shared" si="3"/>
        <v>-500000</v>
      </c>
      <c r="R46" s="158"/>
    </row>
    <row r="47" spans="1:19" s="159" customFormat="1" x14ac:dyDescent="0.25">
      <c r="A47" s="151"/>
      <c r="B47" s="165"/>
      <c r="C47" s="152" t="s">
        <v>442</v>
      </c>
      <c r="D47" s="153"/>
      <c r="E47" s="154"/>
      <c r="F47" s="153"/>
      <c r="G47" s="153"/>
      <c r="H47" s="155"/>
      <c r="I47" s="153"/>
      <c r="J47" s="156"/>
      <c r="K47" s="157"/>
      <c r="L47" s="157">
        <v>1320000</v>
      </c>
      <c r="M47" s="156"/>
      <c r="N47" s="156"/>
      <c r="O47" s="172">
        <f t="shared" si="0"/>
        <v>1320000</v>
      </c>
      <c r="P47" s="155"/>
      <c r="Q47" s="139">
        <f t="shared" si="3"/>
        <v>-1320000</v>
      </c>
      <c r="R47" s="158"/>
    </row>
    <row r="48" spans="1:19" x14ac:dyDescent="0.25">
      <c r="A48" s="413" t="s">
        <v>20</v>
      </c>
      <c r="B48" s="414"/>
      <c r="C48" s="414"/>
      <c r="D48" s="414"/>
      <c r="E48" s="414"/>
      <c r="F48" s="415"/>
      <c r="G48" s="160">
        <f t="shared" ref="G48:Q48" si="4">SUM(G7:G47)</f>
        <v>3132</v>
      </c>
      <c r="H48" s="161">
        <f t="shared" si="4"/>
        <v>37500120</v>
      </c>
      <c r="I48" s="161">
        <f t="shared" si="4"/>
        <v>0</v>
      </c>
      <c r="J48" s="161">
        <f t="shared" si="4"/>
        <v>38270000</v>
      </c>
      <c r="K48" s="161">
        <f t="shared" si="4"/>
        <v>9000000</v>
      </c>
      <c r="L48" s="161">
        <f t="shared" si="4"/>
        <v>3420000</v>
      </c>
      <c r="M48" s="161">
        <f t="shared" si="4"/>
        <v>0</v>
      </c>
      <c r="N48" s="161">
        <f t="shared" si="4"/>
        <v>0</v>
      </c>
      <c r="O48" s="161">
        <f t="shared" si="4"/>
        <v>83195520</v>
      </c>
      <c r="P48" s="161">
        <f t="shared" si="4"/>
        <v>129772727</v>
      </c>
      <c r="Q48" s="161">
        <f t="shared" si="4"/>
        <v>46577207</v>
      </c>
      <c r="R48" s="162"/>
    </row>
    <row r="49" spans="2:18" x14ac:dyDescent="0.25">
      <c r="O49" s="158"/>
      <c r="Q49" s="158">
        <f>P48-O48</f>
        <v>46577207</v>
      </c>
      <c r="R49" s="164"/>
    </row>
    <row r="50" spans="2:18" x14ac:dyDescent="0.25">
      <c r="P50" s="143" t="s">
        <v>235</v>
      </c>
      <c r="Q50" s="216">
        <f>Q48+'05-2016'!Q39</f>
        <v>104262983</v>
      </c>
      <c r="R50" s="164"/>
    </row>
    <row r="51" spans="2:18" x14ac:dyDescent="0.25">
      <c r="B51" s="129"/>
      <c r="H51" s="128"/>
      <c r="J51" s="128"/>
      <c r="K51" s="128"/>
      <c r="L51" s="128"/>
      <c r="M51" s="128"/>
      <c r="N51" s="128"/>
      <c r="O51" s="128"/>
      <c r="P51" s="128"/>
      <c r="Q51" s="128"/>
      <c r="R51" s="164"/>
    </row>
    <row r="52" spans="2:18" x14ac:dyDescent="0.25">
      <c r="B52" s="129"/>
      <c r="H52" s="128"/>
      <c r="J52" s="128"/>
      <c r="K52" s="128"/>
      <c r="L52" s="128"/>
      <c r="M52" s="128"/>
      <c r="N52" s="128"/>
      <c r="O52" s="128"/>
      <c r="P52" s="128"/>
      <c r="Q52" s="128"/>
      <c r="R52" s="164"/>
    </row>
    <row r="53" spans="2:18" x14ac:dyDescent="0.25">
      <c r="B53" s="129"/>
      <c r="H53" s="128"/>
      <c r="J53" s="128"/>
      <c r="K53" s="128"/>
      <c r="L53" s="128"/>
      <c r="M53" s="128"/>
      <c r="N53" s="128"/>
      <c r="O53" s="128"/>
      <c r="P53" s="128"/>
      <c r="Q53" s="128"/>
      <c r="R53" s="164"/>
    </row>
    <row r="54" spans="2:18" x14ac:dyDescent="0.25">
      <c r="B54" s="129"/>
      <c r="H54" s="128"/>
      <c r="J54" s="128"/>
      <c r="K54" s="128"/>
      <c r="L54" s="128"/>
      <c r="M54" s="128"/>
      <c r="N54" s="128"/>
      <c r="O54" s="128"/>
      <c r="P54" s="128"/>
      <c r="Q54" s="128"/>
      <c r="R54" s="164"/>
    </row>
    <row r="55" spans="2:18" x14ac:dyDescent="0.25">
      <c r="B55" s="129"/>
      <c r="H55" s="128"/>
      <c r="J55" s="128"/>
      <c r="K55" s="128"/>
      <c r="L55" s="128"/>
      <c r="M55" s="128"/>
      <c r="N55" s="128"/>
      <c r="O55" s="128"/>
      <c r="P55" s="128"/>
      <c r="Q55" s="128"/>
      <c r="R55" s="164"/>
    </row>
    <row r="56" spans="2:18" x14ac:dyDescent="0.25">
      <c r="B56" s="129"/>
      <c r="H56" s="128"/>
      <c r="J56" s="128"/>
      <c r="K56" s="128"/>
      <c r="L56" s="128"/>
      <c r="M56" s="128"/>
      <c r="N56" s="128"/>
      <c r="O56" s="128"/>
      <c r="P56" s="128"/>
      <c r="Q56" s="128"/>
      <c r="R56" s="164"/>
    </row>
    <row r="57" spans="2:18" x14ac:dyDescent="0.25">
      <c r="B57" s="129"/>
      <c r="H57" s="128"/>
      <c r="J57" s="128"/>
      <c r="K57" s="128"/>
      <c r="L57" s="128"/>
      <c r="M57" s="128"/>
      <c r="N57" s="128"/>
      <c r="O57" s="128"/>
      <c r="P57" s="128"/>
      <c r="Q57" s="128"/>
      <c r="R57" s="162"/>
    </row>
  </sheetData>
  <mergeCells count="14">
    <mergeCell ref="O5:O6"/>
    <mergeCell ref="P5:P6"/>
    <mergeCell ref="Q5:Q6"/>
    <mergeCell ref="A48:F48"/>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6"/>
  <sheetViews>
    <sheetView topLeftCell="F30" workbookViewId="0">
      <selection activeCell="Q49" sqref="Q49"/>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0.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443</v>
      </c>
      <c r="C3" s="417"/>
      <c r="D3" s="417"/>
      <c r="E3" s="417"/>
      <c r="F3" s="417"/>
      <c r="G3" s="417"/>
      <c r="H3" s="417"/>
      <c r="I3" s="417"/>
      <c r="J3" s="417"/>
      <c r="K3" s="417"/>
      <c r="L3" s="417"/>
      <c r="M3" s="417"/>
      <c r="N3" s="417"/>
      <c r="O3" s="417"/>
      <c r="P3" s="417"/>
      <c r="Q3" s="417"/>
    </row>
    <row r="5" spans="1:17" s="129" customFormat="1" x14ac:dyDescent="0.25">
      <c r="A5" s="418" t="s">
        <v>1</v>
      </c>
      <c r="B5" s="420" t="s">
        <v>2</v>
      </c>
      <c r="C5" s="418" t="s">
        <v>3</v>
      </c>
      <c r="D5" s="418" t="s">
        <v>5</v>
      </c>
      <c r="E5" s="422" t="s">
        <v>4</v>
      </c>
      <c r="F5" s="422" t="s">
        <v>17</v>
      </c>
      <c r="G5" s="424" t="s">
        <v>6</v>
      </c>
      <c r="H5" s="424"/>
      <c r="I5" s="424"/>
      <c r="J5" s="424"/>
      <c r="K5" s="424"/>
      <c r="L5" s="424"/>
      <c r="M5" s="424"/>
      <c r="N5" s="424"/>
      <c r="O5" s="411" t="s">
        <v>18</v>
      </c>
      <c r="P5" s="411" t="s">
        <v>13</v>
      </c>
      <c r="Q5" s="411" t="s">
        <v>14</v>
      </c>
    </row>
    <row r="6" spans="1:17" s="129" customFormat="1" x14ac:dyDescent="0.25">
      <c r="A6" s="419"/>
      <c r="B6" s="421"/>
      <c r="C6" s="419"/>
      <c r="D6" s="419"/>
      <c r="E6" s="423"/>
      <c r="F6" s="423"/>
      <c r="G6" s="132" t="s">
        <v>7</v>
      </c>
      <c r="H6" s="133" t="s">
        <v>15</v>
      </c>
      <c r="I6" s="132" t="s">
        <v>16</v>
      </c>
      <c r="J6" s="133" t="s">
        <v>8</v>
      </c>
      <c r="K6" s="133" t="s">
        <v>9</v>
      </c>
      <c r="L6" s="133" t="s">
        <v>10</v>
      </c>
      <c r="M6" s="133" t="s">
        <v>11</v>
      </c>
      <c r="N6" s="133" t="s">
        <v>12</v>
      </c>
      <c r="O6" s="412"/>
      <c r="P6" s="412"/>
      <c r="Q6" s="412"/>
    </row>
    <row r="7" spans="1:17" s="144" customFormat="1" x14ac:dyDescent="0.25">
      <c r="A7" s="134"/>
      <c r="B7" s="135"/>
      <c r="C7" s="168"/>
      <c r="D7" s="136"/>
      <c r="E7" s="137"/>
      <c r="F7" s="138"/>
      <c r="G7" s="139"/>
      <c r="H7" s="140"/>
      <c r="I7" s="140"/>
      <c r="J7" s="141"/>
      <c r="K7" s="141"/>
      <c r="L7" s="141"/>
      <c r="M7" s="141"/>
      <c r="N7" s="141"/>
      <c r="O7" s="142"/>
      <c r="P7" s="173"/>
      <c r="Q7" s="174"/>
    </row>
    <row r="8" spans="1:17" s="144" customFormat="1" ht="13.5" customHeight="1" x14ac:dyDescent="0.2">
      <c r="A8" s="134">
        <v>1</v>
      </c>
      <c r="B8" s="166">
        <v>42551</v>
      </c>
      <c r="C8" s="169" t="s">
        <v>444</v>
      </c>
      <c r="D8" s="167" t="s">
        <v>477</v>
      </c>
      <c r="E8" s="148" t="s">
        <v>25</v>
      </c>
      <c r="F8" s="147"/>
      <c r="G8" s="147"/>
      <c r="H8" s="139"/>
      <c r="I8" s="147"/>
      <c r="J8" s="149">
        <v>2000000</v>
      </c>
      <c r="K8" s="141"/>
      <c r="L8" s="150"/>
      <c r="M8" s="149"/>
      <c r="N8" s="149"/>
      <c r="O8" s="172">
        <f>H8+I8+J8+K8+L8+M8+N8</f>
        <v>2000000</v>
      </c>
      <c r="P8" s="172">
        <v>8181818</v>
      </c>
      <c r="Q8" s="174">
        <f>P8-O8</f>
        <v>6181818</v>
      </c>
    </row>
    <row r="9" spans="1:17" s="144" customFormat="1" ht="13.5" customHeight="1" x14ac:dyDescent="0.2">
      <c r="A9" s="134">
        <v>2</v>
      </c>
      <c r="B9" s="166">
        <v>42552</v>
      </c>
      <c r="C9" s="169" t="s">
        <v>445</v>
      </c>
      <c r="D9" s="167" t="s">
        <v>478</v>
      </c>
      <c r="E9" s="148" t="s">
        <v>405</v>
      </c>
      <c r="F9" s="147"/>
      <c r="G9" s="147"/>
      <c r="H9" s="139"/>
      <c r="I9" s="147"/>
      <c r="J9" s="149">
        <v>1700000</v>
      </c>
      <c r="K9" s="141"/>
      <c r="L9" s="150"/>
      <c r="M9" s="149"/>
      <c r="N9" s="149"/>
      <c r="O9" s="172">
        <f t="shared" ref="O9:O39" si="0">H9+I9+J9+K9+L9+M9+N9</f>
        <v>1700000</v>
      </c>
      <c r="P9" s="172">
        <v>5800000</v>
      </c>
      <c r="Q9" s="174">
        <f t="shared" ref="Q9:Q40" si="1">P9-O9</f>
        <v>4100000</v>
      </c>
    </row>
    <row r="10" spans="1:17" s="144" customFormat="1" ht="13.5" customHeight="1" x14ac:dyDescent="0.2">
      <c r="A10" s="134">
        <v>3</v>
      </c>
      <c r="B10" s="166">
        <v>42552</v>
      </c>
      <c r="C10" s="169" t="s">
        <v>446</v>
      </c>
      <c r="D10" s="167" t="s">
        <v>479</v>
      </c>
      <c r="E10" s="148" t="s">
        <v>24</v>
      </c>
      <c r="F10" s="147"/>
      <c r="G10" s="147"/>
      <c r="H10" s="139"/>
      <c r="I10" s="147"/>
      <c r="J10" s="149">
        <v>0</v>
      </c>
      <c r="K10" s="141"/>
      <c r="L10" s="150"/>
      <c r="M10" s="149"/>
      <c r="N10" s="149"/>
      <c r="O10" s="172">
        <f t="shared" si="0"/>
        <v>0</v>
      </c>
      <c r="P10" s="172">
        <v>0</v>
      </c>
      <c r="Q10" s="174">
        <f t="shared" si="1"/>
        <v>0</v>
      </c>
    </row>
    <row r="11" spans="1:17" s="144" customFormat="1" ht="13.5" customHeight="1" x14ac:dyDescent="0.2">
      <c r="A11" s="134">
        <v>4</v>
      </c>
      <c r="B11" s="166">
        <v>42553</v>
      </c>
      <c r="C11" s="169" t="s">
        <v>447</v>
      </c>
      <c r="D11" s="167" t="s">
        <v>480</v>
      </c>
      <c r="E11" s="148" t="s">
        <v>146</v>
      </c>
      <c r="F11" s="147"/>
      <c r="G11" s="147"/>
      <c r="H11" s="139"/>
      <c r="I11" s="147"/>
      <c r="J11" s="149">
        <v>1700000</v>
      </c>
      <c r="K11" s="141"/>
      <c r="L11" s="150"/>
      <c r="M11" s="149"/>
      <c r="N11" s="149"/>
      <c r="O11" s="172">
        <f t="shared" si="0"/>
        <v>1700000</v>
      </c>
      <c r="P11" s="172">
        <v>5500000</v>
      </c>
      <c r="Q11" s="174">
        <f t="shared" si="1"/>
        <v>3800000</v>
      </c>
    </row>
    <row r="12" spans="1:17" s="144" customFormat="1" ht="13.5" customHeight="1" x14ac:dyDescent="0.2">
      <c r="A12" s="134">
        <v>5</v>
      </c>
      <c r="B12" s="166">
        <v>42555</v>
      </c>
      <c r="C12" s="169" t="s">
        <v>448</v>
      </c>
      <c r="D12" s="167" t="s">
        <v>481</v>
      </c>
      <c r="E12" s="148" t="s">
        <v>508</v>
      </c>
      <c r="F12" s="147"/>
      <c r="G12" s="147"/>
      <c r="H12" s="139"/>
      <c r="I12" s="147"/>
      <c r="J12" s="149">
        <v>1280000</v>
      </c>
      <c r="K12" s="141"/>
      <c r="L12" s="150"/>
      <c r="M12" s="149"/>
      <c r="N12" s="149"/>
      <c r="O12" s="172">
        <f t="shared" si="0"/>
        <v>1280000</v>
      </c>
      <c r="P12" s="172">
        <v>3327273</v>
      </c>
      <c r="Q12" s="174">
        <f t="shared" si="1"/>
        <v>2047273</v>
      </c>
    </row>
    <row r="13" spans="1:17" s="144" customFormat="1" ht="13.5" customHeight="1" x14ac:dyDescent="0.2">
      <c r="A13" s="134">
        <v>6</v>
      </c>
      <c r="B13" s="166">
        <v>42556</v>
      </c>
      <c r="C13" s="169" t="s">
        <v>449</v>
      </c>
      <c r="D13" s="167" t="s">
        <v>481</v>
      </c>
      <c r="E13" s="148" t="s">
        <v>509</v>
      </c>
      <c r="F13" s="147"/>
      <c r="G13" s="147"/>
      <c r="H13" s="139"/>
      <c r="I13" s="147"/>
      <c r="J13" s="149">
        <v>900000</v>
      </c>
      <c r="K13" s="141"/>
      <c r="L13" s="150"/>
      <c r="M13" s="149"/>
      <c r="N13" s="149"/>
      <c r="O13" s="172">
        <f t="shared" si="0"/>
        <v>900000</v>
      </c>
      <c r="P13" s="172">
        <v>2973636</v>
      </c>
      <c r="Q13" s="174">
        <f t="shared" si="1"/>
        <v>2073636</v>
      </c>
    </row>
    <row r="14" spans="1:17" s="144" customFormat="1" ht="13.5" customHeight="1" x14ac:dyDescent="0.2">
      <c r="A14" s="134">
        <v>7</v>
      </c>
      <c r="B14" s="166">
        <v>42557</v>
      </c>
      <c r="C14" s="169" t="s">
        <v>450</v>
      </c>
      <c r="D14" s="167" t="s">
        <v>482</v>
      </c>
      <c r="E14" s="148" t="s">
        <v>248</v>
      </c>
      <c r="F14" s="147"/>
      <c r="G14" s="147"/>
      <c r="H14" s="139"/>
      <c r="I14" s="147"/>
      <c r="J14" s="149">
        <v>900000</v>
      </c>
      <c r="K14" s="141"/>
      <c r="L14" s="150"/>
      <c r="M14" s="149"/>
      <c r="N14" s="149"/>
      <c r="O14" s="172">
        <f t="shared" si="0"/>
        <v>900000</v>
      </c>
      <c r="P14" s="172">
        <v>4400000</v>
      </c>
      <c r="Q14" s="174">
        <f t="shared" si="1"/>
        <v>3500000</v>
      </c>
    </row>
    <row r="15" spans="1:17" s="144" customFormat="1" ht="13.5" customHeight="1" x14ac:dyDescent="0.2">
      <c r="A15" s="134">
        <v>8</v>
      </c>
      <c r="B15" s="166">
        <v>42558</v>
      </c>
      <c r="C15" s="169" t="s">
        <v>451</v>
      </c>
      <c r="D15" s="167" t="s">
        <v>483</v>
      </c>
      <c r="E15" s="148" t="s">
        <v>404</v>
      </c>
      <c r="F15" s="147"/>
      <c r="G15" s="147">
        <v>670</v>
      </c>
      <c r="H15" s="139">
        <v>8234300</v>
      </c>
      <c r="I15" s="147"/>
      <c r="J15" s="149">
        <v>1700000</v>
      </c>
      <c r="K15" s="141"/>
      <c r="L15" s="150"/>
      <c r="M15" s="149"/>
      <c r="N15" s="149"/>
      <c r="O15" s="172">
        <f t="shared" si="0"/>
        <v>9934300</v>
      </c>
      <c r="P15" s="172">
        <v>5500000</v>
      </c>
      <c r="Q15" s="174">
        <f t="shared" si="1"/>
        <v>-4434300</v>
      </c>
    </row>
    <row r="16" spans="1:17" s="144" customFormat="1" ht="13.5" customHeight="1" x14ac:dyDescent="0.2">
      <c r="A16" s="134">
        <v>9</v>
      </c>
      <c r="B16" s="166">
        <v>42559</v>
      </c>
      <c r="C16" s="169" t="s">
        <v>452</v>
      </c>
      <c r="D16" s="167" t="s">
        <v>484</v>
      </c>
      <c r="E16" s="148" t="s">
        <v>248</v>
      </c>
      <c r="F16" s="147"/>
      <c r="G16" s="147"/>
      <c r="H16" s="139"/>
      <c r="I16" s="147"/>
      <c r="J16" s="149">
        <v>900000</v>
      </c>
      <c r="K16" s="141"/>
      <c r="L16" s="150"/>
      <c r="M16" s="149"/>
      <c r="N16" s="149"/>
      <c r="O16" s="172">
        <f t="shared" si="0"/>
        <v>900000</v>
      </c>
      <c r="P16" s="172">
        <v>4400000</v>
      </c>
      <c r="Q16" s="174">
        <f t="shared" si="1"/>
        <v>3500000</v>
      </c>
    </row>
    <row r="17" spans="1:17" s="144" customFormat="1" ht="13.5" customHeight="1" x14ac:dyDescent="0.2">
      <c r="A17" s="134">
        <v>10</v>
      </c>
      <c r="B17" s="166">
        <v>42560</v>
      </c>
      <c r="C17" s="169" t="s">
        <v>453</v>
      </c>
      <c r="D17" s="167" t="s">
        <v>485</v>
      </c>
      <c r="E17" s="148" t="s">
        <v>25</v>
      </c>
      <c r="F17" s="147"/>
      <c r="G17" s="147"/>
      <c r="H17" s="139"/>
      <c r="I17" s="147"/>
      <c r="J17" s="149">
        <v>2000000</v>
      </c>
      <c r="K17" s="141"/>
      <c r="L17" s="150"/>
      <c r="M17" s="149"/>
      <c r="N17" s="149"/>
      <c r="O17" s="172">
        <f t="shared" si="0"/>
        <v>2000000</v>
      </c>
      <c r="P17" s="172">
        <v>6500000</v>
      </c>
      <c r="Q17" s="174">
        <f t="shared" si="1"/>
        <v>4500000</v>
      </c>
    </row>
    <row r="18" spans="1:17" s="144" customFormat="1" ht="13.5" customHeight="1" x14ac:dyDescent="0.2">
      <c r="A18" s="134">
        <v>11</v>
      </c>
      <c r="B18" s="166">
        <v>42562</v>
      </c>
      <c r="C18" s="169" t="s">
        <v>454</v>
      </c>
      <c r="D18" s="167" t="s">
        <v>486</v>
      </c>
      <c r="E18" s="148" t="s">
        <v>25</v>
      </c>
      <c r="F18" s="147"/>
      <c r="G18" s="147"/>
      <c r="H18" s="139"/>
      <c r="I18" s="147"/>
      <c r="J18" s="149">
        <v>2000000</v>
      </c>
      <c r="K18" s="141"/>
      <c r="L18" s="150"/>
      <c r="M18" s="149"/>
      <c r="N18" s="149"/>
      <c r="O18" s="172">
        <f t="shared" si="0"/>
        <v>2000000</v>
      </c>
      <c r="P18" s="172">
        <v>8181818</v>
      </c>
      <c r="Q18" s="174">
        <f t="shared" si="1"/>
        <v>6181818</v>
      </c>
    </row>
    <row r="19" spans="1:17" s="144" customFormat="1" ht="13.5" customHeight="1" x14ac:dyDescent="0.2">
      <c r="A19" s="134">
        <v>12</v>
      </c>
      <c r="B19" s="166">
        <v>42563</v>
      </c>
      <c r="C19" s="169" t="s">
        <v>455</v>
      </c>
      <c r="D19" s="167" t="s">
        <v>487</v>
      </c>
      <c r="E19" s="148" t="s">
        <v>510</v>
      </c>
      <c r="F19" s="147"/>
      <c r="G19" s="147">
        <v>541</v>
      </c>
      <c r="H19" s="139">
        <v>6648890</v>
      </c>
      <c r="I19" s="147"/>
      <c r="J19" s="149">
        <v>1700000</v>
      </c>
      <c r="K19" s="141"/>
      <c r="L19" s="150"/>
      <c r="M19" s="149"/>
      <c r="N19" s="149"/>
      <c r="O19" s="172">
        <f t="shared" si="0"/>
        <v>8348890</v>
      </c>
      <c r="P19" s="172">
        <v>6900000</v>
      </c>
      <c r="Q19" s="174">
        <f t="shared" si="1"/>
        <v>-1448890</v>
      </c>
    </row>
    <row r="20" spans="1:17" s="144" customFormat="1" ht="13.5" customHeight="1" x14ac:dyDescent="0.2">
      <c r="A20" s="134">
        <v>13</v>
      </c>
      <c r="B20" s="166">
        <v>42564</v>
      </c>
      <c r="C20" s="169" t="s">
        <v>456</v>
      </c>
      <c r="D20" s="167" t="s">
        <v>488</v>
      </c>
      <c r="E20" s="148" t="s">
        <v>146</v>
      </c>
      <c r="F20" s="147"/>
      <c r="G20" s="147"/>
      <c r="H20" s="139"/>
      <c r="I20" s="147"/>
      <c r="J20" s="149">
        <v>1700000</v>
      </c>
      <c r="K20" s="141"/>
      <c r="L20" s="150"/>
      <c r="M20" s="149"/>
      <c r="N20" s="149"/>
      <c r="O20" s="172">
        <f t="shared" si="0"/>
        <v>1700000</v>
      </c>
      <c r="P20" s="172">
        <v>5500000</v>
      </c>
      <c r="Q20" s="174">
        <f t="shared" si="1"/>
        <v>3800000</v>
      </c>
    </row>
    <row r="21" spans="1:17" s="144" customFormat="1" ht="13.5" customHeight="1" x14ac:dyDescent="0.2">
      <c r="A21" s="134">
        <v>14</v>
      </c>
      <c r="B21" s="166">
        <v>42565</v>
      </c>
      <c r="C21" s="169" t="s">
        <v>457</v>
      </c>
      <c r="D21" s="167" t="s">
        <v>489</v>
      </c>
      <c r="E21" s="148" t="s">
        <v>146</v>
      </c>
      <c r="F21" s="147"/>
      <c r="G21" s="147"/>
      <c r="H21" s="139"/>
      <c r="I21" s="147"/>
      <c r="J21" s="149">
        <v>1700000</v>
      </c>
      <c r="K21" s="141"/>
      <c r="L21" s="150"/>
      <c r="M21" s="149"/>
      <c r="N21" s="149"/>
      <c r="O21" s="172">
        <f t="shared" si="0"/>
        <v>1700000</v>
      </c>
      <c r="P21" s="172">
        <v>5500000</v>
      </c>
      <c r="Q21" s="174">
        <f t="shared" si="1"/>
        <v>3800000</v>
      </c>
    </row>
    <row r="22" spans="1:17" s="144" customFormat="1" ht="13.5" customHeight="1" x14ac:dyDescent="0.2">
      <c r="A22" s="134">
        <v>15</v>
      </c>
      <c r="B22" s="166">
        <v>42567</v>
      </c>
      <c r="C22" s="169" t="s">
        <v>458</v>
      </c>
      <c r="D22" s="167" t="s">
        <v>490</v>
      </c>
      <c r="E22" s="148" t="s">
        <v>259</v>
      </c>
      <c r="F22" s="147"/>
      <c r="G22" s="147"/>
      <c r="H22" s="139"/>
      <c r="I22" s="147"/>
      <c r="J22" s="149">
        <v>1700000</v>
      </c>
      <c r="K22" s="141"/>
      <c r="L22" s="150"/>
      <c r="M22" s="149"/>
      <c r="N22" s="149"/>
      <c r="O22" s="172">
        <f t="shared" si="0"/>
        <v>1700000</v>
      </c>
      <c r="P22" s="172">
        <v>5700000</v>
      </c>
      <c r="Q22" s="174">
        <f t="shared" si="1"/>
        <v>4000000</v>
      </c>
    </row>
    <row r="23" spans="1:17" s="144" customFormat="1" ht="13.5" customHeight="1" x14ac:dyDescent="0.2">
      <c r="A23" s="134">
        <v>16</v>
      </c>
      <c r="B23" s="166">
        <v>42567</v>
      </c>
      <c r="C23" s="169" t="s">
        <v>459</v>
      </c>
      <c r="D23" s="167" t="s">
        <v>491</v>
      </c>
      <c r="E23" s="148" t="s">
        <v>24</v>
      </c>
      <c r="F23" s="147"/>
      <c r="G23" s="147"/>
      <c r="H23" s="139"/>
      <c r="I23" s="147"/>
      <c r="J23" s="149">
        <v>0</v>
      </c>
      <c r="K23" s="141"/>
      <c r="L23" s="150"/>
      <c r="M23" s="149"/>
      <c r="N23" s="149"/>
      <c r="O23" s="172">
        <f t="shared" si="0"/>
        <v>0</v>
      </c>
      <c r="P23" s="172">
        <v>0</v>
      </c>
      <c r="Q23" s="174">
        <f t="shared" si="1"/>
        <v>0</v>
      </c>
    </row>
    <row r="24" spans="1:17" s="144" customFormat="1" ht="13.5" customHeight="1" x14ac:dyDescent="0.2">
      <c r="A24" s="134">
        <v>17</v>
      </c>
      <c r="B24" s="166">
        <v>42568</v>
      </c>
      <c r="C24" s="169" t="s">
        <v>460</v>
      </c>
      <c r="D24" s="177" t="s">
        <v>492</v>
      </c>
      <c r="E24" s="148" t="s">
        <v>243</v>
      </c>
      <c r="F24" s="147"/>
      <c r="G24" s="147"/>
      <c r="H24" s="139"/>
      <c r="I24" s="147"/>
      <c r="J24" s="149">
        <v>1400000</v>
      </c>
      <c r="K24" s="141"/>
      <c r="L24" s="150"/>
      <c r="M24" s="149"/>
      <c r="N24" s="149"/>
      <c r="O24" s="172">
        <f t="shared" si="0"/>
        <v>1400000</v>
      </c>
      <c r="P24" s="172">
        <v>5000000</v>
      </c>
      <c r="Q24" s="174">
        <f t="shared" si="1"/>
        <v>3600000</v>
      </c>
    </row>
    <row r="25" spans="1:17" s="144" customFormat="1" ht="13.5" customHeight="1" x14ac:dyDescent="0.2">
      <c r="A25" s="134">
        <v>18</v>
      </c>
      <c r="B25" s="166">
        <v>42568</v>
      </c>
      <c r="C25" s="169" t="s">
        <v>461</v>
      </c>
      <c r="D25" s="177" t="s">
        <v>493</v>
      </c>
      <c r="E25" s="148" t="s">
        <v>24</v>
      </c>
      <c r="F25" s="147"/>
      <c r="G25" s="147"/>
      <c r="H25" s="139"/>
      <c r="I25" s="147"/>
      <c r="J25" s="149">
        <v>0</v>
      </c>
      <c r="K25" s="141"/>
      <c r="L25" s="150"/>
      <c r="M25" s="149"/>
      <c r="N25" s="149"/>
      <c r="O25" s="172">
        <f t="shared" si="0"/>
        <v>0</v>
      </c>
      <c r="P25" s="172">
        <v>0</v>
      </c>
      <c r="Q25" s="174">
        <f t="shared" si="1"/>
        <v>0</v>
      </c>
    </row>
    <row r="26" spans="1:17" s="144" customFormat="1" ht="13.5" customHeight="1" x14ac:dyDescent="0.2">
      <c r="A26" s="134">
        <v>19</v>
      </c>
      <c r="B26" s="166">
        <v>42569</v>
      </c>
      <c r="C26" s="169" t="s">
        <v>462</v>
      </c>
      <c r="D26" s="177" t="s">
        <v>494</v>
      </c>
      <c r="E26" s="148" t="s">
        <v>511</v>
      </c>
      <c r="F26" s="147"/>
      <c r="G26" s="147">
        <v>520</v>
      </c>
      <c r="H26" s="139">
        <v>6390800</v>
      </c>
      <c r="I26" s="147"/>
      <c r="J26" s="149">
        <v>1400000</v>
      </c>
      <c r="K26" s="141"/>
      <c r="L26" s="150"/>
      <c r="M26" s="149"/>
      <c r="N26" s="149"/>
      <c r="O26" s="172">
        <f t="shared" si="0"/>
        <v>7790800</v>
      </c>
      <c r="P26" s="172">
        <v>5000000</v>
      </c>
      <c r="Q26" s="174">
        <f t="shared" si="1"/>
        <v>-2790800</v>
      </c>
    </row>
    <row r="27" spans="1:17" s="144" customFormat="1" ht="13.5" customHeight="1" x14ac:dyDescent="0.2">
      <c r="A27" s="134">
        <v>20</v>
      </c>
      <c r="B27" s="166">
        <v>42569</v>
      </c>
      <c r="C27" s="169" t="s">
        <v>463</v>
      </c>
      <c r="D27" s="177" t="s">
        <v>492</v>
      </c>
      <c r="E27" s="148" t="s">
        <v>24</v>
      </c>
      <c r="F27" s="147"/>
      <c r="G27" s="147"/>
      <c r="H27" s="139"/>
      <c r="I27" s="147"/>
      <c r="J27" s="149">
        <v>0</v>
      </c>
      <c r="K27" s="141"/>
      <c r="L27" s="150"/>
      <c r="M27" s="149"/>
      <c r="N27" s="149"/>
      <c r="O27" s="172">
        <f t="shared" si="0"/>
        <v>0</v>
      </c>
      <c r="P27" s="172">
        <v>0</v>
      </c>
      <c r="Q27" s="174">
        <f t="shared" si="1"/>
        <v>0</v>
      </c>
    </row>
    <row r="28" spans="1:17" s="144" customFormat="1" ht="13.5" customHeight="1" x14ac:dyDescent="0.2">
      <c r="A28" s="134">
        <v>21</v>
      </c>
      <c r="B28" s="166">
        <v>42570</v>
      </c>
      <c r="C28" s="169" t="s">
        <v>464</v>
      </c>
      <c r="D28" s="167" t="s">
        <v>495</v>
      </c>
      <c r="E28" s="148" t="s">
        <v>25</v>
      </c>
      <c r="F28" s="147"/>
      <c r="G28" s="147"/>
      <c r="H28" s="139"/>
      <c r="I28" s="147"/>
      <c r="J28" s="149">
        <v>1950000</v>
      </c>
      <c r="K28" s="141"/>
      <c r="L28" s="150"/>
      <c r="M28" s="149"/>
      <c r="N28" s="149"/>
      <c r="O28" s="172">
        <f t="shared" si="0"/>
        <v>1950000</v>
      </c>
      <c r="P28" s="172">
        <v>8181818</v>
      </c>
      <c r="Q28" s="174">
        <f t="shared" si="1"/>
        <v>6231818</v>
      </c>
    </row>
    <row r="29" spans="1:17" s="144" customFormat="1" ht="13.5" customHeight="1" x14ac:dyDescent="0.2">
      <c r="A29" s="134">
        <v>22</v>
      </c>
      <c r="B29" s="166">
        <v>42571</v>
      </c>
      <c r="C29" s="169" t="s">
        <v>465</v>
      </c>
      <c r="D29" s="167" t="s">
        <v>496</v>
      </c>
      <c r="E29" s="148" t="s">
        <v>512</v>
      </c>
      <c r="F29" s="147"/>
      <c r="G29" s="147"/>
      <c r="H29" s="139"/>
      <c r="I29" s="147"/>
      <c r="J29" s="149">
        <v>1600000</v>
      </c>
      <c r="K29" s="141"/>
      <c r="L29" s="150"/>
      <c r="M29" s="149"/>
      <c r="N29" s="149"/>
      <c r="O29" s="172">
        <f t="shared" si="0"/>
        <v>1600000</v>
      </c>
      <c r="P29" s="172">
        <v>5200000</v>
      </c>
      <c r="Q29" s="174">
        <f t="shared" si="1"/>
        <v>3600000</v>
      </c>
    </row>
    <row r="30" spans="1:17" s="144" customFormat="1" ht="13.5" customHeight="1" x14ac:dyDescent="0.2">
      <c r="A30" s="134">
        <v>23</v>
      </c>
      <c r="B30" s="166">
        <v>42572</v>
      </c>
      <c r="C30" s="169" t="s">
        <v>466</v>
      </c>
      <c r="D30" s="167" t="s">
        <v>497</v>
      </c>
      <c r="E30" s="148" t="s">
        <v>248</v>
      </c>
      <c r="F30" s="147"/>
      <c r="G30" s="147"/>
      <c r="H30" s="139"/>
      <c r="I30" s="147"/>
      <c r="J30" s="149">
        <v>850000</v>
      </c>
      <c r="K30" s="141"/>
      <c r="L30" s="150"/>
      <c r="M30" s="149"/>
      <c r="N30" s="149"/>
      <c r="O30" s="172">
        <f t="shared" si="0"/>
        <v>850000</v>
      </c>
      <c r="P30" s="172">
        <v>4200000</v>
      </c>
      <c r="Q30" s="174">
        <f t="shared" si="1"/>
        <v>3350000</v>
      </c>
    </row>
    <row r="31" spans="1:17" s="144" customFormat="1" ht="13.5" customHeight="1" x14ac:dyDescent="0.25">
      <c r="A31" s="134">
        <v>24</v>
      </c>
      <c r="B31" s="166">
        <v>42573</v>
      </c>
      <c r="C31" s="146" t="s">
        <v>467</v>
      </c>
      <c r="D31" s="167" t="s">
        <v>498</v>
      </c>
      <c r="E31" s="148" t="s">
        <v>513</v>
      </c>
      <c r="F31" s="147"/>
      <c r="G31" s="147"/>
      <c r="H31" s="139"/>
      <c r="I31" s="147"/>
      <c r="J31" s="149">
        <v>1600000</v>
      </c>
      <c r="K31" s="141"/>
      <c r="L31" s="150"/>
      <c r="M31" s="149"/>
      <c r="N31" s="149"/>
      <c r="O31" s="172">
        <f t="shared" si="0"/>
        <v>1600000</v>
      </c>
      <c r="P31" s="172">
        <v>3100000</v>
      </c>
      <c r="Q31" s="174">
        <f t="shared" si="1"/>
        <v>1500000</v>
      </c>
    </row>
    <row r="32" spans="1:17" s="144" customFormat="1" ht="13.5" customHeight="1" x14ac:dyDescent="0.25">
      <c r="A32" s="134">
        <v>25</v>
      </c>
      <c r="B32" s="166">
        <v>42574</v>
      </c>
      <c r="C32" s="146" t="s">
        <v>468</v>
      </c>
      <c r="D32" s="167" t="s">
        <v>499</v>
      </c>
      <c r="E32" s="148" t="s">
        <v>24</v>
      </c>
      <c r="F32" s="147"/>
      <c r="G32" s="147"/>
      <c r="H32" s="139"/>
      <c r="I32" s="147"/>
      <c r="J32" s="149">
        <v>0</v>
      </c>
      <c r="K32" s="141"/>
      <c r="L32" s="150"/>
      <c r="M32" s="149"/>
      <c r="N32" s="149"/>
      <c r="O32" s="172">
        <f t="shared" si="0"/>
        <v>0</v>
      </c>
      <c r="P32" s="172">
        <v>2400000</v>
      </c>
      <c r="Q32" s="174">
        <f t="shared" si="1"/>
        <v>2400000</v>
      </c>
    </row>
    <row r="33" spans="1:19" s="144" customFormat="1" ht="13.5" customHeight="1" x14ac:dyDescent="0.25">
      <c r="A33" s="134">
        <v>26</v>
      </c>
      <c r="B33" s="166">
        <v>42576</v>
      </c>
      <c r="C33" s="146" t="s">
        <v>469</v>
      </c>
      <c r="D33" s="167" t="s">
        <v>500</v>
      </c>
      <c r="E33" s="148" t="s">
        <v>514</v>
      </c>
      <c r="F33" s="147"/>
      <c r="G33" s="147">
        <v>795</v>
      </c>
      <c r="H33" s="139">
        <v>9770550</v>
      </c>
      <c r="I33" s="147"/>
      <c r="J33" s="149">
        <v>1600000</v>
      </c>
      <c r="K33" s="141"/>
      <c r="L33" s="150"/>
      <c r="M33" s="149"/>
      <c r="N33" s="149"/>
      <c r="O33" s="172">
        <f t="shared" si="0"/>
        <v>11370550</v>
      </c>
      <c r="P33" s="172">
        <v>3100000</v>
      </c>
      <c r="Q33" s="174">
        <f t="shared" si="1"/>
        <v>-8270550</v>
      </c>
    </row>
    <row r="34" spans="1:19" s="144" customFormat="1" ht="13.5" customHeight="1" x14ac:dyDescent="0.25">
      <c r="A34" s="134">
        <v>27</v>
      </c>
      <c r="B34" s="166">
        <v>42576</v>
      </c>
      <c r="C34" s="146" t="s">
        <v>470</v>
      </c>
      <c r="D34" s="167" t="s">
        <v>501</v>
      </c>
      <c r="E34" s="148" t="s">
        <v>24</v>
      </c>
      <c r="F34" s="147"/>
      <c r="G34" s="147"/>
      <c r="H34" s="139"/>
      <c r="I34" s="147"/>
      <c r="J34" s="149">
        <v>0</v>
      </c>
      <c r="K34" s="141"/>
      <c r="L34" s="150"/>
      <c r="M34" s="149"/>
      <c r="N34" s="149"/>
      <c r="O34" s="172">
        <f t="shared" si="0"/>
        <v>0</v>
      </c>
      <c r="P34" s="172">
        <v>2400000</v>
      </c>
      <c r="Q34" s="174">
        <f t="shared" si="1"/>
        <v>2400000</v>
      </c>
    </row>
    <row r="35" spans="1:19" s="144" customFormat="1" ht="21" customHeight="1" x14ac:dyDescent="0.25">
      <c r="A35" s="134">
        <v>28</v>
      </c>
      <c r="B35" s="166">
        <v>42576</v>
      </c>
      <c r="C35" s="146" t="s">
        <v>471</v>
      </c>
      <c r="D35" s="177" t="s">
        <v>502</v>
      </c>
      <c r="E35" s="148" t="s">
        <v>515</v>
      </c>
      <c r="F35" s="147"/>
      <c r="G35" s="147"/>
      <c r="H35" s="139"/>
      <c r="I35" s="147"/>
      <c r="J35" s="149">
        <v>1300000</v>
      </c>
      <c r="K35" s="141"/>
      <c r="L35" s="150"/>
      <c r="M35" s="149"/>
      <c r="N35" s="149"/>
      <c r="O35" s="172">
        <f t="shared" si="0"/>
        <v>1300000</v>
      </c>
      <c r="P35" s="172">
        <v>4800000</v>
      </c>
      <c r="Q35" s="174">
        <f t="shared" si="1"/>
        <v>3500000</v>
      </c>
    </row>
    <row r="36" spans="1:19" s="144" customFormat="1" ht="13.5" customHeight="1" x14ac:dyDescent="0.25">
      <c r="A36" s="134">
        <v>29</v>
      </c>
      <c r="B36" s="145">
        <v>42577</v>
      </c>
      <c r="C36" s="148" t="s">
        <v>472</v>
      </c>
      <c r="D36" s="147" t="s">
        <v>503</v>
      </c>
      <c r="E36" s="148" t="s">
        <v>25</v>
      </c>
      <c r="F36" s="147"/>
      <c r="G36" s="147"/>
      <c r="H36" s="139"/>
      <c r="I36" s="147"/>
      <c r="J36" s="149">
        <v>1950000</v>
      </c>
      <c r="K36" s="141"/>
      <c r="L36" s="150"/>
      <c r="M36" s="149"/>
      <c r="N36" s="149"/>
      <c r="O36" s="172">
        <f t="shared" si="0"/>
        <v>1950000</v>
      </c>
      <c r="P36" s="172">
        <v>8181818</v>
      </c>
      <c r="Q36" s="174">
        <f t="shared" si="1"/>
        <v>6231818</v>
      </c>
    </row>
    <row r="37" spans="1:19" s="144" customFormat="1" ht="13.5" customHeight="1" x14ac:dyDescent="0.25">
      <c r="A37" s="134">
        <v>30</v>
      </c>
      <c r="B37" s="145">
        <v>42578</v>
      </c>
      <c r="C37" s="148" t="s">
        <v>473</v>
      </c>
      <c r="D37" s="147" t="s">
        <v>504</v>
      </c>
      <c r="E37" s="148" t="s">
        <v>516</v>
      </c>
      <c r="F37" s="147"/>
      <c r="G37" s="147"/>
      <c r="H37" s="139"/>
      <c r="I37" s="147"/>
      <c r="J37" s="149">
        <v>1300000</v>
      </c>
      <c r="K37" s="141"/>
      <c r="L37" s="150"/>
      <c r="M37" s="149"/>
      <c r="N37" s="149"/>
      <c r="O37" s="172">
        <f t="shared" si="0"/>
        <v>1300000</v>
      </c>
      <c r="P37" s="172">
        <v>2400000</v>
      </c>
      <c r="Q37" s="174">
        <f t="shared" si="1"/>
        <v>1100000</v>
      </c>
    </row>
    <row r="38" spans="1:19" s="144" customFormat="1" ht="13.5" customHeight="1" x14ac:dyDescent="0.25">
      <c r="A38" s="134">
        <v>31</v>
      </c>
      <c r="B38" s="145">
        <v>42578</v>
      </c>
      <c r="C38" s="148" t="s">
        <v>474</v>
      </c>
      <c r="D38" s="147" t="s">
        <v>505</v>
      </c>
      <c r="E38" s="148" t="s">
        <v>27</v>
      </c>
      <c r="F38" s="147"/>
      <c r="G38" s="147"/>
      <c r="H38" s="139"/>
      <c r="I38" s="147"/>
      <c r="J38" s="149">
        <v>0</v>
      </c>
      <c r="K38" s="141"/>
      <c r="L38" s="150"/>
      <c r="M38" s="149"/>
      <c r="N38" s="149"/>
      <c r="O38" s="172">
        <f t="shared" si="0"/>
        <v>0</v>
      </c>
      <c r="P38" s="172">
        <v>2800000</v>
      </c>
      <c r="Q38" s="174">
        <f t="shared" si="1"/>
        <v>2800000</v>
      </c>
    </row>
    <row r="39" spans="1:19" s="144" customFormat="1" ht="13.5" customHeight="1" x14ac:dyDescent="0.25">
      <c r="A39" s="134">
        <v>32</v>
      </c>
      <c r="B39" s="145">
        <v>42580</v>
      </c>
      <c r="C39" s="148" t="s">
        <v>475</v>
      </c>
      <c r="D39" s="147" t="s">
        <v>506</v>
      </c>
      <c r="E39" s="148" t="s">
        <v>517</v>
      </c>
      <c r="F39" s="147"/>
      <c r="G39" s="147"/>
      <c r="H39" s="139"/>
      <c r="I39" s="147"/>
      <c r="J39" s="149">
        <v>1600000</v>
      </c>
      <c r="K39" s="141"/>
      <c r="L39" s="150"/>
      <c r="M39" s="149"/>
      <c r="N39" s="149"/>
      <c r="O39" s="172">
        <f t="shared" si="0"/>
        <v>1600000</v>
      </c>
      <c r="P39" s="172">
        <v>3300000</v>
      </c>
      <c r="Q39" s="174">
        <f t="shared" si="1"/>
        <v>1700000</v>
      </c>
    </row>
    <row r="40" spans="1:19" s="144" customFormat="1" ht="13.5" customHeight="1" x14ac:dyDescent="0.25">
      <c r="A40" s="134">
        <v>33</v>
      </c>
      <c r="B40" s="145">
        <v>42580</v>
      </c>
      <c r="C40" s="148" t="s">
        <v>476</v>
      </c>
      <c r="D40" s="147" t="s">
        <v>507</v>
      </c>
      <c r="E40" s="148" t="s">
        <v>518</v>
      </c>
      <c r="F40" s="147"/>
      <c r="G40" s="147"/>
      <c r="H40" s="139"/>
      <c r="I40" s="147"/>
      <c r="J40" s="149">
        <v>0</v>
      </c>
      <c r="K40" s="141"/>
      <c r="L40" s="150"/>
      <c r="M40" s="149"/>
      <c r="N40" s="149"/>
      <c r="O40" s="172">
        <f>H40+I40+J40+K40+L40+M40+N40</f>
        <v>0</v>
      </c>
      <c r="P40" s="172">
        <v>2500000</v>
      </c>
      <c r="Q40" s="174">
        <f t="shared" si="1"/>
        <v>2500000</v>
      </c>
    </row>
    <row r="41" spans="1:19" s="184" customFormat="1" x14ac:dyDescent="0.25">
      <c r="A41" s="134">
        <v>34</v>
      </c>
      <c r="B41" s="145">
        <v>42581</v>
      </c>
      <c r="C41" s="178"/>
      <c r="D41" s="179"/>
      <c r="E41" s="168"/>
      <c r="F41" s="179"/>
      <c r="G41" s="179">
        <v>610</v>
      </c>
      <c r="H41" s="180">
        <v>7496900</v>
      </c>
      <c r="I41" s="179"/>
      <c r="J41" s="181"/>
      <c r="K41" s="182"/>
      <c r="L41" s="182"/>
      <c r="M41" s="181"/>
      <c r="N41" s="181"/>
      <c r="O41" s="183">
        <f t="shared" ref="O41" si="2">N41+M41+L41+K41+J41+H41</f>
        <v>7496900</v>
      </c>
      <c r="P41" s="172"/>
      <c r="Q41" s="174">
        <f t="shared" ref="Q41:Q46" si="3">P41-O41</f>
        <v>-7496900</v>
      </c>
    </row>
    <row r="42" spans="1:19" s="159" customFormat="1" x14ac:dyDescent="0.25">
      <c r="A42" s="151"/>
      <c r="B42" s="165"/>
      <c r="C42" s="152" t="s">
        <v>519</v>
      </c>
      <c r="D42" s="153"/>
      <c r="E42" s="154"/>
      <c r="F42" s="153"/>
      <c r="G42" s="153"/>
      <c r="H42" s="155"/>
      <c r="I42" s="153"/>
      <c r="J42" s="156"/>
      <c r="K42" s="157">
        <v>9000000</v>
      </c>
      <c r="L42" s="157"/>
      <c r="M42" s="156"/>
      <c r="N42" s="156"/>
      <c r="O42" s="172">
        <f>N42+M42+L42+K42+J42+H42</f>
        <v>9000000</v>
      </c>
      <c r="P42" s="155"/>
      <c r="Q42" s="174">
        <f t="shared" si="3"/>
        <v>-9000000</v>
      </c>
    </row>
    <row r="43" spans="1:19" s="159" customFormat="1" x14ac:dyDescent="0.25">
      <c r="A43" s="151"/>
      <c r="B43" s="165"/>
      <c r="C43" s="152" t="s">
        <v>522</v>
      </c>
      <c r="D43" s="153"/>
      <c r="E43" s="154"/>
      <c r="F43" s="153"/>
      <c r="G43" s="153"/>
      <c r="H43" s="155"/>
      <c r="I43" s="153"/>
      <c r="J43" s="156"/>
      <c r="K43" s="157"/>
      <c r="L43" s="185">
        <v>650000</v>
      </c>
      <c r="M43" s="156"/>
      <c r="N43" s="156"/>
      <c r="O43" s="172">
        <f t="shared" ref="O43:O46" si="4">N43+M43+L43+K43+J43+H43</f>
        <v>650000</v>
      </c>
      <c r="P43" s="155"/>
      <c r="Q43" s="174">
        <f t="shared" si="3"/>
        <v>-650000</v>
      </c>
    </row>
    <row r="44" spans="1:19" s="159" customFormat="1" ht="25.5" x14ac:dyDescent="0.25">
      <c r="A44" s="151"/>
      <c r="B44" s="165"/>
      <c r="C44" s="152" t="s">
        <v>523</v>
      </c>
      <c r="D44" s="153"/>
      <c r="E44" s="154"/>
      <c r="F44" s="153"/>
      <c r="G44" s="153"/>
      <c r="H44" s="155"/>
      <c r="I44" s="153"/>
      <c r="J44" s="156"/>
      <c r="K44" s="157"/>
      <c r="L44" s="185">
        <v>1500000</v>
      </c>
      <c r="M44" s="156"/>
      <c r="N44" s="156"/>
      <c r="O44" s="172">
        <f t="shared" si="4"/>
        <v>1500000</v>
      </c>
      <c r="P44" s="155"/>
      <c r="Q44" s="174">
        <f t="shared" si="3"/>
        <v>-1500000</v>
      </c>
    </row>
    <row r="45" spans="1:19" s="159" customFormat="1" x14ac:dyDescent="0.25">
      <c r="A45" s="151"/>
      <c r="B45" s="165"/>
      <c r="C45" s="152" t="s">
        <v>521</v>
      </c>
      <c r="D45" s="153"/>
      <c r="E45" s="154"/>
      <c r="F45" s="153"/>
      <c r="G45" s="153"/>
      <c r="H45" s="155"/>
      <c r="I45" s="153"/>
      <c r="J45" s="156"/>
      <c r="K45" s="157"/>
      <c r="L45" s="185">
        <v>100000</v>
      </c>
      <c r="M45" s="156"/>
      <c r="N45" s="156"/>
      <c r="O45" s="172">
        <f t="shared" si="4"/>
        <v>100000</v>
      </c>
      <c r="P45" s="155"/>
      <c r="Q45" s="174">
        <f t="shared" si="3"/>
        <v>-100000</v>
      </c>
    </row>
    <row r="46" spans="1:19" s="159" customFormat="1" x14ac:dyDescent="0.25">
      <c r="A46" s="151"/>
      <c r="B46" s="165"/>
      <c r="C46" s="152" t="s">
        <v>520</v>
      </c>
      <c r="D46" s="153"/>
      <c r="E46" s="154"/>
      <c r="F46" s="153"/>
      <c r="G46" s="153"/>
      <c r="H46" s="155"/>
      <c r="I46" s="153"/>
      <c r="J46" s="156"/>
      <c r="K46" s="157"/>
      <c r="L46" s="185">
        <v>1320000</v>
      </c>
      <c r="M46" s="156"/>
      <c r="N46" s="156"/>
      <c r="O46" s="172">
        <f t="shared" si="4"/>
        <v>1320000</v>
      </c>
      <c r="P46" s="155"/>
      <c r="Q46" s="139">
        <f t="shared" si="3"/>
        <v>-1320000</v>
      </c>
      <c r="R46" s="186" t="s">
        <v>524</v>
      </c>
      <c r="S46" s="188" t="s">
        <v>525</v>
      </c>
    </row>
    <row r="47" spans="1:19" x14ac:dyDescent="0.25">
      <c r="A47" s="413" t="s">
        <v>20</v>
      </c>
      <c r="B47" s="414"/>
      <c r="C47" s="414"/>
      <c r="D47" s="414"/>
      <c r="E47" s="414"/>
      <c r="F47" s="415"/>
      <c r="G47" s="160">
        <f t="shared" ref="G47:Q47" si="5">SUM(G7:G46)</f>
        <v>3136</v>
      </c>
      <c r="H47" s="161">
        <f t="shared" si="5"/>
        <v>38541440</v>
      </c>
      <c r="I47" s="161">
        <f t="shared" si="5"/>
        <v>0</v>
      </c>
      <c r="J47" s="161">
        <f t="shared" si="5"/>
        <v>38430000</v>
      </c>
      <c r="K47" s="161">
        <f t="shared" si="5"/>
        <v>9000000</v>
      </c>
      <c r="L47" s="161">
        <f t="shared" si="5"/>
        <v>3570000</v>
      </c>
      <c r="M47" s="161">
        <f t="shared" si="5"/>
        <v>0</v>
      </c>
      <c r="N47" s="161">
        <f t="shared" si="5"/>
        <v>0</v>
      </c>
      <c r="O47" s="161">
        <f t="shared" si="5"/>
        <v>89541440</v>
      </c>
      <c r="P47" s="161">
        <f t="shared" si="5"/>
        <v>140928181</v>
      </c>
      <c r="Q47" s="161">
        <f t="shared" si="5"/>
        <v>51386741</v>
      </c>
      <c r="R47" s="187">
        <f>'04-2016'!Q43+'05-2016'!Q37+'06-2016'!Q48+'07-2016'!Q47</f>
        <v>36758817</v>
      </c>
      <c r="S47" s="189">
        <f>'03-2016'!R47+'07-2016'!R47</f>
        <v>155649724</v>
      </c>
    </row>
    <row r="48" spans="1:19" x14ac:dyDescent="0.25">
      <c r="O48" s="158"/>
      <c r="Q48" s="158">
        <f>P47-O47</f>
        <v>51386741</v>
      </c>
    </row>
    <row r="49" spans="2:17" x14ac:dyDescent="0.25">
      <c r="P49" s="143" t="s">
        <v>235</v>
      </c>
      <c r="Q49" s="216">
        <f>Q48+'06-2016'!Q50</f>
        <v>155649724</v>
      </c>
    </row>
    <row r="50" spans="2:17" x14ac:dyDescent="0.25">
      <c r="B50" s="129"/>
      <c r="H50" s="128"/>
      <c r="J50" s="128"/>
      <c r="K50" s="128"/>
      <c r="L50" s="128"/>
      <c r="M50" s="128"/>
      <c r="N50" s="128"/>
      <c r="O50" s="128"/>
      <c r="P50" s="128"/>
      <c r="Q50" s="128"/>
    </row>
    <row r="51" spans="2:17" x14ac:dyDescent="0.25">
      <c r="B51" s="129"/>
      <c r="H51" s="128"/>
      <c r="J51" s="128"/>
      <c r="K51" s="128"/>
      <c r="L51" s="128"/>
      <c r="M51" s="128"/>
      <c r="N51" s="128"/>
      <c r="O51" s="128"/>
      <c r="P51" s="128"/>
      <c r="Q51" s="128"/>
    </row>
    <row r="52" spans="2:17" x14ac:dyDescent="0.25">
      <c r="B52" s="129"/>
      <c r="H52" s="128"/>
      <c r="J52" s="128"/>
      <c r="K52" s="128"/>
      <c r="L52" s="128"/>
      <c r="M52" s="128"/>
      <c r="N52" s="128"/>
      <c r="O52" s="128"/>
      <c r="P52" s="128"/>
      <c r="Q52" s="128"/>
    </row>
    <row r="53" spans="2:17" x14ac:dyDescent="0.25">
      <c r="B53" s="129"/>
      <c r="H53" s="128"/>
      <c r="J53" s="128"/>
      <c r="K53" s="128"/>
      <c r="L53" s="128"/>
      <c r="M53" s="128"/>
      <c r="N53" s="128"/>
      <c r="O53" s="128"/>
      <c r="P53" s="128"/>
      <c r="Q53" s="128"/>
    </row>
    <row r="54" spans="2:17" x14ac:dyDescent="0.25">
      <c r="B54" s="129"/>
      <c r="H54" s="128"/>
      <c r="J54" s="128"/>
      <c r="K54" s="128"/>
      <c r="L54" s="128"/>
      <c r="M54" s="128"/>
      <c r="N54" s="128"/>
      <c r="O54" s="128"/>
      <c r="P54" s="128"/>
      <c r="Q54" s="128"/>
    </row>
    <row r="55" spans="2:17" x14ac:dyDescent="0.25">
      <c r="B55" s="129"/>
      <c r="H55" s="128"/>
      <c r="J55" s="128"/>
      <c r="K55" s="128"/>
      <c r="L55" s="128"/>
      <c r="M55" s="128"/>
      <c r="N55" s="128"/>
      <c r="O55" s="128"/>
      <c r="P55" s="128"/>
      <c r="Q55" s="128"/>
    </row>
    <row r="56" spans="2:17" x14ac:dyDescent="0.25">
      <c r="B56" s="129"/>
      <c r="H56" s="128"/>
      <c r="J56" s="128"/>
      <c r="K56" s="128"/>
      <c r="L56" s="128"/>
      <c r="M56" s="128"/>
      <c r="N56" s="128"/>
      <c r="O56" s="128"/>
      <c r="P56" s="128"/>
      <c r="Q56" s="128"/>
    </row>
  </sheetData>
  <mergeCells count="14">
    <mergeCell ref="O5:O6"/>
    <mergeCell ref="P5:P6"/>
    <mergeCell ref="Q5:Q6"/>
    <mergeCell ref="A47:F4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6"/>
  <sheetViews>
    <sheetView topLeftCell="D34" workbookViewId="0">
      <selection activeCell="Q49" sqref="Q49"/>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0.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526</v>
      </c>
      <c r="C3" s="417"/>
      <c r="D3" s="417"/>
      <c r="E3" s="417"/>
      <c r="F3" s="417"/>
      <c r="G3" s="417"/>
      <c r="H3" s="417"/>
      <c r="I3" s="417"/>
      <c r="J3" s="417"/>
      <c r="K3" s="417"/>
      <c r="L3" s="417"/>
      <c r="M3" s="417"/>
      <c r="N3" s="417"/>
      <c r="O3" s="417"/>
      <c r="P3" s="417"/>
      <c r="Q3" s="417"/>
    </row>
    <row r="5" spans="1:17"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x14ac:dyDescent="0.25">
      <c r="A7" s="198"/>
      <c r="B7" s="135"/>
      <c r="C7" s="199"/>
      <c r="D7" s="137"/>
      <c r="E7" s="137"/>
      <c r="F7" s="200"/>
      <c r="G7" s="142"/>
      <c r="H7" s="201"/>
      <c r="I7" s="201"/>
      <c r="J7" s="202"/>
      <c r="K7" s="202"/>
      <c r="L7" s="202"/>
      <c r="M7" s="202"/>
      <c r="N7" s="202"/>
      <c r="O7" s="142"/>
      <c r="P7" s="142"/>
      <c r="Q7" s="142"/>
    </row>
    <row r="8" spans="1:17" s="144" customFormat="1" x14ac:dyDescent="0.2">
      <c r="A8" s="134">
        <v>1</v>
      </c>
      <c r="B8" s="191">
        <v>42583</v>
      </c>
      <c r="C8" s="169" t="s">
        <v>527</v>
      </c>
      <c r="D8" s="138" t="s">
        <v>554</v>
      </c>
      <c r="E8" s="146" t="s">
        <v>581</v>
      </c>
      <c r="F8" s="138"/>
      <c r="G8" s="138"/>
      <c r="H8" s="139"/>
      <c r="I8" s="138"/>
      <c r="J8" s="141">
        <v>1600000</v>
      </c>
      <c r="K8" s="141"/>
      <c r="L8" s="150"/>
      <c r="M8" s="141"/>
      <c r="N8" s="141"/>
      <c r="O8" s="139">
        <f>H8+J8+K8+L8+M8+N8</f>
        <v>1600000</v>
      </c>
      <c r="P8" s="139">
        <v>3400000</v>
      </c>
      <c r="Q8" s="139">
        <f>P8-O8</f>
        <v>1800000</v>
      </c>
    </row>
    <row r="9" spans="1:17" s="144" customFormat="1" x14ac:dyDescent="0.2">
      <c r="A9" s="134">
        <v>2</v>
      </c>
      <c r="B9" s="191">
        <v>42583</v>
      </c>
      <c r="C9" s="169" t="s">
        <v>528</v>
      </c>
      <c r="D9" s="138" t="s">
        <v>555</v>
      </c>
      <c r="E9" s="146" t="s">
        <v>24</v>
      </c>
      <c r="F9" s="138"/>
      <c r="G9" s="138"/>
      <c r="H9" s="139"/>
      <c r="I9" s="138"/>
      <c r="J9" s="141">
        <v>0</v>
      </c>
      <c r="K9" s="141"/>
      <c r="L9" s="150"/>
      <c r="M9" s="141"/>
      <c r="N9" s="141"/>
      <c r="O9" s="139">
        <f t="shared" ref="O9:O46" si="0">H9+J9+K9+L9+M9+N9</f>
        <v>0</v>
      </c>
      <c r="P9" s="139">
        <v>2400000</v>
      </c>
      <c r="Q9" s="139">
        <f t="shared" ref="Q9:Q46" si="1">P9-O9</f>
        <v>2400000</v>
      </c>
    </row>
    <row r="10" spans="1:17" s="144" customFormat="1" x14ac:dyDescent="0.2">
      <c r="A10" s="134">
        <v>3</v>
      </c>
      <c r="B10" s="191">
        <v>42585</v>
      </c>
      <c r="C10" s="169" t="s">
        <v>529</v>
      </c>
      <c r="D10" s="138" t="s">
        <v>556</v>
      </c>
      <c r="E10" s="146" t="s">
        <v>517</v>
      </c>
      <c r="F10" s="138"/>
      <c r="G10" s="138">
        <v>300</v>
      </c>
      <c r="H10" s="139">
        <v>3687000</v>
      </c>
      <c r="I10" s="138"/>
      <c r="J10" s="141">
        <v>1600000</v>
      </c>
      <c r="K10" s="141"/>
      <c r="L10" s="150"/>
      <c r="M10" s="141"/>
      <c r="N10" s="141"/>
      <c r="O10" s="139">
        <f t="shared" si="0"/>
        <v>5287000</v>
      </c>
      <c r="P10" s="139">
        <v>3300000</v>
      </c>
      <c r="Q10" s="139">
        <f t="shared" si="1"/>
        <v>-1987000</v>
      </c>
    </row>
    <row r="11" spans="1:17" s="144" customFormat="1" x14ac:dyDescent="0.2">
      <c r="A11" s="134">
        <v>4</v>
      </c>
      <c r="B11" s="191">
        <v>42585</v>
      </c>
      <c r="C11" s="169" t="s">
        <v>530</v>
      </c>
      <c r="D11" s="138" t="s">
        <v>557</v>
      </c>
      <c r="E11" s="146" t="s">
        <v>24</v>
      </c>
      <c r="F11" s="138"/>
      <c r="G11" s="138"/>
      <c r="H11" s="139"/>
      <c r="I11" s="138"/>
      <c r="J11" s="141">
        <v>0</v>
      </c>
      <c r="K11" s="141"/>
      <c r="L11" s="150"/>
      <c r="M11" s="141"/>
      <c r="N11" s="141"/>
      <c r="O11" s="139">
        <f t="shared" si="0"/>
        <v>0</v>
      </c>
      <c r="P11" s="139">
        <v>2500000</v>
      </c>
      <c r="Q11" s="139">
        <f t="shared" si="1"/>
        <v>2500000</v>
      </c>
    </row>
    <row r="12" spans="1:17" s="144" customFormat="1" ht="12.75" customHeight="1" x14ac:dyDescent="0.2">
      <c r="A12" s="134">
        <v>5</v>
      </c>
      <c r="B12" s="191">
        <v>42585</v>
      </c>
      <c r="C12" s="169" t="s">
        <v>531</v>
      </c>
      <c r="D12" s="138" t="s">
        <v>558</v>
      </c>
      <c r="E12" s="146" t="s">
        <v>146</v>
      </c>
      <c r="F12" s="138"/>
      <c r="G12" s="138"/>
      <c r="H12" s="139"/>
      <c r="I12" s="138"/>
      <c r="J12" s="141">
        <v>1600000</v>
      </c>
      <c r="K12" s="141"/>
      <c r="L12" s="150"/>
      <c r="M12" s="141"/>
      <c r="N12" s="141"/>
      <c r="O12" s="139">
        <f t="shared" si="0"/>
        <v>1600000</v>
      </c>
      <c r="P12" s="139">
        <v>5200000</v>
      </c>
      <c r="Q12" s="139">
        <f t="shared" si="1"/>
        <v>3600000</v>
      </c>
    </row>
    <row r="13" spans="1:17" s="144" customFormat="1" x14ac:dyDescent="0.2">
      <c r="A13" s="134">
        <v>6</v>
      </c>
      <c r="B13" s="191">
        <v>42586</v>
      </c>
      <c r="C13" s="169" t="s">
        <v>532</v>
      </c>
      <c r="D13" s="138" t="s">
        <v>559</v>
      </c>
      <c r="E13" s="146" t="s">
        <v>25</v>
      </c>
      <c r="F13" s="138"/>
      <c r="G13" s="138"/>
      <c r="H13" s="139"/>
      <c r="I13" s="138"/>
      <c r="J13" s="141">
        <v>1950000</v>
      </c>
      <c r="K13" s="141"/>
      <c r="L13" s="150"/>
      <c r="M13" s="141"/>
      <c r="N13" s="141"/>
      <c r="O13" s="139">
        <f t="shared" si="0"/>
        <v>1950000</v>
      </c>
      <c r="P13" s="139">
        <v>8181818</v>
      </c>
      <c r="Q13" s="139">
        <f t="shared" si="1"/>
        <v>6231818</v>
      </c>
    </row>
    <row r="14" spans="1:17" s="144" customFormat="1" x14ac:dyDescent="0.2">
      <c r="A14" s="134">
        <v>7</v>
      </c>
      <c r="B14" s="191">
        <v>42587</v>
      </c>
      <c r="C14" s="169" t="s">
        <v>533</v>
      </c>
      <c r="D14" s="138" t="s">
        <v>560</v>
      </c>
      <c r="E14" s="146" t="s">
        <v>21</v>
      </c>
      <c r="F14" s="138"/>
      <c r="G14" s="138"/>
      <c r="H14" s="139"/>
      <c r="I14" s="138"/>
      <c r="J14" s="141">
        <v>840000</v>
      </c>
      <c r="K14" s="141"/>
      <c r="L14" s="150"/>
      <c r="M14" s="141"/>
      <c r="N14" s="141"/>
      <c r="O14" s="139">
        <f t="shared" si="0"/>
        <v>840000</v>
      </c>
      <c r="P14" s="139">
        <v>3000000</v>
      </c>
      <c r="Q14" s="139">
        <f t="shared" si="1"/>
        <v>2160000</v>
      </c>
    </row>
    <row r="15" spans="1:17" s="144" customFormat="1" x14ac:dyDescent="0.2">
      <c r="A15" s="134">
        <v>8</v>
      </c>
      <c r="B15" s="191">
        <v>42588</v>
      </c>
      <c r="C15" s="169" t="s">
        <v>534</v>
      </c>
      <c r="D15" s="138" t="s">
        <v>561</v>
      </c>
      <c r="E15" s="146" t="s">
        <v>21</v>
      </c>
      <c r="F15" s="138"/>
      <c r="G15" s="138">
        <v>440</v>
      </c>
      <c r="H15" s="139">
        <v>5130400</v>
      </c>
      <c r="I15" s="138"/>
      <c r="J15" s="141">
        <v>1300000</v>
      </c>
      <c r="K15" s="141"/>
      <c r="L15" s="150"/>
      <c r="M15" s="141"/>
      <c r="N15" s="141"/>
      <c r="O15" s="139">
        <f t="shared" si="0"/>
        <v>6430400</v>
      </c>
      <c r="P15" s="139">
        <v>3000000</v>
      </c>
      <c r="Q15" s="139">
        <f t="shared" si="1"/>
        <v>-3430400</v>
      </c>
    </row>
    <row r="16" spans="1:17" s="144" customFormat="1" x14ac:dyDescent="0.2">
      <c r="A16" s="134">
        <v>9</v>
      </c>
      <c r="B16" s="191">
        <v>42588</v>
      </c>
      <c r="C16" s="169" t="s">
        <v>535</v>
      </c>
      <c r="D16" s="138" t="s">
        <v>562</v>
      </c>
      <c r="E16" s="146" t="s">
        <v>24</v>
      </c>
      <c r="F16" s="138"/>
      <c r="G16" s="138"/>
      <c r="H16" s="139"/>
      <c r="I16" s="138"/>
      <c r="J16" s="141">
        <v>0</v>
      </c>
      <c r="K16" s="141"/>
      <c r="L16" s="150"/>
      <c r="M16" s="141"/>
      <c r="N16" s="141"/>
      <c r="O16" s="139">
        <f t="shared" si="0"/>
        <v>0</v>
      </c>
      <c r="P16" s="139">
        <v>2500000</v>
      </c>
      <c r="Q16" s="139">
        <f t="shared" si="1"/>
        <v>2500000</v>
      </c>
    </row>
    <row r="17" spans="1:17" s="144" customFormat="1" x14ac:dyDescent="0.2">
      <c r="A17" s="134">
        <v>10</v>
      </c>
      <c r="B17" s="191">
        <v>42589</v>
      </c>
      <c r="C17" s="169" t="s">
        <v>536</v>
      </c>
      <c r="D17" s="138" t="s">
        <v>563</v>
      </c>
      <c r="E17" s="146" t="s">
        <v>330</v>
      </c>
      <c r="F17" s="138"/>
      <c r="G17" s="138"/>
      <c r="H17" s="139"/>
      <c r="I17" s="138"/>
      <c r="J17" s="141">
        <v>950000</v>
      </c>
      <c r="K17" s="141"/>
      <c r="L17" s="150"/>
      <c r="M17" s="141"/>
      <c r="N17" s="141"/>
      <c r="O17" s="139">
        <f t="shared" si="0"/>
        <v>950000</v>
      </c>
      <c r="P17" s="139">
        <v>3600000</v>
      </c>
      <c r="Q17" s="139">
        <f t="shared" si="1"/>
        <v>2650000</v>
      </c>
    </row>
    <row r="18" spans="1:17" s="144" customFormat="1" x14ac:dyDescent="0.2">
      <c r="A18" s="134">
        <v>11</v>
      </c>
      <c r="B18" s="191">
        <v>42590</v>
      </c>
      <c r="C18" s="169" t="s">
        <v>537</v>
      </c>
      <c r="D18" s="138" t="s">
        <v>564</v>
      </c>
      <c r="E18" s="146" t="s">
        <v>115</v>
      </c>
      <c r="F18" s="138"/>
      <c r="G18" s="138"/>
      <c r="H18" s="139"/>
      <c r="I18" s="138"/>
      <c r="J18" s="141">
        <v>1600000</v>
      </c>
      <c r="K18" s="141"/>
      <c r="L18" s="150"/>
      <c r="M18" s="141"/>
      <c r="N18" s="141"/>
      <c r="O18" s="139">
        <f t="shared" si="0"/>
        <v>1600000</v>
      </c>
      <c r="P18" s="139">
        <v>2600000</v>
      </c>
      <c r="Q18" s="139">
        <f t="shared" si="1"/>
        <v>1000000</v>
      </c>
    </row>
    <row r="19" spans="1:17" s="144" customFormat="1" x14ac:dyDescent="0.2">
      <c r="A19" s="134">
        <v>12</v>
      </c>
      <c r="B19" s="191">
        <v>42590</v>
      </c>
      <c r="C19" s="169" t="s">
        <v>538</v>
      </c>
      <c r="D19" s="138" t="s">
        <v>565</v>
      </c>
      <c r="E19" s="146" t="s">
        <v>24</v>
      </c>
      <c r="F19" s="138"/>
      <c r="G19" s="138"/>
      <c r="H19" s="139"/>
      <c r="I19" s="138"/>
      <c r="J19" s="141">
        <v>0</v>
      </c>
      <c r="K19" s="141"/>
      <c r="L19" s="150"/>
      <c r="M19" s="141"/>
      <c r="N19" s="141"/>
      <c r="O19" s="139">
        <f t="shared" si="0"/>
        <v>0</v>
      </c>
      <c r="P19" s="139">
        <v>2500000</v>
      </c>
      <c r="Q19" s="139">
        <f t="shared" si="1"/>
        <v>2500000</v>
      </c>
    </row>
    <row r="20" spans="1:17" s="144" customFormat="1" x14ac:dyDescent="0.2">
      <c r="A20" s="134">
        <v>13</v>
      </c>
      <c r="B20" s="191">
        <v>42592</v>
      </c>
      <c r="C20" s="169" t="s">
        <v>539</v>
      </c>
      <c r="D20" s="138" t="s">
        <v>566</v>
      </c>
      <c r="E20" s="146" t="s">
        <v>25</v>
      </c>
      <c r="F20" s="138"/>
      <c r="G20" s="138">
        <v>388</v>
      </c>
      <c r="H20" s="139">
        <v>4524080</v>
      </c>
      <c r="I20" s="138"/>
      <c r="J20" s="141">
        <v>1950000</v>
      </c>
      <c r="K20" s="141"/>
      <c r="L20" s="150"/>
      <c r="M20" s="141"/>
      <c r="N20" s="141"/>
      <c r="O20" s="139">
        <f t="shared" si="0"/>
        <v>6474080</v>
      </c>
      <c r="P20" s="139">
        <v>8181818</v>
      </c>
      <c r="Q20" s="139">
        <f t="shared" si="1"/>
        <v>1707738</v>
      </c>
    </row>
    <row r="21" spans="1:17" s="144" customFormat="1" x14ac:dyDescent="0.2">
      <c r="A21" s="134">
        <v>14</v>
      </c>
      <c r="B21" s="191">
        <v>42592</v>
      </c>
      <c r="C21" s="169" t="s">
        <v>540</v>
      </c>
      <c r="D21" s="138" t="s">
        <v>567</v>
      </c>
      <c r="E21" s="146" t="s">
        <v>25</v>
      </c>
      <c r="F21" s="138"/>
      <c r="G21" s="138"/>
      <c r="H21" s="139"/>
      <c r="I21" s="138"/>
      <c r="J21" s="141">
        <v>1950000</v>
      </c>
      <c r="K21" s="141"/>
      <c r="L21" s="150"/>
      <c r="M21" s="141"/>
      <c r="N21" s="141"/>
      <c r="O21" s="139">
        <f t="shared" si="0"/>
        <v>1950000</v>
      </c>
      <c r="P21" s="139">
        <v>8181818</v>
      </c>
      <c r="Q21" s="139">
        <f t="shared" si="1"/>
        <v>6231818</v>
      </c>
    </row>
    <row r="22" spans="1:17" s="144" customFormat="1" ht="12.75" customHeight="1" x14ac:dyDescent="0.2">
      <c r="A22" s="134">
        <v>15</v>
      </c>
      <c r="B22" s="191">
        <v>42593</v>
      </c>
      <c r="C22" s="169" t="s">
        <v>541</v>
      </c>
      <c r="D22" s="138" t="s">
        <v>568</v>
      </c>
      <c r="E22" s="146" t="s">
        <v>599</v>
      </c>
      <c r="F22" s="138"/>
      <c r="G22" s="138"/>
      <c r="H22" s="139"/>
      <c r="I22" s="138"/>
      <c r="J22" s="141">
        <v>1300000</v>
      </c>
      <c r="K22" s="141"/>
      <c r="L22" s="150"/>
      <c r="M22" s="141"/>
      <c r="N22" s="141"/>
      <c r="O22" s="139">
        <f t="shared" si="0"/>
        <v>1300000</v>
      </c>
      <c r="P22" s="139">
        <v>4800000</v>
      </c>
      <c r="Q22" s="139">
        <f t="shared" si="1"/>
        <v>3500000</v>
      </c>
    </row>
    <row r="23" spans="1:17" s="144" customFormat="1" x14ac:dyDescent="0.2">
      <c r="A23" s="134">
        <v>16</v>
      </c>
      <c r="B23" s="191">
        <v>42594</v>
      </c>
      <c r="C23" s="169" t="s">
        <v>542</v>
      </c>
      <c r="D23" s="138" t="s">
        <v>569</v>
      </c>
      <c r="E23" s="146" t="s">
        <v>517</v>
      </c>
      <c r="F23" s="138"/>
      <c r="G23" s="138"/>
      <c r="H23" s="139"/>
      <c r="I23" s="138"/>
      <c r="J23" s="141">
        <v>1600000</v>
      </c>
      <c r="K23" s="141"/>
      <c r="L23" s="150"/>
      <c r="M23" s="141"/>
      <c r="N23" s="141"/>
      <c r="O23" s="139">
        <f t="shared" si="0"/>
        <v>1600000</v>
      </c>
      <c r="P23" s="139">
        <v>5600000</v>
      </c>
      <c r="Q23" s="139">
        <f t="shared" si="1"/>
        <v>4000000</v>
      </c>
    </row>
    <row r="24" spans="1:17" s="144" customFormat="1" x14ac:dyDescent="0.2">
      <c r="A24" s="134">
        <v>17</v>
      </c>
      <c r="B24" s="191">
        <v>42594</v>
      </c>
      <c r="C24" s="169" t="s">
        <v>543</v>
      </c>
      <c r="D24" s="192" t="s">
        <v>570</v>
      </c>
      <c r="E24" s="146" t="s">
        <v>24</v>
      </c>
      <c r="F24" s="138"/>
      <c r="G24" s="138"/>
      <c r="H24" s="139"/>
      <c r="I24" s="138"/>
      <c r="J24" s="141">
        <v>0</v>
      </c>
      <c r="K24" s="141"/>
      <c r="L24" s="150"/>
      <c r="M24" s="141"/>
      <c r="N24" s="141"/>
      <c r="O24" s="139">
        <f t="shared" si="0"/>
        <v>0</v>
      </c>
      <c r="P24" s="139">
        <v>0</v>
      </c>
      <c r="Q24" s="139">
        <f t="shared" si="1"/>
        <v>0</v>
      </c>
    </row>
    <row r="25" spans="1:17" s="144" customFormat="1" ht="12.75" customHeight="1" x14ac:dyDescent="0.2">
      <c r="A25" s="134">
        <v>18</v>
      </c>
      <c r="B25" s="191">
        <v>42596</v>
      </c>
      <c r="C25" s="169" t="s">
        <v>544</v>
      </c>
      <c r="D25" s="192" t="s">
        <v>571</v>
      </c>
      <c r="E25" s="146" t="s">
        <v>582</v>
      </c>
      <c r="F25" s="138"/>
      <c r="G25" s="138">
        <v>620</v>
      </c>
      <c r="H25" s="139">
        <v>7229200</v>
      </c>
      <c r="I25" s="138"/>
      <c r="J25" s="141">
        <v>1600000</v>
      </c>
      <c r="K25" s="141"/>
      <c r="L25" s="150"/>
      <c r="M25" s="141"/>
      <c r="N25" s="141"/>
      <c r="O25" s="139">
        <f t="shared" si="0"/>
        <v>8829200</v>
      </c>
      <c r="P25" s="139">
        <v>6000000</v>
      </c>
      <c r="Q25" s="139">
        <f t="shared" si="1"/>
        <v>-2829200</v>
      </c>
    </row>
    <row r="26" spans="1:17" s="144" customFormat="1" ht="12.75" customHeight="1" x14ac:dyDescent="0.2">
      <c r="A26" s="134">
        <v>19</v>
      </c>
      <c r="B26" s="191">
        <v>42597</v>
      </c>
      <c r="C26" s="169" t="s">
        <v>545</v>
      </c>
      <c r="D26" s="192" t="s">
        <v>572</v>
      </c>
      <c r="E26" s="146" t="s">
        <v>583</v>
      </c>
      <c r="F26" s="138"/>
      <c r="G26" s="138"/>
      <c r="H26" s="139"/>
      <c r="I26" s="138"/>
      <c r="J26" s="141">
        <v>1600000</v>
      </c>
      <c r="K26" s="141"/>
      <c r="L26" s="150"/>
      <c r="M26" s="141"/>
      <c r="N26" s="141"/>
      <c r="O26" s="139">
        <f t="shared" si="0"/>
        <v>1600000</v>
      </c>
      <c r="P26" s="139">
        <v>5400000</v>
      </c>
      <c r="Q26" s="139">
        <f t="shared" si="1"/>
        <v>3800000</v>
      </c>
    </row>
    <row r="27" spans="1:17" s="144" customFormat="1" x14ac:dyDescent="0.2">
      <c r="A27" s="134">
        <v>20</v>
      </c>
      <c r="B27" s="191">
        <v>42599</v>
      </c>
      <c r="C27" s="169" t="s">
        <v>585</v>
      </c>
      <c r="D27" s="192" t="s">
        <v>573</v>
      </c>
      <c r="E27" s="146" t="s">
        <v>23</v>
      </c>
      <c r="F27" s="138"/>
      <c r="G27" s="138"/>
      <c r="H27" s="139"/>
      <c r="I27" s="138"/>
      <c r="J27" s="141">
        <v>2620000</v>
      </c>
      <c r="K27" s="141"/>
      <c r="L27" s="150"/>
      <c r="M27" s="141"/>
      <c r="N27" s="141"/>
      <c r="O27" s="139">
        <f t="shared" si="0"/>
        <v>2620000</v>
      </c>
      <c r="P27" s="139">
        <v>14318182</v>
      </c>
      <c r="Q27" s="139">
        <f t="shared" si="1"/>
        <v>11698182</v>
      </c>
    </row>
    <row r="28" spans="1:17" s="144" customFormat="1" x14ac:dyDescent="0.2">
      <c r="A28" s="134">
        <v>21</v>
      </c>
      <c r="B28" s="191">
        <v>42600</v>
      </c>
      <c r="C28" s="169" t="s">
        <v>546</v>
      </c>
      <c r="D28" s="138" t="s">
        <v>574</v>
      </c>
      <c r="E28" s="146" t="s">
        <v>25</v>
      </c>
      <c r="F28" s="138"/>
      <c r="G28" s="138"/>
      <c r="H28" s="139"/>
      <c r="I28" s="138"/>
      <c r="J28" s="141">
        <v>1950000</v>
      </c>
      <c r="K28" s="141"/>
      <c r="L28" s="150"/>
      <c r="M28" s="141"/>
      <c r="N28" s="141"/>
      <c r="O28" s="139">
        <f t="shared" si="0"/>
        <v>1950000</v>
      </c>
      <c r="P28" s="139">
        <v>8181818</v>
      </c>
      <c r="Q28" s="139">
        <f t="shared" si="1"/>
        <v>6231818</v>
      </c>
    </row>
    <row r="29" spans="1:17" s="144" customFormat="1" x14ac:dyDescent="0.2">
      <c r="A29" s="134">
        <v>22</v>
      </c>
      <c r="B29" s="191">
        <v>42604</v>
      </c>
      <c r="C29" s="169" t="s">
        <v>547</v>
      </c>
      <c r="D29" s="138" t="s">
        <v>575</v>
      </c>
      <c r="E29" s="146" t="s">
        <v>517</v>
      </c>
      <c r="F29" s="138"/>
      <c r="G29" s="138">
        <v>550</v>
      </c>
      <c r="H29" s="139">
        <v>6413000</v>
      </c>
      <c r="I29" s="138"/>
      <c r="J29" s="141">
        <v>1600000</v>
      </c>
      <c r="K29" s="141"/>
      <c r="L29" s="150"/>
      <c r="M29" s="141"/>
      <c r="N29" s="141"/>
      <c r="O29" s="139">
        <f t="shared" si="0"/>
        <v>8013000</v>
      </c>
      <c r="P29" s="139">
        <v>3300000</v>
      </c>
      <c r="Q29" s="139">
        <f t="shared" si="1"/>
        <v>-4713000</v>
      </c>
    </row>
    <row r="30" spans="1:17" s="144" customFormat="1" x14ac:dyDescent="0.2">
      <c r="A30" s="134">
        <v>23</v>
      </c>
      <c r="B30" s="191">
        <v>42604</v>
      </c>
      <c r="C30" s="169" t="s">
        <v>548</v>
      </c>
      <c r="D30" s="138" t="s">
        <v>576</v>
      </c>
      <c r="E30" s="146" t="s">
        <v>24</v>
      </c>
      <c r="F30" s="138"/>
      <c r="G30" s="138"/>
      <c r="H30" s="139"/>
      <c r="I30" s="138"/>
      <c r="J30" s="141">
        <v>0</v>
      </c>
      <c r="K30" s="141"/>
      <c r="L30" s="150"/>
      <c r="M30" s="141"/>
      <c r="N30" s="141"/>
      <c r="O30" s="139">
        <f t="shared" si="0"/>
        <v>0</v>
      </c>
      <c r="P30" s="139">
        <v>2500000</v>
      </c>
      <c r="Q30" s="139">
        <f t="shared" si="1"/>
        <v>2500000</v>
      </c>
    </row>
    <row r="31" spans="1:17" s="144" customFormat="1" x14ac:dyDescent="0.25">
      <c r="A31" s="134">
        <v>24</v>
      </c>
      <c r="B31" s="191">
        <v>42604</v>
      </c>
      <c r="C31" s="146" t="s">
        <v>549</v>
      </c>
      <c r="D31" s="138" t="s">
        <v>577</v>
      </c>
      <c r="E31" s="146" t="s">
        <v>291</v>
      </c>
      <c r="F31" s="138"/>
      <c r="G31" s="138"/>
      <c r="H31" s="139"/>
      <c r="I31" s="138"/>
      <c r="J31" s="141">
        <v>900000</v>
      </c>
      <c r="K31" s="141"/>
      <c r="L31" s="150"/>
      <c r="M31" s="141"/>
      <c r="N31" s="141"/>
      <c r="O31" s="139">
        <f t="shared" si="0"/>
        <v>900000</v>
      </c>
      <c r="P31" s="139">
        <v>3381818</v>
      </c>
      <c r="Q31" s="139">
        <f t="shared" si="1"/>
        <v>2481818</v>
      </c>
    </row>
    <row r="32" spans="1:17" s="144" customFormat="1" x14ac:dyDescent="0.25">
      <c r="A32" s="134">
        <v>25</v>
      </c>
      <c r="B32" s="191">
        <v>42605</v>
      </c>
      <c r="C32" s="146" t="s">
        <v>550</v>
      </c>
      <c r="D32" s="138" t="s">
        <v>578</v>
      </c>
      <c r="E32" s="146" t="s">
        <v>406</v>
      </c>
      <c r="F32" s="138"/>
      <c r="G32" s="138"/>
      <c r="H32" s="139"/>
      <c r="I32" s="138"/>
      <c r="J32" s="141">
        <v>1020000</v>
      </c>
      <c r="K32" s="141"/>
      <c r="L32" s="150"/>
      <c r="M32" s="141"/>
      <c r="N32" s="141"/>
      <c r="O32" s="139">
        <f t="shared" si="0"/>
        <v>1020000</v>
      </c>
      <c r="P32" s="139">
        <v>3545455</v>
      </c>
      <c r="Q32" s="139">
        <f t="shared" si="1"/>
        <v>2525455</v>
      </c>
    </row>
    <row r="33" spans="1:19" s="144" customFormat="1" ht="13.5" customHeight="1" x14ac:dyDescent="0.25">
      <c r="A33" s="134">
        <v>26</v>
      </c>
      <c r="B33" s="191">
        <v>42606</v>
      </c>
      <c r="C33" s="146" t="s">
        <v>551</v>
      </c>
      <c r="D33" s="138" t="s">
        <v>579</v>
      </c>
      <c r="E33" s="146" t="s">
        <v>584</v>
      </c>
      <c r="F33" s="138"/>
      <c r="G33" s="138">
        <v>500</v>
      </c>
      <c r="H33" s="139">
        <v>5955000</v>
      </c>
      <c r="I33" s="138"/>
      <c r="J33" s="141">
        <v>1630000</v>
      </c>
      <c r="K33" s="141"/>
      <c r="L33" s="150"/>
      <c r="M33" s="141"/>
      <c r="N33" s="141"/>
      <c r="O33" s="139">
        <f t="shared" si="0"/>
        <v>7585000</v>
      </c>
      <c r="P33" s="139">
        <v>3427273</v>
      </c>
      <c r="Q33" s="139">
        <f t="shared" si="1"/>
        <v>-4157727</v>
      </c>
    </row>
    <row r="34" spans="1:19" s="144" customFormat="1" ht="13.5" customHeight="1" x14ac:dyDescent="0.25">
      <c r="A34" s="134">
        <v>27</v>
      </c>
      <c r="B34" s="191">
        <v>42606</v>
      </c>
      <c r="C34" s="146" t="s">
        <v>552</v>
      </c>
      <c r="D34" s="138" t="s">
        <v>579</v>
      </c>
      <c r="E34" s="146" t="s">
        <v>259</v>
      </c>
      <c r="F34" s="138"/>
      <c r="G34" s="138"/>
      <c r="H34" s="139"/>
      <c r="I34" s="138"/>
      <c r="J34" s="138">
        <v>0</v>
      </c>
      <c r="K34" s="141"/>
      <c r="L34" s="150"/>
      <c r="M34" s="141"/>
      <c r="N34" s="141"/>
      <c r="O34" s="139">
        <f t="shared" si="0"/>
        <v>0</v>
      </c>
      <c r="P34" s="139">
        <v>3432455</v>
      </c>
      <c r="Q34" s="139">
        <f t="shared" si="1"/>
        <v>3432455</v>
      </c>
    </row>
    <row r="35" spans="1:19" s="144" customFormat="1" ht="21" customHeight="1" x14ac:dyDescent="0.25">
      <c r="A35" s="134">
        <v>28</v>
      </c>
      <c r="B35" s="191">
        <v>42607</v>
      </c>
      <c r="C35" s="146" t="s">
        <v>553</v>
      </c>
      <c r="D35" s="192" t="s">
        <v>580</v>
      </c>
      <c r="E35" s="146" t="s">
        <v>146</v>
      </c>
      <c r="F35" s="138"/>
      <c r="G35" s="138"/>
      <c r="H35" s="139"/>
      <c r="I35" s="138"/>
      <c r="J35" s="141">
        <v>1600000</v>
      </c>
      <c r="K35" s="141"/>
      <c r="L35" s="150"/>
      <c r="M35" s="141"/>
      <c r="N35" s="141"/>
      <c r="O35" s="139">
        <f t="shared" si="0"/>
        <v>1600000</v>
      </c>
      <c r="P35" s="139">
        <v>5200000</v>
      </c>
      <c r="Q35" s="139">
        <f t="shared" si="1"/>
        <v>3600000</v>
      </c>
    </row>
    <row r="36" spans="1:19" s="144" customFormat="1" ht="13.5" customHeight="1" x14ac:dyDescent="0.25">
      <c r="A36" s="134">
        <v>29</v>
      </c>
      <c r="B36" s="191">
        <v>42608</v>
      </c>
      <c r="C36" s="146" t="s">
        <v>586</v>
      </c>
      <c r="D36" s="138" t="s">
        <v>590</v>
      </c>
      <c r="E36" s="146" t="s">
        <v>401</v>
      </c>
      <c r="F36" s="138"/>
      <c r="G36" s="138"/>
      <c r="H36" s="139"/>
      <c r="I36" s="138"/>
      <c r="J36" s="141">
        <v>1020000</v>
      </c>
      <c r="K36" s="141"/>
      <c r="L36" s="150"/>
      <c r="M36" s="141"/>
      <c r="N36" s="141"/>
      <c r="O36" s="139">
        <f t="shared" si="0"/>
        <v>1020000</v>
      </c>
      <c r="P36" s="139">
        <v>3945455</v>
      </c>
      <c r="Q36" s="139">
        <f t="shared" si="1"/>
        <v>2925455</v>
      </c>
    </row>
    <row r="37" spans="1:19" s="144" customFormat="1" ht="13.5" customHeight="1" x14ac:dyDescent="0.25">
      <c r="A37" s="134">
        <v>30</v>
      </c>
      <c r="B37" s="191">
        <v>42610</v>
      </c>
      <c r="C37" s="146" t="s">
        <v>587</v>
      </c>
      <c r="D37" s="138" t="s">
        <v>591</v>
      </c>
      <c r="E37" s="146" t="s">
        <v>409</v>
      </c>
      <c r="F37" s="138"/>
      <c r="G37" s="138"/>
      <c r="H37" s="139"/>
      <c r="I37" s="138"/>
      <c r="J37" s="141">
        <v>850000</v>
      </c>
      <c r="K37" s="141"/>
      <c r="L37" s="150"/>
      <c r="M37" s="141"/>
      <c r="N37" s="141"/>
      <c r="O37" s="139">
        <f t="shared" si="0"/>
        <v>850000</v>
      </c>
      <c r="P37" s="139">
        <v>2745455</v>
      </c>
      <c r="Q37" s="139">
        <f t="shared" si="1"/>
        <v>1895455</v>
      </c>
    </row>
    <row r="38" spans="1:19" s="144" customFormat="1" ht="13.5" customHeight="1" x14ac:dyDescent="0.25">
      <c r="A38" s="134">
        <v>31</v>
      </c>
      <c r="B38" s="191">
        <v>42611</v>
      </c>
      <c r="C38" s="146" t="s">
        <v>588</v>
      </c>
      <c r="D38" s="138" t="s">
        <v>592</v>
      </c>
      <c r="E38" s="146" t="s">
        <v>594</v>
      </c>
      <c r="F38" s="138"/>
      <c r="G38" s="138">
        <v>383</v>
      </c>
      <c r="H38" s="139">
        <v>4561530</v>
      </c>
      <c r="I38" s="138"/>
      <c r="J38" s="141">
        <v>950000</v>
      </c>
      <c r="K38" s="141"/>
      <c r="L38" s="150"/>
      <c r="M38" s="141"/>
      <c r="N38" s="141"/>
      <c r="O38" s="139">
        <f t="shared" si="0"/>
        <v>5511530</v>
      </c>
      <c r="P38" s="139">
        <v>3600000</v>
      </c>
      <c r="Q38" s="139">
        <f t="shared" si="1"/>
        <v>-1911530</v>
      </c>
    </row>
    <row r="39" spans="1:19" s="144" customFormat="1" ht="13.5" customHeight="1" x14ac:dyDescent="0.25">
      <c r="A39" s="134">
        <v>32</v>
      </c>
      <c r="B39" s="191">
        <v>42611</v>
      </c>
      <c r="C39" s="146" t="s">
        <v>589</v>
      </c>
      <c r="D39" s="138" t="s">
        <v>593</v>
      </c>
      <c r="E39" s="146" t="s">
        <v>201</v>
      </c>
      <c r="F39" s="138"/>
      <c r="G39" s="138"/>
      <c r="H39" s="139"/>
      <c r="I39" s="138"/>
      <c r="J39" s="141">
        <v>690000</v>
      </c>
      <c r="K39" s="141"/>
      <c r="L39" s="150"/>
      <c r="M39" s="141"/>
      <c r="N39" s="141"/>
      <c r="O39" s="139">
        <f t="shared" si="0"/>
        <v>690000</v>
      </c>
      <c r="P39" s="139">
        <v>3500000</v>
      </c>
      <c r="Q39" s="139">
        <f t="shared" si="1"/>
        <v>2810000</v>
      </c>
    </row>
    <row r="40" spans="1:19" s="184" customFormat="1" x14ac:dyDescent="0.25">
      <c r="A40" s="134"/>
      <c r="B40" s="191"/>
      <c r="C40" s="193"/>
      <c r="D40" s="194"/>
      <c r="E40" s="190"/>
      <c r="F40" s="194"/>
      <c r="G40" s="194"/>
      <c r="H40" s="180"/>
      <c r="I40" s="194"/>
      <c r="J40" s="180"/>
      <c r="K40" s="182"/>
      <c r="L40" s="182"/>
      <c r="M40" s="180"/>
      <c r="N40" s="180"/>
      <c r="O40" s="139">
        <f t="shared" si="0"/>
        <v>0</v>
      </c>
      <c r="P40" s="139"/>
      <c r="Q40" s="139">
        <f t="shared" si="1"/>
        <v>0</v>
      </c>
    </row>
    <row r="41" spans="1:19" s="159" customFormat="1" x14ac:dyDescent="0.25">
      <c r="A41" s="195"/>
      <c r="B41" s="165"/>
      <c r="C41" s="196" t="s">
        <v>600</v>
      </c>
      <c r="D41" s="195"/>
      <c r="E41" s="197"/>
      <c r="F41" s="195"/>
      <c r="G41" s="195"/>
      <c r="H41" s="155"/>
      <c r="I41" s="195"/>
      <c r="J41" s="155"/>
      <c r="K41" s="157">
        <v>9500000</v>
      </c>
      <c r="L41" s="157"/>
      <c r="M41" s="155"/>
      <c r="N41" s="155"/>
      <c r="O41" s="139">
        <f t="shared" si="0"/>
        <v>9500000</v>
      </c>
      <c r="P41" s="155"/>
      <c r="Q41" s="139">
        <f t="shared" si="1"/>
        <v>-9500000</v>
      </c>
    </row>
    <row r="42" spans="1:19" s="159" customFormat="1" ht="25.5" x14ac:dyDescent="0.25">
      <c r="A42" s="195"/>
      <c r="B42" s="165"/>
      <c r="C42" s="196" t="s">
        <v>595</v>
      </c>
      <c r="D42" s="195"/>
      <c r="E42" s="197"/>
      <c r="F42" s="195"/>
      <c r="G42" s="195"/>
      <c r="H42" s="155"/>
      <c r="I42" s="195"/>
      <c r="J42" s="155"/>
      <c r="K42" s="157"/>
      <c r="L42" s="185">
        <v>600000</v>
      </c>
      <c r="M42" s="155"/>
      <c r="N42" s="155"/>
      <c r="O42" s="139">
        <f t="shared" si="0"/>
        <v>600000</v>
      </c>
      <c r="P42" s="155"/>
      <c r="Q42" s="139">
        <f t="shared" si="1"/>
        <v>-600000</v>
      </c>
    </row>
    <row r="43" spans="1:19" s="159" customFormat="1" x14ac:dyDescent="0.25">
      <c r="A43" s="195"/>
      <c r="B43" s="165"/>
      <c r="C43" s="196" t="s">
        <v>596</v>
      </c>
      <c r="D43" s="195"/>
      <c r="E43" s="197"/>
      <c r="F43" s="195"/>
      <c r="G43" s="195"/>
      <c r="H43" s="155"/>
      <c r="I43" s="195"/>
      <c r="J43" s="155"/>
      <c r="K43" s="157"/>
      <c r="L43" s="185">
        <v>1100000</v>
      </c>
      <c r="M43" s="155"/>
      <c r="N43" s="155"/>
      <c r="O43" s="139">
        <f t="shared" si="0"/>
        <v>1100000</v>
      </c>
      <c r="P43" s="155"/>
      <c r="Q43" s="139">
        <f t="shared" si="1"/>
        <v>-1100000</v>
      </c>
    </row>
    <row r="44" spans="1:19" s="159" customFormat="1" x14ac:dyDescent="0.25">
      <c r="A44" s="195"/>
      <c r="B44" s="165"/>
      <c r="C44" s="196" t="s">
        <v>597</v>
      </c>
      <c r="D44" s="195"/>
      <c r="E44" s="197"/>
      <c r="F44" s="195"/>
      <c r="G44" s="195"/>
      <c r="H44" s="155"/>
      <c r="I44" s="195"/>
      <c r="J44" s="155"/>
      <c r="K44" s="157"/>
      <c r="L44" s="185">
        <v>180000</v>
      </c>
      <c r="M44" s="155"/>
      <c r="N44" s="155"/>
      <c r="O44" s="139">
        <f t="shared" si="0"/>
        <v>180000</v>
      </c>
      <c r="P44" s="155"/>
      <c r="Q44" s="139">
        <f t="shared" si="1"/>
        <v>-180000</v>
      </c>
    </row>
    <row r="45" spans="1:19" s="159" customFormat="1" ht="25.5" x14ac:dyDescent="0.25">
      <c r="A45" s="195"/>
      <c r="B45" s="165"/>
      <c r="C45" s="196" t="s">
        <v>598</v>
      </c>
      <c r="D45" s="195"/>
      <c r="E45" s="197"/>
      <c r="F45" s="195"/>
      <c r="G45" s="195"/>
      <c r="H45" s="155"/>
      <c r="I45" s="195"/>
      <c r="J45" s="155"/>
      <c r="K45" s="157"/>
      <c r="L45" s="185">
        <v>350000</v>
      </c>
      <c r="M45" s="155"/>
      <c r="N45" s="155"/>
      <c r="O45" s="139">
        <f t="shared" si="0"/>
        <v>350000</v>
      </c>
      <c r="P45" s="155"/>
      <c r="Q45" s="139">
        <f t="shared" si="1"/>
        <v>-350000</v>
      </c>
    </row>
    <row r="46" spans="1:19" s="159" customFormat="1" x14ac:dyDescent="0.25">
      <c r="A46" s="153"/>
      <c r="B46" s="203"/>
      <c r="C46" s="152" t="s">
        <v>520</v>
      </c>
      <c r="D46" s="153"/>
      <c r="E46" s="154"/>
      <c r="F46" s="153"/>
      <c r="G46" s="153"/>
      <c r="H46" s="156"/>
      <c r="I46" s="153"/>
      <c r="J46" s="156"/>
      <c r="K46" s="204"/>
      <c r="L46" s="205">
        <v>1320000</v>
      </c>
      <c r="M46" s="156"/>
      <c r="N46" s="156"/>
      <c r="O46" s="206">
        <f t="shared" si="0"/>
        <v>1320000</v>
      </c>
      <c r="P46" s="156"/>
      <c r="Q46" s="206">
        <f t="shared" si="1"/>
        <v>-1320000</v>
      </c>
      <c r="R46" s="186"/>
      <c r="S46" s="188"/>
    </row>
    <row r="47" spans="1:19" x14ac:dyDescent="0.25">
      <c r="A47" s="426" t="s">
        <v>20</v>
      </c>
      <c r="B47" s="426"/>
      <c r="C47" s="426"/>
      <c r="D47" s="426"/>
      <c r="E47" s="426"/>
      <c r="F47" s="426"/>
      <c r="G47" s="160">
        <f t="shared" ref="G47:Q47" si="2">SUM(G7:G46)</f>
        <v>3181</v>
      </c>
      <c r="H47" s="161">
        <f t="shared" si="2"/>
        <v>37500210</v>
      </c>
      <c r="I47" s="161">
        <f t="shared" si="2"/>
        <v>0</v>
      </c>
      <c r="J47" s="161">
        <f t="shared" si="2"/>
        <v>36270000</v>
      </c>
      <c r="K47" s="161">
        <f t="shared" si="2"/>
        <v>9500000</v>
      </c>
      <c r="L47" s="161">
        <f t="shared" si="2"/>
        <v>3550000</v>
      </c>
      <c r="M47" s="161">
        <f t="shared" si="2"/>
        <v>0</v>
      </c>
      <c r="N47" s="161">
        <f t="shared" si="2"/>
        <v>0</v>
      </c>
      <c r="O47" s="161">
        <f t="shared" si="2"/>
        <v>86820210</v>
      </c>
      <c r="P47" s="161">
        <f t="shared" si="2"/>
        <v>141423365</v>
      </c>
      <c r="Q47" s="161">
        <f t="shared" si="2"/>
        <v>54603155</v>
      </c>
      <c r="R47" s="187"/>
      <c r="S47" s="189"/>
    </row>
    <row r="48" spans="1:19" x14ac:dyDescent="0.25">
      <c r="O48" s="158"/>
      <c r="Q48" s="158">
        <f>P47-O47</f>
        <v>54603155</v>
      </c>
    </row>
    <row r="49" spans="2:17" x14ac:dyDescent="0.25">
      <c r="P49" s="143" t="s">
        <v>235</v>
      </c>
      <c r="Q49" s="216">
        <f>Q47+'07-2016'!Q49</f>
        <v>210252879</v>
      </c>
    </row>
    <row r="50" spans="2:17" x14ac:dyDescent="0.25">
      <c r="B50" s="129"/>
      <c r="H50" s="128"/>
      <c r="J50" s="128"/>
      <c r="K50" s="128"/>
      <c r="L50" s="128"/>
      <c r="M50" s="128"/>
      <c r="N50" s="128"/>
      <c r="O50" s="128"/>
      <c r="P50" s="128"/>
      <c r="Q50" s="128"/>
    </row>
    <row r="51" spans="2:17" x14ac:dyDescent="0.25">
      <c r="B51" s="129"/>
      <c r="H51" s="128"/>
      <c r="J51" s="128"/>
      <c r="K51" s="128"/>
      <c r="L51" s="128"/>
      <c r="M51" s="128"/>
      <c r="N51" s="128"/>
      <c r="O51" s="128"/>
      <c r="P51" s="128"/>
      <c r="Q51" s="128"/>
    </row>
    <row r="52" spans="2:17" x14ac:dyDescent="0.25">
      <c r="B52" s="129"/>
      <c r="H52" s="128"/>
      <c r="J52" s="128"/>
      <c r="K52" s="128"/>
      <c r="L52" s="128"/>
      <c r="M52" s="128"/>
      <c r="N52" s="128"/>
      <c r="O52" s="128"/>
      <c r="P52" s="128"/>
      <c r="Q52" s="128"/>
    </row>
    <row r="53" spans="2:17" x14ac:dyDescent="0.25">
      <c r="B53" s="129"/>
      <c r="H53" s="128"/>
      <c r="J53" s="128"/>
      <c r="K53" s="128"/>
      <c r="L53" s="128"/>
      <c r="M53" s="128"/>
      <c r="N53" s="128"/>
      <c r="O53" s="128"/>
      <c r="P53" s="128"/>
      <c r="Q53" s="128"/>
    </row>
    <row r="54" spans="2:17" x14ac:dyDescent="0.25">
      <c r="B54" s="129"/>
      <c r="H54" s="128"/>
      <c r="J54" s="128"/>
      <c r="K54" s="128"/>
      <c r="L54" s="128"/>
      <c r="M54" s="128"/>
      <c r="N54" s="128"/>
      <c r="O54" s="128"/>
      <c r="P54" s="128"/>
      <c r="Q54" s="128"/>
    </row>
    <row r="55" spans="2:17" x14ac:dyDescent="0.25">
      <c r="B55" s="129"/>
      <c r="H55" s="128"/>
      <c r="J55" s="128"/>
      <c r="K55" s="128"/>
      <c r="L55" s="128"/>
      <c r="M55" s="128"/>
      <c r="N55" s="128"/>
      <c r="O55" s="128"/>
      <c r="P55" s="128"/>
      <c r="Q55" s="128"/>
    </row>
    <row r="56" spans="2:17" x14ac:dyDescent="0.25">
      <c r="B56" s="129"/>
      <c r="H56" s="128"/>
      <c r="J56" s="128"/>
      <c r="K56" s="128"/>
      <c r="L56" s="128"/>
      <c r="M56" s="128"/>
      <c r="N56" s="128"/>
      <c r="O56" s="128"/>
      <c r="P56" s="128"/>
      <c r="Q56" s="128"/>
    </row>
  </sheetData>
  <mergeCells count="14">
    <mergeCell ref="O5:O6"/>
    <mergeCell ref="P5:P6"/>
    <mergeCell ref="Q5:Q6"/>
    <mergeCell ref="A47:F4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46"/>
  <sheetViews>
    <sheetView topLeftCell="D22" workbookViewId="0">
      <selection activeCell="Q39" sqref="Q39"/>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0.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601</v>
      </c>
      <c r="C3" s="417"/>
      <c r="D3" s="417"/>
      <c r="E3" s="417"/>
      <c r="F3" s="417"/>
      <c r="G3" s="417"/>
      <c r="H3" s="417"/>
      <c r="I3" s="417"/>
      <c r="J3" s="417"/>
      <c r="K3" s="417"/>
      <c r="L3" s="417"/>
      <c r="M3" s="417"/>
      <c r="N3" s="417"/>
      <c r="O3" s="417"/>
      <c r="P3" s="417"/>
      <c r="Q3" s="417"/>
    </row>
    <row r="5" spans="1:17"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x14ac:dyDescent="0.25">
      <c r="A7" s="198"/>
      <c r="B7" s="135"/>
      <c r="C7" s="199"/>
      <c r="D7" s="137"/>
      <c r="E7" s="137"/>
      <c r="F7" s="200"/>
      <c r="G7" s="142"/>
      <c r="H7" s="201"/>
      <c r="I7" s="201"/>
      <c r="J7" s="202"/>
      <c r="K7" s="202"/>
      <c r="L7" s="202"/>
      <c r="M7" s="202"/>
      <c r="N7" s="202"/>
      <c r="O7" s="142"/>
      <c r="P7" s="142"/>
      <c r="Q7" s="142"/>
    </row>
    <row r="8" spans="1:17" s="144" customFormat="1" ht="12.75" customHeight="1" x14ac:dyDescent="0.2">
      <c r="A8" s="134">
        <v>1</v>
      </c>
      <c r="B8" s="191">
        <v>42613</v>
      </c>
      <c r="C8" s="169" t="s">
        <v>602</v>
      </c>
      <c r="D8" s="138" t="s">
        <v>627</v>
      </c>
      <c r="E8" s="146" t="s">
        <v>651</v>
      </c>
      <c r="F8" s="138"/>
      <c r="G8" s="138"/>
      <c r="H8" s="139"/>
      <c r="I8" s="138"/>
      <c r="J8" s="141">
        <v>1600000</v>
      </c>
      <c r="K8" s="141"/>
      <c r="L8" s="150"/>
      <c r="M8" s="141"/>
      <c r="N8" s="141"/>
      <c r="O8" s="139">
        <f>H8+J8+K8+L8+M8+N8</f>
        <v>1600000</v>
      </c>
      <c r="P8" s="139">
        <v>6500000</v>
      </c>
      <c r="Q8" s="139">
        <f>P8-O8</f>
        <v>4900000</v>
      </c>
    </row>
    <row r="9" spans="1:17" s="144" customFormat="1" x14ac:dyDescent="0.2">
      <c r="A9" s="134">
        <v>2</v>
      </c>
      <c r="B9" s="191">
        <v>42614</v>
      </c>
      <c r="C9" s="169" t="s">
        <v>603</v>
      </c>
      <c r="D9" s="138" t="s">
        <v>628</v>
      </c>
      <c r="E9" s="146" t="s">
        <v>409</v>
      </c>
      <c r="F9" s="138"/>
      <c r="G9" s="138"/>
      <c r="H9" s="139"/>
      <c r="I9" s="138"/>
      <c r="J9" s="207">
        <v>1230000</v>
      </c>
      <c r="K9" s="141"/>
      <c r="L9" s="150"/>
      <c r="M9" s="141"/>
      <c r="N9" s="141"/>
      <c r="O9" s="139">
        <f t="shared" ref="O9:O36" si="0">H9+J9+K9+L9+M9+N9</f>
        <v>1230000</v>
      </c>
      <c r="P9" s="139">
        <v>3472727</v>
      </c>
      <c r="Q9" s="139">
        <f t="shared" ref="Q9:Q36" si="1">P9-O9</f>
        <v>2242727</v>
      </c>
    </row>
    <row r="10" spans="1:17" s="144" customFormat="1" ht="12.75" customHeight="1" x14ac:dyDescent="0.2">
      <c r="A10" s="134">
        <v>3</v>
      </c>
      <c r="B10" s="191">
        <v>42617</v>
      </c>
      <c r="C10" s="169" t="s">
        <v>604</v>
      </c>
      <c r="D10" s="138" t="s">
        <v>629</v>
      </c>
      <c r="E10" s="146" t="s">
        <v>652</v>
      </c>
      <c r="F10" s="138"/>
      <c r="G10" s="138">
        <v>420</v>
      </c>
      <c r="H10" s="139">
        <v>5002200</v>
      </c>
      <c r="I10" s="138"/>
      <c r="J10" s="141">
        <f>1600000+70000</f>
        <v>1670000</v>
      </c>
      <c r="K10" s="141"/>
      <c r="L10" s="150"/>
      <c r="M10" s="141"/>
      <c r="N10" s="141"/>
      <c r="O10" s="139">
        <f t="shared" si="0"/>
        <v>6672200</v>
      </c>
      <c r="P10" s="139">
        <v>5200000</v>
      </c>
      <c r="Q10" s="139">
        <f t="shared" si="1"/>
        <v>-1472200</v>
      </c>
    </row>
    <row r="11" spans="1:17" s="144" customFormat="1" x14ac:dyDescent="0.2">
      <c r="A11" s="134">
        <v>4</v>
      </c>
      <c r="B11" s="191">
        <v>42619</v>
      </c>
      <c r="C11" s="169" t="s">
        <v>605</v>
      </c>
      <c r="D11" s="138" t="s">
        <v>630</v>
      </c>
      <c r="E11" s="146" t="s">
        <v>25</v>
      </c>
      <c r="F11" s="138"/>
      <c r="G11" s="138"/>
      <c r="H11" s="139"/>
      <c r="I11" s="138"/>
      <c r="J11" s="141">
        <v>1950000</v>
      </c>
      <c r="K11" s="141"/>
      <c r="L11" s="150"/>
      <c r="M11" s="141"/>
      <c r="N11" s="141"/>
      <c r="O11" s="139">
        <f t="shared" si="0"/>
        <v>1950000</v>
      </c>
      <c r="P11" s="139">
        <v>8181818</v>
      </c>
      <c r="Q11" s="139">
        <f t="shared" si="1"/>
        <v>6231818</v>
      </c>
    </row>
    <row r="12" spans="1:17" s="144" customFormat="1" ht="12.75" customHeight="1" x14ac:dyDescent="0.2">
      <c r="A12" s="134">
        <v>5</v>
      </c>
      <c r="B12" s="191">
        <v>42620</v>
      </c>
      <c r="C12" s="169" t="s">
        <v>606</v>
      </c>
      <c r="D12" s="138" t="s">
        <v>631</v>
      </c>
      <c r="E12" s="146" t="s">
        <v>653</v>
      </c>
      <c r="F12" s="138"/>
      <c r="G12" s="138"/>
      <c r="H12" s="139"/>
      <c r="I12" s="138"/>
      <c r="J12" s="141">
        <v>1300000</v>
      </c>
      <c r="K12" s="141"/>
      <c r="L12" s="150"/>
      <c r="M12" s="141"/>
      <c r="N12" s="141"/>
      <c r="O12" s="139">
        <f t="shared" si="0"/>
        <v>1300000</v>
      </c>
      <c r="P12" s="139">
        <v>4800000</v>
      </c>
      <c r="Q12" s="139">
        <f t="shared" si="1"/>
        <v>3500000</v>
      </c>
    </row>
    <row r="13" spans="1:17" s="144" customFormat="1" ht="12.75" customHeight="1" x14ac:dyDescent="0.2">
      <c r="A13" s="134">
        <v>6</v>
      </c>
      <c r="B13" s="191">
        <v>42621</v>
      </c>
      <c r="C13" s="169" t="s">
        <v>607</v>
      </c>
      <c r="D13" s="138" t="s">
        <v>632</v>
      </c>
      <c r="E13" s="146" t="s">
        <v>654</v>
      </c>
      <c r="F13" s="138"/>
      <c r="G13" s="138"/>
      <c r="H13" s="139"/>
      <c r="I13" s="138"/>
      <c r="J13" s="141">
        <v>1300000</v>
      </c>
      <c r="K13" s="141"/>
      <c r="L13" s="150"/>
      <c r="M13" s="141"/>
      <c r="N13" s="141"/>
      <c r="O13" s="139">
        <f t="shared" si="0"/>
        <v>1300000</v>
      </c>
      <c r="P13" s="139">
        <v>4700000</v>
      </c>
      <c r="Q13" s="139">
        <f t="shared" si="1"/>
        <v>3400000</v>
      </c>
    </row>
    <row r="14" spans="1:17" s="144" customFormat="1" x14ac:dyDescent="0.2">
      <c r="A14" s="134">
        <v>7</v>
      </c>
      <c r="B14" s="191">
        <v>42623</v>
      </c>
      <c r="C14" s="169" t="s">
        <v>608</v>
      </c>
      <c r="D14" s="138" t="s">
        <v>633</v>
      </c>
      <c r="E14" s="146" t="s">
        <v>655</v>
      </c>
      <c r="F14" s="138"/>
      <c r="G14" s="138">
        <v>550</v>
      </c>
      <c r="H14" s="139">
        <v>6809000</v>
      </c>
      <c r="I14" s="138"/>
      <c r="J14" s="208">
        <f>1600000+230000</f>
        <v>1830000</v>
      </c>
      <c r="K14" s="141"/>
      <c r="L14" s="150"/>
      <c r="M14" s="141"/>
      <c r="N14" s="141"/>
      <c r="O14" s="139">
        <f t="shared" si="0"/>
        <v>8639000</v>
      </c>
      <c r="P14" s="139">
        <v>5200000</v>
      </c>
      <c r="Q14" s="139">
        <f t="shared" si="1"/>
        <v>-3439000</v>
      </c>
    </row>
    <row r="15" spans="1:17" s="144" customFormat="1" x14ac:dyDescent="0.2">
      <c r="A15" s="134">
        <v>8</v>
      </c>
      <c r="B15" s="191">
        <v>42623</v>
      </c>
      <c r="C15" s="169" t="s">
        <v>609</v>
      </c>
      <c r="D15" s="138" t="s">
        <v>634</v>
      </c>
      <c r="E15" s="146" t="s">
        <v>24</v>
      </c>
      <c r="F15" s="138"/>
      <c r="G15" s="138"/>
      <c r="H15" s="139"/>
      <c r="I15" s="138"/>
      <c r="J15" s="141">
        <v>0</v>
      </c>
      <c r="K15" s="141"/>
      <c r="L15" s="150"/>
      <c r="M15" s="141"/>
      <c r="N15" s="141"/>
      <c r="O15" s="139">
        <f t="shared" si="0"/>
        <v>0</v>
      </c>
      <c r="P15" s="139">
        <v>0</v>
      </c>
      <c r="Q15" s="139">
        <f t="shared" si="1"/>
        <v>0</v>
      </c>
    </row>
    <row r="16" spans="1:17" s="144" customFormat="1" ht="12.75" customHeight="1" x14ac:dyDescent="0.2">
      <c r="A16" s="134">
        <v>9</v>
      </c>
      <c r="B16" s="191">
        <v>42625</v>
      </c>
      <c r="C16" s="169" t="s">
        <v>610</v>
      </c>
      <c r="D16" s="138" t="s">
        <v>635</v>
      </c>
      <c r="E16" s="146" t="s">
        <v>656</v>
      </c>
      <c r="F16" s="138"/>
      <c r="G16" s="138"/>
      <c r="H16" s="139"/>
      <c r="I16" s="138"/>
      <c r="J16" s="141">
        <v>2300000</v>
      </c>
      <c r="K16" s="141"/>
      <c r="L16" s="150"/>
      <c r="M16" s="141"/>
      <c r="N16" s="141"/>
      <c r="O16" s="139">
        <f t="shared" si="0"/>
        <v>2300000</v>
      </c>
      <c r="P16" s="139">
        <v>7500000</v>
      </c>
      <c r="Q16" s="139">
        <f t="shared" si="1"/>
        <v>5200000</v>
      </c>
    </row>
    <row r="17" spans="1:17" s="144" customFormat="1" ht="12.75" customHeight="1" x14ac:dyDescent="0.2">
      <c r="A17" s="134">
        <v>10</v>
      </c>
      <c r="B17" s="191">
        <v>42625</v>
      </c>
      <c r="C17" s="169" t="s">
        <v>611</v>
      </c>
      <c r="D17" s="138" t="s">
        <v>636</v>
      </c>
      <c r="E17" s="146" t="s">
        <v>654</v>
      </c>
      <c r="F17" s="138"/>
      <c r="G17" s="138"/>
      <c r="H17" s="139"/>
      <c r="I17" s="138"/>
      <c r="J17" s="141">
        <v>1300000</v>
      </c>
      <c r="K17" s="141"/>
      <c r="L17" s="150"/>
      <c r="M17" s="141"/>
      <c r="N17" s="141"/>
      <c r="O17" s="139">
        <f t="shared" si="0"/>
        <v>1300000</v>
      </c>
      <c r="P17" s="139">
        <v>4700000</v>
      </c>
      <c r="Q17" s="139">
        <f t="shared" si="1"/>
        <v>3400000</v>
      </c>
    </row>
    <row r="18" spans="1:17" s="144" customFormat="1" x14ac:dyDescent="0.2">
      <c r="A18" s="134">
        <v>11</v>
      </c>
      <c r="B18" s="191">
        <v>42626</v>
      </c>
      <c r="C18" s="169" t="s">
        <v>612</v>
      </c>
      <c r="D18" s="138" t="s">
        <v>637</v>
      </c>
      <c r="E18" s="146" t="s">
        <v>25</v>
      </c>
      <c r="F18" s="138"/>
      <c r="G18" s="138"/>
      <c r="H18" s="139"/>
      <c r="I18" s="138"/>
      <c r="J18" s="141">
        <v>1950000</v>
      </c>
      <c r="K18" s="141"/>
      <c r="L18" s="150"/>
      <c r="M18" s="141"/>
      <c r="N18" s="141"/>
      <c r="O18" s="139">
        <f t="shared" si="0"/>
        <v>1950000</v>
      </c>
      <c r="P18" s="139">
        <v>8181818</v>
      </c>
      <c r="Q18" s="139">
        <f t="shared" si="1"/>
        <v>6231818</v>
      </c>
    </row>
    <row r="19" spans="1:17" s="144" customFormat="1" ht="12.75" customHeight="1" x14ac:dyDescent="0.2">
      <c r="A19" s="134">
        <v>12</v>
      </c>
      <c r="B19" s="191">
        <v>42627</v>
      </c>
      <c r="C19" s="169" t="s">
        <v>613</v>
      </c>
      <c r="D19" s="138" t="s">
        <v>638</v>
      </c>
      <c r="E19" s="146" t="s">
        <v>657</v>
      </c>
      <c r="F19" s="138"/>
      <c r="G19" s="138">
        <v>450</v>
      </c>
      <c r="H19" s="139">
        <v>5571000</v>
      </c>
      <c r="I19" s="138"/>
      <c r="J19" s="141">
        <v>1600000</v>
      </c>
      <c r="K19" s="141"/>
      <c r="L19" s="150"/>
      <c r="M19" s="141"/>
      <c r="N19" s="141"/>
      <c r="O19" s="139">
        <f t="shared" si="0"/>
        <v>7171000</v>
      </c>
      <c r="P19" s="139">
        <v>5300000</v>
      </c>
      <c r="Q19" s="139">
        <f t="shared" si="1"/>
        <v>-1871000</v>
      </c>
    </row>
    <row r="20" spans="1:17" s="144" customFormat="1" ht="12.75" customHeight="1" x14ac:dyDescent="0.2">
      <c r="A20" s="134">
        <v>13</v>
      </c>
      <c r="B20" s="191">
        <v>42628</v>
      </c>
      <c r="C20" s="169" t="s">
        <v>614</v>
      </c>
      <c r="D20" s="138" t="s">
        <v>639</v>
      </c>
      <c r="E20" s="146" t="s">
        <v>512</v>
      </c>
      <c r="F20" s="138"/>
      <c r="G20" s="138"/>
      <c r="H20" s="139"/>
      <c r="I20" s="138"/>
      <c r="J20" s="141">
        <v>1600000</v>
      </c>
      <c r="K20" s="141"/>
      <c r="L20" s="150"/>
      <c r="M20" s="141"/>
      <c r="N20" s="141"/>
      <c r="O20" s="139">
        <f t="shared" si="0"/>
        <v>1600000</v>
      </c>
      <c r="P20" s="139">
        <v>5200000</v>
      </c>
      <c r="Q20" s="139">
        <f t="shared" si="1"/>
        <v>3600000</v>
      </c>
    </row>
    <row r="21" spans="1:17" s="144" customFormat="1" ht="12.75" customHeight="1" x14ac:dyDescent="0.2">
      <c r="A21" s="134">
        <v>14</v>
      </c>
      <c r="B21" s="191">
        <v>42631</v>
      </c>
      <c r="C21" s="169" t="s">
        <v>615</v>
      </c>
      <c r="D21" s="138" t="s">
        <v>640</v>
      </c>
      <c r="E21" s="146" t="s">
        <v>658</v>
      </c>
      <c r="F21" s="138"/>
      <c r="G21" s="138">
        <v>450</v>
      </c>
      <c r="H21" s="139">
        <v>5571000</v>
      </c>
      <c r="I21" s="138"/>
      <c r="J21" s="141">
        <v>1300000</v>
      </c>
      <c r="K21" s="141"/>
      <c r="L21" s="150"/>
      <c r="M21" s="141"/>
      <c r="N21" s="141"/>
      <c r="O21" s="139">
        <f t="shared" si="0"/>
        <v>6871000</v>
      </c>
      <c r="P21" s="139">
        <v>4800000</v>
      </c>
      <c r="Q21" s="139">
        <f t="shared" si="1"/>
        <v>-2071000</v>
      </c>
    </row>
    <row r="22" spans="1:17" s="144" customFormat="1" ht="12.75" customHeight="1" x14ac:dyDescent="0.2">
      <c r="A22" s="134">
        <v>15</v>
      </c>
      <c r="B22" s="191">
        <v>42632</v>
      </c>
      <c r="C22" s="169" t="s">
        <v>616</v>
      </c>
      <c r="D22" s="138" t="s">
        <v>641</v>
      </c>
      <c r="E22" s="146" t="s">
        <v>659</v>
      </c>
      <c r="F22" s="138"/>
      <c r="G22" s="138"/>
      <c r="H22" s="139"/>
      <c r="I22" s="138"/>
      <c r="J22" s="141">
        <v>1600000</v>
      </c>
      <c r="K22" s="141"/>
      <c r="L22" s="150"/>
      <c r="M22" s="141"/>
      <c r="N22" s="141"/>
      <c r="O22" s="139">
        <f t="shared" si="0"/>
        <v>1600000</v>
      </c>
      <c r="P22" s="139">
        <v>5200000</v>
      </c>
      <c r="Q22" s="139">
        <f t="shared" si="1"/>
        <v>3600000</v>
      </c>
    </row>
    <row r="23" spans="1:17" s="144" customFormat="1" x14ac:dyDescent="0.2">
      <c r="A23" s="134">
        <v>16</v>
      </c>
      <c r="B23" s="191">
        <v>42633</v>
      </c>
      <c r="C23" s="169" t="s">
        <v>617</v>
      </c>
      <c r="D23" s="138" t="s">
        <v>642</v>
      </c>
      <c r="E23" s="146" t="s">
        <v>660</v>
      </c>
      <c r="F23" s="138"/>
      <c r="G23" s="138"/>
      <c r="H23" s="139"/>
      <c r="I23" s="138"/>
      <c r="J23" s="141">
        <f>1230000+400000+180000</f>
        <v>1810000</v>
      </c>
      <c r="K23" s="141"/>
      <c r="L23" s="150"/>
      <c r="M23" s="141"/>
      <c r="N23" s="141"/>
      <c r="O23" s="139">
        <f t="shared" si="0"/>
        <v>1810000</v>
      </c>
      <c r="P23" s="139">
        <v>3854545</v>
      </c>
      <c r="Q23" s="139">
        <f t="shared" si="1"/>
        <v>2044545</v>
      </c>
    </row>
    <row r="24" spans="1:17" s="144" customFormat="1" ht="12.75" customHeight="1" x14ac:dyDescent="0.2">
      <c r="A24" s="134">
        <v>17</v>
      </c>
      <c r="B24" s="191">
        <v>42633</v>
      </c>
      <c r="C24" s="169" t="s">
        <v>618</v>
      </c>
      <c r="D24" s="192" t="s">
        <v>642</v>
      </c>
      <c r="E24" s="146" t="s">
        <v>661</v>
      </c>
      <c r="F24" s="138"/>
      <c r="G24" s="138"/>
      <c r="H24" s="139"/>
      <c r="I24" s="138"/>
      <c r="J24" s="141">
        <v>0</v>
      </c>
      <c r="K24" s="141"/>
      <c r="L24" s="150"/>
      <c r="M24" s="141"/>
      <c r="N24" s="141"/>
      <c r="O24" s="139">
        <f t="shared" si="0"/>
        <v>0</v>
      </c>
      <c r="P24" s="139">
        <v>2609091</v>
      </c>
      <c r="Q24" s="139">
        <f t="shared" si="1"/>
        <v>2609091</v>
      </c>
    </row>
    <row r="25" spans="1:17" s="144" customFormat="1" ht="12.75" customHeight="1" x14ac:dyDescent="0.2">
      <c r="A25" s="134">
        <v>18</v>
      </c>
      <c r="B25" s="191">
        <v>42634</v>
      </c>
      <c r="C25" s="169" t="s">
        <v>619</v>
      </c>
      <c r="D25" s="192" t="s">
        <v>643</v>
      </c>
      <c r="E25" s="146" t="s">
        <v>662</v>
      </c>
      <c r="F25" s="138"/>
      <c r="G25" s="138"/>
      <c r="H25" s="139"/>
      <c r="I25" s="138"/>
      <c r="J25" s="141">
        <v>1600000</v>
      </c>
      <c r="K25" s="141"/>
      <c r="L25" s="150"/>
      <c r="M25" s="141"/>
      <c r="N25" s="141"/>
      <c r="O25" s="139">
        <f t="shared" si="0"/>
        <v>1600000</v>
      </c>
      <c r="P25" s="139">
        <v>5050000</v>
      </c>
      <c r="Q25" s="139">
        <f t="shared" si="1"/>
        <v>3450000</v>
      </c>
    </row>
    <row r="26" spans="1:17" s="144" customFormat="1" x14ac:dyDescent="0.2">
      <c r="A26" s="134">
        <v>19</v>
      </c>
      <c r="B26" s="191">
        <v>42636</v>
      </c>
      <c r="C26" s="169" t="s">
        <v>620</v>
      </c>
      <c r="D26" s="192" t="s">
        <v>644</v>
      </c>
      <c r="E26" s="146" t="s">
        <v>516</v>
      </c>
      <c r="F26" s="138"/>
      <c r="G26" s="138"/>
      <c r="H26" s="139"/>
      <c r="I26" s="138"/>
      <c r="J26" s="141">
        <v>1300000</v>
      </c>
      <c r="K26" s="141"/>
      <c r="L26" s="150"/>
      <c r="M26" s="141"/>
      <c r="N26" s="141"/>
      <c r="O26" s="139">
        <f t="shared" si="0"/>
        <v>1300000</v>
      </c>
      <c r="P26" s="139">
        <v>2400000</v>
      </c>
      <c r="Q26" s="139">
        <f t="shared" si="1"/>
        <v>1100000</v>
      </c>
    </row>
    <row r="27" spans="1:17" s="144" customFormat="1" x14ac:dyDescent="0.2">
      <c r="A27" s="134">
        <v>20</v>
      </c>
      <c r="B27" s="191">
        <v>42636</v>
      </c>
      <c r="C27" s="169" t="s">
        <v>621</v>
      </c>
      <c r="D27" s="192" t="s">
        <v>645</v>
      </c>
      <c r="E27" s="146" t="s">
        <v>24</v>
      </c>
      <c r="F27" s="138"/>
      <c r="G27" s="138"/>
      <c r="H27" s="139"/>
      <c r="I27" s="138"/>
      <c r="J27" s="141">
        <v>0</v>
      </c>
      <c r="K27" s="141"/>
      <c r="L27" s="150"/>
      <c r="M27" s="141"/>
      <c r="N27" s="141"/>
      <c r="O27" s="139">
        <f t="shared" si="0"/>
        <v>0</v>
      </c>
      <c r="P27" s="139">
        <v>2400000</v>
      </c>
      <c r="Q27" s="139">
        <f t="shared" si="1"/>
        <v>2400000</v>
      </c>
    </row>
    <row r="28" spans="1:17" s="144" customFormat="1" x14ac:dyDescent="0.2">
      <c r="A28" s="134">
        <v>21</v>
      </c>
      <c r="B28" s="191">
        <v>42638</v>
      </c>
      <c r="C28" s="169" t="s">
        <v>622</v>
      </c>
      <c r="D28" s="138" t="s">
        <v>646</v>
      </c>
      <c r="E28" s="146" t="s">
        <v>516</v>
      </c>
      <c r="F28" s="138"/>
      <c r="G28" s="138"/>
      <c r="H28" s="139"/>
      <c r="I28" s="138"/>
      <c r="J28" s="141">
        <v>1300000</v>
      </c>
      <c r="K28" s="141"/>
      <c r="L28" s="150"/>
      <c r="M28" s="141"/>
      <c r="N28" s="141"/>
      <c r="O28" s="139">
        <f t="shared" si="0"/>
        <v>1300000</v>
      </c>
      <c r="P28" s="139">
        <v>2400000</v>
      </c>
      <c r="Q28" s="139">
        <f t="shared" si="1"/>
        <v>1100000</v>
      </c>
    </row>
    <row r="29" spans="1:17" s="144" customFormat="1" x14ac:dyDescent="0.2">
      <c r="A29" s="134">
        <v>22</v>
      </c>
      <c r="B29" s="191">
        <v>42638</v>
      </c>
      <c r="C29" s="169" t="s">
        <v>623</v>
      </c>
      <c r="D29" s="138" t="s">
        <v>647</v>
      </c>
      <c r="E29" s="146" t="s">
        <v>24</v>
      </c>
      <c r="F29" s="138"/>
      <c r="G29" s="138"/>
      <c r="H29" s="139"/>
      <c r="I29" s="138"/>
      <c r="J29" s="141">
        <v>0</v>
      </c>
      <c r="K29" s="141"/>
      <c r="L29" s="150"/>
      <c r="M29" s="141"/>
      <c r="N29" s="141"/>
      <c r="O29" s="139">
        <f t="shared" si="0"/>
        <v>0</v>
      </c>
      <c r="P29" s="139">
        <v>2400000</v>
      </c>
      <c r="Q29" s="139">
        <f t="shared" si="1"/>
        <v>2400000</v>
      </c>
    </row>
    <row r="30" spans="1:17" s="144" customFormat="1" x14ac:dyDescent="0.2">
      <c r="A30" s="134">
        <v>23</v>
      </c>
      <c r="B30" s="191">
        <v>42639</v>
      </c>
      <c r="C30" s="169" t="s">
        <v>624</v>
      </c>
      <c r="D30" s="138" t="s">
        <v>648</v>
      </c>
      <c r="E30" s="146" t="s">
        <v>196</v>
      </c>
      <c r="F30" s="138"/>
      <c r="G30" s="138">
        <v>661</v>
      </c>
      <c r="H30" s="139">
        <v>8097250</v>
      </c>
      <c r="I30" s="138"/>
      <c r="J30" s="141">
        <v>1000000</v>
      </c>
      <c r="K30" s="141"/>
      <c r="L30" s="150"/>
      <c r="M30" s="141"/>
      <c r="N30" s="141"/>
      <c r="O30" s="139">
        <f t="shared" si="0"/>
        <v>9097250</v>
      </c>
      <c r="P30" s="139">
        <v>4090909</v>
      </c>
      <c r="Q30" s="139">
        <f t="shared" si="1"/>
        <v>-5006341</v>
      </c>
    </row>
    <row r="31" spans="1:17" s="144" customFormat="1" ht="12.75" customHeight="1" x14ac:dyDescent="0.25">
      <c r="A31" s="134">
        <v>24</v>
      </c>
      <c r="B31" s="191">
        <v>42640</v>
      </c>
      <c r="C31" s="146" t="s">
        <v>625</v>
      </c>
      <c r="D31" s="138" t="s">
        <v>649</v>
      </c>
      <c r="E31" s="146" t="s">
        <v>248</v>
      </c>
      <c r="F31" s="138"/>
      <c r="G31" s="138"/>
      <c r="H31" s="139"/>
      <c r="I31" s="138"/>
      <c r="J31" s="141">
        <v>850000</v>
      </c>
      <c r="K31" s="141"/>
      <c r="L31" s="150"/>
      <c r="M31" s="141"/>
      <c r="N31" s="141"/>
      <c r="O31" s="139">
        <f t="shared" si="0"/>
        <v>850000</v>
      </c>
      <c r="P31" s="139">
        <v>5100000</v>
      </c>
      <c r="Q31" s="139">
        <f t="shared" si="1"/>
        <v>4250000</v>
      </c>
    </row>
    <row r="32" spans="1:17" s="144" customFormat="1" x14ac:dyDescent="0.25">
      <c r="A32" s="134">
        <v>25</v>
      </c>
      <c r="B32" s="191">
        <v>42642</v>
      </c>
      <c r="C32" s="146" t="s">
        <v>626</v>
      </c>
      <c r="D32" s="138" t="s">
        <v>650</v>
      </c>
      <c r="E32" s="146" t="s">
        <v>663</v>
      </c>
      <c r="F32" s="138"/>
      <c r="G32" s="138">
        <v>310</v>
      </c>
      <c r="H32" s="139">
        <v>3979500</v>
      </c>
      <c r="I32" s="138"/>
      <c r="J32" s="141">
        <v>1600000</v>
      </c>
      <c r="K32" s="141"/>
      <c r="L32" s="150"/>
      <c r="M32" s="141"/>
      <c r="N32" s="141"/>
      <c r="O32" s="139">
        <f t="shared" si="0"/>
        <v>5579500</v>
      </c>
      <c r="P32" s="139">
        <v>6400000</v>
      </c>
      <c r="Q32" s="139">
        <f t="shared" si="1"/>
        <v>820500</v>
      </c>
    </row>
    <row r="33" spans="1:19" s="184" customFormat="1" ht="38.25" customHeight="1" x14ac:dyDescent="0.25">
      <c r="A33" s="134"/>
      <c r="B33" s="191"/>
      <c r="C33" s="190" t="s">
        <v>666</v>
      </c>
      <c r="D33" s="194" t="s">
        <v>593</v>
      </c>
      <c r="E33" s="190" t="s">
        <v>201</v>
      </c>
      <c r="F33" s="194"/>
      <c r="G33" s="194"/>
      <c r="H33" s="180"/>
      <c r="I33" s="194"/>
      <c r="J33" s="180">
        <v>70000</v>
      </c>
      <c r="K33" s="182"/>
      <c r="L33" s="182"/>
      <c r="M33" s="180"/>
      <c r="N33" s="180"/>
      <c r="O33" s="139">
        <f t="shared" si="0"/>
        <v>70000</v>
      </c>
      <c r="P33" s="139"/>
      <c r="Q33" s="139">
        <f t="shared" si="1"/>
        <v>-70000</v>
      </c>
    </row>
    <row r="34" spans="1:19" s="159" customFormat="1" x14ac:dyDescent="0.25">
      <c r="A34" s="195"/>
      <c r="B34" s="165"/>
      <c r="C34" s="196" t="s">
        <v>665</v>
      </c>
      <c r="D34" s="195"/>
      <c r="E34" s="197"/>
      <c r="F34" s="195"/>
      <c r="G34" s="195"/>
      <c r="H34" s="155"/>
      <c r="I34" s="195"/>
      <c r="J34" s="155"/>
      <c r="K34" s="157">
        <v>9000000</v>
      </c>
      <c r="L34" s="157"/>
      <c r="M34" s="155"/>
      <c r="N34" s="155"/>
      <c r="O34" s="139">
        <f t="shared" si="0"/>
        <v>9000000</v>
      </c>
      <c r="P34" s="155"/>
      <c r="Q34" s="139">
        <f t="shared" si="1"/>
        <v>-9000000</v>
      </c>
    </row>
    <row r="35" spans="1:19" s="159" customFormat="1" x14ac:dyDescent="0.25">
      <c r="A35" s="195"/>
      <c r="B35" s="165"/>
      <c r="C35" s="196" t="s">
        <v>122</v>
      </c>
      <c r="D35" s="195"/>
      <c r="E35" s="197"/>
      <c r="F35" s="195"/>
      <c r="G35" s="195"/>
      <c r="H35" s="155"/>
      <c r="I35" s="195"/>
      <c r="J35" s="155"/>
      <c r="K35" s="157"/>
      <c r="L35" s="185">
        <v>180000</v>
      </c>
      <c r="M35" s="155"/>
      <c r="N35" s="155"/>
      <c r="O35" s="139">
        <f t="shared" si="0"/>
        <v>180000</v>
      </c>
      <c r="P35" s="155"/>
      <c r="Q35" s="139">
        <f t="shared" si="1"/>
        <v>-180000</v>
      </c>
    </row>
    <row r="36" spans="1:19" s="159" customFormat="1" x14ac:dyDescent="0.25">
      <c r="A36" s="153"/>
      <c r="B36" s="203"/>
      <c r="C36" s="152" t="s">
        <v>664</v>
      </c>
      <c r="D36" s="153"/>
      <c r="E36" s="154"/>
      <c r="F36" s="153"/>
      <c r="G36" s="153"/>
      <c r="H36" s="156"/>
      <c r="I36" s="153"/>
      <c r="J36" s="156"/>
      <c r="K36" s="204"/>
      <c r="L36" s="205">
        <v>1320000</v>
      </c>
      <c r="M36" s="156"/>
      <c r="N36" s="156"/>
      <c r="O36" s="206">
        <f t="shared" si="0"/>
        <v>1320000</v>
      </c>
      <c r="P36" s="156"/>
      <c r="Q36" s="206">
        <f t="shared" si="1"/>
        <v>-1320000</v>
      </c>
      <c r="R36" s="186"/>
      <c r="S36" s="188"/>
    </row>
    <row r="37" spans="1:19" x14ac:dyDescent="0.25">
      <c r="A37" s="426" t="s">
        <v>20</v>
      </c>
      <c r="B37" s="426"/>
      <c r="C37" s="426"/>
      <c r="D37" s="426"/>
      <c r="E37" s="426"/>
      <c r="F37" s="426"/>
      <c r="G37" s="160">
        <f t="shared" ref="G37:Q37" si="2">SUM(G7:G36)</f>
        <v>2841</v>
      </c>
      <c r="H37" s="161">
        <f t="shared" si="2"/>
        <v>35029950</v>
      </c>
      <c r="I37" s="161">
        <f t="shared" si="2"/>
        <v>0</v>
      </c>
      <c r="J37" s="161">
        <f t="shared" si="2"/>
        <v>32060000</v>
      </c>
      <c r="K37" s="161">
        <f t="shared" si="2"/>
        <v>9000000</v>
      </c>
      <c r="L37" s="161">
        <f t="shared" si="2"/>
        <v>1500000</v>
      </c>
      <c r="M37" s="161">
        <f t="shared" si="2"/>
        <v>0</v>
      </c>
      <c r="N37" s="161">
        <f t="shared" si="2"/>
        <v>0</v>
      </c>
      <c r="O37" s="161">
        <f t="shared" si="2"/>
        <v>77589950</v>
      </c>
      <c r="P37" s="161">
        <f t="shared" si="2"/>
        <v>115640908</v>
      </c>
      <c r="Q37" s="161">
        <f t="shared" si="2"/>
        <v>38050958</v>
      </c>
      <c r="R37" s="187"/>
      <c r="S37" s="189"/>
    </row>
    <row r="38" spans="1:19" x14ac:dyDescent="0.25">
      <c r="O38" s="158"/>
      <c r="Q38" s="158">
        <f>P37-O37</f>
        <v>38050958</v>
      </c>
    </row>
    <row r="39" spans="1:19" x14ac:dyDescent="0.25">
      <c r="P39" s="143" t="s">
        <v>235</v>
      </c>
      <c r="Q39" s="216">
        <f>Q37+'08.2016'!Q49</f>
        <v>248303837</v>
      </c>
    </row>
    <row r="40" spans="1:19" x14ac:dyDescent="0.25">
      <c r="B40" s="129"/>
      <c r="H40" s="128"/>
      <c r="J40" s="128"/>
      <c r="K40" s="128"/>
      <c r="L40" s="128"/>
      <c r="M40" s="128"/>
      <c r="N40" s="128"/>
      <c r="O40" s="128"/>
      <c r="P40" s="128"/>
      <c r="Q40" s="128"/>
    </row>
    <row r="41" spans="1:19" x14ac:dyDescent="0.25">
      <c r="B41" s="129"/>
      <c r="H41" s="128"/>
      <c r="J41" s="128"/>
      <c r="K41" s="128"/>
      <c r="L41" s="128"/>
      <c r="M41" s="128"/>
      <c r="N41" s="128"/>
      <c r="O41" s="128"/>
      <c r="P41" s="128"/>
      <c r="Q41" s="128"/>
    </row>
    <row r="42" spans="1:19" x14ac:dyDescent="0.25">
      <c r="B42" s="129"/>
      <c r="H42" s="128"/>
      <c r="J42" s="128"/>
      <c r="K42" s="128"/>
      <c r="L42" s="128"/>
      <c r="M42" s="128"/>
      <c r="N42" s="128"/>
      <c r="O42" s="128"/>
      <c r="P42" s="128"/>
      <c r="Q42" s="128"/>
    </row>
    <row r="43" spans="1:19" x14ac:dyDescent="0.25">
      <c r="B43" s="129"/>
      <c r="H43" s="128"/>
      <c r="J43" s="128"/>
      <c r="K43" s="128"/>
      <c r="L43" s="128"/>
      <c r="M43" s="128"/>
      <c r="N43" s="128"/>
      <c r="O43" s="128"/>
      <c r="P43" s="128"/>
      <c r="Q43" s="128"/>
    </row>
    <row r="44" spans="1:19" x14ac:dyDescent="0.25">
      <c r="B44" s="129"/>
      <c r="H44" s="128"/>
      <c r="J44" s="128"/>
      <c r="K44" s="128"/>
      <c r="L44" s="128"/>
      <c r="M44" s="128"/>
      <c r="N44" s="128"/>
      <c r="O44" s="128"/>
      <c r="P44" s="128"/>
      <c r="Q44" s="128"/>
    </row>
    <row r="45" spans="1:19" x14ac:dyDescent="0.25">
      <c r="B45" s="129"/>
      <c r="H45" s="128"/>
      <c r="J45" s="128"/>
      <c r="K45" s="128"/>
      <c r="L45" s="128"/>
      <c r="M45" s="128"/>
      <c r="N45" s="128"/>
      <c r="O45" s="128"/>
      <c r="P45" s="128"/>
      <c r="Q45" s="128"/>
    </row>
    <row r="46" spans="1:19" x14ac:dyDescent="0.25">
      <c r="B46" s="129"/>
      <c r="H46" s="128"/>
      <c r="J46" s="128"/>
      <c r="K46" s="128"/>
      <c r="L46" s="128"/>
      <c r="M46" s="128"/>
      <c r="N46" s="128"/>
      <c r="O46" s="128"/>
      <c r="P46" s="128"/>
      <c r="Q46" s="128"/>
    </row>
  </sheetData>
  <mergeCells count="14">
    <mergeCell ref="O5:O6"/>
    <mergeCell ref="P5:P6"/>
    <mergeCell ref="Q5:Q6"/>
    <mergeCell ref="A37:F3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44"/>
  <sheetViews>
    <sheetView topLeftCell="D22" workbookViewId="0">
      <selection activeCell="Q37" sqref="Q37"/>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0.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667</v>
      </c>
      <c r="C3" s="417"/>
      <c r="D3" s="417"/>
      <c r="E3" s="417"/>
      <c r="F3" s="417"/>
      <c r="G3" s="417"/>
      <c r="H3" s="417"/>
      <c r="I3" s="417"/>
      <c r="J3" s="417"/>
      <c r="K3" s="417"/>
      <c r="L3" s="417"/>
      <c r="M3" s="417"/>
      <c r="N3" s="417"/>
      <c r="O3" s="417"/>
      <c r="P3" s="417"/>
      <c r="Q3" s="417"/>
    </row>
    <row r="5" spans="1:17"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x14ac:dyDescent="0.25">
      <c r="A7" s="198"/>
      <c r="B7" s="135"/>
      <c r="C7" s="199"/>
      <c r="D7" s="137"/>
      <c r="E7" s="137"/>
      <c r="F7" s="200"/>
      <c r="G7" s="142"/>
      <c r="H7" s="201"/>
      <c r="I7" s="201"/>
      <c r="J7" s="202"/>
      <c r="K7" s="202"/>
      <c r="L7" s="202"/>
      <c r="M7" s="202"/>
      <c r="N7" s="202"/>
      <c r="O7" s="142"/>
      <c r="P7" s="142"/>
      <c r="Q7" s="142"/>
    </row>
    <row r="8" spans="1:17" s="144" customFormat="1" x14ac:dyDescent="0.2">
      <c r="A8" s="134">
        <v>1</v>
      </c>
      <c r="B8" s="191">
        <v>42643</v>
      </c>
      <c r="C8" s="169" t="s">
        <v>668</v>
      </c>
      <c r="D8" s="138" t="s">
        <v>692</v>
      </c>
      <c r="E8" s="146" t="s">
        <v>25</v>
      </c>
      <c r="F8" s="138"/>
      <c r="G8" s="138"/>
      <c r="H8" s="139"/>
      <c r="I8" s="138"/>
      <c r="J8" s="141">
        <v>1950000</v>
      </c>
      <c r="K8" s="141"/>
      <c r="L8" s="150"/>
      <c r="M8" s="141"/>
      <c r="N8" s="141"/>
      <c r="O8" s="139">
        <f>H8+J8+K8+L8+M8+N8</f>
        <v>1950000</v>
      </c>
      <c r="P8" s="139">
        <v>4423800</v>
      </c>
      <c r="Q8" s="139">
        <f>P8-O8</f>
        <v>2473800</v>
      </c>
    </row>
    <row r="9" spans="1:17" s="144" customFormat="1" x14ac:dyDescent="0.2">
      <c r="A9" s="134">
        <v>2</v>
      </c>
      <c r="B9" s="191">
        <v>42645</v>
      </c>
      <c r="C9" s="169" t="s">
        <v>669</v>
      </c>
      <c r="D9" s="138" t="s">
        <v>693</v>
      </c>
      <c r="E9" s="146" t="s">
        <v>25</v>
      </c>
      <c r="F9" s="138"/>
      <c r="G9" s="138">
        <v>300</v>
      </c>
      <c r="H9" s="139">
        <v>3675000</v>
      </c>
      <c r="I9" s="138"/>
      <c r="J9" s="209">
        <f>1950000+70000</f>
        <v>2020000</v>
      </c>
      <c r="K9" s="141"/>
      <c r="L9" s="150"/>
      <c r="M9" s="141"/>
      <c r="N9" s="141"/>
      <c r="O9" s="139">
        <f t="shared" ref="O9:O34" si="0">H9+J9+K9+L9+M9+N9</f>
        <v>5695000</v>
      </c>
      <c r="P9" s="139">
        <v>7727273</v>
      </c>
      <c r="Q9" s="139">
        <f t="shared" ref="Q9:Q34" si="1">P9-O9</f>
        <v>2032273</v>
      </c>
    </row>
    <row r="10" spans="1:17" s="144" customFormat="1" ht="12.75" customHeight="1" x14ac:dyDescent="0.2">
      <c r="A10" s="134">
        <v>3</v>
      </c>
      <c r="B10" s="191">
        <v>42646</v>
      </c>
      <c r="C10" s="169" t="s">
        <v>670</v>
      </c>
      <c r="D10" s="138" t="s">
        <v>694</v>
      </c>
      <c r="E10" s="146" t="s">
        <v>714</v>
      </c>
      <c r="F10" s="138"/>
      <c r="G10" s="138"/>
      <c r="H10" s="139"/>
      <c r="I10" s="138"/>
      <c r="J10" s="141">
        <f>1600000+140000</f>
        <v>1740000</v>
      </c>
      <c r="K10" s="141"/>
      <c r="L10" s="150"/>
      <c r="M10" s="141"/>
      <c r="N10" s="141"/>
      <c r="O10" s="139">
        <f t="shared" si="0"/>
        <v>1740000</v>
      </c>
      <c r="P10" s="139">
        <v>5300000</v>
      </c>
      <c r="Q10" s="139">
        <f t="shared" si="1"/>
        <v>3560000</v>
      </c>
    </row>
    <row r="11" spans="1:17" s="144" customFormat="1" ht="12.75" customHeight="1" x14ac:dyDescent="0.2">
      <c r="A11" s="134">
        <v>4</v>
      </c>
      <c r="B11" s="191">
        <v>42647</v>
      </c>
      <c r="C11" s="169" t="s">
        <v>671</v>
      </c>
      <c r="D11" s="138" t="s">
        <v>695</v>
      </c>
      <c r="E11" s="146" t="s">
        <v>654</v>
      </c>
      <c r="F11" s="138"/>
      <c r="G11" s="138"/>
      <c r="H11" s="139"/>
      <c r="I11" s="138"/>
      <c r="J11" s="141">
        <f>1300000+140000</f>
        <v>1440000</v>
      </c>
      <c r="K11" s="141"/>
      <c r="L11" s="150"/>
      <c r="M11" s="141"/>
      <c r="N11" s="141"/>
      <c r="O11" s="139">
        <f t="shared" si="0"/>
        <v>1440000</v>
      </c>
      <c r="P11" s="139">
        <v>4700000</v>
      </c>
      <c r="Q11" s="139">
        <f t="shared" si="1"/>
        <v>3260000</v>
      </c>
    </row>
    <row r="12" spans="1:17" s="144" customFormat="1" ht="12.75" customHeight="1" x14ac:dyDescent="0.2">
      <c r="A12" s="134">
        <v>5</v>
      </c>
      <c r="B12" s="191">
        <v>42648</v>
      </c>
      <c r="C12" s="169" t="s">
        <v>672</v>
      </c>
      <c r="D12" s="138" t="s">
        <v>696</v>
      </c>
      <c r="E12" s="146" t="s">
        <v>715</v>
      </c>
      <c r="F12" s="138"/>
      <c r="G12" s="138"/>
      <c r="H12" s="139"/>
      <c r="I12" s="138"/>
      <c r="J12" s="141">
        <f>1600000+140000</f>
        <v>1740000</v>
      </c>
      <c r="K12" s="141"/>
      <c r="L12" s="150"/>
      <c r="M12" s="141"/>
      <c r="N12" s="141"/>
      <c r="O12" s="139">
        <f t="shared" si="0"/>
        <v>1740000</v>
      </c>
      <c r="P12" s="139">
        <v>5300000</v>
      </c>
      <c r="Q12" s="139">
        <f t="shared" si="1"/>
        <v>3560000</v>
      </c>
    </row>
    <row r="13" spans="1:17" s="144" customFormat="1" ht="12.75" customHeight="1" x14ac:dyDescent="0.2">
      <c r="A13" s="134">
        <v>6</v>
      </c>
      <c r="B13" s="191">
        <v>42650</v>
      </c>
      <c r="C13" s="169" t="s">
        <v>673</v>
      </c>
      <c r="D13" s="138" t="s">
        <v>697</v>
      </c>
      <c r="E13" s="146" t="s">
        <v>716</v>
      </c>
      <c r="F13" s="138"/>
      <c r="G13" s="138">
        <v>640</v>
      </c>
      <c r="H13" s="139">
        <v>7948800</v>
      </c>
      <c r="I13" s="138"/>
      <c r="J13" s="141">
        <v>1740000</v>
      </c>
      <c r="K13" s="141"/>
      <c r="L13" s="150"/>
      <c r="M13" s="141"/>
      <c r="N13" s="141"/>
      <c r="O13" s="139">
        <f t="shared" si="0"/>
        <v>9688800</v>
      </c>
      <c r="P13" s="139">
        <v>6500000</v>
      </c>
      <c r="Q13" s="139">
        <f t="shared" si="1"/>
        <v>-3188800</v>
      </c>
    </row>
    <row r="14" spans="1:17" s="144" customFormat="1" x14ac:dyDescent="0.2">
      <c r="A14" s="134">
        <v>7</v>
      </c>
      <c r="B14" s="191">
        <v>42653</v>
      </c>
      <c r="C14" s="169" t="s">
        <v>674</v>
      </c>
      <c r="D14" s="138" t="s">
        <v>698</v>
      </c>
      <c r="E14" s="146" t="s">
        <v>717</v>
      </c>
      <c r="F14" s="138"/>
      <c r="G14" s="138"/>
      <c r="H14" s="139"/>
      <c r="I14" s="138"/>
      <c r="J14" s="141">
        <v>830000</v>
      </c>
      <c r="K14" s="141"/>
      <c r="L14" s="150"/>
      <c r="M14" s="141"/>
      <c r="N14" s="141"/>
      <c r="O14" s="139">
        <f t="shared" si="0"/>
        <v>830000</v>
      </c>
      <c r="P14" s="139">
        <v>2500000</v>
      </c>
      <c r="Q14" s="139">
        <f t="shared" si="1"/>
        <v>1670000</v>
      </c>
    </row>
    <row r="15" spans="1:17" s="144" customFormat="1" ht="12.75" customHeight="1" x14ac:dyDescent="0.2">
      <c r="A15" s="134">
        <v>8</v>
      </c>
      <c r="B15" s="191">
        <v>42654</v>
      </c>
      <c r="C15" s="169" t="s">
        <v>675</v>
      </c>
      <c r="D15" s="138" t="s">
        <v>699</v>
      </c>
      <c r="E15" s="146" t="s">
        <v>654</v>
      </c>
      <c r="F15" s="138"/>
      <c r="G15" s="138"/>
      <c r="H15" s="139"/>
      <c r="I15" s="138"/>
      <c r="J15" s="141">
        <f>1300000+140000</f>
        <v>1440000</v>
      </c>
      <c r="K15" s="141"/>
      <c r="L15" s="150"/>
      <c r="M15" s="141"/>
      <c r="N15" s="141"/>
      <c r="O15" s="139">
        <f t="shared" si="0"/>
        <v>1440000</v>
      </c>
      <c r="P15" s="139">
        <v>4700000</v>
      </c>
      <c r="Q15" s="139">
        <f t="shared" si="1"/>
        <v>3260000</v>
      </c>
    </row>
    <row r="16" spans="1:17" s="144" customFormat="1" x14ac:dyDescent="0.2">
      <c r="A16" s="134">
        <v>9</v>
      </c>
      <c r="B16" s="191">
        <v>42655</v>
      </c>
      <c r="C16" s="169" t="s">
        <v>676</v>
      </c>
      <c r="D16" s="138" t="s">
        <v>700</v>
      </c>
      <c r="E16" s="146" t="s">
        <v>115</v>
      </c>
      <c r="F16" s="138"/>
      <c r="G16" s="138"/>
      <c r="H16" s="139"/>
      <c r="I16" s="138"/>
      <c r="J16" s="141">
        <f>1230000+140000</f>
        <v>1370000</v>
      </c>
      <c r="K16" s="141"/>
      <c r="L16" s="150"/>
      <c r="M16" s="141"/>
      <c r="N16" s="141"/>
      <c r="O16" s="139">
        <f t="shared" si="0"/>
        <v>1370000</v>
      </c>
      <c r="P16" s="139">
        <v>2909091</v>
      </c>
      <c r="Q16" s="139">
        <f t="shared" si="1"/>
        <v>1539091</v>
      </c>
    </row>
    <row r="17" spans="1:17" s="144" customFormat="1" x14ac:dyDescent="0.2">
      <c r="A17" s="134">
        <v>10</v>
      </c>
      <c r="B17" s="191">
        <v>42656</v>
      </c>
      <c r="C17" s="169" t="s">
        <v>677</v>
      </c>
      <c r="D17" s="138" t="s">
        <v>701</v>
      </c>
      <c r="E17" s="146" t="s">
        <v>718</v>
      </c>
      <c r="F17" s="138"/>
      <c r="G17" s="138">
        <v>515</v>
      </c>
      <c r="H17" s="139">
        <v>6396300</v>
      </c>
      <c r="I17" s="138"/>
      <c r="J17" s="141">
        <f>1100000+140000</f>
        <v>1240000</v>
      </c>
      <c r="K17" s="141"/>
      <c r="L17" s="150"/>
      <c r="M17" s="141"/>
      <c r="N17" s="141"/>
      <c r="O17" s="139">
        <f t="shared" si="0"/>
        <v>7636300</v>
      </c>
      <c r="P17" s="139">
        <v>5200000</v>
      </c>
      <c r="Q17" s="139">
        <f t="shared" si="1"/>
        <v>-2436300</v>
      </c>
    </row>
    <row r="18" spans="1:17" s="144" customFormat="1" x14ac:dyDescent="0.2">
      <c r="A18" s="134">
        <v>11</v>
      </c>
      <c r="B18" s="191">
        <v>42656</v>
      </c>
      <c r="C18" s="169" t="s">
        <v>678</v>
      </c>
      <c r="D18" s="138" t="s">
        <v>702</v>
      </c>
      <c r="E18" s="146" t="s">
        <v>24</v>
      </c>
      <c r="F18" s="138"/>
      <c r="G18" s="138"/>
      <c r="H18" s="139"/>
      <c r="I18" s="138"/>
      <c r="J18" s="141">
        <v>0</v>
      </c>
      <c r="K18" s="141"/>
      <c r="L18" s="150"/>
      <c r="M18" s="141"/>
      <c r="N18" s="141"/>
      <c r="O18" s="139">
        <f t="shared" si="0"/>
        <v>0</v>
      </c>
      <c r="P18" s="139">
        <v>0</v>
      </c>
      <c r="Q18" s="139">
        <f t="shared" si="1"/>
        <v>0</v>
      </c>
    </row>
    <row r="19" spans="1:17" s="144" customFormat="1" ht="12.75" customHeight="1" x14ac:dyDescent="0.2">
      <c r="A19" s="134">
        <v>12</v>
      </c>
      <c r="B19" s="191">
        <v>42657</v>
      </c>
      <c r="C19" s="169" t="s">
        <v>679</v>
      </c>
      <c r="D19" s="138" t="s">
        <v>703</v>
      </c>
      <c r="E19" s="146" t="s">
        <v>515</v>
      </c>
      <c r="F19" s="138"/>
      <c r="G19" s="138"/>
      <c r="H19" s="139"/>
      <c r="I19" s="138"/>
      <c r="J19" s="141">
        <f>1300000+140000</f>
        <v>1440000</v>
      </c>
      <c r="K19" s="141"/>
      <c r="L19" s="150"/>
      <c r="M19" s="141"/>
      <c r="N19" s="141"/>
      <c r="O19" s="139">
        <f t="shared" si="0"/>
        <v>1440000</v>
      </c>
      <c r="P19" s="139">
        <v>4700000</v>
      </c>
      <c r="Q19" s="139">
        <f t="shared" si="1"/>
        <v>3260000</v>
      </c>
    </row>
    <row r="20" spans="1:17" s="144" customFormat="1" x14ac:dyDescent="0.2">
      <c r="A20" s="134">
        <v>13</v>
      </c>
      <c r="B20" s="191">
        <v>42660</v>
      </c>
      <c r="C20" s="169" t="s">
        <v>680</v>
      </c>
      <c r="D20" s="138" t="s">
        <v>704</v>
      </c>
      <c r="E20" s="146" t="s">
        <v>218</v>
      </c>
      <c r="F20" s="138"/>
      <c r="G20" s="138"/>
      <c r="H20" s="139"/>
      <c r="I20" s="138"/>
      <c r="J20" s="141">
        <f>830000+140000+1000000</f>
        <v>1970000</v>
      </c>
      <c r="K20" s="141"/>
      <c r="L20" s="150"/>
      <c r="M20" s="141"/>
      <c r="N20" s="141"/>
      <c r="O20" s="139">
        <f t="shared" si="0"/>
        <v>1970000</v>
      </c>
      <c r="P20" s="139">
        <v>3272727</v>
      </c>
      <c r="Q20" s="139">
        <f t="shared" si="1"/>
        <v>1302727</v>
      </c>
    </row>
    <row r="21" spans="1:17" s="144" customFormat="1" ht="12.75" customHeight="1" x14ac:dyDescent="0.2">
      <c r="A21" s="134">
        <v>14</v>
      </c>
      <c r="B21" s="191">
        <v>42661</v>
      </c>
      <c r="C21" s="169" t="s">
        <v>681</v>
      </c>
      <c r="D21" s="138" t="s">
        <v>704</v>
      </c>
      <c r="E21" s="146" t="s">
        <v>353</v>
      </c>
      <c r="F21" s="138"/>
      <c r="G21" s="138"/>
      <c r="H21" s="139"/>
      <c r="I21" s="138"/>
      <c r="J21" s="141">
        <v>0</v>
      </c>
      <c r="K21" s="141"/>
      <c r="L21" s="150"/>
      <c r="M21" s="141"/>
      <c r="N21" s="141"/>
      <c r="O21" s="139">
        <f t="shared" si="0"/>
        <v>0</v>
      </c>
      <c r="P21" s="139">
        <v>3509091</v>
      </c>
      <c r="Q21" s="139">
        <f t="shared" si="1"/>
        <v>3509091</v>
      </c>
    </row>
    <row r="22" spans="1:17" s="144" customFormat="1" x14ac:dyDescent="0.2">
      <c r="A22" s="134">
        <v>15</v>
      </c>
      <c r="B22" s="191">
        <v>42663</v>
      </c>
      <c r="C22" s="169" t="s">
        <v>682</v>
      </c>
      <c r="D22" s="138" t="s">
        <v>705</v>
      </c>
      <c r="E22" s="146" t="s">
        <v>201</v>
      </c>
      <c r="F22" s="138"/>
      <c r="G22" s="138">
        <v>500</v>
      </c>
      <c r="H22" s="139">
        <v>6510000</v>
      </c>
      <c r="I22" s="138"/>
      <c r="J22" s="141">
        <f>690000+70000</f>
        <v>760000</v>
      </c>
      <c r="K22" s="141"/>
      <c r="L22" s="150"/>
      <c r="M22" s="141"/>
      <c r="N22" s="141"/>
      <c r="O22" s="139">
        <f t="shared" si="0"/>
        <v>7270000</v>
      </c>
      <c r="P22" s="139">
        <v>3500000</v>
      </c>
      <c r="Q22" s="139">
        <f t="shared" si="1"/>
        <v>-3770000</v>
      </c>
    </row>
    <row r="23" spans="1:17" s="144" customFormat="1" x14ac:dyDescent="0.2">
      <c r="A23" s="134">
        <v>16</v>
      </c>
      <c r="B23" s="191">
        <v>42664</v>
      </c>
      <c r="C23" s="169" t="s">
        <v>683</v>
      </c>
      <c r="D23" s="138" t="s">
        <v>706</v>
      </c>
      <c r="E23" s="146" t="s">
        <v>719</v>
      </c>
      <c r="F23" s="138"/>
      <c r="G23" s="138"/>
      <c r="H23" s="139"/>
      <c r="I23" s="138"/>
      <c r="J23" s="141">
        <f>1230000+140000</f>
        <v>1370000</v>
      </c>
      <c r="K23" s="141"/>
      <c r="L23" s="150"/>
      <c r="M23" s="141"/>
      <c r="N23" s="141"/>
      <c r="O23" s="139">
        <f t="shared" si="0"/>
        <v>1370000</v>
      </c>
      <c r="P23" s="139">
        <v>3181818</v>
      </c>
      <c r="Q23" s="139">
        <f t="shared" si="1"/>
        <v>1811818</v>
      </c>
    </row>
    <row r="24" spans="1:17" s="144" customFormat="1" ht="12.75" customHeight="1" x14ac:dyDescent="0.2">
      <c r="A24" s="134">
        <v>17</v>
      </c>
      <c r="B24" s="191">
        <v>42664</v>
      </c>
      <c r="C24" s="169" t="s">
        <v>684</v>
      </c>
      <c r="D24" s="192" t="s">
        <v>707</v>
      </c>
      <c r="E24" s="146" t="s">
        <v>118</v>
      </c>
      <c r="F24" s="138"/>
      <c r="G24" s="138"/>
      <c r="H24" s="139"/>
      <c r="I24" s="138"/>
      <c r="J24" s="141">
        <f>200000+140000</f>
        <v>340000</v>
      </c>
      <c r="K24" s="141"/>
      <c r="L24" s="150"/>
      <c r="M24" s="141"/>
      <c r="N24" s="141"/>
      <c r="O24" s="139">
        <f t="shared" si="0"/>
        <v>340000</v>
      </c>
      <c r="P24" s="139">
        <v>1500000</v>
      </c>
      <c r="Q24" s="139">
        <f t="shared" si="1"/>
        <v>1160000</v>
      </c>
    </row>
    <row r="25" spans="1:17" s="144" customFormat="1" x14ac:dyDescent="0.2">
      <c r="A25" s="134">
        <v>18</v>
      </c>
      <c r="B25" s="191">
        <v>42665</v>
      </c>
      <c r="C25" s="169" t="s">
        <v>685</v>
      </c>
      <c r="D25" s="192" t="s">
        <v>708</v>
      </c>
      <c r="E25" s="146" t="s">
        <v>25</v>
      </c>
      <c r="F25" s="138"/>
      <c r="G25" s="138"/>
      <c r="H25" s="139"/>
      <c r="I25" s="138"/>
      <c r="J25" s="141">
        <f>1950000+140000</f>
        <v>2090000</v>
      </c>
      <c r="K25" s="141"/>
      <c r="L25" s="150"/>
      <c r="M25" s="141"/>
      <c r="N25" s="141"/>
      <c r="O25" s="139">
        <f t="shared" si="0"/>
        <v>2090000</v>
      </c>
      <c r="P25" s="139">
        <v>8181818</v>
      </c>
      <c r="Q25" s="139">
        <f t="shared" si="1"/>
        <v>6091818</v>
      </c>
    </row>
    <row r="26" spans="1:17" s="144" customFormat="1" ht="12.75" customHeight="1" x14ac:dyDescent="0.2">
      <c r="A26" s="134">
        <v>19</v>
      </c>
      <c r="B26" s="191">
        <v>42668</v>
      </c>
      <c r="C26" s="169" t="s">
        <v>686</v>
      </c>
      <c r="D26" s="192" t="s">
        <v>709</v>
      </c>
      <c r="E26" s="146" t="s">
        <v>720</v>
      </c>
      <c r="F26" s="138"/>
      <c r="G26" s="138"/>
      <c r="H26" s="139"/>
      <c r="I26" s="138"/>
      <c r="J26" s="141">
        <f>1600000+140000</f>
        <v>1740000</v>
      </c>
      <c r="K26" s="141"/>
      <c r="L26" s="150"/>
      <c r="M26" s="141"/>
      <c r="N26" s="141"/>
      <c r="O26" s="139">
        <f t="shared" si="0"/>
        <v>1740000</v>
      </c>
      <c r="P26" s="139">
        <v>5200000</v>
      </c>
      <c r="Q26" s="139">
        <f t="shared" si="1"/>
        <v>3460000</v>
      </c>
    </row>
    <row r="27" spans="1:17" s="144" customFormat="1" x14ac:dyDescent="0.2">
      <c r="A27" s="134">
        <v>20</v>
      </c>
      <c r="B27" s="191">
        <v>42669</v>
      </c>
      <c r="C27" s="169" t="s">
        <v>687</v>
      </c>
      <c r="D27" s="192" t="s">
        <v>710</v>
      </c>
      <c r="E27" s="146" t="s">
        <v>218</v>
      </c>
      <c r="F27" s="138"/>
      <c r="G27" s="138"/>
      <c r="H27" s="139"/>
      <c r="I27" s="138"/>
      <c r="J27" s="141">
        <f>830000+70000+400000+200000</f>
        <v>1500000</v>
      </c>
      <c r="K27" s="141"/>
      <c r="L27" s="150"/>
      <c r="M27" s="141"/>
      <c r="N27" s="141"/>
      <c r="O27" s="139">
        <f t="shared" si="0"/>
        <v>1500000</v>
      </c>
      <c r="P27" s="139">
        <v>3272727</v>
      </c>
      <c r="Q27" s="139">
        <f t="shared" si="1"/>
        <v>1772727</v>
      </c>
    </row>
    <row r="28" spans="1:17" s="144" customFormat="1" ht="12.75" customHeight="1" x14ac:dyDescent="0.2">
      <c r="A28" s="134">
        <v>21</v>
      </c>
      <c r="B28" s="191">
        <v>42670</v>
      </c>
      <c r="C28" s="169" t="s">
        <v>688</v>
      </c>
      <c r="D28" s="138" t="s">
        <v>710</v>
      </c>
      <c r="E28" s="146" t="s">
        <v>721</v>
      </c>
      <c r="F28" s="138"/>
      <c r="G28" s="138"/>
      <c r="H28" s="139"/>
      <c r="I28" s="138"/>
      <c r="J28" s="141">
        <v>0</v>
      </c>
      <c r="K28" s="141"/>
      <c r="L28" s="150"/>
      <c r="M28" s="141"/>
      <c r="N28" s="141"/>
      <c r="O28" s="139">
        <f t="shared" si="0"/>
        <v>0</v>
      </c>
      <c r="P28" s="139">
        <v>3327273</v>
      </c>
      <c r="Q28" s="139">
        <f t="shared" si="1"/>
        <v>3327273</v>
      </c>
    </row>
    <row r="29" spans="1:17" s="144" customFormat="1" ht="12.75" customHeight="1" x14ac:dyDescent="0.2">
      <c r="A29" s="134">
        <v>22</v>
      </c>
      <c r="B29" s="191">
        <v>42671</v>
      </c>
      <c r="C29" s="169" t="s">
        <v>689</v>
      </c>
      <c r="D29" s="138" t="s">
        <v>711</v>
      </c>
      <c r="E29" s="146" t="s">
        <v>722</v>
      </c>
      <c r="F29" s="138"/>
      <c r="G29" s="138"/>
      <c r="H29" s="139"/>
      <c r="I29" s="138"/>
      <c r="J29" s="141">
        <v>1300000</v>
      </c>
      <c r="K29" s="141"/>
      <c r="L29" s="150"/>
      <c r="M29" s="141"/>
      <c r="N29" s="141"/>
      <c r="O29" s="139">
        <f t="shared" si="0"/>
        <v>1300000</v>
      </c>
      <c r="P29" s="139">
        <v>4700000</v>
      </c>
      <c r="Q29" s="139">
        <f t="shared" si="1"/>
        <v>3400000</v>
      </c>
    </row>
    <row r="30" spans="1:17" s="144" customFormat="1" x14ac:dyDescent="0.2">
      <c r="A30" s="134">
        <v>23</v>
      </c>
      <c r="B30" s="191">
        <v>42672</v>
      </c>
      <c r="C30" s="169" t="s">
        <v>690</v>
      </c>
      <c r="D30" s="138" t="s">
        <v>712</v>
      </c>
      <c r="E30" s="146" t="s">
        <v>723</v>
      </c>
      <c r="F30" s="138"/>
      <c r="G30" s="138">
        <v>615</v>
      </c>
      <c r="H30" s="139">
        <v>8007300</v>
      </c>
      <c r="I30" s="138"/>
      <c r="J30" s="141">
        <f>840000+70000</f>
        <v>910000</v>
      </c>
      <c r="K30" s="141"/>
      <c r="L30" s="150"/>
      <c r="M30" s="141"/>
      <c r="N30" s="141"/>
      <c r="O30" s="139">
        <f t="shared" si="0"/>
        <v>8917300</v>
      </c>
      <c r="P30" s="139">
        <v>2645455</v>
      </c>
      <c r="Q30" s="139">
        <f t="shared" si="1"/>
        <v>-6271845</v>
      </c>
    </row>
    <row r="31" spans="1:17" s="144" customFormat="1" x14ac:dyDescent="0.25">
      <c r="A31" s="134">
        <v>24</v>
      </c>
      <c r="B31" s="191">
        <v>42673</v>
      </c>
      <c r="C31" s="146" t="s">
        <v>691</v>
      </c>
      <c r="D31" s="138" t="s">
        <v>713</v>
      </c>
      <c r="E31" s="146" t="s">
        <v>218</v>
      </c>
      <c r="F31" s="138"/>
      <c r="G31" s="138"/>
      <c r="H31" s="139"/>
      <c r="I31" s="138"/>
      <c r="J31" s="141">
        <f>830000+140000</f>
        <v>970000</v>
      </c>
      <c r="K31" s="141"/>
      <c r="L31" s="150"/>
      <c r="M31" s="141"/>
      <c r="N31" s="141"/>
      <c r="O31" s="139">
        <f t="shared" si="0"/>
        <v>970000</v>
      </c>
      <c r="P31" s="139">
        <v>3472727</v>
      </c>
      <c r="Q31" s="139">
        <f t="shared" si="1"/>
        <v>2502727</v>
      </c>
    </row>
    <row r="32" spans="1:17" s="159" customFormat="1" x14ac:dyDescent="0.25">
      <c r="A32" s="195"/>
      <c r="B32" s="165"/>
      <c r="C32" s="196" t="s">
        <v>724</v>
      </c>
      <c r="D32" s="195"/>
      <c r="E32" s="197"/>
      <c r="F32" s="195"/>
      <c r="G32" s="195"/>
      <c r="H32" s="155"/>
      <c r="I32" s="195"/>
      <c r="J32" s="155"/>
      <c r="K32" s="157">
        <f>9000000-350000</f>
        <v>8650000</v>
      </c>
      <c r="L32" s="157"/>
      <c r="M32" s="155"/>
      <c r="N32" s="155"/>
      <c r="O32" s="139">
        <f t="shared" si="0"/>
        <v>8650000</v>
      </c>
      <c r="P32" s="155"/>
      <c r="Q32" s="139">
        <f t="shared" si="1"/>
        <v>-8650000</v>
      </c>
    </row>
    <row r="33" spans="1:19" s="159" customFormat="1" x14ac:dyDescent="0.25">
      <c r="A33" s="195"/>
      <c r="B33" s="165"/>
      <c r="C33" s="196" t="s">
        <v>726</v>
      </c>
      <c r="D33" s="195"/>
      <c r="E33" s="197"/>
      <c r="F33" s="195"/>
      <c r="G33" s="195"/>
      <c r="H33" s="155"/>
      <c r="I33" s="195"/>
      <c r="J33" s="155"/>
      <c r="K33" s="157"/>
      <c r="L33" s="185">
        <v>130000</v>
      </c>
      <c r="M33" s="155"/>
      <c r="N33" s="155"/>
      <c r="O33" s="139">
        <f t="shared" si="0"/>
        <v>130000</v>
      </c>
      <c r="P33" s="155"/>
      <c r="Q33" s="139">
        <f t="shared" si="1"/>
        <v>-130000</v>
      </c>
    </row>
    <row r="34" spans="1:19" s="159" customFormat="1" x14ac:dyDescent="0.25">
      <c r="A34" s="153"/>
      <c r="B34" s="203"/>
      <c r="C34" s="152" t="s">
        <v>725</v>
      </c>
      <c r="D34" s="153"/>
      <c r="E34" s="154"/>
      <c r="F34" s="153"/>
      <c r="G34" s="153"/>
      <c r="H34" s="156"/>
      <c r="I34" s="153"/>
      <c r="J34" s="156"/>
      <c r="K34" s="204"/>
      <c r="L34" s="205">
        <v>1320000</v>
      </c>
      <c r="M34" s="156"/>
      <c r="N34" s="156"/>
      <c r="O34" s="206">
        <f t="shared" si="0"/>
        <v>1320000</v>
      </c>
      <c r="P34" s="156"/>
      <c r="Q34" s="206">
        <f t="shared" si="1"/>
        <v>-1320000</v>
      </c>
      <c r="R34" s="186"/>
      <c r="S34" s="188"/>
    </row>
    <row r="35" spans="1:19" x14ac:dyDescent="0.25">
      <c r="A35" s="426" t="s">
        <v>20</v>
      </c>
      <c r="B35" s="426"/>
      <c r="C35" s="426"/>
      <c r="D35" s="426"/>
      <c r="E35" s="426"/>
      <c r="F35" s="426"/>
      <c r="G35" s="161">
        <f>SUM(G7:G34)</f>
        <v>2570</v>
      </c>
      <c r="H35" s="161">
        <f>SUM(H7:H34)</f>
        <v>32537400</v>
      </c>
      <c r="I35" s="161">
        <f t="shared" ref="I35:Q35" si="2">SUM(I7:I34)</f>
        <v>0</v>
      </c>
      <c r="J35" s="161">
        <f t="shared" si="2"/>
        <v>29900000</v>
      </c>
      <c r="K35" s="161">
        <f t="shared" si="2"/>
        <v>8650000</v>
      </c>
      <c r="L35" s="161">
        <f t="shared" si="2"/>
        <v>1450000</v>
      </c>
      <c r="M35" s="161">
        <f t="shared" si="2"/>
        <v>0</v>
      </c>
      <c r="N35" s="161">
        <f t="shared" si="2"/>
        <v>0</v>
      </c>
      <c r="O35" s="161">
        <f t="shared" si="2"/>
        <v>72537400</v>
      </c>
      <c r="P35" s="161">
        <f t="shared" si="2"/>
        <v>99723800</v>
      </c>
      <c r="Q35" s="161">
        <f t="shared" si="2"/>
        <v>27186400</v>
      </c>
      <c r="R35" s="187"/>
      <c r="S35" s="189"/>
    </row>
    <row r="36" spans="1:19" x14ac:dyDescent="0.25">
      <c r="O36" s="158"/>
      <c r="Q36" s="158">
        <f>P35-O35</f>
        <v>27186400</v>
      </c>
    </row>
    <row r="37" spans="1:19" x14ac:dyDescent="0.25">
      <c r="P37" s="143" t="s">
        <v>235</v>
      </c>
      <c r="Q37" s="216">
        <f>Q35+'09.2016'!Q39</f>
        <v>275490237</v>
      </c>
    </row>
    <row r="38" spans="1:19" x14ac:dyDescent="0.25">
      <c r="B38" s="129"/>
      <c r="H38" s="128"/>
      <c r="J38" s="128"/>
      <c r="K38" s="128"/>
      <c r="L38" s="128"/>
      <c r="M38" s="128"/>
      <c r="N38" s="128"/>
      <c r="O38" s="128"/>
      <c r="P38" s="128"/>
      <c r="Q38" s="128"/>
    </row>
    <row r="39" spans="1:19" x14ac:dyDescent="0.25">
      <c r="B39" s="129"/>
      <c r="H39" s="128"/>
      <c r="J39" s="128"/>
      <c r="K39" s="128"/>
      <c r="L39" s="128"/>
      <c r="M39" s="128"/>
      <c r="N39" s="128"/>
      <c r="O39" s="128"/>
      <c r="P39" s="128"/>
      <c r="Q39" s="128"/>
    </row>
    <row r="40" spans="1:19" x14ac:dyDescent="0.25">
      <c r="B40" s="129"/>
      <c r="H40" s="128"/>
      <c r="J40" s="128"/>
      <c r="K40" s="128"/>
      <c r="L40" s="128"/>
      <c r="M40" s="128"/>
      <c r="N40" s="128"/>
      <c r="O40" s="128"/>
      <c r="P40" s="128"/>
      <c r="Q40" s="128"/>
    </row>
    <row r="41" spans="1:19" x14ac:dyDescent="0.25">
      <c r="B41" s="129"/>
      <c r="H41" s="128"/>
      <c r="J41" s="128"/>
      <c r="K41" s="128"/>
      <c r="L41" s="128"/>
      <c r="M41" s="128"/>
      <c r="N41" s="128"/>
      <c r="O41" s="128"/>
      <c r="P41" s="128"/>
      <c r="Q41" s="128"/>
    </row>
    <row r="42" spans="1:19" x14ac:dyDescent="0.25">
      <c r="B42" s="129"/>
      <c r="H42" s="128"/>
      <c r="J42" s="128"/>
      <c r="K42" s="128"/>
      <c r="L42" s="128"/>
      <c r="M42" s="128"/>
      <c r="N42" s="128"/>
      <c r="O42" s="128"/>
      <c r="P42" s="128"/>
      <c r="Q42" s="128"/>
    </row>
    <row r="43" spans="1:19" x14ac:dyDescent="0.25">
      <c r="B43" s="129"/>
      <c r="H43" s="128"/>
      <c r="J43" s="128"/>
      <c r="K43" s="128"/>
      <c r="L43" s="128"/>
      <c r="M43" s="128"/>
      <c r="N43" s="128"/>
      <c r="O43" s="128"/>
      <c r="P43" s="128"/>
      <c r="Q43" s="128"/>
    </row>
    <row r="44" spans="1:19" x14ac:dyDescent="0.25">
      <c r="B44" s="129"/>
      <c r="H44" s="128"/>
      <c r="J44" s="128"/>
      <c r="K44" s="128"/>
      <c r="L44" s="128"/>
      <c r="M44" s="128"/>
      <c r="N44" s="128"/>
      <c r="O44" s="128"/>
      <c r="P44" s="128"/>
      <c r="Q44" s="128"/>
    </row>
  </sheetData>
  <mergeCells count="14">
    <mergeCell ref="O5:O6"/>
    <mergeCell ref="P5:P6"/>
    <mergeCell ref="Q5:Q6"/>
    <mergeCell ref="A35:F35"/>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45"/>
  <sheetViews>
    <sheetView topLeftCell="D28" workbookViewId="0">
      <selection activeCell="Q38" sqref="Q38"/>
    </sheetView>
  </sheetViews>
  <sheetFormatPr defaultColWidth="9.140625" defaultRowHeight="12.75" x14ac:dyDescent="0.25"/>
  <cols>
    <col min="1" max="1" width="4.5703125" style="128" customWidth="1"/>
    <col min="2" max="2" width="10.28515625" style="163" customWidth="1"/>
    <col min="3" max="3" width="27" style="128" customWidth="1"/>
    <col min="4" max="4" width="13.42578125" style="128" customWidth="1"/>
    <col min="5" max="5" width="31.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727</v>
      </c>
      <c r="C3" s="417"/>
      <c r="D3" s="417"/>
      <c r="E3" s="417"/>
      <c r="F3" s="417"/>
      <c r="G3" s="417"/>
      <c r="H3" s="417"/>
      <c r="I3" s="417"/>
      <c r="J3" s="417"/>
      <c r="K3" s="417"/>
      <c r="L3" s="417"/>
      <c r="M3" s="417"/>
      <c r="N3" s="417"/>
      <c r="O3" s="417"/>
      <c r="P3" s="417"/>
      <c r="Q3" s="417"/>
    </row>
    <row r="5" spans="1:17"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x14ac:dyDescent="0.25">
      <c r="A7" s="198"/>
      <c r="B7" s="135"/>
      <c r="C7" s="199"/>
      <c r="D7" s="137"/>
      <c r="E7" s="137"/>
      <c r="F7" s="200"/>
      <c r="G7" s="142"/>
      <c r="H7" s="201"/>
      <c r="I7" s="201"/>
      <c r="J7" s="202"/>
      <c r="K7" s="202"/>
      <c r="L7" s="202"/>
      <c r="M7" s="202"/>
      <c r="N7" s="202"/>
      <c r="O7" s="142"/>
      <c r="P7" s="142"/>
      <c r="Q7" s="142"/>
    </row>
    <row r="8" spans="1:17" s="144" customFormat="1" ht="12.75" customHeight="1" x14ac:dyDescent="0.25">
      <c r="A8" s="134">
        <v>1</v>
      </c>
      <c r="B8" s="191">
        <v>42674</v>
      </c>
      <c r="C8" s="138" t="s">
        <v>728</v>
      </c>
      <c r="D8" s="138" t="s">
        <v>745</v>
      </c>
      <c r="E8" s="146" t="s">
        <v>515</v>
      </c>
      <c r="F8" s="138"/>
      <c r="G8" s="138"/>
      <c r="H8" s="139"/>
      <c r="I8" s="138"/>
      <c r="J8" s="141">
        <f>1300000+70000</f>
        <v>1370000</v>
      </c>
      <c r="K8" s="141"/>
      <c r="L8" s="150"/>
      <c r="M8" s="141"/>
      <c r="N8" s="141"/>
      <c r="O8" s="139">
        <f>H8+J8+K8+L8+M8+N8</f>
        <v>1370000</v>
      </c>
      <c r="P8" s="139">
        <v>4700000</v>
      </c>
      <c r="Q8" s="139">
        <f>P8-O8</f>
        <v>3330000</v>
      </c>
    </row>
    <row r="9" spans="1:17" s="144" customFormat="1" x14ac:dyDescent="0.25">
      <c r="A9" s="134">
        <v>2</v>
      </c>
      <c r="B9" s="191">
        <v>42675</v>
      </c>
      <c r="C9" s="138" t="s">
        <v>729</v>
      </c>
      <c r="D9" s="138" t="s">
        <v>746</v>
      </c>
      <c r="E9" s="146" t="s">
        <v>84</v>
      </c>
      <c r="F9" s="138"/>
      <c r="G9" s="138"/>
      <c r="H9" s="139"/>
      <c r="I9" s="138"/>
      <c r="J9" s="209">
        <f>1230000+140000</f>
        <v>1370000</v>
      </c>
      <c r="K9" s="141"/>
      <c r="L9" s="150"/>
      <c r="M9" s="141"/>
      <c r="N9" s="141"/>
      <c r="O9" s="139">
        <f t="shared" ref="O9:O35" si="0">H9+J9+K9+L9+M9+N9</f>
        <v>1370000</v>
      </c>
      <c r="P9" s="139">
        <v>4318182</v>
      </c>
      <c r="Q9" s="139">
        <f t="shared" ref="Q9:Q35" si="1">P9-O9</f>
        <v>2948182</v>
      </c>
    </row>
    <row r="10" spans="1:17" s="144" customFormat="1" x14ac:dyDescent="0.25">
      <c r="A10" s="134">
        <v>3</v>
      </c>
      <c r="B10" s="191">
        <v>42676</v>
      </c>
      <c r="C10" s="138" t="s">
        <v>730</v>
      </c>
      <c r="D10" s="138" t="s">
        <v>747</v>
      </c>
      <c r="E10" s="146" t="s">
        <v>517</v>
      </c>
      <c r="F10" s="138"/>
      <c r="G10" s="138"/>
      <c r="H10" s="139"/>
      <c r="I10" s="138"/>
      <c r="J10" s="141">
        <f>1040000+140000</f>
        <v>1180000</v>
      </c>
      <c r="K10" s="141"/>
      <c r="L10" s="150"/>
      <c r="M10" s="141"/>
      <c r="N10" s="141"/>
      <c r="O10" s="139">
        <f t="shared" si="0"/>
        <v>1180000</v>
      </c>
      <c r="P10" s="139">
        <v>3100000</v>
      </c>
      <c r="Q10" s="139">
        <f t="shared" si="1"/>
        <v>1920000</v>
      </c>
    </row>
    <row r="11" spans="1:17" s="144" customFormat="1" ht="12.75" customHeight="1" x14ac:dyDescent="0.25">
      <c r="A11" s="134">
        <v>4</v>
      </c>
      <c r="B11" s="191">
        <v>42677</v>
      </c>
      <c r="C11" s="138" t="s">
        <v>731</v>
      </c>
      <c r="D11" s="138" t="s">
        <v>748</v>
      </c>
      <c r="E11" s="146" t="s">
        <v>760</v>
      </c>
      <c r="F11" s="138"/>
      <c r="G11" s="138">
        <v>530</v>
      </c>
      <c r="H11" s="139">
        <v>6900600</v>
      </c>
      <c r="I11" s="138"/>
      <c r="J11" s="141">
        <f>1600000+140000</f>
        <v>1740000</v>
      </c>
      <c r="K11" s="141"/>
      <c r="L11" s="150"/>
      <c r="M11" s="141"/>
      <c r="N11" s="141"/>
      <c r="O11" s="139">
        <f t="shared" si="0"/>
        <v>8640600</v>
      </c>
      <c r="P11" s="139">
        <v>5200000</v>
      </c>
      <c r="Q11" s="139">
        <f t="shared" si="1"/>
        <v>-3440600</v>
      </c>
    </row>
    <row r="12" spans="1:17" s="144" customFormat="1" x14ac:dyDescent="0.25">
      <c r="A12" s="134">
        <v>5</v>
      </c>
      <c r="B12" s="191">
        <v>42678</v>
      </c>
      <c r="C12" s="138" t="s">
        <v>732</v>
      </c>
      <c r="D12" s="138" t="s">
        <v>749</v>
      </c>
      <c r="E12" s="146" t="s">
        <v>21</v>
      </c>
      <c r="F12" s="138"/>
      <c r="G12" s="138"/>
      <c r="H12" s="139"/>
      <c r="I12" s="138"/>
      <c r="J12" s="141">
        <f>840000+140000</f>
        <v>980000</v>
      </c>
      <c r="K12" s="141"/>
      <c r="L12" s="150"/>
      <c r="M12" s="141"/>
      <c r="N12" s="141"/>
      <c r="O12" s="139">
        <f t="shared" si="0"/>
        <v>980000</v>
      </c>
      <c r="P12" s="139">
        <v>3000000</v>
      </c>
      <c r="Q12" s="139">
        <f t="shared" si="1"/>
        <v>2020000</v>
      </c>
    </row>
    <row r="13" spans="1:17" s="144" customFormat="1" x14ac:dyDescent="0.25">
      <c r="A13" s="134">
        <v>6</v>
      </c>
      <c r="B13" s="191">
        <v>42679</v>
      </c>
      <c r="C13" s="138" t="s">
        <v>733</v>
      </c>
      <c r="D13" s="138" t="s">
        <v>750</v>
      </c>
      <c r="E13" s="146" t="s">
        <v>761</v>
      </c>
      <c r="F13" s="138"/>
      <c r="G13" s="138"/>
      <c r="H13" s="139"/>
      <c r="I13" s="138"/>
      <c r="J13" s="141">
        <f>1200000+70000</f>
        <v>1270000</v>
      </c>
      <c r="K13" s="141"/>
      <c r="L13" s="150"/>
      <c r="M13" s="141"/>
      <c r="N13" s="141"/>
      <c r="O13" s="139">
        <f t="shared" si="0"/>
        <v>1270000</v>
      </c>
      <c r="P13" s="139">
        <v>3181818</v>
      </c>
      <c r="Q13" s="139">
        <f t="shared" si="1"/>
        <v>1911818</v>
      </c>
    </row>
    <row r="14" spans="1:17" s="144" customFormat="1" x14ac:dyDescent="0.25">
      <c r="A14" s="134">
        <v>7</v>
      </c>
      <c r="B14" s="191">
        <v>42681</v>
      </c>
      <c r="C14" s="138" t="s">
        <v>734</v>
      </c>
      <c r="D14" s="138" t="s">
        <v>751</v>
      </c>
      <c r="E14" s="146" t="s">
        <v>25</v>
      </c>
      <c r="F14" s="138"/>
      <c r="G14" s="138"/>
      <c r="H14" s="139"/>
      <c r="I14" s="138"/>
      <c r="J14" s="141">
        <f>1950000+140000</f>
        <v>2090000</v>
      </c>
      <c r="K14" s="141"/>
      <c r="L14" s="150"/>
      <c r="M14" s="141"/>
      <c r="N14" s="141"/>
      <c r="O14" s="139">
        <f t="shared" si="0"/>
        <v>2090000</v>
      </c>
      <c r="P14" s="139">
        <v>8181818</v>
      </c>
      <c r="Q14" s="139">
        <f t="shared" si="1"/>
        <v>6091818</v>
      </c>
    </row>
    <row r="15" spans="1:17" s="144" customFormat="1" x14ac:dyDescent="0.25">
      <c r="A15" s="134">
        <v>8</v>
      </c>
      <c r="B15" s="191">
        <v>42693</v>
      </c>
      <c r="C15" s="138" t="s">
        <v>735</v>
      </c>
      <c r="D15" s="138" t="s">
        <v>752</v>
      </c>
      <c r="E15" s="146" t="s">
        <v>508</v>
      </c>
      <c r="F15" s="138"/>
      <c r="G15" s="138"/>
      <c r="H15" s="139"/>
      <c r="I15" s="138"/>
      <c r="J15" s="141">
        <v>1150000</v>
      </c>
      <c r="K15" s="141"/>
      <c r="L15" s="150"/>
      <c r="M15" s="141"/>
      <c r="N15" s="141"/>
      <c r="O15" s="139">
        <f t="shared" si="0"/>
        <v>1150000</v>
      </c>
      <c r="P15" s="139">
        <v>3500000</v>
      </c>
      <c r="Q15" s="139">
        <f t="shared" si="1"/>
        <v>2350000</v>
      </c>
    </row>
    <row r="16" spans="1:17" s="144" customFormat="1" x14ac:dyDescent="0.25">
      <c r="A16" s="134">
        <v>9</v>
      </c>
      <c r="B16" s="191">
        <v>42693</v>
      </c>
      <c r="C16" s="138" t="s">
        <v>736</v>
      </c>
      <c r="D16" s="138" t="s">
        <v>753</v>
      </c>
      <c r="E16" s="146" t="s">
        <v>762</v>
      </c>
      <c r="F16" s="138"/>
      <c r="G16" s="138"/>
      <c r="H16" s="139"/>
      <c r="I16" s="138"/>
      <c r="J16" s="208">
        <f>1100000+140000+280000</f>
        <v>1520000</v>
      </c>
      <c r="K16" s="141"/>
      <c r="L16" s="150"/>
      <c r="M16" s="141"/>
      <c r="N16" s="141"/>
      <c r="O16" s="139">
        <f t="shared" si="0"/>
        <v>1520000</v>
      </c>
      <c r="P16" s="139">
        <v>4500000</v>
      </c>
      <c r="Q16" s="139">
        <f t="shared" si="1"/>
        <v>2980000</v>
      </c>
    </row>
    <row r="17" spans="1:17" s="144" customFormat="1" x14ac:dyDescent="0.25">
      <c r="A17" s="134">
        <v>10</v>
      </c>
      <c r="B17" s="191">
        <v>42694</v>
      </c>
      <c r="C17" s="138" t="s">
        <v>737</v>
      </c>
      <c r="D17" s="138" t="s">
        <v>754</v>
      </c>
      <c r="E17" s="146" t="s">
        <v>25</v>
      </c>
      <c r="F17" s="138"/>
      <c r="G17" s="138">
        <v>585</v>
      </c>
      <c r="H17" s="139">
        <v>7312500</v>
      </c>
      <c r="I17" s="138"/>
      <c r="J17" s="141">
        <f>1950000+140000</f>
        <v>2090000</v>
      </c>
      <c r="K17" s="141"/>
      <c r="L17" s="150"/>
      <c r="M17" s="141"/>
      <c r="N17" s="141"/>
      <c r="O17" s="139">
        <f t="shared" si="0"/>
        <v>9402500</v>
      </c>
      <c r="P17" s="139">
        <v>8181818</v>
      </c>
      <c r="Q17" s="139">
        <f t="shared" si="1"/>
        <v>-1220682</v>
      </c>
    </row>
    <row r="18" spans="1:17" s="144" customFormat="1" x14ac:dyDescent="0.25">
      <c r="A18" s="134">
        <v>11</v>
      </c>
      <c r="B18" s="191">
        <v>42696</v>
      </c>
      <c r="C18" s="138" t="s">
        <v>738</v>
      </c>
      <c r="D18" s="138" t="s">
        <v>755</v>
      </c>
      <c r="E18" s="146" t="s">
        <v>763</v>
      </c>
      <c r="F18" s="138"/>
      <c r="G18" s="138"/>
      <c r="H18" s="139"/>
      <c r="I18" s="138"/>
      <c r="J18" s="141">
        <f>1150000+140000</f>
        <v>1290000</v>
      </c>
      <c r="K18" s="141"/>
      <c r="L18" s="150"/>
      <c r="M18" s="141"/>
      <c r="N18" s="141"/>
      <c r="O18" s="139">
        <f t="shared" si="0"/>
        <v>1290000</v>
      </c>
      <c r="P18" s="139">
        <v>3500000</v>
      </c>
      <c r="Q18" s="139">
        <f t="shared" si="1"/>
        <v>2210000</v>
      </c>
    </row>
    <row r="19" spans="1:17" s="144" customFormat="1" x14ac:dyDescent="0.25">
      <c r="A19" s="134">
        <v>12</v>
      </c>
      <c r="B19" s="191">
        <v>42697</v>
      </c>
      <c r="C19" s="138" t="s">
        <v>739</v>
      </c>
      <c r="D19" s="138" t="s">
        <v>756</v>
      </c>
      <c r="E19" s="146" t="s">
        <v>218</v>
      </c>
      <c r="F19" s="138"/>
      <c r="G19" s="138">
        <v>390</v>
      </c>
      <c r="H19" s="139">
        <v>4875000</v>
      </c>
      <c r="I19" s="138"/>
      <c r="J19" s="141">
        <f>830000+70000+520000</f>
        <v>1420000</v>
      </c>
      <c r="K19" s="141"/>
      <c r="L19" s="150"/>
      <c r="M19" s="141"/>
      <c r="N19" s="141"/>
      <c r="O19" s="139">
        <f t="shared" si="0"/>
        <v>6295000</v>
      </c>
      <c r="P19" s="139">
        <v>3272727</v>
      </c>
      <c r="Q19" s="139">
        <f t="shared" si="1"/>
        <v>-3022273</v>
      </c>
    </row>
    <row r="20" spans="1:17" s="144" customFormat="1" ht="12.75" customHeight="1" x14ac:dyDescent="0.25">
      <c r="A20" s="134">
        <v>13</v>
      </c>
      <c r="B20" s="191">
        <v>42698</v>
      </c>
      <c r="C20" s="138" t="s">
        <v>740</v>
      </c>
      <c r="D20" s="138" t="s">
        <v>756</v>
      </c>
      <c r="E20" s="146" t="s">
        <v>764</v>
      </c>
      <c r="F20" s="138"/>
      <c r="G20" s="138"/>
      <c r="H20" s="139"/>
      <c r="I20" s="138"/>
      <c r="J20" s="141">
        <v>0</v>
      </c>
      <c r="K20" s="141"/>
      <c r="L20" s="150"/>
      <c r="M20" s="141"/>
      <c r="N20" s="141"/>
      <c r="O20" s="139">
        <f t="shared" si="0"/>
        <v>0</v>
      </c>
      <c r="P20" s="139">
        <v>2545455</v>
      </c>
      <c r="Q20" s="139">
        <f t="shared" si="1"/>
        <v>2545455</v>
      </c>
    </row>
    <row r="21" spans="1:17" s="144" customFormat="1" x14ac:dyDescent="0.25">
      <c r="A21" s="134">
        <v>14</v>
      </c>
      <c r="B21" s="191">
        <v>42698</v>
      </c>
      <c r="C21" s="138" t="s">
        <v>741</v>
      </c>
      <c r="D21" s="138" t="s">
        <v>757</v>
      </c>
      <c r="E21" s="146" t="s">
        <v>723</v>
      </c>
      <c r="F21" s="138"/>
      <c r="G21" s="138"/>
      <c r="H21" s="139"/>
      <c r="I21" s="138"/>
      <c r="J21" s="141">
        <f>800000+140000</f>
        <v>940000</v>
      </c>
      <c r="K21" s="141"/>
      <c r="L21" s="150"/>
      <c r="M21" s="141"/>
      <c r="N21" s="141"/>
      <c r="O21" s="139">
        <f t="shared" si="0"/>
        <v>940000</v>
      </c>
      <c r="P21" s="139">
        <v>2545455</v>
      </c>
      <c r="Q21" s="139">
        <f t="shared" si="1"/>
        <v>1605455</v>
      </c>
    </row>
    <row r="22" spans="1:17" s="144" customFormat="1" x14ac:dyDescent="0.25">
      <c r="A22" s="134">
        <v>15</v>
      </c>
      <c r="B22" s="191">
        <v>42702</v>
      </c>
      <c r="C22" s="138" t="s">
        <v>742</v>
      </c>
      <c r="D22" s="138" t="s">
        <v>758</v>
      </c>
      <c r="E22" s="146" t="s">
        <v>508</v>
      </c>
      <c r="F22" s="138"/>
      <c r="G22" s="138"/>
      <c r="H22" s="139"/>
      <c r="I22" s="138"/>
      <c r="J22" s="141">
        <f>1200000-50000</f>
        <v>1150000</v>
      </c>
      <c r="K22" s="141"/>
      <c r="L22" s="150"/>
      <c r="M22" s="141"/>
      <c r="N22" s="141"/>
      <c r="O22" s="139">
        <f t="shared" si="0"/>
        <v>1150000</v>
      </c>
      <c r="P22" s="139">
        <v>3500000</v>
      </c>
      <c r="Q22" s="139">
        <f t="shared" si="1"/>
        <v>2350000</v>
      </c>
    </row>
    <row r="23" spans="1:17" s="144" customFormat="1" x14ac:dyDescent="0.25">
      <c r="A23" s="134">
        <v>16</v>
      </c>
      <c r="B23" s="191">
        <v>42703</v>
      </c>
      <c r="C23" s="138" t="s">
        <v>743</v>
      </c>
      <c r="D23" s="138" t="s">
        <v>759</v>
      </c>
      <c r="E23" s="146" t="s">
        <v>661</v>
      </c>
      <c r="F23" s="138"/>
      <c r="G23" s="138">
        <v>310</v>
      </c>
      <c r="H23" s="139">
        <v>3875000</v>
      </c>
      <c r="I23" s="138"/>
      <c r="J23" s="141">
        <f>900000+400000</f>
        <v>1300000</v>
      </c>
      <c r="K23" s="141"/>
      <c r="L23" s="150"/>
      <c r="M23" s="141"/>
      <c r="N23" s="141"/>
      <c r="O23" s="139">
        <f t="shared" si="0"/>
        <v>5175000</v>
      </c>
      <c r="P23" s="139">
        <v>3636364</v>
      </c>
      <c r="Q23" s="139">
        <f t="shared" si="1"/>
        <v>-1538636</v>
      </c>
    </row>
    <row r="24" spans="1:17" s="144" customFormat="1" ht="12.75" customHeight="1" x14ac:dyDescent="0.25">
      <c r="A24" s="134">
        <v>17</v>
      </c>
      <c r="B24" s="191">
        <v>42703</v>
      </c>
      <c r="C24" s="138" t="s">
        <v>744</v>
      </c>
      <c r="D24" s="192" t="s">
        <v>759</v>
      </c>
      <c r="E24" s="146" t="s">
        <v>661</v>
      </c>
      <c r="F24" s="138"/>
      <c r="G24" s="138"/>
      <c r="H24" s="139"/>
      <c r="I24" s="138"/>
      <c r="J24" s="141">
        <v>0</v>
      </c>
      <c r="K24" s="141"/>
      <c r="L24" s="150"/>
      <c r="M24" s="141"/>
      <c r="N24" s="141"/>
      <c r="O24" s="139">
        <f t="shared" si="0"/>
        <v>0</v>
      </c>
      <c r="P24" s="139">
        <v>2545455</v>
      </c>
      <c r="Q24" s="139">
        <f t="shared" si="1"/>
        <v>2545455</v>
      </c>
    </row>
    <row r="25" spans="1:17" s="159" customFormat="1" x14ac:dyDescent="0.25">
      <c r="A25" s="195"/>
      <c r="B25" s="165"/>
      <c r="C25" s="196" t="s">
        <v>765</v>
      </c>
      <c r="D25" s="195"/>
      <c r="E25" s="197"/>
      <c r="F25" s="195"/>
      <c r="G25" s="195"/>
      <c r="H25" s="155"/>
      <c r="I25" s="195"/>
      <c r="J25" s="155"/>
      <c r="K25" s="157">
        <v>4846154</v>
      </c>
      <c r="L25" s="157"/>
      <c r="M25" s="155"/>
      <c r="N25" s="155"/>
      <c r="O25" s="139">
        <f t="shared" si="0"/>
        <v>4846154</v>
      </c>
      <c r="P25" s="155"/>
      <c r="Q25" s="139">
        <f t="shared" si="1"/>
        <v>-4846154</v>
      </c>
    </row>
    <row r="26" spans="1:17" s="159" customFormat="1" x14ac:dyDescent="0.25">
      <c r="A26" s="195"/>
      <c r="B26" s="165"/>
      <c r="C26" s="196" t="s">
        <v>775</v>
      </c>
      <c r="D26" s="195"/>
      <c r="E26" s="197"/>
      <c r="F26" s="195"/>
      <c r="G26" s="195"/>
      <c r="H26" s="155"/>
      <c r="I26" s="195"/>
      <c r="J26" s="155"/>
      <c r="K26" s="157"/>
      <c r="L26" s="157"/>
      <c r="M26" s="155"/>
      <c r="N26" s="155">
        <f>11265000/209*40</f>
        <v>2155980.8612440191</v>
      </c>
      <c r="O26" s="139">
        <f t="shared" si="0"/>
        <v>2155980.8612440191</v>
      </c>
      <c r="P26" s="155"/>
      <c r="Q26" s="139">
        <f t="shared" si="1"/>
        <v>-2155980.8612440191</v>
      </c>
    </row>
    <row r="27" spans="1:17" s="159" customFormat="1" ht="25.5" x14ac:dyDescent="0.25">
      <c r="A27" s="195"/>
      <c r="B27" s="165"/>
      <c r="C27" s="196" t="s">
        <v>767</v>
      </c>
      <c r="D27" s="195"/>
      <c r="E27" s="197"/>
      <c r="F27" s="195"/>
      <c r="G27" s="195"/>
      <c r="H27" s="155"/>
      <c r="I27" s="195"/>
      <c r="J27" s="155"/>
      <c r="K27" s="157"/>
      <c r="L27" s="185">
        <v>300000</v>
      </c>
      <c r="M27" s="155"/>
      <c r="N27" s="155"/>
      <c r="O27" s="139">
        <f t="shared" si="0"/>
        <v>300000</v>
      </c>
      <c r="P27" s="155"/>
      <c r="Q27" s="139">
        <f t="shared" si="1"/>
        <v>-300000</v>
      </c>
    </row>
    <row r="28" spans="1:17" s="159" customFormat="1" ht="51" x14ac:dyDescent="0.25">
      <c r="A28" s="153"/>
      <c r="B28" s="203"/>
      <c r="C28" s="152" t="s">
        <v>768</v>
      </c>
      <c r="D28" s="153"/>
      <c r="E28" s="154"/>
      <c r="F28" s="153"/>
      <c r="G28" s="153"/>
      <c r="H28" s="156"/>
      <c r="I28" s="153"/>
      <c r="J28" s="156"/>
      <c r="K28" s="204"/>
      <c r="L28" s="205">
        <v>300000</v>
      </c>
      <c r="M28" s="156"/>
      <c r="N28" s="156"/>
      <c r="O28" s="139">
        <f t="shared" si="0"/>
        <v>300000</v>
      </c>
      <c r="P28" s="156"/>
      <c r="Q28" s="139">
        <f t="shared" si="1"/>
        <v>-300000</v>
      </c>
    </row>
    <row r="29" spans="1:17" s="159" customFormat="1" ht="25.5" x14ac:dyDescent="0.25">
      <c r="A29" s="153"/>
      <c r="B29" s="203"/>
      <c r="C29" s="152" t="s">
        <v>769</v>
      </c>
      <c r="D29" s="153"/>
      <c r="E29" s="154"/>
      <c r="F29" s="153"/>
      <c r="G29" s="153"/>
      <c r="H29" s="156"/>
      <c r="I29" s="153"/>
      <c r="J29" s="156"/>
      <c r="K29" s="204"/>
      <c r="L29" s="205">
        <v>1400000</v>
      </c>
      <c r="M29" s="156"/>
      <c r="N29" s="156"/>
      <c r="O29" s="139">
        <f t="shared" si="0"/>
        <v>1400000</v>
      </c>
      <c r="P29" s="156"/>
      <c r="Q29" s="139">
        <f t="shared" si="1"/>
        <v>-1400000</v>
      </c>
    </row>
    <row r="30" spans="1:17" s="159" customFormat="1" ht="38.25" x14ac:dyDescent="0.25">
      <c r="A30" s="153"/>
      <c r="B30" s="203"/>
      <c r="C30" s="152" t="s">
        <v>770</v>
      </c>
      <c r="D30" s="153"/>
      <c r="E30" s="154"/>
      <c r="F30" s="153"/>
      <c r="G30" s="153"/>
      <c r="H30" s="156"/>
      <c r="I30" s="153"/>
      <c r="J30" s="156"/>
      <c r="K30" s="204"/>
      <c r="L30" s="205">
        <v>1056000</v>
      </c>
      <c r="M30" s="156"/>
      <c r="N30" s="156"/>
      <c r="O30" s="139">
        <f t="shared" si="0"/>
        <v>1056000</v>
      </c>
      <c r="P30" s="156"/>
      <c r="Q30" s="139">
        <f t="shared" si="1"/>
        <v>-1056000</v>
      </c>
    </row>
    <row r="31" spans="1:17" s="159" customFormat="1" ht="38.25" x14ac:dyDescent="0.25">
      <c r="A31" s="153"/>
      <c r="B31" s="203"/>
      <c r="C31" s="152" t="s">
        <v>771</v>
      </c>
      <c r="D31" s="153"/>
      <c r="E31" s="154"/>
      <c r="F31" s="153"/>
      <c r="G31" s="153"/>
      <c r="H31" s="156"/>
      <c r="I31" s="153"/>
      <c r="J31" s="156"/>
      <c r="K31" s="204"/>
      <c r="L31" s="205">
        <v>660000</v>
      </c>
      <c r="M31" s="156"/>
      <c r="N31" s="156"/>
      <c r="O31" s="139">
        <f t="shared" si="0"/>
        <v>660000</v>
      </c>
      <c r="P31" s="156"/>
      <c r="Q31" s="139">
        <f t="shared" si="1"/>
        <v>-660000</v>
      </c>
    </row>
    <row r="32" spans="1:17" s="159" customFormat="1" ht="25.5" x14ac:dyDescent="0.25">
      <c r="A32" s="153"/>
      <c r="B32" s="203"/>
      <c r="C32" s="152" t="s">
        <v>772</v>
      </c>
      <c r="D32" s="153"/>
      <c r="E32" s="154"/>
      <c r="F32" s="153"/>
      <c r="G32" s="153"/>
      <c r="H32" s="156"/>
      <c r="I32" s="153"/>
      <c r="J32" s="156"/>
      <c r="K32" s="204"/>
      <c r="L32" s="205">
        <v>300000</v>
      </c>
      <c r="M32" s="156"/>
      <c r="N32" s="156"/>
      <c r="O32" s="139">
        <f t="shared" si="0"/>
        <v>300000</v>
      </c>
      <c r="P32" s="156"/>
      <c r="Q32" s="139">
        <f t="shared" si="1"/>
        <v>-300000</v>
      </c>
    </row>
    <row r="33" spans="1:19" s="159" customFormat="1" ht="38.25" x14ac:dyDescent="0.25">
      <c r="A33" s="153"/>
      <c r="B33" s="203"/>
      <c r="C33" s="152" t="s">
        <v>773</v>
      </c>
      <c r="D33" s="153"/>
      <c r="E33" s="154"/>
      <c r="F33" s="153"/>
      <c r="G33" s="153"/>
      <c r="H33" s="156"/>
      <c r="I33" s="153"/>
      <c r="J33" s="156"/>
      <c r="K33" s="204"/>
      <c r="L33" s="205">
        <v>9000000</v>
      </c>
      <c r="M33" s="156"/>
      <c r="N33" s="156"/>
      <c r="O33" s="139">
        <f t="shared" si="0"/>
        <v>9000000</v>
      </c>
      <c r="P33" s="156"/>
      <c r="Q33" s="139">
        <f t="shared" si="1"/>
        <v>-9000000</v>
      </c>
    </row>
    <row r="34" spans="1:19" s="159" customFormat="1" x14ac:dyDescent="0.25">
      <c r="A34" s="153"/>
      <c r="B34" s="203"/>
      <c r="C34" s="152" t="s">
        <v>774</v>
      </c>
      <c r="D34" s="153"/>
      <c r="E34" s="154"/>
      <c r="F34" s="153"/>
      <c r="G34" s="153"/>
      <c r="H34" s="156"/>
      <c r="I34" s="153"/>
      <c r="J34" s="156"/>
      <c r="K34" s="204"/>
      <c r="L34" s="205">
        <v>700000</v>
      </c>
      <c r="M34" s="156"/>
      <c r="N34" s="156"/>
      <c r="O34" s="139">
        <f t="shared" si="0"/>
        <v>700000</v>
      </c>
      <c r="P34" s="156"/>
      <c r="Q34" s="139">
        <f t="shared" si="1"/>
        <v>-700000</v>
      </c>
    </row>
    <row r="35" spans="1:19" s="159" customFormat="1" x14ac:dyDescent="0.25">
      <c r="A35" s="153"/>
      <c r="B35" s="203"/>
      <c r="C35" s="152" t="s">
        <v>766</v>
      </c>
      <c r="D35" s="153"/>
      <c r="E35" s="154"/>
      <c r="F35" s="153"/>
      <c r="G35" s="153"/>
      <c r="H35" s="156"/>
      <c r="I35" s="153"/>
      <c r="J35" s="156"/>
      <c r="K35" s="204"/>
      <c r="L35" s="205">
        <v>1320000</v>
      </c>
      <c r="M35" s="156"/>
      <c r="N35" s="156"/>
      <c r="O35" s="139">
        <f t="shared" si="0"/>
        <v>1320000</v>
      </c>
      <c r="P35" s="156"/>
      <c r="Q35" s="139">
        <f t="shared" si="1"/>
        <v>-1320000</v>
      </c>
      <c r="R35" s="186"/>
      <c r="S35" s="188"/>
    </row>
    <row r="36" spans="1:19" x14ac:dyDescent="0.25">
      <c r="A36" s="426" t="s">
        <v>20</v>
      </c>
      <c r="B36" s="426"/>
      <c r="C36" s="426"/>
      <c r="D36" s="426"/>
      <c r="E36" s="426"/>
      <c r="F36" s="426"/>
      <c r="G36" s="161">
        <f>SUM(G7:G35)</f>
        <v>1815</v>
      </c>
      <c r="H36" s="161">
        <f>SUM(H7:H35)</f>
        <v>22963100</v>
      </c>
      <c r="I36" s="161">
        <f t="shared" ref="I36:Q36" si="2">SUM(I7:I35)</f>
        <v>0</v>
      </c>
      <c r="J36" s="161">
        <f t="shared" si="2"/>
        <v>20860000</v>
      </c>
      <c r="K36" s="161">
        <f t="shared" si="2"/>
        <v>4846154</v>
      </c>
      <c r="L36" s="161">
        <f t="shared" si="2"/>
        <v>15036000</v>
      </c>
      <c r="M36" s="161">
        <f t="shared" si="2"/>
        <v>0</v>
      </c>
      <c r="N36" s="161">
        <f t="shared" si="2"/>
        <v>2155980.8612440191</v>
      </c>
      <c r="O36" s="161">
        <f t="shared" si="2"/>
        <v>65861234.861244023</v>
      </c>
      <c r="P36" s="161">
        <f t="shared" si="2"/>
        <v>69409092</v>
      </c>
      <c r="Q36" s="161">
        <f t="shared" si="2"/>
        <v>3547857.1387559809</v>
      </c>
      <c r="R36" s="187"/>
      <c r="S36" s="189"/>
    </row>
    <row r="37" spans="1:19" x14ac:dyDescent="0.25">
      <c r="O37" s="158"/>
      <c r="Q37" s="158">
        <f>P36-O36</f>
        <v>3547857.1387559772</v>
      </c>
    </row>
    <row r="38" spans="1:19" x14ac:dyDescent="0.25">
      <c r="P38" s="143" t="s">
        <v>235</v>
      </c>
      <c r="Q38" s="216">
        <f>Q36+'10.2016'!Q37</f>
        <v>279038094.13875598</v>
      </c>
    </row>
    <row r="39" spans="1:19" x14ac:dyDescent="0.25">
      <c r="B39" s="129"/>
      <c r="H39" s="128"/>
      <c r="J39" s="128"/>
      <c r="K39" s="128"/>
      <c r="L39" s="128"/>
      <c r="M39" s="128"/>
      <c r="N39" s="128"/>
      <c r="O39" s="128"/>
      <c r="P39" s="128"/>
      <c r="Q39" s="128"/>
    </row>
    <row r="40" spans="1:19" x14ac:dyDescent="0.25">
      <c r="B40" s="129"/>
      <c r="H40" s="128"/>
      <c r="J40" s="128"/>
      <c r="K40" s="128"/>
      <c r="L40" s="128"/>
      <c r="M40" s="128"/>
      <c r="N40" s="128"/>
      <c r="O40" s="128"/>
      <c r="P40" s="128"/>
      <c r="Q40" s="128"/>
    </row>
    <row r="41" spans="1:19" x14ac:dyDescent="0.25">
      <c r="B41" s="129"/>
      <c r="H41" s="128"/>
      <c r="J41" s="128"/>
      <c r="K41" s="128"/>
      <c r="L41" s="128"/>
      <c r="M41" s="128"/>
      <c r="N41" s="128"/>
      <c r="O41" s="128"/>
      <c r="P41" s="128"/>
      <c r="Q41" s="128"/>
    </row>
    <row r="42" spans="1:19" x14ac:dyDescent="0.25">
      <c r="B42" s="129"/>
      <c r="H42" s="128"/>
      <c r="J42" s="128"/>
      <c r="K42" s="128"/>
      <c r="L42" s="128"/>
      <c r="M42" s="128"/>
      <c r="N42" s="128"/>
      <c r="O42" s="128"/>
      <c r="P42" s="128"/>
      <c r="Q42" s="128"/>
    </row>
    <row r="43" spans="1:19" x14ac:dyDescent="0.25">
      <c r="B43" s="129"/>
      <c r="H43" s="128"/>
      <c r="J43" s="128"/>
      <c r="K43" s="128"/>
      <c r="L43" s="128"/>
      <c r="M43" s="128"/>
      <c r="N43" s="128"/>
      <c r="O43" s="128"/>
      <c r="P43" s="128"/>
      <c r="Q43" s="128"/>
    </row>
    <row r="44" spans="1:19" x14ac:dyDescent="0.25">
      <c r="B44" s="129"/>
      <c r="H44" s="128"/>
      <c r="J44" s="128"/>
      <c r="K44" s="128"/>
      <c r="L44" s="128"/>
      <c r="M44" s="128"/>
      <c r="N44" s="128"/>
      <c r="O44" s="128"/>
      <c r="P44" s="128"/>
      <c r="Q44" s="128"/>
    </row>
    <row r="45" spans="1:19" x14ac:dyDescent="0.25">
      <c r="B45" s="129"/>
      <c r="H45" s="128"/>
      <c r="J45" s="128"/>
      <c r="K45" s="128"/>
      <c r="L45" s="128"/>
      <c r="M45" s="128"/>
      <c r="N45" s="128"/>
      <c r="O45" s="128"/>
      <c r="P45" s="128"/>
      <c r="Q45" s="128"/>
    </row>
  </sheetData>
  <mergeCells count="14">
    <mergeCell ref="O5:O6"/>
    <mergeCell ref="P5:P6"/>
    <mergeCell ref="Q5:Q6"/>
    <mergeCell ref="A36:F36"/>
    <mergeCell ref="A1:Q1"/>
    <mergeCell ref="A2:Q2"/>
    <mergeCell ref="B3:Q3"/>
    <mergeCell ref="A5:A6"/>
    <mergeCell ref="B5:B6"/>
    <mergeCell ref="C5:C6"/>
    <mergeCell ref="D5:D6"/>
    <mergeCell ref="E5:E6"/>
    <mergeCell ref="F5:F6"/>
    <mergeCell ref="G5:N5"/>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0"/>
  <sheetViews>
    <sheetView topLeftCell="D25" workbookViewId="0">
      <selection activeCell="Q43" sqref="Q43"/>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1.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9.5703125" style="143" customWidth="1"/>
    <col min="12" max="12" width="10.85546875" style="143" customWidth="1"/>
    <col min="13" max="13" width="8.57031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841</v>
      </c>
      <c r="C3" s="417"/>
      <c r="D3" s="417"/>
      <c r="E3" s="417"/>
      <c r="F3" s="417"/>
      <c r="G3" s="417"/>
      <c r="H3" s="417"/>
      <c r="I3" s="417"/>
      <c r="J3" s="417"/>
      <c r="K3" s="417"/>
      <c r="L3" s="417"/>
      <c r="M3" s="417"/>
      <c r="N3" s="417"/>
      <c r="O3" s="417"/>
      <c r="P3" s="417"/>
      <c r="Q3" s="417"/>
    </row>
    <row r="5" spans="1:17"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x14ac:dyDescent="0.25">
      <c r="A7" s="210"/>
      <c r="B7" s="135"/>
      <c r="C7" s="199"/>
      <c r="D7" s="137"/>
      <c r="E7" s="137"/>
      <c r="F7" s="200"/>
      <c r="G7" s="142"/>
      <c r="H7" s="201"/>
      <c r="I7" s="201"/>
      <c r="J7" s="202"/>
      <c r="K7" s="202"/>
      <c r="L7" s="202"/>
      <c r="M7" s="202"/>
      <c r="N7" s="202"/>
      <c r="O7" s="142"/>
      <c r="P7" s="142"/>
      <c r="Q7" s="142"/>
    </row>
    <row r="8" spans="1:17" s="144" customFormat="1" x14ac:dyDescent="0.25">
      <c r="A8" s="211">
        <v>1</v>
      </c>
      <c r="B8" s="191">
        <v>42704</v>
      </c>
      <c r="C8" s="138" t="s">
        <v>777</v>
      </c>
      <c r="D8" s="138" t="s">
        <v>804</v>
      </c>
      <c r="E8" s="146" t="s">
        <v>723</v>
      </c>
      <c r="F8" s="138"/>
      <c r="G8" s="138"/>
      <c r="H8" s="139"/>
      <c r="I8" s="138"/>
      <c r="J8" s="141">
        <f>800000+70000</f>
        <v>870000</v>
      </c>
      <c r="K8" s="141"/>
      <c r="L8" s="150"/>
      <c r="M8" s="141"/>
      <c r="N8" s="141"/>
      <c r="O8" s="139">
        <f>H8+J8+K8+L8+M8+N8</f>
        <v>870000</v>
      </c>
      <c r="P8" s="139">
        <v>2545455</v>
      </c>
      <c r="Q8" s="139">
        <f>P8-O8</f>
        <v>1675455</v>
      </c>
    </row>
    <row r="9" spans="1:17" s="144" customFormat="1" x14ac:dyDescent="0.25">
      <c r="A9" s="211">
        <v>2</v>
      </c>
      <c r="B9" s="191">
        <v>42705</v>
      </c>
      <c r="C9" s="138" t="s">
        <v>778</v>
      </c>
      <c r="D9" s="138" t="s">
        <v>805</v>
      </c>
      <c r="E9" s="146" t="s">
        <v>723</v>
      </c>
      <c r="F9" s="138"/>
      <c r="G9" s="138"/>
      <c r="H9" s="139"/>
      <c r="I9" s="138"/>
      <c r="J9" s="209">
        <f>800000+140000</f>
        <v>940000</v>
      </c>
      <c r="K9" s="141"/>
      <c r="L9" s="150"/>
      <c r="M9" s="141"/>
      <c r="N9" s="141"/>
      <c r="O9" s="139">
        <f t="shared" ref="O9:O40" si="0">H9+J9+K9+L9+M9+N9</f>
        <v>940000</v>
      </c>
      <c r="P9" s="139">
        <v>2545455</v>
      </c>
      <c r="Q9" s="139">
        <f t="shared" ref="Q9:Q40" si="1">P9-O9</f>
        <v>1605455</v>
      </c>
    </row>
    <row r="10" spans="1:17" s="144" customFormat="1" x14ac:dyDescent="0.25">
      <c r="A10" s="211">
        <v>3</v>
      </c>
      <c r="B10" s="191">
        <v>42706</v>
      </c>
      <c r="C10" s="138" t="s">
        <v>779</v>
      </c>
      <c r="D10" s="138" t="s">
        <v>806</v>
      </c>
      <c r="E10" s="146" t="s">
        <v>827</v>
      </c>
      <c r="F10" s="138"/>
      <c r="G10" s="138"/>
      <c r="H10" s="139"/>
      <c r="I10" s="138"/>
      <c r="J10" s="141">
        <f>1600000-40000+70000</f>
        <v>1630000</v>
      </c>
      <c r="K10" s="141"/>
      <c r="L10" s="150"/>
      <c r="M10" s="141"/>
      <c r="N10" s="141"/>
      <c r="O10" s="139">
        <f t="shared" si="0"/>
        <v>1630000</v>
      </c>
      <c r="P10" s="139">
        <v>5300000</v>
      </c>
      <c r="Q10" s="139">
        <f t="shared" si="1"/>
        <v>3670000</v>
      </c>
    </row>
    <row r="11" spans="1:17" s="144" customFormat="1" x14ac:dyDescent="0.25">
      <c r="A11" s="211">
        <v>4</v>
      </c>
      <c r="B11" s="191">
        <v>42706</v>
      </c>
      <c r="C11" s="138" t="s">
        <v>779</v>
      </c>
      <c r="D11" s="138" t="s">
        <v>807</v>
      </c>
      <c r="E11" s="146" t="s">
        <v>24</v>
      </c>
      <c r="F11" s="138"/>
      <c r="G11" s="138"/>
      <c r="H11" s="139"/>
      <c r="I11" s="138"/>
      <c r="J11" s="141"/>
      <c r="K11" s="141"/>
      <c r="L11" s="150"/>
      <c r="M11" s="141"/>
      <c r="N11" s="141"/>
      <c r="O11" s="139">
        <f t="shared" si="0"/>
        <v>0</v>
      </c>
      <c r="P11" s="139">
        <v>0</v>
      </c>
      <c r="Q11" s="139">
        <f t="shared" si="1"/>
        <v>0</v>
      </c>
    </row>
    <row r="12" spans="1:17" s="144" customFormat="1" ht="12.75" customHeight="1" x14ac:dyDescent="0.25">
      <c r="A12" s="211">
        <v>5</v>
      </c>
      <c r="B12" s="191">
        <v>42708</v>
      </c>
      <c r="C12" s="138" t="s">
        <v>780</v>
      </c>
      <c r="D12" s="138" t="s">
        <v>808</v>
      </c>
      <c r="E12" s="146" t="s">
        <v>515</v>
      </c>
      <c r="F12" s="138"/>
      <c r="G12" s="138"/>
      <c r="H12" s="139"/>
      <c r="I12" s="138"/>
      <c r="J12" s="141">
        <f>1300000-20000+70000</f>
        <v>1350000</v>
      </c>
      <c r="K12" s="141"/>
      <c r="L12" s="150"/>
      <c r="M12" s="141"/>
      <c r="N12" s="141"/>
      <c r="O12" s="139">
        <f t="shared" si="0"/>
        <v>1350000</v>
      </c>
      <c r="P12" s="139">
        <v>4700000</v>
      </c>
      <c r="Q12" s="139">
        <f t="shared" si="1"/>
        <v>3350000</v>
      </c>
    </row>
    <row r="13" spans="1:17" s="144" customFormat="1" x14ac:dyDescent="0.25">
      <c r="A13" s="211">
        <v>6</v>
      </c>
      <c r="B13" s="191">
        <v>42709</v>
      </c>
      <c r="C13" s="138" t="s">
        <v>781</v>
      </c>
      <c r="D13" s="138" t="s">
        <v>809</v>
      </c>
      <c r="E13" s="146" t="s">
        <v>259</v>
      </c>
      <c r="F13" s="138"/>
      <c r="G13" s="138"/>
      <c r="H13" s="139"/>
      <c r="I13" s="138"/>
      <c r="J13" s="141">
        <f>1250000+70000</f>
        <v>1320000</v>
      </c>
      <c r="K13" s="141"/>
      <c r="L13" s="150"/>
      <c r="M13" s="141"/>
      <c r="N13" s="141"/>
      <c r="O13" s="139">
        <f t="shared" si="0"/>
        <v>1320000</v>
      </c>
      <c r="P13" s="139">
        <v>4090909</v>
      </c>
      <c r="Q13" s="139">
        <f t="shared" si="1"/>
        <v>2770909</v>
      </c>
    </row>
    <row r="14" spans="1:17" s="144" customFormat="1" x14ac:dyDescent="0.25">
      <c r="A14" s="211">
        <v>7</v>
      </c>
      <c r="B14" s="191">
        <v>42710</v>
      </c>
      <c r="C14" s="138" t="s">
        <v>782</v>
      </c>
      <c r="D14" s="138" t="s">
        <v>810</v>
      </c>
      <c r="E14" s="146" t="s">
        <v>828</v>
      </c>
      <c r="F14" s="138"/>
      <c r="G14" s="138">
        <v>580</v>
      </c>
      <c r="H14" s="139">
        <v>7348600</v>
      </c>
      <c r="I14" s="138"/>
      <c r="J14" s="141">
        <f>800000+70000</f>
        <v>870000</v>
      </c>
      <c r="K14" s="141"/>
      <c r="L14" s="150"/>
      <c r="M14" s="141"/>
      <c r="N14" s="141"/>
      <c r="O14" s="139">
        <f t="shared" si="0"/>
        <v>8218600</v>
      </c>
      <c r="P14" s="139">
        <v>3400000</v>
      </c>
      <c r="Q14" s="139">
        <f t="shared" si="1"/>
        <v>-4818600</v>
      </c>
    </row>
    <row r="15" spans="1:17" s="144" customFormat="1" x14ac:dyDescent="0.25">
      <c r="A15" s="211">
        <v>8</v>
      </c>
      <c r="B15" s="191">
        <v>42711</v>
      </c>
      <c r="C15" s="138" t="s">
        <v>783</v>
      </c>
      <c r="D15" s="138" t="s">
        <v>811</v>
      </c>
      <c r="E15" s="146" t="s">
        <v>509</v>
      </c>
      <c r="F15" s="138"/>
      <c r="G15" s="138"/>
      <c r="H15" s="139"/>
      <c r="I15" s="138"/>
      <c r="J15" s="141">
        <f>1150000+400000+140000</f>
        <v>1690000</v>
      </c>
      <c r="K15" s="141"/>
      <c r="L15" s="150"/>
      <c r="M15" s="141"/>
      <c r="N15" s="141"/>
      <c r="O15" s="139">
        <f t="shared" si="0"/>
        <v>1690000</v>
      </c>
      <c r="P15" s="139">
        <v>3181818</v>
      </c>
      <c r="Q15" s="139">
        <f t="shared" si="1"/>
        <v>1491818</v>
      </c>
    </row>
    <row r="16" spans="1:17" s="144" customFormat="1" x14ac:dyDescent="0.25">
      <c r="A16" s="211">
        <v>9</v>
      </c>
      <c r="B16" s="191">
        <v>42712</v>
      </c>
      <c r="C16" s="138" t="s">
        <v>784</v>
      </c>
      <c r="D16" s="138" t="s">
        <v>811</v>
      </c>
      <c r="E16" s="146" t="s">
        <v>764</v>
      </c>
      <c r="F16" s="138"/>
      <c r="G16" s="138"/>
      <c r="H16" s="139"/>
      <c r="I16" s="138"/>
      <c r="J16" s="141"/>
      <c r="K16" s="141"/>
      <c r="L16" s="150"/>
      <c r="M16" s="141"/>
      <c r="N16" s="141"/>
      <c r="O16" s="139">
        <f t="shared" si="0"/>
        <v>0</v>
      </c>
      <c r="P16" s="139">
        <v>3272727</v>
      </c>
      <c r="Q16" s="139">
        <f t="shared" si="1"/>
        <v>3272727</v>
      </c>
    </row>
    <row r="17" spans="1:17" s="144" customFormat="1" x14ac:dyDescent="0.25">
      <c r="A17" s="211">
        <v>10</v>
      </c>
      <c r="B17" s="191">
        <v>42713</v>
      </c>
      <c r="C17" s="138" t="s">
        <v>785</v>
      </c>
      <c r="D17" s="138" t="s">
        <v>812</v>
      </c>
      <c r="E17" s="146" t="s">
        <v>21</v>
      </c>
      <c r="F17" s="138"/>
      <c r="G17" s="138"/>
      <c r="H17" s="139"/>
      <c r="I17" s="138"/>
      <c r="J17" s="141">
        <f>800000+140000</f>
        <v>940000</v>
      </c>
      <c r="K17" s="141"/>
      <c r="L17" s="150"/>
      <c r="M17" s="141"/>
      <c r="N17" s="141"/>
      <c r="O17" s="139">
        <f t="shared" si="0"/>
        <v>940000</v>
      </c>
      <c r="P17" s="139">
        <v>3000000</v>
      </c>
      <c r="Q17" s="139">
        <f t="shared" si="1"/>
        <v>2060000</v>
      </c>
    </row>
    <row r="18" spans="1:17" s="144" customFormat="1" x14ac:dyDescent="0.25">
      <c r="A18" s="211">
        <v>11</v>
      </c>
      <c r="B18" s="191">
        <v>42714</v>
      </c>
      <c r="C18" s="138" t="s">
        <v>786</v>
      </c>
      <c r="D18" s="138" t="s">
        <v>813</v>
      </c>
      <c r="E18" s="146" t="s">
        <v>508</v>
      </c>
      <c r="F18" s="138"/>
      <c r="G18" s="138">
        <v>280</v>
      </c>
      <c r="H18" s="139">
        <v>3547600</v>
      </c>
      <c r="I18" s="138"/>
      <c r="J18" s="141">
        <f>1150000+400000+70000</f>
        <v>1620000</v>
      </c>
      <c r="K18" s="141"/>
      <c r="L18" s="150"/>
      <c r="M18" s="141"/>
      <c r="N18" s="141"/>
      <c r="O18" s="139">
        <f t="shared" si="0"/>
        <v>5167600</v>
      </c>
      <c r="P18" s="139">
        <v>3181818</v>
      </c>
      <c r="Q18" s="139">
        <f t="shared" si="1"/>
        <v>-1985782</v>
      </c>
    </row>
    <row r="19" spans="1:17" s="144" customFormat="1" x14ac:dyDescent="0.25">
      <c r="A19" s="211">
        <v>12</v>
      </c>
      <c r="B19" s="191">
        <v>42716</v>
      </c>
      <c r="C19" s="138" t="s">
        <v>787</v>
      </c>
      <c r="D19" s="138" t="s">
        <v>813</v>
      </c>
      <c r="E19" s="146" t="s">
        <v>829</v>
      </c>
      <c r="F19" s="138"/>
      <c r="G19" s="138"/>
      <c r="H19" s="139"/>
      <c r="I19" s="138"/>
      <c r="J19" s="141"/>
      <c r="K19" s="141"/>
      <c r="L19" s="150"/>
      <c r="M19" s="141"/>
      <c r="N19" s="141"/>
      <c r="O19" s="139">
        <f t="shared" si="0"/>
        <v>0</v>
      </c>
      <c r="P19" s="139">
        <v>2545455</v>
      </c>
      <c r="Q19" s="139">
        <f t="shared" si="1"/>
        <v>2545455</v>
      </c>
    </row>
    <row r="20" spans="1:17" s="144" customFormat="1" x14ac:dyDescent="0.25">
      <c r="A20" s="211">
        <v>13</v>
      </c>
      <c r="B20" s="191">
        <v>42716</v>
      </c>
      <c r="C20" s="138" t="s">
        <v>788</v>
      </c>
      <c r="D20" s="138" t="s">
        <v>814</v>
      </c>
      <c r="E20" s="146" t="s">
        <v>723</v>
      </c>
      <c r="F20" s="138"/>
      <c r="G20" s="138"/>
      <c r="H20" s="139"/>
      <c r="I20" s="138"/>
      <c r="J20" s="141">
        <f>800000+70000</f>
        <v>870000</v>
      </c>
      <c r="K20" s="141"/>
      <c r="L20" s="150"/>
      <c r="M20" s="141"/>
      <c r="N20" s="141"/>
      <c r="O20" s="139">
        <f t="shared" si="0"/>
        <v>870000</v>
      </c>
      <c r="P20" s="139">
        <v>2545455</v>
      </c>
      <c r="Q20" s="139">
        <f t="shared" si="1"/>
        <v>1675455</v>
      </c>
    </row>
    <row r="21" spans="1:17" s="144" customFormat="1" x14ac:dyDescent="0.25">
      <c r="A21" s="211">
        <v>14</v>
      </c>
      <c r="B21" s="191">
        <v>42717</v>
      </c>
      <c r="C21" s="138" t="s">
        <v>789</v>
      </c>
      <c r="D21" s="138" t="s">
        <v>815</v>
      </c>
      <c r="E21" s="146" t="s">
        <v>406</v>
      </c>
      <c r="F21" s="138"/>
      <c r="G21" s="138"/>
      <c r="H21" s="139"/>
      <c r="I21" s="138"/>
      <c r="J21" s="141">
        <f>950000+140000</f>
        <v>1090000</v>
      </c>
      <c r="K21" s="141"/>
      <c r="L21" s="150"/>
      <c r="M21" s="141"/>
      <c r="N21" s="141"/>
      <c r="O21" s="139">
        <f t="shared" si="0"/>
        <v>1090000</v>
      </c>
      <c r="P21" s="139">
        <v>3381818</v>
      </c>
      <c r="Q21" s="139">
        <f t="shared" si="1"/>
        <v>2291818</v>
      </c>
    </row>
    <row r="22" spans="1:17" s="144" customFormat="1" x14ac:dyDescent="0.25">
      <c r="A22" s="211">
        <v>15</v>
      </c>
      <c r="B22" s="191">
        <v>42718</v>
      </c>
      <c r="C22" s="138" t="s">
        <v>790</v>
      </c>
      <c r="D22" s="138" t="s">
        <v>816</v>
      </c>
      <c r="E22" s="146" t="s">
        <v>25</v>
      </c>
      <c r="F22" s="138"/>
      <c r="G22" s="138">
        <v>290</v>
      </c>
      <c r="H22" s="139">
        <v>3674300</v>
      </c>
      <c r="I22" s="138"/>
      <c r="J22" s="141">
        <f>1910000+70000</f>
        <v>1980000</v>
      </c>
      <c r="K22" s="141"/>
      <c r="L22" s="150"/>
      <c r="M22" s="141"/>
      <c r="N22" s="141"/>
      <c r="O22" s="139">
        <f t="shared" si="0"/>
        <v>5654300</v>
      </c>
      <c r="P22" s="139">
        <v>8181818</v>
      </c>
      <c r="Q22" s="139">
        <f t="shared" si="1"/>
        <v>2527518</v>
      </c>
    </row>
    <row r="23" spans="1:17" s="144" customFormat="1" x14ac:dyDescent="0.25">
      <c r="A23" s="211">
        <v>16</v>
      </c>
      <c r="B23" s="191">
        <v>42719</v>
      </c>
      <c r="C23" s="138" t="s">
        <v>791</v>
      </c>
      <c r="D23" s="138" t="s">
        <v>817</v>
      </c>
      <c r="E23" s="146" t="s">
        <v>723</v>
      </c>
      <c r="F23" s="138"/>
      <c r="G23" s="138"/>
      <c r="H23" s="139"/>
      <c r="I23" s="138"/>
      <c r="J23" s="141">
        <f>800000+140000+600000</f>
        <v>1540000</v>
      </c>
      <c r="K23" s="141"/>
      <c r="L23" s="150"/>
      <c r="M23" s="141"/>
      <c r="N23" s="141"/>
      <c r="O23" s="139">
        <f t="shared" si="0"/>
        <v>1540000</v>
      </c>
      <c r="P23" s="139">
        <v>2545455</v>
      </c>
      <c r="Q23" s="139">
        <f t="shared" si="1"/>
        <v>1005455</v>
      </c>
    </row>
    <row r="24" spans="1:17" s="144" customFormat="1" x14ac:dyDescent="0.25">
      <c r="A24" s="211">
        <v>17</v>
      </c>
      <c r="B24" s="191">
        <v>42720</v>
      </c>
      <c r="C24" s="138" t="s">
        <v>792</v>
      </c>
      <c r="D24" s="138" t="s">
        <v>817</v>
      </c>
      <c r="E24" s="146" t="s">
        <v>764</v>
      </c>
      <c r="F24" s="138"/>
      <c r="G24" s="138"/>
      <c r="H24" s="139"/>
      <c r="I24" s="138"/>
      <c r="J24" s="141"/>
      <c r="K24" s="141"/>
      <c r="L24" s="150"/>
      <c r="M24" s="141"/>
      <c r="N24" s="141"/>
      <c r="O24" s="139">
        <f t="shared" si="0"/>
        <v>0</v>
      </c>
      <c r="P24" s="139">
        <v>2545455</v>
      </c>
      <c r="Q24" s="139">
        <f t="shared" si="1"/>
        <v>2545455</v>
      </c>
    </row>
    <row r="25" spans="1:17" s="144" customFormat="1" x14ac:dyDescent="0.25">
      <c r="A25" s="211">
        <v>18</v>
      </c>
      <c r="B25" s="191">
        <v>42720</v>
      </c>
      <c r="C25" s="138" t="s">
        <v>793</v>
      </c>
      <c r="D25" s="138" t="s">
        <v>818</v>
      </c>
      <c r="E25" s="146" t="s">
        <v>508</v>
      </c>
      <c r="F25" s="138"/>
      <c r="G25" s="138"/>
      <c r="H25" s="139"/>
      <c r="I25" s="138"/>
      <c r="J25" s="141">
        <f>1150000+140000</f>
        <v>1290000</v>
      </c>
      <c r="K25" s="141"/>
      <c r="L25" s="150"/>
      <c r="M25" s="141"/>
      <c r="N25" s="141"/>
      <c r="O25" s="139">
        <f t="shared" si="0"/>
        <v>1290000</v>
      </c>
      <c r="P25" s="139">
        <v>3181818</v>
      </c>
      <c r="Q25" s="139">
        <f t="shared" si="1"/>
        <v>1891818</v>
      </c>
    </row>
    <row r="26" spans="1:17" s="144" customFormat="1" x14ac:dyDescent="0.25">
      <c r="A26" s="211">
        <v>19</v>
      </c>
      <c r="B26" s="191">
        <v>42722</v>
      </c>
      <c r="C26" s="138" t="s">
        <v>794</v>
      </c>
      <c r="D26" s="138" t="s">
        <v>819</v>
      </c>
      <c r="E26" s="146" t="s">
        <v>830</v>
      </c>
      <c r="F26" s="138"/>
      <c r="G26" s="138"/>
      <c r="H26" s="139"/>
      <c r="I26" s="138"/>
      <c r="J26" s="141">
        <f>1100000+140000</f>
        <v>1240000</v>
      </c>
      <c r="K26" s="141"/>
      <c r="L26" s="150"/>
      <c r="M26" s="141"/>
      <c r="N26" s="141"/>
      <c r="O26" s="139">
        <f t="shared" si="0"/>
        <v>1240000</v>
      </c>
      <c r="P26" s="139">
        <v>5400000</v>
      </c>
      <c r="Q26" s="139">
        <f t="shared" si="1"/>
        <v>4160000</v>
      </c>
    </row>
    <row r="27" spans="1:17" s="144" customFormat="1" x14ac:dyDescent="0.25">
      <c r="A27" s="211">
        <v>20</v>
      </c>
      <c r="B27" s="191">
        <v>42723</v>
      </c>
      <c r="C27" s="138" t="s">
        <v>795</v>
      </c>
      <c r="D27" s="138" t="s">
        <v>820</v>
      </c>
      <c r="E27" s="146" t="s">
        <v>831</v>
      </c>
      <c r="F27" s="138"/>
      <c r="G27" s="138"/>
      <c r="H27" s="139"/>
      <c r="I27" s="138"/>
      <c r="J27" s="141">
        <f>1560000+140000-110000</f>
        <v>1590000</v>
      </c>
      <c r="K27" s="141"/>
      <c r="L27" s="150"/>
      <c r="M27" s="141"/>
      <c r="N27" s="141"/>
      <c r="O27" s="139">
        <f t="shared" si="0"/>
        <v>1590000</v>
      </c>
      <c r="P27" s="139">
        <v>7000000</v>
      </c>
      <c r="Q27" s="139">
        <f t="shared" si="1"/>
        <v>5410000</v>
      </c>
    </row>
    <row r="28" spans="1:17" s="144" customFormat="1" x14ac:dyDescent="0.25">
      <c r="A28" s="211">
        <v>21</v>
      </c>
      <c r="B28" s="191">
        <v>42725</v>
      </c>
      <c r="C28" s="138" t="s">
        <v>796</v>
      </c>
      <c r="D28" s="138" t="s">
        <v>821</v>
      </c>
      <c r="E28" s="146" t="s">
        <v>25</v>
      </c>
      <c r="F28" s="138"/>
      <c r="G28" s="138">
        <v>700</v>
      </c>
      <c r="H28" s="139">
        <v>9401000</v>
      </c>
      <c r="I28" s="138"/>
      <c r="J28" s="141">
        <f>1910000+140000</f>
        <v>2050000</v>
      </c>
      <c r="K28" s="141"/>
      <c r="L28" s="150"/>
      <c r="M28" s="141"/>
      <c r="N28" s="141"/>
      <c r="O28" s="139">
        <f t="shared" si="0"/>
        <v>11451000</v>
      </c>
      <c r="P28" s="139">
        <v>8181818</v>
      </c>
      <c r="Q28" s="139">
        <f t="shared" si="1"/>
        <v>-3269182</v>
      </c>
    </row>
    <row r="29" spans="1:17" s="144" customFormat="1" ht="12.75" customHeight="1" x14ac:dyDescent="0.25">
      <c r="A29" s="211">
        <v>22</v>
      </c>
      <c r="B29" s="191">
        <v>42726</v>
      </c>
      <c r="C29" s="138" t="s">
        <v>797</v>
      </c>
      <c r="D29" s="138" t="s">
        <v>822</v>
      </c>
      <c r="E29" s="146" t="s">
        <v>832</v>
      </c>
      <c r="F29" s="138"/>
      <c r="G29" s="138"/>
      <c r="H29" s="139"/>
      <c r="I29" s="138"/>
      <c r="J29" s="141">
        <f>1600000+90000+140000</f>
        <v>1830000</v>
      </c>
      <c r="K29" s="141"/>
      <c r="L29" s="150"/>
      <c r="M29" s="141"/>
      <c r="N29" s="141"/>
      <c r="O29" s="139">
        <f t="shared" si="0"/>
        <v>1830000</v>
      </c>
      <c r="P29" s="139">
        <v>5700000</v>
      </c>
      <c r="Q29" s="139">
        <f t="shared" si="1"/>
        <v>3870000</v>
      </c>
    </row>
    <row r="30" spans="1:17" s="144" customFormat="1" x14ac:dyDescent="0.25">
      <c r="A30" s="211">
        <v>23</v>
      </c>
      <c r="B30" s="191">
        <v>42729</v>
      </c>
      <c r="C30" s="138" t="s">
        <v>798</v>
      </c>
      <c r="D30" s="138" t="s">
        <v>823</v>
      </c>
      <c r="E30" s="146" t="s">
        <v>833</v>
      </c>
      <c r="F30" s="138"/>
      <c r="G30" s="138">
        <v>330</v>
      </c>
      <c r="H30" s="139">
        <v>4431900</v>
      </c>
      <c r="I30" s="138"/>
      <c r="J30" s="141">
        <f>1600000-200000</f>
        <v>1400000</v>
      </c>
      <c r="K30" s="141"/>
      <c r="L30" s="150"/>
      <c r="M30" s="141"/>
      <c r="N30" s="141"/>
      <c r="O30" s="139">
        <f t="shared" si="0"/>
        <v>5831900</v>
      </c>
      <c r="P30" s="139">
        <v>5700000</v>
      </c>
      <c r="Q30" s="139">
        <f t="shared" si="1"/>
        <v>-131900</v>
      </c>
    </row>
    <row r="31" spans="1:17" s="144" customFormat="1" x14ac:dyDescent="0.25">
      <c r="A31" s="211">
        <v>24</v>
      </c>
      <c r="B31" s="191">
        <v>42731</v>
      </c>
      <c r="C31" s="138" t="s">
        <v>799</v>
      </c>
      <c r="D31" s="138" t="s">
        <v>824</v>
      </c>
      <c r="E31" s="146" t="s">
        <v>834</v>
      </c>
      <c r="F31" s="138"/>
      <c r="G31" s="138"/>
      <c r="H31" s="139"/>
      <c r="I31" s="138"/>
      <c r="J31" s="141">
        <f>1150000+400000+70000</f>
        <v>1620000</v>
      </c>
      <c r="K31" s="141"/>
      <c r="L31" s="150"/>
      <c r="M31" s="141"/>
      <c r="N31" s="141"/>
      <c r="O31" s="139">
        <f t="shared" si="0"/>
        <v>1620000</v>
      </c>
      <c r="P31" s="139">
        <v>3181818</v>
      </c>
      <c r="Q31" s="139">
        <f t="shared" si="1"/>
        <v>1561818</v>
      </c>
    </row>
    <row r="32" spans="1:17" s="144" customFormat="1" x14ac:dyDescent="0.25">
      <c r="A32" s="211">
        <v>25</v>
      </c>
      <c r="B32" s="191">
        <v>42731</v>
      </c>
      <c r="C32" s="138" t="s">
        <v>800</v>
      </c>
      <c r="D32" s="138" t="s">
        <v>824</v>
      </c>
      <c r="E32" s="146" t="s">
        <v>834</v>
      </c>
      <c r="F32" s="138"/>
      <c r="G32" s="138"/>
      <c r="H32" s="139"/>
      <c r="I32" s="138"/>
      <c r="J32" s="141"/>
      <c r="K32" s="141"/>
      <c r="L32" s="150"/>
      <c r="M32" s="141"/>
      <c r="N32" s="141"/>
      <c r="O32" s="139">
        <f t="shared" si="0"/>
        <v>0</v>
      </c>
      <c r="P32" s="139">
        <v>1590909</v>
      </c>
      <c r="Q32" s="139">
        <f t="shared" si="1"/>
        <v>1590909</v>
      </c>
    </row>
    <row r="33" spans="1:19" s="144" customFormat="1" x14ac:dyDescent="0.25">
      <c r="A33" s="211">
        <v>26</v>
      </c>
      <c r="B33" s="191">
        <v>42731</v>
      </c>
      <c r="C33" s="138" t="s">
        <v>801</v>
      </c>
      <c r="D33" s="138" t="s">
        <v>825</v>
      </c>
      <c r="E33" s="146" t="s">
        <v>835</v>
      </c>
      <c r="F33" s="138"/>
      <c r="G33" s="138"/>
      <c r="H33" s="139"/>
      <c r="I33" s="138"/>
      <c r="J33" s="141">
        <f>1600000+300000</f>
        <v>1900000</v>
      </c>
      <c r="K33" s="141"/>
      <c r="L33" s="150"/>
      <c r="M33" s="141"/>
      <c r="N33" s="141"/>
      <c r="O33" s="139">
        <f t="shared" si="0"/>
        <v>1900000</v>
      </c>
      <c r="P33" s="139">
        <v>5200000</v>
      </c>
      <c r="Q33" s="139">
        <f t="shared" si="1"/>
        <v>3300000</v>
      </c>
    </row>
    <row r="34" spans="1:19" s="144" customFormat="1" x14ac:dyDescent="0.25">
      <c r="A34" s="211">
        <v>27</v>
      </c>
      <c r="B34" s="191">
        <v>42732</v>
      </c>
      <c r="C34" s="138" t="s">
        <v>802</v>
      </c>
      <c r="D34" s="138" t="s">
        <v>826</v>
      </c>
      <c r="E34" s="146" t="s">
        <v>218</v>
      </c>
      <c r="F34" s="138"/>
      <c r="G34" s="138"/>
      <c r="H34" s="139"/>
      <c r="I34" s="138"/>
      <c r="J34" s="141">
        <f>790000+140000+100000</f>
        <v>1030000</v>
      </c>
      <c r="K34" s="141"/>
      <c r="L34" s="150"/>
      <c r="M34" s="141"/>
      <c r="N34" s="141"/>
      <c r="O34" s="139">
        <f t="shared" si="0"/>
        <v>1030000</v>
      </c>
      <c r="P34" s="139">
        <v>3545455</v>
      </c>
      <c r="Q34" s="139">
        <f t="shared" si="1"/>
        <v>2515455</v>
      </c>
    </row>
    <row r="35" spans="1:19" s="144" customFormat="1" x14ac:dyDescent="0.25">
      <c r="A35" s="211">
        <v>28</v>
      </c>
      <c r="B35" s="191">
        <v>42733</v>
      </c>
      <c r="C35" s="138" t="s">
        <v>803</v>
      </c>
      <c r="D35" s="192" t="s">
        <v>826</v>
      </c>
      <c r="E35" s="146" t="s">
        <v>21</v>
      </c>
      <c r="F35" s="138"/>
      <c r="G35" s="138"/>
      <c r="H35" s="139"/>
      <c r="I35" s="138"/>
      <c r="J35" s="141"/>
      <c r="K35" s="141"/>
      <c r="L35" s="150"/>
      <c r="M35" s="141"/>
      <c r="N35" s="141"/>
      <c r="O35" s="139">
        <f t="shared" si="0"/>
        <v>0</v>
      </c>
      <c r="P35" s="139">
        <v>1500000</v>
      </c>
      <c r="Q35" s="139">
        <f t="shared" si="1"/>
        <v>1500000</v>
      </c>
    </row>
    <row r="36" spans="1:19" s="159" customFormat="1" x14ac:dyDescent="0.25">
      <c r="A36" s="212"/>
      <c r="B36" s="165"/>
      <c r="C36" s="196" t="s">
        <v>836</v>
      </c>
      <c r="D36" s="195"/>
      <c r="E36" s="197"/>
      <c r="F36" s="195"/>
      <c r="G36" s="195"/>
      <c r="H36" s="155"/>
      <c r="I36" s="195"/>
      <c r="J36" s="155"/>
      <c r="K36" s="157">
        <f>8307692+500000</f>
        <v>8807692</v>
      </c>
      <c r="L36" s="157"/>
      <c r="M36" s="155"/>
      <c r="N36" s="155"/>
      <c r="O36" s="139">
        <f t="shared" si="0"/>
        <v>8807692</v>
      </c>
      <c r="P36" s="155"/>
      <c r="Q36" s="139">
        <f t="shared" si="1"/>
        <v>-8807692</v>
      </c>
    </row>
    <row r="37" spans="1:19" s="159" customFormat="1" x14ac:dyDescent="0.25">
      <c r="A37" s="212"/>
      <c r="B37" s="165"/>
      <c r="C37" s="196" t="s">
        <v>837</v>
      </c>
      <c r="D37" s="195"/>
      <c r="E37" s="197"/>
      <c r="F37" s="195"/>
      <c r="G37" s="195"/>
      <c r="H37" s="155"/>
      <c r="I37" s="195"/>
      <c r="J37" s="155"/>
      <c r="K37" s="157"/>
      <c r="L37" s="157">
        <v>300000</v>
      </c>
      <c r="M37" s="155"/>
      <c r="N37" s="155"/>
      <c r="O37" s="139">
        <f t="shared" si="0"/>
        <v>300000</v>
      </c>
      <c r="P37" s="155"/>
      <c r="Q37" s="139">
        <f t="shared" si="1"/>
        <v>-300000</v>
      </c>
    </row>
    <row r="38" spans="1:19" s="159" customFormat="1" x14ac:dyDescent="0.25">
      <c r="A38" s="212"/>
      <c r="B38" s="165"/>
      <c r="C38" s="196" t="s">
        <v>839</v>
      </c>
      <c r="D38" s="195"/>
      <c r="E38" s="197"/>
      <c r="F38" s="195"/>
      <c r="G38" s="195"/>
      <c r="H38" s="155"/>
      <c r="I38" s="195"/>
      <c r="J38" s="155"/>
      <c r="K38" s="157"/>
      <c r="L38" s="185">
        <v>20000</v>
      </c>
      <c r="M38" s="155"/>
      <c r="N38" s="155"/>
      <c r="O38" s="139">
        <f t="shared" si="0"/>
        <v>20000</v>
      </c>
      <c r="P38" s="155"/>
      <c r="Q38" s="139">
        <f t="shared" si="1"/>
        <v>-20000</v>
      </c>
    </row>
    <row r="39" spans="1:19" s="159" customFormat="1" ht="63.75" x14ac:dyDescent="0.25">
      <c r="A39" s="213"/>
      <c r="B39" s="203"/>
      <c r="C39" s="152" t="s">
        <v>840</v>
      </c>
      <c r="D39" s="153"/>
      <c r="E39" s="154"/>
      <c r="F39" s="153"/>
      <c r="G39" s="153"/>
      <c r="H39" s="156"/>
      <c r="I39" s="153"/>
      <c r="J39" s="156"/>
      <c r="K39" s="204"/>
      <c r="L39" s="205">
        <v>4760000</v>
      </c>
      <c r="M39" s="156"/>
      <c r="N39" s="156"/>
      <c r="O39" s="139">
        <f t="shared" si="0"/>
        <v>4760000</v>
      </c>
      <c r="P39" s="156"/>
      <c r="Q39" s="139">
        <f t="shared" si="1"/>
        <v>-4760000</v>
      </c>
    </row>
    <row r="40" spans="1:19" s="159" customFormat="1" x14ac:dyDescent="0.25">
      <c r="A40" s="213"/>
      <c r="B40" s="203"/>
      <c r="C40" s="152" t="s">
        <v>838</v>
      </c>
      <c r="D40" s="153"/>
      <c r="E40" s="154"/>
      <c r="F40" s="153"/>
      <c r="G40" s="153"/>
      <c r="H40" s="156"/>
      <c r="I40" s="153"/>
      <c r="J40" s="156"/>
      <c r="K40" s="204"/>
      <c r="L40" s="205">
        <v>1320000</v>
      </c>
      <c r="M40" s="156"/>
      <c r="N40" s="156"/>
      <c r="O40" s="139">
        <f t="shared" si="0"/>
        <v>1320000</v>
      </c>
      <c r="P40" s="156"/>
      <c r="Q40" s="139">
        <f t="shared" si="1"/>
        <v>-1320000</v>
      </c>
      <c r="R40" s="186"/>
      <c r="S40" s="188"/>
    </row>
    <row r="41" spans="1:19" x14ac:dyDescent="0.25">
      <c r="A41" s="426" t="s">
        <v>20</v>
      </c>
      <c r="B41" s="426"/>
      <c r="C41" s="426"/>
      <c r="D41" s="426"/>
      <c r="E41" s="426"/>
      <c r="F41" s="426"/>
      <c r="G41" s="161">
        <f t="shared" ref="G41:Q41" si="2">SUM(G7:G40)</f>
        <v>2180</v>
      </c>
      <c r="H41" s="161">
        <f t="shared" si="2"/>
        <v>28403400</v>
      </c>
      <c r="I41" s="161">
        <f t="shared" si="2"/>
        <v>0</v>
      </c>
      <c r="J41" s="161">
        <f t="shared" si="2"/>
        <v>30660000</v>
      </c>
      <c r="K41" s="161">
        <f t="shared" si="2"/>
        <v>8807692</v>
      </c>
      <c r="L41" s="161">
        <f t="shared" si="2"/>
        <v>6400000</v>
      </c>
      <c r="M41" s="161">
        <f t="shared" si="2"/>
        <v>0</v>
      </c>
      <c r="N41" s="161">
        <f t="shared" si="2"/>
        <v>0</v>
      </c>
      <c r="O41" s="161">
        <f t="shared" si="2"/>
        <v>74271092</v>
      </c>
      <c r="P41" s="161">
        <f t="shared" si="2"/>
        <v>107145456</v>
      </c>
      <c r="Q41" s="161">
        <f t="shared" si="2"/>
        <v>32874364</v>
      </c>
      <c r="R41" s="187"/>
      <c r="S41" s="189"/>
    </row>
    <row r="42" spans="1:19" x14ac:dyDescent="0.25">
      <c r="O42" s="158"/>
      <c r="Q42" s="158">
        <f>P41-O41</f>
        <v>32874364</v>
      </c>
    </row>
    <row r="43" spans="1:19" x14ac:dyDescent="0.25">
      <c r="P43" s="143" t="s">
        <v>235</v>
      </c>
      <c r="Q43" s="216">
        <f>Q41+'11.2016'!Q38</f>
        <v>311912458.13875598</v>
      </c>
    </row>
    <row r="44" spans="1:19" x14ac:dyDescent="0.25">
      <c r="B44" s="129"/>
      <c r="H44" s="128"/>
      <c r="J44" s="128"/>
      <c r="K44" s="128"/>
      <c r="L44" s="128"/>
      <c r="M44" s="128"/>
      <c r="N44" s="128"/>
      <c r="O44" s="128"/>
      <c r="P44" s="128"/>
      <c r="Q44" s="128"/>
    </row>
    <row r="45" spans="1:19" x14ac:dyDescent="0.25">
      <c r="B45" s="129"/>
      <c r="H45" s="128"/>
      <c r="J45" s="128"/>
      <c r="K45" s="128"/>
      <c r="L45" s="128"/>
      <c r="M45" s="128"/>
      <c r="N45" s="128"/>
      <c r="O45" s="128"/>
      <c r="P45" s="128"/>
      <c r="Q45" s="128"/>
    </row>
    <row r="46" spans="1:19" x14ac:dyDescent="0.25">
      <c r="B46" s="129"/>
      <c r="H46" s="128"/>
      <c r="J46" s="128"/>
      <c r="K46" s="128"/>
      <c r="L46" s="128"/>
      <c r="M46" s="128"/>
      <c r="N46" s="128"/>
      <c r="O46" s="128"/>
      <c r="P46" s="128"/>
      <c r="Q46" s="128"/>
    </row>
    <row r="47" spans="1:19" x14ac:dyDescent="0.25">
      <c r="B47" s="129"/>
      <c r="H47" s="128"/>
      <c r="J47" s="128"/>
      <c r="K47" s="128"/>
      <c r="L47" s="128"/>
      <c r="M47" s="128"/>
      <c r="N47" s="128"/>
      <c r="O47" s="128"/>
      <c r="P47" s="128"/>
      <c r="Q47" s="128"/>
    </row>
    <row r="48" spans="1:19" x14ac:dyDescent="0.25">
      <c r="B48" s="129"/>
      <c r="H48" s="128"/>
      <c r="J48" s="128"/>
      <c r="K48" s="128"/>
      <c r="L48" s="128"/>
      <c r="M48" s="128"/>
      <c r="N48" s="128"/>
      <c r="O48" s="128"/>
      <c r="P48" s="128"/>
      <c r="Q48" s="128"/>
    </row>
    <row r="49" spans="2:2" s="128" customFormat="1" x14ac:dyDescent="0.25">
      <c r="B49" s="129"/>
    </row>
    <row r="50" spans="2:2" s="128" customFormat="1" x14ac:dyDescent="0.25">
      <c r="B50" s="129"/>
    </row>
  </sheetData>
  <mergeCells count="14">
    <mergeCell ref="O5:O6"/>
    <mergeCell ref="P5:P6"/>
    <mergeCell ref="Q5:Q6"/>
    <mergeCell ref="A41:F41"/>
    <mergeCell ref="A1:Q1"/>
    <mergeCell ref="A2:Q2"/>
    <mergeCell ref="B3:Q3"/>
    <mergeCell ref="A5:A6"/>
    <mergeCell ref="B5:B6"/>
    <mergeCell ref="C5:C6"/>
    <mergeCell ref="D5:D6"/>
    <mergeCell ref="E5:E6"/>
    <mergeCell ref="F5:F6"/>
    <mergeCell ref="G5:N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48"/>
  <sheetViews>
    <sheetView topLeftCell="D1" zoomScaleNormal="100" workbookViewId="0">
      <selection activeCell="R5" sqref="A5:XFD41"/>
    </sheetView>
  </sheetViews>
  <sheetFormatPr defaultColWidth="9.140625" defaultRowHeight="12.75" x14ac:dyDescent="0.25"/>
  <cols>
    <col min="1" max="1" width="4.5703125" style="129" customWidth="1"/>
    <col min="2" max="2" width="10.28515625" style="163" customWidth="1"/>
    <col min="3" max="3" width="27" style="128" customWidth="1"/>
    <col min="4" max="4" width="14.5703125" style="128" customWidth="1"/>
    <col min="5" max="5" width="34.7109375" style="128" customWidth="1"/>
    <col min="6" max="6" width="11.5703125" style="128" customWidth="1"/>
    <col min="7" max="7" width="8" style="128" customWidth="1"/>
    <col min="8" max="8" width="11" style="143" customWidth="1"/>
    <col min="9" max="9" width="12.28515625" style="128" customWidth="1"/>
    <col min="10" max="10" width="13.140625" style="143" customWidth="1"/>
    <col min="11" max="11" width="10.28515625" style="143" customWidth="1"/>
    <col min="12" max="12" width="10.85546875" style="143" customWidth="1"/>
    <col min="13" max="13" width="8.5703125" style="143" customWidth="1"/>
    <col min="14" max="14" width="9.5703125" style="143" customWidth="1"/>
    <col min="15" max="15" width="12.7109375" style="143" customWidth="1"/>
    <col min="16" max="16" width="16.5703125" style="143" customWidth="1"/>
    <col min="17" max="17" width="17.28515625" style="143" customWidth="1"/>
    <col min="18" max="18" width="13.7109375" style="128" customWidth="1"/>
    <col min="19" max="19" width="10.8554687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776</v>
      </c>
      <c r="C3" s="417"/>
      <c r="D3" s="417"/>
      <c r="E3" s="417"/>
      <c r="F3" s="417"/>
      <c r="G3" s="417"/>
      <c r="H3" s="417"/>
      <c r="I3" s="417"/>
      <c r="J3" s="417"/>
      <c r="K3" s="417"/>
      <c r="L3" s="417"/>
      <c r="M3" s="417"/>
      <c r="N3" s="417"/>
      <c r="O3" s="417"/>
      <c r="P3" s="417"/>
      <c r="Q3" s="417"/>
    </row>
    <row r="5" spans="1:17"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ht="21.95" customHeight="1" x14ac:dyDescent="0.25">
      <c r="A7" s="210"/>
      <c r="B7" s="135"/>
      <c r="C7" s="199"/>
      <c r="D7" s="137"/>
      <c r="E7" s="137"/>
      <c r="F7" s="200"/>
      <c r="G7" s="142"/>
      <c r="H7" s="201"/>
      <c r="I7" s="201"/>
      <c r="J7" s="202"/>
      <c r="K7" s="202"/>
      <c r="L7" s="202"/>
      <c r="M7" s="202"/>
      <c r="N7" s="202"/>
      <c r="O7" s="142"/>
      <c r="P7" s="142"/>
      <c r="Q7" s="142"/>
    </row>
    <row r="8" spans="1:17" s="144" customFormat="1" ht="21.95" customHeight="1" x14ac:dyDescent="0.25">
      <c r="A8" s="211">
        <v>1</v>
      </c>
      <c r="B8" s="191">
        <v>42738</v>
      </c>
      <c r="C8" s="138" t="s">
        <v>842</v>
      </c>
      <c r="D8" s="138" t="s">
        <v>868</v>
      </c>
      <c r="E8" s="146" t="s">
        <v>21</v>
      </c>
      <c r="F8" s="138"/>
      <c r="G8" s="138"/>
      <c r="H8" s="139"/>
      <c r="I8" s="138"/>
      <c r="J8" s="141">
        <v>800000</v>
      </c>
      <c r="K8" s="141"/>
      <c r="L8" s="150"/>
      <c r="M8" s="141"/>
      <c r="N8" s="141"/>
      <c r="O8" s="139">
        <f>H8+J8+K8+L8+M8+N8</f>
        <v>800000</v>
      </c>
      <c r="P8" s="139">
        <v>2545455</v>
      </c>
      <c r="Q8" s="139">
        <f>P8-O8</f>
        <v>1745455</v>
      </c>
    </row>
    <row r="9" spans="1:17" s="144" customFormat="1" ht="21.95" customHeight="1" x14ac:dyDescent="0.25">
      <c r="A9" s="211">
        <v>2</v>
      </c>
      <c r="B9" s="191">
        <v>42739</v>
      </c>
      <c r="C9" s="138" t="s">
        <v>843</v>
      </c>
      <c r="D9" s="138" t="s">
        <v>869</v>
      </c>
      <c r="E9" s="146" t="s">
        <v>21</v>
      </c>
      <c r="F9" s="138"/>
      <c r="G9" s="138">
        <v>610</v>
      </c>
      <c r="H9" s="139">
        <v>8387500</v>
      </c>
      <c r="I9" s="138"/>
      <c r="J9" s="209">
        <f>800000+140000</f>
        <v>940000</v>
      </c>
      <c r="K9" s="141"/>
      <c r="L9" s="150"/>
      <c r="M9" s="141"/>
      <c r="N9" s="141"/>
      <c r="O9" s="139">
        <f t="shared" ref="O9:O38" si="0">H9+J9+K9+L9+M9+N9</f>
        <v>9327500</v>
      </c>
      <c r="P9" s="139">
        <v>2545455</v>
      </c>
      <c r="Q9" s="139">
        <f t="shared" ref="Q9:Q38" si="1">P9-O9</f>
        <v>-6782045</v>
      </c>
    </row>
    <row r="10" spans="1:17" s="144" customFormat="1" ht="21.95" customHeight="1" x14ac:dyDescent="0.25">
      <c r="A10" s="211">
        <v>3</v>
      </c>
      <c r="B10" s="191">
        <v>42739</v>
      </c>
      <c r="C10" s="138" t="s">
        <v>844</v>
      </c>
      <c r="D10" s="138" t="s">
        <v>870</v>
      </c>
      <c r="E10" s="146" t="s">
        <v>888</v>
      </c>
      <c r="F10" s="138"/>
      <c r="G10" s="138"/>
      <c r="H10" s="139"/>
      <c r="I10" s="138"/>
      <c r="J10" s="141">
        <v>1600000</v>
      </c>
      <c r="K10" s="141"/>
      <c r="L10" s="150"/>
      <c r="M10" s="141"/>
      <c r="N10" s="141"/>
      <c r="O10" s="139">
        <f t="shared" si="0"/>
        <v>1600000</v>
      </c>
      <c r="P10" s="139">
        <v>5200000</v>
      </c>
      <c r="Q10" s="139">
        <f t="shared" si="1"/>
        <v>3600000</v>
      </c>
    </row>
    <row r="11" spans="1:17" s="144" customFormat="1" ht="21.95" customHeight="1" x14ac:dyDescent="0.25">
      <c r="A11" s="211">
        <v>4</v>
      </c>
      <c r="B11" s="191">
        <v>42740</v>
      </c>
      <c r="C11" s="138" t="s">
        <v>845</v>
      </c>
      <c r="D11" s="138" t="s">
        <v>871</v>
      </c>
      <c r="E11" s="146" t="s">
        <v>889</v>
      </c>
      <c r="F11" s="138"/>
      <c r="G11" s="138"/>
      <c r="H11" s="139"/>
      <c r="I11" s="138"/>
      <c r="J11" s="141">
        <f>800000+400000+140000</f>
        <v>1340000</v>
      </c>
      <c r="K11" s="141"/>
      <c r="L11" s="150"/>
      <c r="M11" s="141"/>
      <c r="N11" s="141"/>
      <c r="O11" s="139">
        <f t="shared" si="0"/>
        <v>1340000</v>
      </c>
      <c r="P11" s="139">
        <v>2545455</v>
      </c>
      <c r="Q11" s="139">
        <f t="shared" si="1"/>
        <v>1205455</v>
      </c>
    </row>
    <row r="12" spans="1:17" s="144" customFormat="1" ht="21.95" customHeight="1" x14ac:dyDescent="0.25">
      <c r="A12" s="211">
        <v>5</v>
      </c>
      <c r="B12" s="191">
        <v>42741</v>
      </c>
      <c r="C12" s="138" t="s">
        <v>846</v>
      </c>
      <c r="D12" s="138" t="s">
        <v>871</v>
      </c>
      <c r="E12" s="146" t="s">
        <v>409</v>
      </c>
      <c r="F12" s="138"/>
      <c r="G12" s="138"/>
      <c r="H12" s="139"/>
      <c r="I12" s="138"/>
      <c r="J12" s="141">
        <v>0</v>
      </c>
      <c r="K12" s="141"/>
      <c r="L12" s="150"/>
      <c r="M12" s="141"/>
      <c r="N12" s="141"/>
      <c r="O12" s="139">
        <f t="shared" si="0"/>
        <v>0</v>
      </c>
      <c r="P12" s="139">
        <v>1454545</v>
      </c>
      <c r="Q12" s="139">
        <f t="shared" si="1"/>
        <v>1454545</v>
      </c>
    </row>
    <row r="13" spans="1:17" s="144" customFormat="1" ht="21.95" customHeight="1" x14ac:dyDescent="0.25">
      <c r="A13" s="211">
        <v>6</v>
      </c>
      <c r="B13" s="191">
        <v>42741</v>
      </c>
      <c r="C13" s="138" t="s">
        <v>847</v>
      </c>
      <c r="D13" s="138" t="s">
        <v>872</v>
      </c>
      <c r="E13" s="146" t="s">
        <v>21</v>
      </c>
      <c r="F13" s="138"/>
      <c r="G13" s="138"/>
      <c r="H13" s="139"/>
      <c r="I13" s="138"/>
      <c r="J13" s="141">
        <f>800000+70000+750000</f>
        <v>1620000</v>
      </c>
      <c r="K13" s="141"/>
      <c r="L13" s="150"/>
      <c r="M13" s="141"/>
      <c r="N13" s="141"/>
      <c r="O13" s="139">
        <f t="shared" si="0"/>
        <v>1620000</v>
      </c>
      <c r="P13" s="139">
        <v>2545455</v>
      </c>
      <c r="Q13" s="139">
        <f t="shared" si="1"/>
        <v>925455</v>
      </c>
    </row>
    <row r="14" spans="1:17" s="144" customFormat="1" ht="21.95" customHeight="1" x14ac:dyDescent="0.25">
      <c r="A14" s="211">
        <v>7</v>
      </c>
      <c r="B14" s="191">
        <v>42742</v>
      </c>
      <c r="C14" s="138" t="s">
        <v>848</v>
      </c>
      <c r="D14" s="138" t="s">
        <v>872</v>
      </c>
      <c r="E14" s="146" t="s">
        <v>509</v>
      </c>
      <c r="F14" s="138"/>
      <c r="G14" s="138"/>
      <c r="H14" s="139"/>
      <c r="I14" s="138"/>
      <c r="J14" s="141">
        <v>0</v>
      </c>
      <c r="K14" s="141"/>
      <c r="L14" s="150"/>
      <c r="M14" s="141"/>
      <c r="N14" s="141"/>
      <c r="O14" s="139">
        <f t="shared" si="0"/>
        <v>0</v>
      </c>
      <c r="P14" s="139">
        <v>2227273</v>
      </c>
      <c r="Q14" s="139">
        <f t="shared" si="1"/>
        <v>2227273</v>
      </c>
    </row>
    <row r="15" spans="1:17" s="144" customFormat="1" ht="21.95" customHeight="1" x14ac:dyDescent="0.25">
      <c r="A15" s="211">
        <v>8</v>
      </c>
      <c r="B15" s="191">
        <v>42742</v>
      </c>
      <c r="C15" s="138" t="s">
        <v>849</v>
      </c>
      <c r="D15" s="138" t="s">
        <v>873</v>
      </c>
      <c r="E15" s="146" t="s">
        <v>115</v>
      </c>
      <c r="F15" s="138"/>
      <c r="G15" s="138"/>
      <c r="H15" s="139"/>
      <c r="I15" s="138"/>
      <c r="J15" s="141">
        <f>800000+700000</f>
        <v>1500000</v>
      </c>
      <c r="K15" s="141"/>
      <c r="L15" s="150"/>
      <c r="M15" s="141"/>
      <c r="N15" s="141"/>
      <c r="O15" s="139">
        <f t="shared" si="0"/>
        <v>1500000</v>
      </c>
      <c r="P15" s="139">
        <v>3054545</v>
      </c>
      <c r="Q15" s="139">
        <f t="shared" si="1"/>
        <v>1554545</v>
      </c>
    </row>
    <row r="16" spans="1:17" s="144" customFormat="1" ht="21.95" customHeight="1" x14ac:dyDescent="0.25">
      <c r="A16" s="211">
        <v>9</v>
      </c>
      <c r="B16" s="191">
        <v>42742</v>
      </c>
      <c r="C16" s="138" t="s">
        <v>850</v>
      </c>
      <c r="D16" s="138" t="s">
        <v>873</v>
      </c>
      <c r="E16" s="146" t="s">
        <v>764</v>
      </c>
      <c r="F16" s="138"/>
      <c r="G16" s="138"/>
      <c r="H16" s="139"/>
      <c r="I16" s="138"/>
      <c r="J16" s="141">
        <v>0</v>
      </c>
      <c r="K16" s="141"/>
      <c r="L16" s="150"/>
      <c r="M16" s="141"/>
      <c r="N16" s="141"/>
      <c r="O16" s="139">
        <f t="shared" si="0"/>
        <v>0</v>
      </c>
      <c r="P16" s="139">
        <v>2672727</v>
      </c>
      <c r="Q16" s="139">
        <f t="shared" si="1"/>
        <v>2672727</v>
      </c>
    </row>
    <row r="17" spans="1:17" s="144" customFormat="1" ht="21.95" customHeight="1" x14ac:dyDescent="0.25">
      <c r="A17" s="211">
        <v>10</v>
      </c>
      <c r="B17" s="191">
        <v>42744</v>
      </c>
      <c r="C17" s="138" t="s">
        <v>851</v>
      </c>
      <c r="D17" s="138" t="s">
        <v>874</v>
      </c>
      <c r="E17" s="146" t="s">
        <v>658</v>
      </c>
      <c r="F17" s="138"/>
      <c r="G17" s="138"/>
      <c r="H17" s="139"/>
      <c r="I17" s="138"/>
      <c r="J17" s="141">
        <f>1340000+140000</f>
        <v>1480000</v>
      </c>
      <c r="K17" s="141"/>
      <c r="L17" s="150"/>
      <c r="M17" s="141"/>
      <c r="N17" s="141"/>
      <c r="O17" s="139">
        <f t="shared" si="0"/>
        <v>1480000</v>
      </c>
      <c r="P17" s="139">
        <v>4700000</v>
      </c>
      <c r="Q17" s="139">
        <f t="shared" si="1"/>
        <v>3220000</v>
      </c>
    </row>
    <row r="18" spans="1:17" s="144" customFormat="1" ht="21.95" customHeight="1" x14ac:dyDescent="0.25">
      <c r="A18" s="211">
        <v>11</v>
      </c>
      <c r="B18" s="191">
        <v>42745</v>
      </c>
      <c r="C18" s="138" t="s">
        <v>852</v>
      </c>
      <c r="D18" s="138" t="s">
        <v>875</v>
      </c>
      <c r="E18" s="146" t="s">
        <v>508</v>
      </c>
      <c r="F18" s="138"/>
      <c r="G18" s="138"/>
      <c r="H18" s="139"/>
      <c r="I18" s="138"/>
      <c r="J18" s="141">
        <f>1150000+70000</f>
        <v>1220000</v>
      </c>
      <c r="K18" s="141"/>
      <c r="L18" s="150"/>
      <c r="M18" s="141"/>
      <c r="N18" s="141"/>
      <c r="O18" s="139">
        <f t="shared" si="0"/>
        <v>1220000</v>
      </c>
      <c r="P18" s="139">
        <v>3345455</v>
      </c>
      <c r="Q18" s="139">
        <f t="shared" si="1"/>
        <v>2125455</v>
      </c>
    </row>
    <row r="19" spans="1:17" s="144" customFormat="1" ht="21.95" customHeight="1" x14ac:dyDescent="0.25">
      <c r="A19" s="211">
        <v>12</v>
      </c>
      <c r="B19" s="191">
        <v>42746</v>
      </c>
      <c r="C19" s="138" t="s">
        <v>853</v>
      </c>
      <c r="D19" s="138" t="s">
        <v>876</v>
      </c>
      <c r="E19" s="146" t="s">
        <v>218</v>
      </c>
      <c r="F19" s="138"/>
      <c r="G19" s="138"/>
      <c r="H19" s="139"/>
      <c r="I19" s="138"/>
      <c r="J19" s="141">
        <f>790000+1040000</f>
        <v>1830000</v>
      </c>
      <c r="K19" s="141"/>
      <c r="L19" s="150"/>
      <c r="M19" s="141"/>
      <c r="N19" s="141"/>
      <c r="O19" s="139">
        <f t="shared" si="0"/>
        <v>1830000</v>
      </c>
      <c r="P19" s="139">
        <v>3436364</v>
      </c>
      <c r="Q19" s="139">
        <f t="shared" si="1"/>
        <v>1606364</v>
      </c>
    </row>
    <row r="20" spans="1:17" s="144" customFormat="1" ht="21.95" customHeight="1" x14ac:dyDescent="0.25">
      <c r="A20" s="211">
        <v>13</v>
      </c>
      <c r="B20" s="191">
        <v>42747</v>
      </c>
      <c r="C20" s="138" t="s">
        <v>854</v>
      </c>
      <c r="D20" s="138" t="s">
        <v>876</v>
      </c>
      <c r="E20" s="146" t="s">
        <v>890</v>
      </c>
      <c r="F20" s="138"/>
      <c r="G20" s="138">
        <v>630</v>
      </c>
      <c r="H20" s="139">
        <v>8662500</v>
      </c>
      <c r="I20" s="138"/>
      <c r="J20" s="141">
        <v>0</v>
      </c>
      <c r="K20" s="141"/>
      <c r="L20" s="150"/>
      <c r="M20" s="141"/>
      <c r="N20" s="141"/>
      <c r="O20" s="139">
        <f t="shared" si="0"/>
        <v>8662500</v>
      </c>
      <c r="P20" s="139">
        <v>4346364</v>
      </c>
      <c r="Q20" s="139">
        <f t="shared" si="1"/>
        <v>-4316136</v>
      </c>
    </row>
    <row r="21" spans="1:17" s="144" customFormat="1" ht="21.95" customHeight="1" x14ac:dyDescent="0.25">
      <c r="A21" s="211">
        <v>14</v>
      </c>
      <c r="B21" s="191">
        <v>42747</v>
      </c>
      <c r="C21" s="138" t="s">
        <v>855</v>
      </c>
      <c r="D21" s="138" t="s">
        <v>877</v>
      </c>
      <c r="E21" s="146" t="s">
        <v>509</v>
      </c>
      <c r="F21" s="138"/>
      <c r="G21" s="138"/>
      <c r="H21" s="139"/>
      <c r="I21" s="138"/>
      <c r="J21" s="141">
        <f>1150000+420000+70000</f>
        <v>1640000</v>
      </c>
      <c r="K21" s="141"/>
      <c r="L21" s="150"/>
      <c r="M21" s="141"/>
      <c r="N21" s="141"/>
      <c r="O21" s="139">
        <f t="shared" si="0"/>
        <v>1640000</v>
      </c>
      <c r="P21" s="139">
        <v>3345455</v>
      </c>
      <c r="Q21" s="139">
        <f t="shared" si="1"/>
        <v>1705455</v>
      </c>
    </row>
    <row r="22" spans="1:17" s="144" customFormat="1" ht="21.95" customHeight="1" x14ac:dyDescent="0.25">
      <c r="A22" s="211">
        <v>15</v>
      </c>
      <c r="B22" s="191">
        <v>42748</v>
      </c>
      <c r="C22" s="138" t="s">
        <v>856</v>
      </c>
      <c r="D22" s="138" t="s">
        <v>877</v>
      </c>
      <c r="E22" s="146" t="s">
        <v>764</v>
      </c>
      <c r="F22" s="138"/>
      <c r="G22" s="138"/>
      <c r="H22" s="139"/>
      <c r="I22" s="138"/>
      <c r="J22" s="141">
        <v>0</v>
      </c>
      <c r="K22" s="141"/>
      <c r="L22" s="150"/>
      <c r="M22" s="141"/>
      <c r="N22" s="141"/>
      <c r="O22" s="139">
        <f t="shared" si="0"/>
        <v>0</v>
      </c>
      <c r="P22" s="139">
        <v>2672727</v>
      </c>
      <c r="Q22" s="139">
        <f t="shared" si="1"/>
        <v>2672727</v>
      </c>
    </row>
    <row r="23" spans="1:17" s="144" customFormat="1" ht="21.95" customHeight="1" x14ac:dyDescent="0.25">
      <c r="A23" s="211">
        <v>16</v>
      </c>
      <c r="B23" s="191">
        <v>42748</v>
      </c>
      <c r="C23" s="138" t="s">
        <v>857</v>
      </c>
      <c r="D23" s="138" t="s">
        <v>878</v>
      </c>
      <c r="E23" s="146" t="s">
        <v>21</v>
      </c>
      <c r="F23" s="138"/>
      <c r="G23" s="138"/>
      <c r="H23" s="139"/>
      <c r="I23" s="138"/>
      <c r="J23" s="141">
        <f>800000+140000</f>
        <v>940000</v>
      </c>
      <c r="K23" s="141"/>
      <c r="L23" s="150"/>
      <c r="M23" s="141"/>
      <c r="N23" s="141"/>
      <c r="O23" s="139">
        <f t="shared" si="0"/>
        <v>940000</v>
      </c>
      <c r="P23" s="139">
        <v>3000000</v>
      </c>
      <c r="Q23" s="139">
        <f t="shared" si="1"/>
        <v>2060000</v>
      </c>
    </row>
    <row r="24" spans="1:17" s="144" customFormat="1" ht="21.95" customHeight="1" x14ac:dyDescent="0.25">
      <c r="A24" s="211">
        <v>17</v>
      </c>
      <c r="B24" s="191">
        <v>42749</v>
      </c>
      <c r="C24" s="138" t="s">
        <v>858</v>
      </c>
      <c r="D24" s="138" t="s">
        <v>879</v>
      </c>
      <c r="E24" s="146" t="s">
        <v>891</v>
      </c>
      <c r="F24" s="138"/>
      <c r="G24" s="138"/>
      <c r="H24" s="139"/>
      <c r="I24" s="138"/>
      <c r="J24" s="141">
        <f>650000+70000</f>
        <v>720000</v>
      </c>
      <c r="K24" s="141"/>
      <c r="L24" s="150"/>
      <c r="M24" s="141"/>
      <c r="N24" s="141"/>
      <c r="O24" s="139">
        <f t="shared" si="0"/>
        <v>720000</v>
      </c>
      <c r="P24" s="139">
        <v>2336364</v>
      </c>
      <c r="Q24" s="139">
        <f t="shared" si="1"/>
        <v>1616364</v>
      </c>
    </row>
    <row r="25" spans="1:17" s="144" customFormat="1" ht="21.95" customHeight="1" x14ac:dyDescent="0.25">
      <c r="A25" s="211">
        <v>18</v>
      </c>
      <c r="B25" s="191">
        <v>42750</v>
      </c>
      <c r="C25" s="138" t="s">
        <v>859</v>
      </c>
      <c r="D25" s="138" t="s">
        <v>880</v>
      </c>
      <c r="E25" s="146" t="s">
        <v>827</v>
      </c>
      <c r="F25" s="138"/>
      <c r="G25" s="138"/>
      <c r="H25" s="139"/>
      <c r="I25" s="138"/>
      <c r="J25" s="141">
        <f>1150000+140000</f>
        <v>1290000</v>
      </c>
      <c r="K25" s="141"/>
      <c r="L25" s="150"/>
      <c r="M25" s="141"/>
      <c r="N25" s="141"/>
      <c r="O25" s="139">
        <f t="shared" si="0"/>
        <v>1290000</v>
      </c>
      <c r="P25" s="139">
        <v>3345455</v>
      </c>
      <c r="Q25" s="139">
        <f t="shared" si="1"/>
        <v>2055455</v>
      </c>
    </row>
    <row r="26" spans="1:17" s="144" customFormat="1" ht="21.95" customHeight="1" x14ac:dyDescent="0.25">
      <c r="A26" s="211">
        <v>19</v>
      </c>
      <c r="B26" s="191">
        <v>42751</v>
      </c>
      <c r="C26" s="138" t="s">
        <v>860</v>
      </c>
      <c r="D26" s="138" t="s">
        <v>881</v>
      </c>
      <c r="E26" s="146" t="s">
        <v>892</v>
      </c>
      <c r="F26" s="138"/>
      <c r="G26" s="138">
        <v>460</v>
      </c>
      <c r="H26" s="139">
        <v>6325000</v>
      </c>
      <c r="I26" s="138"/>
      <c r="J26" s="141">
        <f>1600000+140000</f>
        <v>1740000</v>
      </c>
      <c r="K26" s="141"/>
      <c r="L26" s="150"/>
      <c r="M26" s="141"/>
      <c r="N26" s="141"/>
      <c r="O26" s="139">
        <f t="shared" si="0"/>
        <v>8065000</v>
      </c>
      <c r="P26" s="139">
        <v>5200000</v>
      </c>
      <c r="Q26" s="139">
        <f t="shared" si="1"/>
        <v>-2865000</v>
      </c>
    </row>
    <row r="27" spans="1:17" s="144" customFormat="1" ht="21.95" customHeight="1" x14ac:dyDescent="0.25">
      <c r="A27" s="211">
        <v>20</v>
      </c>
      <c r="B27" s="191">
        <v>42752</v>
      </c>
      <c r="C27" s="138" t="s">
        <v>861</v>
      </c>
      <c r="D27" s="138" t="s">
        <v>882</v>
      </c>
      <c r="E27" s="146" t="s">
        <v>893</v>
      </c>
      <c r="F27" s="138"/>
      <c r="G27" s="138"/>
      <c r="H27" s="139"/>
      <c r="I27" s="138"/>
      <c r="J27" s="141">
        <f>1150000+140000+420000</f>
        <v>1710000</v>
      </c>
      <c r="K27" s="141"/>
      <c r="L27" s="150"/>
      <c r="M27" s="141"/>
      <c r="N27" s="141"/>
      <c r="O27" s="139">
        <f t="shared" si="0"/>
        <v>1710000</v>
      </c>
      <c r="P27" s="139">
        <v>3345455</v>
      </c>
      <c r="Q27" s="139">
        <f t="shared" si="1"/>
        <v>1635455</v>
      </c>
    </row>
    <row r="28" spans="1:17" s="144" customFormat="1" ht="21.95" customHeight="1" x14ac:dyDescent="0.25">
      <c r="A28" s="211">
        <v>21</v>
      </c>
      <c r="B28" s="191">
        <v>42752</v>
      </c>
      <c r="C28" s="138" t="s">
        <v>862</v>
      </c>
      <c r="D28" s="138" t="s">
        <v>882</v>
      </c>
      <c r="E28" s="146" t="s">
        <v>764</v>
      </c>
      <c r="F28" s="138"/>
      <c r="G28" s="138"/>
      <c r="H28" s="139"/>
      <c r="I28" s="138"/>
      <c r="J28" s="141">
        <v>0</v>
      </c>
      <c r="K28" s="141"/>
      <c r="L28" s="150"/>
      <c r="M28" s="141"/>
      <c r="N28" s="141"/>
      <c r="O28" s="139">
        <f t="shared" si="0"/>
        <v>0</v>
      </c>
      <c r="P28" s="139">
        <v>2672727</v>
      </c>
      <c r="Q28" s="139">
        <f t="shared" si="1"/>
        <v>2672727</v>
      </c>
    </row>
    <row r="29" spans="1:17" s="144" customFormat="1" ht="21.95" customHeight="1" x14ac:dyDescent="0.25">
      <c r="A29" s="211">
        <v>22</v>
      </c>
      <c r="B29" s="191">
        <v>42754</v>
      </c>
      <c r="C29" s="138" t="s">
        <v>863</v>
      </c>
      <c r="D29" s="138" t="s">
        <v>883</v>
      </c>
      <c r="E29" s="146" t="s">
        <v>894</v>
      </c>
      <c r="F29" s="138"/>
      <c r="G29" s="138"/>
      <c r="H29" s="139"/>
      <c r="I29" s="138"/>
      <c r="J29" s="141">
        <f>800000+140000+580000</f>
        <v>1520000</v>
      </c>
      <c r="K29" s="141"/>
      <c r="L29" s="150"/>
      <c r="M29" s="141"/>
      <c r="N29" s="141"/>
      <c r="O29" s="139">
        <f t="shared" si="0"/>
        <v>1520000</v>
      </c>
      <c r="P29" s="139">
        <v>2672727</v>
      </c>
      <c r="Q29" s="139">
        <f t="shared" si="1"/>
        <v>1152727</v>
      </c>
    </row>
    <row r="30" spans="1:17" s="144" customFormat="1" ht="21.95" customHeight="1" x14ac:dyDescent="0.25">
      <c r="A30" s="211">
        <v>23</v>
      </c>
      <c r="B30" s="191">
        <v>42754</v>
      </c>
      <c r="C30" s="138" t="s">
        <v>864</v>
      </c>
      <c r="D30" s="138" t="s">
        <v>883</v>
      </c>
      <c r="E30" s="146" t="s">
        <v>764</v>
      </c>
      <c r="F30" s="138"/>
      <c r="G30" s="138"/>
      <c r="H30" s="139"/>
      <c r="I30" s="138"/>
      <c r="J30" s="141">
        <v>0</v>
      </c>
      <c r="K30" s="141"/>
      <c r="L30" s="150"/>
      <c r="M30" s="141"/>
      <c r="N30" s="141"/>
      <c r="O30" s="139">
        <f t="shared" si="0"/>
        <v>0</v>
      </c>
      <c r="P30" s="139">
        <v>2672727</v>
      </c>
      <c r="Q30" s="139">
        <f t="shared" si="1"/>
        <v>2672727</v>
      </c>
    </row>
    <row r="31" spans="1:17" s="144" customFormat="1" ht="21.95" customHeight="1" x14ac:dyDescent="0.25">
      <c r="A31" s="211">
        <v>24</v>
      </c>
      <c r="B31" s="191">
        <v>42755</v>
      </c>
      <c r="C31" s="138" t="s">
        <v>119</v>
      </c>
      <c r="D31" s="138" t="s">
        <v>884</v>
      </c>
      <c r="E31" s="146" t="s">
        <v>895</v>
      </c>
      <c r="F31" s="138"/>
      <c r="G31" s="138"/>
      <c r="H31" s="139"/>
      <c r="I31" s="138"/>
      <c r="J31" s="141">
        <f>1150000+140000</f>
        <v>1290000</v>
      </c>
      <c r="K31" s="141"/>
      <c r="L31" s="150"/>
      <c r="M31" s="141"/>
      <c r="N31" s="141"/>
      <c r="O31" s="139">
        <f t="shared" si="0"/>
        <v>1290000</v>
      </c>
      <c r="P31" s="139">
        <v>3054545</v>
      </c>
      <c r="Q31" s="139">
        <f t="shared" si="1"/>
        <v>1764545</v>
      </c>
    </row>
    <row r="32" spans="1:17" s="144" customFormat="1" ht="21.95" customHeight="1" x14ac:dyDescent="0.25">
      <c r="A32" s="211">
        <v>25</v>
      </c>
      <c r="B32" s="191">
        <v>42755</v>
      </c>
      <c r="C32" s="138" t="s">
        <v>865</v>
      </c>
      <c r="D32" s="138" t="s">
        <v>885</v>
      </c>
      <c r="E32" s="146" t="s">
        <v>896</v>
      </c>
      <c r="F32" s="138"/>
      <c r="G32" s="138"/>
      <c r="H32" s="139"/>
      <c r="I32" s="138"/>
      <c r="J32" s="141">
        <f>790000+140000</f>
        <v>930000</v>
      </c>
      <c r="K32" s="141"/>
      <c r="L32" s="150"/>
      <c r="M32" s="141"/>
      <c r="N32" s="141"/>
      <c r="O32" s="139">
        <f t="shared" si="0"/>
        <v>930000</v>
      </c>
      <c r="P32" s="139">
        <v>3300000</v>
      </c>
      <c r="Q32" s="139">
        <f t="shared" si="1"/>
        <v>2370000</v>
      </c>
    </row>
    <row r="33" spans="1:19" s="144" customFormat="1" ht="21.95" customHeight="1" x14ac:dyDescent="0.25">
      <c r="A33" s="211">
        <v>26</v>
      </c>
      <c r="B33" s="191">
        <v>42758</v>
      </c>
      <c r="C33" s="138" t="s">
        <v>866</v>
      </c>
      <c r="D33" s="138" t="s">
        <v>886</v>
      </c>
      <c r="E33" s="146" t="s">
        <v>897</v>
      </c>
      <c r="F33" s="138"/>
      <c r="G33" s="138"/>
      <c r="H33" s="139"/>
      <c r="I33" s="138"/>
      <c r="J33" s="141">
        <f>1400000+140000</f>
        <v>1540000</v>
      </c>
      <c r="K33" s="141"/>
      <c r="L33" s="150"/>
      <c r="M33" s="141"/>
      <c r="N33" s="141"/>
      <c r="O33" s="139">
        <f t="shared" si="0"/>
        <v>1540000</v>
      </c>
      <c r="P33" s="208">
        <v>5500000</v>
      </c>
      <c r="Q33" s="139">
        <f t="shared" si="1"/>
        <v>3960000</v>
      </c>
    </row>
    <row r="34" spans="1:19" s="144" customFormat="1" ht="21.95" customHeight="1" x14ac:dyDescent="0.25">
      <c r="A34" s="211">
        <v>27</v>
      </c>
      <c r="B34" s="191">
        <v>42758</v>
      </c>
      <c r="C34" s="138" t="s">
        <v>867</v>
      </c>
      <c r="D34" s="138" t="s">
        <v>887</v>
      </c>
      <c r="E34" s="146" t="s">
        <v>763</v>
      </c>
      <c r="F34" s="138"/>
      <c r="G34" s="214">
        <v>830</v>
      </c>
      <c r="H34" s="208">
        <f>G34*14040</f>
        <v>11653200</v>
      </c>
      <c r="I34" s="138"/>
      <c r="J34" s="141">
        <f>1150000+140000</f>
        <v>1290000</v>
      </c>
      <c r="K34" s="141"/>
      <c r="L34" s="150"/>
      <c r="M34" s="141"/>
      <c r="N34" s="141"/>
      <c r="O34" s="139">
        <f t="shared" si="0"/>
        <v>12943200</v>
      </c>
      <c r="P34" s="139">
        <v>3536364</v>
      </c>
      <c r="Q34" s="139">
        <f t="shared" si="1"/>
        <v>-9406836</v>
      </c>
    </row>
    <row r="35" spans="1:19" s="159" customFormat="1" ht="21.95" customHeight="1" x14ac:dyDescent="0.25">
      <c r="A35" s="212"/>
      <c r="B35" s="165"/>
      <c r="C35" s="196" t="s">
        <v>898</v>
      </c>
      <c r="D35" s="195"/>
      <c r="E35" s="197"/>
      <c r="F35" s="195"/>
      <c r="G35" s="195"/>
      <c r="H35" s="155"/>
      <c r="I35" s="195"/>
      <c r="J35" s="155"/>
      <c r="K35" s="157">
        <v>9000000</v>
      </c>
      <c r="L35" s="157"/>
      <c r="M35" s="155"/>
      <c r="N35" s="155"/>
      <c r="O35" s="139">
        <f t="shared" si="0"/>
        <v>9000000</v>
      </c>
      <c r="P35" s="155"/>
      <c r="Q35" s="139">
        <f t="shared" si="1"/>
        <v>-9000000</v>
      </c>
    </row>
    <row r="36" spans="1:19" s="159" customFormat="1" ht="21.95" customHeight="1" x14ac:dyDescent="0.25">
      <c r="A36" s="212"/>
      <c r="B36" s="165"/>
      <c r="C36" s="196" t="s">
        <v>899</v>
      </c>
      <c r="D36" s="195"/>
      <c r="E36" s="197"/>
      <c r="F36" s="195"/>
      <c r="G36" s="195"/>
      <c r="H36" s="155"/>
      <c r="I36" s="195"/>
      <c r="J36" s="155"/>
      <c r="K36" s="157">
        <v>4000000</v>
      </c>
      <c r="L36" s="157"/>
      <c r="M36" s="155"/>
      <c r="N36" s="155"/>
      <c r="O36" s="139">
        <f t="shared" si="0"/>
        <v>4000000</v>
      </c>
      <c r="P36" s="155"/>
      <c r="Q36" s="139">
        <f t="shared" si="1"/>
        <v>-4000000</v>
      </c>
    </row>
    <row r="37" spans="1:19" s="159" customFormat="1" ht="21.95" customHeight="1" x14ac:dyDescent="0.25">
      <c r="A37" s="212"/>
      <c r="B37" s="165"/>
      <c r="C37" s="196" t="s">
        <v>901</v>
      </c>
      <c r="D37" s="195"/>
      <c r="E37" s="197"/>
      <c r="F37" s="195"/>
      <c r="G37" s="195"/>
      <c r="H37" s="155"/>
      <c r="I37" s="195"/>
      <c r="J37" s="155"/>
      <c r="K37" s="157"/>
      <c r="L37" s="185">
        <v>30000</v>
      </c>
      <c r="M37" s="155"/>
      <c r="N37" s="155"/>
      <c r="O37" s="139">
        <f t="shared" si="0"/>
        <v>30000</v>
      </c>
      <c r="P37" s="155"/>
      <c r="Q37" s="139">
        <f t="shared" si="1"/>
        <v>-30000</v>
      </c>
    </row>
    <row r="38" spans="1:19" s="159" customFormat="1" ht="21.95" customHeight="1" x14ac:dyDescent="0.25">
      <c r="A38" s="213"/>
      <c r="B38" s="203"/>
      <c r="C38" s="152" t="s">
        <v>900</v>
      </c>
      <c r="D38" s="153"/>
      <c r="E38" s="154"/>
      <c r="F38" s="153"/>
      <c r="G38" s="153"/>
      <c r="H38" s="156"/>
      <c r="I38" s="153"/>
      <c r="J38" s="156"/>
      <c r="K38" s="204"/>
      <c r="L38" s="205">
        <v>1320000</v>
      </c>
      <c r="M38" s="156"/>
      <c r="N38" s="156"/>
      <c r="O38" s="139">
        <f t="shared" si="0"/>
        <v>1320000</v>
      </c>
      <c r="P38" s="156"/>
      <c r="Q38" s="139">
        <f t="shared" si="1"/>
        <v>-1320000</v>
      </c>
      <c r="R38" s="186"/>
      <c r="S38" s="188"/>
    </row>
    <row r="39" spans="1:19" ht="21.95" customHeight="1" x14ac:dyDescent="0.25">
      <c r="A39" s="426" t="s">
        <v>20</v>
      </c>
      <c r="B39" s="426"/>
      <c r="C39" s="426"/>
      <c r="D39" s="426"/>
      <c r="E39" s="426"/>
      <c r="F39" s="426"/>
      <c r="G39" s="161">
        <f t="shared" ref="G39:Q39" si="2">SUM(G7:G38)</f>
        <v>2530</v>
      </c>
      <c r="H39" s="161">
        <f t="shared" si="2"/>
        <v>35028200</v>
      </c>
      <c r="I39" s="161">
        <f t="shared" si="2"/>
        <v>0</v>
      </c>
      <c r="J39" s="161">
        <f t="shared" si="2"/>
        <v>26940000</v>
      </c>
      <c r="K39" s="161">
        <f t="shared" si="2"/>
        <v>13000000</v>
      </c>
      <c r="L39" s="161">
        <f t="shared" si="2"/>
        <v>1350000</v>
      </c>
      <c r="M39" s="161">
        <f t="shared" si="2"/>
        <v>0</v>
      </c>
      <c r="N39" s="161">
        <f t="shared" si="2"/>
        <v>0</v>
      </c>
      <c r="O39" s="161">
        <f t="shared" si="2"/>
        <v>76318200</v>
      </c>
      <c r="P39" s="161">
        <f t="shared" si="2"/>
        <v>87273639</v>
      </c>
      <c r="Q39" s="161">
        <f t="shared" si="2"/>
        <v>10955439</v>
      </c>
      <c r="R39" s="187"/>
      <c r="S39" s="189"/>
    </row>
    <row r="40" spans="1:19" ht="21.95" customHeight="1" x14ac:dyDescent="0.25">
      <c r="O40" s="158"/>
      <c r="Q40" s="158">
        <f>P39-O39</f>
        <v>10955439</v>
      </c>
    </row>
    <row r="41" spans="1:19" ht="21.95" customHeight="1" x14ac:dyDescent="0.25">
      <c r="P41" s="143" t="s">
        <v>1095</v>
      </c>
      <c r="Q41" s="143">
        <f>Q39</f>
        <v>10955439</v>
      </c>
    </row>
    <row r="42" spans="1:19" x14ac:dyDescent="0.25">
      <c r="B42" s="129"/>
      <c r="H42" s="128"/>
      <c r="J42" s="128"/>
      <c r="K42" s="128"/>
      <c r="L42" s="128"/>
      <c r="M42" s="128"/>
      <c r="N42" s="128"/>
      <c r="O42" s="128"/>
      <c r="P42" s="128"/>
      <c r="Q42" s="128"/>
    </row>
    <row r="43" spans="1:19" x14ac:dyDescent="0.25">
      <c r="B43" s="129"/>
      <c r="H43" s="128"/>
      <c r="J43" s="128"/>
      <c r="K43" s="128"/>
      <c r="L43" s="128"/>
      <c r="M43" s="128"/>
      <c r="N43" s="128"/>
      <c r="O43" s="128"/>
      <c r="P43" s="128"/>
      <c r="Q43" s="128"/>
    </row>
    <row r="44" spans="1:19" x14ac:dyDescent="0.25">
      <c r="B44" s="129"/>
      <c r="H44" s="128"/>
      <c r="J44" s="128"/>
      <c r="K44" s="128"/>
      <c r="L44" s="128"/>
      <c r="M44" s="128"/>
      <c r="N44" s="128"/>
      <c r="O44" s="128"/>
      <c r="P44" s="128"/>
      <c r="Q44" s="128"/>
    </row>
    <row r="45" spans="1:19" x14ac:dyDescent="0.25">
      <c r="B45" s="129"/>
      <c r="H45" s="128"/>
      <c r="J45" s="128"/>
      <c r="K45" s="128"/>
      <c r="L45" s="128"/>
      <c r="M45" s="128"/>
      <c r="N45" s="128"/>
      <c r="O45" s="128"/>
      <c r="P45" s="128"/>
      <c r="Q45" s="128"/>
    </row>
    <row r="46" spans="1:19" x14ac:dyDescent="0.25">
      <c r="B46" s="129"/>
      <c r="H46" s="128"/>
      <c r="J46" s="128"/>
      <c r="K46" s="128"/>
      <c r="L46" s="128"/>
      <c r="M46" s="128"/>
      <c r="N46" s="128"/>
      <c r="O46" s="128"/>
      <c r="P46" s="128"/>
      <c r="Q46" s="128"/>
    </row>
    <row r="47" spans="1:19" x14ac:dyDescent="0.25">
      <c r="A47" s="128"/>
      <c r="B47" s="129"/>
      <c r="H47" s="128"/>
      <c r="J47" s="128"/>
      <c r="K47" s="128"/>
      <c r="L47" s="128"/>
      <c r="M47" s="128"/>
      <c r="N47" s="128"/>
      <c r="O47" s="128"/>
      <c r="P47" s="128"/>
      <c r="Q47" s="128"/>
    </row>
    <row r="48" spans="1:19" x14ac:dyDescent="0.25">
      <c r="A48" s="128"/>
      <c r="B48" s="129"/>
      <c r="H48" s="128"/>
      <c r="J48" s="128"/>
      <c r="K48" s="128"/>
      <c r="L48" s="128"/>
      <c r="M48" s="128"/>
      <c r="N48" s="128"/>
      <c r="O48" s="128"/>
      <c r="P48" s="128"/>
      <c r="Q48" s="128"/>
    </row>
  </sheetData>
  <mergeCells count="14">
    <mergeCell ref="O5:O6"/>
    <mergeCell ref="P5:P6"/>
    <mergeCell ref="Q5:Q6"/>
    <mergeCell ref="A39:F39"/>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4" orientation="landscape" horizontalDpi="0" verticalDpi="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44"/>
  <sheetViews>
    <sheetView topLeftCell="G34" zoomScaleNormal="100" workbookViewId="0">
      <selection activeCell="Q11" sqref="Q11"/>
    </sheetView>
  </sheetViews>
  <sheetFormatPr defaultColWidth="9.140625" defaultRowHeight="12.75" x14ac:dyDescent="0.25"/>
  <cols>
    <col min="1" max="1" width="4.5703125" style="129" customWidth="1"/>
    <col min="2" max="2" width="10.28515625" style="163" customWidth="1"/>
    <col min="3" max="3" width="27" style="128" customWidth="1"/>
    <col min="4" max="4" width="17.5703125" style="128" customWidth="1"/>
    <col min="5" max="5" width="37.140625" style="128" customWidth="1"/>
    <col min="6" max="6" width="11.5703125" style="128" customWidth="1"/>
    <col min="7" max="7" width="8" style="128" customWidth="1"/>
    <col min="8" max="8" width="11" style="143" customWidth="1"/>
    <col min="9" max="9" width="12.28515625" style="128" customWidth="1"/>
    <col min="10" max="10" width="15.28515625" style="143" customWidth="1"/>
    <col min="11" max="11" width="10.28515625" style="143" customWidth="1"/>
    <col min="12" max="12" width="10.85546875" style="143" customWidth="1"/>
    <col min="13" max="13" width="8.5703125" style="143" customWidth="1"/>
    <col min="14" max="14" width="9.5703125" style="143" customWidth="1"/>
    <col min="15" max="15" width="20.140625" style="143" customWidth="1"/>
    <col min="16" max="16" width="33.42578125" style="143" customWidth="1"/>
    <col min="17" max="17" width="29.140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902</v>
      </c>
      <c r="C3" s="417"/>
      <c r="D3" s="417"/>
      <c r="E3" s="417"/>
      <c r="F3" s="417"/>
      <c r="G3" s="417"/>
      <c r="H3" s="417"/>
      <c r="I3" s="417"/>
      <c r="J3" s="417"/>
      <c r="K3" s="417"/>
      <c r="L3" s="417"/>
      <c r="M3" s="417"/>
      <c r="N3" s="417"/>
      <c r="O3" s="417"/>
      <c r="P3" s="417"/>
      <c r="Q3" s="417"/>
    </row>
    <row r="5" spans="1:20" s="129" customFormat="1" ht="30"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30"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30" customHeight="1" x14ac:dyDescent="0.25">
      <c r="A7" s="210"/>
      <c r="B7" s="135"/>
      <c r="C7" s="199"/>
      <c r="D7" s="137"/>
      <c r="E7" s="137"/>
      <c r="F7" s="200"/>
      <c r="G7" s="142"/>
      <c r="H7" s="201"/>
      <c r="I7" s="201"/>
      <c r="J7" s="202"/>
      <c r="K7" s="202"/>
      <c r="L7" s="202"/>
      <c r="M7" s="202"/>
      <c r="N7" s="202"/>
      <c r="O7" s="142"/>
      <c r="P7" s="142"/>
      <c r="Q7" s="142"/>
    </row>
    <row r="8" spans="1:20" s="144" customFormat="1" ht="30" customHeight="1" x14ac:dyDescent="0.25">
      <c r="A8" s="211">
        <v>1</v>
      </c>
      <c r="B8" s="191">
        <v>42768</v>
      </c>
      <c r="C8" s="138" t="s">
        <v>903</v>
      </c>
      <c r="D8" s="138" t="s">
        <v>925</v>
      </c>
      <c r="E8" s="146" t="s">
        <v>723</v>
      </c>
      <c r="F8" s="138"/>
      <c r="G8" s="138"/>
      <c r="H8" s="139"/>
      <c r="I8" s="138"/>
      <c r="J8" s="141">
        <v>800000</v>
      </c>
      <c r="K8" s="141"/>
      <c r="L8" s="150"/>
      <c r="M8" s="141"/>
      <c r="N8" s="141"/>
      <c r="O8" s="139">
        <f>H8+J8+K8+L8+M8+N8</f>
        <v>800000</v>
      </c>
      <c r="P8" s="139">
        <v>2672727</v>
      </c>
      <c r="Q8" s="139">
        <f>P8-O8</f>
        <v>1872727</v>
      </c>
      <c r="S8" s="215"/>
      <c r="T8" s="215"/>
    </row>
    <row r="9" spans="1:20" s="144" customFormat="1" ht="30" customHeight="1" x14ac:dyDescent="0.25">
      <c r="A9" s="211">
        <v>2</v>
      </c>
      <c r="B9" s="191">
        <v>42769</v>
      </c>
      <c r="C9" s="138" t="s">
        <v>904</v>
      </c>
      <c r="D9" s="138" t="s">
        <v>926</v>
      </c>
      <c r="E9" s="146" t="s">
        <v>115</v>
      </c>
      <c r="F9" s="138"/>
      <c r="G9" s="138"/>
      <c r="H9" s="139"/>
      <c r="I9" s="138"/>
      <c r="J9" s="209">
        <v>1150000</v>
      </c>
      <c r="K9" s="141"/>
      <c r="L9" s="150"/>
      <c r="M9" s="141"/>
      <c r="N9" s="141"/>
      <c r="O9" s="139">
        <f t="shared" ref="O9:O34" si="0">H9+J9+K9+L9+M9+N9</f>
        <v>1150000</v>
      </c>
      <c r="P9" s="139">
        <v>3054545</v>
      </c>
      <c r="Q9" s="139">
        <f t="shared" ref="Q9:Q34" si="1">P9-O9</f>
        <v>1904545</v>
      </c>
      <c r="S9" s="215"/>
      <c r="T9" s="215"/>
    </row>
    <row r="10" spans="1:20" s="144" customFormat="1" ht="30" customHeight="1" x14ac:dyDescent="0.25">
      <c r="A10" s="211">
        <v>3</v>
      </c>
      <c r="B10" s="191">
        <v>42770</v>
      </c>
      <c r="C10" s="138" t="s">
        <v>905</v>
      </c>
      <c r="D10" s="138" t="s">
        <v>927</v>
      </c>
      <c r="E10" s="146" t="s">
        <v>21</v>
      </c>
      <c r="F10" s="138"/>
      <c r="G10" s="138"/>
      <c r="H10" s="139"/>
      <c r="I10" s="138"/>
      <c r="J10" s="141">
        <f>800000+400000</f>
        <v>1200000</v>
      </c>
      <c r="K10" s="141"/>
      <c r="L10" s="150"/>
      <c r="M10" s="141"/>
      <c r="N10" s="141"/>
      <c r="O10" s="139">
        <f t="shared" si="0"/>
        <v>1200000</v>
      </c>
      <c r="P10" s="139">
        <v>2672727</v>
      </c>
      <c r="Q10" s="139">
        <f t="shared" si="1"/>
        <v>1472727</v>
      </c>
      <c r="S10" s="215"/>
      <c r="T10" s="215"/>
    </row>
    <row r="11" spans="1:20" s="144" customFormat="1" ht="30" customHeight="1" x14ac:dyDescent="0.25">
      <c r="A11" s="211">
        <v>4</v>
      </c>
      <c r="B11" s="191">
        <v>42772</v>
      </c>
      <c r="C11" s="138" t="s">
        <v>906</v>
      </c>
      <c r="D11" s="138" t="s">
        <v>927</v>
      </c>
      <c r="E11" s="146" t="s">
        <v>944</v>
      </c>
      <c r="F11" s="138"/>
      <c r="G11" s="138"/>
      <c r="H11" s="139"/>
      <c r="I11" s="138"/>
      <c r="J11" s="141">
        <v>0</v>
      </c>
      <c r="K11" s="141"/>
      <c r="L11" s="150"/>
      <c r="M11" s="141"/>
      <c r="N11" s="141"/>
      <c r="O11" s="139">
        <f t="shared" si="0"/>
        <v>0</v>
      </c>
      <c r="P11" s="139">
        <v>2598182</v>
      </c>
      <c r="Q11" s="139">
        <f t="shared" si="1"/>
        <v>2598182</v>
      </c>
      <c r="S11" s="215"/>
      <c r="T11" s="215"/>
    </row>
    <row r="12" spans="1:20" s="144" customFormat="1" ht="30" customHeight="1" x14ac:dyDescent="0.25">
      <c r="A12" s="211">
        <v>5</v>
      </c>
      <c r="B12" s="191">
        <v>42773</v>
      </c>
      <c r="C12" s="138" t="s">
        <v>907</v>
      </c>
      <c r="D12" s="138" t="s">
        <v>928</v>
      </c>
      <c r="E12" s="146" t="s">
        <v>201</v>
      </c>
      <c r="F12" s="138"/>
      <c r="G12" s="138"/>
      <c r="H12" s="139"/>
      <c r="I12" s="138"/>
      <c r="J12" s="141">
        <v>650000</v>
      </c>
      <c r="K12" s="141"/>
      <c r="L12" s="150"/>
      <c r="M12" s="141"/>
      <c r="N12" s="141"/>
      <c r="O12" s="139">
        <f t="shared" si="0"/>
        <v>650000</v>
      </c>
      <c r="P12" s="139">
        <v>3181818</v>
      </c>
      <c r="Q12" s="139">
        <f t="shared" si="1"/>
        <v>2531818</v>
      </c>
      <c r="S12" s="215"/>
      <c r="T12" s="215"/>
    </row>
    <row r="13" spans="1:20" s="144" customFormat="1" ht="30" customHeight="1" x14ac:dyDescent="0.25">
      <c r="A13" s="211">
        <v>6</v>
      </c>
      <c r="B13" s="191">
        <v>42774</v>
      </c>
      <c r="C13" s="138" t="s">
        <v>908</v>
      </c>
      <c r="D13" s="138" t="s">
        <v>929</v>
      </c>
      <c r="E13" s="146" t="s">
        <v>353</v>
      </c>
      <c r="F13" s="138"/>
      <c r="G13" s="138">
        <v>282</v>
      </c>
      <c r="H13" s="139">
        <v>3953640</v>
      </c>
      <c r="I13" s="138"/>
      <c r="J13" s="141">
        <v>1460000</v>
      </c>
      <c r="K13" s="141"/>
      <c r="L13" s="150"/>
      <c r="M13" s="141"/>
      <c r="N13" s="141"/>
      <c r="O13" s="139">
        <f t="shared" si="0"/>
        <v>5413640</v>
      </c>
      <c r="P13" s="139">
        <v>4800000</v>
      </c>
      <c r="Q13" s="139">
        <f t="shared" si="1"/>
        <v>-613640</v>
      </c>
      <c r="S13" s="215"/>
      <c r="T13" s="215"/>
    </row>
    <row r="14" spans="1:20" s="144" customFormat="1" ht="30" customHeight="1" x14ac:dyDescent="0.25">
      <c r="A14" s="211">
        <v>7</v>
      </c>
      <c r="B14" s="191">
        <v>42775</v>
      </c>
      <c r="C14" s="138" t="s">
        <v>909</v>
      </c>
      <c r="D14" s="138" t="s">
        <v>930</v>
      </c>
      <c r="E14" s="146" t="s">
        <v>945</v>
      </c>
      <c r="F14" s="138"/>
      <c r="G14" s="138"/>
      <c r="H14" s="139"/>
      <c r="I14" s="138"/>
      <c r="J14" s="141">
        <f>1200000+200000</f>
        <v>1400000</v>
      </c>
      <c r="K14" s="141"/>
      <c r="L14" s="150"/>
      <c r="M14" s="141"/>
      <c r="N14" s="141"/>
      <c r="O14" s="139">
        <f t="shared" si="0"/>
        <v>1400000</v>
      </c>
      <c r="P14" s="139">
        <v>4000000</v>
      </c>
      <c r="Q14" s="139">
        <f t="shared" si="1"/>
        <v>2600000</v>
      </c>
      <c r="S14" s="215"/>
      <c r="T14" s="215"/>
    </row>
    <row r="15" spans="1:20" s="144" customFormat="1" ht="30" customHeight="1" x14ac:dyDescent="0.25">
      <c r="A15" s="211">
        <v>8</v>
      </c>
      <c r="B15" s="191">
        <v>42777</v>
      </c>
      <c r="C15" s="138" t="s">
        <v>910</v>
      </c>
      <c r="D15" s="138" t="s">
        <v>931</v>
      </c>
      <c r="E15" s="146" t="s">
        <v>218</v>
      </c>
      <c r="F15" s="138"/>
      <c r="G15" s="138"/>
      <c r="H15" s="139"/>
      <c r="I15" s="138"/>
      <c r="J15" s="141">
        <v>790000</v>
      </c>
      <c r="K15" s="141"/>
      <c r="L15" s="150"/>
      <c r="M15" s="141"/>
      <c r="N15" s="141"/>
      <c r="O15" s="139">
        <f t="shared" si="0"/>
        <v>790000</v>
      </c>
      <c r="P15" s="139">
        <v>3436364</v>
      </c>
      <c r="Q15" s="139">
        <f t="shared" si="1"/>
        <v>2646364</v>
      </c>
      <c r="S15" s="215"/>
      <c r="T15" s="215"/>
    </row>
    <row r="16" spans="1:20" s="144" customFormat="1" ht="30" customHeight="1" x14ac:dyDescent="0.25">
      <c r="A16" s="211">
        <v>9</v>
      </c>
      <c r="B16" s="191">
        <v>42778</v>
      </c>
      <c r="C16" s="138" t="s">
        <v>911</v>
      </c>
      <c r="D16" s="138" t="s">
        <v>932</v>
      </c>
      <c r="E16" s="146" t="s">
        <v>946</v>
      </c>
      <c r="F16" s="138"/>
      <c r="G16" s="138">
        <v>300</v>
      </c>
      <c r="H16" s="139">
        <v>4206000</v>
      </c>
      <c r="I16" s="138"/>
      <c r="J16" s="141">
        <v>1340000</v>
      </c>
      <c r="K16" s="141"/>
      <c r="L16" s="150"/>
      <c r="M16" s="141"/>
      <c r="N16" s="141"/>
      <c r="O16" s="139">
        <f t="shared" si="0"/>
        <v>5546000</v>
      </c>
      <c r="P16" s="139">
        <v>4900000</v>
      </c>
      <c r="Q16" s="139">
        <f t="shared" si="1"/>
        <v>-646000</v>
      </c>
      <c r="S16" s="215"/>
      <c r="T16" s="215"/>
    </row>
    <row r="17" spans="1:20" s="144" customFormat="1" ht="30" customHeight="1" x14ac:dyDescent="0.25">
      <c r="A17" s="211">
        <v>10</v>
      </c>
      <c r="B17" s="191">
        <v>42779</v>
      </c>
      <c r="C17" s="138" t="s">
        <v>912</v>
      </c>
      <c r="D17" s="138" t="s">
        <v>933</v>
      </c>
      <c r="E17" s="146" t="s">
        <v>25</v>
      </c>
      <c r="F17" s="138"/>
      <c r="G17" s="138"/>
      <c r="H17" s="139"/>
      <c r="I17" s="138"/>
      <c r="J17" s="141">
        <v>1910000</v>
      </c>
      <c r="K17" s="141"/>
      <c r="L17" s="150"/>
      <c r="M17" s="141"/>
      <c r="N17" s="141"/>
      <c r="O17" s="139">
        <f t="shared" si="0"/>
        <v>1910000</v>
      </c>
      <c r="P17" s="139">
        <v>8181818</v>
      </c>
      <c r="Q17" s="139">
        <f t="shared" si="1"/>
        <v>6271818</v>
      </c>
      <c r="S17" s="215"/>
      <c r="T17" s="215"/>
    </row>
    <row r="18" spans="1:20" s="144" customFormat="1" ht="30" customHeight="1" x14ac:dyDescent="0.25">
      <c r="A18" s="211">
        <v>11</v>
      </c>
      <c r="B18" s="191">
        <v>42780</v>
      </c>
      <c r="C18" s="138" t="s">
        <v>913</v>
      </c>
      <c r="D18" s="138" t="s">
        <v>934</v>
      </c>
      <c r="E18" s="146" t="s">
        <v>21</v>
      </c>
      <c r="F18" s="138"/>
      <c r="G18" s="138"/>
      <c r="H18" s="139"/>
      <c r="I18" s="138"/>
      <c r="J18" s="141">
        <f>800000+1040000</f>
        <v>1840000</v>
      </c>
      <c r="K18" s="141"/>
      <c r="L18" s="150"/>
      <c r="M18" s="141"/>
      <c r="N18" s="141"/>
      <c r="O18" s="139">
        <f t="shared" si="0"/>
        <v>1840000</v>
      </c>
      <c r="P18" s="139">
        <v>2672727</v>
      </c>
      <c r="Q18" s="139">
        <f t="shared" si="1"/>
        <v>832727</v>
      </c>
      <c r="S18" s="215"/>
      <c r="T18" s="215"/>
    </row>
    <row r="19" spans="1:20" s="144" customFormat="1" ht="30" customHeight="1" x14ac:dyDescent="0.25">
      <c r="A19" s="211">
        <v>12</v>
      </c>
      <c r="B19" s="191">
        <v>42781</v>
      </c>
      <c r="C19" s="138" t="s">
        <v>914</v>
      </c>
      <c r="D19" s="138" t="s">
        <v>934</v>
      </c>
      <c r="E19" s="146" t="s">
        <v>890</v>
      </c>
      <c r="F19" s="138"/>
      <c r="G19" s="138"/>
      <c r="H19" s="139"/>
      <c r="I19" s="138"/>
      <c r="J19" s="141">
        <v>0</v>
      </c>
      <c r="K19" s="141"/>
      <c r="L19" s="150"/>
      <c r="M19" s="141"/>
      <c r="N19" s="141"/>
      <c r="O19" s="139">
        <f t="shared" si="0"/>
        <v>0</v>
      </c>
      <c r="P19" s="139">
        <v>5073636</v>
      </c>
      <c r="Q19" s="139">
        <f t="shared" si="1"/>
        <v>5073636</v>
      </c>
      <c r="S19" s="215"/>
      <c r="T19" s="215"/>
    </row>
    <row r="20" spans="1:20" s="144" customFormat="1" ht="30" customHeight="1" x14ac:dyDescent="0.25">
      <c r="A20" s="211">
        <v>13</v>
      </c>
      <c r="B20" s="191">
        <v>42782</v>
      </c>
      <c r="C20" s="138" t="s">
        <v>915</v>
      </c>
      <c r="D20" s="138" t="s">
        <v>935</v>
      </c>
      <c r="E20" s="146" t="s">
        <v>515</v>
      </c>
      <c r="F20" s="138"/>
      <c r="G20" s="138"/>
      <c r="H20" s="139"/>
      <c r="I20" s="138"/>
      <c r="J20" s="141">
        <v>1340000</v>
      </c>
      <c r="K20" s="141"/>
      <c r="L20" s="150"/>
      <c r="M20" s="141"/>
      <c r="N20" s="141"/>
      <c r="O20" s="139">
        <f t="shared" si="0"/>
        <v>1340000</v>
      </c>
      <c r="P20" s="139">
        <v>4700000</v>
      </c>
      <c r="Q20" s="139">
        <f t="shared" si="1"/>
        <v>3360000</v>
      </c>
      <c r="S20" s="215"/>
      <c r="T20" s="215"/>
    </row>
    <row r="21" spans="1:20" s="144" customFormat="1" ht="30" customHeight="1" x14ac:dyDescent="0.25">
      <c r="A21" s="211">
        <v>14</v>
      </c>
      <c r="B21" s="191">
        <v>42783</v>
      </c>
      <c r="C21" s="138" t="s">
        <v>916</v>
      </c>
      <c r="D21" s="138" t="s">
        <v>936</v>
      </c>
      <c r="E21" s="146" t="s">
        <v>764</v>
      </c>
      <c r="F21" s="138"/>
      <c r="G21" s="138">
        <v>465</v>
      </c>
      <c r="H21" s="139">
        <v>6519300</v>
      </c>
      <c r="I21" s="138"/>
      <c r="J21" s="141">
        <v>960000</v>
      </c>
      <c r="K21" s="141"/>
      <c r="L21" s="150"/>
      <c r="M21" s="141"/>
      <c r="N21" s="141"/>
      <c r="O21" s="139">
        <f t="shared" si="0"/>
        <v>7479300</v>
      </c>
      <c r="P21" s="139">
        <v>4545455</v>
      </c>
      <c r="Q21" s="139">
        <f t="shared" si="1"/>
        <v>-2933845</v>
      </c>
      <c r="S21" s="215"/>
      <c r="T21" s="215"/>
    </row>
    <row r="22" spans="1:20" s="144" customFormat="1" ht="30" customHeight="1" x14ac:dyDescent="0.25">
      <c r="A22" s="211">
        <v>15</v>
      </c>
      <c r="B22" s="191">
        <v>42786</v>
      </c>
      <c r="C22" s="138" t="s">
        <v>917</v>
      </c>
      <c r="D22" s="138" t="s">
        <v>937</v>
      </c>
      <c r="E22" s="146" t="s">
        <v>218</v>
      </c>
      <c r="F22" s="138"/>
      <c r="G22" s="138">
        <v>215</v>
      </c>
      <c r="H22" s="139">
        <v>3074500</v>
      </c>
      <c r="I22" s="138"/>
      <c r="J22" s="141">
        <f>790000+750000</f>
        <v>1540000</v>
      </c>
      <c r="K22" s="141"/>
      <c r="L22" s="150"/>
      <c r="M22" s="141"/>
      <c r="N22" s="141"/>
      <c r="O22" s="139">
        <f t="shared" si="0"/>
        <v>4614500</v>
      </c>
      <c r="P22" s="139">
        <v>3436364</v>
      </c>
      <c r="Q22" s="139">
        <f t="shared" si="1"/>
        <v>-1178136</v>
      </c>
      <c r="S22" s="215"/>
      <c r="T22" s="215"/>
    </row>
    <row r="23" spans="1:20" s="144" customFormat="1" ht="30" customHeight="1" x14ac:dyDescent="0.25">
      <c r="A23" s="211">
        <v>16</v>
      </c>
      <c r="B23" s="191">
        <v>42786</v>
      </c>
      <c r="C23" s="138" t="s">
        <v>918</v>
      </c>
      <c r="D23" s="138" t="s">
        <v>937</v>
      </c>
      <c r="E23" s="146" t="s">
        <v>947</v>
      </c>
      <c r="F23" s="138"/>
      <c r="G23" s="138"/>
      <c r="H23" s="139"/>
      <c r="I23" s="138"/>
      <c r="J23" s="141">
        <v>0</v>
      </c>
      <c r="K23" s="141"/>
      <c r="L23" s="150"/>
      <c r="M23" s="141"/>
      <c r="N23" s="141"/>
      <c r="O23" s="139">
        <f t="shared" si="0"/>
        <v>0</v>
      </c>
      <c r="P23" s="139">
        <v>2138182</v>
      </c>
      <c r="Q23" s="139">
        <f t="shared" si="1"/>
        <v>2138182</v>
      </c>
      <c r="S23" s="215"/>
      <c r="T23" s="215"/>
    </row>
    <row r="24" spans="1:20" s="144" customFormat="1" ht="30" customHeight="1" x14ac:dyDescent="0.25">
      <c r="A24" s="211">
        <v>17</v>
      </c>
      <c r="B24" s="191">
        <v>42786</v>
      </c>
      <c r="C24" s="138" t="s">
        <v>919</v>
      </c>
      <c r="D24" s="138" t="s">
        <v>938</v>
      </c>
      <c r="E24" s="146" t="s">
        <v>177</v>
      </c>
      <c r="F24" s="138"/>
      <c r="G24" s="138"/>
      <c r="H24" s="139"/>
      <c r="I24" s="138"/>
      <c r="J24" s="141">
        <v>790000</v>
      </c>
      <c r="K24" s="141"/>
      <c r="L24" s="150"/>
      <c r="M24" s="141"/>
      <c r="N24" s="141"/>
      <c r="O24" s="139">
        <f t="shared" si="0"/>
        <v>790000</v>
      </c>
      <c r="P24" s="139">
        <v>3200000</v>
      </c>
      <c r="Q24" s="139">
        <f t="shared" si="1"/>
        <v>2410000</v>
      </c>
      <c r="S24" s="215"/>
      <c r="T24" s="215"/>
    </row>
    <row r="25" spans="1:20" s="144" customFormat="1" ht="30" customHeight="1" x14ac:dyDescent="0.25">
      <c r="A25" s="211">
        <v>18</v>
      </c>
      <c r="B25" s="191">
        <v>42787</v>
      </c>
      <c r="C25" s="138" t="s">
        <v>920</v>
      </c>
      <c r="D25" s="138" t="s">
        <v>939</v>
      </c>
      <c r="E25" s="146" t="s">
        <v>948</v>
      </c>
      <c r="F25" s="138"/>
      <c r="G25" s="138"/>
      <c r="H25" s="139"/>
      <c r="I25" s="138"/>
      <c r="J25" s="141">
        <v>1340000</v>
      </c>
      <c r="K25" s="141"/>
      <c r="L25" s="150"/>
      <c r="M25" s="141"/>
      <c r="N25" s="141"/>
      <c r="O25" s="139">
        <f t="shared" si="0"/>
        <v>1340000</v>
      </c>
      <c r="P25" s="139">
        <v>4700000</v>
      </c>
      <c r="Q25" s="139">
        <f t="shared" si="1"/>
        <v>3360000</v>
      </c>
      <c r="S25" s="215"/>
      <c r="T25" s="215"/>
    </row>
    <row r="26" spans="1:20" s="144" customFormat="1" ht="30" customHeight="1" x14ac:dyDescent="0.25">
      <c r="A26" s="211">
        <v>19</v>
      </c>
      <c r="B26" s="191">
        <v>42788</v>
      </c>
      <c r="C26" s="138" t="s">
        <v>921</v>
      </c>
      <c r="D26" s="138" t="s">
        <v>940</v>
      </c>
      <c r="E26" s="146" t="s">
        <v>949</v>
      </c>
      <c r="F26" s="138"/>
      <c r="G26" s="138"/>
      <c r="H26" s="139"/>
      <c r="I26" s="138"/>
      <c r="J26" s="141">
        <v>1150000</v>
      </c>
      <c r="K26" s="141"/>
      <c r="L26" s="150"/>
      <c r="M26" s="141"/>
      <c r="N26" s="141"/>
      <c r="O26" s="139">
        <f t="shared" si="0"/>
        <v>1150000</v>
      </c>
      <c r="P26" s="139">
        <v>3700000</v>
      </c>
      <c r="Q26" s="139">
        <f t="shared" si="1"/>
        <v>2550000</v>
      </c>
      <c r="S26" s="215"/>
      <c r="T26" s="215"/>
    </row>
    <row r="27" spans="1:20" s="144" customFormat="1" ht="30" customHeight="1" x14ac:dyDescent="0.25">
      <c r="A27" s="211">
        <v>20</v>
      </c>
      <c r="B27" s="191">
        <v>42789</v>
      </c>
      <c r="C27" s="138" t="s">
        <v>922</v>
      </c>
      <c r="D27" s="138" t="s">
        <v>941</v>
      </c>
      <c r="E27" s="146" t="s">
        <v>515</v>
      </c>
      <c r="F27" s="138"/>
      <c r="G27" s="138"/>
      <c r="H27" s="139"/>
      <c r="I27" s="138"/>
      <c r="J27" s="141">
        <v>1340000</v>
      </c>
      <c r="K27" s="141"/>
      <c r="L27" s="150"/>
      <c r="M27" s="141"/>
      <c r="N27" s="141"/>
      <c r="O27" s="139">
        <f t="shared" si="0"/>
        <v>1340000</v>
      </c>
      <c r="P27" s="139">
        <v>4700000</v>
      </c>
      <c r="Q27" s="139">
        <f t="shared" si="1"/>
        <v>3360000</v>
      </c>
      <c r="S27" s="215"/>
      <c r="T27" s="215"/>
    </row>
    <row r="28" spans="1:20" s="144" customFormat="1" ht="30" customHeight="1" x14ac:dyDescent="0.25">
      <c r="A28" s="211">
        <v>21</v>
      </c>
      <c r="B28" s="191">
        <v>42793</v>
      </c>
      <c r="C28" s="138" t="s">
        <v>923</v>
      </c>
      <c r="D28" s="138" t="s">
        <v>942</v>
      </c>
      <c r="E28" s="146" t="s">
        <v>948</v>
      </c>
      <c r="F28" s="138"/>
      <c r="G28" s="138">
        <v>500</v>
      </c>
      <c r="H28" s="139">
        <v>7150000</v>
      </c>
      <c r="I28" s="138"/>
      <c r="J28" s="141">
        <v>1340000</v>
      </c>
      <c r="K28" s="141"/>
      <c r="L28" s="150"/>
      <c r="M28" s="141"/>
      <c r="N28" s="141"/>
      <c r="O28" s="139">
        <f t="shared" si="0"/>
        <v>8490000</v>
      </c>
      <c r="P28" s="139">
        <v>4700000</v>
      </c>
      <c r="Q28" s="139">
        <f t="shared" si="1"/>
        <v>-3790000</v>
      </c>
      <c r="S28" s="215"/>
      <c r="T28" s="215"/>
    </row>
    <row r="29" spans="1:20" s="144" customFormat="1" ht="30" customHeight="1" x14ac:dyDescent="0.25">
      <c r="A29" s="211">
        <v>22</v>
      </c>
      <c r="B29" s="191">
        <v>42794</v>
      </c>
      <c r="C29" s="138" t="s">
        <v>924</v>
      </c>
      <c r="D29" s="138" t="s">
        <v>943</v>
      </c>
      <c r="E29" s="146" t="s">
        <v>950</v>
      </c>
      <c r="F29" s="138"/>
      <c r="G29" s="138"/>
      <c r="H29" s="139"/>
      <c r="I29" s="138"/>
      <c r="J29" s="141">
        <f>1100000+140000</f>
        <v>1240000</v>
      </c>
      <c r="K29" s="141"/>
      <c r="L29" s="150"/>
      <c r="M29" s="141"/>
      <c r="N29" s="141"/>
      <c r="O29" s="139">
        <f t="shared" si="0"/>
        <v>1240000</v>
      </c>
      <c r="P29" s="139">
        <v>4700000</v>
      </c>
      <c r="Q29" s="139">
        <f t="shared" si="1"/>
        <v>3460000</v>
      </c>
      <c r="S29" s="215"/>
      <c r="T29" s="215"/>
    </row>
    <row r="30" spans="1:20" s="159" customFormat="1" ht="30" customHeight="1" x14ac:dyDescent="0.25">
      <c r="A30" s="212"/>
      <c r="B30" s="165"/>
      <c r="C30" s="196" t="s">
        <v>1023</v>
      </c>
      <c r="D30" s="195"/>
      <c r="E30" s="197"/>
      <c r="F30" s="195"/>
      <c r="G30" s="195"/>
      <c r="H30" s="155"/>
      <c r="I30" s="195"/>
      <c r="J30" s="155"/>
      <c r="K30" s="157">
        <v>9500000</v>
      </c>
      <c r="L30" s="157"/>
      <c r="M30" s="155"/>
      <c r="N30" s="155"/>
      <c r="O30" s="139">
        <f t="shared" si="0"/>
        <v>9500000</v>
      </c>
      <c r="P30" s="139"/>
      <c r="Q30" s="139">
        <f t="shared" si="1"/>
        <v>-9500000</v>
      </c>
    </row>
    <row r="31" spans="1:20" s="159" customFormat="1" ht="30" customHeight="1" x14ac:dyDescent="0.25">
      <c r="A31" s="212"/>
      <c r="B31" s="165"/>
      <c r="C31" s="196" t="s">
        <v>951</v>
      </c>
      <c r="D31" s="195"/>
      <c r="E31" s="197"/>
      <c r="F31" s="195"/>
      <c r="G31" s="195"/>
      <c r="H31" s="155"/>
      <c r="I31" s="195"/>
      <c r="J31" s="155"/>
      <c r="K31" s="157"/>
      <c r="L31" s="185">
        <v>350000</v>
      </c>
      <c r="M31" s="155"/>
      <c r="N31" s="155"/>
      <c r="O31" s="139">
        <f t="shared" si="0"/>
        <v>350000</v>
      </c>
      <c r="P31" s="139"/>
      <c r="Q31" s="139">
        <f t="shared" si="1"/>
        <v>-350000</v>
      </c>
    </row>
    <row r="32" spans="1:20" s="159" customFormat="1" ht="30" customHeight="1" x14ac:dyDescent="0.25">
      <c r="A32" s="213"/>
      <c r="B32" s="203"/>
      <c r="C32" s="152" t="s">
        <v>952</v>
      </c>
      <c r="D32" s="153"/>
      <c r="E32" s="154"/>
      <c r="F32" s="153"/>
      <c r="G32" s="153"/>
      <c r="H32" s="156"/>
      <c r="I32" s="153"/>
      <c r="J32" s="156"/>
      <c r="K32" s="204"/>
      <c r="L32" s="205">
        <v>1450000</v>
      </c>
      <c r="M32" s="156"/>
      <c r="N32" s="156"/>
      <c r="O32" s="139">
        <f t="shared" si="0"/>
        <v>1450000</v>
      </c>
      <c r="P32" s="139"/>
      <c r="Q32" s="139">
        <f t="shared" si="1"/>
        <v>-1450000</v>
      </c>
    </row>
    <row r="33" spans="1:19" s="159" customFormat="1" ht="30" customHeight="1" x14ac:dyDescent="0.25">
      <c r="A33" s="213"/>
      <c r="B33" s="203"/>
      <c r="C33" s="152" t="s">
        <v>953</v>
      </c>
      <c r="D33" s="153"/>
      <c r="E33" s="154"/>
      <c r="F33" s="153"/>
      <c r="G33" s="153"/>
      <c r="H33" s="156"/>
      <c r="I33" s="153"/>
      <c r="J33" s="156"/>
      <c r="K33" s="204"/>
      <c r="L33" s="205">
        <v>1700000</v>
      </c>
      <c r="M33" s="156"/>
      <c r="N33" s="156"/>
      <c r="O33" s="139">
        <f t="shared" si="0"/>
        <v>1700000</v>
      </c>
      <c r="P33" s="139"/>
      <c r="Q33" s="139">
        <f t="shared" si="1"/>
        <v>-1700000</v>
      </c>
    </row>
    <row r="34" spans="1:19" s="159" customFormat="1" ht="30" customHeight="1" x14ac:dyDescent="0.25">
      <c r="A34" s="213"/>
      <c r="B34" s="203"/>
      <c r="C34" s="152" t="s">
        <v>900</v>
      </c>
      <c r="D34" s="153"/>
      <c r="E34" s="154"/>
      <c r="F34" s="153"/>
      <c r="G34" s="153"/>
      <c r="H34" s="156"/>
      <c r="I34" s="153"/>
      <c r="J34" s="156"/>
      <c r="K34" s="204"/>
      <c r="L34" s="205">
        <v>1320000</v>
      </c>
      <c r="M34" s="156"/>
      <c r="N34" s="156"/>
      <c r="O34" s="139">
        <f t="shared" si="0"/>
        <v>1320000</v>
      </c>
      <c r="P34" s="139"/>
      <c r="Q34" s="139">
        <f t="shared" si="1"/>
        <v>-1320000</v>
      </c>
      <c r="R34" s="186"/>
      <c r="S34" s="188"/>
    </row>
    <row r="35" spans="1:19" ht="30" customHeight="1" x14ac:dyDescent="0.25">
      <c r="A35" s="426" t="s">
        <v>20</v>
      </c>
      <c r="B35" s="426"/>
      <c r="C35" s="426"/>
      <c r="D35" s="426"/>
      <c r="E35" s="426"/>
      <c r="F35" s="426"/>
      <c r="G35" s="161">
        <f t="shared" ref="G35:Q35" si="2">SUM(G7:G34)</f>
        <v>1762</v>
      </c>
      <c r="H35" s="161">
        <f t="shared" si="2"/>
        <v>24903440</v>
      </c>
      <c r="I35" s="161">
        <f t="shared" si="2"/>
        <v>0</v>
      </c>
      <c r="J35" s="161">
        <f t="shared" si="2"/>
        <v>23580000</v>
      </c>
      <c r="K35" s="161">
        <f t="shared" si="2"/>
        <v>9500000</v>
      </c>
      <c r="L35" s="161">
        <f t="shared" si="2"/>
        <v>4820000</v>
      </c>
      <c r="M35" s="161">
        <f t="shared" si="2"/>
        <v>0</v>
      </c>
      <c r="N35" s="161">
        <f t="shared" si="2"/>
        <v>0</v>
      </c>
      <c r="O35" s="161">
        <f t="shared" si="2"/>
        <v>62803440</v>
      </c>
      <c r="P35" s="161">
        <f>SUM(P7:P34)</f>
        <v>87764545</v>
      </c>
      <c r="Q35" s="161">
        <f t="shared" si="2"/>
        <v>24961105</v>
      </c>
      <c r="R35" s="187"/>
      <c r="S35" s="189"/>
    </row>
    <row r="36" spans="1:19" ht="30" customHeight="1" x14ac:dyDescent="0.25">
      <c r="O36" s="158"/>
      <c r="Q36" s="158">
        <f>P35-O35</f>
        <v>24961105</v>
      </c>
    </row>
    <row r="37" spans="1:19" ht="30" customHeight="1" x14ac:dyDescent="0.25">
      <c r="P37" s="143" t="s">
        <v>1095</v>
      </c>
      <c r="Q37" s="143">
        <f>'01-2017'!Q41+'02-2017'!Q35</f>
        <v>35916544</v>
      </c>
    </row>
    <row r="38" spans="1:19" x14ac:dyDescent="0.25">
      <c r="B38" s="129"/>
      <c r="H38" s="128"/>
      <c r="J38" s="128"/>
      <c r="K38" s="128"/>
      <c r="L38" s="128"/>
      <c r="M38" s="128"/>
      <c r="N38" s="128"/>
      <c r="O38" s="128"/>
      <c r="P38" s="128"/>
      <c r="Q38" s="128"/>
    </row>
    <row r="39" spans="1:19" x14ac:dyDescent="0.25">
      <c r="B39" s="129"/>
      <c r="H39" s="128"/>
      <c r="J39" s="128"/>
      <c r="K39" s="128"/>
      <c r="L39" s="128"/>
      <c r="M39" s="128"/>
      <c r="N39" s="128"/>
      <c r="O39" s="128"/>
      <c r="P39" s="128"/>
      <c r="Q39" s="128"/>
    </row>
    <row r="40" spans="1:19" x14ac:dyDescent="0.25">
      <c r="B40" s="129"/>
      <c r="H40" s="128"/>
      <c r="J40" s="128"/>
      <c r="K40" s="128"/>
      <c r="L40" s="128"/>
      <c r="M40" s="128"/>
      <c r="N40" s="128"/>
      <c r="O40" s="128"/>
      <c r="P40" s="128"/>
      <c r="Q40" s="128"/>
    </row>
    <row r="41" spans="1:19" x14ac:dyDescent="0.25">
      <c r="B41" s="129"/>
      <c r="H41" s="128"/>
      <c r="J41" s="128"/>
      <c r="K41" s="128"/>
      <c r="L41" s="128"/>
      <c r="M41" s="128"/>
      <c r="N41" s="128"/>
      <c r="O41" s="128"/>
      <c r="P41" s="128"/>
      <c r="Q41" s="128"/>
    </row>
    <row r="42" spans="1:19" x14ac:dyDescent="0.25">
      <c r="B42" s="129"/>
      <c r="H42" s="128"/>
      <c r="J42" s="128"/>
      <c r="K42" s="128"/>
      <c r="L42" s="128"/>
      <c r="M42" s="128"/>
      <c r="N42" s="128"/>
      <c r="O42" s="128"/>
      <c r="P42" s="128"/>
      <c r="Q42" s="128"/>
    </row>
    <row r="43" spans="1:19" x14ac:dyDescent="0.25">
      <c r="A43" s="128"/>
      <c r="B43" s="129"/>
      <c r="H43" s="128"/>
      <c r="J43" s="128"/>
      <c r="K43" s="128"/>
      <c r="L43" s="128"/>
      <c r="M43" s="128"/>
      <c r="N43" s="128"/>
      <c r="O43" s="128"/>
      <c r="P43" s="128"/>
      <c r="Q43" s="128"/>
    </row>
    <row r="44" spans="1:19" x14ac:dyDescent="0.25">
      <c r="A44" s="128"/>
      <c r="B44" s="129"/>
      <c r="H44" s="128"/>
      <c r="J44" s="128"/>
      <c r="K44" s="128"/>
      <c r="L44" s="128"/>
      <c r="M44" s="128"/>
      <c r="N44" s="128"/>
      <c r="O44" s="128"/>
      <c r="P44" s="128"/>
      <c r="Q44" s="128"/>
    </row>
  </sheetData>
  <mergeCells count="14">
    <mergeCell ref="O5:O6"/>
    <mergeCell ref="P5:P6"/>
    <mergeCell ref="Q5:Q6"/>
    <mergeCell ref="A35:F35"/>
    <mergeCell ref="A1:Q1"/>
    <mergeCell ref="A2:Q2"/>
    <mergeCell ref="B3:Q3"/>
    <mergeCell ref="A5:A6"/>
    <mergeCell ref="B5:B6"/>
    <mergeCell ref="C5:C6"/>
    <mergeCell ref="D5:D6"/>
    <mergeCell ref="E5:E6"/>
    <mergeCell ref="F5:F6"/>
    <mergeCell ref="G5:N5"/>
  </mergeCells>
  <pageMargins left="0" right="0" top="0.25" bottom="0.25" header="0.3" footer="0.3"/>
  <pageSetup paperSize="9" scale="34" orientation="landscape" horizontalDpi="0" verticalDpi="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49"/>
  <sheetViews>
    <sheetView topLeftCell="A7" zoomScaleNormal="100" workbookViewId="0">
      <selection activeCell="A7" sqref="A7:XFD44"/>
    </sheetView>
  </sheetViews>
  <sheetFormatPr defaultColWidth="9.140625" defaultRowHeight="12.75" x14ac:dyDescent="0.25"/>
  <cols>
    <col min="1" max="1" width="4.5703125" style="129" customWidth="1"/>
    <col min="2" max="2" width="10.28515625" style="163" customWidth="1"/>
    <col min="3" max="3" width="31.28515625" style="128" customWidth="1"/>
    <col min="4" max="4" width="18.28515625" style="128" customWidth="1"/>
    <col min="5" max="5" width="31.285156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8.5703125" style="143" customWidth="1"/>
    <col min="14" max="14" width="9.5703125" style="143" customWidth="1"/>
    <col min="15" max="15" width="18.28515625" style="143" customWidth="1"/>
    <col min="16" max="16" width="17.7109375" style="143" customWidth="1"/>
    <col min="17" max="17" width="16.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954</v>
      </c>
      <c r="C3" s="417"/>
      <c r="D3" s="417"/>
      <c r="E3" s="417"/>
      <c r="F3" s="417"/>
      <c r="G3" s="417"/>
      <c r="H3" s="417"/>
      <c r="I3" s="417"/>
      <c r="J3" s="417"/>
      <c r="K3" s="417"/>
      <c r="L3" s="417"/>
      <c r="M3" s="417"/>
      <c r="N3" s="417"/>
      <c r="O3" s="417"/>
      <c r="P3" s="417"/>
      <c r="Q3" s="417"/>
    </row>
    <row r="5" spans="1:20"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1">
        <v>1</v>
      </c>
      <c r="B7" s="191">
        <v>42794</v>
      </c>
      <c r="C7" s="138" t="s">
        <v>955</v>
      </c>
      <c r="D7" s="138" t="s">
        <v>982</v>
      </c>
      <c r="E7" s="146" t="s">
        <v>146</v>
      </c>
      <c r="F7" s="138"/>
      <c r="G7" s="138"/>
      <c r="H7" s="139"/>
      <c r="I7" s="138"/>
      <c r="J7" s="141">
        <v>1600000</v>
      </c>
      <c r="K7" s="141"/>
      <c r="L7" s="150"/>
      <c r="M7" s="141"/>
      <c r="N7" s="141"/>
      <c r="O7" s="139">
        <f>H7+J7+K7+L7+M7+N7</f>
        <v>1600000</v>
      </c>
      <c r="P7" s="139">
        <v>5070000</v>
      </c>
      <c r="Q7" s="139">
        <f>P7-O7</f>
        <v>3470000</v>
      </c>
      <c r="S7" s="215"/>
      <c r="T7" s="215"/>
    </row>
    <row r="8" spans="1:20" s="144" customFormat="1" ht="21.95" customHeight="1" x14ac:dyDescent="0.25">
      <c r="A8" s="211">
        <v>2</v>
      </c>
      <c r="B8" s="191">
        <v>42795</v>
      </c>
      <c r="C8" s="138" t="s">
        <v>956</v>
      </c>
      <c r="D8" s="138" t="s">
        <v>983</v>
      </c>
      <c r="E8" s="146" t="s">
        <v>1009</v>
      </c>
      <c r="F8" s="138"/>
      <c r="G8" s="138"/>
      <c r="H8" s="139"/>
      <c r="I8" s="138"/>
      <c r="J8" s="209">
        <f>1600000+70000</f>
        <v>1670000</v>
      </c>
      <c r="K8" s="141"/>
      <c r="L8" s="150"/>
      <c r="M8" s="141"/>
      <c r="N8" s="141"/>
      <c r="O8" s="139">
        <f t="shared" ref="O8:O39" si="0">H8+J8+K8+L8+M8+N8</f>
        <v>1670000</v>
      </c>
      <c r="P8" s="139">
        <v>5370000</v>
      </c>
      <c r="Q8" s="139">
        <f t="shared" ref="Q8:Q39" si="1">P8-O8</f>
        <v>3700000</v>
      </c>
      <c r="S8" s="215"/>
      <c r="T8" s="215"/>
    </row>
    <row r="9" spans="1:20" s="144" customFormat="1" ht="21.95" customHeight="1" x14ac:dyDescent="0.25">
      <c r="A9" s="211">
        <v>3</v>
      </c>
      <c r="B9" s="191">
        <v>42796</v>
      </c>
      <c r="C9" s="138" t="s">
        <v>957</v>
      </c>
      <c r="D9" s="138" t="s">
        <v>984</v>
      </c>
      <c r="E9" s="146" t="s">
        <v>515</v>
      </c>
      <c r="F9" s="138"/>
      <c r="G9" s="138"/>
      <c r="H9" s="139"/>
      <c r="I9" s="138"/>
      <c r="J9" s="141">
        <f>1340000+140000</f>
        <v>1480000</v>
      </c>
      <c r="K9" s="141"/>
      <c r="L9" s="150"/>
      <c r="M9" s="141"/>
      <c r="N9" s="141"/>
      <c r="O9" s="139">
        <f t="shared" si="0"/>
        <v>1480000</v>
      </c>
      <c r="P9" s="139">
        <v>4770000</v>
      </c>
      <c r="Q9" s="139">
        <f t="shared" si="1"/>
        <v>3290000</v>
      </c>
      <c r="S9" s="215"/>
      <c r="T9" s="215"/>
    </row>
    <row r="10" spans="1:20" s="144" customFormat="1" ht="21.95" customHeight="1" x14ac:dyDescent="0.25">
      <c r="A10" s="211">
        <v>4</v>
      </c>
      <c r="B10" s="191">
        <v>42797</v>
      </c>
      <c r="C10" s="138" t="s">
        <v>958</v>
      </c>
      <c r="D10" s="138" t="s">
        <v>985</v>
      </c>
      <c r="E10" s="146" t="s">
        <v>515</v>
      </c>
      <c r="F10" s="138"/>
      <c r="G10" s="138">
        <v>541</v>
      </c>
      <c r="H10" s="139">
        <v>7736300</v>
      </c>
      <c r="I10" s="138"/>
      <c r="J10" s="141">
        <f>1340000+140000</f>
        <v>1480000</v>
      </c>
      <c r="K10" s="141"/>
      <c r="L10" s="150"/>
      <c r="M10" s="141"/>
      <c r="N10" s="141"/>
      <c r="O10" s="139">
        <f t="shared" si="0"/>
        <v>9216300</v>
      </c>
      <c r="P10" s="139">
        <v>4800000</v>
      </c>
      <c r="Q10" s="139">
        <f t="shared" si="1"/>
        <v>-4416300</v>
      </c>
      <c r="S10" s="215"/>
      <c r="T10" s="215"/>
    </row>
    <row r="11" spans="1:20" s="144" customFormat="1" ht="21.95" customHeight="1" x14ac:dyDescent="0.25">
      <c r="A11" s="211">
        <v>5</v>
      </c>
      <c r="B11" s="191">
        <v>42798</v>
      </c>
      <c r="C11" s="138" t="s">
        <v>959</v>
      </c>
      <c r="D11" s="138" t="s">
        <v>986</v>
      </c>
      <c r="E11" s="146" t="s">
        <v>515</v>
      </c>
      <c r="F11" s="138"/>
      <c r="G11" s="138"/>
      <c r="H11" s="139"/>
      <c r="I11" s="138"/>
      <c r="J11" s="141">
        <f>1340000+140000</f>
        <v>1480000</v>
      </c>
      <c r="K11" s="141"/>
      <c r="L11" s="150"/>
      <c r="M11" s="141"/>
      <c r="N11" s="141"/>
      <c r="O11" s="139">
        <f t="shared" si="0"/>
        <v>1480000</v>
      </c>
      <c r="P11" s="139">
        <v>4770000</v>
      </c>
      <c r="Q11" s="139">
        <f t="shared" si="1"/>
        <v>3290000</v>
      </c>
      <c r="S11" s="215"/>
      <c r="T11" s="215"/>
    </row>
    <row r="12" spans="1:20" s="144" customFormat="1" ht="21.95" customHeight="1" x14ac:dyDescent="0.25">
      <c r="A12" s="211">
        <v>6</v>
      </c>
      <c r="B12" s="191">
        <v>42800</v>
      </c>
      <c r="C12" s="138" t="s">
        <v>178</v>
      </c>
      <c r="D12" s="138" t="s">
        <v>987</v>
      </c>
      <c r="E12" s="146" t="s">
        <v>515</v>
      </c>
      <c r="F12" s="138"/>
      <c r="G12" s="138"/>
      <c r="H12" s="139"/>
      <c r="I12" s="138"/>
      <c r="J12" s="141">
        <f>1340000+140000</f>
        <v>1480000</v>
      </c>
      <c r="K12" s="141"/>
      <c r="L12" s="150"/>
      <c r="M12" s="141"/>
      <c r="N12" s="141"/>
      <c r="O12" s="139">
        <f t="shared" si="0"/>
        <v>1480000</v>
      </c>
      <c r="P12" s="139">
        <v>4770000</v>
      </c>
      <c r="Q12" s="139">
        <f t="shared" si="1"/>
        <v>3290000</v>
      </c>
      <c r="S12" s="215"/>
      <c r="T12" s="215"/>
    </row>
    <row r="13" spans="1:20" s="144" customFormat="1" ht="21.95" customHeight="1" x14ac:dyDescent="0.25">
      <c r="A13" s="211">
        <v>7</v>
      </c>
      <c r="B13" s="191">
        <v>42801</v>
      </c>
      <c r="C13" s="138" t="s">
        <v>960</v>
      </c>
      <c r="D13" s="138" t="s">
        <v>988</v>
      </c>
      <c r="E13" s="146" t="s">
        <v>146</v>
      </c>
      <c r="F13" s="138"/>
      <c r="G13" s="138"/>
      <c r="H13" s="139"/>
      <c r="I13" s="138"/>
      <c r="J13" s="141">
        <f>1600000+140000</f>
        <v>1740000</v>
      </c>
      <c r="K13" s="141"/>
      <c r="L13" s="150"/>
      <c r="M13" s="141"/>
      <c r="N13" s="141"/>
      <c r="O13" s="139">
        <f t="shared" si="0"/>
        <v>1740000</v>
      </c>
      <c r="P13" s="139">
        <v>5070000</v>
      </c>
      <c r="Q13" s="139">
        <f t="shared" si="1"/>
        <v>3330000</v>
      </c>
      <c r="S13" s="215"/>
      <c r="T13" s="215"/>
    </row>
    <row r="14" spans="1:20" s="144" customFormat="1" ht="21.95" customHeight="1" x14ac:dyDescent="0.25">
      <c r="A14" s="211">
        <v>8</v>
      </c>
      <c r="B14" s="191">
        <v>42802</v>
      </c>
      <c r="C14" s="138" t="s">
        <v>961</v>
      </c>
      <c r="D14" s="138" t="s">
        <v>989</v>
      </c>
      <c r="E14" s="146" t="s">
        <v>1010</v>
      </c>
      <c r="F14" s="138"/>
      <c r="G14" s="138">
        <v>653</v>
      </c>
      <c r="H14" s="139">
        <v>9337900</v>
      </c>
      <c r="I14" s="138"/>
      <c r="J14" s="141">
        <f>1600000+140000</f>
        <v>1740000</v>
      </c>
      <c r="K14" s="141"/>
      <c r="L14" s="150"/>
      <c r="M14" s="141"/>
      <c r="N14" s="141"/>
      <c r="O14" s="139">
        <f t="shared" si="0"/>
        <v>11077900</v>
      </c>
      <c r="P14" s="139">
        <v>5200000</v>
      </c>
      <c r="Q14" s="139">
        <f t="shared" si="1"/>
        <v>-5877900</v>
      </c>
      <c r="S14" s="215"/>
      <c r="T14" s="215"/>
    </row>
    <row r="15" spans="1:20" s="144" customFormat="1" ht="21.95" customHeight="1" x14ac:dyDescent="0.25">
      <c r="A15" s="211">
        <v>9</v>
      </c>
      <c r="B15" s="191">
        <v>42803</v>
      </c>
      <c r="C15" s="138" t="s">
        <v>962</v>
      </c>
      <c r="D15" s="138" t="s">
        <v>990</v>
      </c>
      <c r="E15" s="146" t="s">
        <v>1011</v>
      </c>
      <c r="F15" s="138"/>
      <c r="G15" s="138"/>
      <c r="H15" s="139"/>
      <c r="I15" s="138"/>
      <c r="J15" s="141">
        <f>1600000+140000</f>
        <v>1740000</v>
      </c>
      <c r="K15" s="141"/>
      <c r="L15" s="150"/>
      <c r="M15" s="141"/>
      <c r="N15" s="141"/>
      <c r="O15" s="139">
        <f t="shared" si="0"/>
        <v>1740000</v>
      </c>
      <c r="P15" s="139">
        <v>5100000</v>
      </c>
      <c r="Q15" s="139">
        <f t="shared" si="1"/>
        <v>3360000</v>
      </c>
      <c r="S15" s="215"/>
      <c r="T15" s="215"/>
    </row>
    <row r="16" spans="1:20" s="144" customFormat="1" ht="21.95" customHeight="1" x14ac:dyDescent="0.25">
      <c r="A16" s="211">
        <v>10</v>
      </c>
      <c r="B16" s="191">
        <v>42807</v>
      </c>
      <c r="C16" s="138" t="s">
        <v>963</v>
      </c>
      <c r="D16" s="138" t="s">
        <v>991</v>
      </c>
      <c r="E16" s="146" t="s">
        <v>256</v>
      </c>
      <c r="F16" s="138"/>
      <c r="G16" s="138">
        <v>283</v>
      </c>
      <c r="H16" s="139">
        <v>4086520</v>
      </c>
      <c r="I16" s="138"/>
      <c r="J16" s="141">
        <f>1100000+140000</f>
        <v>1240000</v>
      </c>
      <c r="K16" s="141"/>
      <c r="L16" s="150"/>
      <c r="M16" s="141"/>
      <c r="N16" s="141"/>
      <c r="O16" s="139">
        <f t="shared" si="0"/>
        <v>5326520</v>
      </c>
      <c r="P16" s="139">
        <v>4700000</v>
      </c>
      <c r="Q16" s="139">
        <f t="shared" si="1"/>
        <v>-626520</v>
      </c>
      <c r="S16" s="215"/>
      <c r="T16" s="215"/>
    </row>
    <row r="17" spans="1:20" s="144" customFormat="1" ht="21.95" customHeight="1" x14ac:dyDescent="0.25">
      <c r="A17" s="211">
        <v>11</v>
      </c>
      <c r="B17" s="191">
        <v>42807</v>
      </c>
      <c r="C17" s="138" t="s">
        <v>964</v>
      </c>
      <c r="D17" s="138" t="s">
        <v>992</v>
      </c>
      <c r="E17" s="146" t="s">
        <v>515</v>
      </c>
      <c r="F17" s="138"/>
      <c r="G17" s="138"/>
      <c r="H17" s="139"/>
      <c r="I17" s="138"/>
      <c r="J17" s="141">
        <f>1340000+140000</f>
        <v>1480000</v>
      </c>
      <c r="K17" s="141"/>
      <c r="L17" s="150"/>
      <c r="M17" s="141"/>
      <c r="N17" s="141"/>
      <c r="O17" s="139">
        <f t="shared" si="0"/>
        <v>1480000</v>
      </c>
      <c r="P17" s="139">
        <v>4700000</v>
      </c>
      <c r="Q17" s="139">
        <f t="shared" si="1"/>
        <v>3220000</v>
      </c>
      <c r="S17" s="215"/>
      <c r="T17" s="215"/>
    </row>
    <row r="18" spans="1:20" s="144" customFormat="1" ht="21.95" customHeight="1" x14ac:dyDescent="0.25">
      <c r="A18" s="211">
        <v>12</v>
      </c>
      <c r="B18" s="191">
        <v>42808</v>
      </c>
      <c r="C18" s="138" t="s">
        <v>965</v>
      </c>
      <c r="D18" s="138" t="s">
        <v>993</v>
      </c>
      <c r="E18" s="146" t="s">
        <v>1012</v>
      </c>
      <c r="F18" s="138"/>
      <c r="G18" s="138"/>
      <c r="H18" s="139"/>
      <c r="I18" s="138"/>
      <c r="J18" s="141">
        <f>1150000+140000</f>
        <v>1290000</v>
      </c>
      <c r="K18" s="141"/>
      <c r="L18" s="150"/>
      <c r="M18" s="141"/>
      <c r="N18" s="141"/>
      <c r="O18" s="139">
        <f t="shared" si="0"/>
        <v>1290000</v>
      </c>
      <c r="P18" s="139">
        <v>3718182</v>
      </c>
      <c r="Q18" s="139">
        <f t="shared" si="1"/>
        <v>2428182</v>
      </c>
      <c r="S18" s="215"/>
      <c r="T18" s="215"/>
    </row>
    <row r="19" spans="1:20" s="144" customFormat="1" ht="21.95" customHeight="1" x14ac:dyDescent="0.25">
      <c r="A19" s="211">
        <v>13</v>
      </c>
      <c r="B19" s="191">
        <v>42809</v>
      </c>
      <c r="C19" s="138" t="s">
        <v>966</v>
      </c>
      <c r="D19" s="138" t="s">
        <v>994</v>
      </c>
      <c r="E19" s="146" t="s">
        <v>1013</v>
      </c>
      <c r="F19" s="138"/>
      <c r="G19" s="138"/>
      <c r="H19" s="139"/>
      <c r="I19" s="138"/>
      <c r="J19" s="141">
        <f>1150000+140000</f>
        <v>1290000</v>
      </c>
      <c r="K19" s="141"/>
      <c r="L19" s="150"/>
      <c r="M19" s="141"/>
      <c r="N19" s="141"/>
      <c r="O19" s="139">
        <f t="shared" si="0"/>
        <v>1290000</v>
      </c>
      <c r="P19" s="139">
        <v>3718182</v>
      </c>
      <c r="Q19" s="139">
        <f t="shared" si="1"/>
        <v>2428182</v>
      </c>
      <c r="S19" s="215"/>
      <c r="T19" s="215"/>
    </row>
    <row r="20" spans="1:20" s="144" customFormat="1" ht="21.95" customHeight="1" x14ac:dyDescent="0.25">
      <c r="A20" s="211">
        <v>14</v>
      </c>
      <c r="B20" s="191">
        <v>42810</v>
      </c>
      <c r="C20" s="138" t="s">
        <v>967</v>
      </c>
      <c r="D20" s="138" t="s">
        <v>995</v>
      </c>
      <c r="E20" s="146" t="s">
        <v>1014</v>
      </c>
      <c r="F20" s="138"/>
      <c r="G20" s="138"/>
      <c r="H20" s="139"/>
      <c r="I20" s="138"/>
      <c r="J20" s="141">
        <f>1150000+140000</f>
        <v>1290000</v>
      </c>
      <c r="K20" s="141"/>
      <c r="L20" s="150"/>
      <c r="M20" s="141"/>
      <c r="N20" s="141"/>
      <c r="O20" s="139">
        <f t="shared" si="0"/>
        <v>1290000</v>
      </c>
      <c r="P20" s="139">
        <v>3618182</v>
      </c>
      <c r="Q20" s="139">
        <f t="shared" si="1"/>
        <v>2328182</v>
      </c>
      <c r="S20" s="215"/>
      <c r="T20" s="215"/>
    </row>
    <row r="21" spans="1:20" s="144" customFormat="1" ht="21.95" customHeight="1" x14ac:dyDescent="0.25">
      <c r="A21" s="211">
        <v>15</v>
      </c>
      <c r="B21" s="191">
        <v>42811</v>
      </c>
      <c r="C21" s="138" t="s">
        <v>968</v>
      </c>
      <c r="D21" s="138" t="s">
        <v>996</v>
      </c>
      <c r="E21" s="146" t="s">
        <v>21</v>
      </c>
      <c r="F21" s="138"/>
      <c r="G21" s="138"/>
      <c r="H21" s="139"/>
      <c r="I21" s="138"/>
      <c r="J21" s="141">
        <f>800000+140000</f>
        <v>940000</v>
      </c>
      <c r="K21" s="141"/>
      <c r="L21" s="150"/>
      <c r="M21" s="141"/>
      <c r="N21" s="141"/>
      <c r="O21" s="139">
        <f t="shared" si="0"/>
        <v>940000</v>
      </c>
      <c r="P21" s="139">
        <v>3000000</v>
      </c>
      <c r="Q21" s="139">
        <f t="shared" si="1"/>
        <v>2060000</v>
      </c>
      <c r="S21" s="215"/>
      <c r="T21" s="215"/>
    </row>
    <row r="22" spans="1:20" s="144" customFormat="1" ht="21.95" customHeight="1" x14ac:dyDescent="0.25">
      <c r="A22" s="211">
        <v>16</v>
      </c>
      <c r="B22" s="191">
        <v>42812</v>
      </c>
      <c r="C22" s="138" t="s">
        <v>969</v>
      </c>
      <c r="D22" s="138" t="s">
        <v>997</v>
      </c>
      <c r="E22" s="146" t="s">
        <v>1015</v>
      </c>
      <c r="F22" s="138"/>
      <c r="G22" s="138">
        <v>610</v>
      </c>
      <c r="H22" s="139">
        <v>8808400</v>
      </c>
      <c r="I22" s="138"/>
      <c r="J22" s="141">
        <f>140000+960000</f>
        <v>1100000</v>
      </c>
      <c r="K22" s="141"/>
      <c r="L22" s="150"/>
      <c r="M22" s="141"/>
      <c r="N22" s="141"/>
      <c r="O22" s="139">
        <f t="shared" si="0"/>
        <v>9908400</v>
      </c>
      <c r="P22" s="139">
        <v>3300000</v>
      </c>
      <c r="Q22" s="139">
        <f t="shared" si="1"/>
        <v>-6608400</v>
      </c>
      <c r="S22" s="215"/>
      <c r="T22" s="215"/>
    </row>
    <row r="23" spans="1:20" s="144" customFormat="1" ht="21.95" customHeight="1" x14ac:dyDescent="0.25">
      <c r="A23" s="211">
        <v>17</v>
      </c>
      <c r="B23" s="191">
        <v>42813</v>
      </c>
      <c r="C23" s="138" t="s">
        <v>970</v>
      </c>
      <c r="D23" s="138" t="s">
        <v>998</v>
      </c>
      <c r="E23" s="146" t="s">
        <v>1016</v>
      </c>
      <c r="F23" s="138"/>
      <c r="G23" s="138"/>
      <c r="H23" s="139"/>
      <c r="I23" s="138"/>
      <c r="J23" s="141">
        <f>1800000+140000</f>
        <v>1940000</v>
      </c>
      <c r="K23" s="141"/>
      <c r="L23" s="150"/>
      <c r="M23" s="141"/>
      <c r="N23" s="141"/>
      <c r="O23" s="139">
        <f t="shared" si="0"/>
        <v>1940000</v>
      </c>
      <c r="P23" s="139">
        <v>5700000</v>
      </c>
      <c r="Q23" s="139">
        <f t="shared" si="1"/>
        <v>3760000</v>
      </c>
      <c r="S23" s="215"/>
      <c r="T23" s="215"/>
    </row>
    <row r="24" spans="1:20" s="144" customFormat="1" ht="21.95" customHeight="1" x14ac:dyDescent="0.25">
      <c r="A24" s="211">
        <v>18</v>
      </c>
      <c r="B24" s="191">
        <v>42814</v>
      </c>
      <c r="C24" s="138" t="s">
        <v>971</v>
      </c>
      <c r="D24" s="138" t="s">
        <v>999</v>
      </c>
      <c r="E24" s="146" t="s">
        <v>1017</v>
      </c>
      <c r="F24" s="138"/>
      <c r="G24" s="138"/>
      <c r="H24" s="139"/>
      <c r="I24" s="138"/>
      <c r="J24" s="141">
        <f>1150000+140000</f>
        <v>1290000</v>
      </c>
      <c r="K24" s="141"/>
      <c r="L24" s="150"/>
      <c r="M24" s="141"/>
      <c r="N24" s="141"/>
      <c r="O24" s="139">
        <f t="shared" si="0"/>
        <v>1290000</v>
      </c>
      <c r="P24" s="139">
        <v>4200000</v>
      </c>
      <c r="Q24" s="139">
        <f t="shared" si="1"/>
        <v>2910000</v>
      </c>
      <c r="S24" s="215"/>
      <c r="T24" s="215"/>
    </row>
    <row r="25" spans="1:20" s="144" customFormat="1" ht="21.95" customHeight="1" x14ac:dyDescent="0.25">
      <c r="A25" s="211">
        <v>19</v>
      </c>
      <c r="B25" s="191">
        <v>42815</v>
      </c>
      <c r="C25" s="138" t="s">
        <v>972</v>
      </c>
      <c r="D25" s="138" t="s">
        <v>1000</v>
      </c>
      <c r="E25" s="146" t="s">
        <v>948</v>
      </c>
      <c r="F25" s="138"/>
      <c r="G25" s="138"/>
      <c r="H25" s="139"/>
      <c r="I25" s="138"/>
      <c r="J25" s="141">
        <f>1340000+70000+70000</f>
        <v>1480000</v>
      </c>
      <c r="K25" s="141"/>
      <c r="L25" s="150"/>
      <c r="M25" s="141"/>
      <c r="N25" s="141"/>
      <c r="O25" s="139">
        <f t="shared" si="0"/>
        <v>1480000</v>
      </c>
      <c r="P25" s="139">
        <v>4700000</v>
      </c>
      <c r="Q25" s="139">
        <f t="shared" si="1"/>
        <v>3220000</v>
      </c>
      <c r="S25" s="215"/>
      <c r="T25" s="215"/>
    </row>
    <row r="26" spans="1:20" s="144" customFormat="1" ht="21.95" customHeight="1" x14ac:dyDescent="0.25">
      <c r="A26" s="211">
        <v>20</v>
      </c>
      <c r="B26" s="191">
        <v>42816</v>
      </c>
      <c r="C26" s="138" t="s">
        <v>973</v>
      </c>
      <c r="D26" s="138" t="s">
        <v>1001</v>
      </c>
      <c r="E26" s="146" t="s">
        <v>1018</v>
      </c>
      <c r="F26" s="138"/>
      <c r="G26" s="138"/>
      <c r="H26" s="139"/>
      <c r="I26" s="138"/>
      <c r="J26" s="141">
        <f>1600000+140000</f>
        <v>1740000</v>
      </c>
      <c r="K26" s="141"/>
      <c r="L26" s="150"/>
      <c r="M26" s="141"/>
      <c r="N26" s="141"/>
      <c r="O26" s="139">
        <f t="shared" si="0"/>
        <v>1740000</v>
      </c>
      <c r="P26" s="139">
        <v>5070000</v>
      </c>
      <c r="Q26" s="139">
        <f t="shared" si="1"/>
        <v>3330000</v>
      </c>
      <c r="S26" s="215"/>
      <c r="T26" s="215"/>
    </row>
    <row r="27" spans="1:20" s="144" customFormat="1" ht="21.95" customHeight="1" x14ac:dyDescent="0.25">
      <c r="A27" s="211">
        <v>21</v>
      </c>
      <c r="B27" s="191">
        <v>42817</v>
      </c>
      <c r="C27" s="138" t="s">
        <v>974</v>
      </c>
      <c r="D27" s="138" t="s">
        <v>1002</v>
      </c>
      <c r="E27" s="146" t="s">
        <v>1019</v>
      </c>
      <c r="F27" s="138"/>
      <c r="G27" s="138"/>
      <c r="H27" s="139"/>
      <c r="I27" s="138"/>
      <c r="J27" s="141">
        <f>1600000+140000</f>
        <v>1740000</v>
      </c>
      <c r="K27" s="141"/>
      <c r="L27" s="150"/>
      <c r="M27" s="141"/>
      <c r="N27" s="141"/>
      <c r="O27" s="139">
        <f t="shared" si="0"/>
        <v>1740000</v>
      </c>
      <c r="P27" s="139">
        <v>6470000</v>
      </c>
      <c r="Q27" s="139">
        <f t="shared" si="1"/>
        <v>4730000</v>
      </c>
      <c r="S27" s="215"/>
      <c r="T27" s="215"/>
    </row>
    <row r="28" spans="1:20" s="144" customFormat="1" ht="21.95" customHeight="1" x14ac:dyDescent="0.25">
      <c r="A28" s="211">
        <v>22</v>
      </c>
      <c r="B28" s="191">
        <v>42818</v>
      </c>
      <c r="C28" s="138" t="s">
        <v>975</v>
      </c>
      <c r="D28" s="138" t="s">
        <v>1003</v>
      </c>
      <c r="E28" s="146" t="s">
        <v>1020</v>
      </c>
      <c r="F28" s="138"/>
      <c r="G28" s="138"/>
      <c r="H28" s="139"/>
      <c r="I28" s="138"/>
      <c r="J28" s="141">
        <f>1600000+70000+70000</f>
        <v>1740000</v>
      </c>
      <c r="K28" s="141"/>
      <c r="L28" s="150"/>
      <c r="M28" s="141"/>
      <c r="N28" s="141"/>
      <c r="O28" s="139">
        <f t="shared" si="0"/>
        <v>1740000</v>
      </c>
      <c r="P28" s="139">
        <v>6300000</v>
      </c>
      <c r="Q28" s="139">
        <f t="shared" si="1"/>
        <v>4560000</v>
      </c>
      <c r="S28" s="215"/>
      <c r="T28" s="215"/>
    </row>
    <row r="29" spans="1:20" s="144" customFormat="1" ht="21.95" customHeight="1" x14ac:dyDescent="0.25">
      <c r="A29" s="211">
        <v>23</v>
      </c>
      <c r="B29" s="191">
        <v>42820</v>
      </c>
      <c r="C29" s="138" t="s">
        <v>976</v>
      </c>
      <c r="D29" s="138" t="s">
        <v>1004</v>
      </c>
      <c r="E29" s="146" t="s">
        <v>512</v>
      </c>
      <c r="F29" s="138"/>
      <c r="G29" s="138">
        <v>955</v>
      </c>
      <c r="H29" s="139">
        <v>13207650</v>
      </c>
      <c r="I29" s="138"/>
      <c r="J29" s="141">
        <f>1600000+140000</f>
        <v>1740000</v>
      </c>
      <c r="K29" s="141"/>
      <c r="L29" s="150"/>
      <c r="M29" s="141"/>
      <c r="N29" s="141"/>
      <c r="O29" s="139">
        <f t="shared" si="0"/>
        <v>14947650</v>
      </c>
      <c r="P29" s="139">
        <v>5300000</v>
      </c>
      <c r="Q29" s="139">
        <f t="shared" si="1"/>
        <v>-9647650</v>
      </c>
      <c r="S29" s="215"/>
      <c r="T29" s="215"/>
    </row>
    <row r="30" spans="1:20" s="144" customFormat="1" ht="21.95" customHeight="1" x14ac:dyDescent="0.25">
      <c r="A30" s="211">
        <v>24</v>
      </c>
      <c r="B30" s="191">
        <v>42821</v>
      </c>
      <c r="C30" s="138" t="s">
        <v>977</v>
      </c>
      <c r="D30" s="138" t="s">
        <v>1005</v>
      </c>
      <c r="E30" s="146" t="s">
        <v>21</v>
      </c>
      <c r="F30" s="138"/>
      <c r="G30" s="138"/>
      <c r="H30" s="139"/>
      <c r="I30" s="138"/>
      <c r="J30" s="141">
        <f>800000+750000+140000</f>
        <v>1690000</v>
      </c>
      <c r="K30" s="141"/>
      <c r="L30" s="150"/>
      <c r="M30" s="141"/>
      <c r="N30" s="141"/>
      <c r="O30" s="139">
        <f t="shared" si="0"/>
        <v>1690000</v>
      </c>
      <c r="P30" s="139">
        <v>2954545</v>
      </c>
      <c r="Q30" s="139">
        <f t="shared" si="1"/>
        <v>1264545</v>
      </c>
      <c r="S30" s="215"/>
      <c r="T30" s="215"/>
    </row>
    <row r="31" spans="1:20" s="144" customFormat="1" ht="21.95" customHeight="1" x14ac:dyDescent="0.25">
      <c r="A31" s="211">
        <v>25</v>
      </c>
      <c r="B31" s="191">
        <v>42822</v>
      </c>
      <c r="C31" s="138" t="s">
        <v>978</v>
      </c>
      <c r="D31" s="138" t="s">
        <v>1005</v>
      </c>
      <c r="E31" s="146" t="s">
        <v>509</v>
      </c>
      <c r="F31" s="138"/>
      <c r="G31" s="138"/>
      <c r="H31" s="139"/>
      <c r="I31" s="138"/>
      <c r="J31" s="141"/>
      <c r="K31" s="141"/>
      <c r="L31" s="150"/>
      <c r="M31" s="141"/>
      <c r="N31" s="141"/>
      <c r="O31" s="139">
        <f t="shared" si="0"/>
        <v>0</v>
      </c>
      <c r="P31" s="139">
        <v>2475455</v>
      </c>
      <c r="Q31" s="139">
        <f t="shared" si="1"/>
        <v>2475455</v>
      </c>
      <c r="S31" s="215"/>
      <c r="T31" s="215"/>
    </row>
    <row r="32" spans="1:20" s="144" customFormat="1" ht="21.95" customHeight="1" x14ac:dyDescent="0.25">
      <c r="A32" s="211">
        <v>26</v>
      </c>
      <c r="B32" s="191">
        <v>42822</v>
      </c>
      <c r="C32" s="138" t="s">
        <v>979</v>
      </c>
      <c r="D32" s="138" t="s">
        <v>1006</v>
      </c>
      <c r="E32" s="146" t="s">
        <v>1021</v>
      </c>
      <c r="F32" s="138"/>
      <c r="G32" s="138"/>
      <c r="H32" s="139"/>
      <c r="I32" s="138"/>
      <c r="J32" s="141">
        <f>1150000+140000</f>
        <v>1290000</v>
      </c>
      <c r="K32" s="141"/>
      <c r="L32" s="150"/>
      <c r="M32" s="141"/>
      <c r="N32" s="141"/>
      <c r="O32" s="139">
        <f t="shared" si="0"/>
        <v>1290000</v>
      </c>
      <c r="P32" s="139">
        <v>3500000</v>
      </c>
      <c r="Q32" s="139">
        <f t="shared" si="1"/>
        <v>2210000</v>
      </c>
      <c r="S32" s="215"/>
      <c r="T32" s="215"/>
    </row>
    <row r="33" spans="1:20" s="144" customFormat="1" ht="21.95" customHeight="1" x14ac:dyDescent="0.25">
      <c r="A33" s="211">
        <v>27</v>
      </c>
      <c r="B33" s="191">
        <v>42823</v>
      </c>
      <c r="C33" s="138" t="s">
        <v>980</v>
      </c>
      <c r="D33" s="138" t="s">
        <v>1007</v>
      </c>
      <c r="E33" s="146" t="s">
        <v>654</v>
      </c>
      <c r="F33" s="138"/>
      <c r="G33" s="138">
        <v>343</v>
      </c>
      <c r="H33" s="139">
        <v>4743690</v>
      </c>
      <c r="I33" s="138"/>
      <c r="J33" s="141">
        <f>140000+1340000</f>
        <v>1480000</v>
      </c>
      <c r="K33" s="141"/>
      <c r="L33" s="150"/>
      <c r="M33" s="141"/>
      <c r="N33" s="141"/>
      <c r="O33" s="139">
        <f t="shared" si="0"/>
        <v>6223690</v>
      </c>
      <c r="P33" s="139">
        <v>4770000</v>
      </c>
      <c r="Q33" s="139">
        <f t="shared" si="1"/>
        <v>-1453690</v>
      </c>
      <c r="S33" s="215"/>
      <c r="T33" s="215"/>
    </row>
    <row r="34" spans="1:20" s="144" customFormat="1" ht="21.95" customHeight="1" x14ac:dyDescent="0.25">
      <c r="A34" s="211">
        <v>28</v>
      </c>
      <c r="B34" s="191">
        <v>42824</v>
      </c>
      <c r="C34" s="138" t="s">
        <v>981</v>
      </c>
      <c r="D34" s="138" t="s">
        <v>1008</v>
      </c>
      <c r="E34" s="146" t="s">
        <v>146</v>
      </c>
      <c r="F34" s="138"/>
      <c r="G34" s="138"/>
      <c r="H34" s="139"/>
      <c r="I34" s="138"/>
      <c r="J34" s="141">
        <f>1600000+140000</f>
        <v>1740000</v>
      </c>
      <c r="K34" s="141"/>
      <c r="L34" s="150"/>
      <c r="M34" s="141"/>
      <c r="N34" s="141"/>
      <c r="O34" s="139">
        <f t="shared" si="0"/>
        <v>1740000</v>
      </c>
      <c r="P34" s="139">
        <v>5070000</v>
      </c>
      <c r="Q34" s="139">
        <f t="shared" si="1"/>
        <v>3330000</v>
      </c>
      <c r="S34" s="215"/>
      <c r="T34" s="215"/>
    </row>
    <row r="35" spans="1:20" s="159" customFormat="1" ht="21.95" customHeight="1" x14ac:dyDescent="0.25">
      <c r="A35" s="212"/>
      <c r="B35" s="165"/>
      <c r="C35" s="196" t="s">
        <v>1022</v>
      </c>
      <c r="D35" s="195"/>
      <c r="E35" s="197"/>
      <c r="F35" s="195"/>
      <c r="G35" s="195"/>
      <c r="H35" s="155"/>
      <c r="I35" s="195"/>
      <c r="J35" s="155"/>
      <c r="K35" s="157">
        <v>9346154</v>
      </c>
      <c r="L35" s="157"/>
      <c r="M35" s="155"/>
      <c r="N35" s="155"/>
      <c r="O35" s="139">
        <f t="shared" si="0"/>
        <v>9346154</v>
      </c>
      <c r="P35" s="139"/>
      <c r="Q35" s="139">
        <f t="shared" si="1"/>
        <v>-9346154</v>
      </c>
    </row>
    <row r="36" spans="1:20" s="159" customFormat="1" ht="21.95" customHeight="1" x14ac:dyDescent="0.25">
      <c r="A36" s="212"/>
      <c r="B36" s="165"/>
      <c r="C36" s="196" t="s">
        <v>1024</v>
      </c>
      <c r="D36" s="195"/>
      <c r="E36" s="197"/>
      <c r="F36" s="195"/>
      <c r="G36" s="195"/>
      <c r="H36" s="155"/>
      <c r="I36" s="195"/>
      <c r="J36" s="155"/>
      <c r="K36" s="157"/>
      <c r="L36" s="185">
        <v>250000</v>
      </c>
      <c r="M36" s="155"/>
      <c r="N36" s="155"/>
      <c r="O36" s="139">
        <f t="shared" si="0"/>
        <v>250000</v>
      </c>
      <c r="P36" s="139"/>
      <c r="Q36" s="139">
        <f t="shared" si="1"/>
        <v>-250000</v>
      </c>
    </row>
    <row r="37" spans="1:20" s="159" customFormat="1" ht="21.95" customHeight="1" x14ac:dyDescent="0.25">
      <c r="A37" s="213"/>
      <c r="B37" s="203"/>
      <c r="C37" s="152" t="s">
        <v>1025</v>
      </c>
      <c r="D37" s="153"/>
      <c r="E37" s="154"/>
      <c r="F37" s="153"/>
      <c r="G37" s="153"/>
      <c r="H37" s="156"/>
      <c r="I37" s="153"/>
      <c r="J37" s="156"/>
      <c r="K37" s="204"/>
      <c r="L37" s="205">
        <v>500000</v>
      </c>
      <c r="M37" s="156"/>
      <c r="N37" s="156"/>
      <c r="O37" s="139">
        <f t="shared" si="0"/>
        <v>500000</v>
      </c>
      <c r="P37" s="139"/>
      <c r="Q37" s="139">
        <f t="shared" si="1"/>
        <v>-500000</v>
      </c>
    </row>
    <row r="38" spans="1:20" s="159" customFormat="1" ht="21.95" customHeight="1" x14ac:dyDescent="0.25">
      <c r="A38" s="213"/>
      <c r="B38" s="203"/>
      <c r="C38" s="152" t="s">
        <v>1026</v>
      </c>
      <c r="D38" s="153"/>
      <c r="E38" s="154"/>
      <c r="F38" s="153"/>
      <c r="G38" s="153"/>
      <c r="H38" s="156"/>
      <c r="I38" s="153"/>
      <c r="J38" s="156"/>
      <c r="K38" s="204"/>
      <c r="L38" s="205">
        <v>4500000</v>
      </c>
      <c r="M38" s="156"/>
      <c r="N38" s="156"/>
      <c r="O38" s="139">
        <f t="shared" si="0"/>
        <v>4500000</v>
      </c>
      <c r="P38" s="139"/>
      <c r="Q38" s="139">
        <f t="shared" si="1"/>
        <v>-4500000</v>
      </c>
    </row>
    <row r="39" spans="1:20" s="159" customFormat="1" ht="21.95" customHeight="1" x14ac:dyDescent="0.25">
      <c r="A39" s="213"/>
      <c r="B39" s="203"/>
      <c r="C39" s="152" t="s">
        <v>1027</v>
      </c>
      <c r="D39" s="153"/>
      <c r="E39" s="154"/>
      <c r="F39" s="153"/>
      <c r="G39" s="153"/>
      <c r="H39" s="156"/>
      <c r="I39" s="153"/>
      <c r="J39" s="156"/>
      <c r="K39" s="204"/>
      <c r="L39" s="205">
        <v>1320000</v>
      </c>
      <c r="M39" s="156"/>
      <c r="N39" s="156"/>
      <c r="O39" s="139">
        <f t="shared" si="0"/>
        <v>1320000</v>
      </c>
      <c r="P39" s="139"/>
      <c r="Q39" s="139">
        <f t="shared" si="1"/>
        <v>-1320000</v>
      </c>
      <c r="R39" s="186"/>
      <c r="S39" s="188"/>
    </row>
    <row r="40" spans="1:20" ht="21.95" customHeight="1" x14ac:dyDescent="0.25">
      <c r="A40" s="426" t="s">
        <v>20</v>
      </c>
      <c r="B40" s="426"/>
      <c r="C40" s="426"/>
      <c r="D40" s="426"/>
      <c r="E40" s="426"/>
      <c r="F40" s="426"/>
      <c r="G40" s="161">
        <f t="shared" ref="G40:Q40" si="2">SUM(G7:G39)</f>
        <v>3385</v>
      </c>
      <c r="H40" s="161">
        <f t="shared" si="2"/>
        <v>47920460</v>
      </c>
      <c r="I40" s="161">
        <f t="shared" si="2"/>
        <v>0</v>
      </c>
      <c r="J40" s="161">
        <f t="shared" si="2"/>
        <v>40910000</v>
      </c>
      <c r="K40" s="161">
        <f t="shared" si="2"/>
        <v>9346154</v>
      </c>
      <c r="L40" s="161">
        <f t="shared" si="2"/>
        <v>6570000</v>
      </c>
      <c r="M40" s="161">
        <f t="shared" si="2"/>
        <v>0</v>
      </c>
      <c r="N40" s="161">
        <f t="shared" si="2"/>
        <v>0</v>
      </c>
      <c r="O40" s="161">
        <f t="shared" si="2"/>
        <v>104746614</v>
      </c>
      <c r="P40" s="161">
        <f t="shared" si="2"/>
        <v>128184546</v>
      </c>
      <c r="Q40" s="161">
        <f t="shared" si="2"/>
        <v>23437932</v>
      </c>
      <c r="R40" s="187"/>
      <c r="S40" s="189"/>
    </row>
    <row r="41" spans="1:20" ht="21.95" customHeight="1" x14ac:dyDescent="0.25">
      <c r="O41" s="158"/>
      <c r="Q41" s="158">
        <f>P40-O40</f>
        <v>23437932</v>
      </c>
    </row>
    <row r="42" spans="1:20" ht="21.95" customHeight="1" x14ac:dyDescent="0.25">
      <c r="P42" s="143" t="s">
        <v>1095</v>
      </c>
      <c r="Q42" s="143">
        <f>'02-2017'!Q37+'03-2017'!Q40</f>
        <v>59354476</v>
      </c>
    </row>
    <row r="43" spans="1:20" ht="21.95" customHeight="1" x14ac:dyDescent="0.25">
      <c r="B43" s="129"/>
      <c r="H43" s="128"/>
      <c r="J43" s="128"/>
      <c r="K43" s="128"/>
      <c r="L43" s="128"/>
      <c r="M43" s="128"/>
      <c r="N43" s="128"/>
      <c r="O43" s="128"/>
      <c r="P43" s="128"/>
      <c r="Q43" s="128"/>
    </row>
    <row r="44" spans="1:20" ht="21.95" customHeight="1" x14ac:dyDescent="0.25">
      <c r="B44" s="129"/>
      <c r="H44" s="128"/>
      <c r="J44" s="128"/>
      <c r="K44" s="128"/>
      <c r="L44" s="128"/>
      <c r="M44" s="128"/>
      <c r="N44" s="128"/>
      <c r="O44" s="128"/>
      <c r="P44" s="128"/>
      <c r="Q44" s="128"/>
    </row>
    <row r="45" spans="1:20" ht="24.95" customHeight="1" x14ac:dyDescent="0.25">
      <c r="B45" s="129"/>
      <c r="H45" s="128"/>
      <c r="J45" s="128"/>
      <c r="K45" s="128"/>
      <c r="L45" s="128"/>
      <c r="M45" s="128"/>
      <c r="N45" s="128"/>
      <c r="O45" s="128"/>
      <c r="P45" s="128"/>
      <c r="Q45" s="128"/>
    </row>
    <row r="46" spans="1:20" ht="24.95" customHeight="1" x14ac:dyDescent="0.25">
      <c r="B46" s="129"/>
      <c r="H46" s="128"/>
      <c r="J46" s="128"/>
      <c r="K46" s="128"/>
      <c r="L46" s="128"/>
      <c r="M46" s="128"/>
      <c r="N46" s="128"/>
      <c r="O46" s="128"/>
      <c r="P46" s="128"/>
      <c r="Q46" s="128"/>
    </row>
    <row r="47" spans="1:20" ht="24.95" customHeight="1" x14ac:dyDescent="0.25">
      <c r="B47" s="129"/>
      <c r="H47" s="128"/>
      <c r="J47" s="128"/>
      <c r="K47" s="128"/>
      <c r="L47" s="128"/>
      <c r="M47" s="128"/>
      <c r="N47" s="128"/>
      <c r="O47" s="128"/>
      <c r="P47" s="128"/>
      <c r="Q47" s="128"/>
    </row>
    <row r="48" spans="1:20" ht="24.95" customHeight="1" x14ac:dyDescent="0.25">
      <c r="A48" s="128"/>
      <c r="B48" s="129"/>
      <c r="H48" s="128"/>
      <c r="J48" s="128"/>
      <c r="K48" s="128"/>
      <c r="L48" s="128"/>
      <c r="M48" s="128"/>
      <c r="N48" s="128"/>
      <c r="O48" s="128"/>
      <c r="P48" s="128"/>
      <c r="Q48" s="128"/>
    </row>
    <row r="49" spans="2:2" s="128" customFormat="1" ht="24.95" customHeight="1" x14ac:dyDescent="0.25">
      <c r="B49" s="129"/>
    </row>
  </sheetData>
  <mergeCells count="14">
    <mergeCell ref="O5:O6"/>
    <mergeCell ref="P5:P6"/>
    <mergeCell ref="Q5:Q6"/>
    <mergeCell ref="A40:F40"/>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2"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49"/>
  <sheetViews>
    <sheetView topLeftCell="C27" zoomScaleNormal="100" workbookViewId="0">
      <selection activeCell="R5" sqref="A5:XFD41"/>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6.4257812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8.5703125" style="143" customWidth="1"/>
    <col min="14" max="14" width="9.5703125" style="143" customWidth="1"/>
    <col min="15" max="15" width="17.28515625" style="143" customWidth="1"/>
    <col min="16" max="16" width="19.42578125" style="143" customWidth="1"/>
    <col min="17" max="17" width="19.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1028</v>
      </c>
      <c r="C3" s="417"/>
      <c r="D3" s="417"/>
      <c r="E3" s="417"/>
      <c r="F3" s="417"/>
      <c r="G3" s="417"/>
      <c r="H3" s="417"/>
      <c r="I3" s="417"/>
      <c r="J3" s="417"/>
      <c r="K3" s="417"/>
      <c r="L3" s="417"/>
      <c r="M3" s="417"/>
      <c r="N3" s="417"/>
      <c r="O3" s="417"/>
      <c r="P3" s="417"/>
      <c r="Q3" s="417"/>
    </row>
    <row r="5" spans="1:20"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0"/>
      <c r="B7" s="135"/>
      <c r="C7" s="199"/>
      <c r="D7" s="137"/>
      <c r="E7" s="137"/>
      <c r="F7" s="200"/>
      <c r="G7" s="142"/>
      <c r="H7" s="201"/>
      <c r="I7" s="201"/>
      <c r="J7" s="202"/>
      <c r="K7" s="202"/>
      <c r="L7" s="202"/>
      <c r="M7" s="202"/>
      <c r="N7" s="202"/>
      <c r="O7" s="142"/>
      <c r="P7" s="142"/>
      <c r="Q7" s="142"/>
    </row>
    <row r="8" spans="1:20" s="144" customFormat="1" ht="21.95" customHeight="1" x14ac:dyDescent="0.25">
      <c r="A8" s="211">
        <v>1</v>
      </c>
      <c r="B8" s="191">
        <v>42827</v>
      </c>
      <c r="C8" s="138" t="s">
        <v>1029</v>
      </c>
      <c r="D8" s="138" t="s">
        <v>1053</v>
      </c>
      <c r="E8" s="146" t="s">
        <v>1077</v>
      </c>
      <c r="F8" s="138"/>
      <c r="G8" s="138"/>
      <c r="H8" s="139"/>
      <c r="I8" s="138"/>
      <c r="J8" s="141">
        <f>1100000+140000</f>
        <v>1240000</v>
      </c>
      <c r="K8" s="141"/>
      <c r="L8" s="150"/>
      <c r="M8" s="141"/>
      <c r="N8" s="141"/>
      <c r="O8" s="139">
        <f>H8+J8+K8+L8+M8+N8</f>
        <v>1240000</v>
      </c>
      <c r="P8" s="139">
        <v>4700000</v>
      </c>
      <c r="Q8" s="139">
        <f>P8-O8</f>
        <v>3460000</v>
      </c>
      <c r="S8" s="215"/>
      <c r="T8" s="215"/>
    </row>
    <row r="9" spans="1:20" s="144" customFormat="1" ht="21.95" customHeight="1" x14ac:dyDescent="0.25">
      <c r="A9" s="211">
        <v>2</v>
      </c>
      <c r="B9" s="191">
        <v>42828</v>
      </c>
      <c r="C9" s="138" t="s">
        <v>1030</v>
      </c>
      <c r="D9" s="138" t="s">
        <v>1054</v>
      </c>
      <c r="E9" s="146" t="s">
        <v>1078</v>
      </c>
      <c r="F9" s="138"/>
      <c r="G9" s="138">
        <v>390</v>
      </c>
      <c r="H9" s="139">
        <v>5393700</v>
      </c>
      <c r="I9" s="138"/>
      <c r="J9" s="209">
        <f>900000+140000</f>
        <v>1040000</v>
      </c>
      <c r="K9" s="141"/>
      <c r="L9" s="150"/>
      <c r="M9" s="141"/>
      <c r="N9" s="141"/>
      <c r="O9" s="139">
        <f t="shared" ref="O9:O39" si="0">H9+J9+K9+L9+M9+N9</f>
        <v>6433700</v>
      </c>
      <c r="P9" s="139">
        <v>3045455</v>
      </c>
      <c r="Q9" s="139">
        <f t="shared" ref="Q9:Q39" si="1">P9-O9</f>
        <v>-3388245</v>
      </c>
      <c r="S9" s="215"/>
      <c r="T9" s="215"/>
    </row>
    <row r="10" spans="1:20" s="144" customFormat="1" ht="21.95" customHeight="1" x14ac:dyDescent="0.25">
      <c r="A10" s="211">
        <v>3</v>
      </c>
      <c r="B10" s="191">
        <v>42829</v>
      </c>
      <c r="C10" s="138" t="s">
        <v>1031</v>
      </c>
      <c r="D10" s="138" t="s">
        <v>1055</v>
      </c>
      <c r="E10" s="146" t="s">
        <v>1079</v>
      </c>
      <c r="F10" s="138"/>
      <c r="G10" s="138"/>
      <c r="H10" s="139"/>
      <c r="I10" s="138"/>
      <c r="J10" s="141">
        <f>2700000+140000</f>
        <v>2840000</v>
      </c>
      <c r="K10" s="141"/>
      <c r="L10" s="150"/>
      <c r="M10" s="141"/>
      <c r="N10" s="141"/>
      <c r="O10" s="139">
        <f t="shared" si="0"/>
        <v>2840000</v>
      </c>
      <c r="P10" s="139">
        <v>11000000</v>
      </c>
      <c r="Q10" s="139">
        <f t="shared" si="1"/>
        <v>8160000</v>
      </c>
      <c r="S10" s="215"/>
      <c r="T10" s="215"/>
    </row>
    <row r="11" spans="1:20" s="144" customFormat="1" ht="21.95" customHeight="1" x14ac:dyDescent="0.25">
      <c r="A11" s="211">
        <v>4</v>
      </c>
      <c r="B11" s="191">
        <v>42832</v>
      </c>
      <c r="C11" s="138" t="s">
        <v>1032</v>
      </c>
      <c r="D11" s="138" t="s">
        <v>1056</v>
      </c>
      <c r="E11" s="146" t="s">
        <v>1080</v>
      </c>
      <c r="F11" s="138"/>
      <c r="G11" s="138"/>
      <c r="H11" s="139"/>
      <c r="I11" s="138"/>
      <c r="J11" s="141">
        <f>1150000+140000</f>
        <v>1290000</v>
      </c>
      <c r="K11" s="141"/>
      <c r="L11" s="150"/>
      <c r="M11" s="141"/>
      <c r="N11" s="141"/>
      <c r="O11" s="139">
        <f t="shared" si="0"/>
        <v>1290000</v>
      </c>
      <c r="P11" s="139">
        <v>3500000</v>
      </c>
      <c r="Q11" s="139">
        <f t="shared" si="1"/>
        <v>2210000</v>
      </c>
      <c r="S11" s="215"/>
      <c r="T11" s="215"/>
    </row>
    <row r="12" spans="1:20" s="144" customFormat="1" ht="21.95" customHeight="1" x14ac:dyDescent="0.25">
      <c r="A12" s="211">
        <v>5</v>
      </c>
      <c r="B12" s="191">
        <v>42832</v>
      </c>
      <c r="C12" s="138" t="s">
        <v>1033</v>
      </c>
      <c r="D12" s="138" t="s">
        <v>1057</v>
      </c>
      <c r="E12" s="146" t="s">
        <v>584</v>
      </c>
      <c r="F12" s="138"/>
      <c r="G12" s="138"/>
      <c r="H12" s="139"/>
      <c r="I12" s="138"/>
      <c r="J12" s="141">
        <f>1150000+140000</f>
        <v>1290000</v>
      </c>
      <c r="K12" s="141"/>
      <c r="L12" s="150"/>
      <c r="M12" s="141"/>
      <c r="N12" s="141"/>
      <c r="O12" s="139">
        <f t="shared" si="0"/>
        <v>1290000</v>
      </c>
      <c r="P12" s="139">
        <v>3718182</v>
      </c>
      <c r="Q12" s="139">
        <f t="shared" si="1"/>
        <v>2428182</v>
      </c>
      <c r="S12" s="215"/>
      <c r="T12" s="215"/>
    </row>
    <row r="13" spans="1:20" s="144" customFormat="1" ht="21.95" customHeight="1" x14ac:dyDescent="0.25">
      <c r="A13" s="211">
        <v>6</v>
      </c>
      <c r="B13" s="191">
        <v>42833</v>
      </c>
      <c r="C13" s="138" t="s">
        <v>1034</v>
      </c>
      <c r="D13" s="138" t="s">
        <v>1058</v>
      </c>
      <c r="E13" s="146" t="s">
        <v>515</v>
      </c>
      <c r="F13" s="138"/>
      <c r="G13" s="138"/>
      <c r="H13" s="139"/>
      <c r="I13" s="138"/>
      <c r="J13" s="141">
        <f>1340000+140000</f>
        <v>1480000</v>
      </c>
      <c r="K13" s="141"/>
      <c r="L13" s="150"/>
      <c r="M13" s="141"/>
      <c r="N13" s="141"/>
      <c r="O13" s="139">
        <f t="shared" si="0"/>
        <v>1480000</v>
      </c>
      <c r="P13" s="139">
        <v>4770000</v>
      </c>
      <c r="Q13" s="139">
        <f t="shared" si="1"/>
        <v>3290000</v>
      </c>
      <c r="S13" s="215"/>
      <c r="T13" s="215"/>
    </row>
    <row r="14" spans="1:20" s="144" customFormat="1" ht="21.95" customHeight="1" x14ac:dyDescent="0.25">
      <c r="A14" s="211">
        <v>7</v>
      </c>
      <c r="B14" s="191">
        <v>42835</v>
      </c>
      <c r="C14" s="138" t="s">
        <v>1035</v>
      </c>
      <c r="D14" s="138" t="s">
        <v>1059</v>
      </c>
      <c r="E14" s="146" t="s">
        <v>282</v>
      </c>
      <c r="F14" s="138"/>
      <c r="G14" s="138">
        <v>457</v>
      </c>
      <c r="H14" s="139">
        <v>6151220</v>
      </c>
      <c r="I14" s="138"/>
      <c r="J14" s="141">
        <f>1100000+140000</f>
        <v>1240000</v>
      </c>
      <c r="K14" s="141"/>
      <c r="L14" s="150"/>
      <c r="M14" s="141"/>
      <c r="N14" s="141"/>
      <c r="O14" s="139">
        <f t="shared" si="0"/>
        <v>7391220</v>
      </c>
      <c r="P14" s="139">
        <v>4770000</v>
      </c>
      <c r="Q14" s="139">
        <f t="shared" si="1"/>
        <v>-2621220</v>
      </c>
      <c r="S14" s="215"/>
      <c r="T14" s="215"/>
    </row>
    <row r="15" spans="1:20" s="144" customFormat="1" ht="21.95" customHeight="1" x14ac:dyDescent="0.25">
      <c r="A15" s="211">
        <v>8</v>
      </c>
      <c r="B15" s="191">
        <v>42836</v>
      </c>
      <c r="C15" s="138" t="s">
        <v>1036</v>
      </c>
      <c r="D15" s="138" t="s">
        <v>1060</v>
      </c>
      <c r="E15" s="146" t="s">
        <v>948</v>
      </c>
      <c r="F15" s="138"/>
      <c r="G15" s="138"/>
      <c r="H15" s="139"/>
      <c r="I15" s="138"/>
      <c r="J15" s="141">
        <f>1340000+140000</f>
        <v>1480000</v>
      </c>
      <c r="K15" s="141"/>
      <c r="L15" s="150"/>
      <c r="M15" s="141"/>
      <c r="N15" s="141"/>
      <c r="O15" s="139">
        <f t="shared" si="0"/>
        <v>1480000</v>
      </c>
      <c r="P15" s="139">
        <v>4700000</v>
      </c>
      <c r="Q15" s="139">
        <f t="shared" si="1"/>
        <v>3220000</v>
      </c>
      <c r="S15" s="215"/>
      <c r="T15" s="215"/>
    </row>
    <row r="16" spans="1:20" s="144" customFormat="1" ht="21.95" customHeight="1" x14ac:dyDescent="0.25">
      <c r="A16" s="211">
        <v>9</v>
      </c>
      <c r="B16" s="191">
        <v>42838</v>
      </c>
      <c r="C16" s="138" t="s">
        <v>1037</v>
      </c>
      <c r="D16" s="138" t="s">
        <v>1061</v>
      </c>
      <c r="E16" s="146" t="s">
        <v>1081</v>
      </c>
      <c r="F16" s="138"/>
      <c r="G16" s="138"/>
      <c r="H16" s="139"/>
      <c r="I16" s="138"/>
      <c r="J16" s="141">
        <f>1150000+140000</f>
        <v>1290000</v>
      </c>
      <c r="K16" s="141"/>
      <c r="L16" s="150"/>
      <c r="M16" s="141"/>
      <c r="N16" s="141"/>
      <c r="O16" s="139">
        <f t="shared" si="0"/>
        <v>1290000</v>
      </c>
      <c r="P16" s="139">
        <v>3500000</v>
      </c>
      <c r="Q16" s="139">
        <f t="shared" si="1"/>
        <v>2210000</v>
      </c>
      <c r="S16" s="215"/>
      <c r="T16" s="215"/>
    </row>
    <row r="17" spans="1:20" s="144" customFormat="1" ht="21.95" customHeight="1" x14ac:dyDescent="0.25">
      <c r="A17" s="211">
        <v>10</v>
      </c>
      <c r="B17" s="191">
        <v>42838</v>
      </c>
      <c r="C17" s="138" t="s">
        <v>1038</v>
      </c>
      <c r="D17" s="138" t="s">
        <v>1062</v>
      </c>
      <c r="E17" s="146" t="s">
        <v>409</v>
      </c>
      <c r="F17" s="138"/>
      <c r="G17" s="138"/>
      <c r="H17" s="139"/>
      <c r="I17" s="138"/>
      <c r="J17" s="141">
        <f>800000+140000</f>
        <v>940000</v>
      </c>
      <c r="K17" s="141"/>
      <c r="L17" s="150"/>
      <c r="M17" s="141"/>
      <c r="N17" s="141"/>
      <c r="O17" s="139">
        <f t="shared" si="0"/>
        <v>940000</v>
      </c>
      <c r="P17" s="139">
        <v>2800000</v>
      </c>
      <c r="Q17" s="139">
        <f t="shared" si="1"/>
        <v>1860000</v>
      </c>
      <c r="S17" s="215"/>
      <c r="T17" s="215"/>
    </row>
    <row r="18" spans="1:20" s="144" customFormat="1" ht="21.95" customHeight="1" x14ac:dyDescent="0.25">
      <c r="A18" s="211">
        <v>11</v>
      </c>
      <c r="B18" s="191">
        <v>42839</v>
      </c>
      <c r="C18" s="138" t="s">
        <v>1039</v>
      </c>
      <c r="D18" s="138" t="s">
        <v>1063</v>
      </c>
      <c r="E18" s="146" t="s">
        <v>409</v>
      </c>
      <c r="F18" s="138"/>
      <c r="G18" s="138"/>
      <c r="H18" s="139"/>
      <c r="I18" s="138"/>
      <c r="J18" s="141">
        <f>800000+140000</f>
        <v>940000</v>
      </c>
      <c r="K18" s="141"/>
      <c r="L18" s="150"/>
      <c r="M18" s="141"/>
      <c r="N18" s="141"/>
      <c r="O18" s="139">
        <f t="shared" si="0"/>
        <v>940000</v>
      </c>
      <c r="P18" s="139">
        <v>2800000</v>
      </c>
      <c r="Q18" s="139">
        <f t="shared" si="1"/>
        <v>1860000</v>
      </c>
      <c r="S18" s="215"/>
      <c r="T18" s="215"/>
    </row>
    <row r="19" spans="1:20" s="144" customFormat="1" ht="21.95" customHeight="1" x14ac:dyDescent="0.25">
      <c r="A19" s="211">
        <v>12</v>
      </c>
      <c r="B19" s="191">
        <v>42840</v>
      </c>
      <c r="C19" s="138" t="s">
        <v>1040</v>
      </c>
      <c r="D19" s="138" t="s">
        <v>1064</v>
      </c>
      <c r="E19" s="146" t="s">
        <v>21</v>
      </c>
      <c r="F19" s="138"/>
      <c r="G19" s="138">
        <v>580</v>
      </c>
      <c r="H19" s="139">
        <v>7806000</v>
      </c>
      <c r="I19" s="138"/>
      <c r="J19" s="141">
        <f>800000+140000</f>
        <v>940000</v>
      </c>
      <c r="K19" s="141"/>
      <c r="L19" s="150"/>
      <c r="M19" s="141"/>
      <c r="N19" s="141"/>
      <c r="O19" s="139">
        <f t="shared" si="0"/>
        <v>8746000</v>
      </c>
      <c r="P19" s="139">
        <v>3100000</v>
      </c>
      <c r="Q19" s="139">
        <f t="shared" si="1"/>
        <v>-5646000</v>
      </c>
      <c r="S19" s="215"/>
      <c r="T19" s="215"/>
    </row>
    <row r="20" spans="1:20" s="144" customFormat="1" ht="21.95" customHeight="1" x14ac:dyDescent="0.25">
      <c r="A20" s="211">
        <v>13</v>
      </c>
      <c r="B20" s="191">
        <v>42841</v>
      </c>
      <c r="C20" s="138" t="s">
        <v>1041</v>
      </c>
      <c r="D20" s="138" t="s">
        <v>1065</v>
      </c>
      <c r="E20" s="146" t="s">
        <v>515</v>
      </c>
      <c r="F20" s="138"/>
      <c r="G20" s="138"/>
      <c r="H20" s="139"/>
      <c r="I20" s="138"/>
      <c r="J20" s="141">
        <f>1340000+140000</f>
        <v>1480000</v>
      </c>
      <c r="K20" s="141"/>
      <c r="L20" s="150"/>
      <c r="M20" s="141"/>
      <c r="N20" s="141"/>
      <c r="O20" s="139">
        <f t="shared" si="0"/>
        <v>1480000</v>
      </c>
      <c r="P20" s="139">
        <v>4700000</v>
      </c>
      <c r="Q20" s="139">
        <f t="shared" si="1"/>
        <v>3220000</v>
      </c>
      <c r="S20" s="215"/>
      <c r="T20" s="215"/>
    </row>
    <row r="21" spans="1:20" s="144" customFormat="1" ht="21.95" customHeight="1" x14ac:dyDescent="0.25">
      <c r="A21" s="211">
        <v>14</v>
      </c>
      <c r="B21" s="191">
        <v>42842</v>
      </c>
      <c r="C21" s="138" t="s">
        <v>1042</v>
      </c>
      <c r="D21" s="138" t="s">
        <v>1066</v>
      </c>
      <c r="E21" s="146" t="s">
        <v>23</v>
      </c>
      <c r="F21" s="138"/>
      <c r="G21" s="138"/>
      <c r="H21" s="139"/>
      <c r="I21" s="138"/>
      <c r="J21" s="141">
        <f>2920000+140000</f>
        <v>3060000</v>
      </c>
      <c r="K21" s="141"/>
      <c r="L21" s="150"/>
      <c r="M21" s="141"/>
      <c r="N21" s="141"/>
      <c r="O21" s="139">
        <f t="shared" si="0"/>
        <v>3060000</v>
      </c>
      <c r="P21" s="139">
        <v>12181818</v>
      </c>
      <c r="Q21" s="139">
        <f t="shared" si="1"/>
        <v>9121818</v>
      </c>
      <c r="S21" s="215"/>
      <c r="T21" s="215"/>
    </row>
    <row r="22" spans="1:20" s="144" customFormat="1" ht="21.95" customHeight="1" x14ac:dyDescent="0.25">
      <c r="A22" s="211">
        <v>15</v>
      </c>
      <c r="B22" s="191">
        <v>42844</v>
      </c>
      <c r="C22" s="138" t="s">
        <v>1043</v>
      </c>
      <c r="D22" s="138" t="s">
        <v>1067</v>
      </c>
      <c r="E22" s="146" t="s">
        <v>84</v>
      </c>
      <c r="F22" s="138"/>
      <c r="G22" s="138">
        <v>520</v>
      </c>
      <c r="H22" s="139">
        <v>6999200</v>
      </c>
      <c r="I22" s="138"/>
      <c r="J22" s="141">
        <f>1150000+140000</f>
        <v>1290000</v>
      </c>
      <c r="K22" s="141"/>
      <c r="L22" s="150"/>
      <c r="M22" s="141"/>
      <c r="N22" s="141"/>
      <c r="O22" s="139">
        <f t="shared" si="0"/>
        <v>8289200</v>
      </c>
      <c r="P22" s="139">
        <v>4318182</v>
      </c>
      <c r="Q22" s="139">
        <f t="shared" si="1"/>
        <v>-3971018</v>
      </c>
      <c r="S22" s="215"/>
      <c r="T22" s="215"/>
    </row>
    <row r="23" spans="1:20" s="144" customFormat="1" ht="21.95" customHeight="1" x14ac:dyDescent="0.25">
      <c r="A23" s="211">
        <v>16</v>
      </c>
      <c r="B23" s="191">
        <v>42844</v>
      </c>
      <c r="C23" s="138" t="s">
        <v>1044</v>
      </c>
      <c r="D23" s="138" t="s">
        <v>1068</v>
      </c>
      <c r="E23" s="146" t="s">
        <v>279</v>
      </c>
      <c r="F23" s="138"/>
      <c r="G23" s="138"/>
      <c r="H23" s="139"/>
      <c r="I23" s="138"/>
      <c r="J23" s="141">
        <f>2470000+140000</f>
        <v>2610000</v>
      </c>
      <c r="K23" s="141"/>
      <c r="L23" s="150"/>
      <c r="M23" s="141"/>
      <c r="N23" s="141"/>
      <c r="O23" s="139">
        <f t="shared" si="0"/>
        <v>2610000</v>
      </c>
      <c r="P23" s="139">
        <v>9545455</v>
      </c>
      <c r="Q23" s="139">
        <f t="shared" si="1"/>
        <v>6935455</v>
      </c>
      <c r="S23" s="215"/>
      <c r="T23" s="215"/>
    </row>
    <row r="24" spans="1:20" s="144" customFormat="1" ht="21.95" customHeight="1" x14ac:dyDescent="0.25">
      <c r="A24" s="211">
        <v>17</v>
      </c>
      <c r="B24" s="191">
        <v>42844</v>
      </c>
      <c r="C24" s="138" t="s">
        <v>1045</v>
      </c>
      <c r="D24" s="138" t="s">
        <v>1069</v>
      </c>
      <c r="E24" s="146" t="s">
        <v>243</v>
      </c>
      <c r="F24" s="138"/>
      <c r="G24" s="138"/>
      <c r="H24" s="139"/>
      <c r="I24" s="138"/>
      <c r="J24" s="141">
        <v>0</v>
      </c>
      <c r="K24" s="141"/>
      <c r="L24" s="150"/>
      <c r="M24" s="141"/>
      <c r="N24" s="141"/>
      <c r="O24" s="139">
        <f t="shared" si="0"/>
        <v>0</v>
      </c>
      <c r="P24" s="139">
        <v>2500000</v>
      </c>
      <c r="Q24" s="139">
        <f t="shared" si="1"/>
        <v>2500000</v>
      </c>
      <c r="S24" s="215"/>
      <c r="T24" s="215"/>
    </row>
    <row r="25" spans="1:20" s="144" customFormat="1" ht="21.95" customHeight="1" x14ac:dyDescent="0.25">
      <c r="A25" s="211">
        <v>18</v>
      </c>
      <c r="B25" s="191">
        <v>42845</v>
      </c>
      <c r="C25" s="138" t="s">
        <v>1046</v>
      </c>
      <c r="D25" s="138" t="s">
        <v>1070</v>
      </c>
      <c r="E25" s="146" t="s">
        <v>722</v>
      </c>
      <c r="F25" s="138"/>
      <c r="G25" s="138"/>
      <c r="H25" s="139"/>
      <c r="I25" s="138"/>
      <c r="J25" s="141">
        <f>1340000+140000</f>
        <v>1480000</v>
      </c>
      <c r="K25" s="141"/>
      <c r="L25" s="150"/>
      <c r="M25" s="141"/>
      <c r="N25" s="141"/>
      <c r="O25" s="139">
        <f t="shared" si="0"/>
        <v>1480000</v>
      </c>
      <c r="P25" s="139">
        <v>4700000</v>
      </c>
      <c r="Q25" s="139">
        <f t="shared" si="1"/>
        <v>3220000</v>
      </c>
      <c r="S25" s="215"/>
      <c r="T25" s="215"/>
    </row>
    <row r="26" spans="1:20" s="144" customFormat="1" ht="21.95" customHeight="1" x14ac:dyDescent="0.25">
      <c r="A26" s="211">
        <v>19</v>
      </c>
      <c r="B26" s="191">
        <v>42846</v>
      </c>
      <c r="C26" s="138" t="s">
        <v>1047</v>
      </c>
      <c r="D26" s="138" t="s">
        <v>1071</v>
      </c>
      <c r="E26" s="146" t="s">
        <v>1082</v>
      </c>
      <c r="F26" s="138"/>
      <c r="G26" s="138"/>
      <c r="H26" s="139"/>
      <c r="I26" s="138"/>
      <c r="J26" s="141">
        <f>1600000+140000</f>
        <v>1740000</v>
      </c>
      <c r="K26" s="141"/>
      <c r="L26" s="150"/>
      <c r="M26" s="141"/>
      <c r="N26" s="141"/>
      <c r="O26" s="139">
        <f t="shared" si="0"/>
        <v>1740000</v>
      </c>
      <c r="P26" s="139">
        <v>4900000</v>
      </c>
      <c r="Q26" s="139">
        <f t="shared" si="1"/>
        <v>3160000</v>
      </c>
      <c r="S26" s="215"/>
      <c r="T26" s="215"/>
    </row>
    <row r="27" spans="1:20" s="144" customFormat="1" ht="21.95" customHeight="1" x14ac:dyDescent="0.25">
      <c r="A27" s="211">
        <v>20</v>
      </c>
      <c r="B27" s="191">
        <v>42848</v>
      </c>
      <c r="C27" s="138" t="s">
        <v>1048</v>
      </c>
      <c r="D27" s="138" t="s">
        <v>1072</v>
      </c>
      <c r="E27" s="146" t="s">
        <v>515</v>
      </c>
      <c r="F27" s="138"/>
      <c r="G27" s="138">
        <v>440</v>
      </c>
      <c r="H27" s="139">
        <v>6076400</v>
      </c>
      <c r="I27" s="138"/>
      <c r="J27" s="141">
        <f>1300000+140000</f>
        <v>1440000</v>
      </c>
      <c r="K27" s="141"/>
      <c r="L27" s="150"/>
      <c r="M27" s="141"/>
      <c r="N27" s="141"/>
      <c r="O27" s="139">
        <f t="shared" si="0"/>
        <v>7516400</v>
      </c>
      <c r="P27" s="139">
        <v>4700000</v>
      </c>
      <c r="Q27" s="139">
        <f t="shared" si="1"/>
        <v>-2816400</v>
      </c>
      <c r="S27" s="215"/>
      <c r="T27" s="215"/>
    </row>
    <row r="28" spans="1:20" s="144" customFormat="1" ht="21.95" customHeight="1" x14ac:dyDescent="0.25">
      <c r="A28" s="211">
        <v>21</v>
      </c>
      <c r="B28" s="191">
        <v>42850</v>
      </c>
      <c r="C28" s="138" t="s">
        <v>1049</v>
      </c>
      <c r="D28" s="138" t="s">
        <v>1073</v>
      </c>
      <c r="E28" s="146" t="s">
        <v>1083</v>
      </c>
      <c r="F28" s="138"/>
      <c r="G28" s="138"/>
      <c r="H28" s="139"/>
      <c r="I28" s="138"/>
      <c r="J28" s="141">
        <f>1600000+140000</f>
        <v>1740000</v>
      </c>
      <c r="K28" s="141"/>
      <c r="L28" s="150"/>
      <c r="M28" s="141"/>
      <c r="N28" s="141"/>
      <c r="O28" s="139">
        <f t="shared" si="0"/>
        <v>1740000</v>
      </c>
      <c r="P28" s="139">
        <v>5270000</v>
      </c>
      <c r="Q28" s="139">
        <f t="shared" si="1"/>
        <v>3530000</v>
      </c>
      <c r="S28" s="215"/>
      <c r="T28" s="215"/>
    </row>
    <row r="29" spans="1:20" s="144" customFormat="1" ht="21.95" customHeight="1" x14ac:dyDescent="0.25">
      <c r="A29" s="211">
        <v>22</v>
      </c>
      <c r="B29" s="191">
        <v>42851</v>
      </c>
      <c r="C29" s="138" t="s">
        <v>1050</v>
      </c>
      <c r="D29" s="138" t="s">
        <v>1074</v>
      </c>
      <c r="E29" s="146" t="s">
        <v>1084</v>
      </c>
      <c r="F29" s="138"/>
      <c r="G29" s="138"/>
      <c r="H29" s="139"/>
      <c r="I29" s="138"/>
      <c r="J29" s="141">
        <v>1150000</v>
      </c>
      <c r="K29" s="141"/>
      <c r="L29" s="150"/>
      <c r="M29" s="141"/>
      <c r="N29" s="141"/>
      <c r="O29" s="139">
        <f t="shared" si="0"/>
        <v>1150000</v>
      </c>
      <c r="P29" s="139">
        <v>4500000</v>
      </c>
      <c r="Q29" s="139">
        <f t="shared" si="1"/>
        <v>3350000</v>
      </c>
      <c r="S29" s="215"/>
      <c r="T29" s="215"/>
    </row>
    <row r="30" spans="1:20" s="144" customFormat="1" ht="21.95" customHeight="1" x14ac:dyDescent="0.25">
      <c r="A30" s="211">
        <v>23</v>
      </c>
      <c r="B30" s="191">
        <v>42852</v>
      </c>
      <c r="C30" s="138" t="s">
        <v>1051</v>
      </c>
      <c r="D30" s="138" t="s">
        <v>1075</v>
      </c>
      <c r="E30" s="146" t="s">
        <v>1085</v>
      </c>
      <c r="F30" s="138"/>
      <c r="G30" s="138"/>
      <c r="H30" s="139"/>
      <c r="I30" s="138"/>
      <c r="J30" s="141">
        <f>1600000+140000</f>
        <v>1740000</v>
      </c>
      <c r="K30" s="141"/>
      <c r="L30" s="150"/>
      <c r="M30" s="141"/>
      <c r="N30" s="141"/>
      <c r="O30" s="139">
        <f t="shared" si="0"/>
        <v>1740000</v>
      </c>
      <c r="P30" s="139">
        <v>7070000</v>
      </c>
      <c r="Q30" s="139">
        <f t="shared" si="1"/>
        <v>5330000</v>
      </c>
      <c r="S30" s="215"/>
      <c r="T30" s="215"/>
    </row>
    <row r="31" spans="1:20" s="144" customFormat="1" ht="21.95" customHeight="1" x14ac:dyDescent="0.25">
      <c r="A31" s="211">
        <v>24</v>
      </c>
      <c r="B31" s="191">
        <v>42853</v>
      </c>
      <c r="C31" s="138" t="s">
        <v>1052</v>
      </c>
      <c r="D31" s="214" t="s">
        <v>1076</v>
      </c>
      <c r="E31" s="146" t="s">
        <v>1086</v>
      </c>
      <c r="F31" s="138"/>
      <c r="G31" s="138">
        <v>520</v>
      </c>
      <c r="H31" s="139">
        <v>7181200</v>
      </c>
      <c r="I31" s="138"/>
      <c r="J31" s="141">
        <v>6000000</v>
      </c>
      <c r="K31" s="141"/>
      <c r="L31" s="150"/>
      <c r="M31" s="141"/>
      <c r="N31" s="141"/>
      <c r="O31" s="139">
        <f t="shared" si="0"/>
        <v>13181200</v>
      </c>
      <c r="P31" s="139">
        <v>19000000</v>
      </c>
      <c r="Q31" s="139">
        <f t="shared" si="1"/>
        <v>5818800</v>
      </c>
      <c r="S31" s="215"/>
      <c r="T31" s="215"/>
    </row>
    <row r="32" spans="1:20" s="159" customFormat="1" ht="21.95" customHeight="1" x14ac:dyDescent="0.25">
      <c r="A32" s="212"/>
      <c r="B32" s="165"/>
      <c r="C32" s="196" t="s">
        <v>1087</v>
      </c>
      <c r="D32" s="195"/>
      <c r="E32" s="197"/>
      <c r="F32" s="195"/>
      <c r="G32" s="195"/>
      <c r="H32" s="155"/>
      <c r="I32" s="195"/>
      <c r="J32" s="155"/>
      <c r="K32" s="157">
        <v>9500000</v>
      </c>
      <c r="L32" s="157"/>
      <c r="M32" s="155"/>
      <c r="N32" s="155"/>
      <c r="O32" s="139">
        <f t="shared" si="0"/>
        <v>9500000</v>
      </c>
      <c r="P32" s="139"/>
      <c r="Q32" s="139">
        <f t="shared" si="1"/>
        <v>-9500000</v>
      </c>
      <c r="T32" s="215"/>
    </row>
    <row r="33" spans="1:20" s="159" customFormat="1" ht="21.95" customHeight="1" x14ac:dyDescent="0.25">
      <c r="A33" s="212"/>
      <c r="B33" s="165"/>
      <c r="C33" s="196" t="s">
        <v>1088</v>
      </c>
      <c r="D33" s="195"/>
      <c r="E33" s="197"/>
      <c r="F33" s="195"/>
      <c r="G33" s="195"/>
      <c r="H33" s="155"/>
      <c r="I33" s="195"/>
      <c r="J33" s="155"/>
      <c r="K33" s="157"/>
      <c r="L33" s="185">
        <v>450000</v>
      </c>
      <c r="M33" s="155"/>
      <c r="N33" s="155"/>
      <c r="O33" s="139">
        <f t="shared" si="0"/>
        <v>450000</v>
      </c>
      <c r="P33" s="139"/>
      <c r="Q33" s="139">
        <f t="shared" si="1"/>
        <v>-450000</v>
      </c>
      <c r="T33" s="215"/>
    </row>
    <row r="34" spans="1:20" s="159" customFormat="1" ht="21.95" customHeight="1" x14ac:dyDescent="0.25">
      <c r="A34" s="213"/>
      <c r="B34" s="203"/>
      <c r="C34" s="152" t="s">
        <v>1089</v>
      </c>
      <c r="D34" s="153"/>
      <c r="E34" s="154"/>
      <c r="F34" s="153"/>
      <c r="G34" s="153"/>
      <c r="H34" s="156"/>
      <c r="I34" s="153"/>
      <c r="J34" s="156"/>
      <c r="K34" s="204"/>
      <c r="L34" s="205">
        <v>1000000</v>
      </c>
      <c r="M34" s="156"/>
      <c r="N34" s="156"/>
      <c r="O34" s="139">
        <f t="shared" si="0"/>
        <v>1000000</v>
      </c>
      <c r="P34" s="139"/>
      <c r="Q34" s="139">
        <f t="shared" si="1"/>
        <v>-1000000</v>
      </c>
      <c r="T34" s="215"/>
    </row>
    <row r="35" spans="1:20" s="159" customFormat="1" ht="21.95" customHeight="1" x14ac:dyDescent="0.25">
      <c r="A35" s="213"/>
      <c r="B35" s="203"/>
      <c r="C35" s="152" t="s">
        <v>1090</v>
      </c>
      <c r="D35" s="153"/>
      <c r="E35" s="154"/>
      <c r="F35" s="153"/>
      <c r="G35" s="153"/>
      <c r="H35" s="156"/>
      <c r="I35" s="153"/>
      <c r="J35" s="156"/>
      <c r="K35" s="204"/>
      <c r="L35" s="205">
        <v>300000</v>
      </c>
      <c r="M35" s="156"/>
      <c r="N35" s="156"/>
      <c r="O35" s="139">
        <f t="shared" si="0"/>
        <v>300000</v>
      </c>
      <c r="P35" s="139"/>
      <c r="Q35" s="139">
        <f t="shared" si="1"/>
        <v>-300000</v>
      </c>
      <c r="T35" s="215"/>
    </row>
    <row r="36" spans="1:20" s="159" customFormat="1" ht="21.95" customHeight="1" x14ac:dyDescent="0.25">
      <c r="A36" s="213"/>
      <c r="B36" s="203"/>
      <c r="C36" s="152" t="s">
        <v>1091</v>
      </c>
      <c r="D36" s="153"/>
      <c r="E36" s="154"/>
      <c r="F36" s="153"/>
      <c r="G36" s="153"/>
      <c r="H36" s="156"/>
      <c r="I36" s="153"/>
      <c r="J36" s="156"/>
      <c r="K36" s="204"/>
      <c r="L36" s="205">
        <v>17160000</v>
      </c>
      <c r="M36" s="156"/>
      <c r="N36" s="156"/>
      <c r="O36" s="139">
        <f t="shared" si="0"/>
        <v>17160000</v>
      </c>
      <c r="P36" s="139"/>
      <c r="Q36" s="139">
        <f t="shared" si="1"/>
        <v>-17160000</v>
      </c>
      <c r="T36" s="215"/>
    </row>
    <row r="37" spans="1:20" s="159" customFormat="1" ht="21.95" customHeight="1" x14ac:dyDescent="0.25">
      <c r="A37" s="213"/>
      <c r="B37" s="203"/>
      <c r="C37" s="152" t="s">
        <v>1092</v>
      </c>
      <c r="D37" s="153"/>
      <c r="E37" s="154"/>
      <c r="F37" s="153"/>
      <c r="G37" s="153"/>
      <c r="H37" s="156"/>
      <c r="I37" s="153"/>
      <c r="J37" s="156"/>
      <c r="K37" s="204"/>
      <c r="L37" s="205">
        <v>840000</v>
      </c>
      <c r="M37" s="156"/>
      <c r="N37" s="156"/>
      <c r="O37" s="139">
        <f t="shared" si="0"/>
        <v>840000</v>
      </c>
      <c r="P37" s="139"/>
      <c r="Q37" s="139">
        <f t="shared" si="1"/>
        <v>-840000</v>
      </c>
      <c r="T37" s="215"/>
    </row>
    <row r="38" spans="1:20" s="159" customFormat="1" ht="21.95" customHeight="1" x14ac:dyDescent="0.25">
      <c r="A38" s="213"/>
      <c r="B38" s="203"/>
      <c r="C38" s="152" t="s">
        <v>1093</v>
      </c>
      <c r="D38" s="153"/>
      <c r="E38" s="154"/>
      <c r="F38" s="153"/>
      <c r="G38" s="153"/>
      <c r="H38" s="156"/>
      <c r="I38" s="153"/>
      <c r="J38" s="156"/>
      <c r="K38" s="204"/>
      <c r="L38" s="205">
        <v>200000</v>
      </c>
      <c r="M38" s="156"/>
      <c r="N38" s="156"/>
      <c r="O38" s="139">
        <f t="shared" si="0"/>
        <v>200000</v>
      </c>
      <c r="P38" s="139"/>
      <c r="Q38" s="139">
        <f t="shared" si="1"/>
        <v>-200000</v>
      </c>
      <c r="T38" s="215"/>
    </row>
    <row r="39" spans="1:20" s="159" customFormat="1" ht="21.95" customHeight="1" x14ac:dyDescent="0.25">
      <c r="A39" s="213"/>
      <c r="B39" s="203"/>
      <c r="C39" s="152" t="s">
        <v>1094</v>
      </c>
      <c r="D39" s="153"/>
      <c r="E39" s="154"/>
      <c r="F39" s="153"/>
      <c r="G39" s="153"/>
      <c r="H39" s="156"/>
      <c r="I39" s="153"/>
      <c r="J39" s="156"/>
      <c r="K39" s="204"/>
      <c r="L39" s="205">
        <v>1320000</v>
      </c>
      <c r="M39" s="156"/>
      <c r="N39" s="156"/>
      <c r="O39" s="139">
        <f t="shared" si="0"/>
        <v>1320000</v>
      </c>
      <c r="P39" s="139"/>
      <c r="Q39" s="139">
        <f t="shared" si="1"/>
        <v>-1320000</v>
      </c>
      <c r="R39" s="186"/>
      <c r="S39" s="188"/>
      <c r="T39" s="215"/>
    </row>
    <row r="40" spans="1:20" ht="21.95" customHeight="1" x14ac:dyDescent="0.25">
      <c r="A40" s="426" t="s">
        <v>20</v>
      </c>
      <c r="B40" s="426"/>
      <c r="C40" s="426"/>
      <c r="D40" s="426"/>
      <c r="E40" s="426"/>
      <c r="F40" s="426"/>
      <c r="G40" s="161">
        <f t="shared" ref="G40:Q40" si="2">SUM(G7:G39)</f>
        <v>2907</v>
      </c>
      <c r="H40" s="161">
        <f t="shared" si="2"/>
        <v>39607720</v>
      </c>
      <c r="I40" s="161">
        <f t="shared" si="2"/>
        <v>0</v>
      </c>
      <c r="J40" s="161">
        <f t="shared" si="2"/>
        <v>39740000</v>
      </c>
      <c r="K40" s="161">
        <f t="shared" si="2"/>
        <v>9500000</v>
      </c>
      <c r="L40" s="161">
        <f t="shared" si="2"/>
        <v>21270000</v>
      </c>
      <c r="M40" s="161">
        <f t="shared" si="2"/>
        <v>0</v>
      </c>
      <c r="N40" s="161">
        <f t="shared" si="2"/>
        <v>0</v>
      </c>
      <c r="O40" s="161">
        <f t="shared" si="2"/>
        <v>110117720</v>
      </c>
      <c r="P40" s="161">
        <f t="shared" si="2"/>
        <v>135789092</v>
      </c>
      <c r="Q40" s="161">
        <f t="shared" si="2"/>
        <v>25671372</v>
      </c>
      <c r="R40" s="187"/>
      <c r="S40" s="189"/>
    </row>
    <row r="41" spans="1:20" ht="21.95" customHeight="1" x14ac:dyDescent="0.25">
      <c r="O41" s="158"/>
      <c r="Q41" s="158">
        <f>P40-O40</f>
        <v>25671372</v>
      </c>
    </row>
    <row r="42" spans="1:20" x14ac:dyDescent="0.25">
      <c r="P42" s="143" t="s">
        <v>1095</v>
      </c>
      <c r="Q42" s="216">
        <f>'03-2017'!Q42+'04-2017'!Q40</f>
        <v>85025848</v>
      </c>
    </row>
    <row r="43" spans="1:20" x14ac:dyDescent="0.25">
      <c r="B43" s="129"/>
      <c r="H43" s="128"/>
      <c r="J43" s="128"/>
      <c r="K43" s="128"/>
      <c r="L43" s="128"/>
      <c r="M43" s="128"/>
      <c r="N43" s="128"/>
      <c r="O43" s="128"/>
      <c r="P43" s="128"/>
      <c r="Q43" s="128"/>
    </row>
    <row r="44" spans="1:20" x14ac:dyDescent="0.25">
      <c r="B44" s="129"/>
      <c r="H44" s="128"/>
      <c r="J44" s="128"/>
      <c r="K44" s="128"/>
      <c r="L44" s="128"/>
      <c r="M44" s="128"/>
      <c r="N44" s="128"/>
      <c r="O44" s="128"/>
      <c r="P44" s="128"/>
      <c r="Q44" s="128"/>
    </row>
    <row r="45" spans="1:20" x14ac:dyDescent="0.25">
      <c r="B45" s="129"/>
      <c r="H45" s="128"/>
      <c r="J45" s="128"/>
      <c r="K45" s="128"/>
      <c r="L45" s="128"/>
      <c r="M45" s="128"/>
      <c r="N45" s="128"/>
      <c r="O45" s="128"/>
      <c r="P45" s="128"/>
      <c r="Q45" s="128"/>
    </row>
    <row r="46" spans="1:20" x14ac:dyDescent="0.25">
      <c r="B46" s="129"/>
      <c r="H46" s="128"/>
      <c r="J46" s="128"/>
      <c r="K46" s="128"/>
      <c r="L46" s="128"/>
      <c r="M46" s="128"/>
      <c r="N46" s="128"/>
      <c r="O46" s="128"/>
      <c r="P46" s="128"/>
      <c r="Q46" s="128"/>
    </row>
    <row r="47" spans="1:20" x14ac:dyDescent="0.25">
      <c r="B47" s="129"/>
      <c r="H47" s="128"/>
      <c r="J47" s="128"/>
      <c r="K47" s="128"/>
      <c r="L47" s="128"/>
      <c r="M47" s="128"/>
      <c r="N47" s="128"/>
      <c r="O47" s="128"/>
      <c r="P47" s="128"/>
      <c r="Q47" s="128"/>
    </row>
    <row r="48" spans="1:20" x14ac:dyDescent="0.25">
      <c r="A48" s="128"/>
      <c r="B48" s="129"/>
      <c r="H48" s="128"/>
      <c r="J48" s="128"/>
      <c r="K48" s="128"/>
      <c r="L48" s="128"/>
      <c r="M48" s="128"/>
      <c r="N48" s="128"/>
      <c r="O48" s="128"/>
      <c r="P48" s="128"/>
      <c r="Q48" s="128"/>
    </row>
    <row r="49" spans="2:2" s="128" customFormat="1" x14ac:dyDescent="0.25">
      <c r="B49" s="129"/>
    </row>
  </sheetData>
  <mergeCells count="14">
    <mergeCell ref="O5:O6"/>
    <mergeCell ref="P5:P6"/>
    <mergeCell ref="Q5:Q6"/>
    <mergeCell ref="A40:F40"/>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2" orientation="landscape"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33"/>
  <sheetViews>
    <sheetView zoomScaleNormal="100" workbookViewId="0">
      <selection activeCell="R5" sqref="A5:XFD29"/>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1.28515625" style="128" customWidth="1"/>
    <col min="6" max="6" width="11.5703125" style="128" customWidth="1"/>
    <col min="7" max="7" width="8" style="128" customWidth="1"/>
    <col min="8" max="8" width="11" style="143" customWidth="1"/>
    <col min="9" max="9" width="12.28515625" style="128" customWidth="1"/>
    <col min="10" max="10" width="12.140625" style="143" customWidth="1"/>
    <col min="11" max="11" width="10.28515625" style="143" customWidth="1"/>
    <col min="12" max="12" width="10.85546875" style="143" customWidth="1"/>
    <col min="13" max="13" width="8.5703125" style="143" customWidth="1"/>
    <col min="14" max="14" width="9.5703125" style="143" customWidth="1"/>
    <col min="15" max="15" width="18.7109375" style="143" customWidth="1"/>
    <col min="16" max="16" width="19.7109375" style="143" customWidth="1"/>
    <col min="17" max="17" width="19.57031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1096</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5">
      <c r="A7" s="210"/>
      <c r="B7" s="135"/>
      <c r="C7" s="199"/>
      <c r="D7" s="137"/>
      <c r="E7" s="137"/>
      <c r="F7" s="200"/>
      <c r="G7" s="142"/>
      <c r="H7" s="201"/>
      <c r="I7" s="201"/>
      <c r="J7" s="202"/>
      <c r="K7" s="202"/>
      <c r="L7" s="202"/>
      <c r="M7" s="202"/>
      <c r="N7" s="202"/>
      <c r="O7" s="142"/>
      <c r="P7" s="142"/>
      <c r="Q7" s="142"/>
    </row>
    <row r="8" spans="1:20" s="144" customFormat="1" ht="24.95" customHeight="1" x14ac:dyDescent="0.25">
      <c r="A8" s="210"/>
      <c r="B8" s="135"/>
      <c r="C8" s="199" t="s">
        <v>1119</v>
      </c>
      <c r="D8" s="137" t="s">
        <v>1076</v>
      </c>
      <c r="E8" s="137" t="s">
        <v>1120</v>
      </c>
      <c r="F8" s="200"/>
      <c r="G8" s="142"/>
      <c r="H8" s="201"/>
      <c r="I8" s="201"/>
      <c r="J8" s="202">
        <v>1800000</v>
      </c>
      <c r="K8" s="202">
        <f>15*400000</f>
        <v>6000000</v>
      </c>
      <c r="L8" s="202"/>
      <c r="M8" s="202"/>
      <c r="N8" s="202"/>
      <c r="O8" s="139">
        <f>H8+J8+K8+L8+M8+N8</f>
        <v>7800000</v>
      </c>
      <c r="P8" s="142">
        <f>10000000+27000000</f>
        <v>37000000</v>
      </c>
      <c r="Q8" s="139">
        <f>P8-O8</f>
        <v>29200000</v>
      </c>
    </row>
    <row r="9" spans="1:20" s="144" customFormat="1" ht="24.95" customHeight="1" x14ac:dyDescent="0.25">
      <c r="A9" s="211">
        <v>1</v>
      </c>
      <c r="B9" s="191">
        <v>42873</v>
      </c>
      <c r="C9" s="138" t="s">
        <v>1097</v>
      </c>
      <c r="D9" s="138" t="s">
        <v>1104</v>
      </c>
      <c r="E9" s="146" t="s">
        <v>1113</v>
      </c>
      <c r="F9" s="138"/>
      <c r="G9" s="138"/>
      <c r="H9" s="139"/>
      <c r="I9" s="138"/>
      <c r="J9" s="141">
        <f>1200000+400000+140000</f>
        <v>1740000</v>
      </c>
      <c r="K9" s="141"/>
      <c r="L9" s="150"/>
      <c r="M9" s="141"/>
      <c r="N9" s="141"/>
      <c r="O9" s="139">
        <f>H9+J9+K9+L9+M9+N9</f>
        <v>1740000</v>
      </c>
      <c r="P9" s="139">
        <v>7000000</v>
      </c>
      <c r="Q9" s="139">
        <f>P9-O9</f>
        <v>5260000</v>
      </c>
      <c r="S9" s="215"/>
      <c r="T9" s="215"/>
    </row>
    <row r="10" spans="1:20" s="144" customFormat="1" ht="24.95" customHeight="1" x14ac:dyDescent="0.25">
      <c r="A10" s="211">
        <v>2</v>
      </c>
      <c r="B10" s="191">
        <v>42874</v>
      </c>
      <c r="C10" s="138" t="s">
        <v>1098</v>
      </c>
      <c r="D10" s="138" t="s">
        <v>1105</v>
      </c>
      <c r="E10" s="146" t="s">
        <v>948</v>
      </c>
      <c r="F10" s="138"/>
      <c r="G10" s="138">
        <v>570</v>
      </c>
      <c r="H10" s="139">
        <v>7752000</v>
      </c>
      <c r="I10" s="138"/>
      <c r="J10" s="209">
        <f>1340000+140000</f>
        <v>1480000</v>
      </c>
      <c r="K10" s="141"/>
      <c r="L10" s="150"/>
      <c r="M10" s="141"/>
      <c r="N10" s="141"/>
      <c r="O10" s="139">
        <f t="shared" ref="O10:O24" si="0">H10+J10+K10+L10+M10+N10</f>
        <v>9232000</v>
      </c>
      <c r="P10" s="139">
        <v>4700000</v>
      </c>
      <c r="Q10" s="139">
        <f t="shared" ref="Q10:Q24" si="1">P10-O10</f>
        <v>-4532000</v>
      </c>
      <c r="S10" s="215"/>
      <c r="T10" s="215"/>
    </row>
    <row r="11" spans="1:20" s="144" customFormat="1" ht="24.95" customHeight="1" x14ac:dyDescent="0.25">
      <c r="A11" s="211">
        <v>3</v>
      </c>
      <c r="B11" s="191">
        <v>42876</v>
      </c>
      <c r="C11" s="138" t="s">
        <v>1099</v>
      </c>
      <c r="D11" s="138" t="s">
        <v>1106</v>
      </c>
      <c r="E11" s="146" t="s">
        <v>515</v>
      </c>
      <c r="F11" s="138"/>
      <c r="G11" s="138"/>
      <c r="H11" s="139"/>
      <c r="I11" s="138"/>
      <c r="J11" s="141">
        <f>1340000+140000</f>
        <v>1480000</v>
      </c>
      <c r="K11" s="141"/>
      <c r="L11" s="150"/>
      <c r="M11" s="141"/>
      <c r="N11" s="141"/>
      <c r="O11" s="139">
        <f t="shared" si="0"/>
        <v>1480000</v>
      </c>
      <c r="P11" s="139">
        <v>4770000</v>
      </c>
      <c r="Q11" s="139">
        <f t="shared" si="1"/>
        <v>3290000</v>
      </c>
      <c r="S11" s="215"/>
      <c r="T11" s="215"/>
    </row>
    <row r="12" spans="1:20" s="144" customFormat="1" ht="24.95" customHeight="1" x14ac:dyDescent="0.25">
      <c r="A12" s="211">
        <v>4</v>
      </c>
      <c r="B12" s="191">
        <v>42877</v>
      </c>
      <c r="C12" s="138" t="s">
        <v>331</v>
      </c>
      <c r="D12" s="138" t="s">
        <v>1107</v>
      </c>
      <c r="E12" s="146" t="s">
        <v>1114</v>
      </c>
      <c r="F12" s="138"/>
      <c r="G12" s="138"/>
      <c r="H12" s="139"/>
      <c r="I12" s="138"/>
      <c r="J12" s="141">
        <f>1600000+140000</f>
        <v>1740000</v>
      </c>
      <c r="K12" s="141"/>
      <c r="L12" s="150"/>
      <c r="M12" s="141"/>
      <c r="N12" s="141"/>
      <c r="O12" s="139">
        <f t="shared" si="0"/>
        <v>1740000</v>
      </c>
      <c r="P12" s="139">
        <v>5070000</v>
      </c>
      <c r="Q12" s="139">
        <f t="shared" si="1"/>
        <v>3330000</v>
      </c>
      <c r="S12" s="215"/>
      <c r="T12" s="215"/>
    </row>
    <row r="13" spans="1:20" s="144" customFormat="1" ht="24.95" customHeight="1" x14ac:dyDescent="0.25">
      <c r="A13" s="211">
        <v>5</v>
      </c>
      <c r="B13" s="191">
        <v>42879</v>
      </c>
      <c r="C13" s="138" t="s">
        <v>1100</v>
      </c>
      <c r="D13" s="138" t="s">
        <v>1108</v>
      </c>
      <c r="E13" s="146" t="s">
        <v>515</v>
      </c>
      <c r="F13" s="138"/>
      <c r="G13" s="138"/>
      <c r="H13" s="139"/>
      <c r="I13" s="138"/>
      <c r="J13" s="141">
        <f>1340000+140000</f>
        <v>1480000</v>
      </c>
      <c r="K13" s="141"/>
      <c r="L13" s="150"/>
      <c r="M13" s="141"/>
      <c r="N13" s="141"/>
      <c r="O13" s="139">
        <f t="shared" si="0"/>
        <v>1480000</v>
      </c>
      <c r="P13" s="139">
        <v>4700000</v>
      </c>
      <c r="Q13" s="139">
        <f t="shared" si="1"/>
        <v>3220000</v>
      </c>
      <c r="S13" s="215"/>
      <c r="T13" s="215"/>
    </row>
    <row r="14" spans="1:20" s="144" customFormat="1" ht="24.95" customHeight="1" x14ac:dyDescent="0.25">
      <c r="A14" s="211">
        <v>6</v>
      </c>
      <c r="B14" s="191">
        <v>42879</v>
      </c>
      <c r="C14" s="138" t="s">
        <v>336</v>
      </c>
      <c r="D14" s="138" t="s">
        <v>1109</v>
      </c>
      <c r="E14" s="146" t="s">
        <v>276</v>
      </c>
      <c r="F14" s="138"/>
      <c r="G14" s="138"/>
      <c r="H14" s="139"/>
      <c r="I14" s="138"/>
      <c r="J14" s="141">
        <f>1600000+140000</f>
        <v>1740000</v>
      </c>
      <c r="K14" s="141"/>
      <c r="L14" s="150"/>
      <c r="M14" s="141"/>
      <c r="N14" s="141"/>
      <c r="O14" s="139">
        <f t="shared" si="0"/>
        <v>1740000</v>
      </c>
      <c r="P14" s="139">
        <v>5370000</v>
      </c>
      <c r="Q14" s="139">
        <f t="shared" si="1"/>
        <v>3630000</v>
      </c>
      <c r="S14" s="215"/>
      <c r="T14" s="215"/>
    </row>
    <row r="15" spans="1:20" s="144" customFormat="1" ht="24.95" customHeight="1" x14ac:dyDescent="0.25">
      <c r="A15" s="211">
        <v>7</v>
      </c>
      <c r="B15" s="191">
        <v>42880</v>
      </c>
      <c r="C15" s="138" t="s">
        <v>1101</v>
      </c>
      <c r="D15" s="138" t="s">
        <v>1110</v>
      </c>
      <c r="E15" s="146" t="s">
        <v>23</v>
      </c>
      <c r="F15" s="138"/>
      <c r="G15" s="138">
        <v>604</v>
      </c>
      <c r="H15" s="139">
        <v>8009040</v>
      </c>
      <c r="I15" s="138"/>
      <c r="J15" s="141">
        <f>2920000+140000</f>
        <v>3060000</v>
      </c>
      <c r="K15" s="141"/>
      <c r="L15" s="150"/>
      <c r="M15" s="141"/>
      <c r="N15" s="141"/>
      <c r="O15" s="139">
        <f t="shared" si="0"/>
        <v>11069040</v>
      </c>
      <c r="P15" s="139">
        <v>12181818</v>
      </c>
      <c r="Q15" s="139">
        <f t="shared" si="1"/>
        <v>1112778</v>
      </c>
      <c r="S15" s="215"/>
      <c r="T15" s="215"/>
    </row>
    <row r="16" spans="1:20" s="144" customFormat="1" ht="24.95" customHeight="1" x14ac:dyDescent="0.25">
      <c r="A16" s="211">
        <v>8</v>
      </c>
      <c r="B16" s="191">
        <v>42883</v>
      </c>
      <c r="C16" s="138" t="s">
        <v>1102</v>
      </c>
      <c r="D16" s="138" t="s">
        <v>1111</v>
      </c>
      <c r="E16" s="146" t="s">
        <v>1115</v>
      </c>
      <c r="F16" s="138"/>
      <c r="G16" s="138">
        <v>262</v>
      </c>
      <c r="H16" s="139">
        <v>3474120</v>
      </c>
      <c r="I16" s="138"/>
      <c r="J16" s="141">
        <f>1100000+140000</f>
        <v>1240000</v>
      </c>
      <c r="K16" s="141"/>
      <c r="L16" s="150"/>
      <c r="M16" s="141"/>
      <c r="N16" s="141"/>
      <c r="O16" s="139">
        <f t="shared" si="0"/>
        <v>4714120</v>
      </c>
      <c r="P16" s="139">
        <v>4770000</v>
      </c>
      <c r="Q16" s="139">
        <f t="shared" si="1"/>
        <v>55880</v>
      </c>
      <c r="S16" s="215"/>
      <c r="T16" s="215"/>
    </row>
    <row r="17" spans="1:20" s="144" customFormat="1" ht="24.95" customHeight="1" x14ac:dyDescent="0.25">
      <c r="A17" s="211">
        <v>9</v>
      </c>
      <c r="B17" s="191">
        <v>42884</v>
      </c>
      <c r="C17" s="138" t="s">
        <v>1103</v>
      </c>
      <c r="D17" s="138" t="s">
        <v>1112</v>
      </c>
      <c r="E17" s="146" t="s">
        <v>515</v>
      </c>
      <c r="F17" s="138"/>
      <c r="G17" s="138"/>
      <c r="H17" s="139"/>
      <c r="I17" s="138"/>
      <c r="J17" s="141">
        <f>1600000-260000+140000</f>
        <v>1480000</v>
      </c>
      <c r="K17" s="141"/>
      <c r="L17" s="150"/>
      <c r="M17" s="141"/>
      <c r="N17" s="141"/>
      <c r="O17" s="139">
        <f t="shared" si="0"/>
        <v>1480000</v>
      </c>
      <c r="P17" s="139">
        <v>4800000</v>
      </c>
      <c r="Q17" s="139">
        <f t="shared" si="1"/>
        <v>3320000</v>
      </c>
      <c r="S17" s="215"/>
      <c r="T17" s="215"/>
    </row>
    <row r="18" spans="1:20" s="144" customFormat="1" ht="24.95" customHeight="1" x14ac:dyDescent="0.25">
      <c r="A18" s="211">
        <v>10</v>
      </c>
      <c r="B18" s="191">
        <v>42885</v>
      </c>
      <c r="C18" s="138" t="s">
        <v>348</v>
      </c>
      <c r="D18" s="138" t="s">
        <v>263</v>
      </c>
      <c r="E18" s="146" t="s">
        <v>1085</v>
      </c>
      <c r="F18" s="138"/>
      <c r="G18" s="138">
        <v>110</v>
      </c>
      <c r="H18" s="139">
        <v>1458600</v>
      </c>
      <c r="I18" s="138"/>
      <c r="J18" s="141">
        <f>1600000+140000</f>
        <v>1740000</v>
      </c>
      <c r="K18" s="141"/>
      <c r="L18" s="150"/>
      <c r="M18" s="141"/>
      <c r="N18" s="141"/>
      <c r="O18" s="139">
        <f t="shared" si="0"/>
        <v>3198600</v>
      </c>
      <c r="P18" s="139">
        <v>7070000</v>
      </c>
      <c r="Q18" s="139">
        <f t="shared" si="1"/>
        <v>3871400</v>
      </c>
      <c r="S18" s="215"/>
      <c r="T18" s="215"/>
    </row>
    <row r="19" spans="1:20" s="159" customFormat="1" ht="24.95" customHeight="1" x14ac:dyDescent="0.25">
      <c r="A19" s="212"/>
      <c r="B19" s="165"/>
      <c r="C19" s="196" t="s">
        <v>121</v>
      </c>
      <c r="D19" s="195"/>
      <c r="E19" s="197"/>
      <c r="F19" s="195"/>
      <c r="G19" s="195"/>
      <c r="H19" s="155"/>
      <c r="I19" s="195"/>
      <c r="J19" s="155"/>
      <c r="K19" s="157">
        <v>9000000</v>
      </c>
      <c r="L19" s="157"/>
      <c r="M19" s="155"/>
      <c r="N19" s="155"/>
      <c r="O19" s="139">
        <f t="shared" si="0"/>
        <v>9000000</v>
      </c>
      <c r="P19" s="139"/>
      <c r="Q19" s="139">
        <f t="shared" si="1"/>
        <v>-9000000</v>
      </c>
      <c r="T19" s="215"/>
    </row>
    <row r="20" spans="1:20" s="159" customFormat="1" ht="24.95" customHeight="1" x14ac:dyDescent="0.25">
      <c r="A20" s="212"/>
      <c r="B20" s="165"/>
      <c r="C20" s="196" t="s">
        <v>1116</v>
      </c>
      <c r="D20" s="195"/>
      <c r="E20" s="197"/>
      <c r="F20" s="195"/>
      <c r="G20" s="195"/>
      <c r="H20" s="155"/>
      <c r="I20" s="195"/>
      <c r="J20" s="155"/>
      <c r="K20" s="157"/>
      <c r="L20" s="185">
        <v>1254000</v>
      </c>
      <c r="M20" s="155"/>
      <c r="N20" s="155"/>
      <c r="O20" s="139">
        <f t="shared" si="0"/>
        <v>1254000</v>
      </c>
      <c r="P20" s="139"/>
      <c r="Q20" s="139">
        <f t="shared" si="1"/>
        <v>-1254000</v>
      </c>
      <c r="T20" s="215"/>
    </row>
    <row r="21" spans="1:20" s="159" customFormat="1" ht="24.95" customHeight="1" x14ac:dyDescent="0.25">
      <c r="A21" s="213"/>
      <c r="B21" s="203"/>
      <c r="C21" s="152" t="s">
        <v>1117</v>
      </c>
      <c r="D21" s="153"/>
      <c r="E21" s="154"/>
      <c r="F21" s="153"/>
      <c r="G21" s="153"/>
      <c r="H21" s="156"/>
      <c r="I21" s="153"/>
      <c r="J21" s="156"/>
      <c r="K21" s="204"/>
      <c r="L21" s="205">
        <f>20670000-2800000</f>
        <v>17870000</v>
      </c>
      <c r="M21" s="156"/>
      <c r="N21" s="156"/>
      <c r="O21" s="139">
        <f t="shared" si="0"/>
        <v>17870000</v>
      </c>
      <c r="P21" s="139"/>
      <c r="Q21" s="139">
        <f t="shared" si="1"/>
        <v>-17870000</v>
      </c>
      <c r="T21" s="215"/>
    </row>
    <row r="22" spans="1:20" s="159" customFormat="1" ht="24.95" customHeight="1" x14ac:dyDescent="0.25">
      <c r="A22" s="213"/>
      <c r="B22" s="203"/>
      <c r="C22" s="152" t="s">
        <v>1118</v>
      </c>
      <c r="D22" s="153"/>
      <c r="E22" s="154"/>
      <c r="F22" s="153"/>
      <c r="G22" s="153"/>
      <c r="H22" s="156"/>
      <c r="I22" s="153"/>
      <c r="J22" s="156"/>
      <c r="K22" s="204"/>
      <c r="L22" s="205">
        <v>660000</v>
      </c>
      <c r="M22" s="156"/>
      <c r="N22" s="156"/>
      <c r="O22" s="139">
        <f t="shared" si="0"/>
        <v>660000</v>
      </c>
      <c r="P22" s="139"/>
      <c r="Q22" s="139">
        <f t="shared" si="1"/>
        <v>-660000</v>
      </c>
      <c r="T22" s="215"/>
    </row>
    <row r="23" spans="1:20" s="159" customFormat="1" ht="24.95" customHeight="1" x14ac:dyDescent="0.25">
      <c r="A23" s="213"/>
      <c r="B23" s="203">
        <v>42879</v>
      </c>
      <c r="C23" s="152" t="s">
        <v>1121</v>
      </c>
      <c r="D23" s="153"/>
      <c r="E23" s="154"/>
      <c r="F23" s="153"/>
      <c r="G23" s="153"/>
      <c r="H23" s="156"/>
      <c r="I23" s="153"/>
      <c r="J23" s="156"/>
      <c r="K23" s="204"/>
      <c r="L23" s="205"/>
      <c r="M23" s="156">
        <v>800000</v>
      </c>
      <c r="N23" s="156"/>
      <c r="O23" s="139">
        <f t="shared" si="0"/>
        <v>800000</v>
      </c>
      <c r="P23" s="139"/>
      <c r="Q23" s="139">
        <f t="shared" si="1"/>
        <v>-800000</v>
      </c>
      <c r="T23" s="215"/>
    </row>
    <row r="24" spans="1:20" s="159" customFormat="1" ht="24.95" customHeight="1" x14ac:dyDescent="0.25">
      <c r="A24" s="213"/>
      <c r="B24" s="203"/>
      <c r="C24" s="152" t="s">
        <v>1094</v>
      </c>
      <c r="D24" s="153"/>
      <c r="E24" s="154"/>
      <c r="F24" s="153"/>
      <c r="G24" s="153"/>
      <c r="H24" s="156"/>
      <c r="I24" s="153"/>
      <c r="J24" s="156"/>
      <c r="K24" s="204"/>
      <c r="L24" s="205">
        <v>1320000</v>
      </c>
      <c r="M24" s="156"/>
      <c r="N24" s="156"/>
      <c r="O24" s="139">
        <f t="shared" si="0"/>
        <v>1320000</v>
      </c>
      <c r="P24" s="139"/>
      <c r="Q24" s="139">
        <f t="shared" si="1"/>
        <v>-1320000</v>
      </c>
      <c r="R24" s="186"/>
      <c r="S24" s="188"/>
      <c r="T24" s="215"/>
    </row>
    <row r="25" spans="1:20" ht="24.95" customHeight="1" x14ac:dyDescent="0.25">
      <c r="A25" s="426" t="s">
        <v>20</v>
      </c>
      <c r="B25" s="426"/>
      <c r="C25" s="426"/>
      <c r="D25" s="426"/>
      <c r="E25" s="426"/>
      <c r="F25" s="426"/>
      <c r="G25" s="161">
        <f t="shared" ref="G25:Q25" si="2">SUM(G7:G24)</f>
        <v>1546</v>
      </c>
      <c r="H25" s="161">
        <f t="shared" si="2"/>
        <v>20693760</v>
      </c>
      <c r="I25" s="161">
        <f t="shared" si="2"/>
        <v>0</v>
      </c>
      <c r="J25" s="161">
        <f t="shared" si="2"/>
        <v>18980000</v>
      </c>
      <c r="K25" s="161">
        <f t="shared" si="2"/>
        <v>15000000</v>
      </c>
      <c r="L25" s="161">
        <f t="shared" si="2"/>
        <v>21104000</v>
      </c>
      <c r="M25" s="161">
        <f t="shared" si="2"/>
        <v>800000</v>
      </c>
      <c r="N25" s="161">
        <f t="shared" si="2"/>
        <v>0</v>
      </c>
      <c r="O25" s="161">
        <f t="shared" si="2"/>
        <v>76577760</v>
      </c>
      <c r="P25" s="161">
        <f t="shared" si="2"/>
        <v>97431818</v>
      </c>
      <c r="Q25" s="161">
        <f t="shared" si="2"/>
        <v>20854058</v>
      </c>
      <c r="R25" s="187"/>
      <c r="S25" s="189"/>
    </row>
    <row r="26" spans="1:20" ht="24.95" customHeight="1" x14ac:dyDescent="0.25">
      <c r="O26" s="158"/>
      <c r="Q26" s="158"/>
    </row>
    <row r="27" spans="1:20" s="218" customFormat="1" ht="24.95" customHeight="1" x14ac:dyDescent="0.25">
      <c r="A27" s="127"/>
      <c r="B27" s="127"/>
      <c r="P27" s="218" t="s">
        <v>1095</v>
      </c>
      <c r="Q27" s="216">
        <f>'04-2017'!Q42+'05-2017'!Q25</f>
        <v>105879906</v>
      </c>
    </row>
    <row r="28" spans="1:20" ht="24.95" customHeight="1" x14ac:dyDescent="0.25">
      <c r="B28" s="129"/>
      <c r="H28" s="128"/>
      <c r="J28" s="128"/>
      <c r="K28" s="128"/>
      <c r="L28" s="128"/>
      <c r="M28" s="128"/>
      <c r="N28" s="128"/>
      <c r="O28" s="128"/>
      <c r="P28" s="128"/>
      <c r="Q28" s="128"/>
    </row>
    <row r="29" spans="1:20" ht="24.95" customHeight="1" x14ac:dyDescent="0.25">
      <c r="B29" s="129"/>
      <c r="H29" s="128"/>
      <c r="J29" s="128"/>
      <c r="K29" s="128"/>
      <c r="L29" s="128"/>
      <c r="M29" s="128"/>
      <c r="N29" s="128"/>
      <c r="O29" s="128"/>
      <c r="P29" s="128"/>
      <c r="Q29" s="128"/>
    </row>
    <row r="30" spans="1:20" x14ac:dyDescent="0.25">
      <c r="B30" s="129"/>
      <c r="H30" s="128"/>
      <c r="J30" s="128"/>
      <c r="K30" s="128"/>
      <c r="L30" s="128"/>
      <c r="M30" s="128"/>
      <c r="N30" s="128"/>
      <c r="O30" s="128"/>
      <c r="P30" s="128"/>
      <c r="Q30" s="128"/>
    </row>
    <row r="31" spans="1:20" x14ac:dyDescent="0.25">
      <c r="B31" s="129"/>
      <c r="H31" s="128"/>
      <c r="J31" s="128"/>
      <c r="K31" s="128"/>
      <c r="L31" s="128"/>
      <c r="M31" s="128"/>
      <c r="N31" s="128"/>
      <c r="O31" s="128"/>
      <c r="P31" s="128"/>
      <c r="Q31" s="128"/>
    </row>
    <row r="32" spans="1:20" x14ac:dyDescent="0.25">
      <c r="A32" s="128"/>
      <c r="B32" s="129"/>
      <c r="H32" s="128"/>
      <c r="J32" s="128"/>
      <c r="K32" s="128"/>
      <c r="L32" s="128"/>
      <c r="M32" s="128"/>
      <c r="N32" s="128"/>
      <c r="O32" s="128"/>
      <c r="P32" s="128"/>
      <c r="Q32" s="128"/>
    </row>
    <row r="33" spans="2:2" s="128" customFormat="1" x14ac:dyDescent="0.25">
      <c r="B33" s="129"/>
    </row>
  </sheetData>
  <mergeCells count="14">
    <mergeCell ref="O5:O6"/>
    <mergeCell ref="P5:P6"/>
    <mergeCell ref="Q5:Q6"/>
    <mergeCell ref="A25:F25"/>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2" orientation="landscape"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8"/>
  <sheetViews>
    <sheetView topLeftCell="E22" workbookViewId="0">
      <selection activeCell="L43" sqref="L43"/>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11.28515625" style="143" customWidth="1"/>
    <col min="14" max="14" width="9.5703125" style="143" customWidth="1"/>
    <col min="15" max="15" width="12.7109375" style="143" customWidth="1"/>
    <col min="16" max="16" width="13.85546875" style="143" customWidth="1"/>
    <col min="17" max="17" width="12.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1122</v>
      </c>
      <c r="C3" s="417"/>
      <c r="D3" s="417"/>
      <c r="E3" s="417"/>
      <c r="F3" s="417"/>
      <c r="G3" s="417"/>
      <c r="H3" s="417"/>
      <c r="I3" s="417"/>
      <c r="J3" s="417"/>
      <c r="K3" s="417"/>
      <c r="L3" s="417"/>
      <c r="M3" s="417"/>
      <c r="N3" s="417"/>
      <c r="O3" s="417"/>
      <c r="P3" s="417"/>
      <c r="Q3" s="417"/>
    </row>
    <row r="5" spans="1:20"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x14ac:dyDescent="0.25">
      <c r="A7" s="210"/>
      <c r="B7" s="135"/>
      <c r="C7" s="199"/>
      <c r="D7" s="137"/>
      <c r="E7" s="137"/>
      <c r="F7" s="200"/>
      <c r="G7" s="142"/>
      <c r="H7" s="201"/>
      <c r="I7" s="201"/>
      <c r="J7" s="202"/>
      <c r="K7" s="202"/>
      <c r="L7" s="202"/>
      <c r="M7" s="202"/>
      <c r="N7" s="202"/>
      <c r="O7" s="142"/>
      <c r="P7" s="142"/>
      <c r="Q7" s="142"/>
    </row>
    <row r="8" spans="1:20" s="144" customFormat="1" x14ac:dyDescent="0.25">
      <c r="A8" s="210"/>
      <c r="B8" s="135"/>
      <c r="C8" s="199"/>
      <c r="D8" s="137"/>
      <c r="E8" s="137"/>
      <c r="F8" s="200"/>
      <c r="G8" s="142"/>
      <c r="H8" s="201"/>
      <c r="I8" s="201"/>
      <c r="J8" s="202"/>
      <c r="K8" s="202"/>
      <c r="L8" s="202"/>
      <c r="M8" s="202"/>
      <c r="N8" s="202"/>
      <c r="O8" s="139"/>
      <c r="P8" s="142"/>
      <c r="Q8" s="139"/>
    </row>
    <row r="9" spans="1:20" s="144" customFormat="1" ht="12.75" customHeight="1" x14ac:dyDescent="0.2">
      <c r="A9" s="211">
        <v>1</v>
      </c>
      <c r="B9" s="191">
        <v>42886</v>
      </c>
      <c r="C9" s="138" t="s">
        <v>1123</v>
      </c>
      <c r="D9" s="138" t="s">
        <v>1141</v>
      </c>
      <c r="E9" s="146" t="s">
        <v>23</v>
      </c>
      <c r="F9" s="138"/>
      <c r="G9" s="138"/>
      <c r="H9" s="139"/>
      <c r="I9" s="138"/>
      <c r="J9" s="141">
        <f>2900000+140000</f>
        <v>3040000</v>
      </c>
      <c r="K9" s="141"/>
      <c r="L9" s="150"/>
      <c r="M9" s="141"/>
      <c r="N9" s="141"/>
      <c r="O9" s="139">
        <f>H9+J9+K9+L9+M9+N9</f>
        <v>3040000</v>
      </c>
      <c r="P9" s="139">
        <v>12181818</v>
      </c>
      <c r="Q9" s="139">
        <f>P9-O9</f>
        <v>9141818</v>
      </c>
      <c r="R9" s="217"/>
      <c r="S9" s="215"/>
      <c r="T9" s="215"/>
    </row>
    <row r="10" spans="1:20" s="144" customFormat="1" ht="12.75" customHeight="1" x14ac:dyDescent="0.2">
      <c r="A10" s="211">
        <v>2</v>
      </c>
      <c r="B10" s="191">
        <v>42890</v>
      </c>
      <c r="C10" s="138" t="s">
        <v>1124</v>
      </c>
      <c r="D10" s="138" t="s">
        <v>1142</v>
      </c>
      <c r="E10" s="146" t="s">
        <v>1162</v>
      </c>
      <c r="F10" s="138"/>
      <c r="G10" s="138">
        <v>510</v>
      </c>
      <c r="H10" s="139">
        <v>6762600</v>
      </c>
      <c r="I10" s="138"/>
      <c r="J10" s="141">
        <f>1600000+140000</f>
        <v>1740000</v>
      </c>
      <c r="K10" s="141"/>
      <c r="L10" s="150"/>
      <c r="M10" s="141"/>
      <c r="N10" s="141"/>
      <c r="O10" s="139">
        <f t="shared" ref="O10:O36" si="0">H10+J10+K10+L10+M10+N10</f>
        <v>8502600</v>
      </c>
      <c r="P10" s="139">
        <v>5170000</v>
      </c>
      <c r="Q10" s="139">
        <f t="shared" ref="Q10:Q36" si="1">P10-O10</f>
        <v>-3332600</v>
      </c>
      <c r="R10" s="217"/>
      <c r="S10" s="215"/>
      <c r="T10" s="215"/>
    </row>
    <row r="11" spans="1:20" s="144" customFormat="1" ht="12.75" customHeight="1" x14ac:dyDescent="0.2">
      <c r="A11" s="211">
        <v>3</v>
      </c>
      <c r="B11" s="191">
        <v>42891</v>
      </c>
      <c r="C11" s="138" t="s">
        <v>1125</v>
      </c>
      <c r="D11" s="138" t="s">
        <v>1143</v>
      </c>
      <c r="E11" s="146" t="s">
        <v>1163</v>
      </c>
      <c r="F11" s="138"/>
      <c r="G11" s="138"/>
      <c r="H11" s="139"/>
      <c r="I11" s="138"/>
      <c r="J11" s="141">
        <f>1150000+140000</f>
        <v>1290000</v>
      </c>
      <c r="K11" s="141"/>
      <c r="L11" s="150"/>
      <c r="M11" s="141"/>
      <c r="N11" s="141"/>
      <c r="O11" s="139">
        <f t="shared" si="0"/>
        <v>1290000</v>
      </c>
      <c r="P11" s="139">
        <v>3800000</v>
      </c>
      <c r="Q11" s="139">
        <f t="shared" si="1"/>
        <v>2510000</v>
      </c>
      <c r="R11" s="217"/>
      <c r="S11" s="215"/>
      <c r="T11" s="215"/>
    </row>
    <row r="12" spans="1:20" s="144" customFormat="1" ht="12.75" customHeight="1" x14ac:dyDescent="0.2">
      <c r="A12" s="211">
        <v>4</v>
      </c>
      <c r="B12" s="191">
        <v>42892</v>
      </c>
      <c r="C12" s="138" t="s">
        <v>419</v>
      </c>
      <c r="D12" s="138" t="s">
        <v>1144</v>
      </c>
      <c r="E12" s="146" t="s">
        <v>515</v>
      </c>
      <c r="F12" s="138"/>
      <c r="G12" s="138"/>
      <c r="H12" s="139"/>
      <c r="I12" s="138"/>
      <c r="J12" s="141">
        <f>1340000+140000</f>
        <v>1480000</v>
      </c>
      <c r="K12" s="141"/>
      <c r="L12" s="150"/>
      <c r="M12" s="141"/>
      <c r="N12" s="141"/>
      <c r="O12" s="139">
        <f t="shared" si="0"/>
        <v>1480000</v>
      </c>
      <c r="P12" s="139">
        <v>4800000</v>
      </c>
      <c r="Q12" s="139">
        <f t="shared" si="1"/>
        <v>3320000</v>
      </c>
      <c r="R12" s="217"/>
      <c r="S12" s="215"/>
      <c r="T12" s="215"/>
    </row>
    <row r="13" spans="1:20" s="144" customFormat="1" ht="12.75" customHeight="1" x14ac:dyDescent="0.2">
      <c r="A13" s="211">
        <v>5</v>
      </c>
      <c r="B13" s="191">
        <v>42893</v>
      </c>
      <c r="C13" s="138" t="s">
        <v>420</v>
      </c>
      <c r="D13" s="138" t="s">
        <v>1145</v>
      </c>
      <c r="E13" s="146" t="s">
        <v>1164</v>
      </c>
      <c r="F13" s="138"/>
      <c r="G13" s="138"/>
      <c r="H13" s="139"/>
      <c r="I13" s="138"/>
      <c r="J13" s="141">
        <f>1340000+140000</f>
        <v>1480000</v>
      </c>
      <c r="K13" s="141"/>
      <c r="L13" s="150"/>
      <c r="M13" s="141"/>
      <c r="N13" s="141"/>
      <c r="O13" s="139">
        <f t="shared" si="0"/>
        <v>1480000</v>
      </c>
      <c r="P13" s="139">
        <v>4700000</v>
      </c>
      <c r="Q13" s="139">
        <f t="shared" si="1"/>
        <v>3220000</v>
      </c>
      <c r="R13" s="217"/>
      <c r="S13" s="215"/>
      <c r="T13" s="215"/>
    </row>
    <row r="14" spans="1:20" s="144" customFormat="1" ht="12.75" customHeight="1" x14ac:dyDescent="0.2">
      <c r="A14" s="211">
        <v>6</v>
      </c>
      <c r="B14" s="191">
        <v>42894</v>
      </c>
      <c r="C14" s="138" t="s">
        <v>421</v>
      </c>
      <c r="D14" s="138" t="s">
        <v>1146</v>
      </c>
      <c r="E14" s="146" t="s">
        <v>1165</v>
      </c>
      <c r="F14" s="138"/>
      <c r="G14" s="138"/>
      <c r="H14" s="139"/>
      <c r="I14" s="138"/>
      <c r="J14" s="141">
        <f>1600000+140000</f>
        <v>1740000</v>
      </c>
      <c r="K14" s="141"/>
      <c r="L14" s="150"/>
      <c r="M14" s="141"/>
      <c r="N14" s="141"/>
      <c r="O14" s="139">
        <f t="shared" si="0"/>
        <v>1740000</v>
      </c>
      <c r="P14" s="139">
        <v>5200000</v>
      </c>
      <c r="Q14" s="139">
        <f t="shared" si="1"/>
        <v>3460000</v>
      </c>
      <c r="R14" s="217"/>
      <c r="S14" s="215"/>
      <c r="T14" s="215"/>
    </row>
    <row r="15" spans="1:20" s="144" customFormat="1" ht="12.75" customHeight="1" x14ac:dyDescent="0.2">
      <c r="A15" s="211">
        <v>7</v>
      </c>
      <c r="B15" s="191">
        <v>42896</v>
      </c>
      <c r="C15" s="138" t="s">
        <v>422</v>
      </c>
      <c r="D15" s="138" t="s">
        <v>1060</v>
      </c>
      <c r="E15" s="146" t="s">
        <v>1164</v>
      </c>
      <c r="F15" s="138"/>
      <c r="G15" s="138">
        <v>631</v>
      </c>
      <c r="H15" s="139">
        <v>8505880</v>
      </c>
      <c r="I15" s="138"/>
      <c r="J15" s="141">
        <f>1340000+140000</f>
        <v>1480000</v>
      </c>
      <c r="K15" s="141"/>
      <c r="L15" s="150"/>
      <c r="M15" s="141"/>
      <c r="N15" s="141"/>
      <c r="O15" s="139">
        <f t="shared" si="0"/>
        <v>9985880</v>
      </c>
      <c r="P15" s="139">
        <v>4700000</v>
      </c>
      <c r="Q15" s="139">
        <f t="shared" si="1"/>
        <v>-5285880</v>
      </c>
      <c r="R15" s="217"/>
      <c r="S15" s="215"/>
      <c r="T15" s="215"/>
    </row>
    <row r="16" spans="1:20" s="144" customFormat="1" ht="12.75" customHeight="1" x14ac:dyDescent="0.2">
      <c r="A16" s="211">
        <v>8</v>
      </c>
      <c r="B16" s="191">
        <v>42897</v>
      </c>
      <c r="C16" s="138" t="s">
        <v>1126</v>
      </c>
      <c r="D16" s="138" t="s">
        <v>1147</v>
      </c>
      <c r="E16" s="146" t="s">
        <v>515</v>
      </c>
      <c r="F16" s="138"/>
      <c r="G16" s="138">
        <v>130</v>
      </c>
      <c r="H16" s="139">
        <v>1752400</v>
      </c>
      <c r="I16" s="138"/>
      <c r="J16" s="141">
        <f>1300000+140000</f>
        <v>1440000</v>
      </c>
      <c r="K16" s="141"/>
      <c r="L16" s="150"/>
      <c r="M16" s="141"/>
      <c r="N16" s="141"/>
      <c r="O16" s="139">
        <f t="shared" si="0"/>
        <v>3192400</v>
      </c>
      <c r="P16" s="139">
        <v>4800000</v>
      </c>
      <c r="Q16" s="139">
        <f t="shared" si="1"/>
        <v>1607600</v>
      </c>
      <c r="R16" s="217"/>
      <c r="S16" s="215"/>
      <c r="T16" s="215"/>
    </row>
    <row r="17" spans="1:20" s="144" customFormat="1" ht="12.75" customHeight="1" x14ac:dyDescent="0.2">
      <c r="A17" s="211">
        <v>9</v>
      </c>
      <c r="B17" s="191">
        <v>42898</v>
      </c>
      <c r="C17" s="138" t="s">
        <v>1127</v>
      </c>
      <c r="D17" s="138" t="s">
        <v>1148</v>
      </c>
      <c r="E17" s="146" t="s">
        <v>1166</v>
      </c>
      <c r="F17" s="138"/>
      <c r="G17" s="138"/>
      <c r="H17" s="139"/>
      <c r="I17" s="138"/>
      <c r="J17" s="141">
        <f>1500000+140000</f>
        <v>1640000</v>
      </c>
      <c r="K17" s="141"/>
      <c r="L17" s="150"/>
      <c r="M17" s="141"/>
      <c r="N17" s="141"/>
      <c r="O17" s="139">
        <f t="shared" si="0"/>
        <v>1640000</v>
      </c>
      <c r="P17" s="139">
        <v>5300000</v>
      </c>
      <c r="Q17" s="139">
        <f t="shared" si="1"/>
        <v>3660000</v>
      </c>
      <c r="R17" s="217"/>
      <c r="S17" s="215"/>
      <c r="T17" s="215"/>
    </row>
    <row r="18" spans="1:20" s="144" customFormat="1" ht="12.75" customHeight="1" x14ac:dyDescent="0.2">
      <c r="A18" s="211">
        <v>10</v>
      </c>
      <c r="B18" s="191">
        <v>42899</v>
      </c>
      <c r="C18" s="138" t="s">
        <v>1128</v>
      </c>
      <c r="D18" s="138" t="s">
        <v>1149</v>
      </c>
      <c r="E18" s="146" t="s">
        <v>661</v>
      </c>
      <c r="F18" s="138"/>
      <c r="G18" s="138"/>
      <c r="H18" s="139"/>
      <c r="I18" s="138"/>
      <c r="J18" s="141">
        <f>950000+140000</f>
        <v>1090000</v>
      </c>
      <c r="K18" s="141"/>
      <c r="L18" s="150"/>
      <c r="M18" s="141"/>
      <c r="N18" s="141"/>
      <c r="O18" s="139">
        <f t="shared" si="0"/>
        <v>1090000</v>
      </c>
      <c r="P18" s="139">
        <v>3972727</v>
      </c>
      <c r="Q18" s="139">
        <f t="shared" si="1"/>
        <v>2882727</v>
      </c>
      <c r="R18" s="217"/>
      <c r="S18" s="215"/>
      <c r="T18" s="215"/>
    </row>
    <row r="19" spans="1:20" s="144" customFormat="1" ht="12.75" customHeight="1" x14ac:dyDescent="0.2">
      <c r="A19" s="211">
        <v>11</v>
      </c>
      <c r="B19" s="191">
        <v>42900</v>
      </c>
      <c r="C19" s="138" t="s">
        <v>1129</v>
      </c>
      <c r="D19" s="138" t="s">
        <v>1150</v>
      </c>
      <c r="E19" s="146" t="s">
        <v>717</v>
      </c>
      <c r="F19" s="138"/>
      <c r="G19" s="138">
        <v>335</v>
      </c>
      <c r="H19" s="139">
        <v>4515800</v>
      </c>
      <c r="I19" s="138"/>
      <c r="J19" s="141">
        <f>650000+140000</f>
        <v>790000</v>
      </c>
      <c r="K19" s="141"/>
      <c r="L19" s="150"/>
      <c r="M19" s="141"/>
      <c r="N19" s="141"/>
      <c r="O19" s="139">
        <f t="shared" si="0"/>
        <v>5305800</v>
      </c>
      <c r="P19" s="139">
        <v>2500000</v>
      </c>
      <c r="Q19" s="139">
        <f t="shared" si="1"/>
        <v>-2805800</v>
      </c>
      <c r="R19" s="217"/>
      <c r="S19" s="215"/>
      <c r="T19" s="215"/>
    </row>
    <row r="20" spans="1:20" s="144" customFormat="1" ht="12.75" customHeight="1" x14ac:dyDescent="0.2">
      <c r="A20" s="211">
        <v>12</v>
      </c>
      <c r="B20" s="191">
        <v>42901</v>
      </c>
      <c r="C20" s="138" t="s">
        <v>1130</v>
      </c>
      <c r="D20" s="138" t="s">
        <v>1151</v>
      </c>
      <c r="E20" s="146" t="s">
        <v>1167</v>
      </c>
      <c r="F20" s="138"/>
      <c r="G20" s="138"/>
      <c r="H20" s="139"/>
      <c r="I20" s="138"/>
      <c r="J20" s="208">
        <f>800000+400000+120000+140000</f>
        <v>1460000</v>
      </c>
      <c r="K20" s="141"/>
      <c r="L20" s="150"/>
      <c r="M20" s="141"/>
      <c r="N20" s="141"/>
      <c r="O20" s="139">
        <f t="shared" si="0"/>
        <v>1460000</v>
      </c>
      <c r="P20" s="139">
        <v>2763636</v>
      </c>
      <c r="Q20" s="139">
        <f t="shared" si="1"/>
        <v>1303636</v>
      </c>
      <c r="R20" s="217"/>
      <c r="S20" s="215"/>
      <c r="T20" s="215"/>
    </row>
    <row r="21" spans="1:20" s="144" customFormat="1" ht="12.75" customHeight="1" x14ac:dyDescent="0.2">
      <c r="A21" s="211">
        <v>13</v>
      </c>
      <c r="B21" s="191">
        <v>42901</v>
      </c>
      <c r="C21" s="138" t="s">
        <v>1131</v>
      </c>
      <c r="D21" s="138" t="s">
        <v>1151</v>
      </c>
      <c r="E21" s="146" t="s">
        <v>764</v>
      </c>
      <c r="F21" s="138"/>
      <c r="G21" s="138"/>
      <c r="H21" s="139"/>
      <c r="I21" s="138"/>
      <c r="J21" s="141">
        <v>0</v>
      </c>
      <c r="K21" s="141"/>
      <c r="L21" s="150"/>
      <c r="M21" s="141"/>
      <c r="N21" s="141"/>
      <c r="O21" s="139">
        <f t="shared" si="0"/>
        <v>0</v>
      </c>
      <c r="P21" s="139">
        <v>2439545</v>
      </c>
      <c r="Q21" s="139">
        <f t="shared" si="1"/>
        <v>2439545</v>
      </c>
      <c r="R21" s="217"/>
      <c r="S21" s="215"/>
      <c r="T21" s="215"/>
    </row>
    <row r="22" spans="1:20" s="144" customFormat="1" ht="12.75" customHeight="1" x14ac:dyDescent="0.2">
      <c r="A22" s="211">
        <v>14</v>
      </c>
      <c r="B22" s="191">
        <v>42902</v>
      </c>
      <c r="C22" s="138" t="s">
        <v>1132</v>
      </c>
      <c r="D22" s="138" t="s">
        <v>1152</v>
      </c>
      <c r="E22" s="146" t="s">
        <v>1167</v>
      </c>
      <c r="F22" s="138"/>
      <c r="G22" s="138"/>
      <c r="H22" s="139"/>
      <c r="I22" s="138"/>
      <c r="J22" s="141">
        <f>1320000+140000</f>
        <v>1460000</v>
      </c>
      <c r="K22" s="141"/>
      <c r="L22" s="150"/>
      <c r="M22" s="141"/>
      <c r="N22" s="141"/>
      <c r="O22" s="139">
        <f t="shared" si="0"/>
        <v>1460000</v>
      </c>
      <c r="P22" s="139">
        <v>2763636</v>
      </c>
      <c r="Q22" s="139">
        <f t="shared" si="1"/>
        <v>1303636</v>
      </c>
      <c r="R22" s="217"/>
      <c r="S22" s="215"/>
      <c r="T22" s="215"/>
    </row>
    <row r="23" spans="1:20" s="144" customFormat="1" ht="12.75" customHeight="1" x14ac:dyDescent="0.2">
      <c r="A23" s="211">
        <v>15</v>
      </c>
      <c r="B23" s="191">
        <v>42902</v>
      </c>
      <c r="C23" s="138" t="s">
        <v>1133</v>
      </c>
      <c r="D23" s="138" t="s">
        <v>1152</v>
      </c>
      <c r="E23" s="146" t="s">
        <v>764</v>
      </c>
      <c r="F23" s="138"/>
      <c r="G23" s="138"/>
      <c r="H23" s="139"/>
      <c r="I23" s="138"/>
      <c r="J23" s="141">
        <v>0</v>
      </c>
      <c r="K23" s="141"/>
      <c r="L23" s="150"/>
      <c r="M23" s="141"/>
      <c r="N23" s="141"/>
      <c r="O23" s="139">
        <f t="shared" si="0"/>
        <v>0</v>
      </c>
      <c r="P23" s="139">
        <v>2439545</v>
      </c>
      <c r="Q23" s="139">
        <f t="shared" si="1"/>
        <v>2439545</v>
      </c>
      <c r="R23" s="217"/>
      <c r="S23" s="215"/>
      <c r="T23" s="215"/>
    </row>
    <row r="24" spans="1:20" s="144" customFormat="1" ht="12.75" customHeight="1" x14ac:dyDescent="0.2">
      <c r="A24" s="211">
        <v>16</v>
      </c>
      <c r="B24" s="191">
        <v>42905</v>
      </c>
      <c r="C24" s="138" t="s">
        <v>368</v>
      </c>
      <c r="D24" s="138" t="s">
        <v>1153</v>
      </c>
      <c r="E24" s="146" t="s">
        <v>1164</v>
      </c>
      <c r="F24" s="138"/>
      <c r="G24" s="138">
        <v>278</v>
      </c>
      <c r="H24" s="139">
        <v>3747440</v>
      </c>
      <c r="I24" s="138"/>
      <c r="J24" s="141">
        <f>1340000+140000</f>
        <v>1480000</v>
      </c>
      <c r="K24" s="141"/>
      <c r="L24" s="150"/>
      <c r="M24" s="141"/>
      <c r="N24" s="141"/>
      <c r="O24" s="139">
        <f t="shared" si="0"/>
        <v>5227440</v>
      </c>
      <c r="P24" s="139">
        <v>4700000</v>
      </c>
      <c r="Q24" s="139">
        <f t="shared" si="1"/>
        <v>-527440</v>
      </c>
      <c r="R24" s="217"/>
      <c r="S24" s="215"/>
      <c r="T24" s="215"/>
    </row>
    <row r="25" spans="1:20" s="144" customFormat="1" ht="12.75" customHeight="1" x14ac:dyDescent="0.2">
      <c r="A25" s="211">
        <v>17</v>
      </c>
      <c r="B25" s="191">
        <v>42906</v>
      </c>
      <c r="C25" s="138" t="s">
        <v>1134</v>
      </c>
      <c r="D25" s="138" t="s">
        <v>1154</v>
      </c>
      <c r="E25" s="146" t="s">
        <v>24</v>
      </c>
      <c r="F25" s="138"/>
      <c r="G25" s="138"/>
      <c r="H25" s="139"/>
      <c r="I25" s="138"/>
      <c r="J25" s="141">
        <f>950000+140000</f>
        <v>1090000</v>
      </c>
      <c r="K25" s="141"/>
      <c r="L25" s="150"/>
      <c r="M25" s="141"/>
      <c r="N25" s="141"/>
      <c r="O25" s="139">
        <f t="shared" si="0"/>
        <v>1090000</v>
      </c>
      <c r="P25" s="139">
        <v>3000000</v>
      </c>
      <c r="Q25" s="139">
        <f t="shared" si="1"/>
        <v>1910000</v>
      </c>
      <c r="R25" s="217"/>
      <c r="S25" s="215"/>
      <c r="T25" s="215"/>
    </row>
    <row r="26" spans="1:20" s="144" customFormat="1" ht="12.75" customHeight="1" x14ac:dyDescent="0.2">
      <c r="A26" s="211">
        <v>18</v>
      </c>
      <c r="B26" s="191">
        <v>42907</v>
      </c>
      <c r="C26" s="138" t="s">
        <v>1135</v>
      </c>
      <c r="D26" s="138" t="s">
        <v>1155</v>
      </c>
      <c r="E26" s="146" t="s">
        <v>1167</v>
      </c>
      <c r="F26" s="138"/>
      <c r="G26" s="138"/>
      <c r="H26" s="139"/>
      <c r="I26" s="138"/>
      <c r="J26" s="141">
        <f>800000+140000</f>
        <v>940000</v>
      </c>
      <c r="K26" s="141"/>
      <c r="L26" s="150"/>
      <c r="M26" s="141"/>
      <c r="N26" s="141"/>
      <c r="O26" s="139">
        <f t="shared" si="0"/>
        <v>940000</v>
      </c>
      <c r="P26" s="139">
        <v>2827273</v>
      </c>
      <c r="Q26" s="139">
        <f t="shared" si="1"/>
        <v>1887273</v>
      </c>
      <c r="R26" s="217"/>
      <c r="S26" s="215"/>
      <c r="T26" s="215"/>
    </row>
    <row r="27" spans="1:20" s="144" customFormat="1" ht="12.75" customHeight="1" x14ac:dyDescent="0.2">
      <c r="A27" s="211">
        <v>19</v>
      </c>
      <c r="B27" s="191">
        <v>42908</v>
      </c>
      <c r="C27" s="138" t="s">
        <v>1136</v>
      </c>
      <c r="D27" s="138" t="s">
        <v>1156</v>
      </c>
      <c r="E27" s="146" t="s">
        <v>1168</v>
      </c>
      <c r="F27" s="138"/>
      <c r="G27" s="138">
        <v>308</v>
      </c>
      <c r="H27" s="139">
        <v>3951640</v>
      </c>
      <c r="I27" s="138"/>
      <c r="J27" s="141">
        <f>790000+140000</f>
        <v>930000</v>
      </c>
      <c r="K27" s="141"/>
      <c r="L27" s="150"/>
      <c r="M27" s="141"/>
      <c r="N27" s="141"/>
      <c r="O27" s="139">
        <f t="shared" si="0"/>
        <v>4881640</v>
      </c>
      <c r="P27" s="139">
        <v>3300000</v>
      </c>
      <c r="Q27" s="139">
        <f t="shared" si="1"/>
        <v>-1581640</v>
      </c>
      <c r="R27" s="217"/>
      <c r="S27" s="215"/>
      <c r="T27" s="215"/>
    </row>
    <row r="28" spans="1:20" s="144" customFormat="1" x14ac:dyDescent="0.2">
      <c r="A28" s="211">
        <v>20</v>
      </c>
      <c r="B28" s="191">
        <v>42910</v>
      </c>
      <c r="C28" s="138" t="s">
        <v>1137</v>
      </c>
      <c r="D28" s="138" t="s">
        <v>1157</v>
      </c>
      <c r="E28" s="146" t="s">
        <v>717</v>
      </c>
      <c r="F28" s="138"/>
      <c r="G28" s="138">
        <v>163</v>
      </c>
      <c r="H28" s="139">
        <v>2091290</v>
      </c>
      <c r="I28" s="138"/>
      <c r="J28" s="209">
        <f>650000+140000</f>
        <v>790000</v>
      </c>
      <c r="K28" s="141"/>
      <c r="L28" s="150"/>
      <c r="M28" s="141"/>
      <c r="N28" s="141"/>
      <c r="O28" s="139">
        <f t="shared" si="0"/>
        <v>2881290</v>
      </c>
      <c r="P28" s="139">
        <v>2600000</v>
      </c>
      <c r="Q28" s="139">
        <f t="shared" si="1"/>
        <v>-281290</v>
      </c>
      <c r="R28" s="217"/>
      <c r="S28" s="215"/>
      <c r="T28" s="215"/>
    </row>
    <row r="29" spans="1:20" s="144" customFormat="1" ht="12.75" customHeight="1" x14ac:dyDescent="0.2">
      <c r="A29" s="211">
        <v>21</v>
      </c>
      <c r="B29" s="191">
        <v>42910</v>
      </c>
      <c r="C29" s="138" t="s">
        <v>1138</v>
      </c>
      <c r="D29" s="138" t="s">
        <v>1158</v>
      </c>
      <c r="E29" s="146" t="s">
        <v>407</v>
      </c>
      <c r="F29" s="138"/>
      <c r="G29" s="138"/>
      <c r="H29" s="139"/>
      <c r="I29" s="138"/>
      <c r="J29" s="141">
        <f>140000+1150000</f>
        <v>1290000</v>
      </c>
      <c r="K29" s="141"/>
      <c r="L29" s="150"/>
      <c r="M29" s="141"/>
      <c r="N29" s="141"/>
      <c r="O29" s="139">
        <f t="shared" si="0"/>
        <v>1290000</v>
      </c>
      <c r="P29" s="139">
        <v>3700000</v>
      </c>
      <c r="Q29" s="139">
        <f t="shared" si="1"/>
        <v>2410000</v>
      </c>
      <c r="R29" s="217"/>
      <c r="S29" s="215"/>
      <c r="T29" s="215"/>
    </row>
    <row r="30" spans="1:20" s="144" customFormat="1" ht="12.75" customHeight="1" x14ac:dyDescent="0.2">
      <c r="A30" s="211">
        <v>22</v>
      </c>
      <c r="B30" s="191">
        <v>42912</v>
      </c>
      <c r="C30" s="138" t="s">
        <v>375</v>
      </c>
      <c r="D30" s="138" t="s">
        <v>1159</v>
      </c>
      <c r="E30" s="146" t="s">
        <v>1164</v>
      </c>
      <c r="F30" s="138"/>
      <c r="G30" s="138"/>
      <c r="H30" s="139"/>
      <c r="I30" s="138"/>
      <c r="J30" s="141">
        <f>1340000+140000</f>
        <v>1480000</v>
      </c>
      <c r="K30" s="141"/>
      <c r="L30" s="150"/>
      <c r="M30" s="141"/>
      <c r="N30" s="141"/>
      <c r="O30" s="139">
        <f t="shared" si="0"/>
        <v>1480000</v>
      </c>
      <c r="P30" s="139">
        <v>4700000</v>
      </c>
      <c r="Q30" s="139">
        <f t="shared" si="1"/>
        <v>3220000</v>
      </c>
      <c r="R30" s="217"/>
      <c r="S30" s="215"/>
      <c r="T30" s="215"/>
    </row>
    <row r="31" spans="1:20" s="144" customFormat="1" ht="12.75" customHeight="1" x14ac:dyDescent="0.2">
      <c r="A31" s="211">
        <v>23</v>
      </c>
      <c r="B31" s="191">
        <v>42913</v>
      </c>
      <c r="C31" s="138" t="s">
        <v>1139</v>
      </c>
      <c r="D31" s="138" t="s">
        <v>1160</v>
      </c>
      <c r="E31" s="146" t="s">
        <v>1169</v>
      </c>
      <c r="F31" s="138"/>
      <c r="G31" s="138"/>
      <c r="H31" s="139"/>
      <c r="I31" s="138"/>
      <c r="J31" s="208">
        <v>960000</v>
      </c>
      <c r="K31" s="141"/>
      <c r="L31" s="150"/>
      <c r="M31" s="141"/>
      <c r="N31" s="141"/>
      <c r="O31" s="139">
        <f t="shared" si="0"/>
        <v>960000</v>
      </c>
      <c r="P31" s="139">
        <v>3440000</v>
      </c>
      <c r="Q31" s="139">
        <f t="shared" si="1"/>
        <v>2480000</v>
      </c>
      <c r="R31" s="217"/>
      <c r="S31" s="215"/>
      <c r="T31" s="215"/>
    </row>
    <row r="32" spans="1:20" s="144" customFormat="1" ht="12.75" customHeight="1" x14ac:dyDescent="0.2">
      <c r="A32" s="211">
        <v>24</v>
      </c>
      <c r="B32" s="191">
        <v>42913</v>
      </c>
      <c r="C32" s="138" t="s">
        <v>1140</v>
      </c>
      <c r="D32" s="138" t="s">
        <v>1161</v>
      </c>
      <c r="E32" s="146" t="s">
        <v>1170</v>
      </c>
      <c r="F32" s="138"/>
      <c r="G32" s="138">
        <v>320</v>
      </c>
      <c r="H32" s="139">
        <v>4105600</v>
      </c>
      <c r="I32" s="138"/>
      <c r="J32" s="141">
        <f>2560000+500000+140000</f>
        <v>3200000</v>
      </c>
      <c r="K32" s="141"/>
      <c r="L32" s="150"/>
      <c r="M32" s="141"/>
      <c r="N32" s="141"/>
      <c r="O32" s="139">
        <f t="shared" si="0"/>
        <v>7305600</v>
      </c>
      <c r="P32" s="139">
        <v>13181818</v>
      </c>
      <c r="Q32" s="139">
        <f t="shared" si="1"/>
        <v>5876218</v>
      </c>
      <c r="R32" s="217"/>
      <c r="S32" s="215"/>
      <c r="T32" s="215"/>
    </row>
    <row r="33" spans="1:20" s="159" customFormat="1" x14ac:dyDescent="0.25">
      <c r="A33" s="212"/>
      <c r="B33" s="165"/>
      <c r="C33" s="196" t="s">
        <v>121</v>
      </c>
      <c r="D33" s="195"/>
      <c r="E33" s="197"/>
      <c r="F33" s="195"/>
      <c r="G33" s="195">
        <v>212</v>
      </c>
      <c r="H33" s="155">
        <f>G33*12830</f>
        <v>2719960</v>
      </c>
      <c r="I33" s="195"/>
      <c r="J33" s="155"/>
      <c r="K33" s="157">
        <v>9000000</v>
      </c>
      <c r="L33" s="157"/>
      <c r="M33" s="155"/>
      <c r="N33" s="155"/>
      <c r="O33" s="139">
        <f t="shared" si="0"/>
        <v>11719960</v>
      </c>
      <c r="P33" s="139"/>
      <c r="Q33" s="139">
        <f t="shared" si="1"/>
        <v>-11719960</v>
      </c>
      <c r="S33" s="215"/>
      <c r="T33" s="215"/>
    </row>
    <row r="34" spans="1:20" s="159" customFormat="1" ht="25.5" x14ac:dyDescent="0.25">
      <c r="A34" s="212"/>
      <c r="B34" s="165"/>
      <c r="C34" s="196" t="s">
        <v>1172</v>
      </c>
      <c r="D34" s="195"/>
      <c r="E34" s="197"/>
      <c r="F34" s="195"/>
      <c r="G34" s="195"/>
      <c r="H34" s="155"/>
      <c r="I34" s="195"/>
      <c r="J34" s="155"/>
      <c r="K34" s="157"/>
      <c r="L34" s="185"/>
      <c r="M34" s="155">
        <v>12000000</v>
      </c>
      <c r="N34" s="155"/>
      <c r="O34" s="139">
        <f t="shared" si="0"/>
        <v>12000000</v>
      </c>
      <c r="P34" s="139"/>
      <c r="Q34" s="139">
        <f t="shared" si="1"/>
        <v>-12000000</v>
      </c>
      <c r="S34" s="215"/>
      <c r="T34" s="215"/>
    </row>
    <row r="35" spans="1:20" s="159" customFormat="1" ht="25.5" x14ac:dyDescent="0.25">
      <c r="A35" s="213"/>
      <c r="B35" s="203"/>
      <c r="C35" s="152" t="s">
        <v>1171</v>
      </c>
      <c r="D35" s="153"/>
      <c r="E35" s="154"/>
      <c r="F35" s="153"/>
      <c r="G35" s="153"/>
      <c r="H35" s="156"/>
      <c r="I35" s="153"/>
      <c r="J35" s="156"/>
      <c r="K35" s="204"/>
      <c r="L35" s="205">
        <f>87000/2</f>
        <v>43500</v>
      </c>
      <c r="M35" s="156"/>
      <c r="N35" s="156"/>
      <c r="O35" s="139">
        <f t="shared" si="0"/>
        <v>43500</v>
      </c>
      <c r="P35" s="139"/>
      <c r="Q35" s="139">
        <f t="shared" si="1"/>
        <v>-43500</v>
      </c>
      <c r="S35" s="215"/>
      <c r="T35" s="215"/>
    </row>
    <row r="36" spans="1:20" s="159" customFormat="1" x14ac:dyDescent="0.25">
      <c r="A36" s="213"/>
      <c r="B36" s="203"/>
      <c r="C36" s="152" t="s">
        <v>1094</v>
      </c>
      <c r="D36" s="153"/>
      <c r="E36" s="154"/>
      <c r="F36" s="153"/>
      <c r="G36" s="153"/>
      <c r="H36" s="156"/>
      <c r="I36" s="153"/>
      <c r="J36" s="156"/>
      <c r="K36" s="204"/>
      <c r="L36" s="205">
        <v>1320000</v>
      </c>
      <c r="M36" s="156"/>
      <c r="N36" s="156"/>
      <c r="O36" s="139">
        <f t="shared" si="0"/>
        <v>1320000</v>
      </c>
      <c r="P36" s="139"/>
      <c r="Q36" s="139">
        <f t="shared" si="1"/>
        <v>-1320000</v>
      </c>
      <c r="R36" s="186"/>
      <c r="S36" s="215"/>
      <c r="T36" s="215"/>
    </row>
    <row r="37" spans="1:20" x14ac:dyDescent="0.25">
      <c r="A37" s="426" t="s">
        <v>20</v>
      </c>
      <c r="B37" s="426"/>
      <c r="C37" s="426"/>
      <c r="D37" s="426"/>
      <c r="E37" s="426"/>
      <c r="F37" s="426"/>
      <c r="G37" s="161">
        <f t="shared" ref="G37:Q37" si="2">SUM(G7:G36)</f>
        <v>2887</v>
      </c>
      <c r="H37" s="161">
        <f t="shared" si="2"/>
        <v>38152610</v>
      </c>
      <c r="I37" s="161">
        <f t="shared" si="2"/>
        <v>0</v>
      </c>
      <c r="J37" s="161">
        <f t="shared" si="2"/>
        <v>32290000</v>
      </c>
      <c r="K37" s="161">
        <f t="shared" si="2"/>
        <v>9000000</v>
      </c>
      <c r="L37" s="161">
        <f t="shared" si="2"/>
        <v>1363500</v>
      </c>
      <c r="M37" s="161">
        <f t="shared" si="2"/>
        <v>12000000</v>
      </c>
      <c r="N37" s="161">
        <f t="shared" si="2"/>
        <v>0</v>
      </c>
      <c r="O37" s="161">
        <f t="shared" si="2"/>
        <v>92806110</v>
      </c>
      <c r="P37" s="161">
        <f t="shared" si="2"/>
        <v>108979998</v>
      </c>
      <c r="Q37" s="161">
        <f t="shared" si="2"/>
        <v>16173888</v>
      </c>
      <c r="R37" s="187"/>
      <c r="S37" s="189"/>
    </row>
    <row r="38" spans="1:20" x14ac:dyDescent="0.25">
      <c r="O38" s="158"/>
      <c r="Q38" s="158"/>
    </row>
    <row r="39" spans="1:20" x14ac:dyDescent="0.25">
      <c r="P39" s="216" t="s">
        <v>1095</v>
      </c>
      <c r="Q39" s="216">
        <f>'05-2017'!Q27+'06-2017'!Q37</f>
        <v>122053794</v>
      </c>
    </row>
    <row r="40" spans="1:20" x14ac:dyDescent="0.25">
      <c r="B40" s="129"/>
      <c r="H40" s="128"/>
      <c r="J40" s="128"/>
      <c r="K40" s="128"/>
      <c r="L40" s="128"/>
      <c r="M40" s="128"/>
      <c r="N40" s="128"/>
      <c r="O40" s="128"/>
      <c r="P40" s="218"/>
      <c r="Q40" s="216"/>
    </row>
    <row r="41" spans="1:20" x14ac:dyDescent="0.25">
      <c r="B41" s="129"/>
      <c r="H41" s="128"/>
      <c r="J41" s="128"/>
      <c r="K41" s="128"/>
      <c r="L41" s="128"/>
      <c r="M41" s="128"/>
      <c r="N41" s="128"/>
      <c r="O41" s="128"/>
      <c r="P41" s="218"/>
      <c r="Q41" s="216"/>
    </row>
    <row r="42" spans="1:20" x14ac:dyDescent="0.25">
      <c r="B42" s="129"/>
      <c r="H42" s="128"/>
      <c r="J42" s="128"/>
      <c r="K42" s="128"/>
      <c r="L42" s="128"/>
      <c r="M42" s="128"/>
      <c r="N42" s="128"/>
      <c r="O42" s="128"/>
      <c r="P42" s="218"/>
      <c r="Q42" s="216"/>
    </row>
    <row r="43" spans="1:20" x14ac:dyDescent="0.25">
      <c r="B43" s="129"/>
      <c r="H43" s="128"/>
      <c r="J43" s="128"/>
      <c r="K43" s="128"/>
      <c r="L43" s="128"/>
      <c r="M43" s="128"/>
      <c r="N43" s="128"/>
      <c r="O43" s="128"/>
      <c r="P43" s="218"/>
      <c r="Q43" s="216"/>
    </row>
    <row r="44" spans="1:20" x14ac:dyDescent="0.25">
      <c r="B44" s="129"/>
      <c r="H44" s="128"/>
      <c r="J44" s="128"/>
      <c r="K44" s="128"/>
      <c r="L44" s="128"/>
      <c r="M44" s="128"/>
      <c r="N44" s="128"/>
      <c r="O44" s="128"/>
      <c r="P44" s="218"/>
      <c r="Q44" s="216"/>
    </row>
    <row r="45" spans="1:20" x14ac:dyDescent="0.25">
      <c r="A45" s="128"/>
      <c r="B45" s="129"/>
      <c r="H45" s="128"/>
      <c r="J45" s="128"/>
      <c r="K45" s="128"/>
      <c r="L45" s="128"/>
      <c r="M45" s="128"/>
      <c r="N45" s="128"/>
      <c r="O45" s="128"/>
      <c r="P45" s="218"/>
      <c r="Q45" s="216"/>
    </row>
    <row r="46" spans="1:20" x14ac:dyDescent="0.25">
      <c r="A46" s="128"/>
      <c r="B46" s="129"/>
      <c r="H46" s="128"/>
      <c r="J46" s="128"/>
      <c r="K46" s="128"/>
      <c r="L46" s="128"/>
      <c r="M46" s="128"/>
      <c r="N46" s="128"/>
      <c r="O46" s="128"/>
      <c r="P46" s="128"/>
      <c r="Q46" s="216"/>
    </row>
    <row r="47" spans="1:20" x14ac:dyDescent="0.25">
      <c r="Q47" s="216"/>
    </row>
    <row r="48" spans="1:20" x14ac:dyDescent="0.25">
      <c r="Q48" s="216"/>
    </row>
  </sheetData>
  <mergeCells count="14">
    <mergeCell ref="O5:O6"/>
    <mergeCell ref="P5:P6"/>
    <mergeCell ref="Q5:Q6"/>
    <mergeCell ref="A37:F3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55"/>
  <sheetViews>
    <sheetView topLeftCell="B1" zoomScaleNormal="100" workbookViewId="0">
      <selection activeCell="B7" sqref="A7:XFD50"/>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2.7109375" style="128" customWidth="1"/>
    <col min="6" max="6" width="11.5703125" style="128" customWidth="1"/>
    <col min="7" max="7" width="10.7109375" style="128" customWidth="1"/>
    <col min="8" max="8" width="11" style="143" customWidth="1"/>
    <col min="9" max="9" width="12.28515625" style="128" customWidth="1"/>
    <col min="10" max="10" width="13.140625" style="143" customWidth="1"/>
    <col min="11" max="11" width="10.28515625" style="143" customWidth="1"/>
    <col min="12" max="12" width="10.85546875" style="143" customWidth="1"/>
    <col min="13" max="13" width="11.28515625" style="143" customWidth="1"/>
    <col min="14" max="14" width="9.5703125" style="143" customWidth="1"/>
    <col min="15" max="15" width="17.140625" style="143" customWidth="1"/>
    <col min="16" max="16" width="20.140625" style="143" customWidth="1"/>
    <col min="17" max="17" width="18.8554687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1173</v>
      </c>
      <c r="C3" s="417"/>
      <c r="D3" s="417"/>
      <c r="E3" s="417"/>
      <c r="F3" s="417"/>
      <c r="G3" s="417"/>
      <c r="H3" s="417"/>
      <c r="I3" s="417"/>
      <c r="J3" s="417"/>
      <c r="K3" s="417"/>
      <c r="L3" s="417"/>
      <c r="M3" s="417"/>
      <c r="N3" s="417"/>
      <c r="O3" s="417"/>
      <c r="P3" s="417"/>
      <c r="Q3" s="417"/>
    </row>
    <row r="5" spans="1:20"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0.100000000000001" customHeight="1" x14ac:dyDescent="0.25">
      <c r="A7" s="210"/>
      <c r="B7" s="135"/>
      <c r="C7" s="199"/>
      <c r="D7" s="137"/>
      <c r="E7" s="137"/>
      <c r="F7" s="200"/>
      <c r="G7" s="142"/>
      <c r="H7" s="201"/>
      <c r="I7" s="201"/>
      <c r="J7" s="202"/>
      <c r="K7" s="202"/>
      <c r="L7" s="202"/>
      <c r="M7" s="202"/>
      <c r="N7" s="202"/>
      <c r="O7" s="142"/>
      <c r="P7" s="142"/>
      <c r="Q7" s="142"/>
    </row>
    <row r="8" spans="1:20" s="144" customFormat="1" ht="20.100000000000001" customHeight="1" x14ac:dyDescent="0.25">
      <c r="A8" s="210"/>
      <c r="B8" s="135"/>
      <c r="C8" s="199"/>
      <c r="D8" s="137"/>
      <c r="E8" s="137"/>
      <c r="F8" s="200"/>
      <c r="G8" s="142"/>
      <c r="H8" s="201"/>
      <c r="I8" s="201"/>
      <c r="J8" s="202"/>
      <c r="K8" s="202"/>
      <c r="L8" s="202"/>
      <c r="M8" s="202"/>
      <c r="N8" s="202"/>
      <c r="O8" s="139"/>
      <c r="P8" s="142"/>
      <c r="Q8" s="139"/>
    </row>
    <row r="9" spans="1:20" s="144" customFormat="1" ht="20.100000000000001" customHeight="1" x14ac:dyDescent="0.2">
      <c r="A9" s="211">
        <v>1</v>
      </c>
      <c r="B9" s="191">
        <v>42919</v>
      </c>
      <c r="C9" s="138" t="s">
        <v>1174</v>
      </c>
      <c r="D9" s="138" t="s">
        <v>1195</v>
      </c>
      <c r="E9" s="146" t="s">
        <v>25</v>
      </c>
      <c r="F9" s="138"/>
      <c r="G9" s="138"/>
      <c r="H9" s="139"/>
      <c r="I9" s="138"/>
      <c r="J9" s="141">
        <f>1910000+140000</f>
        <v>2050000</v>
      </c>
      <c r="K9" s="141"/>
      <c r="L9" s="150"/>
      <c r="M9" s="141"/>
      <c r="N9" s="141"/>
      <c r="O9" s="139">
        <f>H9+J9+K9+L9+M9+N9</f>
        <v>2050000</v>
      </c>
      <c r="P9" s="139">
        <v>7500000</v>
      </c>
      <c r="Q9" s="139">
        <f>P9-O9</f>
        <v>5450000</v>
      </c>
      <c r="R9" s="217"/>
      <c r="S9" s="215"/>
      <c r="T9" s="215"/>
    </row>
    <row r="10" spans="1:20" s="144" customFormat="1" ht="20.100000000000001" customHeight="1" x14ac:dyDescent="0.2">
      <c r="A10" s="211">
        <v>2</v>
      </c>
      <c r="B10" s="191">
        <v>42921</v>
      </c>
      <c r="C10" s="138" t="s">
        <v>1175</v>
      </c>
      <c r="D10" s="138" t="s">
        <v>1196</v>
      </c>
      <c r="E10" s="146" t="s">
        <v>1217</v>
      </c>
      <c r="F10" s="138"/>
      <c r="G10" s="138">
        <v>196</v>
      </c>
      <c r="H10" s="139">
        <v>2514680</v>
      </c>
      <c r="I10" s="138"/>
      <c r="J10" s="141">
        <f>810000+140000</f>
        <v>950000</v>
      </c>
      <c r="K10" s="141"/>
      <c r="L10" s="150"/>
      <c r="M10" s="141"/>
      <c r="N10" s="141"/>
      <c r="O10" s="139">
        <f t="shared" ref="O10:O43" si="0">H10+J10+K10+L10+M10+N10</f>
        <v>3464680</v>
      </c>
      <c r="P10" s="139">
        <v>3800000</v>
      </c>
      <c r="Q10" s="139">
        <f t="shared" ref="Q10:Q43" si="1">P10-O10</f>
        <v>335320</v>
      </c>
      <c r="R10" s="217"/>
      <c r="S10" s="215"/>
      <c r="T10" s="215"/>
    </row>
    <row r="11" spans="1:20" s="144" customFormat="1" ht="20.100000000000001" customHeight="1" x14ac:dyDescent="0.2">
      <c r="A11" s="211">
        <v>3</v>
      </c>
      <c r="B11" s="191">
        <v>42922</v>
      </c>
      <c r="C11" s="138" t="s">
        <v>1176</v>
      </c>
      <c r="D11" s="138" t="s">
        <v>1197</v>
      </c>
      <c r="E11" s="146" t="s">
        <v>407</v>
      </c>
      <c r="F11" s="138"/>
      <c r="G11" s="138">
        <v>114</v>
      </c>
      <c r="H11" s="139">
        <v>1476300</v>
      </c>
      <c r="I11" s="138"/>
      <c r="J11" s="141">
        <v>1150000</v>
      </c>
      <c r="K11" s="141"/>
      <c r="L11" s="150"/>
      <c r="M11" s="141"/>
      <c r="N11" s="141"/>
      <c r="O11" s="139">
        <f t="shared" si="0"/>
        <v>2626300</v>
      </c>
      <c r="P11" s="139">
        <v>3700000</v>
      </c>
      <c r="Q11" s="139">
        <f t="shared" si="1"/>
        <v>1073700</v>
      </c>
      <c r="R11" s="217"/>
      <c r="S11" s="215"/>
      <c r="T11" s="215"/>
    </row>
    <row r="12" spans="1:20" s="144" customFormat="1" ht="20.100000000000001" customHeight="1" x14ac:dyDescent="0.2">
      <c r="A12" s="211">
        <v>4</v>
      </c>
      <c r="B12" s="191">
        <v>42923</v>
      </c>
      <c r="C12" s="138" t="s">
        <v>1177</v>
      </c>
      <c r="D12" s="138" t="s">
        <v>1198</v>
      </c>
      <c r="E12" s="146" t="s">
        <v>1218</v>
      </c>
      <c r="F12" s="138"/>
      <c r="G12" s="138">
        <v>91</v>
      </c>
      <c r="H12" s="139">
        <v>1178450</v>
      </c>
      <c r="I12" s="138"/>
      <c r="J12" s="141">
        <f>790000+140000</f>
        <v>930000</v>
      </c>
      <c r="K12" s="141"/>
      <c r="L12" s="150"/>
      <c r="M12" s="141"/>
      <c r="N12" s="141"/>
      <c r="O12" s="139">
        <f t="shared" si="0"/>
        <v>2108450</v>
      </c>
      <c r="P12" s="139">
        <v>3300000</v>
      </c>
      <c r="Q12" s="139">
        <f t="shared" si="1"/>
        <v>1191550</v>
      </c>
      <c r="R12" s="217"/>
      <c r="S12" s="215"/>
      <c r="T12" s="215"/>
    </row>
    <row r="13" spans="1:20" s="144" customFormat="1" ht="20.100000000000001" customHeight="1" x14ac:dyDescent="0.2">
      <c r="A13" s="211">
        <v>5</v>
      </c>
      <c r="B13" s="191">
        <v>42924</v>
      </c>
      <c r="C13" s="138" t="s">
        <v>1178</v>
      </c>
      <c r="D13" s="138" t="s">
        <v>1199</v>
      </c>
      <c r="E13" s="146" t="s">
        <v>1219</v>
      </c>
      <c r="F13" s="138"/>
      <c r="G13" s="138">
        <v>80</v>
      </c>
      <c r="H13" s="139">
        <v>1036000</v>
      </c>
      <c r="I13" s="138"/>
      <c r="J13" s="141">
        <f>800000+140000</f>
        <v>940000</v>
      </c>
      <c r="K13" s="141"/>
      <c r="L13" s="150"/>
      <c r="M13" s="141"/>
      <c r="N13" s="141"/>
      <c r="O13" s="139">
        <f t="shared" si="0"/>
        <v>1976000</v>
      </c>
      <c r="P13" s="139">
        <v>3000000</v>
      </c>
      <c r="Q13" s="139">
        <f t="shared" si="1"/>
        <v>1024000</v>
      </c>
      <c r="R13" s="217"/>
      <c r="S13" s="215"/>
      <c r="T13" s="215"/>
    </row>
    <row r="14" spans="1:20" s="144" customFormat="1" ht="20.100000000000001" customHeight="1" x14ac:dyDescent="0.2">
      <c r="A14" s="211">
        <v>6</v>
      </c>
      <c r="B14" s="191">
        <v>42925</v>
      </c>
      <c r="C14" s="138" t="s">
        <v>1179</v>
      </c>
      <c r="D14" s="138" t="s">
        <v>1200</v>
      </c>
      <c r="E14" s="146" t="s">
        <v>1220</v>
      </c>
      <c r="F14" s="138"/>
      <c r="G14" s="138"/>
      <c r="H14" s="139"/>
      <c r="I14" s="138"/>
      <c r="J14" s="141">
        <f>1340000+140000</f>
        <v>1480000</v>
      </c>
      <c r="K14" s="141"/>
      <c r="L14" s="150"/>
      <c r="M14" s="141"/>
      <c r="N14" s="141"/>
      <c r="O14" s="139">
        <f t="shared" si="0"/>
        <v>1480000</v>
      </c>
      <c r="P14" s="139">
        <v>4800000</v>
      </c>
      <c r="Q14" s="139">
        <f t="shared" si="1"/>
        <v>3320000</v>
      </c>
      <c r="R14" s="217"/>
      <c r="S14" s="215"/>
      <c r="T14" s="215"/>
    </row>
    <row r="15" spans="1:20" s="144" customFormat="1" ht="20.100000000000001" customHeight="1" x14ac:dyDescent="0.2">
      <c r="A15" s="211">
        <v>7</v>
      </c>
      <c r="B15" s="191">
        <v>42926</v>
      </c>
      <c r="C15" s="138" t="s">
        <v>1180</v>
      </c>
      <c r="D15" s="138" t="s">
        <v>1201</v>
      </c>
      <c r="E15" s="146" t="s">
        <v>1220</v>
      </c>
      <c r="F15" s="138"/>
      <c r="G15" s="138"/>
      <c r="H15" s="139"/>
      <c r="I15" s="138"/>
      <c r="J15" s="141">
        <f>1340000+140000</f>
        <v>1480000</v>
      </c>
      <c r="K15" s="141"/>
      <c r="L15" s="150"/>
      <c r="M15" s="141"/>
      <c r="N15" s="141"/>
      <c r="O15" s="139">
        <f t="shared" si="0"/>
        <v>1480000</v>
      </c>
      <c r="P15" s="139">
        <v>4800000</v>
      </c>
      <c r="Q15" s="139">
        <f t="shared" si="1"/>
        <v>3320000</v>
      </c>
      <c r="R15" s="217"/>
      <c r="S15" s="215"/>
      <c r="T15" s="215"/>
    </row>
    <row r="16" spans="1:20" s="144" customFormat="1" ht="20.100000000000001" customHeight="1" x14ac:dyDescent="0.2">
      <c r="A16" s="211">
        <v>8</v>
      </c>
      <c r="B16" s="191">
        <v>42927</v>
      </c>
      <c r="C16" s="138" t="s">
        <v>1181</v>
      </c>
      <c r="D16" s="138" t="s">
        <v>1202</v>
      </c>
      <c r="E16" s="146" t="s">
        <v>407</v>
      </c>
      <c r="F16" s="138"/>
      <c r="G16" s="138">
        <v>180</v>
      </c>
      <c r="H16" s="139">
        <v>2331000</v>
      </c>
      <c r="I16" s="138"/>
      <c r="J16" s="141">
        <f>1150000+140000</f>
        <v>1290000</v>
      </c>
      <c r="K16" s="141"/>
      <c r="L16" s="150"/>
      <c r="M16" s="141"/>
      <c r="N16" s="141"/>
      <c r="O16" s="139">
        <f t="shared" si="0"/>
        <v>3621000</v>
      </c>
      <c r="P16" s="139">
        <v>3700000</v>
      </c>
      <c r="Q16" s="139">
        <f t="shared" si="1"/>
        <v>79000</v>
      </c>
      <c r="R16" s="217"/>
      <c r="S16" s="215"/>
      <c r="T16" s="215"/>
    </row>
    <row r="17" spans="1:20" s="144" customFormat="1" ht="20.100000000000001" customHeight="1" x14ac:dyDescent="0.2">
      <c r="A17" s="211">
        <v>9</v>
      </c>
      <c r="B17" s="191">
        <v>42928</v>
      </c>
      <c r="C17" s="138" t="s">
        <v>1182</v>
      </c>
      <c r="D17" s="138" t="s">
        <v>1203</v>
      </c>
      <c r="E17" s="146" t="s">
        <v>1221</v>
      </c>
      <c r="F17" s="138"/>
      <c r="G17" s="138">
        <v>110</v>
      </c>
      <c r="H17" s="139">
        <v>1295000</v>
      </c>
      <c r="I17" s="138"/>
      <c r="J17" s="141">
        <f>1150000+140000</f>
        <v>1290000</v>
      </c>
      <c r="K17" s="141"/>
      <c r="L17" s="150"/>
      <c r="M17" s="141"/>
      <c r="N17" s="141"/>
      <c r="O17" s="139">
        <f t="shared" si="0"/>
        <v>2585000</v>
      </c>
      <c r="P17" s="139">
        <v>3800000</v>
      </c>
      <c r="Q17" s="139">
        <f t="shared" si="1"/>
        <v>1215000</v>
      </c>
      <c r="R17" s="217"/>
      <c r="S17" s="215"/>
      <c r="T17" s="215"/>
    </row>
    <row r="18" spans="1:20" s="144" customFormat="1" ht="20.100000000000001" customHeight="1" x14ac:dyDescent="0.2">
      <c r="A18" s="211">
        <v>10</v>
      </c>
      <c r="B18" s="191">
        <v>42929</v>
      </c>
      <c r="C18" s="138" t="s">
        <v>1183</v>
      </c>
      <c r="D18" s="138" t="s">
        <v>1204</v>
      </c>
      <c r="E18" s="146" t="s">
        <v>23</v>
      </c>
      <c r="F18" s="138"/>
      <c r="G18" s="138">
        <v>212</v>
      </c>
      <c r="H18" s="139">
        <v>2745400</v>
      </c>
      <c r="I18" s="138"/>
      <c r="J18" s="141">
        <f>2920000+70000+70000</f>
        <v>3060000</v>
      </c>
      <c r="K18" s="141"/>
      <c r="L18" s="150"/>
      <c r="M18" s="141"/>
      <c r="N18" s="141"/>
      <c r="O18" s="139">
        <f t="shared" si="0"/>
        <v>5805400</v>
      </c>
      <c r="P18" s="139">
        <v>12727273</v>
      </c>
      <c r="Q18" s="139">
        <f t="shared" si="1"/>
        <v>6921873</v>
      </c>
      <c r="R18" s="217"/>
      <c r="S18" s="215"/>
      <c r="T18" s="215"/>
    </row>
    <row r="19" spans="1:20" s="144" customFormat="1" ht="20.100000000000001" customHeight="1" x14ac:dyDescent="0.2">
      <c r="A19" s="211">
        <v>11</v>
      </c>
      <c r="B19" s="191">
        <v>42933</v>
      </c>
      <c r="C19" s="138" t="s">
        <v>1184</v>
      </c>
      <c r="D19" s="138" t="s">
        <v>1205</v>
      </c>
      <c r="E19" s="146" t="s">
        <v>1164</v>
      </c>
      <c r="F19" s="138"/>
      <c r="G19" s="138">
        <v>250</v>
      </c>
      <c r="H19" s="139">
        <v>3237500</v>
      </c>
      <c r="I19" s="138"/>
      <c r="J19" s="141">
        <f>1340000+140000</f>
        <v>1480000</v>
      </c>
      <c r="K19" s="141"/>
      <c r="L19" s="150"/>
      <c r="M19" s="141"/>
      <c r="N19" s="141"/>
      <c r="O19" s="139">
        <f t="shared" si="0"/>
        <v>4717500</v>
      </c>
      <c r="P19" s="139">
        <v>4700000</v>
      </c>
      <c r="Q19" s="139">
        <f t="shared" si="1"/>
        <v>-17500</v>
      </c>
      <c r="R19" s="217"/>
      <c r="S19" s="215"/>
      <c r="T19" s="215"/>
    </row>
    <row r="20" spans="1:20" s="144" customFormat="1" ht="20.100000000000001" customHeight="1" x14ac:dyDescent="0.2">
      <c r="A20" s="211">
        <v>12</v>
      </c>
      <c r="B20" s="191">
        <v>42933</v>
      </c>
      <c r="C20" s="138" t="s">
        <v>460</v>
      </c>
      <c r="D20" s="138" t="s">
        <v>1206</v>
      </c>
      <c r="E20" s="146" t="s">
        <v>1222</v>
      </c>
      <c r="F20" s="138"/>
      <c r="G20" s="138"/>
      <c r="H20" s="139"/>
      <c r="I20" s="138"/>
      <c r="J20" s="141">
        <f>790000+140000</f>
        <v>930000</v>
      </c>
      <c r="K20" s="141"/>
      <c r="L20" s="150"/>
      <c r="M20" s="141"/>
      <c r="N20" s="141"/>
      <c r="O20" s="139">
        <f t="shared" si="0"/>
        <v>930000</v>
      </c>
      <c r="P20" s="139">
        <v>3300000</v>
      </c>
      <c r="Q20" s="139">
        <f t="shared" si="1"/>
        <v>2370000</v>
      </c>
      <c r="R20" s="217"/>
      <c r="S20" s="215"/>
      <c r="T20" s="215"/>
    </row>
    <row r="21" spans="1:20" s="144" customFormat="1" ht="20.100000000000001" customHeight="1" x14ac:dyDescent="0.2">
      <c r="A21" s="211">
        <v>13</v>
      </c>
      <c r="B21" s="191">
        <v>42934</v>
      </c>
      <c r="C21" s="138" t="s">
        <v>1185</v>
      </c>
      <c r="D21" s="138" t="s">
        <v>1207</v>
      </c>
      <c r="E21" s="146" t="s">
        <v>1223</v>
      </c>
      <c r="F21" s="138"/>
      <c r="G21" s="138">
        <v>201</v>
      </c>
      <c r="H21" s="139">
        <v>2602950</v>
      </c>
      <c r="I21" s="138"/>
      <c r="J21" s="141">
        <f>1600000+140000</f>
        <v>1740000</v>
      </c>
      <c r="K21" s="141"/>
      <c r="L21" s="150"/>
      <c r="M21" s="141"/>
      <c r="N21" s="141"/>
      <c r="O21" s="139">
        <f t="shared" si="0"/>
        <v>4342950</v>
      </c>
      <c r="P21" s="139">
        <v>3600000</v>
      </c>
      <c r="Q21" s="139">
        <f t="shared" si="1"/>
        <v>-742950</v>
      </c>
      <c r="R21" s="217"/>
      <c r="S21" s="215"/>
      <c r="T21" s="215"/>
    </row>
    <row r="22" spans="1:20" s="144" customFormat="1" ht="20.100000000000001" customHeight="1" x14ac:dyDescent="0.2">
      <c r="A22" s="211">
        <v>14</v>
      </c>
      <c r="B22" s="191">
        <v>42935</v>
      </c>
      <c r="C22" s="138" t="s">
        <v>1186</v>
      </c>
      <c r="D22" s="138" t="s">
        <v>1208</v>
      </c>
      <c r="E22" s="146" t="s">
        <v>1170</v>
      </c>
      <c r="F22" s="138"/>
      <c r="G22" s="138"/>
      <c r="H22" s="139"/>
      <c r="I22" s="138"/>
      <c r="J22" s="141">
        <f>2560000+140000+360000</f>
        <v>3060000</v>
      </c>
      <c r="K22" s="141"/>
      <c r="L22" s="150"/>
      <c r="M22" s="141"/>
      <c r="N22" s="141"/>
      <c r="O22" s="139">
        <f t="shared" si="0"/>
        <v>3060000</v>
      </c>
      <c r="P22" s="139">
        <v>13181818</v>
      </c>
      <c r="Q22" s="139">
        <f t="shared" si="1"/>
        <v>10121818</v>
      </c>
      <c r="R22" s="217"/>
      <c r="S22" s="215"/>
      <c r="T22" s="215"/>
    </row>
    <row r="23" spans="1:20" s="144" customFormat="1" ht="20.100000000000001" customHeight="1" x14ac:dyDescent="0.2">
      <c r="A23" s="211">
        <v>15</v>
      </c>
      <c r="B23" s="191">
        <v>42937</v>
      </c>
      <c r="C23" s="138" t="s">
        <v>1187</v>
      </c>
      <c r="D23" s="138" t="s">
        <v>1209</v>
      </c>
      <c r="E23" s="146" t="s">
        <v>80</v>
      </c>
      <c r="F23" s="138"/>
      <c r="G23" s="138"/>
      <c r="H23" s="139"/>
      <c r="I23" s="138"/>
      <c r="J23" s="141">
        <f>1000000+140000-50000</f>
        <v>1090000</v>
      </c>
      <c r="K23" s="141"/>
      <c r="L23" s="150"/>
      <c r="M23" s="141"/>
      <c r="N23" s="141"/>
      <c r="O23" s="139">
        <f t="shared" si="0"/>
        <v>1090000</v>
      </c>
      <c r="P23" s="139">
        <v>3800000</v>
      </c>
      <c r="Q23" s="139">
        <f t="shared" si="1"/>
        <v>2710000</v>
      </c>
      <c r="R23" s="217"/>
      <c r="S23" s="215"/>
      <c r="T23" s="215"/>
    </row>
    <row r="24" spans="1:20" s="144" customFormat="1" ht="20.100000000000001" customHeight="1" x14ac:dyDescent="0.2">
      <c r="A24" s="211">
        <v>16</v>
      </c>
      <c r="B24" s="191">
        <v>42938</v>
      </c>
      <c r="C24" s="138" t="s">
        <v>1188</v>
      </c>
      <c r="D24" s="138" t="s">
        <v>1210</v>
      </c>
      <c r="E24" s="146" t="s">
        <v>25</v>
      </c>
      <c r="F24" s="138"/>
      <c r="G24" s="138">
        <v>205</v>
      </c>
      <c r="H24" s="139">
        <v>2730600</v>
      </c>
      <c r="I24" s="138"/>
      <c r="J24" s="141">
        <f>1910000+140000</f>
        <v>2050000</v>
      </c>
      <c r="K24" s="141"/>
      <c r="L24" s="150"/>
      <c r="M24" s="141"/>
      <c r="N24" s="141"/>
      <c r="O24" s="139">
        <f t="shared" si="0"/>
        <v>4780600</v>
      </c>
      <c r="P24" s="139">
        <v>7500000</v>
      </c>
      <c r="Q24" s="139">
        <f t="shared" si="1"/>
        <v>2719400</v>
      </c>
      <c r="R24" s="217"/>
      <c r="S24" s="215"/>
      <c r="T24" s="215"/>
    </row>
    <row r="25" spans="1:20" s="144" customFormat="1" ht="20.100000000000001" customHeight="1" x14ac:dyDescent="0.2">
      <c r="A25" s="211">
        <v>17</v>
      </c>
      <c r="B25" s="191">
        <v>42938</v>
      </c>
      <c r="C25" s="138" t="s">
        <v>1189</v>
      </c>
      <c r="D25" s="138" t="s">
        <v>1211</v>
      </c>
      <c r="E25" s="146" t="s">
        <v>80</v>
      </c>
      <c r="F25" s="138"/>
      <c r="G25" s="138"/>
      <c r="H25" s="139"/>
      <c r="I25" s="138"/>
      <c r="J25" s="141">
        <f>1000000+140000-50000</f>
        <v>1090000</v>
      </c>
      <c r="K25" s="141"/>
      <c r="L25" s="150"/>
      <c r="M25" s="141"/>
      <c r="N25" s="141"/>
      <c r="O25" s="139">
        <f t="shared" si="0"/>
        <v>1090000</v>
      </c>
      <c r="P25" s="139">
        <v>3800000</v>
      </c>
      <c r="Q25" s="139">
        <f t="shared" si="1"/>
        <v>2710000</v>
      </c>
      <c r="R25" s="217"/>
      <c r="S25" s="215"/>
      <c r="T25" s="215"/>
    </row>
    <row r="26" spans="1:20" s="144" customFormat="1" ht="20.100000000000001" customHeight="1" x14ac:dyDescent="0.2">
      <c r="A26" s="211">
        <v>18</v>
      </c>
      <c r="B26" s="191">
        <v>42940</v>
      </c>
      <c r="C26" s="138" t="s">
        <v>1190</v>
      </c>
      <c r="D26" s="138" t="s">
        <v>1212</v>
      </c>
      <c r="E26" s="146" t="s">
        <v>80</v>
      </c>
      <c r="F26" s="138"/>
      <c r="G26" s="138">
        <v>175</v>
      </c>
      <c r="H26" s="139">
        <v>2331000</v>
      </c>
      <c r="I26" s="138"/>
      <c r="J26" s="141">
        <f>1000000+140000-50000</f>
        <v>1090000</v>
      </c>
      <c r="K26" s="141"/>
      <c r="L26" s="150"/>
      <c r="M26" s="141"/>
      <c r="N26" s="141"/>
      <c r="O26" s="139">
        <f t="shared" si="0"/>
        <v>3421000</v>
      </c>
      <c r="P26" s="139">
        <v>3800000</v>
      </c>
      <c r="Q26" s="139">
        <f t="shared" si="1"/>
        <v>379000</v>
      </c>
      <c r="R26" s="217"/>
      <c r="S26" s="215"/>
      <c r="T26" s="215"/>
    </row>
    <row r="27" spans="1:20" s="144" customFormat="1" ht="20.100000000000001" customHeight="1" x14ac:dyDescent="0.2">
      <c r="A27" s="211">
        <v>19</v>
      </c>
      <c r="B27" s="191">
        <v>42941</v>
      </c>
      <c r="C27" s="138" t="s">
        <v>1191</v>
      </c>
      <c r="D27" s="138" t="s">
        <v>1213</v>
      </c>
      <c r="E27" s="146" t="s">
        <v>80</v>
      </c>
      <c r="F27" s="138"/>
      <c r="G27" s="138">
        <v>100</v>
      </c>
      <c r="H27" s="139">
        <v>1332000</v>
      </c>
      <c r="I27" s="138"/>
      <c r="J27" s="141">
        <f>140000+1000000-50000</f>
        <v>1090000</v>
      </c>
      <c r="K27" s="141"/>
      <c r="L27" s="150"/>
      <c r="M27" s="141"/>
      <c r="N27" s="141"/>
      <c r="O27" s="139">
        <f t="shared" si="0"/>
        <v>2422000</v>
      </c>
      <c r="P27" s="139">
        <v>3800000</v>
      </c>
      <c r="Q27" s="139">
        <f t="shared" si="1"/>
        <v>1378000</v>
      </c>
      <c r="R27" s="217"/>
      <c r="S27" s="215"/>
      <c r="T27" s="215"/>
    </row>
    <row r="28" spans="1:20" s="144" customFormat="1" ht="20.100000000000001" customHeight="1" x14ac:dyDescent="0.2">
      <c r="A28" s="211">
        <v>20</v>
      </c>
      <c r="B28" s="191">
        <v>42942</v>
      </c>
      <c r="C28" s="138" t="s">
        <v>1192</v>
      </c>
      <c r="D28" s="138" t="s">
        <v>1214</v>
      </c>
      <c r="E28" s="146" t="s">
        <v>1224</v>
      </c>
      <c r="F28" s="138"/>
      <c r="G28" s="138">
        <v>200</v>
      </c>
      <c r="H28" s="139">
        <v>2664000</v>
      </c>
      <c r="I28" s="138"/>
      <c r="J28" s="209">
        <f>2800000+140000</f>
        <v>2940000</v>
      </c>
      <c r="K28" s="141"/>
      <c r="L28" s="150"/>
      <c r="M28" s="141"/>
      <c r="N28" s="141"/>
      <c r="O28" s="139">
        <f t="shared" si="0"/>
        <v>5604000</v>
      </c>
      <c r="P28" s="139">
        <v>8200000</v>
      </c>
      <c r="Q28" s="139">
        <f t="shared" si="1"/>
        <v>2596000</v>
      </c>
      <c r="R28" s="217"/>
      <c r="S28" s="215"/>
      <c r="T28" s="215"/>
    </row>
    <row r="29" spans="1:20" s="144" customFormat="1" ht="20.100000000000001" customHeight="1" x14ac:dyDescent="0.2">
      <c r="A29" s="211">
        <v>21</v>
      </c>
      <c r="B29" s="191">
        <v>42945</v>
      </c>
      <c r="C29" s="138" t="s">
        <v>1193</v>
      </c>
      <c r="D29" s="138" t="s">
        <v>1215</v>
      </c>
      <c r="E29" s="146" t="s">
        <v>1114</v>
      </c>
      <c r="F29" s="138"/>
      <c r="G29" s="138">
        <v>240</v>
      </c>
      <c r="H29" s="139">
        <v>3196800</v>
      </c>
      <c r="I29" s="138"/>
      <c r="J29" s="141">
        <f>1600000+140000</f>
        <v>1740000</v>
      </c>
      <c r="K29" s="141"/>
      <c r="L29" s="150"/>
      <c r="M29" s="141"/>
      <c r="N29" s="141"/>
      <c r="O29" s="139">
        <f t="shared" si="0"/>
        <v>4936800</v>
      </c>
      <c r="P29" s="139">
        <v>5070000</v>
      </c>
      <c r="Q29" s="139">
        <f t="shared" si="1"/>
        <v>133200</v>
      </c>
      <c r="R29" s="217"/>
      <c r="S29" s="215"/>
      <c r="T29" s="215"/>
    </row>
    <row r="30" spans="1:20" s="144" customFormat="1" ht="20.100000000000001" customHeight="1" x14ac:dyDescent="0.2">
      <c r="A30" s="211">
        <v>22</v>
      </c>
      <c r="B30" s="191">
        <v>42946</v>
      </c>
      <c r="C30" s="138" t="s">
        <v>1194</v>
      </c>
      <c r="D30" s="138" t="s">
        <v>1216</v>
      </c>
      <c r="E30" s="146" t="s">
        <v>1225</v>
      </c>
      <c r="F30" s="138"/>
      <c r="G30" s="138"/>
      <c r="H30" s="139"/>
      <c r="I30" s="138"/>
      <c r="J30" s="141">
        <f>800000+140000</f>
        <v>940000</v>
      </c>
      <c r="K30" s="141"/>
      <c r="L30" s="150"/>
      <c r="M30" s="141"/>
      <c r="N30" s="141"/>
      <c r="O30" s="139">
        <f t="shared" si="0"/>
        <v>940000</v>
      </c>
      <c r="P30" s="139">
        <v>2700000</v>
      </c>
      <c r="Q30" s="139">
        <f t="shared" si="1"/>
        <v>1760000</v>
      </c>
      <c r="R30" s="217"/>
      <c r="S30" s="215"/>
      <c r="T30" s="215"/>
    </row>
    <row r="31" spans="1:20" s="159" customFormat="1" ht="20.100000000000001" customHeight="1" x14ac:dyDescent="0.25">
      <c r="A31" s="212"/>
      <c r="B31" s="165"/>
      <c r="C31" s="196" t="s">
        <v>121</v>
      </c>
      <c r="D31" s="195"/>
      <c r="E31" s="197"/>
      <c r="F31" s="195"/>
      <c r="G31" s="195"/>
      <c r="H31" s="155"/>
      <c r="I31" s="195"/>
      <c r="J31" s="155"/>
      <c r="K31" s="157"/>
      <c r="L31" s="157">
        <v>8653846</v>
      </c>
      <c r="M31" s="155"/>
      <c r="N31" s="155"/>
      <c r="O31" s="139">
        <f t="shared" si="0"/>
        <v>8653846</v>
      </c>
      <c r="P31" s="139"/>
      <c r="Q31" s="139">
        <f t="shared" si="1"/>
        <v>-8653846</v>
      </c>
      <c r="S31" s="215"/>
      <c r="T31" s="215"/>
    </row>
    <row r="32" spans="1:20" s="159" customFormat="1" ht="20.100000000000001" customHeight="1" x14ac:dyDescent="0.25">
      <c r="A32" s="212"/>
      <c r="B32" s="165"/>
      <c r="C32" s="196" t="s">
        <v>1226</v>
      </c>
      <c r="D32" s="195"/>
      <c r="E32" s="197"/>
      <c r="F32" s="195"/>
      <c r="G32" s="195"/>
      <c r="H32" s="155"/>
      <c r="I32" s="195"/>
      <c r="J32" s="155"/>
      <c r="K32" s="157"/>
      <c r="L32" s="157">
        <v>7500</v>
      </c>
      <c r="M32" s="155"/>
      <c r="N32" s="155"/>
      <c r="O32" s="139">
        <f t="shared" si="0"/>
        <v>7500</v>
      </c>
      <c r="P32" s="139"/>
      <c r="Q32" s="139">
        <f t="shared" si="1"/>
        <v>-7500</v>
      </c>
      <c r="S32" s="215"/>
      <c r="T32" s="215"/>
    </row>
    <row r="33" spans="1:20" s="159" customFormat="1" ht="20.100000000000001" customHeight="1" x14ac:dyDescent="0.25">
      <c r="A33" s="212"/>
      <c r="B33" s="165"/>
      <c r="C33" s="196" t="s">
        <v>1227</v>
      </c>
      <c r="D33" s="195"/>
      <c r="E33" s="197"/>
      <c r="F33" s="195"/>
      <c r="G33" s="195"/>
      <c r="H33" s="155"/>
      <c r="I33" s="195"/>
      <c r="J33" s="155"/>
      <c r="K33" s="157"/>
      <c r="L33" s="157">
        <v>300000</v>
      </c>
      <c r="M33" s="155"/>
      <c r="N33" s="155"/>
      <c r="O33" s="139">
        <f t="shared" si="0"/>
        <v>300000</v>
      </c>
      <c r="P33" s="139"/>
      <c r="Q33" s="139">
        <f t="shared" si="1"/>
        <v>-300000</v>
      </c>
      <c r="S33" s="215"/>
      <c r="T33" s="215"/>
    </row>
    <row r="34" spans="1:20" s="159" customFormat="1" ht="20.100000000000001" customHeight="1" x14ac:dyDescent="0.25">
      <c r="A34" s="212"/>
      <c r="B34" s="165"/>
      <c r="C34" s="196" t="s">
        <v>1228</v>
      </c>
      <c r="D34" s="195"/>
      <c r="E34" s="197"/>
      <c r="F34" s="195"/>
      <c r="G34" s="195"/>
      <c r="H34" s="155"/>
      <c r="I34" s="195"/>
      <c r="J34" s="155"/>
      <c r="K34" s="157"/>
      <c r="L34" s="157">
        <v>1700000</v>
      </c>
      <c r="M34" s="155"/>
      <c r="N34" s="155"/>
      <c r="O34" s="139">
        <f t="shared" si="0"/>
        <v>1700000</v>
      </c>
      <c r="P34" s="139"/>
      <c r="Q34" s="139">
        <f t="shared" si="1"/>
        <v>-1700000</v>
      </c>
      <c r="S34" s="215"/>
      <c r="T34" s="215"/>
    </row>
    <row r="35" spans="1:20" s="159" customFormat="1" ht="20.100000000000001" customHeight="1" x14ac:dyDescent="0.25">
      <c r="A35" s="212"/>
      <c r="B35" s="165"/>
      <c r="C35" s="196" t="s">
        <v>1229</v>
      </c>
      <c r="D35" s="195"/>
      <c r="E35" s="197"/>
      <c r="F35" s="195"/>
      <c r="G35" s="195"/>
      <c r="H35" s="155"/>
      <c r="I35" s="195"/>
      <c r="J35" s="155"/>
      <c r="K35" s="157"/>
      <c r="L35" s="157"/>
      <c r="M35" s="219">
        <v>11600000</v>
      </c>
      <c r="N35" s="155"/>
      <c r="O35" s="139">
        <f t="shared" si="0"/>
        <v>11600000</v>
      </c>
      <c r="P35" s="139"/>
      <c r="Q35" s="139">
        <f t="shared" si="1"/>
        <v>-11600000</v>
      </c>
      <c r="S35" s="215"/>
      <c r="T35" s="215"/>
    </row>
    <row r="36" spans="1:20" s="159" customFormat="1" ht="20.100000000000001" customHeight="1" x14ac:dyDescent="0.25">
      <c r="A36" s="212"/>
      <c r="B36" s="165"/>
      <c r="C36" s="196" t="s">
        <v>1230</v>
      </c>
      <c r="D36" s="195"/>
      <c r="E36" s="197"/>
      <c r="F36" s="195"/>
      <c r="G36" s="195"/>
      <c r="H36" s="155"/>
      <c r="I36" s="195"/>
      <c r="J36" s="155"/>
      <c r="K36" s="157"/>
      <c r="L36" s="157">
        <v>950000</v>
      </c>
      <c r="M36" s="155"/>
      <c r="N36" s="155"/>
      <c r="O36" s="139">
        <f t="shared" si="0"/>
        <v>950000</v>
      </c>
      <c r="P36" s="139"/>
      <c r="Q36" s="139">
        <f t="shared" si="1"/>
        <v>-950000</v>
      </c>
      <c r="S36" s="215"/>
      <c r="T36" s="215"/>
    </row>
    <row r="37" spans="1:20" s="159" customFormat="1" ht="20.100000000000001" customHeight="1" x14ac:dyDescent="0.25">
      <c r="A37" s="212"/>
      <c r="B37" s="165"/>
      <c r="C37" s="196" t="s">
        <v>1231</v>
      </c>
      <c r="D37" s="195"/>
      <c r="E37" s="197"/>
      <c r="F37" s="195"/>
      <c r="G37" s="195"/>
      <c r="H37" s="155"/>
      <c r="I37" s="195"/>
      <c r="J37" s="155"/>
      <c r="K37" s="157"/>
      <c r="L37" s="157">
        <v>200000</v>
      </c>
      <c r="M37" s="155"/>
      <c r="N37" s="155"/>
      <c r="O37" s="139">
        <f t="shared" si="0"/>
        <v>200000</v>
      </c>
      <c r="P37" s="139"/>
      <c r="Q37" s="139">
        <f t="shared" si="1"/>
        <v>-200000</v>
      </c>
      <c r="S37" s="215"/>
      <c r="T37" s="215"/>
    </row>
    <row r="38" spans="1:20" s="159" customFormat="1" ht="20.100000000000001" customHeight="1" x14ac:dyDescent="0.25">
      <c r="A38" s="213"/>
      <c r="B38" s="203"/>
      <c r="C38" s="152" t="s">
        <v>1232</v>
      </c>
      <c r="D38" s="153"/>
      <c r="E38" s="154"/>
      <c r="F38" s="153"/>
      <c r="G38" s="153"/>
      <c r="H38" s="156"/>
      <c r="I38" s="153"/>
      <c r="J38" s="156"/>
      <c r="K38" s="204"/>
      <c r="L38" s="204">
        <v>2800000</v>
      </c>
      <c r="M38" s="156"/>
      <c r="N38" s="156"/>
      <c r="O38" s="139">
        <f t="shared" si="0"/>
        <v>2800000</v>
      </c>
      <c r="P38" s="139"/>
      <c r="Q38" s="139">
        <f t="shared" si="1"/>
        <v>-2800000</v>
      </c>
      <c r="S38" s="215"/>
      <c r="T38" s="215"/>
    </row>
    <row r="39" spans="1:20" s="159" customFormat="1" ht="20.100000000000001" customHeight="1" x14ac:dyDescent="0.25">
      <c r="A39" s="213"/>
      <c r="B39" s="203"/>
      <c r="C39" s="152" t="s">
        <v>1233</v>
      </c>
      <c r="D39" s="153"/>
      <c r="E39" s="154"/>
      <c r="F39" s="153"/>
      <c r="G39" s="153"/>
      <c r="H39" s="156"/>
      <c r="I39" s="153"/>
      <c r="J39" s="156"/>
      <c r="K39" s="204"/>
      <c r="L39" s="204">
        <v>150000</v>
      </c>
      <c r="M39" s="156"/>
      <c r="N39" s="156"/>
      <c r="O39" s="139">
        <f t="shared" si="0"/>
        <v>150000</v>
      </c>
      <c r="P39" s="139"/>
      <c r="Q39" s="139">
        <f t="shared" si="1"/>
        <v>-150000</v>
      </c>
      <c r="S39" s="215"/>
      <c r="T39" s="215"/>
    </row>
    <row r="40" spans="1:20" s="159" customFormat="1" ht="20.100000000000001" customHeight="1" x14ac:dyDescent="0.25">
      <c r="A40" s="213"/>
      <c r="B40" s="203"/>
      <c r="C40" s="152" t="s">
        <v>1234</v>
      </c>
      <c r="D40" s="153"/>
      <c r="E40" s="154"/>
      <c r="F40" s="153"/>
      <c r="G40" s="153"/>
      <c r="H40" s="156"/>
      <c r="I40" s="153"/>
      <c r="J40" s="156"/>
      <c r="K40" s="204"/>
      <c r="L40" s="204">
        <v>300000</v>
      </c>
      <c r="M40" s="156"/>
      <c r="N40" s="156"/>
      <c r="O40" s="139">
        <f t="shared" si="0"/>
        <v>300000</v>
      </c>
      <c r="P40" s="139"/>
      <c r="Q40" s="139">
        <f t="shared" si="1"/>
        <v>-300000</v>
      </c>
      <c r="S40" s="215"/>
      <c r="T40" s="215"/>
    </row>
    <row r="41" spans="1:20" s="159" customFormat="1" ht="20.100000000000001" customHeight="1" x14ac:dyDescent="0.25">
      <c r="A41" s="213"/>
      <c r="B41" s="203"/>
      <c r="C41" s="152" t="s">
        <v>1235</v>
      </c>
      <c r="D41" s="153"/>
      <c r="E41" s="154"/>
      <c r="F41" s="153"/>
      <c r="G41" s="153"/>
      <c r="H41" s="156"/>
      <c r="I41" s="153"/>
      <c r="J41" s="156"/>
      <c r="K41" s="204"/>
      <c r="L41" s="204">
        <v>2340000</v>
      </c>
      <c r="M41" s="156"/>
      <c r="N41" s="156"/>
      <c r="O41" s="139">
        <f t="shared" si="0"/>
        <v>2340000</v>
      </c>
      <c r="P41" s="139"/>
      <c r="Q41" s="139">
        <f t="shared" si="1"/>
        <v>-2340000</v>
      </c>
      <c r="S41" s="215"/>
      <c r="T41" s="215"/>
    </row>
    <row r="42" spans="1:20" s="159" customFormat="1" ht="20.100000000000001" customHeight="1" x14ac:dyDescent="0.25">
      <c r="A42" s="213"/>
      <c r="B42" s="203"/>
      <c r="C42" s="152" t="s">
        <v>1236</v>
      </c>
      <c r="D42" s="153"/>
      <c r="E42" s="154"/>
      <c r="F42" s="153"/>
      <c r="G42" s="153"/>
      <c r="H42" s="156"/>
      <c r="I42" s="153"/>
      <c r="J42" s="156"/>
      <c r="K42" s="204"/>
      <c r="L42" s="204">
        <v>200000</v>
      </c>
      <c r="M42" s="156"/>
      <c r="N42" s="156"/>
      <c r="O42" s="139">
        <f t="shared" si="0"/>
        <v>200000</v>
      </c>
      <c r="P42" s="139"/>
      <c r="Q42" s="139">
        <f t="shared" si="1"/>
        <v>-200000</v>
      </c>
      <c r="S42" s="215"/>
      <c r="T42" s="215"/>
    </row>
    <row r="43" spans="1:20" s="159" customFormat="1" ht="20.100000000000001" customHeight="1" x14ac:dyDescent="0.25">
      <c r="A43" s="213"/>
      <c r="B43" s="203"/>
      <c r="C43" s="152" t="s">
        <v>1094</v>
      </c>
      <c r="D43" s="153"/>
      <c r="E43" s="154"/>
      <c r="F43" s="153"/>
      <c r="G43" s="153"/>
      <c r="H43" s="156"/>
      <c r="I43" s="153"/>
      <c r="J43" s="156"/>
      <c r="K43" s="204">
        <f>1200000*1.1</f>
        <v>1320000</v>
      </c>
      <c r="L43" s="205"/>
      <c r="M43" s="156"/>
      <c r="N43" s="156"/>
      <c r="O43" s="139">
        <f t="shared" si="0"/>
        <v>1320000</v>
      </c>
      <c r="P43" s="139"/>
      <c r="Q43" s="139">
        <f t="shared" si="1"/>
        <v>-1320000</v>
      </c>
      <c r="R43" s="186"/>
      <c r="S43" s="215"/>
      <c r="T43" s="215"/>
    </row>
    <row r="44" spans="1:20" ht="20.100000000000001" customHeight="1" x14ac:dyDescent="0.25">
      <c r="A44" s="426" t="s">
        <v>20</v>
      </c>
      <c r="B44" s="426"/>
      <c r="C44" s="426"/>
      <c r="D44" s="426"/>
      <c r="E44" s="426"/>
      <c r="F44" s="426"/>
      <c r="G44" s="161">
        <f t="shared" ref="G44:Q44" si="2">SUM(G7:G43)</f>
        <v>2354</v>
      </c>
      <c r="H44" s="161">
        <f t="shared" si="2"/>
        <v>30671680</v>
      </c>
      <c r="I44" s="161">
        <f t="shared" si="2"/>
        <v>0</v>
      </c>
      <c r="J44" s="161">
        <f t="shared" si="2"/>
        <v>33860000</v>
      </c>
      <c r="K44" s="161">
        <f t="shared" si="2"/>
        <v>1320000</v>
      </c>
      <c r="L44" s="161">
        <f t="shared" si="2"/>
        <v>17601346</v>
      </c>
      <c r="M44" s="161">
        <f t="shared" si="2"/>
        <v>11600000</v>
      </c>
      <c r="N44" s="161">
        <f t="shared" si="2"/>
        <v>0</v>
      </c>
      <c r="O44" s="161">
        <f t="shared" si="2"/>
        <v>95053026</v>
      </c>
      <c r="P44" s="161">
        <f t="shared" si="2"/>
        <v>114579091</v>
      </c>
      <c r="Q44" s="161">
        <f t="shared" si="2"/>
        <v>19526065</v>
      </c>
      <c r="R44" s="187"/>
      <c r="S44" s="189"/>
    </row>
    <row r="45" spans="1:20" ht="20.100000000000001" customHeight="1" x14ac:dyDescent="0.25">
      <c r="O45" s="158"/>
      <c r="Q45" s="158"/>
    </row>
    <row r="46" spans="1:20" ht="20.100000000000001" customHeight="1" x14ac:dyDescent="0.25">
      <c r="P46" s="216" t="s">
        <v>1095</v>
      </c>
      <c r="Q46" s="216">
        <f>'06-2017'!Q39+'07-2017'!Q44</f>
        <v>141579859</v>
      </c>
    </row>
    <row r="47" spans="1:20" ht="20.100000000000001" customHeight="1" x14ac:dyDescent="0.25">
      <c r="B47" s="129"/>
      <c r="H47" s="128"/>
      <c r="J47" s="128"/>
      <c r="K47" s="128"/>
      <c r="L47" s="128"/>
      <c r="M47" s="128"/>
      <c r="N47" s="128"/>
      <c r="O47" s="128"/>
      <c r="P47" s="218"/>
      <c r="Q47" s="216"/>
    </row>
    <row r="48" spans="1:20" ht="20.100000000000001" customHeight="1" x14ac:dyDescent="0.25">
      <c r="B48" s="129"/>
      <c r="H48" s="128"/>
      <c r="J48" s="128"/>
      <c r="K48" s="128"/>
      <c r="L48" s="128"/>
      <c r="M48" s="128"/>
      <c r="N48" s="128"/>
      <c r="O48" s="128"/>
      <c r="P48" s="218"/>
      <c r="Q48" s="216"/>
    </row>
    <row r="49" spans="1:17" ht="20.100000000000001" customHeight="1" x14ac:dyDescent="0.25">
      <c r="B49" s="129"/>
      <c r="H49" s="128"/>
      <c r="J49" s="128"/>
      <c r="K49" s="128"/>
      <c r="L49" s="128"/>
      <c r="M49" s="128"/>
      <c r="N49" s="128"/>
      <c r="O49" s="128"/>
      <c r="P49" s="218"/>
      <c r="Q49" s="216"/>
    </row>
    <row r="50" spans="1:17" ht="20.100000000000001" customHeight="1" x14ac:dyDescent="0.25">
      <c r="B50" s="129"/>
      <c r="H50" s="128"/>
      <c r="J50" s="128"/>
      <c r="K50" s="128"/>
      <c r="L50" s="128"/>
      <c r="M50" s="128"/>
      <c r="N50" s="128"/>
      <c r="O50" s="128"/>
      <c r="P50" s="218"/>
      <c r="Q50" s="216"/>
    </row>
    <row r="51" spans="1:17" x14ac:dyDescent="0.25">
      <c r="B51" s="129"/>
      <c r="H51" s="128"/>
      <c r="J51" s="128"/>
      <c r="K51" s="128"/>
      <c r="L51" s="128"/>
      <c r="M51" s="128"/>
      <c r="N51" s="128"/>
      <c r="O51" s="128"/>
      <c r="P51" s="218"/>
      <c r="Q51" s="216"/>
    </row>
    <row r="52" spans="1:17" x14ac:dyDescent="0.25">
      <c r="A52" s="128"/>
      <c r="B52" s="129"/>
      <c r="H52" s="128"/>
      <c r="J52" s="128"/>
      <c r="K52" s="128"/>
      <c r="L52" s="128"/>
      <c r="M52" s="128"/>
      <c r="N52" s="128"/>
      <c r="O52" s="128"/>
      <c r="P52" s="218"/>
      <c r="Q52" s="216"/>
    </row>
    <row r="53" spans="1:17" x14ac:dyDescent="0.25">
      <c r="A53" s="128"/>
      <c r="B53" s="129"/>
      <c r="H53" s="128"/>
      <c r="J53" s="128"/>
      <c r="K53" s="128"/>
      <c r="L53" s="128"/>
      <c r="M53" s="128"/>
      <c r="N53" s="128"/>
      <c r="O53" s="128"/>
      <c r="P53" s="128"/>
      <c r="Q53" s="216"/>
    </row>
    <row r="54" spans="1:17" x14ac:dyDescent="0.25">
      <c r="Q54" s="216"/>
    </row>
    <row r="55" spans="1:17" x14ac:dyDescent="0.25">
      <c r="Q55" s="216"/>
    </row>
  </sheetData>
  <mergeCells count="14">
    <mergeCell ref="O5:O6"/>
    <mergeCell ref="P5:P6"/>
    <mergeCell ref="Q5:Q6"/>
    <mergeCell ref="A44:F44"/>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1"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50"/>
  <sheetViews>
    <sheetView topLeftCell="A10" zoomScaleNormal="100" workbookViewId="0">
      <selection activeCell="B3" sqref="B3:Q3"/>
    </sheetView>
  </sheetViews>
  <sheetFormatPr defaultColWidth="9.140625" defaultRowHeight="12.75" x14ac:dyDescent="0.25"/>
  <cols>
    <col min="1" max="1" width="4.5703125" style="129" customWidth="1"/>
    <col min="2" max="2" width="10.28515625" style="163" customWidth="1"/>
    <col min="3" max="3" width="27" style="128" customWidth="1"/>
    <col min="4" max="4" width="13.42578125" style="128" customWidth="1"/>
    <col min="5" max="5" width="39" style="128" customWidth="1"/>
    <col min="6" max="6" width="11.5703125" style="128" customWidth="1"/>
    <col min="7" max="7" width="8" style="128" customWidth="1"/>
    <col min="8" max="8" width="11" style="143" customWidth="1"/>
    <col min="9" max="9" width="12.28515625" style="128" customWidth="1"/>
    <col min="10" max="10" width="14.28515625" style="143" customWidth="1"/>
    <col min="11" max="11" width="10.28515625" style="143" customWidth="1"/>
    <col min="12" max="12" width="10.85546875" style="143" customWidth="1"/>
    <col min="13" max="13" width="11.28515625" style="143" customWidth="1"/>
    <col min="14" max="14" width="9.5703125" style="143" customWidth="1"/>
    <col min="15" max="15" width="16.5703125" style="143" customWidth="1"/>
    <col min="16" max="17" width="17.425781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1237</v>
      </c>
      <c r="C3" s="417"/>
      <c r="D3" s="417"/>
      <c r="E3" s="417"/>
      <c r="F3" s="417"/>
      <c r="G3" s="417"/>
      <c r="H3" s="417"/>
      <c r="I3" s="417"/>
      <c r="J3" s="417"/>
      <c r="K3" s="417"/>
      <c r="L3" s="417"/>
      <c r="M3" s="417"/>
      <c r="N3" s="417"/>
      <c r="O3" s="417"/>
      <c r="P3" s="417"/>
      <c r="Q3" s="417"/>
    </row>
    <row r="5" spans="1:20"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0"/>
      <c r="B7" s="135"/>
      <c r="C7" s="199"/>
      <c r="D7" s="137"/>
      <c r="E7" s="137"/>
      <c r="F7" s="200"/>
      <c r="G7" s="142"/>
      <c r="H7" s="201"/>
      <c r="I7" s="201"/>
      <c r="J7" s="202"/>
      <c r="K7" s="202"/>
      <c r="L7" s="202"/>
      <c r="M7" s="202"/>
      <c r="N7" s="202"/>
      <c r="O7" s="142"/>
      <c r="P7" s="142"/>
      <c r="Q7" s="142"/>
    </row>
    <row r="8" spans="1:20" s="144" customFormat="1" ht="21.95" customHeight="1" x14ac:dyDescent="0.25">
      <c r="A8" s="210"/>
      <c r="B8" s="135"/>
      <c r="C8" s="199"/>
      <c r="D8" s="137"/>
      <c r="E8" s="137"/>
      <c r="F8" s="200"/>
      <c r="G8" s="142"/>
      <c r="H8" s="201"/>
      <c r="I8" s="201"/>
      <c r="J8" s="202"/>
      <c r="K8" s="202"/>
      <c r="L8" s="202"/>
      <c r="M8" s="202"/>
      <c r="N8" s="202"/>
      <c r="O8" s="139"/>
      <c r="P8" s="142"/>
      <c r="Q8" s="139"/>
    </row>
    <row r="9" spans="1:20" s="144" customFormat="1" ht="21.95" customHeight="1" x14ac:dyDescent="0.2">
      <c r="A9" s="211">
        <v>1</v>
      </c>
      <c r="B9" s="191">
        <v>42947</v>
      </c>
      <c r="C9" s="138" t="s">
        <v>1238</v>
      </c>
      <c r="D9" s="138" t="s">
        <v>1258</v>
      </c>
      <c r="E9" s="146" t="s">
        <v>146</v>
      </c>
      <c r="F9" s="138"/>
      <c r="G9" s="138"/>
      <c r="H9" s="139"/>
      <c r="I9" s="138"/>
      <c r="J9" s="141">
        <f>1600000+140000</f>
        <v>1740000</v>
      </c>
      <c r="K9" s="141"/>
      <c r="L9" s="150"/>
      <c r="M9" s="141"/>
      <c r="N9" s="141"/>
      <c r="O9" s="139">
        <f>H9+J9+K9+L9+M9+N9</f>
        <v>1740000</v>
      </c>
      <c r="P9" s="139">
        <v>5100000</v>
      </c>
      <c r="Q9" s="139">
        <f>P9-O9</f>
        <v>3360000</v>
      </c>
      <c r="R9" s="217"/>
      <c r="S9" s="215"/>
      <c r="T9" s="215"/>
    </row>
    <row r="10" spans="1:20" s="144" customFormat="1" ht="21.95" customHeight="1" x14ac:dyDescent="0.2">
      <c r="A10" s="211">
        <v>2</v>
      </c>
      <c r="B10" s="191">
        <v>42949</v>
      </c>
      <c r="C10" s="138" t="s">
        <v>1239</v>
      </c>
      <c r="D10" s="138" t="s">
        <v>1259</v>
      </c>
      <c r="E10" s="146" t="s">
        <v>721</v>
      </c>
      <c r="F10" s="138"/>
      <c r="G10" s="138">
        <v>325</v>
      </c>
      <c r="H10" s="139">
        <v>4329000</v>
      </c>
      <c r="I10" s="138"/>
      <c r="J10" s="141">
        <f>1150000+140000</f>
        <v>1290000</v>
      </c>
      <c r="K10" s="141"/>
      <c r="L10" s="150"/>
      <c r="M10" s="141"/>
      <c r="N10" s="141"/>
      <c r="O10" s="139">
        <f t="shared" ref="O10:O38" si="0">H10+J10+K10+L10+M10+N10</f>
        <v>5619000</v>
      </c>
      <c r="P10" s="141">
        <v>3500000</v>
      </c>
      <c r="Q10" s="139">
        <f t="shared" ref="Q10:Q38" si="1">P10-O10</f>
        <v>-2119000</v>
      </c>
      <c r="R10" s="217"/>
      <c r="S10" s="215"/>
      <c r="T10" s="215"/>
    </row>
    <row r="11" spans="1:20" s="144" customFormat="1" ht="21.95" customHeight="1" x14ac:dyDescent="0.2">
      <c r="A11" s="211">
        <v>3</v>
      </c>
      <c r="B11" s="191">
        <v>42949</v>
      </c>
      <c r="C11" s="138" t="s">
        <v>1240</v>
      </c>
      <c r="D11" s="138" t="s">
        <v>1260</v>
      </c>
      <c r="E11" s="146" t="s">
        <v>25</v>
      </c>
      <c r="F11" s="138"/>
      <c r="G11" s="138"/>
      <c r="H11" s="139"/>
      <c r="I11" s="138"/>
      <c r="J11" s="141">
        <f>1910000+140000</f>
        <v>2050000</v>
      </c>
      <c r="K11" s="141"/>
      <c r="L11" s="150"/>
      <c r="M11" s="141"/>
      <c r="N11" s="141"/>
      <c r="O11" s="139">
        <f t="shared" si="0"/>
        <v>2050000</v>
      </c>
      <c r="P11" s="139">
        <v>7500000</v>
      </c>
      <c r="Q11" s="139">
        <f t="shared" si="1"/>
        <v>5450000</v>
      </c>
      <c r="R11" s="217"/>
      <c r="S11" s="215"/>
      <c r="T11" s="215"/>
    </row>
    <row r="12" spans="1:20" s="144" customFormat="1" ht="21.95" customHeight="1" x14ac:dyDescent="0.2">
      <c r="A12" s="211">
        <v>4</v>
      </c>
      <c r="B12" s="191">
        <v>42951</v>
      </c>
      <c r="C12" s="138" t="s">
        <v>1241</v>
      </c>
      <c r="D12" s="138" t="s">
        <v>1261</v>
      </c>
      <c r="E12" s="146" t="s">
        <v>201</v>
      </c>
      <c r="F12" s="138"/>
      <c r="G12" s="138">
        <v>292</v>
      </c>
      <c r="H12" s="139">
        <v>3889440</v>
      </c>
      <c r="I12" s="138"/>
      <c r="J12" s="141">
        <f>650000+140000</f>
        <v>790000</v>
      </c>
      <c r="K12" s="141"/>
      <c r="L12" s="150"/>
      <c r="M12" s="141"/>
      <c r="N12" s="141"/>
      <c r="O12" s="139">
        <f t="shared" si="0"/>
        <v>4679440</v>
      </c>
      <c r="P12" s="139">
        <v>3181818</v>
      </c>
      <c r="Q12" s="139">
        <f t="shared" si="1"/>
        <v>-1497622</v>
      </c>
      <c r="R12" s="217"/>
      <c r="S12" s="215"/>
      <c r="T12" s="215"/>
    </row>
    <row r="13" spans="1:20" s="144" customFormat="1" ht="21.95" customHeight="1" x14ac:dyDescent="0.2">
      <c r="A13" s="211">
        <v>5</v>
      </c>
      <c r="B13" s="191">
        <v>42951</v>
      </c>
      <c r="C13" s="138" t="s">
        <v>1242</v>
      </c>
      <c r="D13" s="138" t="s">
        <v>1262</v>
      </c>
      <c r="E13" s="146" t="s">
        <v>1281</v>
      </c>
      <c r="F13" s="138"/>
      <c r="G13" s="138"/>
      <c r="H13" s="139"/>
      <c r="I13" s="138"/>
      <c r="J13" s="141">
        <f>200000+140000</f>
        <v>340000</v>
      </c>
      <c r="K13" s="141"/>
      <c r="L13" s="150"/>
      <c r="M13" s="141"/>
      <c r="N13" s="141"/>
      <c r="O13" s="139">
        <f t="shared" si="0"/>
        <v>340000</v>
      </c>
      <c r="P13" s="139">
        <v>1500000</v>
      </c>
      <c r="Q13" s="139">
        <f t="shared" si="1"/>
        <v>1160000</v>
      </c>
      <c r="R13" s="217"/>
      <c r="S13" s="215"/>
      <c r="T13" s="215"/>
    </row>
    <row r="14" spans="1:20" s="144" customFormat="1" ht="21.95" customHeight="1" x14ac:dyDescent="0.2">
      <c r="A14" s="211">
        <v>6</v>
      </c>
      <c r="B14" s="191">
        <v>42952</v>
      </c>
      <c r="C14" s="138" t="s">
        <v>1243</v>
      </c>
      <c r="D14" s="138" t="s">
        <v>1263</v>
      </c>
      <c r="E14" s="146" t="s">
        <v>201</v>
      </c>
      <c r="F14" s="138"/>
      <c r="G14" s="138">
        <v>96</v>
      </c>
      <c r="H14" s="139">
        <v>1323840</v>
      </c>
      <c r="I14" s="138"/>
      <c r="J14" s="141">
        <f>650000+140000</f>
        <v>790000</v>
      </c>
      <c r="K14" s="141"/>
      <c r="L14" s="150"/>
      <c r="M14" s="141"/>
      <c r="N14" s="141"/>
      <c r="O14" s="139">
        <f t="shared" si="0"/>
        <v>2113840</v>
      </c>
      <c r="P14" s="139">
        <v>3181818</v>
      </c>
      <c r="Q14" s="139">
        <f t="shared" si="1"/>
        <v>1067978</v>
      </c>
      <c r="R14" s="217"/>
      <c r="S14" s="215"/>
      <c r="T14" s="215"/>
    </row>
    <row r="15" spans="1:20" s="144" customFormat="1" ht="21.95" customHeight="1" x14ac:dyDescent="0.2">
      <c r="A15" s="211">
        <v>7</v>
      </c>
      <c r="B15" s="191">
        <v>42952</v>
      </c>
      <c r="C15" s="138" t="s">
        <v>1244</v>
      </c>
      <c r="D15" s="138" t="s">
        <v>1264</v>
      </c>
      <c r="E15" s="146" t="s">
        <v>80</v>
      </c>
      <c r="F15" s="138"/>
      <c r="G15" s="138"/>
      <c r="H15" s="139"/>
      <c r="I15" s="138"/>
      <c r="J15" s="141">
        <f>950000+140000</f>
        <v>1090000</v>
      </c>
      <c r="K15" s="141"/>
      <c r="L15" s="150"/>
      <c r="M15" s="141"/>
      <c r="N15" s="141"/>
      <c r="O15" s="139">
        <f t="shared" si="0"/>
        <v>1090000</v>
      </c>
      <c r="P15" s="139">
        <v>3800000</v>
      </c>
      <c r="Q15" s="139">
        <f t="shared" si="1"/>
        <v>2710000</v>
      </c>
      <c r="R15" s="217"/>
      <c r="S15" s="215"/>
      <c r="T15" s="215"/>
    </row>
    <row r="16" spans="1:20" s="144" customFormat="1" ht="21.95" customHeight="1" x14ac:dyDescent="0.2">
      <c r="A16" s="211">
        <v>8</v>
      </c>
      <c r="B16" s="191">
        <v>42952</v>
      </c>
      <c r="C16" s="138" t="s">
        <v>1245</v>
      </c>
      <c r="D16" s="138" t="s">
        <v>1265</v>
      </c>
      <c r="E16" s="146" t="s">
        <v>80</v>
      </c>
      <c r="F16" s="138"/>
      <c r="G16" s="138"/>
      <c r="H16" s="139"/>
      <c r="I16" s="138"/>
      <c r="J16" s="141">
        <f>950000+140000</f>
        <v>1090000</v>
      </c>
      <c r="K16" s="141"/>
      <c r="L16" s="150"/>
      <c r="M16" s="141"/>
      <c r="N16" s="141"/>
      <c r="O16" s="139">
        <f t="shared" si="0"/>
        <v>1090000</v>
      </c>
      <c r="P16" s="139">
        <v>3800000</v>
      </c>
      <c r="Q16" s="139">
        <f t="shared" si="1"/>
        <v>2710000</v>
      </c>
      <c r="R16" s="217"/>
      <c r="S16" s="215"/>
      <c r="T16" s="215"/>
    </row>
    <row r="17" spans="1:20" s="144" customFormat="1" ht="21.95" customHeight="1" x14ac:dyDescent="0.2">
      <c r="A17" s="211">
        <v>9</v>
      </c>
      <c r="B17" s="191">
        <v>42954</v>
      </c>
      <c r="C17" s="138" t="s">
        <v>1246</v>
      </c>
      <c r="D17" s="138" t="s">
        <v>1266</v>
      </c>
      <c r="E17" s="146" t="s">
        <v>1282</v>
      </c>
      <c r="F17" s="138"/>
      <c r="G17" s="138">
        <v>182</v>
      </c>
      <c r="H17" s="139">
        <v>2509780</v>
      </c>
      <c r="I17" s="138"/>
      <c r="J17" s="141">
        <f>70000+1600000</f>
        <v>1670000</v>
      </c>
      <c r="K17" s="141"/>
      <c r="L17" s="150"/>
      <c r="M17" s="141"/>
      <c r="N17" s="141"/>
      <c r="O17" s="139">
        <f t="shared" si="0"/>
        <v>4179780</v>
      </c>
      <c r="P17" s="139">
        <v>5200000</v>
      </c>
      <c r="Q17" s="139">
        <f t="shared" si="1"/>
        <v>1020220</v>
      </c>
      <c r="R17" s="217"/>
      <c r="S17" s="215"/>
      <c r="T17" s="215"/>
    </row>
    <row r="18" spans="1:20" s="144" customFormat="1" ht="21.95" customHeight="1" x14ac:dyDescent="0.2">
      <c r="A18" s="211">
        <v>10</v>
      </c>
      <c r="B18" s="191">
        <v>42956</v>
      </c>
      <c r="C18" s="138" t="s">
        <v>539</v>
      </c>
      <c r="D18" s="138" t="s">
        <v>1267</v>
      </c>
      <c r="E18" s="146" t="s">
        <v>23</v>
      </c>
      <c r="F18" s="138"/>
      <c r="G18" s="138">
        <v>208</v>
      </c>
      <c r="H18" s="139">
        <v>2868320</v>
      </c>
      <c r="I18" s="138"/>
      <c r="J18" s="141">
        <f>2920000+140000</f>
        <v>3060000</v>
      </c>
      <c r="K18" s="141"/>
      <c r="L18" s="150"/>
      <c r="M18" s="141"/>
      <c r="N18" s="141"/>
      <c r="O18" s="139">
        <f t="shared" si="0"/>
        <v>5928320</v>
      </c>
      <c r="P18" s="139">
        <v>12727273</v>
      </c>
      <c r="Q18" s="139">
        <f t="shared" si="1"/>
        <v>6798953</v>
      </c>
      <c r="R18" s="217"/>
      <c r="S18" s="215"/>
      <c r="T18" s="215"/>
    </row>
    <row r="19" spans="1:20" s="144" customFormat="1" ht="21.95" customHeight="1" x14ac:dyDescent="0.2">
      <c r="A19" s="211">
        <v>11</v>
      </c>
      <c r="B19" s="191">
        <v>42958</v>
      </c>
      <c r="C19" s="138" t="s">
        <v>541</v>
      </c>
      <c r="D19" s="138" t="s">
        <v>1268</v>
      </c>
      <c r="E19" s="146" t="s">
        <v>512</v>
      </c>
      <c r="F19" s="138"/>
      <c r="G19" s="138">
        <v>256</v>
      </c>
      <c r="H19" s="139">
        <v>3530240</v>
      </c>
      <c r="I19" s="138"/>
      <c r="J19" s="141">
        <f>1750000+140000</f>
        <v>1890000</v>
      </c>
      <c r="K19" s="141"/>
      <c r="L19" s="150"/>
      <c r="M19" s="141"/>
      <c r="N19" s="141"/>
      <c r="O19" s="139">
        <f t="shared" si="0"/>
        <v>5420240</v>
      </c>
      <c r="P19" s="139">
        <v>5350000</v>
      </c>
      <c r="Q19" s="139">
        <f t="shared" si="1"/>
        <v>-70240</v>
      </c>
      <c r="R19" s="217"/>
      <c r="S19" s="215"/>
      <c r="T19" s="215"/>
    </row>
    <row r="20" spans="1:20" s="144" customFormat="1" ht="21.95" customHeight="1" x14ac:dyDescent="0.2">
      <c r="A20" s="211">
        <v>12</v>
      </c>
      <c r="B20" s="191">
        <v>42961</v>
      </c>
      <c r="C20" s="138" t="s">
        <v>1247</v>
      </c>
      <c r="D20" s="138" t="s">
        <v>1269</v>
      </c>
      <c r="E20" s="146" t="s">
        <v>25</v>
      </c>
      <c r="F20" s="138"/>
      <c r="G20" s="138"/>
      <c r="H20" s="139"/>
      <c r="I20" s="138"/>
      <c r="J20" s="141">
        <f>1910000+140000-210000</f>
        <v>1840000</v>
      </c>
      <c r="K20" s="141"/>
      <c r="L20" s="150"/>
      <c r="M20" s="141"/>
      <c r="N20" s="141"/>
      <c r="O20" s="139">
        <f t="shared" si="0"/>
        <v>1840000</v>
      </c>
      <c r="P20" s="139">
        <v>7500000</v>
      </c>
      <c r="Q20" s="139">
        <f t="shared" si="1"/>
        <v>5660000</v>
      </c>
      <c r="R20" s="217"/>
      <c r="S20" s="215"/>
      <c r="T20" s="215"/>
    </row>
    <row r="21" spans="1:20" s="144" customFormat="1" ht="21.95" customHeight="1" x14ac:dyDescent="0.2">
      <c r="A21" s="211">
        <v>13</v>
      </c>
      <c r="B21" s="191">
        <v>42961</v>
      </c>
      <c r="C21" s="138" t="s">
        <v>1248</v>
      </c>
      <c r="D21" s="138" t="s">
        <v>1270</v>
      </c>
      <c r="E21" s="146" t="s">
        <v>715</v>
      </c>
      <c r="F21" s="138"/>
      <c r="G21" s="138"/>
      <c r="H21" s="139"/>
      <c r="I21" s="138"/>
      <c r="J21" s="141">
        <f>1600000+140000</f>
        <v>1740000</v>
      </c>
      <c r="K21" s="141"/>
      <c r="L21" s="150"/>
      <c r="M21" s="141"/>
      <c r="N21" s="141"/>
      <c r="O21" s="139">
        <f t="shared" si="0"/>
        <v>1740000</v>
      </c>
      <c r="P21" s="139">
        <v>5300000</v>
      </c>
      <c r="Q21" s="139">
        <f t="shared" si="1"/>
        <v>3560000</v>
      </c>
      <c r="R21" s="217"/>
      <c r="S21" s="215"/>
      <c r="T21" s="215"/>
    </row>
    <row r="22" spans="1:20" s="144" customFormat="1" ht="21.95" customHeight="1" x14ac:dyDescent="0.2">
      <c r="A22" s="211">
        <v>14</v>
      </c>
      <c r="B22" s="191">
        <v>42963</v>
      </c>
      <c r="C22" s="138" t="s">
        <v>1249</v>
      </c>
      <c r="D22" s="138" t="s">
        <v>1271</v>
      </c>
      <c r="E22" s="146" t="s">
        <v>1283</v>
      </c>
      <c r="F22" s="138"/>
      <c r="G22" s="138">
        <v>500</v>
      </c>
      <c r="H22" s="139">
        <v>6895000</v>
      </c>
      <c r="I22" s="138"/>
      <c r="J22" s="141">
        <f>1150000+140000</f>
        <v>1290000</v>
      </c>
      <c r="K22" s="141"/>
      <c r="L22" s="150"/>
      <c r="M22" s="141"/>
      <c r="N22" s="141"/>
      <c r="O22" s="139">
        <f t="shared" si="0"/>
        <v>8185000</v>
      </c>
      <c r="P22" s="139">
        <v>3209091</v>
      </c>
      <c r="Q22" s="139">
        <f t="shared" si="1"/>
        <v>-4975909</v>
      </c>
      <c r="R22" s="217"/>
      <c r="S22" s="215"/>
      <c r="T22" s="215"/>
    </row>
    <row r="23" spans="1:20" s="144" customFormat="1" ht="21.95" customHeight="1" x14ac:dyDescent="0.2">
      <c r="A23" s="211">
        <v>15</v>
      </c>
      <c r="B23" s="191">
        <v>42964</v>
      </c>
      <c r="C23" s="138" t="s">
        <v>585</v>
      </c>
      <c r="D23" s="138" t="s">
        <v>1272</v>
      </c>
      <c r="E23" s="146" t="s">
        <v>25</v>
      </c>
      <c r="F23" s="138"/>
      <c r="G23" s="138">
        <v>280</v>
      </c>
      <c r="H23" s="139">
        <v>3861200</v>
      </c>
      <c r="I23" s="138"/>
      <c r="J23" s="141">
        <f>1700000+140000</f>
        <v>1840000</v>
      </c>
      <c r="K23" s="141"/>
      <c r="L23" s="150"/>
      <c r="M23" s="141"/>
      <c r="N23" s="141"/>
      <c r="O23" s="139">
        <f t="shared" si="0"/>
        <v>5701200</v>
      </c>
      <c r="P23" s="139">
        <v>7500000</v>
      </c>
      <c r="Q23" s="139">
        <f t="shared" si="1"/>
        <v>1798800</v>
      </c>
      <c r="R23" s="217"/>
      <c r="S23" s="215"/>
      <c r="T23" s="215"/>
    </row>
    <row r="24" spans="1:20" s="144" customFormat="1" ht="21.95" customHeight="1" x14ac:dyDescent="0.2">
      <c r="A24" s="211">
        <v>16</v>
      </c>
      <c r="B24" s="191">
        <v>42968</v>
      </c>
      <c r="C24" s="138" t="s">
        <v>1250</v>
      </c>
      <c r="D24" s="138" t="s">
        <v>1273</v>
      </c>
      <c r="E24" s="146" t="s">
        <v>146</v>
      </c>
      <c r="F24" s="138"/>
      <c r="G24" s="138"/>
      <c r="H24" s="139"/>
      <c r="I24" s="138"/>
      <c r="J24" s="141">
        <f>1600000+140000</f>
        <v>1740000</v>
      </c>
      <c r="K24" s="141"/>
      <c r="L24" s="150"/>
      <c r="M24" s="141"/>
      <c r="N24" s="141"/>
      <c r="O24" s="139">
        <f t="shared" si="0"/>
        <v>1740000</v>
      </c>
      <c r="P24" s="139">
        <v>5070000</v>
      </c>
      <c r="Q24" s="139">
        <f t="shared" si="1"/>
        <v>3330000</v>
      </c>
      <c r="R24" s="217"/>
      <c r="S24" s="215"/>
      <c r="T24" s="215"/>
    </row>
    <row r="25" spans="1:20" s="144" customFormat="1" ht="21.95" customHeight="1" x14ac:dyDescent="0.2">
      <c r="A25" s="211">
        <v>17</v>
      </c>
      <c r="B25" s="191">
        <v>42969</v>
      </c>
      <c r="C25" s="138" t="s">
        <v>1251</v>
      </c>
      <c r="D25" s="138" t="s">
        <v>1274</v>
      </c>
      <c r="E25" s="146" t="s">
        <v>1164</v>
      </c>
      <c r="F25" s="138"/>
      <c r="G25" s="138"/>
      <c r="H25" s="139"/>
      <c r="I25" s="138"/>
      <c r="J25" s="141">
        <f>1340000+140000</f>
        <v>1480000</v>
      </c>
      <c r="K25" s="141"/>
      <c r="L25" s="150"/>
      <c r="M25" s="141"/>
      <c r="N25" s="141"/>
      <c r="O25" s="139">
        <f t="shared" si="0"/>
        <v>1480000</v>
      </c>
      <c r="P25" s="139">
        <v>4770000</v>
      </c>
      <c r="Q25" s="139">
        <f t="shared" si="1"/>
        <v>3290000</v>
      </c>
      <c r="R25" s="217"/>
      <c r="S25" s="215"/>
      <c r="T25" s="215"/>
    </row>
    <row r="26" spans="1:20" s="144" customFormat="1" ht="21.95" customHeight="1" x14ac:dyDescent="0.2">
      <c r="A26" s="211">
        <v>18</v>
      </c>
      <c r="B26" s="191">
        <v>42970</v>
      </c>
      <c r="C26" s="138" t="s">
        <v>1252</v>
      </c>
      <c r="D26" s="138" t="s">
        <v>1275</v>
      </c>
      <c r="E26" s="146" t="s">
        <v>1284</v>
      </c>
      <c r="F26" s="138"/>
      <c r="G26" s="138"/>
      <c r="H26" s="139"/>
      <c r="I26" s="138"/>
      <c r="J26" s="141">
        <f>2920000+140000</f>
        <v>3060000</v>
      </c>
      <c r="K26" s="141"/>
      <c r="L26" s="150"/>
      <c r="M26" s="141"/>
      <c r="N26" s="141"/>
      <c r="O26" s="139">
        <f t="shared" si="0"/>
        <v>3060000</v>
      </c>
      <c r="P26" s="139">
        <v>14545455</v>
      </c>
      <c r="Q26" s="139">
        <f t="shared" si="1"/>
        <v>11485455</v>
      </c>
      <c r="R26" s="217"/>
      <c r="S26" s="215"/>
      <c r="T26" s="215"/>
    </row>
    <row r="27" spans="1:20" s="144" customFormat="1" ht="21.95" customHeight="1" x14ac:dyDescent="0.2">
      <c r="A27" s="211">
        <v>19</v>
      </c>
      <c r="B27" s="191">
        <v>42970</v>
      </c>
      <c r="C27" s="138" t="s">
        <v>1253</v>
      </c>
      <c r="D27" s="138" t="s">
        <v>1276</v>
      </c>
      <c r="E27" s="146" t="s">
        <v>1164</v>
      </c>
      <c r="F27" s="138"/>
      <c r="G27" s="138">
        <v>343</v>
      </c>
      <c r="H27" s="139">
        <v>4729970</v>
      </c>
      <c r="I27" s="138"/>
      <c r="J27" s="141">
        <f>1340000+140000</f>
        <v>1480000</v>
      </c>
      <c r="K27" s="141"/>
      <c r="L27" s="150"/>
      <c r="M27" s="141"/>
      <c r="N27" s="141"/>
      <c r="O27" s="139">
        <f t="shared" si="0"/>
        <v>6209970</v>
      </c>
      <c r="P27" s="139">
        <v>4700000</v>
      </c>
      <c r="Q27" s="139">
        <f t="shared" si="1"/>
        <v>-1509970</v>
      </c>
      <c r="R27" s="217"/>
      <c r="S27" s="215"/>
      <c r="T27" s="215"/>
    </row>
    <row r="28" spans="1:20" s="144" customFormat="1" ht="21.95" customHeight="1" x14ac:dyDescent="0.2">
      <c r="A28" s="211">
        <v>20</v>
      </c>
      <c r="B28" s="191">
        <v>42973</v>
      </c>
      <c r="C28" s="138" t="s">
        <v>1254</v>
      </c>
      <c r="D28" s="138" t="s">
        <v>1277</v>
      </c>
      <c r="E28" s="146" t="s">
        <v>715</v>
      </c>
      <c r="F28" s="138"/>
      <c r="G28" s="138">
        <v>430</v>
      </c>
      <c r="H28" s="139">
        <v>5929700</v>
      </c>
      <c r="I28" s="138"/>
      <c r="J28" s="141">
        <f>140000+1600000</f>
        <v>1740000</v>
      </c>
      <c r="K28" s="141"/>
      <c r="L28" s="150"/>
      <c r="M28" s="141"/>
      <c r="N28" s="141"/>
      <c r="O28" s="139">
        <f t="shared" si="0"/>
        <v>7669700</v>
      </c>
      <c r="P28" s="139">
        <v>5300000</v>
      </c>
      <c r="Q28" s="139">
        <f t="shared" si="1"/>
        <v>-2369700</v>
      </c>
      <c r="R28" s="217"/>
      <c r="S28" s="215"/>
      <c r="T28" s="215"/>
    </row>
    <row r="29" spans="1:20" s="144" customFormat="1" ht="21.95" customHeight="1" x14ac:dyDescent="0.2">
      <c r="A29" s="211">
        <v>21</v>
      </c>
      <c r="B29" s="191">
        <v>42975</v>
      </c>
      <c r="C29" s="138" t="s">
        <v>1255</v>
      </c>
      <c r="D29" s="138" t="s">
        <v>1278</v>
      </c>
      <c r="E29" s="146" t="s">
        <v>25</v>
      </c>
      <c r="F29" s="138"/>
      <c r="G29" s="138"/>
      <c r="H29" s="139"/>
      <c r="I29" s="138"/>
      <c r="J29" s="209">
        <f>1710000+140000</f>
        <v>1850000</v>
      </c>
      <c r="K29" s="141"/>
      <c r="L29" s="150"/>
      <c r="M29" s="141"/>
      <c r="N29" s="141"/>
      <c r="O29" s="139">
        <f t="shared" si="0"/>
        <v>1850000</v>
      </c>
      <c r="P29" s="139">
        <v>7500000</v>
      </c>
      <c r="Q29" s="139">
        <f t="shared" si="1"/>
        <v>5650000</v>
      </c>
      <c r="R29" s="217"/>
      <c r="S29" s="215"/>
      <c r="T29" s="215"/>
    </row>
    <row r="30" spans="1:20" s="144" customFormat="1" ht="21.95" customHeight="1" x14ac:dyDescent="0.2">
      <c r="A30" s="211">
        <v>22</v>
      </c>
      <c r="B30" s="191">
        <v>42976</v>
      </c>
      <c r="C30" s="138" t="s">
        <v>1256</v>
      </c>
      <c r="D30" s="138" t="s">
        <v>1279</v>
      </c>
      <c r="E30" s="146" t="s">
        <v>1285</v>
      </c>
      <c r="F30" s="138"/>
      <c r="G30" s="138"/>
      <c r="H30" s="139"/>
      <c r="I30" s="138"/>
      <c r="J30" s="141">
        <f>2070000+140000</f>
        <v>2210000</v>
      </c>
      <c r="K30" s="141"/>
      <c r="L30" s="150"/>
      <c r="M30" s="141"/>
      <c r="N30" s="141"/>
      <c r="O30" s="139">
        <f t="shared" si="0"/>
        <v>2210000</v>
      </c>
      <c r="P30" s="139">
        <v>9545455</v>
      </c>
      <c r="Q30" s="139">
        <f t="shared" si="1"/>
        <v>7335455</v>
      </c>
      <c r="R30" s="217"/>
      <c r="S30" s="215"/>
      <c r="T30" s="215"/>
    </row>
    <row r="31" spans="1:20" s="144" customFormat="1" ht="21.95" customHeight="1" x14ac:dyDescent="0.2">
      <c r="A31" s="211">
        <v>23</v>
      </c>
      <c r="B31" s="191">
        <v>42977</v>
      </c>
      <c r="C31" s="138" t="s">
        <v>1257</v>
      </c>
      <c r="D31" s="138" t="s">
        <v>1280</v>
      </c>
      <c r="E31" s="146" t="s">
        <v>1281</v>
      </c>
      <c r="F31" s="138"/>
      <c r="G31" s="138">
        <v>393</v>
      </c>
      <c r="H31" s="139">
        <v>5419470</v>
      </c>
      <c r="I31" s="138"/>
      <c r="J31" s="141">
        <f>200000+140000</f>
        <v>340000</v>
      </c>
      <c r="K31" s="141"/>
      <c r="L31" s="150"/>
      <c r="M31" s="141"/>
      <c r="N31" s="141"/>
      <c r="O31" s="139">
        <f t="shared" si="0"/>
        <v>5759470</v>
      </c>
      <c r="P31" s="139">
        <v>1636364</v>
      </c>
      <c r="Q31" s="139">
        <f t="shared" si="1"/>
        <v>-4123106</v>
      </c>
      <c r="R31" s="217"/>
      <c r="S31" s="215"/>
      <c r="T31" s="215"/>
    </row>
    <row r="32" spans="1:20" s="159" customFormat="1" ht="21.95" customHeight="1" x14ac:dyDescent="0.25">
      <c r="A32" s="212"/>
      <c r="B32" s="165"/>
      <c r="C32" s="196" t="s">
        <v>1286</v>
      </c>
      <c r="D32" s="195"/>
      <c r="E32" s="197"/>
      <c r="F32" s="195"/>
      <c r="G32" s="195"/>
      <c r="H32" s="155"/>
      <c r="I32" s="195"/>
      <c r="J32" s="155"/>
      <c r="K32" s="157"/>
      <c r="L32" s="157">
        <v>9500000</v>
      </c>
      <c r="M32" s="155"/>
      <c r="N32" s="155"/>
      <c r="O32" s="139">
        <f t="shared" si="0"/>
        <v>9500000</v>
      </c>
      <c r="P32" s="139"/>
      <c r="Q32" s="139">
        <f t="shared" si="1"/>
        <v>-9500000</v>
      </c>
      <c r="S32" s="215"/>
      <c r="T32" s="215"/>
    </row>
    <row r="33" spans="1:20" s="159" customFormat="1" ht="21.95" customHeight="1" x14ac:dyDescent="0.25">
      <c r="A33" s="212"/>
      <c r="B33" s="165"/>
      <c r="C33" s="196" t="s">
        <v>1287</v>
      </c>
      <c r="D33" s="195"/>
      <c r="E33" s="197"/>
      <c r="F33" s="195"/>
      <c r="G33" s="195"/>
      <c r="H33" s="155"/>
      <c r="I33" s="195"/>
      <c r="J33" s="155"/>
      <c r="K33" s="157"/>
      <c r="L33" s="157"/>
      <c r="M33" s="219">
        <v>11600000</v>
      </c>
      <c r="N33" s="155"/>
      <c r="O33" s="139">
        <f t="shared" si="0"/>
        <v>11600000</v>
      </c>
      <c r="P33" s="139"/>
      <c r="Q33" s="139">
        <f t="shared" si="1"/>
        <v>-11600000</v>
      </c>
      <c r="S33" s="215"/>
      <c r="T33" s="215"/>
    </row>
    <row r="34" spans="1:20" s="159" customFormat="1" ht="21.95" customHeight="1" x14ac:dyDescent="0.25">
      <c r="A34" s="212"/>
      <c r="B34" s="165"/>
      <c r="C34" s="196" t="s">
        <v>1288</v>
      </c>
      <c r="D34" s="195"/>
      <c r="E34" s="197"/>
      <c r="F34" s="195"/>
      <c r="G34" s="195"/>
      <c r="H34" s="155"/>
      <c r="I34" s="195"/>
      <c r="J34" s="155"/>
      <c r="K34" s="157"/>
      <c r="L34" s="157">
        <v>250000</v>
      </c>
      <c r="M34" s="155"/>
      <c r="N34" s="155"/>
      <c r="O34" s="139">
        <f t="shared" si="0"/>
        <v>250000</v>
      </c>
      <c r="P34" s="139"/>
      <c r="Q34" s="139">
        <f t="shared" si="1"/>
        <v>-250000</v>
      </c>
      <c r="S34" s="215"/>
      <c r="T34" s="215"/>
    </row>
    <row r="35" spans="1:20" s="159" customFormat="1" ht="21.95" customHeight="1" x14ac:dyDescent="0.25">
      <c r="A35" s="212"/>
      <c r="B35" s="165"/>
      <c r="C35" s="196" t="s">
        <v>1289</v>
      </c>
      <c r="D35" s="195"/>
      <c r="E35" s="197"/>
      <c r="F35" s="195"/>
      <c r="G35" s="195"/>
      <c r="H35" s="155"/>
      <c r="I35" s="195"/>
      <c r="J35" s="155"/>
      <c r="K35" s="157"/>
      <c r="L35" s="157">
        <v>230000</v>
      </c>
      <c r="M35" s="155"/>
      <c r="N35" s="155"/>
      <c r="O35" s="139">
        <f t="shared" si="0"/>
        <v>230000</v>
      </c>
      <c r="P35" s="139"/>
      <c r="Q35" s="139">
        <f t="shared" si="1"/>
        <v>-230000</v>
      </c>
      <c r="S35" s="215"/>
      <c r="T35" s="215"/>
    </row>
    <row r="36" spans="1:20" s="159" customFormat="1" ht="21.95" customHeight="1" x14ac:dyDescent="0.25">
      <c r="A36" s="212"/>
      <c r="B36" s="165"/>
      <c r="C36" s="196" t="s">
        <v>1290</v>
      </c>
      <c r="D36" s="195"/>
      <c r="E36" s="197"/>
      <c r="F36" s="195"/>
      <c r="G36" s="195"/>
      <c r="H36" s="155"/>
      <c r="I36" s="195"/>
      <c r="J36" s="155"/>
      <c r="K36" s="157"/>
      <c r="L36" s="157">
        <v>600000</v>
      </c>
      <c r="M36" s="219"/>
      <c r="N36" s="155"/>
      <c r="O36" s="139">
        <f t="shared" si="0"/>
        <v>600000</v>
      </c>
      <c r="P36" s="139"/>
      <c r="Q36" s="139">
        <f t="shared" si="1"/>
        <v>-600000</v>
      </c>
      <c r="S36" s="215"/>
      <c r="T36" s="215"/>
    </row>
    <row r="37" spans="1:20" s="159" customFormat="1" ht="21.95" customHeight="1" x14ac:dyDescent="0.25">
      <c r="A37" s="212"/>
      <c r="B37" s="165"/>
      <c r="C37" s="196" t="s">
        <v>1291</v>
      </c>
      <c r="D37" s="195"/>
      <c r="E37" s="197"/>
      <c r="F37" s="195"/>
      <c r="G37" s="195"/>
      <c r="H37" s="155"/>
      <c r="I37" s="195"/>
      <c r="J37" s="155"/>
      <c r="K37" s="157"/>
      <c r="L37" s="157"/>
      <c r="M37" s="155"/>
      <c r="N37" s="155">
        <f>11500000/208*40</f>
        <v>2211538.4615384615</v>
      </c>
      <c r="O37" s="139">
        <f t="shared" si="0"/>
        <v>2211538.4615384615</v>
      </c>
      <c r="P37" s="139"/>
      <c r="Q37" s="139">
        <f t="shared" si="1"/>
        <v>-2211538.4615384615</v>
      </c>
      <c r="S37" s="215"/>
      <c r="T37" s="215"/>
    </row>
    <row r="38" spans="1:20" s="159" customFormat="1" ht="21.95" customHeight="1" x14ac:dyDescent="0.25">
      <c r="A38" s="213"/>
      <c r="B38" s="203"/>
      <c r="C38" s="152" t="s">
        <v>1094</v>
      </c>
      <c r="D38" s="153"/>
      <c r="E38" s="154"/>
      <c r="F38" s="153"/>
      <c r="G38" s="153"/>
      <c r="H38" s="156"/>
      <c r="I38" s="153"/>
      <c r="J38" s="156"/>
      <c r="K38" s="204">
        <f>1200000*1.1</f>
        <v>1320000</v>
      </c>
      <c r="L38" s="205"/>
      <c r="M38" s="156"/>
      <c r="N38" s="156"/>
      <c r="O38" s="139">
        <f t="shared" si="0"/>
        <v>1320000</v>
      </c>
      <c r="P38" s="139"/>
      <c r="Q38" s="139">
        <f t="shared" si="1"/>
        <v>-1320000</v>
      </c>
      <c r="R38" s="186"/>
      <c r="S38" s="215"/>
      <c r="T38" s="215"/>
    </row>
    <row r="39" spans="1:20" ht="21.95" customHeight="1" x14ac:dyDescent="0.25">
      <c r="A39" s="426" t="s">
        <v>20</v>
      </c>
      <c r="B39" s="426"/>
      <c r="C39" s="426"/>
      <c r="D39" s="426"/>
      <c r="E39" s="426"/>
      <c r="F39" s="426"/>
      <c r="G39" s="161">
        <f t="shared" ref="G39:Q39" si="2">SUM(G7:G38)</f>
        <v>3305</v>
      </c>
      <c r="H39" s="161">
        <f t="shared" si="2"/>
        <v>45285960</v>
      </c>
      <c r="I39" s="161">
        <f t="shared" si="2"/>
        <v>0</v>
      </c>
      <c r="J39" s="161">
        <f t="shared" si="2"/>
        <v>36410000</v>
      </c>
      <c r="K39" s="161">
        <f t="shared" si="2"/>
        <v>1320000</v>
      </c>
      <c r="L39" s="161">
        <f t="shared" si="2"/>
        <v>10580000</v>
      </c>
      <c r="M39" s="161">
        <f t="shared" si="2"/>
        <v>11600000</v>
      </c>
      <c r="N39" s="161">
        <f t="shared" si="2"/>
        <v>2211538.4615384615</v>
      </c>
      <c r="O39" s="161">
        <f t="shared" si="2"/>
        <v>107407498.46153846</v>
      </c>
      <c r="P39" s="161">
        <f t="shared" si="2"/>
        <v>131417274</v>
      </c>
      <c r="Q39" s="161">
        <f t="shared" si="2"/>
        <v>24009775.53846154</v>
      </c>
      <c r="R39" s="187"/>
      <c r="S39" s="189"/>
    </row>
    <row r="40" spans="1:20" ht="21.95" customHeight="1" x14ac:dyDescent="0.25">
      <c r="O40" s="158"/>
      <c r="Q40" s="158"/>
    </row>
    <row r="41" spans="1:20" ht="21.95" customHeight="1" x14ac:dyDescent="0.25">
      <c r="P41" s="216" t="s">
        <v>1095</v>
      </c>
      <c r="Q41" s="216">
        <f>'[1]07-2017'!Q46+'[1]08-2017'!Q39</f>
        <v>165589634.53846154</v>
      </c>
    </row>
    <row r="42" spans="1:20" ht="21.95" customHeight="1" x14ac:dyDescent="0.25">
      <c r="B42" s="129"/>
      <c r="H42" s="128"/>
      <c r="J42" s="128"/>
      <c r="K42" s="128"/>
      <c r="L42" s="128"/>
      <c r="M42" s="128"/>
      <c r="N42" s="128"/>
      <c r="O42" s="128"/>
      <c r="P42" s="218"/>
      <c r="Q42" s="216"/>
    </row>
    <row r="43" spans="1:20" ht="21.95" customHeight="1" x14ac:dyDescent="0.25">
      <c r="B43" s="129"/>
      <c r="H43" s="128"/>
      <c r="J43" s="128"/>
      <c r="K43" s="128"/>
      <c r="L43" s="128"/>
      <c r="M43" s="128"/>
      <c r="N43" s="128"/>
      <c r="O43" s="128"/>
      <c r="P43" s="218"/>
      <c r="Q43" s="216"/>
    </row>
    <row r="44" spans="1:20" ht="21.95" customHeight="1" x14ac:dyDescent="0.25">
      <c r="B44" s="129"/>
      <c r="H44" s="128"/>
      <c r="J44" s="128"/>
      <c r="K44" s="128"/>
      <c r="L44" s="128"/>
      <c r="M44" s="128"/>
      <c r="N44" s="128"/>
      <c r="O44" s="128"/>
      <c r="P44" s="218"/>
      <c r="Q44" s="216"/>
    </row>
    <row r="45" spans="1:20" ht="21.95" customHeight="1" x14ac:dyDescent="0.25">
      <c r="B45" s="129"/>
      <c r="H45" s="128"/>
      <c r="J45" s="128"/>
      <c r="K45" s="128"/>
      <c r="L45" s="128"/>
      <c r="M45" s="128"/>
      <c r="N45" s="128"/>
      <c r="O45" s="128"/>
      <c r="P45" s="218"/>
      <c r="Q45" s="216"/>
    </row>
    <row r="46" spans="1:20" ht="21.95" customHeight="1" x14ac:dyDescent="0.25">
      <c r="B46" s="129"/>
      <c r="H46" s="128"/>
      <c r="J46" s="128"/>
      <c r="K46" s="128"/>
      <c r="L46" s="128"/>
      <c r="M46" s="128"/>
      <c r="N46" s="128"/>
      <c r="O46" s="128"/>
      <c r="P46" s="218"/>
      <c r="Q46" s="216"/>
    </row>
    <row r="47" spans="1:20" ht="21.95" customHeight="1" x14ac:dyDescent="0.25">
      <c r="A47" s="128"/>
      <c r="B47" s="129"/>
      <c r="H47" s="128"/>
      <c r="J47" s="128"/>
      <c r="K47" s="128"/>
      <c r="L47" s="128"/>
      <c r="M47" s="128"/>
      <c r="N47" s="128"/>
      <c r="O47" s="128"/>
      <c r="P47" s="218"/>
      <c r="Q47" s="216"/>
    </row>
    <row r="48" spans="1:20" x14ac:dyDescent="0.25">
      <c r="A48" s="128"/>
      <c r="B48" s="129"/>
      <c r="H48" s="128"/>
      <c r="J48" s="128"/>
      <c r="K48" s="128"/>
      <c r="L48" s="128"/>
      <c r="M48" s="128"/>
      <c r="N48" s="128"/>
      <c r="O48" s="128"/>
      <c r="P48" s="128"/>
      <c r="Q48" s="216"/>
    </row>
    <row r="49" spans="17:17" s="128" customFormat="1" x14ac:dyDescent="0.25">
      <c r="Q49" s="216"/>
    </row>
    <row r="50" spans="17:17" s="128" customFormat="1" x14ac:dyDescent="0.25">
      <c r="Q50" s="216"/>
    </row>
  </sheetData>
  <mergeCells count="14">
    <mergeCell ref="O5:O6"/>
    <mergeCell ref="P5:P6"/>
    <mergeCell ref="Q5:Q6"/>
    <mergeCell ref="A39:F39"/>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1" orientation="landscape"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47"/>
  <sheetViews>
    <sheetView topLeftCell="B1" zoomScaleNormal="100" workbookViewId="0">
      <selection activeCell="H49" sqref="H49"/>
    </sheetView>
  </sheetViews>
  <sheetFormatPr defaultColWidth="9.140625" defaultRowHeight="12.75" x14ac:dyDescent="0.25"/>
  <cols>
    <col min="1" max="1" width="4.5703125" style="129" customWidth="1"/>
    <col min="2" max="2" width="10.28515625" style="163" customWidth="1"/>
    <col min="3" max="3" width="34" style="128" customWidth="1"/>
    <col min="4" max="4" width="20.140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11.28515625" style="143" customWidth="1"/>
    <col min="14" max="14" width="9.5703125" style="143" customWidth="1"/>
    <col min="15" max="15" width="16.85546875" style="143" customWidth="1"/>
    <col min="16" max="16" width="16.5703125" style="143" customWidth="1"/>
    <col min="17" max="17" width="17.710937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1292</v>
      </c>
      <c r="C3" s="417"/>
      <c r="D3" s="417"/>
      <c r="E3" s="417"/>
      <c r="F3" s="417"/>
      <c r="G3" s="417"/>
      <c r="H3" s="417"/>
      <c r="I3" s="417"/>
      <c r="J3" s="417"/>
      <c r="K3" s="417"/>
      <c r="L3" s="417"/>
      <c r="M3" s="417"/>
      <c r="N3" s="417"/>
      <c r="O3" s="417"/>
      <c r="P3" s="417"/>
      <c r="Q3" s="417"/>
    </row>
    <row r="5" spans="1:20"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0"/>
      <c r="B7" s="135"/>
      <c r="C7" s="199"/>
      <c r="D7" s="137"/>
      <c r="E7" s="137"/>
      <c r="F7" s="200"/>
      <c r="G7" s="142"/>
      <c r="H7" s="201"/>
      <c r="I7" s="201"/>
      <c r="J7" s="202"/>
      <c r="K7" s="202"/>
      <c r="L7" s="202"/>
      <c r="M7" s="202"/>
      <c r="N7" s="202"/>
      <c r="O7" s="142"/>
      <c r="P7" s="142"/>
      <c r="Q7" s="142"/>
    </row>
    <row r="8" spans="1:20" s="144" customFormat="1" ht="21.95" customHeight="1" x14ac:dyDescent="0.25">
      <c r="A8" s="210"/>
      <c r="B8" s="135"/>
      <c r="C8" s="199"/>
      <c r="D8" s="137"/>
      <c r="E8" s="137"/>
      <c r="F8" s="200"/>
      <c r="G8" s="142"/>
      <c r="H8" s="201"/>
      <c r="I8" s="201"/>
      <c r="J8" s="202"/>
      <c r="K8" s="202"/>
      <c r="L8" s="202"/>
      <c r="M8" s="202"/>
      <c r="N8" s="202"/>
      <c r="O8" s="139"/>
      <c r="P8" s="142"/>
      <c r="Q8" s="139"/>
    </row>
    <row r="9" spans="1:20" s="144" customFormat="1" ht="21.95" customHeight="1" x14ac:dyDescent="0.2">
      <c r="A9" s="211">
        <v>1</v>
      </c>
      <c r="B9" s="191">
        <v>42978</v>
      </c>
      <c r="C9" s="138" t="s">
        <v>602</v>
      </c>
      <c r="D9" s="138" t="s">
        <v>1301</v>
      </c>
      <c r="E9" s="146" t="s">
        <v>1311</v>
      </c>
      <c r="F9" s="138"/>
      <c r="G9" s="138"/>
      <c r="H9" s="139"/>
      <c r="I9" s="138"/>
      <c r="J9" s="141">
        <f>1600000+140000</f>
        <v>1740000</v>
      </c>
      <c r="K9" s="141"/>
      <c r="L9" s="150"/>
      <c r="M9" s="141"/>
      <c r="N9" s="141"/>
      <c r="O9" s="139">
        <f>H9+J9+K9+L9+M9+N9</f>
        <v>1740000</v>
      </c>
      <c r="P9" s="139">
        <v>5200000</v>
      </c>
      <c r="Q9" s="139">
        <f>P9-O9</f>
        <v>3460000</v>
      </c>
      <c r="R9" s="217"/>
      <c r="S9" s="215"/>
      <c r="T9" s="215"/>
    </row>
    <row r="10" spans="1:20" s="144" customFormat="1" ht="21.95" customHeight="1" x14ac:dyDescent="0.2">
      <c r="A10" s="211">
        <v>2</v>
      </c>
      <c r="B10" s="191">
        <v>42979</v>
      </c>
      <c r="C10" s="138" t="s">
        <v>1293</v>
      </c>
      <c r="D10" s="138" t="s">
        <v>1302</v>
      </c>
      <c r="E10" s="146" t="s">
        <v>1164</v>
      </c>
      <c r="F10" s="138"/>
      <c r="G10" s="138">
        <v>182</v>
      </c>
      <c r="H10" s="139">
        <v>2509780</v>
      </c>
      <c r="I10" s="138"/>
      <c r="J10" s="141">
        <f>1340000+140000</f>
        <v>1480000</v>
      </c>
      <c r="K10" s="141"/>
      <c r="L10" s="150"/>
      <c r="M10" s="141"/>
      <c r="N10" s="141"/>
      <c r="O10" s="139">
        <f t="shared" ref="O10:O35" si="0">H10+J10+K10+L10+M10+N10</f>
        <v>3989780</v>
      </c>
      <c r="P10" s="141">
        <v>4700000</v>
      </c>
      <c r="Q10" s="139">
        <f t="shared" ref="Q10:Q35" si="1">P10-O10</f>
        <v>710220</v>
      </c>
      <c r="R10" s="217"/>
      <c r="S10" s="215"/>
      <c r="T10" s="215"/>
    </row>
    <row r="11" spans="1:20" s="144" customFormat="1" ht="21.95" customHeight="1" x14ac:dyDescent="0.2">
      <c r="A11" s="211">
        <v>3</v>
      </c>
      <c r="B11" s="191">
        <v>42979</v>
      </c>
      <c r="C11" s="138" t="s">
        <v>1294</v>
      </c>
      <c r="D11" s="138" t="s">
        <v>1303</v>
      </c>
      <c r="E11" s="146" t="s">
        <v>21</v>
      </c>
      <c r="F11" s="138"/>
      <c r="G11" s="138"/>
      <c r="H11" s="139"/>
      <c r="I11" s="138"/>
      <c r="J11" s="141">
        <f>800000+140000</f>
        <v>940000</v>
      </c>
      <c r="K11" s="141"/>
      <c r="L11" s="150"/>
      <c r="M11" s="141"/>
      <c r="N11" s="141"/>
      <c r="O11" s="139">
        <f t="shared" si="0"/>
        <v>940000</v>
      </c>
      <c r="P11" s="139">
        <v>3000000</v>
      </c>
      <c r="Q11" s="139">
        <f t="shared" si="1"/>
        <v>2060000</v>
      </c>
      <c r="R11" s="217"/>
      <c r="S11" s="215"/>
      <c r="T11" s="215"/>
    </row>
    <row r="12" spans="1:20" s="144" customFormat="1" ht="21.95" customHeight="1" x14ac:dyDescent="0.2">
      <c r="A12" s="211">
        <v>4</v>
      </c>
      <c r="B12" s="191">
        <v>42983</v>
      </c>
      <c r="C12" s="138" t="s">
        <v>1295</v>
      </c>
      <c r="D12" s="138" t="s">
        <v>1304</v>
      </c>
      <c r="E12" s="146" t="s">
        <v>25</v>
      </c>
      <c r="F12" s="138"/>
      <c r="G12" s="138">
        <v>200</v>
      </c>
      <c r="H12" s="139">
        <v>2758000</v>
      </c>
      <c r="I12" s="138"/>
      <c r="J12" s="141">
        <f>1700000+140000</f>
        <v>1840000</v>
      </c>
      <c r="K12" s="141"/>
      <c r="L12" s="150"/>
      <c r="M12" s="141"/>
      <c r="N12" s="141"/>
      <c r="O12" s="139">
        <f t="shared" si="0"/>
        <v>4598000</v>
      </c>
      <c r="P12" s="139">
        <v>7500000</v>
      </c>
      <c r="Q12" s="139">
        <f t="shared" si="1"/>
        <v>2902000</v>
      </c>
      <c r="R12" s="217"/>
      <c r="S12" s="215"/>
      <c r="T12" s="215"/>
    </row>
    <row r="13" spans="1:20" s="144" customFormat="1" ht="21.95" customHeight="1" x14ac:dyDescent="0.2">
      <c r="A13" s="211">
        <v>5</v>
      </c>
      <c r="B13" s="191">
        <v>42984</v>
      </c>
      <c r="C13" s="138" t="s">
        <v>1296</v>
      </c>
      <c r="D13" s="138" t="s">
        <v>1305</v>
      </c>
      <c r="E13" s="146" t="s">
        <v>1114</v>
      </c>
      <c r="F13" s="138"/>
      <c r="G13" s="138"/>
      <c r="H13" s="139"/>
      <c r="I13" s="138"/>
      <c r="J13" s="141">
        <f>1600000+140000</f>
        <v>1740000</v>
      </c>
      <c r="K13" s="141"/>
      <c r="L13" s="150"/>
      <c r="M13" s="141"/>
      <c r="N13" s="141"/>
      <c r="O13" s="139">
        <f t="shared" si="0"/>
        <v>1740000</v>
      </c>
      <c r="P13" s="139">
        <v>5070000</v>
      </c>
      <c r="Q13" s="139">
        <f t="shared" si="1"/>
        <v>3330000</v>
      </c>
      <c r="R13" s="217"/>
      <c r="S13" s="215"/>
      <c r="T13" s="215"/>
    </row>
    <row r="14" spans="1:20" s="144" customFormat="1" ht="21.95" customHeight="1" x14ac:dyDescent="0.2">
      <c r="A14" s="211">
        <v>6</v>
      </c>
      <c r="B14" s="191">
        <v>42985</v>
      </c>
      <c r="C14" s="138" t="s">
        <v>1297</v>
      </c>
      <c r="D14" s="138" t="s">
        <v>1306</v>
      </c>
      <c r="E14" s="146" t="s">
        <v>1222</v>
      </c>
      <c r="F14" s="138"/>
      <c r="G14" s="138"/>
      <c r="H14" s="139"/>
      <c r="I14" s="138"/>
      <c r="J14" s="141">
        <f>790000+140000</f>
        <v>930000</v>
      </c>
      <c r="K14" s="141"/>
      <c r="L14" s="150"/>
      <c r="M14" s="141"/>
      <c r="N14" s="141"/>
      <c r="O14" s="139">
        <f t="shared" si="0"/>
        <v>930000</v>
      </c>
      <c r="P14" s="139">
        <v>3300000</v>
      </c>
      <c r="Q14" s="139">
        <f t="shared" si="1"/>
        <v>2370000</v>
      </c>
      <c r="R14" s="217"/>
      <c r="S14" s="215"/>
      <c r="T14" s="215"/>
    </row>
    <row r="15" spans="1:20" s="144" customFormat="1" ht="21.95" customHeight="1" x14ac:dyDescent="0.2">
      <c r="A15" s="211">
        <v>7</v>
      </c>
      <c r="B15" s="191">
        <v>42986</v>
      </c>
      <c r="C15" s="138" t="s">
        <v>1298</v>
      </c>
      <c r="D15" s="138" t="s">
        <v>1307</v>
      </c>
      <c r="E15" s="146" t="s">
        <v>763</v>
      </c>
      <c r="F15" s="138"/>
      <c r="G15" s="138">
        <v>470</v>
      </c>
      <c r="H15" s="139">
        <v>6556500</v>
      </c>
      <c r="I15" s="138"/>
      <c r="J15" s="141">
        <f>1150000+140000</f>
        <v>1290000</v>
      </c>
      <c r="K15" s="141"/>
      <c r="L15" s="150"/>
      <c r="M15" s="141"/>
      <c r="N15" s="141"/>
      <c r="O15" s="139">
        <f t="shared" si="0"/>
        <v>7846500</v>
      </c>
      <c r="P15" s="139">
        <v>3700000</v>
      </c>
      <c r="Q15" s="139">
        <f t="shared" si="1"/>
        <v>-4146500</v>
      </c>
      <c r="R15" s="217"/>
      <c r="S15" s="215"/>
      <c r="T15" s="215"/>
    </row>
    <row r="16" spans="1:20" s="144" customFormat="1" ht="21.95" customHeight="1" x14ac:dyDescent="0.2">
      <c r="A16" s="211">
        <v>8</v>
      </c>
      <c r="B16" s="191">
        <v>42989</v>
      </c>
      <c r="C16" s="138" t="s">
        <v>1299</v>
      </c>
      <c r="D16" s="138" t="s">
        <v>1308</v>
      </c>
      <c r="E16" s="146" t="s">
        <v>78</v>
      </c>
      <c r="F16" s="138"/>
      <c r="G16" s="138"/>
      <c r="H16" s="139"/>
      <c r="I16" s="138"/>
      <c r="J16" s="141">
        <f>1600000+140000+200000</f>
        <v>1940000</v>
      </c>
      <c r="K16" s="141"/>
      <c r="L16" s="150"/>
      <c r="M16" s="141"/>
      <c r="N16" s="141"/>
      <c r="O16" s="139">
        <f t="shared" si="0"/>
        <v>1940000</v>
      </c>
      <c r="P16" s="139">
        <v>5270000</v>
      </c>
      <c r="Q16" s="139">
        <f t="shared" si="1"/>
        <v>3330000</v>
      </c>
      <c r="R16" s="217"/>
      <c r="S16" s="215"/>
      <c r="T16" s="215"/>
    </row>
    <row r="17" spans="1:20" s="144" customFormat="1" ht="21.95" customHeight="1" x14ac:dyDescent="0.2">
      <c r="A17" s="211">
        <v>9</v>
      </c>
      <c r="B17" s="191">
        <v>42989</v>
      </c>
      <c r="C17" s="138" t="s">
        <v>1300</v>
      </c>
      <c r="D17" s="138" t="s">
        <v>1309</v>
      </c>
      <c r="E17" s="146" t="s">
        <v>661</v>
      </c>
      <c r="F17" s="138"/>
      <c r="G17" s="138"/>
      <c r="H17" s="139"/>
      <c r="I17" s="138"/>
      <c r="J17" s="141">
        <f>950000+140000+400000</f>
        <v>1490000</v>
      </c>
      <c r="K17" s="141"/>
      <c r="L17" s="150"/>
      <c r="M17" s="141"/>
      <c r="N17" s="141"/>
      <c r="O17" s="139">
        <f t="shared" si="0"/>
        <v>1490000</v>
      </c>
      <c r="P17" s="139">
        <v>3972727</v>
      </c>
      <c r="Q17" s="139">
        <f t="shared" si="1"/>
        <v>2482727</v>
      </c>
      <c r="R17" s="217"/>
      <c r="S17" s="215"/>
      <c r="T17" s="215"/>
    </row>
    <row r="18" spans="1:20" s="144" customFormat="1" ht="21.95" customHeight="1" x14ac:dyDescent="0.2">
      <c r="A18" s="211">
        <v>10</v>
      </c>
      <c r="B18" s="191">
        <v>42990</v>
      </c>
      <c r="C18" s="138" t="s">
        <v>611</v>
      </c>
      <c r="D18" s="138" t="s">
        <v>1310</v>
      </c>
      <c r="E18" s="146" t="s">
        <v>1312</v>
      </c>
      <c r="F18" s="138"/>
      <c r="G18" s="138">
        <v>230</v>
      </c>
      <c r="H18" s="139">
        <v>3208500</v>
      </c>
      <c r="I18" s="138"/>
      <c r="J18" s="141">
        <f>1150000+140000+200000</f>
        <v>1490000</v>
      </c>
      <c r="K18" s="141"/>
      <c r="L18" s="150"/>
      <c r="M18" s="141"/>
      <c r="N18" s="141"/>
      <c r="O18" s="139">
        <f t="shared" si="0"/>
        <v>4698500</v>
      </c>
      <c r="P18" s="139">
        <v>5470000</v>
      </c>
      <c r="Q18" s="139">
        <f t="shared" si="1"/>
        <v>771500</v>
      </c>
      <c r="R18" s="217"/>
      <c r="S18" s="215"/>
      <c r="T18" s="215"/>
    </row>
    <row r="19" spans="1:20" s="144" customFormat="1" ht="21.95" customHeight="1" x14ac:dyDescent="0.2">
      <c r="A19" s="211">
        <v>11</v>
      </c>
      <c r="B19" s="191">
        <v>42996</v>
      </c>
      <c r="C19" s="138" t="s">
        <v>1313</v>
      </c>
      <c r="D19" s="138" t="s">
        <v>1324</v>
      </c>
      <c r="E19" s="146" t="s">
        <v>21</v>
      </c>
      <c r="F19" s="138"/>
      <c r="G19" s="138"/>
      <c r="H19" s="139"/>
      <c r="I19" s="138"/>
      <c r="J19" s="141">
        <f>800000+140000</f>
        <v>940000</v>
      </c>
      <c r="K19" s="141"/>
      <c r="L19" s="150"/>
      <c r="M19" s="141"/>
      <c r="N19" s="141"/>
      <c r="O19" s="139">
        <f t="shared" si="0"/>
        <v>940000</v>
      </c>
      <c r="P19" s="139">
        <v>2827273</v>
      </c>
      <c r="Q19" s="139">
        <f t="shared" si="1"/>
        <v>1887273</v>
      </c>
      <c r="R19" s="217"/>
      <c r="S19" s="215"/>
      <c r="T19" s="215"/>
    </row>
    <row r="20" spans="1:20" s="144" customFormat="1" ht="21.95" customHeight="1" x14ac:dyDescent="0.2">
      <c r="A20" s="211">
        <v>12</v>
      </c>
      <c r="B20" s="191">
        <v>42997</v>
      </c>
      <c r="C20" s="138" t="s">
        <v>1314</v>
      </c>
      <c r="D20" s="138" t="s">
        <v>1325</v>
      </c>
      <c r="E20" s="146" t="s">
        <v>21</v>
      </c>
      <c r="F20" s="138"/>
      <c r="G20" s="138"/>
      <c r="H20" s="139"/>
      <c r="I20" s="138"/>
      <c r="J20" s="141">
        <f>800000+140000</f>
        <v>940000</v>
      </c>
      <c r="K20" s="141"/>
      <c r="L20" s="150"/>
      <c r="M20" s="141"/>
      <c r="N20" s="141"/>
      <c r="O20" s="139">
        <f t="shared" si="0"/>
        <v>940000</v>
      </c>
      <c r="P20" s="139">
        <v>3000000</v>
      </c>
      <c r="Q20" s="139">
        <f t="shared" si="1"/>
        <v>2060000</v>
      </c>
      <c r="R20" s="217"/>
      <c r="S20" s="215"/>
      <c r="T20" s="215"/>
    </row>
    <row r="21" spans="1:20" s="144" customFormat="1" ht="21.95" customHeight="1" x14ac:dyDescent="0.2">
      <c r="A21" s="211">
        <v>13</v>
      </c>
      <c r="B21" s="191">
        <v>42998</v>
      </c>
      <c r="C21" s="138" t="s">
        <v>1315</v>
      </c>
      <c r="D21" s="138" t="s">
        <v>1326</v>
      </c>
      <c r="E21" s="146" t="s">
        <v>763</v>
      </c>
      <c r="F21" s="138"/>
      <c r="G21" s="138">
        <v>280</v>
      </c>
      <c r="H21" s="139">
        <v>4043200</v>
      </c>
      <c r="I21" s="138"/>
      <c r="J21" s="141">
        <v>1300000</v>
      </c>
      <c r="K21" s="141"/>
      <c r="L21" s="150"/>
      <c r="M21" s="141"/>
      <c r="N21" s="141"/>
      <c r="O21" s="139">
        <f t="shared" si="0"/>
        <v>5343200</v>
      </c>
      <c r="P21" s="139">
        <v>3700000</v>
      </c>
      <c r="Q21" s="139">
        <f t="shared" si="1"/>
        <v>-1643200</v>
      </c>
      <c r="R21" s="217"/>
      <c r="S21" s="215"/>
      <c r="T21" s="215"/>
    </row>
    <row r="22" spans="1:20" s="144" customFormat="1" ht="21.95" customHeight="1" x14ac:dyDescent="0.2">
      <c r="A22" s="211">
        <v>14</v>
      </c>
      <c r="B22" s="191">
        <v>42999</v>
      </c>
      <c r="C22" s="138" t="s">
        <v>1316</v>
      </c>
      <c r="D22" s="138" t="s">
        <v>1327</v>
      </c>
      <c r="E22" s="146" t="s">
        <v>25</v>
      </c>
      <c r="F22" s="138"/>
      <c r="G22" s="138"/>
      <c r="H22" s="139"/>
      <c r="I22" s="138"/>
      <c r="J22" s="141">
        <v>1850000</v>
      </c>
      <c r="K22" s="141"/>
      <c r="L22" s="150"/>
      <c r="M22" s="141"/>
      <c r="N22" s="141"/>
      <c r="O22" s="139">
        <f t="shared" si="0"/>
        <v>1850000</v>
      </c>
      <c r="P22" s="139">
        <v>7500000</v>
      </c>
      <c r="Q22" s="139">
        <f t="shared" si="1"/>
        <v>5650000</v>
      </c>
      <c r="R22" s="217"/>
      <c r="S22" s="215"/>
      <c r="T22" s="215"/>
    </row>
    <row r="23" spans="1:20" s="144" customFormat="1" ht="21.95" customHeight="1" x14ac:dyDescent="0.2">
      <c r="A23" s="211">
        <v>15</v>
      </c>
      <c r="B23" s="191">
        <v>43000</v>
      </c>
      <c r="C23" s="138" t="s">
        <v>1317</v>
      </c>
      <c r="D23" s="138" t="s">
        <v>1328</v>
      </c>
      <c r="E23" s="146" t="s">
        <v>1221</v>
      </c>
      <c r="F23" s="138"/>
      <c r="G23" s="138">
        <v>365</v>
      </c>
      <c r="H23" s="139">
        <v>5270600</v>
      </c>
      <c r="I23" s="138"/>
      <c r="J23" s="141">
        <v>1290000</v>
      </c>
      <c r="K23" s="141"/>
      <c r="L23" s="150"/>
      <c r="M23" s="141"/>
      <c r="N23" s="141"/>
      <c r="O23" s="139">
        <f t="shared" si="0"/>
        <v>6560600</v>
      </c>
      <c r="P23" s="139">
        <v>3700000</v>
      </c>
      <c r="Q23" s="139">
        <f t="shared" si="1"/>
        <v>-2860600</v>
      </c>
      <c r="R23" s="217"/>
      <c r="S23" s="215"/>
      <c r="T23" s="215"/>
    </row>
    <row r="24" spans="1:20" s="144" customFormat="1" ht="21.95" customHeight="1" x14ac:dyDescent="0.2">
      <c r="A24" s="211">
        <v>16</v>
      </c>
      <c r="B24" s="191">
        <v>43002</v>
      </c>
      <c r="C24" s="138" t="s">
        <v>1318</v>
      </c>
      <c r="D24" s="138" t="s">
        <v>1329</v>
      </c>
      <c r="E24" s="146" t="s">
        <v>511</v>
      </c>
      <c r="F24" s="138"/>
      <c r="G24" s="138"/>
      <c r="H24" s="139"/>
      <c r="I24" s="138"/>
      <c r="J24" s="141">
        <v>790000</v>
      </c>
      <c r="K24" s="141"/>
      <c r="L24" s="150"/>
      <c r="M24" s="141"/>
      <c r="N24" s="141"/>
      <c r="O24" s="139">
        <f t="shared" si="0"/>
        <v>790000</v>
      </c>
      <c r="P24" s="139">
        <v>2600000</v>
      </c>
      <c r="Q24" s="139">
        <f t="shared" si="1"/>
        <v>1810000</v>
      </c>
      <c r="R24" s="217"/>
      <c r="S24" s="215"/>
      <c r="T24" s="215"/>
    </row>
    <row r="25" spans="1:20" s="144" customFormat="1" ht="21.95" customHeight="1" x14ac:dyDescent="0.2">
      <c r="A25" s="211">
        <v>17</v>
      </c>
      <c r="B25" s="191">
        <v>43003</v>
      </c>
      <c r="C25" s="138" t="s">
        <v>1319</v>
      </c>
      <c r="D25" s="138" t="s">
        <v>1330</v>
      </c>
      <c r="E25" s="146" t="s">
        <v>1335</v>
      </c>
      <c r="F25" s="138"/>
      <c r="G25" s="138"/>
      <c r="H25" s="139"/>
      <c r="I25" s="138"/>
      <c r="J25" s="141">
        <v>1290000</v>
      </c>
      <c r="K25" s="141"/>
      <c r="L25" s="150"/>
      <c r="M25" s="141"/>
      <c r="N25" s="141"/>
      <c r="O25" s="139">
        <f t="shared" si="0"/>
        <v>1290000</v>
      </c>
      <c r="P25" s="139">
        <v>4000000</v>
      </c>
      <c r="Q25" s="139">
        <f t="shared" si="1"/>
        <v>2710000</v>
      </c>
      <c r="R25" s="217"/>
      <c r="S25" s="215"/>
      <c r="T25" s="215"/>
    </row>
    <row r="26" spans="1:20" s="144" customFormat="1" ht="21.95" customHeight="1" x14ac:dyDescent="0.2">
      <c r="A26" s="211">
        <v>18</v>
      </c>
      <c r="B26" s="191">
        <v>43004</v>
      </c>
      <c r="C26" s="138" t="s">
        <v>1320</v>
      </c>
      <c r="D26" s="138" t="s">
        <v>1331</v>
      </c>
      <c r="E26" s="146" t="s">
        <v>25</v>
      </c>
      <c r="F26" s="138"/>
      <c r="G26" s="138"/>
      <c r="H26" s="139"/>
      <c r="I26" s="138"/>
      <c r="J26" s="141">
        <v>1850000</v>
      </c>
      <c r="K26" s="141"/>
      <c r="L26" s="150"/>
      <c r="M26" s="141"/>
      <c r="N26" s="141"/>
      <c r="O26" s="139">
        <f t="shared" si="0"/>
        <v>1850000</v>
      </c>
      <c r="P26" s="139">
        <v>7500000</v>
      </c>
      <c r="Q26" s="139">
        <f t="shared" si="1"/>
        <v>5650000</v>
      </c>
      <c r="R26" s="217"/>
      <c r="S26" s="215"/>
      <c r="T26" s="215"/>
    </row>
    <row r="27" spans="1:20" s="144" customFormat="1" ht="21.95" customHeight="1" x14ac:dyDescent="0.2">
      <c r="A27" s="211">
        <v>19</v>
      </c>
      <c r="B27" s="191">
        <v>43005</v>
      </c>
      <c r="C27" s="138" t="s">
        <v>1321</v>
      </c>
      <c r="D27" s="138" t="s">
        <v>1332</v>
      </c>
      <c r="E27" s="146" t="s">
        <v>177</v>
      </c>
      <c r="F27" s="138"/>
      <c r="G27" s="138"/>
      <c r="H27" s="139"/>
      <c r="I27" s="138"/>
      <c r="J27" s="141">
        <v>930000</v>
      </c>
      <c r="K27" s="141"/>
      <c r="L27" s="150"/>
      <c r="M27" s="141"/>
      <c r="N27" s="141"/>
      <c r="O27" s="139">
        <f t="shared" si="0"/>
        <v>930000</v>
      </c>
      <c r="P27" s="139">
        <v>3200000</v>
      </c>
      <c r="Q27" s="139">
        <f t="shared" si="1"/>
        <v>2270000</v>
      </c>
      <c r="R27" s="217"/>
      <c r="S27" s="215"/>
      <c r="T27" s="215"/>
    </row>
    <row r="28" spans="1:20" s="144" customFormat="1" ht="21.95" customHeight="1" x14ac:dyDescent="0.2">
      <c r="A28" s="211">
        <v>20</v>
      </c>
      <c r="B28" s="191">
        <v>43006</v>
      </c>
      <c r="C28" s="138" t="s">
        <v>1322</v>
      </c>
      <c r="D28" s="138" t="s">
        <v>1333</v>
      </c>
      <c r="E28" s="146" t="s">
        <v>1336</v>
      </c>
      <c r="F28" s="138"/>
      <c r="G28" s="138">
        <v>424</v>
      </c>
      <c r="H28" s="139">
        <v>6122560</v>
      </c>
      <c r="I28" s="138"/>
      <c r="J28" s="141">
        <f>1290000-360000</f>
        <v>930000</v>
      </c>
      <c r="K28" s="141"/>
      <c r="L28" s="150"/>
      <c r="M28" s="141"/>
      <c r="N28" s="141"/>
      <c r="O28" s="139">
        <f t="shared" si="0"/>
        <v>7052560</v>
      </c>
      <c r="P28" s="139">
        <v>3200000</v>
      </c>
      <c r="Q28" s="139">
        <f t="shared" si="1"/>
        <v>-3852560</v>
      </c>
      <c r="R28" s="217"/>
      <c r="S28" s="215"/>
      <c r="T28" s="215"/>
    </row>
    <row r="29" spans="1:20" s="144" customFormat="1" ht="21.95" customHeight="1" x14ac:dyDescent="0.2">
      <c r="A29" s="211">
        <v>21</v>
      </c>
      <c r="B29" s="191">
        <v>43007</v>
      </c>
      <c r="C29" s="138" t="s">
        <v>1323</v>
      </c>
      <c r="D29" s="138" t="s">
        <v>1334</v>
      </c>
      <c r="E29" s="146" t="s">
        <v>201</v>
      </c>
      <c r="F29" s="138"/>
      <c r="G29" s="138"/>
      <c r="H29" s="139"/>
      <c r="I29" s="138"/>
      <c r="J29" s="209">
        <v>790000</v>
      </c>
      <c r="K29" s="141"/>
      <c r="L29" s="150"/>
      <c r="M29" s="141"/>
      <c r="N29" s="141"/>
      <c r="O29" s="139">
        <f t="shared" si="0"/>
        <v>790000</v>
      </c>
      <c r="P29" s="139">
        <v>3181818</v>
      </c>
      <c r="Q29" s="139">
        <f t="shared" si="1"/>
        <v>2391818</v>
      </c>
      <c r="R29" s="217"/>
      <c r="S29" s="215"/>
      <c r="T29" s="215"/>
    </row>
    <row r="30" spans="1:20" s="144" customFormat="1" ht="21.95" customHeight="1" x14ac:dyDescent="0.2">
      <c r="A30" s="211">
        <v>22</v>
      </c>
      <c r="B30" s="191"/>
      <c r="C30" s="138"/>
      <c r="D30" s="138"/>
      <c r="E30" s="146"/>
      <c r="F30" s="138"/>
      <c r="G30" s="138"/>
      <c r="H30" s="139"/>
      <c r="I30" s="138"/>
      <c r="J30" s="141"/>
      <c r="K30" s="141"/>
      <c r="L30" s="150"/>
      <c r="M30" s="141"/>
      <c r="N30" s="141"/>
      <c r="O30" s="139">
        <f t="shared" si="0"/>
        <v>0</v>
      </c>
      <c r="P30" s="139"/>
      <c r="Q30" s="139">
        <f t="shared" si="1"/>
        <v>0</v>
      </c>
      <c r="R30" s="217"/>
      <c r="S30" s="215"/>
      <c r="T30" s="215"/>
    </row>
    <row r="31" spans="1:20" s="144" customFormat="1" ht="21.95" customHeight="1" x14ac:dyDescent="0.2">
      <c r="A31" s="211">
        <v>23</v>
      </c>
      <c r="B31" s="191"/>
      <c r="C31" s="138"/>
      <c r="D31" s="138"/>
      <c r="E31" s="146"/>
      <c r="F31" s="138"/>
      <c r="G31" s="138"/>
      <c r="H31" s="139"/>
      <c r="I31" s="138"/>
      <c r="J31" s="141"/>
      <c r="K31" s="141"/>
      <c r="L31" s="150"/>
      <c r="M31" s="141"/>
      <c r="N31" s="141"/>
      <c r="O31" s="139">
        <f t="shared" si="0"/>
        <v>0</v>
      </c>
      <c r="P31" s="139"/>
      <c r="Q31" s="139">
        <f t="shared" si="1"/>
        <v>0</v>
      </c>
      <c r="R31" s="217"/>
      <c r="S31" s="215"/>
      <c r="T31" s="215"/>
    </row>
    <row r="32" spans="1:20" s="159" customFormat="1" ht="21.95" customHeight="1" x14ac:dyDescent="0.25">
      <c r="A32" s="212"/>
      <c r="B32" s="165"/>
      <c r="C32" s="196" t="s">
        <v>1337</v>
      </c>
      <c r="D32" s="195"/>
      <c r="E32" s="197"/>
      <c r="F32" s="195"/>
      <c r="G32" s="195"/>
      <c r="H32" s="155"/>
      <c r="I32" s="195"/>
      <c r="J32" s="155"/>
      <c r="K32" s="157"/>
      <c r="L32" s="157">
        <v>7961538</v>
      </c>
      <c r="M32" s="155"/>
      <c r="N32" s="155"/>
      <c r="O32" s="139">
        <f t="shared" si="0"/>
        <v>7961538</v>
      </c>
      <c r="P32" s="139"/>
      <c r="Q32" s="139">
        <f t="shared" si="1"/>
        <v>-7961538</v>
      </c>
      <c r="S32" s="215"/>
      <c r="T32" s="215"/>
    </row>
    <row r="33" spans="1:20" s="159" customFormat="1" ht="21.95" customHeight="1" x14ac:dyDescent="0.25">
      <c r="A33" s="212"/>
      <c r="B33" s="165"/>
      <c r="C33" s="196" t="s">
        <v>1287</v>
      </c>
      <c r="D33" s="195"/>
      <c r="E33" s="197"/>
      <c r="F33" s="195"/>
      <c r="G33" s="195"/>
      <c r="H33" s="155"/>
      <c r="I33" s="195"/>
      <c r="J33" s="155"/>
      <c r="K33" s="157"/>
      <c r="L33" s="157"/>
      <c r="M33" s="219">
        <v>11600000</v>
      </c>
      <c r="N33" s="155"/>
      <c r="O33" s="139">
        <f t="shared" si="0"/>
        <v>11600000</v>
      </c>
      <c r="P33" s="139"/>
      <c r="Q33" s="139">
        <f t="shared" si="1"/>
        <v>-11600000</v>
      </c>
      <c r="S33" s="215"/>
      <c r="T33" s="215"/>
    </row>
    <row r="34" spans="1:20" s="159" customFormat="1" ht="21.95" customHeight="1" x14ac:dyDescent="0.25">
      <c r="A34" s="212"/>
      <c r="B34" s="165"/>
      <c r="C34" s="196" t="s">
        <v>1338</v>
      </c>
      <c r="D34" s="195"/>
      <c r="E34" s="197"/>
      <c r="F34" s="195"/>
      <c r="G34" s="195"/>
      <c r="H34" s="155"/>
      <c r="I34" s="195"/>
      <c r="J34" s="155"/>
      <c r="K34" s="157"/>
      <c r="L34" s="157">
        <v>450000</v>
      </c>
      <c r="M34" s="155"/>
      <c r="N34" s="155"/>
      <c r="O34" s="139">
        <f t="shared" si="0"/>
        <v>450000</v>
      </c>
      <c r="P34" s="139"/>
      <c r="Q34" s="139">
        <f t="shared" si="1"/>
        <v>-450000</v>
      </c>
      <c r="S34" s="215"/>
      <c r="T34" s="215"/>
    </row>
    <row r="35" spans="1:20" s="159" customFormat="1" ht="21.95" customHeight="1" x14ac:dyDescent="0.25">
      <c r="A35" s="213"/>
      <c r="B35" s="203"/>
      <c r="C35" s="152" t="s">
        <v>1094</v>
      </c>
      <c r="D35" s="153"/>
      <c r="E35" s="154"/>
      <c r="F35" s="153"/>
      <c r="G35" s="153"/>
      <c r="H35" s="156"/>
      <c r="I35" s="153"/>
      <c r="J35" s="156"/>
      <c r="K35" s="204">
        <f>1200000*1.1</f>
        <v>1320000</v>
      </c>
      <c r="L35" s="205"/>
      <c r="M35" s="156"/>
      <c r="N35" s="156"/>
      <c r="O35" s="139">
        <f t="shared" si="0"/>
        <v>1320000</v>
      </c>
      <c r="P35" s="139"/>
      <c r="Q35" s="139">
        <f t="shared" si="1"/>
        <v>-1320000</v>
      </c>
      <c r="R35" s="186"/>
      <c r="S35" s="215"/>
      <c r="T35" s="215"/>
    </row>
    <row r="36" spans="1:20" ht="21.95" customHeight="1" x14ac:dyDescent="0.25">
      <c r="A36" s="426" t="s">
        <v>20</v>
      </c>
      <c r="B36" s="426"/>
      <c r="C36" s="426"/>
      <c r="D36" s="426"/>
      <c r="E36" s="426"/>
      <c r="F36" s="426"/>
      <c r="G36" s="161">
        <f t="shared" ref="G36:Q36" si="2">SUM(G7:G35)</f>
        <v>2151</v>
      </c>
      <c r="H36" s="161">
        <f t="shared" si="2"/>
        <v>30469140</v>
      </c>
      <c r="I36" s="161">
        <f t="shared" si="2"/>
        <v>0</v>
      </c>
      <c r="J36" s="161">
        <f t="shared" si="2"/>
        <v>27780000</v>
      </c>
      <c r="K36" s="161">
        <f t="shared" si="2"/>
        <v>1320000</v>
      </c>
      <c r="L36" s="161">
        <f t="shared" si="2"/>
        <v>8411538</v>
      </c>
      <c r="M36" s="161">
        <f t="shared" si="2"/>
        <v>11600000</v>
      </c>
      <c r="N36" s="161">
        <f t="shared" si="2"/>
        <v>0</v>
      </c>
      <c r="O36" s="161">
        <f t="shared" si="2"/>
        <v>79580678</v>
      </c>
      <c r="P36" s="161">
        <f t="shared" si="2"/>
        <v>91591818</v>
      </c>
      <c r="Q36" s="161">
        <f t="shared" si="2"/>
        <v>12011140</v>
      </c>
      <c r="R36" s="187"/>
      <c r="S36" s="189"/>
    </row>
    <row r="37" spans="1:20" ht="21.95" customHeight="1" x14ac:dyDescent="0.25">
      <c r="O37" s="158"/>
      <c r="Q37" s="158"/>
    </row>
    <row r="38" spans="1:20" ht="21.95" customHeight="1" x14ac:dyDescent="0.25">
      <c r="P38" s="216" t="s">
        <v>1095</v>
      </c>
      <c r="Q38" s="216">
        <f>'08-2017'!Q41+'09-2017'!Q36</f>
        <v>177600774.53846154</v>
      </c>
    </row>
    <row r="39" spans="1:20" ht="21.95" customHeight="1" x14ac:dyDescent="0.25">
      <c r="B39" s="129"/>
      <c r="H39" s="128"/>
      <c r="J39" s="128"/>
      <c r="K39" s="128"/>
      <c r="L39" s="128"/>
      <c r="M39" s="128"/>
      <c r="N39" s="128"/>
      <c r="O39" s="128"/>
      <c r="P39" s="218"/>
      <c r="Q39" s="216"/>
    </row>
    <row r="40" spans="1:20" ht="21.95" customHeight="1" x14ac:dyDescent="0.25">
      <c r="B40" s="129"/>
      <c r="H40" s="128"/>
      <c r="J40" s="128"/>
      <c r="K40" s="128"/>
      <c r="L40" s="128"/>
      <c r="M40" s="128"/>
      <c r="N40" s="128"/>
      <c r="O40" s="128"/>
      <c r="P40" s="218"/>
      <c r="Q40" s="216"/>
    </row>
    <row r="41" spans="1:20" ht="21.95" customHeight="1" x14ac:dyDescent="0.25">
      <c r="B41" s="129"/>
      <c r="H41" s="128"/>
      <c r="J41" s="128"/>
      <c r="K41" s="128"/>
      <c r="L41" s="128"/>
      <c r="M41" s="128"/>
      <c r="N41" s="128"/>
      <c r="O41" s="128"/>
      <c r="P41" s="218"/>
      <c r="Q41" s="216"/>
    </row>
    <row r="42" spans="1:20" ht="21.95" customHeight="1" x14ac:dyDescent="0.25">
      <c r="B42" s="129"/>
      <c r="H42" s="128"/>
      <c r="J42" s="128"/>
      <c r="K42" s="128"/>
      <c r="L42" s="128"/>
      <c r="M42" s="128"/>
      <c r="N42" s="128"/>
      <c r="O42" s="128"/>
      <c r="P42" s="218"/>
      <c r="Q42" s="216"/>
    </row>
    <row r="43" spans="1:20" ht="21.95" customHeight="1" x14ac:dyDescent="0.25">
      <c r="B43" s="129"/>
      <c r="H43" s="128"/>
      <c r="J43" s="128"/>
      <c r="K43" s="128"/>
      <c r="L43" s="128"/>
      <c r="M43" s="128"/>
      <c r="N43" s="128"/>
      <c r="O43" s="128"/>
      <c r="P43" s="218"/>
      <c r="Q43" s="216"/>
    </row>
    <row r="44" spans="1:20" ht="21.95" customHeight="1" x14ac:dyDescent="0.25">
      <c r="A44" s="128"/>
      <c r="B44" s="129"/>
      <c r="H44" s="128"/>
      <c r="J44" s="128"/>
      <c r="K44" s="128"/>
      <c r="L44" s="128"/>
      <c r="M44" s="128"/>
      <c r="N44" s="128"/>
      <c r="O44" s="128"/>
      <c r="P44" s="218"/>
      <c r="Q44" s="216"/>
    </row>
    <row r="45" spans="1:20" ht="21.95" customHeight="1" x14ac:dyDescent="0.25">
      <c r="A45" s="128"/>
      <c r="B45" s="129"/>
      <c r="H45" s="128"/>
      <c r="J45" s="128"/>
      <c r="K45" s="128"/>
      <c r="L45" s="128"/>
      <c r="M45" s="128"/>
      <c r="N45" s="128"/>
      <c r="O45" s="128"/>
      <c r="P45" s="128"/>
      <c r="Q45" s="216"/>
    </row>
    <row r="46" spans="1:20" ht="21.95" customHeight="1" x14ac:dyDescent="0.25">
      <c r="A46" s="128"/>
      <c r="B46" s="128"/>
      <c r="H46" s="128"/>
      <c r="J46" s="128"/>
      <c r="K46" s="128"/>
      <c r="L46" s="128"/>
      <c r="M46" s="128"/>
      <c r="N46" s="128"/>
      <c r="O46" s="128"/>
      <c r="P46" s="128"/>
      <c r="Q46" s="216"/>
    </row>
    <row r="47" spans="1:20" ht="21.95" customHeight="1" x14ac:dyDescent="0.25">
      <c r="A47" s="128"/>
      <c r="B47" s="128"/>
      <c r="H47" s="128"/>
      <c r="J47" s="128"/>
      <c r="K47" s="128"/>
      <c r="L47" s="128"/>
      <c r="M47" s="128"/>
      <c r="N47" s="128"/>
      <c r="O47" s="128"/>
      <c r="P47" s="128"/>
      <c r="Q47" s="216"/>
    </row>
  </sheetData>
  <mergeCells count="14">
    <mergeCell ref="O5:O6"/>
    <mergeCell ref="P5:P6"/>
    <mergeCell ref="Q5:Q6"/>
    <mergeCell ref="A36:F36"/>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1" orientation="landscape"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46"/>
  <sheetViews>
    <sheetView topLeftCell="A19" zoomScaleNormal="100" workbookViewId="0">
      <selection activeCell="R13" sqref="R13"/>
    </sheetView>
  </sheetViews>
  <sheetFormatPr defaultColWidth="9.140625" defaultRowHeight="12.75" x14ac:dyDescent="0.25"/>
  <cols>
    <col min="1" max="1" width="4.5703125" style="129" customWidth="1"/>
    <col min="2" max="2" width="10.28515625" style="163" customWidth="1"/>
    <col min="3" max="3" width="32" style="128" customWidth="1"/>
    <col min="4" max="4" width="13.425781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11.28515625" style="143" customWidth="1"/>
    <col min="14" max="14" width="9.5703125" style="143" customWidth="1"/>
    <col min="15" max="15" width="12.7109375" style="143" customWidth="1"/>
    <col min="16" max="16" width="19.7109375" style="143" customWidth="1"/>
    <col min="17" max="17" width="20.710937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1339</v>
      </c>
      <c r="C3" s="417"/>
      <c r="D3" s="417"/>
      <c r="E3" s="417"/>
      <c r="F3" s="417"/>
      <c r="G3" s="417"/>
      <c r="H3" s="417"/>
      <c r="I3" s="417"/>
      <c r="J3" s="417"/>
      <c r="K3" s="417"/>
      <c r="L3" s="417"/>
      <c r="M3" s="417"/>
      <c r="N3" s="417"/>
      <c r="O3" s="417"/>
      <c r="P3" s="417"/>
      <c r="Q3" s="417"/>
    </row>
    <row r="5" spans="1:20"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0"/>
      <c r="B7" s="135"/>
      <c r="C7" s="199"/>
      <c r="D7" s="137"/>
      <c r="E7" s="137"/>
      <c r="F7" s="200"/>
      <c r="G7" s="142"/>
      <c r="H7" s="201"/>
      <c r="I7" s="201"/>
      <c r="J7" s="202"/>
      <c r="K7" s="202"/>
      <c r="L7" s="202"/>
      <c r="M7" s="202"/>
      <c r="N7" s="202"/>
      <c r="O7" s="142"/>
      <c r="P7" s="142"/>
      <c r="Q7" s="142"/>
    </row>
    <row r="8" spans="1:20" s="144" customFormat="1" ht="21.95" customHeight="1" x14ac:dyDescent="0.25">
      <c r="A8" s="210"/>
      <c r="B8" s="135"/>
      <c r="C8" s="199"/>
      <c r="D8" s="137"/>
      <c r="E8" s="137"/>
      <c r="F8" s="200"/>
      <c r="G8" s="142"/>
      <c r="H8" s="201"/>
      <c r="I8" s="201"/>
      <c r="J8" s="202"/>
      <c r="K8" s="202"/>
      <c r="L8" s="202"/>
      <c r="M8" s="202"/>
      <c r="N8" s="202"/>
      <c r="O8" s="139"/>
      <c r="P8" s="142"/>
      <c r="Q8" s="139"/>
    </row>
    <row r="9" spans="1:20" s="144" customFormat="1" ht="21.95" customHeight="1" x14ac:dyDescent="0.2">
      <c r="A9" s="211">
        <v>1</v>
      </c>
      <c r="B9" s="191">
        <v>43010</v>
      </c>
      <c r="C9" s="138" t="s">
        <v>1340</v>
      </c>
      <c r="D9" s="138" t="s">
        <v>1356</v>
      </c>
      <c r="E9" s="146" t="s">
        <v>201</v>
      </c>
      <c r="F9" s="138"/>
      <c r="G9" s="138">
        <v>234</v>
      </c>
      <c r="H9" s="139">
        <v>3378960</v>
      </c>
      <c r="I9" s="138"/>
      <c r="J9" s="141">
        <v>790000</v>
      </c>
      <c r="K9" s="141"/>
      <c r="L9" s="150"/>
      <c r="M9" s="141"/>
      <c r="N9" s="141"/>
      <c r="O9" s="139">
        <f>H9+J9+K9+L9+M9+N9</f>
        <v>4168960</v>
      </c>
      <c r="P9" s="139">
        <v>3000000</v>
      </c>
      <c r="Q9" s="139">
        <f>P9-O9</f>
        <v>-1168960</v>
      </c>
      <c r="R9" s="217"/>
      <c r="S9" s="215"/>
      <c r="T9" s="215"/>
    </row>
    <row r="10" spans="1:20" s="144" customFormat="1" ht="21.95" customHeight="1" x14ac:dyDescent="0.2">
      <c r="A10" s="211">
        <v>2</v>
      </c>
      <c r="B10" s="191">
        <v>43010</v>
      </c>
      <c r="C10" s="138" t="s">
        <v>1341</v>
      </c>
      <c r="D10" s="138" t="s">
        <v>1357</v>
      </c>
      <c r="E10" s="146" t="s">
        <v>201</v>
      </c>
      <c r="F10" s="138"/>
      <c r="G10" s="138"/>
      <c r="H10" s="139"/>
      <c r="I10" s="138"/>
      <c r="J10" s="141">
        <v>790000</v>
      </c>
      <c r="K10" s="141"/>
      <c r="L10" s="150"/>
      <c r="M10" s="141"/>
      <c r="N10" s="141"/>
      <c r="O10" s="139">
        <f t="shared" ref="O10:O34" si="0">H10+J10+K10+L10+M10+N10</f>
        <v>790000</v>
      </c>
      <c r="P10" s="141">
        <v>3000000</v>
      </c>
      <c r="Q10" s="139">
        <f t="shared" ref="Q10:Q34" si="1">P10-O10</f>
        <v>2210000</v>
      </c>
      <c r="R10" s="217"/>
      <c r="S10" s="215"/>
      <c r="T10" s="215"/>
    </row>
    <row r="11" spans="1:20" s="144" customFormat="1" ht="21.95" customHeight="1" x14ac:dyDescent="0.2">
      <c r="A11" s="211">
        <v>3</v>
      </c>
      <c r="B11" s="191">
        <v>43011</v>
      </c>
      <c r="C11" s="138" t="s">
        <v>1342</v>
      </c>
      <c r="D11" s="138" t="s">
        <v>1358</v>
      </c>
      <c r="E11" s="146" t="s">
        <v>177</v>
      </c>
      <c r="F11" s="138"/>
      <c r="G11" s="138">
        <v>71</v>
      </c>
      <c r="H11" s="139">
        <v>1025240</v>
      </c>
      <c r="I11" s="138"/>
      <c r="J11" s="141">
        <v>570000</v>
      </c>
      <c r="K11" s="141"/>
      <c r="L11" s="150"/>
      <c r="M11" s="141"/>
      <c r="N11" s="141"/>
      <c r="O11" s="139">
        <f t="shared" si="0"/>
        <v>1595240</v>
      </c>
      <c r="P11" s="139">
        <v>3200000</v>
      </c>
      <c r="Q11" s="139">
        <f t="shared" si="1"/>
        <v>1604760</v>
      </c>
      <c r="R11" s="217"/>
      <c r="S11" s="215"/>
      <c r="T11" s="215"/>
    </row>
    <row r="12" spans="1:20" s="144" customFormat="1" ht="21.95" customHeight="1" x14ac:dyDescent="0.2">
      <c r="A12" s="211">
        <v>4</v>
      </c>
      <c r="B12" s="191">
        <v>43012</v>
      </c>
      <c r="C12" s="138" t="s">
        <v>1343</v>
      </c>
      <c r="D12" s="138" t="s">
        <v>1359</v>
      </c>
      <c r="E12" s="146" t="s">
        <v>84</v>
      </c>
      <c r="F12" s="138"/>
      <c r="G12" s="138"/>
      <c r="H12" s="139"/>
      <c r="I12" s="138"/>
      <c r="J12" s="141">
        <v>930000</v>
      </c>
      <c r="K12" s="141"/>
      <c r="L12" s="150"/>
      <c r="M12" s="141"/>
      <c r="N12" s="141"/>
      <c r="O12" s="139">
        <f t="shared" si="0"/>
        <v>930000</v>
      </c>
      <c r="P12" s="139">
        <v>4318182</v>
      </c>
      <c r="Q12" s="139">
        <f t="shared" si="1"/>
        <v>3388182</v>
      </c>
      <c r="R12" s="217"/>
      <c r="S12" s="215"/>
      <c r="T12" s="215"/>
    </row>
    <row r="13" spans="1:20" s="144" customFormat="1" ht="21.95" customHeight="1" x14ac:dyDescent="0.2">
      <c r="A13" s="211">
        <v>5</v>
      </c>
      <c r="B13" s="191">
        <v>43013</v>
      </c>
      <c r="C13" s="138" t="s">
        <v>1344</v>
      </c>
      <c r="D13" s="138" t="s">
        <v>1360</v>
      </c>
      <c r="E13" s="146" t="s">
        <v>25</v>
      </c>
      <c r="F13" s="138"/>
      <c r="G13" s="138"/>
      <c r="H13" s="139"/>
      <c r="I13" s="138"/>
      <c r="J13" s="141">
        <v>1490000</v>
      </c>
      <c r="K13" s="141"/>
      <c r="L13" s="150"/>
      <c r="M13" s="141"/>
      <c r="N13" s="141"/>
      <c r="O13" s="139">
        <f t="shared" si="0"/>
        <v>1490000</v>
      </c>
      <c r="P13" s="139">
        <v>7500000</v>
      </c>
      <c r="Q13" s="139">
        <f t="shared" si="1"/>
        <v>6010000</v>
      </c>
      <c r="R13" s="217"/>
      <c r="S13" s="215"/>
      <c r="T13" s="215"/>
    </row>
    <row r="14" spans="1:20" s="144" customFormat="1" ht="21.95" customHeight="1" x14ac:dyDescent="0.2">
      <c r="A14" s="211">
        <v>6</v>
      </c>
      <c r="B14" s="191">
        <v>43014</v>
      </c>
      <c r="C14" s="138" t="s">
        <v>1345</v>
      </c>
      <c r="D14" s="138" t="s">
        <v>1361</v>
      </c>
      <c r="E14" s="146" t="s">
        <v>23</v>
      </c>
      <c r="F14" s="138"/>
      <c r="G14" s="138">
        <v>615</v>
      </c>
      <c r="H14" s="139">
        <v>8966700</v>
      </c>
      <c r="I14" s="138"/>
      <c r="J14" s="141">
        <v>2700000</v>
      </c>
      <c r="K14" s="141"/>
      <c r="L14" s="150"/>
      <c r="M14" s="141"/>
      <c r="N14" s="141"/>
      <c r="O14" s="139">
        <f t="shared" si="0"/>
        <v>11666700</v>
      </c>
      <c r="P14" s="139">
        <v>12181818</v>
      </c>
      <c r="Q14" s="139">
        <f t="shared" si="1"/>
        <v>515118</v>
      </c>
      <c r="R14" s="217"/>
      <c r="S14" s="215"/>
      <c r="T14" s="215"/>
    </row>
    <row r="15" spans="1:20" s="144" customFormat="1" ht="21.95" customHeight="1" x14ac:dyDescent="0.2">
      <c r="A15" s="211">
        <v>7</v>
      </c>
      <c r="B15" s="191">
        <v>43026</v>
      </c>
      <c r="C15" s="138" t="s">
        <v>1346</v>
      </c>
      <c r="D15" s="138" t="s">
        <v>1362</v>
      </c>
      <c r="E15" s="146" t="s">
        <v>23</v>
      </c>
      <c r="F15" s="138"/>
      <c r="G15" s="138"/>
      <c r="H15" s="139"/>
      <c r="I15" s="138"/>
      <c r="J15" s="141">
        <v>2700000</v>
      </c>
      <c r="K15" s="141"/>
      <c r="L15" s="150"/>
      <c r="M15" s="141"/>
      <c r="N15" s="141"/>
      <c r="O15" s="139">
        <f t="shared" si="0"/>
        <v>2700000</v>
      </c>
      <c r="P15" s="139">
        <v>12727273</v>
      </c>
      <c r="Q15" s="139">
        <f t="shared" si="1"/>
        <v>10027273</v>
      </c>
      <c r="R15" s="217"/>
      <c r="S15" s="215"/>
      <c r="T15" s="215"/>
    </row>
    <row r="16" spans="1:20" s="144" customFormat="1" ht="21.95" customHeight="1" x14ac:dyDescent="0.2">
      <c r="A16" s="211">
        <v>8</v>
      </c>
      <c r="B16" s="191">
        <v>43027</v>
      </c>
      <c r="C16" s="138" t="s">
        <v>1347</v>
      </c>
      <c r="D16" s="138" t="s">
        <v>1363</v>
      </c>
      <c r="E16" s="146" t="s">
        <v>218</v>
      </c>
      <c r="F16" s="138"/>
      <c r="G16" s="138"/>
      <c r="H16" s="139"/>
      <c r="I16" s="138"/>
      <c r="J16" s="141">
        <v>570000</v>
      </c>
      <c r="K16" s="141"/>
      <c r="L16" s="150"/>
      <c r="M16" s="141"/>
      <c r="N16" s="141"/>
      <c r="O16" s="139">
        <f t="shared" si="0"/>
        <v>570000</v>
      </c>
      <c r="P16" s="139">
        <v>3590909</v>
      </c>
      <c r="Q16" s="139">
        <f t="shared" si="1"/>
        <v>3020909</v>
      </c>
      <c r="R16" s="217"/>
      <c r="S16" s="215"/>
      <c r="T16" s="215"/>
    </row>
    <row r="17" spans="1:20" s="144" customFormat="1" ht="21.95" customHeight="1" x14ac:dyDescent="0.2">
      <c r="A17" s="211">
        <v>9</v>
      </c>
      <c r="B17" s="191">
        <v>43028</v>
      </c>
      <c r="C17" s="138" t="s">
        <v>1348</v>
      </c>
      <c r="D17" s="138" t="s">
        <v>1364</v>
      </c>
      <c r="E17" s="146" t="s">
        <v>1372</v>
      </c>
      <c r="F17" s="138"/>
      <c r="G17" s="138">
        <v>370</v>
      </c>
      <c r="H17" s="139">
        <v>5331700</v>
      </c>
      <c r="I17" s="138"/>
      <c r="J17" s="141">
        <v>1380000</v>
      </c>
      <c r="K17" s="141"/>
      <c r="L17" s="150"/>
      <c r="M17" s="141"/>
      <c r="N17" s="141"/>
      <c r="O17" s="139">
        <f t="shared" si="0"/>
        <v>6711700</v>
      </c>
      <c r="P17" s="139">
        <v>5154545</v>
      </c>
      <c r="Q17" s="139">
        <f t="shared" si="1"/>
        <v>-1557155</v>
      </c>
      <c r="R17" s="217"/>
      <c r="S17" s="215"/>
      <c r="T17" s="215"/>
    </row>
    <row r="18" spans="1:20" s="144" customFormat="1" ht="21.95" customHeight="1" x14ac:dyDescent="0.2">
      <c r="A18" s="211">
        <v>10</v>
      </c>
      <c r="B18" s="191">
        <v>43029</v>
      </c>
      <c r="C18" s="138" t="s">
        <v>1349</v>
      </c>
      <c r="D18" s="138" t="s">
        <v>1365</v>
      </c>
      <c r="E18" s="146" t="s">
        <v>25</v>
      </c>
      <c r="F18" s="138"/>
      <c r="G18" s="138"/>
      <c r="H18" s="139"/>
      <c r="I18" s="138"/>
      <c r="J18" s="141">
        <v>1480000</v>
      </c>
      <c r="K18" s="141"/>
      <c r="L18" s="150"/>
      <c r="M18" s="141"/>
      <c r="N18" s="141"/>
      <c r="O18" s="139">
        <f t="shared" si="0"/>
        <v>1480000</v>
      </c>
      <c r="P18" s="139">
        <v>7500000</v>
      </c>
      <c r="Q18" s="139">
        <f t="shared" si="1"/>
        <v>6020000</v>
      </c>
      <c r="R18" s="217"/>
      <c r="S18" s="215"/>
      <c r="T18" s="215"/>
    </row>
    <row r="19" spans="1:20" s="144" customFormat="1" ht="21.95" customHeight="1" x14ac:dyDescent="0.2">
      <c r="A19" s="211">
        <v>11</v>
      </c>
      <c r="B19" s="191">
        <v>43031</v>
      </c>
      <c r="C19" s="138" t="s">
        <v>1350</v>
      </c>
      <c r="D19" s="138" t="s">
        <v>1366</v>
      </c>
      <c r="E19" s="146" t="s">
        <v>1373</v>
      </c>
      <c r="F19" s="138"/>
      <c r="G19" s="138">
        <v>315</v>
      </c>
      <c r="H19" s="139">
        <v>4539150</v>
      </c>
      <c r="I19" s="138"/>
      <c r="J19" s="141">
        <v>740000</v>
      </c>
      <c r="K19" s="141"/>
      <c r="L19" s="150"/>
      <c r="M19" s="141"/>
      <c r="N19" s="141"/>
      <c r="O19" s="139">
        <f t="shared" si="0"/>
        <v>5279150</v>
      </c>
      <c r="P19" s="139">
        <v>4500000</v>
      </c>
      <c r="Q19" s="139">
        <f t="shared" si="1"/>
        <v>-779150</v>
      </c>
      <c r="R19" s="217"/>
      <c r="S19" s="215"/>
      <c r="T19" s="215"/>
    </row>
    <row r="20" spans="1:20" s="144" customFormat="1" ht="21.95" customHeight="1" x14ac:dyDescent="0.2">
      <c r="A20" s="211">
        <v>12</v>
      </c>
      <c r="B20" s="191">
        <v>43033</v>
      </c>
      <c r="C20" s="138" t="s">
        <v>1351</v>
      </c>
      <c r="D20" s="138" t="s">
        <v>1367</v>
      </c>
      <c r="E20" s="146" t="s">
        <v>1374</v>
      </c>
      <c r="F20" s="138"/>
      <c r="G20" s="138"/>
      <c r="H20" s="139"/>
      <c r="I20" s="138"/>
      <c r="J20" s="141">
        <v>1300000</v>
      </c>
      <c r="K20" s="141"/>
      <c r="L20" s="150"/>
      <c r="M20" s="141"/>
      <c r="N20" s="141"/>
      <c r="O20" s="139">
        <f t="shared" si="0"/>
        <v>1300000</v>
      </c>
      <c r="P20" s="139">
        <v>4770000</v>
      </c>
      <c r="Q20" s="139">
        <f t="shared" si="1"/>
        <v>3470000</v>
      </c>
      <c r="R20" s="217"/>
      <c r="S20" s="215"/>
      <c r="T20" s="215"/>
    </row>
    <row r="21" spans="1:20" s="144" customFormat="1" ht="21.95" customHeight="1" x14ac:dyDescent="0.2">
      <c r="A21" s="211">
        <v>13</v>
      </c>
      <c r="B21" s="191">
        <v>43034</v>
      </c>
      <c r="C21" s="138" t="s">
        <v>1352</v>
      </c>
      <c r="D21" s="138" t="s">
        <v>1368</v>
      </c>
      <c r="E21" s="146" t="s">
        <v>1375</v>
      </c>
      <c r="F21" s="138"/>
      <c r="G21" s="138">
        <v>232</v>
      </c>
      <c r="H21" s="139">
        <v>3343120</v>
      </c>
      <c r="I21" s="138"/>
      <c r="J21" s="141">
        <v>570000</v>
      </c>
      <c r="K21" s="141"/>
      <c r="L21" s="150"/>
      <c r="M21" s="141"/>
      <c r="N21" s="141"/>
      <c r="O21" s="139">
        <f t="shared" si="0"/>
        <v>3913120</v>
      </c>
      <c r="P21" s="139">
        <v>3200000</v>
      </c>
      <c r="Q21" s="139">
        <f t="shared" si="1"/>
        <v>-713120</v>
      </c>
      <c r="R21" s="217"/>
      <c r="S21" s="215"/>
      <c r="T21" s="215"/>
    </row>
    <row r="22" spans="1:20" s="144" customFormat="1" ht="21.95" customHeight="1" x14ac:dyDescent="0.2">
      <c r="A22" s="211">
        <v>14</v>
      </c>
      <c r="B22" s="191">
        <v>43036</v>
      </c>
      <c r="C22" s="138" t="s">
        <v>1353</v>
      </c>
      <c r="D22" s="138" t="s">
        <v>1369</v>
      </c>
      <c r="E22" s="146" t="s">
        <v>407</v>
      </c>
      <c r="F22" s="138"/>
      <c r="G22" s="138"/>
      <c r="H22" s="139"/>
      <c r="I22" s="138"/>
      <c r="J22" s="141">
        <v>930000</v>
      </c>
      <c r="K22" s="141"/>
      <c r="L22" s="150"/>
      <c r="M22" s="141"/>
      <c r="N22" s="141"/>
      <c r="O22" s="139">
        <f t="shared" si="0"/>
        <v>930000</v>
      </c>
      <c r="P22" s="139">
        <v>3700000</v>
      </c>
      <c r="Q22" s="139">
        <f t="shared" si="1"/>
        <v>2770000</v>
      </c>
      <c r="R22" s="217"/>
      <c r="S22" s="215"/>
      <c r="T22" s="215"/>
    </row>
    <row r="23" spans="1:20" s="144" customFormat="1" ht="21.95" customHeight="1" x14ac:dyDescent="0.2">
      <c r="A23" s="211">
        <v>15</v>
      </c>
      <c r="B23" s="191">
        <v>43038</v>
      </c>
      <c r="C23" s="138" t="s">
        <v>1354</v>
      </c>
      <c r="D23" s="138" t="s">
        <v>1370</v>
      </c>
      <c r="E23" s="146" t="s">
        <v>407</v>
      </c>
      <c r="F23" s="138"/>
      <c r="G23" s="138"/>
      <c r="H23" s="139"/>
      <c r="I23" s="138"/>
      <c r="J23" s="141">
        <v>930000</v>
      </c>
      <c r="K23" s="141"/>
      <c r="L23" s="150"/>
      <c r="M23" s="141"/>
      <c r="N23" s="141"/>
      <c r="O23" s="139">
        <f t="shared" si="0"/>
        <v>930000</v>
      </c>
      <c r="P23" s="139">
        <v>3700000</v>
      </c>
      <c r="Q23" s="139">
        <f t="shared" si="1"/>
        <v>2770000</v>
      </c>
      <c r="R23" s="217"/>
      <c r="S23" s="215"/>
      <c r="T23" s="215"/>
    </row>
    <row r="24" spans="1:20" s="144" customFormat="1" ht="21.95" customHeight="1" x14ac:dyDescent="0.2">
      <c r="A24" s="211">
        <v>16</v>
      </c>
      <c r="B24" s="191">
        <v>43038</v>
      </c>
      <c r="C24" s="138" t="s">
        <v>1355</v>
      </c>
      <c r="D24" s="138" t="s">
        <v>1371</v>
      </c>
      <c r="E24" s="146" t="s">
        <v>25</v>
      </c>
      <c r="F24" s="138"/>
      <c r="G24" s="138"/>
      <c r="H24" s="139"/>
      <c r="I24" s="138"/>
      <c r="J24" s="141">
        <v>1480000</v>
      </c>
      <c r="K24" s="141"/>
      <c r="L24" s="150"/>
      <c r="M24" s="141"/>
      <c r="N24" s="141"/>
      <c r="O24" s="139">
        <f t="shared" si="0"/>
        <v>1480000</v>
      </c>
      <c r="P24" s="139">
        <v>7500000</v>
      </c>
      <c r="Q24" s="139">
        <f t="shared" si="1"/>
        <v>6020000</v>
      </c>
      <c r="R24" s="217"/>
      <c r="S24" s="215"/>
      <c r="T24" s="215"/>
    </row>
    <row r="25" spans="1:20" s="144" customFormat="1" ht="21.95" customHeight="1" x14ac:dyDescent="0.2">
      <c r="A25" s="211"/>
      <c r="B25" s="191"/>
      <c r="C25" s="138"/>
      <c r="D25" s="138"/>
      <c r="E25" s="146"/>
      <c r="F25" s="138"/>
      <c r="G25" s="138"/>
      <c r="H25" s="139"/>
      <c r="I25" s="138"/>
      <c r="J25" s="141"/>
      <c r="K25" s="141"/>
      <c r="L25" s="150"/>
      <c r="M25" s="141"/>
      <c r="N25" s="141"/>
      <c r="O25" s="139">
        <f t="shared" si="0"/>
        <v>0</v>
      </c>
      <c r="P25" s="139"/>
      <c r="Q25" s="139">
        <f t="shared" si="1"/>
        <v>0</v>
      </c>
      <c r="R25" s="217"/>
      <c r="S25" s="215"/>
      <c r="T25" s="215"/>
    </row>
    <row r="26" spans="1:20" s="144" customFormat="1" ht="21.95" customHeight="1" x14ac:dyDescent="0.2">
      <c r="A26" s="211"/>
      <c r="B26" s="191"/>
      <c r="C26" s="138"/>
      <c r="D26" s="138"/>
      <c r="E26" s="146"/>
      <c r="F26" s="138"/>
      <c r="G26" s="138"/>
      <c r="H26" s="139"/>
      <c r="I26" s="138"/>
      <c r="J26" s="141"/>
      <c r="K26" s="141"/>
      <c r="L26" s="150"/>
      <c r="M26" s="141"/>
      <c r="N26" s="141"/>
      <c r="O26" s="139">
        <f t="shared" si="0"/>
        <v>0</v>
      </c>
      <c r="P26" s="139"/>
      <c r="Q26" s="139">
        <f t="shared" si="1"/>
        <v>0</v>
      </c>
      <c r="R26" s="217"/>
      <c r="S26" s="215"/>
      <c r="T26" s="215"/>
    </row>
    <row r="27" spans="1:20" s="144" customFormat="1" ht="21.95" customHeight="1" x14ac:dyDescent="0.2">
      <c r="A27" s="211"/>
      <c r="B27" s="191"/>
      <c r="C27" s="138"/>
      <c r="D27" s="138"/>
      <c r="E27" s="146"/>
      <c r="F27" s="138"/>
      <c r="G27" s="138"/>
      <c r="H27" s="139"/>
      <c r="I27" s="138"/>
      <c r="J27" s="141"/>
      <c r="K27" s="141"/>
      <c r="L27" s="150"/>
      <c r="M27" s="141"/>
      <c r="N27" s="141"/>
      <c r="O27" s="139">
        <f t="shared" si="0"/>
        <v>0</v>
      </c>
      <c r="P27" s="139"/>
      <c r="Q27" s="139">
        <f t="shared" si="1"/>
        <v>0</v>
      </c>
      <c r="R27" s="217"/>
      <c r="S27" s="215"/>
      <c r="T27" s="215"/>
    </row>
    <row r="28" spans="1:20" s="144" customFormat="1" ht="21.95" customHeight="1" x14ac:dyDescent="0.2">
      <c r="A28" s="211"/>
      <c r="B28" s="191"/>
      <c r="C28" s="220" t="s">
        <v>1376</v>
      </c>
      <c r="D28" s="220"/>
      <c r="E28" s="221"/>
      <c r="F28" s="220"/>
      <c r="G28" s="220"/>
      <c r="H28" s="219"/>
      <c r="I28" s="220"/>
      <c r="J28" s="157"/>
      <c r="K28" s="157"/>
      <c r="L28" s="157">
        <v>5400000</v>
      </c>
      <c r="M28" s="141"/>
      <c r="N28" s="141"/>
      <c r="O28" s="139">
        <f t="shared" si="0"/>
        <v>5400000</v>
      </c>
      <c r="P28" s="139"/>
      <c r="Q28" s="139">
        <f t="shared" si="1"/>
        <v>-5400000</v>
      </c>
      <c r="R28" s="217"/>
      <c r="S28" s="215"/>
      <c r="T28" s="215"/>
    </row>
    <row r="29" spans="1:20" s="144" customFormat="1" ht="21.95" customHeight="1" x14ac:dyDescent="0.2">
      <c r="A29" s="211"/>
      <c r="B29" s="191"/>
      <c r="C29" s="221" t="s">
        <v>1378</v>
      </c>
      <c r="D29" s="220"/>
      <c r="E29" s="221"/>
      <c r="F29" s="220"/>
      <c r="G29" s="220"/>
      <c r="H29" s="219"/>
      <c r="I29" s="220"/>
      <c r="J29" s="157"/>
      <c r="K29" s="157"/>
      <c r="L29" s="157">
        <v>100000</v>
      </c>
      <c r="M29" s="141"/>
      <c r="N29" s="141"/>
      <c r="O29" s="139">
        <f t="shared" si="0"/>
        <v>100000</v>
      </c>
      <c r="P29" s="139"/>
      <c r="Q29" s="139">
        <f t="shared" si="1"/>
        <v>-100000</v>
      </c>
      <c r="R29" s="217"/>
      <c r="S29" s="215"/>
      <c r="T29" s="215"/>
    </row>
    <row r="30" spans="1:20" s="144" customFormat="1" ht="21.95" customHeight="1" x14ac:dyDescent="0.2">
      <c r="A30" s="211"/>
      <c r="B30" s="191"/>
      <c r="C30" s="220" t="s">
        <v>122</v>
      </c>
      <c r="D30" s="220"/>
      <c r="E30" s="221"/>
      <c r="F30" s="220"/>
      <c r="G30" s="220"/>
      <c r="H30" s="219"/>
      <c r="I30" s="220"/>
      <c r="J30" s="157"/>
      <c r="K30" s="157"/>
      <c r="L30" s="157">
        <v>183000</v>
      </c>
      <c r="M30" s="141"/>
      <c r="N30" s="141"/>
      <c r="O30" s="139">
        <f t="shared" si="0"/>
        <v>183000</v>
      </c>
      <c r="P30" s="139"/>
      <c r="Q30" s="139">
        <f t="shared" si="1"/>
        <v>-183000</v>
      </c>
      <c r="R30" s="217"/>
      <c r="S30" s="215"/>
      <c r="T30" s="215"/>
    </row>
    <row r="31" spans="1:20" s="144" customFormat="1" ht="21.95" customHeight="1" x14ac:dyDescent="0.2">
      <c r="A31" s="211"/>
      <c r="B31" s="191"/>
      <c r="C31" s="220" t="s">
        <v>1377</v>
      </c>
      <c r="D31" s="220"/>
      <c r="E31" s="221"/>
      <c r="F31" s="220"/>
      <c r="G31" s="220"/>
      <c r="H31" s="219"/>
      <c r="I31" s="220"/>
      <c r="J31" s="157"/>
      <c r="K31" s="157"/>
      <c r="L31" s="157">
        <v>5100000</v>
      </c>
      <c r="M31" s="141"/>
      <c r="N31" s="141"/>
      <c r="O31" s="139">
        <f t="shared" si="0"/>
        <v>5100000</v>
      </c>
      <c r="P31" s="139"/>
      <c r="Q31" s="139">
        <f t="shared" si="1"/>
        <v>-5100000</v>
      </c>
      <c r="R31" s="217"/>
      <c r="S31" s="215"/>
      <c r="T31" s="215"/>
    </row>
    <row r="32" spans="1:20" s="144" customFormat="1" ht="21.95" customHeight="1" x14ac:dyDescent="0.2">
      <c r="A32" s="211"/>
      <c r="B32" s="191"/>
      <c r="C32" s="221" t="s">
        <v>1379</v>
      </c>
      <c r="D32" s="220"/>
      <c r="E32" s="221"/>
      <c r="F32" s="220"/>
      <c r="G32" s="220"/>
      <c r="H32" s="219"/>
      <c r="I32" s="220"/>
      <c r="J32" s="157"/>
      <c r="K32" s="157"/>
      <c r="L32" s="157">
        <v>3210000</v>
      </c>
      <c r="M32" s="141"/>
      <c r="N32" s="141"/>
      <c r="O32" s="139">
        <f t="shared" si="0"/>
        <v>3210000</v>
      </c>
      <c r="P32" s="139"/>
      <c r="Q32" s="139">
        <f t="shared" si="1"/>
        <v>-3210000</v>
      </c>
      <c r="R32" s="217"/>
      <c r="S32" s="215"/>
      <c r="T32" s="215"/>
    </row>
    <row r="33" spans="1:20" s="159" customFormat="1" ht="21.95" customHeight="1" x14ac:dyDescent="0.25">
      <c r="A33" s="211"/>
      <c r="B33" s="165"/>
      <c r="C33" s="196" t="s">
        <v>1337</v>
      </c>
      <c r="D33" s="195"/>
      <c r="E33" s="197"/>
      <c r="F33" s="195"/>
      <c r="G33" s="195"/>
      <c r="H33" s="155"/>
      <c r="I33" s="195"/>
      <c r="J33" s="155"/>
      <c r="K33" s="157">
        <v>6230769</v>
      </c>
      <c r="M33" s="155"/>
      <c r="N33" s="155"/>
      <c r="O33" s="139">
        <f>H33+J33+K33+M33+N33</f>
        <v>6230769</v>
      </c>
      <c r="P33" s="139"/>
      <c r="Q33" s="139">
        <f t="shared" si="1"/>
        <v>-6230769</v>
      </c>
      <c r="S33" s="215"/>
      <c r="T33" s="215"/>
    </row>
    <row r="34" spans="1:20" s="159" customFormat="1" ht="21.95" customHeight="1" x14ac:dyDescent="0.25">
      <c r="A34" s="211"/>
      <c r="B34" s="203"/>
      <c r="C34" s="152" t="s">
        <v>1094</v>
      </c>
      <c r="D34" s="153"/>
      <c r="E34" s="154"/>
      <c r="F34" s="153"/>
      <c r="G34" s="153"/>
      <c r="H34" s="156"/>
      <c r="I34" s="153"/>
      <c r="J34" s="156"/>
      <c r="K34" s="204">
        <f>1200000*1.1</f>
        <v>1320000</v>
      </c>
      <c r="L34" s="205"/>
      <c r="M34" s="156"/>
      <c r="N34" s="156"/>
      <c r="O34" s="139">
        <f t="shared" si="0"/>
        <v>1320000</v>
      </c>
      <c r="P34" s="139"/>
      <c r="Q34" s="139">
        <f t="shared" si="1"/>
        <v>-1320000</v>
      </c>
      <c r="R34" s="186"/>
      <c r="S34" s="215"/>
      <c r="T34" s="215"/>
    </row>
    <row r="35" spans="1:20" ht="21.95" customHeight="1" x14ac:dyDescent="0.25">
      <c r="A35" s="426" t="s">
        <v>20</v>
      </c>
      <c r="B35" s="426"/>
      <c r="C35" s="426"/>
      <c r="D35" s="426"/>
      <c r="E35" s="426"/>
      <c r="F35" s="426"/>
      <c r="G35" s="161">
        <f t="shared" ref="G35:Q35" si="2">SUM(G7:G34)</f>
        <v>1837</v>
      </c>
      <c r="H35" s="161">
        <f t="shared" si="2"/>
        <v>26584870</v>
      </c>
      <c r="I35" s="161">
        <f t="shared" si="2"/>
        <v>0</v>
      </c>
      <c r="J35" s="161">
        <f t="shared" si="2"/>
        <v>19350000</v>
      </c>
      <c r="K35" s="161">
        <f t="shared" si="2"/>
        <v>7550769</v>
      </c>
      <c r="L35" s="161">
        <f t="shared" si="2"/>
        <v>13993000</v>
      </c>
      <c r="M35" s="161">
        <f t="shared" si="2"/>
        <v>0</v>
      </c>
      <c r="N35" s="161">
        <f t="shared" si="2"/>
        <v>0</v>
      </c>
      <c r="O35" s="161">
        <f t="shared" si="2"/>
        <v>67478639</v>
      </c>
      <c r="P35" s="161">
        <f t="shared" si="2"/>
        <v>89542727</v>
      </c>
      <c r="Q35" s="161">
        <f t="shared" si="2"/>
        <v>22064088</v>
      </c>
      <c r="R35" s="187"/>
      <c r="S35" s="189"/>
    </row>
    <row r="36" spans="1:20" ht="21.95" customHeight="1" x14ac:dyDescent="0.25">
      <c r="O36" s="158"/>
      <c r="Q36" s="158"/>
    </row>
    <row r="37" spans="1:20" ht="21.95" customHeight="1" x14ac:dyDescent="0.25">
      <c r="P37" s="216" t="s">
        <v>1095</v>
      </c>
      <c r="Q37" s="216">
        <f>'09-2017'!Q38+'10-2017'!Q35</f>
        <v>199664862.53846154</v>
      </c>
    </row>
    <row r="38" spans="1:20" ht="21.95" customHeight="1" x14ac:dyDescent="0.25">
      <c r="B38" s="129"/>
      <c r="H38" s="128"/>
      <c r="J38" s="128"/>
      <c r="K38" s="128"/>
      <c r="L38" s="128"/>
      <c r="M38" s="128"/>
      <c r="N38" s="128"/>
      <c r="O38" s="128"/>
      <c r="P38" s="218"/>
      <c r="Q38" s="216"/>
    </row>
    <row r="39" spans="1:20" ht="21.95" customHeight="1" x14ac:dyDescent="0.25">
      <c r="B39" s="129"/>
      <c r="H39" s="128"/>
      <c r="J39" s="128"/>
      <c r="K39" s="128"/>
      <c r="L39" s="128"/>
      <c r="M39" s="128"/>
      <c r="N39" s="128"/>
      <c r="O39" s="128"/>
      <c r="P39" s="218"/>
      <c r="Q39" s="216"/>
    </row>
    <row r="40" spans="1:20" ht="21.95" customHeight="1" x14ac:dyDescent="0.25">
      <c r="B40" s="129"/>
      <c r="H40" s="128"/>
      <c r="J40" s="128"/>
      <c r="K40" s="128"/>
      <c r="L40" s="128"/>
      <c r="M40" s="128"/>
      <c r="N40" s="128"/>
      <c r="O40" s="128"/>
      <c r="P40" s="218"/>
      <c r="Q40" s="216"/>
    </row>
    <row r="41" spans="1:20" ht="21.95" customHeight="1" x14ac:dyDescent="0.25">
      <c r="B41" s="129"/>
      <c r="H41" s="128"/>
      <c r="J41" s="128"/>
      <c r="K41" s="128"/>
      <c r="L41" s="128"/>
      <c r="M41" s="128"/>
      <c r="N41" s="128"/>
      <c r="O41" s="128"/>
      <c r="P41" s="218"/>
      <c r="Q41" s="216"/>
    </row>
    <row r="42" spans="1:20" ht="21.95" customHeight="1" x14ac:dyDescent="0.25">
      <c r="B42" s="129"/>
      <c r="H42" s="128"/>
      <c r="J42" s="128"/>
      <c r="K42" s="128"/>
      <c r="L42" s="128"/>
      <c r="M42" s="128"/>
      <c r="N42" s="128"/>
      <c r="O42" s="128"/>
      <c r="P42" s="218"/>
      <c r="Q42" s="216"/>
    </row>
    <row r="43" spans="1:20" x14ac:dyDescent="0.25">
      <c r="A43" s="128"/>
      <c r="B43" s="129"/>
      <c r="H43" s="128"/>
      <c r="J43" s="128"/>
      <c r="K43" s="128"/>
      <c r="L43" s="128"/>
      <c r="M43" s="128"/>
      <c r="N43" s="128"/>
      <c r="O43" s="128"/>
      <c r="P43" s="218"/>
      <c r="Q43" s="216"/>
    </row>
    <row r="44" spans="1:20" x14ac:dyDescent="0.25">
      <c r="A44" s="128"/>
      <c r="B44" s="129"/>
      <c r="H44" s="128"/>
      <c r="J44" s="128"/>
      <c r="K44" s="128"/>
      <c r="L44" s="128"/>
      <c r="M44" s="128"/>
      <c r="N44" s="128"/>
      <c r="O44" s="128"/>
      <c r="P44" s="128"/>
      <c r="Q44" s="216"/>
    </row>
    <row r="45" spans="1:20" x14ac:dyDescent="0.25">
      <c r="A45" s="128"/>
      <c r="B45" s="128"/>
      <c r="H45" s="128"/>
      <c r="J45" s="128"/>
      <c r="K45" s="128"/>
      <c r="L45" s="128"/>
      <c r="M45" s="128"/>
      <c r="N45" s="128"/>
      <c r="O45" s="128"/>
      <c r="P45" s="128"/>
      <c r="Q45" s="216"/>
    </row>
    <row r="46" spans="1:20" x14ac:dyDescent="0.25">
      <c r="A46" s="128"/>
      <c r="B46" s="128"/>
      <c r="H46" s="128"/>
      <c r="J46" s="128"/>
      <c r="K46" s="128"/>
      <c r="L46" s="128"/>
      <c r="M46" s="128"/>
      <c r="N46" s="128"/>
      <c r="O46" s="128"/>
      <c r="P46" s="128"/>
      <c r="Q46" s="216"/>
    </row>
  </sheetData>
  <mergeCells count="14">
    <mergeCell ref="O5:O6"/>
    <mergeCell ref="P5:P6"/>
    <mergeCell ref="Q5:Q6"/>
    <mergeCell ref="A35:F35"/>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2" orientation="landscape" horizontalDpi="0" verticalDpi="0" r:id="rId1"/>
  <colBreaks count="1" manualBreakCount="1">
    <brk id="19" max="36"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59"/>
  <sheetViews>
    <sheetView topLeftCell="A28" zoomScaleNormal="100" workbookViewId="0">
      <selection activeCell="R5" sqref="A5:XFD51"/>
    </sheetView>
  </sheetViews>
  <sheetFormatPr defaultColWidth="9.140625" defaultRowHeight="12.75" x14ac:dyDescent="0.25"/>
  <cols>
    <col min="1" max="1" width="4.5703125" style="129" customWidth="1"/>
    <col min="2" max="2" width="10.28515625" style="163" customWidth="1"/>
    <col min="3" max="3" width="32" style="128" customWidth="1"/>
    <col min="4" max="4" width="13.425781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11.28515625" style="143" customWidth="1"/>
    <col min="14" max="14" width="9.5703125" style="143" customWidth="1"/>
    <col min="15" max="15" width="12.7109375" style="143" customWidth="1"/>
    <col min="16" max="16" width="19" style="143" customWidth="1"/>
    <col min="17" max="17" width="21.57031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1380</v>
      </c>
      <c r="C3" s="417"/>
      <c r="D3" s="417"/>
      <c r="E3" s="417"/>
      <c r="F3" s="417"/>
      <c r="G3" s="417"/>
      <c r="H3" s="417"/>
      <c r="I3" s="417"/>
      <c r="J3" s="417"/>
      <c r="K3" s="417"/>
      <c r="L3" s="417"/>
      <c r="M3" s="417"/>
      <c r="N3" s="417"/>
      <c r="O3" s="417"/>
      <c r="P3" s="417"/>
      <c r="Q3" s="417"/>
    </row>
    <row r="5" spans="1:20" s="129" customFormat="1" ht="18"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18"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18" customHeight="1" x14ac:dyDescent="0.25">
      <c r="A7" s="210"/>
      <c r="B7" s="135"/>
      <c r="C7" s="199"/>
      <c r="D7" s="137"/>
      <c r="E7" s="137"/>
      <c r="F7" s="200"/>
      <c r="G7" s="142"/>
      <c r="H7" s="201"/>
      <c r="I7" s="201"/>
      <c r="J7" s="202"/>
      <c r="K7" s="202"/>
      <c r="L7" s="202"/>
      <c r="M7" s="202"/>
      <c r="N7" s="202"/>
      <c r="O7" s="142"/>
      <c r="P7" s="142"/>
      <c r="Q7" s="142"/>
    </row>
    <row r="8" spans="1:20" s="144" customFormat="1" ht="18" customHeight="1" x14ac:dyDescent="0.25">
      <c r="A8" s="210"/>
      <c r="B8" s="135"/>
      <c r="C8" s="199"/>
      <c r="D8" s="137"/>
      <c r="E8" s="137"/>
      <c r="F8" s="200"/>
      <c r="G8" s="142"/>
      <c r="H8" s="201"/>
      <c r="I8" s="201"/>
      <c r="J8" s="202"/>
      <c r="K8" s="202"/>
      <c r="L8" s="202"/>
      <c r="M8" s="202"/>
      <c r="N8" s="202"/>
      <c r="O8" s="139"/>
      <c r="P8" s="142"/>
      <c r="Q8" s="139"/>
    </row>
    <row r="9" spans="1:20" s="144" customFormat="1" ht="18" customHeight="1" x14ac:dyDescent="0.2">
      <c r="A9" s="211">
        <v>1</v>
      </c>
      <c r="B9" s="191">
        <v>43039</v>
      </c>
      <c r="C9" s="138" t="s">
        <v>1381</v>
      </c>
      <c r="D9" s="138" t="s">
        <v>1402</v>
      </c>
      <c r="E9" s="146" t="s">
        <v>407</v>
      </c>
      <c r="F9" s="138"/>
      <c r="G9" s="138"/>
      <c r="H9" s="139"/>
      <c r="I9" s="138"/>
      <c r="J9" s="141">
        <v>930000</v>
      </c>
      <c r="K9" s="141"/>
      <c r="L9" s="150"/>
      <c r="M9" s="141"/>
      <c r="N9" s="141"/>
      <c r="O9" s="139">
        <f>H9+J9+K9+L9+M9+N9</f>
        <v>930000</v>
      </c>
      <c r="P9" s="139">
        <v>3700000</v>
      </c>
      <c r="Q9" s="139">
        <f>P9-O9</f>
        <v>2770000</v>
      </c>
      <c r="R9" s="217"/>
      <c r="S9" s="215"/>
      <c r="T9" s="215"/>
    </row>
    <row r="10" spans="1:20" s="144" customFormat="1" ht="18" customHeight="1" x14ac:dyDescent="0.2">
      <c r="A10" s="211">
        <v>2</v>
      </c>
      <c r="B10" s="191">
        <v>43040</v>
      </c>
      <c r="C10" s="138" t="s">
        <v>1382</v>
      </c>
      <c r="D10" s="138" t="s">
        <v>1403</v>
      </c>
      <c r="E10" s="146" t="s">
        <v>25</v>
      </c>
      <c r="F10" s="138"/>
      <c r="G10" s="138">
        <v>570</v>
      </c>
      <c r="H10" s="139">
        <v>8213000</v>
      </c>
      <c r="I10" s="138"/>
      <c r="J10" s="141">
        <v>1480000</v>
      </c>
      <c r="K10" s="141"/>
      <c r="L10" s="150"/>
      <c r="M10" s="141"/>
      <c r="N10" s="141"/>
      <c r="O10" s="139">
        <f t="shared" ref="O10:O47" si="0">H10+J10+K10+L10+M10+N10</f>
        <v>9693000</v>
      </c>
      <c r="P10" s="141">
        <v>7500000</v>
      </c>
      <c r="Q10" s="139">
        <f t="shared" ref="Q10:Q47" si="1">P10-O10</f>
        <v>-2193000</v>
      </c>
      <c r="R10" s="217"/>
      <c r="S10" s="215"/>
      <c r="T10" s="215"/>
    </row>
    <row r="11" spans="1:20" s="144" customFormat="1" ht="18" customHeight="1" x14ac:dyDescent="0.2">
      <c r="A11" s="211">
        <v>3</v>
      </c>
      <c r="B11" s="191">
        <v>43041</v>
      </c>
      <c r="C11" s="138" t="s">
        <v>730</v>
      </c>
      <c r="D11" s="138" t="s">
        <v>1404</v>
      </c>
      <c r="E11" s="146" t="s">
        <v>407</v>
      </c>
      <c r="F11" s="138"/>
      <c r="G11" s="138"/>
      <c r="H11" s="139"/>
      <c r="I11" s="138"/>
      <c r="J11" s="141">
        <v>930000</v>
      </c>
      <c r="K11" s="141"/>
      <c r="L11" s="150"/>
      <c r="M11" s="141"/>
      <c r="N11" s="141"/>
      <c r="O11" s="139">
        <f t="shared" si="0"/>
        <v>930000</v>
      </c>
      <c r="P11" s="139">
        <v>3700000</v>
      </c>
      <c r="Q11" s="139">
        <f t="shared" si="1"/>
        <v>2770000</v>
      </c>
      <c r="R11" s="217"/>
      <c r="S11" s="215"/>
      <c r="T11" s="215"/>
    </row>
    <row r="12" spans="1:20" s="144" customFormat="1" ht="18" customHeight="1" x14ac:dyDescent="0.2">
      <c r="A12" s="211">
        <v>4</v>
      </c>
      <c r="B12" s="191">
        <v>43043</v>
      </c>
      <c r="C12" s="138" t="s">
        <v>1383</v>
      </c>
      <c r="D12" s="138" t="s">
        <v>1405</v>
      </c>
      <c r="E12" s="146" t="s">
        <v>407</v>
      </c>
      <c r="F12" s="138"/>
      <c r="G12" s="138">
        <v>342</v>
      </c>
      <c r="H12" s="139">
        <v>4996620</v>
      </c>
      <c r="I12" s="138"/>
      <c r="J12" s="141">
        <v>930000</v>
      </c>
      <c r="K12" s="141"/>
      <c r="L12" s="150"/>
      <c r="M12" s="141"/>
      <c r="N12" s="141"/>
      <c r="O12" s="139">
        <f t="shared" si="0"/>
        <v>5926620</v>
      </c>
      <c r="P12" s="139">
        <v>3700000</v>
      </c>
      <c r="Q12" s="139">
        <f t="shared" si="1"/>
        <v>-2226620</v>
      </c>
      <c r="R12" s="217"/>
      <c r="S12" s="215"/>
      <c r="T12" s="215"/>
    </row>
    <row r="13" spans="1:20" s="144" customFormat="1" ht="18" customHeight="1" x14ac:dyDescent="0.2">
      <c r="A13" s="211">
        <v>5</v>
      </c>
      <c r="B13" s="191">
        <v>43043</v>
      </c>
      <c r="C13" s="138" t="s">
        <v>1384</v>
      </c>
      <c r="D13" s="138" t="s">
        <v>1406</v>
      </c>
      <c r="E13" s="146" t="s">
        <v>1421</v>
      </c>
      <c r="F13" s="138"/>
      <c r="G13" s="138"/>
      <c r="H13" s="139"/>
      <c r="I13" s="138"/>
      <c r="J13" s="141">
        <v>930000</v>
      </c>
      <c r="K13" s="141"/>
      <c r="L13" s="150"/>
      <c r="M13" s="141"/>
      <c r="N13" s="141"/>
      <c r="O13" s="139">
        <f t="shared" si="0"/>
        <v>930000</v>
      </c>
      <c r="P13" s="139">
        <v>3200000</v>
      </c>
      <c r="Q13" s="139">
        <f t="shared" si="1"/>
        <v>2270000</v>
      </c>
      <c r="R13" s="217"/>
      <c r="S13" s="215"/>
      <c r="T13" s="215"/>
    </row>
    <row r="14" spans="1:20" s="144" customFormat="1" ht="18" customHeight="1" x14ac:dyDescent="0.2">
      <c r="A14" s="211">
        <v>6</v>
      </c>
      <c r="B14" s="191">
        <v>43045</v>
      </c>
      <c r="C14" s="138" t="s">
        <v>1385</v>
      </c>
      <c r="D14" s="138" t="s">
        <v>1407</v>
      </c>
      <c r="E14" s="146" t="s">
        <v>23</v>
      </c>
      <c r="F14" s="138"/>
      <c r="G14" s="138"/>
      <c r="H14" s="139"/>
      <c r="I14" s="138"/>
      <c r="J14" s="141">
        <v>2700000</v>
      </c>
      <c r="K14" s="141"/>
      <c r="L14" s="150"/>
      <c r="M14" s="141"/>
      <c r="N14" s="141"/>
      <c r="O14" s="139">
        <f t="shared" si="0"/>
        <v>2700000</v>
      </c>
      <c r="P14" s="139">
        <v>12181818</v>
      </c>
      <c r="Q14" s="139">
        <f t="shared" si="1"/>
        <v>9481818</v>
      </c>
      <c r="R14" s="217"/>
      <c r="S14" s="215"/>
      <c r="T14" s="215"/>
    </row>
    <row r="15" spans="1:20" s="144" customFormat="1" ht="18" customHeight="1" x14ac:dyDescent="0.2">
      <c r="A15" s="211">
        <v>7</v>
      </c>
      <c r="B15" s="191">
        <v>43047</v>
      </c>
      <c r="C15" s="138" t="s">
        <v>1386</v>
      </c>
      <c r="D15" s="138" t="s">
        <v>1408</v>
      </c>
      <c r="E15" s="146" t="s">
        <v>177</v>
      </c>
      <c r="F15" s="138"/>
      <c r="G15" s="138">
        <v>350</v>
      </c>
      <c r="H15" s="139">
        <v>5113500</v>
      </c>
      <c r="I15" s="138"/>
      <c r="J15" s="141">
        <v>570000</v>
      </c>
      <c r="K15" s="141"/>
      <c r="L15" s="150"/>
      <c r="M15" s="141"/>
      <c r="N15" s="141"/>
      <c r="O15" s="139">
        <f t="shared" si="0"/>
        <v>5683500</v>
      </c>
      <c r="P15" s="139">
        <v>3200000</v>
      </c>
      <c r="Q15" s="139">
        <f t="shared" si="1"/>
        <v>-2483500</v>
      </c>
      <c r="R15" s="217"/>
      <c r="S15" s="215"/>
      <c r="T15" s="215"/>
    </row>
    <row r="16" spans="1:20" s="144" customFormat="1" ht="18" customHeight="1" x14ac:dyDescent="0.2">
      <c r="A16" s="211">
        <v>8</v>
      </c>
      <c r="B16" s="191">
        <v>43048</v>
      </c>
      <c r="C16" s="138" t="s">
        <v>1387</v>
      </c>
      <c r="D16" s="138" t="s">
        <v>1409</v>
      </c>
      <c r="E16" s="146" t="s">
        <v>21</v>
      </c>
      <c r="F16" s="138"/>
      <c r="G16" s="138"/>
      <c r="H16" s="139"/>
      <c r="I16" s="138"/>
      <c r="J16" s="141">
        <v>580000</v>
      </c>
      <c r="K16" s="141"/>
      <c r="L16" s="150"/>
      <c r="M16" s="141"/>
      <c r="N16" s="141"/>
      <c r="O16" s="139">
        <f t="shared" si="0"/>
        <v>580000</v>
      </c>
      <c r="P16" s="139">
        <v>2827273</v>
      </c>
      <c r="Q16" s="139">
        <f t="shared" si="1"/>
        <v>2247273</v>
      </c>
      <c r="R16" s="217"/>
      <c r="S16" s="215"/>
      <c r="T16" s="215"/>
    </row>
    <row r="17" spans="1:20" s="144" customFormat="1" ht="18" customHeight="1" x14ac:dyDescent="0.2">
      <c r="A17" s="211">
        <v>9</v>
      </c>
      <c r="B17" s="191">
        <v>43049</v>
      </c>
      <c r="C17" s="138" t="s">
        <v>1388</v>
      </c>
      <c r="D17" s="138" t="s">
        <v>1410</v>
      </c>
      <c r="E17" s="146" t="s">
        <v>23</v>
      </c>
      <c r="F17" s="138"/>
      <c r="G17" s="138"/>
      <c r="H17" s="139"/>
      <c r="I17" s="138"/>
      <c r="J17" s="141">
        <v>2700000</v>
      </c>
      <c r="K17" s="141"/>
      <c r="L17" s="150"/>
      <c r="M17" s="141"/>
      <c r="N17" s="141"/>
      <c r="O17" s="139">
        <f t="shared" si="0"/>
        <v>2700000</v>
      </c>
      <c r="P17" s="139">
        <v>12181818</v>
      </c>
      <c r="Q17" s="139">
        <f t="shared" si="1"/>
        <v>9481818</v>
      </c>
      <c r="R17" s="217"/>
      <c r="S17" s="215"/>
      <c r="T17" s="215"/>
    </row>
    <row r="18" spans="1:20" s="144" customFormat="1" ht="18" customHeight="1" x14ac:dyDescent="0.2">
      <c r="A18" s="211">
        <v>10</v>
      </c>
      <c r="B18" s="191">
        <v>43052</v>
      </c>
      <c r="C18" s="138" t="s">
        <v>1389</v>
      </c>
      <c r="D18" s="138" t="s">
        <v>1411</v>
      </c>
      <c r="E18" s="146" t="s">
        <v>1373</v>
      </c>
      <c r="F18" s="138"/>
      <c r="G18" s="138">
        <v>400</v>
      </c>
      <c r="H18" s="139">
        <v>5844000</v>
      </c>
      <c r="I18" s="138"/>
      <c r="J18" s="141">
        <v>740000</v>
      </c>
      <c r="K18" s="141"/>
      <c r="L18" s="150"/>
      <c r="M18" s="141"/>
      <c r="N18" s="141"/>
      <c r="O18" s="139">
        <f t="shared" si="0"/>
        <v>6584000</v>
      </c>
      <c r="P18" s="139">
        <v>4500000</v>
      </c>
      <c r="Q18" s="139">
        <f t="shared" si="1"/>
        <v>-2084000</v>
      </c>
      <c r="R18" s="217"/>
      <c r="S18" s="215"/>
      <c r="T18" s="215"/>
    </row>
    <row r="19" spans="1:20" s="144" customFormat="1" ht="18" customHeight="1" x14ac:dyDescent="0.2">
      <c r="A19" s="211">
        <v>11</v>
      </c>
      <c r="B19" s="191">
        <v>43053</v>
      </c>
      <c r="C19" s="138" t="s">
        <v>1390</v>
      </c>
      <c r="D19" s="138" t="s">
        <v>884</v>
      </c>
      <c r="E19" s="146" t="s">
        <v>1422</v>
      </c>
      <c r="F19" s="138"/>
      <c r="G19" s="138"/>
      <c r="H19" s="139"/>
      <c r="I19" s="138"/>
      <c r="J19" s="141">
        <f>930000+400000</f>
        <v>1330000</v>
      </c>
      <c r="K19" s="141"/>
      <c r="L19" s="150"/>
      <c r="M19" s="141"/>
      <c r="N19" s="141"/>
      <c r="O19" s="139">
        <f t="shared" si="0"/>
        <v>1330000</v>
      </c>
      <c r="P19" s="139">
        <v>3436364</v>
      </c>
      <c r="Q19" s="139">
        <f t="shared" si="1"/>
        <v>2106364</v>
      </c>
      <c r="R19" s="217"/>
      <c r="S19" s="215"/>
      <c r="T19" s="215"/>
    </row>
    <row r="20" spans="1:20" s="144" customFormat="1" ht="18" customHeight="1" x14ac:dyDescent="0.2">
      <c r="A20" s="211">
        <v>12</v>
      </c>
      <c r="B20" s="191">
        <v>43054</v>
      </c>
      <c r="C20" s="138" t="s">
        <v>1391</v>
      </c>
      <c r="D20" s="138" t="s">
        <v>884</v>
      </c>
      <c r="E20" s="146" t="s">
        <v>1423</v>
      </c>
      <c r="F20" s="138"/>
      <c r="G20" s="138"/>
      <c r="H20" s="139"/>
      <c r="I20" s="138"/>
      <c r="J20" s="141">
        <v>0</v>
      </c>
      <c r="K20" s="141"/>
      <c r="L20" s="150"/>
      <c r="M20" s="141"/>
      <c r="N20" s="141"/>
      <c r="O20" s="139">
        <f t="shared" si="0"/>
        <v>0</v>
      </c>
      <c r="P20" s="139">
        <v>4790909</v>
      </c>
      <c r="Q20" s="139">
        <f t="shared" si="1"/>
        <v>4790909</v>
      </c>
      <c r="R20" s="217"/>
      <c r="S20" s="215"/>
      <c r="T20" s="215"/>
    </row>
    <row r="21" spans="1:20" s="144" customFormat="1" ht="18" customHeight="1" x14ac:dyDescent="0.2">
      <c r="A21" s="211">
        <v>13</v>
      </c>
      <c r="B21" s="191">
        <v>43054</v>
      </c>
      <c r="C21" s="138" t="s">
        <v>1392</v>
      </c>
      <c r="D21" s="138" t="s">
        <v>1412</v>
      </c>
      <c r="E21" s="146" t="s">
        <v>1424</v>
      </c>
      <c r="F21" s="138"/>
      <c r="G21" s="138"/>
      <c r="H21" s="139"/>
      <c r="I21" s="138"/>
      <c r="J21" s="208">
        <v>1060000</v>
      </c>
      <c r="K21" s="141"/>
      <c r="L21" s="150"/>
      <c r="M21" s="141"/>
      <c r="N21" s="141"/>
      <c r="O21" s="139">
        <f t="shared" si="0"/>
        <v>1060000</v>
      </c>
      <c r="P21" s="139">
        <v>6500000</v>
      </c>
      <c r="Q21" s="139">
        <f t="shared" si="1"/>
        <v>5440000</v>
      </c>
      <c r="R21" s="217"/>
      <c r="S21" s="215"/>
      <c r="T21" s="215"/>
    </row>
    <row r="22" spans="1:20" s="144" customFormat="1" ht="18" customHeight="1" x14ac:dyDescent="0.2">
      <c r="A22" s="211">
        <v>14</v>
      </c>
      <c r="B22" s="191">
        <v>43056</v>
      </c>
      <c r="C22" s="138" t="s">
        <v>1393</v>
      </c>
      <c r="D22" s="138" t="s">
        <v>1413</v>
      </c>
      <c r="E22" s="146" t="s">
        <v>1425</v>
      </c>
      <c r="F22" s="138"/>
      <c r="G22" s="138">
        <v>460</v>
      </c>
      <c r="H22" s="139">
        <v>6720600</v>
      </c>
      <c r="I22" s="138"/>
      <c r="J22" s="141">
        <v>930000</v>
      </c>
      <c r="K22" s="141"/>
      <c r="L22" s="150"/>
      <c r="M22" s="141"/>
      <c r="N22" s="141"/>
      <c r="O22" s="139">
        <f t="shared" si="0"/>
        <v>7650600</v>
      </c>
      <c r="P22" s="139">
        <v>3781818</v>
      </c>
      <c r="Q22" s="139">
        <f t="shared" si="1"/>
        <v>-3868782</v>
      </c>
      <c r="R22" s="217"/>
      <c r="S22" s="215"/>
      <c r="T22" s="215"/>
    </row>
    <row r="23" spans="1:20" s="144" customFormat="1" ht="18" customHeight="1" x14ac:dyDescent="0.2">
      <c r="A23" s="211">
        <v>15</v>
      </c>
      <c r="B23" s="191">
        <v>43057</v>
      </c>
      <c r="C23" s="138" t="s">
        <v>1394</v>
      </c>
      <c r="D23" s="138" t="s">
        <v>1414</v>
      </c>
      <c r="E23" s="146" t="s">
        <v>515</v>
      </c>
      <c r="F23" s="138"/>
      <c r="G23" s="138"/>
      <c r="H23" s="139"/>
      <c r="I23" s="138"/>
      <c r="J23" s="141">
        <v>1300000</v>
      </c>
      <c r="K23" s="141"/>
      <c r="L23" s="150"/>
      <c r="M23" s="141"/>
      <c r="N23" s="141"/>
      <c r="O23" s="139">
        <f t="shared" si="0"/>
        <v>1300000</v>
      </c>
      <c r="P23" s="139">
        <v>4800000</v>
      </c>
      <c r="Q23" s="139">
        <f t="shared" si="1"/>
        <v>3500000</v>
      </c>
      <c r="R23" s="217"/>
      <c r="S23" s="215"/>
      <c r="T23" s="215"/>
    </row>
    <row r="24" spans="1:20" s="144" customFormat="1" ht="18" customHeight="1" x14ac:dyDescent="0.2">
      <c r="A24" s="211">
        <v>16</v>
      </c>
      <c r="B24" s="191">
        <v>43060</v>
      </c>
      <c r="C24" s="138" t="s">
        <v>1395</v>
      </c>
      <c r="D24" s="138" t="s">
        <v>1415</v>
      </c>
      <c r="E24" s="146" t="s">
        <v>1426</v>
      </c>
      <c r="F24" s="138"/>
      <c r="G24" s="138"/>
      <c r="H24" s="139"/>
      <c r="I24" s="138"/>
      <c r="J24" s="141">
        <f>930000+400000</f>
        <v>1330000</v>
      </c>
      <c r="K24" s="141"/>
      <c r="L24" s="150"/>
      <c r="M24" s="141"/>
      <c r="N24" s="141"/>
      <c r="O24" s="139">
        <f t="shared" si="0"/>
        <v>1330000</v>
      </c>
      <c r="P24" s="139">
        <v>3500000</v>
      </c>
      <c r="Q24" s="139">
        <f t="shared" si="1"/>
        <v>2170000</v>
      </c>
      <c r="R24" s="217"/>
      <c r="S24" s="215"/>
      <c r="T24" s="215"/>
    </row>
    <row r="25" spans="1:20" s="144" customFormat="1" ht="18" customHeight="1" x14ac:dyDescent="0.2">
      <c r="A25" s="211">
        <v>17</v>
      </c>
      <c r="B25" s="191">
        <v>43061</v>
      </c>
      <c r="C25" s="138" t="s">
        <v>1396</v>
      </c>
      <c r="D25" s="138" t="s">
        <v>1415</v>
      </c>
      <c r="E25" s="146" t="s">
        <v>1423</v>
      </c>
      <c r="F25" s="138"/>
      <c r="G25" s="138"/>
      <c r="H25" s="139"/>
      <c r="I25" s="138"/>
      <c r="J25" s="141">
        <v>0</v>
      </c>
      <c r="K25" s="141"/>
      <c r="L25" s="150"/>
      <c r="M25" s="141"/>
      <c r="N25" s="141"/>
      <c r="O25" s="139">
        <f t="shared" si="0"/>
        <v>0</v>
      </c>
      <c r="P25" s="139">
        <v>4790909</v>
      </c>
      <c r="Q25" s="139">
        <f t="shared" si="1"/>
        <v>4790909</v>
      </c>
      <c r="R25" s="217"/>
      <c r="S25" s="215"/>
      <c r="T25" s="215"/>
    </row>
    <row r="26" spans="1:20" s="144" customFormat="1" ht="18" customHeight="1" x14ac:dyDescent="0.2">
      <c r="A26" s="211">
        <v>18</v>
      </c>
      <c r="B26" s="191">
        <v>43062</v>
      </c>
      <c r="C26" s="138" t="s">
        <v>1397</v>
      </c>
      <c r="D26" s="138" t="s">
        <v>1416</v>
      </c>
      <c r="E26" s="146" t="s">
        <v>1427</v>
      </c>
      <c r="F26" s="138"/>
      <c r="G26" s="138">
        <v>400</v>
      </c>
      <c r="H26" s="139">
        <v>6004000</v>
      </c>
      <c r="I26" s="138"/>
      <c r="J26" s="141">
        <v>1560000</v>
      </c>
      <c r="K26" s="141"/>
      <c r="L26" s="150"/>
      <c r="M26" s="141"/>
      <c r="N26" s="141"/>
      <c r="O26" s="139">
        <f t="shared" si="0"/>
        <v>7564000</v>
      </c>
      <c r="P26" s="139">
        <v>5200000</v>
      </c>
      <c r="Q26" s="139">
        <f t="shared" si="1"/>
        <v>-2364000</v>
      </c>
      <c r="R26" s="217"/>
      <c r="S26" s="215"/>
      <c r="T26" s="215"/>
    </row>
    <row r="27" spans="1:20" s="144" customFormat="1" ht="18" customHeight="1" x14ac:dyDescent="0.2">
      <c r="A27" s="211">
        <v>19</v>
      </c>
      <c r="B27" s="191">
        <v>43063</v>
      </c>
      <c r="C27" s="138" t="s">
        <v>1398</v>
      </c>
      <c r="D27" s="138" t="s">
        <v>1417</v>
      </c>
      <c r="E27" s="146" t="s">
        <v>515</v>
      </c>
      <c r="F27" s="138"/>
      <c r="G27" s="138"/>
      <c r="H27" s="139"/>
      <c r="I27" s="138"/>
      <c r="J27" s="141">
        <v>1300000</v>
      </c>
      <c r="K27" s="141"/>
      <c r="L27" s="150"/>
      <c r="M27" s="141"/>
      <c r="N27" s="141"/>
      <c r="O27" s="139">
        <f t="shared" si="0"/>
        <v>1300000</v>
      </c>
      <c r="P27" s="139">
        <v>4800000</v>
      </c>
      <c r="Q27" s="139">
        <f t="shared" si="1"/>
        <v>3500000</v>
      </c>
      <c r="R27" s="217"/>
      <c r="S27" s="215"/>
      <c r="T27" s="215"/>
    </row>
    <row r="28" spans="1:20" s="144" customFormat="1" ht="18" customHeight="1" x14ac:dyDescent="0.2">
      <c r="A28" s="211">
        <v>20</v>
      </c>
      <c r="B28" s="191">
        <v>43064</v>
      </c>
      <c r="C28" s="138" t="s">
        <v>1399</v>
      </c>
      <c r="D28" s="138" t="s">
        <v>1418</v>
      </c>
      <c r="E28" s="146" t="s">
        <v>515</v>
      </c>
      <c r="F28" s="138"/>
      <c r="G28" s="138"/>
      <c r="H28" s="139"/>
      <c r="I28" s="138"/>
      <c r="J28" s="141">
        <v>1300000</v>
      </c>
      <c r="K28" s="141"/>
      <c r="L28" s="150"/>
      <c r="M28" s="141"/>
      <c r="N28" s="141"/>
      <c r="O28" s="139">
        <f t="shared" si="0"/>
        <v>1300000</v>
      </c>
      <c r="P28" s="139">
        <v>4800000</v>
      </c>
      <c r="Q28" s="139">
        <f t="shared" si="1"/>
        <v>3500000</v>
      </c>
      <c r="R28" s="217"/>
      <c r="S28" s="215"/>
      <c r="T28" s="215"/>
    </row>
    <row r="29" spans="1:20" s="144" customFormat="1" ht="18" customHeight="1" x14ac:dyDescent="0.2">
      <c r="A29" s="211">
        <v>21</v>
      </c>
      <c r="B29" s="191">
        <v>43066</v>
      </c>
      <c r="C29" s="138" t="s">
        <v>1400</v>
      </c>
      <c r="D29" s="138" t="s">
        <v>1419</v>
      </c>
      <c r="E29" s="146" t="s">
        <v>1428</v>
      </c>
      <c r="F29" s="138"/>
      <c r="G29" s="138"/>
      <c r="H29" s="139"/>
      <c r="I29" s="138"/>
      <c r="J29" s="141">
        <v>1300000</v>
      </c>
      <c r="K29" s="141"/>
      <c r="L29" s="150"/>
      <c r="M29" s="141"/>
      <c r="N29" s="141"/>
      <c r="O29" s="139">
        <f t="shared" si="0"/>
        <v>1300000</v>
      </c>
      <c r="P29" s="139">
        <v>4700000</v>
      </c>
      <c r="Q29" s="139">
        <f t="shared" si="1"/>
        <v>3400000</v>
      </c>
      <c r="R29" s="217"/>
      <c r="S29" s="215"/>
      <c r="T29" s="215"/>
    </row>
    <row r="30" spans="1:20" s="144" customFormat="1" ht="18" customHeight="1" x14ac:dyDescent="0.2">
      <c r="A30" s="211">
        <v>22</v>
      </c>
      <c r="B30" s="191">
        <v>43067</v>
      </c>
      <c r="C30" s="138" t="s">
        <v>1401</v>
      </c>
      <c r="D30" s="138" t="s">
        <v>1420</v>
      </c>
      <c r="E30" s="146" t="s">
        <v>1429</v>
      </c>
      <c r="F30" s="138"/>
      <c r="G30" s="138">
        <v>384</v>
      </c>
      <c r="H30" s="139">
        <v>5763840</v>
      </c>
      <c r="I30" s="138"/>
      <c r="J30" s="141">
        <v>570000</v>
      </c>
      <c r="K30" s="141"/>
      <c r="L30" s="150"/>
      <c r="M30" s="141"/>
      <c r="N30" s="141"/>
      <c r="O30" s="139">
        <f t="shared" si="0"/>
        <v>6333840</v>
      </c>
      <c r="P30" s="139">
        <v>3309091</v>
      </c>
      <c r="Q30" s="139">
        <f t="shared" si="1"/>
        <v>-3024749</v>
      </c>
      <c r="R30" s="217"/>
      <c r="S30" s="215"/>
      <c r="T30" s="215"/>
    </row>
    <row r="31" spans="1:20" s="144" customFormat="1" ht="18" customHeight="1" x14ac:dyDescent="0.2">
      <c r="A31" s="211"/>
      <c r="B31" s="191"/>
      <c r="C31" s="138"/>
      <c r="D31" s="138"/>
      <c r="E31" s="146"/>
      <c r="F31" s="138"/>
      <c r="G31" s="138"/>
      <c r="H31" s="139"/>
      <c r="I31" s="138"/>
      <c r="J31" s="141"/>
      <c r="K31" s="141"/>
      <c r="L31" s="150"/>
      <c r="M31" s="141"/>
      <c r="N31" s="141"/>
      <c r="O31" s="139">
        <f t="shared" si="0"/>
        <v>0</v>
      </c>
      <c r="P31" s="139"/>
      <c r="Q31" s="139">
        <f t="shared" si="1"/>
        <v>0</v>
      </c>
      <c r="R31" s="217"/>
      <c r="S31" s="215"/>
      <c r="T31" s="215"/>
    </row>
    <row r="32" spans="1:20" s="144" customFormat="1" ht="18" customHeight="1" x14ac:dyDescent="0.2">
      <c r="A32" s="211"/>
      <c r="B32" s="191"/>
      <c r="C32" s="138"/>
      <c r="D32" s="138"/>
      <c r="E32" s="146"/>
      <c r="F32" s="138"/>
      <c r="G32" s="138"/>
      <c r="H32" s="139"/>
      <c r="I32" s="138"/>
      <c r="J32" s="141"/>
      <c r="K32" s="141"/>
      <c r="L32" s="150"/>
      <c r="M32" s="141"/>
      <c r="N32" s="141"/>
      <c r="O32" s="139">
        <f t="shared" si="0"/>
        <v>0</v>
      </c>
      <c r="P32" s="139"/>
      <c r="Q32" s="139">
        <f t="shared" si="1"/>
        <v>0</v>
      </c>
      <c r="R32" s="217"/>
      <c r="S32" s="215"/>
      <c r="T32" s="215"/>
    </row>
    <row r="33" spans="1:20" s="144" customFormat="1" ht="18" customHeight="1" x14ac:dyDescent="0.2">
      <c r="A33" s="211"/>
      <c r="B33" s="191"/>
      <c r="C33" s="138"/>
      <c r="D33" s="138"/>
      <c r="E33" s="146"/>
      <c r="F33" s="138"/>
      <c r="G33" s="138"/>
      <c r="H33" s="139"/>
      <c r="I33" s="138"/>
      <c r="J33" s="141"/>
      <c r="K33" s="141"/>
      <c r="L33" s="150"/>
      <c r="M33" s="141"/>
      <c r="N33" s="141"/>
      <c r="O33" s="139">
        <f t="shared" si="0"/>
        <v>0</v>
      </c>
      <c r="P33" s="139"/>
      <c r="Q33" s="139">
        <f t="shared" si="1"/>
        <v>0</v>
      </c>
      <c r="R33" s="217"/>
      <c r="S33" s="215"/>
      <c r="T33" s="215"/>
    </row>
    <row r="34" spans="1:20" s="144" customFormat="1" ht="18" customHeight="1" x14ac:dyDescent="0.2">
      <c r="A34" s="211"/>
      <c r="B34" s="191"/>
      <c r="C34" s="220" t="s">
        <v>1439</v>
      </c>
      <c r="D34" s="220"/>
      <c r="E34" s="221"/>
      <c r="F34" s="220"/>
      <c r="G34" s="220"/>
      <c r="H34" s="219"/>
      <c r="I34" s="220"/>
      <c r="J34" s="157"/>
      <c r="K34" s="157"/>
      <c r="L34" s="157">
        <v>5400000</v>
      </c>
      <c r="M34" s="141"/>
      <c r="N34" s="141"/>
      <c r="O34" s="139">
        <f t="shared" si="0"/>
        <v>5400000</v>
      </c>
      <c r="P34" s="139"/>
      <c r="Q34" s="139">
        <f t="shared" si="1"/>
        <v>-5400000</v>
      </c>
      <c r="R34" s="217"/>
      <c r="S34" s="215"/>
      <c r="T34" s="215"/>
    </row>
    <row r="35" spans="1:20" s="144" customFormat="1" ht="18" customHeight="1" x14ac:dyDescent="0.2">
      <c r="A35" s="211"/>
      <c r="B35" s="191"/>
      <c r="C35" s="221" t="s">
        <v>1430</v>
      </c>
      <c r="D35" s="220"/>
      <c r="E35" s="221"/>
      <c r="F35" s="220"/>
      <c r="G35" s="220"/>
      <c r="H35" s="219"/>
      <c r="I35" s="220"/>
      <c r="J35" s="157"/>
      <c r="K35" s="157"/>
      <c r="L35" s="157">
        <v>300000</v>
      </c>
      <c r="M35" s="141"/>
      <c r="N35" s="141"/>
      <c r="O35" s="139">
        <f t="shared" si="0"/>
        <v>300000</v>
      </c>
      <c r="P35" s="139"/>
      <c r="Q35" s="139">
        <f t="shared" si="1"/>
        <v>-300000</v>
      </c>
      <c r="R35" s="217"/>
      <c r="S35" s="215"/>
      <c r="T35" s="215"/>
    </row>
    <row r="36" spans="1:20" s="144" customFormat="1" ht="18" customHeight="1" x14ac:dyDescent="0.2">
      <c r="A36" s="211"/>
      <c r="B36" s="191"/>
      <c r="C36" s="221" t="s">
        <v>1431</v>
      </c>
      <c r="D36" s="220"/>
      <c r="E36" s="221"/>
      <c r="F36" s="220"/>
      <c r="G36" s="220"/>
      <c r="H36" s="219"/>
      <c r="I36" s="220"/>
      <c r="J36" s="157"/>
      <c r="K36" s="157"/>
      <c r="L36" s="157">
        <v>3600000</v>
      </c>
      <c r="M36" s="141"/>
      <c r="N36" s="141"/>
      <c r="O36" s="139">
        <f t="shared" si="0"/>
        <v>3600000</v>
      </c>
      <c r="P36" s="139"/>
      <c r="Q36" s="139">
        <f t="shared" si="1"/>
        <v>-3600000</v>
      </c>
      <c r="R36" s="217"/>
      <c r="S36" s="215"/>
      <c r="T36" s="215"/>
    </row>
    <row r="37" spans="1:20" s="144" customFormat="1" ht="18" customHeight="1" x14ac:dyDescent="0.2">
      <c r="A37" s="211"/>
      <c r="B37" s="191"/>
      <c r="C37" s="221" t="s">
        <v>1432</v>
      </c>
      <c r="D37" s="220"/>
      <c r="E37" s="221"/>
      <c r="F37" s="220"/>
      <c r="G37" s="220"/>
      <c r="H37" s="219"/>
      <c r="I37" s="220"/>
      <c r="J37" s="157"/>
      <c r="K37" s="157"/>
      <c r="L37" s="157">
        <v>850000</v>
      </c>
      <c r="M37" s="141"/>
      <c r="N37" s="141"/>
      <c r="O37" s="139">
        <f t="shared" si="0"/>
        <v>850000</v>
      </c>
      <c r="P37" s="139"/>
      <c r="Q37" s="139">
        <f t="shared" si="1"/>
        <v>-850000</v>
      </c>
      <c r="R37" s="217"/>
      <c r="S37" s="215"/>
      <c r="T37" s="215"/>
    </row>
    <row r="38" spans="1:20" s="144" customFormat="1" ht="18" customHeight="1" x14ac:dyDescent="0.2">
      <c r="A38" s="211"/>
      <c r="B38" s="191"/>
      <c r="C38" s="221" t="s">
        <v>1433</v>
      </c>
      <c r="D38" s="220"/>
      <c r="E38" s="221"/>
      <c r="F38" s="220"/>
      <c r="G38" s="220"/>
      <c r="H38" s="219"/>
      <c r="I38" s="220"/>
      <c r="J38" s="157"/>
      <c r="K38" s="157"/>
      <c r="L38" s="157">
        <f>11500000/4</f>
        <v>2875000</v>
      </c>
      <c r="M38" s="141"/>
      <c r="N38" s="141"/>
      <c r="O38" s="139">
        <f t="shared" si="0"/>
        <v>2875000</v>
      </c>
      <c r="P38" s="139"/>
      <c r="Q38" s="139">
        <f t="shared" si="1"/>
        <v>-2875000</v>
      </c>
      <c r="R38" s="217"/>
      <c r="S38" s="215"/>
      <c r="T38" s="215"/>
    </row>
    <row r="39" spans="1:20" s="144" customFormat="1" ht="18" customHeight="1" x14ac:dyDescent="0.2">
      <c r="A39" s="211"/>
      <c r="B39" s="191"/>
      <c r="C39" s="224" t="s">
        <v>1441</v>
      </c>
      <c r="D39" s="220"/>
      <c r="E39" s="221"/>
      <c r="F39" s="220"/>
      <c r="G39" s="220"/>
      <c r="H39" s="219"/>
      <c r="I39" s="220"/>
      <c r="J39" s="157"/>
      <c r="K39" s="157"/>
      <c r="L39" s="222">
        <v>1150000</v>
      </c>
      <c r="M39" s="141"/>
      <c r="N39" s="141"/>
      <c r="O39" s="139">
        <f t="shared" si="0"/>
        <v>1150000</v>
      </c>
      <c r="P39" s="139"/>
      <c r="Q39" s="139">
        <f t="shared" si="1"/>
        <v>-1150000</v>
      </c>
      <c r="R39" s="217"/>
      <c r="S39" s="215"/>
      <c r="T39" s="215"/>
    </row>
    <row r="40" spans="1:20" s="144" customFormat="1" ht="18" customHeight="1" x14ac:dyDescent="0.2">
      <c r="A40" s="211"/>
      <c r="B40" s="191"/>
      <c r="C40" s="223" t="s">
        <v>1434</v>
      </c>
      <c r="D40" s="220"/>
      <c r="E40" s="221"/>
      <c r="F40" s="220"/>
      <c r="G40" s="220"/>
      <c r="H40" s="219"/>
      <c r="I40" s="220"/>
      <c r="J40" s="157"/>
      <c r="K40" s="157"/>
      <c r="L40" s="225">
        <v>1716000</v>
      </c>
      <c r="M40" s="141"/>
      <c r="N40" s="141"/>
      <c r="O40" s="139">
        <f t="shared" si="0"/>
        <v>1716000</v>
      </c>
      <c r="P40" s="139"/>
      <c r="Q40" s="139">
        <f t="shared" si="1"/>
        <v>-1716000</v>
      </c>
      <c r="R40" s="217"/>
      <c r="S40" s="215"/>
      <c r="T40" s="215"/>
    </row>
    <row r="41" spans="1:20" s="144" customFormat="1" ht="18" customHeight="1" x14ac:dyDescent="0.2">
      <c r="A41" s="211"/>
      <c r="B41" s="191"/>
      <c r="C41" s="221" t="s">
        <v>1435</v>
      </c>
      <c r="D41" s="220"/>
      <c r="E41" s="221"/>
      <c r="F41" s="220"/>
      <c r="G41" s="220"/>
      <c r="H41" s="219"/>
      <c r="I41" s="220"/>
      <c r="J41" s="157"/>
      <c r="K41" s="157"/>
      <c r="L41" s="222">
        <v>12000000</v>
      </c>
      <c r="M41" s="141"/>
      <c r="N41" s="141"/>
      <c r="O41" s="139">
        <f t="shared" si="0"/>
        <v>12000000</v>
      </c>
      <c r="P41" s="139"/>
      <c r="Q41" s="139">
        <f t="shared" si="1"/>
        <v>-12000000</v>
      </c>
      <c r="R41" s="217"/>
      <c r="S41" s="215"/>
      <c r="T41" s="215"/>
    </row>
    <row r="42" spans="1:20" s="144" customFormat="1" ht="18" customHeight="1" x14ac:dyDescent="0.2">
      <c r="A42" s="211"/>
      <c r="B42" s="191"/>
      <c r="C42" s="221" t="s">
        <v>1436</v>
      </c>
      <c r="D42" s="220"/>
      <c r="E42" s="221"/>
      <c r="F42" s="220"/>
      <c r="G42" s="220"/>
      <c r="H42" s="219"/>
      <c r="I42" s="220"/>
      <c r="J42" s="157"/>
      <c r="K42" s="157"/>
      <c r="L42" s="222"/>
      <c r="M42" s="141"/>
      <c r="N42" s="141"/>
      <c r="O42" s="139">
        <f t="shared" si="0"/>
        <v>0</v>
      </c>
      <c r="P42" s="219">
        <v>13227500</v>
      </c>
      <c r="Q42" s="139">
        <f t="shared" si="1"/>
        <v>13227500</v>
      </c>
      <c r="R42" s="217"/>
      <c r="S42" s="215"/>
      <c r="T42" s="215"/>
    </row>
    <row r="43" spans="1:20" s="144" customFormat="1" ht="18" customHeight="1" x14ac:dyDescent="0.2">
      <c r="A43" s="211"/>
      <c r="B43" s="191"/>
      <c r="C43" s="221" t="s">
        <v>1440</v>
      </c>
      <c r="D43" s="220"/>
      <c r="E43" s="221"/>
      <c r="F43" s="220"/>
      <c r="G43" s="220"/>
      <c r="H43" s="219"/>
      <c r="I43" s="220"/>
      <c r="J43" s="157"/>
      <c r="K43" s="157"/>
      <c r="L43" s="222">
        <v>1200000</v>
      </c>
      <c r="M43" s="141"/>
      <c r="N43" s="141"/>
      <c r="O43" s="139">
        <f t="shared" si="0"/>
        <v>1200000</v>
      </c>
      <c r="P43" s="219"/>
      <c r="Q43" s="139">
        <f t="shared" si="1"/>
        <v>-1200000</v>
      </c>
      <c r="R43" s="217"/>
      <c r="S43" s="215"/>
      <c r="T43" s="215"/>
    </row>
    <row r="44" spans="1:20" s="144" customFormat="1" ht="18" customHeight="1" x14ac:dyDescent="0.2">
      <c r="A44" s="211"/>
      <c r="B44" s="191"/>
      <c r="C44" s="221" t="s">
        <v>1437</v>
      </c>
      <c r="D44" s="220"/>
      <c r="E44" s="221"/>
      <c r="F44" s="220"/>
      <c r="G44" s="220"/>
      <c r="H44" s="219"/>
      <c r="I44" s="220"/>
      <c r="J44" s="157"/>
      <c r="K44" s="157"/>
      <c r="L44" s="222"/>
      <c r="M44" s="157">
        <v>11700000</v>
      </c>
      <c r="N44" s="141"/>
      <c r="O44" s="139">
        <f t="shared" si="0"/>
        <v>11700000</v>
      </c>
      <c r="P44" s="219"/>
      <c r="Q44" s="139">
        <f t="shared" si="1"/>
        <v>-11700000</v>
      </c>
      <c r="R44" s="217"/>
      <c r="S44" s="215"/>
      <c r="T44" s="215"/>
    </row>
    <row r="45" spans="1:20" s="144" customFormat="1" ht="18" customHeight="1" x14ac:dyDescent="0.2">
      <c r="A45" s="211"/>
      <c r="B45" s="191"/>
      <c r="C45" s="221" t="s">
        <v>1438</v>
      </c>
      <c r="D45" s="220"/>
      <c r="E45" s="221"/>
      <c r="F45" s="220"/>
      <c r="G45" s="220"/>
      <c r="H45" s="219"/>
      <c r="I45" s="220"/>
      <c r="J45" s="157"/>
      <c r="K45" s="157"/>
      <c r="L45" s="222">
        <v>1100000</v>
      </c>
      <c r="M45" s="141"/>
      <c r="N45" s="141"/>
      <c r="O45" s="139">
        <f t="shared" si="0"/>
        <v>1100000</v>
      </c>
      <c r="P45" s="219"/>
      <c r="Q45" s="139">
        <f t="shared" si="1"/>
        <v>-1100000</v>
      </c>
      <c r="R45" s="217"/>
      <c r="S45" s="215"/>
      <c r="T45" s="215"/>
    </row>
    <row r="46" spans="1:20" s="159" customFormat="1" ht="18" customHeight="1" x14ac:dyDescent="0.25">
      <c r="A46" s="211"/>
      <c r="B46" s="165"/>
      <c r="C46" s="196" t="s">
        <v>1337</v>
      </c>
      <c r="D46" s="195"/>
      <c r="E46" s="197"/>
      <c r="F46" s="195"/>
      <c r="G46" s="195"/>
      <c r="H46" s="155"/>
      <c r="I46" s="195"/>
      <c r="J46" s="155"/>
      <c r="K46" s="157">
        <v>6230769</v>
      </c>
      <c r="M46" s="155"/>
      <c r="N46" s="155"/>
      <c r="O46" s="139">
        <f t="shared" si="0"/>
        <v>6230769</v>
      </c>
      <c r="P46" s="139"/>
      <c r="Q46" s="139">
        <f t="shared" si="1"/>
        <v>-6230769</v>
      </c>
      <c r="S46" s="215"/>
      <c r="T46" s="215"/>
    </row>
    <row r="47" spans="1:20" s="159" customFormat="1" ht="18" customHeight="1" x14ac:dyDescent="0.25">
      <c r="A47" s="211"/>
      <c r="B47" s="203"/>
      <c r="C47" s="152" t="s">
        <v>1094</v>
      </c>
      <c r="D47" s="153"/>
      <c r="E47" s="154"/>
      <c r="F47" s="153"/>
      <c r="G47" s="153"/>
      <c r="H47" s="156"/>
      <c r="I47" s="153"/>
      <c r="J47" s="156"/>
      <c r="K47" s="204">
        <f>1200000*1.1</f>
        <v>1320000</v>
      </c>
      <c r="L47" s="204"/>
      <c r="M47" s="156"/>
      <c r="N47" s="156"/>
      <c r="O47" s="139">
        <f t="shared" si="0"/>
        <v>1320000</v>
      </c>
      <c r="P47" s="139"/>
      <c r="Q47" s="139">
        <f t="shared" si="1"/>
        <v>-1320000</v>
      </c>
      <c r="R47" s="186"/>
      <c r="S47" s="215"/>
      <c r="T47" s="215"/>
    </row>
    <row r="48" spans="1:20" ht="18" customHeight="1" x14ac:dyDescent="0.25">
      <c r="A48" s="426" t="s">
        <v>20</v>
      </c>
      <c r="B48" s="426"/>
      <c r="C48" s="426"/>
      <c r="D48" s="426"/>
      <c r="E48" s="426"/>
      <c r="F48" s="426"/>
      <c r="G48" s="161">
        <f t="shared" ref="G48:P48" si="2">SUM(G7:G47)</f>
        <v>2906</v>
      </c>
      <c r="H48" s="161">
        <f t="shared" si="2"/>
        <v>42655560</v>
      </c>
      <c r="I48" s="161">
        <f t="shared" si="2"/>
        <v>0</v>
      </c>
      <c r="J48" s="161">
        <f t="shared" si="2"/>
        <v>24470000</v>
      </c>
      <c r="K48" s="161">
        <f t="shared" si="2"/>
        <v>7550769</v>
      </c>
      <c r="L48" s="161">
        <f t="shared" si="2"/>
        <v>30191000</v>
      </c>
      <c r="M48" s="161">
        <f t="shared" si="2"/>
        <v>11700000</v>
      </c>
      <c r="N48" s="161">
        <f t="shared" si="2"/>
        <v>0</v>
      </c>
      <c r="O48" s="161">
        <f>SUM(O9:O47)</f>
        <v>116567329</v>
      </c>
      <c r="P48" s="161">
        <f t="shared" si="2"/>
        <v>124327500</v>
      </c>
      <c r="Q48" s="161">
        <f>SUM(Q9:Q47)</f>
        <v>7760171</v>
      </c>
      <c r="R48" s="187"/>
      <c r="S48" s="189"/>
    </row>
    <row r="49" spans="1:17" ht="18" customHeight="1" x14ac:dyDescent="0.25">
      <c r="O49" s="158"/>
      <c r="Q49" s="158"/>
    </row>
    <row r="50" spans="1:17" ht="18" customHeight="1" x14ac:dyDescent="0.25">
      <c r="P50" s="216" t="s">
        <v>1095</v>
      </c>
      <c r="Q50" s="216">
        <f>'10-2017'!Q37+'11-2017'!Q48</f>
        <v>207425033.53846154</v>
      </c>
    </row>
    <row r="51" spans="1:17" ht="18" customHeight="1" x14ac:dyDescent="0.25">
      <c r="B51" s="129"/>
      <c r="H51" s="128"/>
      <c r="J51" s="128"/>
      <c r="K51" s="128"/>
      <c r="L51" s="128"/>
      <c r="M51" s="128"/>
      <c r="N51" s="128"/>
      <c r="O51" s="128"/>
      <c r="P51" s="218"/>
      <c r="Q51" s="216"/>
    </row>
    <row r="52" spans="1:17" x14ac:dyDescent="0.25">
      <c r="B52" s="129"/>
      <c r="H52" s="128"/>
      <c r="J52" s="128"/>
      <c r="K52" s="128"/>
      <c r="L52" s="128"/>
      <c r="M52" s="128"/>
      <c r="N52" s="128"/>
      <c r="O52" s="128"/>
      <c r="P52" s="218"/>
      <c r="Q52" s="216"/>
    </row>
    <row r="53" spans="1:17" x14ac:dyDescent="0.25">
      <c r="B53" s="129"/>
      <c r="H53" s="128"/>
      <c r="J53" s="128"/>
      <c r="K53" s="128"/>
      <c r="L53" s="128"/>
      <c r="M53" s="128"/>
      <c r="N53" s="128"/>
      <c r="O53" s="128"/>
      <c r="P53" s="218"/>
      <c r="Q53" s="216"/>
    </row>
    <row r="54" spans="1:17" x14ac:dyDescent="0.25">
      <c r="B54" s="129"/>
      <c r="H54" s="128"/>
      <c r="J54" s="128"/>
      <c r="K54" s="128"/>
      <c r="L54" s="128"/>
      <c r="M54" s="128"/>
      <c r="N54" s="128"/>
      <c r="O54" s="128"/>
      <c r="P54" s="218"/>
      <c r="Q54" s="216"/>
    </row>
    <row r="55" spans="1:17" x14ac:dyDescent="0.25">
      <c r="B55" s="129"/>
      <c r="H55" s="128"/>
      <c r="J55" s="128"/>
      <c r="K55" s="128"/>
      <c r="L55" s="128"/>
      <c r="M55" s="128"/>
      <c r="N55" s="128"/>
      <c r="O55" s="128"/>
      <c r="P55" s="218"/>
      <c r="Q55" s="216"/>
    </row>
    <row r="56" spans="1:17" x14ac:dyDescent="0.25">
      <c r="A56" s="128"/>
      <c r="B56" s="129"/>
      <c r="H56" s="128"/>
      <c r="J56" s="128"/>
      <c r="K56" s="128"/>
      <c r="L56" s="128"/>
      <c r="M56" s="128"/>
      <c r="N56" s="128"/>
      <c r="O56" s="128"/>
      <c r="P56" s="218"/>
      <c r="Q56" s="216"/>
    </row>
    <row r="57" spans="1:17" x14ac:dyDescent="0.25">
      <c r="A57" s="128"/>
      <c r="B57" s="129"/>
      <c r="H57" s="128"/>
      <c r="J57" s="128"/>
      <c r="K57" s="128"/>
      <c r="L57" s="128"/>
      <c r="M57" s="128"/>
      <c r="N57" s="128"/>
      <c r="O57" s="128"/>
      <c r="P57" s="128"/>
      <c r="Q57" s="216"/>
    </row>
    <row r="58" spans="1:17" x14ac:dyDescent="0.25">
      <c r="A58" s="128"/>
      <c r="B58" s="128"/>
      <c r="H58" s="128"/>
      <c r="J58" s="128"/>
      <c r="K58" s="128"/>
      <c r="L58" s="128"/>
      <c r="M58" s="128"/>
      <c r="N58" s="128"/>
      <c r="O58" s="128"/>
      <c r="P58" s="128"/>
      <c r="Q58" s="216"/>
    </row>
    <row r="59" spans="1:17" x14ac:dyDescent="0.25">
      <c r="A59" s="128"/>
      <c r="B59" s="128"/>
      <c r="H59" s="128"/>
      <c r="J59" s="128"/>
      <c r="K59" s="128"/>
      <c r="L59" s="128"/>
      <c r="M59" s="128"/>
      <c r="N59" s="128"/>
      <c r="O59" s="128"/>
      <c r="P59" s="128"/>
      <c r="Q59" s="216"/>
    </row>
  </sheetData>
  <mergeCells count="14">
    <mergeCell ref="O5:O6"/>
    <mergeCell ref="P5:P6"/>
    <mergeCell ref="Q5:Q6"/>
    <mergeCell ref="A48:F48"/>
    <mergeCell ref="A1:Q1"/>
    <mergeCell ref="A2:Q2"/>
    <mergeCell ref="B3:Q3"/>
    <mergeCell ref="A5:A6"/>
    <mergeCell ref="B5:B6"/>
    <mergeCell ref="C5:C6"/>
    <mergeCell ref="D5:D6"/>
    <mergeCell ref="E5:E6"/>
    <mergeCell ref="F5:F6"/>
    <mergeCell ref="G5:N5"/>
  </mergeCells>
  <pageMargins left="0.7" right="0.7" top="0.75" bottom="0.75" header="0.3" footer="0.3"/>
  <pageSetup paperSize="9" scale="52" orientation="landscape" horizontalDpi="0" verticalDpi="0" r:id="rId1"/>
  <colBreaks count="1" manualBreakCount="1">
    <brk id="19" max="49"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57"/>
  <sheetViews>
    <sheetView topLeftCell="D43" workbookViewId="0">
      <selection activeCell="C42" sqref="C42"/>
    </sheetView>
  </sheetViews>
  <sheetFormatPr defaultColWidth="9.140625" defaultRowHeight="12.75" x14ac:dyDescent="0.25"/>
  <cols>
    <col min="1" max="1" width="4.5703125" style="129" customWidth="1"/>
    <col min="2" max="2" width="10.28515625" style="163" customWidth="1"/>
    <col min="3" max="3" width="32" style="128" customWidth="1"/>
    <col min="4" max="4" width="13.425781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9.85546875" style="143" bestFit="1" customWidth="1"/>
    <col min="11" max="11" width="10.28515625" style="143" customWidth="1"/>
    <col min="12" max="12" width="10.85546875" style="143" customWidth="1"/>
    <col min="13" max="13" width="11.28515625" style="143" customWidth="1"/>
    <col min="14" max="14" width="9.5703125" style="143" customWidth="1"/>
    <col min="15" max="15" width="12.7109375" style="143" customWidth="1"/>
    <col min="16" max="16" width="13.85546875" style="143" customWidth="1"/>
    <col min="17" max="17" width="12"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1442</v>
      </c>
      <c r="C3" s="417"/>
      <c r="D3" s="417"/>
      <c r="E3" s="417"/>
      <c r="F3" s="417"/>
      <c r="G3" s="417"/>
      <c r="H3" s="417"/>
      <c r="I3" s="417"/>
      <c r="J3" s="417"/>
      <c r="K3" s="417"/>
      <c r="L3" s="417"/>
      <c r="M3" s="417"/>
      <c r="N3" s="417"/>
      <c r="O3" s="417"/>
      <c r="P3" s="417"/>
      <c r="Q3" s="417"/>
    </row>
    <row r="5" spans="1:20"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x14ac:dyDescent="0.25">
      <c r="A7" s="210"/>
      <c r="B7" s="135"/>
      <c r="C7" s="199"/>
      <c r="D7" s="137"/>
      <c r="E7" s="137"/>
      <c r="F7" s="200"/>
      <c r="G7" s="142"/>
      <c r="H7" s="201"/>
      <c r="I7" s="201"/>
      <c r="J7" s="202"/>
      <c r="K7" s="202"/>
      <c r="L7" s="202"/>
      <c r="M7" s="202"/>
      <c r="N7" s="202"/>
      <c r="O7" s="142"/>
      <c r="P7" s="142"/>
      <c r="Q7" s="142"/>
    </row>
    <row r="8" spans="1:20" s="144" customFormat="1" x14ac:dyDescent="0.25">
      <c r="A8" s="210"/>
      <c r="B8" s="135"/>
      <c r="C8" s="199"/>
      <c r="D8" s="137"/>
      <c r="E8" s="137"/>
      <c r="F8" s="200"/>
      <c r="G8" s="142"/>
      <c r="H8" s="201"/>
      <c r="I8" s="201"/>
      <c r="J8" s="202"/>
      <c r="K8" s="202"/>
      <c r="L8" s="202"/>
      <c r="M8" s="202"/>
      <c r="N8" s="202"/>
      <c r="O8" s="139"/>
      <c r="P8" s="142"/>
      <c r="Q8" s="139"/>
    </row>
    <row r="9" spans="1:20" s="144" customFormat="1" ht="12.75" customHeight="1" x14ac:dyDescent="0.2">
      <c r="A9" s="211">
        <v>1</v>
      </c>
      <c r="B9" s="191">
        <v>43069</v>
      </c>
      <c r="C9" s="138" t="s">
        <v>1443</v>
      </c>
      <c r="D9" s="138" t="s">
        <v>1469</v>
      </c>
      <c r="E9" s="146" t="s">
        <v>1495</v>
      </c>
      <c r="F9" s="138"/>
      <c r="G9" s="138"/>
      <c r="H9" s="139"/>
      <c r="I9" s="138"/>
      <c r="J9" s="226">
        <v>2700000</v>
      </c>
      <c r="K9" s="141"/>
      <c r="L9" s="150"/>
      <c r="M9" s="141"/>
      <c r="N9" s="141"/>
      <c r="O9" s="139">
        <f>H9+J9+K9+L9+M9+N9</f>
        <v>2700000</v>
      </c>
      <c r="P9" s="139">
        <v>12272727</v>
      </c>
      <c r="Q9" s="139">
        <f>P9-O9</f>
        <v>9572727</v>
      </c>
      <c r="R9" s="217"/>
      <c r="S9" s="215"/>
      <c r="T9" s="215"/>
    </row>
    <row r="10" spans="1:20" s="144" customFormat="1" ht="12.75" customHeight="1" x14ac:dyDescent="0.2">
      <c r="A10" s="211">
        <v>2</v>
      </c>
      <c r="B10" s="191">
        <v>43070</v>
      </c>
      <c r="C10" s="138" t="s">
        <v>1444</v>
      </c>
      <c r="D10" s="138" t="s">
        <v>1470</v>
      </c>
      <c r="E10" s="146" t="s">
        <v>1496</v>
      </c>
      <c r="F10" s="138"/>
      <c r="G10" s="138"/>
      <c r="H10" s="139"/>
      <c r="I10" s="138"/>
      <c r="J10" s="226">
        <v>1940000</v>
      </c>
      <c r="K10" s="141"/>
      <c r="L10" s="150"/>
      <c r="M10" s="141"/>
      <c r="N10" s="141"/>
      <c r="O10" s="139">
        <f t="shared" ref="O10:O45" si="0">H10+J10+K10+L10+M10+N10</f>
        <v>1940000</v>
      </c>
      <c r="P10" s="141">
        <v>5500000</v>
      </c>
      <c r="Q10" s="139">
        <f t="shared" ref="Q10:Q35" si="1">P10-O10</f>
        <v>3560000</v>
      </c>
      <c r="R10" s="217"/>
      <c r="S10" s="215"/>
      <c r="T10" s="215"/>
    </row>
    <row r="11" spans="1:20" s="144" customFormat="1" ht="12.75" customHeight="1" x14ac:dyDescent="0.2">
      <c r="A11" s="211">
        <v>3</v>
      </c>
      <c r="B11" s="191">
        <v>43073</v>
      </c>
      <c r="C11" s="138" t="s">
        <v>1445</v>
      </c>
      <c r="D11" s="138" t="s">
        <v>1471</v>
      </c>
      <c r="E11" s="146" t="s">
        <v>1497</v>
      </c>
      <c r="F11" s="138"/>
      <c r="G11" s="138">
        <v>554</v>
      </c>
      <c r="H11" s="139">
        <v>8315540</v>
      </c>
      <c r="I11" s="138"/>
      <c r="J11" s="226">
        <v>1240000</v>
      </c>
      <c r="K11" s="141"/>
      <c r="L11" s="150"/>
      <c r="M11" s="141"/>
      <c r="N11" s="141"/>
      <c r="O11" s="139">
        <f t="shared" si="0"/>
        <v>9555540</v>
      </c>
      <c r="P11" s="139">
        <v>4700000</v>
      </c>
      <c r="Q11" s="139">
        <f t="shared" si="1"/>
        <v>-4855540</v>
      </c>
      <c r="R11" s="217"/>
      <c r="S11" s="215"/>
      <c r="T11" s="215"/>
    </row>
    <row r="12" spans="1:20" s="144" customFormat="1" ht="12.75" customHeight="1" x14ac:dyDescent="0.2">
      <c r="A12" s="211">
        <v>4</v>
      </c>
      <c r="B12" s="191">
        <v>43073</v>
      </c>
      <c r="C12" s="138" t="s">
        <v>780</v>
      </c>
      <c r="D12" s="138" t="s">
        <v>1472</v>
      </c>
      <c r="E12" s="146" t="s">
        <v>1498</v>
      </c>
      <c r="F12" s="138"/>
      <c r="G12" s="138"/>
      <c r="H12" s="139"/>
      <c r="I12" s="138"/>
      <c r="J12" s="226">
        <v>1160000</v>
      </c>
      <c r="K12" s="141"/>
      <c r="L12" s="150"/>
      <c r="M12" s="141"/>
      <c r="N12" s="141"/>
      <c r="O12" s="139">
        <f t="shared" si="0"/>
        <v>1160000</v>
      </c>
      <c r="P12" s="139">
        <v>4800000</v>
      </c>
      <c r="Q12" s="139">
        <f t="shared" si="1"/>
        <v>3640000</v>
      </c>
      <c r="R12" s="217"/>
      <c r="S12" s="215"/>
      <c r="T12" s="215"/>
    </row>
    <row r="13" spans="1:20" s="144" customFormat="1" ht="12.75" customHeight="1" x14ac:dyDescent="0.2">
      <c r="A13" s="211">
        <v>5</v>
      </c>
      <c r="B13" s="191">
        <v>43074</v>
      </c>
      <c r="C13" s="138" t="s">
        <v>1446</v>
      </c>
      <c r="D13" s="138" t="s">
        <v>1473</v>
      </c>
      <c r="E13" s="146" t="s">
        <v>1498</v>
      </c>
      <c r="F13" s="138"/>
      <c r="G13" s="138"/>
      <c r="H13" s="139"/>
      <c r="I13" s="138"/>
      <c r="J13" s="226">
        <v>1160000</v>
      </c>
      <c r="K13" s="141"/>
      <c r="L13" s="150"/>
      <c r="M13" s="141"/>
      <c r="N13" s="141"/>
      <c r="O13" s="139">
        <f t="shared" si="0"/>
        <v>1160000</v>
      </c>
      <c r="P13" s="139">
        <v>4800000</v>
      </c>
      <c r="Q13" s="139">
        <f t="shared" si="1"/>
        <v>3640000</v>
      </c>
      <c r="R13" s="217"/>
      <c r="S13" s="215"/>
      <c r="T13" s="215"/>
    </row>
    <row r="14" spans="1:20" s="144" customFormat="1" ht="12.75" customHeight="1" x14ac:dyDescent="0.2">
      <c r="A14" s="211">
        <v>6</v>
      </c>
      <c r="B14" s="191">
        <v>43075</v>
      </c>
      <c r="C14" s="138" t="s">
        <v>1447</v>
      </c>
      <c r="D14" s="138" t="s">
        <v>1474</v>
      </c>
      <c r="E14" s="146" t="s">
        <v>1499</v>
      </c>
      <c r="F14" s="138"/>
      <c r="G14" s="138"/>
      <c r="H14" s="139"/>
      <c r="I14" s="138"/>
      <c r="J14" s="226">
        <v>1420000</v>
      </c>
      <c r="K14" s="141"/>
      <c r="L14" s="150"/>
      <c r="M14" s="141"/>
      <c r="N14" s="141"/>
      <c r="O14" s="139">
        <f t="shared" si="0"/>
        <v>1420000</v>
      </c>
      <c r="P14" s="139">
        <v>5000000</v>
      </c>
      <c r="Q14" s="139">
        <f t="shared" si="1"/>
        <v>3580000</v>
      </c>
      <c r="R14" s="217"/>
      <c r="S14" s="215"/>
      <c r="T14" s="215"/>
    </row>
    <row r="15" spans="1:20" s="144" customFormat="1" ht="12.75" customHeight="1" x14ac:dyDescent="0.2">
      <c r="A15" s="211">
        <v>7</v>
      </c>
      <c r="B15" s="191">
        <v>43076</v>
      </c>
      <c r="C15" s="138" t="s">
        <v>1448</v>
      </c>
      <c r="D15" s="138" t="s">
        <v>1475</v>
      </c>
      <c r="E15" s="146" t="s">
        <v>763</v>
      </c>
      <c r="F15" s="138"/>
      <c r="G15" s="138">
        <v>345</v>
      </c>
      <c r="H15" s="139">
        <v>5230200</v>
      </c>
      <c r="I15" s="138"/>
      <c r="J15" s="226">
        <v>790000</v>
      </c>
      <c r="K15" s="141"/>
      <c r="L15" s="150"/>
      <c r="M15" s="141"/>
      <c r="N15" s="141"/>
      <c r="O15" s="139">
        <f t="shared" si="0"/>
        <v>6020200</v>
      </c>
      <c r="P15" s="139">
        <v>3700000</v>
      </c>
      <c r="Q15" s="139">
        <f t="shared" si="1"/>
        <v>-2320200</v>
      </c>
      <c r="R15" s="217"/>
      <c r="S15" s="215"/>
      <c r="T15" s="215"/>
    </row>
    <row r="16" spans="1:20" s="144" customFormat="1" ht="12.75" customHeight="1" x14ac:dyDescent="0.2">
      <c r="A16" s="211"/>
      <c r="B16" s="191">
        <v>43077</v>
      </c>
      <c r="C16" s="138" t="s">
        <v>1449</v>
      </c>
      <c r="D16" s="138" t="s">
        <v>1476</v>
      </c>
      <c r="E16" s="146" t="s">
        <v>1500</v>
      </c>
      <c r="F16" s="138"/>
      <c r="G16" s="138"/>
      <c r="H16" s="139"/>
      <c r="I16" s="138"/>
      <c r="J16" s="226">
        <v>1420000</v>
      </c>
      <c r="K16" s="141"/>
      <c r="L16" s="150"/>
      <c r="M16" s="141"/>
      <c r="N16" s="141"/>
      <c r="O16" s="139">
        <f t="shared" si="0"/>
        <v>1420000</v>
      </c>
      <c r="P16" s="139">
        <v>5000000</v>
      </c>
      <c r="Q16" s="139">
        <f t="shared" si="1"/>
        <v>3580000</v>
      </c>
      <c r="R16" s="217"/>
      <c r="S16" s="215"/>
      <c r="T16" s="215"/>
    </row>
    <row r="17" spans="1:20" s="144" customFormat="1" ht="12.75" customHeight="1" x14ac:dyDescent="0.2">
      <c r="A17" s="211"/>
      <c r="B17" s="191">
        <v>43079</v>
      </c>
      <c r="C17" s="138" t="s">
        <v>1450</v>
      </c>
      <c r="D17" s="138" t="s">
        <v>1477</v>
      </c>
      <c r="E17" s="146" t="s">
        <v>1222</v>
      </c>
      <c r="F17" s="138"/>
      <c r="G17" s="138">
        <v>340</v>
      </c>
      <c r="H17" s="139">
        <v>5154400</v>
      </c>
      <c r="I17" s="138"/>
      <c r="J17" s="226">
        <v>430000</v>
      </c>
      <c r="K17" s="141"/>
      <c r="L17" s="150"/>
      <c r="M17" s="141"/>
      <c r="N17" s="141"/>
      <c r="O17" s="139">
        <f t="shared" si="0"/>
        <v>5584400</v>
      </c>
      <c r="P17" s="139">
        <v>3300000</v>
      </c>
      <c r="Q17" s="139">
        <f t="shared" si="1"/>
        <v>-2284400</v>
      </c>
      <c r="R17" s="217"/>
      <c r="S17" s="215"/>
      <c r="T17" s="215"/>
    </row>
    <row r="18" spans="1:20" s="144" customFormat="1" ht="12.75" customHeight="1" x14ac:dyDescent="0.2">
      <c r="A18" s="211"/>
      <c r="B18" s="191">
        <v>43080</v>
      </c>
      <c r="C18" s="138" t="s">
        <v>1451</v>
      </c>
      <c r="D18" s="138" t="s">
        <v>1478</v>
      </c>
      <c r="E18" s="146" t="s">
        <v>948</v>
      </c>
      <c r="F18" s="138"/>
      <c r="G18" s="138"/>
      <c r="H18" s="139"/>
      <c r="I18" s="138"/>
      <c r="J18" s="226">
        <v>1160000</v>
      </c>
      <c r="K18" s="141"/>
      <c r="L18" s="150"/>
      <c r="M18" s="141"/>
      <c r="N18" s="141"/>
      <c r="O18" s="139">
        <f t="shared" si="0"/>
        <v>1160000</v>
      </c>
      <c r="P18" s="139">
        <v>4800000</v>
      </c>
      <c r="Q18" s="139">
        <f t="shared" si="1"/>
        <v>3640000</v>
      </c>
      <c r="R18" s="217"/>
      <c r="S18" s="215"/>
      <c r="T18" s="215"/>
    </row>
    <row r="19" spans="1:20" s="144" customFormat="1" ht="12.75" customHeight="1" x14ac:dyDescent="0.2">
      <c r="A19" s="211"/>
      <c r="B19" s="191">
        <v>43081</v>
      </c>
      <c r="C19" s="138" t="s">
        <v>1452</v>
      </c>
      <c r="D19" s="138" t="s">
        <v>1479</v>
      </c>
      <c r="E19" s="146" t="s">
        <v>1501</v>
      </c>
      <c r="F19" s="138"/>
      <c r="G19" s="138"/>
      <c r="H19" s="139"/>
      <c r="I19" s="138"/>
      <c r="J19" s="226">
        <v>1100000</v>
      </c>
      <c r="K19" s="141"/>
      <c r="L19" s="150"/>
      <c r="M19" s="141"/>
      <c r="N19" s="141"/>
      <c r="O19" s="139">
        <f t="shared" si="0"/>
        <v>1100000</v>
      </c>
      <c r="P19" s="139">
        <v>4700000</v>
      </c>
      <c r="Q19" s="139">
        <f t="shared" si="1"/>
        <v>3600000</v>
      </c>
      <c r="R19" s="217"/>
      <c r="S19" s="215"/>
      <c r="T19" s="215"/>
    </row>
    <row r="20" spans="1:20" s="144" customFormat="1" ht="12.75" customHeight="1" x14ac:dyDescent="0.2">
      <c r="A20" s="211"/>
      <c r="B20" s="191">
        <v>43082</v>
      </c>
      <c r="C20" s="138" t="s">
        <v>1453</v>
      </c>
      <c r="D20" s="138" t="s">
        <v>1480</v>
      </c>
      <c r="E20" s="146" t="s">
        <v>1502</v>
      </c>
      <c r="F20" s="138"/>
      <c r="G20" s="138"/>
      <c r="H20" s="139"/>
      <c r="I20" s="138"/>
      <c r="J20" s="226">
        <v>1420000</v>
      </c>
      <c r="K20" s="141"/>
      <c r="L20" s="150"/>
      <c r="M20" s="141"/>
      <c r="N20" s="141"/>
      <c r="O20" s="139">
        <f t="shared" si="0"/>
        <v>1420000</v>
      </c>
      <c r="P20" s="139">
        <v>5300000</v>
      </c>
      <c r="Q20" s="139">
        <f t="shared" si="1"/>
        <v>3880000</v>
      </c>
      <c r="R20" s="217"/>
      <c r="S20" s="215"/>
      <c r="T20" s="215"/>
    </row>
    <row r="21" spans="1:20" s="144" customFormat="1" ht="12.75" customHeight="1" x14ac:dyDescent="0.2">
      <c r="A21" s="211"/>
      <c r="B21" s="191">
        <v>43083</v>
      </c>
      <c r="C21" s="138" t="s">
        <v>1454</v>
      </c>
      <c r="D21" s="138" t="s">
        <v>935</v>
      </c>
      <c r="E21" s="146" t="s">
        <v>948</v>
      </c>
      <c r="F21" s="138"/>
      <c r="G21" s="138"/>
      <c r="H21" s="139"/>
      <c r="I21" s="138"/>
      <c r="J21" s="226">
        <v>1160000</v>
      </c>
      <c r="K21" s="141"/>
      <c r="L21" s="150"/>
      <c r="M21" s="141"/>
      <c r="N21" s="141"/>
      <c r="O21" s="139">
        <f t="shared" si="0"/>
        <v>1160000</v>
      </c>
      <c r="P21" s="139">
        <v>4800000</v>
      </c>
      <c r="Q21" s="139">
        <f t="shared" si="1"/>
        <v>3640000</v>
      </c>
      <c r="R21" s="217"/>
      <c r="S21" s="215"/>
      <c r="T21" s="215"/>
    </row>
    <row r="22" spans="1:20" s="144" customFormat="1" ht="12.75" customHeight="1" x14ac:dyDescent="0.2">
      <c r="A22" s="211"/>
      <c r="B22" s="191">
        <v>43084</v>
      </c>
      <c r="C22" s="138" t="s">
        <v>1455</v>
      </c>
      <c r="D22" s="138" t="s">
        <v>1481</v>
      </c>
      <c r="E22" s="146" t="s">
        <v>23</v>
      </c>
      <c r="F22" s="138"/>
      <c r="G22" s="138">
        <v>440</v>
      </c>
      <c r="H22" s="139">
        <v>6670400</v>
      </c>
      <c r="I22" s="138"/>
      <c r="J22" s="226">
        <v>2560000</v>
      </c>
      <c r="K22" s="141"/>
      <c r="L22" s="150"/>
      <c r="M22" s="141"/>
      <c r="N22" s="141"/>
      <c r="O22" s="139">
        <f t="shared" si="0"/>
        <v>9230400</v>
      </c>
      <c r="P22" s="139">
        <v>12181818</v>
      </c>
      <c r="Q22" s="139">
        <f t="shared" si="1"/>
        <v>2951418</v>
      </c>
      <c r="R22" s="217"/>
      <c r="S22" s="215"/>
      <c r="T22" s="215"/>
    </row>
    <row r="23" spans="1:20" s="144" customFormat="1" ht="12.75" customHeight="1" x14ac:dyDescent="0.2">
      <c r="A23" s="211"/>
      <c r="B23" s="191">
        <v>43087</v>
      </c>
      <c r="C23" s="138" t="s">
        <v>1456</v>
      </c>
      <c r="D23" s="138" t="s">
        <v>1482</v>
      </c>
      <c r="E23" s="146" t="s">
        <v>256</v>
      </c>
      <c r="F23" s="138"/>
      <c r="G23" s="138"/>
      <c r="H23" s="139"/>
      <c r="I23" s="138"/>
      <c r="J23" s="226">
        <f>1100000-180000</f>
        <v>920000</v>
      </c>
      <c r="K23" s="141"/>
      <c r="L23" s="150"/>
      <c r="M23" s="141"/>
      <c r="N23" s="141"/>
      <c r="O23" s="139">
        <f t="shared" si="0"/>
        <v>920000</v>
      </c>
      <c r="P23" s="139">
        <v>4700000</v>
      </c>
      <c r="Q23" s="139">
        <f t="shared" si="1"/>
        <v>3780000</v>
      </c>
      <c r="R23" s="217"/>
      <c r="S23" s="215"/>
      <c r="T23" s="215"/>
    </row>
    <row r="24" spans="1:20" s="144" customFormat="1" ht="12.75" customHeight="1" x14ac:dyDescent="0.2">
      <c r="A24" s="211"/>
      <c r="B24" s="191">
        <v>43087</v>
      </c>
      <c r="C24" s="138" t="s">
        <v>1457</v>
      </c>
      <c r="D24" s="138" t="s">
        <v>1483</v>
      </c>
      <c r="E24" s="146" t="s">
        <v>1503</v>
      </c>
      <c r="F24" s="138"/>
      <c r="G24" s="138"/>
      <c r="H24" s="139"/>
      <c r="I24" s="138"/>
      <c r="J24" s="226">
        <f>790000-90000</f>
        <v>700000</v>
      </c>
      <c r="K24" s="141"/>
      <c r="L24" s="150"/>
      <c r="M24" s="141"/>
      <c r="N24" s="141"/>
      <c r="O24" s="139">
        <f t="shared" si="0"/>
        <v>700000</v>
      </c>
      <c r="P24" s="139">
        <v>3600000</v>
      </c>
      <c r="Q24" s="139">
        <f t="shared" si="1"/>
        <v>2900000</v>
      </c>
      <c r="R24" s="217"/>
      <c r="S24" s="215"/>
      <c r="T24" s="215"/>
    </row>
    <row r="25" spans="1:20" s="144" customFormat="1" ht="12.75" customHeight="1" x14ac:dyDescent="0.2">
      <c r="A25" s="211"/>
      <c r="B25" s="191">
        <v>43088</v>
      </c>
      <c r="C25" s="138" t="s">
        <v>1458</v>
      </c>
      <c r="D25" s="138" t="s">
        <v>1484</v>
      </c>
      <c r="E25" s="146" t="s">
        <v>1504</v>
      </c>
      <c r="F25" s="138"/>
      <c r="G25" s="138">
        <v>455</v>
      </c>
      <c r="H25" s="139">
        <v>6897800</v>
      </c>
      <c r="I25" s="138"/>
      <c r="J25" s="208">
        <f>790000+600000</f>
        <v>1390000</v>
      </c>
      <c r="K25" s="141"/>
      <c r="L25" s="150"/>
      <c r="M25" s="141"/>
      <c r="N25" s="141"/>
      <c r="O25" s="139">
        <f t="shared" si="0"/>
        <v>8287800</v>
      </c>
      <c r="P25" s="139">
        <v>3627273</v>
      </c>
      <c r="Q25" s="139">
        <f t="shared" si="1"/>
        <v>-4660527</v>
      </c>
      <c r="R25" s="217"/>
      <c r="S25" s="215"/>
      <c r="T25" s="215"/>
    </row>
    <row r="26" spans="1:20" s="144" customFormat="1" ht="12.75" customHeight="1" x14ac:dyDescent="0.2">
      <c r="A26" s="211"/>
      <c r="B26" s="191">
        <v>43089</v>
      </c>
      <c r="C26" s="138" t="s">
        <v>1459</v>
      </c>
      <c r="D26" s="138" t="s">
        <v>1485</v>
      </c>
      <c r="E26" s="146" t="s">
        <v>1505</v>
      </c>
      <c r="F26" s="138"/>
      <c r="G26" s="138"/>
      <c r="H26" s="139"/>
      <c r="I26" s="138"/>
      <c r="J26" s="226">
        <v>200000</v>
      </c>
      <c r="K26" s="141"/>
      <c r="L26" s="150"/>
      <c r="M26" s="141"/>
      <c r="N26" s="141"/>
      <c r="O26" s="139">
        <f t="shared" si="0"/>
        <v>200000</v>
      </c>
      <c r="P26" s="139">
        <v>2145455</v>
      </c>
      <c r="Q26" s="139">
        <f t="shared" si="1"/>
        <v>1945455</v>
      </c>
      <c r="R26" s="217"/>
      <c r="S26" s="215"/>
      <c r="T26" s="215"/>
    </row>
    <row r="27" spans="1:20" s="144" customFormat="1" ht="12.75" customHeight="1" x14ac:dyDescent="0.2">
      <c r="A27" s="211">
        <v>8</v>
      </c>
      <c r="B27" s="191">
        <v>43089</v>
      </c>
      <c r="C27" s="138" t="s">
        <v>1460</v>
      </c>
      <c r="D27" s="138" t="s">
        <v>1486</v>
      </c>
      <c r="E27" s="146" t="s">
        <v>763</v>
      </c>
      <c r="F27" s="138"/>
      <c r="G27" s="138"/>
      <c r="H27" s="139"/>
      <c r="I27" s="138"/>
      <c r="J27" s="226">
        <f>790000-180000</f>
        <v>610000</v>
      </c>
      <c r="K27" s="141"/>
      <c r="L27" s="150"/>
      <c r="M27" s="141"/>
      <c r="N27" s="141"/>
      <c r="O27" s="139">
        <f t="shared" si="0"/>
        <v>610000</v>
      </c>
      <c r="P27" s="139">
        <v>3700000</v>
      </c>
      <c r="Q27" s="139">
        <f t="shared" si="1"/>
        <v>3090000</v>
      </c>
      <c r="R27" s="217"/>
      <c r="S27" s="215"/>
      <c r="T27" s="215"/>
    </row>
    <row r="28" spans="1:20" s="144" customFormat="1" ht="12.75" customHeight="1" x14ac:dyDescent="0.2">
      <c r="A28" s="211">
        <v>9</v>
      </c>
      <c r="B28" s="191">
        <v>43090</v>
      </c>
      <c r="C28" s="138" t="s">
        <v>1461</v>
      </c>
      <c r="D28" s="138" t="s">
        <v>1487</v>
      </c>
      <c r="E28" s="146" t="s">
        <v>1506</v>
      </c>
      <c r="F28" s="138"/>
      <c r="G28" s="138">
        <v>400</v>
      </c>
      <c r="H28" s="139">
        <f>6064000+120000</f>
        <v>6184000</v>
      </c>
      <c r="I28" s="138"/>
      <c r="J28" s="226">
        <f>790000-180000</f>
        <v>610000</v>
      </c>
      <c r="K28" s="141"/>
      <c r="L28" s="150"/>
      <c r="M28" s="141"/>
      <c r="N28" s="141"/>
      <c r="O28" s="139">
        <f t="shared" si="0"/>
        <v>6794000</v>
      </c>
      <c r="P28" s="139">
        <v>4000000</v>
      </c>
      <c r="Q28" s="139">
        <f t="shared" si="1"/>
        <v>-2794000</v>
      </c>
      <c r="R28" s="217"/>
      <c r="S28" s="215"/>
      <c r="T28" s="215"/>
    </row>
    <row r="29" spans="1:20" s="144" customFormat="1" ht="12.75" customHeight="1" x14ac:dyDescent="0.2">
      <c r="A29" s="211">
        <v>10</v>
      </c>
      <c r="B29" s="191">
        <v>43092</v>
      </c>
      <c r="C29" s="138" t="s">
        <v>1462</v>
      </c>
      <c r="D29" s="138" t="s">
        <v>1488</v>
      </c>
      <c r="E29" s="146" t="s">
        <v>764</v>
      </c>
      <c r="F29" s="138"/>
      <c r="G29" s="138"/>
      <c r="H29" s="139"/>
      <c r="I29" s="138"/>
      <c r="J29" s="226">
        <f>600000+120000</f>
        <v>720000</v>
      </c>
      <c r="K29" s="141"/>
      <c r="L29" s="150"/>
      <c r="M29" s="141"/>
      <c r="N29" s="141"/>
      <c r="O29" s="139">
        <f t="shared" si="0"/>
        <v>720000</v>
      </c>
      <c r="P29" s="139">
        <v>3750000</v>
      </c>
      <c r="Q29" s="139">
        <f t="shared" si="1"/>
        <v>3030000</v>
      </c>
      <c r="R29" s="217"/>
      <c r="S29" s="215"/>
      <c r="T29" s="215"/>
    </row>
    <row r="30" spans="1:20" s="144" customFormat="1" ht="12.75" customHeight="1" x14ac:dyDescent="0.2">
      <c r="A30" s="211">
        <v>11</v>
      </c>
      <c r="B30" s="191">
        <v>43093</v>
      </c>
      <c r="C30" s="138" t="s">
        <v>1463</v>
      </c>
      <c r="D30" s="138" t="s">
        <v>1489</v>
      </c>
      <c r="E30" s="146" t="s">
        <v>177</v>
      </c>
      <c r="F30" s="138"/>
      <c r="G30" s="138"/>
      <c r="H30" s="139"/>
      <c r="I30" s="138"/>
      <c r="J30" s="226">
        <v>430000</v>
      </c>
      <c r="K30" s="141"/>
      <c r="L30" s="150"/>
      <c r="M30" s="141"/>
      <c r="N30" s="141"/>
      <c r="O30" s="139">
        <f t="shared" si="0"/>
        <v>430000</v>
      </c>
      <c r="P30" s="139">
        <v>3200000</v>
      </c>
      <c r="Q30" s="139">
        <f t="shared" si="1"/>
        <v>2770000</v>
      </c>
      <c r="R30" s="217"/>
      <c r="S30" s="215"/>
      <c r="T30" s="215"/>
    </row>
    <row r="31" spans="1:20" s="144" customFormat="1" ht="12.75" customHeight="1" x14ac:dyDescent="0.2">
      <c r="A31" s="211">
        <v>12</v>
      </c>
      <c r="B31" s="191">
        <v>43094</v>
      </c>
      <c r="C31" s="138" t="s">
        <v>1464</v>
      </c>
      <c r="D31" s="138" t="s">
        <v>1490</v>
      </c>
      <c r="E31" s="146" t="s">
        <v>1507</v>
      </c>
      <c r="F31" s="138"/>
      <c r="G31" s="138">
        <v>81</v>
      </c>
      <c r="H31" s="139">
        <v>1227900</v>
      </c>
      <c r="I31" s="138"/>
      <c r="J31" s="226">
        <f>790000-180000</f>
        <v>610000</v>
      </c>
      <c r="K31" s="141"/>
      <c r="L31" s="150"/>
      <c r="M31" s="141"/>
      <c r="N31" s="141"/>
      <c r="O31" s="139">
        <f t="shared" si="0"/>
        <v>1837900</v>
      </c>
      <c r="P31" s="139">
        <v>3545455</v>
      </c>
      <c r="Q31" s="139">
        <f t="shared" si="1"/>
        <v>1707555</v>
      </c>
      <c r="R31" s="217"/>
      <c r="S31" s="215"/>
      <c r="T31" s="215"/>
    </row>
    <row r="32" spans="1:20" s="144" customFormat="1" ht="12.75" customHeight="1" x14ac:dyDescent="0.2">
      <c r="A32" s="211">
        <v>13</v>
      </c>
      <c r="B32" s="191">
        <v>43095</v>
      </c>
      <c r="C32" s="138" t="s">
        <v>1465</v>
      </c>
      <c r="D32" s="138" t="s">
        <v>1491</v>
      </c>
      <c r="E32" s="146" t="s">
        <v>1507</v>
      </c>
      <c r="F32" s="138"/>
      <c r="G32" s="138">
        <v>150</v>
      </c>
      <c r="H32" s="139">
        <v>2274000</v>
      </c>
      <c r="I32" s="138"/>
      <c r="J32" s="226">
        <v>610000</v>
      </c>
      <c r="K32" s="141"/>
      <c r="L32" s="150"/>
      <c r="M32" s="141"/>
      <c r="N32" s="141"/>
      <c r="O32" s="139">
        <f t="shared" si="0"/>
        <v>2884000</v>
      </c>
      <c r="P32" s="139">
        <v>3800000</v>
      </c>
      <c r="Q32" s="139">
        <f t="shared" si="1"/>
        <v>916000</v>
      </c>
      <c r="R32" s="217"/>
      <c r="S32" s="215"/>
      <c r="T32" s="215"/>
    </row>
    <row r="33" spans="1:20" s="144" customFormat="1" ht="12.75" customHeight="1" x14ac:dyDescent="0.2">
      <c r="A33" s="211">
        <v>14</v>
      </c>
      <c r="B33" s="191">
        <v>43096</v>
      </c>
      <c r="C33" s="138" t="s">
        <v>1466</v>
      </c>
      <c r="D33" s="138" t="s">
        <v>1492</v>
      </c>
      <c r="E33" s="146" t="s">
        <v>514</v>
      </c>
      <c r="F33" s="138"/>
      <c r="G33" s="138"/>
      <c r="H33" s="139"/>
      <c r="I33" s="138"/>
      <c r="J33" s="226">
        <v>450000</v>
      </c>
      <c r="K33" s="141"/>
      <c r="L33" s="150"/>
      <c r="M33" s="141"/>
      <c r="N33" s="141"/>
      <c r="O33" s="139">
        <f t="shared" si="0"/>
        <v>450000</v>
      </c>
      <c r="P33" s="139">
        <v>3750000</v>
      </c>
      <c r="Q33" s="139">
        <f t="shared" si="1"/>
        <v>3300000</v>
      </c>
      <c r="R33" s="217"/>
      <c r="S33" s="215"/>
      <c r="T33" s="215"/>
    </row>
    <row r="34" spans="1:20" s="144" customFormat="1" ht="12.75" customHeight="1" x14ac:dyDescent="0.2">
      <c r="A34" s="211">
        <v>15</v>
      </c>
      <c r="B34" s="191">
        <v>43097</v>
      </c>
      <c r="C34" s="138" t="s">
        <v>1467</v>
      </c>
      <c r="D34" s="138" t="s">
        <v>1493</v>
      </c>
      <c r="E34" s="146" t="s">
        <v>1508</v>
      </c>
      <c r="F34" s="138"/>
      <c r="G34" s="138"/>
      <c r="H34" s="139"/>
      <c r="I34" s="138"/>
      <c r="J34" s="226">
        <f>1160000+90000</f>
        <v>1250000</v>
      </c>
      <c r="K34" s="141"/>
      <c r="L34" s="150"/>
      <c r="M34" s="141"/>
      <c r="N34" s="141"/>
      <c r="O34" s="139">
        <f t="shared" si="0"/>
        <v>1250000</v>
      </c>
      <c r="P34" s="139">
        <v>4700000</v>
      </c>
      <c r="Q34" s="139">
        <f t="shared" si="1"/>
        <v>3450000</v>
      </c>
      <c r="R34" s="217"/>
      <c r="S34" s="215"/>
      <c r="T34" s="215"/>
    </row>
    <row r="35" spans="1:20" s="144" customFormat="1" ht="12.75" customHeight="1" x14ac:dyDescent="0.2">
      <c r="A35" s="211">
        <v>16</v>
      </c>
      <c r="B35" s="191">
        <v>43102</v>
      </c>
      <c r="C35" s="138" t="s">
        <v>1468</v>
      </c>
      <c r="D35" s="138" t="s">
        <v>1494</v>
      </c>
      <c r="E35" s="146" t="s">
        <v>85</v>
      </c>
      <c r="F35" s="138"/>
      <c r="G35" s="138">
        <v>287</v>
      </c>
      <c r="H35" s="139">
        <v>4350920</v>
      </c>
      <c r="I35" s="138"/>
      <c r="J35" s="226">
        <f>790000-180000</f>
        <v>610000</v>
      </c>
      <c r="K35" s="141"/>
      <c r="L35" s="150"/>
      <c r="M35" s="141"/>
      <c r="N35" s="141"/>
      <c r="O35" s="139">
        <f t="shared" si="0"/>
        <v>4960920</v>
      </c>
      <c r="P35" s="139">
        <v>3454545</v>
      </c>
      <c r="Q35" s="139">
        <f t="shared" si="1"/>
        <v>-1506375</v>
      </c>
      <c r="R35" s="217"/>
      <c r="S35" s="215"/>
      <c r="T35" s="215"/>
    </row>
    <row r="36" spans="1:20" s="144" customFormat="1" ht="12.75" customHeight="1" x14ac:dyDescent="0.2">
      <c r="A36" s="211"/>
      <c r="B36" s="191"/>
      <c r="C36" s="138"/>
      <c r="D36" s="138"/>
      <c r="E36" s="146"/>
      <c r="F36" s="138"/>
      <c r="G36" s="138"/>
      <c r="H36" s="139"/>
      <c r="I36" s="138"/>
      <c r="J36" s="141"/>
      <c r="K36" s="141"/>
      <c r="L36" s="150"/>
      <c r="M36" s="141"/>
      <c r="N36" s="141"/>
      <c r="O36" s="139">
        <f t="shared" si="0"/>
        <v>0</v>
      </c>
      <c r="P36" s="139"/>
      <c r="Q36" s="139">
        <f t="shared" ref="Q36:Q45" si="2">P36-O36</f>
        <v>0</v>
      </c>
      <c r="R36" s="217"/>
      <c r="S36" s="215"/>
      <c r="T36" s="215"/>
    </row>
    <row r="37" spans="1:20" s="144" customFormat="1" ht="12.75" customHeight="1" x14ac:dyDescent="0.2">
      <c r="A37" s="211"/>
      <c r="B37" s="191"/>
      <c r="C37" s="220" t="s">
        <v>1515</v>
      </c>
      <c r="D37" s="220"/>
      <c r="E37" s="221"/>
      <c r="F37" s="220"/>
      <c r="G37" s="220"/>
      <c r="H37" s="219"/>
      <c r="I37" s="220"/>
      <c r="J37" s="157"/>
      <c r="K37" s="157"/>
      <c r="L37" s="157">
        <v>5400000</v>
      </c>
      <c r="M37" s="141"/>
      <c r="N37" s="141"/>
      <c r="O37" s="139">
        <f t="shared" si="0"/>
        <v>5400000</v>
      </c>
      <c r="P37" s="139"/>
      <c r="Q37" s="139">
        <f t="shared" si="2"/>
        <v>-5400000</v>
      </c>
      <c r="R37" s="217"/>
      <c r="S37" s="215"/>
      <c r="T37" s="215"/>
    </row>
    <row r="38" spans="1:20" s="144" customFormat="1" ht="45" customHeight="1" x14ac:dyDescent="0.2">
      <c r="A38" s="211"/>
      <c r="B38" s="191"/>
      <c r="C38" s="221" t="s">
        <v>1509</v>
      </c>
      <c r="D38" s="220"/>
      <c r="E38" s="221"/>
      <c r="F38" s="220"/>
      <c r="G38" s="220"/>
      <c r="H38" s="219"/>
      <c r="I38" s="220"/>
      <c r="J38" s="157"/>
      <c r="K38" s="157"/>
      <c r="L38" s="157">
        <f>6160000/4</f>
        <v>1540000</v>
      </c>
      <c r="M38" s="141"/>
      <c r="N38" s="141"/>
      <c r="O38" s="139">
        <f t="shared" si="0"/>
        <v>1540000</v>
      </c>
      <c r="P38" s="139"/>
      <c r="Q38" s="139">
        <f t="shared" si="2"/>
        <v>-1540000</v>
      </c>
      <c r="R38" s="217"/>
      <c r="S38" s="215"/>
      <c r="T38" s="215"/>
    </row>
    <row r="39" spans="1:20" s="144" customFormat="1" ht="36.75" customHeight="1" x14ac:dyDescent="0.2">
      <c r="A39" s="211"/>
      <c r="B39" s="191"/>
      <c r="C39" s="221" t="s">
        <v>1510</v>
      </c>
      <c r="D39" s="220"/>
      <c r="E39" s="221"/>
      <c r="F39" s="220"/>
      <c r="G39" s="220"/>
      <c r="H39" s="219"/>
      <c r="I39" s="220"/>
      <c r="J39" s="157"/>
      <c r="K39" s="157"/>
      <c r="L39" s="157">
        <v>180000</v>
      </c>
      <c r="M39" s="141"/>
      <c r="N39" s="141"/>
      <c r="O39" s="139">
        <f t="shared" si="0"/>
        <v>180000</v>
      </c>
      <c r="P39" s="139"/>
      <c r="Q39" s="139">
        <f t="shared" si="2"/>
        <v>-180000</v>
      </c>
      <c r="R39" s="217"/>
      <c r="S39" s="215"/>
      <c r="T39" s="215"/>
    </row>
    <row r="40" spans="1:20" s="144" customFormat="1" ht="40.5" customHeight="1" x14ac:dyDescent="0.2">
      <c r="A40" s="211"/>
      <c r="B40" s="191"/>
      <c r="C40" s="221" t="s">
        <v>1511</v>
      </c>
      <c r="D40" s="220"/>
      <c r="E40" s="221"/>
      <c r="F40" s="220"/>
      <c r="G40" s="220"/>
      <c r="H40" s="219"/>
      <c r="I40" s="220"/>
      <c r="J40" s="157"/>
      <c r="K40" s="157"/>
      <c r="L40" s="157">
        <v>170000</v>
      </c>
      <c r="M40" s="141"/>
      <c r="N40" s="141"/>
      <c r="O40" s="139">
        <f t="shared" si="0"/>
        <v>170000</v>
      </c>
      <c r="P40" s="139"/>
      <c r="Q40" s="139">
        <f t="shared" si="2"/>
        <v>-170000</v>
      </c>
      <c r="R40" s="217"/>
      <c r="S40" s="215"/>
      <c r="T40" s="215"/>
    </row>
    <row r="41" spans="1:20" s="144" customFormat="1" ht="40.5" customHeight="1" x14ac:dyDescent="0.2">
      <c r="A41" s="211"/>
      <c r="B41" s="191"/>
      <c r="C41" s="221" t="s">
        <v>1514</v>
      </c>
      <c r="D41" s="220"/>
      <c r="E41" s="221"/>
      <c r="F41" s="220"/>
      <c r="G41" s="220"/>
      <c r="H41" s="219"/>
      <c r="I41" s="220"/>
      <c r="J41" s="157"/>
      <c r="K41" s="157"/>
      <c r="L41" s="222">
        <v>250000</v>
      </c>
      <c r="M41" s="141"/>
      <c r="N41" s="141"/>
      <c r="O41" s="139">
        <f t="shared" si="0"/>
        <v>250000</v>
      </c>
      <c r="P41" s="139"/>
      <c r="Q41" s="139">
        <f t="shared" si="2"/>
        <v>-250000</v>
      </c>
      <c r="R41" s="217"/>
      <c r="S41" s="215"/>
      <c r="T41" s="215"/>
    </row>
    <row r="42" spans="1:20" s="144" customFormat="1" ht="40.5" customHeight="1" x14ac:dyDescent="0.2">
      <c r="A42" s="211"/>
      <c r="B42" s="191"/>
      <c r="C42" s="221" t="s">
        <v>1513</v>
      </c>
      <c r="D42" s="220"/>
      <c r="E42" s="221"/>
      <c r="F42" s="220"/>
      <c r="G42" s="220"/>
      <c r="H42" s="219"/>
      <c r="I42" s="220"/>
      <c r="J42" s="157"/>
      <c r="K42" s="157"/>
      <c r="L42" s="222">
        <v>1440000</v>
      </c>
      <c r="M42" s="141"/>
      <c r="N42" s="141"/>
      <c r="O42" s="139">
        <f t="shared" si="0"/>
        <v>1440000</v>
      </c>
      <c r="P42" s="139"/>
      <c r="Q42" s="139">
        <f t="shared" si="2"/>
        <v>-1440000</v>
      </c>
      <c r="R42" s="217"/>
      <c r="S42" s="215"/>
      <c r="T42" s="215"/>
    </row>
    <row r="43" spans="1:20" s="159" customFormat="1" x14ac:dyDescent="0.25">
      <c r="A43" s="211"/>
      <c r="B43" s="165"/>
      <c r="C43" s="196" t="s">
        <v>1337</v>
      </c>
      <c r="D43" s="195"/>
      <c r="E43" s="197"/>
      <c r="F43" s="195"/>
      <c r="G43" s="195"/>
      <c r="H43" s="155"/>
      <c r="I43" s="195"/>
      <c r="J43" s="155"/>
      <c r="K43" s="157">
        <v>9692308</v>
      </c>
      <c r="M43" s="155"/>
      <c r="N43" s="155"/>
      <c r="O43" s="139">
        <f t="shared" si="0"/>
        <v>9692308</v>
      </c>
      <c r="P43" s="139"/>
      <c r="Q43" s="139">
        <f t="shared" si="2"/>
        <v>-9692308</v>
      </c>
      <c r="S43" s="215"/>
      <c r="T43" s="215"/>
    </row>
    <row r="44" spans="1:20" s="159" customFormat="1" x14ac:dyDescent="0.25">
      <c r="A44" s="211"/>
      <c r="B44" s="203"/>
      <c r="C44" s="152" t="s">
        <v>1512</v>
      </c>
      <c r="D44" s="153"/>
      <c r="E44" s="154"/>
      <c r="F44" s="153"/>
      <c r="G44" s="153"/>
      <c r="H44" s="156"/>
      <c r="I44" s="153"/>
      <c r="J44" s="156"/>
      <c r="K44" s="204">
        <v>300000</v>
      </c>
      <c r="M44" s="156"/>
      <c r="N44" s="156"/>
      <c r="O44" s="139">
        <f t="shared" si="0"/>
        <v>300000</v>
      </c>
      <c r="P44" s="139"/>
      <c r="Q44" s="139"/>
      <c r="S44" s="215"/>
      <c r="T44" s="215"/>
    </row>
    <row r="45" spans="1:20" s="159" customFormat="1" x14ac:dyDescent="0.25">
      <c r="A45" s="211"/>
      <c r="B45" s="203"/>
      <c r="C45" s="152" t="s">
        <v>1094</v>
      </c>
      <c r="D45" s="153"/>
      <c r="E45" s="154"/>
      <c r="F45" s="153"/>
      <c r="G45" s="153"/>
      <c r="H45" s="156"/>
      <c r="I45" s="153"/>
      <c r="J45" s="156"/>
      <c r="K45" s="204">
        <f>1200000*1.1</f>
        <v>1320000</v>
      </c>
      <c r="L45" s="204"/>
      <c r="M45" s="156"/>
      <c r="N45" s="156"/>
      <c r="O45" s="139">
        <f t="shared" si="0"/>
        <v>1320000</v>
      </c>
      <c r="P45" s="139"/>
      <c r="Q45" s="139">
        <f t="shared" si="2"/>
        <v>-1320000</v>
      </c>
      <c r="R45" s="186"/>
      <c r="S45" s="215"/>
      <c r="T45" s="215"/>
    </row>
    <row r="46" spans="1:20" x14ac:dyDescent="0.25">
      <c r="A46" s="426" t="s">
        <v>20</v>
      </c>
      <c r="B46" s="426"/>
      <c r="C46" s="426"/>
      <c r="D46" s="426"/>
      <c r="E46" s="426"/>
      <c r="F46" s="426"/>
      <c r="G46" s="161">
        <f t="shared" ref="G46:N46" si="3">SUM(G7:G45)</f>
        <v>3052</v>
      </c>
      <c r="H46" s="161">
        <f t="shared" si="3"/>
        <v>46305160</v>
      </c>
      <c r="I46" s="161">
        <f t="shared" si="3"/>
        <v>0</v>
      </c>
      <c r="J46" s="161">
        <f t="shared" si="3"/>
        <v>28770000</v>
      </c>
      <c r="K46" s="161">
        <f t="shared" si="3"/>
        <v>11312308</v>
      </c>
      <c r="L46" s="161">
        <f t="shared" si="3"/>
        <v>8980000</v>
      </c>
      <c r="M46" s="161">
        <f t="shared" si="3"/>
        <v>0</v>
      </c>
      <c r="N46" s="161">
        <f t="shared" si="3"/>
        <v>0</v>
      </c>
      <c r="O46" s="161">
        <f>SUM(O9:O45)</f>
        <v>95367468</v>
      </c>
      <c r="P46" s="161">
        <f>SUM(P7:P45)</f>
        <v>128827273</v>
      </c>
      <c r="Q46" s="161">
        <f>SUM(Q9:Q45)</f>
        <v>33759805</v>
      </c>
      <c r="R46" s="187"/>
      <c r="S46" s="189"/>
    </row>
    <row r="47" spans="1:20" x14ac:dyDescent="0.25">
      <c r="O47" s="158"/>
      <c r="Q47" s="158"/>
    </row>
    <row r="48" spans="1:20" x14ac:dyDescent="0.25">
      <c r="P48" s="216" t="s">
        <v>1095</v>
      </c>
      <c r="Q48" s="227">
        <f>'11-2017'!Q50+'12-2017'!Q46</f>
        <v>241184838.53846154</v>
      </c>
    </row>
    <row r="49" spans="1:18" x14ac:dyDescent="0.25">
      <c r="B49" s="129"/>
      <c r="H49" s="128"/>
      <c r="J49" s="128"/>
      <c r="K49" s="128"/>
      <c r="L49" s="128"/>
      <c r="M49" s="128"/>
      <c r="N49" s="128"/>
      <c r="O49" s="128"/>
      <c r="P49" s="218"/>
      <c r="Q49" s="216"/>
    </row>
    <row r="50" spans="1:18" x14ac:dyDescent="0.25">
      <c r="B50" s="129"/>
      <c r="H50" s="128"/>
      <c r="J50" s="128"/>
      <c r="K50" s="128"/>
      <c r="L50" s="128"/>
      <c r="M50" s="128"/>
      <c r="N50" s="128"/>
      <c r="O50" s="128"/>
      <c r="P50" s="218"/>
      <c r="Q50" s="228">
        <v>25348000</v>
      </c>
      <c r="R50" s="128" t="s">
        <v>1516</v>
      </c>
    </row>
    <row r="51" spans="1:18" x14ac:dyDescent="0.25">
      <c r="B51" s="129"/>
      <c r="H51" s="128"/>
      <c r="J51" s="128"/>
      <c r="K51" s="128"/>
      <c r="L51" s="128"/>
      <c r="M51" s="128"/>
      <c r="N51" s="128"/>
      <c r="O51" s="128"/>
      <c r="P51" s="218"/>
      <c r="Q51" s="216"/>
    </row>
    <row r="52" spans="1:18" x14ac:dyDescent="0.25">
      <c r="B52" s="129"/>
      <c r="H52" s="128"/>
      <c r="J52" s="128"/>
      <c r="K52" s="128"/>
      <c r="L52" s="128"/>
      <c r="M52" s="128"/>
      <c r="N52" s="128"/>
      <c r="O52" s="128"/>
      <c r="P52" s="218"/>
      <c r="Q52" s="216"/>
    </row>
    <row r="53" spans="1:18" x14ac:dyDescent="0.25">
      <c r="B53" s="129"/>
      <c r="H53" s="128"/>
      <c r="J53" s="128"/>
      <c r="K53" s="128"/>
      <c r="L53" s="128"/>
      <c r="M53" s="128"/>
      <c r="N53" s="128"/>
      <c r="O53" s="128"/>
      <c r="P53" s="218"/>
      <c r="Q53" s="216"/>
    </row>
    <row r="54" spans="1:18" x14ac:dyDescent="0.25">
      <c r="A54" s="128"/>
      <c r="B54" s="129"/>
      <c r="H54" s="128"/>
      <c r="J54" s="128"/>
      <c r="K54" s="128"/>
      <c r="L54" s="128"/>
      <c r="M54" s="128"/>
      <c r="N54" s="128"/>
      <c r="O54" s="128"/>
      <c r="P54" s="218"/>
      <c r="Q54" s="216"/>
    </row>
    <row r="55" spans="1:18" x14ac:dyDescent="0.25">
      <c r="A55" s="128"/>
      <c r="B55" s="129"/>
      <c r="H55" s="128"/>
      <c r="J55" s="128"/>
      <c r="K55" s="128"/>
      <c r="L55" s="128"/>
      <c r="M55" s="128"/>
      <c r="N55" s="128"/>
      <c r="O55" s="128"/>
      <c r="P55" s="128"/>
      <c r="Q55" s="216"/>
    </row>
    <row r="56" spans="1:18" x14ac:dyDescent="0.25">
      <c r="A56" s="128"/>
      <c r="B56" s="128"/>
      <c r="H56" s="128"/>
      <c r="J56" s="128"/>
      <c r="K56" s="128"/>
      <c r="L56" s="128"/>
      <c r="M56" s="128"/>
      <c r="N56" s="128"/>
      <c r="O56" s="128"/>
      <c r="P56" s="128"/>
      <c r="Q56" s="216"/>
    </row>
    <row r="57" spans="1:18" x14ac:dyDescent="0.25">
      <c r="A57" s="128"/>
      <c r="B57" s="128"/>
      <c r="H57" s="128"/>
      <c r="J57" s="128"/>
      <c r="K57" s="128"/>
      <c r="L57" s="128"/>
      <c r="M57" s="128"/>
      <c r="N57" s="128"/>
      <c r="O57" s="128"/>
      <c r="P57" s="128"/>
      <c r="Q57" s="216"/>
    </row>
  </sheetData>
  <mergeCells count="14">
    <mergeCell ref="O5:O6"/>
    <mergeCell ref="P5:P6"/>
    <mergeCell ref="Q5:Q6"/>
    <mergeCell ref="A46:F4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1"/>
  <sheetViews>
    <sheetView topLeftCell="H34" zoomScaleNormal="100" workbookViewId="0">
      <selection activeCell="Q42" sqref="Q42"/>
    </sheetView>
  </sheetViews>
  <sheetFormatPr defaultColWidth="9.140625" defaultRowHeight="12.75" x14ac:dyDescent="0.25"/>
  <cols>
    <col min="1" max="1" width="4.5703125" style="129" customWidth="1"/>
    <col min="2" max="2" width="10.28515625" style="163" customWidth="1"/>
    <col min="3" max="3" width="38" style="128" customWidth="1"/>
    <col min="4" max="4" width="18.28515625" style="128" customWidth="1"/>
    <col min="5" max="5" width="39.140625" style="128" customWidth="1"/>
    <col min="6" max="6" width="11.5703125" style="128" customWidth="1"/>
    <col min="7" max="7" width="8" style="128" customWidth="1"/>
    <col min="8" max="8" width="11" style="143" customWidth="1"/>
    <col min="9" max="9" width="12.28515625" style="128" customWidth="1"/>
    <col min="10" max="10" width="14.5703125" style="143" customWidth="1"/>
    <col min="11" max="11" width="10.28515625" style="143" customWidth="1"/>
    <col min="12" max="12" width="10.85546875" style="143" customWidth="1"/>
    <col min="13" max="13" width="11.28515625" style="143" customWidth="1"/>
    <col min="14" max="14" width="9.5703125" style="143" customWidth="1"/>
    <col min="15" max="15" width="12.7109375" style="143" customWidth="1"/>
    <col min="16" max="16" width="16.42578125" style="143" customWidth="1"/>
    <col min="17" max="17" width="17.57031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1517</v>
      </c>
      <c r="C3" s="417"/>
      <c r="D3" s="417"/>
      <c r="E3" s="417"/>
      <c r="F3" s="417"/>
      <c r="G3" s="417"/>
      <c r="H3" s="417"/>
      <c r="I3" s="417"/>
      <c r="J3" s="417"/>
      <c r="K3" s="417"/>
      <c r="L3" s="417"/>
      <c r="M3" s="417"/>
      <c r="N3" s="417"/>
      <c r="O3" s="417"/>
      <c r="P3" s="417"/>
      <c r="Q3" s="417"/>
    </row>
    <row r="5" spans="1:20" s="129" customFormat="1" ht="21.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1.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1.95" customHeight="1" x14ac:dyDescent="0.25">
      <c r="A7" s="210"/>
      <c r="B7" s="135"/>
      <c r="C7" s="199"/>
      <c r="D7" s="137"/>
      <c r="E7" s="137"/>
      <c r="F7" s="200"/>
      <c r="G7" s="142"/>
      <c r="H7" s="201"/>
      <c r="I7" s="201"/>
      <c r="J7" s="202"/>
      <c r="K7" s="202"/>
      <c r="L7" s="202"/>
      <c r="M7" s="202"/>
      <c r="N7" s="202"/>
      <c r="O7" s="142"/>
      <c r="P7" s="142"/>
      <c r="Q7" s="142"/>
    </row>
    <row r="8" spans="1:20" s="144" customFormat="1" ht="21.95" customHeight="1" x14ac:dyDescent="0.25">
      <c r="A8" s="210"/>
      <c r="B8" s="135"/>
      <c r="C8" s="199"/>
      <c r="D8" s="137"/>
      <c r="E8" s="137"/>
      <c r="F8" s="200"/>
      <c r="G8" s="142"/>
      <c r="H8" s="201"/>
      <c r="I8" s="201"/>
      <c r="J8" s="202"/>
      <c r="K8" s="202"/>
      <c r="L8" s="202"/>
      <c r="M8" s="202"/>
      <c r="N8" s="202"/>
      <c r="O8" s="139"/>
      <c r="P8" s="142"/>
      <c r="Q8" s="139"/>
    </row>
    <row r="9" spans="1:20" s="144" customFormat="1" ht="21.95" customHeight="1" x14ac:dyDescent="0.2">
      <c r="A9" s="211">
        <v>1</v>
      </c>
      <c r="B9" s="191">
        <v>43102</v>
      </c>
      <c r="C9" s="138" t="s">
        <v>1518</v>
      </c>
      <c r="D9" s="138" t="s">
        <v>1540</v>
      </c>
      <c r="E9" s="146" t="s">
        <v>1565</v>
      </c>
      <c r="F9" s="138"/>
      <c r="G9" s="138">
        <v>91</v>
      </c>
      <c r="H9" s="139">
        <v>1379560</v>
      </c>
      <c r="I9" s="138"/>
      <c r="J9" s="226">
        <f>1600000-90000-90000</f>
        <v>1420000</v>
      </c>
      <c r="K9" s="141"/>
      <c r="L9" s="150"/>
      <c r="M9" s="141"/>
      <c r="N9" s="141"/>
      <c r="O9" s="139">
        <f>H9+J9+K9+L9+M9+N9</f>
        <v>2799560</v>
      </c>
      <c r="P9" s="139">
        <v>5200000</v>
      </c>
      <c r="Q9" s="139">
        <f>P9-O9</f>
        <v>2400440</v>
      </c>
      <c r="R9" s="217"/>
      <c r="S9" s="215"/>
      <c r="T9" s="215"/>
    </row>
    <row r="10" spans="1:20" s="144" customFormat="1" ht="21.95" customHeight="1" x14ac:dyDescent="0.2">
      <c r="A10" s="211">
        <v>2</v>
      </c>
      <c r="B10" s="191">
        <v>43102</v>
      </c>
      <c r="C10" s="138" t="s">
        <v>1519</v>
      </c>
      <c r="D10" s="138" t="s">
        <v>1541</v>
      </c>
      <c r="E10" s="146" t="s">
        <v>406</v>
      </c>
      <c r="F10" s="138"/>
      <c r="G10" s="138"/>
      <c r="H10" s="139"/>
      <c r="I10" s="138"/>
      <c r="J10" s="226">
        <f>790000-180000</f>
        <v>610000</v>
      </c>
      <c r="K10" s="141"/>
      <c r="L10" s="150"/>
      <c r="M10" s="141"/>
      <c r="N10" s="141"/>
      <c r="O10" s="139">
        <f t="shared" ref="O10:O39" si="0">H10+J10+K10+L10+M10+N10</f>
        <v>610000</v>
      </c>
      <c r="P10" s="141">
        <v>3800000</v>
      </c>
      <c r="Q10" s="139">
        <f t="shared" ref="Q10:Q39" si="1">P10-O10</f>
        <v>3190000</v>
      </c>
      <c r="R10" s="217"/>
      <c r="S10" s="215"/>
      <c r="T10" s="215"/>
    </row>
    <row r="11" spans="1:20" s="144" customFormat="1" ht="21.95" customHeight="1" x14ac:dyDescent="0.2">
      <c r="A11" s="211">
        <v>3</v>
      </c>
      <c r="B11" s="191">
        <v>43103</v>
      </c>
      <c r="C11" s="138" t="s">
        <v>1520</v>
      </c>
      <c r="D11" s="138" t="s">
        <v>1542</v>
      </c>
      <c r="E11" s="146" t="s">
        <v>763</v>
      </c>
      <c r="F11" s="138"/>
      <c r="G11" s="138"/>
      <c r="H11" s="139"/>
      <c r="I11" s="138"/>
      <c r="J11" s="226">
        <f>790000-180000</f>
        <v>610000</v>
      </c>
      <c r="K11" s="141"/>
      <c r="L11" s="150"/>
      <c r="M11" s="141"/>
      <c r="N11" s="141"/>
      <c r="O11" s="139">
        <f t="shared" si="0"/>
        <v>610000</v>
      </c>
      <c r="P11" s="139">
        <v>3700000</v>
      </c>
      <c r="Q11" s="139">
        <f t="shared" si="1"/>
        <v>3090000</v>
      </c>
      <c r="R11" s="217"/>
      <c r="S11" s="215"/>
      <c r="T11" s="215"/>
    </row>
    <row r="12" spans="1:20" s="144" customFormat="1" ht="21.95" customHeight="1" x14ac:dyDescent="0.2">
      <c r="A12" s="211">
        <v>4</v>
      </c>
      <c r="B12" s="191">
        <v>43104</v>
      </c>
      <c r="C12" s="138" t="s">
        <v>1521</v>
      </c>
      <c r="D12" s="138" t="s">
        <v>1543</v>
      </c>
      <c r="E12" s="146" t="s">
        <v>1501</v>
      </c>
      <c r="F12" s="138"/>
      <c r="G12" s="138">
        <v>291</v>
      </c>
      <c r="H12" s="139">
        <v>4516320</v>
      </c>
      <c r="I12" s="138"/>
      <c r="J12" s="226">
        <v>1100000</v>
      </c>
      <c r="K12" s="141"/>
      <c r="L12" s="150"/>
      <c r="M12" s="141"/>
      <c r="N12" s="141"/>
      <c r="O12" s="139">
        <f t="shared" si="0"/>
        <v>5616320</v>
      </c>
      <c r="P12" s="139">
        <v>4700000</v>
      </c>
      <c r="Q12" s="139">
        <f t="shared" si="1"/>
        <v>-916320</v>
      </c>
      <c r="R12" s="217"/>
      <c r="S12" s="215"/>
      <c r="T12" s="215"/>
    </row>
    <row r="13" spans="1:20" s="144" customFormat="1" ht="21.95" customHeight="1" x14ac:dyDescent="0.2">
      <c r="A13" s="211">
        <v>5</v>
      </c>
      <c r="B13" s="191">
        <v>43105</v>
      </c>
      <c r="C13" s="138" t="s">
        <v>1522</v>
      </c>
      <c r="D13" s="138" t="s">
        <v>1544</v>
      </c>
      <c r="E13" s="146" t="s">
        <v>333</v>
      </c>
      <c r="F13" s="138"/>
      <c r="G13" s="138"/>
      <c r="H13" s="139"/>
      <c r="I13" s="138"/>
      <c r="J13" s="226">
        <f>1160000-90000</f>
        <v>1070000</v>
      </c>
      <c r="K13" s="141"/>
      <c r="L13" s="150"/>
      <c r="M13" s="141"/>
      <c r="N13" s="141"/>
      <c r="O13" s="139">
        <f t="shared" si="0"/>
        <v>1070000</v>
      </c>
      <c r="P13" s="139">
        <v>4700000</v>
      </c>
      <c r="Q13" s="139">
        <f t="shared" si="1"/>
        <v>3630000</v>
      </c>
      <c r="R13" s="217"/>
      <c r="S13" s="215"/>
      <c r="T13" s="215"/>
    </row>
    <row r="14" spans="1:20" s="144" customFormat="1" ht="21.95" customHeight="1" x14ac:dyDescent="0.2">
      <c r="A14" s="211">
        <v>6</v>
      </c>
      <c r="B14" s="191">
        <v>43107</v>
      </c>
      <c r="C14" s="138" t="s">
        <v>1523</v>
      </c>
      <c r="D14" s="138" t="s">
        <v>1545</v>
      </c>
      <c r="E14" s="146" t="s">
        <v>1566</v>
      </c>
      <c r="F14" s="138"/>
      <c r="G14" s="138"/>
      <c r="H14" s="139"/>
      <c r="I14" s="138"/>
      <c r="J14" s="226">
        <v>440000</v>
      </c>
      <c r="K14" s="141"/>
      <c r="L14" s="150"/>
      <c r="M14" s="141"/>
      <c r="N14" s="141"/>
      <c r="O14" s="139">
        <f t="shared" si="0"/>
        <v>440000</v>
      </c>
      <c r="P14" s="139">
        <v>2700000</v>
      </c>
      <c r="Q14" s="139">
        <f t="shared" si="1"/>
        <v>2260000</v>
      </c>
      <c r="R14" s="217"/>
      <c r="S14" s="215"/>
      <c r="T14" s="215"/>
    </row>
    <row r="15" spans="1:20" s="144" customFormat="1" ht="21.95" customHeight="1" x14ac:dyDescent="0.2">
      <c r="A15" s="211">
        <v>7</v>
      </c>
      <c r="B15" s="191">
        <v>43108</v>
      </c>
      <c r="C15" s="138" t="s">
        <v>1524</v>
      </c>
      <c r="D15" s="138" t="s">
        <v>1546</v>
      </c>
      <c r="E15" s="146" t="s">
        <v>948</v>
      </c>
      <c r="F15" s="138"/>
      <c r="G15" s="138">
        <v>305</v>
      </c>
      <c r="H15" s="139">
        <v>4733600</v>
      </c>
      <c r="I15" s="138"/>
      <c r="J15" s="226">
        <f>1160000-90000</f>
        <v>1070000</v>
      </c>
      <c r="K15" s="141"/>
      <c r="L15" s="150"/>
      <c r="M15" s="141"/>
      <c r="N15" s="141"/>
      <c r="O15" s="139">
        <f t="shared" si="0"/>
        <v>5803600</v>
      </c>
      <c r="P15" s="139">
        <v>4800000</v>
      </c>
      <c r="Q15" s="139">
        <f t="shared" si="1"/>
        <v>-1003600</v>
      </c>
      <c r="R15" s="217"/>
      <c r="S15" s="215"/>
      <c r="T15" s="215"/>
    </row>
    <row r="16" spans="1:20" s="144" customFormat="1" ht="21.95" customHeight="1" x14ac:dyDescent="0.2">
      <c r="A16" s="211">
        <v>8</v>
      </c>
      <c r="B16" s="191">
        <v>43109</v>
      </c>
      <c r="C16" s="138" t="s">
        <v>1525</v>
      </c>
      <c r="D16" s="138" t="s">
        <v>1547</v>
      </c>
      <c r="E16" s="146" t="s">
        <v>763</v>
      </c>
      <c r="F16" s="138"/>
      <c r="G16" s="138"/>
      <c r="H16" s="139"/>
      <c r="I16" s="138"/>
      <c r="J16" s="226">
        <f>790000-180000</f>
        <v>610000</v>
      </c>
      <c r="K16" s="141"/>
      <c r="L16" s="150"/>
      <c r="M16" s="141"/>
      <c r="N16" s="141"/>
      <c r="O16" s="139">
        <f t="shared" si="0"/>
        <v>610000</v>
      </c>
      <c r="P16" s="139">
        <v>3700000</v>
      </c>
      <c r="Q16" s="139">
        <f t="shared" si="1"/>
        <v>3090000</v>
      </c>
      <c r="R16" s="217"/>
      <c r="S16" s="215"/>
      <c r="T16" s="215"/>
    </row>
    <row r="17" spans="1:20" s="144" customFormat="1" ht="21.95" customHeight="1" x14ac:dyDescent="0.2">
      <c r="A17" s="211">
        <v>9</v>
      </c>
      <c r="B17" s="191">
        <v>43110</v>
      </c>
      <c r="C17" s="138" t="s">
        <v>1526</v>
      </c>
      <c r="D17" s="138" t="s">
        <v>1548</v>
      </c>
      <c r="E17" s="146" t="s">
        <v>1567</v>
      </c>
      <c r="F17" s="138"/>
      <c r="G17" s="138"/>
      <c r="H17" s="139"/>
      <c r="I17" s="138"/>
      <c r="J17" s="226">
        <f>1420000-90000</f>
        <v>1330000</v>
      </c>
      <c r="K17" s="141"/>
      <c r="L17" s="150"/>
      <c r="M17" s="141"/>
      <c r="N17" s="141"/>
      <c r="O17" s="139">
        <f t="shared" si="0"/>
        <v>1330000</v>
      </c>
      <c r="P17" s="139">
        <v>5200000</v>
      </c>
      <c r="Q17" s="139">
        <f t="shared" si="1"/>
        <v>3870000</v>
      </c>
      <c r="R17" s="217"/>
      <c r="S17" s="215"/>
      <c r="T17" s="215"/>
    </row>
    <row r="18" spans="1:20" s="144" customFormat="1" ht="21.95" customHeight="1" x14ac:dyDescent="0.2">
      <c r="A18" s="211">
        <v>10</v>
      </c>
      <c r="B18" s="191">
        <v>43111</v>
      </c>
      <c r="C18" s="138" t="s">
        <v>1527</v>
      </c>
      <c r="D18" s="138" t="s">
        <v>1549</v>
      </c>
      <c r="E18" s="146" t="s">
        <v>948</v>
      </c>
      <c r="F18" s="138"/>
      <c r="G18" s="138">
        <v>300</v>
      </c>
      <c r="H18" s="139">
        <v>4656000</v>
      </c>
      <c r="I18" s="138"/>
      <c r="J18" s="226">
        <f>1160000-90000</f>
        <v>1070000</v>
      </c>
      <c r="K18" s="141"/>
      <c r="L18" s="150"/>
      <c r="M18" s="141"/>
      <c r="N18" s="141"/>
      <c r="O18" s="139">
        <f t="shared" si="0"/>
        <v>5726000</v>
      </c>
      <c r="P18" s="139">
        <v>4800000</v>
      </c>
      <c r="Q18" s="139">
        <f t="shared" si="1"/>
        <v>-926000</v>
      </c>
      <c r="R18" s="217"/>
      <c r="S18" s="215"/>
      <c r="T18" s="215"/>
    </row>
    <row r="19" spans="1:20" s="144" customFormat="1" ht="21.95" customHeight="1" x14ac:dyDescent="0.2">
      <c r="A19" s="211">
        <v>11</v>
      </c>
      <c r="B19" s="191">
        <v>43112</v>
      </c>
      <c r="C19" s="138" t="s">
        <v>1528</v>
      </c>
      <c r="D19" s="138" t="s">
        <v>1550</v>
      </c>
      <c r="E19" s="146" t="s">
        <v>948</v>
      </c>
      <c r="F19" s="138"/>
      <c r="G19" s="138"/>
      <c r="H19" s="139"/>
      <c r="I19" s="138"/>
      <c r="J19" s="226">
        <f>1160000-90000</f>
        <v>1070000</v>
      </c>
      <c r="K19" s="141"/>
      <c r="L19" s="150"/>
      <c r="M19" s="141"/>
      <c r="N19" s="141"/>
      <c r="O19" s="139">
        <f t="shared" si="0"/>
        <v>1070000</v>
      </c>
      <c r="P19" s="139">
        <v>4800000</v>
      </c>
      <c r="Q19" s="139">
        <f t="shared" si="1"/>
        <v>3730000</v>
      </c>
      <c r="R19" s="217"/>
      <c r="S19" s="215"/>
      <c r="T19" s="215"/>
    </row>
    <row r="20" spans="1:20" s="144" customFormat="1" ht="21.95" customHeight="1" x14ac:dyDescent="0.2">
      <c r="A20" s="211">
        <v>12</v>
      </c>
      <c r="B20" s="191">
        <v>43115</v>
      </c>
      <c r="C20" s="138" t="s">
        <v>1529</v>
      </c>
      <c r="D20" s="138" t="s">
        <v>1478</v>
      </c>
      <c r="E20" s="146" t="s">
        <v>948</v>
      </c>
      <c r="F20" s="138"/>
      <c r="G20" s="138"/>
      <c r="H20" s="139"/>
      <c r="I20" s="138"/>
      <c r="J20" s="229">
        <v>1160000</v>
      </c>
      <c r="K20" s="141"/>
      <c r="L20" s="150"/>
      <c r="M20" s="141"/>
      <c r="N20" s="141"/>
      <c r="O20" s="139">
        <f t="shared" si="0"/>
        <v>1160000</v>
      </c>
      <c r="P20" s="139">
        <v>4800000</v>
      </c>
      <c r="Q20" s="139">
        <f t="shared" si="1"/>
        <v>3640000</v>
      </c>
      <c r="R20" s="217"/>
      <c r="S20" s="215"/>
      <c r="T20" s="215"/>
    </row>
    <row r="21" spans="1:20" s="144" customFormat="1" ht="21.95" customHeight="1" x14ac:dyDescent="0.2">
      <c r="A21" s="211">
        <v>13</v>
      </c>
      <c r="B21" s="191">
        <v>43115</v>
      </c>
      <c r="C21" s="138" t="s">
        <v>128</v>
      </c>
      <c r="D21" s="138" t="s">
        <v>1551</v>
      </c>
      <c r="E21" s="146" t="s">
        <v>1568</v>
      </c>
      <c r="F21" s="138"/>
      <c r="G21" s="138"/>
      <c r="H21" s="139"/>
      <c r="I21" s="138"/>
      <c r="J21" s="226">
        <v>830000</v>
      </c>
      <c r="K21" s="141"/>
      <c r="L21" s="150"/>
      <c r="M21" s="141"/>
      <c r="N21" s="141"/>
      <c r="O21" s="139">
        <f t="shared" si="0"/>
        <v>830000</v>
      </c>
      <c r="P21" s="139">
        <v>3000000</v>
      </c>
      <c r="Q21" s="139">
        <f t="shared" si="1"/>
        <v>2170000</v>
      </c>
      <c r="R21" s="217"/>
      <c r="S21" s="215"/>
      <c r="T21" s="215"/>
    </row>
    <row r="22" spans="1:20" s="144" customFormat="1" ht="21.95" customHeight="1" x14ac:dyDescent="0.2">
      <c r="A22" s="211">
        <v>14</v>
      </c>
      <c r="B22" s="191">
        <v>43115</v>
      </c>
      <c r="C22" s="138" t="s">
        <v>1530</v>
      </c>
      <c r="D22" s="138" t="s">
        <v>1552</v>
      </c>
      <c r="E22" s="146" t="s">
        <v>1569</v>
      </c>
      <c r="F22" s="138"/>
      <c r="G22" s="138"/>
      <c r="H22" s="139"/>
      <c r="I22" s="138"/>
      <c r="J22" s="208">
        <v>0</v>
      </c>
      <c r="K22" s="141"/>
      <c r="L22" s="150"/>
      <c r="M22" s="141"/>
      <c r="N22" s="141"/>
      <c r="O22" s="139">
        <f t="shared" si="0"/>
        <v>0</v>
      </c>
      <c r="P22" s="139">
        <v>2500000</v>
      </c>
      <c r="Q22" s="139">
        <f t="shared" si="1"/>
        <v>2500000</v>
      </c>
      <c r="R22" s="217"/>
      <c r="S22" s="215"/>
      <c r="T22" s="215"/>
    </row>
    <row r="23" spans="1:20" s="144" customFormat="1" ht="21.95" customHeight="1" x14ac:dyDescent="0.2">
      <c r="A23" s="211">
        <v>15</v>
      </c>
      <c r="B23" s="191">
        <v>43116</v>
      </c>
      <c r="C23" s="138" t="s">
        <v>860</v>
      </c>
      <c r="D23" s="138" t="s">
        <v>1553</v>
      </c>
      <c r="E23" s="146" t="s">
        <v>948</v>
      </c>
      <c r="F23" s="138"/>
      <c r="G23" s="138"/>
      <c r="H23" s="139"/>
      <c r="I23" s="138"/>
      <c r="J23" s="226">
        <f>1160000-90000-90000</f>
        <v>980000</v>
      </c>
      <c r="K23" s="141"/>
      <c r="L23" s="150"/>
      <c r="M23" s="141"/>
      <c r="N23" s="141"/>
      <c r="O23" s="139">
        <f t="shared" si="0"/>
        <v>980000</v>
      </c>
      <c r="P23" s="139">
        <v>4800000</v>
      </c>
      <c r="Q23" s="139">
        <f t="shared" si="1"/>
        <v>3820000</v>
      </c>
      <c r="R23" s="217"/>
      <c r="S23" s="215"/>
      <c r="T23" s="215"/>
    </row>
    <row r="24" spans="1:20" s="144" customFormat="1" ht="21.95" customHeight="1" x14ac:dyDescent="0.2">
      <c r="A24" s="211">
        <v>16</v>
      </c>
      <c r="B24" s="191">
        <v>43117</v>
      </c>
      <c r="C24" s="138" t="s">
        <v>1531</v>
      </c>
      <c r="D24" s="138" t="s">
        <v>1554</v>
      </c>
      <c r="E24" s="146" t="s">
        <v>763</v>
      </c>
      <c r="F24" s="138"/>
      <c r="G24" s="138">
        <v>450</v>
      </c>
      <c r="H24" s="139">
        <v>6984000</v>
      </c>
      <c r="I24" s="138"/>
      <c r="J24" s="226">
        <f>790000-180000</f>
        <v>610000</v>
      </c>
      <c r="K24" s="141"/>
      <c r="L24" s="150"/>
      <c r="M24" s="141"/>
      <c r="N24" s="141"/>
      <c r="O24" s="139">
        <f t="shared" si="0"/>
        <v>7594000</v>
      </c>
      <c r="P24" s="139">
        <v>3700000</v>
      </c>
      <c r="Q24" s="139">
        <f t="shared" si="1"/>
        <v>-3894000</v>
      </c>
      <c r="R24" s="217"/>
      <c r="S24" s="215"/>
      <c r="T24" s="215"/>
    </row>
    <row r="25" spans="1:20" s="144" customFormat="1" ht="21.95" customHeight="1" x14ac:dyDescent="0.2">
      <c r="A25" s="211">
        <v>17</v>
      </c>
      <c r="B25" s="191">
        <v>43118</v>
      </c>
      <c r="C25" s="138" t="s">
        <v>1532</v>
      </c>
      <c r="D25" s="138" t="s">
        <v>1555</v>
      </c>
      <c r="E25" s="146" t="s">
        <v>1508</v>
      </c>
      <c r="F25" s="138"/>
      <c r="G25" s="138"/>
      <c r="H25" s="139"/>
      <c r="I25" s="138"/>
      <c r="J25" s="229">
        <v>1340000</v>
      </c>
      <c r="K25" s="141"/>
      <c r="L25" s="150"/>
      <c r="M25" s="141"/>
      <c r="N25" s="141"/>
      <c r="O25" s="139">
        <f t="shared" si="0"/>
        <v>1340000</v>
      </c>
      <c r="P25" s="139">
        <v>4700000</v>
      </c>
      <c r="Q25" s="139">
        <f t="shared" si="1"/>
        <v>3360000</v>
      </c>
      <c r="R25" s="217"/>
      <c r="S25" s="215"/>
      <c r="T25" s="215"/>
    </row>
    <row r="26" spans="1:20" s="144" customFormat="1" ht="21.95" customHeight="1" x14ac:dyDescent="0.2">
      <c r="A26" s="211">
        <v>18</v>
      </c>
      <c r="B26" s="191">
        <v>43120</v>
      </c>
      <c r="C26" s="138" t="s">
        <v>138</v>
      </c>
      <c r="D26" s="138" t="s">
        <v>1556</v>
      </c>
      <c r="E26" s="146" t="s">
        <v>25</v>
      </c>
      <c r="F26" s="138"/>
      <c r="G26" s="138"/>
      <c r="H26" s="139"/>
      <c r="I26" s="138"/>
      <c r="J26" s="226">
        <v>1350000</v>
      </c>
      <c r="K26" s="141"/>
      <c r="L26" s="150"/>
      <c r="M26" s="141"/>
      <c r="N26" s="141"/>
      <c r="O26" s="139">
        <f t="shared" si="0"/>
        <v>1350000</v>
      </c>
      <c r="P26" s="139">
        <v>7500000</v>
      </c>
      <c r="Q26" s="139">
        <f t="shared" si="1"/>
        <v>6150000</v>
      </c>
      <c r="R26" s="217"/>
      <c r="S26" s="215"/>
      <c r="T26" s="215"/>
    </row>
    <row r="27" spans="1:20" s="144" customFormat="1" ht="21.95" customHeight="1" x14ac:dyDescent="0.2">
      <c r="A27" s="211">
        <v>19</v>
      </c>
      <c r="B27" s="191">
        <v>43122</v>
      </c>
      <c r="C27" s="138" t="s">
        <v>1533</v>
      </c>
      <c r="D27" s="138" t="s">
        <v>1557</v>
      </c>
      <c r="E27" s="146" t="s">
        <v>948</v>
      </c>
      <c r="F27" s="138"/>
      <c r="G27" s="138">
        <v>500</v>
      </c>
      <c r="H27" s="139">
        <v>7975000</v>
      </c>
      <c r="I27" s="138"/>
      <c r="J27" s="226">
        <v>1070000</v>
      </c>
      <c r="K27" s="141"/>
      <c r="L27" s="150"/>
      <c r="M27" s="141"/>
      <c r="N27" s="141"/>
      <c r="O27" s="139">
        <f t="shared" si="0"/>
        <v>9045000</v>
      </c>
      <c r="P27" s="139">
        <v>4800000</v>
      </c>
      <c r="Q27" s="139">
        <f t="shared" si="1"/>
        <v>-4245000</v>
      </c>
      <c r="R27" s="217"/>
      <c r="S27" s="215"/>
      <c r="T27" s="215"/>
    </row>
    <row r="28" spans="1:20" s="144" customFormat="1" ht="21.95" customHeight="1" x14ac:dyDescent="0.2">
      <c r="A28" s="211">
        <v>20</v>
      </c>
      <c r="B28" s="191">
        <v>43123</v>
      </c>
      <c r="C28" s="138" t="s">
        <v>1534</v>
      </c>
      <c r="D28" s="138" t="s">
        <v>1558</v>
      </c>
      <c r="E28" s="146" t="s">
        <v>948</v>
      </c>
      <c r="F28" s="138"/>
      <c r="G28" s="138"/>
      <c r="H28" s="139"/>
      <c r="I28" s="138"/>
      <c r="J28" s="226">
        <v>1070000</v>
      </c>
      <c r="K28" s="141"/>
      <c r="L28" s="150"/>
      <c r="M28" s="141"/>
      <c r="N28" s="141"/>
      <c r="O28" s="139">
        <f t="shared" si="0"/>
        <v>1070000</v>
      </c>
      <c r="P28" s="139">
        <v>4800000</v>
      </c>
      <c r="Q28" s="139">
        <f t="shared" si="1"/>
        <v>3730000</v>
      </c>
      <c r="R28" s="217"/>
      <c r="S28" s="215"/>
      <c r="T28" s="215"/>
    </row>
    <row r="29" spans="1:20" s="144" customFormat="1" ht="21.95" customHeight="1" x14ac:dyDescent="0.2">
      <c r="A29" s="211">
        <v>21</v>
      </c>
      <c r="B29" s="191">
        <v>43124</v>
      </c>
      <c r="C29" s="138" t="s">
        <v>144</v>
      </c>
      <c r="D29" s="138" t="s">
        <v>1559</v>
      </c>
      <c r="E29" s="146" t="s">
        <v>1508</v>
      </c>
      <c r="F29" s="138"/>
      <c r="G29" s="138"/>
      <c r="H29" s="139"/>
      <c r="I29" s="138"/>
      <c r="J29" s="226">
        <f>1250000-180000</f>
        <v>1070000</v>
      </c>
      <c r="K29" s="141"/>
      <c r="L29" s="150"/>
      <c r="M29" s="141"/>
      <c r="N29" s="141"/>
      <c r="O29" s="139">
        <f t="shared" si="0"/>
        <v>1070000</v>
      </c>
      <c r="P29" s="139">
        <v>4700000</v>
      </c>
      <c r="Q29" s="139">
        <f t="shared" si="1"/>
        <v>3630000</v>
      </c>
      <c r="R29" s="217"/>
      <c r="S29" s="215"/>
      <c r="T29" s="215"/>
    </row>
    <row r="30" spans="1:20" s="144" customFormat="1" ht="21.95" customHeight="1" x14ac:dyDescent="0.2">
      <c r="A30" s="211">
        <v>22</v>
      </c>
      <c r="B30" s="191">
        <v>43125</v>
      </c>
      <c r="C30" s="138" t="s">
        <v>1535</v>
      </c>
      <c r="D30" s="138" t="s">
        <v>1560</v>
      </c>
      <c r="E30" s="146" t="s">
        <v>1570</v>
      </c>
      <c r="F30" s="138"/>
      <c r="G30" s="138"/>
      <c r="H30" s="139"/>
      <c r="I30" s="138"/>
      <c r="J30" s="226">
        <v>1330000</v>
      </c>
      <c r="K30" s="141"/>
      <c r="L30" s="150"/>
      <c r="M30" s="141"/>
      <c r="N30" s="141"/>
      <c r="O30" s="139">
        <f t="shared" si="0"/>
        <v>1330000</v>
      </c>
      <c r="P30" s="139">
        <v>5000000</v>
      </c>
      <c r="Q30" s="139">
        <f t="shared" si="1"/>
        <v>3670000</v>
      </c>
      <c r="R30" s="217"/>
      <c r="S30" s="215"/>
      <c r="T30" s="215"/>
    </row>
    <row r="31" spans="1:20" s="144" customFormat="1" ht="21.95" customHeight="1" x14ac:dyDescent="0.2">
      <c r="A31" s="211">
        <v>23</v>
      </c>
      <c r="B31" s="191">
        <v>43126</v>
      </c>
      <c r="C31" s="138" t="s">
        <v>1536</v>
      </c>
      <c r="D31" s="138" t="s">
        <v>1561</v>
      </c>
      <c r="E31" s="146" t="s">
        <v>1571</v>
      </c>
      <c r="F31" s="138"/>
      <c r="G31" s="138"/>
      <c r="H31" s="139"/>
      <c r="I31" s="138"/>
      <c r="J31" s="226">
        <f>610000+90000</f>
        <v>700000</v>
      </c>
      <c r="K31" s="141"/>
      <c r="L31" s="150"/>
      <c r="M31" s="141"/>
      <c r="N31" s="141"/>
      <c r="O31" s="139">
        <f t="shared" si="0"/>
        <v>700000</v>
      </c>
      <c r="P31" s="139">
        <v>3700000</v>
      </c>
      <c r="Q31" s="139">
        <f t="shared" si="1"/>
        <v>3000000</v>
      </c>
      <c r="R31" s="217"/>
      <c r="S31" s="215"/>
      <c r="T31" s="215"/>
    </row>
    <row r="32" spans="1:20" s="144" customFormat="1" ht="21.95" customHeight="1" x14ac:dyDescent="0.2">
      <c r="A32" s="211">
        <v>24</v>
      </c>
      <c r="B32" s="191">
        <v>43129</v>
      </c>
      <c r="C32" s="138" t="s">
        <v>1537</v>
      </c>
      <c r="D32" s="138" t="s">
        <v>1562</v>
      </c>
      <c r="E32" s="146" t="s">
        <v>1572</v>
      </c>
      <c r="F32" s="138"/>
      <c r="G32" s="138">
        <v>570</v>
      </c>
      <c r="H32" s="139">
        <v>9091500</v>
      </c>
      <c r="I32" s="138"/>
      <c r="J32" s="226">
        <v>1070000</v>
      </c>
      <c r="K32" s="141"/>
      <c r="L32" s="150"/>
      <c r="M32" s="141"/>
      <c r="N32" s="141"/>
      <c r="O32" s="139">
        <f t="shared" si="0"/>
        <v>10161500</v>
      </c>
      <c r="P32" s="139">
        <v>4700000</v>
      </c>
      <c r="Q32" s="139">
        <f t="shared" si="1"/>
        <v>-5461500</v>
      </c>
      <c r="R32" s="217"/>
      <c r="S32" s="215"/>
      <c r="T32" s="215"/>
    </row>
    <row r="33" spans="1:20" s="144" customFormat="1" ht="21.95" customHeight="1" x14ac:dyDescent="0.2">
      <c r="A33" s="211">
        <v>25</v>
      </c>
      <c r="B33" s="191">
        <v>43129</v>
      </c>
      <c r="C33" s="138" t="s">
        <v>1538</v>
      </c>
      <c r="D33" s="138" t="s">
        <v>1563</v>
      </c>
      <c r="E33" s="146" t="s">
        <v>662</v>
      </c>
      <c r="F33" s="138"/>
      <c r="G33" s="138"/>
      <c r="H33" s="139"/>
      <c r="I33" s="138"/>
      <c r="J33" s="226">
        <v>1240000</v>
      </c>
      <c r="K33" s="141"/>
      <c r="L33" s="150"/>
      <c r="M33" s="141"/>
      <c r="N33" s="141"/>
      <c r="O33" s="139">
        <f t="shared" si="0"/>
        <v>1240000</v>
      </c>
      <c r="P33" s="139">
        <v>5000000</v>
      </c>
      <c r="Q33" s="139">
        <f t="shared" si="1"/>
        <v>3760000</v>
      </c>
      <c r="R33" s="217"/>
      <c r="S33" s="215"/>
      <c r="T33" s="215"/>
    </row>
    <row r="34" spans="1:20" s="144" customFormat="1" ht="21.95" customHeight="1" x14ac:dyDescent="0.2">
      <c r="A34" s="211">
        <v>26</v>
      </c>
      <c r="B34" s="191">
        <v>43130</v>
      </c>
      <c r="C34" s="138" t="s">
        <v>1539</v>
      </c>
      <c r="D34" s="138" t="s">
        <v>1564</v>
      </c>
      <c r="E34" s="146" t="s">
        <v>1165</v>
      </c>
      <c r="F34" s="138"/>
      <c r="G34" s="138"/>
      <c r="H34" s="139"/>
      <c r="I34" s="138"/>
      <c r="J34" s="229">
        <f>1240000+180000</f>
        <v>1420000</v>
      </c>
      <c r="K34" s="141"/>
      <c r="L34" s="150"/>
      <c r="M34" s="141"/>
      <c r="N34" s="141"/>
      <c r="O34" s="139">
        <f t="shared" si="0"/>
        <v>1420000</v>
      </c>
      <c r="P34" s="139">
        <v>5200000</v>
      </c>
      <c r="Q34" s="139">
        <f t="shared" si="1"/>
        <v>3780000</v>
      </c>
      <c r="R34" s="217"/>
      <c r="S34" s="215"/>
      <c r="T34" s="215"/>
    </row>
    <row r="35" spans="1:20" s="144" customFormat="1" ht="21.95" customHeight="1" x14ac:dyDescent="0.2">
      <c r="A35" s="211"/>
      <c r="B35" s="191"/>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21.95" customHeight="1" x14ac:dyDescent="0.2">
      <c r="A36" s="211"/>
      <c r="B36" s="191"/>
      <c r="C36" s="220" t="s">
        <v>1515</v>
      </c>
      <c r="D36" s="220"/>
      <c r="E36" s="221"/>
      <c r="F36" s="220"/>
      <c r="G36" s="220"/>
      <c r="H36" s="219"/>
      <c r="I36" s="220"/>
      <c r="J36" s="157"/>
      <c r="K36" s="157"/>
      <c r="L36" s="157">
        <v>5400000</v>
      </c>
      <c r="M36" s="141"/>
      <c r="N36" s="141"/>
      <c r="O36" s="139">
        <f t="shared" si="0"/>
        <v>5400000</v>
      </c>
      <c r="P36" s="139"/>
      <c r="Q36" s="139">
        <f t="shared" si="1"/>
        <v>-5400000</v>
      </c>
      <c r="R36" s="217"/>
      <c r="S36" s="215"/>
      <c r="T36" s="215"/>
    </row>
    <row r="37" spans="1:20" s="144" customFormat="1" ht="21.95" customHeight="1" x14ac:dyDescent="0.2">
      <c r="A37" s="211"/>
      <c r="B37" s="191"/>
      <c r="C37" s="221" t="s">
        <v>1573</v>
      </c>
      <c r="D37" s="220"/>
      <c r="E37" s="221"/>
      <c r="F37" s="220"/>
      <c r="G37" s="220"/>
      <c r="H37" s="219"/>
      <c r="I37" s="220"/>
      <c r="J37" s="157"/>
      <c r="K37" s="157"/>
      <c r="L37" s="157">
        <v>100000</v>
      </c>
      <c r="M37" s="141"/>
      <c r="N37" s="141"/>
      <c r="O37" s="139">
        <f t="shared" si="0"/>
        <v>100000</v>
      </c>
      <c r="P37" s="139"/>
      <c r="Q37" s="139">
        <f t="shared" si="1"/>
        <v>-100000</v>
      </c>
      <c r="R37" s="217"/>
      <c r="S37" s="215"/>
      <c r="T37" s="215"/>
    </row>
    <row r="38" spans="1:20" s="159" customFormat="1" ht="21.95" customHeight="1" x14ac:dyDescent="0.25">
      <c r="A38" s="211"/>
      <c r="B38" s="165"/>
      <c r="C38" s="196" t="s">
        <v>1337</v>
      </c>
      <c r="D38" s="195"/>
      <c r="E38" s="197"/>
      <c r="F38" s="195"/>
      <c r="G38" s="195"/>
      <c r="H38" s="155"/>
      <c r="I38" s="195"/>
      <c r="J38" s="155"/>
      <c r="K38" s="157">
        <v>8653846</v>
      </c>
      <c r="L38" s="155"/>
      <c r="M38" s="155"/>
      <c r="N38" s="155"/>
      <c r="O38" s="139">
        <f t="shared" si="0"/>
        <v>8653846</v>
      </c>
      <c r="P38" s="139"/>
      <c r="Q38" s="139">
        <f t="shared" si="1"/>
        <v>-8653846</v>
      </c>
      <c r="S38" s="215"/>
      <c r="T38" s="215"/>
    </row>
    <row r="39" spans="1:20" s="159" customFormat="1" ht="21.95" customHeight="1" x14ac:dyDescent="0.25">
      <c r="A39" s="211"/>
      <c r="B39" s="203"/>
      <c r="C39" s="152" t="s">
        <v>1094</v>
      </c>
      <c r="D39" s="153"/>
      <c r="E39" s="154"/>
      <c r="F39" s="153"/>
      <c r="G39" s="153"/>
      <c r="H39" s="156"/>
      <c r="I39" s="153"/>
      <c r="J39" s="156"/>
      <c r="K39" s="204">
        <f>1200000*1.1</f>
        <v>1320000</v>
      </c>
      <c r="L39" s="204"/>
      <c r="M39" s="156"/>
      <c r="N39" s="156"/>
      <c r="O39" s="139">
        <f t="shared" si="0"/>
        <v>1320000</v>
      </c>
      <c r="P39" s="139"/>
      <c r="Q39" s="139">
        <f t="shared" si="1"/>
        <v>-1320000</v>
      </c>
      <c r="R39" s="186"/>
      <c r="S39" s="215"/>
      <c r="T39" s="215"/>
    </row>
    <row r="40" spans="1:20" ht="21.95" customHeight="1" x14ac:dyDescent="0.25">
      <c r="A40" s="426" t="s">
        <v>20</v>
      </c>
      <c r="B40" s="426"/>
      <c r="C40" s="426"/>
      <c r="D40" s="426"/>
      <c r="E40" s="426"/>
      <c r="F40" s="426"/>
      <c r="G40" s="161">
        <f t="shared" ref="G40:N40" si="2">SUM(G7:G39)</f>
        <v>2507</v>
      </c>
      <c r="H40" s="161">
        <f>SUM(H7:H39)</f>
        <v>39335980</v>
      </c>
      <c r="I40" s="161">
        <f t="shared" si="2"/>
        <v>0</v>
      </c>
      <c r="J40" s="161">
        <f>SUM(J7:J39)</f>
        <v>25640000</v>
      </c>
      <c r="K40" s="161">
        <f>SUM(K7:K39)</f>
        <v>9973846</v>
      </c>
      <c r="L40" s="161">
        <f>SUM(L7:L39)</f>
        <v>5500000</v>
      </c>
      <c r="M40" s="161">
        <f t="shared" si="2"/>
        <v>0</v>
      </c>
      <c r="N40" s="161">
        <f t="shared" si="2"/>
        <v>0</v>
      </c>
      <c r="O40" s="161">
        <f>SUM(O9:O39)</f>
        <v>80449826</v>
      </c>
      <c r="P40" s="161">
        <f>SUM(P7:P39)</f>
        <v>117000000</v>
      </c>
      <c r="Q40" s="161">
        <f>SUM(Q9:Q39)</f>
        <v>36550174</v>
      </c>
      <c r="R40" s="187"/>
      <c r="S40" s="189"/>
    </row>
    <row r="41" spans="1:20" ht="21.95" customHeight="1" x14ac:dyDescent="0.25">
      <c r="O41" s="158"/>
      <c r="Q41" s="158"/>
    </row>
    <row r="42" spans="1:20" ht="21.95" customHeight="1" x14ac:dyDescent="0.25">
      <c r="P42" s="216" t="s">
        <v>1095</v>
      </c>
      <c r="Q42" s="227">
        <f>Q40</f>
        <v>36550174</v>
      </c>
    </row>
    <row r="43" spans="1:20" ht="21.95" customHeight="1" x14ac:dyDescent="0.25">
      <c r="B43" s="129"/>
      <c r="H43" s="128"/>
      <c r="J43" s="128"/>
      <c r="K43" s="128"/>
      <c r="L43" s="128"/>
      <c r="M43" s="128"/>
      <c r="N43" s="128"/>
      <c r="O43" s="128"/>
      <c r="P43" s="218"/>
      <c r="Q43" s="216"/>
    </row>
    <row r="44" spans="1:20" ht="21.95" customHeight="1" x14ac:dyDescent="0.25">
      <c r="B44" s="129"/>
      <c r="H44" s="128"/>
      <c r="J44" s="128"/>
      <c r="K44" s="128"/>
      <c r="L44" s="128"/>
      <c r="M44" s="128"/>
      <c r="N44" s="128"/>
      <c r="O44" s="128"/>
      <c r="P44" s="218"/>
      <c r="Q44" s="228"/>
    </row>
    <row r="45" spans="1:20" ht="21.95" customHeight="1" x14ac:dyDescent="0.25">
      <c r="B45" s="129"/>
      <c r="H45" s="128"/>
      <c r="J45" s="128"/>
      <c r="K45" s="128"/>
      <c r="L45" s="128"/>
      <c r="M45" s="128"/>
      <c r="N45" s="128"/>
      <c r="O45" s="128"/>
      <c r="P45" s="218"/>
      <c r="Q45" s="216"/>
    </row>
    <row r="46" spans="1:20" ht="21.95" customHeight="1" x14ac:dyDescent="0.25">
      <c r="B46" s="129"/>
      <c r="H46" s="128"/>
      <c r="J46" s="128"/>
      <c r="K46" s="128"/>
      <c r="L46" s="128"/>
      <c r="M46" s="128"/>
      <c r="N46" s="128"/>
      <c r="O46" s="128"/>
      <c r="P46" s="218"/>
      <c r="Q46" s="216"/>
    </row>
    <row r="47" spans="1:20" ht="21.95" customHeight="1" x14ac:dyDescent="0.25">
      <c r="B47" s="129"/>
      <c r="H47" s="128"/>
      <c r="J47" s="128"/>
      <c r="K47" s="128"/>
      <c r="L47" s="128"/>
      <c r="M47" s="128"/>
      <c r="N47" s="128"/>
      <c r="O47" s="128"/>
      <c r="P47" s="218"/>
      <c r="Q47" s="216"/>
    </row>
    <row r="48" spans="1:20" x14ac:dyDescent="0.25">
      <c r="A48" s="128"/>
      <c r="B48" s="129"/>
      <c r="H48" s="128"/>
      <c r="J48" s="128"/>
      <c r="K48" s="128"/>
      <c r="L48" s="128"/>
      <c r="M48" s="128"/>
      <c r="N48" s="128"/>
      <c r="O48" s="128"/>
      <c r="P48" s="218"/>
      <c r="Q48" s="216"/>
    </row>
    <row r="49" spans="2:17" s="128" customFormat="1" x14ac:dyDescent="0.25">
      <c r="B49" s="129"/>
      <c r="Q49" s="216"/>
    </row>
    <row r="50" spans="2:17" s="128" customFormat="1" x14ac:dyDescent="0.25">
      <c r="Q50" s="216"/>
    </row>
    <row r="51" spans="2:17" s="128" customFormat="1" x14ac:dyDescent="0.25">
      <c r="Q51" s="216"/>
    </row>
  </sheetData>
  <mergeCells count="14">
    <mergeCell ref="O5:O6"/>
    <mergeCell ref="P5:P6"/>
    <mergeCell ref="Q5:Q6"/>
    <mergeCell ref="A40:F40"/>
    <mergeCell ref="A1:Q1"/>
    <mergeCell ref="A2:Q2"/>
    <mergeCell ref="B3:Q3"/>
    <mergeCell ref="A5:A6"/>
    <mergeCell ref="B5:B6"/>
    <mergeCell ref="C5:C6"/>
    <mergeCell ref="D5:D6"/>
    <mergeCell ref="E5:E6"/>
    <mergeCell ref="F5:F6"/>
    <mergeCell ref="G5:N5"/>
  </mergeCells>
  <pageMargins left="0" right="0" top="0.75" bottom="0.75" header="0.3" footer="0.3"/>
  <pageSetup paperSize="9" scale="55" orientation="landscape" horizontalDpi="0" verticalDpi="0"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35"/>
  <sheetViews>
    <sheetView topLeftCell="E10" zoomScaleNormal="100" workbookViewId="0">
      <selection activeCell="Q26" sqref="Q2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1574</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43131</v>
      </c>
      <c r="C7" s="138" t="s">
        <v>1575</v>
      </c>
      <c r="D7" s="138" t="s">
        <v>1586</v>
      </c>
      <c r="E7" s="146" t="s">
        <v>1565</v>
      </c>
      <c r="F7" s="138"/>
      <c r="G7" s="138"/>
      <c r="H7" s="139"/>
      <c r="I7" s="138"/>
      <c r="J7" s="208">
        <f>1240000+180000</f>
        <v>1420000</v>
      </c>
      <c r="K7" s="141"/>
      <c r="L7" s="150"/>
      <c r="M7" s="141"/>
      <c r="N7" s="141"/>
      <c r="O7" s="139">
        <f>H7+J7+K7+L7+M7+N7</f>
        <v>1420000</v>
      </c>
      <c r="P7" s="139">
        <v>5200000</v>
      </c>
      <c r="Q7" s="139">
        <f>P7-O7</f>
        <v>3780000</v>
      </c>
      <c r="R7" s="217"/>
      <c r="S7" s="215"/>
      <c r="T7" s="215"/>
    </row>
    <row r="8" spans="1:20" s="144" customFormat="1" ht="24.95" customHeight="1" x14ac:dyDescent="0.2">
      <c r="A8" s="211">
        <v>2</v>
      </c>
      <c r="B8" s="191">
        <v>43132</v>
      </c>
      <c r="C8" s="138" t="s">
        <v>1576</v>
      </c>
      <c r="D8" s="138" t="s">
        <v>1587</v>
      </c>
      <c r="E8" s="146" t="s">
        <v>763</v>
      </c>
      <c r="F8" s="138"/>
      <c r="G8" s="138"/>
      <c r="H8" s="139"/>
      <c r="I8" s="138"/>
      <c r="J8" s="226">
        <v>970000</v>
      </c>
      <c r="K8" s="141"/>
      <c r="L8" s="150"/>
      <c r="M8" s="141"/>
      <c r="N8" s="141"/>
      <c r="O8" s="139">
        <f t="shared" ref="O8:O23" si="0">H8+J8+K8+L8+M8+N8</f>
        <v>970000</v>
      </c>
      <c r="P8" s="141">
        <v>3700000</v>
      </c>
      <c r="Q8" s="139">
        <f t="shared" ref="Q8:Q23" si="1">P8-O8</f>
        <v>2730000</v>
      </c>
      <c r="R8" s="217"/>
      <c r="S8" s="215"/>
      <c r="T8" s="215"/>
    </row>
    <row r="9" spans="1:20" s="144" customFormat="1" ht="24.95" customHeight="1" x14ac:dyDescent="0.2">
      <c r="A9" s="211">
        <v>3</v>
      </c>
      <c r="B9" s="191">
        <v>43133</v>
      </c>
      <c r="C9" s="138" t="s">
        <v>1577</v>
      </c>
      <c r="D9" s="138" t="s">
        <v>1588</v>
      </c>
      <c r="E9" s="146" t="s">
        <v>1598</v>
      </c>
      <c r="F9" s="138"/>
      <c r="G9" s="138">
        <v>514</v>
      </c>
      <c r="H9" s="139">
        <v>8198300</v>
      </c>
      <c r="I9" s="138"/>
      <c r="J9" s="226">
        <v>1420000</v>
      </c>
      <c r="K9" s="141"/>
      <c r="L9" s="150"/>
      <c r="M9" s="141"/>
      <c r="N9" s="141"/>
      <c r="O9" s="139">
        <f t="shared" si="0"/>
        <v>9618300</v>
      </c>
      <c r="P9" s="139">
        <v>5200000</v>
      </c>
      <c r="Q9" s="139">
        <f t="shared" si="1"/>
        <v>-4418300</v>
      </c>
      <c r="R9" s="217"/>
      <c r="S9" s="215"/>
      <c r="T9" s="215"/>
    </row>
    <row r="10" spans="1:20" s="144" customFormat="1" ht="24.95" customHeight="1" x14ac:dyDescent="0.2">
      <c r="A10" s="211">
        <v>4</v>
      </c>
      <c r="B10" s="191">
        <v>43134</v>
      </c>
      <c r="C10" s="138" t="s">
        <v>1578</v>
      </c>
      <c r="D10" s="138" t="s">
        <v>1589</v>
      </c>
      <c r="E10" s="146" t="s">
        <v>763</v>
      </c>
      <c r="F10" s="138"/>
      <c r="G10" s="138"/>
      <c r="H10" s="139"/>
      <c r="I10" s="138"/>
      <c r="J10" s="226">
        <f>610000+360000</f>
        <v>970000</v>
      </c>
      <c r="K10" s="141"/>
      <c r="L10" s="150"/>
      <c r="M10" s="141"/>
      <c r="N10" s="141"/>
      <c r="O10" s="139">
        <f t="shared" si="0"/>
        <v>970000</v>
      </c>
      <c r="P10" s="139">
        <v>3700000</v>
      </c>
      <c r="Q10" s="139">
        <f t="shared" si="1"/>
        <v>2730000</v>
      </c>
      <c r="R10" s="217"/>
      <c r="S10" s="215"/>
      <c r="T10" s="215"/>
    </row>
    <row r="11" spans="1:20" s="144" customFormat="1" ht="24.95" customHeight="1" x14ac:dyDescent="0.2">
      <c r="A11" s="211">
        <v>5</v>
      </c>
      <c r="B11" s="191">
        <v>43136</v>
      </c>
      <c r="C11" s="138" t="s">
        <v>1579</v>
      </c>
      <c r="D11" s="138" t="s">
        <v>1590</v>
      </c>
      <c r="E11" s="146" t="s">
        <v>1501</v>
      </c>
      <c r="F11" s="138"/>
      <c r="G11" s="138">
        <v>320</v>
      </c>
      <c r="H11" s="139">
        <v>5104000</v>
      </c>
      <c r="I11" s="138"/>
      <c r="J11" s="226">
        <v>920000</v>
      </c>
      <c r="K11" s="141"/>
      <c r="L11" s="150"/>
      <c r="M11" s="141"/>
      <c r="N11" s="141"/>
      <c r="O11" s="139">
        <f t="shared" si="0"/>
        <v>6024000</v>
      </c>
      <c r="P11" s="139">
        <v>4700000</v>
      </c>
      <c r="Q11" s="139">
        <f t="shared" si="1"/>
        <v>-1324000</v>
      </c>
      <c r="R11" s="217"/>
      <c r="S11" s="215"/>
      <c r="T11" s="215"/>
    </row>
    <row r="12" spans="1:20" s="144" customFormat="1" ht="24.95" customHeight="1" x14ac:dyDescent="0.2">
      <c r="A12" s="211">
        <v>6</v>
      </c>
      <c r="B12" s="191">
        <v>43137</v>
      </c>
      <c r="C12" s="138" t="s">
        <v>1580</v>
      </c>
      <c r="D12" s="138" t="s">
        <v>1601</v>
      </c>
      <c r="E12" s="146" t="s">
        <v>763</v>
      </c>
      <c r="F12" s="138"/>
      <c r="G12" s="138"/>
      <c r="H12" s="139"/>
      <c r="I12" s="138"/>
      <c r="J12" s="226">
        <v>970000</v>
      </c>
      <c r="K12" s="141"/>
      <c r="L12" s="150"/>
      <c r="M12" s="141"/>
      <c r="N12" s="141"/>
      <c r="O12" s="139">
        <f t="shared" si="0"/>
        <v>970000</v>
      </c>
      <c r="P12" s="139">
        <v>3700000</v>
      </c>
      <c r="Q12" s="139">
        <f t="shared" si="1"/>
        <v>2730000</v>
      </c>
      <c r="R12" s="217"/>
      <c r="S12" s="215"/>
      <c r="T12" s="215"/>
    </row>
    <row r="13" spans="1:20" s="144" customFormat="1" ht="24.95" customHeight="1" x14ac:dyDescent="0.2">
      <c r="A13" s="211">
        <v>7</v>
      </c>
      <c r="B13" s="191">
        <v>43138</v>
      </c>
      <c r="C13" s="138" t="s">
        <v>1581</v>
      </c>
      <c r="D13" s="138" t="s">
        <v>1591</v>
      </c>
      <c r="E13" s="146" t="s">
        <v>763</v>
      </c>
      <c r="F13" s="138"/>
      <c r="G13" s="138"/>
      <c r="H13" s="139"/>
      <c r="I13" s="138"/>
      <c r="J13" s="226">
        <v>970000</v>
      </c>
      <c r="K13" s="141"/>
      <c r="L13" s="150"/>
      <c r="M13" s="141"/>
      <c r="N13" s="141"/>
      <c r="O13" s="139">
        <f t="shared" si="0"/>
        <v>970000</v>
      </c>
      <c r="P13" s="139">
        <v>3700000</v>
      </c>
      <c r="Q13" s="139">
        <f t="shared" si="1"/>
        <v>2730000</v>
      </c>
      <c r="R13" s="217"/>
      <c r="S13" s="215"/>
      <c r="T13" s="215"/>
    </row>
    <row r="14" spans="1:20" s="144" customFormat="1" ht="24.95" customHeight="1" x14ac:dyDescent="0.2">
      <c r="A14" s="211">
        <v>8</v>
      </c>
      <c r="B14" s="191">
        <v>43139</v>
      </c>
      <c r="C14" s="138" t="s">
        <v>1582</v>
      </c>
      <c r="D14" s="138" t="s">
        <v>1592</v>
      </c>
      <c r="E14" s="146" t="s">
        <v>1599</v>
      </c>
      <c r="F14" s="138"/>
      <c r="G14" s="138"/>
      <c r="H14" s="139"/>
      <c r="I14" s="138"/>
      <c r="J14" s="226">
        <v>1420000</v>
      </c>
      <c r="K14" s="141"/>
      <c r="L14" s="150"/>
      <c r="M14" s="141"/>
      <c r="N14" s="141"/>
      <c r="O14" s="139">
        <f t="shared" si="0"/>
        <v>1420000</v>
      </c>
      <c r="P14" s="139">
        <v>5700000</v>
      </c>
      <c r="Q14" s="139">
        <f t="shared" si="1"/>
        <v>4280000</v>
      </c>
      <c r="R14" s="217"/>
      <c r="S14" s="215"/>
      <c r="T14" s="215"/>
    </row>
    <row r="15" spans="1:20" s="144" customFormat="1" ht="24.95" customHeight="1" x14ac:dyDescent="0.2">
      <c r="A15" s="211">
        <v>9</v>
      </c>
      <c r="B15" s="191">
        <v>43140</v>
      </c>
      <c r="C15" s="138" t="s">
        <v>1583</v>
      </c>
      <c r="D15" s="138" t="s">
        <v>1593</v>
      </c>
      <c r="E15" s="146" t="s">
        <v>714</v>
      </c>
      <c r="F15" s="138"/>
      <c r="G15" s="138"/>
      <c r="H15" s="139"/>
      <c r="I15" s="138"/>
      <c r="J15" s="226">
        <v>1420000</v>
      </c>
      <c r="K15" s="141"/>
      <c r="L15" s="150"/>
      <c r="M15" s="141"/>
      <c r="N15" s="141"/>
      <c r="O15" s="139">
        <f t="shared" si="0"/>
        <v>1420000</v>
      </c>
      <c r="P15" s="139">
        <v>5300000</v>
      </c>
      <c r="Q15" s="139">
        <f t="shared" si="1"/>
        <v>3880000</v>
      </c>
      <c r="R15" s="217"/>
      <c r="S15" s="215"/>
      <c r="T15" s="215"/>
    </row>
    <row r="16" spans="1:20" s="144" customFormat="1" ht="24.95" customHeight="1" x14ac:dyDescent="0.2">
      <c r="A16" s="211">
        <v>10</v>
      </c>
      <c r="B16" s="191">
        <v>43152</v>
      </c>
      <c r="C16" s="138" t="s">
        <v>1584</v>
      </c>
      <c r="D16" s="138" t="s">
        <v>1594</v>
      </c>
      <c r="E16" s="146" t="s">
        <v>763</v>
      </c>
      <c r="F16" s="138"/>
      <c r="G16" s="138"/>
      <c r="H16" s="139"/>
      <c r="I16" s="138"/>
      <c r="J16" s="226">
        <v>970000</v>
      </c>
      <c r="K16" s="141"/>
      <c r="L16" s="150"/>
      <c r="M16" s="141"/>
      <c r="N16" s="141"/>
      <c r="O16" s="139">
        <f t="shared" si="0"/>
        <v>970000</v>
      </c>
      <c r="P16" s="139">
        <v>3700000</v>
      </c>
      <c r="Q16" s="139">
        <f t="shared" si="1"/>
        <v>2730000</v>
      </c>
      <c r="R16" s="217"/>
      <c r="S16" s="215"/>
      <c r="T16" s="215"/>
    </row>
    <row r="17" spans="1:20" s="144" customFormat="1" ht="24.95" customHeight="1" x14ac:dyDescent="0.2">
      <c r="A17" s="211">
        <v>11</v>
      </c>
      <c r="B17" s="191">
        <v>43153</v>
      </c>
      <c r="C17" s="138" t="s">
        <v>920</v>
      </c>
      <c r="D17" s="138" t="s">
        <v>1595</v>
      </c>
      <c r="E17" s="146" t="s">
        <v>1600</v>
      </c>
      <c r="F17" s="138"/>
      <c r="G17" s="138">
        <v>575</v>
      </c>
      <c r="H17" s="139">
        <v>9033250</v>
      </c>
      <c r="I17" s="138"/>
      <c r="J17" s="226">
        <v>1420000</v>
      </c>
      <c r="K17" s="141"/>
      <c r="L17" s="150"/>
      <c r="M17" s="141"/>
      <c r="N17" s="141"/>
      <c r="O17" s="139">
        <f t="shared" si="0"/>
        <v>10453250</v>
      </c>
      <c r="P17" s="139">
        <v>5200000</v>
      </c>
      <c r="Q17" s="139">
        <f t="shared" si="1"/>
        <v>-5253250</v>
      </c>
      <c r="R17" s="217"/>
      <c r="S17" s="215"/>
      <c r="T17" s="215"/>
    </row>
    <row r="18" spans="1:20" s="144" customFormat="1" ht="24.95" customHeight="1" x14ac:dyDescent="0.2">
      <c r="A18" s="211">
        <v>12</v>
      </c>
      <c r="B18" s="191">
        <v>43154</v>
      </c>
      <c r="C18" s="138" t="s">
        <v>922</v>
      </c>
      <c r="D18" s="138" t="s">
        <v>1596</v>
      </c>
      <c r="E18" s="146" t="s">
        <v>948</v>
      </c>
      <c r="F18" s="138"/>
      <c r="G18" s="138"/>
      <c r="H18" s="139"/>
      <c r="I18" s="138"/>
      <c r="J18" s="226">
        <v>1250000</v>
      </c>
      <c r="K18" s="141"/>
      <c r="L18" s="150"/>
      <c r="M18" s="141"/>
      <c r="N18" s="141"/>
      <c r="O18" s="139">
        <f t="shared" si="0"/>
        <v>1250000</v>
      </c>
      <c r="P18" s="139">
        <v>4800000</v>
      </c>
      <c r="Q18" s="139">
        <f t="shared" si="1"/>
        <v>3550000</v>
      </c>
      <c r="R18" s="217"/>
      <c r="S18" s="215"/>
      <c r="T18" s="215"/>
    </row>
    <row r="19" spans="1:20" s="144" customFormat="1" ht="24.95" customHeight="1" x14ac:dyDescent="0.2">
      <c r="A19" s="211">
        <v>13</v>
      </c>
      <c r="B19" s="191">
        <v>43155</v>
      </c>
      <c r="C19" s="138" t="s">
        <v>1585</v>
      </c>
      <c r="D19" s="138" t="s">
        <v>1597</v>
      </c>
      <c r="E19" s="146" t="s">
        <v>25</v>
      </c>
      <c r="F19" s="138"/>
      <c r="G19" s="138"/>
      <c r="H19" s="139"/>
      <c r="I19" s="138"/>
      <c r="J19" s="226">
        <v>1710000</v>
      </c>
      <c r="K19" s="141"/>
      <c r="L19" s="150"/>
      <c r="M19" s="141"/>
      <c r="N19" s="141"/>
      <c r="O19" s="139">
        <f t="shared" si="0"/>
        <v>1710000</v>
      </c>
      <c r="P19" s="139">
        <v>7500000</v>
      </c>
      <c r="Q19" s="139">
        <f t="shared" si="1"/>
        <v>5790000</v>
      </c>
      <c r="R19" s="217"/>
      <c r="S19" s="215"/>
      <c r="T19" s="215"/>
    </row>
    <row r="20" spans="1:20" s="144" customFormat="1" ht="24.95" customHeight="1" x14ac:dyDescent="0.2">
      <c r="A20" s="211"/>
      <c r="B20" s="191"/>
      <c r="C20" s="221" t="s">
        <v>1602</v>
      </c>
      <c r="D20" s="220"/>
      <c r="E20" s="221"/>
      <c r="F20" s="220"/>
      <c r="G20" s="220"/>
      <c r="H20" s="219"/>
      <c r="I20" s="220"/>
      <c r="J20" s="157"/>
      <c r="K20" s="157"/>
      <c r="L20" s="157"/>
      <c r="M20" s="157">
        <v>9400000</v>
      </c>
      <c r="N20" s="141"/>
      <c r="O20" s="139">
        <f t="shared" si="0"/>
        <v>9400000</v>
      </c>
      <c r="P20" s="139"/>
      <c r="Q20" s="139">
        <f t="shared" si="1"/>
        <v>-9400000</v>
      </c>
      <c r="R20" s="217"/>
      <c r="S20" s="215"/>
      <c r="T20" s="215"/>
    </row>
    <row r="21" spans="1:20" s="159" customFormat="1" ht="24.95" customHeight="1" x14ac:dyDescent="0.25">
      <c r="A21" s="211"/>
      <c r="B21" s="165"/>
      <c r="C21" s="196" t="s">
        <v>1337</v>
      </c>
      <c r="D21" s="195"/>
      <c r="E21" s="197"/>
      <c r="F21" s="195"/>
      <c r="G21" s="195"/>
      <c r="H21" s="155"/>
      <c r="I21" s="195"/>
      <c r="J21" s="155"/>
      <c r="K21" s="157">
        <v>4875000</v>
      </c>
      <c r="L21" s="155"/>
      <c r="M21" s="155"/>
      <c r="N21" s="155"/>
      <c r="O21" s="139">
        <f t="shared" si="0"/>
        <v>4875000</v>
      </c>
      <c r="P21" s="139"/>
      <c r="Q21" s="139">
        <f t="shared" si="1"/>
        <v>-4875000</v>
      </c>
      <c r="S21" s="215"/>
      <c r="T21" s="215"/>
    </row>
    <row r="22" spans="1:20" s="159" customFormat="1" ht="24.95" customHeight="1" x14ac:dyDescent="0.25">
      <c r="A22" s="211"/>
      <c r="B22" s="203"/>
      <c r="C22" s="152" t="s">
        <v>159</v>
      </c>
      <c r="D22" s="153"/>
      <c r="E22" s="154"/>
      <c r="F22" s="153"/>
      <c r="G22" s="153"/>
      <c r="H22" s="156"/>
      <c r="I22" s="153"/>
      <c r="J22" s="156"/>
      <c r="K22" s="204">
        <v>3000000</v>
      </c>
      <c r="L22" s="156"/>
      <c r="M22" s="156"/>
      <c r="N22" s="156"/>
      <c r="O22" s="139">
        <f t="shared" si="0"/>
        <v>3000000</v>
      </c>
      <c r="P22" s="139"/>
      <c r="Q22" s="139">
        <f t="shared" si="1"/>
        <v>-3000000</v>
      </c>
      <c r="S22" s="215"/>
      <c r="T22" s="215"/>
    </row>
    <row r="23" spans="1:20" s="159" customFormat="1" ht="24.95" customHeight="1" x14ac:dyDescent="0.25">
      <c r="A23" s="211"/>
      <c r="B23" s="203"/>
      <c r="C23" s="152" t="s">
        <v>1094</v>
      </c>
      <c r="D23" s="153"/>
      <c r="E23" s="154"/>
      <c r="F23" s="153"/>
      <c r="G23" s="153"/>
      <c r="H23" s="156"/>
      <c r="I23" s="153"/>
      <c r="J23" s="156"/>
      <c r="K23" s="204">
        <f>1200000*1.1</f>
        <v>1320000</v>
      </c>
      <c r="L23" s="204"/>
      <c r="M23" s="156"/>
      <c r="N23" s="156"/>
      <c r="O23" s="139">
        <f t="shared" si="0"/>
        <v>1320000</v>
      </c>
      <c r="P23" s="139"/>
      <c r="Q23" s="139">
        <f t="shared" si="1"/>
        <v>-1320000</v>
      </c>
      <c r="R23" s="186"/>
      <c r="S23" s="215"/>
      <c r="T23" s="215"/>
    </row>
    <row r="24" spans="1:20" ht="24.95" customHeight="1" x14ac:dyDescent="0.25">
      <c r="A24" s="426" t="s">
        <v>20</v>
      </c>
      <c r="B24" s="426"/>
      <c r="C24" s="426"/>
      <c r="D24" s="426"/>
      <c r="E24" s="426"/>
      <c r="F24" s="426"/>
      <c r="G24" s="161">
        <f t="shared" ref="G24:Q24" si="2">SUM(G7:G23)</f>
        <v>1409</v>
      </c>
      <c r="H24" s="161">
        <f t="shared" si="2"/>
        <v>22335550</v>
      </c>
      <c r="I24" s="161">
        <f t="shared" si="2"/>
        <v>0</v>
      </c>
      <c r="J24" s="161">
        <f t="shared" si="2"/>
        <v>15830000</v>
      </c>
      <c r="K24" s="161">
        <f t="shared" si="2"/>
        <v>9195000</v>
      </c>
      <c r="L24" s="161">
        <f t="shared" si="2"/>
        <v>0</v>
      </c>
      <c r="M24" s="161">
        <f t="shared" si="2"/>
        <v>9400000</v>
      </c>
      <c r="N24" s="161">
        <f t="shared" si="2"/>
        <v>0</v>
      </c>
      <c r="O24" s="161">
        <f t="shared" si="2"/>
        <v>56760550</v>
      </c>
      <c r="P24" s="161">
        <f t="shared" si="2"/>
        <v>62100000</v>
      </c>
      <c r="Q24" s="161">
        <f t="shared" si="2"/>
        <v>5339450</v>
      </c>
      <c r="R24" s="187"/>
      <c r="S24" s="189"/>
    </row>
    <row r="25" spans="1:20" ht="24.95" customHeight="1" x14ac:dyDescent="0.25">
      <c r="O25" s="158"/>
      <c r="Q25" s="158"/>
    </row>
    <row r="26" spans="1:20" ht="24.95" customHeight="1" x14ac:dyDescent="0.25">
      <c r="P26" s="216" t="s">
        <v>1603</v>
      </c>
      <c r="Q26" s="227">
        <f>'01-2018'!Q42+'02-2018'!Q24</f>
        <v>41889624</v>
      </c>
    </row>
    <row r="27" spans="1:20" ht="24.95" customHeight="1" x14ac:dyDescent="0.25">
      <c r="B27" s="129"/>
      <c r="H27" s="128"/>
      <c r="J27" s="128"/>
      <c r="K27" s="128"/>
      <c r="L27" s="128"/>
      <c r="M27" s="128"/>
      <c r="N27" s="128"/>
      <c r="O27" s="128"/>
      <c r="P27" s="218" t="s">
        <v>1604</v>
      </c>
      <c r="Q27" s="216">
        <v>4000000</v>
      </c>
    </row>
    <row r="28" spans="1:20" ht="24.95" customHeight="1" x14ac:dyDescent="0.25">
      <c r="B28" s="129"/>
      <c r="H28" s="128"/>
      <c r="J28" s="128"/>
      <c r="K28" s="128"/>
      <c r="L28" s="128"/>
      <c r="M28" s="128"/>
      <c r="N28" s="128"/>
      <c r="O28" s="128"/>
      <c r="P28" s="218" t="s">
        <v>237</v>
      </c>
      <c r="Q28" s="230">
        <f>Q26-Q27</f>
        <v>37889624</v>
      </c>
    </row>
    <row r="29" spans="1:20" ht="24.95" customHeight="1" x14ac:dyDescent="0.25">
      <c r="B29" s="129"/>
      <c r="H29" s="128"/>
      <c r="J29" s="128"/>
      <c r="K29" s="128"/>
      <c r="L29" s="128"/>
      <c r="M29" s="128"/>
      <c r="N29" s="128"/>
      <c r="O29" s="128"/>
      <c r="P29" s="218" t="s">
        <v>1605</v>
      </c>
      <c r="Q29" s="230">
        <f>Q28*47.08%</f>
        <v>17838434.979199998</v>
      </c>
    </row>
    <row r="30" spans="1:20" ht="24.95" customHeight="1" x14ac:dyDescent="0.25">
      <c r="B30" s="129"/>
      <c r="H30" s="128"/>
      <c r="J30" s="128"/>
      <c r="K30" s="128"/>
      <c r="L30" s="128"/>
      <c r="M30" s="128"/>
      <c r="N30" s="128"/>
      <c r="O30" s="128"/>
      <c r="P30" s="218"/>
      <c r="Q30" s="216"/>
    </row>
    <row r="31" spans="1:20" x14ac:dyDescent="0.25">
      <c r="B31" s="129"/>
      <c r="H31" s="128"/>
      <c r="J31" s="128"/>
      <c r="K31" s="128"/>
      <c r="L31" s="128"/>
      <c r="M31" s="128"/>
      <c r="N31" s="128"/>
      <c r="O31" s="128"/>
      <c r="P31" s="218"/>
      <c r="Q31" s="216"/>
    </row>
    <row r="32" spans="1:20" x14ac:dyDescent="0.25">
      <c r="A32" s="128"/>
      <c r="B32" s="129"/>
      <c r="H32" s="128"/>
      <c r="J32" s="128"/>
      <c r="K32" s="128"/>
      <c r="L32" s="128"/>
      <c r="M32" s="128"/>
      <c r="N32" s="128"/>
      <c r="O32" s="128"/>
      <c r="P32" s="218"/>
      <c r="Q32" s="216"/>
    </row>
    <row r="33" spans="2:17" s="128" customFormat="1" x14ac:dyDescent="0.25">
      <c r="B33" s="129"/>
      <c r="Q33" s="216"/>
    </row>
    <row r="34" spans="2:17" s="128" customFormat="1" x14ac:dyDescent="0.25">
      <c r="Q34" s="216"/>
    </row>
    <row r="35" spans="2:17" s="128" customFormat="1" x14ac:dyDescent="0.25">
      <c r="Q35" s="216"/>
    </row>
  </sheetData>
  <mergeCells count="14">
    <mergeCell ref="O5:O6"/>
    <mergeCell ref="P5:P6"/>
    <mergeCell ref="Q5:Q6"/>
    <mergeCell ref="A24:F24"/>
    <mergeCell ref="A1:Q1"/>
    <mergeCell ref="A2:Q2"/>
    <mergeCell ref="B3:Q3"/>
    <mergeCell ref="A5:A6"/>
    <mergeCell ref="B5:B6"/>
    <mergeCell ref="C5:C6"/>
    <mergeCell ref="D5:D6"/>
    <mergeCell ref="E5:E6"/>
    <mergeCell ref="F5:F6"/>
    <mergeCell ref="G5:N5"/>
  </mergeCells>
  <pageMargins left="0" right="0" top="0.75" bottom="0.75" header="0.3" footer="0.3"/>
  <pageSetup paperSize="9" scale="55" orientation="landscape"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48"/>
  <sheetViews>
    <sheetView topLeftCell="E28" zoomScaleNormal="100" workbookViewId="0">
      <selection activeCell="Q39" sqref="Q3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1606</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43164</v>
      </c>
      <c r="C7" s="138" t="s">
        <v>1607</v>
      </c>
      <c r="D7" s="138" t="s">
        <v>1619</v>
      </c>
      <c r="E7" s="146" t="s">
        <v>763</v>
      </c>
      <c r="F7" s="138"/>
      <c r="G7" s="138"/>
      <c r="H7" s="139"/>
      <c r="I7" s="138"/>
      <c r="J7" s="226">
        <v>970000</v>
      </c>
      <c r="K7" s="141"/>
      <c r="L7" s="150"/>
      <c r="M7" s="141"/>
      <c r="N7" s="141"/>
      <c r="O7" s="139">
        <f>H7+J7+K7+L7+M7+N7</f>
        <v>970000</v>
      </c>
      <c r="P7" s="139">
        <v>3700000</v>
      </c>
      <c r="Q7" s="139">
        <f>P7-O7</f>
        <v>2730000</v>
      </c>
      <c r="R7" s="217"/>
      <c r="S7" s="215"/>
      <c r="T7" s="215"/>
    </row>
    <row r="8" spans="1:20" s="144" customFormat="1" ht="24.95" customHeight="1" x14ac:dyDescent="0.2">
      <c r="A8" s="211"/>
      <c r="B8" s="191">
        <v>43165</v>
      </c>
      <c r="C8" s="138" t="s">
        <v>1608</v>
      </c>
      <c r="D8" s="138" t="s">
        <v>1620</v>
      </c>
      <c r="E8" s="146" t="s">
        <v>763</v>
      </c>
      <c r="F8" s="138"/>
      <c r="G8" s="138"/>
      <c r="H8" s="139"/>
      <c r="I8" s="138"/>
      <c r="J8" s="226">
        <v>970000</v>
      </c>
      <c r="K8" s="141"/>
      <c r="L8" s="150"/>
      <c r="M8" s="141"/>
      <c r="N8" s="141"/>
      <c r="O8" s="139">
        <f t="shared" ref="O8:O36" si="0">H8+J8+K8+L8+M8+N8</f>
        <v>970000</v>
      </c>
      <c r="P8" s="139">
        <v>3700000</v>
      </c>
      <c r="Q8" s="139">
        <f t="shared" ref="Q8:Q36" si="1">P8-O8</f>
        <v>2730000</v>
      </c>
      <c r="R8" s="217"/>
      <c r="S8" s="215"/>
      <c r="T8" s="215"/>
    </row>
    <row r="9" spans="1:20" s="144" customFormat="1" ht="24.95" customHeight="1" x14ac:dyDescent="0.2">
      <c r="A9" s="211"/>
      <c r="B9" s="191">
        <v>43166</v>
      </c>
      <c r="C9" s="138" t="s">
        <v>960</v>
      </c>
      <c r="D9" s="138" t="s">
        <v>1621</v>
      </c>
      <c r="E9" s="146" t="s">
        <v>1639</v>
      </c>
      <c r="F9" s="138"/>
      <c r="G9" s="138"/>
      <c r="H9" s="139"/>
      <c r="I9" s="138"/>
      <c r="J9" s="226">
        <v>1150000</v>
      </c>
      <c r="K9" s="141"/>
      <c r="L9" s="150"/>
      <c r="M9" s="141"/>
      <c r="N9" s="141"/>
      <c r="O9" s="139">
        <f t="shared" si="0"/>
        <v>1150000</v>
      </c>
      <c r="P9" s="139">
        <v>6000000</v>
      </c>
      <c r="Q9" s="139">
        <f t="shared" si="1"/>
        <v>4850000</v>
      </c>
      <c r="R9" s="217"/>
      <c r="S9" s="215"/>
      <c r="T9" s="215"/>
    </row>
    <row r="10" spans="1:20" s="144" customFormat="1" ht="24.95" customHeight="1" x14ac:dyDescent="0.2">
      <c r="A10" s="211"/>
      <c r="B10" s="191">
        <v>43167</v>
      </c>
      <c r="C10" s="138" t="s">
        <v>961</v>
      </c>
      <c r="D10" s="138" t="s">
        <v>1622</v>
      </c>
      <c r="E10" s="146" t="s">
        <v>948</v>
      </c>
      <c r="F10" s="138"/>
      <c r="G10" s="138">
        <v>300</v>
      </c>
      <c r="H10" s="139">
        <v>4713000</v>
      </c>
      <c r="I10" s="138"/>
      <c r="J10" s="226">
        <v>1250000</v>
      </c>
      <c r="K10" s="141"/>
      <c r="L10" s="150"/>
      <c r="M10" s="141"/>
      <c r="N10" s="141"/>
      <c r="O10" s="139">
        <f t="shared" si="0"/>
        <v>5963000</v>
      </c>
      <c r="P10" s="139">
        <v>4800000</v>
      </c>
      <c r="Q10" s="139">
        <f t="shared" si="1"/>
        <v>-1163000</v>
      </c>
      <c r="R10" s="217"/>
      <c r="S10" s="215"/>
      <c r="T10" s="215"/>
    </row>
    <row r="11" spans="1:20" s="144" customFormat="1" ht="24.95" customHeight="1" x14ac:dyDescent="0.2">
      <c r="A11" s="211"/>
      <c r="B11" s="191">
        <v>43168</v>
      </c>
      <c r="C11" s="138" t="s">
        <v>962</v>
      </c>
      <c r="D11" s="138" t="s">
        <v>1623</v>
      </c>
      <c r="E11" s="146" t="s">
        <v>78</v>
      </c>
      <c r="F11" s="138"/>
      <c r="G11" s="138"/>
      <c r="H11" s="139"/>
      <c r="I11" s="138"/>
      <c r="J11" s="226">
        <v>1420000</v>
      </c>
      <c r="K11" s="141"/>
      <c r="L11" s="150"/>
      <c r="M11" s="141"/>
      <c r="N11" s="141"/>
      <c r="O11" s="139">
        <f t="shared" si="0"/>
        <v>1420000</v>
      </c>
      <c r="P11" s="139">
        <v>5000000</v>
      </c>
      <c r="Q11" s="139">
        <f t="shared" si="1"/>
        <v>3580000</v>
      </c>
      <c r="R11" s="217"/>
      <c r="S11" s="215"/>
      <c r="T11" s="215"/>
    </row>
    <row r="12" spans="1:20" s="144" customFormat="1" ht="24.95" customHeight="1" x14ac:dyDescent="0.2">
      <c r="A12" s="211"/>
      <c r="B12" s="191">
        <v>43171</v>
      </c>
      <c r="C12" s="138" t="s">
        <v>1609</v>
      </c>
      <c r="D12" s="138" t="s">
        <v>1624</v>
      </c>
      <c r="E12" s="146" t="s">
        <v>948</v>
      </c>
      <c r="F12" s="138"/>
      <c r="G12" s="138">
        <v>450</v>
      </c>
      <c r="H12" s="139">
        <v>7069500</v>
      </c>
      <c r="I12" s="138"/>
      <c r="J12" s="226">
        <v>1250000</v>
      </c>
      <c r="K12" s="141"/>
      <c r="L12" s="150"/>
      <c r="M12" s="141"/>
      <c r="N12" s="141"/>
      <c r="O12" s="139">
        <f t="shared" si="0"/>
        <v>8319500</v>
      </c>
      <c r="P12" s="139">
        <v>4800000</v>
      </c>
      <c r="Q12" s="139">
        <f t="shared" si="1"/>
        <v>-3519500</v>
      </c>
      <c r="R12" s="217"/>
      <c r="S12" s="215"/>
      <c r="T12" s="215"/>
    </row>
    <row r="13" spans="1:20" s="144" customFormat="1" ht="24.95" customHeight="1" x14ac:dyDescent="0.2">
      <c r="A13" s="211"/>
      <c r="B13" s="191">
        <v>43171</v>
      </c>
      <c r="C13" s="138" t="s">
        <v>963</v>
      </c>
      <c r="D13" s="138" t="s">
        <v>1625</v>
      </c>
      <c r="E13" s="146" t="s">
        <v>948</v>
      </c>
      <c r="F13" s="138"/>
      <c r="G13" s="138"/>
      <c r="H13" s="139"/>
      <c r="I13" s="138"/>
      <c r="J13" s="226">
        <v>1250000</v>
      </c>
      <c r="K13" s="141"/>
      <c r="L13" s="150"/>
      <c r="M13" s="141"/>
      <c r="N13" s="141"/>
      <c r="O13" s="139">
        <f t="shared" si="0"/>
        <v>1250000</v>
      </c>
      <c r="P13" s="139">
        <v>4800000</v>
      </c>
      <c r="Q13" s="139">
        <f t="shared" si="1"/>
        <v>3550000</v>
      </c>
      <c r="R13" s="217"/>
      <c r="S13" s="215"/>
      <c r="T13" s="215"/>
    </row>
    <row r="14" spans="1:20" s="144" customFormat="1" ht="24.95" customHeight="1" x14ac:dyDescent="0.2">
      <c r="A14" s="211"/>
      <c r="B14" s="191">
        <v>43172</v>
      </c>
      <c r="C14" s="138" t="s">
        <v>1610</v>
      </c>
      <c r="D14" s="138" t="s">
        <v>1626</v>
      </c>
      <c r="E14" s="146" t="s">
        <v>201</v>
      </c>
      <c r="F14" s="138"/>
      <c r="G14" s="138"/>
      <c r="H14" s="139"/>
      <c r="I14" s="138"/>
      <c r="J14" s="226">
        <v>650000</v>
      </c>
      <c r="K14" s="141"/>
      <c r="L14" s="150"/>
      <c r="M14" s="141"/>
      <c r="N14" s="141"/>
      <c r="O14" s="139">
        <f t="shared" si="0"/>
        <v>650000</v>
      </c>
      <c r="P14" s="139">
        <v>3000000</v>
      </c>
      <c r="Q14" s="139">
        <f t="shared" si="1"/>
        <v>2350000</v>
      </c>
      <c r="R14" s="217"/>
      <c r="S14" s="215"/>
      <c r="T14" s="215"/>
    </row>
    <row r="15" spans="1:20" s="144" customFormat="1" ht="24.95" customHeight="1" x14ac:dyDescent="0.2">
      <c r="A15" s="211"/>
      <c r="B15" s="191">
        <v>43173</v>
      </c>
      <c r="C15" s="138" t="s">
        <v>1611</v>
      </c>
      <c r="D15" s="138" t="s">
        <v>1627</v>
      </c>
      <c r="E15" s="146" t="s">
        <v>948</v>
      </c>
      <c r="F15" s="138"/>
      <c r="G15" s="138">
        <v>290</v>
      </c>
      <c r="H15" s="139">
        <v>4555900</v>
      </c>
      <c r="I15" s="138"/>
      <c r="J15" s="226">
        <v>1250000</v>
      </c>
      <c r="K15" s="141"/>
      <c r="L15" s="150"/>
      <c r="M15" s="141"/>
      <c r="N15" s="141"/>
      <c r="O15" s="139">
        <f t="shared" si="0"/>
        <v>5805900</v>
      </c>
      <c r="P15" s="139">
        <v>4800000</v>
      </c>
      <c r="Q15" s="139">
        <f t="shared" si="1"/>
        <v>-1005900</v>
      </c>
      <c r="R15" s="217"/>
      <c r="S15" s="215"/>
      <c r="T15" s="215"/>
    </row>
    <row r="16" spans="1:20" s="144" customFormat="1" ht="24.95" customHeight="1" x14ac:dyDescent="0.2">
      <c r="A16" s="211"/>
      <c r="B16" s="191">
        <v>43174</v>
      </c>
      <c r="C16" s="138" t="s">
        <v>1612</v>
      </c>
      <c r="D16" s="138" t="s">
        <v>1558</v>
      </c>
      <c r="E16" s="146" t="s">
        <v>948</v>
      </c>
      <c r="F16" s="138"/>
      <c r="G16" s="138"/>
      <c r="H16" s="139"/>
      <c r="I16" s="138"/>
      <c r="J16" s="226">
        <v>1250000</v>
      </c>
      <c r="K16" s="141"/>
      <c r="L16" s="150"/>
      <c r="M16" s="141"/>
      <c r="N16" s="141"/>
      <c r="O16" s="139">
        <f t="shared" si="0"/>
        <v>1250000</v>
      </c>
      <c r="P16" s="139">
        <v>4800000</v>
      </c>
      <c r="Q16" s="139">
        <f t="shared" si="1"/>
        <v>3550000</v>
      </c>
      <c r="R16" s="217"/>
      <c r="S16" s="215"/>
      <c r="T16" s="215"/>
    </row>
    <row r="17" spans="1:20" s="144" customFormat="1" ht="24.95" customHeight="1" x14ac:dyDescent="0.2">
      <c r="A17" s="211"/>
      <c r="B17" s="191">
        <v>43175</v>
      </c>
      <c r="C17" s="138" t="s">
        <v>204</v>
      </c>
      <c r="D17" s="138" t="s">
        <v>1628</v>
      </c>
      <c r="E17" s="146" t="s">
        <v>76</v>
      </c>
      <c r="F17" s="138"/>
      <c r="G17" s="138">
        <v>240</v>
      </c>
      <c r="H17" s="139">
        <v>3770400</v>
      </c>
      <c r="I17" s="138"/>
      <c r="J17" s="226">
        <v>1420000</v>
      </c>
      <c r="K17" s="141"/>
      <c r="L17" s="150"/>
      <c r="M17" s="141"/>
      <c r="N17" s="141"/>
      <c r="O17" s="139">
        <f t="shared" si="0"/>
        <v>5190400</v>
      </c>
      <c r="P17" s="139">
        <v>5200000</v>
      </c>
      <c r="Q17" s="139">
        <f t="shared" si="1"/>
        <v>9600</v>
      </c>
      <c r="R17" s="217"/>
      <c r="S17" s="215"/>
      <c r="T17" s="215"/>
    </row>
    <row r="18" spans="1:20" s="144" customFormat="1" ht="24.95" customHeight="1" x14ac:dyDescent="0.2">
      <c r="A18" s="211"/>
      <c r="B18" s="191">
        <v>43178</v>
      </c>
      <c r="C18" s="138" t="s">
        <v>1613</v>
      </c>
      <c r="D18" s="138" t="s">
        <v>1417</v>
      </c>
      <c r="E18" s="146" t="s">
        <v>948</v>
      </c>
      <c r="F18" s="138"/>
      <c r="G18" s="138"/>
      <c r="H18" s="139"/>
      <c r="I18" s="138"/>
      <c r="J18" s="226">
        <v>1250000</v>
      </c>
      <c r="K18" s="141"/>
      <c r="L18" s="150"/>
      <c r="M18" s="141"/>
      <c r="N18" s="141"/>
      <c r="O18" s="139">
        <f t="shared" si="0"/>
        <v>1250000</v>
      </c>
      <c r="P18" s="139">
        <v>4800000</v>
      </c>
      <c r="Q18" s="139">
        <f t="shared" si="1"/>
        <v>3550000</v>
      </c>
      <c r="R18" s="217"/>
      <c r="S18" s="215"/>
      <c r="T18" s="215"/>
    </row>
    <row r="19" spans="1:20" s="144" customFormat="1" ht="24.95" customHeight="1" x14ac:dyDescent="0.2">
      <c r="A19" s="211"/>
      <c r="B19" s="191">
        <v>43179</v>
      </c>
      <c r="C19" s="138" t="s">
        <v>971</v>
      </c>
      <c r="D19" s="138" t="s">
        <v>1629</v>
      </c>
      <c r="E19" s="146" t="s">
        <v>177</v>
      </c>
      <c r="F19" s="138"/>
      <c r="G19" s="138">
        <v>240</v>
      </c>
      <c r="H19" s="139">
        <v>3770400</v>
      </c>
      <c r="I19" s="138"/>
      <c r="J19" s="226">
        <v>790000</v>
      </c>
      <c r="K19" s="141"/>
      <c r="L19" s="150"/>
      <c r="M19" s="141"/>
      <c r="N19" s="141"/>
      <c r="O19" s="139">
        <f t="shared" si="0"/>
        <v>4560400</v>
      </c>
      <c r="P19" s="139">
        <v>3300000</v>
      </c>
      <c r="Q19" s="139">
        <f t="shared" si="1"/>
        <v>-1260400</v>
      </c>
      <c r="R19" s="217"/>
      <c r="S19" s="215"/>
      <c r="T19" s="215"/>
    </row>
    <row r="20" spans="1:20" s="144" customFormat="1" ht="24.95" customHeight="1" x14ac:dyDescent="0.2">
      <c r="A20" s="211">
        <v>2</v>
      </c>
      <c r="B20" s="191">
        <v>43180</v>
      </c>
      <c r="C20" s="138" t="s">
        <v>1614</v>
      </c>
      <c r="D20" s="138" t="s">
        <v>1630</v>
      </c>
      <c r="E20" s="146" t="s">
        <v>1640</v>
      </c>
      <c r="F20" s="138"/>
      <c r="G20" s="138"/>
      <c r="H20" s="139"/>
      <c r="I20" s="138"/>
      <c r="J20" s="226">
        <v>600000</v>
      </c>
      <c r="K20" s="141"/>
      <c r="L20" s="150"/>
      <c r="M20" s="141"/>
      <c r="N20" s="141"/>
      <c r="O20" s="139">
        <f t="shared" si="0"/>
        <v>600000</v>
      </c>
      <c r="P20" s="141">
        <v>2900000</v>
      </c>
      <c r="Q20" s="139">
        <f t="shared" si="1"/>
        <v>2300000</v>
      </c>
      <c r="R20" s="217"/>
      <c r="S20" s="215"/>
      <c r="T20" s="215"/>
    </row>
    <row r="21" spans="1:20" s="144" customFormat="1" ht="24.95" customHeight="1" x14ac:dyDescent="0.2">
      <c r="A21" s="211">
        <v>3</v>
      </c>
      <c r="B21" s="191">
        <v>43180</v>
      </c>
      <c r="C21" s="138" t="s">
        <v>1615</v>
      </c>
      <c r="D21" s="138" t="s">
        <v>707</v>
      </c>
      <c r="E21" s="146" t="s">
        <v>1641</v>
      </c>
      <c r="F21" s="138"/>
      <c r="G21" s="138"/>
      <c r="H21" s="139"/>
      <c r="I21" s="138"/>
      <c r="J21" s="226">
        <v>1200000</v>
      </c>
      <c r="K21" s="141"/>
      <c r="L21" s="150"/>
      <c r="M21" s="141"/>
      <c r="N21" s="141"/>
      <c r="O21" s="139">
        <f t="shared" si="0"/>
        <v>1200000</v>
      </c>
      <c r="P21" s="139">
        <v>4500000</v>
      </c>
      <c r="Q21" s="139">
        <f t="shared" si="1"/>
        <v>3300000</v>
      </c>
      <c r="R21" s="217"/>
      <c r="S21" s="215"/>
      <c r="T21" s="215"/>
    </row>
    <row r="22" spans="1:20" s="144" customFormat="1" ht="24.95" customHeight="1" x14ac:dyDescent="0.2">
      <c r="A22" s="211">
        <v>4</v>
      </c>
      <c r="B22" s="191">
        <v>43181</v>
      </c>
      <c r="C22" s="138" t="s">
        <v>973</v>
      </c>
      <c r="D22" s="138" t="s">
        <v>1631</v>
      </c>
      <c r="E22" s="146" t="s">
        <v>720</v>
      </c>
      <c r="F22" s="138"/>
      <c r="G22" s="138">
        <v>265</v>
      </c>
      <c r="H22" s="139">
        <v>4163150</v>
      </c>
      <c r="I22" s="138"/>
      <c r="J22" s="226">
        <v>1420000</v>
      </c>
      <c r="K22" s="141"/>
      <c r="L22" s="150"/>
      <c r="M22" s="141"/>
      <c r="N22" s="141"/>
      <c r="O22" s="139">
        <f t="shared" si="0"/>
        <v>5583150</v>
      </c>
      <c r="P22" s="139">
        <v>5200000</v>
      </c>
      <c r="Q22" s="139">
        <f t="shared" si="1"/>
        <v>-383150</v>
      </c>
      <c r="R22" s="217"/>
      <c r="S22" s="215"/>
      <c r="T22" s="215"/>
    </row>
    <row r="23" spans="1:20" s="144" customFormat="1" ht="24.95" customHeight="1" x14ac:dyDescent="0.2">
      <c r="A23" s="211">
        <v>5</v>
      </c>
      <c r="B23" s="191">
        <v>43182</v>
      </c>
      <c r="C23" s="138" t="s">
        <v>974</v>
      </c>
      <c r="D23" s="138" t="s">
        <v>1632</v>
      </c>
      <c r="E23" s="146" t="s">
        <v>1642</v>
      </c>
      <c r="F23" s="138"/>
      <c r="G23" s="138"/>
      <c r="H23" s="139"/>
      <c r="I23" s="138"/>
      <c r="J23" s="226">
        <v>1420000</v>
      </c>
      <c r="K23" s="141"/>
      <c r="L23" s="150"/>
      <c r="M23" s="141"/>
      <c r="N23" s="141"/>
      <c r="O23" s="139">
        <f t="shared" si="0"/>
        <v>1420000</v>
      </c>
      <c r="P23" s="139">
        <v>5200000</v>
      </c>
      <c r="Q23" s="139">
        <f t="shared" si="1"/>
        <v>3780000</v>
      </c>
      <c r="R23" s="217"/>
      <c r="S23" s="215"/>
      <c r="T23" s="215"/>
    </row>
    <row r="24" spans="1:20" s="144" customFormat="1" ht="24.95" customHeight="1" x14ac:dyDescent="0.2">
      <c r="A24" s="211">
        <v>6</v>
      </c>
      <c r="B24" s="191">
        <v>43184</v>
      </c>
      <c r="C24" s="138" t="s">
        <v>1616</v>
      </c>
      <c r="D24" s="138" t="s">
        <v>1633</v>
      </c>
      <c r="E24" s="146" t="s">
        <v>948</v>
      </c>
      <c r="F24" s="138"/>
      <c r="G24" s="138">
        <v>275</v>
      </c>
      <c r="H24" s="139">
        <v>4320250</v>
      </c>
      <c r="I24" s="138"/>
      <c r="J24" s="226">
        <v>1250000</v>
      </c>
      <c r="K24" s="141"/>
      <c r="L24" s="150"/>
      <c r="M24" s="141"/>
      <c r="N24" s="141"/>
      <c r="O24" s="139">
        <f t="shared" si="0"/>
        <v>5570250</v>
      </c>
      <c r="P24" s="139">
        <v>4800000</v>
      </c>
      <c r="Q24" s="139">
        <f t="shared" si="1"/>
        <v>-770250</v>
      </c>
      <c r="R24" s="217"/>
      <c r="S24" s="215"/>
      <c r="T24" s="215"/>
    </row>
    <row r="25" spans="1:20" s="144" customFormat="1" ht="24.95" customHeight="1" x14ac:dyDescent="0.2">
      <c r="A25" s="211">
        <v>7</v>
      </c>
      <c r="B25" s="191">
        <v>43185</v>
      </c>
      <c r="C25" s="138" t="s">
        <v>976</v>
      </c>
      <c r="D25" s="138" t="s">
        <v>1634</v>
      </c>
      <c r="E25" s="146" t="s">
        <v>948</v>
      </c>
      <c r="F25" s="138"/>
      <c r="G25" s="138"/>
      <c r="H25" s="139"/>
      <c r="I25" s="138"/>
      <c r="J25" s="226">
        <v>1250000</v>
      </c>
      <c r="K25" s="141"/>
      <c r="L25" s="150"/>
      <c r="M25" s="141"/>
      <c r="N25" s="141"/>
      <c r="O25" s="139">
        <f t="shared" si="0"/>
        <v>1250000</v>
      </c>
      <c r="P25" s="139">
        <v>4800000</v>
      </c>
      <c r="Q25" s="139">
        <f t="shared" si="1"/>
        <v>3550000</v>
      </c>
      <c r="R25" s="217"/>
      <c r="S25" s="215"/>
      <c r="T25" s="215"/>
    </row>
    <row r="26" spans="1:20" s="144" customFormat="1" ht="24.95" customHeight="1" x14ac:dyDescent="0.2">
      <c r="A26" s="211">
        <v>8</v>
      </c>
      <c r="B26" s="191">
        <v>43186</v>
      </c>
      <c r="C26" s="138" t="s">
        <v>1617</v>
      </c>
      <c r="D26" s="138" t="s">
        <v>1635</v>
      </c>
      <c r="E26" s="146" t="s">
        <v>1218</v>
      </c>
      <c r="F26" s="138"/>
      <c r="G26" s="138">
        <v>230</v>
      </c>
      <c r="H26" s="139">
        <v>3613300</v>
      </c>
      <c r="I26" s="138"/>
      <c r="J26" s="226">
        <v>790000</v>
      </c>
      <c r="K26" s="141"/>
      <c r="L26" s="150"/>
      <c r="M26" s="141"/>
      <c r="N26" s="141"/>
      <c r="O26" s="139">
        <f t="shared" si="0"/>
        <v>4403300</v>
      </c>
      <c r="P26" s="139">
        <v>3200000</v>
      </c>
      <c r="Q26" s="139">
        <f t="shared" si="1"/>
        <v>-1203300</v>
      </c>
      <c r="R26" s="217"/>
      <c r="S26" s="215"/>
      <c r="T26" s="215"/>
    </row>
    <row r="27" spans="1:20" s="144" customFormat="1" ht="24.95" customHeight="1" x14ac:dyDescent="0.2">
      <c r="A27" s="211">
        <v>9</v>
      </c>
      <c r="B27" s="191">
        <v>43187</v>
      </c>
      <c r="C27" s="138" t="s">
        <v>1618</v>
      </c>
      <c r="D27" s="138" t="s">
        <v>1636</v>
      </c>
      <c r="E27" s="146" t="s">
        <v>763</v>
      </c>
      <c r="F27" s="138"/>
      <c r="G27" s="138"/>
      <c r="H27" s="139"/>
      <c r="I27" s="138"/>
      <c r="J27" s="226">
        <v>970000</v>
      </c>
      <c r="K27" s="141"/>
      <c r="L27" s="150"/>
      <c r="M27" s="141"/>
      <c r="N27" s="141"/>
      <c r="O27" s="139">
        <f t="shared" si="0"/>
        <v>970000</v>
      </c>
      <c r="P27" s="139">
        <v>3700000</v>
      </c>
      <c r="Q27" s="139">
        <f t="shared" si="1"/>
        <v>2730000</v>
      </c>
      <c r="R27" s="217"/>
      <c r="S27" s="215"/>
      <c r="T27" s="215"/>
    </row>
    <row r="28" spans="1:20" s="144" customFormat="1" ht="24.95" customHeight="1" x14ac:dyDescent="0.2">
      <c r="A28" s="211">
        <v>10</v>
      </c>
      <c r="B28" s="191">
        <v>43188</v>
      </c>
      <c r="C28" s="138" t="s">
        <v>980</v>
      </c>
      <c r="D28" s="138" t="s">
        <v>1637</v>
      </c>
      <c r="E28" s="146" t="s">
        <v>333</v>
      </c>
      <c r="F28" s="138"/>
      <c r="G28" s="138"/>
      <c r="H28" s="139"/>
      <c r="I28" s="138"/>
      <c r="J28" s="226">
        <v>1250000</v>
      </c>
      <c r="K28" s="141"/>
      <c r="L28" s="150"/>
      <c r="M28" s="141"/>
      <c r="N28" s="141"/>
      <c r="O28" s="139">
        <f t="shared" si="0"/>
        <v>1250000</v>
      </c>
      <c r="P28" s="139">
        <v>4700000</v>
      </c>
      <c r="Q28" s="139">
        <f t="shared" si="1"/>
        <v>3450000</v>
      </c>
      <c r="R28" s="217"/>
      <c r="S28" s="215"/>
      <c r="T28" s="215"/>
    </row>
    <row r="29" spans="1:20" s="144" customFormat="1" ht="24.95" customHeight="1" x14ac:dyDescent="0.2">
      <c r="A29" s="211">
        <v>11</v>
      </c>
      <c r="B29" s="191">
        <v>43189</v>
      </c>
      <c r="C29" s="138" t="s">
        <v>981</v>
      </c>
      <c r="D29" s="138" t="s">
        <v>1638</v>
      </c>
      <c r="E29" s="146" t="s">
        <v>948</v>
      </c>
      <c r="F29" s="138"/>
      <c r="G29" s="138">
        <v>300</v>
      </c>
      <c r="H29" s="139">
        <v>4713000</v>
      </c>
      <c r="I29" s="138"/>
      <c r="J29" s="226">
        <v>1250000</v>
      </c>
      <c r="K29" s="141"/>
      <c r="L29" s="150"/>
      <c r="M29" s="141"/>
      <c r="N29" s="141"/>
      <c r="O29" s="139">
        <f t="shared" si="0"/>
        <v>5963000</v>
      </c>
      <c r="P29" s="139">
        <v>4800000</v>
      </c>
      <c r="Q29" s="139">
        <f t="shared" si="1"/>
        <v>-1163000</v>
      </c>
      <c r="R29" s="217"/>
      <c r="S29" s="215"/>
      <c r="T29" s="215"/>
    </row>
    <row r="30" spans="1:20" s="144" customFormat="1" ht="24.95" customHeight="1" x14ac:dyDescent="0.2">
      <c r="A30" s="211">
        <v>12</v>
      </c>
      <c r="B30" s="191"/>
      <c r="C30" s="138"/>
      <c r="D30" s="138"/>
      <c r="E30" s="146"/>
      <c r="F30" s="138"/>
      <c r="G30" s="138"/>
      <c r="H30" s="139"/>
      <c r="I30" s="138"/>
      <c r="J30" s="141"/>
      <c r="K30" s="141"/>
      <c r="L30" s="150"/>
      <c r="M30" s="141"/>
      <c r="N30" s="141"/>
      <c r="O30" s="139">
        <f t="shared" si="0"/>
        <v>0</v>
      </c>
      <c r="P30" s="139"/>
      <c r="Q30" s="139">
        <f t="shared" si="1"/>
        <v>0</v>
      </c>
      <c r="R30" s="217"/>
      <c r="S30" s="215"/>
      <c r="T30" s="215"/>
    </row>
    <row r="31" spans="1:20" s="144" customFormat="1" ht="24.95" customHeight="1" x14ac:dyDescent="0.2">
      <c r="A31" s="211">
        <v>13</v>
      </c>
      <c r="B31" s="191"/>
      <c r="C31" s="138"/>
      <c r="D31" s="138"/>
      <c r="E31" s="146"/>
      <c r="F31" s="138"/>
      <c r="G31" s="138"/>
      <c r="H31" s="139"/>
      <c r="I31" s="138"/>
      <c r="J31" s="141"/>
      <c r="K31" s="141"/>
      <c r="L31" s="150"/>
      <c r="M31" s="141"/>
      <c r="N31" s="141"/>
      <c r="O31" s="139">
        <f t="shared" si="0"/>
        <v>0</v>
      </c>
      <c r="P31" s="139"/>
      <c r="Q31" s="139">
        <f t="shared" si="1"/>
        <v>0</v>
      </c>
      <c r="R31" s="217"/>
      <c r="S31" s="215"/>
      <c r="T31" s="215"/>
    </row>
    <row r="32" spans="1:20" s="144" customFormat="1" ht="24.95" customHeight="1" x14ac:dyDescent="0.2">
      <c r="A32" s="211"/>
      <c r="B32" s="191"/>
      <c r="C32" s="221" t="s">
        <v>1643</v>
      </c>
      <c r="D32" s="220"/>
      <c r="E32" s="221"/>
      <c r="F32" s="220"/>
      <c r="G32" s="220"/>
      <c r="H32" s="219"/>
      <c r="I32" s="220"/>
      <c r="J32" s="157"/>
      <c r="K32" s="157"/>
      <c r="L32" s="157">
        <v>430000</v>
      </c>
      <c r="M32" s="157"/>
      <c r="N32" s="141"/>
      <c r="O32" s="139">
        <f t="shared" si="0"/>
        <v>430000</v>
      </c>
      <c r="P32" s="139"/>
      <c r="Q32" s="139">
        <f t="shared" si="1"/>
        <v>-430000</v>
      </c>
      <c r="R32" s="217"/>
      <c r="S32" s="215"/>
      <c r="T32" s="215"/>
    </row>
    <row r="33" spans="1:20" s="159" customFormat="1" ht="24.95" customHeight="1" x14ac:dyDescent="0.25">
      <c r="A33" s="211"/>
      <c r="B33" s="165"/>
      <c r="C33" s="196" t="s">
        <v>1337</v>
      </c>
      <c r="D33" s="195"/>
      <c r="E33" s="197"/>
      <c r="F33" s="195"/>
      <c r="G33" s="195"/>
      <c r="H33" s="155"/>
      <c r="I33" s="195"/>
      <c r="J33" s="155"/>
      <c r="K33" s="157">
        <v>7615385</v>
      </c>
      <c r="L33" s="155"/>
      <c r="M33" s="155"/>
      <c r="N33" s="155"/>
      <c r="O33" s="139">
        <f t="shared" si="0"/>
        <v>7615385</v>
      </c>
      <c r="P33" s="139"/>
      <c r="Q33" s="139">
        <f t="shared" si="1"/>
        <v>-7615385</v>
      </c>
      <c r="S33" s="215"/>
      <c r="T33" s="215"/>
    </row>
    <row r="34" spans="1:20" s="159" customFormat="1" ht="24.95" customHeight="1" x14ac:dyDescent="0.25">
      <c r="A34" s="211"/>
      <c r="B34" s="203"/>
      <c r="C34" s="152" t="s">
        <v>1287</v>
      </c>
      <c r="D34" s="153"/>
      <c r="E34" s="154"/>
      <c r="F34" s="153"/>
      <c r="G34" s="153"/>
      <c r="H34" s="156"/>
      <c r="I34" s="153"/>
      <c r="J34" s="156"/>
      <c r="K34" s="204"/>
      <c r="L34" s="156"/>
      <c r="M34" s="156">
        <v>9600000</v>
      </c>
      <c r="N34" s="156"/>
      <c r="O34" s="139">
        <f t="shared" si="0"/>
        <v>9600000</v>
      </c>
      <c r="P34" s="139"/>
      <c r="Q34" s="139">
        <f t="shared" si="1"/>
        <v>-9600000</v>
      </c>
      <c r="S34" s="215"/>
      <c r="T34" s="215"/>
    </row>
    <row r="35" spans="1:20" s="159" customFormat="1" ht="24.95" customHeight="1" x14ac:dyDescent="0.25">
      <c r="A35" s="211"/>
      <c r="B35" s="203"/>
      <c r="C35" s="152" t="s">
        <v>1644</v>
      </c>
      <c r="D35" s="153"/>
      <c r="E35" s="154"/>
      <c r="F35" s="153"/>
      <c r="G35" s="153"/>
      <c r="H35" s="156"/>
      <c r="I35" s="153"/>
      <c r="J35" s="156"/>
      <c r="K35" s="204"/>
      <c r="L35" s="156">
        <v>280000</v>
      </c>
      <c r="M35" s="156"/>
      <c r="N35" s="156"/>
      <c r="O35" s="139">
        <f t="shared" si="0"/>
        <v>280000</v>
      </c>
      <c r="P35" s="139"/>
      <c r="Q35" s="139">
        <f t="shared" si="1"/>
        <v>-280000</v>
      </c>
      <c r="S35" s="215"/>
      <c r="T35" s="215"/>
    </row>
    <row r="36" spans="1:20" s="159" customFormat="1" ht="24.95" customHeight="1" x14ac:dyDescent="0.25">
      <c r="A36" s="211"/>
      <c r="B36" s="203"/>
      <c r="C36" s="152" t="s">
        <v>1094</v>
      </c>
      <c r="D36" s="153"/>
      <c r="E36" s="154"/>
      <c r="F36" s="153"/>
      <c r="G36" s="153"/>
      <c r="H36" s="156"/>
      <c r="I36" s="153"/>
      <c r="J36" s="156"/>
      <c r="K36" s="204">
        <f>1200000*1.1</f>
        <v>1320000</v>
      </c>
      <c r="L36" s="204"/>
      <c r="M36" s="156"/>
      <c r="N36" s="156"/>
      <c r="O36" s="139">
        <f t="shared" si="0"/>
        <v>1320000</v>
      </c>
      <c r="P36" s="139"/>
      <c r="Q36" s="139">
        <f t="shared" si="1"/>
        <v>-1320000</v>
      </c>
      <c r="R36" s="186"/>
      <c r="S36" s="215"/>
      <c r="T36" s="215"/>
    </row>
    <row r="37" spans="1:20" ht="24.95" customHeight="1" x14ac:dyDescent="0.25">
      <c r="A37" s="426" t="s">
        <v>20</v>
      </c>
      <c r="B37" s="426"/>
      <c r="C37" s="426"/>
      <c r="D37" s="426"/>
      <c r="E37" s="426"/>
      <c r="F37" s="426"/>
      <c r="G37" s="161">
        <f t="shared" ref="G37:Q37" si="2">SUM(G7:G36)</f>
        <v>2590</v>
      </c>
      <c r="H37" s="161">
        <f t="shared" si="2"/>
        <v>40688900</v>
      </c>
      <c r="I37" s="161">
        <f t="shared" si="2"/>
        <v>0</v>
      </c>
      <c r="J37" s="161">
        <f t="shared" si="2"/>
        <v>26270000</v>
      </c>
      <c r="K37" s="161">
        <f t="shared" si="2"/>
        <v>8935385</v>
      </c>
      <c r="L37" s="161">
        <f t="shared" si="2"/>
        <v>710000</v>
      </c>
      <c r="M37" s="161">
        <f t="shared" si="2"/>
        <v>9600000</v>
      </c>
      <c r="N37" s="161">
        <f t="shared" si="2"/>
        <v>0</v>
      </c>
      <c r="O37" s="161">
        <f t="shared" si="2"/>
        <v>86204285</v>
      </c>
      <c r="P37" s="161">
        <f t="shared" si="2"/>
        <v>102500000</v>
      </c>
      <c r="Q37" s="161">
        <f t="shared" si="2"/>
        <v>16295715</v>
      </c>
      <c r="R37" s="187"/>
      <c r="S37" s="189"/>
    </row>
    <row r="38" spans="1:20" ht="24.95" customHeight="1" x14ac:dyDescent="0.25">
      <c r="O38" s="158"/>
      <c r="Q38" s="158"/>
    </row>
    <row r="39" spans="1:20" ht="24.95" customHeight="1" x14ac:dyDescent="0.25">
      <c r="P39" s="216" t="s">
        <v>1603</v>
      </c>
      <c r="Q39" s="227">
        <f>'02-2018'!Q26+'03-2018'!Q37</f>
        <v>58185339</v>
      </c>
    </row>
    <row r="40" spans="1:20" ht="24.95" customHeight="1" x14ac:dyDescent="0.25">
      <c r="B40" s="129"/>
      <c r="H40" s="128"/>
      <c r="J40" s="128"/>
      <c r="K40" s="128"/>
      <c r="L40" s="128"/>
      <c r="M40" s="128"/>
      <c r="N40" s="128"/>
      <c r="O40" s="128"/>
      <c r="P40" s="218"/>
      <c r="Q40" s="216"/>
    </row>
    <row r="41" spans="1:20" ht="24.95" customHeight="1" x14ac:dyDescent="0.25">
      <c r="B41" s="129"/>
      <c r="H41" s="128"/>
      <c r="J41" s="128"/>
      <c r="K41" s="128"/>
      <c r="L41" s="128"/>
      <c r="M41" s="128"/>
      <c r="N41" s="128"/>
      <c r="O41" s="128"/>
      <c r="P41" s="218"/>
      <c r="Q41" s="230"/>
    </row>
    <row r="42" spans="1:20" ht="24.95" customHeight="1" x14ac:dyDescent="0.25">
      <c r="B42" s="129"/>
      <c r="H42" s="128"/>
      <c r="J42" s="128"/>
      <c r="K42" s="128"/>
      <c r="L42" s="128"/>
      <c r="M42" s="128"/>
      <c r="N42" s="128"/>
      <c r="O42" s="128"/>
      <c r="P42" s="218"/>
      <c r="Q42" s="230"/>
    </row>
    <row r="43" spans="1:20" ht="24.95" customHeight="1" x14ac:dyDescent="0.25">
      <c r="B43" s="129"/>
      <c r="H43" s="128"/>
      <c r="J43" s="128"/>
      <c r="K43" s="128"/>
      <c r="L43" s="128"/>
      <c r="M43" s="128"/>
      <c r="N43" s="128"/>
      <c r="O43" s="128"/>
      <c r="P43" s="218"/>
      <c r="Q43" s="216"/>
    </row>
    <row r="44" spans="1:20" x14ac:dyDescent="0.25">
      <c r="B44" s="129"/>
      <c r="H44" s="128"/>
      <c r="J44" s="128"/>
      <c r="K44" s="128"/>
      <c r="L44" s="128"/>
      <c r="M44" s="128"/>
      <c r="N44" s="128"/>
      <c r="O44" s="128"/>
      <c r="P44" s="218"/>
      <c r="Q44" s="216"/>
    </row>
    <row r="45" spans="1:20" x14ac:dyDescent="0.25">
      <c r="A45" s="128"/>
      <c r="B45" s="129"/>
      <c r="H45" s="128"/>
      <c r="J45" s="128"/>
      <c r="K45" s="128"/>
      <c r="L45" s="128"/>
      <c r="M45" s="128"/>
      <c r="N45" s="128"/>
      <c r="O45" s="128"/>
      <c r="P45" s="218"/>
      <c r="Q45" s="216"/>
    </row>
    <row r="46" spans="1:20" x14ac:dyDescent="0.25">
      <c r="A46" s="128"/>
      <c r="B46" s="129"/>
      <c r="H46" s="128"/>
      <c r="J46" s="128"/>
      <c r="K46" s="128"/>
      <c r="L46" s="128"/>
      <c r="M46" s="128"/>
      <c r="N46" s="128"/>
      <c r="O46" s="128"/>
      <c r="P46" s="128"/>
      <c r="Q46" s="216"/>
    </row>
    <row r="47" spans="1:20" x14ac:dyDescent="0.25">
      <c r="A47" s="128"/>
      <c r="B47" s="128"/>
      <c r="H47" s="128"/>
      <c r="J47" s="128"/>
      <c r="K47" s="128"/>
      <c r="L47" s="128"/>
      <c r="M47" s="128"/>
      <c r="N47" s="128"/>
      <c r="O47" s="128"/>
      <c r="P47" s="128"/>
      <c r="Q47" s="216"/>
    </row>
    <row r="48" spans="1:20" x14ac:dyDescent="0.25">
      <c r="A48" s="128"/>
      <c r="B48" s="128"/>
      <c r="H48" s="128"/>
      <c r="J48" s="128"/>
      <c r="K48" s="128"/>
      <c r="L48" s="128"/>
      <c r="M48" s="128"/>
      <c r="N48" s="128"/>
      <c r="O48" s="128"/>
      <c r="P48" s="128"/>
      <c r="Q48" s="216"/>
    </row>
  </sheetData>
  <mergeCells count="14">
    <mergeCell ref="O5:O6"/>
    <mergeCell ref="P5:P6"/>
    <mergeCell ref="Q5:Q6"/>
    <mergeCell ref="A37:F37"/>
    <mergeCell ref="A1:Q1"/>
    <mergeCell ref="A2:Q2"/>
    <mergeCell ref="B3:Q3"/>
    <mergeCell ref="A5:A6"/>
    <mergeCell ref="B5:B6"/>
    <mergeCell ref="C5:C6"/>
    <mergeCell ref="D5:D6"/>
    <mergeCell ref="E5:E6"/>
    <mergeCell ref="F5:F6"/>
    <mergeCell ref="G5:N5"/>
  </mergeCells>
  <pageMargins left="0" right="0" top="0.75" bottom="0.75" header="0.3" footer="0.3"/>
  <pageSetup paperSize="9" scale="55" orientation="landscape"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58"/>
  <sheetViews>
    <sheetView topLeftCell="D34" zoomScaleNormal="100" workbookViewId="0">
      <selection activeCell="Q49" sqref="Q4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13.7109375" style="128" customWidth="1"/>
    <col min="19" max="19" width="10.85546875" style="128" bestFit="1"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1645</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43192</v>
      </c>
      <c r="C7" s="138" t="s">
        <v>1646</v>
      </c>
      <c r="D7" s="138" t="s">
        <v>1663</v>
      </c>
      <c r="E7" s="146" t="s">
        <v>146</v>
      </c>
      <c r="F7" s="138"/>
      <c r="G7" s="138">
        <v>245</v>
      </c>
      <c r="H7" s="139">
        <v>3848950</v>
      </c>
      <c r="I7" s="138"/>
      <c r="J7" s="141">
        <v>1510000</v>
      </c>
      <c r="K7" s="141"/>
      <c r="L7" s="150"/>
      <c r="M7" s="141"/>
      <c r="N7" s="141"/>
      <c r="O7" s="139">
        <f>H7+J7+K7+L7+M7+N7</f>
        <v>5358950</v>
      </c>
      <c r="P7" s="139">
        <v>5200000</v>
      </c>
      <c r="Q7" s="139">
        <f>P7-O7</f>
        <v>-158950</v>
      </c>
      <c r="R7" s="217"/>
      <c r="S7" s="215"/>
      <c r="T7" s="215"/>
    </row>
    <row r="8" spans="1:20" s="144" customFormat="1" ht="24.95" customHeight="1" x14ac:dyDescent="0.2">
      <c r="A8" s="211"/>
      <c r="B8" s="191">
        <v>43192</v>
      </c>
      <c r="C8" s="138" t="s">
        <v>1029</v>
      </c>
      <c r="D8" s="138" t="s">
        <v>1664</v>
      </c>
      <c r="E8" s="146" t="s">
        <v>1685</v>
      </c>
      <c r="F8" s="138"/>
      <c r="G8" s="138"/>
      <c r="H8" s="139"/>
      <c r="I8" s="138"/>
      <c r="J8" s="141">
        <v>1420000</v>
      </c>
      <c r="K8" s="141"/>
      <c r="L8" s="150"/>
      <c r="M8" s="141"/>
      <c r="N8" s="141"/>
      <c r="O8" s="139">
        <f t="shared" ref="O8:O46" si="0">H8+J8+K8+L8+M8+N8</f>
        <v>1420000</v>
      </c>
      <c r="P8" s="139">
        <v>5200000</v>
      </c>
      <c r="Q8" s="139">
        <f t="shared" ref="Q8:Q28" si="1">P8-O8</f>
        <v>3780000</v>
      </c>
      <c r="R8" s="217"/>
      <c r="S8" s="215"/>
      <c r="T8" s="215"/>
    </row>
    <row r="9" spans="1:20" s="144" customFormat="1" ht="24.95" customHeight="1" x14ac:dyDescent="0.2">
      <c r="A9" s="211"/>
      <c r="B9" s="191">
        <v>43193</v>
      </c>
      <c r="C9" s="138" t="s">
        <v>1647</v>
      </c>
      <c r="D9" s="138" t="s">
        <v>1665</v>
      </c>
      <c r="E9" s="146" t="s">
        <v>1565</v>
      </c>
      <c r="F9" s="138"/>
      <c r="G9" s="138"/>
      <c r="H9" s="139"/>
      <c r="I9" s="138"/>
      <c r="J9" s="141">
        <v>1420000</v>
      </c>
      <c r="K9" s="141"/>
      <c r="L9" s="150"/>
      <c r="M9" s="141"/>
      <c r="N9" s="141"/>
      <c r="O9" s="139">
        <f t="shared" si="0"/>
        <v>1420000</v>
      </c>
      <c r="P9" s="139">
        <v>5200000</v>
      </c>
      <c r="Q9" s="139">
        <f t="shared" si="1"/>
        <v>3780000</v>
      </c>
      <c r="R9" s="217"/>
      <c r="S9" s="215"/>
      <c r="T9" s="215"/>
    </row>
    <row r="10" spans="1:20" s="144" customFormat="1" ht="24.95" customHeight="1" x14ac:dyDescent="0.2">
      <c r="A10" s="211"/>
      <c r="B10" s="191">
        <v>43194</v>
      </c>
      <c r="C10" s="138" t="s">
        <v>1648</v>
      </c>
      <c r="D10" s="138" t="s">
        <v>1666</v>
      </c>
      <c r="E10" s="146" t="s">
        <v>23</v>
      </c>
      <c r="F10" s="138"/>
      <c r="G10" s="138">
        <v>285</v>
      </c>
      <c r="H10" s="139">
        <v>4477350</v>
      </c>
      <c r="I10" s="138"/>
      <c r="J10" s="141">
        <f>2920000-180000</f>
        <v>2740000</v>
      </c>
      <c r="K10" s="141"/>
      <c r="L10" s="150"/>
      <c r="M10" s="141"/>
      <c r="N10" s="141"/>
      <c r="O10" s="139">
        <f t="shared" si="0"/>
        <v>7217350</v>
      </c>
      <c r="P10" s="139">
        <v>12727273</v>
      </c>
      <c r="Q10" s="139">
        <f t="shared" si="1"/>
        <v>5509923</v>
      </c>
      <c r="R10" s="217"/>
      <c r="S10" s="215"/>
      <c r="T10" s="215"/>
    </row>
    <row r="11" spans="1:20" s="144" customFormat="1" ht="24.95" customHeight="1" x14ac:dyDescent="0.2">
      <c r="A11" s="211"/>
      <c r="B11" s="191">
        <v>43196</v>
      </c>
      <c r="C11" s="138" t="s">
        <v>1649</v>
      </c>
      <c r="D11" s="138" t="s">
        <v>1667</v>
      </c>
      <c r="E11" s="146" t="s">
        <v>23</v>
      </c>
      <c r="F11" s="138"/>
      <c r="G11" s="138">
        <v>245</v>
      </c>
      <c r="H11" s="139">
        <v>3848950</v>
      </c>
      <c r="I11" s="138"/>
      <c r="J11" s="141">
        <f>2920000-180000</f>
        <v>2740000</v>
      </c>
      <c r="K11" s="141"/>
      <c r="L11" s="150"/>
      <c r="M11" s="141"/>
      <c r="N11" s="141"/>
      <c r="O11" s="139">
        <f t="shared" si="0"/>
        <v>6588950</v>
      </c>
      <c r="P11" s="139">
        <v>12181818</v>
      </c>
      <c r="Q11" s="139">
        <f t="shared" si="1"/>
        <v>5592868</v>
      </c>
      <c r="R11" s="217"/>
      <c r="S11" s="215"/>
      <c r="T11" s="215"/>
    </row>
    <row r="12" spans="1:20" s="144" customFormat="1" ht="24.95" customHeight="1" x14ac:dyDescent="0.2">
      <c r="A12" s="211"/>
      <c r="B12" s="191">
        <v>43199</v>
      </c>
      <c r="C12" s="138" t="s">
        <v>1650</v>
      </c>
      <c r="D12" s="138" t="s">
        <v>1668</v>
      </c>
      <c r="E12" s="146" t="s">
        <v>1686</v>
      </c>
      <c r="F12" s="138"/>
      <c r="G12" s="138">
        <v>300</v>
      </c>
      <c r="H12" s="139">
        <v>4905000</v>
      </c>
      <c r="I12" s="138"/>
      <c r="J12" s="141">
        <v>850000</v>
      </c>
      <c r="K12" s="141"/>
      <c r="L12" s="150"/>
      <c r="M12" s="141"/>
      <c r="N12" s="141"/>
      <c r="O12" s="139">
        <f t="shared" si="0"/>
        <v>5755000</v>
      </c>
      <c r="P12" s="139">
        <v>2409091</v>
      </c>
      <c r="Q12" s="139">
        <f t="shared" si="1"/>
        <v>-3345909</v>
      </c>
      <c r="R12" s="217"/>
      <c r="S12" s="215"/>
      <c r="T12" s="215"/>
    </row>
    <row r="13" spans="1:20" s="144" customFormat="1" ht="24.95" customHeight="1" x14ac:dyDescent="0.2">
      <c r="A13" s="211"/>
      <c r="B13" s="191">
        <v>43199</v>
      </c>
      <c r="C13" s="138" t="s">
        <v>1651</v>
      </c>
      <c r="D13" s="138" t="s">
        <v>1668</v>
      </c>
      <c r="E13" s="146" t="s">
        <v>1641</v>
      </c>
      <c r="F13" s="138"/>
      <c r="G13" s="138"/>
      <c r="H13" s="139"/>
      <c r="I13" s="138"/>
      <c r="J13" s="141">
        <v>0</v>
      </c>
      <c r="K13" s="141"/>
      <c r="L13" s="150"/>
      <c r="M13" s="141"/>
      <c r="N13" s="141"/>
      <c r="O13" s="139">
        <f t="shared" si="0"/>
        <v>0</v>
      </c>
      <c r="P13" s="139">
        <v>1500000</v>
      </c>
      <c r="Q13" s="139">
        <f t="shared" si="1"/>
        <v>1500000</v>
      </c>
      <c r="R13" s="217"/>
      <c r="S13" s="215"/>
      <c r="T13" s="215"/>
    </row>
    <row r="14" spans="1:20" s="144" customFormat="1" ht="24.95" customHeight="1" x14ac:dyDescent="0.2">
      <c r="A14" s="211"/>
      <c r="B14" s="191">
        <v>43199</v>
      </c>
      <c r="C14" s="138" t="s">
        <v>1034</v>
      </c>
      <c r="D14" s="138" t="s">
        <v>1669</v>
      </c>
      <c r="E14" s="146" t="s">
        <v>146</v>
      </c>
      <c r="F14" s="138"/>
      <c r="G14" s="138"/>
      <c r="H14" s="139"/>
      <c r="I14" s="138"/>
      <c r="J14" s="141">
        <v>1510000</v>
      </c>
      <c r="K14" s="141"/>
      <c r="L14" s="150"/>
      <c r="M14" s="141"/>
      <c r="N14" s="141"/>
      <c r="O14" s="139">
        <f t="shared" si="0"/>
        <v>1510000</v>
      </c>
      <c r="P14" s="139">
        <v>5200000</v>
      </c>
      <c r="Q14" s="139">
        <f t="shared" si="1"/>
        <v>3690000</v>
      </c>
      <c r="R14" s="217"/>
      <c r="S14" s="215"/>
      <c r="T14" s="215"/>
    </row>
    <row r="15" spans="1:20" s="144" customFormat="1" ht="24.95" customHeight="1" x14ac:dyDescent="0.2">
      <c r="A15" s="211"/>
      <c r="B15" s="191">
        <v>43200</v>
      </c>
      <c r="C15" s="138" t="s">
        <v>1035</v>
      </c>
      <c r="D15" s="138" t="s">
        <v>1670</v>
      </c>
      <c r="E15" s="146" t="s">
        <v>948</v>
      </c>
      <c r="F15" s="138"/>
      <c r="G15" s="138"/>
      <c r="H15" s="139"/>
      <c r="I15" s="138"/>
      <c r="J15" s="141">
        <v>1250000</v>
      </c>
      <c r="K15" s="141"/>
      <c r="L15" s="150"/>
      <c r="M15" s="141"/>
      <c r="N15" s="141"/>
      <c r="O15" s="139">
        <f t="shared" si="0"/>
        <v>1250000</v>
      </c>
      <c r="P15" s="139">
        <v>4800000</v>
      </c>
      <c r="Q15" s="139">
        <f t="shared" si="1"/>
        <v>3550000</v>
      </c>
      <c r="R15" s="217"/>
      <c r="S15" s="215"/>
      <c r="T15" s="215"/>
    </row>
    <row r="16" spans="1:20" s="144" customFormat="1" ht="24.95" customHeight="1" x14ac:dyDescent="0.2">
      <c r="A16" s="211"/>
      <c r="B16" s="191">
        <v>43201</v>
      </c>
      <c r="C16" s="138" t="s">
        <v>1036</v>
      </c>
      <c r="D16" s="138" t="s">
        <v>1671</v>
      </c>
      <c r="E16" s="146" t="s">
        <v>333</v>
      </c>
      <c r="F16" s="138"/>
      <c r="G16" s="138"/>
      <c r="H16" s="139"/>
      <c r="I16" s="138"/>
      <c r="J16" s="141">
        <v>1250000</v>
      </c>
      <c r="K16" s="141"/>
      <c r="L16" s="150"/>
      <c r="M16" s="141"/>
      <c r="N16" s="141"/>
      <c r="O16" s="139">
        <f t="shared" si="0"/>
        <v>1250000</v>
      </c>
      <c r="P16" s="139">
        <v>4700000</v>
      </c>
      <c r="Q16" s="139">
        <f t="shared" si="1"/>
        <v>3450000</v>
      </c>
      <c r="R16" s="217"/>
      <c r="S16" s="215"/>
      <c r="T16" s="215"/>
    </row>
    <row r="17" spans="1:20" s="144" customFormat="1" ht="24.95" customHeight="1" x14ac:dyDescent="0.2">
      <c r="A17" s="211"/>
      <c r="B17" s="191">
        <v>43202</v>
      </c>
      <c r="C17" s="138" t="s">
        <v>1652</v>
      </c>
      <c r="D17" s="138" t="s">
        <v>1672</v>
      </c>
      <c r="E17" s="146" t="s">
        <v>23</v>
      </c>
      <c r="F17" s="138"/>
      <c r="G17" s="138">
        <v>240</v>
      </c>
      <c r="H17" s="139">
        <v>3924000</v>
      </c>
      <c r="I17" s="138"/>
      <c r="J17" s="141">
        <v>2740000</v>
      </c>
      <c r="K17" s="141"/>
      <c r="L17" s="150"/>
      <c r="M17" s="141"/>
      <c r="N17" s="141"/>
      <c r="O17" s="139">
        <f t="shared" si="0"/>
        <v>6664000</v>
      </c>
      <c r="P17" s="139">
        <v>12181818</v>
      </c>
      <c r="Q17" s="139">
        <f t="shared" si="1"/>
        <v>5517818</v>
      </c>
      <c r="R17" s="217"/>
      <c r="S17" s="215"/>
      <c r="T17" s="215"/>
    </row>
    <row r="18" spans="1:20" s="144" customFormat="1" ht="24.95" customHeight="1" x14ac:dyDescent="0.2">
      <c r="A18" s="211"/>
      <c r="B18" s="191">
        <v>43203</v>
      </c>
      <c r="C18" s="138" t="s">
        <v>266</v>
      </c>
      <c r="D18" s="138" t="s">
        <v>1673</v>
      </c>
      <c r="E18" s="146" t="s">
        <v>948</v>
      </c>
      <c r="F18" s="138"/>
      <c r="G18" s="138">
        <v>365</v>
      </c>
      <c r="H18" s="139">
        <v>5967750</v>
      </c>
      <c r="I18" s="138"/>
      <c r="J18" s="141">
        <v>1250000</v>
      </c>
      <c r="K18" s="141"/>
      <c r="L18" s="150"/>
      <c r="M18" s="141"/>
      <c r="N18" s="141"/>
      <c r="O18" s="139">
        <f t="shared" si="0"/>
        <v>7217750</v>
      </c>
      <c r="P18" s="139">
        <v>4800000</v>
      </c>
      <c r="Q18" s="139">
        <f t="shared" si="1"/>
        <v>-2417750</v>
      </c>
      <c r="R18" s="217"/>
      <c r="S18" s="215"/>
      <c r="T18" s="215"/>
    </row>
    <row r="19" spans="1:20" s="144" customFormat="1" ht="24.95" customHeight="1" x14ac:dyDescent="0.2">
      <c r="A19" s="211"/>
      <c r="B19" s="191">
        <v>43206</v>
      </c>
      <c r="C19" s="138" t="s">
        <v>1653</v>
      </c>
      <c r="D19" s="138" t="s">
        <v>1674</v>
      </c>
      <c r="E19" s="146" t="s">
        <v>1336</v>
      </c>
      <c r="F19" s="138"/>
      <c r="G19" s="138">
        <v>200</v>
      </c>
      <c r="H19" s="139">
        <v>3270000</v>
      </c>
      <c r="I19" s="138"/>
      <c r="J19" s="141">
        <v>790000</v>
      </c>
      <c r="K19" s="141"/>
      <c r="L19" s="150"/>
      <c r="M19" s="141"/>
      <c r="N19" s="141"/>
      <c r="O19" s="139">
        <f t="shared" si="0"/>
        <v>4060000</v>
      </c>
      <c r="P19" s="139">
        <v>3300000</v>
      </c>
      <c r="Q19" s="139">
        <f t="shared" si="1"/>
        <v>-760000</v>
      </c>
      <c r="R19" s="217"/>
      <c r="S19" s="215"/>
      <c r="T19" s="215"/>
    </row>
    <row r="20" spans="1:20" s="144" customFormat="1" ht="24.95" customHeight="1" x14ac:dyDescent="0.2">
      <c r="A20" s="211">
        <v>2</v>
      </c>
      <c r="B20" s="191">
        <v>43206</v>
      </c>
      <c r="C20" s="138" t="s">
        <v>1654</v>
      </c>
      <c r="D20" s="138" t="s">
        <v>1675</v>
      </c>
      <c r="E20" s="146" t="s">
        <v>353</v>
      </c>
      <c r="F20" s="138"/>
      <c r="G20" s="138"/>
      <c r="H20" s="139"/>
      <c r="I20" s="138"/>
      <c r="J20" s="141">
        <v>1460000</v>
      </c>
      <c r="K20" s="141"/>
      <c r="L20" s="150"/>
      <c r="M20" s="141"/>
      <c r="N20" s="141"/>
      <c r="O20" s="139">
        <f t="shared" si="0"/>
        <v>1460000</v>
      </c>
      <c r="P20" s="141">
        <v>5000000</v>
      </c>
      <c r="Q20" s="139">
        <f t="shared" si="1"/>
        <v>3540000</v>
      </c>
      <c r="R20" s="217"/>
      <c r="S20" s="215"/>
      <c r="T20" s="215"/>
    </row>
    <row r="21" spans="1:20" s="144" customFormat="1" ht="24.95" customHeight="1" x14ac:dyDescent="0.2">
      <c r="A21" s="211">
        <v>3</v>
      </c>
      <c r="B21" s="191">
        <v>43207</v>
      </c>
      <c r="C21" s="138" t="s">
        <v>1655</v>
      </c>
      <c r="D21" s="138" t="s">
        <v>255</v>
      </c>
      <c r="E21" s="146" t="s">
        <v>948</v>
      </c>
      <c r="F21" s="138"/>
      <c r="G21" s="138"/>
      <c r="H21" s="139"/>
      <c r="I21" s="138"/>
      <c r="J21" s="141">
        <v>1250000</v>
      </c>
      <c r="K21" s="141"/>
      <c r="L21" s="150"/>
      <c r="M21" s="141"/>
      <c r="N21" s="141"/>
      <c r="O21" s="139">
        <f t="shared" si="0"/>
        <v>1250000</v>
      </c>
      <c r="P21" s="139">
        <v>4800000</v>
      </c>
      <c r="Q21" s="139">
        <f t="shared" si="1"/>
        <v>3550000</v>
      </c>
      <c r="R21" s="217"/>
      <c r="S21" s="215"/>
      <c r="T21" s="215"/>
    </row>
    <row r="22" spans="1:20" s="144" customFormat="1" ht="24.95" customHeight="1" x14ac:dyDescent="0.2">
      <c r="A22" s="211">
        <v>4</v>
      </c>
      <c r="B22" s="191">
        <v>43208</v>
      </c>
      <c r="C22" s="138" t="s">
        <v>1656</v>
      </c>
      <c r="D22" s="138" t="s">
        <v>1676</v>
      </c>
      <c r="E22" s="146" t="s">
        <v>948</v>
      </c>
      <c r="F22" s="138"/>
      <c r="G22" s="138">
        <v>260</v>
      </c>
      <c r="H22" s="139">
        <v>4251000</v>
      </c>
      <c r="I22" s="138"/>
      <c r="J22" s="141">
        <v>1250000</v>
      </c>
      <c r="K22" s="141"/>
      <c r="L22" s="150"/>
      <c r="M22" s="141"/>
      <c r="N22" s="141"/>
      <c r="O22" s="139">
        <f t="shared" si="0"/>
        <v>5501000</v>
      </c>
      <c r="P22" s="139">
        <v>4800000</v>
      </c>
      <c r="Q22" s="139">
        <f t="shared" si="1"/>
        <v>-701000</v>
      </c>
      <c r="R22" s="217"/>
      <c r="S22" s="215"/>
      <c r="T22" s="215"/>
    </row>
    <row r="23" spans="1:20" s="144" customFormat="1" ht="24.95" customHeight="1" x14ac:dyDescent="0.2">
      <c r="A23" s="211">
        <v>5</v>
      </c>
      <c r="B23" s="191">
        <v>43209</v>
      </c>
      <c r="C23" s="138" t="s">
        <v>1657</v>
      </c>
      <c r="D23" s="138" t="s">
        <v>1677</v>
      </c>
      <c r="E23" s="146" t="s">
        <v>279</v>
      </c>
      <c r="F23" s="138"/>
      <c r="G23" s="138"/>
      <c r="H23" s="139"/>
      <c r="I23" s="138"/>
      <c r="J23" s="141">
        <f>2070000-180000+360000</f>
        <v>2250000</v>
      </c>
      <c r="K23" s="141"/>
      <c r="L23" s="150"/>
      <c r="M23" s="141"/>
      <c r="N23" s="141"/>
      <c r="O23" s="139">
        <f t="shared" si="0"/>
        <v>2250000</v>
      </c>
      <c r="P23" s="139">
        <v>9090909</v>
      </c>
      <c r="Q23" s="139">
        <f t="shared" si="1"/>
        <v>6840909</v>
      </c>
      <c r="R23" s="217"/>
      <c r="S23" s="215"/>
      <c r="T23" s="215"/>
    </row>
    <row r="24" spans="1:20" s="144" customFormat="1" ht="24.95" customHeight="1" x14ac:dyDescent="0.2">
      <c r="A24" s="211">
        <v>6</v>
      </c>
      <c r="B24" s="191">
        <v>43210</v>
      </c>
      <c r="C24" s="138" t="s">
        <v>1658</v>
      </c>
      <c r="D24" s="138" t="s">
        <v>1678</v>
      </c>
      <c r="E24" s="146" t="s">
        <v>1687</v>
      </c>
      <c r="F24" s="138"/>
      <c r="G24" s="138">
        <v>300</v>
      </c>
      <c r="H24" s="139">
        <v>4905000</v>
      </c>
      <c r="I24" s="138"/>
      <c r="J24" s="141">
        <v>1200000</v>
      </c>
      <c r="K24" s="141"/>
      <c r="L24" s="150"/>
      <c r="M24" s="141"/>
      <c r="N24" s="141"/>
      <c r="O24" s="139">
        <f t="shared" si="0"/>
        <v>6105000</v>
      </c>
      <c r="P24" s="139">
        <v>4600000</v>
      </c>
      <c r="Q24" s="139">
        <f t="shared" si="1"/>
        <v>-1505000</v>
      </c>
      <c r="R24" s="217"/>
      <c r="S24" s="215"/>
      <c r="T24" s="215"/>
    </row>
    <row r="25" spans="1:20" s="144" customFormat="1" ht="24.95" customHeight="1" x14ac:dyDescent="0.2">
      <c r="A25" s="211">
        <v>7</v>
      </c>
      <c r="B25" s="191">
        <v>43213</v>
      </c>
      <c r="C25" s="138" t="s">
        <v>1659</v>
      </c>
      <c r="D25" s="138" t="s">
        <v>1679</v>
      </c>
      <c r="E25" s="146" t="s">
        <v>130</v>
      </c>
      <c r="F25" s="138"/>
      <c r="G25" s="138">
        <v>220</v>
      </c>
      <c r="H25" s="139">
        <v>3680000</v>
      </c>
      <c r="I25" s="138"/>
      <c r="J25" s="141">
        <v>790000</v>
      </c>
      <c r="K25" s="141"/>
      <c r="L25" s="150"/>
      <c r="M25" s="141"/>
      <c r="N25" s="141"/>
      <c r="O25" s="139">
        <f t="shared" si="0"/>
        <v>4470000</v>
      </c>
      <c r="P25" s="139">
        <v>3200000</v>
      </c>
      <c r="Q25" s="139">
        <f t="shared" si="1"/>
        <v>-1270000</v>
      </c>
      <c r="R25" s="217"/>
      <c r="S25" s="215"/>
      <c r="T25" s="215"/>
    </row>
    <row r="26" spans="1:20" s="144" customFormat="1" ht="24.95" customHeight="1" x14ac:dyDescent="0.2">
      <c r="A26" s="211">
        <v>8</v>
      </c>
      <c r="B26" s="191">
        <v>43213</v>
      </c>
      <c r="C26" s="138" t="s">
        <v>1048</v>
      </c>
      <c r="D26" s="138" t="s">
        <v>1680</v>
      </c>
      <c r="E26" s="146" t="s">
        <v>1165</v>
      </c>
      <c r="F26" s="138"/>
      <c r="G26" s="138"/>
      <c r="H26" s="139"/>
      <c r="I26" s="138"/>
      <c r="J26" s="141">
        <v>1420000</v>
      </c>
      <c r="K26" s="141"/>
      <c r="L26" s="150"/>
      <c r="M26" s="141"/>
      <c r="N26" s="141"/>
      <c r="O26" s="139">
        <f t="shared" si="0"/>
        <v>1420000</v>
      </c>
      <c r="P26" s="139">
        <v>5200000</v>
      </c>
      <c r="Q26" s="139">
        <f t="shared" si="1"/>
        <v>3780000</v>
      </c>
      <c r="R26" s="217"/>
      <c r="S26" s="215"/>
      <c r="T26" s="215"/>
    </row>
    <row r="27" spans="1:20" s="144" customFormat="1" ht="24.95" customHeight="1" x14ac:dyDescent="0.2">
      <c r="A27" s="211">
        <v>9</v>
      </c>
      <c r="B27" s="191">
        <v>43214</v>
      </c>
      <c r="C27" s="138" t="s">
        <v>1660</v>
      </c>
      <c r="D27" s="138" t="s">
        <v>1681</v>
      </c>
      <c r="E27" s="146" t="s">
        <v>1688</v>
      </c>
      <c r="F27" s="138"/>
      <c r="G27" s="138"/>
      <c r="H27" s="139"/>
      <c r="I27" s="138"/>
      <c r="J27" s="141">
        <v>790000</v>
      </c>
      <c r="K27" s="141"/>
      <c r="L27" s="150"/>
      <c r="M27" s="141"/>
      <c r="N27" s="141"/>
      <c r="O27" s="139">
        <f t="shared" si="0"/>
        <v>790000</v>
      </c>
      <c r="P27" s="139">
        <v>3200000</v>
      </c>
      <c r="Q27" s="139">
        <f t="shared" si="1"/>
        <v>2410000</v>
      </c>
      <c r="R27" s="217"/>
      <c r="S27" s="215"/>
      <c r="T27" s="215"/>
    </row>
    <row r="28" spans="1:20" s="144" customFormat="1" ht="24.95" customHeight="1" x14ac:dyDescent="0.2">
      <c r="A28" s="211">
        <v>10</v>
      </c>
      <c r="B28" s="191">
        <v>43215</v>
      </c>
      <c r="C28" s="138" t="s">
        <v>1661</v>
      </c>
      <c r="D28" s="138" t="s">
        <v>1682</v>
      </c>
      <c r="E28" s="146" t="s">
        <v>1689</v>
      </c>
      <c r="F28" s="138"/>
      <c r="G28" s="138"/>
      <c r="H28" s="139"/>
      <c r="I28" s="138"/>
      <c r="J28" s="141">
        <v>1510000</v>
      </c>
      <c r="K28" s="141"/>
      <c r="L28" s="150"/>
      <c r="M28" s="141"/>
      <c r="N28" s="141"/>
      <c r="O28" s="139">
        <f t="shared" si="0"/>
        <v>1510000</v>
      </c>
      <c r="P28" s="139">
        <v>6100000</v>
      </c>
      <c r="Q28" s="139">
        <f t="shared" si="1"/>
        <v>4590000</v>
      </c>
      <c r="R28" s="217"/>
      <c r="S28" s="215"/>
      <c r="T28" s="215"/>
    </row>
    <row r="29" spans="1:20" s="144" customFormat="1" ht="24.95" customHeight="1" x14ac:dyDescent="0.2">
      <c r="A29" s="211">
        <v>11</v>
      </c>
      <c r="B29" s="191">
        <v>43216</v>
      </c>
      <c r="C29" s="138" t="s">
        <v>1662</v>
      </c>
      <c r="D29" s="138" t="s">
        <v>1683</v>
      </c>
      <c r="E29" s="146" t="s">
        <v>1689</v>
      </c>
      <c r="F29" s="138"/>
      <c r="G29" s="138">
        <v>400</v>
      </c>
      <c r="H29" s="139">
        <v>6692000</v>
      </c>
      <c r="I29" s="138"/>
      <c r="J29" s="141">
        <v>1510000</v>
      </c>
      <c r="K29" s="141"/>
      <c r="L29" s="150"/>
      <c r="M29" s="141"/>
      <c r="N29" s="141"/>
      <c r="O29" s="139">
        <f t="shared" si="0"/>
        <v>8202000</v>
      </c>
      <c r="P29" s="139">
        <v>6100000</v>
      </c>
      <c r="Q29" s="139">
        <f>P29-O29</f>
        <v>-2102000</v>
      </c>
      <c r="R29" s="217"/>
      <c r="S29" s="215"/>
      <c r="T29" s="215"/>
    </row>
    <row r="30" spans="1:20" s="144" customFormat="1" ht="24.95" customHeight="1" x14ac:dyDescent="0.2">
      <c r="A30" s="211">
        <v>12</v>
      </c>
      <c r="B30" s="191">
        <v>43217</v>
      </c>
      <c r="C30" s="138" t="s">
        <v>292</v>
      </c>
      <c r="D30" s="138" t="s">
        <v>1684</v>
      </c>
      <c r="E30" s="146" t="s">
        <v>1690</v>
      </c>
      <c r="F30" s="138"/>
      <c r="G30" s="138">
        <v>270</v>
      </c>
      <c r="H30" s="139">
        <f>G30*16730</f>
        <v>4517100</v>
      </c>
      <c r="I30" s="138"/>
      <c r="J30" s="141">
        <v>970000</v>
      </c>
      <c r="K30" s="141"/>
      <c r="L30" s="150"/>
      <c r="M30" s="141"/>
      <c r="N30" s="141"/>
      <c r="O30" s="139">
        <f t="shared" si="0"/>
        <v>5487100</v>
      </c>
      <c r="P30" s="139">
        <v>3900000</v>
      </c>
      <c r="Q30" s="139">
        <f t="shared" ref="Q30:Q46" si="2">P30-O30</f>
        <v>-1587100</v>
      </c>
      <c r="R30" s="217"/>
      <c r="S30" s="215"/>
      <c r="T30" s="215"/>
    </row>
    <row r="31" spans="1:20" s="144" customFormat="1" ht="24.95" customHeight="1" x14ac:dyDescent="0.2">
      <c r="A31" s="211">
        <v>13</v>
      </c>
      <c r="B31" s="191"/>
      <c r="C31" s="138"/>
      <c r="D31" s="138"/>
      <c r="E31" s="146"/>
      <c r="F31" s="138"/>
      <c r="G31" s="138"/>
      <c r="H31" s="139"/>
      <c r="I31" s="138"/>
      <c r="J31" s="141"/>
      <c r="K31" s="141"/>
      <c r="L31" s="150"/>
      <c r="M31" s="141"/>
      <c r="N31" s="141"/>
      <c r="O31" s="139">
        <f t="shared" si="0"/>
        <v>0</v>
      </c>
      <c r="P31" s="139"/>
      <c r="Q31" s="139">
        <f t="shared" si="2"/>
        <v>0</v>
      </c>
      <c r="R31" s="217"/>
      <c r="S31" s="215"/>
      <c r="T31" s="215"/>
    </row>
    <row r="32" spans="1:20" s="144" customFormat="1" ht="24.95" customHeight="1" x14ac:dyDescent="0.2">
      <c r="A32" s="211"/>
      <c r="B32" s="191"/>
      <c r="C32" s="221" t="s">
        <v>1089</v>
      </c>
      <c r="D32" s="220"/>
      <c r="E32" s="221"/>
      <c r="F32" s="220"/>
      <c r="G32" s="220"/>
      <c r="H32" s="219"/>
      <c r="I32" s="220"/>
      <c r="J32" s="157"/>
      <c r="K32" s="157"/>
      <c r="L32" s="157">
        <v>850000</v>
      </c>
      <c r="M32" s="157"/>
      <c r="N32" s="141"/>
      <c r="O32" s="139">
        <f t="shared" si="0"/>
        <v>850000</v>
      </c>
      <c r="P32" s="139"/>
      <c r="Q32" s="139">
        <f t="shared" si="2"/>
        <v>-850000</v>
      </c>
      <c r="R32" s="217"/>
      <c r="S32" s="215"/>
      <c r="T32" s="215"/>
    </row>
    <row r="33" spans="1:20" s="144" customFormat="1" ht="24.95" customHeight="1" x14ac:dyDescent="0.2">
      <c r="A33" s="211"/>
      <c r="B33" s="191"/>
      <c r="C33" s="221" t="s">
        <v>1698</v>
      </c>
      <c r="D33" s="220"/>
      <c r="E33" s="221"/>
      <c r="F33" s="220"/>
      <c r="G33" s="220"/>
      <c r="H33" s="219"/>
      <c r="I33" s="220"/>
      <c r="J33" s="157"/>
      <c r="K33" s="157"/>
      <c r="L33" s="157"/>
      <c r="M33" s="157"/>
      <c r="N33" s="141">
        <f>11500000/4</f>
        <v>2875000</v>
      </c>
      <c r="O33" s="139">
        <f t="shared" si="0"/>
        <v>2875000</v>
      </c>
      <c r="P33" s="139"/>
      <c r="Q33" s="139">
        <f t="shared" si="2"/>
        <v>-2875000</v>
      </c>
      <c r="R33" s="217"/>
      <c r="S33" s="215"/>
      <c r="T33" s="215"/>
    </row>
    <row r="34" spans="1:20" s="159" customFormat="1" ht="24.95" customHeight="1" x14ac:dyDescent="0.25">
      <c r="A34" s="211"/>
      <c r="B34" s="165"/>
      <c r="C34" s="196" t="s">
        <v>1337</v>
      </c>
      <c r="D34" s="195"/>
      <c r="E34" s="197"/>
      <c r="F34" s="195"/>
      <c r="G34" s="195"/>
      <c r="H34" s="155"/>
      <c r="I34" s="195"/>
      <c r="J34" s="155"/>
      <c r="K34" s="157">
        <f>8653846-1500000</f>
        <v>7153846</v>
      </c>
      <c r="L34" s="155"/>
      <c r="M34" s="155"/>
      <c r="N34" s="155"/>
      <c r="O34" s="139">
        <f t="shared" si="0"/>
        <v>7153846</v>
      </c>
      <c r="P34" s="139"/>
      <c r="Q34" s="139">
        <f t="shared" si="2"/>
        <v>-7153846</v>
      </c>
      <c r="S34" s="215"/>
      <c r="T34" s="215"/>
    </row>
    <row r="35" spans="1:20" s="159" customFormat="1" ht="24.95" customHeight="1" x14ac:dyDescent="0.25">
      <c r="A35" s="211"/>
      <c r="B35" s="203"/>
      <c r="C35" s="152" t="s">
        <v>1696</v>
      </c>
      <c r="D35" s="153"/>
      <c r="E35" s="154"/>
      <c r="F35" s="153"/>
      <c r="G35" s="153"/>
      <c r="H35" s="156"/>
      <c r="I35" s="153"/>
      <c r="J35" s="156"/>
      <c r="K35" s="204">
        <v>500000</v>
      </c>
      <c r="L35" s="156"/>
      <c r="M35" s="156"/>
      <c r="N35" s="156"/>
      <c r="O35" s="139">
        <f t="shared" si="0"/>
        <v>500000</v>
      </c>
      <c r="P35" s="139"/>
      <c r="Q35" s="139">
        <f t="shared" si="2"/>
        <v>-500000</v>
      </c>
      <c r="S35" s="215"/>
      <c r="T35" s="215"/>
    </row>
    <row r="36" spans="1:20" s="159" customFormat="1" ht="24.95" customHeight="1" x14ac:dyDescent="0.25">
      <c r="A36" s="211"/>
      <c r="B36" s="203"/>
      <c r="C36" s="152" t="s">
        <v>1116</v>
      </c>
      <c r="D36" s="153"/>
      <c r="E36" s="154"/>
      <c r="F36" s="153"/>
      <c r="G36" s="153"/>
      <c r="H36" s="156"/>
      <c r="I36" s="153"/>
      <c r="J36" s="156"/>
      <c r="K36" s="204"/>
      <c r="L36" s="156">
        <f>2508000/2</f>
        <v>1254000</v>
      </c>
      <c r="M36" s="156"/>
      <c r="N36" s="156"/>
      <c r="O36" s="139">
        <f t="shared" si="0"/>
        <v>1254000</v>
      </c>
      <c r="P36" s="139"/>
      <c r="Q36" s="139">
        <f t="shared" si="2"/>
        <v>-1254000</v>
      </c>
      <c r="S36" s="215"/>
      <c r="T36" s="215"/>
    </row>
    <row r="37" spans="1:20" s="159" customFormat="1" ht="24.95" customHeight="1" x14ac:dyDescent="0.25">
      <c r="A37" s="211"/>
      <c r="B37" s="203"/>
      <c r="C37" s="152" t="s">
        <v>1691</v>
      </c>
      <c r="D37" s="153"/>
      <c r="E37" s="154"/>
      <c r="F37" s="153"/>
      <c r="G37" s="153"/>
      <c r="H37" s="156"/>
      <c r="I37" s="153"/>
      <c r="J37" s="156"/>
      <c r="K37" s="204"/>
      <c r="L37" s="156">
        <v>250000</v>
      </c>
      <c r="M37" s="156"/>
      <c r="N37" s="156"/>
      <c r="O37" s="139">
        <f t="shared" si="0"/>
        <v>250000</v>
      </c>
      <c r="P37" s="139"/>
      <c r="Q37" s="139">
        <f t="shared" si="2"/>
        <v>-250000</v>
      </c>
      <c r="S37" s="215"/>
      <c r="T37" s="215"/>
    </row>
    <row r="38" spans="1:20" s="159" customFormat="1" ht="24.95" customHeight="1" x14ac:dyDescent="0.25">
      <c r="A38" s="211"/>
      <c r="B38" s="203"/>
      <c r="C38" s="152" t="s">
        <v>1692</v>
      </c>
      <c r="D38" s="153"/>
      <c r="E38" s="154"/>
      <c r="F38" s="153"/>
      <c r="G38" s="153"/>
      <c r="H38" s="156"/>
      <c r="I38" s="153"/>
      <c r="J38" s="156"/>
      <c r="K38" s="204"/>
      <c r="L38" s="156">
        <v>700000</v>
      </c>
      <c r="M38" s="156"/>
      <c r="N38" s="156"/>
      <c r="O38" s="139">
        <f t="shared" si="0"/>
        <v>700000</v>
      </c>
      <c r="P38" s="139"/>
      <c r="Q38" s="139">
        <f t="shared" si="2"/>
        <v>-700000</v>
      </c>
      <c r="S38" s="215"/>
      <c r="T38" s="215"/>
    </row>
    <row r="39" spans="1:20" s="159" customFormat="1" ht="24.95" customHeight="1" x14ac:dyDescent="0.25">
      <c r="A39" s="211"/>
      <c r="B39" s="203"/>
      <c r="C39" s="152" t="s">
        <v>1693</v>
      </c>
      <c r="D39" s="153"/>
      <c r="E39" s="154"/>
      <c r="F39" s="153"/>
      <c r="G39" s="153"/>
      <c r="H39" s="156"/>
      <c r="I39" s="153"/>
      <c r="J39" s="156"/>
      <c r="K39" s="204"/>
      <c r="L39" s="156">
        <v>600000</v>
      </c>
      <c r="M39" s="156"/>
      <c r="N39" s="156"/>
      <c r="O39" s="139">
        <f t="shared" si="0"/>
        <v>600000</v>
      </c>
      <c r="P39" s="139"/>
      <c r="Q39" s="139">
        <f t="shared" si="2"/>
        <v>-600000</v>
      </c>
      <c r="S39" s="215"/>
      <c r="T39" s="215"/>
    </row>
    <row r="40" spans="1:20" s="159" customFormat="1" ht="24.95" customHeight="1" x14ac:dyDescent="0.25">
      <c r="A40" s="211"/>
      <c r="B40" s="203"/>
      <c r="C40" s="152" t="s">
        <v>1694</v>
      </c>
      <c r="D40" s="153"/>
      <c r="E40" s="154"/>
      <c r="F40" s="153"/>
      <c r="G40" s="153"/>
      <c r="H40" s="156"/>
      <c r="I40" s="153"/>
      <c r="J40" s="156"/>
      <c r="K40" s="204"/>
      <c r="L40" s="156">
        <v>2400000</v>
      </c>
      <c r="M40" s="156"/>
      <c r="N40" s="156"/>
      <c r="O40" s="139">
        <f t="shared" si="0"/>
        <v>2400000</v>
      </c>
      <c r="P40" s="139"/>
      <c r="Q40" s="139">
        <f t="shared" si="2"/>
        <v>-2400000</v>
      </c>
      <c r="S40" s="215"/>
      <c r="T40" s="215"/>
    </row>
    <row r="41" spans="1:20" s="159" customFormat="1" ht="24.95" customHeight="1" x14ac:dyDescent="0.25">
      <c r="A41" s="211"/>
      <c r="B41" s="203"/>
      <c r="C41" s="152" t="s">
        <v>1092</v>
      </c>
      <c r="D41" s="153"/>
      <c r="E41" s="154"/>
      <c r="F41" s="153"/>
      <c r="G41" s="153"/>
      <c r="H41" s="156"/>
      <c r="I41" s="153"/>
      <c r="J41" s="156"/>
      <c r="K41" s="204"/>
      <c r="L41" s="156">
        <v>840000</v>
      </c>
      <c r="M41" s="156"/>
      <c r="N41" s="156"/>
      <c r="O41" s="139">
        <f t="shared" si="0"/>
        <v>840000</v>
      </c>
      <c r="P41" s="139"/>
      <c r="Q41" s="139">
        <f t="shared" si="2"/>
        <v>-840000</v>
      </c>
      <c r="S41" s="215"/>
      <c r="T41" s="215"/>
    </row>
    <row r="42" spans="1:20" s="159" customFormat="1" ht="24.95" customHeight="1" x14ac:dyDescent="0.25">
      <c r="A42" s="211"/>
      <c r="B42" s="203"/>
      <c r="C42" s="152" t="s">
        <v>1091</v>
      </c>
      <c r="D42" s="153"/>
      <c r="E42" s="154"/>
      <c r="F42" s="153"/>
      <c r="G42" s="153"/>
      <c r="H42" s="156"/>
      <c r="I42" s="153"/>
      <c r="J42" s="156"/>
      <c r="K42" s="204"/>
      <c r="L42" s="156">
        <v>8485000</v>
      </c>
      <c r="M42" s="156"/>
      <c r="N42" s="156"/>
      <c r="O42" s="139">
        <f t="shared" si="0"/>
        <v>8485000</v>
      </c>
      <c r="P42" s="139"/>
      <c r="Q42" s="139">
        <f t="shared" si="2"/>
        <v>-8485000</v>
      </c>
      <c r="S42" s="215"/>
      <c r="T42" s="215"/>
    </row>
    <row r="43" spans="1:20" s="159" customFormat="1" ht="24.95" customHeight="1" x14ac:dyDescent="0.25">
      <c r="A43" s="211"/>
      <c r="B43" s="203"/>
      <c r="C43" s="152" t="s">
        <v>1090</v>
      </c>
      <c r="D43" s="153"/>
      <c r="E43" s="154"/>
      <c r="F43" s="153"/>
      <c r="G43" s="153"/>
      <c r="H43" s="156"/>
      <c r="I43" s="153"/>
      <c r="J43" s="156"/>
      <c r="K43" s="204"/>
      <c r="L43" s="156">
        <v>300000</v>
      </c>
      <c r="M43" s="156"/>
      <c r="N43" s="156"/>
      <c r="O43" s="139">
        <f t="shared" si="0"/>
        <v>300000</v>
      </c>
      <c r="P43" s="139"/>
      <c r="Q43" s="139">
        <f t="shared" si="2"/>
        <v>-300000</v>
      </c>
      <c r="S43" s="215"/>
      <c r="T43" s="215"/>
    </row>
    <row r="44" spans="1:20" s="159" customFormat="1" ht="24.95" customHeight="1" x14ac:dyDescent="0.25">
      <c r="A44" s="211"/>
      <c r="B44" s="203"/>
      <c r="C44" s="152" t="s">
        <v>1695</v>
      </c>
      <c r="D44" s="153"/>
      <c r="E44" s="154"/>
      <c r="F44" s="153"/>
      <c r="G44" s="153"/>
      <c r="H44" s="156"/>
      <c r="I44" s="153"/>
      <c r="J44" s="156"/>
      <c r="K44" s="204"/>
      <c r="L44" s="156">
        <v>150000</v>
      </c>
      <c r="M44" s="156"/>
      <c r="N44" s="156"/>
      <c r="O44" s="139">
        <f t="shared" si="0"/>
        <v>150000</v>
      </c>
      <c r="P44" s="139"/>
      <c r="Q44" s="139">
        <f t="shared" si="2"/>
        <v>-150000</v>
      </c>
      <c r="S44" s="215"/>
      <c r="T44" s="215"/>
    </row>
    <row r="45" spans="1:20" s="159" customFormat="1" ht="24.95" customHeight="1" x14ac:dyDescent="0.25">
      <c r="A45" s="211"/>
      <c r="B45" s="203"/>
      <c r="C45" s="152" t="s">
        <v>1697</v>
      </c>
      <c r="D45" s="153"/>
      <c r="E45" s="154"/>
      <c r="F45" s="153"/>
      <c r="G45" s="153"/>
      <c r="H45" s="156"/>
      <c r="I45" s="153"/>
      <c r="J45" s="156"/>
      <c r="K45" s="204"/>
      <c r="L45" s="156"/>
      <c r="M45" s="156">
        <f>1/2*6000000</f>
        <v>3000000</v>
      </c>
      <c r="N45" s="156"/>
      <c r="O45" s="139">
        <f t="shared" si="0"/>
        <v>3000000</v>
      </c>
      <c r="P45" s="139"/>
      <c r="Q45" s="139">
        <f t="shared" si="2"/>
        <v>-3000000</v>
      </c>
      <c r="S45" s="215"/>
      <c r="T45" s="215"/>
    </row>
    <row r="46" spans="1:20" s="159" customFormat="1" ht="24.95" customHeight="1" x14ac:dyDescent="0.25">
      <c r="A46" s="211"/>
      <c r="B46" s="203"/>
      <c r="C46" s="152" t="s">
        <v>1094</v>
      </c>
      <c r="D46" s="153"/>
      <c r="E46" s="154"/>
      <c r="F46" s="153"/>
      <c r="G46" s="153"/>
      <c r="H46" s="156"/>
      <c r="I46" s="153"/>
      <c r="J46" s="156"/>
      <c r="K46" s="204">
        <f>1200000*1.1</f>
        <v>1320000</v>
      </c>
      <c r="L46" s="204"/>
      <c r="M46" s="156"/>
      <c r="N46" s="156"/>
      <c r="O46" s="139">
        <f t="shared" si="0"/>
        <v>1320000</v>
      </c>
      <c r="P46" s="139"/>
      <c r="Q46" s="139">
        <f t="shared" si="2"/>
        <v>-1320000</v>
      </c>
      <c r="R46" s="186"/>
      <c r="S46" s="215"/>
      <c r="T46" s="215"/>
    </row>
    <row r="47" spans="1:20" ht="24.95" customHeight="1" x14ac:dyDescent="0.25">
      <c r="A47" s="426" t="s">
        <v>20</v>
      </c>
      <c r="B47" s="426"/>
      <c r="C47" s="426"/>
      <c r="D47" s="426"/>
      <c r="E47" s="426"/>
      <c r="F47" s="426"/>
      <c r="G47" s="161">
        <f t="shared" ref="G47:Q47" si="3">SUM(G7:G46)</f>
        <v>3330</v>
      </c>
      <c r="H47" s="161">
        <f t="shared" si="3"/>
        <v>54287100</v>
      </c>
      <c r="I47" s="161">
        <f t="shared" si="3"/>
        <v>0</v>
      </c>
      <c r="J47" s="161">
        <f t="shared" si="3"/>
        <v>33870000</v>
      </c>
      <c r="K47" s="161">
        <f t="shared" si="3"/>
        <v>8973846</v>
      </c>
      <c r="L47" s="161">
        <f t="shared" si="3"/>
        <v>15829000</v>
      </c>
      <c r="M47" s="161">
        <f t="shared" si="3"/>
        <v>3000000</v>
      </c>
      <c r="N47" s="161">
        <f t="shared" si="3"/>
        <v>2875000</v>
      </c>
      <c r="O47" s="161">
        <f t="shared" si="3"/>
        <v>118834946</v>
      </c>
      <c r="P47" s="161">
        <f t="shared" si="3"/>
        <v>135390909</v>
      </c>
      <c r="Q47" s="161">
        <f t="shared" si="3"/>
        <v>16555963</v>
      </c>
      <c r="R47" s="187"/>
      <c r="S47" s="189"/>
    </row>
    <row r="48" spans="1:20" ht="24.95" customHeight="1" x14ac:dyDescent="0.25">
      <c r="O48" s="158"/>
      <c r="Q48" s="158"/>
    </row>
    <row r="49" spans="1:17" ht="24.95" customHeight="1" x14ac:dyDescent="0.25">
      <c r="P49" s="216" t="s">
        <v>1603</v>
      </c>
      <c r="Q49" s="227">
        <f>'03-2018'!Q39+'04-2018'!Q47</f>
        <v>74741302</v>
      </c>
    </row>
    <row r="50" spans="1:17" ht="24.95" customHeight="1" x14ac:dyDescent="0.25">
      <c r="B50" s="129"/>
      <c r="H50" s="128"/>
      <c r="J50" s="128"/>
      <c r="K50" s="128"/>
      <c r="L50" s="128"/>
      <c r="M50" s="128"/>
      <c r="N50" s="128"/>
      <c r="O50" s="128"/>
      <c r="P50" s="218"/>
      <c r="Q50" s="216"/>
    </row>
    <row r="51" spans="1:17" ht="24.95" customHeight="1" x14ac:dyDescent="0.25">
      <c r="B51" s="129"/>
      <c r="H51" s="128"/>
      <c r="J51" s="128"/>
      <c r="K51" s="128"/>
      <c r="L51" s="128"/>
      <c r="M51" s="128"/>
      <c r="N51" s="128"/>
      <c r="O51" s="128"/>
      <c r="P51" s="218"/>
      <c r="Q51" s="230"/>
    </row>
    <row r="52" spans="1:17" ht="24.95" customHeight="1" x14ac:dyDescent="0.25">
      <c r="B52" s="129"/>
      <c r="H52" s="128"/>
      <c r="J52" s="128"/>
      <c r="K52" s="128"/>
      <c r="L52" s="128"/>
      <c r="M52" s="128"/>
      <c r="N52" s="128"/>
      <c r="O52" s="128"/>
      <c r="P52" s="218"/>
      <c r="Q52" s="230"/>
    </row>
    <row r="53" spans="1:17" ht="24.95" customHeight="1" x14ac:dyDescent="0.25">
      <c r="B53" s="129"/>
      <c r="H53" s="128"/>
      <c r="J53" s="128"/>
      <c r="K53" s="128"/>
      <c r="L53" s="128"/>
      <c r="M53" s="128"/>
      <c r="N53" s="128"/>
      <c r="O53" s="128"/>
      <c r="P53" s="218"/>
      <c r="Q53" s="216"/>
    </row>
    <row r="54" spans="1:17" x14ac:dyDescent="0.25">
      <c r="B54" s="129"/>
      <c r="H54" s="128"/>
      <c r="J54" s="128"/>
      <c r="K54" s="128"/>
      <c r="L54" s="128"/>
      <c r="M54" s="128"/>
      <c r="N54" s="128"/>
      <c r="O54" s="128"/>
      <c r="P54" s="218"/>
      <c r="Q54" s="216"/>
    </row>
    <row r="55" spans="1:17" x14ac:dyDescent="0.25">
      <c r="A55" s="128"/>
      <c r="B55" s="129"/>
      <c r="H55" s="128"/>
      <c r="J55" s="128"/>
      <c r="K55" s="128"/>
      <c r="L55" s="128"/>
      <c r="M55" s="128"/>
      <c r="N55" s="128"/>
      <c r="O55" s="128"/>
      <c r="P55" s="218"/>
      <c r="Q55" s="216"/>
    </row>
    <row r="56" spans="1:17" x14ac:dyDescent="0.25">
      <c r="A56" s="128"/>
      <c r="B56" s="129"/>
      <c r="H56" s="128"/>
      <c r="J56" s="128"/>
      <c r="K56" s="128"/>
      <c r="L56" s="128"/>
      <c r="M56" s="128"/>
      <c r="N56" s="128"/>
      <c r="O56" s="128"/>
      <c r="P56" s="128"/>
      <c r="Q56" s="216"/>
    </row>
    <row r="57" spans="1:17" x14ac:dyDescent="0.25">
      <c r="A57" s="128"/>
      <c r="B57" s="128"/>
      <c r="H57" s="128"/>
      <c r="J57" s="128"/>
      <c r="K57" s="128"/>
      <c r="L57" s="128"/>
      <c r="M57" s="128"/>
      <c r="N57" s="128"/>
      <c r="O57" s="128"/>
      <c r="P57" s="128"/>
      <c r="Q57" s="216"/>
    </row>
    <row r="58" spans="1:17" x14ac:dyDescent="0.25">
      <c r="A58" s="128"/>
      <c r="B58" s="128"/>
      <c r="H58" s="128"/>
      <c r="J58" s="128"/>
      <c r="K58" s="128"/>
      <c r="L58" s="128"/>
      <c r="M58" s="128"/>
      <c r="N58" s="128"/>
      <c r="O58" s="128"/>
      <c r="P58" s="128"/>
      <c r="Q58" s="216"/>
    </row>
  </sheetData>
  <mergeCells count="14">
    <mergeCell ref="O5:O6"/>
    <mergeCell ref="P5:P6"/>
    <mergeCell ref="Q5:Q6"/>
    <mergeCell ref="A47:F47"/>
    <mergeCell ref="A1:Q1"/>
    <mergeCell ref="A2:Q2"/>
    <mergeCell ref="B3:Q3"/>
    <mergeCell ref="A5:A6"/>
    <mergeCell ref="B5:B6"/>
    <mergeCell ref="C5:C6"/>
    <mergeCell ref="D5:D6"/>
    <mergeCell ref="E5:E6"/>
    <mergeCell ref="F5:F6"/>
    <mergeCell ref="G5:N5"/>
  </mergeCells>
  <pageMargins left="0" right="0" top="0.75" bottom="0.75" header="0.3" footer="0.3"/>
  <pageSetup paperSize="9" scale="55" orientation="landscape"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55"/>
  <sheetViews>
    <sheetView topLeftCell="D33" zoomScaleNormal="100" workbookViewId="0">
      <selection activeCell="Q46" sqref="Q4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13.710937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1699</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43218</v>
      </c>
      <c r="C7" s="138" t="s">
        <v>1700</v>
      </c>
      <c r="D7" s="138" t="s">
        <v>1723</v>
      </c>
      <c r="E7" s="146" t="s">
        <v>763</v>
      </c>
      <c r="F7" s="138"/>
      <c r="G7" s="138"/>
      <c r="H7" s="139"/>
      <c r="I7" s="138"/>
      <c r="J7" s="226">
        <v>970000</v>
      </c>
      <c r="K7" s="141"/>
      <c r="L7" s="150"/>
      <c r="M7" s="141"/>
      <c r="N7" s="141"/>
      <c r="O7" s="139">
        <f>H7+J7+K7+L7+M7+N7</f>
        <v>970000</v>
      </c>
      <c r="P7" s="139">
        <v>3700000</v>
      </c>
      <c r="Q7" s="139">
        <f>P7-O7</f>
        <v>2730000</v>
      </c>
      <c r="R7" s="217"/>
      <c r="S7" s="215"/>
      <c r="T7" s="215"/>
    </row>
    <row r="8" spans="1:20" s="144" customFormat="1" ht="24.95" customHeight="1" x14ac:dyDescent="0.2">
      <c r="A8" s="211">
        <v>2</v>
      </c>
      <c r="B8" s="191">
        <v>43222</v>
      </c>
      <c r="C8" s="138" t="s">
        <v>1701</v>
      </c>
      <c r="D8" s="138" t="s">
        <v>1724</v>
      </c>
      <c r="E8" s="146" t="s">
        <v>23</v>
      </c>
      <c r="F8" s="138"/>
      <c r="G8" s="138"/>
      <c r="H8" s="139"/>
      <c r="I8" s="138"/>
      <c r="J8" s="226">
        <v>2740000</v>
      </c>
      <c r="K8" s="141"/>
      <c r="L8" s="150"/>
      <c r="M8" s="141"/>
      <c r="N8" s="141"/>
      <c r="O8" s="139">
        <f t="shared" ref="O8:O42" si="0">H8+J8+K8+L8+M8+N8</f>
        <v>2740000</v>
      </c>
      <c r="P8" s="139">
        <v>14090909</v>
      </c>
      <c r="Q8" s="139">
        <f t="shared" ref="Q8:Q43" si="1">P8-O8</f>
        <v>11350909</v>
      </c>
      <c r="R8" s="217"/>
      <c r="S8" s="215"/>
      <c r="T8" s="215"/>
    </row>
    <row r="9" spans="1:20" s="144" customFormat="1" ht="24.95" customHeight="1" x14ac:dyDescent="0.2">
      <c r="A9" s="211">
        <v>3</v>
      </c>
      <c r="B9" s="191">
        <v>43223</v>
      </c>
      <c r="C9" s="138" t="s">
        <v>1702</v>
      </c>
      <c r="D9" s="138" t="s">
        <v>1725</v>
      </c>
      <c r="E9" s="146" t="s">
        <v>763</v>
      </c>
      <c r="F9" s="138"/>
      <c r="G9" s="138"/>
      <c r="H9" s="139"/>
      <c r="I9" s="138"/>
      <c r="J9" s="226">
        <v>970000</v>
      </c>
      <c r="K9" s="141"/>
      <c r="L9" s="150"/>
      <c r="M9" s="141"/>
      <c r="N9" s="141"/>
      <c r="O9" s="139">
        <f t="shared" si="0"/>
        <v>970000</v>
      </c>
      <c r="P9" s="139">
        <v>3700000</v>
      </c>
      <c r="Q9" s="139">
        <f t="shared" si="1"/>
        <v>2730000</v>
      </c>
      <c r="R9" s="217"/>
      <c r="S9" s="215"/>
      <c r="T9" s="215"/>
    </row>
    <row r="10" spans="1:20" s="144" customFormat="1" ht="24.95" customHeight="1" x14ac:dyDescent="0.2">
      <c r="A10" s="211">
        <v>4</v>
      </c>
      <c r="B10" s="191">
        <v>43223</v>
      </c>
      <c r="C10" s="138" t="s">
        <v>1703</v>
      </c>
      <c r="D10" s="138" t="s">
        <v>1726</v>
      </c>
      <c r="E10" s="146" t="s">
        <v>763</v>
      </c>
      <c r="F10" s="138"/>
      <c r="G10" s="138">
        <v>350</v>
      </c>
      <c r="H10" s="139">
        <v>5855500</v>
      </c>
      <c r="I10" s="138"/>
      <c r="J10" s="226">
        <v>970000</v>
      </c>
      <c r="K10" s="141"/>
      <c r="L10" s="150"/>
      <c r="M10" s="141"/>
      <c r="N10" s="141"/>
      <c r="O10" s="139">
        <f t="shared" si="0"/>
        <v>6825500</v>
      </c>
      <c r="P10" s="139">
        <v>3700000</v>
      </c>
      <c r="Q10" s="139">
        <f t="shared" si="1"/>
        <v>-3125500</v>
      </c>
      <c r="R10" s="217"/>
      <c r="S10" s="215"/>
      <c r="T10" s="215"/>
    </row>
    <row r="11" spans="1:20" s="144" customFormat="1" ht="24.95" customHeight="1" x14ac:dyDescent="0.2">
      <c r="A11" s="211">
        <v>5</v>
      </c>
      <c r="B11" s="191">
        <v>43225</v>
      </c>
      <c r="C11" s="138" t="s">
        <v>1704</v>
      </c>
      <c r="D11" s="138" t="s">
        <v>1727</v>
      </c>
      <c r="E11" s="146" t="s">
        <v>763</v>
      </c>
      <c r="F11" s="138"/>
      <c r="G11" s="138"/>
      <c r="H11" s="139"/>
      <c r="I11" s="138"/>
      <c r="J11" s="226">
        <f>970000+90000-90000</f>
        <v>970000</v>
      </c>
      <c r="K11" s="141"/>
      <c r="L11" s="150"/>
      <c r="M11" s="141"/>
      <c r="N11" s="141"/>
      <c r="O11" s="139">
        <f t="shared" si="0"/>
        <v>970000</v>
      </c>
      <c r="P11" s="139">
        <v>3700000</v>
      </c>
      <c r="Q11" s="139">
        <f t="shared" si="1"/>
        <v>2730000</v>
      </c>
      <c r="R11" s="217"/>
      <c r="S11" s="215"/>
      <c r="T11" s="215"/>
    </row>
    <row r="12" spans="1:20" s="144" customFormat="1" ht="24.95" customHeight="1" x14ac:dyDescent="0.2">
      <c r="A12" s="211">
        <v>6</v>
      </c>
      <c r="B12" s="191">
        <v>43227</v>
      </c>
      <c r="C12" s="138" t="s">
        <v>1705</v>
      </c>
      <c r="D12" s="138" t="s">
        <v>1728</v>
      </c>
      <c r="E12" s="146" t="s">
        <v>513</v>
      </c>
      <c r="F12" s="138"/>
      <c r="G12" s="138"/>
      <c r="H12" s="139"/>
      <c r="I12" s="138"/>
      <c r="J12" s="226">
        <v>970000</v>
      </c>
      <c r="K12" s="141"/>
      <c r="L12" s="150"/>
      <c r="M12" s="141"/>
      <c r="N12" s="141"/>
      <c r="O12" s="139">
        <f t="shared" si="0"/>
        <v>970000</v>
      </c>
      <c r="P12" s="139">
        <v>3600000</v>
      </c>
      <c r="Q12" s="139">
        <f t="shared" si="1"/>
        <v>2630000</v>
      </c>
      <c r="R12" s="217"/>
      <c r="S12" s="215"/>
      <c r="T12" s="215"/>
    </row>
    <row r="13" spans="1:20" s="144" customFormat="1" ht="24.95" customHeight="1" x14ac:dyDescent="0.2">
      <c r="A13" s="211">
        <v>7</v>
      </c>
      <c r="B13" s="191">
        <v>43228</v>
      </c>
      <c r="C13" s="138" t="s">
        <v>1706</v>
      </c>
      <c r="D13" s="138" t="s">
        <v>1729</v>
      </c>
      <c r="E13" s="146" t="s">
        <v>1745</v>
      </c>
      <c r="F13" s="138"/>
      <c r="G13" s="138">
        <v>300</v>
      </c>
      <c r="H13" s="139">
        <v>5019000</v>
      </c>
      <c r="I13" s="138"/>
      <c r="J13" s="226">
        <f>970000+600000+400000</f>
        <v>1970000</v>
      </c>
      <c r="K13" s="141"/>
      <c r="L13" s="150"/>
      <c r="M13" s="141"/>
      <c r="N13" s="141"/>
      <c r="O13" s="139">
        <f t="shared" si="0"/>
        <v>6989000</v>
      </c>
      <c r="P13" s="139">
        <v>4400000</v>
      </c>
      <c r="Q13" s="139">
        <f t="shared" si="1"/>
        <v>-2589000</v>
      </c>
      <c r="R13" s="217"/>
      <c r="S13" s="215"/>
      <c r="T13" s="215"/>
    </row>
    <row r="14" spans="1:20" s="144" customFormat="1" ht="24.95" customHeight="1" x14ac:dyDescent="0.2">
      <c r="A14" s="211">
        <v>8</v>
      </c>
      <c r="B14" s="191">
        <v>43229</v>
      </c>
      <c r="C14" s="138" t="s">
        <v>1707</v>
      </c>
      <c r="D14" s="138" t="s">
        <v>1729</v>
      </c>
      <c r="E14" s="146" t="s">
        <v>1746</v>
      </c>
      <c r="F14" s="138"/>
      <c r="G14" s="138"/>
      <c r="H14" s="139"/>
      <c r="I14" s="138"/>
      <c r="J14" s="226">
        <v>0</v>
      </c>
      <c r="K14" s="141"/>
      <c r="L14" s="150"/>
      <c r="M14" s="141"/>
      <c r="N14" s="141"/>
      <c r="O14" s="139">
        <f t="shared" si="0"/>
        <v>0</v>
      </c>
      <c r="P14" s="139">
        <v>4000000</v>
      </c>
      <c r="Q14" s="139">
        <f t="shared" si="1"/>
        <v>4000000</v>
      </c>
      <c r="R14" s="217"/>
      <c r="S14" s="215"/>
      <c r="T14" s="215"/>
    </row>
    <row r="15" spans="1:20" s="144" customFormat="1" ht="24.95" customHeight="1" x14ac:dyDescent="0.2">
      <c r="A15" s="211">
        <v>9</v>
      </c>
      <c r="B15" s="191">
        <v>43230</v>
      </c>
      <c r="C15" s="138" t="s">
        <v>1708</v>
      </c>
      <c r="D15" s="138" t="s">
        <v>1730</v>
      </c>
      <c r="E15" s="146" t="s">
        <v>1747</v>
      </c>
      <c r="F15" s="138"/>
      <c r="G15" s="138">
        <v>220</v>
      </c>
      <c r="H15" s="139">
        <v>3762000</v>
      </c>
      <c r="I15" s="138"/>
      <c r="J15" s="226">
        <v>1510000</v>
      </c>
      <c r="K15" s="141"/>
      <c r="L15" s="150"/>
      <c r="M15" s="141"/>
      <c r="N15" s="141"/>
      <c r="O15" s="139">
        <f t="shared" si="0"/>
        <v>5272000</v>
      </c>
      <c r="P15" s="139">
        <v>5200000</v>
      </c>
      <c r="Q15" s="139">
        <f t="shared" si="1"/>
        <v>-72000</v>
      </c>
      <c r="R15" s="217"/>
      <c r="S15" s="215"/>
      <c r="T15" s="215"/>
    </row>
    <row r="16" spans="1:20" s="144" customFormat="1" ht="24.95" customHeight="1" x14ac:dyDescent="0.2">
      <c r="A16" s="211">
        <v>10</v>
      </c>
      <c r="B16" s="191">
        <v>43231</v>
      </c>
      <c r="C16" s="138" t="s">
        <v>1709</v>
      </c>
      <c r="D16" s="138" t="s">
        <v>1731</v>
      </c>
      <c r="E16" s="146" t="s">
        <v>1748</v>
      </c>
      <c r="F16" s="138"/>
      <c r="G16" s="138"/>
      <c r="H16" s="139"/>
      <c r="I16" s="138"/>
      <c r="J16" s="226">
        <f>1250000+440000</f>
        <v>1690000</v>
      </c>
      <c r="K16" s="141"/>
      <c r="L16" s="150"/>
      <c r="M16" s="141"/>
      <c r="N16" s="141"/>
      <c r="O16" s="139">
        <f t="shared" si="0"/>
        <v>1690000</v>
      </c>
      <c r="P16" s="208">
        <f>5200000+520000</f>
        <v>5720000</v>
      </c>
      <c r="Q16" s="139">
        <f t="shared" si="1"/>
        <v>4030000</v>
      </c>
      <c r="R16" s="217"/>
      <c r="S16" s="215"/>
      <c r="T16" s="215"/>
    </row>
    <row r="17" spans="1:20" s="144" customFormat="1" ht="24.95" customHeight="1" x14ac:dyDescent="0.2">
      <c r="A17" s="211">
        <v>11</v>
      </c>
      <c r="B17" s="191">
        <v>43232</v>
      </c>
      <c r="C17" s="138" t="s">
        <v>1710</v>
      </c>
      <c r="D17" s="138" t="s">
        <v>1732</v>
      </c>
      <c r="E17" s="146" t="s">
        <v>406</v>
      </c>
      <c r="F17" s="138"/>
      <c r="G17" s="138"/>
      <c r="H17" s="139"/>
      <c r="I17" s="138"/>
      <c r="J17" s="226">
        <f>790000-180000</f>
        <v>610000</v>
      </c>
      <c r="K17" s="141"/>
      <c r="L17" s="150"/>
      <c r="M17" s="141"/>
      <c r="N17" s="141"/>
      <c r="O17" s="139">
        <f t="shared" si="0"/>
        <v>610000</v>
      </c>
      <c r="P17" s="139">
        <v>3718182</v>
      </c>
      <c r="Q17" s="139">
        <f t="shared" si="1"/>
        <v>3108182</v>
      </c>
      <c r="R17" s="217"/>
      <c r="S17" s="215"/>
      <c r="T17" s="215"/>
    </row>
    <row r="18" spans="1:20" s="144" customFormat="1" ht="24.95" customHeight="1" x14ac:dyDescent="0.2">
      <c r="A18" s="211">
        <v>12</v>
      </c>
      <c r="B18" s="191">
        <v>43234</v>
      </c>
      <c r="C18" s="138" t="s">
        <v>1711</v>
      </c>
      <c r="D18" s="138" t="s">
        <v>1733</v>
      </c>
      <c r="E18" s="146" t="s">
        <v>1689</v>
      </c>
      <c r="F18" s="138"/>
      <c r="G18" s="138">
        <v>320</v>
      </c>
      <c r="H18" s="139">
        <v>5472000</v>
      </c>
      <c r="I18" s="138"/>
      <c r="J18" s="226">
        <v>1510000</v>
      </c>
      <c r="K18" s="141"/>
      <c r="L18" s="150"/>
      <c r="M18" s="141"/>
      <c r="N18" s="141"/>
      <c r="O18" s="139">
        <f t="shared" si="0"/>
        <v>6982000</v>
      </c>
      <c r="P18" s="139">
        <v>6100000</v>
      </c>
      <c r="Q18" s="139">
        <f t="shared" si="1"/>
        <v>-882000</v>
      </c>
      <c r="R18" s="217"/>
      <c r="S18" s="215"/>
      <c r="T18" s="215"/>
    </row>
    <row r="19" spans="1:20" s="144" customFormat="1" ht="24.95" customHeight="1" x14ac:dyDescent="0.2">
      <c r="A19" s="211">
        <v>13</v>
      </c>
      <c r="B19" s="191">
        <v>43235</v>
      </c>
      <c r="C19" s="138" t="s">
        <v>1712</v>
      </c>
      <c r="D19" s="138" t="s">
        <v>1734</v>
      </c>
      <c r="E19" s="146" t="s">
        <v>763</v>
      </c>
      <c r="F19" s="138"/>
      <c r="G19" s="138"/>
      <c r="H19" s="139"/>
      <c r="I19" s="138"/>
      <c r="J19" s="226">
        <v>970000</v>
      </c>
      <c r="K19" s="141"/>
      <c r="L19" s="150"/>
      <c r="M19" s="141"/>
      <c r="N19" s="141"/>
      <c r="O19" s="139">
        <f t="shared" si="0"/>
        <v>970000</v>
      </c>
      <c r="P19" s="139">
        <v>3700000</v>
      </c>
      <c r="Q19" s="139">
        <f t="shared" si="1"/>
        <v>2730000</v>
      </c>
      <c r="R19" s="217"/>
      <c r="S19" s="215"/>
      <c r="T19" s="215"/>
    </row>
    <row r="20" spans="1:20" s="144" customFormat="1" ht="24.95" customHeight="1" x14ac:dyDescent="0.2">
      <c r="A20" s="211">
        <v>14</v>
      </c>
      <c r="B20" s="191">
        <v>43235</v>
      </c>
      <c r="C20" s="138" t="s">
        <v>1713</v>
      </c>
      <c r="D20" s="138" t="s">
        <v>1735</v>
      </c>
      <c r="E20" s="146" t="s">
        <v>763</v>
      </c>
      <c r="F20" s="138"/>
      <c r="G20" s="138">
        <v>350</v>
      </c>
      <c r="H20" s="139">
        <v>5985000</v>
      </c>
      <c r="I20" s="138"/>
      <c r="J20" s="226">
        <v>970000</v>
      </c>
      <c r="K20" s="141"/>
      <c r="L20" s="150"/>
      <c r="M20" s="141"/>
      <c r="N20" s="141"/>
      <c r="O20" s="139">
        <f t="shared" si="0"/>
        <v>6955000</v>
      </c>
      <c r="P20" s="141">
        <v>3700000</v>
      </c>
      <c r="Q20" s="139">
        <f t="shared" si="1"/>
        <v>-3255000</v>
      </c>
      <c r="R20" s="217"/>
      <c r="S20" s="215"/>
      <c r="T20" s="215"/>
    </row>
    <row r="21" spans="1:20" s="144" customFormat="1" ht="24.95" customHeight="1" x14ac:dyDescent="0.2">
      <c r="A21" s="211">
        <v>15</v>
      </c>
      <c r="B21" s="191">
        <v>43237</v>
      </c>
      <c r="C21" s="138" t="s">
        <v>1714</v>
      </c>
      <c r="D21" s="138" t="s">
        <v>1736</v>
      </c>
      <c r="E21" s="146" t="s">
        <v>723</v>
      </c>
      <c r="F21" s="138"/>
      <c r="G21" s="138"/>
      <c r="H21" s="139"/>
      <c r="I21" s="138"/>
      <c r="J21" s="226">
        <v>790000</v>
      </c>
      <c r="K21" s="141"/>
      <c r="L21" s="150"/>
      <c r="M21" s="141"/>
      <c r="N21" s="141"/>
      <c r="O21" s="139">
        <f t="shared" si="0"/>
        <v>790000</v>
      </c>
      <c r="P21" s="139">
        <v>2809091</v>
      </c>
      <c r="Q21" s="139">
        <f t="shared" si="1"/>
        <v>2019091</v>
      </c>
      <c r="R21" s="217"/>
      <c r="S21" s="215"/>
      <c r="T21" s="215"/>
    </row>
    <row r="22" spans="1:20" s="144" customFormat="1" ht="24.95" customHeight="1" x14ac:dyDescent="0.2">
      <c r="A22" s="211">
        <v>16</v>
      </c>
      <c r="B22" s="191">
        <v>43238</v>
      </c>
      <c r="C22" s="138" t="s">
        <v>1097</v>
      </c>
      <c r="D22" s="138" t="s">
        <v>1737</v>
      </c>
      <c r="E22" s="146" t="s">
        <v>1749</v>
      </c>
      <c r="F22" s="138"/>
      <c r="G22" s="138"/>
      <c r="H22" s="139"/>
      <c r="I22" s="138"/>
      <c r="J22" s="226">
        <v>790000</v>
      </c>
      <c r="K22" s="141"/>
      <c r="L22" s="150"/>
      <c r="M22" s="141"/>
      <c r="N22" s="141"/>
      <c r="O22" s="139">
        <f t="shared" si="0"/>
        <v>790000</v>
      </c>
      <c r="P22" s="141">
        <v>2800000</v>
      </c>
      <c r="Q22" s="139">
        <f t="shared" si="1"/>
        <v>2010000</v>
      </c>
      <c r="R22" s="217"/>
      <c r="S22" s="215"/>
      <c r="T22" s="215"/>
    </row>
    <row r="23" spans="1:20" s="144" customFormat="1" ht="24.95" customHeight="1" x14ac:dyDescent="0.2">
      <c r="A23" s="211">
        <v>17</v>
      </c>
      <c r="B23" s="191">
        <v>43239</v>
      </c>
      <c r="C23" s="138" t="s">
        <v>1715</v>
      </c>
      <c r="D23" s="138" t="s">
        <v>1737</v>
      </c>
      <c r="E23" s="146" t="s">
        <v>291</v>
      </c>
      <c r="F23" s="138"/>
      <c r="G23" s="138"/>
      <c r="H23" s="139"/>
      <c r="I23" s="138"/>
      <c r="J23" s="141">
        <v>0</v>
      </c>
      <c r="K23" s="141"/>
      <c r="L23" s="150"/>
      <c r="M23" s="141"/>
      <c r="N23" s="141"/>
      <c r="O23" s="139">
        <f t="shared" si="0"/>
        <v>0</v>
      </c>
      <c r="P23" s="139">
        <v>1100000</v>
      </c>
      <c r="Q23" s="139">
        <f t="shared" si="1"/>
        <v>1100000</v>
      </c>
      <c r="R23" s="217"/>
      <c r="S23" s="215"/>
      <c r="T23" s="215"/>
    </row>
    <row r="24" spans="1:20" s="144" customFormat="1" ht="24.95" customHeight="1" x14ac:dyDescent="0.2">
      <c r="A24" s="211">
        <v>18</v>
      </c>
      <c r="B24" s="191">
        <v>43239</v>
      </c>
      <c r="C24" s="138" t="s">
        <v>1716</v>
      </c>
      <c r="D24" s="138" t="s">
        <v>1738</v>
      </c>
      <c r="E24" s="146" t="s">
        <v>1750</v>
      </c>
      <c r="F24" s="138"/>
      <c r="G24" s="138">
        <v>290</v>
      </c>
      <c r="H24" s="139">
        <v>4959000</v>
      </c>
      <c r="I24" s="138"/>
      <c r="J24" s="226">
        <v>1510000</v>
      </c>
      <c r="K24" s="141"/>
      <c r="L24" s="150"/>
      <c r="M24" s="141"/>
      <c r="N24" s="141"/>
      <c r="O24" s="139">
        <f t="shared" si="0"/>
        <v>6469000</v>
      </c>
      <c r="P24" s="139">
        <v>6100000</v>
      </c>
      <c r="Q24" s="139">
        <f t="shared" si="1"/>
        <v>-369000</v>
      </c>
      <c r="R24" s="217"/>
      <c r="S24" s="215"/>
      <c r="T24" s="215"/>
    </row>
    <row r="25" spans="1:20" s="144" customFormat="1" ht="24.95" customHeight="1" x14ac:dyDescent="0.2">
      <c r="A25" s="211">
        <v>19</v>
      </c>
      <c r="B25" s="191">
        <v>43242</v>
      </c>
      <c r="C25" s="138" t="s">
        <v>1717</v>
      </c>
      <c r="D25" s="138" t="s">
        <v>1739</v>
      </c>
      <c r="E25" s="146" t="s">
        <v>1336</v>
      </c>
      <c r="F25" s="138"/>
      <c r="G25" s="138">
        <v>250</v>
      </c>
      <c r="H25" s="139">
        <v>4275000</v>
      </c>
      <c r="I25" s="138"/>
      <c r="J25" s="226">
        <v>790000</v>
      </c>
      <c r="K25" s="141"/>
      <c r="L25" s="150"/>
      <c r="M25" s="141"/>
      <c r="N25" s="141"/>
      <c r="O25" s="139">
        <f t="shared" si="0"/>
        <v>5065000</v>
      </c>
      <c r="P25" s="139">
        <v>3200000</v>
      </c>
      <c r="Q25" s="139">
        <f t="shared" si="1"/>
        <v>-1865000</v>
      </c>
      <c r="R25" s="217"/>
      <c r="S25" s="215"/>
      <c r="T25" s="215"/>
    </row>
    <row r="26" spans="1:20" s="144" customFormat="1" ht="24.95" customHeight="1" x14ac:dyDescent="0.2">
      <c r="A26" s="211">
        <v>20</v>
      </c>
      <c r="B26" s="191">
        <v>43242</v>
      </c>
      <c r="C26" s="138" t="s">
        <v>1718</v>
      </c>
      <c r="D26" s="138" t="s">
        <v>1740</v>
      </c>
      <c r="E26" s="146" t="s">
        <v>279</v>
      </c>
      <c r="F26" s="138"/>
      <c r="G26" s="138"/>
      <c r="H26" s="139"/>
      <c r="I26" s="138"/>
      <c r="J26" s="226">
        <v>2750000</v>
      </c>
      <c r="K26" s="141"/>
      <c r="L26" s="150"/>
      <c r="M26" s="141"/>
      <c r="N26" s="141"/>
      <c r="O26" s="139">
        <f t="shared" si="0"/>
        <v>2750000</v>
      </c>
      <c r="P26" s="139">
        <v>6500000</v>
      </c>
      <c r="Q26" s="139">
        <f t="shared" si="1"/>
        <v>3750000</v>
      </c>
      <c r="R26" s="217"/>
      <c r="S26" s="215"/>
      <c r="T26" s="215"/>
    </row>
    <row r="27" spans="1:20" s="144" customFormat="1" ht="24.95" customHeight="1" x14ac:dyDescent="0.2">
      <c r="A27" s="211">
        <v>21</v>
      </c>
      <c r="B27" s="191">
        <v>43242</v>
      </c>
      <c r="C27" s="138" t="s">
        <v>1718</v>
      </c>
      <c r="D27" s="138" t="s">
        <v>1741</v>
      </c>
      <c r="E27" s="146" t="s">
        <v>279</v>
      </c>
      <c r="F27" s="138"/>
      <c r="G27" s="138"/>
      <c r="H27" s="139"/>
      <c r="I27" s="138"/>
      <c r="J27" s="226">
        <v>0</v>
      </c>
      <c r="K27" s="141"/>
      <c r="L27" s="150"/>
      <c r="M27" s="141"/>
      <c r="N27" s="141"/>
      <c r="O27" s="139">
        <f t="shared" si="0"/>
        <v>0</v>
      </c>
      <c r="P27" s="139">
        <v>6500000</v>
      </c>
      <c r="Q27" s="139">
        <f t="shared" si="1"/>
        <v>6500000</v>
      </c>
      <c r="R27" s="217"/>
      <c r="S27" s="215"/>
      <c r="T27" s="215"/>
    </row>
    <row r="28" spans="1:20" s="144" customFormat="1" ht="24.95" customHeight="1" x14ac:dyDescent="0.2">
      <c r="A28" s="211">
        <v>22</v>
      </c>
      <c r="B28" s="191">
        <v>43243</v>
      </c>
      <c r="C28" s="138" t="s">
        <v>1719</v>
      </c>
      <c r="D28" s="138" t="s">
        <v>1742</v>
      </c>
      <c r="E28" s="146" t="s">
        <v>1507</v>
      </c>
      <c r="F28" s="138"/>
      <c r="G28" s="138"/>
      <c r="H28" s="139"/>
      <c r="I28" s="138"/>
      <c r="J28" s="226">
        <v>610000</v>
      </c>
      <c r="K28" s="141"/>
      <c r="L28" s="150"/>
      <c r="M28" s="141"/>
      <c r="N28" s="141"/>
      <c r="O28" s="139">
        <f t="shared" si="0"/>
        <v>610000</v>
      </c>
      <c r="P28" s="139">
        <v>3800000</v>
      </c>
      <c r="Q28" s="139">
        <f t="shared" si="1"/>
        <v>3190000</v>
      </c>
      <c r="R28" s="217"/>
      <c r="S28" s="215"/>
      <c r="T28" s="215"/>
    </row>
    <row r="29" spans="1:20" s="144" customFormat="1" ht="24.95" customHeight="1" x14ac:dyDescent="0.2">
      <c r="A29" s="211">
        <v>23</v>
      </c>
      <c r="B29" s="191">
        <v>43244</v>
      </c>
      <c r="C29" s="138" t="s">
        <v>1720</v>
      </c>
      <c r="D29" s="138" t="s">
        <v>1743</v>
      </c>
      <c r="E29" s="146" t="s">
        <v>1751</v>
      </c>
      <c r="F29" s="138"/>
      <c r="G29" s="138">
        <v>275</v>
      </c>
      <c r="H29" s="139">
        <v>4864750</v>
      </c>
      <c r="I29" s="138"/>
      <c r="J29" s="226">
        <f>970000+400000</f>
        <v>1370000</v>
      </c>
      <c r="K29" s="141"/>
      <c r="L29" s="150"/>
      <c r="M29" s="141"/>
      <c r="N29" s="141"/>
      <c r="O29" s="139">
        <f t="shared" si="0"/>
        <v>6234750</v>
      </c>
      <c r="P29" s="139">
        <v>3863636</v>
      </c>
      <c r="Q29" s="139">
        <f t="shared" si="1"/>
        <v>-2371114</v>
      </c>
      <c r="R29" s="217"/>
      <c r="S29" s="215"/>
      <c r="T29" s="215"/>
    </row>
    <row r="30" spans="1:20" s="144" customFormat="1" ht="24.95" customHeight="1" x14ac:dyDescent="0.2">
      <c r="A30" s="211">
        <v>24</v>
      </c>
      <c r="B30" s="191">
        <v>43245</v>
      </c>
      <c r="C30" s="138" t="s">
        <v>1721</v>
      </c>
      <c r="D30" s="138" t="s">
        <v>1743</v>
      </c>
      <c r="E30" s="146" t="s">
        <v>1423</v>
      </c>
      <c r="F30" s="138"/>
      <c r="G30" s="138"/>
      <c r="H30" s="139"/>
      <c r="I30" s="138"/>
      <c r="J30" s="226">
        <v>0</v>
      </c>
      <c r="K30" s="141"/>
      <c r="L30" s="150"/>
      <c r="M30" s="141"/>
      <c r="N30" s="141"/>
      <c r="O30" s="139">
        <f t="shared" si="0"/>
        <v>0</v>
      </c>
      <c r="P30" s="139">
        <v>4963636</v>
      </c>
      <c r="Q30" s="139">
        <f t="shared" si="1"/>
        <v>4963636</v>
      </c>
      <c r="R30" s="217"/>
      <c r="S30" s="215"/>
      <c r="T30" s="215"/>
    </row>
    <row r="31" spans="1:20" s="144" customFormat="1" ht="24.95" customHeight="1" x14ac:dyDescent="0.2">
      <c r="A31" s="211">
        <v>25</v>
      </c>
      <c r="B31" s="191">
        <v>43248</v>
      </c>
      <c r="C31" s="138" t="s">
        <v>1722</v>
      </c>
      <c r="D31" s="138" t="s">
        <v>1744</v>
      </c>
      <c r="E31" s="146" t="s">
        <v>1752</v>
      </c>
      <c r="F31" s="138"/>
      <c r="G31" s="138">
        <v>320</v>
      </c>
      <c r="H31" s="139">
        <v>5660800</v>
      </c>
      <c r="I31" s="138"/>
      <c r="J31" s="226">
        <v>1510000</v>
      </c>
      <c r="K31" s="141"/>
      <c r="L31" s="150"/>
      <c r="M31" s="141"/>
      <c r="N31" s="141"/>
      <c r="O31" s="139">
        <f t="shared" si="0"/>
        <v>7170800</v>
      </c>
      <c r="P31" s="139">
        <v>5200000</v>
      </c>
      <c r="Q31" s="139">
        <f t="shared" si="1"/>
        <v>-1970800</v>
      </c>
      <c r="R31" s="217"/>
      <c r="S31" s="215"/>
      <c r="T31" s="215"/>
    </row>
    <row r="32" spans="1:20" s="144" customFormat="1" ht="24.95" customHeight="1" x14ac:dyDescent="0.2">
      <c r="A32" s="211">
        <v>26</v>
      </c>
      <c r="B32" s="191">
        <v>43248</v>
      </c>
      <c r="C32" s="138" t="s">
        <v>1102</v>
      </c>
      <c r="D32" s="138" t="s">
        <v>1755</v>
      </c>
      <c r="E32" s="146" t="s">
        <v>1758</v>
      </c>
      <c r="F32" s="138"/>
      <c r="G32" s="138"/>
      <c r="H32" s="139"/>
      <c r="I32" s="138"/>
      <c r="J32" s="226">
        <v>1510000</v>
      </c>
      <c r="K32" s="141"/>
      <c r="L32" s="150"/>
      <c r="M32" s="141"/>
      <c r="N32" s="141"/>
      <c r="O32" s="139">
        <f t="shared" si="0"/>
        <v>1510000</v>
      </c>
      <c r="P32" s="139">
        <v>5200000</v>
      </c>
      <c r="Q32" s="139">
        <f t="shared" si="1"/>
        <v>3690000</v>
      </c>
      <c r="R32" s="217"/>
      <c r="S32" s="215"/>
      <c r="T32" s="215"/>
    </row>
    <row r="33" spans="1:20" s="144" customFormat="1" ht="24.95" customHeight="1" x14ac:dyDescent="0.2">
      <c r="A33" s="211">
        <v>27</v>
      </c>
      <c r="B33" s="191">
        <v>43249</v>
      </c>
      <c r="C33" s="138" t="s">
        <v>346</v>
      </c>
      <c r="D33" s="138" t="s">
        <v>1756</v>
      </c>
      <c r="E33" s="146" t="s">
        <v>23</v>
      </c>
      <c r="F33" s="138"/>
      <c r="G33" s="138"/>
      <c r="H33" s="139"/>
      <c r="I33" s="138"/>
      <c r="J33" s="226">
        <v>2740000</v>
      </c>
      <c r="K33" s="141"/>
      <c r="L33" s="150"/>
      <c r="M33" s="141"/>
      <c r="N33" s="141"/>
      <c r="O33" s="139">
        <f t="shared" si="0"/>
        <v>2740000</v>
      </c>
      <c r="P33" s="139">
        <v>12090909</v>
      </c>
      <c r="Q33" s="139">
        <f t="shared" si="1"/>
        <v>9350909</v>
      </c>
      <c r="R33" s="217"/>
      <c r="S33" s="215"/>
      <c r="T33" s="215"/>
    </row>
    <row r="34" spans="1:20" s="144" customFormat="1" ht="24.95" customHeight="1" x14ac:dyDescent="0.2">
      <c r="A34" s="211">
        <v>28</v>
      </c>
      <c r="B34" s="191">
        <v>43250</v>
      </c>
      <c r="C34" s="138" t="s">
        <v>1760</v>
      </c>
      <c r="D34" s="138" t="s">
        <v>1757</v>
      </c>
      <c r="E34" s="146" t="s">
        <v>1759</v>
      </c>
      <c r="F34" s="138"/>
      <c r="G34" s="138">
        <v>390</v>
      </c>
      <c r="H34" s="139">
        <v>6899100</v>
      </c>
      <c r="I34" s="138"/>
      <c r="J34" s="226">
        <v>610000</v>
      </c>
      <c r="K34" s="141"/>
      <c r="L34" s="150"/>
      <c r="M34" s="141"/>
      <c r="N34" s="141"/>
      <c r="O34" s="139">
        <f t="shared" si="0"/>
        <v>7509100</v>
      </c>
      <c r="P34" s="139">
        <v>3600000</v>
      </c>
      <c r="Q34" s="139">
        <f t="shared" si="1"/>
        <v>-3909100</v>
      </c>
      <c r="R34" s="217"/>
      <c r="S34" s="215"/>
      <c r="T34" s="215"/>
    </row>
    <row r="35" spans="1:20" s="144" customFormat="1" ht="24.95" customHeight="1" x14ac:dyDescent="0.2">
      <c r="A35" s="211"/>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24.95" customHeight="1" x14ac:dyDescent="0.2">
      <c r="A36" s="211"/>
      <c r="C36" s="221" t="s">
        <v>1753</v>
      </c>
      <c r="D36" s="220"/>
      <c r="E36" s="221"/>
      <c r="F36" s="220"/>
      <c r="G36" s="220"/>
      <c r="H36" s="219"/>
      <c r="I36" s="220"/>
      <c r="J36" s="157"/>
      <c r="K36" s="157"/>
      <c r="L36" s="157"/>
      <c r="M36" s="157">
        <v>5900000</v>
      </c>
      <c r="N36" s="141"/>
      <c r="O36" s="139">
        <f t="shared" si="0"/>
        <v>5900000</v>
      </c>
      <c r="P36" s="139"/>
      <c r="Q36" s="139">
        <f t="shared" si="1"/>
        <v>-5900000</v>
      </c>
      <c r="R36" s="217"/>
      <c r="S36" s="215"/>
      <c r="T36" s="215"/>
    </row>
    <row r="37" spans="1:20" s="144" customFormat="1" ht="24.95" customHeight="1" x14ac:dyDescent="0.2">
      <c r="A37" s="211"/>
      <c r="B37" s="191"/>
      <c r="C37" s="221" t="s">
        <v>1754</v>
      </c>
      <c r="D37" s="220"/>
      <c r="E37" s="221"/>
      <c r="F37" s="220"/>
      <c r="G37" s="220"/>
      <c r="H37" s="219"/>
      <c r="I37" s="220"/>
      <c r="J37" s="157"/>
      <c r="L37" s="157">
        <v>17953000</v>
      </c>
      <c r="M37" s="157"/>
      <c r="N37" s="141"/>
      <c r="O37" s="139">
        <f t="shared" si="0"/>
        <v>17953000</v>
      </c>
      <c r="P37" s="139"/>
      <c r="Q37" s="139">
        <f t="shared" si="1"/>
        <v>-17953000</v>
      </c>
      <c r="R37" s="217"/>
      <c r="S37" s="215"/>
      <c r="T37" s="215"/>
    </row>
    <row r="38" spans="1:20" s="159" customFormat="1" ht="24.95" customHeight="1" x14ac:dyDescent="0.25">
      <c r="A38" s="211"/>
      <c r="B38" s="165"/>
      <c r="C38" s="196" t="s">
        <v>1337</v>
      </c>
      <c r="D38" s="195"/>
      <c r="E38" s="197"/>
      <c r="F38" s="195"/>
      <c r="G38" s="195"/>
      <c r="H38" s="155"/>
      <c r="I38" s="195"/>
      <c r="J38" s="155"/>
      <c r="K38" s="157">
        <v>8192308</v>
      </c>
      <c r="L38" s="155"/>
      <c r="M38" s="155"/>
      <c r="N38" s="155"/>
      <c r="O38" s="139">
        <f t="shared" si="0"/>
        <v>8192308</v>
      </c>
      <c r="P38" s="139"/>
      <c r="Q38" s="139">
        <f t="shared" si="1"/>
        <v>-8192308</v>
      </c>
      <c r="S38" s="215"/>
      <c r="T38" s="215"/>
    </row>
    <row r="39" spans="1:20" s="159" customFormat="1" ht="24.95" customHeight="1" x14ac:dyDescent="0.25">
      <c r="A39" s="211"/>
      <c r="B39" s="203"/>
      <c r="C39" s="152" t="s">
        <v>1753</v>
      </c>
      <c r="D39" s="153"/>
      <c r="E39" s="154"/>
      <c r="F39" s="153"/>
      <c r="G39" s="153"/>
      <c r="H39" s="156"/>
      <c r="I39" s="153"/>
      <c r="J39" s="156"/>
      <c r="K39" s="204"/>
      <c r="L39" s="156"/>
      <c r="M39" s="156">
        <v>5700000</v>
      </c>
      <c r="N39" s="156"/>
      <c r="O39" s="139">
        <f t="shared" si="0"/>
        <v>5700000</v>
      </c>
      <c r="P39" s="139"/>
      <c r="Q39" s="139">
        <f t="shared" si="1"/>
        <v>-5700000</v>
      </c>
      <c r="S39" s="215"/>
      <c r="T39" s="215"/>
    </row>
    <row r="40" spans="1:20" s="159" customFormat="1" ht="24.95" customHeight="1" x14ac:dyDescent="0.25">
      <c r="A40" s="211"/>
      <c r="B40" s="203"/>
      <c r="C40" s="152" t="s">
        <v>1761</v>
      </c>
      <c r="D40" s="153"/>
      <c r="E40" s="154"/>
      <c r="F40" s="153"/>
      <c r="G40" s="153"/>
      <c r="H40" s="156"/>
      <c r="I40" s="153"/>
      <c r="J40" s="156"/>
      <c r="L40" s="204">
        <v>170000</v>
      </c>
      <c r="M40" s="156"/>
      <c r="N40" s="156"/>
      <c r="O40" s="139">
        <f t="shared" si="0"/>
        <v>170000</v>
      </c>
      <c r="P40" s="139"/>
      <c r="Q40" s="139">
        <f t="shared" si="1"/>
        <v>-170000</v>
      </c>
      <c r="S40" s="215"/>
      <c r="T40" s="215"/>
    </row>
    <row r="41" spans="1:20" s="159" customFormat="1" ht="24.95" customHeight="1" x14ac:dyDescent="0.25">
      <c r="A41" s="211"/>
      <c r="B41" s="203"/>
      <c r="C41" s="152" t="s">
        <v>1762</v>
      </c>
      <c r="D41" s="153"/>
      <c r="E41" s="154"/>
      <c r="F41" s="153"/>
      <c r="G41" s="153"/>
      <c r="H41" s="156"/>
      <c r="I41" s="153"/>
      <c r="J41" s="156"/>
      <c r="L41" s="204">
        <v>250000</v>
      </c>
      <c r="M41" s="156"/>
      <c r="N41" s="156"/>
      <c r="O41" s="139">
        <f t="shared" si="0"/>
        <v>250000</v>
      </c>
      <c r="P41" s="139"/>
      <c r="Q41" s="139">
        <f t="shared" si="1"/>
        <v>-250000</v>
      </c>
      <c r="S41" s="215"/>
      <c r="T41" s="215"/>
    </row>
    <row r="42" spans="1:20" s="159" customFormat="1" ht="48.75" customHeight="1" x14ac:dyDescent="0.25">
      <c r="A42" s="211"/>
      <c r="B42" s="203"/>
      <c r="C42" s="152" t="s">
        <v>1763</v>
      </c>
      <c r="D42" s="153"/>
      <c r="E42" s="154"/>
      <c r="F42" s="153"/>
      <c r="G42" s="153"/>
      <c r="H42" s="156"/>
      <c r="I42" s="153"/>
      <c r="J42" s="156"/>
      <c r="L42" s="204">
        <v>350000</v>
      </c>
      <c r="M42" s="156"/>
      <c r="N42" s="156"/>
      <c r="O42" s="139">
        <f t="shared" si="0"/>
        <v>350000</v>
      </c>
      <c r="P42" s="139"/>
      <c r="Q42" s="139">
        <f t="shared" si="1"/>
        <v>-350000</v>
      </c>
      <c r="S42" s="215"/>
      <c r="T42" s="215"/>
    </row>
    <row r="43" spans="1:20" s="159" customFormat="1" ht="24.95" customHeight="1" x14ac:dyDescent="0.25">
      <c r="A43" s="211"/>
      <c r="B43" s="203"/>
      <c r="C43" s="152" t="s">
        <v>1094</v>
      </c>
      <c r="D43" s="153"/>
      <c r="E43" s="154"/>
      <c r="F43" s="153"/>
      <c r="G43" s="153"/>
      <c r="H43" s="156"/>
      <c r="I43" s="153"/>
      <c r="J43" s="156"/>
      <c r="K43" s="204">
        <f>1200000*1.1</f>
        <v>1320000</v>
      </c>
      <c r="L43" s="204"/>
      <c r="M43" s="156"/>
      <c r="N43" s="156"/>
      <c r="O43" s="139">
        <f t="shared" ref="O43" si="2">H43+J43+K43+L43+M43+N43</f>
        <v>1320000</v>
      </c>
      <c r="P43" s="139"/>
      <c r="Q43" s="139">
        <f t="shared" si="1"/>
        <v>-1320000</v>
      </c>
      <c r="R43" s="186"/>
      <c r="S43" s="215"/>
      <c r="T43" s="215"/>
    </row>
    <row r="44" spans="1:20" ht="24.95" customHeight="1" x14ac:dyDescent="0.25">
      <c r="A44" s="426" t="s">
        <v>20</v>
      </c>
      <c r="B44" s="426"/>
      <c r="C44" s="426"/>
      <c r="D44" s="426"/>
      <c r="E44" s="426"/>
      <c r="F44" s="426"/>
      <c r="G44" s="161">
        <f t="shared" ref="G44:Q44" si="3">SUM(G7:G43)</f>
        <v>3065</v>
      </c>
      <c r="H44" s="161">
        <f t="shared" si="3"/>
        <v>52752150</v>
      </c>
      <c r="I44" s="161">
        <f t="shared" si="3"/>
        <v>0</v>
      </c>
      <c r="J44" s="161">
        <f t="shared" si="3"/>
        <v>31800000</v>
      </c>
      <c r="K44" s="161">
        <f t="shared" si="3"/>
        <v>9512308</v>
      </c>
      <c r="L44" s="161">
        <f t="shared" si="3"/>
        <v>18723000</v>
      </c>
      <c r="M44" s="161">
        <f t="shared" si="3"/>
        <v>11600000</v>
      </c>
      <c r="N44" s="161">
        <f t="shared" si="3"/>
        <v>0</v>
      </c>
      <c r="O44" s="161">
        <f t="shared" si="3"/>
        <v>124387458</v>
      </c>
      <c r="P44" s="161">
        <f t="shared" si="3"/>
        <v>136756363</v>
      </c>
      <c r="Q44" s="161">
        <f t="shared" si="3"/>
        <v>12368905</v>
      </c>
      <c r="R44" s="187"/>
      <c r="S44" s="189"/>
    </row>
    <row r="45" spans="1:20" ht="24.95" customHeight="1" x14ac:dyDescent="0.25">
      <c r="O45" s="158"/>
      <c r="Q45" s="158"/>
    </row>
    <row r="46" spans="1:20" ht="24.95" customHeight="1" x14ac:dyDescent="0.25">
      <c r="P46" s="216" t="s">
        <v>1603</v>
      </c>
      <c r="Q46" s="227">
        <f>'04-2018'!Q49+'05-2018'!Q44</f>
        <v>87110207</v>
      </c>
    </row>
    <row r="47" spans="1:20" ht="24.95" customHeight="1" x14ac:dyDescent="0.25">
      <c r="B47" s="129"/>
      <c r="H47" s="128"/>
      <c r="J47" s="128"/>
      <c r="K47" s="128"/>
      <c r="L47" s="128"/>
      <c r="M47" s="128"/>
      <c r="N47" s="128"/>
      <c r="O47" s="128"/>
      <c r="P47" s="218"/>
      <c r="Q47" s="216"/>
    </row>
    <row r="48" spans="1:20" ht="24.95" customHeight="1" x14ac:dyDescent="0.25">
      <c r="B48" s="129"/>
      <c r="H48" s="128"/>
      <c r="J48" s="128"/>
      <c r="K48" s="128"/>
      <c r="L48" s="128"/>
      <c r="M48" s="128"/>
      <c r="N48" s="128"/>
      <c r="O48" s="128"/>
      <c r="P48" s="218"/>
      <c r="Q48" s="230"/>
    </row>
    <row r="49" spans="1:17" ht="24.95" customHeight="1" x14ac:dyDescent="0.25">
      <c r="B49" s="129"/>
      <c r="H49" s="128"/>
      <c r="J49" s="128"/>
      <c r="K49" s="128"/>
      <c r="L49" s="128"/>
      <c r="M49" s="128"/>
      <c r="N49" s="128"/>
      <c r="O49" s="128"/>
      <c r="P49" s="218"/>
      <c r="Q49" s="230"/>
    </row>
    <row r="50" spans="1:17" ht="24.95" customHeight="1" x14ac:dyDescent="0.25">
      <c r="B50" s="129"/>
      <c r="H50" s="128"/>
      <c r="J50" s="128"/>
      <c r="K50" s="128"/>
      <c r="L50" s="128"/>
      <c r="M50" s="128"/>
      <c r="N50" s="128"/>
      <c r="O50" s="128"/>
      <c r="P50" s="218"/>
      <c r="Q50" s="216"/>
    </row>
    <row r="51" spans="1:17" x14ac:dyDescent="0.25">
      <c r="B51" s="129"/>
      <c r="H51" s="128"/>
      <c r="J51" s="128"/>
      <c r="K51" s="128"/>
      <c r="L51" s="128"/>
      <c r="M51" s="128"/>
      <c r="N51" s="128"/>
      <c r="O51" s="128"/>
      <c r="P51" s="218"/>
      <c r="Q51" s="216"/>
    </row>
    <row r="52" spans="1:17" x14ac:dyDescent="0.25">
      <c r="A52" s="128"/>
      <c r="B52" s="129"/>
      <c r="H52" s="128"/>
      <c r="J52" s="128"/>
      <c r="K52" s="128"/>
      <c r="L52" s="128"/>
      <c r="M52" s="128"/>
      <c r="N52" s="128"/>
      <c r="O52" s="128"/>
      <c r="P52" s="218"/>
      <c r="Q52" s="216"/>
    </row>
    <row r="53" spans="1:17" x14ac:dyDescent="0.25">
      <c r="A53" s="128"/>
      <c r="B53" s="129"/>
      <c r="H53" s="128"/>
      <c r="J53" s="128"/>
      <c r="K53" s="128"/>
      <c r="L53" s="128"/>
      <c r="M53" s="128"/>
      <c r="N53" s="128"/>
      <c r="O53" s="128"/>
      <c r="P53" s="128"/>
      <c r="Q53" s="216"/>
    </row>
    <row r="54" spans="1:17" x14ac:dyDescent="0.25">
      <c r="A54" s="128"/>
      <c r="B54" s="128"/>
      <c r="H54" s="128"/>
      <c r="J54" s="128"/>
      <c r="K54" s="128"/>
      <c r="L54" s="128"/>
      <c r="M54" s="128"/>
      <c r="N54" s="128"/>
      <c r="O54" s="128"/>
      <c r="P54" s="128"/>
      <c r="Q54" s="216"/>
    </row>
    <row r="55" spans="1:17" x14ac:dyDescent="0.25">
      <c r="A55" s="128"/>
      <c r="B55" s="128"/>
      <c r="H55" s="128"/>
      <c r="J55" s="128"/>
      <c r="K55" s="128"/>
      <c r="L55" s="128"/>
      <c r="M55" s="128"/>
      <c r="N55" s="128"/>
      <c r="O55" s="128"/>
      <c r="P55" s="128"/>
      <c r="Q55" s="216"/>
    </row>
  </sheetData>
  <mergeCells count="14">
    <mergeCell ref="O5:O6"/>
    <mergeCell ref="P5:P6"/>
    <mergeCell ref="Q5:Q6"/>
    <mergeCell ref="A44:F44"/>
    <mergeCell ref="A1:Q1"/>
    <mergeCell ref="A2:Q2"/>
    <mergeCell ref="B3:Q3"/>
    <mergeCell ref="A5:A6"/>
    <mergeCell ref="B5:B6"/>
    <mergeCell ref="C5:C6"/>
    <mergeCell ref="D5:D6"/>
    <mergeCell ref="E5:E6"/>
    <mergeCell ref="F5:F6"/>
    <mergeCell ref="G5:N5"/>
  </mergeCells>
  <pageMargins left="0" right="0" top="0.75" bottom="0.75" header="0.3" footer="0.3"/>
  <pageSetup paperSize="9" scale="55" orientation="landscape"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49"/>
  <sheetViews>
    <sheetView topLeftCell="F26" workbookViewId="0">
      <selection activeCell="H7" sqref="H7:N37"/>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1764</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43251</v>
      </c>
      <c r="C7" s="138" t="s">
        <v>1765</v>
      </c>
      <c r="D7" s="138" t="s">
        <v>1766</v>
      </c>
      <c r="E7" s="146" t="s">
        <v>1767</v>
      </c>
      <c r="F7" s="138"/>
      <c r="G7" s="138"/>
      <c r="H7" s="139"/>
      <c r="I7" s="138"/>
      <c r="J7" s="226">
        <v>200000</v>
      </c>
      <c r="K7" s="141"/>
      <c r="L7" s="150"/>
      <c r="M7" s="141"/>
      <c r="N7" s="141"/>
      <c r="O7" s="139">
        <f>H7+J7+K7+L7+M7+N7</f>
        <v>200000</v>
      </c>
      <c r="P7" s="139">
        <v>1500000</v>
      </c>
      <c r="Q7" s="139">
        <f>P7-O7</f>
        <v>1300000</v>
      </c>
      <c r="R7" s="217"/>
      <c r="S7" s="215"/>
      <c r="T7" s="215"/>
    </row>
    <row r="8" spans="1:20" s="144" customFormat="1" ht="24.95" customHeight="1" x14ac:dyDescent="0.2">
      <c r="A8" s="211">
        <v>2</v>
      </c>
      <c r="B8" s="191">
        <v>43251</v>
      </c>
      <c r="C8" s="138" t="s">
        <v>1768</v>
      </c>
      <c r="D8" s="138" t="s">
        <v>1769</v>
      </c>
      <c r="E8" s="146" t="s">
        <v>23</v>
      </c>
      <c r="F8" s="138"/>
      <c r="G8" s="138"/>
      <c r="H8" s="139"/>
      <c r="I8" s="138"/>
      <c r="J8" s="226">
        <v>2740000</v>
      </c>
      <c r="K8" s="141"/>
      <c r="L8" s="150"/>
      <c r="M8" s="141"/>
      <c r="N8" s="141"/>
      <c r="O8" s="139">
        <f t="shared" ref="O8:O37" si="0">H8+J8+K8+L8+M8+N8</f>
        <v>2740000</v>
      </c>
      <c r="P8" s="139">
        <v>12090909</v>
      </c>
      <c r="Q8" s="139">
        <f t="shared" ref="Q8:Q37" si="1">P8-O8</f>
        <v>9350909</v>
      </c>
      <c r="R8" s="217"/>
      <c r="S8" s="215"/>
      <c r="T8" s="215"/>
    </row>
    <row r="9" spans="1:20" s="144" customFormat="1" ht="24.95" customHeight="1" x14ac:dyDescent="0.2">
      <c r="A9" s="211">
        <v>3</v>
      </c>
      <c r="B9" s="191">
        <v>43254</v>
      </c>
      <c r="C9" s="138" t="s">
        <v>1770</v>
      </c>
      <c r="D9" s="138" t="s">
        <v>1771</v>
      </c>
      <c r="E9" s="146" t="s">
        <v>661</v>
      </c>
      <c r="F9" s="138"/>
      <c r="G9" s="138">
        <v>340</v>
      </c>
      <c r="H9" s="139">
        <v>6014600</v>
      </c>
      <c r="I9" s="138"/>
      <c r="J9" s="226">
        <v>610000</v>
      </c>
      <c r="K9" s="141"/>
      <c r="L9" s="150"/>
      <c r="M9" s="141"/>
      <c r="N9" s="141"/>
      <c r="O9" s="139">
        <f t="shared" si="0"/>
        <v>6624600</v>
      </c>
      <c r="P9" s="139">
        <v>4009091</v>
      </c>
      <c r="Q9" s="139">
        <f t="shared" si="1"/>
        <v>-2615509</v>
      </c>
      <c r="R9" s="217"/>
      <c r="S9" s="215"/>
      <c r="T9" s="215"/>
    </row>
    <row r="10" spans="1:20" s="144" customFormat="1" ht="24.95" customHeight="1" x14ac:dyDescent="0.2">
      <c r="A10" s="211">
        <v>4</v>
      </c>
      <c r="B10" s="191">
        <v>43255</v>
      </c>
      <c r="C10" s="138" t="s">
        <v>1772</v>
      </c>
      <c r="D10" s="138" t="s">
        <v>1773</v>
      </c>
      <c r="E10" s="146" t="s">
        <v>1774</v>
      </c>
      <c r="F10" s="138"/>
      <c r="G10" s="138"/>
      <c r="H10" s="139"/>
      <c r="I10" s="138"/>
      <c r="J10" s="226">
        <v>610000</v>
      </c>
      <c r="K10" s="141"/>
      <c r="L10" s="150"/>
      <c r="M10" s="141"/>
      <c r="N10" s="141"/>
      <c r="O10" s="139">
        <f t="shared" si="0"/>
        <v>610000</v>
      </c>
      <c r="P10" s="139">
        <v>4318182</v>
      </c>
      <c r="Q10" s="139">
        <f t="shared" si="1"/>
        <v>3708182</v>
      </c>
      <c r="R10" s="217"/>
      <c r="S10" s="215"/>
      <c r="T10" s="215"/>
    </row>
    <row r="11" spans="1:20" s="144" customFormat="1" ht="24.95" customHeight="1" x14ac:dyDescent="0.2">
      <c r="A11" s="211">
        <v>5</v>
      </c>
      <c r="B11" s="191">
        <v>43256</v>
      </c>
      <c r="C11" s="138" t="s">
        <v>418</v>
      </c>
      <c r="D11" s="138" t="s">
        <v>1775</v>
      </c>
      <c r="E11" s="146" t="s">
        <v>1428</v>
      </c>
      <c r="F11" s="138"/>
      <c r="G11" s="138"/>
      <c r="H11" s="139"/>
      <c r="I11" s="138"/>
      <c r="J11" s="226">
        <v>1110000</v>
      </c>
      <c r="K11" s="141"/>
      <c r="L11" s="150"/>
      <c r="M11" s="141"/>
      <c r="N11" s="141"/>
      <c r="O11" s="139">
        <f t="shared" si="0"/>
        <v>1110000</v>
      </c>
      <c r="P11" s="139">
        <v>4800000</v>
      </c>
      <c r="Q11" s="139">
        <f t="shared" si="1"/>
        <v>3690000</v>
      </c>
      <c r="R11" s="217"/>
      <c r="S11" s="215"/>
      <c r="T11" s="215"/>
    </row>
    <row r="12" spans="1:20" s="144" customFormat="1" ht="24.95" customHeight="1" x14ac:dyDescent="0.2">
      <c r="A12" s="211">
        <v>6</v>
      </c>
      <c r="B12" s="191">
        <v>43257</v>
      </c>
      <c r="C12" s="138" t="s">
        <v>1776</v>
      </c>
      <c r="D12" s="138" t="s">
        <v>1777</v>
      </c>
      <c r="E12" s="146" t="s">
        <v>1170</v>
      </c>
      <c r="F12" s="138"/>
      <c r="G12" s="138">
        <v>330</v>
      </c>
      <c r="H12" s="139">
        <v>5837700</v>
      </c>
      <c r="I12" s="138"/>
      <c r="J12" s="226">
        <v>2440000</v>
      </c>
      <c r="K12" s="141"/>
      <c r="L12" s="150"/>
      <c r="M12" s="141"/>
      <c r="N12" s="141"/>
      <c r="O12" s="139">
        <f t="shared" si="0"/>
        <v>8277700</v>
      </c>
      <c r="P12" s="139">
        <v>13181818</v>
      </c>
      <c r="Q12" s="139">
        <f t="shared" si="1"/>
        <v>4904118</v>
      </c>
      <c r="R12" s="217"/>
      <c r="S12" s="215"/>
      <c r="T12" s="215"/>
    </row>
    <row r="13" spans="1:20" s="144" customFormat="1" ht="24.95" customHeight="1" x14ac:dyDescent="0.2">
      <c r="A13" s="211">
        <v>7</v>
      </c>
      <c r="B13" s="191">
        <v>43258</v>
      </c>
      <c r="C13" s="138" t="s">
        <v>420</v>
      </c>
      <c r="D13" s="138" t="s">
        <v>1778</v>
      </c>
      <c r="E13" s="146" t="s">
        <v>1779</v>
      </c>
      <c r="F13" s="138"/>
      <c r="G13" s="138"/>
      <c r="H13" s="139"/>
      <c r="I13" s="138"/>
      <c r="J13" s="226">
        <v>920000</v>
      </c>
      <c r="K13" s="141"/>
      <c r="L13" s="150"/>
      <c r="M13" s="141"/>
      <c r="N13" s="141"/>
      <c r="O13" s="139">
        <f t="shared" si="0"/>
        <v>920000</v>
      </c>
      <c r="P13" s="139">
        <v>4700000</v>
      </c>
      <c r="Q13" s="139">
        <f t="shared" si="1"/>
        <v>3780000</v>
      </c>
      <c r="R13" s="217"/>
      <c r="S13" s="215"/>
      <c r="T13" s="215"/>
    </row>
    <row r="14" spans="1:20" s="144" customFormat="1" ht="24.95" customHeight="1" x14ac:dyDescent="0.2">
      <c r="A14" s="211">
        <v>8</v>
      </c>
      <c r="B14" s="191">
        <v>43259</v>
      </c>
      <c r="C14" s="138" t="s">
        <v>1780</v>
      </c>
      <c r="D14" s="138" t="s">
        <v>1781</v>
      </c>
      <c r="E14" s="146" t="s">
        <v>25</v>
      </c>
      <c r="F14" s="138"/>
      <c r="G14" s="138"/>
      <c r="H14" s="139"/>
      <c r="I14" s="138"/>
      <c r="J14" s="226">
        <v>1600000</v>
      </c>
      <c r="K14" s="141"/>
      <c r="L14" s="150"/>
      <c r="M14" s="141"/>
      <c r="N14" s="141"/>
      <c r="O14" s="139">
        <f t="shared" si="0"/>
        <v>1600000</v>
      </c>
      <c r="P14" s="139">
        <v>7227273</v>
      </c>
      <c r="Q14" s="139">
        <f t="shared" si="1"/>
        <v>5627273</v>
      </c>
      <c r="R14" s="217"/>
      <c r="S14" s="215"/>
      <c r="T14" s="215"/>
    </row>
    <row r="15" spans="1:20" s="144" customFormat="1" ht="24.95" customHeight="1" x14ac:dyDescent="0.2">
      <c r="A15" s="211">
        <v>9</v>
      </c>
      <c r="B15" s="191">
        <v>43260</v>
      </c>
      <c r="C15" s="138" t="s">
        <v>1782</v>
      </c>
      <c r="D15" s="138" t="s">
        <v>1783</v>
      </c>
      <c r="E15" s="146" t="s">
        <v>1784</v>
      </c>
      <c r="F15" s="138"/>
      <c r="G15" s="138">
        <v>325</v>
      </c>
      <c r="H15" s="139">
        <v>5749250</v>
      </c>
      <c r="I15" s="138"/>
      <c r="J15" s="226">
        <v>1420000</v>
      </c>
      <c r="K15" s="141"/>
      <c r="L15" s="150"/>
      <c r="M15" s="141"/>
      <c r="N15" s="141"/>
      <c r="O15" s="139">
        <f t="shared" si="0"/>
        <v>7169250</v>
      </c>
      <c r="P15" s="139">
        <v>5300000</v>
      </c>
      <c r="Q15" s="139">
        <f t="shared" si="1"/>
        <v>-1869250</v>
      </c>
      <c r="R15" s="217"/>
      <c r="S15" s="215"/>
      <c r="T15" s="215"/>
    </row>
    <row r="16" spans="1:20" s="144" customFormat="1" ht="24.95" customHeight="1" x14ac:dyDescent="0.2">
      <c r="A16" s="211">
        <v>10</v>
      </c>
      <c r="B16" s="191">
        <v>43262</v>
      </c>
      <c r="C16" s="138" t="s">
        <v>1126</v>
      </c>
      <c r="D16" s="138" t="s">
        <v>1065</v>
      </c>
      <c r="E16" s="146" t="s">
        <v>948</v>
      </c>
      <c r="F16" s="138"/>
      <c r="G16" s="138">
        <v>290</v>
      </c>
      <c r="H16" s="139">
        <v>5130100</v>
      </c>
      <c r="I16" s="138"/>
      <c r="J16" s="226">
        <v>1250000</v>
      </c>
      <c r="K16" s="141"/>
      <c r="L16" s="150"/>
      <c r="M16" s="141"/>
      <c r="N16" s="141"/>
      <c r="O16" s="139">
        <f t="shared" si="0"/>
        <v>6380100</v>
      </c>
      <c r="P16" s="139">
        <v>4800000</v>
      </c>
      <c r="Q16" s="139">
        <f t="shared" si="1"/>
        <v>-1580100</v>
      </c>
      <c r="R16" s="217"/>
      <c r="S16" s="215"/>
      <c r="T16" s="215"/>
    </row>
    <row r="17" spans="1:20" s="144" customFormat="1" ht="24.95" customHeight="1" x14ac:dyDescent="0.2">
      <c r="A17" s="211">
        <v>11</v>
      </c>
      <c r="B17" s="191">
        <v>43263</v>
      </c>
      <c r="C17" s="138" t="s">
        <v>1785</v>
      </c>
      <c r="D17" s="138" t="s">
        <v>1786</v>
      </c>
      <c r="E17" s="146" t="s">
        <v>279</v>
      </c>
      <c r="F17" s="138"/>
      <c r="G17" s="138"/>
      <c r="H17" s="139"/>
      <c r="I17" s="138"/>
      <c r="J17" s="226">
        <v>2250000</v>
      </c>
      <c r="K17" s="141"/>
      <c r="L17" s="150"/>
      <c r="M17" s="141"/>
      <c r="N17" s="141"/>
      <c r="O17" s="139">
        <f t="shared" si="0"/>
        <v>2250000</v>
      </c>
      <c r="P17" s="139">
        <v>9545455</v>
      </c>
      <c r="Q17" s="139">
        <f t="shared" si="1"/>
        <v>7295455</v>
      </c>
      <c r="R17" s="217"/>
      <c r="S17" s="215"/>
      <c r="T17" s="215"/>
    </row>
    <row r="18" spans="1:20" s="144" customFormat="1" ht="24.95" customHeight="1" x14ac:dyDescent="0.2">
      <c r="A18" s="211">
        <v>12</v>
      </c>
      <c r="B18" s="191">
        <v>43264</v>
      </c>
      <c r="C18" s="138" t="s">
        <v>1787</v>
      </c>
      <c r="D18" s="138" t="s">
        <v>1788</v>
      </c>
      <c r="E18" s="146" t="s">
        <v>1789</v>
      </c>
      <c r="F18" s="138"/>
      <c r="G18" s="138">
        <v>300</v>
      </c>
      <c r="H18" s="139">
        <v>5307000</v>
      </c>
      <c r="I18" s="138"/>
      <c r="J18" s="226">
        <f>970000+400000+250000</f>
        <v>1620000</v>
      </c>
      <c r="K18" s="141"/>
      <c r="L18" s="150"/>
      <c r="M18" s="141"/>
      <c r="N18" s="141"/>
      <c r="O18" s="139">
        <f t="shared" si="0"/>
        <v>6927000</v>
      </c>
      <c r="P18" s="208">
        <v>5350000</v>
      </c>
      <c r="Q18" s="139">
        <f t="shared" si="1"/>
        <v>-1577000</v>
      </c>
      <c r="R18" s="217" t="s">
        <v>1790</v>
      </c>
      <c r="S18" s="215"/>
      <c r="T18" s="215"/>
    </row>
    <row r="19" spans="1:20" s="144" customFormat="1" ht="24.95" customHeight="1" x14ac:dyDescent="0.2">
      <c r="A19" s="211">
        <v>13</v>
      </c>
      <c r="B19" s="191">
        <v>43265</v>
      </c>
      <c r="C19" s="138" t="s">
        <v>1791</v>
      </c>
      <c r="D19" s="138" t="s">
        <v>1792</v>
      </c>
      <c r="E19" s="146" t="s">
        <v>259</v>
      </c>
      <c r="F19" s="138"/>
      <c r="G19" s="138"/>
      <c r="H19" s="139"/>
      <c r="I19" s="138"/>
      <c r="J19" s="226">
        <v>970000</v>
      </c>
      <c r="K19" s="141"/>
      <c r="L19" s="150"/>
      <c r="M19" s="141"/>
      <c r="N19" s="141"/>
      <c r="O19" s="139">
        <f t="shared" si="0"/>
        <v>970000</v>
      </c>
      <c r="P19" s="139">
        <v>3900000</v>
      </c>
      <c r="Q19" s="139">
        <f t="shared" si="1"/>
        <v>2930000</v>
      </c>
      <c r="R19" s="217"/>
      <c r="S19" s="215"/>
      <c r="T19" s="215"/>
    </row>
    <row r="20" spans="1:20" s="144" customFormat="1" ht="24.95" customHeight="1" x14ac:dyDescent="0.2">
      <c r="A20" s="211">
        <v>14</v>
      </c>
      <c r="B20" s="191">
        <v>43266</v>
      </c>
      <c r="C20" s="138" t="s">
        <v>1793</v>
      </c>
      <c r="D20" s="138" t="s">
        <v>1794</v>
      </c>
      <c r="E20" s="146" t="s">
        <v>298</v>
      </c>
      <c r="F20" s="138"/>
      <c r="G20" s="138"/>
      <c r="H20" s="139"/>
      <c r="I20" s="138"/>
      <c r="J20" s="226">
        <v>970000</v>
      </c>
      <c r="K20" s="141"/>
      <c r="L20" s="150"/>
      <c r="M20" s="141"/>
      <c r="N20" s="141"/>
      <c r="O20" s="139">
        <f t="shared" si="0"/>
        <v>970000</v>
      </c>
      <c r="P20" s="141">
        <v>3700000</v>
      </c>
      <c r="Q20" s="139">
        <f t="shared" si="1"/>
        <v>2730000</v>
      </c>
      <c r="R20" s="217"/>
      <c r="S20" s="215"/>
      <c r="T20" s="215"/>
    </row>
    <row r="21" spans="1:20" s="144" customFormat="1" ht="24.95" customHeight="1" x14ac:dyDescent="0.2">
      <c r="A21" s="211">
        <v>15</v>
      </c>
      <c r="B21" s="191">
        <v>43268</v>
      </c>
      <c r="C21" s="138" t="s">
        <v>365</v>
      </c>
      <c r="D21" s="138" t="s">
        <v>1795</v>
      </c>
      <c r="E21" s="146" t="s">
        <v>1796</v>
      </c>
      <c r="F21" s="138"/>
      <c r="G21" s="138">
        <v>316</v>
      </c>
      <c r="H21" s="139">
        <v>5590040</v>
      </c>
      <c r="I21" s="138"/>
      <c r="J21" s="226">
        <v>1510000</v>
      </c>
      <c r="K21" s="141"/>
      <c r="L21" s="150"/>
      <c r="M21" s="141"/>
      <c r="N21" s="141"/>
      <c r="O21" s="139">
        <f t="shared" si="0"/>
        <v>7100040</v>
      </c>
      <c r="P21" s="139">
        <v>5200000</v>
      </c>
      <c r="Q21" s="139">
        <f t="shared" si="1"/>
        <v>-1900040</v>
      </c>
      <c r="R21" s="217"/>
      <c r="S21" s="215"/>
      <c r="T21" s="215"/>
    </row>
    <row r="22" spans="1:20" s="144" customFormat="1" ht="24.95" customHeight="1" x14ac:dyDescent="0.2">
      <c r="A22" s="211">
        <v>16</v>
      </c>
      <c r="B22" s="191">
        <v>43269</v>
      </c>
      <c r="C22" s="138" t="s">
        <v>366</v>
      </c>
      <c r="D22" s="138" t="s">
        <v>1797</v>
      </c>
      <c r="E22" s="146" t="s">
        <v>259</v>
      </c>
      <c r="F22" s="138"/>
      <c r="G22" s="138"/>
      <c r="H22" s="139"/>
      <c r="I22" s="138"/>
      <c r="J22" s="226">
        <v>970000</v>
      </c>
      <c r="K22" s="141"/>
      <c r="L22" s="150"/>
      <c r="M22" s="141"/>
      <c r="N22" s="141"/>
      <c r="O22" s="139">
        <f t="shared" si="0"/>
        <v>970000</v>
      </c>
      <c r="P22" s="141">
        <v>3800000</v>
      </c>
      <c r="Q22" s="139">
        <f t="shared" si="1"/>
        <v>2830000</v>
      </c>
      <c r="R22" s="217"/>
      <c r="S22" s="215"/>
      <c r="T22" s="215"/>
    </row>
    <row r="23" spans="1:20" s="144" customFormat="1" ht="24.95" customHeight="1" x14ac:dyDescent="0.2">
      <c r="A23" s="211">
        <v>17</v>
      </c>
      <c r="B23" s="191">
        <v>43270</v>
      </c>
      <c r="C23" s="138" t="s">
        <v>1798</v>
      </c>
      <c r="D23" s="138" t="s">
        <v>1799</v>
      </c>
      <c r="E23" s="146" t="s">
        <v>1800</v>
      </c>
      <c r="F23" s="138"/>
      <c r="G23" s="138">
        <v>230</v>
      </c>
      <c r="H23" s="139">
        <v>4068700</v>
      </c>
      <c r="I23" s="138"/>
      <c r="J23" s="229">
        <f>950000-150000</f>
        <v>800000</v>
      </c>
      <c r="K23" s="141"/>
      <c r="L23" s="150"/>
      <c r="M23" s="141"/>
      <c r="N23" s="141"/>
      <c r="O23" s="139">
        <f t="shared" si="0"/>
        <v>4868700</v>
      </c>
      <c r="P23" s="139">
        <v>4272727</v>
      </c>
      <c r="Q23" s="139">
        <f t="shared" si="1"/>
        <v>-595973</v>
      </c>
      <c r="R23" s="217"/>
      <c r="S23" s="215"/>
      <c r="T23" s="215"/>
    </row>
    <row r="24" spans="1:20" s="144" customFormat="1" ht="24.95" customHeight="1" x14ac:dyDescent="0.2">
      <c r="A24" s="211">
        <v>18</v>
      </c>
      <c r="B24" s="191">
        <v>43271</v>
      </c>
      <c r="C24" s="138" t="s">
        <v>369</v>
      </c>
      <c r="D24" s="138" t="s">
        <v>1801</v>
      </c>
      <c r="E24" s="146" t="s">
        <v>1565</v>
      </c>
      <c r="F24" s="138"/>
      <c r="G24" s="138">
        <v>240</v>
      </c>
      <c r="H24" s="139">
        <v>4245600</v>
      </c>
      <c r="I24" s="138"/>
      <c r="J24" s="226">
        <f>1420000+90000</f>
        <v>1510000</v>
      </c>
      <c r="K24" s="141"/>
      <c r="L24" s="150"/>
      <c r="M24" s="141"/>
      <c r="N24" s="141"/>
      <c r="O24" s="139">
        <f t="shared" si="0"/>
        <v>5755600</v>
      </c>
      <c r="P24" s="139">
        <v>5300000</v>
      </c>
      <c r="Q24" s="139">
        <f t="shared" si="1"/>
        <v>-455600</v>
      </c>
      <c r="R24" s="217"/>
      <c r="S24" s="215"/>
      <c r="T24" s="215"/>
    </row>
    <row r="25" spans="1:20" s="144" customFormat="1" ht="24.95" customHeight="1" x14ac:dyDescent="0.2">
      <c r="A25" s="211">
        <v>19</v>
      </c>
      <c r="B25" s="191">
        <v>43273</v>
      </c>
      <c r="C25" s="138" t="s">
        <v>1802</v>
      </c>
      <c r="D25" s="138" t="s">
        <v>1803</v>
      </c>
      <c r="E25" s="146" t="s">
        <v>1804</v>
      </c>
      <c r="F25" s="138"/>
      <c r="G25" s="138"/>
      <c r="H25" s="139"/>
      <c r="I25" s="138"/>
      <c r="J25" s="226">
        <v>1510000</v>
      </c>
      <c r="K25" s="141"/>
      <c r="L25" s="150"/>
      <c r="M25" s="141"/>
      <c r="N25" s="141"/>
      <c r="O25" s="139">
        <f t="shared" si="0"/>
        <v>1510000</v>
      </c>
      <c r="P25" s="139">
        <v>5300000</v>
      </c>
      <c r="Q25" s="139">
        <f t="shared" si="1"/>
        <v>3790000</v>
      </c>
      <c r="R25" s="217"/>
      <c r="S25" s="215"/>
      <c r="T25" s="215"/>
    </row>
    <row r="26" spans="1:20" s="144" customFormat="1" ht="24.95" customHeight="1" x14ac:dyDescent="0.2">
      <c r="A26" s="211">
        <v>20</v>
      </c>
      <c r="B26" s="191">
        <v>43273</v>
      </c>
      <c r="C26" s="138" t="s">
        <v>1136</v>
      </c>
      <c r="D26" s="138" t="s">
        <v>1805</v>
      </c>
      <c r="E26" s="146" t="s">
        <v>298</v>
      </c>
      <c r="F26" s="138"/>
      <c r="G26" s="138">
        <v>220</v>
      </c>
      <c r="H26" s="139">
        <v>3841200</v>
      </c>
      <c r="I26" s="138"/>
      <c r="J26" s="226">
        <v>970000</v>
      </c>
      <c r="K26" s="141"/>
      <c r="L26" s="150"/>
      <c r="M26" s="141"/>
      <c r="N26" s="141"/>
      <c r="O26" s="139">
        <f t="shared" si="0"/>
        <v>4811200</v>
      </c>
      <c r="P26" s="139">
        <v>3700000</v>
      </c>
      <c r="Q26" s="139">
        <f t="shared" si="1"/>
        <v>-1111200</v>
      </c>
      <c r="R26" s="217"/>
      <c r="S26" s="215"/>
      <c r="T26" s="215"/>
    </row>
    <row r="27" spans="1:20" s="144" customFormat="1" ht="24.95" customHeight="1" x14ac:dyDescent="0.2">
      <c r="A27" s="211">
        <v>21</v>
      </c>
      <c r="B27" s="191">
        <v>43276</v>
      </c>
      <c r="C27" s="138" t="s">
        <v>1806</v>
      </c>
      <c r="D27" s="138" t="s">
        <v>1807</v>
      </c>
      <c r="E27" s="146" t="s">
        <v>1779</v>
      </c>
      <c r="F27" s="138"/>
      <c r="G27" s="138"/>
      <c r="H27" s="139"/>
      <c r="I27" s="138"/>
      <c r="J27" s="226">
        <v>1100000</v>
      </c>
      <c r="K27" s="141"/>
      <c r="L27" s="150"/>
      <c r="M27" s="141"/>
      <c r="N27" s="141"/>
      <c r="O27" s="139">
        <f t="shared" si="0"/>
        <v>1100000</v>
      </c>
      <c r="P27" s="139">
        <v>6700000</v>
      </c>
      <c r="Q27" s="139">
        <f t="shared" si="1"/>
        <v>5600000</v>
      </c>
      <c r="R27" s="217"/>
      <c r="S27" s="215"/>
      <c r="T27" s="215"/>
    </row>
    <row r="28" spans="1:20" s="144" customFormat="1" ht="24.95" customHeight="1" x14ac:dyDescent="0.2">
      <c r="A28" s="211">
        <v>22</v>
      </c>
      <c r="B28" s="191">
        <v>43278</v>
      </c>
      <c r="C28" s="138" t="s">
        <v>1808</v>
      </c>
      <c r="D28" s="138" t="s">
        <v>1809</v>
      </c>
      <c r="E28" s="146" t="s">
        <v>259</v>
      </c>
      <c r="F28" s="138"/>
      <c r="G28" s="138"/>
      <c r="H28" s="139"/>
      <c r="I28" s="138"/>
      <c r="J28" s="226">
        <v>970000</v>
      </c>
      <c r="K28" s="141"/>
      <c r="L28" s="150"/>
      <c r="M28" s="141"/>
      <c r="N28" s="141"/>
      <c r="O28" s="139">
        <f t="shared" si="0"/>
        <v>970000</v>
      </c>
      <c r="P28" s="139">
        <v>3900000</v>
      </c>
      <c r="Q28" s="139">
        <f t="shared" si="1"/>
        <v>2930000</v>
      </c>
      <c r="R28" s="217"/>
      <c r="S28" s="215"/>
      <c r="T28" s="215"/>
    </row>
    <row r="29" spans="1:20" s="144" customFormat="1" ht="24.95" customHeight="1" x14ac:dyDescent="0.2">
      <c r="A29" s="211">
        <v>23</v>
      </c>
      <c r="B29" s="191">
        <v>43279</v>
      </c>
      <c r="C29" s="138" t="s">
        <v>1810</v>
      </c>
      <c r="D29" s="138" t="s">
        <v>1811</v>
      </c>
      <c r="E29" s="146" t="s">
        <v>201</v>
      </c>
      <c r="F29" s="138"/>
      <c r="G29" s="138"/>
      <c r="H29" s="139"/>
      <c r="I29" s="138"/>
      <c r="J29" s="226">
        <v>650000</v>
      </c>
      <c r="K29" s="141"/>
      <c r="L29" s="150"/>
      <c r="M29" s="141"/>
      <c r="N29" s="141"/>
      <c r="O29" s="139">
        <f t="shared" si="0"/>
        <v>650000</v>
      </c>
      <c r="P29" s="139">
        <v>3100000</v>
      </c>
      <c r="Q29" s="139">
        <f t="shared" si="1"/>
        <v>2450000</v>
      </c>
      <c r="R29" s="217"/>
      <c r="S29" s="215"/>
      <c r="T29" s="215"/>
    </row>
    <row r="30" spans="1:20" s="144" customFormat="1" ht="24.95" customHeight="1" x14ac:dyDescent="0.2">
      <c r="A30" s="211">
        <v>24</v>
      </c>
      <c r="B30" s="191">
        <v>43280</v>
      </c>
      <c r="C30" s="138" t="s">
        <v>378</v>
      </c>
      <c r="D30" s="138" t="s">
        <v>1812</v>
      </c>
      <c r="E30" s="146" t="s">
        <v>1813</v>
      </c>
      <c r="F30" s="138"/>
      <c r="G30" s="138">
        <v>280</v>
      </c>
      <c r="H30" s="139">
        <v>4888800</v>
      </c>
      <c r="I30" s="138"/>
      <c r="J30" s="226">
        <v>1460000</v>
      </c>
      <c r="K30" s="141"/>
      <c r="L30" s="150"/>
      <c r="M30" s="141"/>
      <c r="N30" s="141"/>
      <c r="O30" s="139">
        <f t="shared" si="0"/>
        <v>6348800</v>
      </c>
      <c r="P30" s="139">
        <v>5000000</v>
      </c>
      <c r="Q30" s="139">
        <f t="shared" si="1"/>
        <v>-1348800</v>
      </c>
      <c r="R30" s="217"/>
      <c r="S30" s="215"/>
      <c r="T30" s="215"/>
    </row>
    <row r="31" spans="1:20" s="144" customFormat="1" ht="24.95" customHeight="1" x14ac:dyDescent="0.2">
      <c r="A31" s="211"/>
      <c r="B31" s="191"/>
      <c r="C31" s="138"/>
      <c r="D31" s="138"/>
      <c r="E31" s="146"/>
      <c r="F31" s="138"/>
      <c r="G31" s="138"/>
      <c r="H31" s="139"/>
      <c r="I31" s="138"/>
      <c r="J31" s="141"/>
      <c r="K31" s="141"/>
      <c r="L31" s="150"/>
      <c r="M31" s="141"/>
      <c r="N31" s="141"/>
      <c r="O31" s="139"/>
      <c r="P31" s="139"/>
      <c r="Q31" s="139"/>
      <c r="R31" s="217"/>
      <c r="S31" s="215"/>
      <c r="T31" s="215"/>
    </row>
    <row r="32" spans="1:20" s="144" customFormat="1" ht="24.95" customHeight="1" x14ac:dyDescent="0.2">
      <c r="A32" s="211"/>
      <c r="C32" s="138"/>
      <c r="D32" s="138"/>
      <c r="E32" s="146"/>
      <c r="F32" s="138"/>
      <c r="G32" s="138"/>
      <c r="H32" s="139"/>
      <c r="I32" s="138"/>
      <c r="J32" s="141"/>
      <c r="K32" s="141"/>
      <c r="L32" s="150"/>
      <c r="M32" s="141"/>
      <c r="N32" s="141"/>
      <c r="O32" s="139">
        <f t="shared" si="0"/>
        <v>0</v>
      </c>
      <c r="P32" s="139"/>
      <c r="Q32" s="139">
        <f t="shared" si="1"/>
        <v>0</v>
      </c>
      <c r="R32" s="217"/>
      <c r="S32" s="215"/>
      <c r="T32" s="215"/>
    </row>
    <row r="33" spans="1:20" s="144" customFormat="1" ht="24.95" customHeight="1" x14ac:dyDescent="0.2">
      <c r="A33" s="211"/>
      <c r="C33" s="221" t="s">
        <v>1814</v>
      </c>
      <c r="D33" s="220"/>
      <c r="E33" s="221"/>
      <c r="F33" s="220"/>
      <c r="G33" s="220"/>
      <c r="H33" s="219"/>
      <c r="I33" s="220"/>
      <c r="J33" s="157"/>
      <c r="K33" s="157"/>
      <c r="L33" s="157">
        <v>200000</v>
      </c>
      <c r="M33" s="157"/>
      <c r="N33" s="141"/>
      <c r="O33" s="139">
        <f t="shared" si="0"/>
        <v>200000</v>
      </c>
      <c r="P33" s="139"/>
      <c r="Q33" s="139">
        <f t="shared" si="1"/>
        <v>-200000</v>
      </c>
      <c r="R33" s="217"/>
      <c r="S33" s="215"/>
      <c r="T33" s="215"/>
    </row>
    <row r="34" spans="1:20" s="144" customFormat="1" ht="24.95" customHeight="1" x14ac:dyDescent="0.2">
      <c r="A34" s="211"/>
      <c r="C34" s="221" t="s">
        <v>1815</v>
      </c>
      <c r="D34" s="220"/>
      <c r="E34" s="221"/>
      <c r="F34" s="220"/>
      <c r="G34" s="220"/>
      <c r="H34" s="219"/>
      <c r="I34" s="220"/>
      <c r="J34" s="157"/>
      <c r="K34" s="157"/>
      <c r="L34" s="157">
        <v>1000000</v>
      </c>
      <c r="M34" s="157"/>
      <c r="N34" s="157"/>
      <c r="O34" s="139">
        <f t="shared" si="0"/>
        <v>1000000</v>
      </c>
      <c r="P34" s="139"/>
      <c r="Q34" s="139">
        <f t="shared" si="1"/>
        <v>-1000000</v>
      </c>
      <c r="R34" s="217"/>
      <c r="S34" s="215"/>
      <c r="T34" s="215"/>
    </row>
    <row r="35" spans="1:20" s="144" customFormat="1" ht="24.95" customHeight="1" x14ac:dyDescent="0.2">
      <c r="A35" s="211"/>
      <c r="B35" s="191"/>
      <c r="C35" s="221" t="s">
        <v>1816</v>
      </c>
      <c r="D35" s="220"/>
      <c r="E35" s="221"/>
      <c r="F35" s="220"/>
      <c r="G35" s="220"/>
      <c r="H35" s="219"/>
      <c r="I35" s="220"/>
      <c r="J35" s="157"/>
      <c r="L35" s="157">
        <v>1260000</v>
      </c>
      <c r="M35" s="157"/>
      <c r="N35" s="141"/>
      <c r="O35" s="139">
        <f t="shared" si="0"/>
        <v>1260000</v>
      </c>
      <c r="P35" s="139"/>
      <c r="Q35" s="139">
        <f t="shared" si="1"/>
        <v>-1260000</v>
      </c>
      <c r="R35" s="217"/>
      <c r="S35" s="215"/>
      <c r="T35" s="215"/>
    </row>
    <row r="36" spans="1:20" s="159" customFormat="1" ht="24.95" customHeight="1" x14ac:dyDescent="0.25">
      <c r="A36" s="211"/>
      <c r="B36" s="165"/>
      <c r="C36" s="196" t="s">
        <v>1337</v>
      </c>
      <c r="D36" s="195"/>
      <c r="E36" s="197"/>
      <c r="F36" s="195"/>
      <c r="G36" s="195"/>
      <c r="H36" s="155"/>
      <c r="I36" s="195"/>
      <c r="J36" s="155"/>
      <c r="K36" s="157">
        <v>9346154</v>
      </c>
      <c r="L36" s="155"/>
      <c r="M36" s="155"/>
      <c r="N36" s="155"/>
      <c r="O36" s="139">
        <f t="shared" si="0"/>
        <v>9346154</v>
      </c>
      <c r="P36" s="139"/>
      <c r="Q36" s="139">
        <f t="shared" si="1"/>
        <v>-9346154</v>
      </c>
      <c r="S36" s="215"/>
      <c r="T36" s="215"/>
    </row>
    <row r="37" spans="1:20" s="159" customFormat="1" ht="24.95" customHeight="1" x14ac:dyDescent="0.25">
      <c r="A37" s="211"/>
      <c r="B37" s="203"/>
      <c r="C37" s="152" t="s">
        <v>1094</v>
      </c>
      <c r="D37" s="153"/>
      <c r="E37" s="154"/>
      <c r="F37" s="153"/>
      <c r="G37" s="153"/>
      <c r="H37" s="156"/>
      <c r="I37" s="153"/>
      <c r="J37" s="156"/>
      <c r="K37" s="204">
        <f>1200000*1.1</f>
        <v>1320000</v>
      </c>
      <c r="L37" s="204"/>
      <c r="M37" s="156"/>
      <c r="N37" s="156"/>
      <c r="O37" s="139">
        <f t="shared" si="0"/>
        <v>1320000</v>
      </c>
      <c r="P37" s="139"/>
      <c r="Q37" s="139">
        <f t="shared" si="1"/>
        <v>-1320000</v>
      </c>
      <c r="R37" s="186"/>
      <c r="S37" s="215"/>
      <c r="T37" s="215"/>
    </row>
    <row r="38" spans="1:20" ht="24.95" customHeight="1" x14ac:dyDescent="0.25">
      <c r="A38" s="426" t="s">
        <v>20</v>
      </c>
      <c r="B38" s="426"/>
      <c r="C38" s="426"/>
      <c r="D38" s="426"/>
      <c r="E38" s="426"/>
      <c r="F38" s="426"/>
      <c r="G38" s="161">
        <f t="shared" ref="G38:Q38" si="2">SUM(G7:G37)</f>
        <v>2871</v>
      </c>
      <c r="H38" s="161">
        <f t="shared" si="2"/>
        <v>50672990</v>
      </c>
      <c r="I38" s="161">
        <f t="shared" si="2"/>
        <v>0</v>
      </c>
      <c r="J38" s="161">
        <f t="shared" si="2"/>
        <v>30160000</v>
      </c>
      <c r="K38" s="161">
        <f t="shared" si="2"/>
        <v>10666154</v>
      </c>
      <c r="L38" s="161">
        <f t="shared" si="2"/>
        <v>2460000</v>
      </c>
      <c r="M38" s="161">
        <f t="shared" si="2"/>
        <v>0</v>
      </c>
      <c r="N38" s="161">
        <f t="shared" si="2"/>
        <v>0</v>
      </c>
      <c r="O38" s="161">
        <f t="shared" si="2"/>
        <v>93959144</v>
      </c>
      <c r="P38" s="161">
        <f t="shared" si="2"/>
        <v>130695455</v>
      </c>
      <c r="Q38" s="161">
        <f t="shared" si="2"/>
        <v>36736311</v>
      </c>
      <c r="R38" s="187"/>
      <c r="S38" s="189"/>
    </row>
    <row r="39" spans="1:20" ht="24.95" customHeight="1" x14ac:dyDescent="0.25">
      <c r="O39" s="158"/>
      <c r="Q39" s="158"/>
    </row>
    <row r="40" spans="1:20" ht="24.95" customHeight="1" x14ac:dyDescent="0.25">
      <c r="P40" s="216" t="s">
        <v>1603</v>
      </c>
      <c r="Q40" s="227">
        <f>'05-2018'!Q46+'06-2018'!Q38</f>
        <v>123846518</v>
      </c>
    </row>
    <row r="41" spans="1:20" ht="24.95" customHeight="1" x14ac:dyDescent="0.25">
      <c r="B41" s="129"/>
      <c r="H41" s="128"/>
      <c r="J41" s="128"/>
      <c r="K41" s="128"/>
      <c r="L41" s="128"/>
      <c r="M41" s="128"/>
      <c r="N41" s="128"/>
      <c r="O41" s="128"/>
      <c r="P41" s="218"/>
      <c r="Q41" s="216"/>
    </row>
    <row r="42" spans="1:20" ht="24.95" customHeight="1" x14ac:dyDescent="0.25">
      <c r="B42" s="129"/>
      <c r="H42" s="128"/>
      <c r="J42" s="128"/>
      <c r="K42" s="128"/>
      <c r="L42" s="128"/>
      <c r="M42" s="128"/>
      <c r="N42" s="128"/>
      <c r="O42" s="128"/>
      <c r="P42" s="218"/>
      <c r="Q42" s="230"/>
    </row>
    <row r="43" spans="1:20" ht="24.95" customHeight="1" x14ac:dyDescent="0.25">
      <c r="B43" s="129"/>
      <c r="H43" s="128"/>
      <c r="J43" s="128"/>
      <c r="K43" s="128"/>
      <c r="L43" s="128"/>
      <c r="M43" s="128"/>
      <c r="N43" s="128"/>
      <c r="O43" s="128"/>
      <c r="P43" s="218"/>
      <c r="Q43" s="230"/>
    </row>
    <row r="44" spans="1:20" ht="24.95" customHeight="1" x14ac:dyDescent="0.25">
      <c r="B44" s="129"/>
      <c r="H44" s="128"/>
      <c r="J44" s="128"/>
      <c r="K44" s="128"/>
      <c r="L44" s="128"/>
      <c r="M44" s="128"/>
      <c r="N44" s="128"/>
      <c r="O44" s="128"/>
      <c r="P44" s="218"/>
      <c r="Q44" s="216"/>
    </row>
    <row r="45" spans="1:20" x14ac:dyDescent="0.25">
      <c r="B45" s="129"/>
      <c r="H45" s="128"/>
      <c r="J45" s="128"/>
      <c r="K45" s="128"/>
      <c r="L45" s="128"/>
      <c r="M45" s="128"/>
      <c r="N45" s="128"/>
      <c r="O45" s="128"/>
      <c r="P45" s="218"/>
      <c r="Q45" s="216"/>
    </row>
    <row r="46" spans="1:20" x14ac:dyDescent="0.25">
      <c r="A46" s="128"/>
      <c r="B46" s="129"/>
      <c r="H46" s="128"/>
      <c r="J46" s="128"/>
      <c r="K46" s="128"/>
      <c r="L46" s="128"/>
      <c r="M46" s="128"/>
      <c r="N46" s="128"/>
      <c r="O46" s="128"/>
      <c r="P46" s="218"/>
      <c r="Q46" s="216"/>
    </row>
    <row r="47" spans="1:20" x14ac:dyDescent="0.25">
      <c r="A47" s="128"/>
      <c r="B47" s="129"/>
      <c r="H47" s="128"/>
      <c r="J47" s="128"/>
      <c r="K47" s="128"/>
      <c r="L47" s="128"/>
      <c r="M47" s="128"/>
      <c r="N47" s="128"/>
      <c r="O47" s="128"/>
      <c r="P47" s="128"/>
      <c r="Q47" s="216"/>
    </row>
    <row r="48" spans="1:20" x14ac:dyDescent="0.25">
      <c r="A48" s="128"/>
      <c r="B48" s="128"/>
      <c r="H48" s="128"/>
      <c r="J48" s="128"/>
      <c r="K48" s="128"/>
      <c r="L48" s="128"/>
      <c r="M48" s="128"/>
      <c r="N48" s="128"/>
      <c r="O48" s="128"/>
      <c r="P48" s="128"/>
      <c r="Q48" s="216"/>
    </row>
    <row r="49" spans="17:17" s="128" customFormat="1" x14ac:dyDescent="0.25">
      <c r="Q49" s="216"/>
    </row>
  </sheetData>
  <mergeCells count="14">
    <mergeCell ref="O5:O6"/>
    <mergeCell ref="P5:P6"/>
    <mergeCell ref="Q5:Q6"/>
    <mergeCell ref="A38:F38"/>
    <mergeCell ref="A1:Q1"/>
    <mergeCell ref="A2:Q2"/>
    <mergeCell ref="B3:Q3"/>
    <mergeCell ref="A5:A6"/>
    <mergeCell ref="B5:B6"/>
    <mergeCell ref="C5:C6"/>
    <mergeCell ref="D5:D6"/>
    <mergeCell ref="E5:E6"/>
    <mergeCell ref="F5:F6"/>
    <mergeCell ref="G5:N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4"/>
  <sheetViews>
    <sheetView topLeftCell="E32" workbookViewId="0">
      <selection activeCell="H7" sqref="H7:N42"/>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1817</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43282</v>
      </c>
      <c r="C7" s="138" t="s">
        <v>1818</v>
      </c>
      <c r="D7" s="138" t="s">
        <v>1840</v>
      </c>
      <c r="E7" s="146" t="s">
        <v>1864</v>
      </c>
      <c r="F7" s="138"/>
      <c r="G7" s="138"/>
      <c r="H7" s="139"/>
      <c r="I7" s="138"/>
      <c r="J7" s="226">
        <f>1510000+90000</f>
        <v>1600000</v>
      </c>
      <c r="K7" s="141"/>
      <c r="L7" s="150"/>
      <c r="M7" s="141"/>
      <c r="N7" s="141"/>
      <c r="O7" s="139">
        <f>H7+J7+K7+L7+M7+N7</f>
        <v>1600000</v>
      </c>
      <c r="P7" s="139">
        <v>5200000</v>
      </c>
      <c r="Q7" s="139">
        <f>P7-O7</f>
        <v>3600000</v>
      </c>
      <c r="R7" s="217"/>
      <c r="S7" s="215"/>
      <c r="T7" s="215"/>
    </row>
    <row r="8" spans="1:20" s="144" customFormat="1" ht="24.95" customHeight="1" x14ac:dyDescent="0.2">
      <c r="A8" s="211">
        <v>2</v>
      </c>
      <c r="B8" s="191">
        <v>43283</v>
      </c>
      <c r="C8" s="138" t="s">
        <v>1819</v>
      </c>
      <c r="D8" s="138" t="s">
        <v>1841</v>
      </c>
      <c r="E8" s="146" t="s">
        <v>1865</v>
      </c>
      <c r="F8" s="138"/>
      <c r="G8" s="138"/>
      <c r="H8" s="139"/>
      <c r="I8" s="138"/>
      <c r="J8" s="226">
        <f>800000+200000</f>
        <v>1000000</v>
      </c>
      <c r="K8" s="141"/>
      <c r="L8" s="150"/>
      <c r="M8" s="141"/>
      <c r="N8" s="141"/>
      <c r="O8" s="139">
        <f t="shared" ref="O8:O42" si="0">H8+J8+K8+L8+M8+N8</f>
        <v>1000000</v>
      </c>
      <c r="P8" s="139">
        <v>3427273</v>
      </c>
      <c r="Q8" s="139">
        <f t="shared" ref="Q8:Q42" si="1">P8-O8</f>
        <v>2427273</v>
      </c>
      <c r="R8" s="217"/>
      <c r="S8" s="215"/>
      <c r="T8" s="215"/>
    </row>
    <row r="9" spans="1:20" s="144" customFormat="1" ht="24.95" customHeight="1" x14ac:dyDescent="0.2">
      <c r="A9" s="211">
        <v>3</v>
      </c>
      <c r="B9" s="191">
        <v>43284</v>
      </c>
      <c r="C9" s="138" t="s">
        <v>1820</v>
      </c>
      <c r="D9" s="138" t="s">
        <v>1841</v>
      </c>
      <c r="E9" s="146" t="s">
        <v>1866</v>
      </c>
      <c r="F9" s="138"/>
      <c r="G9" s="138">
        <v>270</v>
      </c>
      <c r="H9" s="139">
        <v>4714200</v>
      </c>
      <c r="I9" s="138"/>
      <c r="J9" s="226">
        <v>0</v>
      </c>
      <c r="K9" s="141"/>
      <c r="L9" s="150"/>
      <c r="M9" s="141"/>
      <c r="N9" s="141"/>
      <c r="O9" s="139">
        <f t="shared" si="0"/>
        <v>4714200</v>
      </c>
      <c r="P9" s="139">
        <v>1509091</v>
      </c>
      <c r="Q9" s="139">
        <f t="shared" si="1"/>
        <v>-3205109</v>
      </c>
      <c r="R9" s="217"/>
      <c r="S9" s="215"/>
      <c r="T9" s="215"/>
    </row>
    <row r="10" spans="1:20" s="144" customFormat="1" ht="24.95" customHeight="1" x14ac:dyDescent="0.2">
      <c r="A10" s="211">
        <v>4</v>
      </c>
      <c r="B10" s="191">
        <v>43284</v>
      </c>
      <c r="C10" s="138" t="s">
        <v>1821</v>
      </c>
      <c r="D10" s="138" t="s">
        <v>1842</v>
      </c>
      <c r="E10" s="146" t="s">
        <v>78</v>
      </c>
      <c r="F10" s="138"/>
      <c r="G10" s="138"/>
      <c r="H10" s="139"/>
      <c r="I10" s="138"/>
      <c r="J10" s="226">
        <v>1340000</v>
      </c>
      <c r="K10" s="141"/>
      <c r="L10" s="150"/>
      <c r="M10" s="141"/>
      <c r="N10" s="141"/>
      <c r="O10" s="139">
        <f t="shared" si="0"/>
        <v>1340000</v>
      </c>
      <c r="P10" s="139">
        <v>4700000</v>
      </c>
      <c r="Q10" s="139">
        <f t="shared" si="1"/>
        <v>3360000</v>
      </c>
      <c r="R10" s="217"/>
      <c r="S10" s="215"/>
      <c r="T10" s="215"/>
    </row>
    <row r="11" spans="1:20" s="144" customFormat="1" ht="24.95" customHeight="1" x14ac:dyDescent="0.2">
      <c r="A11" s="211">
        <v>5</v>
      </c>
      <c r="B11" s="191">
        <v>43285</v>
      </c>
      <c r="C11" s="138" t="s">
        <v>1822</v>
      </c>
      <c r="D11" s="138" t="s">
        <v>1843</v>
      </c>
      <c r="E11" s="146" t="s">
        <v>25</v>
      </c>
      <c r="F11" s="138"/>
      <c r="G11" s="138">
        <v>210</v>
      </c>
      <c r="H11" s="139">
        <v>3666600</v>
      </c>
      <c r="I11" s="138"/>
      <c r="J11" s="226">
        <v>1710000</v>
      </c>
      <c r="K11" s="141"/>
      <c r="L11" s="150"/>
      <c r="M11" s="141"/>
      <c r="N11" s="141"/>
      <c r="O11" s="139">
        <f t="shared" si="0"/>
        <v>5376600</v>
      </c>
      <c r="P11" s="139">
        <v>7500000</v>
      </c>
      <c r="Q11" s="139">
        <f t="shared" si="1"/>
        <v>2123400</v>
      </c>
      <c r="R11" s="217"/>
      <c r="S11" s="215"/>
      <c r="T11" s="215"/>
    </row>
    <row r="12" spans="1:20" s="144" customFormat="1" ht="24.95" customHeight="1" x14ac:dyDescent="0.2">
      <c r="A12" s="211">
        <v>6</v>
      </c>
      <c r="B12" s="191">
        <v>43288</v>
      </c>
      <c r="C12" s="138" t="s">
        <v>1823</v>
      </c>
      <c r="D12" s="138" t="s">
        <v>430</v>
      </c>
      <c r="E12" s="146" t="s">
        <v>1867</v>
      </c>
      <c r="F12" s="138"/>
      <c r="G12" s="138">
        <v>300</v>
      </c>
      <c r="H12" s="139">
        <v>5235000</v>
      </c>
      <c r="I12" s="138"/>
      <c r="J12" s="226">
        <v>1600000</v>
      </c>
      <c r="K12" s="141"/>
      <c r="L12" s="150"/>
      <c r="M12" s="141"/>
      <c r="N12" s="141"/>
      <c r="O12" s="139">
        <f t="shared" si="0"/>
        <v>6835000</v>
      </c>
      <c r="P12" s="139">
        <v>5300000</v>
      </c>
      <c r="Q12" s="139">
        <f t="shared" si="1"/>
        <v>-1535000</v>
      </c>
      <c r="R12" s="217"/>
      <c r="S12" s="215"/>
      <c r="T12" s="215"/>
    </row>
    <row r="13" spans="1:20" s="144" customFormat="1" ht="24.95" customHeight="1" x14ac:dyDescent="0.2">
      <c r="A13" s="211">
        <v>7</v>
      </c>
      <c r="B13" s="191">
        <v>43288</v>
      </c>
      <c r="C13" s="138" t="s">
        <v>1178</v>
      </c>
      <c r="D13" s="138" t="s">
        <v>1844</v>
      </c>
      <c r="E13" s="146" t="s">
        <v>298</v>
      </c>
      <c r="F13" s="138"/>
      <c r="G13" s="138"/>
      <c r="H13" s="139"/>
      <c r="I13" s="138"/>
      <c r="J13" s="226">
        <v>970000</v>
      </c>
      <c r="K13" s="141"/>
      <c r="L13" s="150"/>
      <c r="M13" s="141"/>
      <c r="N13" s="141"/>
      <c r="O13" s="139">
        <f t="shared" si="0"/>
        <v>970000</v>
      </c>
      <c r="P13" s="139">
        <v>3700000</v>
      </c>
      <c r="Q13" s="139">
        <f t="shared" si="1"/>
        <v>2730000</v>
      </c>
      <c r="R13" s="217"/>
      <c r="S13" s="215"/>
      <c r="T13" s="215"/>
    </row>
    <row r="14" spans="1:20" s="144" customFormat="1" ht="24.95" customHeight="1" x14ac:dyDescent="0.2">
      <c r="A14" s="211">
        <v>8</v>
      </c>
      <c r="B14" s="191">
        <v>43290</v>
      </c>
      <c r="C14" s="138" t="s">
        <v>1824</v>
      </c>
      <c r="D14" s="138" t="s">
        <v>1845</v>
      </c>
      <c r="E14" s="146" t="s">
        <v>1868</v>
      </c>
      <c r="F14" s="138"/>
      <c r="G14" s="138"/>
      <c r="H14" s="139"/>
      <c r="I14" s="138"/>
      <c r="J14" s="226">
        <v>1510000</v>
      </c>
      <c r="K14" s="141"/>
      <c r="L14" s="150"/>
      <c r="M14" s="141"/>
      <c r="N14" s="141"/>
      <c r="O14" s="139">
        <f t="shared" si="0"/>
        <v>1510000</v>
      </c>
      <c r="P14" s="139">
        <v>5400000</v>
      </c>
      <c r="Q14" s="139">
        <f t="shared" si="1"/>
        <v>3890000</v>
      </c>
      <c r="R14" s="217"/>
      <c r="S14" s="215"/>
      <c r="T14" s="215"/>
    </row>
    <row r="15" spans="1:20" s="144" customFormat="1" ht="24.95" customHeight="1" x14ac:dyDescent="0.2">
      <c r="A15" s="211">
        <v>9</v>
      </c>
      <c r="B15" s="191">
        <v>43291</v>
      </c>
      <c r="C15" s="138" t="s">
        <v>1180</v>
      </c>
      <c r="D15" s="138" t="s">
        <v>1274</v>
      </c>
      <c r="E15" s="146" t="s">
        <v>1869</v>
      </c>
      <c r="F15" s="138"/>
      <c r="G15" s="138"/>
      <c r="H15" s="139"/>
      <c r="I15" s="138"/>
      <c r="J15" s="226">
        <v>1510000</v>
      </c>
      <c r="K15" s="141"/>
      <c r="L15" s="150"/>
      <c r="M15" s="141"/>
      <c r="N15" s="141"/>
      <c r="O15" s="139">
        <f t="shared" si="0"/>
        <v>1510000</v>
      </c>
      <c r="P15" s="139">
        <v>5100000</v>
      </c>
      <c r="Q15" s="139">
        <f t="shared" si="1"/>
        <v>3590000</v>
      </c>
      <c r="R15" s="217"/>
      <c r="S15" s="215"/>
      <c r="T15" s="215"/>
    </row>
    <row r="16" spans="1:20" s="144" customFormat="1" ht="24.95" customHeight="1" x14ac:dyDescent="0.2">
      <c r="A16" s="211">
        <v>10</v>
      </c>
      <c r="B16" s="191">
        <v>43292</v>
      </c>
      <c r="C16" s="138" t="s">
        <v>1825</v>
      </c>
      <c r="D16" s="138" t="s">
        <v>1846</v>
      </c>
      <c r="E16" s="146" t="s">
        <v>1870</v>
      </c>
      <c r="F16" s="138"/>
      <c r="G16" s="138">
        <v>238</v>
      </c>
      <c r="H16" s="139">
        <v>4153100</v>
      </c>
      <c r="I16" s="138"/>
      <c r="J16" s="226">
        <v>1800000</v>
      </c>
      <c r="K16" s="141"/>
      <c r="L16" s="150"/>
      <c r="M16" s="141"/>
      <c r="N16" s="141"/>
      <c r="O16" s="139">
        <f t="shared" si="0"/>
        <v>5953100</v>
      </c>
      <c r="P16" s="139">
        <v>8500000</v>
      </c>
      <c r="Q16" s="139">
        <f t="shared" si="1"/>
        <v>2546900</v>
      </c>
      <c r="R16" s="217"/>
      <c r="S16" s="215"/>
      <c r="T16" s="215"/>
    </row>
    <row r="17" spans="1:20" s="144" customFormat="1" ht="24.95" customHeight="1" x14ac:dyDescent="0.2">
      <c r="A17" s="211">
        <v>11</v>
      </c>
      <c r="B17" s="191">
        <v>43293</v>
      </c>
      <c r="C17" s="138" t="s">
        <v>1826</v>
      </c>
      <c r="D17" s="138" t="s">
        <v>1847</v>
      </c>
      <c r="E17" s="146" t="s">
        <v>298</v>
      </c>
      <c r="F17" s="138"/>
      <c r="G17" s="138"/>
      <c r="H17" s="139"/>
      <c r="I17" s="138"/>
      <c r="J17" s="226">
        <v>970000</v>
      </c>
      <c r="K17" s="141"/>
      <c r="L17" s="150"/>
      <c r="M17" s="141"/>
      <c r="N17" s="141"/>
      <c r="O17" s="139">
        <f t="shared" si="0"/>
        <v>970000</v>
      </c>
      <c r="P17" s="139">
        <v>3700000</v>
      </c>
      <c r="Q17" s="139">
        <f t="shared" si="1"/>
        <v>2730000</v>
      </c>
      <c r="R17" s="217"/>
      <c r="S17" s="215"/>
      <c r="T17" s="215"/>
    </row>
    <row r="18" spans="1:20" s="144" customFormat="1" ht="24.95" customHeight="1" x14ac:dyDescent="0.2">
      <c r="A18" s="211">
        <v>12</v>
      </c>
      <c r="B18" s="191">
        <v>43294</v>
      </c>
      <c r="C18" s="138" t="s">
        <v>1827</v>
      </c>
      <c r="D18" s="138" t="s">
        <v>1848</v>
      </c>
      <c r="E18" s="146" t="s">
        <v>1871</v>
      </c>
      <c r="F18" s="138"/>
      <c r="G18" s="138">
        <v>290</v>
      </c>
      <c r="H18" s="139">
        <v>5060500</v>
      </c>
      <c r="I18" s="138"/>
      <c r="J18" s="226">
        <v>790000</v>
      </c>
      <c r="K18" s="141"/>
      <c r="L18" s="150"/>
      <c r="M18" s="141"/>
      <c r="N18" s="141"/>
      <c r="O18" s="139">
        <f t="shared" si="0"/>
        <v>5850500</v>
      </c>
      <c r="P18" s="139">
        <v>3200000</v>
      </c>
      <c r="Q18" s="139">
        <f t="shared" si="1"/>
        <v>-2650500</v>
      </c>
      <c r="R18" s="217"/>
      <c r="S18" s="215"/>
      <c r="T18" s="215"/>
    </row>
    <row r="19" spans="1:20" s="144" customFormat="1" ht="24.95" customHeight="1" x14ac:dyDescent="0.2">
      <c r="A19" s="211">
        <v>13</v>
      </c>
      <c r="B19" s="191">
        <v>43295</v>
      </c>
      <c r="C19" s="138" t="s">
        <v>1828</v>
      </c>
      <c r="D19" s="138" t="s">
        <v>1849</v>
      </c>
      <c r="E19" s="146" t="s">
        <v>80</v>
      </c>
      <c r="F19" s="138"/>
      <c r="G19" s="138"/>
      <c r="H19" s="139"/>
      <c r="I19" s="138"/>
      <c r="J19" s="226">
        <v>800000</v>
      </c>
      <c r="K19" s="141"/>
      <c r="L19" s="150"/>
      <c r="M19" s="141"/>
      <c r="N19" s="141"/>
      <c r="O19" s="139">
        <f t="shared" si="0"/>
        <v>800000</v>
      </c>
      <c r="P19" s="139">
        <v>3600000</v>
      </c>
      <c r="Q19" s="139">
        <f t="shared" si="1"/>
        <v>2800000</v>
      </c>
      <c r="R19" s="217"/>
      <c r="S19" s="215"/>
      <c r="T19" s="215"/>
    </row>
    <row r="20" spans="1:20" s="144" customFormat="1" ht="24.95" customHeight="1" x14ac:dyDescent="0.2">
      <c r="A20" s="211">
        <v>14</v>
      </c>
      <c r="B20" s="191">
        <v>43295</v>
      </c>
      <c r="C20" s="138" t="s">
        <v>1829</v>
      </c>
      <c r="D20" s="138" t="s">
        <v>1850</v>
      </c>
      <c r="E20" s="146" t="s">
        <v>25</v>
      </c>
      <c r="F20" s="138"/>
      <c r="G20" s="138">
        <v>270</v>
      </c>
      <c r="H20" s="139">
        <v>4711500</v>
      </c>
      <c r="I20" s="138"/>
      <c r="J20" s="226">
        <v>1710000</v>
      </c>
      <c r="K20" s="141"/>
      <c r="L20" s="150"/>
      <c r="M20" s="141"/>
      <c r="N20" s="141"/>
      <c r="O20" s="139">
        <f t="shared" si="0"/>
        <v>6421500</v>
      </c>
      <c r="P20" s="139">
        <v>7500000</v>
      </c>
      <c r="Q20" s="139">
        <f t="shared" si="1"/>
        <v>1078500</v>
      </c>
      <c r="R20" s="217"/>
      <c r="S20" s="215"/>
      <c r="T20" s="215"/>
    </row>
    <row r="21" spans="1:20" s="144" customFormat="1" ht="24.95" customHeight="1" x14ac:dyDescent="0.2">
      <c r="A21" s="211">
        <v>15</v>
      </c>
      <c r="B21" s="191">
        <v>43297</v>
      </c>
      <c r="C21" s="138" t="s">
        <v>1830</v>
      </c>
      <c r="D21" s="138" t="s">
        <v>1851</v>
      </c>
      <c r="E21" s="146" t="s">
        <v>1872</v>
      </c>
      <c r="F21" s="138"/>
      <c r="G21" s="138"/>
      <c r="H21" s="139"/>
      <c r="I21" s="138"/>
      <c r="J21" s="226">
        <v>810000</v>
      </c>
      <c r="K21" s="141"/>
      <c r="L21" s="150"/>
      <c r="M21" s="141"/>
      <c r="N21" s="141"/>
      <c r="O21" s="139">
        <f t="shared" si="0"/>
        <v>810000</v>
      </c>
      <c r="P21" s="139">
        <v>3300000</v>
      </c>
      <c r="Q21" s="139">
        <f t="shared" si="1"/>
        <v>2490000</v>
      </c>
      <c r="R21" s="217"/>
      <c r="S21" s="215"/>
      <c r="T21" s="215"/>
    </row>
    <row r="22" spans="1:20" s="144" customFormat="1" ht="24.95" customHeight="1" x14ac:dyDescent="0.2">
      <c r="A22" s="211">
        <v>16</v>
      </c>
      <c r="B22" s="191">
        <v>43298</v>
      </c>
      <c r="C22" s="138" t="s">
        <v>1831</v>
      </c>
      <c r="D22" s="138" t="s">
        <v>1852</v>
      </c>
      <c r="E22" s="146" t="s">
        <v>1873</v>
      </c>
      <c r="F22" s="138"/>
      <c r="G22" s="138">
        <v>285</v>
      </c>
      <c r="H22" s="139">
        <v>4973250</v>
      </c>
      <c r="I22" s="138"/>
      <c r="J22" s="226">
        <f>1510000+90000</f>
        <v>1600000</v>
      </c>
      <c r="K22" s="141"/>
      <c r="L22" s="150"/>
      <c r="M22" s="141"/>
      <c r="N22" s="141"/>
      <c r="O22" s="139">
        <f t="shared" si="0"/>
        <v>6573250</v>
      </c>
      <c r="P22" s="139">
        <v>5400000</v>
      </c>
      <c r="Q22" s="139">
        <f t="shared" si="1"/>
        <v>-1173250</v>
      </c>
      <c r="R22" s="217"/>
      <c r="S22" s="215"/>
      <c r="T22" s="215"/>
    </row>
    <row r="23" spans="1:20" s="144" customFormat="1" ht="24.95" customHeight="1" x14ac:dyDescent="0.2">
      <c r="A23" s="211">
        <v>17</v>
      </c>
      <c r="B23" s="191">
        <v>43299</v>
      </c>
      <c r="C23" s="138" t="s">
        <v>1185</v>
      </c>
      <c r="D23" s="138" t="s">
        <v>1853</v>
      </c>
      <c r="E23" s="146" t="s">
        <v>1874</v>
      </c>
      <c r="F23" s="138"/>
      <c r="G23" s="138"/>
      <c r="H23" s="139"/>
      <c r="I23" s="138"/>
      <c r="J23" s="226">
        <v>1370000</v>
      </c>
      <c r="K23" s="141"/>
      <c r="L23" s="150"/>
      <c r="M23" s="141"/>
      <c r="N23" s="141"/>
      <c r="O23" s="139">
        <f t="shared" si="0"/>
        <v>1370000</v>
      </c>
      <c r="P23" s="139">
        <v>5200000</v>
      </c>
      <c r="Q23" s="139">
        <f t="shared" si="1"/>
        <v>3830000</v>
      </c>
      <c r="R23" s="217"/>
      <c r="S23" s="215"/>
      <c r="T23" s="215"/>
    </row>
    <row r="24" spans="1:20" s="144" customFormat="1" ht="24.95" customHeight="1" x14ac:dyDescent="0.2">
      <c r="A24" s="211">
        <v>18</v>
      </c>
      <c r="B24" s="191">
        <v>43300</v>
      </c>
      <c r="C24" s="138" t="s">
        <v>1832</v>
      </c>
      <c r="D24" s="138" t="s">
        <v>1854</v>
      </c>
      <c r="E24" s="146" t="s">
        <v>84</v>
      </c>
      <c r="F24" s="138"/>
      <c r="G24" s="138"/>
      <c r="H24" s="139"/>
      <c r="I24" s="138"/>
      <c r="J24" s="226">
        <v>970000</v>
      </c>
      <c r="K24" s="141"/>
      <c r="L24" s="150"/>
      <c r="M24" s="141"/>
      <c r="N24" s="141"/>
      <c r="O24" s="139">
        <f t="shared" si="0"/>
        <v>970000</v>
      </c>
      <c r="P24" s="139">
        <v>3700000</v>
      </c>
      <c r="Q24" s="139">
        <f t="shared" si="1"/>
        <v>2730000</v>
      </c>
      <c r="R24" s="217"/>
      <c r="S24" s="215"/>
      <c r="T24" s="215"/>
    </row>
    <row r="25" spans="1:20" s="144" customFormat="1" ht="24.95" customHeight="1" x14ac:dyDescent="0.2">
      <c r="A25" s="211">
        <v>19</v>
      </c>
      <c r="B25" s="191">
        <v>43301</v>
      </c>
      <c r="C25" s="138" t="s">
        <v>465</v>
      </c>
      <c r="D25" s="138" t="s">
        <v>1855</v>
      </c>
      <c r="E25" s="146" t="s">
        <v>1875</v>
      </c>
      <c r="F25" s="138"/>
      <c r="G25" s="138"/>
      <c r="H25" s="139"/>
      <c r="I25" s="138"/>
      <c r="J25" s="226">
        <v>1370000</v>
      </c>
      <c r="K25" s="141"/>
      <c r="L25" s="150"/>
      <c r="M25" s="141"/>
      <c r="N25" s="141"/>
      <c r="O25" s="139">
        <f t="shared" si="0"/>
        <v>1370000</v>
      </c>
      <c r="P25" s="139">
        <v>5400000</v>
      </c>
      <c r="Q25" s="139">
        <f t="shared" si="1"/>
        <v>4030000</v>
      </c>
      <c r="R25" s="217"/>
      <c r="S25" s="215"/>
      <c r="T25" s="215"/>
    </row>
    <row r="26" spans="1:20" s="144" customFormat="1" ht="24.95" customHeight="1" x14ac:dyDescent="0.2">
      <c r="A26" s="211">
        <v>20</v>
      </c>
      <c r="B26" s="191">
        <v>43304</v>
      </c>
      <c r="C26" s="138" t="s">
        <v>1833</v>
      </c>
      <c r="D26" s="138" t="s">
        <v>1856</v>
      </c>
      <c r="E26" s="146" t="s">
        <v>1779</v>
      </c>
      <c r="F26" s="138"/>
      <c r="G26" s="138">
        <v>470</v>
      </c>
      <c r="H26" s="139">
        <v>8201500</v>
      </c>
      <c r="I26" s="138"/>
      <c r="J26" s="226">
        <f>1100000-180000</f>
        <v>920000</v>
      </c>
      <c r="K26" s="141"/>
      <c r="L26" s="150"/>
      <c r="M26" s="141"/>
      <c r="N26" s="141"/>
      <c r="O26" s="139">
        <f t="shared" si="0"/>
        <v>9121500</v>
      </c>
      <c r="P26" s="139">
        <v>4700000</v>
      </c>
      <c r="Q26" s="139">
        <f t="shared" si="1"/>
        <v>-4421500</v>
      </c>
      <c r="R26" s="217"/>
      <c r="S26" s="215"/>
      <c r="T26" s="215"/>
    </row>
    <row r="27" spans="1:20" s="144" customFormat="1" ht="24.95" customHeight="1" x14ac:dyDescent="0.2">
      <c r="A27" s="211">
        <v>21</v>
      </c>
      <c r="B27" s="191">
        <v>43304</v>
      </c>
      <c r="C27" s="138" t="s">
        <v>1834</v>
      </c>
      <c r="D27" s="138" t="s">
        <v>1857</v>
      </c>
      <c r="E27" s="146" t="s">
        <v>25</v>
      </c>
      <c r="F27" s="138"/>
      <c r="G27" s="138"/>
      <c r="H27" s="139"/>
      <c r="I27" s="138"/>
      <c r="J27" s="226">
        <v>1710000</v>
      </c>
      <c r="K27" s="141"/>
      <c r="L27" s="150"/>
      <c r="M27" s="141"/>
      <c r="N27" s="141"/>
      <c r="O27" s="139">
        <f t="shared" si="0"/>
        <v>1710000</v>
      </c>
      <c r="P27" s="139">
        <v>7500000</v>
      </c>
      <c r="Q27" s="139">
        <f t="shared" si="1"/>
        <v>5790000</v>
      </c>
      <c r="R27" s="217"/>
      <c r="S27" s="215"/>
      <c r="T27" s="215"/>
    </row>
    <row r="28" spans="1:20" s="144" customFormat="1" ht="24.95" customHeight="1" x14ac:dyDescent="0.2">
      <c r="A28" s="211">
        <v>22</v>
      </c>
      <c r="B28" s="191">
        <v>43305</v>
      </c>
      <c r="C28" s="138" t="s">
        <v>1835</v>
      </c>
      <c r="D28" s="138" t="s">
        <v>1858</v>
      </c>
      <c r="E28" s="146" t="s">
        <v>1804</v>
      </c>
      <c r="F28" s="138"/>
      <c r="G28" s="138">
        <v>290</v>
      </c>
      <c r="H28" s="139">
        <v>4999600</v>
      </c>
      <c r="I28" s="138"/>
      <c r="J28" s="226">
        <v>1330000</v>
      </c>
      <c r="K28" s="141"/>
      <c r="L28" s="150"/>
      <c r="M28" s="141"/>
      <c r="N28" s="141"/>
      <c r="O28" s="139">
        <f t="shared" si="0"/>
        <v>6329600</v>
      </c>
      <c r="P28" s="139">
        <v>5300000</v>
      </c>
      <c r="Q28" s="139">
        <f t="shared" si="1"/>
        <v>-1029600</v>
      </c>
      <c r="R28" s="217"/>
      <c r="S28" s="215"/>
      <c r="T28" s="215"/>
    </row>
    <row r="29" spans="1:20" s="144" customFormat="1" ht="24.95" customHeight="1" x14ac:dyDescent="0.2">
      <c r="A29" s="211">
        <v>23</v>
      </c>
      <c r="B29" s="191">
        <v>43306</v>
      </c>
      <c r="C29" s="138" t="s">
        <v>1836</v>
      </c>
      <c r="D29" s="138" t="s">
        <v>1859</v>
      </c>
      <c r="E29" s="146" t="s">
        <v>1222</v>
      </c>
      <c r="F29" s="138"/>
      <c r="G29" s="138"/>
      <c r="H29" s="139"/>
      <c r="I29" s="138"/>
      <c r="J29" s="226">
        <v>790000</v>
      </c>
      <c r="K29" s="141"/>
      <c r="L29" s="150"/>
      <c r="M29" s="141"/>
      <c r="N29" s="141"/>
      <c r="O29" s="139">
        <f t="shared" si="0"/>
        <v>790000</v>
      </c>
      <c r="P29" s="141">
        <v>3300000</v>
      </c>
      <c r="Q29" s="139">
        <f t="shared" si="1"/>
        <v>2510000</v>
      </c>
      <c r="R29" s="217"/>
      <c r="S29" s="215"/>
      <c r="T29" s="215"/>
    </row>
    <row r="30" spans="1:20" s="144" customFormat="1" ht="24.95" customHeight="1" x14ac:dyDescent="0.2">
      <c r="A30" s="211">
        <v>24</v>
      </c>
      <c r="B30" s="191">
        <v>43307</v>
      </c>
      <c r="C30" s="138" t="s">
        <v>1192</v>
      </c>
      <c r="D30" s="138" t="s">
        <v>1860</v>
      </c>
      <c r="E30" s="146" t="s">
        <v>1876</v>
      </c>
      <c r="F30" s="138"/>
      <c r="G30" s="138"/>
      <c r="H30" s="139"/>
      <c r="I30" s="138"/>
      <c r="J30" s="226">
        <v>970000</v>
      </c>
      <c r="K30" s="141"/>
      <c r="L30" s="150"/>
      <c r="M30" s="141"/>
      <c r="N30" s="141"/>
      <c r="O30" s="139">
        <f t="shared" si="0"/>
        <v>970000</v>
      </c>
      <c r="P30" s="139">
        <v>3900000</v>
      </c>
      <c r="Q30" s="139">
        <f t="shared" si="1"/>
        <v>2930000</v>
      </c>
      <c r="R30" s="217"/>
      <c r="S30" s="215"/>
      <c r="T30" s="215"/>
    </row>
    <row r="31" spans="1:20" s="144" customFormat="1" ht="24.95" customHeight="1" x14ac:dyDescent="0.2">
      <c r="A31" s="211">
        <v>25</v>
      </c>
      <c r="B31" s="191">
        <v>43308</v>
      </c>
      <c r="C31" s="138" t="s">
        <v>1837</v>
      </c>
      <c r="D31" s="138" t="s">
        <v>1861</v>
      </c>
      <c r="E31" s="146" t="s">
        <v>25</v>
      </c>
      <c r="F31" s="138"/>
      <c r="G31" s="138">
        <v>320</v>
      </c>
      <c r="H31" s="139">
        <v>5516800</v>
      </c>
      <c r="I31" s="138"/>
      <c r="J31" s="226">
        <v>1710000</v>
      </c>
      <c r="K31" s="141"/>
      <c r="L31" s="150"/>
      <c r="M31" s="141"/>
      <c r="N31" s="141"/>
      <c r="O31" s="139">
        <f t="shared" si="0"/>
        <v>7226800</v>
      </c>
      <c r="P31" s="141">
        <v>7500000</v>
      </c>
      <c r="Q31" s="139">
        <f t="shared" si="1"/>
        <v>273200</v>
      </c>
      <c r="R31" s="217"/>
      <c r="S31" s="215"/>
      <c r="T31" s="215"/>
    </row>
    <row r="32" spans="1:20" s="144" customFormat="1" ht="24.95" customHeight="1" x14ac:dyDescent="0.2">
      <c r="A32" s="211">
        <v>26</v>
      </c>
      <c r="B32" s="191">
        <v>43309</v>
      </c>
      <c r="C32" s="138" t="s">
        <v>1838</v>
      </c>
      <c r="D32" s="138" t="s">
        <v>1862</v>
      </c>
      <c r="E32" s="146" t="s">
        <v>298</v>
      </c>
      <c r="F32" s="138"/>
      <c r="G32" s="138"/>
      <c r="H32" s="139"/>
      <c r="I32" s="138"/>
      <c r="J32" s="226">
        <v>970000</v>
      </c>
      <c r="K32" s="141"/>
      <c r="L32" s="150"/>
      <c r="M32" s="141"/>
      <c r="N32" s="141"/>
      <c r="O32" s="139">
        <f t="shared" si="0"/>
        <v>970000</v>
      </c>
      <c r="P32" s="139">
        <v>3700000</v>
      </c>
      <c r="Q32" s="139">
        <f t="shared" si="1"/>
        <v>2730000</v>
      </c>
      <c r="R32" s="217"/>
      <c r="S32" s="215"/>
      <c r="T32" s="215"/>
    </row>
    <row r="33" spans="1:20" s="144" customFormat="1" ht="24.95" customHeight="1" x14ac:dyDescent="0.2">
      <c r="A33" s="211">
        <v>27</v>
      </c>
      <c r="B33" s="191">
        <v>43311</v>
      </c>
      <c r="C33" s="138" t="s">
        <v>1839</v>
      </c>
      <c r="D33" s="138" t="s">
        <v>1863</v>
      </c>
      <c r="E33" s="146" t="s">
        <v>1565</v>
      </c>
      <c r="F33" s="138"/>
      <c r="G33" s="138">
        <v>410</v>
      </c>
      <c r="H33" s="139">
        <f>G33*17240</f>
        <v>7068400</v>
      </c>
      <c r="I33" s="138"/>
      <c r="J33" s="226">
        <v>1330000</v>
      </c>
      <c r="K33" s="141"/>
      <c r="L33" s="150"/>
      <c r="M33" s="141"/>
      <c r="N33" s="141"/>
      <c r="O33" s="139">
        <f t="shared" si="0"/>
        <v>8398400</v>
      </c>
      <c r="P33" s="141">
        <v>5300000</v>
      </c>
      <c r="Q33" s="139">
        <f t="shared" si="1"/>
        <v>-3098400</v>
      </c>
      <c r="R33" s="217"/>
      <c r="S33" s="215"/>
      <c r="T33" s="215"/>
    </row>
    <row r="34" spans="1:20" s="144" customFormat="1" ht="24.95" customHeight="1" x14ac:dyDescent="0.2">
      <c r="A34" s="211"/>
      <c r="B34" s="191"/>
      <c r="C34" s="138"/>
      <c r="D34" s="138"/>
      <c r="E34" s="146"/>
      <c r="F34" s="138"/>
      <c r="G34" s="138"/>
      <c r="H34" s="139"/>
      <c r="I34" s="138"/>
      <c r="J34" s="141"/>
      <c r="K34" s="141"/>
      <c r="L34" s="150"/>
      <c r="M34" s="141"/>
      <c r="N34" s="141"/>
      <c r="O34" s="139">
        <f t="shared" si="0"/>
        <v>0</v>
      </c>
      <c r="P34" s="139"/>
      <c r="Q34" s="139">
        <f t="shared" si="1"/>
        <v>0</v>
      </c>
      <c r="R34" s="217"/>
      <c r="S34" s="215"/>
      <c r="T34" s="215"/>
    </row>
    <row r="35" spans="1:20" s="144" customFormat="1" ht="24.95" customHeight="1" x14ac:dyDescent="0.2">
      <c r="A35" s="211"/>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24.95" customHeight="1" x14ac:dyDescent="0.2">
      <c r="A36" s="211"/>
      <c r="C36" s="221" t="s">
        <v>1880</v>
      </c>
      <c r="D36" s="220"/>
      <c r="E36" s="221"/>
      <c r="F36" s="220"/>
      <c r="G36" s="220"/>
      <c r="H36" s="219"/>
      <c r="I36" s="220"/>
      <c r="J36" s="157"/>
      <c r="K36" s="157"/>
      <c r="L36" s="157"/>
      <c r="M36" s="157">
        <v>10000000</v>
      </c>
      <c r="N36" s="141"/>
      <c r="O36" s="139">
        <f t="shared" si="0"/>
        <v>10000000</v>
      </c>
      <c r="P36" s="139"/>
      <c r="Q36" s="139">
        <f t="shared" si="1"/>
        <v>-10000000</v>
      </c>
      <c r="R36" s="217"/>
      <c r="S36" s="215"/>
      <c r="T36" s="215"/>
    </row>
    <row r="37" spans="1:20" s="144" customFormat="1" ht="24.95" customHeight="1" x14ac:dyDescent="0.2">
      <c r="A37" s="211"/>
      <c r="C37" s="221" t="s">
        <v>1877</v>
      </c>
      <c r="D37" s="220"/>
      <c r="E37" s="221"/>
      <c r="F37" s="220"/>
      <c r="G37" s="220"/>
      <c r="H37" s="219"/>
      <c r="I37" s="220"/>
      <c r="J37" s="157"/>
      <c r="K37" s="157"/>
      <c r="L37" s="157">
        <v>170000</v>
      </c>
      <c r="M37" s="157"/>
      <c r="N37" s="157"/>
      <c r="O37" s="139">
        <f t="shared" si="0"/>
        <v>170000</v>
      </c>
      <c r="P37" s="139"/>
      <c r="Q37" s="139">
        <f t="shared" si="1"/>
        <v>-170000</v>
      </c>
      <c r="R37" s="217"/>
      <c r="S37" s="215"/>
      <c r="T37" s="215"/>
    </row>
    <row r="38" spans="1:20" s="144" customFormat="1" ht="24.95" customHeight="1" x14ac:dyDescent="0.2">
      <c r="A38" s="211"/>
      <c r="B38" s="191"/>
      <c r="C38" s="221" t="s">
        <v>1878</v>
      </c>
      <c r="D38" s="220"/>
      <c r="E38" s="221"/>
      <c r="F38" s="220"/>
      <c r="G38" s="220"/>
      <c r="H38" s="219"/>
      <c r="I38" s="220"/>
      <c r="J38" s="157"/>
      <c r="L38" s="157">
        <v>120000</v>
      </c>
      <c r="M38" s="157"/>
      <c r="N38" s="141"/>
      <c r="O38" s="139">
        <f t="shared" si="0"/>
        <v>120000</v>
      </c>
      <c r="P38" s="139"/>
      <c r="Q38" s="139">
        <f t="shared" si="1"/>
        <v>-120000</v>
      </c>
      <c r="R38" s="217"/>
      <c r="S38" s="215"/>
      <c r="T38" s="215"/>
    </row>
    <row r="39" spans="1:20" s="144" customFormat="1" ht="24.95" customHeight="1" x14ac:dyDescent="0.2">
      <c r="A39" s="211"/>
      <c r="B39" s="191"/>
      <c r="C39" s="221" t="s">
        <v>1089</v>
      </c>
      <c r="D39" s="220"/>
      <c r="E39" s="221"/>
      <c r="F39" s="220"/>
      <c r="G39" s="220"/>
      <c r="H39" s="219"/>
      <c r="I39" s="220"/>
      <c r="J39" s="157"/>
      <c r="L39" s="157">
        <v>850000</v>
      </c>
      <c r="M39" s="157"/>
      <c r="N39" s="141"/>
      <c r="O39" s="139">
        <f t="shared" si="0"/>
        <v>850000</v>
      </c>
      <c r="P39" s="139"/>
      <c r="Q39" s="139">
        <f t="shared" si="1"/>
        <v>-850000</v>
      </c>
      <c r="R39" s="217"/>
      <c r="S39" s="215"/>
      <c r="T39" s="215"/>
    </row>
    <row r="40" spans="1:20" s="144" customFormat="1" ht="24.95" customHeight="1" x14ac:dyDescent="0.2">
      <c r="A40" s="211"/>
      <c r="B40" s="191"/>
      <c r="C40" s="221" t="s">
        <v>1879</v>
      </c>
      <c r="D40" s="220"/>
      <c r="E40" s="221"/>
      <c r="F40" s="220"/>
      <c r="G40" s="220"/>
      <c r="H40" s="219"/>
      <c r="I40" s="220"/>
      <c r="J40" s="157"/>
      <c r="L40" s="157"/>
      <c r="M40" s="157"/>
      <c r="N40" s="141">
        <f>11500000/4</f>
        <v>2875000</v>
      </c>
      <c r="O40" s="139">
        <f t="shared" si="0"/>
        <v>2875000</v>
      </c>
      <c r="P40" s="139"/>
      <c r="Q40" s="139">
        <f t="shared" si="1"/>
        <v>-2875000</v>
      </c>
      <c r="R40" s="217"/>
      <c r="S40" s="215"/>
      <c r="T40" s="215"/>
    </row>
    <row r="41" spans="1:20" s="159" customFormat="1" ht="24.95" customHeight="1" x14ac:dyDescent="0.25">
      <c r="A41" s="211"/>
      <c r="B41" s="165"/>
      <c r="C41" s="196" t="s">
        <v>1337</v>
      </c>
      <c r="D41" s="195"/>
      <c r="E41" s="197"/>
      <c r="F41" s="195"/>
      <c r="G41" s="195"/>
      <c r="H41" s="155"/>
      <c r="I41" s="195"/>
      <c r="J41" s="155"/>
      <c r="K41" s="157">
        <v>9000000</v>
      </c>
      <c r="L41" s="155"/>
      <c r="M41" s="155"/>
      <c r="N41" s="155"/>
      <c r="O41" s="139">
        <f t="shared" si="0"/>
        <v>9000000</v>
      </c>
      <c r="P41" s="139"/>
      <c r="Q41" s="139">
        <f t="shared" si="1"/>
        <v>-9000000</v>
      </c>
      <c r="S41" s="215"/>
      <c r="T41" s="215"/>
    </row>
    <row r="42" spans="1:20" s="159" customFormat="1" ht="24.95" customHeight="1" x14ac:dyDescent="0.25">
      <c r="A42" s="211"/>
      <c r="B42" s="203"/>
      <c r="C42" s="152" t="s">
        <v>1094</v>
      </c>
      <c r="D42" s="153"/>
      <c r="E42" s="154"/>
      <c r="F42" s="153"/>
      <c r="G42" s="153"/>
      <c r="H42" s="156"/>
      <c r="I42" s="153"/>
      <c r="J42" s="156"/>
      <c r="K42" s="204">
        <f>1200000*1.1</f>
        <v>1320000</v>
      </c>
      <c r="L42" s="204"/>
      <c r="M42" s="156"/>
      <c r="N42" s="156"/>
      <c r="O42" s="139">
        <f t="shared" si="0"/>
        <v>1320000</v>
      </c>
      <c r="P42" s="139"/>
      <c r="Q42" s="139">
        <f t="shared" si="1"/>
        <v>-1320000</v>
      </c>
      <c r="R42" s="186"/>
      <c r="S42" s="215"/>
      <c r="T42" s="215"/>
    </row>
    <row r="43" spans="1:20" ht="24.95" customHeight="1" x14ac:dyDescent="0.25">
      <c r="A43" s="426" t="s">
        <v>20</v>
      </c>
      <c r="B43" s="426"/>
      <c r="C43" s="426"/>
      <c r="D43" s="426"/>
      <c r="E43" s="426"/>
      <c r="F43" s="426"/>
      <c r="G43" s="161">
        <f t="shared" ref="G43:P43" si="2">SUM(G7:G42)</f>
        <v>3353</v>
      </c>
      <c r="H43" s="161">
        <f t="shared" si="2"/>
        <v>58300450</v>
      </c>
      <c r="I43" s="161">
        <f t="shared" si="2"/>
        <v>0</v>
      </c>
      <c r="J43" s="161">
        <f t="shared" si="2"/>
        <v>33160000</v>
      </c>
      <c r="K43" s="161">
        <f t="shared" si="2"/>
        <v>10320000</v>
      </c>
      <c r="L43" s="161">
        <f t="shared" si="2"/>
        <v>1140000</v>
      </c>
      <c r="M43" s="161">
        <f t="shared" si="2"/>
        <v>10000000</v>
      </c>
      <c r="N43" s="161">
        <f t="shared" si="2"/>
        <v>2875000</v>
      </c>
      <c r="O43" s="161">
        <f t="shared" si="2"/>
        <v>115795450</v>
      </c>
      <c r="P43" s="161">
        <f t="shared" si="2"/>
        <v>132536364</v>
      </c>
      <c r="Q43" s="161">
        <f>SUM(Q7:Q42)</f>
        <v>16740914</v>
      </c>
      <c r="R43" s="187"/>
      <c r="S43" s="189"/>
    </row>
    <row r="44" spans="1:20" ht="24.95" customHeight="1" x14ac:dyDescent="0.25">
      <c r="O44" s="158"/>
      <c r="Q44" s="158"/>
    </row>
    <row r="45" spans="1:20" ht="24.95" customHeight="1" x14ac:dyDescent="0.25">
      <c r="P45" s="216" t="s">
        <v>1603</v>
      </c>
      <c r="Q45" s="227">
        <f>'06-2018'!Q40+'07-2018'!Q43</f>
        <v>140587432</v>
      </c>
    </row>
    <row r="46" spans="1:20" ht="24.95" customHeight="1" x14ac:dyDescent="0.25">
      <c r="B46" s="129"/>
      <c r="H46" s="128"/>
      <c r="J46" s="128"/>
      <c r="K46" s="128"/>
      <c r="L46" s="128"/>
      <c r="M46" s="128"/>
      <c r="N46" s="128"/>
      <c r="O46" s="128"/>
      <c r="P46" s="218"/>
      <c r="Q46" s="216"/>
    </row>
    <row r="47" spans="1:20" ht="24.95" customHeight="1" x14ac:dyDescent="0.25">
      <c r="B47" s="129"/>
      <c r="H47" s="128"/>
      <c r="J47" s="128"/>
      <c r="K47" s="128"/>
      <c r="L47" s="128"/>
      <c r="M47" s="128"/>
      <c r="N47" s="128"/>
      <c r="O47" s="128"/>
      <c r="P47" s="218"/>
      <c r="Q47" s="230"/>
    </row>
    <row r="48" spans="1:20" ht="24.95" customHeight="1" x14ac:dyDescent="0.25">
      <c r="B48" s="129"/>
      <c r="H48" s="128"/>
      <c r="J48" s="128"/>
      <c r="K48" s="128"/>
      <c r="L48" s="128"/>
      <c r="M48" s="128"/>
      <c r="N48" s="128"/>
      <c r="O48" s="128"/>
      <c r="P48" s="218"/>
      <c r="Q48" s="230"/>
    </row>
    <row r="49" spans="1:17" ht="24.95" customHeight="1" x14ac:dyDescent="0.25">
      <c r="B49" s="129"/>
      <c r="H49" s="128"/>
      <c r="J49" s="128"/>
      <c r="K49" s="128"/>
      <c r="L49" s="128"/>
      <c r="M49" s="128"/>
      <c r="N49" s="128"/>
      <c r="O49" s="128"/>
      <c r="P49" s="218"/>
      <c r="Q49" s="216"/>
    </row>
    <row r="50" spans="1:17" x14ac:dyDescent="0.25">
      <c r="B50" s="129"/>
      <c r="H50" s="128"/>
      <c r="J50" s="128"/>
      <c r="K50" s="128"/>
      <c r="L50" s="128"/>
      <c r="M50" s="128"/>
      <c r="N50" s="128"/>
      <c r="O50" s="128"/>
      <c r="P50" s="218"/>
      <c r="Q50" s="216"/>
    </row>
    <row r="51" spans="1:17" x14ac:dyDescent="0.25">
      <c r="A51" s="128"/>
      <c r="B51" s="129"/>
      <c r="H51" s="128"/>
      <c r="J51" s="128"/>
      <c r="K51" s="128"/>
      <c r="L51" s="128"/>
      <c r="M51" s="128"/>
      <c r="N51" s="128"/>
      <c r="O51" s="128"/>
      <c r="P51" s="218"/>
      <c r="Q51" s="216"/>
    </row>
    <row r="52" spans="1:17" x14ac:dyDescent="0.25">
      <c r="A52" s="128"/>
      <c r="B52" s="129"/>
      <c r="H52" s="128"/>
      <c r="J52" s="128"/>
      <c r="K52" s="128"/>
      <c r="L52" s="128"/>
      <c r="M52" s="128"/>
      <c r="N52" s="128"/>
      <c r="O52" s="128"/>
      <c r="P52" s="128"/>
      <c r="Q52" s="216"/>
    </row>
    <row r="53" spans="1:17" x14ac:dyDescent="0.25">
      <c r="A53" s="128"/>
      <c r="B53" s="128"/>
      <c r="H53" s="128"/>
      <c r="J53" s="128"/>
      <c r="K53" s="128"/>
      <c r="L53" s="128"/>
      <c r="M53" s="128"/>
      <c r="N53" s="128"/>
      <c r="O53" s="128"/>
      <c r="P53" s="128"/>
      <c r="Q53" s="216"/>
    </row>
    <row r="54" spans="1:17" x14ac:dyDescent="0.25">
      <c r="A54" s="128"/>
      <c r="B54" s="128"/>
      <c r="H54" s="128"/>
      <c r="J54" s="128"/>
      <c r="K54" s="128"/>
      <c r="L54" s="128"/>
      <c r="M54" s="128"/>
      <c r="N54" s="128"/>
      <c r="O54" s="128"/>
      <c r="P54" s="128"/>
      <c r="Q54" s="216"/>
    </row>
  </sheetData>
  <mergeCells count="14">
    <mergeCell ref="O5:O6"/>
    <mergeCell ref="P5:P6"/>
    <mergeCell ref="Q5:Q6"/>
    <mergeCell ref="A43:F43"/>
    <mergeCell ref="A1:Q1"/>
    <mergeCell ref="A2:Q2"/>
    <mergeCell ref="B3:Q3"/>
    <mergeCell ref="A5:A6"/>
    <mergeCell ref="B5:B6"/>
    <mergeCell ref="C5:C6"/>
    <mergeCell ref="D5:D6"/>
    <mergeCell ref="E5:E6"/>
    <mergeCell ref="F5:F6"/>
    <mergeCell ref="G5:N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63"/>
  <sheetViews>
    <sheetView topLeftCell="F46" workbookViewId="0">
      <selection activeCell="H49" sqref="H4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1881</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43312</v>
      </c>
      <c r="C7" s="138" t="s">
        <v>1882</v>
      </c>
      <c r="D7" s="138" t="s">
        <v>1908</v>
      </c>
      <c r="E7" s="146" t="s">
        <v>23</v>
      </c>
      <c r="F7" s="138"/>
      <c r="G7" s="138"/>
      <c r="H7" s="141"/>
      <c r="I7" s="138"/>
      <c r="J7" s="226">
        <v>2740000</v>
      </c>
      <c r="K7" s="141"/>
      <c r="L7" s="150"/>
      <c r="M7" s="141"/>
      <c r="N7" s="141"/>
      <c r="O7" s="139">
        <f>SUM(H7:N7)</f>
        <v>2740000</v>
      </c>
      <c r="P7" s="139">
        <v>12090909</v>
      </c>
      <c r="Q7" s="139">
        <f>P7-O7</f>
        <v>9350909</v>
      </c>
      <c r="R7" s="217"/>
      <c r="S7" s="215"/>
      <c r="T7" s="215"/>
    </row>
    <row r="8" spans="1:20" s="144" customFormat="1" ht="24.95" customHeight="1" x14ac:dyDescent="0.2">
      <c r="A8" s="211">
        <v>2</v>
      </c>
      <c r="B8" s="191">
        <v>43313</v>
      </c>
      <c r="C8" s="138" t="s">
        <v>1883</v>
      </c>
      <c r="D8" s="138" t="s">
        <v>1909</v>
      </c>
      <c r="E8" s="146" t="s">
        <v>23</v>
      </c>
      <c r="F8" s="138"/>
      <c r="G8" s="138"/>
      <c r="H8" s="141"/>
      <c r="I8" s="138"/>
      <c r="J8" s="226">
        <v>2740000</v>
      </c>
      <c r="K8" s="141"/>
      <c r="L8" s="150"/>
      <c r="M8" s="141"/>
      <c r="N8" s="141"/>
      <c r="O8" s="139">
        <f t="shared" ref="O8:O51" si="0">SUM(H8:N8)</f>
        <v>2740000</v>
      </c>
      <c r="P8" s="139">
        <v>12090909</v>
      </c>
      <c r="Q8" s="139">
        <f t="shared" ref="Q8:Q51" si="1">P8-O8</f>
        <v>9350909</v>
      </c>
      <c r="R8" s="217"/>
      <c r="S8" s="215"/>
      <c r="T8" s="215"/>
    </row>
    <row r="9" spans="1:20" s="144" customFormat="1" ht="24.95" customHeight="1" x14ac:dyDescent="0.2">
      <c r="A9" s="211">
        <v>3</v>
      </c>
      <c r="B9" s="191">
        <v>43315</v>
      </c>
      <c r="C9" s="138" t="s">
        <v>1884</v>
      </c>
      <c r="D9" s="138" t="s">
        <v>1910</v>
      </c>
      <c r="E9" s="146" t="s">
        <v>23</v>
      </c>
      <c r="F9" s="138"/>
      <c r="G9" s="138">
        <v>241</v>
      </c>
      <c r="H9" s="141">
        <v>4154840</v>
      </c>
      <c r="I9" s="138"/>
      <c r="J9" s="226">
        <v>2740000</v>
      </c>
      <c r="K9" s="141"/>
      <c r="L9" s="150"/>
      <c r="M9" s="141"/>
      <c r="N9" s="141"/>
      <c r="O9" s="139">
        <f t="shared" si="0"/>
        <v>6894840</v>
      </c>
      <c r="P9" s="139">
        <v>12090909</v>
      </c>
      <c r="Q9" s="139">
        <f t="shared" si="1"/>
        <v>5196069</v>
      </c>
      <c r="R9" s="217"/>
      <c r="S9" s="215"/>
      <c r="T9" s="215"/>
    </row>
    <row r="10" spans="1:20" s="144" customFormat="1" ht="24.95" customHeight="1" x14ac:dyDescent="0.2">
      <c r="A10" s="211">
        <v>4</v>
      </c>
      <c r="B10" s="191">
        <v>43316</v>
      </c>
      <c r="C10" s="138" t="s">
        <v>1885</v>
      </c>
      <c r="D10" s="138" t="s">
        <v>1911</v>
      </c>
      <c r="E10" s="146" t="s">
        <v>298</v>
      </c>
      <c r="F10" s="138"/>
      <c r="G10" s="138">
        <v>240</v>
      </c>
      <c r="H10" s="141">
        <v>4137600</v>
      </c>
      <c r="I10" s="138"/>
      <c r="J10" s="226">
        <v>970000</v>
      </c>
      <c r="K10" s="141"/>
      <c r="L10" s="150"/>
      <c r="M10" s="141"/>
      <c r="N10" s="141"/>
      <c r="O10" s="139">
        <f t="shared" si="0"/>
        <v>5107600</v>
      </c>
      <c r="P10" s="139">
        <v>3700000</v>
      </c>
      <c r="Q10" s="139">
        <f t="shared" si="1"/>
        <v>-1407600</v>
      </c>
      <c r="R10" s="217"/>
      <c r="S10" s="215"/>
      <c r="T10" s="215"/>
    </row>
    <row r="11" spans="1:20" s="144" customFormat="1" ht="24.95" customHeight="1" x14ac:dyDescent="0.2">
      <c r="A11" s="211">
        <v>5</v>
      </c>
      <c r="B11" s="191">
        <v>43318</v>
      </c>
      <c r="C11" s="138" t="s">
        <v>534</v>
      </c>
      <c r="D11" s="138" t="s">
        <v>1912</v>
      </c>
      <c r="E11" s="146" t="s">
        <v>1933</v>
      </c>
      <c r="F11" s="138"/>
      <c r="G11" s="138">
        <v>230</v>
      </c>
      <c r="H11" s="141">
        <v>3965200</v>
      </c>
      <c r="I11" s="138"/>
      <c r="J11" s="226">
        <v>970000</v>
      </c>
      <c r="K11" s="141"/>
      <c r="L11" s="150"/>
      <c r="M11" s="141"/>
      <c r="N11" s="141"/>
      <c r="O11" s="139">
        <f t="shared" si="0"/>
        <v>4935200</v>
      </c>
      <c r="P11" s="141">
        <v>3500000</v>
      </c>
      <c r="Q11" s="139">
        <f t="shared" si="1"/>
        <v>-1435200</v>
      </c>
      <c r="R11" s="217"/>
      <c r="S11" s="215"/>
      <c r="T11" s="215"/>
    </row>
    <row r="12" spans="1:20" s="144" customFormat="1" ht="24.95" customHeight="1" x14ac:dyDescent="0.2">
      <c r="A12" s="211">
        <v>6</v>
      </c>
      <c r="B12" s="191">
        <v>43319</v>
      </c>
      <c r="C12" s="138" t="s">
        <v>1886</v>
      </c>
      <c r="D12" s="138" t="s">
        <v>1913</v>
      </c>
      <c r="E12" s="146" t="s">
        <v>1218</v>
      </c>
      <c r="F12" s="138"/>
      <c r="G12" s="138"/>
      <c r="H12" s="141"/>
      <c r="I12" s="138"/>
      <c r="J12" s="226">
        <v>790000</v>
      </c>
      <c r="K12" s="141"/>
      <c r="L12" s="150"/>
      <c r="M12" s="141"/>
      <c r="N12" s="141"/>
      <c r="O12" s="139">
        <f t="shared" si="0"/>
        <v>790000</v>
      </c>
      <c r="P12" s="141">
        <v>3200000</v>
      </c>
      <c r="Q12" s="139">
        <f t="shared" si="1"/>
        <v>2410000</v>
      </c>
      <c r="R12" s="217"/>
      <c r="S12" s="215"/>
      <c r="T12" s="215"/>
    </row>
    <row r="13" spans="1:20" s="144" customFormat="1" ht="24.95" customHeight="1" x14ac:dyDescent="0.2">
      <c r="A13" s="211">
        <v>7</v>
      </c>
      <c r="B13" s="191">
        <v>43320</v>
      </c>
      <c r="C13" s="138" t="s">
        <v>537</v>
      </c>
      <c r="D13" s="138" t="s">
        <v>1914</v>
      </c>
      <c r="E13" s="146" t="s">
        <v>1934</v>
      </c>
      <c r="F13" s="138"/>
      <c r="G13" s="138">
        <v>270</v>
      </c>
      <c r="H13" s="141">
        <v>4733100</v>
      </c>
      <c r="I13" s="138"/>
      <c r="J13" s="226">
        <v>640000</v>
      </c>
      <c r="K13" s="141"/>
      <c r="L13" s="150"/>
      <c r="M13" s="141"/>
      <c r="N13" s="141"/>
      <c r="O13" s="139">
        <f t="shared" si="0"/>
        <v>5373100</v>
      </c>
      <c r="P13" s="141">
        <v>4100000</v>
      </c>
      <c r="Q13" s="139">
        <f t="shared" si="1"/>
        <v>-1273100</v>
      </c>
      <c r="R13" s="217"/>
      <c r="S13" s="215"/>
      <c r="T13" s="215"/>
    </row>
    <row r="14" spans="1:20" s="144" customFormat="1" ht="24.95" customHeight="1" x14ac:dyDescent="0.2">
      <c r="A14" s="211">
        <v>8</v>
      </c>
      <c r="B14" s="191">
        <v>43321</v>
      </c>
      <c r="C14" s="138" t="s">
        <v>1887</v>
      </c>
      <c r="D14" s="138" t="s">
        <v>1915</v>
      </c>
      <c r="E14" s="146" t="s">
        <v>509</v>
      </c>
      <c r="F14" s="138"/>
      <c r="G14" s="138"/>
      <c r="H14" s="141"/>
      <c r="I14" s="138"/>
      <c r="J14" s="226">
        <f>970000+400000</f>
        <v>1370000</v>
      </c>
      <c r="K14" s="141"/>
      <c r="L14" s="150"/>
      <c r="M14" s="141"/>
      <c r="N14" s="141"/>
      <c r="O14" s="139">
        <f t="shared" si="0"/>
        <v>1370000</v>
      </c>
      <c r="P14" s="141">
        <v>3800000</v>
      </c>
      <c r="Q14" s="139">
        <f t="shared" si="1"/>
        <v>2430000</v>
      </c>
      <c r="R14" s="217"/>
      <c r="S14" s="215"/>
      <c r="T14" s="215"/>
    </row>
    <row r="15" spans="1:20" s="144" customFormat="1" ht="24.95" customHeight="1" x14ac:dyDescent="0.2">
      <c r="A15" s="211">
        <v>9</v>
      </c>
      <c r="B15" s="191">
        <v>43321</v>
      </c>
      <c r="C15" s="138" t="s">
        <v>1888</v>
      </c>
      <c r="D15" s="138" t="s">
        <v>1915</v>
      </c>
      <c r="E15" s="146" t="s">
        <v>1935</v>
      </c>
      <c r="F15" s="138"/>
      <c r="G15" s="138"/>
      <c r="H15" s="141"/>
      <c r="I15" s="138"/>
      <c r="J15" s="226">
        <v>0</v>
      </c>
      <c r="K15" s="141"/>
      <c r="L15" s="150"/>
      <c r="M15" s="141"/>
      <c r="N15" s="141"/>
      <c r="O15" s="139">
        <f t="shared" si="0"/>
        <v>0</v>
      </c>
      <c r="P15" s="141">
        <v>2700000</v>
      </c>
      <c r="Q15" s="139">
        <f t="shared" si="1"/>
        <v>2700000</v>
      </c>
      <c r="R15" s="217"/>
      <c r="S15" s="215"/>
      <c r="T15" s="215"/>
    </row>
    <row r="16" spans="1:20" s="144" customFormat="1" ht="24.95" customHeight="1" x14ac:dyDescent="0.2">
      <c r="A16" s="211">
        <v>10</v>
      </c>
      <c r="B16" s="191">
        <v>43322</v>
      </c>
      <c r="C16" s="138" t="s">
        <v>1889</v>
      </c>
      <c r="D16" s="138" t="s">
        <v>1916</v>
      </c>
      <c r="E16" s="146" t="s">
        <v>829</v>
      </c>
      <c r="F16" s="138"/>
      <c r="G16" s="138"/>
      <c r="H16" s="141"/>
      <c r="I16" s="138"/>
      <c r="J16" s="226">
        <f>430000+230000</f>
        <v>660000</v>
      </c>
      <c r="K16" s="141"/>
      <c r="L16" s="150"/>
      <c r="M16" s="141"/>
      <c r="N16" s="141"/>
      <c r="O16" s="139">
        <f t="shared" si="0"/>
        <v>660000</v>
      </c>
      <c r="P16" s="141">
        <v>3700000</v>
      </c>
      <c r="Q16" s="139">
        <f t="shared" si="1"/>
        <v>3040000</v>
      </c>
      <c r="R16" s="217"/>
      <c r="S16" s="215"/>
      <c r="T16" s="215"/>
    </row>
    <row r="17" spans="1:20" s="144" customFormat="1" ht="24.95" customHeight="1" x14ac:dyDescent="0.2">
      <c r="A17" s="211">
        <v>11</v>
      </c>
      <c r="B17" s="191">
        <v>43323</v>
      </c>
      <c r="C17" s="138" t="s">
        <v>1890</v>
      </c>
      <c r="D17" s="138" t="s">
        <v>1917</v>
      </c>
      <c r="E17" s="146" t="s">
        <v>25</v>
      </c>
      <c r="F17" s="138"/>
      <c r="G17" s="138">
        <v>340</v>
      </c>
      <c r="H17" s="141">
        <v>5960200</v>
      </c>
      <c r="I17" s="138"/>
      <c r="J17" s="226">
        <v>1710000</v>
      </c>
      <c r="K17" s="141"/>
      <c r="L17" s="150"/>
      <c r="M17" s="141"/>
      <c r="N17" s="141"/>
      <c r="O17" s="139">
        <f t="shared" si="0"/>
        <v>7670200</v>
      </c>
      <c r="P17" s="141">
        <v>7500000</v>
      </c>
      <c r="Q17" s="139">
        <f t="shared" si="1"/>
        <v>-170200</v>
      </c>
      <c r="R17" s="217"/>
      <c r="S17" s="215"/>
      <c r="T17" s="215"/>
    </row>
    <row r="18" spans="1:20" s="144" customFormat="1" ht="24.95" customHeight="1" x14ac:dyDescent="0.2">
      <c r="A18" s="211">
        <v>12</v>
      </c>
      <c r="B18" s="191">
        <v>43325</v>
      </c>
      <c r="C18" s="138" t="s">
        <v>1891</v>
      </c>
      <c r="D18" s="138" t="s">
        <v>1918</v>
      </c>
      <c r="E18" s="146" t="s">
        <v>1936</v>
      </c>
      <c r="F18" s="138"/>
      <c r="G18" s="138">
        <v>170</v>
      </c>
      <c r="H18" s="141">
        <v>2980100</v>
      </c>
      <c r="I18" s="138"/>
      <c r="J18" s="208">
        <f>1060000-90000</f>
        <v>970000</v>
      </c>
      <c r="K18" s="141"/>
      <c r="L18" s="150"/>
      <c r="M18" s="141"/>
      <c r="N18" s="141"/>
      <c r="O18" s="139">
        <f t="shared" si="0"/>
        <v>3950100</v>
      </c>
      <c r="P18" s="141">
        <v>3800000</v>
      </c>
      <c r="Q18" s="139">
        <f t="shared" si="1"/>
        <v>-150100</v>
      </c>
      <c r="R18" s="217"/>
      <c r="S18" s="215"/>
      <c r="T18" s="215"/>
    </row>
    <row r="19" spans="1:20" s="144" customFormat="1" ht="24.95" customHeight="1" x14ac:dyDescent="0.2">
      <c r="A19" s="211">
        <v>13</v>
      </c>
      <c r="B19" s="191">
        <v>43326</v>
      </c>
      <c r="C19" s="138" t="s">
        <v>1892</v>
      </c>
      <c r="D19" s="138" t="s">
        <v>1919</v>
      </c>
      <c r="E19" s="146" t="s">
        <v>1937</v>
      </c>
      <c r="F19" s="138"/>
      <c r="G19" s="138"/>
      <c r="H19" s="141"/>
      <c r="I19" s="138"/>
      <c r="J19" s="226">
        <f>790000+400000</f>
        <v>1190000</v>
      </c>
      <c r="K19" s="141"/>
      <c r="L19" s="150"/>
      <c r="M19" s="141"/>
      <c r="N19" s="141"/>
      <c r="O19" s="139">
        <f t="shared" si="0"/>
        <v>1190000</v>
      </c>
      <c r="P19" s="141">
        <v>3300000</v>
      </c>
      <c r="Q19" s="139">
        <f t="shared" si="1"/>
        <v>2110000</v>
      </c>
      <c r="R19" s="217"/>
      <c r="S19" s="215"/>
      <c r="T19" s="215"/>
    </row>
    <row r="20" spans="1:20" s="144" customFormat="1" ht="24.95" customHeight="1" x14ac:dyDescent="0.2">
      <c r="A20" s="211">
        <v>14</v>
      </c>
      <c r="B20" s="191">
        <v>43327</v>
      </c>
      <c r="C20" s="138" t="s">
        <v>1893</v>
      </c>
      <c r="D20" s="138" t="s">
        <v>1919</v>
      </c>
      <c r="E20" s="146" t="s">
        <v>1937</v>
      </c>
      <c r="F20" s="138"/>
      <c r="G20" s="138"/>
      <c r="H20" s="141"/>
      <c r="I20" s="138"/>
      <c r="J20" s="226">
        <v>0</v>
      </c>
      <c r="K20" s="141"/>
      <c r="L20" s="150"/>
      <c r="M20" s="141"/>
      <c r="N20" s="141"/>
      <c r="O20" s="139">
        <f t="shared" si="0"/>
        <v>0</v>
      </c>
      <c r="P20" s="141">
        <v>1500000</v>
      </c>
      <c r="Q20" s="139">
        <f t="shared" si="1"/>
        <v>1500000</v>
      </c>
      <c r="R20" s="217"/>
      <c r="S20" s="215"/>
      <c r="T20" s="215"/>
    </row>
    <row r="21" spans="1:20" s="144" customFormat="1" ht="24.95" customHeight="1" x14ac:dyDescent="0.2">
      <c r="A21" s="211">
        <v>15</v>
      </c>
      <c r="B21" s="191">
        <v>43327</v>
      </c>
      <c r="C21" s="138" t="s">
        <v>1894</v>
      </c>
      <c r="D21" s="138" t="s">
        <v>1920</v>
      </c>
      <c r="E21" s="146" t="s">
        <v>338</v>
      </c>
      <c r="F21" s="138"/>
      <c r="G21" s="138"/>
      <c r="H21" s="141"/>
      <c r="I21" s="138"/>
      <c r="J21" s="226">
        <v>970000</v>
      </c>
      <c r="K21" s="141"/>
      <c r="L21" s="150"/>
      <c r="M21" s="141"/>
      <c r="N21" s="141"/>
      <c r="O21" s="139">
        <f t="shared" si="0"/>
        <v>970000</v>
      </c>
      <c r="P21" s="141">
        <v>3800000</v>
      </c>
      <c r="Q21" s="139">
        <f t="shared" si="1"/>
        <v>2830000</v>
      </c>
      <c r="R21" s="217"/>
      <c r="S21" s="215"/>
      <c r="T21" s="215"/>
    </row>
    <row r="22" spans="1:20" s="144" customFormat="1" ht="24.95" customHeight="1" x14ac:dyDescent="0.2">
      <c r="A22" s="211">
        <v>16</v>
      </c>
      <c r="B22" s="191">
        <v>43328</v>
      </c>
      <c r="C22" s="138" t="s">
        <v>1895</v>
      </c>
      <c r="D22" s="138" t="s">
        <v>1921</v>
      </c>
      <c r="E22" s="146" t="s">
        <v>298</v>
      </c>
      <c r="F22" s="138"/>
      <c r="G22" s="138">
        <v>295</v>
      </c>
      <c r="H22" s="141">
        <v>5171350</v>
      </c>
      <c r="I22" s="138"/>
      <c r="J22" s="226">
        <v>970000</v>
      </c>
      <c r="K22" s="141"/>
      <c r="L22" s="150"/>
      <c r="M22" s="141"/>
      <c r="N22" s="141"/>
      <c r="O22" s="139">
        <f t="shared" si="0"/>
        <v>6141350</v>
      </c>
      <c r="P22" s="141">
        <v>3700000</v>
      </c>
      <c r="Q22" s="139">
        <f t="shared" si="1"/>
        <v>-2441350</v>
      </c>
      <c r="R22" s="217"/>
      <c r="S22" s="215"/>
      <c r="T22" s="215"/>
    </row>
    <row r="23" spans="1:20" s="144" customFormat="1" ht="24.95" customHeight="1" x14ac:dyDescent="0.2">
      <c r="A23" s="211">
        <v>17</v>
      </c>
      <c r="B23" s="191">
        <v>43329</v>
      </c>
      <c r="C23" s="138" t="s">
        <v>1896</v>
      </c>
      <c r="D23" s="138" t="s">
        <v>1922</v>
      </c>
      <c r="E23" s="146" t="s">
        <v>338</v>
      </c>
      <c r="F23" s="138"/>
      <c r="G23" s="138"/>
      <c r="H23" s="141"/>
      <c r="I23" s="138"/>
      <c r="J23" s="226">
        <v>970000</v>
      </c>
      <c r="K23" s="141"/>
      <c r="L23" s="150"/>
      <c r="M23" s="141"/>
      <c r="N23" s="141"/>
      <c r="O23" s="139">
        <f t="shared" si="0"/>
        <v>970000</v>
      </c>
      <c r="P23" s="141">
        <v>3600000</v>
      </c>
      <c r="Q23" s="139">
        <f t="shared" si="1"/>
        <v>2630000</v>
      </c>
      <c r="R23" s="217"/>
      <c r="S23" s="215"/>
      <c r="T23" s="215"/>
    </row>
    <row r="24" spans="1:20" s="144" customFormat="1" ht="24.95" customHeight="1" x14ac:dyDescent="0.2">
      <c r="A24" s="211">
        <v>18</v>
      </c>
      <c r="B24" s="191">
        <v>43332</v>
      </c>
      <c r="C24" s="138" t="s">
        <v>1897</v>
      </c>
      <c r="D24" s="138" t="s">
        <v>1923</v>
      </c>
      <c r="E24" s="146" t="s">
        <v>893</v>
      </c>
      <c r="F24" s="138"/>
      <c r="G24" s="138">
        <v>200</v>
      </c>
      <c r="H24" s="141">
        <v>3506000</v>
      </c>
      <c r="I24" s="138"/>
      <c r="J24" s="226">
        <f>880000+400000</f>
        <v>1280000</v>
      </c>
      <c r="K24" s="141"/>
      <c r="L24" s="150"/>
      <c r="M24" s="141"/>
      <c r="N24" s="141"/>
      <c r="O24" s="139">
        <f t="shared" si="0"/>
        <v>4786000</v>
      </c>
      <c r="P24" s="141">
        <v>5500000</v>
      </c>
      <c r="Q24" s="139">
        <f t="shared" si="1"/>
        <v>714000</v>
      </c>
      <c r="R24" s="217"/>
      <c r="S24" s="215"/>
      <c r="T24" s="215"/>
    </row>
    <row r="25" spans="1:20" s="144" customFormat="1" ht="24.95" customHeight="1" x14ac:dyDescent="0.2">
      <c r="A25" s="211">
        <v>19</v>
      </c>
      <c r="B25" s="191">
        <v>43332</v>
      </c>
      <c r="C25" s="138" t="s">
        <v>1898</v>
      </c>
      <c r="D25" s="138" t="s">
        <v>1923</v>
      </c>
      <c r="E25" s="146" t="s">
        <v>1938</v>
      </c>
      <c r="F25" s="138"/>
      <c r="G25" s="138"/>
      <c r="H25" s="141"/>
      <c r="I25" s="138"/>
      <c r="J25" s="226">
        <v>0</v>
      </c>
      <c r="K25" s="141"/>
      <c r="L25" s="150"/>
      <c r="M25" s="141"/>
      <c r="N25" s="141"/>
      <c r="O25" s="139">
        <f t="shared" si="0"/>
        <v>0</v>
      </c>
      <c r="P25" s="141">
        <v>0</v>
      </c>
      <c r="Q25" s="139">
        <f t="shared" si="1"/>
        <v>0</v>
      </c>
      <c r="R25" s="217"/>
      <c r="S25" s="215"/>
      <c r="T25" s="215"/>
    </row>
    <row r="26" spans="1:20" s="144" customFormat="1" ht="24.95" customHeight="1" x14ac:dyDescent="0.2">
      <c r="A26" s="211">
        <v>20</v>
      </c>
      <c r="B26" s="191">
        <v>43332</v>
      </c>
      <c r="C26" s="138" t="s">
        <v>1899</v>
      </c>
      <c r="D26" s="138" t="s">
        <v>1924</v>
      </c>
      <c r="E26" s="146" t="s">
        <v>654</v>
      </c>
      <c r="F26" s="138"/>
      <c r="G26" s="138"/>
      <c r="H26" s="141"/>
      <c r="I26" s="138"/>
      <c r="J26" s="226">
        <v>1160000</v>
      </c>
      <c r="K26" s="141"/>
      <c r="L26" s="150"/>
      <c r="M26" s="141"/>
      <c r="N26" s="141"/>
      <c r="O26" s="139">
        <f t="shared" si="0"/>
        <v>1160000</v>
      </c>
      <c r="P26" s="141">
        <v>4700000</v>
      </c>
      <c r="Q26" s="139">
        <f t="shared" si="1"/>
        <v>3540000</v>
      </c>
      <c r="R26" s="217"/>
      <c r="S26" s="215"/>
      <c r="T26" s="215"/>
    </row>
    <row r="27" spans="1:20" s="144" customFormat="1" ht="24.95" customHeight="1" x14ac:dyDescent="0.2">
      <c r="A27" s="211">
        <v>21</v>
      </c>
      <c r="B27" s="191">
        <v>43333</v>
      </c>
      <c r="C27" s="138" t="s">
        <v>1900</v>
      </c>
      <c r="D27" s="138" t="s">
        <v>1925</v>
      </c>
      <c r="E27" s="146" t="s">
        <v>1939</v>
      </c>
      <c r="F27" s="138"/>
      <c r="G27" s="138"/>
      <c r="H27" s="141"/>
      <c r="I27" s="138"/>
      <c r="J27" s="226">
        <v>450000</v>
      </c>
      <c r="K27" s="141"/>
      <c r="L27" s="150"/>
      <c r="M27" s="141"/>
      <c r="N27" s="141"/>
      <c r="O27" s="139">
        <f t="shared" si="0"/>
        <v>450000</v>
      </c>
      <c r="P27" s="141">
        <v>3200000</v>
      </c>
      <c r="Q27" s="139">
        <f t="shared" si="1"/>
        <v>2750000</v>
      </c>
      <c r="R27" s="217"/>
      <c r="S27" s="215"/>
      <c r="T27" s="215"/>
    </row>
    <row r="28" spans="1:20" s="144" customFormat="1" ht="24.95" customHeight="1" x14ac:dyDescent="0.2">
      <c r="A28" s="211">
        <v>22</v>
      </c>
      <c r="B28" s="191">
        <v>43334</v>
      </c>
      <c r="C28" s="138" t="s">
        <v>1901</v>
      </c>
      <c r="D28" s="138" t="s">
        <v>1926</v>
      </c>
      <c r="E28" s="146" t="s">
        <v>25</v>
      </c>
      <c r="F28" s="138"/>
      <c r="G28" s="138">
        <v>310</v>
      </c>
      <c r="H28" s="141">
        <v>5480800</v>
      </c>
      <c r="I28" s="138"/>
      <c r="J28" s="226">
        <v>1710000</v>
      </c>
      <c r="K28" s="141"/>
      <c r="L28" s="150"/>
      <c r="M28" s="141"/>
      <c r="N28" s="141"/>
      <c r="O28" s="139">
        <f t="shared" si="0"/>
        <v>7190800</v>
      </c>
      <c r="P28" s="141">
        <v>7500000</v>
      </c>
      <c r="Q28" s="139">
        <f t="shared" si="1"/>
        <v>309200</v>
      </c>
      <c r="R28" s="217"/>
      <c r="S28" s="215"/>
      <c r="T28" s="215"/>
    </row>
    <row r="29" spans="1:20" s="144" customFormat="1" ht="24.95" customHeight="1" x14ac:dyDescent="0.2">
      <c r="A29" s="211">
        <v>23</v>
      </c>
      <c r="B29" s="191">
        <v>43335</v>
      </c>
      <c r="C29" s="138" t="s">
        <v>1253</v>
      </c>
      <c r="D29" s="138" t="s">
        <v>1927</v>
      </c>
      <c r="E29" s="146" t="s">
        <v>333</v>
      </c>
      <c r="F29" s="138"/>
      <c r="G29" s="138"/>
      <c r="H29" s="141"/>
      <c r="I29" s="138"/>
      <c r="J29" s="226">
        <v>1160000</v>
      </c>
      <c r="K29" s="141"/>
      <c r="L29" s="150"/>
      <c r="M29" s="141"/>
      <c r="N29" s="141"/>
      <c r="O29" s="139">
        <f t="shared" si="0"/>
        <v>1160000</v>
      </c>
      <c r="P29" s="141">
        <v>4700000</v>
      </c>
      <c r="Q29" s="139">
        <f t="shared" si="1"/>
        <v>3540000</v>
      </c>
      <c r="R29" s="217"/>
      <c r="S29" s="215"/>
      <c r="T29" s="215"/>
    </row>
    <row r="30" spans="1:20" s="144" customFormat="1" ht="24.95" customHeight="1" x14ac:dyDescent="0.2">
      <c r="A30" s="211">
        <v>24</v>
      </c>
      <c r="B30" s="191">
        <v>43336</v>
      </c>
      <c r="C30" s="138" t="s">
        <v>1902</v>
      </c>
      <c r="D30" s="138" t="s">
        <v>1928</v>
      </c>
      <c r="E30" s="146" t="s">
        <v>24</v>
      </c>
      <c r="F30" s="138"/>
      <c r="G30" s="138">
        <v>371</v>
      </c>
      <c r="H30" s="141">
        <v>6559280</v>
      </c>
      <c r="I30" s="138"/>
      <c r="J30" s="226">
        <v>430000</v>
      </c>
      <c r="K30" s="141"/>
      <c r="L30" s="150"/>
      <c r="M30" s="141"/>
      <c r="N30" s="141"/>
      <c r="O30" s="139">
        <f t="shared" si="0"/>
        <v>6989280</v>
      </c>
      <c r="P30" s="141">
        <v>3200000</v>
      </c>
      <c r="Q30" s="139">
        <f t="shared" si="1"/>
        <v>-3789280</v>
      </c>
      <c r="R30" s="217"/>
      <c r="S30" s="215"/>
      <c r="T30" s="215"/>
    </row>
    <row r="31" spans="1:20" s="144" customFormat="1" ht="24.95" customHeight="1" x14ac:dyDescent="0.2">
      <c r="A31" s="211">
        <v>25</v>
      </c>
      <c r="B31" s="191">
        <v>43339</v>
      </c>
      <c r="C31" s="138" t="s">
        <v>1903</v>
      </c>
      <c r="D31" s="138" t="s">
        <v>1929</v>
      </c>
      <c r="E31" s="146" t="s">
        <v>723</v>
      </c>
      <c r="F31" s="138"/>
      <c r="G31" s="138"/>
      <c r="H31" s="141"/>
      <c r="I31" s="138"/>
      <c r="J31" s="226">
        <f>970000+400000</f>
        <v>1370000</v>
      </c>
      <c r="K31" s="141"/>
      <c r="L31" s="150"/>
      <c r="M31" s="141"/>
      <c r="N31" s="141"/>
      <c r="O31" s="139">
        <f t="shared" si="0"/>
        <v>1370000</v>
      </c>
      <c r="P31" s="141">
        <v>2809091</v>
      </c>
      <c r="Q31" s="139">
        <f t="shared" si="1"/>
        <v>1439091</v>
      </c>
      <c r="R31" s="217"/>
      <c r="S31" s="215"/>
      <c r="T31" s="215"/>
    </row>
    <row r="32" spans="1:20" s="144" customFormat="1" ht="24.95" customHeight="1" x14ac:dyDescent="0.2">
      <c r="A32" s="211">
        <v>26</v>
      </c>
      <c r="B32" s="191">
        <v>43339</v>
      </c>
      <c r="C32" s="138" t="s">
        <v>1904</v>
      </c>
      <c r="D32" s="138" t="s">
        <v>1929</v>
      </c>
      <c r="E32" s="146" t="s">
        <v>1938</v>
      </c>
      <c r="F32" s="138"/>
      <c r="G32" s="138"/>
      <c r="H32" s="141"/>
      <c r="I32" s="138"/>
      <c r="J32" s="226">
        <v>0</v>
      </c>
      <c r="K32" s="141"/>
      <c r="L32" s="150"/>
      <c r="M32" s="141"/>
      <c r="N32" s="141"/>
      <c r="O32" s="139">
        <f t="shared" si="0"/>
        <v>0</v>
      </c>
      <c r="P32" s="141">
        <v>2490909</v>
      </c>
      <c r="Q32" s="139">
        <f t="shared" si="1"/>
        <v>2490909</v>
      </c>
      <c r="R32" s="217"/>
      <c r="S32" s="215"/>
      <c r="T32" s="215"/>
    </row>
    <row r="33" spans="1:20" s="144" customFormat="1" ht="24.95" customHeight="1" x14ac:dyDescent="0.2">
      <c r="A33" s="211">
        <v>27</v>
      </c>
      <c r="B33" s="191">
        <v>43339</v>
      </c>
      <c r="C33" s="138" t="s">
        <v>1905</v>
      </c>
      <c r="D33" s="138" t="s">
        <v>1268</v>
      </c>
      <c r="E33" s="146" t="s">
        <v>1940</v>
      </c>
      <c r="F33" s="138"/>
      <c r="G33" s="138"/>
      <c r="H33" s="141"/>
      <c r="I33" s="138"/>
      <c r="J33" s="226">
        <v>1510000</v>
      </c>
      <c r="K33" s="141"/>
      <c r="L33" s="150"/>
      <c r="M33" s="141"/>
      <c r="N33" s="141"/>
      <c r="O33" s="139">
        <f t="shared" si="0"/>
        <v>1510000</v>
      </c>
      <c r="P33" s="141">
        <v>7100000</v>
      </c>
      <c r="Q33" s="139">
        <f t="shared" si="1"/>
        <v>5590000</v>
      </c>
      <c r="R33" s="217"/>
      <c r="S33" s="215"/>
      <c r="T33" s="215"/>
    </row>
    <row r="34" spans="1:20" s="144" customFormat="1" ht="24.95" customHeight="1" x14ac:dyDescent="0.2">
      <c r="A34" s="211">
        <v>28</v>
      </c>
      <c r="B34" s="191">
        <v>43340</v>
      </c>
      <c r="C34" s="138" t="s">
        <v>587</v>
      </c>
      <c r="D34" s="138" t="s">
        <v>1930</v>
      </c>
      <c r="E34" s="146" t="s">
        <v>513</v>
      </c>
      <c r="F34" s="138"/>
      <c r="G34" s="138"/>
      <c r="H34" s="139"/>
      <c r="I34" s="138"/>
      <c r="J34" s="226">
        <f>970000+950000</f>
        <v>1920000</v>
      </c>
      <c r="K34" s="141"/>
      <c r="L34" s="150"/>
      <c r="M34" s="141"/>
      <c r="N34" s="141"/>
      <c r="O34" s="139">
        <f t="shared" si="0"/>
        <v>1920000</v>
      </c>
      <c r="P34" s="141">
        <v>7000000</v>
      </c>
      <c r="Q34" s="139">
        <f t="shared" si="1"/>
        <v>5080000</v>
      </c>
      <c r="R34" s="217"/>
      <c r="S34" s="215"/>
      <c r="T34" s="215"/>
    </row>
    <row r="35" spans="1:20" s="144" customFormat="1" ht="24.95" customHeight="1" x14ac:dyDescent="0.2">
      <c r="A35" s="211">
        <v>29</v>
      </c>
      <c r="B35" s="231">
        <v>43340</v>
      </c>
      <c r="C35" s="138" t="s">
        <v>1906</v>
      </c>
      <c r="D35" s="138" t="s">
        <v>1930</v>
      </c>
      <c r="E35" s="146" t="s">
        <v>1166</v>
      </c>
      <c r="F35" s="138"/>
      <c r="G35" s="138"/>
      <c r="H35" s="139"/>
      <c r="I35" s="138"/>
      <c r="J35" s="226">
        <v>0</v>
      </c>
      <c r="K35" s="141"/>
      <c r="L35" s="150"/>
      <c r="M35" s="141"/>
      <c r="N35" s="141"/>
      <c r="O35" s="139">
        <f>SUM(H35:N35)</f>
        <v>0</v>
      </c>
      <c r="P35" s="141">
        <v>0</v>
      </c>
      <c r="Q35" s="139">
        <f t="shared" si="1"/>
        <v>0</v>
      </c>
      <c r="R35" s="217"/>
      <c r="S35" s="215"/>
      <c r="T35" s="215"/>
    </row>
    <row r="36" spans="1:20" s="144" customFormat="1" ht="24.95" customHeight="1" x14ac:dyDescent="0.2">
      <c r="A36" s="211">
        <v>30</v>
      </c>
      <c r="B36" s="231">
        <v>43341</v>
      </c>
      <c r="C36" s="138" t="s">
        <v>1907</v>
      </c>
      <c r="D36" s="138" t="s">
        <v>1931</v>
      </c>
      <c r="E36" s="146" t="s">
        <v>1941</v>
      </c>
      <c r="F36" s="138"/>
      <c r="G36" s="138">
        <v>270</v>
      </c>
      <c r="H36" s="139">
        <v>4773600</v>
      </c>
      <c r="I36" s="138"/>
      <c r="J36" s="208">
        <f>960000+400000</f>
        <v>1360000</v>
      </c>
      <c r="K36" s="141"/>
      <c r="L36" s="150"/>
      <c r="M36" s="141"/>
      <c r="N36" s="141"/>
      <c r="O36" s="208">
        <f t="shared" si="0"/>
        <v>6133600</v>
      </c>
      <c r="P36" s="141">
        <v>5900000</v>
      </c>
      <c r="Q36" s="139">
        <f t="shared" si="1"/>
        <v>-233600</v>
      </c>
      <c r="R36" s="217"/>
      <c r="S36" s="215"/>
      <c r="T36" s="215"/>
    </row>
    <row r="37" spans="1:20" s="144" customFormat="1" ht="24.95" customHeight="1" x14ac:dyDescent="0.2">
      <c r="A37" s="211"/>
      <c r="B37" s="231">
        <v>43342</v>
      </c>
      <c r="C37" s="138" t="s">
        <v>1257</v>
      </c>
      <c r="D37" s="138" t="s">
        <v>1932</v>
      </c>
      <c r="E37" s="146" t="s">
        <v>1942</v>
      </c>
      <c r="F37" s="138"/>
      <c r="G37" s="138">
        <v>320</v>
      </c>
      <c r="H37" s="139">
        <v>5657600</v>
      </c>
      <c r="I37" s="138"/>
      <c r="J37" s="226">
        <v>1010000</v>
      </c>
      <c r="K37" s="141"/>
      <c r="L37" s="150"/>
      <c r="M37" s="141"/>
      <c r="N37" s="141"/>
      <c r="O37" s="208">
        <f t="shared" si="0"/>
        <v>6667600</v>
      </c>
      <c r="P37" s="139">
        <v>4200000</v>
      </c>
      <c r="Q37" s="139">
        <f t="shared" si="1"/>
        <v>-2467600</v>
      </c>
      <c r="R37" s="217"/>
      <c r="S37" s="215"/>
      <c r="T37" s="215"/>
    </row>
    <row r="38" spans="1:20" s="144" customFormat="1" ht="24.95" customHeight="1" x14ac:dyDescent="0.2">
      <c r="A38" s="211"/>
      <c r="B38" s="232"/>
      <c r="C38" s="138"/>
      <c r="D38" s="138"/>
      <c r="E38" s="146"/>
      <c r="F38" s="138"/>
      <c r="G38" s="138"/>
      <c r="H38" s="139"/>
      <c r="I38" s="138"/>
      <c r="J38" s="141"/>
      <c r="K38" s="141"/>
      <c r="L38" s="150"/>
      <c r="M38" s="141"/>
      <c r="N38" s="141"/>
      <c r="O38" s="139">
        <f t="shared" si="0"/>
        <v>0</v>
      </c>
      <c r="P38" s="139"/>
      <c r="Q38" s="139">
        <f t="shared" si="1"/>
        <v>0</v>
      </c>
      <c r="R38" s="217"/>
      <c r="S38" s="215"/>
      <c r="T38" s="215"/>
    </row>
    <row r="39" spans="1:20" s="144" customFormat="1" ht="24.95" customHeight="1" x14ac:dyDescent="0.2">
      <c r="A39" s="211"/>
      <c r="B39" s="232"/>
      <c r="C39" s="138"/>
      <c r="D39" s="138"/>
      <c r="E39" s="146"/>
      <c r="F39" s="138"/>
      <c r="G39" s="138"/>
      <c r="H39" s="139"/>
      <c r="I39" s="138"/>
      <c r="J39" s="141"/>
      <c r="K39" s="141"/>
      <c r="L39" s="150"/>
      <c r="M39" s="141"/>
      <c r="N39" s="141"/>
      <c r="O39" s="139">
        <f t="shared" si="0"/>
        <v>0</v>
      </c>
      <c r="P39" s="139"/>
      <c r="Q39" s="139">
        <f t="shared" si="1"/>
        <v>0</v>
      </c>
      <c r="R39" s="217"/>
      <c r="S39" s="215"/>
      <c r="T39" s="215"/>
    </row>
    <row r="40" spans="1:20" s="144" customFormat="1" ht="24.95" customHeight="1" x14ac:dyDescent="0.2">
      <c r="A40" s="211"/>
      <c r="C40" s="138"/>
      <c r="D40" s="138"/>
      <c r="E40" s="146"/>
      <c r="F40" s="138"/>
      <c r="G40" s="138"/>
      <c r="H40" s="139"/>
      <c r="I40" s="138"/>
      <c r="J40" s="141"/>
      <c r="K40" s="141"/>
      <c r="L40" s="150"/>
      <c r="M40" s="141"/>
      <c r="N40" s="141"/>
      <c r="O40" s="139">
        <f t="shared" si="0"/>
        <v>0</v>
      </c>
      <c r="P40" s="139"/>
      <c r="Q40" s="139">
        <f t="shared" si="1"/>
        <v>0</v>
      </c>
      <c r="R40" s="217"/>
      <c r="S40" s="215"/>
      <c r="T40" s="215"/>
    </row>
    <row r="41" spans="1:20" s="144" customFormat="1" ht="24.95" customHeight="1" x14ac:dyDescent="0.2">
      <c r="A41" s="211"/>
      <c r="C41" s="221" t="s">
        <v>1943</v>
      </c>
      <c r="D41" s="220"/>
      <c r="E41" s="221"/>
      <c r="F41" s="220"/>
      <c r="G41" s="220"/>
      <c r="H41" s="219"/>
      <c r="I41" s="220"/>
      <c r="J41" s="157"/>
      <c r="K41" s="157"/>
      <c r="L41" s="157">
        <v>750000</v>
      </c>
      <c r="M41" s="157"/>
      <c r="N41" s="141"/>
      <c r="O41" s="139">
        <f t="shared" si="0"/>
        <v>750000</v>
      </c>
      <c r="P41" s="139"/>
      <c r="Q41" s="139">
        <f t="shared" si="1"/>
        <v>-750000</v>
      </c>
      <c r="R41" s="217"/>
      <c r="S41" s="215"/>
      <c r="T41" s="215"/>
    </row>
    <row r="42" spans="1:20" s="144" customFormat="1" ht="24.95" customHeight="1" x14ac:dyDescent="0.2">
      <c r="A42" s="211"/>
      <c r="C42" s="221" t="s">
        <v>1944</v>
      </c>
      <c r="D42" s="220"/>
      <c r="E42" s="221"/>
      <c r="F42" s="220"/>
      <c r="G42" s="220"/>
      <c r="H42" s="219"/>
      <c r="I42" s="220"/>
      <c r="J42" s="157"/>
      <c r="K42" s="157"/>
      <c r="L42" s="157"/>
      <c r="M42" s="157"/>
      <c r="N42" s="157"/>
      <c r="O42" s="139">
        <f t="shared" si="0"/>
        <v>0</v>
      </c>
      <c r="P42" s="139">
        <v>570000</v>
      </c>
      <c r="Q42" s="139">
        <f t="shared" si="1"/>
        <v>570000</v>
      </c>
      <c r="R42" s="217"/>
      <c r="S42" s="215"/>
      <c r="T42" s="215"/>
    </row>
    <row r="43" spans="1:20" s="144" customFormat="1" ht="24.95" customHeight="1" x14ac:dyDescent="0.2">
      <c r="A43" s="211"/>
      <c r="B43" s="191"/>
      <c r="C43" s="221" t="s">
        <v>1945</v>
      </c>
      <c r="D43" s="220"/>
      <c r="E43" s="221"/>
      <c r="F43" s="220"/>
      <c r="G43" s="220"/>
      <c r="H43" s="219"/>
      <c r="I43" s="220"/>
      <c r="J43" s="157"/>
      <c r="L43" s="157">
        <v>800000</v>
      </c>
      <c r="M43" s="157"/>
      <c r="N43" s="141"/>
      <c r="O43" s="139">
        <f t="shared" si="0"/>
        <v>800000</v>
      </c>
      <c r="P43" s="139"/>
      <c r="Q43" s="139">
        <f t="shared" si="1"/>
        <v>-800000</v>
      </c>
      <c r="R43" s="217"/>
      <c r="S43" s="215"/>
      <c r="T43" s="215"/>
    </row>
    <row r="44" spans="1:20" s="144" customFormat="1" ht="43.5" customHeight="1" x14ac:dyDescent="0.2">
      <c r="A44" s="211"/>
      <c r="B44" s="191"/>
      <c r="C44" s="221" t="s">
        <v>1948</v>
      </c>
      <c r="D44" s="220"/>
      <c r="E44" s="221"/>
      <c r="F44" s="220"/>
      <c r="G44" s="220"/>
      <c r="H44" s="219"/>
      <c r="I44" s="220"/>
      <c r="J44" s="157"/>
      <c r="L44" s="157"/>
      <c r="M44" s="157">
        <v>9900000</v>
      </c>
      <c r="N44" s="141"/>
      <c r="O44" s="139">
        <f t="shared" si="0"/>
        <v>9900000</v>
      </c>
      <c r="P44" s="139"/>
      <c r="Q44" s="139">
        <f t="shared" si="1"/>
        <v>-9900000</v>
      </c>
      <c r="R44" s="217"/>
      <c r="S44" s="215"/>
      <c r="T44" s="215"/>
    </row>
    <row r="45" spans="1:20" s="144" customFormat="1" ht="39.75" customHeight="1" x14ac:dyDescent="0.2">
      <c r="A45" s="211"/>
      <c r="B45" s="191"/>
      <c r="C45" s="221" t="s">
        <v>1946</v>
      </c>
      <c r="D45" s="220"/>
      <c r="E45" s="221"/>
      <c r="F45" s="220"/>
      <c r="G45" s="220"/>
      <c r="H45" s="219"/>
      <c r="I45" s="220"/>
      <c r="J45" s="157"/>
      <c r="L45" s="157">
        <v>2800000</v>
      </c>
      <c r="M45" s="157"/>
      <c r="N45" s="141"/>
      <c r="O45" s="139">
        <f t="shared" si="0"/>
        <v>2800000</v>
      </c>
      <c r="P45" s="139"/>
      <c r="Q45" s="139">
        <f t="shared" si="1"/>
        <v>-2800000</v>
      </c>
      <c r="R45" s="217"/>
      <c r="S45" s="215"/>
      <c r="T45" s="215"/>
    </row>
    <row r="46" spans="1:20" s="144" customFormat="1" ht="39.75" customHeight="1" x14ac:dyDescent="0.2">
      <c r="A46" s="211"/>
      <c r="B46" s="191"/>
      <c r="C46" s="221" t="s">
        <v>1949</v>
      </c>
      <c r="D46" s="220"/>
      <c r="E46" s="221"/>
      <c r="F46" s="220"/>
      <c r="G46" s="220"/>
      <c r="H46" s="219"/>
      <c r="I46" s="220"/>
      <c r="J46" s="157"/>
      <c r="L46" s="157">
        <v>100000</v>
      </c>
      <c r="M46" s="157"/>
      <c r="N46" s="141"/>
      <c r="O46" s="139">
        <f t="shared" si="0"/>
        <v>100000</v>
      </c>
      <c r="P46" s="139"/>
      <c r="Q46" s="139">
        <f t="shared" si="1"/>
        <v>-100000</v>
      </c>
      <c r="R46" s="217"/>
      <c r="S46" s="215"/>
      <c r="T46" s="215"/>
    </row>
    <row r="47" spans="1:20" s="144" customFormat="1" ht="39.75" customHeight="1" x14ac:dyDescent="0.2">
      <c r="A47" s="211"/>
      <c r="B47" s="191"/>
      <c r="C47" s="221" t="s">
        <v>1947</v>
      </c>
      <c r="D47" s="220"/>
      <c r="E47" s="221"/>
      <c r="F47" s="220"/>
      <c r="G47" s="220"/>
      <c r="H47" s="219"/>
      <c r="I47" s="220"/>
      <c r="J47" s="157"/>
      <c r="L47" s="157">
        <v>900000</v>
      </c>
      <c r="M47" s="157"/>
      <c r="N47" s="141"/>
      <c r="O47" s="139">
        <f t="shared" si="0"/>
        <v>900000</v>
      </c>
      <c r="P47" s="139"/>
      <c r="Q47" s="139">
        <f t="shared" si="1"/>
        <v>-900000</v>
      </c>
      <c r="R47" s="217"/>
      <c r="S47" s="215"/>
      <c r="T47" s="215"/>
    </row>
    <row r="48" spans="1:20" s="144" customFormat="1" ht="39.75" customHeight="1" x14ac:dyDescent="0.2">
      <c r="A48" s="211"/>
      <c r="B48" s="191"/>
      <c r="C48" s="221" t="s">
        <v>1950</v>
      </c>
      <c r="D48" s="220"/>
      <c r="E48" s="221"/>
      <c r="F48" s="220"/>
      <c r="G48" s="220"/>
      <c r="H48" s="219"/>
      <c r="I48" s="220"/>
      <c r="J48" s="157"/>
      <c r="L48" s="157">
        <v>120000</v>
      </c>
      <c r="M48" s="157"/>
      <c r="N48" s="141"/>
      <c r="O48" s="139">
        <f t="shared" si="0"/>
        <v>120000</v>
      </c>
      <c r="P48" s="139"/>
      <c r="Q48" s="139">
        <f t="shared" si="1"/>
        <v>-120000</v>
      </c>
      <c r="R48" s="217"/>
      <c r="S48" s="215"/>
      <c r="T48" s="215"/>
    </row>
    <row r="49" spans="1:20" s="144" customFormat="1" ht="39.75" customHeight="1" x14ac:dyDescent="0.2">
      <c r="A49" s="211"/>
      <c r="B49" s="191"/>
      <c r="C49" s="221" t="s">
        <v>1951</v>
      </c>
      <c r="D49" s="220"/>
      <c r="E49" s="221"/>
      <c r="F49" s="220"/>
      <c r="G49" s="220"/>
      <c r="H49" s="219"/>
      <c r="I49" s="220"/>
      <c r="J49" s="157"/>
      <c r="L49" s="157">
        <v>60000</v>
      </c>
      <c r="M49" s="157"/>
      <c r="N49" s="141"/>
      <c r="O49" s="139">
        <f t="shared" si="0"/>
        <v>60000</v>
      </c>
      <c r="P49" s="139"/>
      <c r="Q49" s="139">
        <f t="shared" si="1"/>
        <v>-60000</v>
      </c>
      <c r="R49" s="217"/>
      <c r="S49" s="215"/>
      <c r="T49" s="215"/>
    </row>
    <row r="50" spans="1:20" s="159" customFormat="1" ht="24.95" customHeight="1" x14ac:dyDescent="0.25">
      <c r="A50" s="211"/>
      <c r="B50" s="165"/>
      <c r="C50" s="196" t="s">
        <v>1337</v>
      </c>
      <c r="D50" s="195"/>
      <c r="E50" s="197"/>
      <c r="F50" s="195"/>
      <c r="G50" s="195"/>
      <c r="H50" s="155"/>
      <c r="I50" s="195"/>
      <c r="J50" s="155"/>
      <c r="K50" s="233">
        <v>10038462</v>
      </c>
      <c r="L50" s="155"/>
      <c r="M50" s="155"/>
      <c r="N50" s="155"/>
      <c r="O50" s="139">
        <f t="shared" si="0"/>
        <v>10038462</v>
      </c>
      <c r="P50" s="139"/>
      <c r="Q50" s="139">
        <f t="shared" si="1"/>
        <v>-10038462</v>
      </c>
      <c r="S50" s="215"/>
      <c r="T50" s="215"/>
    </row>
    <row r="51" spans="1:20" s="159" customFormat="1" ht="24.95" customHeight="1" x14ac:dyDescent="0.25">
      <c r="A51" s="211"/>
      <c r="B51" s="203"/>
      <c r="C51" s="152" t="s">
        <v>1094</v>
      </c>
      <c r="D51" s="153"/>
      <c r="E51" s="154"/>
      <c r="F51" s="153"/>
      <c r="G51" s="153"/>
      <c r="H51" s="156"/>
      <c r="I51" s="153"/>
      <c r="J51" s="156"/>
      <c r="K51" s="204">
        <f>1200000*1.1</f>
        <v>1320000</v>
      </c>
      <c r="L51" s="204"/>
      <c r="M51" s="156"/>
      <c r="N51" s="156"/>
      <c r="O51" s="139">
        <f t="shared" si="0"/>
        <v>1320000</v>
      </c>
      <c r="P51" s="139"/>
      <c r="Q51" s="139">
        <f t="shared" si="1"/>
        <v>-1320000</v>
      </c>
      <c r="R51" s="186"/>
      <c r="S51" s="215"/>
      <c r="T51" s="215"/>
    </row>
    <row r="52" spans="1:20" ht="24.95" customHeight="1" x14ac:dyDescent="0.25">
      <c r="A52" s="426" t="s">
        <v>20</v>
      </c>
      <c r="B52" s="426"/>
      <c r="C52" s="426"/>
      <c r="D52" s="426"/>
      <c r="E52" s="426"/>
      <c r="F52" s="426"/>
      <c r="G52" s="161">
        <f t="shared" ref="G52:P52" si="2">SUM(G7:G51)</f>
        <v>3257</v>
      </c>
      <c r="H52" s="161">
        <f>SUM(H7:H51)</f>
        <v>57079670</v>
      </c>
      <c r="I52" s="161">
        <f t="shared" ref="I52:N52" si="3">SUM(I7:I51)</f>
        <v>0</v>
      </c>
      <c r="J52" s="161">
        <f t="shared" si="3"/>
        <v>33760000</v>
      </c>
      <c r="K52" s="161">
        <f t="shared" si="3"/>
        <v>11358462</v>
      </c>
      <c r="L52" s="161">
        <f t="shared" si="3"/>
        <v>5530000</v>
      </c>
      <c r="M52" s="161">
        <f t="shared" si="3"/>
        <v>9900000</v>
      </c>
      <c r="N52" s="161">
        <f t="shared" si="3"/>
        <v>0</v>
      </c>
      <c r="O52" s="161">
        <f>SUM(O7:O51)</f>
        <v>117628132</v>
      </c>
      <c r="P52" s="161">
        <f t="shared" si="2"/>
        <v>147042727</v>
      </c>
      <c r="Q52" s="161">
        <f>SUM(Q7:Q51)</f>
        <v>29414595</v>
      </c>
      <c r="R52" s="187"/>
      <c r="S52" s="189"/>
    </row>
    <row r="53" spans="1:20" ht="24.95" customHeight="1" x14ac:dyDescent="0.25">
      <c r="O53" s="158"/>
      <c r="Q53" s="158"/>
    </row>
    <row r="54" spans="1:20" ht="24.95" customHeight="1" x14ac:dyDescent="0.25">
      <c r="P54" s="216" t="s">
        <v>1603</v>
      </c>
      <c r="Q54" s="227">
        <f>'07-2018'!Q45+'08-2018'!Q52</f>
        <v>170002027</v>
      </c>
    </row>
    <row r="55" spans="1:20" ht="24.95" customHeight="1" x14ac:dyDescent="0.25">
      <c r="B55" s="129"/>
      <c r="H55" s="128"/>
      <c r="J55" s="128"/>
      <c r="K55" s="128"/>
      <c r="L55" s="128"/>
      <c r="M55" s="128"/>
      <c r="N55" s="128"/>
      <c r="O55" s="128"/>
      <c r="P55" s="218"/>
      <c r="Q55" s="216"/>
    </row>
    <row r="56" spans="1:20" ht="24.95" customHeight="1" x14ac:dyDescent="0.25">
      <c r="B56" s="129"/>
      <c r="H56" s="128"/>
      <c r="J56" s="128"/>
      <c r="K56" s="128"/>
      <c r="L56" s="128"/>
      <c r="M56" s="128"/>
      <c r="N56" s="128"/>
      <c r="O56" s="128"/>
      <c r="P56" s="218"/>
      <c r="Q56" s="230"/>
    </row>
    <row r="57" spans="1:20" ht="24.95" customHeight="1" x14ac:dyDescent="0.25">
      <c r="B57" s="129"/>
      <c r="H57" s="128"/>
      <c r="J57" s="128"/>
      <c r="K57" s="128"/>
      <c r="L57" s="128"/>
      <c r="M57" s="128"/>
      <c r="N57" s="128"/>
      <c r="O57" s="128"/>
      <c r="P57" s="218"/>
      <c r="Q57" s="230"/>
    </row>
    <row r="58" spans="1:20" ht="24.95" customHeight="1" x14ac:dyDescent="0.25">
      <c r="B58" s="129"/>
      <c r="H58" s="128"/>
      <c r="J58" s="128"/>
      <c r="K58" s="128"/>
      <c r="L58" s="128"/>
      <c r="M58" s="128"/>
      <c r="N58" s="128"/>
      <c r="O58" s="128"/>
      <c r="P58" s="218"/>
      <c r="Q58" s="216"/>
    </row>
    <row r="59" spans="1:20" x14ac:dyDescent="0.25">
      <c r="B59" s="129"/>
      <c r="H59" s="128"/>
      <c r="J59" s="128"/>
      <c r="K59" s="128"/>
      <c r="L59" s="128"/>
      <c r="M59" s="128"/>
      <c r="N59" s="128"/>
      <c r="O59" s="128"/>
      <c r="P59" s="218"/>
      <c r="Q59" s="216"/>
    </row>
    <row r="60" spans="1:20" x14ac:dyDescent="0.25">
      <c r="A60" s="128"/>
      <c r="B60" s="129"/>
      <c r="H60" s="128"/>
      <c r="J60" s="128"/>
      <c r="K60" s="128"/>
      <c r="L60" s="128"/>
      <c r="M60" s="128"/>
      <c r="N60" s="128"/>
      <c r="O60" s="128"/>
      <c r="P60" s="218"/>
      <c r="Q60" s="216"/>
    </row>
    <row r="61" spans="1:20" x14ac:dyDescent="0.25">
      <c r="A61" s="128"/>
      <c r="B61" s="129"/>
      <c r="H61" s="128"/>
      <c r="J61" s="128"/>
      <c r="K61" s="128"/>
      <c r="L61" s="128"/>
      <c r="M61" s="128"/>
      <c r="N61" s="128"/>
      <c r="O61" s="128"/>
      <c r="P61" s="128"/>
      <c r="Q61" s="216"/>
    </row>
    <row r="62" spans="1:20" x14ac:dyDescent="0.25">
      <c r="A62" s="128"/>
      <c r="B62" s="128"/>
      <c r="H62" s="128"/>
      <c r="J62" s="128"/>
      <c r="K62" s="128"/>
      <c r="L62" s="128"/>
      <c r="M62" s="128"/>
      <c r="N62" s="128"/>
      <c r="O62" s="128"/>
      <c r="P62" s="128"/>
      <c r="Q62" s="216"/>
    </row>
    <row r="63" spans="1:20" x14ac:dyDescent="0.25">
      <c r="A63" s="128"/>
      <c r="B63" s="128"/>
      <c r="H63" s="128"/>
      <c r="J63" s="128"/>
      <c r="K63" s="128"/>
      <c r="L63" s="128"/>
      <c r="M63" s="128"/>
      <c r="N63" s="128"/>
      <c r="O63" s="128"/>
      <c r="P63" s="128"/>
      <c r="Q63" s="216"/>
    </row>
  </sheetData>
  <mergeCells count="14">
    <mergeCell ref="O5:O6"/>
    <mergeCell ref="P5:P6"/>
    <mergeCell ref="Q5:Q6"/>
    <mergeCell ref="A52:F52"/>
    <mergeCell ref="A1:Q1"/>
    <mergeCell ref="A2:Q2"/>
    <mergeCell ref="B3:Q3"/>
    <mergeCell ref="A5:A6"/>
    <mergeCell ref="B5:B6"/>
    <mergeCell ref="C5:C6"/>
    <mergeCell ref="D5:D6"/>
    <mergeCell ref="E5:E6"/>
    <mergeCell ref="F5:F6"/>
    <mergeCell ref="G5:N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50"/>
  <sheetViews>
    <sheetView topLeftCell="E31" workbookViewId="0">
      <selection activeCell="J39" sqref="J3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1952</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43343</v>
      </c>
      <c r="C7" s="138" t="s">
        <v>1953</v>
      </c>
      <c r="D7" s="138" t="s">
        <v>1971</v>
      </c>
      <c r="E7" s="146" t="s">
        <v>1937</v>
      </c>
      <c r="F7" s="138"/>
      <c r="G7" s="138"/>
      <c r="H7" s="141"/>
      <c r="I7" s="138"/>
      <c r="J7" s="226">
        <v>790000</v>
      </c>
      <c r="K7" s="141"/>
      <c r="L7" s="150"/>
      <c r="M7" s="141"/>
      <c r="N7" s="141"/>
      <c r="O7" s="139">
        <f>SUM(H7:N7)</f>
        <v>790000</v>
      </c>
      <c r="P7" s="139">
        <v>3300000</v>
      </c>
      <c r="Q7" s="139">
        <f>P7-O7</f>
        <v>2510000</v>
      </c>
      <c r="R7" s="217"/>
      <c r="S7" s="215"/>
      <c r="T7" s="215"/>
    </row>
    <row r="8" spans="1:20" s="144" customFormat="1" ht="24.95" customHeight="1" x14ac:dyDescent="0.2">
      <c r="A8" s="211">
        <v>2</v>
      </c>
      <c r="B8" s="191">
        <v>43347</v>
      </c>
      <c r="C8" s="138" t="s">
        <v>1954</v>
      </c>
      <c r="D8" s="138" t="s">
        <v>1972</v>
      </c>
      <c r="E8" s="146" t="s">
        <v>25</v>
      </c>
      <c r="F8" s="138"/>
      <c r="G8" s="138">
        <v>225</v>
      </c>
      <c r="H8" s="141">
        <v>3978000</v>
      </c>
      <c r="I8" s="138"/>
      <c r="J8" s="226">
        <v>1710000</v>
      </c>
      <c r="K8" s="141"/>
      <c r="L8" s="150"/>
      <c r="M8" s="141"/>
      <c r="N8" s="141"/>
      <c r="O8" s="139">
        <f t="shared" ref="O8:O38" si="0">SUM(H8:N8)</f>
        <v>5688000</v>
      </c>
      <c r="P8" s="139">
        <v>7500000</v>
      </c>
      <c r="Q8" s="139">
        <f t="shared" ref="Q8:Q38" si="1">P8-O8</f>
        <v>1812000</v>
      </c>
      <c r="R8" s="217"/>
      <c r="S8" s="215"/>
      <c r="T8" s="215"/>
    </row>
    <row r="9" spans="1:20" s="144" customFormat="1" ht="24.95" customHeight="1" x14ac:dyDescent="0.2">
      <c r="A9" s="211">
        <v>3</v>
      </c>
      <c r="B9" s="191">
        <v>43347</v>
      </c>
      <c r="C9" s="138" t="s">
        <v>1955</v>
      </c>
      <c r="D9" s="138" t="s">
        <v>1973</v>
      </c>
      <c r="E9" s="146" t="s">
        <v>1876</v>
      </c>
      <c r="F9" s="138"/>
      <c r="G9" s="138"/>
      <c r="H9" s="141"/>
      <c r="I9" s="138"/>
      <c r="J9" s="226">
        <v>960000</v>
      </c>
      <c r="K9" s="141"/>
      <c r="L9" s="150"/>
      <c r="M9" s="141"/>
      <c r="N9" s="141"/>
      <c r="O9" s="139">
        <f t="shared" si="0"/>
        <v>960000</v>
      </c>
      <c r="P9" s="139">
        <v>3700000</v>
      </c>
      <c r="Q9" s="139">
        <f t="shared" si="1"/>
        <v>2740000</v>
      </c>
      <c r="R9" s="217"/>
      <c r="S9" s="215"/>
      <c r="T9" s="215"/>
    </row>
    <row r="10" spans="1:20" s="144" customFormat="1" ht="24.95" customHeight="1" x14ac:dyDescent="0.2">
      <c r="A10" s="211">
        <v>4</v>
      </c>
      <c r="B10" s="191">
        <v>43348</v>
      </c>
      <c r="C10" s="138" t="s">
        <v>1956</v>
      </c>
      <c r="D10" s="138" t="s">
        <v>1974</v>
      </c>
      <c r="E10" s="146" t="s">
        <v>1874</v>
      </c>
      <c r="F10" s="138"/>
      <c r="G10" s="138"/>
      <c r="H10" s="141"/>
      <c r="I10" s="138"/>
      <c r="J10" s="226">
        <v>970000</v>
      </c>
      <c r="K10" s="141"/>
      <c r="L10" s="150"/>
      <c r="M10" s="141"/>
      <c r="N10" s="141"/>
      <c r="O10" s="139">
        <f t="shared" si="0"/>
        <v>970000</v>
      </c>
      <c r="P10" s="139">
        <v>5200000</v>
      </c>
      <c r="Q10" s="139">
        <f t="shared" si="1"/>
        <v>4230000</v>
      </c>
      <c r="R10" s="217"/>
      <c r="S10" s="215"/>
      <c r="T10" s="215"/>
    </row>
    <row r="11" spans="1:20" s="144" customFormat="1" ht="24.95" customHeight="1" x14ac:dyDescent="0.2">
      <c r="A11" s="211">
        <v>5</v>
      </c>
      <c r="B11" s="191">
        <v>43349</v>
      </c>
      <c r="C11" s="138" t="s">
        <v>1957</v>
      </c>
      <c r="D11" s="138" t="s">
        <v>1975</v>
      </c>
      <c r="E11" s="146" t="s">
        <v>1997</v>
      </c>
      <c r="F11" s="138"/>
      <c r="G11" s="138">
        <v>265</v>
      </c>
      <c r="H11" s="141">
        <v>4685200</v>
      </c>
      <c r="I11" s="138"/>
      <c r="J11" s="226">
        <v>790000</v>
      </c>
      <c r="K11" s="141"/>
      <c r="L11" s="150"/>
      <c r="M11" s="141"/>
      <c r="N11" s="141"/>
      <c r="O11" s="139">
        <f t="shared" si="0"/>
        <v>5475200</v>
      </c>
      <c r="P11" s="141">
        <v>2800000</v>
      </c>
      <c r="Q11" s="139">
        <f t="shared" si="1"/>
        <v>-2675200</v>
      </c>
      <c r="R11" s="217"/>
      <c r="S11" s="215"/>
      <c r="T11" s="215"/>
    </row>
    <row r="12" spans="1:20" s="144" customFormat="1" ht="24.95" customHeight="1" x14ac:dyDescent="0.2">
      <c r="A12" s="211">
        <v>6</v>
      </c>
      <c r="B12" s="191">
        <v>43350</v>
      </c>
      <c r="C12" s="138" t="s">
        <v>1958</v>
      </c>
      <c r="D12" s="138" t="s">
        <v>1976</v>
      </c>
      <c r="E12" s="146" t="s">
        <v>1997</v>
      </c>
      <c r="F12" s="138"/>
      <c r="G12" s="138"/>
      <c r="H12" s="141"/>
      <c r="I12" s="138"/>
      <c r="J12" s="226">
        <v>790000</v>
      </c>
      <c r="K12" s="141"/>
      <c r="L12" s="150"/>
      <c r="M12" s="141"/>
      <c r="N12" s="141"/>
      <c r="O12" s="139">
        <f t="shared" si="0"/>
        <v>790000</v>
      </c>
      <c r="P12" s="141">
        <v>2800000</v>
      </c>
      <c r="Q12" s="139">
        <f t="shared" si="1"/>
        <v>2010000</v>
      </c>
      <c r="R12" s="217"/>
      <c r="S12" s="215"/>
      <c r="T12" s="215"/>
    </row>
    <row r="13" spans="1:20" s="144" customFormat="1" ht="24.95" customHeight="1" x14ac:dyDescent="0.2">
      <c r="A13" s="211">
        <v>7</v>
      </c>
      <c r="B13" s="191">
        <v>43350</v>
      </c>
      <c r="C13" s="138" t="s">
        <v>1297</v>
      </c>
      <c r="D13" s="138" t="s">
        <v>1977</v>
      </c>
      <c r="E13" s="146" t="s">
        <v>298</v>
      </c>
      <c r="F13" s="138"/>
      <c r="G13" s="138"/>
      <c r="H13" s="141"/>
      <c r="I13" s="138"/>
      <c r="J13" s="226">
        <v>970000</v>
      </c>
      <c r="K13" s="141"/>
      <c r="L13" s="150"/>
      <c r="M13" s="141"/>
      <c r="N13" s="141"/>
      <c r="O13" s="139">
        <f t="shared" si="0"/>
        <v>970000</v>
      </c>
      <c r="P13" s="141">
        <v>3800000</v>
      </c>
      <c r="Q13" s="139">
        <f t="shared" si="1"/>
        <v>2830000</v>
      </c>
      <c r="R13" s="217"/>
      <c r="S13" s="215"/>
      <c r="T13" s="215"/>
    </row>
    <row r="14" spans="1:20" s="144" customFormat="1" ht="24.95" customHeight="1" x14ac:dyDescent="0.2">
      <c r="A14" s="211">
        <v>8</v>
      </c>
      <c r="B14" s="191">
        <v>43351</v>
      </c>
      <c r="C14" s="138" t="s">
        <v>1959</v>
      </c>
      <c r="D14" s="138" t="s">
        <v>1978</v>
      </c>
      <c r="E14" s="146" t="s">
        <v>298</v>
      </c>
      <c r="F14" s="138"/>
      <c r="G14" s="138">
        <v>245</v>
      </c>
      <c r="H14" s="141">
        <v>4424700</v>
      </c>
      <c r="I14" s="138"/>
      <c r="J14" s="226">
        <v>970000</v>
      </c>
      <c r="K14" s="141"/>
      <c r="L14" s="150"/>
      <c r="M14" s="141"/>
      <c r="N14" s="141"/>
      <c r="O14" s="139">
        <f t="shared" si="0"/>
        <v>5394700</v>
      </c>
      <c r="P14" s="141">
        <v>3800000</v>
      </c>
      <c r="Q14" s="139">
        <f t="shared" si="1"/>
        <v>-1594700</v>
      </c>
      <c r="R14" s="217"/>
      <c r="S14" s="215"/>
      <c r="T14" s="215"/>
    </row>
    <row r="15" spans="1:20" s="144" customFormat="1" ht="24.95" customHeight="1" x14ac:dyDescent="0.2">
      <c r="A15" s="211">
        <v>9</v>
      </c>
      <c r="B15" s="191">
        <v>43353</v>
      </c>
      <c r="C15" s="138" t="s">
        <v>1299</v>
      </c>
      <c r="D15" s="138" t="s">
        <v>1979</v>
      </c>
      <c r="E15" s="146" t="s">
        <v>333</v>
      </c>
      <c r="F15" s="138"/>
      <c r="G15" s="138"/>
      <c r="H15" s="141"/>
      <c r="I15" s="138"/>
      <c r="J15" s="226">
        <v>1160000</v>
      </c>
      <c r="K15" s="141"/>
      <c r="L15" s="150"/>
      <c r="M15" s="141"/>
      <c r="N15" s="141"/>
      <c r="O15" s="139">
        <f t="shared" si="0"/>
        <v>1160000</v>
      </c>
      <c r="P15" s="141">
        <v>4700000</v>
      </c>
      <c r="Q15" s="139">
        <f t="shared" si="1"/>
        <v>3540000</v>
      </c>
      <c r="R15" s="217"/>
      <c r="S15" s="215"/>
      <c r="T15" s="215"/>
    </row>
    <row r="16" spans="1:20" s="144" customFormat="1" ht="24.95" customHeight="1" x14ac:dyDescent="0.2">
      <c r="A16" s="211">
        <v>10</v>
      </c>
      <c r="B16" s="191">
        <v>43354</v>
      </c>
      <c r="C16" s="138" t="s">
        <v>1960</v>
      </c>
      <c r="D16" s="138" t="s">
        <v>1980</v>
      </c>
      <c r="E16" s="146" t="s">
        <v>25</v>
      </c>
      <c r="F16" s="138"/>
      <c r="G16" s="138">
        <v>300</v>
      </c>
      <c r="H16" s="141">
        <v>5418000</v>
      </c>
      <c r="I16" s="138"/>
      <c r="J16" s="226">
        <v>1710000</v>
      </c>
      <c r="K16" s="141"/>
      <c r="L16" s="150"/>
      <c r="M16" s="141"/>
      <c r="N16" s="141"/>
      <c r="O16" s="139">
        <f t="shared" si="0"/>
        <v>7128000</v>
      </c>
      <c r="P16" s="141">
        <v>7500000</v>
      </c>
      <c r="Q16" s="139">
        <f t="shared" si="1"/>
        <v>372000</v>
      </c>
      <c r="R16" s="217"/>
      <c r="S16" s="215"/>
      <c r="T16" s="215"/>
    </row>
    <row r="17" spans="1:20" s="144" customFormat="1" ht="24.95" customHeight="1" x14ac:dyDescent="0.2">
      <c r="A17" s="211">
        <v>11</v>
      </c>
      <c r="B17" s="191">
        <v>43355</v>
      </c>
      <c r="C17" s="138" t="s">
        <v>1961</v>
      </c>
      <c r="D17" s="138" t="s">
        <v>1981</v>
      </c>
      <c r="E17" s="146" t="s">
        <v>1937</v>
      </c>
      <c r="F17" s="138"/>
      <c r="G17" s="138"/>
      <c r="H17" s="141"/>
      <c r="I17" s="138"/>
      <c r="J17" s="226">
        <v>790000</v>
      </c>
      <c r="K17" s="141"/>
      <c r="L17" s="150"/>
      <c r="M17" s="141"/>
      <c r="N17" s="141"/>
      <c r="O17" s="139">
        <f t="shared" si="0"/>
        <v>790000</v>
      </c>
      <c r="P17" s="141">
        <v>3300000</v>
      </c>
      <c r="Q17" s="139">
        <f t="shared" si="1"/>
        <v>2510000</v>
      </c>
      <c r="R17" s="217"/>
      <c r="S17" s="215"/>
      <c r="T17" s="215"/>
    </row>
    <row r="18" spans="1:20" s="144" customFormat="1" ht="24.95" customHeight="1" x14ac:dyDescent="0.2">
      <c r="A18" s="211">
        <v>12</v>
      </c>
      <c r="B18" s="191">
        <v>43356</v>
      </c>
      <c r="C18" s="138" t="s">
        <v>1962</v>
      </c>
      <c r="D18" s="138" t="s">
        <v>1982</v>
      </c>
      <c r="E18" s="146" t="s">
        <v>25</v>
      </c>
      <c r="F18" s="138"/>
      <c r="G18" s="138"/>
      <c r="H18" s="141"/>
      <c r="I18" s="138"/>
      <c r="J18" s="226">
        <v>1710000</v>
      </c>
      <c r="K18" s="141"/>
      <c r="L18" s="150"/>
      <c r="M18" s="141"/>
      <c r="N18" s="141"/>
      <c r="O18" s="139">
        <f t="shared" si="0"/>
        <v>1710000</v>
      </c>
      <c r="P18" s="141">
        <v>7227273</v>
      </c>
      <c r="Q18" s="139">
        <f t="shared" si="1"/>
        <v>5517273</v>
      </c>
      <c r="R18" s="217"/>
      <c r="S18" s="215"/>
      <c r="T18" s="215"/>
    </row>
    <row r="19" spans="1:20" s="144" customFormat="1" ht="24.95" customHeight="1" x14ac:dyDescent="0.2">
      <c r="A19" s="211">
        <v>13</v>
      </c>
      <c r="B19" s="191">
        <v>43357</v>
      </c>
      <c r="C19" s="138" t="s">
        <v>1963</v>
      </c>
      <c r="D19" s="138" t="s">
        <v>1983</v>
      </c>
      <c r="E19" s="146" t="s">
        <v>1998</v>
      </c>
      <c r="F19" s="138"/>
      <c r="G19" s="138">
        <v>270</v>
      </c>
      <c r="H19" s="141">
        <v>4876200</v>
      </c>
      <c r="I19" s="138"/>
      <c r="J19" s="226">
        <v>1010000</v>
      </c>
      <c r="K19" s="141"/>
      <c r="L19" s="150"/>
      <c r="M19" s="141"/>
      <c r="N19" s="141"/>
      <c r="O19" s="139">
        <f t="shared" si="0"/>
        <v>5886200</v>
      </c>
      <c r="P19" s="141">
        <v>4200000</v>
      </c>
      <c r="Q19" s="139">
        <f t="shared" si="1"/>
        <v>-1686200</v>
      </c>
      <c r="R19" s="217"/>
      <c r="S19" s="215"/>
      <c r="T19" s="215"/>
    </row>
    <row r="20" spans="1:20" s="144" customFormat="1" ht="24.95" customHeight="1" x14ac:dyDescent="0.2">
      <c r="A20" s="211">
        <v>14</v>
      </c>
      <c r="B20" s="191">
        <v>43360</v>
      </c>
      <c r="C20" s="138" t="s">
        <v>1964</v>
      </c>
      <c r="D20" s="138" t="s">
        <v>1984</v>
      </c>
      <c r="E20" s="146" t="s">
        <v>1999</v>
      </c>
      <c r="F20" s="138"/>
      <c r="G20" s="138">
        <v>310</v>
      </c>
      <c r="H20" s="141">
        <v>5598600</v>
      </c>
      <c r="I20" s="138"/>
      <c r="J20" s="226">
        <v>1330000</v>
      </c>
      <c r="K20" s="141"/>
      <c r="L20" s="150"/>
      <c r="M20" s="141"/>
      <c r="N20" s="141"/>
      <c r="O20" s="139">
        <f t="shared" si="0"/>
        <v>6928600</v>
      </c>
      <c r="P20" s="141">
        <v>6100000</v>
      </c>
      <c r="Q20" s="139">
        <f t="shared" si="1"/>
        <v>-828600</v>
      </c>
      <c r="R20" s="217"/>
      <c r="S20" s="215"/>
      <c r="T20" s="215"/>
    </row>
    <row r="21" spans="1:20" s="144" customFormat="1" ht="24.95" customHeight="1" x14ac:dyDescent="0.2">
      <c r="A21" s="211">
        <v>15</v>
      </c>
      <c r="B21" s="191">
        <v>43361</v>
      </c>
      <c r="C21" s="138" t="s">
        <v>615</v>
      </c>
      <c r="D21" s="138" t="s">
        <v>1985</v>
      </c>
      <c r="E21" s="146" t="s">
        <v>948</v>
      </c>
      <c r="F21" s="138"/>
      <c r="G21" s="138"/>
      <c r="H21" s="141"/>
      <c r="I21" s="138"/>
      <c r="J21" s="226">
        <v>1160000</v>
      </c>
      <c r="K21" s="141"/>
      <c r="L21" s="150"/>
      <c r="M21" s="141"/>
      <c r="N21" s="141"/>
      <c r="O21" s="139">
        <f t="shared" si="0"/>
        <v>1160000</v>
      </c>
      <c r="P21" s="141">
        <v>4800000</v>
      </c>
      <c r="Q21" s="139">
        <f t="shared" si="1"/>
        <v>3640000</v>
      </c>
      <c r="R21" s="217"/>
      <c r="S21" s="215"/>
      <c r="T21" s="215"/>
    </row>
    <row r="22" spans="1:20" s="144" customFormat="1" ht="24.95" customHeight="1" x14ac:dyDescent="0.2">
      <c r="A22" s="211">
        <v>16</v>
      </c>
      <c r="B22" s="191">
        <v>43362</v>
      </c>
      <c r="C22" s="138" t="s">
        <v>1965</v>
      </c>
      <c r="D22" s="138" t="s">
        <v>1986</v>
      </c>
      <c r="E22" s="146" t="s">
        <v>248</v>
      </c>
      <c r="F22" s="138"/>
      <c r="G22" s="138">
        <v>268</v>
      </c>
      <c r="H22" s="141">
        <v>4840080</v>
      </c>
      <c r="I22" s="138"/>
      <c r="J22" s="226">
        <v>810000</v>
      </c>
      <c r="K22" s="141"/>
      <c r="L22" s="150"/>
      <c r="M22" s="141"/>
      <c r="N22" s="141"/>
      <c r="O22" s="139">
        <f t="shared" si="0"/>
        <v>5650080</v>
      </c>
      <c r="P22" s="141">
        <v>4200000</v>
      </c>
      <c r="Q22" s="139">
        <f t="shared" si="1"/>
        <v>-1450080</v>
      </c>
      <c r="R22" s="217"/>
      <c r="S22" s="215"/>
      <c r="T22" s="215"/>
    </row>
    <row r="23" spans="1:20" s="144" customFormat="1" ht="24.95" customHeight="1" x14ac:dyDescent="0.2">
      <c r="A23" s="211">
        <v>17</v>
      </c>
      <c r="B23" s="191">
        <v>43362</v>
      </c>
      <c r="C23" s="138" t="s">
        <v>1315</v>
      </c>
      <c r="D23" s="138" t="s">
        <v>1987</v>
      </c>
      <c r="E23" s="146" t="s">
        <v>298</v>
      </c>
      <c r="F23" s="138"/>
      <c r="G23" s="138"/>
      <c r="H23" s="141"/>
      <c r="I23" s="138"/>
      <c r="J23" s="226">
        <v>970000</v>
      </c>
      <c r="K23" s="141"/>
      <c r="L23" s="150"/>
      <c r="M23" s="141"/>
      <c r="N23" s="141"/>
      <c r="O23" s="139">
        <f t="shared" si="0"/>
        <v>970000</v>
      </c>
      <c r="P23" s="141">
        <v>4000000</v>
      </c>
      <c r="Q23" s="139">
        <f t="shared" si="1"/>
        <v>3030000</v>
      </c>
      <c r="R23" s="217"/>
      <c r="S23" s="215"/>
      <c r="T23" s="215"/>
    </row>
    <row r="24" spans="1:20" s="144" customFormat="1" ht="24.95" customHeight="1" x14ac:dyDescent="0.2">
      <c r="A24" s="211">
        <v>18</v>
      </c>
      <c r="B24" s="191">
        <v>43364</v>
      </c>
      <c r="C24" s="138" t="s">
        <v>619</v>
      </c>
      <c r="D24" s="138" t="s">
        <v>1988</v>
      </c>
      <c r="E24" s="146" t="s">
        <v>2000</v>
      </c>
      <c r="F24" s="138"/>
      <c r="G24" s="138"/>
      <c r="H24" s="141"/>
      <c r="I24" s="138"/>
      <c r="J24" s="226">
        <f>970000+310000</f>
        <v>1280000</v>
      </c>
      <c r="K24" s="141"/>
      <c r="L24" s="150"/>
      <c r="M24" s="141"/>
      <c r="N24" s="141"/>
      <c r="O24" s="139">
        <f t="shared" si="0"/>
        <v>1280000</v>
      </c>
      <c r="P24" s="141">
        <v>8000000</v>
      </c>
      <c r="Q24" s="139">
        <f t="shared" si="1"/>
        <v>6720000</v>
      </c>
      <c r="R24" s="217"/>
      <c r="S24" s="215"/>
      <c r="T24" s="215"/>
    </row>
    <row r="25" spans="1:20" s="144" customFormat="1" ht="24.95" customHeight="1" x14ac:dyDescent="0.2">
      <c r="A25" s="211">
        <v>19</v>
      </c>
      <c r="B25" s="191">
        <v>43365</v>
      </c>
      <c r="C25" s="138" t="s">
        <v>1966</v>
      </c>
      <c r="D25" s="138" t="s">
        <v>1989</v>
      </c>
      <c r="E25" s="146" t="s">
        <v>2001</v>
      </c>
      <c r="F25" s="138"/>
      <c r="G25" s="138"/>
      <c r="H25" s="141"/>
      <c r="I25" s="138"/>
      <c r="J25" s="226">
        <f>970000+400000</f>
        <v>1370000</v>
      </c>
      <c r="K25" s="141"/>
      <c r="L25" s="150"/>
      <c r="M25" s="141"/>
      <c r="N25" s="141"/>
      <c r="O25" s="139">
        <f t="shared" si="0"/>
        <v>1370000</v>
      </c>
      <c r="P25" s="141">
        <v>5300000</v>
      </c>
      <c r="Q25" s="139">
        <f t="shared" si="1"/>
        <v>3930000</v>
      </c>
      <c r="R25" s="217"/>
      <c r="S25" s="215"/>
      <c r="T25" s="215"/>
    </row>
    <row r="26" spans="1:20" s="144" customFormat="1" ht="24.95" customHeight="1" x14ac:dyDescent="0.2">
      <c r="A26" s="211">
        <v>20</v>
      </c>
      <c r="B26" s="191">
        <v>43367</v>
      </c>
      <c r="C26" s="138" t="s">
        <v>1967</v>
      </c>
      <c r="D26" s="138" t="s">
        <v>1990</v>
      </c>
      <c r="E26" s="146" t="s">
        <v>25</v>
      </c>
      <c r="F26" s="138"/>
      <c r="G26" s="138">
        <v>370</v>
      </c>
      <c r="H26" s="141">
        <v>6704400</v>
      </c>
      <c r="I26" s="138"/>
      <c r="J26" s="226">
        <v>1710000</v>
      </c>
      <c r="K26" s="141"/>
      <c r="L26" s="150"/>
      <c r="M26" s="141"/>
      <c r="N26" s="141"/>
      <c r="O26" s="139">
        <f t="shared" si="0"/>
        <v>8414400</v>
      </c>
      <c r="P26" s="141">
        <v>7500000</v>
      </c>
      <c r="Q26" s="139">
        <f t="shared" si="1"/>
        <v>-914400</v>
      </c>
      <c r="R26" s="217"/>
      <c r="S26" s="215"/>
      <c r="T26" s="215"/>
    </row>
    <row r="27" spans="1:20" s="144" customFormat="1" ht="24.95" customHeight="1" x14ac:dyDescent="0.2">
      <c r="A27" s="211">
        <v>21</v>
      </c>
      <c r="B27" s="191">
        <v>43368</v>
      </c>
      <c r="C27" s="138" t="s">
        <v>1968</v>
      </c>
      <c r="D27" s="138" t="s">
        <v>1991</v>
      </c>
      <c r="E27" s="146" t="s">
        <v>2002</v>
      </c>
      <c r="F27" s="138"/>
      <c r="G27" s="138"/>
      <c r="H27" s="141"/>
      <c r="I27" s="138"/>
      <c r="J27" s="226">
        <v>1370000</v>
      </c>
      <c r="K27" s="141"/>
      <c r="L27" s="150"/>
      <c r="M27" s="141"/>
      <c r="N27" s="141"/>
      <c r="O27" s="139">
        <f t="shared" si="0"/>
        <v>1370000</v>
      </c>
      <c r="P27" s="141">
        <v>5400000</v>
      </c>
      <c r="Q27" s="139">
        <f t="shared" si="1"/>
        <v>4030000</v>
      </c>
      <c r="R27" s="217"/>
      <c r="S27" s="215"/>
      <c r="T27" s="215"/>
    </row>
    <row r="28" spans="1:20" s="144" customFormat="1" ht="24.95" customHeight="1" x14ac:dyDescent="0.2">
      <c r="A28" s="211">
        <v>22</v>
      </c>
      <c r="B28" s="191">
        <v>43369</v>
      </c>
      <c r="C28" s="138" t="s">
        <v>1969</v>
      </c>
      <c r="D28" s="138" t="s">
        <v>1992</v>
      </c>
      <c r="E28" s="146" t="s">
        <v>2003</v>
      </c>
      <c r="F28" s="138"/>
      <c r="G28" s="138">
        <v>290</v>
      </c>
      <c r="H28" s="141">
        <v>5254800</v>
      </c>
      <c r="I28" s="138"/>
      <c r="J28" s="226">
        <v>1280000</v>
      </c>
      <c r="K28" s="141"/>
      <c r="L28" s="150"/>
      <c r="M28" s="141"/>
      <c r="N28" s="141"/>
      <c r="O28" s="139">
        <f t="shared" si="0"/>
        <v>6534800</v>
      </c>
      <c r="P28" s="141">
        <v>8200000</v>
      </c>
      <c r="Q28" s="139">
        <f t="shared" si="1"/>
        <v>1665200</v>
      </c>
      <c r="R28" s="217"/>
      <c r="S28" s="215"/>
      <c r="T28" s="215"/>
    </row>
    <row r="29" spans="1:20" s="144" customFormat="1" ht="24.95" customHeight="1" x14ac:dyDescent="0.2">
      <c r="A29" s="211">
        <v>23</v>
      </c>
      <c r="B29" s="191">
        <v>43370</v>
      </c>
      <c r="C29" s="138" t="s">
        <v>1970</v>
      </c>
      <c r="D29" s="138" t="s">
        <v>1993</v>
      </c>
      <c r="E29" s="146" t="s">
        <v>25</v>
      </c>
      <c r="F29" s="138"/>
      <c r="G29" s="138"/>
      <c r="H29" s="141"/>
      <c r="I29" s="138"/>
      <c r="J29" s="226">
        <f>1710000+540000</f>
        <v>2250000</v>
      </c>
      <c r="K29" s="141"/>
      <c r="L29" s="150"/>
      <c r="M29" s="141"/>
      <c r="N29" s="141"/>
      <c r="O29" s="139">
        <f t="shared" si="0"/>
        <v>2250000</v>
      </c>
      <c r="P29" s="141">
        <v>7500000</v>
      </c>
      <c r="Q29" s="139">
        <f t="shared" si="1"/>
        <v>5250000</v>
      </c>
      <c r="R29" s="217"/>
      <c r="S29" s="215"/>
      <c r="T29" s="215"/>
    </row>
    <row r="30" spans="1:20" s="144" customFormat="1" ht="24.95" customHeight="1" x14ac:dyDescent="0.2">
      <c r="A30" s="211">
        <v>24</v>
      </c>
      <c r="B30" s="191">
        <v>43371</v>
      </c>
      <c r="C30" s="138" t="s">
        <v>1322</v>
      </c>
      <c r="D30" s="138" t="s">
        <v>1994</v>
      </c>
      <c r="E30" s="146" t="s">
        <v>1749</v>
      </c>
      <c r="F30" s="138"/>
      <c r="G30" s="138">
        <v>435</v>
      </c>
      <c r="H30" s="141">
        <v>7882200</v>
      </c>
      <c r="I30" s="138"/>
      <c r="J30" s="226">
        <v>800000</v>
      </c>
      <c r="K30" s="141"/>
      <c r="L30" s="150"/>
      <c r="M30" s="141"/>
      <c r="N30" s="141"/>
      <c r="O30" s="139">
        <f t="shared" si="0"/>
        <v>8682200</v>
      </c>
      <c r="P30" s="141">
        <v>2800000</v>
      </c>
      <c r="Q30" s="139">
        <f t="shared" si="1"/>
        <v>-5882200</v>
      </c>
      <c r="R30" s="217"/>
      <c r="S30" s="215"/>
      <c r="T30" s="215"/>
    </row>
    <row r="31" spans="1:20" s="144" customFormat="1" ht="24.95" customHeight="1" x14ac:dyDescent="0.2">
      <c r="A31" s="211"/>
      <c r="B31" s="232"/>
      <c r="C31" s="138"/>
      <c r="D31" s="138"/>
      <c r="E31" s="146"/>
      <c r="F31" s="138"/>
      <c r="G31" s="138"/>
      <c r="H31" s="139"/>
      <c r="I31" s="138"/>
      <c r="J31" s="141"/>
      <c r="K31" s="141"/>
      <c r="L31" s="150"/>
      <c r="M31" s="141"/>
      <c r="N31" s="141"/>
      <c r="O31" s="139">
        <f t="shared" si="0"/>
        <v>0</v>
      </c>
      <c r="P31" s="139"/>
      <c r="Q31" s="139">
        <f t="shared" si="1"/>
        <v>0</v>
      </c>
      <c r="R31" s="217"/>
      <c r="S31" s="215"/>
      <c r="T31" s="215"/>
    </row>
    <row r="32" spans="1:20" s="144" customFormat="1" ht="24.95" customHeight="1" x14ac:dyDescent="0.2">
      <c r="A32" s="211"/>
      <c r="B32" s="232"/>
      <c r="C32" s="138"/>
      <c r="D32" s="138"/>
      <c r="E32" s="146"/>
      <c r="F32" s="138"/>
      <c r="G32" s="138"/>
      <c r="H32" s="139"/>
      <c r="I32" s="138"/>
      <c r="J32" s="141"/>
      <c r="K32" s="141"/>
      <c r="L32" s="150"/>
      <c r="M32" s="141"/>
      <c r="N32" s="141"/>
      <c r="O32" s="139">
        <f t="shared" si="0"/>
        <v>0</v>
      </c>
      <c r="P32" s="139"/>
      <c r="Q32" s="139">
        <f t="shared" si="1"/>
        <v>0</v>
      </c>
      <c r="R32" s="217"/>
      <c r="S32" s="215"/>
      <c r="T32" s="215"/>
    </row>
    <row r="33" spans="1:20" s="144" customFormat="1" ht="24.95" customHeight="1" x14ac:dyDescent="0.2">
      <c r="A33" s="211"/>
      <c r="C33" s="220" t="s">
        <v>2005</v>
      </c>
      <c r="D33" s="138"/>
      <c r="E33" s="146"/>
      <c r="F33" s="138"/>
      <c r="G33" s="138">
        <v>54</v>
      </c>
      <c r="H33" s="139">
        <v>1000000</v>
      </c>
      <c r="I33" s="138"/>
      <c r="J33" s="141"/>
      <c r="K33" s="141"/>
      <c r="L33" s="150"/>
      <c r="M33" s="141"/>
      <c r="N33" s="157"/>
      <c r="O33" s="139">
        <f t="shared" si="0"/>
        <v>1000000</v>
      </c>
      <c r="P33" s="139"/>
      <c r="Q33" s="139">
        <f t="shared" si="1"/>
        <v>-1000000</v>
      </c>
      <c r="R33" s="217"/>
      <c r="S33" s="215"/>
      <c r="T33" s="215"/>
    </row>
    <row r="34" spans="1:20" s="144" customFormat="1" ht="24.95" customHeight="1" x14ac:dyDescent="0.2">
      <c r="A34" s="211"/>
      <c r="C34" s="221" t="s">
        <v>1995</v>
      </c>
      <c r="D34" s="220"/>
      <c r="E34" s="221"/>
      <c r="F34" s="220"/>
      <c r="G34" s="220"/>
      <c r="H34" s="219"/>
      <c r="I34" s="220"/>
      <c r="J34" s="157"/>
      <c r="K34" s="157"/>
      <c r="L34" s="157">
        <v>350000</v>
      </c>
      <c r="M34" s="157"/>
      <c r="N34" s="157"/>
      <c r="O34" s="139">
        <f t="shared" si="0"/>
        <v>350000</v>
      </c>
      <c r="P34" s="139"/>
      <c r="Q34" s="139">
        <f t="shared" si="1"/>
        <v>-350000</v>
      </c>
      <c r="R34" s="217"/>
      <c r="S34" s="215"/>
      <c r="T34" s="215"/>
    </row>
    <row r="35" spans="1:20" s="144" customFormat="1" ht="24.95" customHeight="1" x14ac:dyDescent="0.2">
      <c r="A35" s="211"/>
      <c r="B35" s="191"/>
      <c r="C35" s="221" t="s">
        <v>1996</v>
      </c>
      <c r="D35" s="220"/>
      <c r="E35" s="221"/>
      <c r="F35" s="220"/>
      <c r="G35" s="220"/>
      <c r="H35" s="219"/>
      <c r="I35" s="220"/>
      <c r="J35" s="157"/>
      <c r="L35" s="157">
        <v>170000</v>
      </c>
      <c r="M35" s="157"/>
      <c r="N35" s="141"/>
      <c r="O35" s="139">
        <f t="shared" si="0"/>
        <v>170000</v>
      </c>
      <c r="P35" s="139"/>
      <c r="Q35" s="139">
        <f t="shared" si="1"/>
        <v>-170000</v>
      </c>
      <c r="R35" s="217"/>
      <c r="S35" s="215"/>
      <c r="T35" s="215"/>
    </row>
    <row r="36" spans="1:20" s="144" customFormat="1" ht="43.5" customHeight="1" x14ac:dyDescent="0.2">
      <c r="A36" s="211"/>
      <c r="B36" s="191"/>
      <c r="C36" s="221" t="s">
        <v>2004</v>
      </c>
      <c r="D36" s="220"/>
      <c r="E36" s="221"/>
      <c r="F36" s="220"/>
      <c r="G36" s="220"/>
      <c r="H36" s="219"/>
      <c r="I36" s="220"/>
      <c r="J36" s="157"/>
      <c r="L36" s="157">
        <v>300000</v>
      </c>
      <c r="M36" s="157"/>
      <c r="N36" s="141"/>
      <c r="O36" s="139">
        <f t="shared" si="0"/>
        <v>300000</v>
      </c>
      <c r="P36" s="139"/>
      <c r="Q36" s="139">
        <f t="shared" si="1"/>
        <v>-300000</v>
      </c>
      <c r="R36" s="217"/>
      <c r="S36" s="215"/>
      <c r="T36" s="215"/>
    </row>
    <row r="37" spans="1:20" s="159" customFormat="1" ht="24.95" customHeight="1" x14ac:dyDescent="0.25">
      <c r="A37" s="211"/>
      <c r="B37" s="165"/>
      <c r="C37" s="196" t="s">
        <v>1337</v>
      </c>
      <c r="D37" s="195"/>
      <c r="E37" s="197"/>
      <c r="F37" s="195"/>
      <c r="G37" s="195"/>
      <c r="H37" s="155"/>
      <c r="I37" s="195"/>
      <c r="J37" s="155"/>
      <c r="K37" s="233">
        <v>7457692.307692307</v>
      </c>
      <c r="L37" s="155"/>
      <c r="M37" s="155"/>
      <c r="N37" s="155"/>
      <c r="O37" s="139">
        <f t="shared" si="0"/>
        <v>7457692.307692307</v>
      </c>
      <c r="P37" s="139"/>
      <c r="Q37" s="139">
        <f t="shared" si="1"/>
        <v>-7457692.307692307</v>
      </c>
      <c r="S37" s="215"/>
      <c r="T37" s="215"/>
    </row>
    <row r="38" spans="1:20" s="159" customFormat="1" ht="24.95" customHeight="1" x14ac:dyDescent="0.25">
      <c r="A38" s="211"/>
      <c r="B38" s="203"/>
      <c r="C38" s="152" t="s">
        <v>1094</v>
      </c>
      <c r="D38" s="153"/>
      <c r="E38" s="154"/>
      <c r="F38" s="153"/>
      <c r="G38" s="153"/>
      <c r="H38" s="156"/>
      <c r="I38" s="153"/>
      <c r="J38" s="156"/>
      <c r="K38" s="204">
        <f>1200000*1.1</f>
        <v>1320000</v>
      </c>
      <c r="L38" s="204"/>
      <c r="M38" s="156"/>
      <c r="N38" s="156"/>
      <c r="O38" s="139">
        <f t="shared" si="0"/>
        <v>1320000</v>
      </c>
      <c r="P38" s="139"/>
      <c r="Q38" s="139">
        <f t="shared" si="1"/>
        <v>-1320000</v>
      </c>
      <c r="R38" s="186"/>
      <c r="S38" s="215"/>
      <c r="T38" s="215"/>
    </row>
    <row r="39" spans="1:20" ht="24.95" customHeight="1" x14ac:dyDescent="0.25">
      <c r="A39" s="426" t="s">
        <v>20</v>
      </c>
      <c r="B39" s="426"/>
      <c r="C39" s="426"/>
      <c r="D39" s="426"/>
      <c r="E39" s="426"/>
      <c r="F39" s="426"/>
      <c r="G39" s="161">
        <f>SUM(G7:G38)</f>
        <v>3032</v>
      </c>
      <c r="H39" s="161">
        <f>SUM(H7:H38)</f>
        <v>54662180</v>
      </c>
      <c r="I39" s="161">
        <f t="shared" ref="I39:N39" si="2">SUM(I7:I38)</f>
        <v>0</v>
      </c>
      <c r="J39" s="161">
        <f t="shared" si="2"/>
        <v>28660000</v>
      </c>
      <c r="K39" s="161">
        <f t="shared" si="2"/>
        <v>8777692.307692308</v>
      </c>
      <c r="L39" s="161">
        <f t="shared" si="2"/>
        <v>820000</v>
      </c>
      <c r="M39" s="161">
        <f t="shared" si="2"/>
        <v>0</v>
      </c>
      <c r="N39" s="161">
        <f t="shared" si="2"/>
        <v>0</v>
      </c>
      <c r="O39" s="161">
        <f>SUM(O7:O38)</f>
        <v>92919872.307692304</v>
      </c>
      <c r="P39" s="161">
        <f>SUM(P7:P38)</f>
        <v>123627273</v>
      </c>
      <c r="Q39" s="161">
        <f>SUM(Q7:Q38)</f>
        <v>30707400.692307692</v>
      </c>
      <c r="R39" s="187"/>
      <c r="S39" s="189"/>
    </row>
    <row r="40" spans="1:20" ht="24.95" customHeight="1" x14ac:dyDescent="0.25">
      <c r="O40" s="158"/>
      <c r="Q40" s="158"/>
    </row>
    <row r="41" spans="1:20" ht="24.95" customHeight="1" x14ac:dyDescent="0.25">
      <c r="P41" s="216" t="s">
        <v>1603</v>
      </c>
      <c r="Q41" s="227">
        <f>'08-2018'!Q54+'09-2018'!Q39</f>
        <v>200709427.69230768</v>
      </c>
    </row>
    <row r="42" spans="1:20" ht="24.95" customHeight="1" x14ac:dyDescent="0.25">
      <c r="B42" s="129"/>
      <c r="H42" s="128"/>
      <c r="J42" s="128"/>
      <c r="K42" s="128"/>
      <c r="L42" s="128"/>
      <c r="M42" s="128"/>
      <c r="N42" s="128"/>
      <c r="O42" s="128"/>
      <c r="P42" s="218"/>
      <c r="Q42" s="216"/>
    </row>
    <row r="43" spans="1:20" ht="24.95" customHeight="1" x14ac:dyDescent="0.25">
      <c r="B43" s="129"/>
      <c r="H43" s="128"/>
      <c r="J43" s="128"/>
      <c r="K43" s="128"/>
      <c r="L43" s="128"/>
      <c r="M43" s="128"/>
      <c r="N43" s="128"/>
      <c r="O43" s="128"/>
      <c r="P43" s="218"/>
      <c r="Q43" s="230"/>
    </row>
    <row r="44" spans="1:20" ht="24.95" customHeight="1" x14ac:dyDescent="0.25">
      <c r="B44" s="129"/>
      <c r="H44" s="128"/>
      <c r="J44" s="128"/>
      <c r="K44" s="128"/>
      <c r="L44" s="128"/>
      <c r="M44" s="128"/>
      <c r="N44" s="128"/>
      <c r="O44" s="128"/>
      <c r="P44" s="218"/>
      <c r="Q44" s="230"/>
    </row>
    <row r="45" spans="1:20" ht="24.95" customHeight="1" x14ac:dyDescent="0.25">
      <c r="B45" s="129"/>
      <c r="H45" s="128"/>
      <c r="J45" s="128"/>
      <c r="K45" s="128"/>
      <c r="L45" s="128"/>
      <c r="M45" s="128"/>
      <c r="N45" s="128"/>
      <c r="O45" s="128"/>
      <c r="P45" s="218"/>
      <c r="Q45" s="216"/>
    </row>
    <row r="46" spans="1:20" x14ac:dyDescent="0.25">
      <c r="B46" s="129"/>
      <c r="H46" s="128"/>
      <c r="J46" s="128"/>
      <c r="K46" s="128"/>
      <c r="L46" s="128"/>
      <c r="M46" s="128"/>
      <c r="N46" s="128"/>
      <c r="O46" s="128"/>
      <c r="P46" s="218"/>
      <c r="Q46" s="216"/>
    </row>
    <row r="47" spans="1:20" x14ac:dyDescent="0.25">
      <c r="A47" s="128"/>
      <c r="B47" s="129"/>
      <c r="H47" s="128"/>
      <c r="J47" s="128"/>
      <c r="K47" s="128"/>
      <c r="L47" s="128"/>
      <c r="M47" s="128"/>
      <c r="N47" s="128"/>
      <c r="O47" s="128"/>
      <c r="P47" s="218"/>
      <c r="Q47" s="216"/>
    </row>
    <row r="48" spans="1:20" x14ac:dyDescent="0.25">
      <c r="A48" s="128"/>
      <c r="B48" s="129"/>
      <c r="H48" s="128"/>
      <c r="J48" s="128"/>
      <c r="K48" s="128"/>
      <c r="L48" s="128"/>
      <c r="M48" s="128"/>
      <c r="N48" s="128"/>
      <c r="O48" s="128"/>
      <c r="P48" s="128"/>
      <c r="Q48" s="216"/>
    </row>
    <row r="49" spans="17:17" s="128" customFormat="1" x14ac:dyDescent="0.25">
      <c r="Q49" s="216"/>
    </row>
    <row r="50" spans="17:17" s="128" customFormat="1" x14ac:dyDescent="0.25">
      <c r="Q50" s="216"/>
    </row>
  </sheetData>
  <mergeCells count="14">
    <mergeCell ref="O5:O6"/>
    <mergeCell ref="P5:P6"/>
    <mergeCell ref="Q5:Q6"/>
    <mergeCell ref="A39:F39"/>
    <mergeCell ref="A1:Q1"/>
    <mergeCell ref="A2:Q2"/>
    <mergeCell ref="B3:Q3"/>
    <mergeCell ref="A5:A6"/>
    <mergeCell ref="B5:B6"/>
    <mergeCell ref="C5:C6"/>
    <mergeCell ref="D5:D6"/>
    <mergeCell ref="E5:E6"/>
    <mergeCell ref="F5:F6"/>
    <mergeCell ref="G5:N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3"/>
  <sheetViews>
    <sheetView topLeftCell="E31" workbookViewId="0">
      <selection activeCell="Q44" sqref="Q44"/>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2006</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43374</v>
      </c>
      <c r="C7" s="138" t="s">
        <v>2007</v>
      </c>
      <c r="D7" s="138" t="s">
        <v>2031</v>
      </c>
      <c r="E7" s="146" t="s">
        <v>206</v>
      </c>
      <c r="F7" s="138"/>
      <c r="G7" s="138">
        <v>170</v>
      </c>
      <c r="H7" s="141">
        <v>3080400</v>
      </c>
      <c r="I7" s="138"/>
      <c r="J7" s="141">
        <v>970000</v>
      </c>
      <c r="K7" s="141"/>
      <c r="L7" s="150"/>
      <c r="M7" s="141"/>
      <c r="N7" s="141"/>
      <c r="O7" s="139">
        <f>SUM(H7:N7)</f>
        <v>4050400</v>
      </c>
      <c r="P7" s="139">
        <v>3800000</v>
      </c>
      <c r="Q7" s="139">
        <f>P7-O7</f>
        <v>-250400</v>
      </c>
      <c r="R7" s="217"/>
      <c r="S7" s="215"/>
      <c r="T7" s="215"/>
    </row>
    <row r="8" spans="1:20" s="144" customFormat="1" ht="24.95" customHeight="1" x14ac:dyDescent="0.2">
      <c r="A8" s="211">
        <v>2</v>
      </c>
      <c r="B8" s="191">
        <v>43374</v>
      </c>
      <c r="C8" s="138" t="s">
        <v>2008</v>
      </c>
      <c r="D8" s="138" t="s">
        <v>2032</v>
      </c>
      <c r="E8" s="146" t="s">
        <v>1508</v>
      </c>
      <c r="F8" s="138"/>
      <c r="G8" s="138"/>
      <c r="H8" s="141"/>
      <c r="I8" s="138"/>
      <c r="J8" s="141">
        <f>1420000-260000</f>
        <v>1160000</v>
      </c>
      <c r="K8" s="141"/>
      <c r="L8" s="150"/>
      <c r="M8" s="141"/>
      <c r="N8" s="141"/>
      <c r="O8" s="139">
        <f t="shared" ref="O8:O41" si="0">SUM(H8:N8)</f>
        <v>1160000</v>
      </c>
      <c r="P8" s="139">
        <v>4800000</v>
      </c>
      <c r="Q8" s="139">
        <f t="shared" ref="Q8:Q41" si="1">P8-O8</f>
        <v>3640000</v>
      </c>
      <c r="R8" s="217"/>
      <c r="S8" s="215"/>
      <c r="T8" s="215"/>
    </row>
    <row r="9" spans="1:20" s="144" customFormat="1" ht="24.95" customHeight="1" x14ac:dyDescent="0.2">
      <c r="A9" s="211">
        <v>3</v>
      </c>
      <c r="B9" s="191">
        <v>43375</v>
      </c>
      <c r="C9" s="138" t="s">
        <v>2009</v>
      </c>
      <c r="D9" s="138" t="s">
        <v>2033</v>
      </c>
      <c r="E9" s="146" t="s">
        <v>333</v>
      </c>
      <c r="F9" s="138"/>
      <c r="G9" s="138"/>
      <c r="H9" s="141"/>
      <c r="I9" s="138"/>
      <c r="J9" s="141">
        <v>1160000</v>
      </c>
      <c r="K9" s="141"/>
      <c r="L9" s="150"/>
      <c r="M9" s="141"/>
      <c r="N9" s="141"/>
      <c r="O9" s="139">
        <f t="shared" si="0"/>
        <v>1160000</v>
      </c>
      <c r="P9" s="139">
        <v>4800000</v>
      </c>
      <c r="Q9" s="139">
        <f t="shared" si="1"/>
        <v>3640000</v>
      </c>
      <c r="R9" s="217"/>
      <c r="S9" s="215"/>
      <c r="T9" s="215"/>
    </row>
    <row r="10" spans="1:20" s="144" customFormat="1" ht="24.95" customHeight="1" x14ac:dyDescent="0.2">
      <c r="A10" s="211">
        <v>4</v>
      </c>
      <c r="B10" s="191">
        <v>43376</v>
      </c>
      <c r="C10" s="138" t="s">
        <v>2010</v>
      </c>
      <c r="D10" s="138" t="s">
        <v>2034</v>
      </c>
      <c r="E10" s="146" t="s">
        <v>2059</v>
      </c>
      <c r="F10" s="138"/>
      <c r="G10" s="138">
        <v>240</v>
      </c>
      <c r="H10" s="141">
        <v>4348800</v>
      </c>
      <c r="I10" s="138"/>
      <c r="J10" s="141">
        <v>1500000</v>
      </c>
      <c r="K10" s="141"/>
      <c r="L10" s="150"/>
      <c r="M10" s="141"/>
      <c r="N10" s="141"/>
      <c r="O10" s="139">
        <f t="shared" si="0"/>
        <v>5848800</v>
      </c>
      <c r="P10" s="139">
        <v>7200000</v>
      </c>
      <c r="Q10" s="139">
        <f t="shared" si="1"/>
        <v>1351200</v>
      </c>
      <c r="R10" s="217"/>
      <c r="S10" s="215"/>
      <c r="T10" s="215"/>
    </row>
    <row r="11" spans="1:20" s="144" customFormat="1" ht="24.95" customHeight="1" x14ac:dyDescent="0.2">
      <c r="A11" s="211">
        <v>5</v>
      </c>
      <c r="B11" s="191">
        <v>43377</v>
      </c>
      <c r="C11" s="138" t="s">
        <v>2011</v>
      </c>
      <c r="D11" s="138" t="s">
        <v>2035</v>
      </c>
      <c r="E11" s="146" t="s">
        <v>25</v>
      </c>
      <c r="F11" s="138"/>
      <c r="G11" s="138">
        <v>140</v>
      </c>
      <c r="H11" s="141">
        <v>2536800</v>
      </c>
      <c r="I11" s="138"/>
      <c r="J11" s="141">
        <v>1710000</v>
      </c>
      <c r="K11" s="141"/>
      <c r="L11" s="150"/>
      <c r="M11" s="141"/>
      <c r="N11" s="141"/>
      <c r="O11" s="139">
        <f t="shared" si="0"/>
        <v>4246800</v>
      </c>
      <c r="P11" s="141">
        <v>7500000</v>
      </c>
      <c r="Q11" s="139">
        <f t="shared" si="1"/>
        <v>3253200</v>
      </c>
      <c r="R11" s="217"/>
      <c r="S11" s="215"/>
      <c r="T11" s="215"/>
    </row>
    <row r="12" spans="1:20" s="144" customFormat="1" ht="24.95" customHeight="1" x14ac:dyDescent="0.2">
      <c r="A12" s="211">
        <v>6</v>
      </c>
      <c r="B12" s="191">
        <v>43378</v>
      </c>
      <c r="C12" s="138" t="s">
        <v>672</v>
      </c>
      <c r="D12" s="138" t="s">
        <v>2036</v>
      </c>
      <c r="E12" s="146" t="s">
        <v>333</v>
      </c>
      <c r="F12" s="138"/>
      <c r="G12" s="138"/>
      <c r="H12" s="141"/>
      <c r="I12" s="138"/>
      <c r="J12" s="141">
        <v>1160000</v>
      </c>
      <c r="K12" s="141"/>
      <c r="L12" s="150"/>
      <c r="M12" s="141"/>
      <c r="N12" s="141"/>
      <c r="O12" s="139">
        <f t="shared" si="0"/>
        <v>1160000</v>
      </c>
      <c r="P12" s="141">
        <v>4800000</v>
      </c>
      <c r="Q12" s="139">
        <f t="shared" si="1"/>
        <v>3640000</v>
      </c>
      <c r="R12" s="217"/>
      <c r="S12" s="215"/>
      <c r="T12" s="215"/>
    </row>
    <row r="13" spans="1:20" s="144" customFormat="1" ht="24.95" customHeight="1" x14ac:dyDescent="0.2">
      <c r="A13" s="211">
        <v>7</v>
      </c>
      <c r="B13" s="191">
        <v>43379</v>
      </c>
      <c r="C13" s="138" t="s">
        <v>2012</v>
      </c>
      <c r="D13" s="138" t="s">
        <v>2037</v>
      </c>
      <c r="E13" s="146" t="s">
        <v>25</v>
      </c>
      <c r="F13" s="138"/>
      <c r="G13" s="138">
        <v>300</v>
      </c>
      <c r="H13" s="141">
        <v>5583000</v>
      </c>
      <c r="I13" s="138"/>
      <c r="J13" s="141">
        <v>1710000</v>
      </c>
      <c r="K13" s="141"/>
      <c r="L13" s="150"/>
      <c r="M13" s="141"/>
      <c r="N13" s="141"/>
      <c r="O13" s="139">
        <f t="shared" si="0"/>
        <v>7293000</v>
      </c>
      <c r="P13" s="141">
        <v>7500000</v>
      </c>
      <c r="Q13" s="139">
        <f t="shared" si="1"/>
        <v>207000</v>
      </c>
      <c r="R13" s="217"/>
      <c r="S13" s="215"/>
      <c r="T13" s="215"/>
    </row>
    <row r="14" spans="1:20" s="144" customFormat="1" ht="24.95" customHeight="1" x14ac:dyDescent="0.2">
      <c r="A14" s="211">
        <v>8</v>
      </c>
      <c r="B14" s="191">
        <v>43381</v>
      </c>
      <c r="C14" s="138" t="s">
        <v>2013</v>
      </c>
      <c r="D14" s="138" t="s">
        <v>2038</v>
      </c>
      <c r="E14" s="146" t="s">
        <v>298</v>
      </c>
      <c r="F14" s="138"/>
      <c r="G14" s="138"/>
      <c r="H14" s="141"/>
      <c r="I14" s="138"/>
      <c r="J14" s="141">
        <v>970000</v>
      </c>
      <c r="K14" s="141"/>
      <c r="L14" s="150"/>
      <c r="M14" s="141"/>
      <c r="N14" s="141"/>
      <c r="O14" s="139">
        <f t="shared" si="0"/>
        <v>970000</v>
      </c>
      <c r="P14" s="141">
        <v>4000000</v>
      </c>
      <c r="Q14" s="139">
        <f t="shared" si="1"/>
        <v>3030000</v>
      </c>
      <c r="R14" s="217"/>
      <c r="S14" s="215"/>
      <c r="T14" s="215"/>
    </row>
    <row r="15" spans="1:20" s="144" customFormat="1" ht="24.95" customHeight="1" x14ac:dyDescent="0.2">
      <c r="A15" s="211">
        <v>9</v>
      </c>
      <c r="B15" s="191">
        <v>43382</v>
      </c>
      <c r="C15" s="138" t="s">
        <v>2014</v>
      </c>
      <c r="D15" s="138" t="s">
        <v>2039</v>
      </c>
      <c r="E15" s="146" t="s">
        <v>1166</v>
      </c>
      <c r="F15" s="138"/>
      <c r="G15" s="138">
        <v>280</v>
      </c>
      <c r="H15" s="141">
        <f>G15*18610</f>
        <v>5210800</v>
      </c>
      <c r="I15" s="138"/>
      <c r="J15" s="141">
        <v>1140000</v>
      </c>
      <c r="K15" s="141"/>
      <c r="L15" s="150"/>
      <c r="M15" s="141"/>
      <c r="N15" s="141"/>
      <c r="O15" s="139">
        <f t="shared" si="0"/>
        <v>6350800</v>
      </c>
      <c r="P15" s="141">
        <v>5300000</v>
      </c>
      <c r="Q15" s="139">
        <f t="shared" si="1"/>
        <v>-1050800</v>
      </c>
      <c r="R15" s="217"/>
      <c r="S15" s="215"/>
      <c r="T15" s="215"/>
    </row>
    <row r="16" spans="1:20" s="144" customFormat="1" ht="24.95" customHeight="1" x14ac:dyDescent="0.2">
      <c r="A16" s="211">
        <v>10</v>
      </c>
      <c r="B16" s="191">
        <v>43383</v>
      </c>
      <c r="C16" s="138" t="s">
        <v>2015</v>
      </c>
      <c r="D16" s="138" t="s">
        <v>2040</v>
      </c>
      <c r="E16" s="146" t="s">
        <v>248</v>
      </c>
      <c r="F16" s="138"/>
      <c r="G16" s="138">
        <v>150</v>
      </c>
      <c r="H16" s="141">
        <f t="shared" ref="H16:H32" si="2">G16*18610</f>
        <v>2791500</v>
      </c>
      <c r="I16" s="138"/>
      <c r="J16" s="141">
        <v>810000</v>
      </c>
      <c r="K16" s="141"/>
      <c r="L16" s="150"/>
      <c r="M16" s="141"/>
      <c r="N16" s="141"/>
      <c r="O16" s="139">
        <f t="shared" si="0"/>
        <v>3601500</v>
      </c>
      <c r="P16" s="141">
        <v>4200000</v>
      </c>
      <c r="Q16" s="139">
        <f t="shared" si="1"/>
        <v>598500</v>
      </c>
      <c r="R16" s="217"/>
      <c r="S16" s="215"/>
      <c r="T16" s="215"/>
    </row>
    <row r="17" spans="1:20" s="144" customFormat="1" ht="24.95" customHeight="1" x14ac:dyDescent="0.2">
      <c r="A17" s="211">
        <v>11</v>
      </c>
      <c r="B17" s="191">
        <v>43384</v>
      </c>
      <c r="C17" s="138" t="s">
        <v>2016</v>
      </c>
      <c r="D17" s="138" t="s">
        <v>2041</v>
      </c>
      <c r="E17" s="146" t="s">
        <v>23</v>
      </c>
      <c r="F17" s="138"/>
      <c r="G17" s="138">
        <v>100</v>
      </c>
      <c r="H17" s="141">
        <f t="shared" si="2"/>
        <v>1861000</v>
      </c>
      <c r="I17" s="138"/>
      <c r="J17" s="141">
        <f>2740000-360000</f>
        <v>2380000</v>
      </c>
      <c r="K17" s="141"/>
      <c r="L17" s="150"/>
      <c r="M17" s="141"/>
      <c r="N17" s="141"/>
      <c r="O17" s="139">
        <f t="shared" si="0"/>
        <v>4241000</v>
      </c>
      <c r="P17" s="141">
        <v>12272727</v>
      </c>
      <c r="Q17" s="139">
        <f t="shared" si="1"/>
        <v>8031727</v>
      </c>
      <c r="R17" s="217"/>
      <c r="S17" s="215"/>
      <c r="T17" s="215"/>
    </row>
    <row r="18" spans="1:20" s="144" customFormat="1" ht="24.95" customHeight="1" x14ac:dyDescent="0.2">
      <c r="A18" s="211">
        <v>12</v>
      </c>
      <c r="B18" s="191">
        <v>43385</v>
      </c>
      <c r="C18" s="138" t="s">
        <v>2017</v>
      </c>
      <c r="D18" s="138" t="s">
        <v>2042</v>
      </c>
      <c r="E18" s="146" t="s">
        <v>24</v>
      </c>
      <c r="F18" s="138"/>
      <c r="G18" s="138">
        <v>220</v>
      </c>
      <c r="H18" s="141">
        <f t="shared" si="2"/>
        <v>4094200</v>
      </c>
      <c r="I18" s="138"/>
      <c r="J18" s="141">
        <v>430000</v>
      </c>
      <c r="K18" s="141"/>
      <c r="L18" s="150"/>
      <c r="M18" s="141"/>
      <c r="N18" s="141"/>
      <c r="O18" s="139">
        <f t="shared" si="0"/>
        <v>4524200</v>
      </c>
      <c r="P18" s="141">
        <v>3200000</v>
      </c>
      <c r="Q18" s="139">
        <f t="shared" si="1"/>
        <v>-1324200</v>
      </c>
      <c r="R18" s="217"/>
      <c r="S18" s="215"/>
      <c r="T18" s="215"/>
    </row>
    <row r="19" spans="1:20" s="144" customFormat="1" ht="24.95" customHeight="1" x14ac:dyDescent="0.2">
      <c r="A19" s="211">
        <v>13</v>
      </c>
      <c r="B19" s="191">
        <v>43388</v>
      </c>
      <c r="C19" s="138" t="s">
        <v>679</v>
      </c>
      <c r="D19" s="138" t="s">
        <v>2043</v>
      </c>
      <c r="E19" s="146" t="s">
        <v>2060</v>
      </c>
      <c r="F19" s="138"/>
      <c r="G19" s="138"/>
      <c r="H19" s="141"/>
      <c r="I19" s="138"/>
      <c r="J19" s="141">
        <v>800000</v>
      </c>
      <c r="K19" s="141"/>
      <c r="L19" s="150"/>
      <c r="M19" s="141"/>
      <c r="N19" s="141"/>
      <c r="O19" s="139">
        <f t="shared" si="0"/>
        <v>800000</v>
      </c>
      <c r="P19" s="141">
        <v>3300000</v>
      </c>
      <c r="Q19" s="139">
        <f t="shared" si="1"/>
        <v>2500000</v>
      </c>
      <c r="R19" s="217"/>
      <c r="S19" s="215"/>
      <c r="T19" s="215"/>
    </row>
    <row r="20" spans="1:20" s="144" customFormat="1" ht="24.95" customHeight="1" x14ac:dyDescent="0.2">
      <c r="A20" s="211">
        <v>14</v>
      </c>
      <c r="B20" s="191">
        <v>43388</v>
      </c>
      <c r="C20" s="138" t="s">
        <v>2018</v>
      </c>
      <c r="D20" s="138" t="s">
        <v>2044</v>
      </c>
      <c r="E20" s="146" t="s">
        <v>662</v>
      </c>
      <c r="F20" s="138"/>
      <c r="G20" s="138"/>
      <c r="H20" s="141"/>
      <c r="I20" s="138"/>
      <c r="J20" s="141">
        <v>1330000</v>
      </c>
      <c r="K20" s="141"/>
      <c r="L20" s="150"/>
      <c r="M20" s="141"/>
      <c r="N20" s="141"/>
      <c r="O20" s="139">
        <f t="shared" si="0"/>
        <v>1330000</v>
      </c>
      <c r="P20" s="141">
        <v>5400000</v>
      </c>
      <c r="Q20" s="139">
        <f t="shared" si="1"/>
        <v>4070000</v>
      </c>
      <c r="R20" s="217"/>
      <c r="S20" s="215"/>
      <c r="T20" s="215"/>
    </row>
    <row r="21" spans="1:20" s="144" customFormat="1" ht="24.95" customHeight="1" x14ac:dyDescent="0.2">
      <c r="A21" s="211">
        <v>15</v>
      </c>
      <c r="B21" s="191">
        <v>43389</v>
      </c>
      <c r="C21" s="138" t="s">
        <v>2019</v>
      </c>
      <c r="D21" s="138" t="s">
        <v>2045</v>
      </c>
      <c r="E21" s="146" t="s">
        <v>513</v>
      </c>
      <c r="F21" s="138"/>
      <c r="G21" s="138"/>
      <c r="H21" s="141"/>
      <c r="I21" s="138"/>
      <c r="J21" s="141">
        <v>970000</v>
      </c>
      <c r="K21" s="141"/>
      <c r="L21" s="150"/>
      <c r="M21" s="141"/>
      <c r="N21" s="141"/>
      <c r="O21" s="139">
        <f t="shared" si="0"/>
        <v>970000</v>
      </c>
      <c r="P21" s="141">
        <v>4100000</v>
      </c>
      <c r="Q21" s="139">
        <f t="shared" si="1"/>
        <v>3130000</v>
      </c>
      <c r="R21" s="217"/>
      <c r="S21" s="215"/>
      <c r="T21" s="215"/>
    </row>
    <row r="22" spans="1:20" s="144" customFormat="1" ht="24.95" customHeight="1" x14ac:dyDescent="0.2">
      <c r="A22" s="211">
        <v>16</v>
      </c>
      <c r="B22" s="191">
        <v>43390</v>
      </c>
      <c r="C22" s="138" t="s">
        <v>2020</v>
      </c>
      <c r="D22" s="138" t="s">
        <v>2046</v>
      </c>
      <c r="E22" s="146" t="s">
        <v>513</v>
      </c>
      <c r="F22" s="138"/>
      <c r="G22" s="138">
        <v>301</v>
      </c>
      <c r="H22" s="141">
        <f t="shared" si="2"/>
        <v>5601610</v>
      </c>
      <c r="I22" s="138"/>
      <c r="J22" s="141">
        <v>970000</v>
      </c>
      <c r="K22" s="141"/>
      <c r="L22" s="150"/>
      <c r="M22" s="141"/>
      <c r="N22" s="141"/>
      <c r="O22" s="139">
        <f t="shared" si="0"/>
        <v>6571610</v>
      </c>
      <c r="P22" s="141">
        <v>4100000</v>
      </c>
      <c r="Q22" s="139">
        <f t="shared" si="1"/>
        <v>-2471610</v>
      </c>
      <c r="R22" s="217"/>
      <c r="S22" s="215"/>
      <c r="T22" s="215"/>
    </row>
    <row r="23" spans="1:20" s="144" customFormat="1" ht="24.95" customHeight="1" x14ac:dyDescent="0.2">
      <c r="A23" s="211">
        <v>17</v>
      </c>
      <c r="B23" s="191">
        <v>43391</v>
      </c>
      <c r="C23" s="138" t="s">
        <v>2021</v>
      </c>
      <c r="D23" s="138" t="s">
        <v>2047</v>
      </c>
      <c r="E23" s="146" t="s">
        <v>298</v>
      </c>
      <c r="F23" s="138"/>
      <c r="G23" s="138"/>
      <c r="H23" s="141"/>
      <c r="I23" s="138"/>
      <c r="J23" s="141">
        <v>970000</v>
      </c>
      <c r="K23" s="141"/>
      <c r="L23" s="150"/>
      <c r="M23" s="141"/>
      <c r="N23" s="141"/>
      <c r="O23" s="139">
        <f t="shared" si="0"/>
        <v>970000</v>
      </c>
      <c r="P23" s="141">
        <v>4000000</v>
      </c>
      <c r="Q23" s="139">
        <f t="shared" si="1"/>
        <v>3030000</v>
      </c>
      <c r="R23" s="217"/>
      <c r="S23" s="215"/>
      <c r="T23" s="215"/>
    </row>
    <row r="24" spans="1:20" s="144" customFormat="1" ht="24.95" customHeight="1" x14ac:dyDescent="0.2">
      <c r="A24" s="211">
        <v>18</v>
      </c>
      <c r="B24" s="191">
        <v>43392</v>
      </c>
      <c r="C24" s="138" t="s">
        <v>2022</v>
      </c>
      <c r="D24" s="138" t="s">
        <v>2048</v>
      </c>
      <c r="E24" s="146" t="s">
        <v>298</v>
      </c>
      <c r="F24" s="138"/>
      <c r="G24" s="138">
        <v>275</v>
      </c>
      <c r="H24" s="141">
        <f t="shared" si="2"/>
        <v>5117750</v>
      </c>
      <c r="I24" s="138"/>
      <c r="J24" s="141">
        <v>970000</v>
      </c>
      <c r="K24" s="141"/>
      <c r="L24" s="150"/>
      <c r="M24" s="141"/>
      <c r="N24" s="141"/>
      <c r="O24" s="139">
        <f t="shared" si="0"/>
        <v>6087750</v>
      </c>
      <c r="P24" s="141">
        <v>4000000</v>
      </c>
      <c r="Q24" s="139">
        <f t="shared" si="1"/>
        <v>-2087750</v>
      </c>
      <c r="R24" s="217"/>
      <c r="S24" s="215"/>
      <c r="T24" s="215"/>
    </row>
    <row r="25" spans="1:20" s="144" customFormat="1" ht="24.95" customHeight="1" x14ac:dyDescent="0.2">
      <c r="A25" s="211">
        <v>19</v>
      </c>
      <c r="B25" s="191">
        <v>43393</v>
      </c>
      <c r="C25" s="138" t="s">
        <v>2023</v>
      </c>
      <c r="D25" s="138" t="s">
        <v>2049</v>
      </c>
      <c r="E25" s="146" t="s">
        <v>2061</v>
      </c>
      <c r="F25" s="138"/>
      <c r="G25" s="138"/>
      <c r="H25" s="141"/>
      <c r="I25" s="138"/>
      <c r="J25" s="141">
        <v>1460000</v>
      </c>
      <c r="K25" s="141"/>
      <c r="L25" s="150"/>
      <c r="M25" s="141"/>
      <c r="N25" s="141"/>
      <c r="O25" s="139">
        <f t="shared" si="0"/>
        <v>1460000</v>
      </c>
      <c r="P25" s="141">
        <v>5500000</v>
      </c>
      <c r="Q25" s="139">
        <f t="shared" si="1"/>
        <v>4040000</v>
      </c>
      <c r="R25" s="217"/>
      <c r="S25" s="215"/>
      <c r="T25" s="215"/>
    </row>
    <row r="26" spans="1:20" s="144" customFormat="1" ht="24.95" customHeight="1" x14ac:dyDescent="0.2">
      <c r="A26" s="211">
        <v>20</v>
      </c>
      <c r="B26" s="191">
        <v>43394</v>
      </c>
      <c r="C26" s="138" t="s">
        <v>2024</v>
      </c>
      <c r="D26" s="138" t="s">
        <v>2050</v>
      </c>
      <c r="E26" s="146" t="s">
        <v>2062</v>
      </c>
      <c r="F26" s="138"/>
      <c r="G26" s="138">
        <v>230</v>
      </c>
      <c r="H26" s="141">
        <f t="shared" si="2"/>
        <v>4280300</v>
      </c>
      <c r="I26" s="138"/>
      <c r="J26" s="141">
        <v>1460000</v>
      </c>
      <c r="K26" s="141"/>
      <c r="L26" s="150"/>
      <c r="M26" s="141"/>
      <c r="N26" s="141"/>
      <c r="O26" s="139">
        <f t="shared" si="0"/>
        <v>5740300</v>
      </c>
      <c r="P26" s="141">
        <v>5500000</v>
      </c>
      <c r="Q26" s="139">
        <f t="shared" si="1"/>
        <v>-240300</v>
      </c>
      <c r="R26" s="217"/>
      <c r="S26" s="215"/>
      <c r="T26" s="215"/>
    </row>
    <row r="27" spans="1:20" s="144" customFormat="1" ht="24.95" customHeight="1" x14ac:dyDescent="0.2">
      <c r="A27" s="211">
        <v>21</v>
      </c>
      <c r="B27" s="191">
        <v>43395</v>
      </c>
      <c r="C27" s="138" t="s">
        <v>2025</v>
      </c>
      <c r="D27" s="138" t="s">
        <v>2051</v>
      </c>
      <c r="E27" s="146" t="s">
        <v>2063</v>
      </c>
      <c r="F27" s="138"/>
      <c r="G27" s="138"/>
      <c r="H27" s="141"/>
      <c r="I27" s="138"/>
      <c r="J27" s="141">
        <v>1160000</v>
      </c>
      <c r="K27" s="141"/>
      <c r="L27" s="150"/>
      <c r="M27" s="141"/>
      <c r="N27" s="141"/>
      <c r="O27" s="139">
        <f t="shared" si="0"/>
        <v>1160000</v>
      </c>
      <c r="P27" s="141">
        <v>4900000</v>
      </c>
      <c r="Q27" s="139">
        <f t="shared" si="1"/>
        <v>3740000</v>
      </c>
      <c r="R27" s="217"/>
      <c r="S27" s="215"/>
      <c r="T27" s="215"/>
    </row>
    <row r="28" spans="1:20" s="144" customFormat="1" ht="24.95" customHeight="1" x14ac:dyDescent="0.2">
      <c r="A28" s="211">
        <v>22</v>
      </c>
      <c r="B28" s="191">
        <v>43396</v>
      </c>
      <c r="C28" s="138" t="s">
        <v>2026</v>
      </c>
      <c r="D28" s="138" t="s">
        <v>2052</v>
      </c>
      <c r="E28" s="146" t="s">
        <v>2064</v>
      </c>
      <c r="F28" s="138"/>
      <c r="G28" s="138">
        <v>250</v>
      </c>
      <c r="H28" s="141">
        <f t="shared" si="2"/>
        <v>4652500</v>
      </c>
      <c r="I28" s="138"/>
      <c r="J28" s="141">
        <f>430000+570000</f>
        <v>1000000</v>
      </c>
      <c r="K28" s="141"/>
      <c r="L28" s="150"/>
      <c r="M28" s="141"/>
      <c r="N28" s="141"/>
      <c r="O28" s="139">
        <f t="shared" si="0"/>
        <v>5652500</v>
      </c>
      <c r="P28" s="141">
        <v>5100000</v>
      </c>
      <c r="Q28" s="139">
        <f t="shared" si="1"/>
        <v>-552500</v>
      </c>
      <c r="R28" s="217"/>
      <c r="S28" s="215"/>
      <c r="T28" s="215"/>
    </row>
    <row r="29" spans="1:20" s="144" customFormat="1" ht="24.95" customHeight="1" x14ac:dyDescent="0.2">
      <c r="A29" s="211">
        <v>23</v>
      </c>
      <c r="B29" s="191">
        <v>43397</v>
      </c>
      <c r="C29" s="138" t="s">
        <v>2027</v>
      </c>
      <c r="D29" s="138" t="s">
        <v>2053</v>
      </c>
      <c r="E29" s="146" t="s">
        <v>1937</v>
      </c>
      <c r="F29" s="138"/>
      <c r="G29" s="138"/>
      <c r="H29" s="141"/>
      <c r="I29" s="138"/>
      <c r="J29" s="141">
        <v>790000</v>
      </c>
      <c r="K29" s="141"/>
      <c r="L29" s="150"/>
      <c r="M29" s="141"/>
      <c r="N29" s="141"/>
      <c r="O29" s="139">
        <f t="shared" si="0"/>
        <v>790000</v>
      </c>
      <c r="P29" s="141">
        <v>3500000</v>
      </c>
      <c r="Q29" s="139">
        <f t="shared" si="1"/>
        <v>2710000</v>
      </c>
      <c r="R29" s="217"/>
      <c r="S29" s="215"/>
      <c r="T29" s="215"/>
    </row>
    <row r="30" spans="1:20" s="144" customFormat="1" ht="24.95" customHeight="1" x14ac:dyDescent="0.2">
      <c r="A30" s="211">
        <v>24</v>
      </c>
      <c r="B30" s="191">
        <v>43397</v>
      </c>
      <c r="C30" s="138" t="s">
        <v>2028</v>
      </c>
      <c r="D30" s="138" t="s">
        <v>2054</v>
      </c>
      <c r="E30" s="146" t="s">
        <v>298</v>
      </c>
      <c r="F30" s="138"/>
      <c r="G30" s="138"/>
      <c r="H30" s="141"/>
      <c r="I30" s="138"/>
      <c r="J30" s="141">
        <v>970000</v>
      </c>
      <c r="K30" s="141"/>
      <c r="L30" s="150"/>
      <c r="M30" s="141"/>
      <c r="N30" s="141"/>
      <c r="O30" s="139">
        <f t="shared" si="0"/>
        <v>970000</v>
      </c>
      <c r="P30" s="141">
        <v>4000000</v>
      </c>
      <c r="Q30" s="139">
        <f t="shared" si="1"/>
        <v>3030000</v>
      </c>
      <c r="R30" s="217"/>
      <c r="S30" s="215"/>
      <c r="T30" s="215"/>
    </row>
    <row r="31" spans="1:20" s="144" customFormat="1" ht="24.95" customHeight="1" x14ac:dyDescent="0.2">
      <c r="A31" s="211"/>
      <c r="B31" s="232">
        <v>43399</v>
      </c>
      <c r="C31" s="138" t="s">
        <v>2029</v>
      </c>
      <c r="D31" s="138" t="s">
        <v>2055</v>
      </c>
      <c r="E31" s="146" t="s">
        <v>25</v>
      </c>
      <c r="F31" s="138"/>
      <c r="G31" s="138">
        <v>296</v>
      </c>
      <c r="H31" s="141">
        <f t="shared" si="2"/>
        <v>5508560</v>
      </c>
      <c r="I31" s="138"/>
      <c r="J31" s="141">
        <v>1710000</v>
      </c>
      <c r="K31" s="141"/>
      <c r="L31" s="150"/>
      <c r="M31" s="141"/>
      <c r="N31" s="141"/>
      <c r="O31" s="139">
        <f t="shared" si="0"/>
        <v>7218560</v>
      </c>
      <c r="P31" s="141">
        <v>7500000</v>
      </c>
      <c r="Q31" s="139">
        <f t="shared" si="1"/>
        <v>281440</v>
      </c>
      <c r="R31" s="217"/>
      <c r="S31" s="215"/>
      <c r="T31" s="215"/>
    </row>
    <row r="32" spans="1:20" s="144" customFormat="1" ht="24.95" customHeight="1" x14ac:dyDescent="0.2">
      <c r="A32" s="211"/>
      <c r="B32" s="232">
        <v>43402</v>
      </c>
      <c r="C32" s="138" t="s">
        <v>689</v>
      </c>
      <c r="D32" s="138" t="s">
        <v>2056</v>
      </c>
      <c r="E32" s="146" t="s">
        <v>1689</v>
      </c>
      <c r="F32" s="138"/>
      <c r="G32" s="138">
        <v>326</v>
      </c>
      <c r="H32" s="141">
        <f t="shared" si="2"/>
        <v>6066860</v>
      </c>
      <c r="I32" s="138"/>
      <c r="J32" s="141">
        <v>1330000</v>
      </c>
      <c r="K32" s="141"/>
      <c r="L32" s="150"/>
      <c r="M32" s="141"/>
      <c r="N32" s="141"/>
      <c r="O32" s="139">
        <f t="shared" si="0"/>
        <v>7396860</v>
      </c>
      <c r="P32" s="141">
        <v>6100000</v>
      </c>
      <c r="Q32" s="139">
        <f t="shared" si="1"/>
        <v>-1296860</v>
      </c>
      <c r="R32" s="217"/>
      <c r="S32" s="215"/>
      <c r="T32" s="215"/>
    </row>
    <row r="33" spans="1:20" s="144" customFormat="1" ht="24.95" customHeight="1" x14ac:dyDescent="0.2">
      <c r="A33" s="211"/>
      <c r="B33" s="232">
        <v>43402</v>
      </c>
      <c r="C33" s="138" t="s">
        <v>690</v>
      </c>
      <c r="D33" s="138" t="s">
        <v>2057</v>
      </c>
      <c r="E33" s="146" t="s">
        <v>723</v>
      </c>
      <c r="F33" s="138"/>
      <c r="G33" s="138"/>
      <c r="H33" s="141"/>
      <c r="I33" s="138"/>
      <c r="J33" s="141">
        <v>790000</v>
      </c>
      <c r="K33" s="141"/>
      <c r="L33" s="150"/>
      <c r="M33" s="141"/>
      <c r="N33" s="141"/>
      <c r="O33" s="139">
        <f t="shared" si="0"/>
        <v>790000</v>
      </c>
      <c r="P33" s="141">
        <v>2945455</v>
      </c>
      <c r="Q33" s="139">
        <f t="shared" si="1"/>
        <v>2155455</v>
      </c>
      <c r="R33" s="217"/>
      <c r="S33" s="215"/>
      <c r="T33" s="215"/>
    </row>
    <row r="34" spans="1:20" s="144" customFormat="1" ht="24.95" customHeight="1" x14ac:dyDescent="0.2">
      <c r="A34" s="211"/>
      <c r="B34" s="232">
        <v>43403</v>
      </c>
      <c r="C34" s="138" t="s">
        <v>2030</v>
      </c>
      <c r="D34" s="138" t="s">
        <v>2058</v>
      </c>
      <c r="E34" s="146" t="s">
        <v>146</v>
      </c>
      <c r="F34" s="138"/>
      <c r="G34" s="138"/>
      <c r="H34" s="141"/>
      <c r="I34" s="138"/>
      <c r="J34" s="141">
        <v>1420000</v>
      </c>
      <c r="K34" s="141"/>
      <c r="L34" s="150"/>
      <c r="M34" s="141"/>
      <c r="N34" s="141"/>
      <c r="O34" s="139">
        <f t="shared" si="0"/>
        <v>1420000</v>
      </c>
      <c r="P34" s="141">
        <v>5400000</v>
      </c>
      <c r="Q34" s="139">
        <f t="shared" si="1"/>
        <v>3980000</v>
      </c>
      <c r="R34" s="217"/>
      <c r="S34" s="215"/>
      <c r="T34" s="215"/>
    </row>
    <row r="35" spans="1:20" s="144" customFormat="1" ht="24.95" customHeight="1" x14ac:dyDescent="0.2">
      <c r="A35" s="211"/>
      <c r="B35" s="232"/>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45" customHeight="1" x14ac:dyDescent="0.2">
      <c r="A36" s="211"/>
      <c r="C36" s="221" t="s">
        <v>2065</v>
      </c>
      <c r="D36" s="138"/>
      <c r="E36" s="146"/>
      <c r="F36" s="138"/>
      <c r="G36" s="138"/>
      <c r="H36" s="139"/>
      <c r="I36" s="138"/>
      <c r="J36" s="141"/>
      <c r="K36" s="141"/>
      <c r="L36" s="157">
        <v>580000</v>
      </c>
      <c r="M36" s="141"/>
      <c r="N36" s="157"/>
      <c r="O36" s="139">
        <f t="shared" si="0"/>
        <v>580000</v>
      </c>
      <c r="P36" s="139"/>
      <c r="Q36" s="139">
        <f t="shared" si="1"/>
        <v>-580000</v>
      </c>
      <c r="R36" s="217"/>
      <c r="S36" s="215"/>
      <c r="T36" s="215"/>
    </row>
    <row r="37" spans="1:20" s="144" customFormat="1" ht="24.95" customHeight="1" x14ac:dyDescent="0.2">
      <c r="A37" s="211"/>
      <c r="C37" s="221" t="s">
        <v>1091</v>
      </c>
      <c r="D37" s="220"/>
      <c r="E37" s="221"/>
      <c r="F37" s="220"/>
      <c r="G37" s="220"/>
      <c r="H37" s="219"/>
      <c r="I37" s="220"/>
      <c r="J37" s="157"/>
      <c r="K37" s="157"/>
      <c r="L37" s="157">
        <v>8485000</v>
      </c>
      <c r="M37" s="157"/>
      <c r="N37" s="157"/>
      <c r="O37" s="139">
        <f t="shared" si="0"/>
        <v>8485000</v>
      </c>
      <c r="P37" s="139"/>
      <c r="Q37" s="139">
        <f t="shared" si="1"/>
        <v>-8485000</v>
      </c>
      <c r="R37" s="217"/>
      <c r="S37" s="215"/>
      <c r="T37" s="215"/>
    </row>
    <row r="38" spans="1:20" s="144" customFormat="1" ht="24.95" customHeight="1" x14ac:dyDescent="0.2">
      <c r="A38" s="211"/>
      <c r="B38" s="191"/>
      <c r="C38" s="221" t="s">
        <v>2066</v>
      </c>
      <c r="D38" s="220"/>
      <c r="E38" s="221"/>
      <c r="F38" s="220"/>
      <c r="G38" s="220"/>
      <c r="H38" s="219"/>
      <c r="I38" s="220"/>
      <c r="J38" s="157"/>
      <c r="L38" s="157">
        <v>610000</v>
      </c>
      <c r="M38" s="157"/>
      <c r="N38" s="141"/>
      <c r="O38" s="139">
        <f t="shared" si="0"/>
        <v>610000</v>
      </c>
      <c r="P38" s="139"/>
      <c r="Q38" s="139">
        <f t="shared" si="1"/>
        <v>-610000</v>
      </c>
      <c r="R38" s="217"/>
      <c r="S38" s="215"/>
      <c r="T38" s="215"/>
    </row>
    <row r="39" spans="1:20" s="144" customFormat="1" ht="43.5" customHeight="1" x14ac:dyDescent="0.2">
      <c r="A39" s="211"/>
      <c r="B39" s="191"/>
      <c r="C39" s="221" t="s">
        <v>1090</v>
      </c>
      <c r="D39" s="220"/>
      <c r="E39" s="221"/>
      <c r="F39" s="220"/>
      <c r="G39" s="220"/>
      <c r="H39" s="219"/>
      <c r="I39" s="220"/>
      <c r="J39" s="157"/>
      <c r="L39" s="157">
        <v>200000</v>
      </c>
      <c r="M39" s="157"/>
      <c r="N39" s="141"/>
      <c r="O39" s="139">
        <f t="shared" si="0"/>
        <v>200000</v>
      </c>
      <c r="P39" s="139"/>
      <c r="Q39" s="139">
        <f t="shared" si="1"/>
        <v>-200000</v>
      </c>
      <c r="R39" s="217"/>
      <c r="S39" s="215"/>
      <c r="T39" s="215"/>
    </row>
    <row r="40" spans="1:20" s="159" customFormat="1" ht="24.95" customHeight="1" x14ac:dyDescent="0.25">
      <c r="A40" s="211"/>
      <c r="B40" s="165"/>
      <c r="C40" s="196" t="s">
        <v>1337</v>
      </c>
      <c r="D40" s="195"/>
      <c r="E40" s="197"/>
      <c r="F40" s="195"/>
      <c r="G40" s="195"/>
      <c r="H40" s="155"/>
      <c r="I40" s="195"/>
      <c r="J40" s="155"/>
      <c r="K40" s="233">
        <v>10038462</v>
      </c>
      <c r="L40" s="155"/>
      <c r="M40" s="155"/>
      <c r="N40" s="155"/>
      <c r="O40" s="139">
        <f t="shared" si="0"/>
        <v>10038462</v>
      </c>
      <c r="P40" s="139"/>
      <c r="Q40" s="139">
        <f t="shared" si="1"/>
        <v>-10038462</v>
      </c>
      <c r="S40" s="215"/>
      <c r="T40" s="215"/>
    </row>
    <row r="41" spans="1:20" s="159" customFormat="1" ht="24.95" customHeight="1" x14ac:dyDescent="0.25">
      <c r="A41" s="211"/>
      <c r="B41" s="203"/>
      <c r="C41" s="152" t="s">
        <v>1094</v>
      </c>
      <c r="D41" s="153"/>
      <c r="E41" s="154"/>
      <c r="F41" s="153"/>
      <c r="G41" s="153"/>
      <c r="H41" s="156"/>
      <c r="I41" s="153"/>
      <c r="J41" s="156"/>
      <c r="K41" s="204">
        <f>1200000*1.1</f>
        <v>1320000</v>
      </c>
      <c r="L41" s="204"/>
      <c r="M41" s="156"/>
      <c r="N41" s="156"/>
      <c r="O41" s="139">
        <f t="shared" si="0"/>
        <v>1320000</v>
      </c>
      <c r="P41" s="139"/>
      <c r="Q41" s="139">
        <f t="shared" si="1"/>
        <v>-1320000</v>
      </c>
      <c r="R41" s="186"/>
      <c r="S41" s="215"/>
      <c r="T41" s="215"/>
    </row>
    <row r="42" spans="1:20" ht="24.95" customHeight="1" x14ac:dyDescent="0.25">
      <c r="A42" s="426" t="s">
        <v>20</v>
      </c>
      <c r="B42" s="426"/>
      <c r="C42" s="426"/>
      <c r="D42" s="426"/>
      <c r="E42" s="426"/>
      <c r="F42" s="426"/>
      <c r="G42" s="161">
        <f>SUM(G7:G41)</f>
        <v>3278</v>
      </c>
      <c r="H42" s="161">
        <f>SUM(H7:H41)</f>
        <v>60734080</v>
      </c>
      <c r="I42" s="161">
        <f t="shared" ref="I42:N42" si="3">SUM(I7:I41)</f>
        <v>0</v>
      </c>
      <c r="J42" s="161">
        <f t="shared" si="3"/>
        <v>33200000</v>
      </c>
      <c r="K42" s="161">
        <f t="shared" si="3"/>
        <v>11358462</v>
      </c>
      <c r="L42" s="161">
        <f t="shared" si="3"/>
        <v>9875000</v>
      </c>
      <c r="M42" s="161">
        <f t="shared" si="3"/>
        <v>0</v>
      </c>
      <c r="N42" s="161">
        <f t="shared" si="3"/>
        <v>0</v>
      </c>
      <c r="O42" s="161">
        <f>SUM(O7:O41)</f>
        <v>115167542</v>
      </c>
      <c r="P42" s="161">
        <f>SUM(P7:P41)</f>
        <v>144718182</v>
      </c>
      <c r="Q42" s="161">
        <f>SUM(Q7:Q41)</f>
        <v>29550640</v>
      </c>
      <c r="R42" s="187"/>
      <c r="S42" s="189"/>
    </row>
    <row r="43" spans="1:20" ht="24.95" customHeight="1" x14ac:dyDescent="0.25">
      <c r="O43" s="158"/>
      <c r="Q43" s="158"/>
    </row>
    <row r="44" spans="1:20" ht="24.95" customHeight="1" x14ac:dyDescent="0.25">
      <c r="H44" s="143">
        <f>H42-15549000</f>
        <v>45185080</v>
      </c>
      <c r="P44" s="216" t="s">
        <v>1603</v>
      </c>
      <c r="Q44" s="227">
        <f>'09-2018'!Q41+'10-2018'!Q42</f>
        <v>230260067.69230768</v>
      </c>
    </row>
    <row r="45" spans="1:20" ht="24.95" customHeight="1" x14ac:dyDescent="0.25">
      <c r="B45" s="129"/>
      <c r="H45" s="128"/>
      <c r="J45" s="128"/>
      <c r="K45" s="128"/>
      <c r="L45" s="128"/>
      <c r="M45" s="128"/>
      <c r="N45" s="128"/>
      <c r="O45" s="128"/>
      <c r="P45" s="218"/>
      <c r="Q45" s="216"/>
    </row>
    <row r="46" spans="1:20" ht="24.95" customHeight="1" x14ac:dyDescent="0.25">
      <c r="B46" s="129"/>
      <c r="H46" s="128"/>
      <c r="J46" s="128"/>
      <c r="K46" s="128"/>
      <c r="L46" s="128"/>
      <c r="M46" s="128"/>
      <c r="N46" s="128"/>
      <c r="O46" s="128"/>
      <c r="P46" s="218"/>
      <c r="Q46" s="230"/>
    </row>
    <row r="47" spans="1:20" ht="24.95" customHeight="1" x14ac:dyDescent="0.25">
      <c r="B47" s="129"/>
      <c r="H47" s="128"/>
      <c r="J47" s="128"/>
      <c r="K47" s="128"/>
      <c r="L47" s="128"/>
      <c r="M47" s="128"/>
      <c r="N47" s="128"/>
      <c r="O47" s="128"/>
      <c r="P47" s="218"/>
      <c r="Q47" s="230"/>
    </row>
    <row r="48" spans="1:20" ht="24.95" customHeight="1" x14ac:dyDescent="0.25">
      <c r="B48" s="129"/>
      <c r="H48" s="128"/>
      <c r="J48" s="128"/>
      <c r="K48" s="128"/>
      <c r="L48" s="128"/>
      <c r="M48" s="128"/>
      <c r="N48" s="128"/>
      <c r="O48" s="128"/>
      <c r="P48" s="218"/>
      <c r="Q48" s="216"/>
    </row>
    <row r="49" spans="1:17" x14ac:dyDescent="0.25">
      <c r="B49" s="129"/>
      <c r="H49" s="128"/>
      <c r="J49" s="128"/>
      <c r="K49" s="128"/>
      <c r="L49" s="128"/>
      <c r="M49" s="128"/>
      <c r="N49" s="128"/>
      <c r="O49" s="128"/>
      <c r="P49" s="218"/>
      <c r="Q49" s="216"/>
    </row>
    <row r="50" spans="1:17" x14ac:dyDescent="0.25">
      <c r="A50" s="128"/>
      <c r="B50" s="129"/>
      <c r="H50" s="128"/>
      <c r="J50" s="128"/>
      <c r="K50" s="128"/>
      <c r="L50" s="128"/>
      <c r="M50" s="128"/>
      <c r="N50" s="128"/>
      <c r="O50" s="128"/>
      <c r="P50" s="218"/>
      <c r="Q50" s="216"/>
    </row>
    <row r="51" spans="1:17" x14ac:dyDescent="0.25">
      <c r="A51" s="128"/>
      <c r="B51" s="129"/>
      <c r="H51" s="128"/>
      <c r="J51" s="128"/>
      <c r="K51" s="128"/>
      <c r="L51" s="128"/>
      <c r="M51" s="128"/>
      <c r="N51" s="128"/>
      <c r="O51" s="128"/>
      <c r="P51" s="128"/>
      <c r="Q51" s="216"/>
    </row>
    <row r="52" spans="1:17" x14ac:dyDescent="0.25">
      <c r="A52" s="128"/>
      <c r="B52" s="128"/>
      <c r="H52" s="128"/>
      <c r="J52" s="128"/>
      <c r="K52" s="128"/>
      <c r="L52" s="128"/>
      <c r="M52" s="128"/>
      <c r="N52" s="128"/>
      <c r="O52" s="128"/>
      <c r="P52" s="128"/>
      <c r="Q52" s="216"/>
    </row>
    <row r="53" spans="1:17" x14ac:dyDescent="0.25">
      <c r="A53" s="128"/>
      <c r="B53" s="128"/>
      <c r="H53" s="128"/>
      <c r="J53" s="128"/>
      <c r="K53" s="128"/>
      <c r="L53" s="128"/>
      <c r="M53" s="128"/>
      <c r="N53" s="128"/>
      <c r="O53" s="128"/>
      <c r="P53" s="128"/>
      <c r="Q53" s="216"/>
    </row>
  </sheetData>
  <mergeCells count="14">
    <mergeCell ref="O5:O6"/>
    <mergeCell ref="P5:P6"/>
    <mergeCell ref="Q5:Q6"/>
    <mergeCell ref="A42:F42"/>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7"/>
  <sheetViews>
    <sheetView topLeftCell="E46" workbookViewId="0">
      <selection activeCell="Q48" sqref="Q48"/>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2067</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43405</v>
      </c>
      <c r="C7" s="138" t="s">
        <v>2068</v>
      </c>
      <c r="D7" s="138" t="s">
        <v>2091</v>
      </c>
      <c r="E7" s="146" t="s">
        <v>248</v>
      </c>
      <c r="F7" s="138"/>
      <c r="G7" s="138">
        <v>288</v>
      </c>
      <c r="H7" s="141">
        <f>G7*18610</f>
        <v>5359680</v>
      </c>
      <c r="I7" s="138"/>
      <c r="J7" s="226">
        <v>810000</v>
      </c>
      <c r="K7" s="141"/>
      <c r="L7" s="150"/>
      <c r="M7" s="141"/>
      <c r="N7" s="141"/>
      <c r="O7" s="139">
        <f>SUM(H7:N7)</f>
        <v>6169680</v>
      </c>
      <c r="P7" s="139">
        <v>4200000</v>
      </c>
      <c r="Q7" s="139">
        <f>P7-O7</f>
        <v>-1969680</v>
      </c>
      <c r="R7" s="217"/>
      <c r="S7" s="215"/>
      <c r="T7" s="215"/>
    </row>
    <row r="8" spans="1:20" s="144" customFormat="1" ht="24.95" customHeight="1" x14ac:dyDescent="0.2">
      <c r="A8" s="211">
        <v>2</v>
      </c>
      <c r="B8" s="191">
        <v>43406</v>
      </c>
      <c r="C8" s="138" t="s">
        <v>2069</v>
      </c>
      <c r="D8" s="138" t="s">
        <v>1680</v>
      </c>
      <c r="E8" s="146" t="s">
        <v>1508</v>
      </c>
      <c r="F8" s="138"/>
      <c r="G8" s="138"/>
      <c r="H8" s="141"/>
      <c r="I8" s="138"/>
      <c r="J8" s="226">
        <v>1160000</v>
      </c>
      <c r="K8" s="141"/>
      <c r="L8" s="150"/>
      <c r="M8" s="141"/>
      <c r="N8" s="141"/>
      <c r="O8" s="139">
        <f t="shared" ref="O8:O45" si="0">SUM(H8:N8)</f>
        <v>1160000</v>
      </c>
      <c r="P8" s="139">
        <v>4900000</v>
      </c>
      <c r="Q8" s="139">
        <f t="shared" ref="Q8:Q45" si="1">P8-O8</f>
        <v>3740000</v>
      </c>
      <c r="R8" s="217"/>
      <c r="S8" s="215"/>
      <c r="T8" s="215"/>
    </row>
    <row r="9" spans="1:20" s="144" customFormat="1" ht="24.95" customHeight="1" x14ac:dyDescent="0.2">
      <c r="A9" s="211">
        <v>3</v>
      </c>
      <c r="B9" s="191">
        <v>43407</v>
      </c>
      <c r="C9" s="138" t="s">
        <v>2070</v>
      </c>
      <c r="D9" s="138" t="s">
        <v>2092</v>
      </c>
      <c r="E9" s="146" t="s">
        <v>23</v>
      </c>
      <c r="F9" s="138"/>
      <c r="G9" s="138">
        <v>365</v>
      </c>
      <c r="H9" s="141">
        <f t="shared" ref="H9" si="2">G9*18610</f>
        <v>6792650</v>
      </c>
      <c r="I9" s="138"/>
      <c r="J9" s="226">
        <v>2380000</v>
      </c>
      <c r="K9" s="141"/>
      <c r="L9" s="150"/>
      <c r="M9" s="141"/>
      <c r="N9" s="141"/>
      <c r="O9" s="139">
        <f t="shared" si="0"/>
        <v>9172650</v>
      </c>
      <c r="P9" s="139">
        <v>12090909</v>
      </c>
      <c r="Q9" s="139">
        <f t="shared" si="1"/>
        <v>2918259</v>
      </c>
      <c r="R9" s="217"/>
      <c r="S9" s="215"/>
      <c r="T9" s="215"/>
    </row>
    <row r="10" spans="1:20" s="144" customFormat="1" ht="24.95" customHeight="1" x14ac:dyDescent="0.2">
      <c r="A10" s="211">
        <v>4</v>
      </c>
      <c r="B10" s="191">
        <v>43409</v>
      </c>
      <c r="C10" s="138" t="s">
        <v>2071</v>
      </c>
      <c r="D10" s="138" t="s">
        <v>2093</v>
      </c>
      <c r="E10" s="146" t="s">
        <v>2115</v>
      </c>
      <c r="F10" s="138"/>
      <c r="G10" s="138"/>
      <c r="H10" s="141"/>
      <c r="I10" s="138"/>
      <c r="J10" s="226">
        <v>1330000</v>
      </c>
      <c r="K10" s="141"/>
      <c r="L10" s="150"/>
      <c r="M10" s="141"/>
      <c r="N10" s="141"/>
      <c r="O10" s="139">
        <f t="shared" si="0"/>
        <v>1330000</v>
      </c>
      <c r="P10" s="139">
        <v>6100000</v>
      </c>
      <c r="Q10" s="139">
        <f t="shared" si="1"/>
        <v>4770000</v>
      </c>
      <c r="R10" s="217"/>
      <c r="S10" s="215"/>
      <c r="T10" s="215"/>
    </row>
    <row r="11" spans="1:20" s="144" customFormat="1" ht="24.95" customHeight="1" x14ac:dyDescent="0.2">
      <c r="A11" s="211">
        <v>5</v>
      </c>
      <c r="B11" s="191">
        <v>43410</v>
      </c>
      <c r="C11" s="138" t="s">
        <v>1383</v>
      </c>
      <c r="D11" s="138" t="s">
        <v>2094</v>
      </c>
      <c r="E11" s="146" t="s">
        <v>298</v>
      </c>
      <c r="F11" s="138"/>
      <c r="G11" s="138">
        <v>245</v>
      </c>
      <c r="H11" s="141">
        <f>G11*18540</f>
        <v>4542300</v>
      </c>
      <c r="I11" s="138"/>
      <c r="J11" s="226">
        <v>970000</v>
      </c>
      <c r="K11" s="141"/>
      <c r="L11" s="150"/>
      <c r="M11" s="141"/>
      <c r="N11" s="141"/>
      <c r="O11" s="139">
        <f t="shared" si="0"/>
        <v>5512300</v>
      </c>
      <c r="P11" s="141">
        <v>4000000</v>
      </c>
      <c r="Q11" s="139">
        <f t="shared" si="1"/>
        <v>-1512300</v>
      </c>
      <c r="R11" s="217"/>
      <c r="S11" s="215"/>
      <c r="T11" s="215"/>
    </row>
    <row r="12" spans="1:20" s="144" customFormat="1" ht="24.95" customHeight="1" x14ac:dyDescent="0.2">
      <c r="A12" s="211">
        <v>6</v>
      </c>
      <c r="B12" s="191">
        <v>43411</v>
      </c>
      <c r="C12" s="138" t="s">
        <v>1385</v>
      </c>
      <c r="D12" s="138" t="s">
        <v>2095</v>
      </c>
      <c r="E12" s="146" t="s">
        <v>25</v>
      </c>
      <c r="F12" s="138"/>
      <c r="G12" s="138"/>
      <c r="H12" s="141"/>
      <c r="I12" s="138"/>
      <c r="J12" s="226">
        <v>1710000</v>
      </c>
      <c r="K12" s="141"/>
      <c r="L12" s="150"/>
      <c r="M12" s="141"/>
      <c r="N12" s="141"/>
      <c r="O12" s="139">
        <f t="shared" si="0"/>
        <v>1710000</v>
      </c>
      <c r="P12" s="141">
        <v>7500000</v>
      </c>
      <c r="Q12" s="139">
        <f t="shared" si="1"/>
        <v>5790000</v>
      </c>
      <c r="R12" s="217"/>
      <c r="S12" s="215"/>
      <c r="T12" s="215"/>
    </row>
    <row r="13" spans="1:20" s="144" customFormat="1" ht="24.95" customHeight="1" x14ac:dyDescent="0.2">
      <c r="A13" s="211">
        <v>7</v>
      </c>
      <c r="B13" s="191">
        <v>43412</v>
      </c>
      <c r="C13" s="138" t="s">
        <v>2072</v>
      </c>
      <c r="D13" s="138" t="s">
        <v>2096</v>
      </c>
      <c r="E13" s="146" t="s">
        <v>2116</v>
      </c>
      <c r="F13" s="138"/>
      <c r="G13" s="138">
        <v>295</v>
      </c>
      <c r="H13" s="141">
        <f t="shared" ref="H13:H24" si="3">G13*18540</f>
        <v>5469300</v>
      </c>
      <c r="I13" s="138"/>
      <c r="J13" s="226">
        <v>1160000</v>
      </c>
      <c r="K13" s="141"/>
      <c r="L13" s="150"/>
      <c r="M13" s="141"/>
      <c r="N13" s="141"/>
      <c r="O13" s="139">
        <f t="shared" si="0"/>
        <v>6629300</v>
      </c>
      <c r="P13" s="141">
        <v>5100000</v>
      </c>
      <c r="Q13" s="139">
        <f t="shared" si="1"/>
        <v>-1529300</v>
      </c>
      <c r="R13" s="217"/>
      <c r="S13" s="215"/>
      <c r="T13" s="215"/>
    </row>
    <row r="14" spans="1:20" s="144" customFormat="1" ht="24.95" customHeight="1" x14ac:dyDescent="0.2">
      <c r="A14" s="211">
        <v>8</v>
      </c>
      <c r="B14" s="191">
        <v>43413</v>
      </c>
      <c r="C14" s="138" t="s">
        <v>2073</v>
      </c>
      <c r="D14" s="138" t="s">
        <v>2097</v>
      </c>
      <c r="E14" s="146" t="s">
        <v>1217</v>
      </c>
      <c r="F14" s="138"/>
      <c r="G14" s="138"/>
      <c r="H14" s="141"/>
      <c r="I14" s="138"/>
      <c r="J14" s="226">
        <v>810000</v>
      </c>
      <c r="K14" s="141"/>
      <c r="L14" s="150"/>
      <c r="M14" s="141"/>
      <c r="N14" s="141"/>
      <c r="O14" s="139">
        <f t="shared" si="0"/>
        <v>810000</v>
      </c>
      <c r="P14" s="141">
        <v>4000000</v>
      </c>
      <c r="Q14" s="139">
        <f t="shared" si="1"/>
        <v>3190000</v>
      </c>
      <c r="R14" s="217"/>
      <c r="S14" s="215"/>
      <c r="T14" s="215"/>
    </row>
    <row r="15" spans="1:20" s="144" customFormat="1" ht="24.95" customHeight="1" x14ac:dyDescent="0.2">
      <c r="A15" s="211">
        <v>9</v>
      </c>
      <c r="B15" s="191">
        <v>43414</v>
      </c>
      <c r="C15" s="138" t="s">
        <v>2074</v>
      </c>
      <c r="D15" s="138" t="s">
        <v>2098</v>
      </c>
      <c r="E15" s="146" t="s">
        <v>298</v>
      </c>
      <c r="F15" s="138"/>
      <c r="G15" s="138">
        <v>200</v>
      </c>
      <c r="H15" s="141">
        <f t="shared" si="3"/>
        <v>3708000</v>
      </c>
      <c r="I15" s="138"/>
      <c r="J15" s="226">
        <v>970000</v>
      </c>
      <c r="K15" s="141"/>
      <c r="L15" s="150"/>
      <c r="M15" s="141"/>
      <c r="N15" s="141"/>
      <c r="O15" s="139">
        <f t="shared" si="0"/>
        <v>4678000</v>
      </c>
      <c r="P15" s="141">
        <v>4000000</v>
      </c>
      <c r="Q15" s="139">
        <f t="shared" si="1"/>
        <v>-678000</v>
      </c>
      <c r="R15" s="217"/>
      <c r="S15" s="215"/>
      <c r="T15" s="215"/>
    </row>
    <row r="16" spans="1:20" s="144" customFormat="1" ht="24.95" customHeight="1" x14ac:dyDescent="0.2">
      <c r="A16" s="211">
        <v>10</v>
      </c>
      <c r="B16" s="191">
        <v>43415</v>
      </c>
      <c r="C16" s="138" t="s">
        <v>1388</v>
      </c>
      <c r="D16" s="138" t="s">
        <v>2099</v>
      </c>
      <c r="E16" s="146" t="s">
        <v>23</v>
      </c>
      <c r="F16" s="138"/>
      <c r="G16" s="138">
        <v>245</v>
      </c>
      <c r="H16" s="141">
        <f t="shared" si="3"/>
        <v>4542300</v>
      </c>
      <c r="I16" s="138"/>
      <c r="J16" s="226">
        <v>2380000</v>
      </c>
      <c r="K16" s="141"/>
      <c r="L16" s="150"/>
      <c r="M16" s="141"/>
      <c r="N16" s="141"/>
      <c r="O16" s="139">
        <f t="shared" si="0"/>
        <v>6922300</v>
      </c>
      <c r="P16" s="141">
        <v>12090909</v>
      </c>
      <c r="Q16" s="139">
        <f t="shared" si="1"/>
        <v>5168609</v>
      </c>
      <c r="R16" s="217"/>
      <c r="S16" s="215"/>
      <c r="T16" s="215"/>
    </row>
    <row r="17" spans="1:20" s="144" customFormat="1" ht="24.95" customHeight="1" x14ac:dyDescent="0.2">
      <c r="A17" s="211">
        <v>11</v>
      </c>
      <c r="B17" s="191">
        <v>43416</v>
      </c>
      <c r="C17" s="138" t="s">
        <v>2075</v>
      </c>
      <c r="D17" s="138" t="s">
        <v>2100</v>
      </c>
      <c r="E17" s="146" t="s">
        <v>1566</v>
      </c>
      <c r="F17" s="138"/>
      <c r="G17" s="138"/>
      <c r="H17" s="141"/>
      <c r="I17" s="138"/>
      <c r="J17" s="226">
        <v>800000</v>
      </c>
      <c r="K17" s="141"/>
      <c r="L17" s="150"/>
      <c r="M17" s="141"/>
      <c r="N17" s="141"/>
      <c r="O17" s="139">
        <f t="shared" si="0"/>
        <v>800000</v>
      </c>
      <c r="P17" s="141">
        <v>3000000</v>
      </c>
      <c r="Q17" s="139">
        <f t="shared" si="1"/>
        <v>2200000</v>
      </c>
      <c r="R17" s="217"/>
      <c r="S17" s="215"/>
      <c r="T17" s="215"/>
    </row>
    <row r="18" spans="1:20" s="144" customFormat="1" ht="24.95" customHeight="1" x14ac:dyDescent="0.2">
      <c r="A18" s="211">
        <v>12</v>
      </c>
      <c r="B18" s="191">
        <v>43417</v>
      </c>
      <c r="C18" s="138" t="s">
        <v>2076</v>
      </c>
      <c r="D18" s="138" t="s">
        <v>2101</v>
      </c>
      <c r="E18" s="146" t="s">
        <v>21</v>
      </c>
      <c r="F18" s="138"/>
      <c r="G18" s="138"/>
      <c r="H18" s="141"/>
      <c r="I18" s="138"/>
      <c r="J18" s="226">
        <f>790000+120000+300000</f>
        <v>1210000</v>
      </c>
      <c r="K18" s="141"/>
      <c r="L18" s="150"/>
      <c r="M18" s="141"/>
      <c r="N18" s="141"/>
      <c r="O18" s="139">
        <f t="shared" si="0"/>
        <v>1210000</v>
      </c>
      <c r="P18" s="141">
        <v>2945455</v>
      </c>
      <c r="Q18" s="139">
        <f t="shared" si="1"/>
        <v>1735455</v>
      </c>
      <c r="R18" s="217"/>
      <c r="S18" s="215"/>
      <c r="T18" s="215"/>
    </row>
    <row r="19" spans="1:20" s="144" customFormat="1" ht="24.95" customHeight="1" x14ac:dyDescent="0.2">
      <c r="A19" s="211">
        <v>13</v>
      </c>
      <c r="B19" s="191">
        <v>43417</v>
      </c>
      <c r="C19" s="138" t="s">
        <v>2077</v>
      </c>
      <c r="D19" s="138" t="s">
        <v>2101</v>
      </c>
      <c r="E19" s="146" t="s">
        <v>1938</v>
      </c>
      <c r="F19" s="138"/>
      <c r="G19" s="138"/>
      <c r="H19" s="141"/>
      <c r="I19" s="138"/>
      <c r="J19" s="226">
        <v>0</v>
      </c>
      <c r="K19" s="141"/>
      <c r="L19" s="150"/>
      <c r="M19" s="141"/>
      <c r="N19" s="141"/>
      <c r="O19" s="139">
        <f t="shared" si="0"/>
        <v>0</v>
      </c>
      <c r="P19" s="141">
        <v>2490909</v>
      </c>
      <c r="Q19" s="139">
        <f t="shared" si="1"/>
        <v>2490909</v>
      </c>
      <c r="R19" s="217"/>
      <c r="S19" s="215"/>
      <c r="T19" s="215"/>
    </row>
    <row r="20" spans="1:20" s="144" customFormat="1" ht="24.95" customHeight="1" x14ac:dyDescent="0.2">
      <c r="A20" s="211">
        <v>14</v>
      </c>
      <c r="B20" s="191">
        <v>43418</v>
      </c>
      <c r="C20" s="138" t="s">
        <v>2078</v>
      </c>
      <c r="D20" s="138" t="s">
        <v>2102</v>
      </c>
      <c r="E20" s="146" t="s">
        <v>1937</v>
      </c>
      <c r="F20" s="138"/>
      <c r="G20" s="138">
        <v>263</v>
      </c>
      <c r="H20" s="141">
        <f t="shared" si="3"/>
        <v>4876020</v>
      </c>
      <c r="I20" s="138"/>
      <c r="J20" s="226">
        <v>790000</v>
      </c>
      <c r="K20" s="141"/>
      <c r="L20" s="150"/>
      <c r="M20" s="141"/>
      <c r="N20" s="141"/>
      <c r="O20" s="139">
        <f t="shared" si="0"/>
        <v>5666020</v>
      </c>
      <c r="P20" s="141">
        <v>3500000</v>
      </c>
      <c r="Q20" s="139">
        <f t="shared" si="1"/>
        <v>-2166020</v>
      </c>
      <c r="R20" s="217"/>
      <c r="S20" s="215"/>
      <c r="T20" s="215"/>
    </row>
    <row r="21" spans="1:20" s="144" customFormat="1" ht="24.95" customHeight="1" x14ac:dyDescent="0.2">
      <c r="A21" s="211">
        <v>15</v>
      </c>
      <c r="B21" s="191">
        <v>43419</v>
      </c>
      <c r="C21" s="138" t="s">
        <v>1390</v>
      </c>
      <c r="D21" s="138" t="s">
        <v>2103</v>
      </c>
      <c r="E21" s="146" t="s">
        <v>21</v>
      </c>
      <c r="F21" s="138"/>
      <c r="G21" s="138"/>
      <c r="H21" s="141"/>
      <c r="I21" s="138"/>
      <c r="J21" s="226">
        <v>800000</v>
      </c>
      <c r="K21" s="141"/>
      <c r="L21" s="150"/>
      <c r="M21" s="141"/>
      <c r="N21" s="141"/>
      <c r="O21" s="139">
        <f t="shared" si="0"/>
        <v>800000</v>
      </c>
      <c r="P21" s="141">
        <v>2945455</v>
      </c>
      <c r="Q21" s="139">
        <f t="shared" si="1"/>
        <v>2145455</v>
      </c>
      <c r="R21" s="217"/>
      <c r="S21" s="215"/>
      <c r="T21" s="215"/>
    </row>
    <row r="22" spans="1:20" s="144" customFormat="1" ht="24.95" customHeight="1" x14ac:dyDescent="0.2">
      <c r="A22" s="211">
        <v>16</v>
      </c>
      <c r="B22" s="191">
        <v>43420</v>
      </c>
      <c r="C22" s="138" t="s">
        <v>2079</v>
      </c>
      <c r="D22" s="138" t="s">
        <v>2104</v>
      </c>
      <c r="E22" s="146" t="s">
        <v>1937</v>
      </c>
      <c r="F22" s="138"/>
      <c r="G22" s="138"/>
      <c r="H22" s="141"/>
      <c r="I22" s="138"/>
      <c r="J22" s="226">
        <v>790000</v>
      </c>
      <c r="K22" s="141"/>
      <c r="L22" s="150"/>
      <c r="M22" s="141"/>
      <c r="N22" s="141"/>
      <c r="O22" s="139">
        <f t="shared" si="0"/>
        <v>790000</v>
      </c>
      <c r="P22" s="141">
        <v>3500000</v>
      </c>
      <c r="Q22" s="139">
        <f t="shared" si="1"/>
        <v>2710000</v>
      </c>
      <c r="R22" s="217"/>
      <c r="S22" s="215"/>
      <c r="T22" s="215"/>
    </row>
    <row r="23" spans="1:20" s="144" customFormat="1" ht="24.95" customHeight="1" x14ac:dyDescent="0.2">
      <c r="A23" s="211">
        <v>17</v>
      </c>
      <c r="B23" s="191">
        <v>43421</v>
      </c>
      <c r="C23" s="138" t="s">
        <v>2080</v>
      </c>
      <c r="D23" s="138" t="s">
        <v>2105</v>
      </c>
      <c r="E23" s="146" t="s">
        <v>298</v>
      </c>
      <c r="F23" s="138"/>
      <c r="G23" s="138"/>
      <c r="H23" s="141"/>
      <c r="I23" s="138"/>
      <c r="J23" s="226">
        <v>970000</v>
      </c>
      <c r="K23" s="141"/>
      <c r="L23" s="150"/>
      <c r="M23" s="141"/>
      <c r="N23" s="141"/>
      <c r="O23" s="139">
        <f t="shared" si="0"/>
        <v>970000</v>
      </c>
      <c r="P23" s="141">
        <v>4000000</v>
      </c>
      <c r="Q23" s="139">
        <f t="shared" si="1"/>
        <v>3030000</v>
      </c>
      <c r="R23" s="217"/>
      <c r="S23" s="215"/>
      <c r="T23" s="215"/>
    </row>
    <row r="24" spans="1:20" s="144" customFormat="1" ht="24.95" customHeight="1" x14ac:dyDescent="0.2">
      <c r="A24" s="211">
        <v>18</v>
      </c>
      <c r="B24" s="191">
        <v>43423</v>
      </c>
      <c r="C24" s="138" t="s">
        <v>2081</v>
      </c>
      <c r="D24" s="138" t="s">
        <v>2106</v>
      </c>
      <c r="E24" s="146" t="s">
        <v>298</v>
      </c>
      <c r="F24" s="138"/>
      <c r="G24" s="138">
        <v>340</v>
      </c>
      <c r="H24" s="141">
        <f t="shared" si="3"/>
        <v>6303600</v>
      </c>
      <c r="I24" s="138"/>
      <c r="J24" s="226">
        <v>970000</v>
      </c>
      <c r="K24" s="141"/>
      <c r="L24" s="150"/>
      <c r="M24" s="141"/>
      <c r="N24" s="141"/>
      <c r="O24" s="139">
        <f t="shared" si="0"/>
        <v>7273600</v>
      </c>
      <c r="P24" s="141">
        <v>4000000</v>
      </c>
      <c r="Q24" s="139">
        <f t="shared" si="1"/>
        <v>-3273600</v>
      </c>
      <c r="R24" s="217"/>
      <c r="S24" s="215"/>
      <c r="T24" s="215"/>
    </row>
    <row r="25" spans="1:20" s="144" customFormat="1" ht="24.95" customHeight="1" x14ac:dyDescent="0.2">
      <c r="A25" s="211">
        <v>19</v>
      </c>
      <c r="B25" s="191">
        <v>43424</v>
      </c>
      <c r="C25" s="138" t="s">
        <v>2082</v>
      </c>
      <c r="D25" s="138" t="s">
        <v>2107</v>
      </c>
      <c r="E25" s="146" t="s">
        <v>259</v>
      </c>
      <c r="F25" s="138"/>
      <c r="G25" s="138"/>
      <c r="H25" s="141"/>
      <c r="I25" s="138"/>
      <c r="J25" s="226">
        <f>970000+360000</f>
        <v>1330000</v>
      </c>
      <c r="K25" s="141"/>
      <c r="L25" s="150"/>
      <c r="M25" s="141"/>
      <c r="N25" s="141"/>
      <c r="O25" s="139">
        <f t="shared" si="0"/>
        <v>1330000</v>
      </c>
      <c r="P25" s="141">
        <v>3900000</v>
      </c>
      <c r="Q25" s="139">
        <f t="shared" si="1"/>
        <v>2570000</v>
      </c>
      <c r="R25" s="217"/>
      <c r="S25" s="215"/>
      <c r="T25" s="215"/>
    </row>
    <row r="26" spans="1:20" s="144" customFormat="1" ht="24.95" customHeight="1" x14ac:dyDescent="0.2">
      <c r="A26" s="211">
        <v>20</v>
      </c>
      <c r="B26" s="191">
        <v>43425</v>
      </c>
      <c r="C26" s="138" t="s">
        <v>2083</v>
      </c>
      <c r="D26" s="138" t="s">
        <v>2107</v>
      </c>
      <c r="E26" s="146" t="s">
        <v>24</v>
      </c>
      <c r="F26" s="138"/>
      <c r="G26" s="138"/>
      <c r="H26" s="141"/>
      <c r="I26" s="138"/>
      <c r="J26" s="226">
        <v>0</v>
      </c>
      <c r="K26" s="141"/>
      <c r="L26" s="150"/>
      <c r="M26" s="141"/>
      <c r="N26" s="141"/>
      <c r="O26" s="139">
        <f t="shared" si="0"/>
        <v>0</v>
      </c>
      <c r="P26" s="141">
        <v>2800000</v>
      </c>
      <c r="Q26" s="139">
        <f t="shared" si="1"/>
        <v>2800000</v>
      </c>
      <c r="R26" s="217"/>
      <c r="S26" s="215"/>
      <c r="T26" s="215"/>
    </row>
    <row r="27" spans="1:20" s="144" customFormat="1" ht="24.95" customHeight="1" x14ac:dyDescent="0.2">
      <c r="A27" s="211">
        <v>21</v>
      </c>
      <c r="B27" s="191">
        <v>43426</v>
      </c>
      <c r="C27" s="138" t="s">
        <v>2084</v>
      </c>
      <c r="D27" s="138" t="s">
        <v>2108</v>
      </c>
      <c r="E27" s="146" t="s">
        <v>1937</v>
      </c>
      <c r="F27" s="138"/>
      <c r="G27" s="138"/>
      <c r="H27" s="141"/>
      <c r="I27" s="138"/>
      <c r="J27" s="226">
        <v>790000</v>
      </c>
      <c r="K27" s="141"/>
      <c r="L27" s="150"/>
      <c r="M27" s="141"/>
      <c r="N27" s="141"/>
      <c r="O27" s="139">
        <f t="shared" si="0"/>
        <v>790000</v>
      </c>
      <c r="P27" s="141">
        <v>3500000</v>
      </c>
      <c r="Q27" s="139">
        <f t="shared" si="1"/>
        <v>2710000</v>
      </c>
      <c r="R27" s="217"/>
      <c r="S27" s="215"/>
      <c r="T27" s="215"/>
    </row>
    <row r="28" spans="1:20" s="144" customFormat="1" ht="24.95" customHeight="1" x14ac:dyDescent="0.2">
      <c r="A28" s="211">
        <v>22</v>
      </c>
      <c r="B28" s="191">
        <v>43427</v>
      </c>
      <c r="C28" s="138" t="s">
        <v>2085</v>
      </c>
      <c r="D28" s="138" t="s">
        <v>2109</v>
      </c>
      <c r="E28" s="146" t="s">
        <v>80</v>
      </c>
      <c r="F28" s="138"/>
      <c r="G28" s="138">
        <v>315</v>
      </c>
      <c r="H28" s="141">
        <f>G28*17630</f>
        <v>5553450</v>
      </c>
      <c r="I28" s="138"/>
      <c r="J28" s="226">
        <v>430000</v>
      </c>
      <c r="K28" s="141"/>
      <c r="L28" s="150"/>
      <c r="M28" s="141"/>
      <c r="N28" s="141"/>
      <c r="O28" s="139">
        <f t="shared" si="0"/>
        <v>5983450</v>
      </c>
      <c r="P28" s="141">
        <v>3800000</v>
      </c>
      <c r="Q28" s="139">
        <f t="shared" si="1"/>
        <v>-2183450</v>
      </c>
      <c r="R28" s="217"/>
      <c r="S28" s="215"/>
      <c r="T28" s="215"/>
    </row>
    <row r="29" spans="1:20" s="144" customFormat="1" ht="24.95" customHeight="1" x14ac:dyDescent="0.2">
      <c r="A29" s="211">
        <v>23</v>
      </c>
      <c r="B29" s="191">
        <v>43428</v>
      </c>
      <c r="C29" s="138" t="s">
        <v>2086</v>
      </c>
      <c r="D29" s="138" t="s">
        <v>2110</v>
      </c>
      <c r="E29" s="146" t="s">
        <v>80</v>
      </c>
      <c r="F29" s="138"/>
      <c r="G29" s="138"/>
      <c r="H29" s="141"/>
      <c r="I29" s="138"/>
      <c r="J29" s="226">
        <v>430000</v>
      </c>
      <c r="K29" s="141"/>
      <c r="L29" s="150"/>
      <c r="M29" s="141"/>
      <c r="N29" s="141"/>
      <c r="O29" s="139">
        <f t="shared" si="0"/>
        <v>430000</v>
      </c>
      <c r="P29" s="141">
        <v>3800000</v>
      </c>
      <c r="Q29" s="139">
        <f t="shared" si="1"/>
        <v>3370000</v>
      </c>
      <c r="R29" s="217"/>
      <c r="S29" s="215"/>
      <c r="T29" s="215"/>
    </row>
    <row r="30" spans="1:20" s="144" customFormat="1" ht="24.95" customHeight="1" x14ac:dyDescent="0.2">
      <c r="A30" s="211">
        <v>24</v>
      </c>
      <c r="B30" s="191">
        <v>43431</v>
      </c>
      <c r="C30" s="138" t="s">
        <v>2087</v>
      </c>
      <c r="D30" s="138" t="s">
        <v>2111</v>
      </c>
      <c r="E30" s="146" t="s">
        <v>206</v>
      </c>
      <c r="F30" s="138"/>
      <c r="G30" s="138"/>
      <c r="H30" s="141"/>
      <c r="I30" s="138"/>
      <c r="J30" s="226">
        <v>970000</v>
      </c>
      <c r="K30" s="141"/>
      <c r="L30" s="150"/>
      <c r="M30" s="141"/>
      <c r="N30" s="141"/>
      <c r="O30" s="139">
        <f t="shared" si="0"/>
        <v>970000</v>
      </c>
      <c r="P30" s="141">
        <v>3900000</v>
      </c>
      <c r="Q30" s="139">
        <f t="shared" si="1"/>
        <v>2930000</v>
      </c>
      <c r="R30" s="217"/>
      <c r="S30" s="215"/>
      <c r="T30" s="215"/>
    </row>
    <row r="31" spans="1:20" s="144" customFormat="1" ht="24.95" customHeight="1" x14ac:dyDescent="0.2">
      <c r="A31" s="211">
        <v>25</v>
      </c>
      <c r="B31" s="191">
        <v>43432</v>
      </c>
      <c r="C31" s="138" t="s">
        <v>2088</v>
      </c>
      <c r="D31" s="138" t="s">
        <v>2112</v>
      </c>
      <c r="E31" s="146" t="s">
        <v>298</v>
      </c>
      <c r="F31" s="138"/>
      <c r="G31" s="138">
        <v>287</v>
      </c>
      <c r="H31" s="141">
        <f t="shared" ref="H31:H33" si="4">G31*17630</f>
        <v>5059810</v>
      </c>
      <c r="I31" s="138"/>
      <c r="J31" s="226">
        <v>970000</v>
      </c>
      <c r="K31" s="141"/>
      <c r="L31" s="150"/>
      <c r="M31" s="141"/>
      <c r="N31" s="141"/>
      <c r="O31" s="139">
        <f t="shared" si="0"/>
        <v>6029810</v>
      </c>
      <c r="P31" s="141">
        <v>4000000</v>
      </c>
      <c r="Q31" s="139">
        <f t="shared" si="1"/>
        <v>-2029810</v>
      </c>
      <c r="R31" s="217"/>
      <c r="S31" s="215"/>
      <c r="T31" s="215"/>
    </row>
    <row r="32" spans="1:20" s="144" customFormat="1" ht="24.95" customHeight="1" x14ac:dyDescent="0.2">
      <c r="A32" s="211">
        <v>26</v>
      </c>
      <c r="B32" s="191">
        <v>43433</v>
      </c>
      <c r="C32" s="138" t="s">
        <v>2089</v>
      </c>
      <c r="D32" s="138" t="s">
        <v>2113</v>
      </c>
      <c r="E32" s="146" t="s">
        <v>23</v>
      </c>
      <c r="F32" s="138"/>
      <c r="G32" s="214">
        <v>240</v>
      </c>
      <c r="H32" s="208">
        <f t="shared" si="4"/>
        <v>4231200</v>
      </c>
      <c r="I32" s="138"/>
      <c r="J32" s="226">
        <v>2380000</v>
      </c>
      <c r="K32" s="141"/>
      <c r="L32" s="150"/>
      <c r="M32" s="141"/>
      <c r="N32" s="141"/>
      <c r="O32" s="139">
        <f t="shared" si="0"/>
        <v>6611200</v>
      </c>
      <c r="P32" s="141">
        <v>12090909</v>
      </c>
      <c r="Q32" s="139">
        <f t="shared" si="1"/>
        <v>5479709</v>
      </c>
      <c r="R32" s="217"/>
      <c r="S32" s="215"/>
      <c r="T32" s="215"/>
    </row>
    <row r="33" spans="1:20" s="144" customFormat="1" ht="24.95" customHeight="1" x14ac:dyDescent="0.2">
      <c r="A33" s="211">
        <v>27</v>
      </c>
      <c r="B33" s="191">
        <v>43434</v>
      </c>
      <c r="C33" s="138" t="s">
        <v>2090</v>
      </c>
      <c r="D33" s="138" t="s">
        <v>2114</v>
      </c>
      <c r="E33" s="146" t="s">
        <v>25</v>
      </c>
      <c r="F33" s="138"/>
      <c r="G33" s="214">
        <v>175</v>
      </c>
      <c r="H33" s="208">
        <f t="shared" si="4"/>
        <v>3085250</v>
      </c>
      <c r="I33" s="138"/>
      <c r="J33" s="226">
        <v>1710000</v>
      </c>
      <c r="K33" s="141"/>
      <c r="L33" s="150"/>
      <c r="M33" s="141"/>
      <c r="N33" s="141"/>
      <c r="O33" s="139">
        <f t="shared" si="0"/>
        <v>4795250</v>
      </c>
      <c r="P33" s="141">
        <v>7500000</v>
      </c>
      <c r="Q33" s="139">
        <f t="shared" si="1"/>
        <v>2704750</v>
      </c>
      <c r="R33" s="217"/>
      <c r="S33" s="215"/>
      <c r="T33" s="215"/>
    </row>
    <row r="34" spans="1:20" s="144" customFormat="1" ht="24.95" customHeight="1" x14ac:dyDescent="0.2">
      <c r="A34" s="211"/>
      <c r="B34" s="232"/>
      <c r="C34" s="138"/>
      <c r="D34" s="138"/>
      <c r="E34" s="146"/>
      <c r="F34" s="138"/>
      <c r="G34" s="138"/>
      <c r="H34" s="141"/>
      <c r="I34" s="138"/>
      <c r="J34" s="141"/>
      <c r="K34" s="141"/>
      <c r="L34" s="150"/>
      <c r="M34" s="141"/>
      <c r="N34" s="141"/>
      <c r="O34" s="139"/>
      <c r="P34" s="141"/>
      <c r="Q34" s="139"/>
      <c r="R34" s="217"/>
      <c r="S34" s="215"/>
      <c r="T34" s="215"/>
    </row>
    <row r="35" spans="1:20" s="144" customFormat="1" ht="24.95" customHeight="1" x14ac:dyDescent="0.2">
      <c r="A35" s="211"/>
      <c r="B35" s="232"/>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45" customHeight="1" x14ac:dyDescent="0.2">
      <c r="A36" s="211"/>
      <c r="C36" s="221" t="s">
        <v>2117</v>
      </c>
      <c r="D36" s="138"/>
      <c r="E36" s="146"/>
      <c r="F36" s="138"/>
      <c r="G36" s="138"/>
      <c r="H36" s="139"/>
      <c r="I36" s="138"/>
      <c r="J36" s="141"/>
      <c r="K36" s="141"/>
      <c r="L36" s="185">
        <v>1490000</v>
      </c>
      <c r="M36" s="141"/>
      <c r="N36" s="157"/>
      <c r="O36" s="139">
        <f t="shared" si="0"/>
        <v>1490000</v>
      </c>
      <c r="P36" s="139"/>
      <c r="Q36" s="139">
        <f t="shared" si="1"/>
        <v>-1490000</v>
      </c>
      <c r="R36" s="217"/>
      <c r="S36" s="215"/>
      <c r="T36" s="215"/>
    </row>
    <row r="37" spans="1:20" s="144" customFormat="1" ht="24.95" customHeight="1" x14ac:dyDescent="0.2">
      <c r="A37" s="211"/>
      <c r="C37" s="221" t="s">
        <v>2118</v>
      </c>
      <c r="D37" s="220"/>
      <c r="E37" s="221"/>
      <c r="F37" s="220"/>
      <c r="G37" s="220"/>
      <c r="H37" s="219"/>
      <c r="I37" s="220"/>
      <c r="J37" s="157"/>
      <c r="K37" s="157"/>
      <c r="L37" s="157"/>
      <c r="M37" s="157"/>
      <c r="N37" s="185">
        <f>11700000/4</f>
        <v>2925000</v>
      </c>
      <c r="O37" s="139">
        <f t="shared" si="0"/>
        <v>2925000</v>
      </c>
      <c r="P37" s="139"/>
      <c r="Q37" s="139">
        <f t="shared" si="1"/>
        <v>-2925000</v>
      </c>
      <c r="R37" s="217"/>
      <c r="S37" s="215"/>
      <c r="T37" s="215"/>
    </row>
    <row r="38" spans="1:20" s="144" customFormat="1" ht="24.95" customHeight="1" x14ac:dyDescent="0.2">
      <c r="A38" s="211"/>
      <c r="B38" s="191"/>
      <c r="C38" s="221" t="s">
        <v>2119</v>
      </c>
      <c r="D38" s="220"/>
      <c r="E38" s="221"/>
      <c r="F38" s="220"/>
      <c r="G38" s="220"/>
      <c r="H38" s="219"/>
      <c r="I38" s="220"/>
      <c r="J38" s="157"/>
      <c r="L38" s="185">
        <v>660000</v>
      </c>
      <c r="M38" s="157"/>
      <c r="N38" s="141"/>
      <c r="O38" s="139">
        <f t="shared" si="0"/>
        <v>660000</v>
      </c>
      <c r="P38" s="139"/>
      <c r="Q38" s="139">
        <f t="shared" si="1"/>
        <v>-660000</v>
      </c>
      <c r="R38" s="217"/>
      <c r="S38" s="215"/>
      <c r="T38" s="215"/>
    </row>
    <row r="39" spans="1:20" s="144" customFormat="1" ht="43.5" customHeight="1" x14ac:dyDescent="0.2">
      <c r="A39" s="211"/>
      <c r="B39" s="191"/>
      <c r="C39" s="221" t="s">
        <v>2120</v>
      </c>
      <c r="D39" s="220"/>
      <c r="E39" s="221"/>
      <c r="F39" s="220"/>
      <c r="G39" s="220"/>
      <c r="H39" s="219"/>
      <c r="I39" s="220"/>
      <c r="J39" s="157"/>
      <c r="L39" s="185">
        <v>2112000</v>
      </c>
      <c r="M39" s="157"/>
      <c r="N39" s="141"/>
      <c r="O39" s="139">
        <f t="shared" si="0"/>
        <v>2112000</v>
      </c>
      <c r="P39" s="139"/>
      <c r="Q39" s="139">
        <f t="shared" si="1"/>
        <v>-2112000</v>
      </c>
      <c r="R39" s="217"/>
      <c r="S39" s="215"/>
      <c r="T39" s="215"/>
    </row>
    <row r="40" spans="1:20" s="144" customFormat="1" ht="66.75" customHeight="1" x14ac:dyDescent="0.2">
      <c r="A40" s="211"/>
      <c r="B40" s="191"/>
      <c r="C40" s="221" t="s">
        <v>2121</v>
      </c>
      <c r="D40" s="220"/>
      <c r="E40" s="221"/>
      <c r="F40" s="220"/>
      <c r="G40" s="220"/>
      <c r="H40" s="219"/>
      <c r="I40" s="220"/>
      <c r="J40" s="157"/>
      <c r="L40" s="185">
        <v>1100000</v>
      </c>
      <c r="M40" s="157"/>
      <c r="N40" s="141"/>
      <c r="O40" s="139">
        <f t="shared" si="0"/>
        <v>1100000</v>
      </c>
      <c r="P40" s="139"/>
      <c r="Q40" s="139">
        <f t="shared" si="1"/>
        <v>-1100000</v>
      </c>
      <c r="R40" s="217"/>
      <c r="S40" s="215"/>
      <c r="T40" s="215"/>
    </row>
    <row r="41" spans="1:20" s="144" customFormat="1" ht="43.5" customHeight="1" x14ac:dyDescent="0.2">
      <c r="A41" s="211"/>
      <c r="B41" s="191"/>
      <c r="C41" s="221" t="s">
        <v>2122</v>
      </c>
      <c r="D41" s="220"/>
      <c r="E41" s="221"/>
      <c r="F41" s="220"/>
      <c r="G41" s="220"/>
      <c r="H41" s="219"/>
      <c r="I41" s="220"/>
      <c r="J41" s="157"/>
      <c r="L41" s="185">
        <v>1200000</v>
      </c>
      <c r="M41" s="157"/>
      <c r="N41" s="141"/>
      <c r="O41" s="139">
        <f t="shared" si="0"/>
        <v>1200000</v>
      </c>
      <c r="P41" s="139"/>
      <c r="Q41" s="139">
        <f t="shared" si="1"/>
        <v>-1200000</v>
      </c>
      <c r="R41" s="217"/>
      <c r="S41" s="215"/>
      <c r="T41" s="215"/>
    </row>
    <row r="42" spans="1:20" s="144" customFormat="1" ht="43.5" customHeight="1" x14ac:dyDescent="0.2">
      <c r="A42" s="211"/>
      <c r="B42" s="191"/>
      <c r="C42" s="221" t="s">
        <v>2123</v>
      </c>
      <c r="D42" s="220"/>
      <c r="E42" s="221"/>
      <c r="F42" s="220"/>
      <c r="G42" s="220"/>
      <c r="H42" s="219"/>
      <c r="I42" s="220"/>
      <c r="J42" s="157"/>
      <c r="L42" s="185">
        <v>170000</v>
      </c>
      <c r="M42" s="157"/>
      <c r="N42" s="141"/>
      <c r="O42" s="139">
        <f t="shared" si="0"/>
        <v>170000</v>
      </c>
      <c r="P42" s="139"/>
      <c r="Q42" s="139">
        <f t="shared" si="1"/>
        <v>-170000</v>
      </c>
      <c r="R42" s="217"/>
      <c r="S42" s="215"/>
      <c r="T42" s="215"/>
    </row>
    <row r="43" spans="1:20" s="144" customFormat="1" ht="66" customHeight="1" x14ac:dyDescent="0.2">
      <c r="A43" s="211"/>
      <c r="B43" s="191"/>
      <c r="C43" s="221" t="s">
        <v>2124</v>
      </c>
      <c r="D43" s="220"/>
      <c r="E43" s="221"/>
      <c r="F43" s="220"/>
      <c r="G43" s="220"/>
      <c r="H43" s="219"/>
      <c r="I43" s="220"/>
      <c r="J43" s="157"/>
      <c r="L43" s="185">
        <v>900000</v>
      </c>
      <c r="M43" s="157"/>
      <c r="N43" s="141"/>
      <c r="O43" s="139">
        <f t="shared" si="0"/>
        <v>900000</v>
      </c>
      <c r="P43" s="139"/>
      <c r="Q43" s="139">
        <f t="shared" si="1"/>
        <v>-900000</v>
      </c>
      <c r="R43" s="217"/>
      <c r="S43" s="215"/>
      <c r="T43" s="215"/>
    </row>
    <row r="44" spans="1:20" s="159" customFormat="1" ht="24.95" customHeight="1" x14ac:dyDescent="0.25">
      <c r="A44" s="211"/>
      <c r="B44" s="165"/>
      <c r="C44" s="196" t="s">
        <v>1337</v>
      </c>
      <c r="D44" s="195"/>
      <c r="E44" s="197"/>
      <c r="F44" s="195"/>
      <c r="G44" s="195"/>
      <c r="H44" s="155"/>
      <c r="I44" s="195"/>
      <c r="J44" s="155"/>
      <c r="K44" s="233">
        <v>10038462</v>
      </c>
      <c r="L44" s="155"/>
      <c r="M44" s="155"/>
      <c r="N44" s="155"/>
      <c r="O44" s="139">
        <f t="shared" si="0"/>
        <v>10038462</v>
      </c>
      <c r="P44" s="139"/>
      <c r="Q44" s="139">
        <f t="shared" si="1"/>
        <v>-10038462</v>
      </c>
      <c r="S44" s="215"/>
      <c r="T44" s="215"/>
    </row>
    <row r="45" spans="1:20" s="159" customFormat="1" ht="24.95" customHeight="1" x14ac:dyDescent="0.25">
      <c r="A45" s="211"/>
      <c r="B45" s="203"/>
      <c r="C45" s="152" t="s">
        <v>1094</v>
      </c>
      <c r="D45" s="153"/>
      <c r="E45" s="154"/>
      <c r="F45" s="153"/>
      <c r="G45" s="153"/>
      <c r="H45" s="156"/>
      <c r="I45" s="153"/>
      <c r="J45" s="156"/>
      <c r="K45" s="204">
        <f>1200000*1.1</f>
        <v>1320000</v>
      </c>
      <c r="L45" s="204"/>
      <c r="M45" s="156"/>
      <c r="N45" s="156"/>
      <c r="O45" s="139">
        <f t="shared" si="0"/>
        <v>1320000</v>
      </c>
      <c r="P45" s="139"/>
      <c r="Q45" s="139">
        <f t="shared" si="1"/>
        <v>-1320000</v>
      </c>
      <c r="R45" s="186"/>
      <c r="S45" s="215"/>
      <c r="T45" s="215"/>
    </row>
    <row r="46" spans="1:20" ht="24.95" customHeight="1" x14ac:dyDescent="0.25">
      <c r="A46" s="426" t="s">
        <v>20</v>
      </c>
      <c r="B46" s="426"/>
      <c r="C46" s="426"/>
      <c r="D46" s="426"/>
      <c r="E46" s="426"/>
      <c r="F46" s="426"/>
      <c r="G46" s="234">
        <f>SUM(G7:G45)</f>
        <v>3258</v>
      </c>
      <c r="H46" s="161">
        <f>SUM(H7:H45)</f>
        <v>59523560</v>
      </c>
      <c r="I46" s="161">
        <f t="shared" ref="I46:N46" si="5">SUM(I7:I45)</f>
        <v>0</v>
      </c>
      <c r="J46" s="161">
        <f t="shared" si="5"/>
        <v>29020000</v>
      </c>
      <c r="K46" s="161">
        <f t="shared" si="5"/>
        <v>11358462</v>
      </c>
      <c r="L46" s="161">
        <f t="shared" si="5"/>
        <v>7632000</v>
      </c>
      <c r="M46" s="161">
        <f t="shared" si="5"/>
        <v>0</v>
      </c>
      <c r="N46" s="161">
        <f t="shared" si="5"/>
        <v>2925000</v>
      </c>
      <c r="O46" s="161">
        <f>SUM(O7:O45)</f>
        <v>110459022</v>
      </c>
      <c r="P46" s="234">
        <f>SUM(P7:P45)</f>
        <v>135654546</v>
      </c>
      <c r="Q46" s="161">
        <f>SUM(Q7:Q45)</f>
        <v>25195524</v>
      </c>
      <c r="R46" s="187"/>
      <c r="S46" s="189"/>
    </row>
    <row r="47" spans="1:20" ht="24.95" customHeight="1" x14ac:dyDescent="0.25">
      <c r="O47" s="158"/>
      <c r="Q47" s="158">
        <f>P46-O46</f>
        <v>25195524</v>
      </c>
    </row>
    <row r="48" spans="1:20" ht="24.95" customHeight="1" x14ac:dyDescent="0.25">
      <c r="H48" s="143">
        <f>H46-15549000</f>
        <v>43974560</v>
      </c>
      <c r="P48" s="216" t="s">
        <v>1603</v>
      </c>
      <c r="Q48" s="227">
        <f>'10-2018'!Q44+'11-2018'!Q46</f>
        <v>255455591.69230768</v>
      </c>
    </row>
    <row r="49" spans="1:17" ht="24.95" customHeight="1" x14ac:dyDescent="0.25">
      <c r="B49" s="129"/>
      <c r="H49" s="128"/>
      <c r="J49" s="128"/>
      <c r="K49" s="128"/>
      <c r="L49" s="128"/>
      <c r="M49" s="128"/>
      <c r="N49" s="128"/>
      <c r="O49" s="128"/>
      <c r="P49" s="218"/>
      <c r="Q49" s="216"/>
    </row>
    <row r="50" spans="1:17" ht="24.95" customHeight="1" x14ac:dyDescent="0.25">
      <c r="B50" s="129"/>
      <c r="H50" s="128"/>
      <c r="J50" s="128"/>
      <c r="K50" s="128"/>
      <c r="L50" s="128"/>
      <c r="M50" s="128"/>
      <c r="N50" s="128"/>
      <c r="O50" s="128"/>
      <c r="P50" s="218"/>
      <c r="Q50" s="230"/>
    </row>
    <row r="51" spans="1:17" ht="24.95" customHeight="1" x14ac:dyDescent="0.25">
      <c r="B51" s="129"/>
      <c r="H51" s="128"/>
      <c r="J51" s="128"/>
      <c r="K51" s="128"/>
      <c r="L51" s="128"/>
      <c r="M51" s="128"/>
      <c r="N51" s="128"/>
      <c r="O51" s="128"/>
      <c r="P51" s="218"/>
      <c r="Q51" s="230"/>
    </row>
    <row r="52" spans="1:17" ht="24.95" customHeight="1" x14ac:dyDescent="0.25">
      <c r="B52" s="129"/>
      <c r="H52" s="128"/>
      <c r="J52" s="128"/>
      <c r="K52" s="128"/>
      <c r="L52" s="128"/>
      <c r="M52" s="128"/>
      <c r="N52" s="128"/>
      <c r="O52" s="128"/>
      <c r="P52" s="218"/>
      <c r="Q52" s="216"/>
    </row>
    <row r="53" spans="1:17" x14ac:dyDescent="0.25">
      <c r="B53" s="129"/>
      <c r="H53" s="128"/>
      <c r="J53" s="128"/>
      <c r="K53" s="128"/>
      <c r="L53" s="128"/>
      <c r="M53" s="128"/>
      <c r="N53" s="128"/>
      <c r="O53" s="128"/>
      <c r="P53" s="218"/>
      <c r="Q53" s="216"/>
    </row>
    <row r="54" spans="1:17" x14ac:dyDescent="0.25">
      <c r="A54" s="128"/>
      <c r="B54" s="129"/>
      <c r="H54" s="128"/>
      <c r="J54" s="128"/>
      <c r="K54" s="128"/>
      <c r="L54" s="128"/>
      <c r="M54" s="128"/>
      <c r="N54" s="128"/>
      <c r="O54" s="128"/>
      <c r="P54" s="218"/>
      <c r="Q54" s="216"/>
    </row>
    <row r="55" spans="1:17" x14ac:dyDescent="0.25">
      <c r="A55" s="128"/>
      <c r="B55" s="129"/>
      <c r="H55" s="128"/>
      <c r="J55" s="128"/>
      <c r="K55" s="128"/>
      <c r="L55" s="128"/>
      <c r="M55" s="128"/>
      <c r="N55" s="128"/>
      <c r="O55" s="128"/>
      <c r="P55" s="128"/>
      <c r="Q55" s="216"/>
    </row>
    <row r="56" spans="1:17" x14ac:dyDescent="0.25">
      <c r="A56" s="128"/>
      <c r="B56" s="128"/>
      <c r="H56" s="128"/>
      <c r="J56" s="128"/>
      <c r="K56" s="128"/>
      <c r="L56" s="128"/>
      <c r="M56" s="128"/>
      <c r="N56" s="128"/>
      <c r="O56" s="128"/>
      <c r="P56" s="128"/>
      <c r="Q56" s="216"/>
    </row>
    <row r="57" spans="1:17" x14ac:dyDescent="0.25">
      <c r="A57" s="128"/>
      <c r="B57" s="128"/>
      <c r="H57" s="128"/>
      <c r="J57" s="128"/>
      <c r="K57" s="128"/>
      <c r="L57" s="128"/>
      <c r="M57" s="128"/>
      <c r="N57" s="128"/>
      <c r="O57" s="128"/>
      <c r="P57" s="128"/>
      <c r="Q57" s="216"/>
    </row>
  </sheetData>
  <mergeCells count="14">
    <mergeCell ref="O5:O6"/>
    <mergeCell ref="P5:P6"/>
    <mergeCell ref="Q5:Q6"/>
    <mergeCell ref="A46:F4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6"/>
  <sheetViews>
    <sheetView topLeftCell="E40" workbookViewId="0">
      <selection activeCell="M12" sqref="M12"/>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2125</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43435</v>
      </c>
      <c r="C7" s="138" t="s">
        <v>2126</v>
      </c>
      <c r="D7" s="138" t="s">
        <v>2142</v>
      </c>
      <c r="E7" s="146" t="s">
        <v>23</v>
      </c>
      <c r="F7" s="138"/>
      <c r="G7" s="138"/>
      <c r="H7" s="141"/>
      <c r="I7" s="138"/>
      <c r="J7" s="139">
        <v>2380000</v>
      </c>
      <c r="K7" s="141"/>
      <c r="L7" s="150"/>
      <c r="M7" s="141"/>
      <c r="N7" s="141"/>
      <c r="O7" s="139">
        <f>SUM(H7:N7)</f>
        <v>2380000</v>
      </c>
      <c r="P7" s="139">
        <v>12090909</v>
      </c>
      <c r="Q7" s="139">
        <f>P7-O7</f>
        <v>9710909</v>
      </c>
      <c r="R7" s="217"/>
      <c r="S7" s="215"/>
      <c r="T7" s="215"/>
    </row>
    <row r="8" spans="1:20" s="144" customFormat="1" ht="24.95" customHeight="1" x14ac:dyDescent="0.2">
      <c r="A8" s="211">
        <v>2</v>
      </c>
      <c r="B8" s="191">
        <v>43437</v>
      </c>
      <c r="C8" s="138" t="s">
        <v>2127</v>
      </c>
      <c r="D8" s="138" t="s">
        <v>757</v>
      </c>
      <c r="E8" s="146" t="s">
        <v>2167</v>
      </c>
      <c r="F8" s="138"/>
      <c r="G8" s="138">
        <v>240</v>
      </c>
      <c r="H8" s="141">
        <f>G8*17630</f>
        <v>4231200</v>
      </c>
      <c r="I8" s="138"/>
      <c r="J8" s="139">
        <v>650000</v>
      </c>
      <c r="K8" s="141"/>
      <c r="L8" s="150"/>
      <c r="M8" s="141"/>
      <c r="N8" s="141"/>
      <c r="O8" s="139">
        <f t="shared" ref="O8:O44" si="0">SUM(H8:N8)</f>
        <v>4881200</v>
      </c>
      <c r="P8" s="139">
        <v>2527273</v>
      </c>
      <c r="Q8" s="139">
        <f t="shared" ref="Q8:Q44" si="1">P8-O8</f>
        <v>-2353927</v>
      </c>
      <c r="R8" s="217"/>
      <c r="S8" s="215"/>
      <c r="T8" s="215"/>
    </row>
    <row r="9" spans="1:20" s="144" customFormat="1" ht="24.95" customHeight="1" x14ac:dyDescent="0.2">
      <c r="A9" s="211">
        <v>3</v>
      </c>
      <c r="B9" s="191">
        <v>43437</v>
      </c>
      <c r="C9" s="138" t="s">
        <v>2128</v>
      </c>
      <c r="D9" s="138" t="s">
        <v>2143</v>
      </c>
      <c r="E9" s="146" t="s">
        <v>723</v>
      </c>
      <c r="F9" s="138"/>
      <c r="G9" s="138"/>
      <c r="H9" s="141"/>
      <c r="I9" s="138"/>
      <c r="J9" s="139">
        <v>790000</v>
      </c>
      <c r="K9" s="141"/>
      <c r="L9" s="150"/>
      <c r="M9" s="141"/>
      <c r="N9" s="141"/>
      <c r="O9" s="139">
        <f t="shared" si="0"/>
        <v>790000</v>
      </c>
      <c r="P9" s="139">
        <v>2945455</v>
      </c>
      <c r="Q9" s="139">
        <f t="shared" si="1"/>
        <v>2155455</v>
      </c>
      <c r="R9" s="217"/>
      <c r="S9" s="215"/>
      <c r="T9" s="215"/>
    </row>
    <row r="10" spans="1:20" s="144" customFormat="1" ht="24.95" customHeight="1" x14ac:dyDescent="0.2">
      <c r="A10" s="211">
        <v>4</v>
      </c>
      <c r="B10" s="191">
        <v>43438</v>
      </c>
      <c r="C10" s="138" t="s">
        <v>1445</v>
      </c>
      <c r="D10" s="138" t="s">
        <v>2144</v>
      </c>
      <c r="E10" s="146" t="s">
        <v>1114</v>
      </c>
      <c r="F10" s="138"/>
      <c r="G10" s="138">
        <v>240</v>
      </c>
      <c r="H10" s="141">
        <f t="shared" ref="H10" si="2">G10*17630</f>
        <v>4231200</v>
      </c>
      <c r="I10" s="138"/>
      <c r="J10" s="139">
        <f>1160000+260000</f>
        <v>1420000</v>
      </c>
      <c r="K10" s="141"/>
      <c r="L10" s="150"/>
      <c r="M10" s="141"/>
      <c r="N10" s="141"/>
      <c r="O10" s="139">
        <f t="shared" si="0"/>
        <v>5651200</v>
      </c>
      <c r="P10" s="139">
        <v>5300000</v>
      </c>
      <c r="Q10" s="139">
        <f t="shared" si="1"/>
        <v>-351200</v>
      </c>
      <c r="R10" s="217"/>
      <c r="S10" s="215"/>
      <c r="T10" s="215"/>
    </row>
    <row r="11" spans="1:20" s="144" customFormat="1" ht="24.95" customHeight="1" x14ac:dyDescent="0.2">
      <c r="A11" s="211">
        <v>5</v>
      </c>
      <c r="B11" s="191">
        <v>43439</v>
      </c>
      <c r="C11" s="138" t="s">
        <v>780</v>
      </c>
      <c r="D11" s="138" t="s">
        <v>2145</v>
      </c>
      <c r="E11" s="146" t="s">
        <v>1508</v>
      </c>
      <c r="F11" s="138"/>
      <c r="G11" s="138"/>
      <c r="H11" s="141"/>
      <c r="I11" s="138"/>
      <c r="J11" s="139">
        <v>1160000</v>
      </c>
      <c r="K11" s="141"/>
      <c r="L11" s="150"/>
      <c r="M11" s="141"/>
      <c r="N11" s="141"/>
      <c r="O11" s="139">
        <f t="shared" si="0"/>
        <v>1160000</v>
      </c>
      <c r="P11" s="141">
        <v>4900000</v>
      </c>
      <c r="Q11" s="139">
        <f t="shared" si="1"/>
        <v>3740000</v>
      </c>
      <c r="R11" s="217"/>
      <c r="S11" s="215"/>
      <c r="T11" s="215"/>
    </row>
    <row r="12" spans="1:20" s="144" customFormat="1" ht="24.95" customHeight="1" x14ac:dyDescent="0.2">
      <c r="A12" s="211">
        <v>6</v>
      </c>
      <c r="B12" s="191">
        <v>43440</v>
      </c>
      <c r="C12" s="138" t="s">
        <v>1446</v>
      </c>
      <c r="D12" s="138" t="s">
        <v>2146</v>
      </c>
      <c r="E12" s="146" t="s">
        <v>2168</v>
      </c>
      <c r="F12" s="138"/>
      <c r="G12" s="138">
        <v>245</v>
      </c>
      <c r="H12" s="141">
        <f>G12*16250</f>
        <v>3981250</v>
      </c>
      <c r="I12" s="138"/>
      <c r="J12" s="139">
        <f>970000+300000+110000</f>
        <v>1380000</v>
      </c>
      <c r="K12" s="141"/>
      <c r="L12" s="150"/>
      <c r="M12" s="141"/>
      <c r="N12" s="141"/>
      <c r="O12" s="139">
        <f t="shared" si="0"/>
        <v>5361250</v>
      </c>
      <c r="P12" s="141">
        <v>6200000</v>
      </c>
      <c r="Q12" s="139">
        <f t="shared" si="1"/>
        <v>838750</v>
      </c>
      <c r="R12" s="217"/>
      <c r="S12" s="215"/>
      <c r="T12" s="215"/>
    </row>
    <row r="13" spans="1:20" s="144" customFormat="1" ht="24.95" customHeight="1" x14ac:dyDescent="0.2">
      <c r="A13" s="211">
        <v>7</v>
      </c>
      <c r="B13" s="191">
        <v>43441</v>
      </c>
      <c r="C13" s="138" t="s">
        <v>31</v>
      </c>
      <c r="D13" s="138" t="s">
        <v>2147</v>
      </c>
      <c r="E13" s="146" t="s">
        <v>80</v>
      </c>
      <c r="F13" s="138"/>
      <c r="G13" s="138"/>
      <c r="H13" s="141"/>
      <c r="I13" s="138"/>
      <c r="J13" s="139">
        <v>430000</v>
      </c>
      <c r="K13" s="141"/>
      <c r="L13" s="150"/>
      <c r="M13" s="141"/>
      <c r="N13" s="141"/>
      <c r="O13" s="139">
        <f t="shared" si="0"/>
        <v>430000</v>
      </c>
      <c r="P13" s="141">
        <v>3800000</v>
      </c>
      <c r="Q13" s="139">
        <f t="shared" si="1"/>
        <v>3370000</v>
      </c>
      <c r="R13" s="217"/>
      <c r="S13" s="215"/>
      <c r="T13" s="215"/>
    </row>
    <row r="14" spans="1:20" s="144" customFormat="1" ht="24.95" customHeight="1" x14ac:dyDescent="0.2">
      <c r="A14" s="211">
        <v>8</v>
      </c>
      <c r="B14" s="191">
        <v>43442</v>
      </c>
      <c r="C14" s="138" t="s">
        <v>1448</v>
      </c>
      <c r="D14" s="138" t="s">
        <v>2148</v>
      </c>
      <c r="E14" s="146" t="s">
        <v>1170</v>
      </c>
      <c r="F14" s="138"/>
      <c r="G14" s="138">
        <v>335</v>
      </c>
      <c r="H14" s="141">
        <f t="shared" ref="H14:H24" si="3">G14*16250</f>
        <v>5443750</v>
      </c>
      <c r="I14" s="138"/>
      <c r="J14" s="229">
        <f>2380000+2000000</f>
        <v>4380000</v>
      </c>
      <c r="K14" s="141"/>
      <c r="L14" s="150"/>
      <c r="M14" s="141"/>
      <c r="N14" s="141"/>
      <c r="O14" s="139">
        <f t="shared" si="0"/>
        <v>9823750</v>
      </c>
      <c r="P14" s="141">
        <v>14090909</v>
      </c>
      <c r="Q14" s="139">
        <f t="shared" si="1"/>
        <v>4267159</v>
      </c>
      <c r="R14" s="217"/>
      <c r="S14" s="215"/>
      <c r="T14" s="215"/>
    </row>
    <row r="15" spans="1:20" s="144" customFormat="1" ht="24.95" customHeight="1" x14ac:dyDescent="0.2">
      <c r="A15" s="211">
        <v>9</v>
      </c>
      <c r="B15" s="191">
        <v>43809</v>
      </c>
      <c r="C15" s="138" t="s">
        <v>2129</v>
      </c>
      <c r="D15" s="138" t="s">
        <v>2149</v>
      </c>
      <c r="E15" s="146" t="s">
        <v>146</v>
      </c>
      <c r="F15" s="138"/>
      <c r="G15" s="138"/>
      <c r="H15" s="141"/>
      <c r="I15" s="138"/>
      <c r="J15" s="141">
        <v>1420000</v>
      </c>
      <c r="K15" s="141"/>
      <c r="L15" s="150"/>
      <c r="M15" s="141"/>
      <c r="N15" s="141"/>
      <c r="O15" s="139">
        <f t="shared" si="0"/>
        <v>1420000</v>
      </c>
      <c r="P15" s="141">
        <v>5400000</v>
      </c>
      <c r="Q15" s="139">
        <f t="shared" si="1"/>
        <v>3980000</v>
      </c>
      <c r="R15" s="217"/>
      <c r="S15" s="215"/>
      <c r="T15" s="215"/>
    </row>
    <row r="16" spans="1:20" s="144" customFormat="1" ht="24.95" customHeight="1" x14ac:dyDescent="0.2">
      <c r="A16" s="211">
        <v>10</v>
      </c>
      <c r="B16" s="191">
        <v>43415</v>
      </c>
      <c r="C16" s="138" t="s">
        <v>34</v>
      </c>
      <c r="D16" s="138" t="s">
        <v>2150</v>
      </c>
      <c r="E16" s="146" t="s">
        <v>25</v>
      </c>
      <c r="F16" s="138"/>
      <c r="G16" s="138">
        <v>310</v>
      </c>
      <c r="H16" s="141">
        <f t="shared" si="3"/>
        <v>5037500</v>
      </c>
      <c r="I16" s="138"/>
      <c r="J16" s="141">
        <v>1710000</v>
      </c>
      <c r="K16" s="141"/>
      <c r="L16" s="150"/>
      <c r="M16" s="141"/>
      <c r="N16" s="141"/>
      <c r="O16" s="139">
        <f t="shared" si="0"/>
        <v>6747500</v>
      </c>
      <c r="P16" s="141">
        <v>7500000</v>
      </c>
      <c r="Q16" s="139">
        <f t="shared" si="1"/>
        <v>752500</v>
      </c>
      <c r="R16" s="217"/>
      <c r="S16" s="215"/>
      <c r="T16" s="215"/>
    </row>
    <row r="17" spans="1:20" s="144" customFormat="1" ht="24.95" customHeight="1" x14ac:dyDescent="0.2">
      <c r="A17" s="211">
        <v>11</v>
      </c>
      <c r="B17" s="191">
        <v>43416</v>
      </c>
      <c r="C17" s="138" t="s">
        <v>2130</v>
      </c>
      <c r="D17" s="138" t="s">
        <v>2151</v>
      </c>
      <c r="E17" s="146" t="s">
        <v>298</v>
      </c>
      <c r="F17" s="138"/>
      <c r="G17" s="138"/>
      <c r="H17" s="141"/>
      <c r="I17" s="138"/>
      <c r="J17" s="141">
        <v>970000</v>
      </c>
      <c r="K17" s="141"/>
      <c r="L17" s="150"/>
      <c r="M17" s="141"/>
      <c r="N17" s="141"/>
      <c r="O17" s="139">
        <f t="shared" si="0"/>
        <v>970000</v>
      </c>
      <c r="P17" s="141">
        <v>4000000</v>
      </c>
      <c r="Q17" s="139">
        <f t="shared" si="1"/>
        <v>3030000</v>
      </c>
      <c r="R17" s="217"/>
      <c r="S17" s="215"/>
      <c r="T17" s="215"/>
    </row>
    <row r="18" spans="1:20" s="144" customFormat="1" ht="24.95" customHeight="1" x14ac:dyDescent="0.2">
      <c r="A18" s="211">
        <v>12</v>
      </c>
      <c r="B18" s="191">
        <v>43417</v>
      </c>
      <c r="C18" s="138" t="s">
        <v>2131</v>
      </c>
      <c r="D18" s="138" t="s">
        <v>2152</v>
      </c>
      <c r="E18" s="146" t="s">
        <v>298</v>
      </c>
      <c r="F18" s="138"/>
      <c r="G18" s="138"/>
      <c r="H18" s="141"/>
      <c r="I18" s="138"/>
      <c r="J18" s="141">
        <v>970000</v>
      </c>
      <c r="K18" s="141"/>
      <c r="L18" s="150"/>
      <c r="M18" s="141"/>
      <c r="N18" s="141"/>
      <c r="O18" s="139">
        <f t="shared" si="0"/>
        <v>970000</v>
      </c>
      <c r="P18" s="141">
        <v>4000000</v>
      </c>
      <c r="Q18" s="139">
        <f t="shared" si="1"/>
        <v>3030000</v>
      </c>
      <c r="R18" s="217"/>
      <c r="S18" s="215"/>
      <c r="T18" s="215"/>
    </row>
    <row r="19" spans="1:20" s="144" customFormat="1" ht="24.95" customHeight="1" x14ac:dyDescent="0.2">
      <c r="A19" s="211">
        <v>13</v>
      </c>
      <c r="B19" s="191">
        <v>43418</v>
      </c>
      <c r="C19" s="138" t="s">
        <v>2132</v>
      </c>
      <c r="D19" s="138" t="s">
        <v>2153</v>
      </c>
      <c r="E19" s="146" t="s">
        <v>80</v>
      </c>
      <c r="F19" s="138"/>
      <c r="G19" s="138">
        <v>295</v>
      </c>
      <c r="H19" s="141">
        <f t="shared" si="3"/>
        <v>4793750</v>
      </c>
      <c r="I19" s="138"/>
      <c r="J19" s="141">
        <v>430000</v>
      </c>
      <c r="K19" s="141"/>
      <c r="L19" s="150"/>
      <c r="M19" s="141"/>
      <c r="N19" s="141"/>
      <c r="O19" s="139">
        <f t="shared" si="0"/>
        <v>5223750</v>
      </c>
      <c r="P19" s="141">
        <v>3800000</v>
      </c>
      <c r="Q19" s="139">
        <f t="shared" si="1"/>
        <v>-1423750</v>
      </c>
      <c r="R19" s="217"/>
      <c r="S19" s="215"/>
      <c r="T19" s="215"/>
    </row>
    <row r="20" spans="1:20" s="144" customFormat="1" ht="24.95" customHeight="1" x14ac:dyDescent="0.2">
      <c r="A20" s="211">
        <v>14</v>
      </c>
      <c r="B20" s="191">
        <v>43419</v>
      </c>
      <c r="C20" s="138" t="s">
        <v>2133</v>
      </c>
      <c r="D20" s="138" t="s">
        <v>2154</v>
      </c>
      <c r="E20" s="146" t="s">
        <v>115</v>
      </c>
      <c r="F20" s="138"/>
      <c r="G20" s="138"/>
      <c r="H20" s="141"/>
      <c r="I20" s="138"/>
      <c r="J20" s="141">
        <v>1150000</v>
      </c>
      <c r="K20" s="141"/>
      <c r="L20" s="150"/>
      <c r="M20" s="141"/>
      <c r="N20" s="141"/>
      <c r="O20" s="139">
        <f t="shared" si="0"/>
        <v>1150000</v>
      </c>
      <c r="P20" s="141">
        <v>3600000</v>
      </c>
      <c r="Q20" s="139">
        <f t="shared" si="1"/>
        <v>2450000</v>
      </c>
      <c r="R20" s="217"/>
      <c r="S20" s="215"/>
      <c r="T20" s="215"/>
    </row>
    <row r="21" spans="1:20" s="144" customFormat="1" ht="24.95" customHeight="1" x14ac:dyDescent="0.2">
      <c r="A21" s="211">
        <v>15</v>
      </c>
      <c r="B21" s="191">
        <v>43816</v>
      </c>
      <c r="C21" s="138" t="s">
        <v>2134</v>
      </c>
      <c r="D21" s="138" t="s">
        <v>2155</v>
      </c>
      <c r="E21" s="146" t="s">
        <v>2169</v>
      </c>
      <c r="F21" s="138"/>
      <c r="G21" s="138"/>
      <c r="H21" s="141"/>
      <c r="I21" s="138"/>
      <c r="J21" s="141">
        <v>430000</v>
      </c>
      <c r="K21" s="141"/>
      <c r="L21" s="150"/>
      <c r="M21" s="141"/>
      <c r="N21" s="141"/>
      <c r="O21" s="139">
        <f t="shared" si="0"/>
        <v>430000</v>
      </c>
      <c r="P21" s="141">
        <v>4000000</v>
      </c>
      <c r="Q21" s="139">
        <f t="shared" si="1"/>
        <v>3570000</v>
      </c>
      <c r="R21" s="217"/>
      <c r="S21" s="215"/>
      <c r="T21" s="215"/>
    </row>
    <row r="22" spans="1:20" s="144" customFormat="1" ht="24.95" customHeight="1" x14ac:dyDescent="0.2">
      <c r="A22" s="211">
        <v>16</v>
      </c>
      <c r="B22" s="191">
        <v>43817</v>
      </c>
      <c r="C22" s="138" t="s">
        <v>2135</v>
      </c>
      <c r="D22" s="138" t="s">
        <v>2156</v>
      </c>
      <c r="E22" s="146" t="s">
        <v>2169</v>
      </c>
      <c r="F22" s="138"/>
      <c r="G22" s="138">
        <v>280</v>
      </c>
      <c r="H22" s="141">
        <f t="shared" si="3"/>
        <v>4550000</v>
      </c>
      <c r="I22" s="138"/>
      <c r="J22" s="141">
        <v>430000</v>
      </c>
      <c r="K22" s="141"/>
      <c r="L22" s="150"/>
      <c r="M22" s="141"/>
      <c r="N22" s="141"/>
      <c r="O22" s="139">
        <f t="shared" si="0"/>
        <v>4980000</v>
      </c>
      <c r="P22" s="141">
        <v>4000000</v>
      </c>
      <c r="Q22" s="139">
        <f t="shared" si="1"/>
        <v>-980000</v>
      </c>
      <c r="R22" s="217"/>
      <c r="S22" s="215"/>
      <c r="T22" s="215"/>
    </row>
    <row r="23" spans="1:20" s="144" customFormat="1" ht="24.95" customHeight="1" x14ac:dyDescent="0.2">
      <c r="A23" s="211">
        <v>17</v>
      </c>
      <c r="B23" s="191">
        <v>43818</v>
      </c>
      <c r="C23" s="138" t="s">
        <v>2136</v>
      </c>
      <c r="D23" s="138" t="s">
        <v>2157</v>
      </c>
      <c r="E23" s="146" t="s">
        <v>23</v>
      </c>
      <c r="F23" s="138"/>
      <c r="G23" s="138"/>
      <c r="H23" s="141"/>
      <c r="I23" s="138"/>
      <c r="J23" s="141">
        <v>2380000</v>
      </c>
      <c r="K23" s="141"/>
      <c r="L23" s="150"/>
      <c r="M23" s="141"/>
      <c r="N23" s="141"/>
      <c r="O23" s="139">
        <f t="shared" si="0"/>
        <v>2380000</v>
      </c>
      <c r="P23" s="141">
        <v>12090909</v>
      </c>
      <c r="Q23" s="139">
        <f t="shared" si="1"/>
        <v>9710909</v>
      </c>
      <c r="R23" s="217"/>
      <c r="S23" s="215"/>
      <c r="T23" s="215"/>
    </row>
    <row r="24" spans="1:20" s="144" customFormat="1" ht="24.95" customHeight="1" x14ac:dyDescent="0.2">
      <c r="A24" s="211">
        <v>18</v>
      </c>
      <c r="B24" s="191">
        <v>43819</v>
      </c>
      <c r="C24" s="138" t="s">
        <v>1459</v>
      </c>
      <c r="D24" s="138" t="s">
        <v>2158</v>
      </c>
      <c r="E24" s="146" t="s">
        <v>2170</v>
      </c>
      <c r="F24" s="138"/>
      <c r="G24" s="138">
        <v>330</v>
      </c>
      <c r="H24" s="141">
        <f t="shared" si="3"/>
        <v>5362500</v>
      </c>
      <c r="I24" s="138"/>
      <c r="J24" s="141">
        <v>970000</v>
      </c>
      <c r="K24" s="141"/>
      <c r="L24" s="150"/>
      <c r="M24" s="141"/>
      <c r="N24" s="141"/>
      <c r="O24" s="139">
        <f t="shared" si="0"/>
        <v>6332500</v>
      </c>
      <c r="P24" s="141">
        <v>3581818</v>
      </c>
      <c r="Q24" s="139">
        <f t="shared" si="1"/>
        <v>-2750682</v>
      </c>
      <c r="R24" s="217"/>
      <c r="S24" s="215"/>
      <c r="T24" s="215"/>
    </row>
    <row r="25" spans="1:20" s="144" customFormat="1" ht="24.95" customHeight="1" x14ac:dyDescent="0.2">
      <c r="A25" s="211">
        <v>19</v>
      </c>
      <c r="B25" s="191">
        <v>43820</v>
      </c>
      <c r="C25" s="138" t="s">
        <v>1460</v>
      </c>
      <c r="D25" s="138" t="s">
        <v>2159</v>
      </c>
      <c r="E25" s="146" t="s">
        <v>298</v>
      </c>
      <c r="F25" s="138"/>
      <c r="G25" s="138"/>
      <c r="H25" s="141"/>
      <c r="I25" s="138"/>
      <c r="J25" s="141">
        <v>970000</v>
      </c>
      <c r="K25" s="141"/>
      <c r="L25" s="150"/>
      <c r="M25" s="141"/>
      <c r="N25" s="141"/>
      <c r="O25" s="139">
        <f t="shared" si="0"/>
        <v>970000</v>
      </c>
      <c r="P25" s="141">
        <v>4000000</v>
      </c>
      <c r="Q25" s="139">
        <f t="shared" si="1"/>
        <v>3030000</v>
      </c>
      <c r="R25" s="217"/>
      <c r="S25" s="215"/>
      <c r="T25" s="215"/>
    </row>
    <row r="26" spans="1:20" s="144" customFormat="1" ht="24.95" customHeight="1" x14ac:dyDescent="0.2">
      <c r="A26" s="211">
        <v>20</v>
      </c>
      <c r="B26" s="191">
        <v>43821</v>
      </c>
      <c r="C26" s="138" t="s">
        <v>2137</v>
      </c>
      <c r="D26" s="138" t="s">
        <v>2160</v>
      </c>
      <c r="E26" s="146" t="s">
        <v>298</v>
      </c>
      <c r="F26" s="138"/>
      <c r="G26" s="138"/>
      <c r="H26" s="141"/>
      <c r="I26" s="138"/>
      <c r="J26" s="141">
        <v>970000</v>
      </c>
      <c r="K26" s="141"/>
      <c r="L26" s="150"/>
      <c r="M26" s="141"/>
      <c r="N26" s="141"/>
      <c r="O26" s="139">
        <f t="shared" si="0"/>
        <v>970000</v>
      </c>
      <c r="P26" s="141">
        <v>4000000</v>
      </c>
      <c r="Q26" s="139">
        <f t="shared" si="1"/>
        <v>3030000</v>
      </c>
      <c r="R26" s="217"/>
      <c r="S26" s="215"/>
      <c r="T26" s="215"/>
    </row>
    <row r="27" spans="1:20" s="144" customFormat="1" ht="24.95" customHeight="1" x14ac:dyDescent="0.2">
      <c r="A27" s="211">
        <v>21</v>
      </c>
      <c r="B27" s="191">
        <v>43823</v>
      </c>
      <c r="C27" s="138" t="s">
        <v>48</v>
      </c>
      <c r="D27" s="138" t="s">
        <v>2161</v>
      </c>
      <c r="E27" s="146" t="s">
        <v>1217</v>
      </c>
      <c r="F27" s="138"/>
      <c r="G27" s="138"/>
      <c r="H27" s="141"/>
      <c r="I27" s="138"/>
      <c r="J27" s="141">
        <f>810000+360000</f>
        <v>1170000</v>
      </c>
      <c r="K27" s="141"/>
      <c r="L27" s="150"/>
      <c r="M27" s="141"/>
      <c r="N27" s="141"/>
      <c r="O27" s="139">
        <f t="shared" si="0"/>
        <v>1170000</v>
      </c>
      <c r="P27" s="141">
        <v>4000000</v>
      </c>
      <c r="Q27" s="139">
        <f t="shared" si="1"/>
        <v>2830000</v>
      </c>
      <c r="R27" s="217"/>
      <c r="S27" s="215"/>
      <c r="T27" s="215"/>
    </row>
    <row r="28" spans="1:20" s="144" customFormat="1" ht="24.95" customHeight="1" x14ac:dyDescent="0.2">
      <c r="A28" s="211">
        <v>22</v>
      </c>
      <c r="B28" s="191">
        <v>43824</v>
      </c>
      <c r="C28" s="138" t="s">
        <v>1463</v>
      </c>
      <c r="D28" s="138" t="s">
        <v>2162</v>
      </c>
      <c r="E28" s="146" t="s">
        <v>298</v>
      </c>
      <c r="F28" s="138"/>
      <c r="G28" s="138">
        <v>288</v>
      </c>
      <c r="H28" s="141">
        <f>G28*16000</f>
        <v>4608000</v>
      </c>
      <c r="I28" s="138"/>
      <c r="J28" s="141">
        <v>970000</v>
      </c>
      <c r="K28" s="141"/>
      <c r="L28" s="150"/>
      <c r="M28" s="141"/>
      <c r="N28" s="141"/>
      <c r="O28" s="139">
        <f t="shared" si="0"/>
        <v>5578000</v>
      </c>
      <c r="P28" s="141">
        <v>4000000</v>
      </c>
      <c r="Q28" s="139">
        <f t="shared" si="1"/>
        <v>-1578000</v>
      </c>
      <c r="R28" s="217"/>
      <c r="S28" s="215"/>
      <c r="T28" s="215"/>
    </row>
    <row r="29" spans="1:20" s="144" customFormat="1" ht="24.95" customHeight="1" x14ac:dyDescent="0.2">
      <c r="A29" s="211">
        <v>23</v>
      </c>
      <c r="B29" s="191">
        <v>43825</v>
      </c>
      <c r="C29" s="138" t="s">
        <v>2138</v>
      </c>
      <c r="D29" s="138" t="s">
        <v>2163</v>
      </c>
      <c r="E29" s="146" t="s">
        <v>298</v>
      </c>
      <c r="F29" s="138"/>
      <c r="G29" s="138"/>
      <c r="H29" s="141"/>
      <c r="I29" s="138"/>
      <c r="J29" s="141">
        <v>970000</v>
      </c>
      <c r="K29" s="141"/>
      <c r="L29" s="150"/>
      <c r="M29" s="141"/>
      <c r="N29" s="141"/>
      <c r="O29" s="139">
        <f t="shared" si="0"/>
        <v>970000</v>
      </c>
      <c r="P29" s="141">
        <v>4000000</v>
      </c>
      <c r="Q29" s="139">
        <f t="shared" si="1"/>
        <v>3030000</v>
      </c>
      <c r="R29" s="217"/>
      <c r="S29" s="215"/>
      <c r="T29" s="215"/>
    </row>
    <row r="30" spans="1:20" s="144" customFormat="1" ht="24.95" customHeight="1" x14ac:dyDescent="0.2">
      <c r="A30" s="211">
        <v>24</v>
      </c>
      <c r="B30" s="191">
        <v>43826</v>
      </c>
      <c r="C30" s="138" t="s">
        <v>2139</v>
      </c>
      <c r="D30" s="138" t="s">
        <v>2164</v>
      </c>
      <c r="E30" s="146" t="s">
        <v>248</v>
      </c>
      <c r="F30" s="138"/>
      <c r="G30" s="138">
        <v>270</v>
      </c>
      <c r="H30" s="141">
        <f t="shared" ref="H30" si="4">G30*16000</f>
        <v>4320000</v>
      </c>
      <c r="I30" s="138"/>
      <c r="J30" s="139">
        <f>1150000</f>
        <v>1150000</v>
      </c>
      <c r="K30" s="141"/>
      <c r="L30" s="150"/>
      <c r="M30" s="141"/>
      <c r="N30" s="141"/>
      <c r="O30" s="139">
        <f t="shared" si="0"/>
        <v>5470000</v>
      </c>
      <c r="P30" s="141">
        <v>4560000</v>
      </c>
      <c r="Q30" s="139">
        <f t="shared" si="1"/>
        <v>-910000</v>
      </c>
      <c r="R30" s="217"/>
      <c r="S30" s="215"/>
      <c r="T30" s="215"/>
    </row>
    <row r="31" spans="1:20" s="144" customFormat="1" ht="24.95" customHeight="1" x14ac:dyDescent="0.2">
      <c r="A31" s="211">
        <v>25</v>
      </c>
      <c r="B31" s="191">
        <v>43827</v>
      </c>
      <c r="C31" s="138" t="s">
        <v>2140</v>
      </c>
      <c r="D31" s="138" t="s">
        <v>2165</v>
      </c>
      <c r="E31" s="146" t="s">
        <v>80</v>
      </c>
      <c r="F31" s="138"/>
      <c r="G31" s="138"/>
      <c r="H31" s="141"/>
      <c r="I31" s="138"/>
      <c r="J31" s="139">
        <v>450000</v>
      </c>
      <c r="K31" s="141"/>
      <c r="L31" s="150"/>
      <c r="M31" s="141"/>
      <c r="N31" s="141"/>
      <c r="O31" s="139">
        <f t="shared" si="0"/>
        <v>450000</v>
      </c>
      <c r="P31" s="141">
        <v>3800000</v>
      </c>
      <c r="Q31" s="139">
        <f t="shared" si="1"/>
        <v>3350000</v>
      </c>
      <c r="R31" s="217"/>
      <c r="S31" s="215"/>
      <c r="T31" s="215"/>
    </row>
    <row r="32" spans="1:20" s="144" customFormat="1" ht="24.95" customHeight="1" x14ac:dyDescent="0.2">
      <c r="A32" s="211">
        <v>26</v>
      </c>
      <c r="B32" s="191">
        <v>43828</v>
      </c>
      <c r="C32" s="138" t="s">
        <v>2141</v>
      </c>
      <c r="D32" s="138" t="s">
        <v>2166</v>
      </c>
      <c r="E32" s="146" t="s">
        <v>80</v>
      </c>
      <c r="F32" s="138"/>
      <c r="G32" s="138"/>
      <c r="H32" s="141"/>
      <c r="I32" s="138"/>
      <c r="J32" s="139">
        <v>450000</v>
      </c>
      <c r="K32" s="141"/>
      <c r="L32" s="150"/>
      <c r="M32" s="141"/>
      <c r="N32" s="141"/>
      <c r="O32" s="139">
        <f t="shared" si="0"/>
        <v>450000</v>
      </c>
      <c r="P32" s="141">
        <v>3800000</v>
      </c>
      <c r="Q32" s="139">
        <f t="shared" si="1"/>
        <v>3350000</v>
      </c>
      <c r="R32" s="217"/>
      <c r="S32" s="215"/>
      <c r="T32" s="215"/>
    </row>
    <row r="33" spans="1:20" s="144" customFormat="1" ht="24.95" customHeight="1" x14ac:dyDescent="0.2">
      <c r="A33" s="211"/>
      <c r="B33" s="191"/>
      <c r="C33" s="138"/>
      <c r="D33" s="138"/>
      <c r="E33" s="146"/>
      <c r="F33" s="138"/>
      <c r="G33" s="138"/>
      <c r="H33" s="141"/>
      <c r="I33" s="138"/>
      <c r="J33" s="139"/>
      <c r="K33" s="141"/>
      <c r="L33" s="150"/>
      <c r="M33" s="141"/>
      <c r="N33" s="141"/>
      <c r="O33" s="139"/>
      <c r="P33" s="141"/>
      <c r="Q33" s="139"/>
      <c r="R33" s="217"/>
      <c r="S33" s="215"/>
      <c r="T33" s="215"/>
    </row>
    <row r="34" spans="1:20" s="144" customFormat="1" ht="24.95" customHeight="1" x14ac:dyDescent="0.2">
      <c r="A34" s="211"/>
      <c r="B34" s="232"/>
      <c r="C34" s="138"/>
      <c r="D34" s="138"/>
      <c r="E34" s="146"/>
      <c r="F34" s="138"/>
      <c r="G34" s="138"/>
      <c r="H34" s="141"/>
      <c r="I34" s="138"/>
      <c r="J34" s="141"/>
      <c r="K34" s="141"/>
      <c r="L34" s="150"/>
      <c r="M34" s="141"/>
      <c r="N34" s="141"/>
      <c r="O34" s="139"/>
      <c r="P34" s="141"/>
      <c r="Q34" s="139"/>
      <c r="R34" s="217"/>
      <c r="S34" s="215"/>
      <c r="T34" s="215"/>
    </row>
    <row r="35" spans="1:20" s="144" customFormat="1" ht="24.95" customHeight="1" x14ac:dyDescent="0.2">
      <c r="A35" s="211"/>
      <c r="B35" s="232"/>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45" customHeight="1" x14ac:dyDescent="0.2">
      <c r="A36" s="211"/>
      <c r="C36" s="221" t="s">
        <v>2171</v>
      </c>
      <c r="D36" s="138"/>
      <c r="E36" s="146"/>
      <c r="F36" s="138"/>
      <c r="G36" s="138"/>
      <c r="H36" s="139"/>
      <c r="I36" s="138"/>
      <c r="J36" s="141"/>
      <c r="K36" s="141"/>
      <c r="L36" s="185">
        <f>150000/4</f>
        <v>37500</v>
      </c>
      <c r="M36" s="141"/>
      <c r="N36" s="157"/>
      <c r="O36" s="139">
        <f t="shared" si="0"/>
        <v>37500</v>
      </c>
      <c r="P36" s="139"/>
      <c r="Q36" s="139">
        <f t="shared" si="1"/>
        <v>-37500</v>
      </c>
      <c r="R36" s="217"/>
      <c r="S36" s="215"/>
      <c r="T36" s="215"/>
    </row>
    <row r="37" spans="1:20" s="144" customFormat="1" ht="24.95" customHeight="1" x14ac:dyDescent="0.2">
      <c r="A37" s="211"/>
      <c r="C37" s="221" t="s">
        <v>2172</v>
      </c>
      <c r="D37" s="220"/>
      <c r="E37" s="221"/>
      <c r="F37" s="220"/>
      <c r="G37" s="220"/>
      <c r="H37" s="219"/>
      <c r="I37" s="220"/>
      <c r="J37" s="157"/>
      <c r="K37" s="157"/>
      <c r="L37" s="157">
        <f>80000/4</f>
        <v>20000</v>
      </c>
      <c r="M37" s="157"/>
      <c r="N37" s="185"/>
      <c r="O37" s="139">
        <f t="shared" si="0"/>
        <v>20000</v>
      </c>
      <c r="P37" s="139"/>
      <c r="Q37" s="139">
        <f t="shared" si="1"/>
        <v>-20000</v>
      </c>
      <c r="R37" s="217"/>
      <c r="S37" s="215"/>
      <c r="T37" s="215"/>
    </row>
    <row r="38" spans="1:20" s="144" customFormat="1" ht="24.95" customHeight="1" x14ac:dyDescent="0.2">
      <c r="A38" s="211"/>
      <c r="B38" s="191"/>
      <c r="C38" s="221" t="s">
        <v>2173</v>
      </c>
      <c r="D38" s="220"/>
      <c r="E38" s="221"/>
      <c r="F38" s="220"/>
      <c r="G38" s="220"/>
      <c r="H38" s="219"/>
      <c r="I38" s="220"/>
      <c r="J38" s="157"/>
      <c r="L38" s="185">
        <f>2200000/4</f>
        <v>550000</v>
      </c>
      <c r="M38" s="157"/>
      <c r="N38" s="141"/>
      <c r="O38" s="139">
        <f t="shared" si="0"/>
        <v>550000</v>
      </c>
      <c r="P38" s="139"/>
      <c r="Q38" s="139">
        <f t="shared" si="1"/>
        <v>-550000</v>
      </c>
      <c r="R38" s="217"/>
      <c r="S38" s="215"/>
      <c r="T38" s="215"/>
    </row>
    <row r="39" spans="1:20" s="144" customFormat="1" ht="43.5" customHeight="1" x14ac:dyDescent="0.2">
      <c r="A39" s="211"/>
      <c r="B39" s="191"/>
      <c r="C39" s="221" t="s">
        <v>2174</v>
      </c>
      <c r="D39" s="220"/>
      <c r="E39" s="221"/>
      <c r="F39" s="220"/>
      <c r="G39" s="220"/>
      <c r="H39" s="219"/>
      <c r="I39" s="220"/>
      <c r="J39" s="157"/>
      <c r="L39" s="185">
        <f>8000000/4</f>
        <v>2000000</v>
      </c>
      <c r="M39" s="157"/>
      <c r="N39" s="141"/>
      <c r="O39" s="139">
        <f t="shared" si="0"/>
        <v>2000000</v>
      </c>
      <c r="P39" s="139"/>
      <c r="Q39" s="139">
        <f t="shared" si="1"/>
        <v>-2000000</v>
      </c>
      <c r="R39" s="217"/>
      <c r="S39" s="215"/>
      <c r="T39" s="215"/>
    </row>
    <row r="40" spans="1:20" s="144" customFormat="1" ht="66.75" customHeight="1" x14ac:dyDescent="0.2">
      <c r="A40" s="211"/>
      <c r="B40" s="191"/>
      <c r="C40" s="221" t="s">
        <v>2175</v>
      </c>
      <c r="D40" s="220"/>
      <c r="E40" s="221"/>
      <c r="F40" s="220"/>
      <c r="G40" s="220"/>
      <c r="H40" s="219"/>
      <c r="I40" s="220"/>
      <c r="J40" s="157"/>
      <c r="L40" s="185">
        <v>1100000</v>
      </c>
      <c r="M40" s="157"/>
      <c r="N40" s="141"/>
      <c r="O40" s="139">
        <f t="shared" si="0"/>
        <v>1100000</v>
      </c>
      <c r="P40" s="139"/>
      <c r="Q40" s="139">
        <f t="shared" si="1"/>
        <v>-1100000</v>
      </c>
      <c r="R40" s="217"/>
      <c r="S40" s="215"/>
      <c r="T40" s="215"/>
    </row>
    <row r="41" spans="1:20" s="144" customFormat="1" ht="37.5" customHeight="1" x14ac:dyDescent="0.2">
      <c r="A41" s="211"/>
      <c r="B41" s="191"/>
      <c r="C41" s="221" t="s">
        <v>2177</v>
      </c>
      <c r="D41" s="220"/>
      <c r="E41" s="221"/>
      <c r="F41" s="220"/>
      <c r="G41" s="220"/>
      <c r="H41" s="219"/>
      <c r="I41" s="220"/>
      <c r="J41" s="157"/>
      <c r="L41" s="185">
        <v>240000</v>
      </c>
      <c r="M41" s="157"/>
      <c r="N41" s="141"/>
      <c r="O41" s="139">
        <f t="shared" si="0"/>
        <v>240000</v>
      </c>
      <c r="P41" s="139"/>
      <c r="Q41" s="139">
        <f t="shared" si="1"/>
        <v>-240000</v>
      </c>
      <c r="R41" s="217"/>
      <c r="S41" s="215"/>
      <c r="T41" s="215"/>
    </row>
    <row r="42" spans="1:20" s="159" customFormat="1" ht="24.95" customHeight="1" x14ac:dyDescent="0.25">
      <c r="A42" s="211"/>
      <c r="B42" s="165"/>
      <c r="C42" s="196" t="s">
        <v>1337</v>
      </c>
      <c r="D42" s="195"/>
      <c r="E42" s="197"/>
      <c r="F42" s="195"/>
      <c r="G42" s="195"/>
      <c r="H42" s="155"/>
      <c r="I42" s="195"/>
      <c r="J42" s="155"/>
      <c r="K42" s="233">
        <v>9346154</v>
      </c>
      <c r="L42" s="155"/>
      <c r="M42" s="155"/>
      <c r="N42" s="155"/>
      <c r="O42" s="139">
        <f t="shared" si="0"/>
        <v>9346154</v>
      </c>
      <c r="P42" s="139"/>
      <c r="Q42" s="139">
        <f t="shared" si="1"/>
        <v>-9346154</v>
      </c>
      <c r="S42" s="215"/>
      <c r="T42" s="215"/>
    </row>
    <row r="43" spans="1:20" s="159" customFormat="1" ht="24.95" customHeight="1" x14ac:dyDescent="0.25">
      <c r="A43" s="211"/>
      <c r="B43" s="203"/>
      <c r="C43" s="152" t="s">
        <v>2176</v>
      </c>
      <c r="D43" s="153"/>
      <c r="E43" s="154"/>
      <c r="F43" s="153"/>
      <c r="G43" s="153"/>
      <c r="H43" s="156"/>
      <c r="I43" s="153"/>
      <c r="J43" s="156"/>
      <c r="K43" s="235">
        <v>500000</v>
      </c>
      <c r="L43" s="156"/>
      <c r="M43" s="156"/>
      <c r="N43" s="156"/>
      <c r="O43" s="139">
        <f t="shared" si="0"/>
        <v>500000</v>
      </c>
      <c r="P43" s="139"/>
      <c r="Q43" s="139">
        <f t="shared" si="1"/>
        <v>-500000</v>
      </c>
      <c r="S43" s="215"/>
      <c r="T43" s="215"/>
    </row>
    <row r="44" spans="1:20" s="159" customFormat="1" ht="24.95" customHeight="1" x14ac:dyDescent="0.25">
      <c r="A44" s="211"/>
      <c r="B44" s="203"/>
      <c r="C44" s="152" t="s">
        <v>1094</v>
      </c>
      <c r="D44" s="153"/>
      <c r="E44" s="154"/>
      <c r="F44" s="153"/>
      <c r="G44" s="153"/>
      <c r="H44" s="156"/>
      <c r="I44" s="153"/>
      <c r="J44" s="156"/>
      <c r="K44" s="204">
        <f>1200000*1.1</f>
        <v>1320000</v>
      </c>
      <c r="L44" s="204"/>
      <c r="M44" s="156"/>
      <c r="N44" s="156"/>
      <c r="O44" s="139">
        <f t="shared" si="0"/>
        <v>1320000</v>
      </c>
      <c r="P44" s="139"/>
      <c r="Q44" s="139">
        <f t="shared" si="1"/>
        <v>-1320000</v>
      </c>
      <c r="R44" s="186"/>
      <c r="S44" s="215"/>
      <c r="T44" s="215"/>
    </row>
    <row r="45" spans="1:20" ht="24.95" customHeight="1" x14ac:dyDescent="0.25">
      <c r="A45" s="426" t="s">
        <v>20</v>
      </c>
      <c r="B45" s="426"/>
      <c r="C45" s="426"/>
      <c r="D45" s="426"/>
      <c r="E45" s="426"/>
      <c r="F45" s="426"/>
      <c r="G45" s="161">
        <f>SUM(G7:G44)</f>
        <v>2833</v>
      </c>
      <c r="H45" s="161">
        <f>SUM(H7:H44)</f>
        <v>46559150</v>
      </c>
      <c r="I45" s="161">
        <f t="shared" ref="I45:N45" si="5">SUM(I7:I44)</f>
        <v>0</v>
      </c>
      <c r="J45" s="161">
        <f t="shared" si="5"/>
        <v>30550000</v>
      </c>
      <c r="K45" s="161">
        <f t="shared" si="5"/>
        <v>11166154</v>
      </c>
      <c r="L45" s="161">
        <f t="shared" si="5"/>
        <v>3947500</v>
      </c>
      <c r="M45" s="161">
        <f t="shared" si="5"/>
        <v>0</v>
      </c>
      <c r="N45" s="161">
        <f t="shared" si="5"/>
        <v>0</v>
      </c>
      <c r="O45" s="161">
        <f>SUM(O7:O44)</f>
        <v>92222804</v>
      </c>
      <c r="P45" s="161">
        <f>SUM(P7:P44)</f>
        <v>135987273</v>
      </c>
      <c r="Q45" s="161">
        <f>SUM(Q7:Q44)</f>
        <v>43764469</v>
      </c>
      <c r="R45" s="187"/>
      <c r="S45" s="189"/>
    </row>
    <row r="46" spans="1:20" ht="24.95" customHeight="1" x14ac:dyDescent="0.25">
      <c r="O46" s="158"/>
      <c r="Q46" s="158">
        <f>P45-O45</f>
        <v>43764469</v>
      </c>
    </row>
    <row r="47" spans="1:20" ht="24.95" customHeight="1" x14ac:dyDescent="0.25">
      <c r="H47" s="143">
        <f>H45-15549000</f>
        <v>31010150</v>
      </c>
      <c r="P47" s="216" t="s">
        <v>1603</v>
      </c>
      <c r="Q47" s="227">
        <f>'11-2018'!Q48+'12.2018'!Q45</f>
        <v>299220060.69230771</v>
      </c>
    </row>
    <row r="48" spans="1:20" ht="24.95" customHeight="1" x14ac:dyDescent="0.25">
      <c r="B48" s="129"/>
      <c r="H48" s="128"/>
      <c r="J48" s="128"/>
      <c r="K48" s="128"/>
      <c r="L48" s="128"/>
      <c r="M48" s="128"/>
      <c r="N48" s="128"/>
      <c r="O48" s="128"/>
      <c r="P48" s="218"/>
      <c r="Q48" s="216"/>
    </row>
    <row r="49" spans="1:17" ht="24.95" customHeight="1" x14ac:dyDescent="0.25">
      <c r="B49" s="129"/>
      <c r="H49" s="128"/>
      <c r="J49" s="128"/>
      <c r="K49" s="128"/>
      <c r="L49" s="128"/>
      <c r="M49" s="128"/>
      <c r="N49" s="128"/>
      <c r="O49" s="128"/>
      <c r="P49" s="218"/>
      <c r="Q49" s="230"/>
    </row>
    <row r="50" spans="1:17" ht="24.95" customHeight="1" x14ac:dyDescent="0.25">
      <c r="B50" s="129"/>
      <c r="H50" s="128"/>
      <c r="J50" s="128"/>
      <c r="K50" s="128"/>
      <c r="L50" s="128"/>
      <c r="M50" s="128"/>
      <c r="N50" s="128"/>
      <c r="O50" s="128"/>
      <c r="P50" s="218"/>
      <c r="Q50" s="230"/>
    </row>
    <row r="51" spans="1:17" ht="24.95" customHeight="1" x14ac:dyDescent="0.25">
      <c r="B51" s="129"/>
      <c r="H51" s="128"/>
      <c r="J51" s="128"/>
      <c r="K51" s="128"/>
      <c r="L51" s="128"/>
      <c r="M51" s="128"/>
      <c r="N51" s="128"/>
      <c r="O51" s="128"/>
      <c r="P51" s="218"/>
      <c r="Q51" s="216"/>
    </row>
    <row r="52" spans="1:17" x14ac:dyDescent="0.25">
      <c r="B52" s="129"/>
      <c r="H52" s="128"/>
      <c r="J52" s="128"/>
      <c r="K52" s="128"/>
      <c r="L52" s="128"/>
      <c r="M52" s="128"/>
      <c r="N52" s="128"/>
      <c r="O52" s="128"/>
      <c r="P52" s="218"/>
      <c r="Q52" s="216"/>
    </row>
    <row r="53" spans="1:17" x14ac:dyDescent="0.25">
      <c r="A53" s="128"/>
      <c r="B53" s="129"/>
      <c r="H53" s="128"/>
      <c r="J53" s="128"/>
      <c r="K53" s="128"/>
      <c r="L53" s="128"/>
      <c r="M53" s="128"/>
      <c r="N53" s="128"/>
      <c r="O53" s="128"/>
      <c r="P53" s="218"/>
      <c r="Q53" s="216"/>
    </row>
    <row r="54" spans="1:17" x14ac:dyDescent="0.25">
      <c r="A54" s="128"/>
      <c r="B54" s="129"/>
      <c r="H54" s="128"/>
      <c r="J54" s="128"/>
      <c r="K54" s="128"/>
      <c r="L54" s="128"/>
      <c r="M54" s="128"/>
      <c r="N54" s="128"/>
      <c r="O54" s="128"/>
      <c r="P54" s="128"/>
      <c r="Q54" s="216"/>
    </row>
    <row r="55" spans="1:17" x14ac:dyDescent="0.25">
      <c r="A55" s="128"/>
      <c r="B55" s="128"/>
      <c r="H55" s="128"/>
      <c r="J55" s="128"/>
      <c r="K55" s="128"/>
      <c r="L55" s="128"/>
      <c r="M55" s="128"/>
      <c r="N55" s="128"/>
      <c r="O55" s="128"/>
      <c r="P55" s="128"/>
      <c r="Q55" s="216"/>
    </row>
    <row r="56" spans="1:17" x14ac:dyDescent="0.25">
      <c r="A56" s="128"/>
      <c r="B56" s="128"/>
      <c r="H56" s="128"/>
      <c r="J56" s="128"/>
      <c r="K56" s="128"/>
      <c r="L56" s="128"/>
      <c r="M56" s="128"/>
      <c r="N56" s="128"/>
      <c r="O56" s="128"/>
      <c r="P56" s="128"/>
      <c r="Q56" s="216"/>
    </row>
  </sheetData>
  <mergeCells count="14">
    <mergeCell ref="O5:O6"/>
    <mergeCell ref="P5:P6"/>
    <mergeCell ref="Q5:Q6"/>
    <mergeCell ref="A45:F45"/>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57"/>
  <sheetViews>
    <sheetView topLeftCell="E46" workbookViewId="0">
      <selection activeCell="Q49" sqref="Q4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2178</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43467</v>
      </c>
      <c r="C7" s="138" t="s">
        <v>2179</v>
      </c>
      <c r="D7" s="138" t="s">
        <v>2197</v>
      </c>
      <c r="E7" s="146" t="s">
        <v>80</v>
      </c>
      <c r="F7" s="138"/>
      <c r="G7" s="138">
        <v>300</v>
      </c>
      <c r="H7" s="141">
        <f>G7*14900</f>
        <v>4470000</v>
      </c>
      <c r="I7" s="138"/>
      <c r="J7" s="141">
        <v>450000</v>
      </c>
      <c r="K7" s="141"/>
      <c r="L7" s="150"/>
      <c r="M7" s="141"/>
      <c r="N7" s="141"/>
      <c r="O7" s="139">
        <f>SUM(H7:N7)</f>
        <v>4920000</v>
      </c>
      <c r="P7" s="139">
        <v>3800000</v>
      </c>
      <c r="Q7" s="139">
        <f>P7-O7</f>
        <v>-1120000</v>
      </c>
      <c r="R7" s="217"/>
      <c r="S7" s="215"/>
      <c r="T7" s="215"/>
    </row>
    <row r="8" spans="1:20" s="144" customFormat="1" ht="24.95" customHeight="1" x14ac:dyDescent="0.2">
      <c r="A8" s="211">
        <v>2</v>
      </c>
      <c r="B8" s="191">
        <v>43468</v>
      </c>
      <c r="C8" s="138" t="s">
        <v>2180</v>
      </c>
      <c r="D8" s="138" t="s">
        <v>2198</v>
      </c>
      <c r="E8" s="146" t="s">
        <v>248</v>
      </c>
      <c r="F8" s="138"/>
      <c r="G8" s="138"/>
      <c r="H8" s="141"/>
      <c r="I8" s="138"/>
      <c r="J8" s="141">
        <f>1150000-90000</f>
        <v>1060000</v>
      </c>
      <c r="K8" s="141"/>
      <c r="L8" s="150"/>
      <c r="M8" s="141"/>
      <c r="N8" s="141"/>
      <c r="O8" s="139">
        <f t="shared" ref="O8:O45" si="0">SUM(H8:N8)</f>
        <v>1060000</v>
      </c>
      <c r="P8" s="139">
        <v>4560000</v>
      </c>
      <c r="Q8" s="139">
        <f t="shared" ref="Q8:Q45" si="1">P8-O8</f>
        <v>3500000</v>
      </c>
      <c r="R8" s="217"/>
      <c r="S8" s="215"/>
      <c r="T8" s="215"/>
    </row>
    <row r="9" spans="1:20" s="144" customFormat="1" ht="24.95" customHeight="1" x14ac:dyDescent="0.2">
      <c r="A9" s="211">
        <v>3</v>
      </c>
      <c r="B9" s="191">
        <v>43469</v>
      </c>
      <c r="C9" s="138" t="s">
        <v>1520</v>
      </c>
      <c r="D9" s="138" t="s">
        <v>2199</v>
      </c>
      <c r="E9" s="146" t="s">
        <v>1876</v>
      </c>
      <c r="F9" s="138"/>
      <c r="G9" s="138"/>
      <c r="H9" s="141"/>
      <c r="I9" s="138"/>
      <c r="J9" s="141">
        <v>970000</v>
      </c>
      <c r="K9" s="141"/>
      <c r="L9" s="150"/>
      <c r="M9" s="141"/>
      <c r="N9" s="141"/>
      <c r="O9" s="139">
        <f t="shared" si="0"/>
        <v>970000</v>
      </c>
      <c r="P9" s="139">
        <v>4100000</v>
      </c>
      <c r="Q9" s="139">
        <f t="shared" si="1"/>
        <v>3130000</v>
      </c>
      <c r="R9" s="217"/>
      <c r="S9" s="215"/>
      <c r="T9" s="215"/>
    </row>
    <row r="10" spans="1:20" s="144" customFormat="1" ht="24.95" customHeight="1" x14ac:dyDescent="0.2">
      <c r="A10" s="211">
        <v>4</v>
      </c>
      <c r="B10" s="191">
        <v>43470</v>
      </c>
      <c r="C10" s="138" t="s">
        <v>1521</v>
      </c>
      <c r="D10" s="138" t="s">
        <v>2200</v>
      </c>
      <c r="E10" s="146" t="s">
        <v>2223</v>
      </c>
      <c r="F10" s="138"/>
      <c r="G10" s="138">
        <v>305</v>
      </c>
      <c r="H10" s="141">
        <f t="shared" ref="H10:H33" si="2">G10*14900</f>
        <v>4544500</v>
      </c>
      <c r="I10" s="138"/>
      <c r="J10" s="141">
        <f>970000+300000+290000</f>
        <v>1560000</v>
      </c>
      <c r="K10" s="141"/>
      <c r="L10" s="150"/>
      <c r="M10" s="141"/>
      <c r="N10" s="141"/>
      <c r="O10" s="139">
        <f t="shared" si="0"/>
        <v>6104500</v>
      </c>
      <c r="P10" s="208">
        <v>5400000</v>
      </c>
      <c r="Q10" s="139">
        <f t="shared" si="1"/>
        <v>-704500</v>
      </c>
      <c r="R10" s="217"/>
      <c r="S10" s="215"/>
      <c r="T10" s="215"/>
    </row>
    <row r="11" spans="1:20" s="144" customFormat="1" ht="24.95" customHeight="1" x14ac:dyDescent="0.2">
      <c r="A11" s="211">
        <v>5</v>
      </c>
      <c r="B11" s="191">
        <v>43471</v>
      </c>
      <c r="C11" s="138" t="s">
        <v>845</v>
      </c>
      <c r="D11" s="138" t="s">
        <v>2201</v>
      </c>
      <c r="E11" s="146" t="s">
        <v>1503</v>
      </c>
      <c r="F11" s="138"/>
      <c r="G11" s="138"/>
      <c r="H11" s="141"/>
      <c r="I11" s="138"/>
      <c r="J11" s="141">
        <v>970000</v>
      </c>
      <c r="K11" s="141"/>
      <c r="L11" s="150"/>
      <c r="M11" s="141"/>
      <c r="N11" s="141"/>
      <c r="O11" s="139">
        <f t="shared" si="0"/>
        <v>970000</v>
      </c>
      <c r="P11" s="141">
        <v>4000000</v>
      </c>
      <c r="Q11" s="139">
        <f t="shared" si="1"/>
        <v>3030000</v>
      </c>
      <c r="R11" s="217"/>
      <c r="S11" s="215"/>
      <c r="T11" s="215"/>
    </row>
    <row r="12" spans="1:20" s="144" customFormat="1" ht="24.95" customHeight="1" x14ac:dyDescent="0.2">
      <c r="A12" s="211">
        <v>6</v>
      </c>
      <c r="B12" s="191">
        <v>43472</v>
      </c>
      <c r="C12" s="138" t="s">
        <v>847</v>
      </c>
      <c r="D12" s="138" t="s">
        <v>2202</v>
      </c>
      <c r="E12" s="146" t="s">
        <v>1168</v>
      </c>
      <c r="F12" s="138"/>
      <c r="G12" s="138"/>
      <c r="H12" s="141"/>
      <c r="I12" s="138"/>
      <c r="J12" s="141">
        <v>1150000</v>
      </c>
      <c r="K12" s="141"/>
      <c r="L12" s="150"/>
      <c r="M12" s="141"/>
      <c r="N12" s="141"/>
      <c r="O12" s="139">
        <f t="shared" si="0"/>
        <v>1150000</v>
      </c>
      <c r="P12" s="141">
        <v>3790909</v>
      </c>
      <c r="Q12" s="139">
        <f t="shared" si="1"/>
        <v>2640909</v>
      </c>
      <c r="R12" s="217"/>
      <c r="S12" s="215"/>
      <c r="T12" s="215"/>
    </row>
    <row r="13" spans="1:20" s="144" customFormat="1" ht="24.95" customHeight="1" x14ac:dyDescent="0.2">
      <c r="A13" s="211">
        <v>7</v>
      </c>
      <c r="B13" s="191">
        <v>43473</v>
      </c>
      <c r="C13" s="138" t="s">
        <v>2181</v>
      </c>
      <c r="D13" s="138" t="s">
        <v>2203</v>
      </c>
      <c r="E13" s="146" t="s">
        <v>1789</v>
      </c>
      <c r="F13" s="138"/>
      <c r="G13" s="138"/>
      <c r="H13" s="141"/>
      <c r="I13" s="138"/>
      <c r="J13" s="141">
        <f>970000+300000</f>
        <v>1270000</v>
      </c>
      <c r="K13" s="141"/>
      <c r="L13" s="150"/>
      <c r="M13" s="141"/>
      <c r="N13" s="141"/>
      <c r="O13" s="139">
        <f t="shared" si="0"/>
        <v>1270000</v>
      </c>
      <c r="P13" s="208">
        <v>5200000</v>
      </c>
      <c r="Q13" s="139">
        <f t="shared" si="1"/>
        <v>3930000</v>
      </c>
      <c r="R13" s="217"/>
      <c r="S13" s="215"/>
      <c r="T13" s="215"/>
    </row>
    <row r="14" spans="1:20" s="144" customFormat="1" ht="24.95" customHeight="1" x14ac:dyDescent="0.2">
      <c r="A14" s="211">
        <v>8</v>
      </c>
      <c r="B14" s="191">
        <v>43474</v>
      </c>
      <c r="C14" s="138" t="s">
        <v>2182</v>
      </c>
      <c r="D14" s="138" t="s">
        <v>2204</v>
      </c>
      <c r="E14" s="146" t="s">
        <v>80</v>
      </c>
      <c r="F14" s="138"/>
      <c r="G14" s="138"/>
      <c r="H14" s="141"/>
      <c r="I14" s="138"/>
      <c r="J14" s="141">
        <f>450000+360000</f>
        <v>810000</v>
      </c>
      <c r="K14" s="141"/>
      <c r="L14" s="150"/>
      <c r="M14" s="141"/>
      <c r="N14" s="141"/>
      <c r="O14" s="139">
        <f t="shared" si="0"/>
        <v>810000</v>
      </c>
      <c r="P14" s="141">
        <v>4000000</v>
      </c>
      <c r="Q14" s="139">
        <f t="shared" si="1"/>
        <v>3190000</v>
      </c>
      <c r="R14" s="217"/>
      <c r="S14" s="215"/>
      <c r="T14" s="215"/>
    </row>
    <row r="15" spans="1:20" s="144" customFormat="1" ht="24.95" customHeight="1" x14ac:dyDescent="0.2">
      <c r="A15" s="211">
        <v>9</v>
      </c>
      <c r="B15" s="191">
        <v>43475</v>
      </c>
      <c r="C15" s="138" t="s">
        <v>2183</v>
      </c>
      <c r="D15" s="138" t="s">
        <v>2205</v>
      </c>
      <c r="E15" s="146" t="s">
        <v>2224</v>
      </c>
      <c r="F15" s="138"/>
      <c r="G15" s="138">
        <v>378</v>
      </c>
      <c r="H15" s="141">
        <f t="shared" si="2"/>
        <v>5632200</v>
      </c>
      <c r="I15" s="138"/>
      <c r="J15" s="141">
        <f>1910000+360000</f>
        <v>2270000</v>
      </c>
      <c r="K15" s="141"/>
      <c r="L15" s="150"/>
      <c r="M15" s="141"/>
      <c r="N15" s="141"/>
      <c r="O15" s="139">
        <f t="shared" si="0"/>
        <v>7902200</v>
      </c>
      <c r="P15" s="141">
        <v>8900000</v>
      </c>
      <c r="Q15" s="139">
        <f t="shared" si="1"/>
        <v>997800</v>
      </c>
      <c r="R15" s="217"/>
      <c r="S15" s="215"/>
      <c r="T15" s="215"/>
    </row>
    <row r="16" spans="1:20" s="144" customFormat="1" ht="24.95" customHeight="1" x14ac:dyDescent="0.2">
      <c r="A16" s="211">
        <v>10</v>
      </c>
      <c r="B16" s="191">
        <v>43476</v>
      </c>
      <c r="C16" s="138" t="s">
        <v>2184</v>
      </c>
      <c r="D16" s="138" t="s">
        <v>2206</v>
      </c>
      <c r="E16" s="146" t="s">
        <v>2225</v>
      </c>
      <c r="F16" s="138"/>
      <c r="G16" s="138">
        <v>305</v>
      </c>
      <c r="H16" s="141">
        <f t="shared" si="2"/>
        <v>4544500</v>
      </c>
      <c r="I16" s="138"/>
      <c r="J16" s="141">
        <f>1150000-360000</f>
        <v>790000</v>
      </c>
      <c r="K16" s="141"/>
      <c r="L16" s="150"/>
      <c r="M16" s="141"/>
      <c r="N16" s="141"/>
      <c r="O16" s="139">
        <f t="shared" si="0"/>
        <v>5334500</v>
      </c>
      <c r="P16" s="141">
        <v>4100000</v>
      </c>
      <c r="Q16" s="139">
        <f t="shared" si="1"/>
        <v>-1234500</v>
      </c>
      <c r="R16" s="217"/>
      <c r="S16" s="215"/>
      <c r="T16" s="215"/>
    </row>
    <row r="17" spans="1:20" s="144" customFormat="1" ht="24.95" customHeight="1" x14ac:dyDescent="0.2">
      <c r="A17" s="211">
        <v>11</v>
      </c>
      <c r="B17" s="191">
        <v>43477</v>
      </c>
      <c r="C17" s="138" t="s">
        <v>2185</v>
      </c>
      <c r="D17" s="138" t="s">
        <v>2207</v>
      </c>
      <c r="E17" s="146" t="s">
        <v>25</v>
      </c>
      <c r="F17" s="138"/>
      <c r="G17" s="138"/>
      <c r="H17" s="141"/>
      <c r="I17" s="138"/>
      <c r="J17" s="141">
        <v>1890000</v>
      </c>
      <c r="K17" s="141"/>
      <c r="L17" s="150"/>
      <c r="M17" s="141"/>
      <c r="N17" s="141"/>
      <c r="O17" s="139">
        <f t="shared" si="0"/>
        <v>1890000</v>
      </c>
      <c r="P17" s="141">
        <v>7500000</v>
      </c>
      <c r="Q17" s="139">
        <f t="shared" si="1"/>
        <v>5610000</v>
      </c>
      <c r="R17" s="217"/>
      <c r="S17" s="215"/>
      <c r="T17" s="215"/>
    </row>
    <row r="18" spans="1:20" s="144" customFormat="1" ht="24.95" customHeight="1" x14ac:dyDescent="0.2">
      <c r="A18" s="211">
        <v>12</v>
      </c>
      <c r="B18" s="191">
        <v>43479</v>
      </c>
      <c r="C18" s="138" t="s">
        <v>2186</v>
      </c>
      <c r="D18" s="138" t="s">
        <v>2208</v>
      </c>
      <c r="E18" s="146" t="s">
        <v>1336</v>
      </c>
      <c r="F18" s="138"/>
      <c r="G18" s="138">
        <v>272</v>
      </c>
      <c r="H18" s="141">
        <f t="shared" si="2"/>
        <v>4052800</v>
      </c>
      <c r="I18" s="138"/>
      <c r="J18" s="141">
        <v>1150000</v>
      </c>
      <c r="K18" s="141"/>
      <c r="L18" s="150"/>
      <c r="M18" s="141"/>
      <c r="N18" s="141"/>
      <c r="O18" s="139">
        <f t="shared" si="0"/>
        <v>5202800</v>
      </c>
      <c r="P18" s="141">
        <v>3836364</v>
      </c>
      <c r="Q18" s="139">
        <f t="shared" si="1"/>
        <v>-1366436</v>
      </c>
      <c r="R18" s="217"/>
      <c r="S18" s="215"/>
      <c r="T18" s="215"/>
    </row>
    <row r="19" spans="1:20" s="144" customFormat="1" ht="24.95" customHeight="1" x14ac:dyDescent="0.2">
      <c r="A19" s="211">
        <v>13</v>
      </c>
      <c r="B19" s="191">
        <v>43480</v>
      </c>
      <c r="C19" s="138" t="s">
        <v>1529</v>
      </c>
      <c r="D19" s="138" t="s">
        <v>2209</v>
      </c>
      <c r="E19" s="146" t="s">
        <v>654</v>
      </c>
      <c r="F19" s="138"/>
      <c r="G19" s="138"/>
      <c r="H19" s="141"/>
      <c r="I19" s="138"/>
      <c r="J19" s="141">
        <v>1340000</v>
      </c>
      <c r="K19" s="141"/>
      <c r="L19" s="150"/>
      <c r="M19" s="141"/>
      <c r="N19" s="141"/>
      <c r="O19" s="139">
        <f t="shared" si="0"/>
        <v>1340000</v>
      </c>
      <c r="P19" s="141">
        <v>4900000</v>
      </c>
      <c r="Q19" s="139">
        <f t="shared" si="1"/>
        <v>3560000</v>
      </c>
      <c r="R19" s="217"/>
      <c r="S19" s="215"/>
      <c r="T19" s="215"/>
    </row>
    <row r="20" spans="1:20" s="144" customFormat="1" ht="24.95" customHeight="1" x14ac:dyDescent="0.2">
      <c r="A20" s="211">
        <v>14</v>
      </c>
      <c r="B20" s="191">
        <v>43481</v>
      </c>
      <c r="C20" s="138" t="s">
        <v>2187</v>
      </c>
      <c r="D20" s="138" t="s">
        <v>2210</v>
      </c>
      <c r="E20" s="146" t="s">
        <v>80</v>
      </c>
      <c r="F20" s="138"/>
      <c r="G20" s="138"/>
      <c r="H20" s="141"/>
      <c r="I20" s="138"/>
      <c r="J20" s="141">
        <v>790000</v>
      </c>
      <c r="K20" s="141"/>
      <c r="L20" s="150"/>
      <c r="M20" s="141"/>
      <c r="N20" s="141"/>
      <c r="O20" s="139">
        <f t="shared" si="0"/>
        <v>790000</v>
      </c>
      <c r="P20" s="141">
        <v>4000000</v>
      </c>
      <c r="Q20" s="139">
        <f t="shared" si="1"/>
        <v>3210000</v>
      </c>
      <c r="R20" s="217"/>
      <c r="S20" s="215"/>
      <c r="T20" s="215"/>
    </row>
    <row r="21" spans="1:20" s="144" customFormat="1" ht="24.95" customHeight="1" x14ac:dyDescent="0.2">
      <c r="A21" s="211">
        <v>15</v>
      </c>
      <c r="B21" s="191">
        <v>43482</v>
      </c>
      <c r="C21" s="138" t="s">
        <v>860</v>
      </c>
      <c r="D21" s="138" t="s">
        <v>2211</v>
      </c>
      <c r="E21" s="146" t="s">
        <v>2226</v>
      </c>
      <c r="F21" s="138"/>
      <c r="G21" s="138"/>
      <c r="H21" s="141"/>
      <c r="I21" s="138"/>
      <c r="J21" s="141">
        <v>1270000</v>
      </c>
      <c r="K21" s="141"/>
      <c r="L21" s="150"/>
      <c r="M21" s="141"/>
      <c r="N21" s="141"/>
      <c r="O21" s="139">
        <f t="shared" si="0"/>
        <v>1270000</v>
      </c>
      <c r="P21" s="208">
        <v>5200000</v>
      </c>
      <c r="Q21" s="139">
        <f t="shared" si="1"/>
        <v>3930000</v>
      </c>
      <c r="R21" s="217"/>
      <c r="S21" s="215"/>
      <c r="T21" s="215"/>
    </row>
    <row r="22" spans="1:20" s="144" customFormat="1" ht="24.95" customHeight="1" x14ac:dyDescent="0.2">
      <c r="A22" s="211">
        <v>16</v>
      </c>
      <c r="B22" s="191">
        <v>43483</v>
      </c>
      <c r="C22" s="138" t="s">
        <v>2188</v>
      </c>
      <c r="D22" s="138" t="s">
        <v>2212</v>
      </c>
      <c r="E22" s="146" t="s">
        <v>80</v>
      </c>
      <c r="F22" s="138"/>
      <c r="G22" s="138">
        <v>385</v>
      </c>
      <c r="H22" s="141">
        <f t="shared" si="2"/>
        <v>5736500</v>
      </c>
      <c r="I22" s="138"/>
      <c r="J22" s="141">
        <v>790000</v>
      </c>
      <c r="K22" s="141"/>
      <c r="L22" s="150"/>
      <c r="M22" s="141"/>
      <c r="N22" s="141"/>
      <c r="O22" s="139">
        <f t="shared" si="0"/>
        <v>6526500</v>
      </c>
      <c r="P22" s="141">
        <v>4000000</v>
      </c>
      <c r="Q22" s="139">
        <f t="shared" si="1"/>
        <v>-2526500</v>
      </c>
      <c r="R22" s="217"/>
      <c r="S22" s="215"/>
      <c r="T22" s="215"/>
    </row>
    <row r="23" spans="1:20" s="144" customFormat="1" ht="24.95" customHeight="1" x14ac:dyDescent="0.2">
      <c r="A23" s="211">
        <v>17</v>
      </c>
      <c r="B23" s="191">
        <v>43484</v>
      </c>
      <c r="C23" s="138" t="s">
        <v>2189</v>
      </c>
      <c r="D23" s="138" t="s">
        <v>2213</v>
      </c>
      <c r="E23" s="146" t="s">
        <v>80</v>
      </c>
      <c r="F23" s="138"/>
      <c r="G23" s="138">
        <v>200</v>
      </c>
      <c r="H23" s="141">
        <f t="shared" si="2"/>
        <v>2980000</v>
      </c>
      <c r="I23" s="138"/>
      <c r="J23" s="141">
        <v>790000</v>
      </c>
      <c r="K23" s="141"/>
      <c r="L23" s="150"/>
      <c r="M23" s="141"/>
      <c r="N23" s="141"/>
      <c r="O23" s="139">
        <f t="shared" si="0"/>
        <v>3770000</v>
      </c>
      <c r="P23" s="141">
        <v>4000000</v>
      </c>
      <c r="Q23" s="139">
        <f t="shared" si="1"/>
        <v>230000</v>
      </c>
      <c r="R23" s="217"/>
      <c r="S23" s="215"/>
      <c r="T23" s="215"/>
    </row>
    <row r="24" spans="1:20" s="144" customFormat="1" ht="24.95" customHeight="1" x14ac:dyDescent="0.2">
      <c r="A24" s="211">
        <v>18</v>
      </c>
      <c r="B24" s="191">
        <v>43486</v>
      </c>
      <c r="C24" s="138" t="s">
        <v>2190</v>
      </c>
      <c r="D24" s="138" t="s">
        <v>2214</v>
      </c>
      <c r="E24" s="146" t="s">
        <v>2227</v>
      </c>
      <c r="F24" s="138"/>
      <c r="G24" s="138"/>
      <c r="H24" s="141"/>
      <c r="I24" s="138"/>
      <c r="J24" s="141">
        <v>3340000</v>
      </c>
      <c r="K24" s="141"/>
      <c r="L24" s="150"/>
      <c r="M24" s="141"/>
      <c r="N24" s="141"/>
      <c r="O24" s="139">
        <f t="shared" si="0"/>
        <v>3340000</v>
      </c>
      <c r="P24" s="141">
        <v>18000000</v>
      </c>
      <c r="Q24" s="139">
        <f t="shared" si="1"/>
        <v>14660000</v>
      </c>
      <c r="R24" s="217"/>
      <c r="S24" s="215"/>
      <c r="T24" s="215"/>
    </row>
    <row r="25" spans="1:20" s="144" customFormat="1" ht="24.95" customHeight="1" x14ac:dyDescent="0.2">
      <c r="A25" s="211">
        <v>19</v>
      </c>
      <c r="B25" s="191">
        <v>43487</v>
      </c>
      <c r="C25" s="138" t="s">
        <v>2191</v>
      </c>
      <c r="D25" s="138" t="s">
        <v>2215</v>
      </c>
      <c r="E25" s="146" t="s">
        <v>80</v>
      </c>
      <c r="F25" s="138"/>
      <c r="G25" s="138">
        <v>302</v>
      </c>
      <c r="H25" s="141">
        <f t="shared" si="2"/>
        <v>4499800</v>
      </c>
      <c r="I25" s="138"/>
      <c r="J25" s="141">
        <v>790000</v>
      </c>
      <c r="K25" s="141"/>
      <c r="L25" s="150"/>
      <c r="M25" s="141"/>
      <c r="N25" s="141"/>
      <c r="O25" s="139">
        <f t="shared" si="0"/>
        <v>5289800</v>
      </c>
      <c r="P25" s="141">
        <v>4000000</v>
      </c>
      <c r="Q25" s="139">
        <f t="shared" si="1"/>
        <v>-1289800</v>
      </c>
      <c r="R25" s="217"/>
      <c r="S25" s="215"/>
      <c r="T25" s="215"/>
    </row>
    <row r="26" spans="1:20" s="144" customFormat="1" ht="24.95" customHeight="1" x14ac:dyDescent="0.2">
      <c r="A26" s="211">
        <v>20</v>
      </c>
      <c r="B26" s="191">
        <v>43488</v>
      </c>
      <c r="C26" s="138" t="s">
        <v>2192</v>
      </c>
      <c r="D26" s="138" t="s">
        <v>2216</v>
      </c>
      <c r="E26" s="146" t="s">
        <v>80</v>
      </c>
      <c r="F26" s="138"/>
      <c r="G26" s="138">
        <v>200</v>
      </c>
      <c r="H26" s="141">
        <f t="shared" si="2"/>
        <v>2980000</v>
      </c>
      <c r="I26" s="138"/>
      <c r="J26" s="141">
        <v>790000</v>
      </c>
      <c r="K26" s="141"/>
      <c r="L26" s="150"/>
      <c r="M26" s="141"/>
      <c r="N26" s="141"/>
      <c r="O26" s="139">
        <f t="shared" si="0"/>
        <v>3770000</v>
      </c>
      <c r="P26" s="141">
        <v>4000000</v>
      </c>
      <c r="Q26" s="139">
        <f t="shared" si="1"/>
        <v>230000</v>
      </c>
      <c r="R26" s="217"/>
      <c r="S26" s="215"/>
      <c r="T26" s="215"/>
    </row>
    <row r="27" spans="1:20" s="144" customFormat="1" ht="24.95" customHeight="1" x14ac:dyDescent="0.2">
      <c r="A27" s="211">
        <v>21</v>
      </c>
      <c r="B27" s="191">
        <v>43489</v>
      </c>
      <c r="C27" s="138" t="s">
        <v>1534</v>
      </c>
      <c r="D27" s="138" t="s">
        <v>2217</v>
      </c>
      <c r="E27" s="146" t="s">
        <v>1565</v>
      </c>
      <c r="F27" s="138"/>
      <c r="G27" s="138"/>
      <c r="H27" s="141"/>
      <c r="I27" s="138"/>
      <c r="J27" s="141">
        <v>1510000</v>
      </c>
      <c r="K27" s="141"/>
      <c r="L27" s="150"/>
      <c r="M27" s="141"/>
      <c r="N27" s="141"/>
      <c r="O27" s="139">
        <f t="shared" si="0"/>
        <v>1510000</v>
      </c>
      <c r="P27" s="141">
        <v>5600000</v>
      </c>
      <c r="Q27" s="139">
        <f t="shared" si="1"/>
        <v>4090000</v>
      </c>
      <c r="R27" s="217"/>
      <c r="S27" s="215"/>
      <c r="T27" s="215"/>
    </row>
    <row r="28" spans="1:20" s="144" customFormat="1" ht="24.95" customHeight="1" x14ac:dyDescent="0.2">
      <c r="A28" s="211">
        <v>22</v>
      </c>
      <c r="B28" s="191">
        <v>43490</v>
      </c>
      <c r="C28" s="138" t="s">
        <v>144</v>
      </c>
      <c r="D28" s="138" t="s">
        <v>2218</v>
      </c>
      <c r="E28" s="146" t="s">
        <v>1565</v>
      </c>
      <c r="F28" s="138"/>
      <c r="G28" s="138">
        <v>265</v>
      </c>
      <c r="H28" s="141">
        <f t="shared" si="2"/>
        <v>3948500</v>
      </c>
      <c r="I28" s="138"/>
      <c r="J28" s="141">
        <v>1510000</v>
      </c>
      <c r="K28" s="141"/>
      <c r="L28" s="150"/>
      <c r="M28" s="141"/>
      <c r="N28" s="141"/>
      <c r="O28" s="139">
        <f t="shared" si="0"/>
        <v>5458500</v>
      </c>
      <c r="P28" s="141">
        <v>5600000</v>
      </c>
      <c r="Q28" s="139">
        <f t="shared" si="1"/>
        <v>141500</v>
      </c>
      <c r="R28" s="217"/>
      <c r="S28" s="215"/>
      <c r="T28" s="215"/>
    </row>
    <row r="29" spans="1:20" s="144" customFormat="1" ht="24.95" customHeight="1" x14ac:dyDescent="0.2">
      <c r="A29" s="211">
        <v>23</v>
      </c>
      <c r="B29" s="191">
        <v>43491</v>
      </c>
      <c r="C29" s="138" t="s">
        <v>2193</v>
      </c>
      <c r="D29" s="138" t="s">
        <v>1846</v>
      </c>
      <c r="E29" s="146" t="s">
        <v>21</v>
      </c>
      <c r="F29" s="138"/>
      <c r="G29" s="138"/>
      <c r="H29" s="141"/>
      <c r="I29" s="138"/>
      <c r="J29" s="141">
        <v>790000</v>
      </c>
      <c r="K29" s="141"/>
      <c r="L29" s="150"/>
      <c r="M29" s="141"/>
      <c r="N29" s="141"/>
      <c r="O29" s="139">
        <f t="shared" si="0"/>
        <v>790000</v>
      </c>
      <c r="P29" s="141">
        <v>3500000</v>
      </c>
      <c r="Q29" s="139">
        <f t="shared" si="1"/>
        <v>2710000</v>
      </c>
      <c r="R29" s="217"/>
      <c r="S29" s="215"/>
      <c r="T29" s="215"/>
    </row>
    <row r="30" spans="1:20" s="144" customFormat="1" ht="24.95" customHeight="1" x14ac:dyDescent="0.2">
      <c r="A30" s="211">
        <v>24</v>
      </c>
      <c r="B30" s="191">
        <v>43493</v>
      </c>
      <c r="C30" s="138" t="s">
        <v>2194</v>
      </c>
      <c r="D30" s="138" t="s">
        <v>2219</v>
      </c>
      <c r="E30" s="146" t="s">
        <v>248</v>
      </c>
      <c r="F30" s="138"/>
      <c r="G30" s="138"/>
      <c r="H30" s="141"/>
      <c r="I30" s="138"/>
      <c r="J30" s="141">
        <v>970000</v>
      </c>
      <c r="K30" s="141"/>
      <c r="L30" s="150"/>
      <c r="M30" s="141"/>
      <c r="N30" s="141"/>
      <c r="O30" s="139">
        <f t="shared" si="0"/>
        <v>970000</v>
      </c>
      <c r="P30" s="141">
        <v>4560000</v>
      </c>
      <c r="Q30" s="139">
        <f t="shared" si="1"/>
        <v>3590000</v>
      </c>
      <c r="R30" s="217"/>
      <c r="S30" s="215"/>
      <c r="T30" s="215"/>
    </row>
    <row r="31" spans="1:20" s="144" customFormat="1" ht="24.95" customHeight="1" x14ac:dyDescent="0.2">
      <c r="A31" s="211">
        <v>25</v>
      </c>
      <c r="B31" s="191">
        <v>43493</v>
      </c>
      <c r="C31" s="138" t="s">
        <v>2195</v>
      </c>
      <c r="D31" s="138" t="s">
        <v>2220</v>
      </c>
      <c r="E31" s="146" t="s">
        <v>2228</v>
      </c>
      <c r="F31" s="138"/>
      <c r="G31" s="138">
        <v>267</v>
      </c>
      <c r="H31" s="141">
        <f t="shared" si="2"/>
        <v>3978300</v>
      </c>
      <c r="I31" s="138"/>
      <c r="J31" s="141">
        <v>970000</v>
      </c>
      <c r="K31" s="141"/>
      <c r="L31" s="150"/>
      <c r="M31" s="141"/>
      <c r="N31" s="141"/>
      <c r="O31" s="139">
        <f t="shared" si="0"/>
        <v>4948300</v>
      </c>
      <c r="P31" s="141">
        <v>4200000</v>
      </c>
      <c r="Q31" s="139">
        <f t="shared" si="1"/>
        <v>-748300</v>
      </c>
      <c r="R31" s="217"/>
      <c r="S31" s="215"/>
      <c r="T31" s="215"/>
    </row>
    <row r="32" spans="1:20" s="144" customFormat="1" ht="24.95" customHeight="1" x14ac:dyDescent="0.2">
      <c r="A32" s="211">
        <v>26</v>
      </c>
      <c r="B32" s="191">
        <v>43495</v>
      </c>
      <c r="C32" s="138" t="s">
        <v>1538</v>
      </c>
      <c r="D32" s="138" t="s">
        <v>2221</v>
      </c>
      <c r="E32" s="146" t="s">
        <v>2229</v>
      </c>
      <c r="F32" s="138"/>
      <c r="G32" s="138"/>
      <c r="H32" s="141"/>
      <c r="I32" s="138"/>
      <c r="J32" s="141">
        <f>1600000+150000</f>
        <v>1750000</v>
      </c>
      <c r="K32" s="141"/>
      <c r="L32" s="150"/>
      <c r="M32" s="141"/>
      <c r="N32" s="141"/>
      <c r="O32" s="139">
        <f t="shared" si="0"/>
        <v>1750000</v>
      </c>
      <c r="P32" s="141">
        <v>6100000</v>
      </c>
      <c r="Q32" s="139">
        <f t="shared" si="1"/>
        <v>4350000</v>
      </c>
      <c r="R32" s="217"/>
      <c r="S32" s="215"/>
      <c r="T32" s="215"/>
    </row>
    <row r="33" spans="1:20" s="144" customFormat="1" ht="24.95" customHeight="1" x14ac:dyDescent="0.2">
      <c r="A33" s="211"/>
      <c r="B33" s="191">
        <v>43496</v>
      </c>
      <c r="C33" s="138" t="s">
        <v>2196</v>
      </c>
      <c r="D33" s="138" t="s">
        <v>2222</v>
      </c>
      <c r="E33" s="146" t="s">
        <v>513</v>
      </c>
      <c r="F33" s="138"/>
      <c r="G33" s="138">
        <v>260</v>
      </c>
      <c r="H33" s="141">
        <f t="shared" si="2"/>
        <v>3874000</v>
      </c>
      <c r="I33" s="138"/>
      <c r="J33" s="139">
        <v>970000</v>
      </c>
      <c r="K33" s="141"/>
      <c r="L33" s="150"/>
      <c r="M33" s="141"/>
      <c r="N33" s="141"/>
      <c r="O33" s="139">
        <f t="shared" si="0"/>
        <v>4844000</v>
      </c>
      <c r="P33" s="141">
        <v>4100000</v>
      </c>
      <c r="Q33" s="139">
        <f t="shared" si="1"/>
        <v>-744000</v>
      </c>
      <c r="R33" s="217"/>
      <c r="S33" s="215"/>
      <c r="T33" s="215"/>
    </row>
    <row r="34" spans="1:20" s="144" customFormat="1" ht="24.95" customHeight="1" x14ac:dyDescent="0.2">
      <c r="A34" s="211"/>
      <c r="B34" s="232"/>
      <c r="C34" s="138"/>
      <c r="D34" s="138"/>
      <c r="E34" s="146"/>
      <c r="F34" s="138"/>
      <c r="G34" s="138"/>
      <c r="H34" s="141"/>
      <c r="I34" s="138"/>
      <c r="J34" s="141"/>
      <c r="K34" s="141"/>
      <c r="L34" s="150"/>
      <c r="M34" s="141"/>
      <c r="N34" s="141"/>
      <c r="O34" s="139">
        <f t="shared" si="0"/>
        <v>0</v>
      </c>
      <c r="P34" s="141"/>
      <c r="Q34" s="139">
        <f t="shared" si="1"/>
        <v>0</v>
      </c>
      <c r="R34" s="217"/>
      <c r="S34" s="215"/>
      <c r="T34" s="215"/>
    </row>
    <row r="35" spans="1:20" s="144" customFormat="1" ht="24.95" customHeight="1" x14ac:dyDescent="0.2">
      <c r="A35" s="211"/>
      <c r="B35" s="232"/>
      <c r="C35" s="138"/>
      <c r="D35" s="138"/>
      <c r="E35" s="146"/>
      <c r="F35" s="138"/>
      <c r="G35" s="138"/>
      <c r="H35" s="139"/>
      <c r="I35" s="138"/>
      <c r="J35" s="141"/>
      <c r="K35" s="141"/>
      <c r="L35" s="150"/>
      <c r="M35" s="141"/>
      <c r="N35" s="141"/>
      <c r="O35" s="139">
        <f t="shared" si="0"/>
        <v>0</v>
      </c>
      <c r="P35" s="139"/>
      <c r="Q35" s="139">
        <f t="shared" si="1"/>
        <v>0</v>
      </c>
      <c r="R35" s="217"/>
      <c r="S35" s="215"/>
      <c r="T35" s="215"/>
    </row>
    <row r="36" spans="1:20" s="144" customFormat="1" ht="45" customHeight="1" x14ac:dyDescent="0.2">
      <c r="A36" s="211"/>
      <c r="C36" s="221" t="s">
        <v>2230</v>
      </c>
      <c r="D36" s="138"/>
      <c r="E36" s="146"/>
      <c r="F36" s="138"/>
      <c r="G36" s="138"/>
      <c r="H36" s="139"/>
      <c r="I36" s="138"/>
      <c r="J36" s="141"/>
      <c r="K36" s="141"/>
      <c r="L36" s="185">
        <v>4400000</v>
      </c>
      <c r="M36" s="141"/>
      <c r="N36" s="157"/>
      <c r="O36" s="139">
        <f t="shared" si="0"/>
        <v>4400000</v>
      </c>
      <c r="P36" s="139"/>
      <c r="Q36" s="139">
        <f t="shared" si="1"/>
        <v>-4400000</v>
      </c>
      <c r="R36" s="217"/>
      <c r="S36" s="215"/>
      <c r="T36" s="215"/>
    </row>
    <row r="37" spans="1:20" s="144" customFormat="1" ht="24.95" customHeight="1" x14ac:dyDescent="0.2">
      <c r="A37" s="211"/>
      <c r="C37" s="221" t="s">
        <v>2231</v>
      </c>
      <c r="D37" s="220"/>
      <c r="E37" s="221"/>
      <c r="F37" s="220"/>
      <c r="G37" s="220"/>
      <c r="H37" s="219"/>
      <c r="I37" s="220"/>
      <c r="J37" s="157"/>
      <c r="K37" s="157"/>
      <c r="L37" s="157"/>
      <c r="M37" s="157"/>
      <c r="N37" s="185"/>
      <c r="O37" s="139">
        <f t="shared" si="0"/>
        <v>0</v>
      </c>
      <c r="P37" s="139">
        <v>800000</v>
      </c>
      <c r="Q37" s="139">
        <f t="shared" si="1"/>
        <v>800000</v>
      </c>
      <c r="R37" s="217"/>
      <c r="S37" s="215"/>
      <c r="T37" s="215"/>
    </row>
    <row r="38" spans="1:20" s="144" customFormat="1" ht="39.75" customHeight="1" x14ac:dyDescent="0.2">
      <c r="A38" s="211"/>
      <c r="B38" s="191"/>
      <c r="C38" s="221" t="s">
        <v>2232</v>
      </c>
      <c r="D38" s="220"/>
      <c r="E38" s="221"/>
      <c r="F38" s="220"/>
      <c r="G38" s="220"/>
      <c r="H38" s="219"/>
      <c r="I38" s="220"/>
      <c r="J38" s="157"/>
      <c r="L38" s="185">
        <v>1400000</v>
      </c>
      <c r="M38" s="157"/>
      <c r="N38" s="141"/>
      <c r="O38" s="139">
        <f t="shared" si="0"/>
        <v>1400000</v>
      </c>
      <c r="P38" s="139"/>
      <c r="Q38" s="139">
        <f t="shared" si="1"/>
        <v>-1400000</v>
      </c>
      <c r="R38" s="217"/>
      <c r="S38" s="215"/>
      <c r="T38" s="215"/>
    </row>
    <row r="39" spans="1:20" s="144" customFormat="1" ht="43.5" customHeight="1" x14ac:dyDescent="0.2">
      <c r="A39" s="211"/>
      <c r="B39" s="191"/>
      <c r="C39" s="221" t="s">
        <v>2233</v>
      </c>
      <c r="D39" s="220"/>
      <c r="E39" s="221"/>
      <c r="F39" s="220"/>
      <c r="G39" s="220"/>
      <c r="H39" s="219"/>
      <c r="I39" s="220"/>
      <c r="J39" s="157"/>
      <c r="L39" s="185">
        <v>2400000</v>
      </c>
      <c r="M39" s="157"/>
      <c r="N39" s="141"/>
      <c r="O39" s="139">
        <f t="shared" si="0"/>
        <v>2400000</v>
      </c>
      <c r="P39" s="139"/>
      <c r="Q39" s="139">
        <f t="shared" si="1"/>
        <v>-2400000</v>
      </c>
      <c r="R39" s="217"/>
      <c r="S39" s="215"/>
      <c r="T39" s="215"/>
    </row>
    <row r="40" spans="1:20" s="144" customFormat="1" ht="66.75" customHeight="1" x14ac:dyDescent="0.2">
      <c r="A40" s="211"/>
      <c r="B40" s="191"/>
      <c r="C40" s="221" t="s">
        <v>2234</v>
      </c>
      <c r="D40" s="220"/>
      <c r="E40" s="221"/>
      <c r="F40" s="220"/>
      <c r="G40" s="220"/>
      <c r="H40" s="219"/>
      <c r="I40" s="220"/>
      <c r="J40" s="157"/>
      <c r="L40" s="185">
        <v>150000</v>
      </c>
      <c r="M40" s="157"/>
      <c r="N40" s="141"/>
      <c r="O40" s="139">
        <f t="shared" si="0"/>
        <v>150000</v>
      </c>
      <c r="P40" s="139"/>
      <c r="Q40" s="139">
        <f t="shared" si="1"/>
        <v>-150000</v>
      </c>
      <c r="R40" s="217"/>
      <c r="S40" s="215"/>
      <c r="T40" s="215"/>
    </row>
    <row r="41" spans="1:20" s="144" customFormat="1" ht="37.5" customHeight="1" x14ac:dyDescent="0.2">
      <c r="A41" s="211"/>
      <c r="B41" s="191"/>
      <c r="C41" s="221" t="s">
        <v>2235</v>
      </c>
      <c r="D41" s="220"/>
      <c r="E41" s="221"/>
      <c r="F41" s="220"/>
      <c r="G41" s="220"/>
      <c r="H41" s="219"/>
      <c r="I41" s="220"/>
      <c r="J41" s="157"/>
      <c r="L41" s="185">
        <v>350000</v>
      </c>
      <c r="M41" s="157"/>
      <c r="N41" s="141"/>
      <c r="O41" s="139">
        <f t="shared" si="0"/>
        <v>350000</v>
      </c>
      <c r="P41" s="139"/>
      <c r="Q41" s="139">
        <f t="shared" si="1"/>
        <v>-350000</v>
      </c>
      <c r="R41" s="217"/>
      <c r="S41" s="215"/>
      <c r="T41" s="215"/>
    </row>
    <row r="42" spans="1:20" s="144" customFormat="1" ht="37.5" customHeight="1" x14ac:dyDescent="0.2">
      <c r="A42" s="211"/>
      <c r="B42" s="191"/>
      <c r="C42" s="221" t="s">
        <v>2236</v>
      </c>
      <c r="D42" s="220"/>
      <c r="E42" s="221"/>
      <c r="F42" s="220"/>
      <c r="G42" s="220"/>
      <c r="H42" s="219"/>
      <c r="I42" s="220"/>
      <c r="J42" s="157"/>
      <c r="L42" s="185">
        <v>1160000</v>
      </c>
      <c r="M42" s="157"/>
      <c r="N42" s="141"/>
      <c r="O42" s="139">
        <f t="shared" si="0"/>
        <v>1160000</v>
      </c>
      <c r="P42" s="139"/>
      <c r="Q42" s="139">
        <f t="shared" si="1"/>
        <v>-1160000</v>
      </c>
      <c r="R42" s="217"/>
      <c r="S42" s="215"/>
      <c r="T42" s="215"/>
    </row>
    <row r="43" spans="1:20" s="159" customFormat="1" ht="24.95" customHeight="1" x14ac:dyDescent="0.25">
      <c r="A43" s="211"/>
      <c r="B43" s="165"/>
      <c r="C43" s="196" t="s">
        <v>1337</v>
      </c>
      <c r="D43" s="195"/>
      <c r="E43" s="197"/>
      <c r="F43" s="195"/>
      <c r="G43" s="195"/>
      <c r="H43" s="155"/>
      <c r="I43" s="195"/>
      <c r="J43" s="155"/>
      <c r="K43" s="233">
        <v>9692308</v>
      </c>
      <c r="L43" s="155"/>
      <c r="M43" s="155"/>
      <c r="N43" s="155"/>
      <c r="O43" s="139">
        <f t="shared" si="0"/>
        <v>9692308</v>
      </c>
      <c r="P43" s="139"/>
      <c r="Q43" s="139">
        <f t="shared" si="1"/>
        <v>-9692308</v>
      </c>
      <c r="S43" s="215"/>
      <c r="T43" s="215"/>
    </row>
    <row r="44" spans="1:20" s="159" customFormat="1" ht="24.95" customHeight="1" x14ac:dyDescent="0.25">
      <c r="A44" s="211"/>
      <c r="B44" s="203"/>
      <c r="C44" s="152" t="s">
        <v>2271</v>
      </c>
      <c r="D44" s="153"/>
      <c r="E44" s="154"/>
      <c r="F44" s="153"/>
      <c r="G44" s="153"/>
      <c r="H44" s="156"/>
      <c r="I44" s="153"/>
      <c r="J44" s="156"/>
      <c r="K44" s="235">
        <v>3000000</v>
      </c>
      <c r="L44" s="156"/>
      <c r="M44" s="156"/>
      <c r="N44" s="156"/>
      <c r="O44" s="139">
        <f t="shared" si="0"/>
        <v>3000000</v>
      </c>
      <c r="P44" s="139"/>
      <c r="Q44" s="139">
        <f t="shared" si="1"/>
        <v>-3000000</v>
      </c>
      <c r="S44" s="215"/>
      <c r="T44" s="215"/>
    </row>
    <row r="45" spans="1:20" s="159" customFormat="1" ht="24.95" customHeight="1" x14ac:dyDescent="0.25">
      <c r="A45" s="211"/>
      <c r="B45" s="203"/>
      <c r="C45" s="152" t="s">
        <v>1094</v>
      </c>
      <c r="D45" s="153"/>
      <c r="E45" s="154"/>
      <c r="F45" s="153"/>
      <c r="G45" s="153"/>
      <c r="H45" s="156"/>
      <c r="I45" s="153"/>
      <c r="J45" s="156"/>
      <c r="K45" s="204">
        <f>1200000*1.1</f>
        <v>1320000</v>
      </c>
      <c r="L45" s="204"/>
      <c r="M45" s="156"/>
      <c r="N45" s="156"/>
      <c r="O45" s="139">
        <f t="shared" si="0"/>
        <v>1320000</v>
      </c>
      <c r="P45" s="139"/>
      <c r="Q45" s="139">
        <f t="shared" si="1"/>
        <v>-1320000</v>
      </c>
      <c r="R45" s="186"/>
      <c r="S45" s="215"/>
      <c r="T45" s="215"/>
    </row>
    <row r="46" spans="1:20" ht="24.95" customHeight="1" x14ac:dyDescent="0.25">
      <c r="A46" s="426" t="s">
        <v>20</v>
      </c>
      <c r="B46" s="426"/>
      <c r="C46" s="426"/>
      <c r="D46" s="426"/>
      <c r="E46" s="426"/>
      <c r="F46" s="426"/>
      <c r="G46" s="161">
        <f>SUM(G7:G45)</f>
        <v>3439</v>
      </c>
      <c r="H46" s="161">
        <f>SUM(H7:H45)</f>
        <v>51241100</v>
      </c>
      <c r="I46" s="161">
        <f t="shared" ref="I46:N46" si="3">SUM(I7:I45)</f>
        <v>0</v>
      </c>
      <c r="J46" s="161">
        <f t="shared" si="3"/>
        <v>32710000</v>
      </c>
      <c r="K46" s="161">
        <f t="shared" si="3"/>
        <v>14012308</v>
      </c>
      <c r="L46" s="161">
        <f t="shared" si="3"/>
        <v>9860000</v>
      </c>
      <c r="M46" s="161">
        <f t="shared" si="3"/>
        <v>0</v>
      </c>
      <c r="N46" s="161">
        <f t="shared" si="3"/>
        <v>0</v>
      </c>
      <c r="O46" s="161">
        <f>SUM(O7:O45)</f>
        <v>107823408</v>
      </c>
      <c r="P46" s="161">
        <f>SUM(P7:P45)</f>
        <v>141747273</v>
      </c>
      <c r="Q46" s="161">
        <f>SUM(Q7:Q45)</f>
        <v>33923865</v>
      </c>
      <c r="R46" s="187"/>
      <c r="S46" s="189"/>
    </row>
    <row r="47" spans="1:20" ht="24.95" customHeight="1" x14ac:dyDescent="0.25">
      <c r="O47" s="158"/>
      <c r="Q47" s="158">
        <f>P46-O46</f>
        <v>33923865</v>
      </c>
    </row>
    <row r="48" spans="1:20" ht="24.95" customHeight="1" x14ac:dyDescent="0.25">
      <c r="H48" s="143">
        <f>H46-15549000</f>
        <v>35692100</v>
      </c>
      <c r="P48" s="216" t="s">
        <v>1603</v>
      </c>
      <c r="Q48" s="227">
        <f>Q46</f>
        <v>33923865</v>
      </c>
    </row>
    <row r="49" spans="1:17" ht="24.95" customHeight="1" x14ac:dyDescent="0.25">
      <c r="B49" s="129"/>
      <c r="H49" s="128"/>
      <c r="J49" s="128"/>
      <c r="K49" s="128"/>
      <c r="L49" s="128"/>
      <c r="M49" s="128"/>
      <c r="N49" s="128"/>
      <c r="O49" s="128"/>
      <c r="P49" s="218"/>
      <c r="Q49" s="216"/>
    </row>
    <row r="50" spans="1:17" ht="24.95" customHeight="1" x14ac:dyDescent="0.25">
      <c r="B50" s="129"/>
      <c r="H50" s="128"/>
      <c r="J50" s="128"/>
      <c r="K50" s="128"/>
      <c r="L50" s="128"/>
      <c r="M50" s="128"/>
      <c r="N50" s="128"/>
      <c r="O50" s="128"/>
      <c r="P50" s="218"/>
      <c r="Q50" s="230"/>
    </row>
    <row r="51" spans="1:17" ht="24.95" customHeight="1" x14ac:dyDescent="0.25">
      <c r="B51" s="129"/>
      <c r="H51" s="128"/>
      <c r="J51" s="128"/>
      <c r="K51" s="128"/>
      <c r="L51" s="128"/>
      <c r="M51" s="128"/>
      <c r="N51" s="128"/>
      <c r="O51" s="128"/>
      <c r="P51" s="218"/>
      <c r="Q51" s="230"/>
    </row>
    <row r="52" spans="1:17" ht="24.95" customHeight="1" x14ac:dyDescent="0.25">
      <c r="B52" s="129"/>
      <c r="H52" s="128"/>
      <c r="J52" s="128"/>
      <c r="K52" s="128"/>
      <c r="L52" s="128"/>
      <c r="M52" s="128"/>
      <c r="N52" s="128"/>
      <c r="O52" s="128"/>
      <c r="P52" s="218"/>
      <c r="Q52" s="216"/>
    </row>
    <row r="53" spans="1:17" x14ac:dyDescent="0.25">
      <c r="B53" s="129"/>
      <c r="H53" s="128"/>
      <c r="J53" s="128"/>
      <c r="K53" s="128"/>
      <c r="L53" s="128"/>
      <c r="M53" s="128"/>
      <c r="N53" s="128"/>
      <c r="O53" s="128"/>
      <c r="P53" s="218"/>
      <c r="Q53" s="216"/>
    </row>
    <row r="54" spans="1:17" x14ac:dyDescent="0.25">
      <c r="A54" s="128"/>
      <c r="B54" s="129"/>
      <c r="H54" s="128"/>
      <c r="J54" s="128"/>
      <c r="K54" s="128"/>
      <c r="L54" s="128"/>
      <c r="M54" s="128"/>
      <c r="N54" s="128"/>
      <c r="O54" s="128"/>
      <c r="P54" s="218"/>
      <c r="Q54" s="216"/>
    </row>
    <row r="55" spans="1:17" x14ac:dyDescent="0.25">
      <c r="A55" s="128"/>
      <c r="B55" s="129"/>
      <c r="H55" s="128"/>
      <c r="J55" s="128"/>
      <c r="K55" s="128"/>
      <c r="L55" s="128"/>
      <c r="M55" s="128"/>
      <c r="N55" s="128"/>
      <c r="O55" s="128"/>
      <c r="P55" s="128"/>
      <c r="Q55" s="216"/>
    </row>
    <row r="56" spans="1:17" x14ac:dyDescent="0.25">
      <c r="A56" s="128"/>
      <c r="B56" s="128"/>
      <c r="H56" s="128"/>
      <c r="J56" s="128"/>
      <c r="K56" s="128"/>
      <c r="L56" s="128"/>
      <c r="M56" s="128"/>
      <c r="N56" s="128"/>
      <c r="O56" s="128"/>
      <c r="P56" s="128"/>
      <c r="Q56" s="216"/>
    </row>
    <row r="57" spans="1:17" x14ac:dyDescent="0.25">
      <c r="A57" s="128"/>
      <c r="B57" s="128"/>
      <c r="H57" s="128"/>
      <c r="J57" s="128"/>
      <c r="K57" s="128"/>
      <c r="L57" s="128"/>
      <c r="M57" s="128"/>
      <c r="N57" s="128"/>
      <c r="O57" s="128"/>
      <c r="P57" s="128"/>
      <c r="Q57" s="216"/>
    </row>
  </sheetData>
  <mergeCells count="14">
    <mergeCell ref="O5:O6"/>
    <mergeCell ref="P5:P6"/>
    <mergeCell ref="Q5:Q6"/>
    <mergeCell ref="A46:F4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42"/>
  <sheetViews>
    <sheetView topLeftCell="F25" workbookViewId="0">
      <selection activeCell="L50" sqref="L50"/>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2237</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x14ac:dyDescent="0.2">
      <c r="A7" s="211">
        <v>1</v>
      </c>
      <c r="B7" s="191">
        <v>43508</v>
      </c>
      <c r="C7" s="138" t="s">
        <v>2238</v>
      </c>
      <c r="D7" s="138" t="s">
        <v>2250</v>
      </c>
      <c r="E7" s="146" t="s">
        <v>80</v>
      </c>
      <c r="F7" s="138"/>
      <c r="G7" s="138"/>
      <c r="H7" s="141"/>
      <c r="I7" s="138"/>
      <c r="J7" s="226">
        <v>790000</v>
      </c>
      <c r="K7" s="141"/>
      <c r="L7" s="150"/>
      <c r="M7" s="141"/>
      <c r="N7" s="141"/>
      <c r="O7" s="139">
        <f>SUM(H7:N7)</f>
        <v>790000</v>
      </c>
      <c r="P7" s="139">
        <v>4000000</v>
      </c>
      <c r="Q7" s="139">
        <f>P7-O7</f>
        <v>3210000</v>
      </c>
      <c r="R7" s="217"/>
      <c r="S7" s="215"/>
      <c r="T7" s="215"/>
    </row>
    <row r="8" spans="1:20" s="144" customFormat="1" ht="24.95" customHeight="1" x14ac:dyDescent="0.2">
      <c r="A8" s="211">
        <v>2</v>
      </c>
      <c r="B8" s="191">
        <v>43509</v>
      </c>
      <c r="C8" s="138" t="s">
        <v>911</v>
      </c>
      <c r="D8" s="138" t="s">
        <v>2251</v>
      </c>
      <c r="E8" s="146" t="s">
        <v>2115</v>
      </c>
      <c r="F8" s="138"/>
      <c r="G8" s="138">
        <v>258</v>
      </c>
      <c r="H8" s="141">
        <f t="shared" ref="H8:H21" si="0">G8*14900</f>
        <v>3844200</v>
      </c>
      <c r="I8" s="138"/>
      <c r="J8" s="226">
        <f>1510000+240000</f>
        <v>1750000</v>
      </c>
      <c r="K8" s="141"/>
      <c r="L8" s="150"/>
      <c r="M8" s="141"/>
      <c r="N8" s="141"/>
      <c r="O8" s="139">
        <f t="shared" ref="O8:O30" si="1">SUM(H8:N8)</f>
        <v>5594200</v>
      </c>
      <c r="P8" s="139">
        <v>6100000</v>
      </c>
      <c r="Q8" s="139">
        <f t="shared" ref="Q8:Q30" si="2">P8-O8</f>
        <v>505800</v>
      </c>
      <c r="R8" s="217"/>
      <c r="S8" s="215"/>
      <c r="T8" s="215"/>
    </row>
    <row r="9" spans="1:20" s="144" customFormat="1" ht="24.95" customHeight="1" x14ac:dyDescent="0.2">
      <c r="A9" s="211">
        <v>3</v>
      </c>
      <c r="B9" s="191">
        <v>43510</v>
      </c>
      <c r="C9" s="138" t="s">
        <v>2239</v>
      </c>
      <c r="D9" s="138" t="s">
        <v>2252</v>
      </c>
      <c r="E9" s="146" t="s">
        <v>333</v>
      </c>
      <c r="F9" s="138"/>
      <c r="G9" s="138"/>
      <c r="H9" s="141"/>
      <c r="I9" s="138"/>
      <c r="J9" s="226">
        <v>1340000</v>
      </c>
      <c r="K9" s="141"/>
      <c r="L9" s="150"/>
      <c r="M9" s="141"/>
      <c r="N9" s="141"/>
      <c r="O9" s="139">
        <f t="shared" si="1"/>
        <v>1340000</v>
      </c>
      <c r="P9" s="139">
        <v>4900000</v>
      </c>
      <c r="Q9" s="139">
        <f t="shared" si="2"/>
        <v>3560000</v>
      </c>
      <c r="R9" s="217"/>
      <c r="S9" s="215"/>
      <c r="T9" s="215"/>
    </row>
    <row r="10" spans="1:20" s="144" customFormat="1" ht="24.95" customHeight="1" x14ac:dyDescent="0.2">
      <c r="A10" s="211">
        <v>4</v>
      </c>
      <c r="B10" s="191">
        <v>43511</v>
      </c>
      <c r="C10" s="138" t="s">
        <v>2240</v>
      </c>
      <c r="D10" s="138" t="s">
        <v>2253</v>
      </c>
      <c r="E10" s="146" t="s">
        <v>1375</v>
      </c>
      <c r="F10" s="138"/>
      <c r="G10" s="138">
        <v>206</v>
      </c>
      <c r="H10" s="141">
        <f t="shared" si="0"/>
        <v>3069400</v>
      </c>
      <c r="I10" s="138"/>
      <c r="J10" s="226">
        <v>1150000</v>
      </c>
      <c r="K10" s="141"/>
      <c r="L10" s="150"/>
      <c r="M10" s="141"/>
      <c r="N10" s="141"/>
      <c r="O10" s="139">
        <f t="shared" si="1"/>
        <v>4219400</v>
      </c>
      <c r="P10" s="141">
        <v>3850000</v>
      </c>
      <c r="Q10" s="139">
        <f t="shared" si="2"/>
        <v>-369400</v>
      </c>
      <c r="R10" s="217"/>
      <c r="S10" s="215"/>
      <c r="T10" s="215"/>
    </row>
    <row r="11" spans="1:20" s="144" customFormat="1" ht="24.95" customHeight="1" x14ac:dyDescent="0.2">
      <c r="A11" s="211">
        <v>5</v>
      </c>
      <c r="B11" s="191">
        <v>43512</v>
      </c>
      <c r="C11" s="138" t="s">
        <v>2241</v>
      </c>
      <c r="D11" s="138" t="s">
        <v>2254</v>
      </c>
      <c r="E11" s="146" t="s">
        <v>259</v>
      </c>
      <c r="F11" s="138"/>
      <c r="G11" s="138"/>
      <c r="H11" s="141"/>
      <c r="I11" s="138"/>
      <c r="J11" s="226">
        <v>970000</v>
      </c>
      <c r="K11" s="141"/>
      <c r="L11" s="150"/>
      <c r="M11" s="141"/>
      <c r="N11" s="141"/>
      <c r="O11" s="139">
        <f t="shared" si="1"/>
        <v>970000</v>
      </c>
      <c r="P11" s="141">
        <v>3900000</v>
      </c>
      <c r="Q11" s="139">
        <f t="shared" si="2"/>
        <v>2930000</v>
      </c>
      <c r="R11" s="217"/>
      <c r="S11" s="215"/>
      <c r="T11" s="215"/>
    </row>
    <row r="12" spans="1:20" s="144" customFormat="1" ht="24.95" customHeight="1" x14ac:dyDescent="0.2">
      <c r="A12" s="211">
        <v>6</v>
      </c>
      <c r="B12" s="191">
        <v>43514</v>
      </c>
      <c r="C12" s="138" t="s">
        <v>2242</v>
      </c>
      <c r="D12" s="138" t="s">
        <v>2255</v>
      </c>
      <c r="E12" s="146" t="s">
        <v>333</v>
      </c>
      <c r="F12" s="138"/>
      <c r="G12" s="138">
        <v>225</v>
      </c>
      <c r="H12" s="141">
        <f t="shared" si="0"/>
        <v>3352500</v>
      </c>
      <c r="I12" s="138"/>
      <c r="J12" s="226">
        <v>1340000</v>
      </c>
      <c r="K12" s="141"/>
      <c r="L12" s="150"/>
      <c r="M12" s="141"/>
      <c r="N12" s="141"/>
      <c r="O12" s="139">
        <f t="shared" si="1"/>
        <v>4692500</v>
      </c>
      <c r="P12" s="141">
        <v>4900000</v>
      </c>
      <c r="Q12" s="139">
        <f t="shared" si="2"/>
        <v>207500</v>
      </c>
      <c r="R12" s="217"/>
      <c r="S12" s="215"/>
      <c r="T12" s="215"/>
    </row>
    <row r="13" spans="1:20" s="144" customFormat="1" ht="24.95" customHeight="1" x14ac:dyDescent="0.2">
      <c r="A13" s="211">
        <v>7</v>
      </c>
      <c r="B13" s="191">
        <v>43515</v>
      </c>
      <c r="C13" s="138" t="s">
        <v>2243</v>
      </c>
      <c r="D13" s="138" t="s">
        <v>2256</v>
      </c>
      <c r="E13" s="146" t="s">
        <v>259</v>
      </c>
      <c r="F13" s="138"/>
      <c r="G13" s="138"/>
      <c r="H13" s="141"/>
      <c r="I13" s="138"/>
      <c r="J13" s="226">
        <v>970000</v>
      </c>
      <c r="K13" s="141"/>
      <c r="L13" s="150"/>
      <c r="M13" s="141"/>
      <c r="N13" s="141"/>
      <c r="O13" s="139">
        <f t="shared" si="1"/>
        <v>970000</v>
      </c>
      <c r="P13" s="141">
        <v>3900000</v>
      </c>
      <c r="Q13" s="139">
        <f t="shared" si="2"/>
        <v>2930000</v>
      </c>
      <c r="R13" s="217"/>
      <c r="S13" s="215"/>
      <c r="T13" s="215"/>
    </row>
    <row r="14" spans="1:20" s="144" customFormat="1" ht="24.95" customHeight="1" x14ac:dyDescent="0.2">
      <c r="A14" s="211">
        <v>8</v>
      </c>
      <c r="B14" s="191">
        <v>43516</v>
      </c>
      <c r="C14" s="138" t="s">
        <v>2244</v>
      </c>
      <c r="D14" s="138" t="s">
        <v>2257</v>
      </c>
      <c r="E14" s="146" t="s">
        <v>2265</v>
      </c>
      <c r="F14" s="138"/>
      <c r="G14" s="138"/>
      <c r="H14" s="141"/>
      <c r="I14" s="138"/>
      <c r="J14" s="226">
        <v>1720000</v>
      </c>
      <c r="K14" s="141"/>
      <c r="L14" s="150"/>
      <c r="M14" s="141"/>
      <c r="N14" s="141"/>
      <c r="O14" s="139">
        <f t="shared" si="1"/>
        <v>1720000</v>
      </c>
      <c r="P14" s="141">
        <v>8300000</v>
      </c>
      <c r="Q14" s="139">
        <f t="shared" si="2"/>
        <v>6580000</v>
      </c>
      <c r="R14" s="217"/>
      <c r="S14" s="215"/>
      <c r="T14" s="215"/>
    </row>
    <row r="15" spans="1:20" s="144" customFormat="1" ht="24.95" customHeight="1" x14ac:dyDescent="0.2">
      <c r="A15" s="211">
        <v>9</v>
      </c>
      <c r="B15" s="191">
        <v>43517</v>
      </c>
      <c r="C15" s="138" t="s">
        <v>2245</v>
      </c>
      <c r="D15" s="138" t="s">
        <v>2258</v>
      </c>
      <c r="E15" s="146" t="s">
        <v>2266</v>
      </c>
      <c r="F15" s="138"/>
      <c r="G15" s="138">
        <v>305</v>
      </c>
      <c r="H15" s="141">
        <f t="shared" si="0"/>
        <v>4544500</v>
      </c>
      <c r="I15" s="138"/>
      <c r="J15" s="226">
        <v>1510000</v>
      </c>
      <c r="K15" s="141"/>
      <c r="L15" s="150"/>
      <c r="M15" s="141"/>
      <c r="N15" s="141"/>
      <c r="O15" s="139">
        <f t="shared" si="1"/>
        <v>6054500</v>
      </c>
      <c r="P15" s="208">
        <v>6300000</v>
      </c>
      <c r="Q15" s="139">
        <f t="shared" si="2"/>
        <v>245500</v>
      </c>
      <c r="R15" s="217"/>
      <c r="S15" s="215"/>
      <c r="T15" s="215"/>
    </row>
    <row r="16" spans="1:20" s="144" customFormat="1" ht="24.95" customHeight="1" x14ac:dyDescent="0.2">
      <c r="A16" s="211">
        <v>10</v>
      </c>
      <c r="B16" s="191">
        <v>43518</v>
      </c>
      <c r="C16" s="138" t="s">
        <v>2246</v>
      </c>
      <c r="D16" s="138" t="s">
        <v>2259</v>
      </c>
      <c r="E16" s="146" t="s">
        <v>80</v>
      </c>
      <c r="F16" s="138"/>
      <c r="G16" s="138">
        <v>250</v>
      </c>
      <c r="H16" s="141">
        <f t="shared" si="0"/>
        <v>3725000</v>
      </c>
      <c r="I16" s="138"/>
      <c r="J16" s="226">
        <v>790000</v>
      </c>
      <c r="K16" s="141"/>
      <c r="L16" s="150"/>
      <c r="M16" s="141"/>
      <c r="N16" s="141"/>
      <c r="O16" s="139">
        <f t="shared" si="1"/>
        <v>4515000</v>
      </c>
      <c r="P16" s="141">
        <v>4000000</v>
      </c>
      <c r="Q16" s="139">
        <f t="shared" si="2"/>
        <v>-515000</v>
      </c>
      <c r="R16" s="217"/>
      <c r="S16" s="215"/>
      <c r="T16" s="215"/>
    </row>
    <row r="17" spans="1:20" s="144" customFormat="1" ht="24.95" customHeight="1" x14ac:dyDescent="0.2">
      <c r="A17" s="211">
        <v>11</v>
      </c>
      <c r="B17" s="191">
        <v>43519</v>
      </c>
      <c r="C17" s="138" t="s">
        <v>1584</v>
      </c>
      <c r="D17" s="138" t="s">
        <v>2260</v>
      </c>
      <c r="E17" s="146" t="s">
        <v>2267</v>
      </c>
      <c r="F17" s="138"/>
      <c r="G17" s="138"/>
      <c r="H17" s="141"/>
      <c r="I17" s="138"/>
      <c r="J17" s="226">
        <v>970000</v>
      </c>
      <c r="K17" s="141"/>
      <c r="L17" s="150"/>
      <c r="M17" s="141"/>
      <c r="N17" s="141"/>
      <c r="O17" s="139">
        <f t="shared" si="1"/>
        <v>970000</v>
      </c>
      <c r="P17" s="141">
        <v>4000000</v>
      </c>
      <c r="Q17" s="139">
        <f t="shared" si="2"/>
        <v>3030000</v>
      </c>
      <c r="R17" s="217"/>
      <c r="S17" s="215"/>
      <c r="T17" s="215"/>
    </row>
    <row r="18" spans="1:20" s="144" customFormat="1" ht="24.95" customHeight="1" x14ac:dyDescent="0.2">
      <c r="A18" s="211">
        <v>12</v>
      </c>
      <c r="B18" s="191">
        <v>43521</v>
      </c>
      <c r="C18" s="138" t="s">
        <v>153</v>
      </c>
      <c r="D18" s="138" t="s">
        <v>2261</v>
      </c>
      <c r="E18" s="146" t="s">
        <v>406</v>
      </c>
      <c r="F18" s="138"/>
      <c r="G18" s="138">
        <v>200</v>
      </c>
      <c r="H18" s="141">
        <f t="shared" si="0"/>
        <v>2980000</v>
      </c>
      <c r="I18" s="138"/>
      <c r="J18" s="226">
        <v>790000</v>
      </c>
      <c r="K18" s="141"/>
      <c r="L18" s="150"/>
      <c r="M18" s="141"/>
      <c r="N18" s="141"/>
      <c r="O18" s="139">
        <f t="shared" si="1"/>
        <v>3770000</v>
      </c>
      <c r="P18" s="141">
        <v>4000000</v>
      </c>
      <c r="Q18" s="139">
        <f t="shared" si="2"/>
        <v>230000</v>
      </c>
      <c r="R18" s="217"/>
      <c r="S18" s="215"/>
      <c r="T18" s="215"/>
    </row>
    <row r="19" spans="1:20" s="144" customFormat="1" ht="24.95" customHeight="1" x14ac:dyDescent="0.2">
      <c r="A19" s="211">
        <v>13</v>
      </c>
      <c r="B19" s="191">
        <v>43522</v>
      </c>
      <c r="C19" s="138" t="s">
        <v>2247</v>
      </c>
      <c r="D19" s="138" t="s">
        <v>2262</v>
      </c>
      <c r="E19" s="146" t="s">
        <v>2059</v>
      </c>
      <c r="F19" s="138"/>
      <c r="G19" s="138"/>
      <c r="H19" s="141"/>
      <c r="I19" s="138"/>
      <c r="J19" s="226">
        <v>1500000</v>
      </c>
      <c r="K19" s="141"/>
      <c r="L19" s="150"/>
      <c r="M19" s="141"/>
      <c r="N19" s="141"/>
      <c r="O19" s="139">
        <f t="shared" si="1"/>
        <v>1500000</v>
      </c>
      <c r="P19" s="141">
        <v>7200000</v>
      </c>
      <c r="Q19" s="139">
        <f t="shared" si="2"/>
        <v>5700000</v>
      </c>
      <c r="R19" s="217"/>
      <c r="S19" s="215"/>
      <c r="T19" s="215"/>
    </row>
    <row r="20" spans="1:20" s="144" customFormat="1" ht="24.95" customHeight="1" x14ac:dyDescent="0.2">
      <c r="A20" s="211">
        <v>14</v>
      </c>
      <c r="B20" s="191">
        <v>43523</v>
      </c>
      <c r="C20" s="138" t="s">
        <v>2248</v>
      </c>
      <c r="D20" s="138" t="s">
        <v>2263</v>
      </c>
      <c r="E20" s="146" t="s">
        <v>2268</v>
      </c>
      <c r="F20" s="138"/>
      <c r="G20" s="138"/>
      <c r="H20" s="141"/>
      <c r="I20" s="138"/>
      <c r="J20" s="226">
        <v>1100000</v>
      </c>
      <c r="K20" s="141"/>
      <c r="L20" s="150"/>
      <c r="M20" s="141"/>
      <c r="N20" s="141"/>
      <c r="O20" s="139">
        <f t="shared" si="1"/>
        <v>1100000</v>
      </c>
      <c r="P20" s="141">
        <v>4900000</v>
      </c>
      <c r="Q20" s="139">
        <f t="shared" si="2"/>
        <v>3800000</v>
      </c>
      <c r="R20" s="217"/>
      <c r="S20" s="215"/>
      <c r="T20" s="215"/>
    </row>
    <row r="21" spans="1:20" s="144" customFormat="1" ht="24.95" customHeight="1" x14ac:dyDescent="0.2">
      <c r="A21" s="211">
        <v>15</v>
      </c>
      <c r="B21" s="191">
        <v>43524</v>
      </c>
      <c r="C21" s="138" t="s">
        <v>2249</v>
      </c>
      <c r="D21" s="138" t="s">
        <v>2264</v>
      </c>
      <c r="E21" s="146" t="s">
        <v>80</v>
      </c>
      <c r="F21" s="138"/>
      <c r="G21" s="138">
        <v>275</v>
      </c>
      <c r="H21" s="141">
        <f t="shared" si="0"/>
        <v>4097500</v>
      </c>
      <c r="I21" s="138"/>
      <c r="J21" s="226">
        <v>790000</v>
      </c>
      <c r="K21" s="141"/>
      <c r="L21" s="150"/>
      <c r="M21" s="141"/>
      <c r="N21" s="141"/>
      <c r="O21" s="139">
        <f t="shared" si="1"/>
        <v>4887500</v>
      </c>
      <c r="P21" s="141">
        <v>4000000</v>
      </c>
      <c r="Q21" s="139">
        <f t="shared" si="2"/>
        <v>-887500</v>
      </c>
      <c r="R21" s="217"/>
      <c r="S21" s="215"/>
      <c r="T21" s="215"/>
    </row>
    <row r="22" spans="1:20" s="144" customFormat="1" ht="24.95" customHeight="1" x14ac:dyDescent="0.2">
      <c r="A22" s="211"/>
      <c r="B22" s="232"/>
      <c r="C22" s="138"/>
      <c r="D22" s="138"/>
      <c r="E22" s="146"/>
      <c r="F22" s="138"/>
      <c r="G22" s="138"/>
      <c r="H22" s="141"/>
      <c r="I22" s="138"/>
      <c r="J22" s="141"/>
      <c r="K22" s="141"/>
      <c r="L22" s="150"/>
      <c r="M22" s="141"/>
      <c r="N22" s="141"/>
      <c r="O22" s="139">
        <f t="shared" si="1"/>
        <v>0</v>
      </c>
      <c r="P22" s="141"/>
      <c r="Q22" s="139">
        <f t="shared" si="2"/>
        <v>0</v>
      </c>
      <c r="R22" s="217"/>
      <c r="S22" s="215"/>
      <c r="T22" s="215"/>
    </row>
    <row r="23" spans="1:20" s="144" customFormat="1" ht="24.95" customHeight="1" x14ac:dyDescent="0.2">
      <c r="A23" s="211"/>
      <c r="B23" s="232"/>
      <c r="C23" s="138"/>
      <c r="D23" s="138"/>
      <c r="E23" s="146"/>
      <c r="F23" s="138"/>
      <c r="G23" s="138"/>
      <c r="H23" s="139"/>
      <c r="I23" s="138"/>
      <c r="J23" s="141"/>
      <c r="K23" s="141"/>
      <c r="L23" s="150"/>
      <c r="M23" s="141"/>
      <c r="N23" s="141"/>
      <c r="O23" s="139">
        <f t="shared" si="1"/>
        <v>0</v>
      </c>
      <c r="P23" s="139"/>
      <c r="Q23" s="139">
        <f t="shared" si="2"/>
        <v>0</v>
      </c>
      <c r="R23" s="217"/>
      <c r="S23" s="215"/>
      <c r="T23" s="215"/>
    </row>
    <row r="24" spans="1:20" s="144" customFormat="1" ht="45" customHeight="1" x14ac:dyDescent="0.2">
      <c r="A24" s="211"/>
      <c r="C24" s="221" t="s">
        <v>2270</v>
      </c>
      <c r="D24" s="138"/>
      <c r="E24" s="146"/>
      <c r="F24" s="138"/>
      <c r="G24" s="138"/>
      <c r="H24" s="139"/>
      <c r="I24" s="138"/>
      <c r="J24" s="141"/>
      <c r="K24" s="141"/>
      <c r="L24" s="185">
        <v>1700000</v>
      </c>
      <c r="M24" s="141"/>
      <c r="N24" s="157"/>
      <c r="O24" s="139">
        <f t="shared" si="1"/>
        <v>1700000</v>
      </c>
      <c r="P24" s="139"/>
      <c r="Q24" s="139">
        <f t="shared" si="2"/>
        <v>-1700000</v>
      </c>
      <c r="R24" s="217"/>
      <c r="S24" s="215"/>
      <c r="T24" s="215"/>
    </row>
    <row r="25" spans="1:20" s="144" customFormat="1" ht="45" customHeight="1" x14ac:dyDescent="0.2">
      <c r="A25" s="211"/>
      <c r="C25" s="221" t="s">
        <v>2272</v>
      </c>
      <c r="D25" s="138"/>
      <c r="E25" s="146"/>
      <c r="F25" s="138"/>
      <c r="G25" s="138"/>
      <c r="H25" s="139"/>
      <c r="I25" s="138"/>
      <c r="J25" s="141"/>
      <c r="K25" s="141"/>
      <c r="L25" s="185">
        <v>170000</v>
      </c>
      <c r="M25" s="141"/>
      <c r="N25" s="157"/>
      <c r="O25" s="139">
        <f t="shared" si="1"/>
        <v>170000</v>
      </c>
      <c r="P25" s="139"/>
      <c r="Q25" s="139">
        <f t="shared" si="2"/>
        <v>-170000</v>
      </c>
      <c r="R25" s="217"/>
      <c r="S25" s="215"/>
      <c r="T25" s="215"/>
    </row>
    <row r="26" spans="1:20" s="144" customFormat="1" ht="45" customHeight="1" x14ac:dyDescent="0.2">
      <c r="A26" s="211"/>
      <c r="C26" s="221" t="s">
        <v>2273</v>
      </c>
      <c r="D26" s="138"/>
      <c r="E26" s="146"/>
      <c r="F26" s="138"/>
      <c r="G26" s="138"/>
      <c r="H26" s="139"/>
      <c r="I26" s="138"/>
      <c r="J26" s="141"/>
      <c r="K26" s="141"/>
      <c r="L26" s="185">
        <v>200000</v>
      </c>
      <c r="M26" s="141"/>
      <c r="N26" s="157"/>
      <c r="O26" s="139">
        <f t="shared" si="1"/>
        <v>200000</v>
      </c>
      <c r="P26" s="139"/>
      <c r="Q26" s="139">
        <f t="shared" si="2"/>
        <v>-200000</v>
      </c>
      <c r="R26" s="217"/>
      <c r="S26" s="215"/>
      <c r="T26" s="215"/>
    </row>
    <row r="27" spans="1:20" s="144" customFormat="1" ht="45" customHeight="1" x14ac:dyDescent="0.2">
      <c r="A27" s="211"/>
      <c r="C27" s="221" t="s">
        <v>2274</v>
      </c>
      <c r="D27" s="138"/>
      <c r="E27" s="146"/>
      <c r="F27" s="138"/>
      <c r="G27" s="138"/>
      <c r="H27" s="139"/>
      <c r="I27" s="138"/>
      <c r="J27" s="141"/>
      <c r="K27" s="141"/>
      <c r="L27" s="185">
        <v>800000</v>
      </c>
      <c r="M27" s="141"/>
      <c r="N27" s="157"/>
      <c r="O27" s="139">
        <f t="shared" si="1"/>
        <v>800000</v>
      </c>
      <c r="P27" s="139"/>
      <c r="Q27" s="139">
        <f t="shared" si="2"/>
        <v>-800000</v>
      </c>
      <c r="R27" s="217"/>
      <c r="S27" s="215"/>
      <c r="T27" s="215"/>
    </row>
    <row r="28" spans="1:20" s="159" customFormat="1" ht="24.95" customHeight="1" x14ac:dyDescent="0.25">
      <c r="A28" s="211"/>
      <c r="B28" s="165"/>
      <c r="C28" s="196" t="s">
        <v>1337</v>
      </c>
      <c r="D28" s="195"/>
      <c r="E28" s="197"/>
      <c r="F28" s="195"/>
      <c r="G28" s="195"/>
      <c r="H28" s="155"/>
      <c r="I28" s="195"/>
      <c r="J28" s="155"/>
      <c r="K28" s="233">
        <f>1500000+4125000</f>
        <v>5625000</v>
      </c>
      <c r="L28" s="155"/>
      <c r="M28" s="155"/>
      <c r="N28" s="155"/>
      <c r="O28" s="139">
        <f t="shared" si="1"/>
        <v>5625000</v>
      </c>
      <c r="P28" s="139"/>
      <c r="Q28" s="139">
        <f t="shared" si="2"/>
        <v>-5625000</v>
      </c>
      <c r="S28" s="215"/>
      <c r="T28" s="215"/>
    </row>
    <row r="29" spans="1:20" s="159" customFormat="1" ht="24.95" customHeight="1" x14ac:dyDescent="0.25">
      <c r="A29" s="211"/>
      <c r="B29" s="203"/>
      <c r="C29" s="152" t="s">
        <v>2269</v>
      </c>
      <c r="D29" s="153"/>
      <c r="E29" s="154"/>
      <c r="F29" s="153"/>
      <c r="G29" s="153"/>
      <c r="H29" s="156"/>
      <c r="I29" s="153"/>
      <c r="J29" s="156"/>
      <c r="K29" s="235">
        <v>100000</v>
      </c>
      <c r="L29" s="156"/>
      <c r="M29" s="156"/>
      <c r="N29" s="156"/>
      <c r="O29" s="139">
        <f t="shared" si="1"/>
        <v>100000</v>
      </c>
      <c r="P29" s="139"/>
      <c r="Q29" s="139">
        <f t="shared" si="2"/>
        <v>-100000</v>
      </c>
      <c r="S29" s="215"/>
      <c r="T29" s="215"/>
    </row>
    <row r="30" spans="1:20" s="159" customFormat="1" ht="24.95" customHeight="1" x14ac:dyDescent="0.25">
      <c r="A30" s="211"/>
      <c r="B30" s="203"/>
      <c r="C30" s="152" t="s">
        <v>1094</v>
      </c>
      <c r="D30" s="153"/>
      <c r="E30" s="154"/>
      <c r="F30" s="153"/>
      <c r="G30" s="153"/>
      <c r="H30" s="156"/>
      <c r="I30" s="153"/>
      <c r="J30" s="156"/>
      <c r="K30" s="204">
        <f>1200000*1.1</f>
        <v>1320000</v>
      </c>
      <c r="L30" s="204"/>
      <c r="M30" s="156"/>
      <c r="N30" s="156"/>
      <c r="O30" s="139">
        <f t="shared" si="1"/>
        <v>1320000</v>
      </c>
      <c r="P30" s="139"/>
      <c r="Q30" s="139">
        <f t="shared" si="2"/>
        <v>-1320000</v>
      </c>
      <c r="R30" s="186"/>
      <c r="S30" s="215"/>
      <c r="T30" s="215"/>
    </row>
    <row r="31" spans="1:20" ht="24.95" customHeight="1" x14ac:dyDescent="0.25">
      <c r="A31" s="426" t="s">
        <v>20</v>
      </c>
      <c r="B31" s="426"/>
      <c r="C31" s="426"/>
      <c r="D31" s="426"/>
      <c r="E31" s="426"/>
      <c r="F31" s="426"/>
      <c r="G31" s="161">
        <f>SUM(G7:G30)</f>
        <v>1719</v>
      </c>
      <c r="H31" s="161">
        <f>SUM(H7:H30)</f>
        <v>25613100</v>
      </c>
      <c r="I31" s="161">
        <f t="shared" ref="I31:N31" si="3">SUM(I7:I30)</f>
        <v>0</v>
      </c>
      <c r="J31" s="161">
        <f t="shared" si="3"/>
        <v>17480000</v>
      </c>
      <c r="K31" s="161">
        <f t="shared" si="3"/>
        <v>7045000</v>
      </c>
      <c r="L31" s="161">
        <f t="shared" si="3"/>
        <v>2870000</v>
      </c>
      <c r="M31" s="161">
        <f t="shared" si="3"/>
        <v>0</v>
      </c>
      <c r="N31" s="161">
        <f t="shared" si="3"/>
        <v>0</v>
      </c>
      <c r="O31" s="161">
        <f>SUM(O7:O30)</f>
        <v>53008100</v>
      </c>
      <c r="P31" s="161">
        <f>SUM(P7:P30)</f>
        <v>74250000</v>
      </c>
      <c r="Q31" s="161">
        <f>SUM(Q7:Q30)</f>
        <v>21241900</v>
      </c>
      <c r="R31" s="187"/>
      <c r="S31" s="189"/>
    </row>
    <row r="32" spans="1:20" ht="24.95" customHeight="1" x14ac:dyDescent="0.25">
      <c r="O32" s="158"/>
      <c r="Q32" s="158">
        <f>P31-O31</f>
        <v>21241900</v>
      </c>
    </row>
    <row r="33" spans="1:17" ht="24.95" customHeight="1" x14ac:dyDescent="0.25">
      <c r="P33" s="216" t="s">
        <v>1603</v>
      </c>
      <c r="Q33" s="227">
        <f>'1.2019'!Q46+'2.2019'!Q31</f>
        <v>55165765</v>
      </c>
    </row>
    <row r="34" spans="1:17" ht="24.95" customHeight="1" x14ac:dyDescent="0.25">
      <c r="B34" s="129"/>
      <c r="H34" s="128"/>
      <c r="J34" s="128"/>
      <c r="K34" s="128"/>
      <c r="L34" s="128"/>
      <c r="M34" s="128"/>
      <c r="N34" s="128"/>
      <c r="O34" s="128"/>
      <c r="P34" s="218"/>
      <c r="Q34" s="216"/>
    </row>
    <row r="35" spans="1:17" ht="24.95" customHeight="1" x14ac:dyDescent="0.25">
      <c r="B35" s="129"/>
      <c r="H35" s="128"/>
      <c r="J35" s="128"/>
      <c r="K35" s="128"/>
      <c r="L35" s="128"/>
      <c r="M35" s="128"/>
      <c r="N35" s="128"/>
      <c r="O35" s="128"/>
      <c r="P35" s="218"/>
      <c r="Q35" s="230"/>
    </row>
    <row r="36" spans="1:17" ht="24.95" customHeight="1" x14ac:dyDescent="0.25">
      <c r="B36" s="129"/>
      <c r="H36" s="128"/>
      <c r="J36" s="128"/>
      <c r="K36" s="128"/>
      <c r="L36" s="128"/>
      <c r="M36" s="128"/>
      <c r="N36" s="128"/>
      <c r="O36" s="128"/>
      <c r="P36" s="218"/>
      <c r="Q36" s="230"/>
    </row>
    <row r="37" spans="1:17" ht="24.95" customHeight="1" x14ac:dyDescent="0.25">
      <c r="B37" s="129"/>
      <c r="H37" s="128"/>
      <c r="J37" s="128"/>
      <c r="K37" s="128"/>
      <c r="L37" s="128"/>
      <c r="M37" s="128"/>
      <c r="N37" s="128"/>
      <c r="O37" s="128"/>
      <c r="P37" s="218"/>
      <c r="Q37" s="216"/>
    </row>
    <row r="38" spans="1:17" x14ac:dyDescent="0.25">
      <c r="B38" s="129"/>
      <c r="H38" s="128"/>
      <c r="J38" s="128"/>
      <c r="K38" s="128"/>
      <c r="L38" s="128"/>
      <c r="M38" s="128"/>
      <c r="N38" s="128"/>
      <c r="O38" s="128"/>
      <c r="P38" s="218"/>
      <c r="Q38" s="216"/>
    </row>
    <row r="39" spans="1:17" x14ac:dyDescent="0.25">
      <c r="A39" s="128"/>
      <c r="B39" s="129"/>
      <c r="H39" s="128"/>
      <c r="J39" s="128"/>
      <c r="K39" s="128"/>
      <c r="L39" s="128"/>
      <c r="M39" s="128"/>
      <c r="N39" s="128"/>
      <c r="O39" s="128"/>
      <c r="P39" s="218"/>
      <c r="Q39" s="216"/>
    </row>
    <row r="40" spans="1:17" x14ac:dyDescent="0.25">
      <c r="A40" s="128"/>
      <c r="B40" s="129"/>
      <c r="H40" s="128"/>
      <c r="J40" s="128"/>
      <c r="K40" s="128"/>
      <c r="L40" s="128"/>
      <c r="M40" s="128"/>
      <c r="N40" s="128"/>
      <c r="O40" s="128"/>
      <c r="P40" s="128"/>
      <c r="Q40" s="216"/>
    </row>
    <row r="41" spans="1:17" x14ac:dyDescent="0.25">
      <c r="A41" s="128"/>
      <c r="B41" s="128"/>
      <c r="H41" s="128"/>
      <c r="J41" s="128"/>
      <c r="K41" s="128"/>
      <c r="L41" s="128"/>
      <c r="M41" s="128"/>
      <c r="N41" s="128"/>
      <c r="O41" s="128"/>
      <c r="P41" s="128"/>
      <c r="Q41" s="216"/>
    </row>
    <row r="42" spans="1:17" x14ac:dyDescent="0.25">
      <c r="A42" s="128"/>
      <c r="B42" s="128"/>
      <c r="H42" s="128"/>
      <c r="J42" s="128"/>
      <c r="K42" s="128"/>
      <c r="L42" s="128"/>
      <c r="M42" s="128"/>
      <c r="N42" s="128"/>
      <c r="O42" s="128"/>
      <c r="P42" s="128"/>
      <c r="Q42" s="216"/>
    </row>
  </sheetData>
  <mergeCells count="14">
    <mergeCell ref="O5:O6"/>
    <mergeCell ref="P5:P6"/>
    <mergeCell ref="Q5:Q6"/>
    <mergeCell ref="A31:F31"/>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5"/>
  <sheetViews>
    <sheetView topLeftCell="F41" workbookViewId="0">
      <selection activeCell="J16" sqref="J1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2275</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thickBot="1" x14ac:dyDescent="0.25">
      <c r="A7" s="211">
        <v>1</v>
      </c>
      <c r="B7" s="191">
        <v>43525</v>
      </c>
      <c r="C7" s="138" t="s">
        <v>2276</v>
      </c>
      <c r="D7" s="138" t="s">
        <v>2293</v>
      </c>
      <c r="E7" s="146" t="s">
        <v>248</v>
      </c>
      <c r="F7" s="138"/>
      <c r="G7" s="138"/>
      <c r="H7" s="141"/>
      <c r="I7" s="138"/>
      <c r="J7" s="139">
        <v>970000</v>
      </c>
      <c r="K7" s="141"/>
      <c r="L7" s="150"/>
      <c r="M7" s="141"/>
      <c r="N7" s="141"/>
      <c r="O7" s="139">
        <f>SUM(H7:N7)</f>
        <v>970000</v>
      </c>
      <c r="P7" s="139">
        <v>4560000</v>
      </c>
      <c r="Q7" s="139">
        <f>P7-O7</f>
        <v>3590000</v>
      </c>
      <c r="R7" s="171" t="s">
        <v>2331</v>
      </c>
      <c r="S7" s="215"/>
      <c r="T7" s="215"/>
    </row>
    <row r="8" spans="1:20" s="144" customFormat="1" ht="24.95" customHeight="1" thickBot="1" x14ac:dyDescent="0.25">
      <c r="A8" s="211">
        <v>2</v>
      </c>
      <c r="B8" s="191">
        <v>43526</v>
      </c>
      <c r="C8" s="138" t="s">
        <v>2277</v>
      </c>
      <c r="D8" s="138" t="s">
        <v>2294</v>
      </c>
      <c r="E8" s="146" t="s">
        <v>333</v>
      </c>
      <c r="F8" s="138"/>
      <c r="G8" s="138">
        <v>315</v>
      </c>
      <c r="H8" s="141">
        <f>G8*15860</f>
        <v>4995900</v>
      </c>
      <c r="I8" s="138"/>
      <c r="J8" s="139">
        <v>1160000</v>
      </c>
      <c r="K8" s="141"/>
      <c r="L8" s="150"/>
      <c r="M8" s="141"/>
      <c r="N8" s="141"/>
      <c r="O8" s="139">
        <f t="shared" ref="O8:O43" si="0">SUM(H8:N8)</f>
        <v>6155900</v>
      </c>
      <c r="P8" s="139">
        <v>4900000</v>
      </c>
      <c r="Q8" s="139">
        <f t="shared" ref="Q8:Q43" si="1">P8-O8</f>
        <v>-1255900</v>
      </c>
      <c r="R8" s="171" t="s">
        <v>2332</v>
      </c>
      <c r="S8" s="215"/>
      <c r="T8" s="215"/>
    </row>
    <row r="9" spans="1:20" s="144" customFormat="1" ht="24.95" customHeight="1" thickBot="1" x14ac:dyDescent="0.25">
      <c r="A9" s="211">
        <v>3</v>
      </c>
      <c r="B9" s="191">
        <v>43528</v>
      </c>
      <c r="C9" s="138" t="s">
        <v>171</v>
      </c>
      <c r="D9" s="138" t="s">
        <v>2295</v>
      </c>
      <c r="E9" s="146" t="s">
        <v>406</v>
      </c>
      <c r="F9" s="138"/>
      <c r="G9" s="138"/>
      <c r="H9" s="141"/>
      <c r="I9" s="138"/>
      <c r="J9" s="139">
        <v>790000</v>
      </c>
      <c r="K9" s="141"/>
      <c r="L9" s="150"/>
      <c r="M9" s="141"/>
      <c r="N9" s="141"/>
      <c r="O9" s="139">
        <f t="shared" si="0"/>
        <v>790000</v>
      </c>
      <c r="P9" s="139">
        <v>4000000</v>
      </c>
      <c r="Q9" s="139">
        <f t="shared" si="1"/>
        <v>3210000</v>
      </c>
      <c r="R9" s="171" t="s">
        <v>2333</v>
      </c>
      <c r="S9" s="215"/>
      <c r="T9" s="215"/>
    </row>
    <row r="10" spans="1:20" s="144" customFormat="1" ht="24.95" customHeight="1" thickBot="1" x14ac:dyDescent="0.25">
      <c r="A10" s="211">
        <v>4</v>
      </c>
      <c r="B10" s="191">
        <v>43527</v>
      </c>
      <c r="C10" s="138" t="s">
        <v>2278</v>
      </c>
      <c r="D10" s="138" t="s">
        <v>2296</v>
      </c>
      <c r="E10" s="146" t="s">
        <v>333</v>
      </c>
      <c r="F10" s="138"/>
      <c r="G10" s="138"/>
      <c r="H10" s="141"/>
      <c r="I10" s="138"/>
      <c r="J10" s="139">
        <v>1160000</v>
      </c>
      <c r="K10" s="141"/>
      <c r="L10" s="150"/>
      <c r="M10" s="141"/>
      <c r="N10" s="141"/>
      <c r="O10" s="139">
        <f t="shared" si="0"/>
        <v>1160000</v>
      </c>
      <c r="P10" s="141">
        <v>4900000</v>
      </c>
      <c r="Q10" s="139">
        <f t="shared" si="1"/>
        <v>3740000</v>
      </c>
      <c r="R10" s="171" t="s">
        <v>2332</v>
      </c>
      <c r="S10" s="215"/>
      <c r="T10" s="215"/>
    </row>
    <row r="11" spans="1:20" s="144" customFormat="1" ht="24.95" customHeight="1" thickBot="1" x14ac:dyDescent="0.25">
      <c r="A11" s="211">
        <v>5</v>
      </c>
      <c r="B11" s="191">
        <v>43529</v>
      </c>
      <c r="C11" s="138" t="s">
        <v>2279</v>
      </c>
      <c r="D11" s="138" t="s">
        <v>2297</v>
      </c>
      <c r="E11" s="146" t="s">
        <v>2320</v>
      </c>
      <c r="F11" s="138"/>
      <c r="G11" s="138">
        <v>330</v>
      </c>
      <c r="H11" s="141">
        <f t="shared" ref="H11:H33" si="2">G11*15860</f>
        <v>5233800</v>
      </c>
      <c r="I11" s="138"/>
      <c r="J11" s="139">
        <v>1460000</v>
      </c>
      <c r="K11" s="141"/>
      <c r="L11" s="150"/>
      <c r="M11" s="141"/>
      <c r="N11" s="141"/>
      <c r="O11" s="139">
        <f t="shared" si="0"/>
        <v>6693800</v>
      </c>
      <c r="P11" s="141">
        <v>5260000</v>
      </c>
      <c r="Q11" s="139">
        <f t="shared" si="1"/>
        <v>-1433800</v>
      </c>
      <c r="R11" s="171" t="s">
        <v>2334</v>
      </c>
      <c r="S11" s="215"/>
      <c r="T11" s="215"/>
    </row>
    <row r="12" spans="1:20" s="144" customFormat="1" ht="24.95" customHeight="1" thickBot="1" x14ac:dyDescent="0.25">
      <c r="A12" s="211">
        <v>6</v>
      </c>
      <c r="B12" s="191">
        <v>43530</v>
      </c>
      <c r="C12" s="138" t="s">
        <v>959</v>
      </c>
      <c r="D12" s="138" t="s">
        <v>2298</v>
      </c>
      <c r="E12" s="146" t="s">
        <v>333</v>
      </c>
      <c r="F12" s="138"/>
      <c r="G12" s="138"/>
      <c r="H12" s="141">
        <f t="shared" si="2"/>
        <v>0</v>
      </c>
      <c r="I12" s="138"/>
      <c r="J12" s="139">
        <v>1160000</v>
      </c>
      <c r="K12" s="141"/>
      <c r="L12" s="150"/>
      <c r="M12" s="141"/>
      <c r="N12" s="141"/>
      <c r="O12" s="139">
        <f t="shared" si="0"/>
        <v>1160000</v>
      </c>
      <c r="P12" s="141">
        <v>4900000</v>
      </c>
      <c r="Q12" s="139">
        <f t="shared" si="1"/>
        <v>3740000</v>
      </c>
      <c r="R12" s="171" t="s">
        <v>2332</v>
      </c>
      <c r="S12" s="215"/>
      <c r="T12" s="215"/>
    </row>
    <row r="13" spans="1:20" s="144" customFormat="1" ht="24.95" customHeight="1" thickBot="1" x14ac:dyDescent="0.25">
      <c r="A13" s="211">
        <v>7</v>
      </c>
      <c r="B13" s="191">
        <v>43531</v>
      </c>
      <c r="C13" s="138" t="s">
        <v>178</v>
      </c>
      <c r="D13" s="138" t="s">
        <v>2299</v>
      </c>
      <c r="E13" s="146" t="s">
        <v>333</v>
      </c>
      <c r="F13" s="138"/>
      <c r="G13" s="138">
        <v>230</v>
      </c>
      <c r="H13" s="141">
        <f t="shared" si="2"/>
        <v>3647800</v>
      </c>
      <c r="I13" s="138"/>
      <c r="J13" s="139">
        <v>1160000</v>
      </c>
      <c r="K13" s="141"/>
      <c r="L13" s="150"/>
      <c r="M13" s="141"/>
      <c r="N13" s="141"/>
      <c r="O13" s="139">
        <f t="shared" si="0"/>
        <v>4807800</v>
      </c>
      <c r="P13" s="141">
        <v>4900000</v>
      </c>
      <c r="Q13" s="139">
        <f t="shared" si="1"/>
        <v>92200</v>
      </c>
      <c r="R13" s="171" t="s">
        <v>2332</v>
      </c>
      <c r="S13" s="215"/>
      <c r="T13" s="215"/>
    </row>
    <row r="14" spans="1:20" s="144" customFormat="1" ht="24.95" customHeight="1" thickBot="1" x14ac:dyDescent="0.25">
      <c r="A14" s="211">
        <v>8</v>
      </c>
      <c r="B14" s="191">
        <v>43532</v>
      </c>
      <c r="C14" s="138" t="s">
        <v>2280</v>
      </c>
      <c r="D14" s="138" t="s">
        <v>2300</v>
      </c>
      <c r="E14" s="146" t="s">
        <v>1937</v>
      </c>
      <c r="F14" s="138"/>
      <c r="G14" s="138"/>
      <c r="H14" s="141">
        <f t="shared" si="2"/>
        <v>0</v>
      </c>
      <c r="I14" s="138"/>
      <c r="J14" s="139">
        <f>1150000+300000</f>
        <v>1450000</v>
      </c>
      <c r="K14" s="141"/>
      <c r="L14" s="150"/>
      <c r="M14" s="141"/>
      <c r="N14" s="141"/>
      <c r="O14" s="139">
        <f t="shared" si="0"/>
        <v>1450000</v>
      </c>
      <c r="P14" s="141">
        <v>4360000</v>
      </c>
      <c r="Q14" s="139">
        <f t="shared" si="1"/>
        <v>2910000</v>
      </c>
      <c r="R14" s="171" t="s">
        <v>2335</v>
      </c>
      <c r="S14" s="215"/>
      <c r="T14" s="215"/>
    </row>
    <row r="15" spans="1:20" s="144" customFormat="1" ht="24.95" customHeight="1" thickBot="1" x14ac:dyDescent="0.25">
      <c r="A15" s="211">
        <v>9</v>
      </c>
      <c r="B15" s="191">
        <v>43533</v>
      </c>
      <c r="C15" s="138" t="s">
        <v>2281</v>
      </c>
      <c r="D15" s="138" t="s">
        <v>2300</v>
      </c>
      <c r="E15" s="146" t="s">
        <v>2321</v>
      </c>
      <c r="F15" s="138"/>
      <c r="G15" s="138"/>
      <c r="H15" s="141">
        <f t="shared" si="2"/>
        <v>0</v>
      </c>
      <c r="I15" s="138"/>
      <c r="J15" s="139">
        <v>0</v>
      </c>
      <c r="K15" s="141"/>
      <c r="L15" s="150"/>
      <c r="M15" s="141"/>
      <c r="N15" s="141"/>
      <c r="O15" s="139">
        <f t="shared" si="0"/>
        <v>0</v>
      </c>
      <c r="P15" s="141">
        <v>2000000</v>
      </c>
      <c r="Q15" s="139">
        <f t="shared" si="1"/>
        <v>2000000</v>
      </c>
      <c r="R15" s="171" t="s">
        <v>2336</v>
      </c>
      <c r="S15" s="215"/>
      <c r="T15" s="215"/>
    </row>
    <row r="16" spans="1:20" s="144" customFormat="1" ht="24.95" customHeight="1" thickBot="1" x14ac:dyDescent="0.25">
      <c r="A16" s="211">
        <v>10</v>
      </c>
      <c r="B16" s="191">
        <v>43534</v>
      </c>
      <c r="C16" s="138" t="s">
        <v>2282</v>
      </c>
      <c r="D16" s="138" t="s">
        <v>2301</v>
      </c>
      <c r="E16" s="146" t="s">
        <v>513</v>
      </c>
      <c r="F16" s="138"/>
      <c r="G16" s="138">
        <v>220</v>
      </c>
      <c r="H16" s="141">
        <f t="shared" si="2"/>
        <v>3489200</v>
      </c>
      <c r="I16" s="138"/>
      <c r="J16" s="139">
        <v>970000</v>
      </c>
      <c r="K16" s="141"/>
      <c r="L16" s="150"/>
      <c r="M16" s="141"/>
      <c r="N16" s="141"/>
      <c r="O16" s="139">
        <f t="shared" si="0"/>
        <v>4459200</v>
      </c>
      <c r="P16" s="141">
        <v>4000000</v>
      </c>
      <c r="Q16" s="139">
        <f t="shared" si="1"/>
        <v>-459200</v>
      </c>
      <c r="R16" s="171" t="s">
        <v>2333</v>
      </c>
      <c r="S16" s="215"/>
      <c r="T16" s="215"/>
    </row>
    <row r="17" spans="1:20" s="144" customFormat="1" ht="24.95" customHeight="1" thickBot="1" x14ac:dyDescent="0.25">
      <c r="A17" s="211">
        <v>11</v>
      </c>
      <c r="B17" s="191">
        <v>43535</v>
      </c>
      <c r="C17" s="138" t="s">
        <v>2283</v>
      </c>
      <c r="D17" s="138" t="s">
        <v>2302</v>
      </c>
      <c r="E17" s="146" t="s">
        <v>2322</v>
      </c>
      <c r="F17" s="138"/>
      <c r="G17" s="138"/>
      <c r="H17" s="141">
        <f t="shared" si="2"/>
        <v>0</v>
      </c>
      <c r="I17" s="138"/>
      <c r="J17" s="139">
        <v>1270000</v>
      </c>
      <c r="K17" s="141"/>
      <c r="L17" s="150"/>
      <c r="M17" s="141"/>
      <c r="N17" s="141"/>
      <c r="O17" s="139">
        <f t="shared" si="0"/>
        <v>1270000</v>
      </c>
      <c r="P17" s="141">
        <v>5200000</v>
      </c>
      <c r="Q17" s="139">
        <f t="shared" si="1"/>
        <v>3930000</v>
      </c>
      <c r="R17" s="171" t="s">
        <v>2337</v>
      </c>
      <c r="S17" s="215"/>
      <c r="T17" s="215"/>
    </row>
    <row r="18" spans="1:20" s="144" customFormat="1" ht="24.95" customHeight="1" thickBot="1" x14ac:dyDescent="0.25">
      <c r="A18" s="211">
        <v>12</v>
      </c>
      <c r="B18" s="191">
        <v>43536</v>
      </c>
      <c r="C18" s="138" t="s">
        <v>1609</v>
      </c>
      <c r="D18" s="138" t="s">
        <v>2303</v>
      </c>
      <c r="E18" s="146" t="s">
        <v>2322</v>
      </c>
      <c r="F18" s="138"/>
      <c r="G18" s="138"/>
      <c r="H18" s="141">
        <f t="shared" si="2"/>
        <v>0</v>
      </c>
      <c r="I18" s="138"/>
      <c r="J18" s="139">
        <v>1270000</v>
      </c>
      <c r="K18" s="141"/>
      <c r="L18" s="150"/>
      <c r="M18" s="141"/>
      <c r="N18" s="141"/>
      <c r="O18" s="139">
        <f t="shared" si="0"/>
        <v>1270000</v>
      </c>
      <c r="P18" s="141">
        <v>0</v>
      </c>
      <c r="Q18" s="139">
        <f t="shared" si="1"/>
        <v>-1270000</v>
      </c>
      <c r="R18" s="171">
        <v>0</v>
      </c>
      <c r="S18" s="215"/>
      <c r="T18" s="215"/>
    </row>
    <row r="19" spans="1:20" s="144" customFormat="1" ht="24.95" customHeight="1" thickBot="1" x14ac:dyDescent="0.25">
      <c r="A19" s="211">
        <v>13</v>
      </c>
      <c r="B19" s="191">
        <v>43537</v>
      </c>
      <c r="C19" s="138" t="s">
        <v>963</v>
      </c>
      <c r="D19" s="138" t="s">
        <v>2304</v>
      </c>
      <c r="E19" s="146" t="s">
        <v>1565</v>
      </c>
      <c r="F19" s="138"/>
      <c r="G19" s="138"/>
      <c r="H19" s="141">
        <f t="shared" si="2"/>
        <v>0</v>
      </c>
      <c r="I19" s="138"/>
      <c r="J19" s="139">
        <v>1510000</v>
      </c>
      <c r="K19" s="141"/>
      <c r="L19" s="150"/>
      <c r="M19" s="141"/>
      <c r="N19" s="141"/>
      <c r="O19" s="139">
        <f t="shared" si="0"/>
        <v>1510000</v>
      </c>
      <c r="P19" s="141">
        <v>5600000</v>
      </c>
      <c r="Q19" s="139">
        <f t="shared" si="1"/>
        <v>4090000</v>
      </c>
      <c r="R19" s="171" t="s">
        <v>2338</v>
      </c>
      <c r="S19" s="215"/>
      <c r="T19" s="215"/>
    </row>
    <row r="20" spans="1:20" s="144" customFormat="1" ht="24.95" customHeight="1" thickBot="1" x14ac:dyDescent="0.25">
      <c r="A20" s="211">
        <v>14</v>
      </c>
      <c r="B20" s="191">
        <v>43538</v>
      </c>
      <c r="C20" s="138" t="s">
        <v>964</v>
      </c>
      <c r="D20" s="138" t="s">
        <v>2305</v>
      </c>
      <c r="E20" s="146" t="s">
        <v>2323</v>
      </c>
      <c r="F20" s="138"/>
      <c r="G20" s="138">
        <v>360</v>
      </c>
      <c r="H20" s="141">
        <f t="shared" si="2"/>
        <v>5709600</v>
      </c>
      <c r="I20" s="138"/>
      <c r="J20" s="139">
        <v>1510000</v>
      </c>
      <c r="K20" s="141"/>
      <c r="L20" s="150"/>
      <c r="M20" s="141"/>
      <c r="N20" s="141"/>
      <c r="O20" s="139">
        <f t="shared" si="0"/>
        <v>7219600</v>
      </c>
      <c r="P20" s="141">
        <v>7100000</v>
      </c>
      <c r="Q20" s="139">
        <f t="shared" si="1"/>
        <v>-119600</v>
      </c>
      <c r="R20" s="171" t="s">
        <v>2339</v>
      </c>
      <c r="S20" s="215"/>
      <c r="T20" s="215"/>
    </row>
    <row r="21" spans="1:20" s="144" customFormat="1" ht="24.95" customHeight="1" thickBot="1" x14ac:dyDescent="0.25">
      <c r="A21" s="211">
        <v>15</v>
      </c>
      <c r="B21" s="191">
        <v>43539</v>
      </c>
      <c r="C21" s="138" t="s">
        <v>2284</v>
      </c>
      <c r="D21" s="138" t="s">
        <v>2306</v>
      </c>
      <c r="E21" s="146" t="s">
        <v>25</v>
      </c>
      <c r="F21" s="138"/>
      <c r="G21" s="138">
        <v>350</v>
      </c>
      <c r="H21" s="141">
        <f t="shared" si="2"/>
        <v>5551000</v>
      </c>
      <c r="I21" s="138"/>
      <c r="J21" s="139">
        <v>1890000</v>
      </c>
      <c r="K21" s="141"/>
      <c r="L21" s="150"/>
      <c r="M21" s="141"/>
      <c r="N21" s="141"/>
      <c r="O21" s="139">
        <f t="shared" si="0"/>
        <v>7441000</v>
      </c>
      <c r="P21" s="141">
        <v>7500000</v>
      </c>
      <c r="Q21" s="139">
        <f t="shared" si="1"/>
        <v>59000</v>
      </c>
      <c r="R21" s="171" t="s">
        <v>2340</v>
      </c>
      <c r="S21" s="215"/>
      <c r="T21" s="215"/>
    </row>
    <row r="22" spans="1:20" s="144" customFormat="1" ht="24.95" customHeight="1" thickBot="1" x14ac:dyDescent="0.25">
      <c r="A22" s="211">
        <v>16</v>
      </c>
      <c r="B22" s="191">
        <v>43540</v>
      </c>
      <c r="C22" s="138" t="s">
        <v>2285</v>
      </c>
      <c r="D22" s="138" t="s">
        <v>2307</v>
      </c>
      <c r="E22" s="146" t="s">
        <v>80</v>
      </c>
      <c r="F22" s="138"/>
      <c r="G22" s="138"/>
      <c r="H22" s="141">
        <f t="shared" si="2"/>
        <v>0</v>
      </c>
      <c r="I22" s="138"/>
      <c r="J22" s="139">
        <v>790000</v>
      </c>
      <c r="K22" s="141"/>
      <c r="L22" s="150"/>
      <c r="M22" s="141"/>
      <c r="N22" s="141"/>
      <c r="O22" s="139">
        <f t="shared" si="0"/>
        <v>790000</v>
      </c>
      <c r="P22" s="141">
        <v>4000000</v>
      </c>
      <c r="Q22" s="139">
        <f t="shared" si="1"/>
        <v>3210000</v>
      </c>
      <c r="R22" s="171" t="s">
        <v>2333</v>
      </c>
      <c r="S22" s="215"/>
      <c r="T22" s="215"/>
    </row>
    <row r="23" spans="1:20" s="144" customFormat="1" ht="24.95" customHeight="1" thickBot="1" x14ac:dyDescent="0.25">
      <c r="A23" s="211">
        <v>17</v>
      </c>
      <c r="B23" s="191">
        <v>43542</v>
      </c>
      <c r="C23" s="138" t="s">
        <v>2286</v>
      </c>
      <c r="D23" s="138" t="s">
        <v>2308</v>
      </c>
      <c r="E23" s="146" t="s">
        <v>80</v>
      </c>
      <c r="F23" s="138"/>
      <c r="G23" s="138"/>
      <c r="H23" s="141">
        <f t="shared" si="2"/>
        <v>0</v>
      </c>
      <c r="I23" s="138"/>
      <c r="J23" s="139">
        <v>790000</v>
      </c>
      <c r="K23" s="141"/>
      <c r="L23" s="150"/>
      <c r="M23" s="141"/>
      <c r="N23" s="141"/>
      <c r="O23" s="139">
        <f t="shared" si="0"/>
        <v>790000</v>
      </c>
      <c r="P23" s="141">
        <v>4000000</v>
      </c>
      <c r="Q23" s="139">
        <f t="shared" si="1"/>
        <v>3210000</v>
      </c>
      <c r="R23" s="171" t="s">
        <v>2333</v>
      </c>
      <c r="S23" s="215"/>
      <c r="T23" s="215"/>
    </row>
    <row r="24" spans="1:20" s="144" customFormat="1" ht="24.95" customHeight="1" thickBot="1" x14ac:dyDescent="0.25">
      <c r="A24" s="211">
        <v>18</v>
      </c>
      <c r="B24" s="191">
        <v>43543</v>
      </c>
      <c r="C24" s="138" t="s">
        <v>2287</v>
      </c>
      <c r="D24" s="138" t="s">
        <v>2309</v>
      </c>
      <c r="E24" s="146" t="s">
        <v>80</v>
      </c>
      <c r="F24" s="138"/>
      <c r="G24" s="138">
        <v>300</v>
      </c>
      <c r="H24" s="141">
        <f t="shared" si="2"/>
        <v>4758000</v>
      </c>
      <c r="I24" s="138"/>
      <c r="J24" s="139">
        <v>790000</v>
      </c>
      <c r="K24" s="141"/>
      <c r="L24" s="150"/>
      <c r="M24" s="141"/>
      <c r="N24" s="141"/>
      <c r="O24" s="139">
        <f t="shared" si="0"/>
        <v>5548000</v>
      </c>
      <c r="P24" s="141">
        <v>4000000</v>
      </c>
      <c r="Q24" s="139">
        <f t="shared" si="1"/>
        <v>-1548000</v>
      </c>
      <c r="R24" s="171" t="s">
        <v>2333</v>
      </c>
      <c r="S24" s="215"/>
      <c r="T24" s="215"/>
    </row>
    <row r="25" spans="1:20" s="144" customFormat="1" ht="24.95" customHeight="1" thickBot="1" x14ac:dyDescent="0.25">
      <c r="A25" s="211">
        <v>19</v>
      </c>
      <c r="B25" s="191">
        <v>43544</v>
      </c>
      <c r="C25" s="138" t="s">
        <v>2288</v>
      </c>
      <c r="D25" s="138" t="s">
        <v>2310</v>
      </c>
      <c r="E25" s="146" t="s">
        <v>80</v>
      </c>
      <c r="F25" s="138"/>
      <c r="G25" s="138"/>
      <c r="H25" s="141">
        <f t="shared" si="2"/>
        <v>0</v>
      </c>
      <c r="I25" s="138"/>
      <c r="J25" s="139">
        <v>790000</v>
      </c>
      <c r="K25" s="141"/>
      <c r="L25" s="150"/>
      <c r="M25" s="141"/>
      <c r="N25" s="141"/>
      <c r="O25" s="139">
        <f t="shared" si="0"/>
        <v>790000</v>
      </c>
      <c r="P25" s="141">
        <v>4000000</v>
      </c>
      <c r="Q25" s="139">
        <f t="shared" si="1"/>
        <v>3210000</v>
      </c>
      <c r="R25" s="171" t="s">
        <v>2333</v>
      </c>
      <c r="S25" s="215"/>
      <c r="T25" s="215"/>
    </row>
    <row r="26" spans="1:20" s="144" customFormat="1" ht="24.95" customHeight="1" thickBot="1" x14ac:dyDescent="0.25">
      <c r="A26" s="211">
        <v>20</v>
      </c>
      <c r="B26" s="191">
        <v>43545</v>
      </c>
      <c r="C26" s="138" t="s">
        <v>2289</v>
      </c>
      <c r="D26" s="138" t="s">
        <v>2311</v>
      </c>
      <c r="E26" s="146" t="s">
        <v>2324</v>
      </c>
      <c r="F26" s="138"/>
      <c r="G26" s="138"/>
      <c r="H26" s="141">
        <f t="shared" si="2"/>
        <v>0</v>
      </c>
      <c r="I26" s="138"/>
      <c r="J26" s="139">
        <v>1100000</v>
      </c>
      <c r="K26" s="141"/>
      <c r="L26" s="150"/>
      <c r="M26" s="141"/>
      <c r="N26" s="141"/>
      <c r="O26" s="139">
        <f t="shared" si="0"/>
        <v>1100000</v>
      </c>
      <c r="P26" s="141">
        <v>4900000</v>
      </c>
      <c r="Q26" s="139">
        <f t="shared" si="1"/>
        <v>3800000</v>
      </c>
      <c r="R26" s="171" t="s">
        <v>2332</v>
      </c>
      <c r="S26" s="215"/>
      <c r="T26" s="215"/>
    </row>
    <row r="27" spans="1:20" s="144" customFormat="1" ht="24.95" customHeight="1" thickBot="1" x14ac:dyDescent="0.25">
      <c r="A27" s="211">
        <v>21</v>
      </c>
      <c r="B27" s="191">
        <v>43546</v>
      </c>
      <c r="C27" s="138" t="s">
        <v>972</v>
      </c>
      <c r="D27" s="138" t="s">
        <v>2312</v>
      </c>
      <c r="E27" s="146" t="s">
        <v>333</v>
      </c>
      <c r="F27" s="138"/>
      <c r="G27" s="138">
        <v>357</v>
      </c>
      <c r="H27" s="141">
        <f t="shared" si="2"/>
        <v>5662020</v>
      </c>
      <c r="I27" s="138"/>
      <c r="J27" s="139">
        <v>1160000</v>
      </c>
      <c r="K27" s="141"/>
      <c r="L27" s="150"/>
      <c r="M27" s="141"/>
      <c r="N27" s="141"/>
      <c r="O27" s="139">
        <f t="shared" si="0"/>
        <v>6822020</v>
      </c>
      <c r="P27" s="141">
        <v>5000000</v>
      </c>
      <c r="Q27" s="139">
        <f t="shared" si="1"/>
        <v>-1822020</v>
      </c>
      <c r="R27" s="171" t="s">
        <v>2341</v>
      </c>
      <c r="S27" s="215"/>
      <c r="T27" s="215"/>
    </row>
    <row r="28" spans="1:20" s="144" customFormat="1" ht="24.95" customHeight="1" thickBot="1" x14ac:dyDescent="0.25">
      <c r="A28" s="211">
        <v>22</v>
      </c>
      <c r="B28" s="191">
        <v>43547</v>
      </c>
      <c r="C28" s="138" t="s">
        <v>973</v>
      </c>
      <c r="D28" s="138" t="s">
        <v>2313</v>
      </c>
      <c r="E28" s="146" t="s">
        <v>333</v>
      </c>
      <c r="F28" s="138"/>
      <c r="G28" s="138"/>
      <c r="H28" s="141">
        <f t="shared" si="2"/>
        <v>0</v>
      </c>
      <c r="I28" s="138"/>
      <c r="J28" s="139">
        <v>1160000</v>
      </c>
      <c r="K28" s="141"/>
      <c r="L28" s="150"/>
      <c r="M28" s="141"/>
      <c r="N28" s="141"/>
      <c r="O28" s="139">
        <f t="shared" si="0"/>
        <v>1160000</v>
      </c>
      <c r="P28" s="141">
        <v>5000000</v>
      </c>
      <c r="Q28" s="139">
        <f t="shared" si="1"/>
        <v>3840000</v>
      </c>
      <c r="R28" s="171" t="s">
        <v>2341</v>
      </c>
      <c r="S28" s="215"/>
      <c r="T28" s="215"/>
    </row>
    <row r="29" spans="1:20" s="144" customFormat="1" ht="24.95" customHeight="1" thickBot="1" x14ac:dyDescent="0.25">
      <c r="A29" s="211">
        <v>23</v>
      </c>
      <c r="B29" s="191">
        <v>43549</v>
      </c>
      <c r="C29" s="138" t="s">
        <v>2290</v>
      </c>
      <c r="D29" s="138" t="s">
        <v>2314</v>
      </c>
      <c r="E29" s="146" t="s">
        <v>2325</v>
      </c>
      <c r="F29" s="138"/>
      <c r="G29" s="138"/>
      <c r="H29" s="141">
        <f t="shared" si="2"/>
        <v>0</v>
      </c>
      <c r="I29" s="138"/>
      <c r="J29" s="139">
        <v>790000</v>
      </c>
      <c r="K29" s="141"/>
      <c r="L29" s="150"/>
      <c r="M29" s="141"/>
      <c r="N29" s="141"/>
      <c r="O29" s="139">
        <f t="shared" si="0"/>
        <v>790000</v>
      </c>
      <c r="P29" s="141">
        <v>2800000</v>
      </c>
      <c r="Q29" s="139">
        <f t="shared" si="1"/>
        <v>2010000</v>
      </c>
      <c r="R29" s="171" t="s">
        <v>2342</v>
      </c>
      <c r="S29" s="215"/>
      <c r="T29" s="215"/>
    </row>
    <row r="30" spans="1:20" s="144" customFormat="1" ht="24.95" customHeight="1" thickBot="1" x14ac:dyDescent="0.25">
      <c r="A30" s="211">
        <v>24</v>
      </c>
      <c r="B30" s="191">
        <v>43550</v>
      </c>
      <c r="C30" s="138" t="s">
        <v>1616</v>
      </c>
      <c r="D30" s="138" t="s">
        <v>2315</v>
      </c>
      <c r="E30" s="146" t="s">
        <v>333</v>
      </c>
      <c r="F30" s="138"/>
      <c r="G30" s="138"/>
      <c r="H30" s="141">
        <f t="shared" si="2"/>
        <v>0</v>
      </c>
      <c r="I30" s="138"/>
      <c r="J30" s="139">
        <v>790000</v>
      </c>
      <c r="K30" s="141"/>
      <c r="L30" s="150"/>
      <c r="M30" s="141"/>
      <c r="N30" s="141"/>
      <c r="O30" s="139">
        <f t="shared" si="0"/>
        <v>790000</v>
      </c>
      <c r="P30" s="141">
        <v>5000000</v>
      </c>
      <c r="Q30" s="139">
        <f t="shared" si="1"/>
        <v>4210000</v>
      </c>
      <c r="R30" s="171" t="s">
        <v>2341</v>
      </c>
      <c r="S30" s="215"/>
      <c r="T30" s="215"/>
    </row>
    <row r="31" spans="1:20" s="144" customFormat="1" ht="24.95" customHeight="1" thickBot="1" x14ac:dyDescent="0.25">
      <c r="A31" s="211">
        <v>25</v>
      </c>
      <c r="B31" s="191">
        <v>43551</v>
      </c>
      <c r="C31" s="138" t="s">
        <v>2291</v>
      </c>
      <c r="D31" s="138" t="s">
        <v>2316</v>
      </c>
      <c r="E31" s="146" t="s">
        <v>80</v>
      </c>
      <c r="F31" s="138"/>
      <c r="G31" s="138">
        <v>300</v>
      </c>
      <c r="H31" s="141">
        <f t="shared" si="2"/>
        <v>4758000</v>
      </c>
      <c r="I31" s="138"/>
      <c r="J31" s="139">
        <v>790000</v>
      </c>
      <c r="K31" s="141"/>
      <c r="L31" s="150"/>
      <c r="M31" s="141"/>
      <c r="N31" s="141"/>
      <c r="O31" s="139">
        <f t="shared" si="0"/>
        <v>5548000</v>
      </c>
      <c r="P31" s="141">
        <v>4000000</v>
      </c>
      <c r="Q31" s="139">
        <f t="shared" si="1"/>
        <v>-1548000</v>
      </c>
      <c r="R31" s="171" t="s">
        <v>2333</v>
      </c>
      <c r="S31" s="215"/>
      <c r="T31" s="215"/>
    </row>
    <row r="32" spans="1:20" s="144" customFormat="1" ht="24.95" customHeight="1" thickBot="1" x14ac:dyDescent="0.25">
      <c r="A32" s="211">
        <v>26</v>
      </c>
      <c r="B32" s="191">
        <v>43552</v>
      </c>
      <c r="C32" s="138" t="s">
        <v>224</v>
      </c>
      <c r="D32" s="138" t="s">
        <v>2317</v>
      </c>
      <c r="E32" s="146" t="s">
        <v>2326</v>
      </c>
      <c r="F32" s="138"/>
      <c r="G32" s="138"/>
      <c r="H32" s="141">
        <f t="shared" si="2"/>
        <v>0</v>
      </c>
      <c r="I32" s="138"/>
      <c r="J32" s="139">
        <f>1100000+120000</f>
        <v>1220000</v>
      </c>
      <c r="K32" s="141"/>
      <c r="L32" s="150"/>
      <c r="M32" s="141"/>
      <c r="N32" s="141"/>
      <c r="O32" s="139">
        <f t="shared" si="0"/>
        <v>1220000</v>
      </c>
      <c r="P32" s="141">
        <v>4900000</v>
      </c>
      <c r="Q32" s="139">
        <f t="shared" si="1"/>
        <v>3680000</v>
      </c>
      <c r="R32" s="171" t="s">
        <v>2332</v>
      </c>
      <c r="S32" s="215"/>
      <c r="T32" s="215"/>
    </row>
    <row r="33" spans="1:20" s="144" customFormat="1" ht="24.95" customHeight="1" thickBot="1" x14ac:dyDescent="0.25">
      <c r="A33" s="211">
        <v>27</v>
      </c>
      <c r="B33" s="191">
        <v>43553</v>
      </c>
      <c r="C33" s="138" t="s">
        <v>2292</v>
      </c>
      <c r="D33" s="138" t="s">
        <v>2318</v>
      </c>
      <c r="E33" s="146" t="s">
        <v>1999</v>
      </c>
      <c r="F33" s="138"/>
      <c r="G33" s="138">
        <v>370</v>
      </c>
      <c r="H33" s="141">
        <f t="shared" si="2"/>
        <v>5868200</v>
      </c>
      <c r="I33" s="138"/>
      <c r="J33" s="139">
        <v>1750000</v>
      </c>
      <c r="K33" s="141"/>
      <c r="L33" s="150"/>
      <c r="M33" s="141"/>
      <c r="N33" s="141"/>
      <c r="O33" s="139">
        <f t="shared" si="0"/>
        <v>7618200</v>
      </c>
      <c r="P33" s="141">
        <v>6100000</v>
      </c>
      <c r="Q33" s="139">
        <f t="shared" si="1"/>
        <v>-1518200</v>
      </c>
      <c r="R33" s="171" t="s">
        <v>2343</v>
      </c>
      <c r="S33" s="215"/>
      <c r="T33" s="215"/>
    </row>
    <row r="34" spans="1:20" s="144" customFormat="1" ht="24.95" customHeight="1" thickBot="1" x14ac:dyDescent="0.25">
      <c r="A34" s="211">
        <v>28</v>
      </c>
      <c r="B34" s="191">
        <v>43554</v>
      </c>
      <c r="C34" s="138" t="s">
        <v>980</v>
      </c>
      <c r="D34" s="138" t="s">
        <v>2319</v>
      </c>
      <c r="E34" s="146" t="s">
        <v>1565</v>
      </c>
      <c r="F34" s="138"/>
      <c r="G34" s="138"/>
      <c r="H34" s="141"/>
      <c r="I34" s="138"/>
      <c r="J34" s="139">
        <v>1510000</v>
      </c>
      <c r="K34" s="141"/>
      <c r="L34" s="150"/>
      <c r="M34" s="141"/>
      <c r="N34" s="141"/>
      <c r="O34" s="139">
        <f t="shared" si="0"/>
        <v>1510000</v>
      </c>
      <c r="P34" s="141">
        <v>5600000</v>
      </c>
      <c r="Q34" s="139">
        <f t="shared" si="1"/>
        <v>4090000</v>
      </c>
      <c r="R34" s="171" t="s">
        <v>2338</v>
      </c>
      <c r="S34" s="215"/>
      <c r="T34" s="215"/>
    </row>
    <row r="35" spans="1:20" s="144" customFormat="1" ht="24.95" customHeight="1" x14ac:dyDescent="0.2">
      <c r="A35" s="211"/>
      <c r="B35" s="232"/>
      <c r="C35" s="138"/>
      <c r="D35" s="138"/>
      <c r="E35" s="146"/>
      <c r="F35" s="138"/>
      <c r="G35" s="138"/>
      <c r="H35" s="141"/>
      <c r="I35" s="138"/>
      <c r="J35" s="141"/>
      <c r="K35" s="141"/>
      <c r="L35" s="150"/>
      <c r="M35" s="141"/>
      <c r="N35" s="141"/>
      <c r="O35" s="139">
        <f t="shared" si="0"/>
        <v>0</v>
      </c>
      <c r="P35" s="141"/>
      <c r="Q35" s="139">
        <f t="shared" si="1"/>
        <v>0</v>
      </c>
      <c r="R35" s="217"/>
      <c r="S35" s="215"/>
      <c r="T35" s="215"/>
    </row>
    <row r="36" spans="1:20" s="144" customFormat="1" ht="24.95" customHeight="1" x14ac:dyDescent="0.2">
      <c r="A36" s="211"/>
      <c r="B36" s="232"/>
      <c r="C36" s="138"/>
      <c r="D36" s="138"/>
      <c r="E36" s="146"/>
      <c r="F36" s="138"/>
      <c r="G36" s="138"/>
      <c r="H36" s="139"/>
      <c r="I36" s="138"/>
      <c r="J36" s="141"/>
      <c r="K36" s="141"/>
      <c r="L36" s="150"/>
      <c r="M36" s="141"/>
      <c r="N36" s="141"/>
      <c r="O36" s="139">
        <f t="shared" si="0"/>
        <v>0</v>
      </c>
      <c r="P36" s="139"/>
      <c r="Q36" s="139">
        <f t="shared" si="1"/>
        <v>0</v>
      </c>
      <c r="R36" s="217"/>
      <c r="S36" s="215"/>
      <c r="T36" s="215"/>
    </row>
    <row r="37" spans="1:20" s="144" customFormat="1" ht="45" customHeight="1" x14ac:dyDescent="0.2">
      <c r="A37" s="211"/>
      <c r="C37" s="221" t="s">
        <v>1089</v>
      </c>
      <c r="D37" s="138"/>
      <c r="E37" s="146"/>
      <c r="F37" s="138"/>
      <c r="G37" s="138"/>
      <c r="H37" s="139"/>
      <c r="I37" s="138"/>
      <c r="J37" s="141"/>
      <c r="K37" s="141"/>
      <c r="L37" s="185">
        <v>620000</v>
      </c>
      <c r="M37" s="141"/>
      <c r="N37" s="157"/>
      <c r="O37" s="139">
        <f t="shared" si="0"/>
        <v>620000</v>
      </c>
      <c r="P37" s="139"/>
      <c r="Q37" s="139">
        <f t="shared" si="1"/>
        <v>-620000</v>
      </c>
      <c r="R37" s="217"/>
      <c r="S37" s="215"/>
      <c r="T37" s="215"/>
    </row>
    <row r="38" spans="1:20" s="144" customFormat="1" ht="45" customHeight="1" x14ac:dyDescent="0.2">
      <c r="A38" s="211"/>
      <c r="C38" s="221" t="s">
        <v>2327</v>
      </c>
      <c r="D38" s="138"/>
      <c r="E38" s="146"/>
      <c r="F38" s="138"/>
      <c r="G38" s="138"/>
      <c r="H38" s="139"/>
      <c r="I38" s="138"/>
      <c r="J38" s="141"/>
      <c r="K38" s="141"/>
      <c r="L38" s="185">
        <v>390000</v>
      </c>
      <c r="M38" s="141"/>
      <c r="N38" s="157"/>
      <c r="O38" s="139">
        <f t="shared" si="0"/>
        <v>390000</v>
      </c>
      <c r="P38" s="139"/>
      <c r="Q38" s="139">
        <f t="shared" si="1"/>
        <v>-390000</v>
      </c>
      <c r="R38" s="217"/>
      <c r="S38" s="215"/>
      <c r="T38" s="215"/>
    </row>
    <row r="39" spans="1:20" s="144" customFormat="1" ht="45" customHeight="1" x14ac:dyDescent="0.2">
      <c r="A39" s="211"/>
      <c r="C39" s="221" t="s">
        <v>2328</v>
      </c>
      <c r="D39" s="138"/>
      <c r="E39" s="146"/>
      <c r="F39" s="138"/>
      <c r="G39" s="138"/>
      <c r="H39" s="139"/>
      <c r="I39" s="138"/>
      <c r="J39" s="141"/>
      <c r="K39" s="141"/>
      <c r="L39" s="185">
        <v>480000</v>
      </c>
      <c r="M39" s="141"/>
      <c r="N39" s="157"/>
      <c r="O39" s="139">
        <f t="shared" si="0"/>
        <v>480000</v>
      </c>
      <c r="P39" s="139"/>
      <c r="Q39" s="139">
        <f t="shared" si="1"/>
        <v>-480000</v>
      </c>
      <c r="R39" s="217"/>
      <c r="S39" s="215"/>
      <c r="T39" s="215"/>
    </row>
    <row r="40" spans="1:20" s="144" customFormat="1" ht="45" customHeight="1" x14ac:dyDescent="0.2">
      <c r="A40" s="211"/>
      <c r="C40" s="221" t="s">
        <v>2329</v>
      </c>
      <c r="D40" s="138"/>
      <c r="E40" s="146"/>
      <c r="F40" s="138"/>
      <c r="G40" s="138"/>
      <c r="H40" s="139"/>
      <c r="I40" s="138"/>
      <c r="J40" s="141"/>
      <c r="K40" s="141"/>
      <c r="L40" s="185"/>
      <c r="M40" s="141"/>
      <c r="N40" s="157">
        <f>11700000/4</f>
        <v>2925000</v>
      </c>
      <c r="O40" s="139">
        <f t="shared" si="0"/>
        <v>2925000</v>
      </c>
      <c r="P40" s="139"/>
      <c r="Q40" s="139">
        <f t="shared" si="1"/>
        <v>-2925000</v>
      </c>
      <c r="R40" s="217"/>
      <c r="S40" s="215"/>
      <c r="T40" s="215"/>
    </row>
    <row r="41" spans="1:20" s="144" customFormat="1" ht="45" customHeight="1" x14ac:dyDescent="0.2">
      <c r="A41" s="211"/>
      <c r="C41" s="221" t="s">
        <v>2330</v>
      </c>
      <c r="D41" s="138"/>
      <c r="E41" s="146"/>
      <c r="F41" s="138"/>
      <c r="G41" s="138"/>
      <c r="H41" s="139"/>
      <c r="I41" s="138"/>
      <c r="J41" s="141"/>
      <c r="K41" s="141"/>
      <c r="L41" s="185"/>
      <c r="M41" s="157">
        <v>5800000</v>
      </c>
      <c r="N41" s="157"/>
      <c r="O41" s="139">
        <f t="shared" si="0"/>
        <v>5800000</v>
      </c>
      <c r="P41" s="139"/>
      <c r="Q41" s="139">
        <f t="shared" si="1"/>
        <v>-5800000</v>
      </c>
      <c r="R41" s="217"/>
      <c r="S41" s="215"/>
      <c r="T41" s="215"/>
    </row>
    <row r="42" spans="1:20" s="159" customFormat="1" ht="24.95" customHeight="1" x14ac:dyDescent="0.25">
      <c r="A42" s="211"/>
      <c r="B42" s="165"/>
      <c r="C42" s="196" t="s">
        <v>1337</v>
      </c>
      <c r="D42" s="195"/>
      <c r="E42" s="197"/>
      <c r="F42" s="195"/>
      <c r="G42" s="195"/>
      <c r="H42" s="155"/>
      <c r="I42" s="195"/>
      <c r="J42" s="155"/>
      <c r="K42" s="233">
        <f>27/26*9000000</f>
        <v>9346153.846153846</v>
      </c>
      <c r="L42" s="155"/>
      <c r="M42" s="155"/>
      <c r="N42" s="155"/>
      <c r="O42" s="139">
        <f t="shared" si="0"/>
        <v>9346153.846153846</v>
      </c>
      <c r="P42" s="139"/>
      <c r="Q42" s="139">
        <f t="shared" si="1"/>
        <v>-9346153.846153846</v>
      </c>
      <c r="S42" s="215"/>
      <c r="T42" s="215"/>
    </row>
    <row r="43" spans="1:20" s="159" customFormat="1" ht="24.95" customHeight="1" x14ac:dyDescent="0.25">
      <c r="A43" s="211"/>
      <c r="B43" s="203"/>
      <c r="C43" s="152" t="s">
        <v>1094</v>
      </c>
      <c r="D43" s="153"/>
      <c r="E43" s="154"/>
      <c r="F43" s="153"/>
      <c r="G43" s="153"/>
      <c r="H43" s="156"/>
      <c r="I43" s="153"/>
      <c r="J43" s="156"/>
      <c r="K43" s="204">
        <f>1200000*1.1</f>
        <v>1320000</v>
      </c>
      <c r="L43" s="204"/>
      <c r="M43" s="156"/>
      <c r="N43" s="156"/>
      <c r="O43" s="139">
        <f t="shared" si="0"/>
        <v>1320000</v>
      </c>
      <c r="P43" s="139"/>
      <c r="Q43" s="139">
        <f t="shared" si="1"/>
        <v>-1320000</v>
      </c>
      <c r="R43" s="186"/>
      <c r="S43" s="215"/>
      <c r="T43" s="215"/>
    </row>
    <row r="44" spans="1:20" ht="24.95" customHeight="1" x14ac:dyDescent="0.25">
      <c r="A44" s="426" t="s">
        <v>20</v>
      </c>
      <c r="B44" s="426"/>
      <c r="C44" s="426"/>
      <c r="D44" s="426"/>
      <c r="E44" s="426"/>
      <c r="F44" s="426"/>
      <c r="G44" s="161">
        <f t="shared" ref="G44:Q44" si="3">SUM(G7:G43)</f>
        <v>3132</v>
      </c>
      <c r="H44" s="161">
        <f t="shared" si="3"/>
        <v>49673520</v>
      </c>
      <c r="I44" s="161">
        <f t="shared" si="3"/>
        <v>0</v>
      </c>
      <c r="J44" s="161">
        <f t="shared" si="3"/>
        <v>31160000</v>
      </c>
      <c r="K44" s="161">
        <f t="shared" si="3"/>
        <v>10666153.846153846</v>
      </c>
      <c r="L44" s="161">
        <f t="shared" si="3"/>
        <v>1490000</v>
      </c>
      <c r="M44" s="161">
        <f t="shared" si="3"/>
        <v>5800000</v>
      </c>
      <c r="N44" s="161">
        <f t="shared" si="3"/>
        <v>2925000</v>
      </c>
      <c r="O44" s="161">
        <f t="shared" si="3"/>
        <v>101714673.84615384</v>
      </c>
      <c r="P44" s="161">
        <f t="shared" si="3"/>
        <v>128480000</v>
      </c>
      <c r="Q44" s="161">
        <f t="shared" si="3"/>
        <v>26765326.153846152</v>
      </c>
      <c r="R44" s="187"/>
      <c r="S44" s="189"/>
    </row>
    <row r="45" spans="1:20" ht="24.95" customHeight="1" x14ac:dyDescent="0.25">
      <c r="O45" s="158"/>
      <c r="Q45" s="158">
        <f>P44-O44</f>
        <v>26765326.15384616</v>
      </c>
    </row>
    <row r="46" spans="1:20" ht="24.95" customHeight="1" x14ac:dyDescent="0.25">
      <c r="P46" s="216" t="s">
        <v>1603</v>
      </c>
      <c r="Q46" s="227">
        <f>'2.2019'!Q33+'3.2019'!Q44</f>
        <v>81931091.153846145</v>
      </c>
    </row>
    <row r="47" spans="1:20" ht="24.95" customHeight="1" x14ac:dyDescent="0.25">
      <c r="B47" s="129"/>
      <c r="H47" s="128"/>
      <c r="J47" s="128"/>
      <c r="K47" s="128"/>
      <c r="L47" s="128"/>
      <c r="M47" s="128"/>
      <c r="N47" s="128"/>
      <c r="O47" s="128"/>
      <c r="P47" s="218"/>
      <c r="Q47" s="216"/>
    </row>
    <row r="48" spans="1:20" ht="24.95" customHeight="1" x14ac:dyDescent="0.25">
      <c r="B48" s="129"/>
      <c r="H48" s="128"/>
      <c r="J48" s="128"/>
      <c r="K48" s="128"/>
      <c r="L48" s="128"/>
      <c r="M48" s="128"/>
      <c r="N48" s="128"/>
      <c r="O48" s="128"/>
      <c r="P48" s="218"/>
      <c r="Q48" s="230"/>
    </row>
    <row r="49" spans="1:17" ht="24.95" customHeight="1" x14ac:dyDescent="0.25">
      <c r="B49" s="129"/>
      <c r="H49" s="128"/>
      <c r="J49" s="128"/>
      <c r="K49" s="128"/>
      <c r="L49" s="128"/>
      <c r="M49" s="128"/>
      <c r="N49" s="128"/>
      <c r="O49" s="128"/>
      <c r="P49" s="218"/>
      <c r="Q49" s="230"/>
    </row>
    <row r="50" spans="1:17" ht="24.95" customHeight="1" x14ac:dyDescent="0.25">
      <c r="B50" s="129"/>
      <c r="H50" s="128"/>
      <c r="J50" s="128"/>
      <c r="K50" s="128"/>
      <c r="L50" s="128"/>
      <c r="M50" s="128"/>
      <c r="N50" s="128"/>
      <c r="O50" s="128"/>
      <c r="P50" s="218"/>
      <c r="Q50" s="216"/>
    </row>
    <row r="51" spans="1:17" x14ac:dyDescent="0.25">
      <c r="B51" s="129"/>
      <c r="H51" s="128"/>
      <c r="J51" s="128"/>
      <c r="K51" s="128"/>
      <c r="L51" s="128"/>
      <c r="M51" s="128"/>
      <c r="N51" s="128"/>
      <c r="O51" s="128"/>
      <c r="P51" s="218"/>
      <c r="Q51" s="216"/>
    </row>
    <row r="52" spans="1:17" x14ac:dyDescent="0.25">
      <c r="A52" s="128"/>
      <c r="B52" s="129"/>
      <c r="H52" s="128"/>
      <c r="J52" s="128"/>
      <c r="K52" s="128"/>
      <c r="L52" s="128"/>
      <c r="M52" s="128"/>
      <c r="N52" s="128"/>
      <c r="O52" s="128"/>
      <c r="P52" s="218"/>
      <c r="Q52" s="216"/>
    </row>
    <row r="53" spans="1:17" x14ac:dyDescent="0.25">
      <c r="A53" s="128"/>
      <c r="B53" s="129"/>
      <c r="H53" s="128"/>
      <c r="J53" s="128"/>
      <c r="K53" s="128"/>
      <c r="L53" s="128"/>
      <c r="M53" s="128"/>
      <c r="N53" s="128"/>
      <c r="O53" s="128"/>
      <c r="P53" s="128"/>
      <c r="Q53" s="216"/>
    </row>
    <row r="54" spans="1:17" x14ac:dyDescent="0.25">
      <c r="A54" s="128"/>
      <c r="B54" s="128"/>
      <c r="H54" s="128"/>
      <c r="J54" s="128"/>
      <c r="K54" s="128"/>
      <c r="L54" s="128"/>
      <c r="M54" s="128"/>
      <c r="N54" s="128"/>
      <c r="O54" s="128"/>
      <c r="P54" s="128"/>
      <c r="Q54" s="216"/>
    </row>
    <row r="55" spans="1:17" x14ac:dyDescent="0.25">
      <c r="A55" s="128"/>
      <c r="B55" s="128"/>
      <c r="H55" s="128"/>
      <c r="J55" s="128"/>
      <c r="K55" s="128"/>
      <c r="L55" s="128"/>
      <c r="M55" s="128"/>
      <c r="N55" s="128"/>
      <c r="O55" s="128"/>
      <c r="P55" s="128"/>
      <c r="Q55" s="216"/>
    </row>
  </sheetData>
  <mergeCells count="14">
    <mergeCell ref="O5:O6"/>
    <mergeCell ref="P5:P6"/>
    <mergeCell ref="Q5:Q6"/>
    <mergeCell ref="A44:F44"/>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4"/>
  <sheetViews>
    <sheetView topLeftCell="B31" workbookViewId="0">
      <selection activeCell="Q45" sqref="Q45"/>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2344</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4.95" customHeight="1" thickBot="1" x14ac:dyDescent="0.25">
      <c r="A7" s="211">
        <v>1</v>
      </c>
      <c r="B7" s="191">
        <v>43556</v>
      </c>
      <c r="C7" s="138" t="s">
        <v>2345</v>
      </c>
      <c r="D7" s="138" t="s">
        <v>2358</v>
      </c>
      <c r="E7" s="146" t="s">
        <v>23</v>
      </c>
      <c r="F7" s="138"/>
      <c r="G7" s="138"/>
      <c r="H7" s="141"/>
      <c r="I7" s="138"/>
      <c r="J7" s="226">
        <v>2380000</v>
      </c>
      <c r="K7" s="141"/>
      <c r="L7" s="150"/>
      <c r="M7" s="141"/>
      <c r="N7" s="141"/>
      <c r="O7" s="139">
        <f>SUM(H7:N7)</f>
        <v>2380000</v>
      </c>
      <c r="P7" s="139">
        <v>12090909</v>
      </c>
      <c r="Q7" s="139">
        <f>P7-O7</f>
        <v>9710909</v>
      </c>
      <c r="R7" s="171"/>
      <c r="S7" s="215"/>
      <c r="T7" s="215"/>
    </row>
    <row r="8" spans="1:20" s="144" customFormat="1" ht="24.95" customHeight="1" thickBot="1" x14ac:dyDescent="0.25">
      <c r="A8" s="211">
        <v>2</v>
      </c>
      <c r="B8" s="191">
        <v>43557</v>
      </c>
      <c r="C8" s="138" t="s">
        <v>2346</v>
      </c>
      <c r="D8" s="138" t="s">
        <v>2359</v>
      </c>
      <c r="E8" s="146" t="s">
        <v>80</v>
      </c>
      <c r="F8" s="138"/>
      <c r="G8" s="138">
        <v>385</v>
      </c>
      <c r="H8" s="141">
        <f>G8*15860</f>
        <v>6106100</v>
      </c>
      <c r="I8" s="138"/>
      <c r="J8" s="226">
        <v>790000</v>
      </c>
      <c r="K8" s="141"/>
      <c r="L8" s="150"/>
      <c r="M8" s="141"/>
      <c r="N8" s="141"/>
      <c r="O8" s="139">
        <f t="shared" ref="O8:O42" si="0">SUM(H8:N8)</f>
        <v>6896100</v>
      </c>
      <c r="P8" s="139">
        <v>4000000</v>
      </c>
      <c r="Q8" s="139">
        <f t="shared" ref="Q8:Q42" si="1">P8-O8</f>
        <v>-2896100</v>
      </c>
      <c r="R8" s="171"/>
      <c r="S8" s="215"/>
      <c r="T8" s="215"/>
    </row>
    <row r="9" spans="1:20" s="144" customFormat="1" ht="24.95" customHeight="1" thickBot="1" x14ac:dyDescent="0.25">
      <c r="A9" s="211">
        <v>3</v>
      </c>
      <c r="B9" s="191">
        <v>43558</v>
      </c>
      <c r="C9" s="138" t="s">
        <v>2347</v>
      </c>
      <c r="D9" s="138" t="s">
        <v>2360</v>
      </c>
      <c r="E9" s="146" t="s">
        <v>25</v>
      </c>
      <c r="F9" s="138"/>
      <c r="G9" s="138">
        <v>280</v>
      </c>
      <c r="H9" s="141">
        <f>G9*17080</f>
        <v>4782400</v>
      </c>
      <c r="I9" s="138"/>
      <c r="J9" s="226">
        <v>1890000</v>
      </c>
      <c r="K9" s="141"/>
      <c r="L9" s="150"/>
      <c r="M9" s="141"/>
      <c r="N9" s="141"/>
      <c r="O9" s="139">
        <f t="shared" si="0"/>
        <v>6672400</v>
      </c>
      <c r="P9" s="139">
        <v>7500000</v>
      </c>
      <c r="Q9" s="139">
        <f t="shared" si="1"/>
        <v>827600</v>
      </c>
      <c r="R9" s="171"/>
      <c r="S9" s="215"/>
      <c r="T9" s="215"/>
    </row>
    <row r="10" spans="1:20" s="144" customFormat="1" ht="24.95" customHeight="1" thickBot="1" x14ac:dyDescent="0.25">
      <c r="A10" s="211">
        <v>4</v>
      </c>
      <c r="B10" s="191">
        <v>43559</v>
      </c>
      <c r="C10" s="138" t="s">
        <v>1647</v>
      </c>
      <c r="D10" s="138" t="s">
        <v>2361</v>
      </c>
      <c r="E10" s="146" t="s">
        <v>333</v>
      </c>
      <c r="F10" s="138"/>
      <c r="G10" s="138"/>
      <c r="H10" s="141"/>
      <c r="I10" s="138"/>
      <c r="J10" s="226">
        <v>1160000</v>
      </c>
      <c r="K10" s="141"/>
      <c r="L10" s="150"/>
      <c r="M10" s="141"/>
      <c r="N10" s="141"/>
      <c r="O10" s="139">
        <f t="shared" si="0"/>
        <v>1160000</v>
      </c>
      <c r="P10" s="141">
        <v>5000000</v>
      </c>
      <c r="Q10" s="139">
        <f t="shared" si="1"/>
        <v>3840000</v>
      </c>
      <c r="R10" s="171"/>
      <c r="S10" s="215"/>
      <c r="T10" s="215"/>
    </row>
    <row r="11" spans="1:20" s="144" customFormat="1" ht="24.95" customHeight="1" thickBot="1" x14ac:dyDescent="0.25">
      <c r="A11" s="211">
        <v>5</v>
      </c>
      <c r="B11" s="191">
        <v>43560</v>
      </c>
      <c r="C11" s="138" t="s">
        <v>1648</v>
      </c>
      <c r="D11" s="138" t="s">
        <v>2362</v>
      </c>
      <c r="E11" s="146" t="s">
        <v>248</v>
      </c>
      <c r="F11" s="138"/>
      <c r="G11" s="138"/>
      <c r="H11" s="141"/>
      <c r="I11" s="138"/>
      <c r="J11" s="226">
        <v>970000</v>
      </c>
      <c r="K11" s="141"/>
      <c r="L11" s="150"/>
      <c r="M11" s="141"/>
      <c r="N11" s="141"/>
      <c r="O11" s="139">
        <f t="shared" si="0"/>
        <v>970000</v>
      </c>
      <c r="P11" s="141">
        <v>4560000</v>
      </c>
      <c r="Q11" s="139">
        <f t="shared" si="1"/>
        <v>3590000</v>
      </c>
      <c r="R11" s="171"/>
      <c r="S11" s="215"/>
      <c r="T11" s="215"/>
    </row>
    <row r="12" spans="1:20" s="144" customFormat="1" ht="24.95" customHeight="1" thickBot="1" x14ac:dyDescent="0.25">
      <c r="A12" s="211">
        <v>6</v>
      </c>
      <c r="B12" s="191">
        <v>43561</v>
      </c>
      <c r="C12" s="138" t="s">
        <v>2348</v>
      </c>
      <c r="D12" s="138" t="s">
        <v>2363</v>
      </c>
      <c r="E12" s="146" t="s">
        <v>189</v>
      </c>
      <c r="F12" s="138"/>
      <c r="G12" s="138">
        <v>310</v>
      </c>
      <c r="H12" s="141">
        <f t="shared" ref="H12:H17" si="2">G12*17080</f>
        <v>5294800</v>
      </c>
      <c r="I12" s="138"/>
      <c r="J12" s="226">
        <v>970000</v>
      </c>
      <c r="K12" s="141"/>
      <c r="L12" s="150"/>
      <c r="M12" s="141"/>
      <c r="N12" s="141"/>
      <c r="O12" s="139">
        <f t="shared" si="0"/>
        <v>6264800</v>
      </c>
      <c r="P12" s="141">
        <v>4000000</v>
      </c>
      <c r="Q12" s="139">
        <f t="shared" si="1"/>
        <v>-2264800</v>
      </c>
      <c r="R12" s="171"/>
      <c r="S12" s="215"/>
      <c r="T12" s="215"/>
    </row>
    <row r="13" spans="1:20" s="144" customFormat="1" ht="24.95" customHeight="1" thickBot="1" x14ac:dyDescent="0.25">
      <c r="A13" s="211">
        <v>7</v>
      </c>
      <c r="B13" s="191">
        <v>43564</v>
      </c>
      <c r="C13" s="138" t="s">
        <v>254</v>
      </c>
      <c r="D13" s="138" t="s">
        <v>2364</v>
      </c>
      <c r="E13" s="146" t="s">
        <v>1999</v>
      </c>
      <c r="F13" s="138"/>
      <c r="G13" s="138"/>
      <c r="H13" s="141"/>
      <c r="I13" s="138"/>
      <c r="J13" s="226">
        <v>1510000</v>
      </c>
      <c r="K13" s="141"/>
      <c r="L13" s="150"/>
      <c r="M13" s="141"/>
      <c r="N13" s="141"/>
      <c r="O13" s="139">
        <f t="shared" si="0"/>
        <v>1510000</v>
      </c>
      <c r="P13" s="141">
        <v>6100000</v>
      </c>
      <c r="Q13" s="139">
        <f t="shared" si="1"/>
        <v>4590000</v>
      </c>
      <c r="R13" s="171"/>
      <c r="S13" s="215"/>
      <c r="T13" s="215"/>
    </row>
    <row r="14" spans="1:20" s="144" customFormat="1" ht="24.95" customHeight="1" thickBot="1" x14ac:dyDescent="0.25">
      <c r="A14" s="211">
        <v>8</v>
      </c>
      <c r="B14" s="191">
        <v>43565</v>
      </c>
      <c r="C14" s="138" t="s">
        <v>1034</v>
      </c>
      <c r="D14" s="138" t="s">
        <v>2365</v>
      </c>
      <c r="E14" s="146" t="s">
        <v>1565</v>
      </c>
      <c r="F14" s="138"/>
      <c r="G14" s="138"/>
      <c r="H14" s="141"/>
      <c r="I14" s="138"/>
      <c r="J14" s="226">
        <v>1510000</v>
      </c>
      <c r="K14" s="141"/>
      <c r="L14" s="150"/>
      <c r="M14" s="141"/>
      <c r="N14" s="141"/>
      <c r="O14" s="139">
        <f t="shared" si="0"/>
        <v>1510000</v>
      </c>
      <c r="P14" s="141">
        <v>5600000</v>
      </c>
      <c r="Q14" s="139">
        <f t="shared" si="1"/>
        <v>4090000</v>
      </c>
      <c r="R14" s="171"/>
      <c r="S14" s="215"/>
      <c r="T14" s="215"/>
    </row>
    <row r="15" spans="1:20" s="144" customFormat="1" ht="24.95" customHeight="1" thickBot="1" x14ac:dyDescent="0.25">
      <c r="A15" s="211">
        <v>9</v>
      </c>
      <c r="B15" s="191">
        <v>43566</v>
      </c>
      <c r="C15" s="138" t="s">
        <v>1035</v>
      </c>
      <c r="D15" s="138" t="s">
        <v>2366</v>
      </c>
      <c r="E15" s="146" t="s">
        <v>2381</v>
      </c>
      <c r="F15" s="138"/>
      <c r="G15" s="138">
        <v>291</v>
      </c>
      <c r="H15" s="141">
        <f t="shared" si="2"/>
        <v>4970280</v>
      </c>
      <c r="I15" s="138"/>
      <c r="J15" s="226">
        <v>1510000</v>
      </c>
      <c r="K15" s="141"/>
      <c r="L15" s="150"/>
      <c r="M15" s="141"/>
      <c r="N15" s="141"/>
      <c r="O15" s="139">
        <f t="shared" si="0"/>
        <v>6480280</v>
      </c>
      <c r="P15" s="141">
        <v>5800000</v>
      </c>
      <c r="Q15" s="139">
        <f t="shared" si="1"/>
        <v>-680280</v>
      </c>
      <c r="R15" s="171"/>
      <c r="S15" s="215"/>
      <c r="T15" s="215"/>
    </row>
    <row r="16" spans="1:20" s="144" customFormat="1" ht="24.95" customHeight="1" thickBot="1" x14ac:dyDescent="0.25">
      <c r="A16" s="211">
        <v>10</v>
      </c>
      <c r="B16" s="191">
        <v>43567</v>
      </c>
      <c r="C16" s="138" t="s">
        <v>2349</v>
      </c>
      <c r="D16" s="138" t="s">
        <v>2367</v>
      </c>
      <c r="E16" s="146" t="s">
        <v>2382</v>
      </c>
      <c r="F16" s="138"/>
      <c r="G16" s="138"/>
      <c r="H16" s="141"/>
      <c r="I16" s="138"/>
      <c r="J16" s="226">
        <v>2120000</v>
      </c>
      <c r="K16" s="141"/>
      <c r="L16" s="150"/>
      <c r="M16" s="141"/>
      <c r="N16" s="141"/>
      <c r="O16" s="139">
        <f t="shared" si="0"/>
        <v>2120000</v>
      </c>
      <c r="P16" s="141">
        <v>8500000</v>
      </c>
      <c r="Q16" s="139">
        <f t="shared" si="1"/>
        <v>6380000</v>
      </c>
      <c r="R16" s="171"/>
      <c r="S16" s="215"/>
      <c r="T16" s="215"/>
    </row>
    <row r="17" spans="1:20" s="144" customFormat="1" ht="24.95" customHeight="1" thickBot="1" x14ac:dyDescent="0.25">
      <c r="A17" s="211">
        <v>11</v>
      </c>
      <c r="B17" s="191">
        <v>43568</v>
      </c>
      <c r="C17" s="138" t="s">
        <v>1652</v>
      </c>
      <c r="D17" s="138" t="s">
        <v>2368</v>
      </c>
      <c r="E17" s="146" t="s">
        <v>248</v>
      </c>
      <c r="F17" s="138"/>
      <c r="G17" s="138">
        <v>365</v>
      </c>
      <c r="H17" s="141">
        <f t="shared" si="2"/>
        <v>6234200</v>
      </c>
      <c r="I17" s="138"/>
      <c r="J17" s="226">
        <v>970000</v>
      </c>
      <c r="K17" s="141"/>
      <c r="L17" s="150"/>
      <c r="M17" s="141"/>
      <c r="N17" s="141"/>
      <c r="O17" s="139">
        <f t="shared" si="0"/>
        <v>7204200</v>
      </c>
      <c r="P17" s="141">
        <v>4560000</v>
      </c>
      <c r="Q17" s="139">
        <f t="shared" si="1"/>
        <v>-2644200</v>
      </c>
      <c r="R17" s="171"/>
      <c r="S17" s="215"/>
      <c r="T17" s="215"/>
    </row>
    <row r="18" spans="1:20" s="144" customFormat="1" ht="24.95" customHeight="1" thickBot="1" x14ac:dyDescent="0.25">
      <c r="A18" s="211">
        <v>12</v>
      </c>
      <c r="B18" s="191">
        <v>43572</v>
      </c>
      <c r="C18" s="138" t="s">
        <v>1041</v>
      </c>
      <c r="D18" s="138" t="s">
        <v>2369</v>
      </c>
      <c r="E18" s="146" t="s">
        <v>2383</v>
      </c>
      <c r="F18" s="138"/>
      <c r="G18" s="138"/>
      <c r="H18" s="141"/>
      <c r="I18" s="138"/>
      <c r="J18" s="226">
        <v>1280000</v>
      </c>
      <c r="K18" s="141"/>
      <c r="L18" s="150"/>
      <c r="M18" s="141"/>
      <c r="N18" s="141"/>
      <c r="O18" s="139">
        <f t="shared" si="0"/>
        <v>1280000</v>
      </c>
      <c r="P18" s="141">
        <v>4900000</v>
      </c>
      <c r="Q18" s="139">
        <f t="shared" si="1"/>
        <v>3620000</v>
      </c>
      <c r="R18" s="171"/>
      <c r="S18" s="215"/>
      <c r="T18" s="215"/>
    </row>
    <row r="19" spans="1:20" s="144" customFormat="1" ht="24.95" customHeight="1" thickBot="1" x14ac:dyDescent="0.25">
      <c r="A19" s="211">
        <v>13</v>
      </c>
      <c r="B19" s="191">
        <v>43573</v>
      </c>
      <c r="C19" s="138" t="s">
        <v>2350</v>
      </c>
      <c r="D19" s="138" t="s">
        <v>2370</v>
      </c>
      <c r="E19" s="146" t="s">
        <v>259</v>
      </c>
      <c r="F19" s="138"/>
      <c r="G19" s="138">
        <v>350</v>
      </c>
      <c r="H19" s="141">
        <f>G19*17380</f>
        <v>6083000</v>
      </c>
      <c r="I19" s="138"/>
      <c r="J19" s="226">
        <v>970000</v>
      </c>
      <c r="K19" s="141"/>
      <c r="L19" s="150"/>
      <c r="M19" s="141"/>
      <c r="N19" s="141"/>
      <c r="O19" s="139">
        <f t="shared" si="0"/>
        <v>7053000</v>
      </c>
      <c r="P19" s="141">
        <v>4000000</v>
      </c>
      <c r="Q19" s="139">
        <f t="shared" si="1"/>
        <v>-3053000</v>
      </c>
      <c r="R19" s="171"/>
      <c r="S19" s="215"/>
      <c r="T19" s="215"/>
    </row>
    <row r="20" spans="1:20" s="144" customFormat="1" ht="24.95" customHeight="1" thickBot="1" x14ac:dyDescent="0.25">
      <c r="A20" s="211">
        <v>14</v>
      </c>
      <c r="B20" s="191">
        <v>43574</v>
      </c>
      <c r="C20" s="138" t="s">
        <v>2351</v>
      </c>
      <c r="D20" s="138" t="s">
        <v>2371</v>
      </c>
      <c r="E20" s="146" t="s">
        <v>248</v>
      </c>
      <c r="F20" s="138"/>
      <c r="G20" s="138"/>
      <c r="H20" s="141"/>
      <c r="I20" s="138"/>
      <c r="J20" s="226">
        <v>970000</v>
      </c>
      <c r="K20" s="141"/>
      <c r="L20" s="150"/>
      <c r="M20" s="141"/>
      <c r="N20" s="141"/>
      <c r="O20" s="139">
        <f t="shared" si="0"/>
        <v>970000</v>
      </c>
      <c r="P20" s="141">
        <v>4560000</v>
      </c>
      <c r="Q20" s="139">
        <f t="shared" si="1"/>
        <v>3590000</v>
      </c>
      <c r="R20" s="171"/>
      <c r="S20" s="215"/>
      <c r="T20" s="215"/>
    </row>
    <row r="21" spans="1:20" s="144" customFormat="1" ht="24.95" customHeight="1" thickBot="1" x14ac:dyDescent="0.25">
      <c r="A21" s="211">
        <v>15</v>
      </c>
      <c r="B21" s="191">
        <v>43575</v>
      </c>
      <c r="C21" s="138" t="s">
        <v>2352</v>
      </c>
      <c r="D21" s="138" t="s">
        <v>2372</v>
      </c>
      <c r="E21" s="146" t="s">
        <v>259</v>
      </c>
      <c r="F21" s="138"/>
      <c r="G21" s="138"/>
      <c r="H21" s="141"/>
      <c r="I21" s="138"/>
      <c r="J21" s="226">
        <v>970000</v>
      </c>
      <c r="K21" s="141"/>
      <c r="L21" s="150"/>
      <c r="M21" s="141"/>
      <c r="N21" s="141"/>
      <c r="O21" s="139">
        <f t="shared" si="0"/>
        <v>970000</v>
      </c>
      <c r="P21" s="141">
        <v>4000000</v>
      </c>
      <c r="Q21" s="139">
        <f t="shared" si="1"/>
        <v>3030000</v>
      </c>
      <c r="R21" s="171"/>
      <c r="S21" s="215"/>
      <c r="T21" s="215"/>
    </row>
    <row r="22" spans="1:20" s="144" customFormat="1" ht="24.95" customHeight="1" thickBot="1" x14ac:dyDescent="0.25">
      <c r="A22" s="211">
        <v>16</v>
      </c>
      <c r="B22" s="191">
        <v>43576</v>
      </c>
      <c r="C22" s="138" t="s">
        <v>1658</v>
      </c>
      <c r="D22" s="138" t="s">
        <v>2373</v>
      </c>
      <c r="E22" s="146" t="s">
        <v>2384</v>
      </c>
      <c r="F22" s="138"/>
      <c r="G22" s="138">
        <v>320</v>
      </c>
      <c r="H22" s="141">
        <f t="shared" ref="H22:H28" si="3">G22*17380</f>
        <v>5561600</v>
      </c>
      <c r="I22" s="138"/>
      <c r="J22" s="226">
        <v>1210000</v>
      </c>
      <c r="K22" s="141"/>
      <c r="L22" s="150"/>
      <c r="M22" s="141"/>
      <c r="N22" s="141"/>
      <c r="O22" s="139">
        <f t="shared" si="0"/>
        <v>6771600</v>
      </c>
      <c r="P22" s="141">
        <v>4600000</v>
      </c>
      <c r="Q22" s="139">
        <f t="shared" si="1"/>
        <v>-2171600</v>
      </c>
      <c r="R22" s="171"/>
      <c r="S22" s="215"/>
      <c r="T22" s="215"/>
    </row>
    <row r="23" spans="1:20" s="144" customFormat="1" ht="24.95" customHeight="1" thickBot="1" x14ac:dyDescent="0.25">
      <c r="A23" s="211">
        <v>17</v>
      </c>
      <c r="B23" s="191">
        <v>43577</v>
      </c>
      <c r="C23" s="138" t="s">
        <v>1047</v>
      </c>
      <c r="D23" s="138" t="s">
        <v>2374</v>
      </c>
      <c r="E23" s="146" t="s">
        <v>333</v>
      </c>
      <c r="F23" s="138"/>
      <c r="G23" s="138"/>
      <c r="H23" s="141"/>
      <c r="I23" s="138"/>
      <c r="J23" s="226">
        <v>1160000</v>
      </c>
      <c r="K23" s="141"/>
      <c r="L23" s="150"/>
      <c r="M23" s="141"/>
      <c r="N23" s="141"/>
      <c r="O23" s="139">
        <f t="shared" si="0"/>
        <v>1160000</v>
      </c>
      <c r="P23" s="141">
        <v>5000000</v>
      </c>
      <c r="Q23" s="139">
        <f t="shared" si="1"/>
        <v>3840000</v>
      </c>
      <c r="R23" s="171"/>
      <c r="S23" s="215"/>
      <c r="T23" s="215"/>
    </row>
    <row r="24" spans="1:20" s="144" customFormat="1" ht="24.95" customHeight="1" thickBot="1" x14ac:dyDescent="0.25">
      <c r="A24" s="211">
        <v>18</v>
      </c>
      <c r="B24" s="191">
        <v>43578</v>
      </c>
      <c r="C24" s="138" t="s">
        <v>2353</v>
      </c>
      <c r="D24" s="138" t="s">
        <v>2375</v>
      </c>
      <c r="E24" s="146" t="s">
        <v>1796</v>
      </c>
      <c r="F24" s="138"/>
      <c r="G24" s="138"/>
      <c r="H24" s="141"/>
      <c r="I24" s="138"/>
      <c r="J24" s="226">
        <v>1780000</v>
      </c>
      <c r="K24" s="141"/>
      <c r="L24" s="150"/>
      <c r="M24" s="141"/>
      <c r="N24" s="141"/>
      <c r="O24" s="139">
        <f t="shared" si="0"/>
        <v>1780000</v>
      </c>
      <c r="P24" s="141">
        <v>5580000</v>
      </c>
      <c r="Q24" s="139">
        <f t="shared" si="1"/>
        <v>3800000</v>
      </c>
      <c r="R24" s="171"/>
      <c r="S24" s="215"/>
      <c r="T24" s="215"/>
    </row>
    <row r="25" spans="1:20" s="144" customFormat="1" ht="24.95" customHeight="1" thickBot="1" x14ac:dyDescent="0.25">
      <c r="A25" s="211">
        <v>19</v>
      </c>
      <c r="B25" s="191">
        <v>43579</v>
      </c>
      <c r="C25" s="138" t="s">
        <v>2354</v>
      </c>
      <c r="D25" s="138" t="s">
        <v>2376</v>
      </c>
      <c r="E25" s="146" t="s">
        <v>1937</v>
      </c>
      <c r="F25" s="138"/>
      <c r="G25" s="138"/>
      <c r="H25" s="141"/>
      <c r="I25" s="138"/>
      <c r="J25" s="226">
        <v>1150000</v>
      </c>
      <c r="K25" s="141"/>
      <c r="L25" s="150"/>
      <c r="M25" s="141"/>
      <c r="N25" s="141"/>
      <c r="O25" s="139">
        <f t="shared" si="0"/>
        <v>1150000</v>
      </c>
      <c r="P25" s="141">
        <v>3860000</v>
      </c>
      <c r="Q25" s="139">
        <f t="shared" si="1"/>
        <v>2710000</v>
      </c>
      <c r="R25" s="171"/>
      <c r="S25" s="215"/>
      <c r="T25" s="215"/>
    </row>
    <row r="26" spans="1:20" s="144" customFormat="1" ht="24.95" customHeight="1" thickBot="1" x14ac:dyDescent="0.25">
      <c r="A26" s="211">
        <v>20</v>
      </c>
      <c r="B26" s="191">
        <v>43580</v>
      </c>
      <c r="C26" s="138" t="s">
        <v>1660</v>
      </c>
      <c r="D26" s="138" t="s">
        <v>2377</v>
      </c>
      <c r="E26" s="146" t="s">
        <v>1937</v>
      </c>
      <c r="F26" s="138"/>
      <c r="G26" s="138">
        <v>345</v>
      </c>
      <c r="H26" s="141">
        <f t="shared" si="3"/>
        <v>5996100</v>
      </c>
      <c r="I26" s="138"/>
      <c r="J26" s="226">
        <v>1150000</v>
      </c>
      <c r="K26" s="141"/>
      <c r="L26" s="150"/>
      <c r="M26" s="141"/>
      <c r="N26" s="141"/>
      <c r="O26" s="139">
        <f t="shared" si="0"/>
        <v>7146100</v>
      </c>
      <c r="P26" s="141">
        <v>3860000</v>
      </c>
      <c r="Q26" s="139">
        <f t="shared" si="1"/>
        <v>-3286100</v>
      </c>
      <c r="R26" s="171"/>
      <c r="S26" s="215"/>
      <c r="T26" s="215"/>
    </row>
    <row r="27" spans="1:20" s="144" customFormat="1" ht="24.95" customHeight="1" thickBot="1" x14ac:dyDescent="0.25">
      <c r="A27" s="211">
        <v>21</v>
      </c>
      <c r="B27" s="191">
        <v>43581</v>
      </c>
      <c r="C27" s="138" t="s">
        <v>2355</v>
      </c>
      <c r="D27" s="138" t="s">
        <v>2378</v>
      </c>
      <c r="E27" s="146" t="s">
        <v>1937</v>
      </c>
      <c r="F27" s="138"/>
      <c r="G27" s="138"/>
      <c r="H27" s="141"/>
      <c r="I27" s="138"/>
      <c r="J27" s="226">
        <v>1150000</v>
      </c>
      <c r="K27" s="141"/>
      <c r="L27" s="150"/>
      <c r="M27" s="141"/>
      <c r="N27" s="141"/>
      <c r="O27" s="139">
        <f t="shared" si="0"/>
        <v>1150000</v>
      </c>
      <c r="P27" s="141">
        <v>3860000</v>
      </c>
      <c r="Q27" s="139">
        <f t="shared" si="1"/>
        <v>2710000</v>
      </c>
      <c r="R27" s="171"/>
      <c r="S27" s="215"/>
      <c r="T27" s="215"/>
    </row>
    <row r="28" spans="1:20" s="144" customFormat="1" ht="24.95" customHeight="1" thickBot="1" x14ac:dyDescent="0.25">
      <c r="A28" s="211">
        <v>22</v>
      </c>
      <c r="B28" s="191">
        <v>43582</v>
      </c>
      <c r="C28" s="138" t="s">
        <v>2356</v>
      </c>
      <c r="D28" s="138" t="s">
        <v>2379</v>
      </c>
      <c r="E28" s="146" t="s">
        <v>25</v>
      </c>
      <c r="F28" s="138"/>
      <c r="G28" s="138">
        <v>350</v>
      </c>
      <c r="H28" s="141">
        <f t="shared" si="3"/>
        <v>6083000</v>
      </c>
      <c r="I28" s="138"/>
      <c r="J28" s="226">
        <v>1890000</v>
      </c>
      <c r="K28" s="141"/>
      <c r="L28" s="150"/>
      <c r="M28" s="141"/>
      <c r="N28" s="141"/>
      <c r="O28" s="139">
        <f t="shared" si="0"/>
        <v>7973000</v>
      </c>
      <c r="P28" s="141">
        <v>7500000</v>
      </c>
      <c r="Q28" s="139">
        <f t="shared" si="1"/>
        <v>-473000</v>
      </c>
      <c r="R28" s="171"/>
      <c r="S28" s="215"/>
      <c r="T28" s="215"/>
    </row>
    <row r="29" spans="1:20" s="144" customFormat="1" ht="24.95" customHeight="1" thickBot="1" x14ac:dyDescent="0.25">
      <c r="A29" s="211">
        <v>23</v>
      </c>
      <c r="B29" s="191">
        <v>43584</v>
      </c>
      <c r="C29" s="138" t="s">
        <v>2357</v>
      </c>
      <c r="D29" s="138" t="s">
        <v>2380</v>
      </c>
      <c r="E29" s="146" t="s">
        <v>291</v>
      </c>
      <c r="F29" s="138"/>
      <c r="G29" s="138"/>
      <c r="H29" s="141"/>
      <c r="I29" s="138"/>
      <c r="J29" s="226">
        <v>1150000</v>
      </c>
      <c r="K29" s="141"/>
      <c r="L29" s="150"/>
      <c r="M29" s="141"/>
      <c r="N29" s="141"/>
      <c r="O29" s="139">
        <f t="shared" si="0"/>
        <v>1150000</v>
      </c>
      <c r="P29" s="141">
        <v>3700000</v>
      </c>
      <c r="Q29" s="139">
        <f t="shared" si="1"/>
        <v>2550000</v>
      </c>
      <c r="R29" s="171"/>
      <c r="S29" s="215"/>
      <c r="T29" s="215"/>
    </row>
    <row r="30" spans="1:20" s="144" customFormat="1" ht="24.95" customHeight="1" x14ac:dyDescent="0.2">
      <c r="A30" s="211"/>
      <c r="B30" s="232"/>
      <c r="C30" s="138"/>
      <c r="D30" s="138"/>
      <c r="E30" s="146"/>
      <c r="F30" s="138"/>
      <c r="G30" s="138"/>
      <c r="H30" s="141"/>
      <c r="I30" s="138"/>
      <c r="J30" s="141"/>
      <c r="K30" s="141"/>
      <c r="L30" s="150"/>
      <c r="M30" s="141"/>
      <c r="N30" s="141"/>
      <c r="O30" s="139">
        <f t="shared" si="0"/>
        <v>0</v>
      </c>
      <c r="P30" s="141"/>
      <c r="Q30" s="139">
        <f t="shared" si="1"/>
        <v>0</v>
      </c>
      <c r="R30" s="217"/>
      <c r="S30" s="215"/>
      <c r="T30" s="215"/>
    </row>
    <row r="31" spans="1:20" s="144" customFormat="1" ht="24.95" customHeight="1" x14ac:dyDescent="0.2">
      <c r="A31" s="211"/>
      <c r="B31" s="232"/>
      <c r="C31" s="138"/>
      <c r="D31" s="138"/>
      <c r="E31" s="146"/>
      <c r="F31" s="138"/>
      <c r="G31" s="138"/>
      <c r="H31" s="139"/>
      <c r="I31" s="138"/>
      <c r="J31" s="141"/>
      <c r="K31" s="141"/>
      <c r="L31" s="150"/>
      <c r="M31" s="141"/>
      <c r="N31" s="141"/>
      <c r="O31" s="139">
        <f t="shared" si="0"/>
        <v>0</v>
      </c>
      <c r="P31" s="139"/>
      <c r="Q31" s="139">
        <f t="shared" si="1"/>
        <v>0</v>
      </c>
      <c r="R31" s="217"/>
      <c r="S31" s="215"/>
      <c r="T31" s="215"/>
    </row>
    <row r="32" spans="1:20" s="144" customFormat="1" ht="45" customHeight="1" x14ac:dyDescent="0.2">
      <c r="A32" s="211"/>
      <c r="C32" s="221" t="s">
        <v>2385</v>
      </c>
      <c r="D32" s="138"/>
      <c r="E32" s="146"/>
      <c r="F32" s="138"/>
      <c r="G32" s="138"/>
      <c r="H32" s="139"/>
      <c r="I32" s="138"/>
      <c r="J32" s="141"/>
      <c r="K32" s="141"/>
      <c r="L32" s="219">
        <v>1567500</v>
      </c>
      <c r="M32" s="141"/>
      <c r="N32" s="157"/>
      <c r="O32" s="139">
        <f t="shared" si="0"/>
        <v>1567500</v>
      </c>
      <c r="P32" s="139"/>
      <c r="Q32" s="139">
        <f t="shared" si="1"/>
        <v>-1567500</v>
      </c>
      <c r="R32" s="217"/>
      <c r="S32" s="215"/>
      <c r="T32" s="215"/>
    </row>
    <row r="33" spans="1:20" s="144" customFormat="1" ht="45" customHeight="1" x14ac:dyDescent="0.2">
      <c r="A33" s="211"/>
      <c r="C33" s="221" t="s">
        <v>1091</v>
      </c>
      <c r="D33" s="138"/>
      <c r="E33" s="146"/>
      <c r="F33" s="138"/>
      <c r="G33" s="138"/>
      <c r="H33" s="139"/>
      <c r="I33" s="138"/>
      <c r="J33" s="141"/>
      <c r="K33" s="141"/>
      <c r="L33" s="219">
        <v>8580000</v>
      </c>
      <c r="M33" s="141"/>
      <c r="N33" s="157"/>
      <c r="O33" s="139">
        <f t="shared" si="0"/>
        <v>8580000</v>
      </c>
      <c r="P33" s="139"/>
      <c r="Q33" s="139">
        <f t="shared" si="1"/>
        <v>-8580000</v>
      </c>
      <c r="R33" s="217"/>
      <c r="S33" s="215"/>
      <c r="T33" s="215"/>
    </row>
    <row r="34" spans="1:20" s="144" customFormat="1" ht="45" customHeight="1" x14ac:dyDescent="0.2">
      <c r="A34" s="211"/>
      <c r="C34" s="221" t="s">
        <v>2386</v>
      </c>
      <c r="D34" s="138"/>
      <c r="E34" s="146"/>
      <c r="F34" s="138"/>
      <c r="G34" s="138"/>
      <c r="H34" s="139"/>
      <c r="I34" s="138"/>
      <c r="J34" s="141"/>
      <c r="K34" s="141"/>
      <c r="L34" s="219">
        <v>1120000</v>
      </c>
      <c r="M34" s="141"/>
      <c r="N34" s="157"/>
      <c r="O34" s="139">
        <f t="shared" si="0"/>
        <v>1120000</v>
      </c>
      <c r="P34" s="139"/>
      <c r="Q34" s="139">
        <f t="shared" si="1"/>
        <v>-1120000</v>
      </c>
      <c r="R34" s="217"/>
      <c r="S34" s="215"/>
      <c r="T34" s="215"/>
    </row>
    <row r="35" spans="1:20" s="144" customFormat="1" ht="45" customHeight="1" x14ac:dyDescent="0.2">
      <c r="A35" s="211"/>
      <c r="C35" s="221" t="s">
        <v>2387</v>
      </c>
      <c r="D35" s="138"/>
      <c r="E35" s="146"/>
      <c r="F35" s="138"/>
      <c r="G35" s="138"/>
      <c r="H35" s="139"/>
      <c r="I35" s="138"/>
      <c r="J35" s="141"/>
      <c r="K35" s="141"/>
      <c r="L35" s="219">
        <v>300000</v>
      </c>
      <c r="M35" s="141"/>
      <c r="N35" s="157"/>
      <c r="O35" s="139">
        <f t="shared" si="0"/>
        <v>300000</v>
      </c>
      <c r="P35" s="139"/>
      <c r="Q35" s="139">
        <f t="shared" si="1"/>
        <v>-300000</v>
      </c>
      <c r="R35" s="217"/>
      <c r="S35" s="215"/>
      <c r="T35" s="215"/>
    </row>
    <row r="36" spans="1:20" s="144" customFormat="1" ht="45" customHeight="1" x14ac:dyDescent="0.2">
      <c r="A36" s="211"/>
      <c r="C36" s="221" t="s">
        <v>2388</v>
      </c>
      <c r="D36" s="138"/>
      <c r="E36" s="146"/>
      <c r="F36" s="138"/>
      <c r="G36" s="138"/>
      <c r="H36" s="139"/>
      <c r="I36" s="138"/>
      <c r="J36" s="141"/>
      <c r="K36" s="141"/>
      <c r="L36" s="219"/>
      <c r="M36" s="157">
        <v>5800000</v>
      </c>
      <c r="N36" s="157"/>
      <c r="O36" s="139">
        <f t="shared" si="0"/>
        <v>5800000</v>
      </c>
      <c r="P36" s="139"/>
      <c r="Q36" s="139">
        <f t="shared" si="1"/>
        <v>-5800000</v>
      </c>
      <c r="R36" s="217"/>
      <c r="S36" s="215"/>
      <c r="T36" s="215"/>
    </row>
    <row r="37" spans="1:20" s="144" customFormat="1" ht="67.5" customHeight="1" x14ac:dyDescent="0.2">
      <c r="A37" s="211"/>
      <c r="C37" s="221" t="s">
        <v>2390</v>
      </c>
      <c r="D37" s="138"/>
      <c r="E37" s="146"/>
      <c r="F37" s="138"/>
      <c r="G37" s="138"/>
      <c r="H37" s="139"/>
      <c r="I37" s="138"/>
      <c r="J37" s="141"/>
      <c r="K37" s="141"/>
      <c r="L37" s="219">
        <v>150000</v>
      </c>
      <c r="M37" s="157"/>
      <c r="N37" s="157"/>
      <c r="O37" s="139">
        <f t="shared" si="0"/>
        <v>150000</v>
      </c>
      <c r="P37" s="139"/>
      <c r="Q37" s="139">
        <f t="shared" si="1"/>
        <v>-150000</v>
      </c>
      <c r="R37" s="217"/>
      <c r="S37" s="215"/>
      <c r="T37" s="215"/>
    </row>
    <row r="38" spans="1:20" s="144" customFormat="1" ht="67.5" customHeight="1" x14ac:dyDescent="0.2">
      <c r="A38" s="211"/>
      <c r="C38" s="221" t="s">
        <v>2391</v>
      </c>
      <c r="D38" s="138"/>
      <c r="E38" s="146"/>
      <c r="F38" s="138"/>
      <c r="G38" s="138"/>
      <c r="H38" s="139"/>
      <c r="I38" s="138"/>
      <c r="J38" s="141"/>
      <c r="K38" s="141"/>
      <c r="L38" s="219">
        <v>2870000</v>
      </c>
      <c r="M38" s="157"/>
      <c r="N38" s="157"/>
      <c r="O38" s="139">
        <f t="shared" si="0"/>
        <v>2870000</v>
      </c>
      <c r="P38" s="139"/>
      <c r="Q38" s="139">
        <f t="shared" si="1"/>
        <v>-2870000</v>
      </c>
      <c r="R38" s="217"/>
      <c r="S38" s="215"/>
      <c r="T38" s="215"/>
    </row>
    <row r="39" spans="1:20" s="144" customFormat="1" ht="67.5" customHeight="1" x14ac:dyDescent="0.2">
      <c r="A39" s="211"/>
      <c r="C39" s="221" t="s">
        <v>2392</v>
      </c>
      <c r="D39" s="138"/>
      <c r="E39" s="146"/>
      <c r="F39" s="138"/>
      <c r="G39" s="138"/>
      <c r="H39" s="139"/>
      <c r="I39" s="138"/>
      <c r="J39" s="141"/>
      <c r="K39" s="141"/>
      <c r="L39" s="219">
        <v>1800000</v>
      </c>
      <c r="M39" s="157"/>
      <c r="N39" s="157"/>
      <c r="O39" s="139">
        <f t="shared" si="0"/>
        <v>1800000</v>
      </c>
      <c r="P39" s="139"/>
      <c r="Q39" s="139">
        <f t="shared" si="1"/>
        <v>-1800000</v>
      </c>
      <c r="R39" s="217"/>
      <c r="S39" s="215"/>
      <c r="T39" s="215"/>
    </row>
    <row r="40" spans="1:20" s="144" customFormat="1" ht="45" customHeight="1" x14ac:dyDescent="0.2">
      <c r="A40" s="211"/>
      <c r="C40" s="221" t="s">
        <v>2389</v>
      </c>
      <c r="D40" s="138"/>
      <c r="E40" s="146"/>
      <c r="F40" s="138"/>
      <c r="G40" s="138"/>
      <c r="H40" s="139"/>
      <c r="I40" s="138"/>
      <c r="J40" s="141"/>
      <c r="K40" s="141">
        <v>300000</v>
      </c>
      <c r="L40" s="219"/>
      <c r="M40" s="157"/>
      <c r="N40" s="157"/>
      <c r="O40" s="139">
        <f t="shared" si="0"/>
        <v>300000</v>
      </c>
      <c r="P40" s="139"/>
      <c r="Q40" s="139">
        <f t="shared" si="1"/>
        <v>-300000</v>
      </c>
      <c r="R40" s="217"/>
      <c r="S40" s="215"/>
      <c r="T40" s="215"/>
    </row>
    <row r="41" spans="1:20" s="159" customFormat="1" ht="24.95" customHeight="1" x14ac:dyDescent="0.25">
      <c r="A41" s="211"/>
      <c r="B41" s="165"/>
      <c r="C41" s="196" t="s">
        <v>1337</v>
      </c>
      <c r="D41" s="195"/>
      <c r="E41" s="197"/>
      <c r="F41" s="195"/>
      <c r="G41" s="195"/>
      <c r="H41" s="155"/>
      <c r="I41" s="195"/>
      <c r="J41" s="155"/>
      <c r="K41" s="157">
        <f>9000000/26*24</f>
        <v>8307692.307692307</v>
      </c>
      <c r="L41" s="155"/>
      <c r="M41" s="155"/>
      <c r="N41" s="155"/>
      <c r="O41" s="139">
        <f t="shared" si="0"/>
        <v>8307692.307692307</v>
      </c>
      <c r="P41" s="139"/>
      <c r="Q41" s="139">
        <f t="shared" si="1"/>
        <v>-8307692.307692307</v>
      </c>
      <c r="S41" s="215"/>
      <c r="T41" s="215"/>
    </row>
    <row r="42" spans="1:20" s="159" customFormat="1" ht="24.95" customHeight="1" x14ac:dyDescent="0.25">
      <c r="A42" s="211"/>
      <c r="B42" s="203"/>
      <c r="C42" s="152" t="s">
        <v>1094</v>
      </c>
      <c r="D42" s="153"/>
      <c r="E42" s="154"/>
      <c r="F42" s="153"/>
      <c r="G42" s="153"/>
      <c r="H42" s="156"/>
      <c r="I42" s="153"/>
      <c r="J42" s="156"/>
      <c r="K42" s="204">
        <f>1200000*1.1</f>
        <v>1320000</v>
      </c>
      <c r="L42" s="204"/>
      <c r="M42" s="156"/>
      <c r="N42" s="156"/>
      <c r="O42" s="139">
        <f t="shared" si="0"/>
        <v>1320000</v>
      </c>
      <c r="P42" s="139"/>
      <c r="Q42" s="139">
        <f t="shared" si="1"/>
        <v>-1320000</v>
      </c>
      <c r="R42" s="186"/>
      <c r="S42" s="215"/>
      <c r="T42" s="215"/>
    </row>
    <row r="43" spans="1:20" ht="24.95" customHeight="1" x14ac:dyDescent="0.25">
      <c r="A43" s="426" t="s">
        <v>20</v>
      </c>
      <c r="B43" s="426"/>
      <c r="C43" s="426"/>
      <c r="D43" s="426"/>
      <c r="E43" s="426"/>
      <c r="F43" s="426"/>
      <c r="G43" s="161">
        <f t="shared" ref="G43:Q43" si="4">SUM(G7:G42)</f>
        <v>2996</v>
      </c>
      <c r="H43" s="161">
        <f t="shared" si="4"/>
        <v>51111480</v>
      </c>
      <c r="I43" s="161">
        <f t="shared" si="4"/>
        <v>0</v>
      </c>
      <c r="J43" s="161">
        <f t="shared" si="4"/>
        <v>30610000</v>
      </c>
      <c r="K43" s="161">
        <f t="shared" si="4"/>
        <v>9927692.307692308</v>
      </c>
      <c r="L43" s="161">
        <f t="shared" si="4"/>
        <v>16387500</v>
      </c>
      <c r="M43" s="161">
        <f t="shared" si="4"/>
        <v>5800000</v>
      </c>
      <c r="N43" s="161">
        <f t="shared" si="4"/>
        <v>0</v>
      </c>
      <c r="O43" s="161">
        <f t="shared" si="4"/>
        <v>113836672.3076923</v>
      </c>
      <c r="P43" s="161">
        <f t="shared" si="4"/>
        <v>123130909</v>
      </c>
      <c r="Q43" s="161">
        <f t="shared" si="4"/>
        <v>9294236.692307692</v>
      </c>
      <c r="R43" s="187"/>
      <c r="S43" s="189"/>
    </row>
    <row r="44" spans="1:20" ht="24.95" customHeight="1" x14ac:dyDescent="0.25">
      <c r="O44" s="158"/>
      <c r="Q44" s="158">
        <f>P43-O43</f>
        <v>9294236.6923076957</v>
      </c>
    </row>
    <row r="45" spans="1:20" ht="24.95" customHeight="1" x14ac:dyDescent="0.25">
      <c r="P45" s="216" t="s">
        <v>1603</v>
      </c>
      <c r="Q45" s="227">
        <f>'3.2019'!Q46+'4.2019'!Q43</f>
        <v>91225327.84615384</v>
      </c>
    </row>
    <row r="46" spans="1:20" ht="24.95" customHeight="1" x14ac:dyDescent="0.25">
      <c r="B46" s="129"/>
      <c r="H46" s="128"/>
      <c r="J46" s="128"/>
      <c r="K46" s="128"/>
      <c r="L46" s="128"/>
      <c r="M46" s="128"/>
      <c r="N46" s="128"/>
      <c r="O46" s="128"/>
      <c r="P46" s="218"/>
      <c r="Q46" s="216"/>
    </row>
    <row r="47" spans="1:20" ht="24.95" customHeight="1" x14ac:dyDescent="0.25">
      <c r="B47" s="129"/>
      <c r="H47" s="128"/>
      <c r="J47" s="128"/>
      <c r="K47" s="128"/>
      <c r="L47" s="128"/>
      <c r="M47" s="128"/>
      <c r="N47" s="128"/>
      <c r="O47" s="128"/>
      <c r="P47" s="218"/>
      <c r="Q47" s="230"/>
    </row>
    <row r="48" spans="1:20" ht="24.95" customHeight="1" x14ac:dyDescent="0.25">
      <c r="B48" s="129"/>
      <c r="H48" s="128"/>
      <c r="J48" s="128"/>
      <c r="K48" s="128"/>
      <c r="L48" s="128"/>
      <c r="M48" s="128"/>
      <c r="N48" s="128"/>
      <c r="O48" s="128"/>
      <c r="P48" s="218"/>
      <c r="Q48" s="230"/>
    </row>
    <row r="49" spans="1:17" ht="24.95" customHeight="1" x14ac:dyDescent="0.25">
      <c r="B49" s="129"/>
      <c r="H49" s="128"/>
      <c r="J49" s="128"/>
      <c r="K49" s="128"/>
      <c r="L49" s="128"/>
      <c r="M49" s="128"/>
      <c r="N49" s="128"/>
      <c r="O49" s="128"/>
      <c r="P49" s="218"/>
      <c r="Q49" s="216"/>
    </row>
    <row r="50" spans="1:17" x14ac:dyDescent="0.25">
      <c r="B50" s="129"/>
      <c r="H50" s="128"/>
      <c r="J50" s="128"/>
      <c r="K50" s="128"/>
      <c r="L50" s="128"/>
      <c r="M50" s="128"/>
      <c r="N50" s="128"/>
      <c r="O50" s="128"/>
      <c r="P50" s="218"/>
      <c r="Q50" s="216"/>
    </row>
    <row r="51" spans="1:17" x14ac:dyDescent="0.25">
      <c r="A51" s="128"/>
      <c r="B51" s="129"/>
      <c r="H51" s="128"/>
      <c r="J51" s="128"/>
      <c r="K51" s="128"/>
      <c r="L51" s="128"/>
      <c r="M51" s="128"/>
      <c r="N51" s="128"/>
      <c r="O51" s="128"/>
      <c r="P51" s="218"/>
      <c r="Q51" s="216"/>
    </row>
    <row r="52" spans="1:17" x14ac:dyDescent="0.25">
      <c r="A52" s="128"/>
      <c r="B52" s="129"/>
      <c r="H52" s="128"/>
      <c r="J52" s="128"/>
      <c r="K52" s="128"/>
      <c r="L52" s="128"/>
      <c r="M52" s="128"/>
      <c r="N52" s="128"/>
      <c r="O52" s="128"/>
      <c r="P52" s="128"/>
      <c r="Q52" s="216"/>
    </row>
    <row r="53" spans="1:17" x14ac:dyDescent="0.25">
      <c r="A53" s="128"/>
      <c r="B53" s="128"/>
      <c r="H53" s="128"/>
      <c r="J53" s="128"/>
      <c r="K53" s="128"/>
      <c r="L53" s="128"/>
      <c r="M53" s="128"/>
      <c r="N53" s="128"/>
      <c r="O53" s="128"/>
      <c r="P53" s="128"/>
      <c r="Q53" s="216"/>
    </row>
    <row r="54" spans="1:17" x14ac:dyDescent="0.25">
      <c r="A54" s="128"/>
      <c r="B54" s="128"/>
      <c r="H54" s="128"/>
      <c r="J54" s="128"/>
      <c r="K54" s="128"/>
      <c r="L54" s="128"/>
      <c r="M54" s="128"/>
      <c r="N54" s="128"/>
      <c r="O54" s="128"/>
      <c r="P54" s="128"/>
      <c r="Q54" s="216"/>
    </row>
  </sheetData>
  <mergeCells count="14">
    <mergeCell ref="O5:O6"/>
    <mergeCell ref="P5:P6"/>
    <mergeCell ref="Q5:Q6"/>
    <mergeCell ref="A43:F43"/>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5"/>
  <sheetViews>
    <sheetView topLeftCell="B31" workbookViewId="0">
      <selection activeCell="Q46" sqref="Q4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4.855468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2449</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32"/>
      <c r="B6" s="433"/>
      <c r="C6" s="432"/>
      <c r="D6" s="432"/>
      <c r="E6" s="422"/>
      <c r="F6" s="422"/>
      <c r="G6" s="241" t="s">
        <v>7</v>
      </c>
      <c r="H6" s="242" t="s">
        <v>15</v>
      </c>
      <c r="I6" s="241" t="s">
        <v>16</v>
      </c>
      <c r="J6" s="242" t="s">
        <v>8</v>
      </c>
      <c r="K6" s="242" t="s">
        <v>9</v>
      </c>
      <c r="L6" s="242" t="s">
        <v>10</v>
      </c>
      <c r="M6" s="242" t="s">
        <v>11</v>
      </c>
      <c r="N6" s="242" t="s">
        <v>12</v>
      </c>
      <c r="O6" s="430"/>
      <c r="P6" s="430"/>
      <c r="Q6" s="430"/>
    </row>
    <row r="7" spans="1:20" s="144" customFormat="1" ht="15.6" customHeight="1" thickBot="1" x14ac:dyDescent="0.25">
      <c r="A7" s="243">
        <v>1</v>
      </c>
      <c r="B7" s="244">
        <v>43587</v>
      </c>
      <c r="C7" s="245" t="s">
        <v>2393</v>
      </c>
      <c r="D7" s="245" t="s">
        <v>2421</v>
      </c>
      <c r="E7" s="246" t="s">
        <v>2413</v>
      </c>
      <c r="F7" s="245"/>
      <c r="G7" s="245">
        <v>0</v>
      </c>
      <c r="H7" s="247">
        <f>+G7*17080</f>
        <v>0</v>
      </c>
      <c r="I7" s="245"/>
      <c r="J7" s="248">
        <v>1270000</v>
      </c>
      <c r="K7" s="247"/>
      <c r="L7" s="249"/>
      <c r="M7" s="247"/>
      <c r="N7" s="247"/>
      <c r="O7" s="250">
        <f>SUM(H7:N7)</f>
        <v>1270000</v>
      </c>
      <c r="P7" s="251">
        <v>5800000</v>
      </c>
      <c r="Q7" s="250">
        <f>P7-O7</f>
        <v>4530000</v>
      </c>
      <c r="R7" s="240"/>
      <c r="S7" s="215"/>
      <c r="T7" s="215"/>
    </row>
    <row r="8" spans="1:20" s="144" customFormat="1" ht="15.6" customHeight="1" thickBot="1" x14ac:dyDescent="0.25">
      <c r="A8" s="211">
        <v>2</v>
      </c>
      <c r="B8" s="236">
        <v>43587</v>
      </c>
      <c r="C8" s="138" t="s">
        <v>2394</v>
      </c>
      <c r="D8" s="138" t="s">
        <v>2422</v>
      </c>
      <c r="E8" s="146" t="s">
        <v>1999</v>
      </c>
      <c r="F8" s="138"/>
      <c r="G8" s="138">
        <v>360</v>
      </c>
      <c r="H8" s="141">
        <f>+G8*17690</f>
        <v>6368400</v>
      </c>
      <c r="I8" s="138"/>
      <c r="J8" s="226">
        <f>VLOOKUP(D8,'[2]05.2019'!$H$5:$K$334,4,0)</f>
        <v>1510000</v>
      </c>
      <c r="K8" s="141"/>
      <c r="L8" s="150"/>
      <c r="M8" s="141"/>
      <c r="N8" s="141"/>
      <c r="O8" s="139">
        <f t="shared" ref="O8:O43" si="0">SUM(H8:N8)</f>
        <v>7878400</v>
      </c>
      <c r="P8" s="252">
        <v>6100000</v>
      </c>
      <c r="Q8" s="139">
        <f t="shared" ref="Q8:Q43" si="1">P8-O8</f>
        <v>-1778400</v>
      </c>
      <c r="R8" s="240"/>
      <c r="S8" s="215"/>
      <c r="T8" s="215"/>
    </row>
    <row r="9" spans="1:20" s="144" customFormat="1" ht="15.6" customHeight="1" thickBot="1" x14ac:dyDescent="0.25">
      <c r="A9" s="211">
        <v>3</v>
      </c>
      <c r="B9" s="236">
        <v>43588</v>
      </c>
      <c r="C9" s="138" t="s">
        <v>2395</v>
      </c>
      <c r="D9" s="138" t="s">
        <v>2423</v>
      </c>
      <c r="E9" s="146" t="s">
        <v>2414</v>
      </c>
      <c r="F9" s="138"/>
      <c r="G9" s="138">
        <v>0</v>
      </c>
      <c r="H9" s="141">
        <f t="shared" ref="H9:H33" si="2">+G9*17080</f>
        <v>0</v>
      </c>
      <c r="I9" s="138"/>
      <c r="J9" s="226">
        <f>VLOOKUP(D9,'[2]05.2019'!$H$5:$K$334,4,0)</f>
        <v>790000</v>
      </c>
      <c r="K9" s="141"/>
      <c r="L9" s="150"/>
      <c r="M9" s="141"/>
      <c r="N9" s="141"/>
      <c r="O9" s="139">
        <f t="shared" si="0"/>
        <v>790000</v>
      </c>
      <c r="P9" s="252">
        <v>3472727</v>
      </c>
      <c r="Q9" s="139">
        <f t="shared" si="1"/>
        <v>2682727</v>
      </c>
      <c r="R9" s="240"/>
      <c r="S9" s="215"/>
      <c r="T9" s="215"/>
    </row>
    <row r="10" spans="1:20" s="144" customFormat="1" ht="15.6" customHeight="1" thickBot="1" x14ac:dyDescent="0.25">
      <c r="A10" s="211">
        <v>4</v>
      </c>
      <c r="B10" s="236">
        <v>43591</v>
      </c>
      <c r="C10" s="138" t="s">
        <v>2396</v>
      </c>
      <c r="D10" s="138" t="s">
        <v>2424</v>
      </c>
      <c r="E10" s="146" t="s">
        <v>2415</v>
      </c>
      <c r="F10" s="138"/>
      <c r="G10" s="138">
        <v>0</v>
      </c>
      <c r="H10" s="141">
        <f t="shared" si="2"/>
        <v>0</v>
      </c>
      <c r="I10" s="138"/>
      <c r="J10" s="226">
        <f>VLOOKUP(D10,'[2]05.2019'!$H$5:$K$334,4,0)</f>
        <v>1270000</v>
      </c>
      <c r="K10" s="141"/>
      <c r="L10" s="150"/>
      <c r="M10" s="141"/>
      <c r="N10" s="141"/>
      <c r="O10" s="139">
        <f t="shared" si="0"/>
        <v>1270000</v>
      </c>
      <c r="P10" s="252">
        <v>5700000</v>
      </c>
      <c r="Q10" s="139">
        <f t="shared" si="1"/>
        <v>4430000</v>
      </c>
      <c r="R10" s="240"/>
      <c r="S10" s="215"/>
      <c r="T10" s="215"/>
    </row>
    <row r="11" spans="1:20" s="144" customFormat="1" ht="15.6" customHeight="1" thickBot="1" x14ac:dyDescent="0.25">
      <c r="A11" s="211">
        <v>5</v>
      </c>
      <c r="B11" s="236">
        <v>43591</v>
      </c>
      <c r="C11" s="138" t="s">
        <v>2397</v>
      </c>
      <c r="D11" s="138" t="s">
        <v>2425</v>
      </c>
      <c r="E11" s="146" t="s">
        <v>2416</v>
      </c>
      <c r="F11" s="138"/>
      <c r="G11" s="138">
        <v>320</v>
      </c>
      <c r="H11" s="141">
        <f>+G11*17690</f>
        <v>5660800</v>
      </c>
      <c r="I11" s="138"/>
      <c r="J11" s="226">
        <f>VLOOKUP(D11,'[2]05.2019'!$H$5:$K$334,4,0)</f>
        <v>1450000</v>
      </c>
      <c r="K11" s="141"/>
      <c r="L11" s="150"/>
      <c r="M11" s="141"/>
      <c r="N11" s="141"/>
      <c r="O11" s="139">
        <f t="shared" si="0"/>
        <v>7110800</v>
      </c>
      <c r="P11" s="252">
        <v>5300000</v>
      </c>
      <c r="Q11" s="139">
        <f t="shared" si="1"/>
        <v>-1810800</v>
      </c>
      <c r="R11" s="240"/>
      <c r="S11" s="215"/>
      <c r="T11" s="215"/>
    </row>
    <row r="12" spans="1:20" s="144" customFormat="1" ht="15.6" customHeight="1" thickBot="1" x14ac:dyDescent="0.25">
      <c r="A12" s="211">
        <v>6</v>
      </c>
      <c r="B12" s="236">
        <v>43591</v>
      </c>
      <c r="C12" s="138" t="s">
        <v>1705</v>
      </c>
      <c r="D12" s="138" t="s">
        <v>2426</v>
      </c>
      <c r="E12" s="146" t="s">
        <v>1937</v>
      </c>
      <c r="F12" s="138"/>
      <c r="G12" s="138">
        <v>0</v>
      </c>
      <c r="H12" s="141">
        <f t="shared" si="2"/>
        <v>0</v>
      </c>
      <c r="I12" s="138"/>
      <c r="J12" s="226">
        <f>VLOOKUP(D12,'[2]05.2019'!$H$5:$K$334,4,0)</f>
        <v>1150000</v>
      </c>
      <c r="K12" s="141"/>
      <c r="L12" s="150"/>
      <c r="M12" s="141"/>
      <c r="N12" s="141"/>
      <c r="O12" s="139">
        <f t="shared" si="0"/>
        <v>1150000</v>
      </c>
      <c r="P12" s="252">
        <v>3860000</v>
      </c>
      <c r="Q12" s="139">
        <f t="shared" si="1"/>
        <v>2710000</v>
      </c>
      <c r="R12" s="240"/>
      <c r="S12" s="215"/>
      <c r="T12" s="215"/>
    </row>
    <row r="13" spans="1:20" s="144" customFormat="1" ht="15.6" customHeight="1" thickBot="1" x14ac:dyDescent="0.25">
      <c r="A13" s="211">
        <v>7</v>
      </c>
      <c r="B13" s="236">
        <v>43593</v>
      </c>
      <c r="C13" s="138" t="s">
        <v>2398</v>
      </c>
      <c r="D13" s="138" t="s">
        <v>2427</v>
      </c>
      <c r="E13" s="146" t="s">
        <v>2417</v>
      </c>
      <c r="F13" s="138"/>
      <c r="G13" s="138">
        <v>0</v>
      </c>
      <c r="H13" s="141">
        <f t="shared" si="2"/>
        <v>0</v>
      </c>
      <c r="I13" s="138"/>
      <c r="J13" s="226">
        <f>VLOOKUP(D13,'[2]05.2019'!$H$5:$K$334,4,0)</f>
        <v>1890000</v>
      </c>
      <c r="K13" s="141"/>
      <c r="L13" s="150"/>
      <c r="M13" s="141"/>
      <c r="N13" s="141"/>
      <c r="O13" s="139">
        <f t="shared" si="0"/>
        <v>1890000</v>
      </c>
      <c r="P13" s="252">
        <v>7000000</v>
      </c>
      <c r="Q13" s="139">
        <f t="shared" si="1"/>
        <v>5110000</v>
      </c>
      <c r="R13" s="240"/>
      <c r="S13" s="215"/>
      <c r="T13" s="215"/>
    </row>
    <row r="14" spans="1:20" s="144" customFormat="1" ht="15.6" customHeight="1" thickBot="1" x14ac:dyDescent="0.25">
      <c r="A14" s="211">
        <v>8</v>
      </c>
      <c r="B14" s="236">
        <v>43594</v>
      </c>
      <c r="C14" s="138" t="s">
        <v>2399</v>
      </c>
      <c r="D14" s="138" t="s">
        <v>2428</v>
      </c>
      <c r="E14" s="146" t="s">
        <v>248</v>
      </c>
      <c r="F14" s="138"/>
      <c r="G14" s="138">
        <v>333</v>
      </c>
      <c r="H14" s="141">
        <f>+G14*17690</f>
        <v>5890770</v>
      </c>
      <c r="I14" s="138"/>
      <c r="J14" s="226">
        <f>VLOOKUP(D14,'[2]05.2019'!$H$5:$K$334,4,0)</f>
        <v>970000</v>
      </c>
      <c r="K14" s="141"/>
      <c r="L14" s="150"/>
      <c r="M14" s="141"/>
      <c r="N14" s="141"/>
      <c r="O14" s="139">
        <f t="shared" si="0"/>
        <v>6860770</v>
      </c>
      <c r="P14" s="252">
        <v>4560000</v>
      </c>
      <c r="Q14" s="139">
        <f t="shared" si="1"/>
        <v>-2300770</v>
      </c>
      <c r="R14" s="240"/>
      <c r="S14" s="215"/>
      <c r="T14" s="215"/>
    </row>
    <row r="15" spans="1:20" s="144" customFormat="1" ht="15.6" customHeight="1" thickBot="1" x14ac:dyDescent="0.25">
      <c r="A15" s="211">
        <v>9</v>
      </c>
      <c r="B15" s="236">
        <v>43595</v>
      </c>
      <c r="C15" s="138" t="s">
        <v>2400</v>
      </c>
      <c r="D15" s="138" t="s">
        <v>2429</v>
      </c>
      <c r="E15" s="146" t="s">
        <v>2059</v>
      </c>
      <c r="F15" s="138"/>
      <c r="G15" s="138">
        <v>0</v>
      </c>
      <c r="H15" s="141">
        <f t="shared" si="2"/>
        <v>0</v>
      </c>
      <c r="I15" s="138"/>
      <c r="J15" s="226">
        <f>VLOOKUP(D15,'[2]05.2019'!$H$5:$K$334,4,0)</f>
        <v>1500000</v>
      </c>
      <c r="K15" s="141"/>
      <c r="L15" s="150"/>
      <c r="M15" s="141"/>
      <c r="N15" s="141"/>
      <c r="O15" s="139">
        <f t="shared" si="0"/>
        <v>1500000</v>
      </c>
      <c r="P15" s="252">
        <v>7200000</v>
      </c>
      <c r="Q15" s="139">
        <f t="shared" si="1"/>
        <v>5700000</v>
      </c>
      <c r="R15" s="240"/>
      <c r="S15" s="215"/>
      <c r="T15" s="215"/>
    </row>
    <row r="16" spans="1:20" s="144" customFormat="1" ht="15.6" customHeight="1" thickBot="1" x14ac:dyDescent="0.25">
      <c r="A16" s="211">
        <v>10</v>
      </c>
      <c r="B16" s="236">
        <v>43596</v>
      </c>
      <c r="C16" s="138" t="s">
        <v>2401</v>
      </c>
      <c r="D16" s="138" t="s">
        <v>2430</v>
      </c>
      <c r="E16" s="146" t="s">
        <v>2418</v>
      </c>
      <c r="F16" s="138"/>
      <c r="G16" s="138">
        <v>0</v>
      </c>
      <c r="H16" s="141">
        <f t="shared" si="2"/>
        <v>0</v>
      </c>
      <c r="I16" s="138"/>
      <c r="J16" s="226">
        <f>VLOOKUP(D16,'[2]05.2019'!$H$5:$K$334,4,0)</f>
        <v>970000</v>
      </c>
      <c r="K16" s="141"/>
      <c r="L16" s="150"/>
      <c r="M16" s="141"/>
      <c r="N16" s="141"/>
      <c r="O16" s="139">
        <f t="shared" si="0"/>
        <v>970000</v>
      </c>
      <c r="P16" s="252">
        <v>3581818</v>
      </c>
      <c r="Q16" s="139">
        <f t="shared" si="1"/>
        <v>2611818</v>
      </c>
      <c r="R16" s="240"/>
      <c r="S16" s="215"/>
      <c r="T16" s="215"/>
    </row>
    <row r="17" spans="1:20" s="144" customFormat="1" ht="15.6" customHeight="1" thickBot="1" x14ac:dyDescent="0.25">
      <c r="A17" s="211">
        <v>11</v>
      </c>
      <c r="B17" s="236">
        <v>43598</v>
      </c>
      <c r="C17" s="138" t="s">
        <v>2402</v>
      </c>
      <c r="D17" s="138" t="s">
        <v>2431</v>
      </c>
      <c r="E17" s="146" t="s">
        <v>2419</v>
      </c>
      <c r="F17" s="138"/>
      <c r="G17" s="138">
        <v>325</v>
      </c>
      <c r="H17" s="141">
        <f>+G17*17690</f>
        <v>5749250</v>
      </c>
      <c r="I17" s="138"/>
      <c r="J17" s="226">
        <f>VLOOKUP(D17,'[2]05.2019'!$H$5:$K$334,4,0)</f>
        <v>970000</v>
      </c>
      <c r="K17" s="141"/>
      <c r="L17" s="150"/>
      <c r="M17" s="141"/>
      <c r="N17" s="141"/>
      <c r="O17" s="139">
        <f t="shared" si="0"/>
        <v>6719250</v>
      </c>
      <c r="P17" s="252">
        <v>4000000</v>
      </c>
      <c r="Q17" s="139">
        <f t="shared" si="1"/>
        <v>-2719250</v>
      </c>
      <c r="R17" s="240"/>
      <c r="S17" s="215"/>
      <c r="T17" s="215"/>
    </row>
    <row r="18" spans="1:20" s="144" customFormat="1" ht="15.6" customHeight="1" thickBot="1" x14ac:dyDescent="0.25">
      <c r="A18" s="211">
        <v>12</v>
      </c>
      <c r="B18" s="236">
        <v>43599</v>
      </c>
      <c r="C18" s="138" t="s">
        <v>1711</v>
      </c>
      <c r="D18" s="138" t="s">
        <v>2432</v>
      </c>
      <c r="E18" s="146" t="s">
        <v>333</v>
      </c>
      <c r="F18" s="138"/>
      <c r="G18" s="138">
        <v>0</v>
      </c>
      <c r="H18" s="141">
        <f t="shared" si="2"/>
        <v>0</v>
      </c>
      <c r="I18" s="138"/>
      <c r="J18" s="226">
        <f>VLOOKUP(D18,'[2]05.2019'!$H$5:$K$334,4,0)</f>
        <v>1160000</v>
      </c>
      <c r="K18" s="141"/>
      <c r="L18" s="150"/>
      <c r="M18" s="141"/>
      <c r="N18" s="141"/>
      <c r="O18" s="139">
        <f t="shared" si="0"/>
        <v>1160000</v>
      </c>
      <c r="P18" s="252">
        <v>5000000</v>
      </c>
      <c r="Q18" s="139">
        <f t="shared" si="1"/>
        <v>3840000</v>
      </c>
      <c r="R18" s="240"/>
      <c r="S18" s="215"/>
      <c r="T18" s="215"/>
    </row>
    <row r="19" spans="1:20" s="144" customFormat="1" ht="15.6" customHeight="1" thickBot="1" x14ac:dyDescent="0.25">
      <c r="A19" s="211">
        <v>13</v>
      </c>
      <c r="B19" s="236">
        <v>43600</v>
      </c>
      <c r="C19" s="138" t="s">
        <v>2403</v>
      </c>
      <c r="D19" s="138" t="s">
        <v>2433</v>
      </c>
      <c r="E19" s="146" t="s">
        <v>259</v>
      </c>
      <c r="F19" s="138"/>
      <c r="G19" s="138">
        <v>0</v>
      </c>
      <c r="H19" s="141">
        <f t="shared" si="2"/>
        <v>0</v>
      </c>
      <c r="I19" s="138"/>
      <c r="J19" s="226">
        <f>VLOOKUP(D19,'[2]05.2019'!$H$5:$K$334,4,0)</f>
        <v>970000</v>
      </c>
      <c r="K19" s="141"/>
      <c r="L19" s="150"/>
      <c r="M19" s="141"/>
      <c r="N19" s="141"/>
      <c r="O19" s="139">
        <f t="shared" si="0"/>
        <v>970000</v>
      </c>
      <c r="P19" s="252">
        <v>4000000</v>
      </c>
      <c r="Q19" s="139">
        <f t="shared" si="1"/>
        <v>3030000</v>
      </c>
      <c r="R19" s="240"/>
      <c r="S19" s="215"/>
      <c r="T19" s="215"/>
    </row>
    <row r="20" spans="1:20" s="144" customFormat="1" ht="15.6" customHeight="1" thickBot="1" x14ac:dyDescent="0.25">
      <c r="A20" s="211">
        <v>14</v>
      </c>
      <c r="B20" s="236">
        <v>43601</v>
      </c>
      <c r="C20" s="138" t="s">
        <v>2404</v>
      </c>
      <c r="D20" s="138" t="s">
        <v>2434</v>
      </c>
      <c r="E20" s="146" t="s">
        <v>80</v>
      </c>
      <c r="F20" s="138"/>
      <c r="G20" s="214">
        <v>320</v>
      </c>
      <c r="H20" s="141">
        <f>+G20*17610</f>
        <v>5635200</v>
      </c>
      <c r="I20" s="138"/>
      <c r="J20" s="226">
        <f>VLOOKUP(D20,'[2]05.2019'!$H$5:$K$334,4,0)</f>
        <v>790000</v>
      </c>
      <c r="K20" s="141"/>
      <c r="L20" s="150"/>
      <c r="M20" s="141"/>
      <c r="N20" s="141"/>
      <c r="O20" s="139">
        <f t="shared" si="0"/>
        <v>6425200</v>
      </c>
      <c r="P20" s="252">
        <v>4000000</v>
      </c>
      <c r="Q20" s="139">
        <f t="shared" si="1"/>
        <v>-2425200</v>
      </c>
      <c r="R20" s="240"/>
      <c r="S20" s="215"/>
      <c r="T20" s="215"/>
    </row>
    <row r="21" spans="1:20" s="144" customFormat="1" ht="15.6" customHeight="1" thickBot="1" x14ac:dyDescent="0.25">
      <c r="A21" s="211">
        <v>15</v>
      </c>
      <c r="B21" s="236">
        <v>43602</v>
      </c>
      <c r="C21" s="138" t="s">
        <v>2405</v>
      </c>
      <c r="D21" s="138" t="s">
        <v>2435</v>
      </c>
      <c r="E21" s="146" t="s">
        <v>1016</v>
      </c>
      <c r="F21" s="138"/>
      <c r="G21" s="138">
        <v>0</v>
      </c>
      <c r="H21" s="141">
        <f t="shared" si="2"/>
        <v>0</v>
      </c>
      <c r="I21" s="138"/>
      <c r="J21" s="226">
        <f>VLOOKUP(D21,'[2]05.2019'!$H$5:$K$334,4,0)</f>
        <v>1510000</v>
      </c>
      <c r="K21" s="141"/>
      <c r="L21" s="150"/>
      <c r="M21" s="141"/>
      <c r="N21" s="141"/>
      <c r="O21" s="139">
        <f t="shared" si="0"/>
        <v>1510000</v>
      </c>
      <c r="P21" s="252">
        <v>6300000</v>
      </c>
      <c r="Q21" s="139">
        <f t="shared" si="1"/>
        <v>4790000</v>
      </c>
      <c r="R21" s="240"/>
      <c r="S21" s="215"/>
      <c r="T21" s="215"/>
    </row>
    <row r="22" spans="1:20" s="144" customFormat="1" ht="15.6" customHeight="1" thickBot="1" x14ac:dyDescent="0.25">
      <c r="A22" s="211">
        <v>16</v>
      </c>
      <c r="B22" s="236">
        <v>43603</v>
      </c>
      <c r="C22" s="138" t="s">
        <v>2406</v>
      </c>
      <c r="D22" s="138" t="s">
        <v>2436</v>
      </c>
      <c r="E22" s="146" t="s">
        <v>80</v>
      </c>
      <c r="F22" s="138"/>
      <c r="G22" s="138">
        <v>0</v>
      </c>
      <c r="H22" s="141">
        <f t="shared" si="2"/>
        <v>0</v>
      </c>
      <c r="I22" s="138"/>
      <c r="J22" s="226">
        <f>VLOOKUP(D22,'[2]05.2019'!$H$5:$K$334,4,0)</f>
        <v>790000</v>
      </c>
      <c r="K22" s="141"/>
      <c r="L22" s="150"/>
      <c r="M22" s="141"/>
      <c r="N22" s="141"/>
      <c r="O22" s="139">
        <f t="shared" si="0"/>
        <v>790000</v>
      </c>
      <c r="P22" s="252">
        <v>4000000</v>
      </c>
      <c r="Q22" s="139">
        <f t="shared" si="1"/>
        <v>3210000</v>
      </c>
      <c r="R22" s="240"/>
      <c r="S22" s="215"/>
      <c r="T22" s="215"/>
    </row>
    <row r="23" spans="1:20" s="144" customFormat="1" ht="15.6" customHeight="1" thickBot="1" x14ac:dyDescent="0.25">
      <c r="A23" s="211">
        <v>17</v>
      </c>
      <c r="B23" s="236">
        <v>43605</v>
      </c>
      <c r="C23" s="138" t="s">
        <v>2407</v>
      </c>
      <c r="D23" s="138" t="s">
        <v>2437</v>
      </c>
      <c r="E23" s="146" t="s">
        <v>2420</v>
      </c>
      <c r="F23" s="138"/>
      <c r="G23" s="138">
        <v>350</v>
      </c>
      <c r="H23" s="141">
        <f>+G23*17610</f>
        <v>6163500</v>
      </c>
      <c r="I23" s="138"/>
      <c r="J23" s="226">
        <v>1150000</v>
      </c>
      <c r="K23" s="141"/>
      <c r="L23" s="150"/>
      <c r="M23" s="141"/>
      <c r="N23" s="141"/>
      <c r="O23" s="139">
        <f t="shared" si="0"/>
        <v>7313500</v>
      </c>
      <c r="P23" s="252">
        <v>4000000</v>
      </c>
      <c r="Q23" s="139">
        <f t="shared" si="1"/>
        <v>-3313500</v>
      </c>
      <c r="R23" s="240"/>
      <c r="S23" s="215"/>
      <c r="T23" s="215"/>
    </row>
    <row r="24" spans="1:20" s="144" customFormat="1" ht="15.6" customHeight="1" thickBot="1" x14ac:dyDescent="0.25">
      <c r="A24" s="211">
        <v>18</v>
      </c>
      <c r="B24" s="236">
        <v>43605</v>
      </c>
      <c r="C24" s="138" t="s">
        <v>1716</v>
      </c>
      <c r="D24" s="138" t="s">
        <v>2438</v>
      </c>
      <c r="E24" s="146" t="s">
        <v>333</v>
      </c>
      <c r="F24" s="138"/>
      <c r="G24" s="138">
        <v>0</v>
      </c>
      <c r="H24" s="141">
        <f t="shared" si="2"/>
        <v>0</v>
      </c>
      <c r="I24" s="138"/>
      <c r="J24" s="226">
        <f>VLOOKUP(D24,'[2]05.2019'!$H$5:$K$334,4,0)</f>
        <v>1160000</v>
      </c>
      <c r="K24" s="141"/>
      <c r="L24" s="150"/>
      <c r="M24" s="141"/>
      <c r="N24" s="141"/>
      <c r="O24" s="139">
        <f t="shared" si="0"/>
        <v>1160000</v>
      </c>
      <c r="P24" s="252">
        <v>5000000</v>
      </c>
      <c r="Q24" s="139">
        <f t="shared" si="1"/>
        <v>3840000</v>
      </c>
      <c r="R24" s="240"/>
      <c r="S24" s="215"/>
      <c r="T24" s="215"/>
    </row>
    <row r="25" spans="1:20" s="144" customFormat="1" ht="15.6" customHeight="1" thickBot="1" x14ac:dyDescent="0.25">
      <c r="A25" s="211">
        <v>19</v>
      </c>
      <c r="B25" s="236">
        <v>43606</v>
      </c>
      <c r="C25" s="138" t="s">
        <v>1717</v>
      </c>
      <c r="D25" s="138" t="s">
        <v>2439</v>
      </c>
      <c r="E25" s="146" t="s">
        <v>406</v>
      </c>
      <c r="F25" s="138"/>
      <c r="G25" s="138">
        <v>0</v>
      </c>
      <c r="H25" s="141">
        <f t="shared" si="2"/>
        <v>0</v>
      </c>
      <c r="I25" s="138"/>
      <c r="J25" s="226">
        <f>VLOOKUP(D25,'[2]05.2019'!$H$5:$K$334,4,0)</f>
        <v>790000</v>
      </c>
      <c r="K25" s="141"/>
      <c r="L25" s="150"/>
      <c r="M25" s="141"/>
      <c r="N25" s="141"/>
      <c r="O25" s="139">
        <f t="shared" si="0"/>
        <v>790000</v>
      </c>
      <c r="P25" s="252">
        <v>4000000</v>
      </c>
      <c r="Q25" s="139">
        <f t="shared" si="1"/>
        <v>3210000</v>
      </c>
      <c r="R25" s="240"/>
      <c r="S25" s="215"/>
      <c r="T25" s="215"/>
    </row>
    <row r="26" spans="1:20" s="144" customFormat="1" ht="15.6" customHeight="1" thickBot="1" x14ac:dyDescent="0.25">
      <c r="A26" s="211">
        <v>20</v>
      </c>
      <c r="B26" s="236">
        <v>43606</v>
      </c>
      <c r="C26" s="138" t="s">
        <v>1718</v>
      </c>
      <c r="D26" s="138" t="s">
        <v>2440</v>
      </c>
      <c r="E26" s="146" t="s">
        <v>25</v>
      </c>
      <c r="F26" s="138"/>
      <c r="G26" s="138">
        <v>400</v>
      </c>
      <c r="H26" s="141">
        <f>+G26*17610</f>
        <v>7044000</v>
      </c>
      <c r="I26" s="138"/>
      <c r="J26" s="226">
        <f>VLOOKUP(D26,'[2]05.2019'!$H$5:$K$334,4,0)</f>
        <v>1890000</v>
      </c>
      <c r="K26" s="141"/>
      <c r="L26" s="150"/>
      <c r="M26" s="141"/>
      <c r="N26" s="141"/>
      <c r="O26" s="139">
        <f t="shared" si="0"/>
        <v>8934000</v>
      </c>
      <c r="P26" s="252">
        <v>8045455</v>
      </c>
      <c r="Q26" s="139">
        <f t="shared" si="1"/>
        <v>-888545</v>
      </c>
      <c r="R26" s="240"/>
      <c r="S26" s="215"/>
      <c r="T26" s="215"/>
    </row>
    <row r="27" spans="1:20" s="144" customFormat="1" ht="15.6" customHeight="1" thickBot="1" x14ac:dyDescent="0.25">
      <c r="A27" s="211">
        <v>21</v>
      </c>
      <c r="B27" s="236">
        <v>43608</v>
      </c>
      <c r="C27" s="138" t="s">
        <v>2408</v>
      </c>
      <c r="D27" s="138" t="s">
        <v>2441</v>
      </c>
      <c r="E27" s="146" t="s">
        <v>2417</v>
      </c>
      <c r="F27" s="138"/>
      <c r="G27" s="138">
        <v>0</v>
      </c>
      <c r="H27" s="141">
        <f t="shared" si="2"/>
        <v>0</v>
      </c>
      <c r="I27" s="138"/>
      <c r="J27" s="226">
        <f>VLOOKUP(D27,'[2]05.2019'!$H$5:$K$334,4,0)</f>
        <v>1890000</v>
      </c>
      <c r="K27" s="141"/>
      <c r="L27" s="150"/>
      <c r="M27" s="141"/>
      <c r="N27" s="141"/>
      <c r="O27" s="139">
        <f t="shared" si="0"/>
        <v>1890000</v>
      </c>
      <c r="P27" s="252">
        <v>7000000</v>
      </c>
      <c r="Q27" s="139">
        <f t="shared" si="1"/>
        <v>5110000</v>
      </c>
      <c r="R27" s="240"/>
      <c r="S27" s="215"/>
      <c r="T27" s="215"/>
    </row>
    <row r="28" spans="1:20" s="144" customFormat="1" ht="15.6" customHeight="1" thickBot="1" x14ac:dyDescent="0.25">
      <c r="A28" s="211">
        <v>22</v>
      </c>
      <c r="B28" s="236">
        <v>43609</v>
      </c>
      <c r="C28" s="138" t="s">
        <v>2409</v>
      </c>
      <c r="D28" s="138" t="s">
        <v>2442</v>
      </c>
      <c r="E28" s="146" t="s">
        <v>24</v>
      </c>
      <c r="F28" s="138"/>
      <c r="G28" s="138">
        <v>0</v>
      </c>
      <c r="H28" s="141">
        <f t="shared" si="2"/>
        <v>0</v>
      </c>
      <c r="I28" s="138"/>
      <c r="J28" s="226">
        <f>VLOOKUP(D28,'[2]05.2019'!$H$5:$K$334,4,0)</f>
        <v>790000</v>
      </c>
      <c r="K28" s="141"/>
      <c r="L28" s="150"/>
      <c r="M28" s="141"/>
      <c r="N28" s="141"/>
      <c r="O28" s="139">
        <f t="shared" si="0"/>
        <v>790000</v>
      </c>
      <c r="P28" s="252">
        <v>3700000</v>
      </c>
      <c r="Q28" s="139">
        <f t="shared" si="1"/>
        <v>2910000</v>
      </c>
      <c r="R28" s="240"/>
      <c r="S28" s="215"/>
      <c r="T28" s="215"/>
    </row>
    <row r="29" spans="1:20" s="144" customFormat="1" ht="15.6" customHeight="1" thickBot="1" x14ac:dyDescent="0.25">
      <c r="A29" s="211">
        <v>23</v>
      </c>
      <c r="B29" s="236">
        <v>43612</v>
      </c>
      <c r="C29" s="138" t="s">
        <v>2410</v>
      </c>
      <c r="D29" s="138" t="s">
        <v>2443</v>
      </c>
      <c r="E29" s="146" t="s">
        <v>1336</v>
      </c>
      <c r="F29" s="138"/>
      <c r="G29" s="138">
        <v>360</v>
      </c>
      <c r="H29" s="141">
        <f>+G29*17610</f>
        <v>6339600</v>
      </c>
      <c r="I29" s="138"/>
      <c r="J29" s="226">
        <f>VLOOKUP(D29,'[2]05.2019'!$H$5:$K$334,4,0)</f>
        <v>1150000</v>
      </c>
      <c r="K29" s="141"/>
      <c r="L29" s="150"/>
      <c r="M29" s="141"/>
      <c r="N29" s="141"/>
      <c r="O29" s="139">
        <f t="shared" si="0"/>
        <v>7489600</v>
      </c>
      <c r="P29" s="252">
        <v>3900000</v>
      </c>
      <c r="Q29" s="139">
        <f t="shared" si="1"/>
        <v>-3589600</v>
      </c>
      <c r="R29" s="240"/>
      <c r="S29" s="215"/>
      <c r="T29" s="215"/>
    </row>
    <row r="30" spans="1:20" s="144" customFormat="1" ht="15.6" customHeight="1" x14ac:dyDescent="0.2">
      <c r="A30" s="211">
        <v>24</v>
      </c>
      <c r="B30" s="237">
        <v>43612</v>
      </c>
      <c r="C30" s="138" t="s">
        <v>2411</v>
      </c>
      <c r="D30" s="138" t="s">
        <v>2444</v>
      </c>
      <c r="E30" s="146" t="s">
        <v>25</v>
      </c>
      <c r="F30" s="138"/>
      <c r="G30" s="138">
        <v>0</v>
      </c>
      <c r="H30" s="141">
        <f t="shared" si="2"/>
        <v>0</v>
      </c>
      <c r="I30" s="138"/>
      <c r="J30" s="226">
        <f>VLOOKUP(D30,'[2]05.2019'!$H$5:$K$334,4,0)</f>
        <v>1890000</v>
      </c>
      <c r="K30" s="141"/>
      <c r="L30" s="150"/>
      <c r="M30" s="141"/>
      <c r="N30" s="141"/>
      <c r="O30" s="139">
        <f t="shared" si="0"/>
        <v>1890000</v>
      </c>
      <c r="P30" s="252">
        <v>8045455</v>
      </c>
      <c r="Q30" s="139">
        <f t="shared" si="1"/>
        <v>6155455</v>
      </c>
      <c r="R30" s="217"/>
      <c r="S30" s="215"/>
      <c r="T30" s="215"/>
    </row>
    <row r="31" spans="1:20" s="144" customFormat="1" ht="15.6" customHeight="1" x14ac:dyDescent="0.2">
      <c r="A31" s="211">
        <v>25</v>
      </c>
      <c r="B31" s="237">
        <v>43613</v>
      </c>
      <c r="C31" s="138" t="s">
        <v>1102</v>
      </c>
      <c r="D31" s="138" t="s">
        <v>2445</v>
      </c>
      <c r="E31" s="146" t="s">
        <v>515</v>
      </c>
      <c r="F31" s="138"/>
      <c r="G31" s="138">
        <v>0</v>
      </c>
      <c r="H31" s="141">
        <f t="shared" si="2"/>
        <v>0</v>
      </c>
      <c r="I31" s="138"/>
      <c r="J31" s="226">
        <f>VLOOKUP(D31,'[2]05.2019'!$H$5:$K$334,4,0)</f>
        <v>1160000</v>
      </c>
      <c r="K31" s="141"/>
      <c r="L31" s="150"/>
      <c r="M31" s="141"/>
      <c r="N31" s="141"/>
      <c r="O31" s="139">
        <f t="shared" si="0"/>
        <v>1160000</v>
      </c>
      <c r="P31" s="252">
        <v>5000000</v>
      </c>
      <c r="Q31" s="139">
        <f t="shared" si="1"/>
        <v>3840000</v>
      </c>
      <c r="R31" s="217"/>
      <c r="S31" s="215"/>
      <c r="T31" s="215"/>
    </row>
    <row r="32" spans="1:20" s="144" customFormat="1" ht="15.6" customHeight="1" x14ac:dyDescent="0.2">
      <c r="A32" s="211">
        <v>26</v>
      </c>
      <c r="B32" s="237">
        <v>43614</v>
      </c>
      <c r="C32" s="238" t="s">
        <v>1103</v>
      </c>
      <c r="D32" s="138" t="s">
        <v>2446</v>
      </c>
      <c r="E32" s="146" t="s">
        <v>146</v>
      </c>
      <c r="F32" s="138"/>
      <c r="G32" s="138">
        <v>435</v>
      </c>
      <c r="H32" s="141">
        <f>+G32*17610</f>
        <v>7660350</v>
      </c>
      <c r="I32" s="138"/>
      <c r="J32" s="226">
        <f>VLOOKUP(D32,'[2]05.2019'!$H$5:$K$334,4,0)</f>
        <v>1780000</v>
      </c>
      <c r="K32" s="141"/>
      <c r="L32" s="219"/>
      <c r="M32" s="141"/>
      <c r="N32" s="157"/>
      <c r="O32" s="139">
        <f t="shared" si="0"/>
        <v>9440350</v>
      </c>
      <c r="P32" s="252">
        <v>5580000</v>
      </c>
      <c r="Q32" s="139">
        <f t="shared" si="1"/>
        <v>-3860350</v>
      </c>
      <c r="R32" s="217"/>
      <c r="S32" s="215"/>
      <c r="T32" s="215"/>
    </row>
    <row r="33" spans="1:20" s="144" customFormat="1" ht="15.6" customHeight="1" x14ac:dyDescent="0.2">
      <c r="A33" s="211">
        <v>27</v>
      </c>
      <c r="B33" s="237">
        <v>43615</v>
      </c>
      <c r="C33" s="238" t="s">
        <v>2412</v>
      </c>
      <c r="D33" s="138" t="s">
        <v>2447</v>
      </c>
      <c r="E33" s="146" t="s">
        <v>2384</v>
      </c>
      <c r="F33" s="138"/>
      <c r="G33" s="138">
        <v>0</v>
      </c>
      <c r="H33" s="141">
        <f t="shared" si="2"/>
        <v>0</v>
      </c>
      <c r="I33" s="138"/>
      <c r="J33" s="226">
        <f>VLOOKUP(D33,'[2]05.2019'!$H$5:$K$334,4,0)</f>
        <v>1200000</v>
      </c>
      <c r="K33" s="141"/>
      <c r="L33" s="219"/>
      <c r="M33" s="141"/>
      <c r="N33" s="157"/>
      <c r="O33" s="139">
        <f t="shared" si="0"/>
        <v>1200000</v>
      </c>
      <c r="P33" s="252">
        <v>4600000</v>
      </c>
      <c r="Q33" s="139">
        <f t="shared" si="1"/>
        <v>3400000</v>
      </c>
      <c r="R33" s="217"/>
      <c r="S33" s="215"/>
      <c r="T33" s="215"/>
    </row>
    <row r="34" spans="1:20" s="144" customFormat="1" ht="21.6" customHeight="1" x14ac:dyDescent="0.2">
      <c r="A34" s="211"/>
      <c r="B34" s="146"/>
      <c r="C34" s="431" t="s">
        <v>2448</v>
      </c>
      <c r="D34" s="431"/>
      <c r="E34" s="431"/>
      <c r="F34" s="431"/>
      <c r="G34" s="138"/>
      <c r="H34" s="139"/>
      <c r="I34" s="138"/>
      <c r="J34" s="141"/>
      <c r="K34" s="141"/>
      <c r="L34" s="226">
        <v>8350000</v>
      </c>
      <c r="M34" s="141"/>
      <c r="N34" s="157"/>
      <c r="O34" s="139">
        <f t="shared" si="0"/>
        <v>8350000</v>
      </c>
      <c r="P34" s="139"/>
      <c r="Q34" s="139">
        <f t="shared" si="1"/>
        <v>-8350000</v>
      </c>
      <c r="R34" s="217"/>
      <c r="S34" s="215"/>
      <c r="T34" s="215"/>
    </row>
    <row r="35" spans="1:20" s="144" customFormat="1" ht="30.6" customHeight="1" x14ac:dyDescent="0.2">
      <c r="A35" s="211"/>
      <c r="B35" s="146"/>
      <c r="C35" s="429" t="s">
        <v>2390</v>
      </c>
      <c r="D35" s="429"/>
      <c r="E35" s="429"/>
      <c r="F35" s="429"/>
      <c r="G35" s="138"/>
      <c r="H35" s="139"/>
      <c r="I35" s="138"/>
      <c r="J35" s="141"/>
      <c r="K35" s="141"/>
      <c r="L35" s="226">
        <v>150000</v>
      </c>
      <c r="M35" s="141"/>
      <c r="N35" s="157"/>
      <c r="O35" s="139">
        <f t="shared" si="0"/>
        <v>150000</v>
      </c>
      <c r="P35" s="139"/>
      <c r="Q35" s="139">
        <f t="shared" si="1"/>
        <v>-150000</v>
      </c>
      <c r="R35" s="217"/>
      <c r="S35" s="215"/>
      <c r="T35" s="215"/>
    </row>
    <row r="36" spans="1:20" s="144" customFormat="1" ht="33.6" customHeight="1" x14ac:dyDescent="0.2">
      <c r="A36" s="211"/>
      <c r="B36" s="146"/>
      <c r="C36" s="429" t="s">
        <v>2391</v>
      </c>
      <c r="D36" s="429"/>
      <c r="E36" s="429"/>
      <c r="F36" s="429"/>
      <c r="G36" s="138"/>
      <c r="H36" s="139"/>
      <c r="I36" s="138"/>
      <c r="J36" s="141"/>
      <c r="K36" s="141"/>
      <c r="L36" s="226">
        <v>2870000</v>
      </c>
      <c r="M36" s="157"/>
      <c r="N36" s="157"/>
      <c r="O36" s="139">
        <f t="shared" si="0"/>
        <v>2870000</v>
      </c>
      <c r="P36" s="139"/>
      <c r="Q36" s="139">
        <f t="shared" si="1"/>
        <v>-2870000</v>
      </c>
      <c r="R36" s="217"/>
      <c r="S36" s="215"/>
      <c r="T36" s="215"/>
    </row>
    <row r="37" spans="1:20" s="144" customFormat="1" ht="19.899999999999999" customHeight="1" x14ac:dyDescent="0.2">
      <c r="A37" s="211"/>
      <c r="B37" s="146"/>
      <c r="C37" s="429" t="s">
        <v>2392</v>
      </c>
      <c r="D37" s="429"/>
      <c r="E37" s="429"/>
      <c r="F37" s="429"/>
      <c r="G37" s="138"/>
      <c r="H37" s="139"/>
      <c r="I37" s="138"/>
      <c r="J37" s="141"/>
      <c r="K37" s="141"/>
      <c r="L37" s="226">
        <v>1800000</v>
      </c>
      <c r="M37" s="157"/>
      <c r="N37" s="157"/>
      <c r="O37" s="139">
        <f t="shared" ref="O37" si="3">SUM(H37:N37)</f>
        <v>1800000</v>
      </c>
      <c r="P37" s="139"/>
      <c r="Q37" s="139">
        <f t="shared" ref="Q37" si="4">P37-O37</f>
        <v>-1800000</v>
      </c>
      <c r="R37" s="217"/>
      <c r="S37" s="215"/>
      <c r="T37" s="215"/>
    </row>
    <row r="38" spans="1:20" s="144" customFormat="1" ht="16.149999999999999" customHeight="1" x14ac:dyDescent="0.2">
      <c r="A38" s="211"/>
      <c r="B38" s="146"/>
      <c r="C38" s="239" t="s">
        <v>2452</v>
      </c>
      <c r="D38" s="138"/>
      <c r="E38" s="146"/>
      <c r="F38" s="138"/>
      <c r="G38" s="138"/>
      <c r="H38" s="139"/>
      <c r="I38" s="138"/>
      <c r="J38" s="141"/>
      <c r="K38" s="141"/>
      <c r="L38" s="208">
        <v>4600000</v>
      </c>
      <c r="M38" s="157"/>
      <c r="N38" s="157"/>
      <c r="O38" s="139">
        <f t="shared" si="0"/>
        <v>4600000</v>
      </c>
      <c r="P38" s="139"/>
      <c r="Q38" s="139">
        <f t="shared" si="1"/>
        <v>-4600000</v>
      </c>
      <c r="R38" s="217"/>
      <c r="S38" s="215"/>
      <c r="T38" s="215"/>
    </row>
    <row r="39" spans="1:20" s="144" customFormat="1" ht="16.149999999999999" customHeight="1" x14ac:dyDescent="0.2">
      <c r="A39" s="211"/>
      <c r="B39" s="146"/>
      <c r="C39" s="239" t="s">
        <v>2450</v>
      </c>
      <c r="D39" s="138"/>
      <c r="E39" s="146"/>
      <c r="F39" s="138"/>
      <c r="G39" s="138"/>
      <c r="H39" s="139"/>
      <c r="I39" s="138"/>
      <c r="J39" s="141"/>
      <c r="K39" s="141"/>
      <c r="L39" s="208">
        <v>660000</v>
      </c>
      <c r="M39" s="157"/>
      <c r="N39" s="157"/>
      <c r="O39" s="139">
        <f t="shared" si="0"/>
        <v>660000</v>
      </c>
      <c r="P39" s="139"/>
      <c r="Q39" s="139">
        <f t="shared" si="1"/>
        <v>-660000</v>
      </c>
      <c r="R39" s="217"/>
      <c r="S39" s="215"/>
      <c r="T39" s="215"/>
    </row>
    <row r="40" spans="1:20" s="144" customFormat="1" ht="16.149999999999999" customHeight="1" x14ac:dyDescent="0.2">
      <c r="A40" s="211"/>
      <c r="B40" s="146"/>
      <c r="C40" s="239" t="s">
        <v>2451</v>
      </c>
      <c r="D40" s="138"/>
      <c r="E40" s="146"/>
      <c r="F40" s="138"/>
      <c r="G40" s="138"/>
      <c r="H40" s="139"/>
      <c r="I40" s="138"/>
      <c r="J40" s="141"/>
      <c r="K40" s="141"/>
      <c r="L40" s="208">
        <v>72000</v>
      </c>
      <c r="M40" s="157"/>
      <c r="N40" s="157"/>
      <c r="O40" s="139">
        <f t="shared" si="0"/>
        <v>72000</v>
      </c>
      <c r="P40" s="139"/>
      <c r="Q40" s="139">
        <f t="shared" si="1"/>
        <v>-72000</v>
      </c>
      <c r="R40" s="217"/>
      <c r="S40" s="215"/>
      <c r="T40" s="215"/>
    </row>
    <row r="41" spans="1:20" s="144" customFormat="1" ht="16.149999999999999" customHeight="1" x14ac:dyDescent="0.2">
      <c r="A41" s="211"/>
      <c r="B41" s="146"/>
      <c r="C41" s="239" t="s">
        <v>1877</v>
      </c>
      <c r="D41" s="138"/>
      <c r="E41" s="146"/>
      <c r="F41" s="138"/>
      <c r="G41" s="138"/>
      <c r="H41" s="139"/>
      <c r="I41" s="138"/>
      <c r="J41" s="141"/>
      <c r="K41" s="141"/>
      <c r="L41" s="208">
        <v>170000</v>
      </c>
      <c r="M41" s="157"/>
      <c r="N41" s="157"/>
      <c r="O41" s="139"/>
      <c r="P41" s="139"/>
      <c r="Q41" s="139"/>
      <c r="R41" s="217"/>
      <c r="S41" s="215"/>
      <c r="T41" s="215"/>
    </row>
    <row r="42" spans="1:20" s="159" customFormat="1" ht="16.149999999999999" customHeight="1" x14ac:dyDescent="0.25">
      <c r="A42" s="211"/>
      <c r="B42" s="165"/>
      <c r="C42" s="196" t="s">
        <v>1337</v>
      </c>
      <c r="D42" s="195"/>
      <c r="E42" s="197"/>
      <c r="F42" s="195"/>
      <c r="G42" s="195"/>
      <c r="H42" s="155"/>
      <c r="I42" s="195"/>
      <c r="J42" s="157">
        <f>27*9000000/26</f>
        <v>9346153.846153846</v>
      </c>
      <c r="K42" s="157"/>
      <c r="L42" s="155"/>
      <c r="M42" s="155"/>
      <c r="N42" s="155"/>
      <c r="O42" s="139">
        <f t="shared" si="0"/>
        <v>9346153.846153846</v>
      </c>
      <c r="P42" s="139"/>
      <c r="Q42" s="139">
        <f t="shared" si="1"/>
        <v>-9346153.846153846</v>
      </c>
      <c r="S42" s="215"/>
      <c r="T42" s="215"/>
    </row>
    <row r="43" spans="1:20" s="159" customFormat="1" ht="16.149999999999999" customHeight="1" x14ac:dyDescent="0.25">
      <c r="A43" s="253"/>
      <c r="B43" s="254"/>
      <c r="C43" s="255" t="s">
        <v>1094</v>
      </c>
      <c r="D43" s="256"/>
      <c r="E43" s="257"/>
      <c r="F43" s="256"/>
      <c r="G43" s="256"/>
      <c r="H43" s="258"/>
      <c r="I43" s="256"/>
      <c r="J43" s="258"/>
      <c r="K43" s="259">
        <f>1200000*1.1</f>
        <v>1320000</v>
      </c>
      <c r="L43" s="260"/>
      <c r="M43" s="258"/>
      <c r="N43" s="258"/>
      <c r="O43" s="261">
        <f t="shared" si="0"/>
        <v>1320000</v>
      </c>
      <c r="P43" s="261"/>
      <c r="Q43" s="261">
        <f t="shared" si="1"/>
        <v>-1320000</v>
      </c>
      <c r="R43" s="186"/>
      <c r="S43" s="215"/>
      <c r="T43" s="215"/>
    </row>
    <row r="44" spans="1:20" ht="15.6" customHeight="1" x14ac:dyDescent="0.25">
      <c r="A44" s="426" t="s">
        <v>20</v>
      </c>
      <c r="B44" s="426"/>
      <c r="C44" s="426"/>
      <c r="D44" s="426"/>
      <c r="E44" s="426"/>
      <c r="F44" s="426"/>
      <c r="G44" s="161">
        <f t="shared" ref="G44:Q44" si="5">SUM(G7:G43)</f>
        <v>3203</v>
      </c>
      <c r="H44" s="161">
        <f t="shared" si="5"/>
        <v>56511870</v>
      </c>
      <c r="I44" s="161">
        <f t="shared" si="5"/>
        <v>0</v>
      </c>
      <c r="J44" s="161">
        <f t="shared" si="5"/>
        <v>43156153.846153848</v>
      </c>
      <c r="K44" s="161">
        <f t="shared" si="5"/>
        <v>1320000</v>
      </c>
      <c r="L44" s="161">
        <f t="shared" si="5"/>
        <v>18672000</v>
      </c>
      <c r="M44" s="161">
        <f t="shared" si="5"/>
        <v>0</v>
      </c>
      <c r="N44" s="161">
        <f t="shared" si="5"/>
        <v>0</v>
      </c>
      <c r="O44" s="161">
        <f t="shared" si="5"/>
        <v>119490023.84615384</v>
      </c>
      <c r="P44" s="161">
        <f t="shared" si="5"/>
        <v>138745455</v>
      </c>
      <c r="Q44" s="161">
        <f t="shared" si="5"/>
        <v>19255431.153846152</v>
      </c>
      <c r="R44" s="187"/>
      <c r="S44" s="189"/>
    </row>
    <row r="45" spans="1:20" ht="24.95" customHeight="1" x14ac:dyDescent="0.25">
      <c r="O45" s="158"/>
      <c r="Q45" s="158">
        <f>P44-O44</f>
        <v>19255431.15384616</v>
      </c>
    </row>
    <row r="46" spans="1:20" ht="24.95" customHeight="1" x14ac:dyDescent="0.25">
      <c r="P46" s="216" t="s">
        <v>1603</v>
      </c>
      <c r="Q46" s="227">
        <f>'4.2019'!Q45+'5.2019'!Q44</f>
        <v>110480759</v>
      </c>
    </row>
    <row r="47" spans="1:20" ht="24.95" customHeight="1" x14ac:dyDescent="0.25">
      <c r="B47" s="129"/>
      <c r="H47" s="128"/>
      <c r="J47" s="128"/>
      <c r="K47" s="128"/>
      <c r="L47" s="128"/>
      <c r="M47" s="128"/>
      <c r="N47" s="128"/>
      <c r="O47" s="128"/>
      <c r="P47" s="218"/>
      <c r="Q47" s="216"/>
    </row>
    <row r="48" spans="1:20" ht="24.95" customHeight="1" x14ac:dyDescent="0.25">
      <c r="B48" s="129"/>
      <c r="H48" s="128"/>
      <c r="J48" s="128"/>
      <c r="K48" s="128"/>
      <c r="L48" s="128"/>
      <c r="M48" s="128"/>
      <c r="N48" s="128"/>
      <c r="O48" s="128"/>
      <c r="P48" s="218"/>
      <c r="Q48" s="230"/>
    </row>
    <row r="49" spans="1:17" ht="24.95" customHeight="1" x14ac:dyDescent="0.25">
      <c r="B49" s="129"/>
      <c r="H49" s="128"/>
      <c r="J49" s="128"/>
      <c r="K49" s="128"/>
      <c r="L49" s="128"/>
      <c r="M49" s="128"/>
      <c r="N49" s="128"/>
      <c r="O49" s="128"/>
      <c r="P49" s="218"/>
      <c r="Q49" s="230"/>
    </row>
    <row r="50" spans="1:17" ht="24.95" customHeight="1" x14ac:dyDescent="0.25">
      <c r="B50" s="129"/>
      <c r="H50" s="128"/>
      <c r="J50" s="128"/>
      <c r="K50" s="128"/>
      <c r="L50" s="128"/>
      <c r="M50" s="128"/>
      <c r="N50" s="128"/>
      <c r="O50" s="128"/>
      <c r="P50" s="218"/>
      <c r="Q50" s="216"/>
    </row>
    <row r="51" spans="1:17" x14ac:dyDescent="0.25">
      <c r="B51" s="129"/>
      <c r="H51" s="128"/>
      <c r="J51" s="128"/>
      <c r="K51" s="128"/>
      <c r="L51" s="128"/>
      <c r="M51" s="128"/>
      <c r="N51" s="128"/>
      <c r="O51" s="128"/>
      <c r="P51" s="218"/>
      <c r="Q51" s="216"/>
    </row>
    <row r="52" spans="1:17" x14ac:dyDescent="0.25">
      <c r="A52" s="128"/>
      <c r="B52" s="129"/>
      <c r="H52" s="128"/>
      <c r="J52" s="128"/>
      <c r="K52" s="128"/>
      <c r="L52" s="128"/>
      <c r="M52" s="128"/>
      <c r="N52" s="128"/>
      <c r="O52" s="128"/>
      <c r="P52" s="218"/>
      <c r="Q52" s="216"/>
    </row>
    <row r="53" spans="1:17" x14ac:dyDescent="0.25">
      <c r="A53" s="128"/>
      <c r="B53" s="129"/>
      <c r="H53" s="128"/>
      <c r="J53" s="128"/>
      <c r="K53" s="128"/>
      <c r="L53" s="128"/>
      <c r="M53" s="128"/>
      <c r="N53" s="128"/>
      <c r="O53" s="128"/>
      <c r="P53" s="128"/>
      <c r="Q53" s="216"/>
    </row>
    <row r="54" spans="1:17" x14ac:dyDescent="0.25">
      <c r="A54" s="128"/>
      <c r="B54" s="128"/>
      <c r="H54" s="128"/>
      <c r="J54" s="128"/>
      <c r="K54" s="128"/>
      <c r="L54" s="128"/>
      <c r="M54" s="128"/>
      <c r="N54" s="128"/>
      <c r="O54" s="128"/>
      <c r="P54" s="128"/>
      <c r="Q54" s="216"/>
    </row>
    <row r="55" spans="1:17" x14ac:dyDescent="0.25">
      <c r="A55" s="128"/>
      <c r="B55" s="128"/>
      <c r="H55" s="128"/>
      <c r="J55" s="128"/>
      <c r="K55" s="128"/>
      <c r="L55" s="128"/>
      <c r="M55" s="128"/>
      <c r="N55" s="128"/>
      <c r="O55" s="128"/>
      <c r="P55" s="128"/>
      <c r="Q55" s="216"/>
    </row>
  </sheetData>
  <mergeCells count="18">
    <mergeCell ref="A1:Q1"/>
    <mergeCell ref="A2:Q2"/>
    <mergeCell ref="B3:Q3"/>
    <mergeCell ref="A5:A6"/>
    <mergeCell ref="B5:B6"/>
    <mergeCell ref="C5:C6"/>
    <mergeCell ref="D5:D6"/>
    <mergeCell ref="E5:E6"/>
    <mergeCell ref="F5:F6"/>
    <mergeCell ref="G5:N5"/>
    <mergeCell ref="O5:O6"/>
    <mergeCell ref="P5:P6"/>
    <mergeCell ref="C37:F37"/>
    <mergeCell ref="Q5:Q6"/>
    <mergeCell ref="A44:F44"/>
    <mergeCell ref="C34:F34"/>
    <mergeCell ref="C35:F35"/>
    <mergeCell ref="C36:F36"/>
  </mergeCells>
  <pageMargins left="0.7" right="0.7" top="0.75" bottom="0.75" header="0.3" footer="0.3"/>
  <pageSetup paperSize="9" orientation="portrait" horizontalDpi="180" verticalDpi="180"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T51"/>
  <sheetViews>
    <sheetView topLeftCell="A19" workbookViewId="0">
      <selection activeCell="K38" sqref="K38"/>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4.85546875" style="128" customWidth="1"/>
    <col min="6" max="6" width="11.5703125" style="128" customWidth="1"/>
    <col min="7" max="7" width="8" style="128" customWidth="1"/>
    <col min="8" max="8" width="11" style="143" customWidth="1"/>
    <col min="9" max="9" width="9.855468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2453</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32"/>
      <c r="B6" s="433"/>
      <c r="C6" s="432"/>
      <c r="D6" s="432"/>
      <c r="E6" s="422"/>
      <c r="F6" s="422"/>
      <c r="G6" s="241" t="s">
        <v>7</v>
      </c>
      <c r="H6" s="242" t="s">
        <v>15</v>
      </c>
      <c r="I6" s="241" t="s">
        <v>16</v>
      </c>
      <c r="J6" s="242" t="s">
        <v>8</v>
      </c>
      <c r="K6" s="242" t="s">
        <v>9</v>
      </c>
      <c r="L6" s="242" t="s">
        <v>10</v>
      </c>
      <c r="M6" s="242" t="s">
        <v>11</v>
      </c>
      <c r="N6" s="242" t="s">
        <v>12</v>
      </c>
      <c r="O6" s="430"/>
      <c r="P6" s="430"/>
      <c r="Q6" s="430"/>
    </row>
    <row r="7" spans="1:20" s="144" customFormat="1" ht="15.6" customHeight="1" thickBot="1" x14ac:dyDescent="0.25">
      <c r="A7" s="243">
        <v>1</v>
      </c>
      <c r="B7" s="244">
        <v>43615</v>
      </c>
      <c r="C7" s="245" t="s">
        <v>2454</v>
      </c>
      <c r="D7" s="245" t="s">
        <v>2472</v>
      </c>
      <c r="E7" s="246" t="s">
        <v>515</v>
      </c>
      <c r="F7" s="245"/>
      <c r="G7" s="245">
        <v>0</v>
      </c>
      <c r="H7" s="247"/>
      <c r="I7" s="245"/>
      <c r="J7" s="268">
        <v>1160000</v>
      </c>
      <c r="K7" s="250"/>
      <c r="L7" s="262"/>
      <c r="M7" s="247"/>
      <c r="N7" s="247"/>
      <c r="O7" s="250">
        <f>SUM(H7:N7)</f>
        <v>1160000</v>
      </c>
      <c r="P7" s="271">
        <v>5000000</v>
      </c>
      <c r="Q7" s="250">
        <f>P7-O7</f>
        <v>3840000</v>
      </c>
      <c r="R7" s="240"/>
      <c r="S7" s="215"/>
      <c r="T7" s="215"/>
    </row>
    <row r="8" spans="1:20" s="144" customFormat="1" ht="15.6" customHeight="1" thickBot="1" x14ac:dyDescent="0.25">
      <c r="A8" s="211">
        <v>2</v>
      </c>
      <c r="B8" s="236">
        <v>43619</v>
      </c>
      <c r="C8" s="138" t="s">
        <v>2455</v>
      </c>
      <c r="D8" s="138" t="s">
        <v>2473</v>
      </c>
      <c r="E8" s="146" t="s">
        <v>80</v>
      </c>
      <c r="F8" s="138"/>
      <c r="G8" s="138">
        <v>340</v>
      </c>
      <c r="H8" s="141">
        <f>+G8*17390</f>
        <v>5912600</v>
      </c>
      <c r="I8" s="138"/>
      <c r="J8" s="226">
        <v>790000</v>
      </c>
      <c r="K8" s="139"/>
      <c r="L8" s="263"/>
      <c r="M8" s="141"/>
      <c r="N8" s="141"/>
      <c r="O8" s="139">
        <f t="shared" ref="O8:O39" si="0">SUM(H8:N8)</f>
        <v>6702600</v>
      </c>
      <c r="P8" s="272">
        <v>4000000</v>
      </c>
      <c r="Q8" s="139">
        <f t="shared" ref="Q8:Q39" si="1">P8-O8</f>
        <v>-2702600</v>
      </c>
      <c r="R8" s="240"/>
      <c r="S8" s="215"/>
      <c r="T8" s="215"/>
    </row>
    <row r="9" spans="1:20" s="144" customFormat="1" ht="15.6" customHeight="1" thickBot="1" x14ac:dyDescent="0.25">
      <c r="A9" s="211">
        <v>3</v>
      </c>
      <c r="B9" s="236">
        <v>43620</v>
      </c>
      <c r="C9" s="138" t="s">
        <v>2456</v>
      </c>
      <c r="D9" s="138" t="s">
        <v>2474</v>
      </c>
      <c r="E9" s="146" t="s">
        <v>80</v>
      </c>
      <c r="F9" s="138"/>
      <c r="G9" s="138">
        <v>0</v>
      </c>
      <c r="H9" s="141"/>
      <c r="I9" s="138"/>
      <c r="J9" s="226">
        <v>790000</v>
      </c>
      <c r="K9" s="139"/>
      <c r="L9" s="263"/>
      <c r="M9" s="141"/>
      <c r="N9" s="141"/>
      <c r="O9" s="139">
        <f t="shared" si="0"/>
        <v>790000</v>
      </c>
      <c r="P9" s="272">
        <v>4000000</v>
      </c>
      <c r="Q9" s="139">
        <f t="shared" si="1"/>
        <v>3210000</v>
      </c>
      <c r="R9" s="240"/>
      <c r="S9" s="215"/>
      <c r="T9" s="215"/>
    </row>
    <row r="10" spans="1:20" s="144" customFormat="1" ht="15.6" customHeight="1" thickBot="1" x14ac:dyDescent="0.25">
      <c r="A10" s="211">
        <v>4</v>
      </c>
      <c r="B10" s="236">
        <v>43621</v>
      </c>
      <c r="C10" s="138" t="s">
        <v>418</v>
      </c>
      <c r="D10" s="138" t="s">
        <v>2475</v>
      </c>
      <c r="E10" s="146" t="s">
        <v>2496</v>
      </c>
      <c r="F10" s="138"/>
      <c r="G10" s="138">
        <v>0</v>
      </c>
      <c r="H10" s="141"/>
      <c r="I10" s="138"/>
      <c r="J10" s="226">
        <v>1560000</v>
      </c>
      <c r="K10" s="139"/>
      <c r="L10" s="263"/>
      <c r="M10" s="141"/>
      <c r="N10" s="141"/>
      <c r="O10" s="139">
        <f t="shared" si="0"/>
        <v>1560000</v>
      </c>
      <c r="P10" s="272">
        <v>5700000</v>
      </c>
      <c r="Q10" s="139">
        <f t="shared" si="1"/>
        <v>4140000</v>
      </c>
      <c r="R10" s="240"/>
      <c r="S10" s="215"/>
      <c r="T10" s="215"/>
    </row>
    <row r="11" spans="1:20" s="144" customFormat="1" ht="15.6" customHeight="1" thickBot="1" x14ac:dyDescent="0.25">
      <c r="A11" s="211">
        <v>5</v>
      </c>
      <c r="B11" s="236">
        <v>43622</v>
      </c>
      <c r="C11" s="138" t="s">
        <v>419</v>
      </c>
      <c r="D11" s="138" t="s">
        <v>2476</v>
      </c>
      <c r="E11" s="146" t="s">
        <v>715</v>
      </c>
      <c r="F11" s="138"/>
      <c r="G11" s="138">
        <v>370</v>
      </c>
      <c r="H11" s="141">
        <f>+G11*17390</f>
        <v>6434300</v>
      </c>
      <c r="I11" s="138"/>
      <c r="J11" s="226">
        <v>1510000</v>
      </c>
      <c r="K11" s="139"/>
      <c r="L11" s="263"/>
      <c r="M11" s="141"/>
      <c r="N11" s="141"/>
      <c r="O11" s="139">
        <f t="shared" si="0"/>
        <v>7944300</v>
      </c>
      <c r="P11" s="272">
        <v>5600000</v>
      </c>
      <c r="Q11" s="139">
        <f t="shared" si="1"/>
        <v>-2344300</v>
      </c>
      <c r="R11" s="240"/>
      <c r="S11" s="215"/>
      <c r="T11" s="215"/>
    </row>
    <row r="12" spans="1:20" s="144" customFormat="1" ht="15.6" customHeight="1" thickBot="1" x14ac:dyDescent="0.25">
      <c r="A12" s="211">
        <v>6</v>
      </c>
      <c r="B12" s="236">
        <v>43623</v>
      </c>
      <c r="C12" s="138" t="s">
        <v>2457</v>
      </c>
      <c r="D12" s="138" t="s">
        <v>2477</v>
      </c>
      <c r="E12" s="146" t="s">
        <v>1217</v>
      </c>
      <c r="F12" s="138"/>
      <c r="G12" s="138">
        <v>0</v>
      </c>
      <c r="H12" s="141"/>
      <c r="I12" s="138"/>
      <c r="J12" s="226">
        <v>970000</v>
      </c>
      <c r="K12" s="139"/>
      <c r="L12" s="263"/>
      <c r="M12" s="141"/>
      <c r="N12" s="141"/>
      <c r="O12" s="139">
        <f t="shared" si="0"/>
        <v>970000</v>
      </c>
      <c r="P12" s="272">
        <v>4000000</v>
      </c>
      <c r="Q12" s="139">
        <f t="shared" si="1"/>
        <v>3030000</v>
      </c>
      <c r="R12" s="240"/>
      <c r="S12" s="215"/>
      <c r="T12" s="215"/>
    </row>
    <row r="13" spans="1:20" s="144" customFormat="1" ht="15.6" customHeight="1" thickBot="1" x14ac:dyDescent="0.25">
      <c r="A13" s="211">
        <v>7</v>
      </c>
      <c r="B13" s="236">
        <v>43626</v>
      </c>
      <c r="C13" s="138" t="s">
        <v>2458</v>
      </c>
      <c r="D13" s="138" t="s">
        <v>2478</v>
      </c>
      <c r="E13" s="146" t="s">
        <v>2497</v>
      </c>
      <c r="F13" s="138"/>
      <c r="G13" s="138">
        <v>0</v>
      </c>
      <c r="H13" s="141"/>
      <c r="I13" s="138"/>
      <c r="J13" s="226">
        <v>1150000</v>
      </c>
      <c r="K13" s="139"/>
      <c r="L13" s="263"/>
      <c r="M13" s="141"/>
      <c r="N13" s="141"/>
      <c r="O13" s="139">
        <f t="shared" si="0"/>
        <v>1150000</v>
      </c>
      <c r="P13" s="272">
        <v>3800000</v>
      </c>
      <c r="Q13" s="139">
        <f t="shared" si="1"/>
        <v>2650000</v>
      </c>
      <c r="R13" s="240"/>
      <c r="S13" s="215"/>
      <c r="T13" s="215"/>
    </row>
    <row r="14" spans="1:20" s="144" customFormat="1" ht="15.6" customHeight="1" thickBot="1" x14ac:dyDescent="0.25">
      <c r="A14" s="211">
        <v>8</v>
      </c>
      <c r="B14" s="236">
        <v>43626</v>
      </c>
      <c r="C14" s="138" t="s">
        <v>2459</v>
      </c>
      <c r="D14" s="138" t="s">
        <v>2479</v>
      </c>
      <c r="E14" s="146" t="s">
        <v>25</v>
      </c>
      <c r="F14" s="138"/>
      <c r="G14" s="138">
        <v>355</v>
      </c>
      <c r="H14" s="141">
        <f>+G14*17390</f>
        <v>6173450</v>
      </c>
      <c r="I14" s="138"/>
      <c r="J14" s="226">
        <v>1890000</v>
      </c>
      <c r="K14" s="139"/>
      <c r="L14" s="263"/>
      <c r="M14" s="141"/>
      <c r="N14" s="141"/>
      <c r="O14" s="139">
        <f t="shared" si="0"/>
        <v>8063450</v>
      </c>
      <c r="P14" s="272">
        <v>8045455</v>
      </c>
      <c r="Q14" s="139">
        <f t="shared" si="1"/>
        <v>-17995</v>
      </c>
      <c r="R14" s="240"/>
      <c r="S14" s="215"/>
      <c r="T14" s="215"/>
    </row>
    <row r="15" spans="1:20" s="144" customFormat="1" ht="15.6" customHeight="1" thickBot="1" x14ac:dyDescent="0.25">
      <c r="A15" s="211">
        <v>9</v>
      </c>
      <c r="B15" s="236">
        <v>43627</v>
      </c>
      <c r="C15" s="138" t="s">
        <v>2460</v>
      </c>
      <c r="D15" s="138" t="s">
        <v>2480</v>
      </c>
      <c r="E15" s="146" t="s">
        <v>115</v>
      </c>
      <c r="F15" s="138"/>
      <c r="G15" s="138">
        <v>0</v>
      </c>
      <c r="H15" s="141"/>
      <c r="I15" s="138"/>
      <c r="J15" s="226">
        <v>1150000</v>
      </c>
      <c r="K15" s="139"/>
      <c r="L15" s="263"/>
      <c r="M15" s="141"/>
      <c r="N15" s="141"/>
      <c r="O15" s="139">
        <f t="shared" si="0"/>
        <v>1150000</v>
      </c>
      <c r="P15" s="272">
        <v>3372727</v>
      </c>
      <c r="Q15" s="139">
        <f t="shared" si="1"/>
        <v>2222727</v>
      </c>
      <c r="R15" s="240"/>
      <c r="S15" s="215"/>
      <c r="T15" s="215"/>
    </row>
    <row r="16" spans="1:20" s="144" customFormat="1" ht="15.6" customHeight="1" thickBot="1" x14ac:dyDescent="0.25">
      <c r="A16" s="211">
        <v>10</v>
      </c>
      <c r="B16" s="236">
        <v>43628</v>
      </c>
      <c r="C16" s="138" t="s">
        <v>423</v>
      </c>
      <c r="D16" s="138" t="s">
        <v>2481</v>
      </c>
      <c r="E16" s="146" t="s">
        <v>1867</v>
      </c>
      <c r="F16" s="138"/>
      <c r="G16" s="138">
        <v>220</v>
      </c>
      <c r="H16" s="141">
        <f>+G16*17390</f>
        <v>3825800</v>
      </c>
      <c r="I16" s="138"/>
      <c r="J16" s="226">
        <v>1510000</v>
      </c>
      <c r="K16" s="139"/>
      <c r="L16" s="263"/>
      <c r="M16" s="141"/>
      <c r="N16" s="141"/>
      <c r="O16" s="139">
        <f t="shared" si="0"/>
        <v>5335800</v>
      </c>
      <c r="P16" s="272">
        <v>5600000</v>
      </c>
      <c r="Q16" s="139">
        <f t="shared" si="1"/>
        <v>264200</v>
      </c>
      <c r="R16" s="240"/>
      <c r="S16" s="215"/>
      <c r="T16" s="215"/>
    </row>
    <row r="17" spans="1:20" s="144" customFormat="1" ht="15.6" customHeight="1" thickBot="1" x14ac:dyDescent="0.25">
      <c r="A17" s="211">
        <v>11</v>
      </c>
      <c r="B17" s="236">
        <v>43629</v>
      </c>
      <c r="C17" s="138" t="s">
        <v>2461</v>
      </c>
      <c r="D17" s="138" t="s">
        <v>2482</v>
      </c>
      <c r="E17" s="146" t="s">
        <v>23</v>
      </c>
      <c r="F17" s="138"/>
      <c r="G17" s="138">
        <v>0</v>
      </c>
      <c r="H17" s="141"/>
      <c r="I17" s="138"/>
      <c r="J17" s="226">
        <v>2740000</v>
      </c>
      <c r="K17" s="139"/>
      <c r="L17" s="263"/>
      <c r="M17" s="141"/>
      <c r="N17" s="141"/>
      <c r="O17" s="139">
        <f t="shared" si="0"/>
        <v>2740000</v>
      </c>
      <c r="P17" s="272">
        <v>12181818</v>
      </c>
      <c r="Q17" s="139">
        <f t="shared" si="1"/>
        <v>9441818</v>
      </c>
      <c r="R17" s="240"/>
      <c r="S17" s="215"/>
      <c r="T17" s="215"/>
    </row>
    <row r="18" spans="1:20" s="144" customFormat="1" ht="15.6" customHeight="1" thickBot="1" x14ac:dyDescent="0.25">
      <c r="A18" s="211">
        <v>12</v>
      </c>
      <c r="B18" s="236">
        <v>43630</v>
      </c>
      <c r="C18" s="138" t="s">
        <v>2462</v>
      </c>
      <c r="D18" s="138" t="s">
        <v>2483</v>
      </c>
      <c r="E18" s="146" t="s">
        <v>1749</v>
      </c>
      <c r="F18" s="138"/>
      <c r="G18" s="138">
        <v>310</v>
      </c>
      <c r="H18" s="141">
        <f>+G18*17390</f>
        <v>5390900</v>
      </c>
      <c r="I18" s="138"/>
      <c r="J18" s="226">
        <v>790000</v>
      </c>
      <c r="K18" s="139"/>
      <c r="L18" s="263"/>
      <c r="M18" s="141"/>
      <c r="N18" s="141"/>
      <c r="O18" s="139">
        <f t="shared" si="0"/>
        <v>6180900</v>
      </c>
      <c r="P18" s="272">
        <v>3163636</v>
      </c>
      <c r="Q18" s="139">
        <f t="shared" si="1"/>
        <v>-3017264</v>
      </c>
      <c r="R18" s="240"/>
      <c r="S18" s="215"/>
      <c r="T18" s="215"/>
    </row>
    <row r="19" spans="1:20" s="144" customFormat="1" ht="15.6" customHeight="1" thickBot="1" x14ac:dyDescent="0.25">
      <c r="A19" s="211">
        <v>13</v>
      </c>
      <c r="B19" s="236">
        <v>43633</v>
      </c>
      <c r="C19" s="138" t="s">
        <v>364</v>
      </c>
      <c r="D19" s="138" t="s">
        <v>2484</v>
      </c>
      <c r="E19" s="146" t="s">
        <v>1016</v>
      </c>
      <c r="F19" s="138"/>
      <c r="G19" s="138">
        <v>0</v>
      </c>
      <c r="H19" s="141"/>
      <c r="I19" s="138"/>
      <c r="J19" s="226">
        <v>1420000</v>
      </c>
      <c r="K19" s="139"/>
      <c r="L19" s="263"/>
      <c r="M19" s="141"/>
      <c r="N19" s="141"/>
      <c r="O19" s="139">
        <f t="shared" si="0"/>
        <v>1420000</v>
      </c>
      <c r="P19" s="272">
        <v>6300000</v>
      </c>
      <c r="Q19" s="139">
        <f t="shared" si="1"/>
        <v>4880000</v>
      </c>
      <c r="R19" s="240"/>
      <c r="S19" s="215"/>
      <c r="T19" s="215"/>
    </row>
    <row r="20" spans="1:20" s="144" customFormat="1" ht="15.6" customHeight="1" thickBot="1" x14ac:dyDescent="0.25">
      <c r="A20" s="211">
        <v>14</v>
      </c>
      <c r="B20" s="236">
        <v>43633</v>
      </c>
      <c r="C20" s="138" t="s">
        <v>365</v>
      </c>
      <c r="D20" s="138" t="s">
        <v>2485</v>
      </c>
      <c r="E20" s="146" t="s">
        <v>948</v>
      </c>
      <c r="F20" s="138"/>
      <c r="G20" s="138">
        <v>0</v>
      </c>
      <c r="H20" s="141"/>
      <c r="I20" s="138"/>
      <c r="J20" s="226">
        <v>1160000</v>
      </c>
      <c r="K20" s="139"/>
      <c r="L20" s="263"/>
      <c r="M20" s="141"/>
      <c r="N20" s="141"/>
      <c r="O20" s="139">
        <f t="shared" si="0"/>
        <v>1160000</v>
      </c>
      <c r="P20" s="272">
        <v>5000000</v>
      </c>
      <c r="Q20" s="139">
        <f t="shared" si="1"/>
        <v>3840000</v>
      </c>
      <c r="R20" s="240"/>
      <c r="S20" s="215"/>
      <c r="T20" s="215"/>
    </row>
    <row r="21" spans="1:20" s="144" customFormat="1" ht="15.6" customHeight="1" thickBot="1" x14ac:dyDescent="0.25">
      <c r="A21" s="211">
        <v>15</v>
      </c>
      <c r="B21" s="236">
        <v>43634</v>
      </c>
      <c r="C21" s="138" t="s">
        <v>2463</v>
      </c>
      <c r="D21" s="138" t="s">
        <v>2486</v>
      </c>
      <c r="E21" s="146" t="s">
        <v>2498</v>
      </c>
      <c r="F21" s="138"/>
      <c r="G21" s="138">
        <v>370</v>
      </c>
      <c r="H21" s="141">
        <f>+G21*16650</f>
        <v>6160500</v>
      </c>
      <c r="I21" s="138"/>
      <c r="J21" s="226">
        <v>1270000</v>
      </c>
      <c r="K21" s="139"/>
      <c r="L21" s="263"/>
      <c r="M21" s="141"/>
      <c r="N21" s="141"/>
      <c r="O21" s="139">
        <f t="shared" si="0"/>
        <v>7430500</v>
      </c>
      <c r="P21" s="272">
        <v>5200000</v>
      </c>
      <c r="Q21" s="139">
        <f t="shared" si="1"/>
        <v>-2230500</v>
      </c>
      <c r="R21" s="240"/>
      <c r="S21" s="215"/>
      <c r="T21" s="215"/>
    </row>
    <row r="22" spans="1:20" s="144" customFormat="1" ht="15.6" customHeight="1" thickBot="1" x14ac:dyDescent="0.25">
      <c r="A22" s="211">
        <v>16</v>
      </c>
      <c r="B22" s="236">
        <v>43634</v>
      </c>
      <c r="C22" s="138" t="s">
        <v>2464</v>
      </c>
      <c r="D22" s="138" t="s">
        <v>2487</v>
      </c>
      <c r="E22" s="146" t="s">
        <v>279</v>
      </c>
      <c r="F22" s="138"/>
      <c r="G22" s="138">
        <v>0</v>
      </c>
      <c r="H22" s="141"/>
      <c r="I22" s="138"/>
      <c r="J22" s="226">
        <v>2250000</v>
      </c>
      <c r="K22" s="139"/>
      <c r="L22" s="263"/>
      <c r="M22" s="141"/>
      <c r="N22" s="141"/>
      <c r="O22" s="139">
        <f t="shared" si="0"/>
        <v>2250000</v>
      </c>
      <c r="P22" s="272">
        <v>10000000</v>
      </c>
      <c r="Q22" s="139">
        <f t="shared" si="1"/>
        <v>7750000</v>
      </c>
      <c r="R22" s="240"/>
      <c r="S22" s="215"/>
      <c r="T22" s="215"/>
    </row>
    <row r="23" spans="1:20" s="144" customFormat="1" ht="15.6" customHeight="1" thickBot="1" x14ac:dyDescent="0.25">
      <c r="A23" s="211">
        <v>17</v>
      </c>
      <c r="B23" s="236">
        <v>43636</v>
      </c>
      <c r="C23" s="138" t="s">
        <v>2465</v>
      </c>
      <c r="D23" s="138" t="s">
        <v>2488</v>
      </c>
      <c r="E23" s="146" t="s">
        <v>660</v>
      </c>
      <c r="F23" s="138"/>
      <c r="G23" s="138">
        <v>0</v>
      </c>
      <c r="H23" s="141"/>
      <c r="I23" s="138"/>
      <c r="J23" s="226">
        <v>970000</v>
      </c>
      <c r="K23" s="139"/>
      <c r="L23" s="263"/>
      <c r="M23" s="141"/>
      <c r="N23" s="141"/>
      <c r="O23" s="139">
        <f t="shared" si="0"/>
        <v>970000</v>
      </c>
      <c r="P23" s="272">
        <v>4200000</v>
      </c>
      <c r="Q23" s="139">
        <f t="shared" si="1"/>
        <v>3230000</v>
      </c>
      <c r="R23" s="240"/>
      <c r="S23" s="215"/>
      <c r="T23" s="215"/>
    </row>
    <row r="24" spans="1:20" s="144" customFormat="1" ht="15.6" customHeight="1" thickBot="1" x14ac:dyDescent="0.25">
      <c r="A24" s="211">
        <v>18</v>
      </c>
      <c r="B24" s="236">
        <v>43637</v>
      </c>
      <c r="C24" s="138" t="s">
        <v>2466</v>
      </c>
      <c r="D24" s="138" t="s">
        <v>2489</v>
      </c>
      <c r="E24" s="146" t="s">
        <v>259</v>
      </c>
      <c r="F24" s="138"/>
      <c r="G24" s="138">
        <v>390</v>
      </c>
      <c r="H24" s="141">
        <f>+G24*16650</f>
        <v>6493500</v>
      </c>
      <c r="I24" s="138"/>
      <c r="J24" s="226">
        <v>970000</v>
      </c>
      <c r="K24" s="139"/>
      <c r="L24" s="263"/>
      <c r="M24" s="141"/>
      <c r="N24" s="141"/>
      <c r="O24" s="139">
        <f t="shared" si="0"/>
        <v>7463500</v>
      </c>
      <c r="P24" s="272">
        <v>4000000</v>
      </c>
      <c r="Q24" s="139">
        <f t="shared" si="1"/>
        <v>-3463500</v>
      </c>
      <c r="R24" s="240"/>
      <c r="S24" s="215"/>
      <c r="T24" s="215"/>
    </row>
    <row r="25" spans="1:20" s="144" customFormat="1" ht="15.6" customHeight="1" thickBot="1" x14ac:dyDescent="0.25">
      <c r="A25" s="211">
        <v>19</v>
      </c>
      <c r="B25" s="236">
        <v>43638</v>
      </c>
      <c r="C25" s="138" t="s">
        <v>2467</v>
      </c>
      <c r="D25" s="138" t="s">
        <v>2490</v>
      </c>
      <c r="E25" s="146" t="s">
        <v>1865</v>
      </c>
      <c r="F25" s="138"/>
      <c r="G25" s="138">
        <v>0</v>
      </c>
      <c r="H25" s="141"/>
      <c r="I25" s="138"/>
      <c r="J25" s="226">
        <v>790000</v>
      </c>
      <c r="K25" s="139"/>
      <c r="L25" s="263"/>
      <c r="M25" s="141"/>
      <c r="N25" s="141"/>
      <c r="O25" s="139">
        <f t="shared" si="0"/>
        <v>790000</v>
      </c>
      <c r="P25" s="272">
        <v>3263636</v>
      </c>
      <c r="Q25" s="139">
        <f t="shared" si="1"/>
        <v>2473636</v>
      </c>
      <c r="R25" s="240"/>
      <c r="S25" s="215"/>
      <c r="T25" s="215"/>
    </row>
    <row r="26" spans="1:20" s="144" customFormat="1" ht="15.6" customHeight="1" thickBot="1" x14ac:dyDescent="0.25">
      <c r="A26" s="211">
        <v>20</v>
      </c>
      <c r="B26" s="236">
        <v>43640</v>
      </c>
      <c r="C26" s="138" t="s">
        <v>2468</v>
      </c>
      <c r="D26" s="138" t="s">
        <v>2491</v>
      </c>
      <c r="E26" s="146" t="s">
        <v>2499</v>
      </c>
      <c r="F26" s="138"/>
      <c r="G26" s="138">
        <v>0</v>
      </c>
      <c r="H26" s="141"/>
      <c r="I26" s="138"/>
      <c r="J26" s="226">
        <v>790000</v>
      </c>
      <c r="K26" s="139"/>
      <c r="L26" s="263"/>
      <c r="M26" s="141"/>
      <c r="N26" s="141"/>
      <c r="O26" s="139">
        <f t="shared" si="0"/>
        <v>790000</v>
      </c>
      <c r="P26" s="272">
        <v>3700000</v>
      </c>
      <c r="Q26" s="139">
        <f t="shared" si="1"/>
        <v>2910000</v>
      </c>
      <c r="R26" s="240"/>
      <c r="S26" s="215"/>
      <c r="T26" s="215"/>
    </row>
    <row r="27" spans="1:20" s="144" customFormat="1" ht="15.6" customHeight="1" thickBot="1" x14ac:dyDescent="0.25">
      <c r="A27" s="211">
        <v>21</v>
      </c>
      <c r="B27" s="236">
        <v>43641</v>
      </c>
      <c r="C27" s="138" t="s">
        <v>2469</v>
      </c>
      <c r="D27" s="138" t="s">
        <v>2492</v>
      </c>
      <c r="E27" s="146" t="s">
        <v>515</v>
      </c>
      <c r="F27" s="138"/>
      <c r="G27" s="138">
        <v>240</v>
      </c>
      <c r="H27" s="141">
        <f>+G27*16650</f>
        <v>3996000</v>
      </c>
      <c r="I27" s="138"/>
      <c r="J27" s="226">
        <v>1160000</v>
      </c>
      <c r="K27" s="139"/>
      <c r="L27" s="263"/>
      <c r="M27" s="141"/>
      <c r="N27" s="141"/>
      <c r="O27" s="139">
        <f t="shared" si="0"/>
        <v>5156000</v>
      </c>
      <c r="P27" s="272">
        <v>5000000</v>
      </c>
      <c r="Q27" s="139">
        <f t="shared" si="1"/>
        <v>-156000</v>
      </c>
      <c r="R27" s="240"/>
      <c r="S27" s="215"/>
      <c r="T27" s="215"/>
    </row>
    <row r="28" spans="1:20" s="144" customFormat="1" ht="15.6" customHeight="1" thickBot="1" x14ac:dyDescent="0.25">
      <c r="A28" s="211">
        <v>22</v>
      </c>
      <c r="B28" s="236">
        <v>43642</v>
      </c>
      <c r="C28" s="138" t="s">
        <v>2470</v>
      </c>
      <c r="D28" s="138" t="s">
        <v>2493</v>
      </c>
      <c r="E28" s="146" t="s">
        <v>248</v>
      </c>
      <c r="F28" s="138"/>
      <c r="G28" s="138">
        <v>0</v>
      </c>
      <c r="H28" s="141"/>
      <c r="I28" s="138"/>
      <c r="J28" s="226">
        <v>970000</v>
      </c>
      <c r="K28" s="139"/>
      <c r="L28" s="263"/>
      <c r="M28" s="141"/>
      <c r="N28" s="141"/>
      <c r="O28" s="139">
        <f t="shared" si="0"/>
        <v>970000</v>
      </c>
      <c r="P28" s="272">
        <v>4560000</v>
      </c>
      <c r="Q28" s="139">
        <f t="shared" si="1"/>
        <v>3590000</v>
      </c>
      <c r="R28" s="240"/>
      <c r="S28" s="215"/>
      <c r="T28" s="215"/>
    </row>
    <row r="29" spans="1:20" s="144" customFormat="1" ht="15.6" customHeight="1" thickBot="1" x14ac:dyDescent="0.25">
      <c r="A29" s="211">
        <v>23</v>
      </c>
      <c r="B29" s="236">
        <v>43643</v>
      </c>
      <c r="C29" s="138" t="s">
        <v>376</v>
      </c>
      <c r="D29" s="138" t="s">
        <v>2494</v>
      </c>
      <c r="E29" s="146" t="s">
        <v>515</v>
      </c>
      <c r="F29" s="138"/>
      <c r="G29" s="138">
        <v>0</v>
      </c>
      <c r="H29" s="141"/>
      <c r="I29" s="138"/>
      <c r="J29" s="226">
        <v>1160000</v>
      </c>
      <c r="K29" s="139"/>
      <c r="L29" s="263"/>
      <c r="M29" s="141"/>
      <c r="N29" s="141"/>
      <c r="O29" s="139">
        <f t="shared" si="0"/>
        <v>1160000</v>
      </c>
      <c r="P29" s="272">
        <v>5000000</v>
      </c>
      <c r="Q29" s="139">
        <f t="shared" si="1"/>
        <v>3840000</v>
      </c>
      <c r="R29" s="240"/>
      <c r="S29" s="215"/>
      <c r="T29" s="215"/>
    </row>
    <row r="30" spans="1:20" s="144" customFormat="1" ht="15.6" customHeight="1" x14ac:dyDescent="0.2">
      <c r="A30" s="211">
        <v>24</v>
      </c>
      <c r="B30" s="237">
        <v>43644</v>
      </c>
      <c r="C30" s="138" t="s">
        <v>2471</v>
      </c>
      <c r="D30" s="138" t="s">
        <v>2495</v>
      </c>
      <c r="E30" s="146" t="s">
        <v>1283</v>
      </c>
      <c r="F30" s="138"/>
      <c r="G30" s="138">
        <v>295</v>
      </c>
      <c r="H30" s="141">
        <f>+G30*16650</f>
        <v>4911750</v>
      </c>
      <c r="I30" s="138"/>
      <c r="J30" s="229">
        <f>1150000-90000</f>
        <v>1060000</v>
      </c>
      <c r="K30" s="139"/>
      <c r="L30" s="263"/>
      <c r="M30" s="141"/>
      <c r="N30" s="141"/>
      <c r="O30" s="139">
        <f t="shared" si="0"/>
        <v>5971750</v>
      </c>
      <c r="P30" s="272">
        <v>3500000</v>
      </c>
      <c r="Q30" s="139">
        <f t="shared" si="1"/>
        <v>-2471750</v>
      </c>
      <c r="R30" s="217"/>
      <c r="S30" s="215"/>
      <c r="T30" s="215"/>
    </row>
    <row r="31" spans="1:20" s="144" customFormat="1" ht="15.6" customHeight="1" x14ac:dyDescent="0.2">
      <c r="A31" s="211">
        <v>25</v>
      </c>
      <c r="B31" s="237"/>
      <c r="C31" s="138" t="s">
        <v>2507</v>
      </c>
      <c r="D31" s="138"/>
      <c r="E31" s="146"/>
      <c r="F31" s="138"/>
      <c r="G31" s="138"/>
      <c r="H31" s="141"/>
      <c r="I31" s="138"/>
      <c r="J31" s="139"/>
      <c r="K31" s="139"/>
      <c r="L31" s="263"/>
      <c r="M31" s="141"/>
      <c r="N31" s="141"/>
      <c r="O31" s="139">
        <f t="shared" si="0"/>
        <v>0</v>
      </c>
      <c r="P31" s="273">
        <v>4000000</v>
      </c>
      <c r="Q31" s="139">
        <f t="shared" si="1"/>
        <v>4000000</v>
      </c>
      <c r="R31" s="217"/>
      <c r="S31" s="215"/>
      <c r="T31" s="215"/>
    </row>
    <row r="32" spans="1:20" s="144" customFormat="1" ht="15.6" customHeight="1" x14ac:dyDescent="0.2">
      <c r="A32" s="211">
        <v>26</v>
      </c>
      <c r="B32" s="237"/>
      <c r="C32" s="192" t="s">
        <v>2505</v>
      </c>
      <c r="D32" s="138"/>
      <c r="E32" s="146"/>
      <c r="F32" s="138"/>
      <c r="G32" s="138"/>
      <c r="H32" s="141"/>
      <c r="I32" s="138"/>
      <c r="J32" s="139"/>
      <c r="K32" s="139"/>
      <c r="L32" s="274">
        <f>5430000+15360000</f>
        <v>20790000</v>
      </c>
      <c r="M32" s="141"/>
      <c r="N32" s="157"/>
      <c r="O32" s="139">
        <f t="shared" si="0"/>
        <v>20790000</v>
      </c>
      <c r="P32" s="139"/>
      <c r="Q32" s="139">
        <f t="shared" ref="Q32" si="2">P32-O32</f>
        <v>-20790000</v>
      </c>
      <c r="R32" s="217"/>
      <c r="S32" s="78"/>
      <c r="T32" s="215"/>
    </row>
    <row r="33" spans="1:20" s="144" customFormat="1" ht="15.6" customHeight="1" x14ac:dyDescent="0.2">
      <c r="A33" s="211">
        <v>27</v>
      </c>
      <c r="B33" s="237"/>
      <c r="C33" s="192" t="s">
        <v>2500</v>
      </c>
      <c r="D33" s="138"/>
      <c r="E33" s="146"/>
      <c r="F33" s="138"/>
      <c r="G33" s="138"/>
      <c r="H33" s="141"/>
      <c r="I33" s="138"/>
      <c r="J33" s="139"/>
      <c r="K33" s="139"/>
      <c r="L33" s="270">
        <v>13050000</v>
      </c>
      <c r="M33" s="141"/>
      <c r="N33" s="157"/>
      <c r="O33" s="139">
        <f t="shared" si="0"/>
        <v>13050000</v>
      </c>
      <c r="P33" s="252"/>
      <c r="Q33" s="139">
        <f t="shared" si="1"/>
        <v>-13050000</v>
      </c>
      <c r="R33" s="217"/>
      <c r="S33" s="215"/>
      <c r="T33" s="215"/>
    </row>
    <row r="34" spans="1:20" s="144" customFormat="1" ht="21.6" customHeight="1" x14ac:dyDescent="0.2">
      <c r="A34" s="211"/>
      <c r="B34" s="146"/>
      <c r="C34" s="265" t="s">
        <v>2501</v>
      </c>
      <c r="D34" s="266"/>
      <c r="E34" s="266"/>
      <c r="F34" s="267"/>
      <c r="G34" s="138"/>
      <c r="H34" s="139"/>
      <c r="I34" s="138"/>
      <c r="J34" s="139"/>
      <c r="K34" s="139"/>
      <c r="L34" s="180">
        <v>2940000</v>
      </c>
      <c r="M34" s="141"/>
      <c r="N34" s="157"/>
      <c r="O34" s="139">
        <f t="shared" si="0"/>
        <v>2940000</v>
      </c>
      <c r="P34" s="139"/>
      <c r="Q34" s="139">
        <f t="shared" si="1"/>
        <v>-2940000</v>
      </c>
      <c r="R34" s="217"/>
      <c r="S34" s="215"/>
      <c r="T34" s="215"/>
    </row>
    <row r="35" spans="1:20" s="144" customFormat="1" ht="17.45" customHeight="1" x14ac:dyDescent="0.2">
      <c r="A35" s="211"/>
      <c r="B35" s="146"/>
      <c r="C35" s="265" t="s">
        <v>2502</v>
      </c>
      <c r="D35" s="266"/>
      <c r="E35" s="266"/>
      <c r="F35" s="267"/>
      <c r="G35" s="138"/>
      <c r="H35" s="139"/>
      <c r="I35" s="138"/>
      <c r="J35" s="139"/>
      <c r="K35" s="139"/>
      <c r="L35" s="180">
        <v>72000</v>
      </c>
      <c r="M35" s="141"/>
      <c r="N35" s="157"/>
      <c r="O35" s="139">
        <f t="shared" si="0"/>
        <v>72000</v>
      </c>
      <c r="P35" s="139"/>
      <c r="Q35" s="139">
        <f t="shared" si="1"/>
        <v>-72000</v>
      </c>
      <c r="R35" s="217"/>
      <c r="S35" s="215"/>
      <c r="T35" s="215"/>
    </row>
    <row r="36" spans="1:20" s="144" customFormat="1" ht="19.149999999999999" customHeight="1" x14ac:dyDescent="0.2">
      <c r="A36" s="211"/>
      <c r="B36" s="146"/>
      <c r="C36" s="265" t="s">
        <v>2503</v>
      </c>
      <c r="D36" s="266"/>
      <c r="E36" s="266"/>
      <c r="F36" s="264"/>
      <c r="G36" s="138"/>
      <c r="H36" s="139"/>
      <c r="I36" s="138"/>
      <c r="J36" s="139"/>
      <c r="K36" s="139"/>
      <c r="L36" s="180">
        <v>60000</v>
      </c>
      <c r="M36" s="157"/>
      <c r="N36" s="157"/>
      <c r="O36" s="139">
        <f t="shared" si="0"/>
        <v>60000</v>
      </c>
      <c r="P36" s="139"/>
      <c r="Q36" s="139">
        <f t="shared" si="1"/>
        <v>-60000</v>
      </c>
      <c r="R36" s="217"/>
      <c r="S36" s="215"/>
      <c r="T36" s="215"/>
    </row>
    <row r="37" spans="1:20" s="144" customFormat="1" ht="19.899999999999999" customHeight="1" x14ac:dyDescent="0.2">
      <c r="A37" s="211"/>
      <c r="B37" s="146"/>
      <c r="C37" s="265" t="s">
        <v>2504</v>
      </c>
      <c r="D37" s="266"/>
      <c r="E37" s="266"/>
      <c r="F37" s="264"/>
      <c r="G37" s="138"/>
      <c r="H37" s="139"/>
      <c r="I37" s="138"/>
      <c r="J37" s="139"/>
      <c r="K37" s="139"/>
      <c r="L37" s="180">
        <v>850000</v>
      </c>
      <c r="M37" s="157"/>
      <c r="N37" s="157"/>
      <c r="O37" s="139">
        <f t="shared" si="0"/>
        <v>850000</v>
      </c>
      <c r="P37" s="139"/>
      <c r="Q37" s="139">
        <f t="shared" si="1"/>
        <v>-850000</v>
      </c>
      <c r="R37" s="217"/>
      <c r="S37" s="215"/>
      <c r="T37" s="215"/>
    </row>
    <row r="38" spans="1:20" s="159" customFormat="1" ht="16.149999999999999" customHeight="1" x14ac:dyDescent="0.25">
      <c r="A38" s="211"/>
      <c r="B38" s="165"/>
      <c r="C38" s="196" t="s">
        <v>2506</v>
      </c>
      <c r="D38" s="195"/>
      <c r="E38" s="197"/>
      <c r="F38" s="195"/>
      <c r="G38" s="195"/>
      <c r="H38" s="155"/>
      <c r="I38" s="195"/>
      <c r="J38" s="157"/>
      <c r="K38" s="233">
        <v>8653846</v>
      </c>
      <c r="L38" s="155"/>
      <c r="M38" s="155"/>
      <c r="N38" s="155"/>
      <c r="O38" s="139">
        <f t="shared" si="0"/>
        <v>8653846</v>
      </c>
      <c r="P38" s="139"/>
      <c r="Q38" s="139">
        <f t="shared" si="1"/>
        <v>-8653846</v>
      </c>
      <c r="S38" s="215"/>
      <c r="T38" s="215"/>
    </row>
    <row r="39" spans="1:20" s="159" customFormat="1" ht="16.149999999999999" customHeight="1" x14ac:dyDescent="0.25">
      <c r="A39" s="253"/>
      <c r="B39" s="254"/>
      <c r="C39" s="255" t="s">
        <v>1094</v>
      </c>
      <c r="D39" s="256"/>
      <c r="E39" s="257"/>
      <c r="F39" s="256"/>
      <c r="G39" s="256"/>
      <c r="H39" s="258"/>
      <c r="I39" s="256"/>
      <c r="J39" s="258"/>
      <c r="K39" s="269">
        <f>1200000*1.1</f>
        <v>1320000</v>
      </c>
      <c r="L39" s="260"/>
      <c r="M39" s="258"/>
      <c r="N39" s="258"/>
      <c r="O39" s="261">
        <f t="shared" si="0"/>
        <v>1320000</v>
      </c>
      <c r="P39" s="261"/>
      <c r="Q39" s="261">
        <f t="shared" si="1"/>
        <v>-1320000</v>
      </c>
      <c r="R39" s="186"/>
      <c r="S39" s="215"/>
      <c r="T39" s="215"/>
    </row>
    <row r="40" spans="1:20" ht="15.6" customHeight="1" x14ac:dyDescent="0.25">
      <c r="A40" s="426" t="s">
        <v>20</v>
      </c>
      <c r="B40" s="426"/>
      <c r="C40" s="426"/>
      <c r="D40" s="426"/>
      <c r="E40" s="426"/>
      <c r="F40" s="426"/>
      <c r="G40" s="161">
        <f t="shared" ref="G40:Q40" si="3">SUM(G7:G39)</f>
        <v>2890</v>
      </c>
      <c r="H40" s="161">
        <f t="shared" si="3"/>
        <v>49298800</v>
      </c>
      <c r="I40" s="161">
        <f t="shared" si="3"/>
        <v>0</v>
      </c>
      <c r="J40" s="161">
        <f t="shared" si="3"/>
        <v>29980000</v>
      </c>
      <c r="K40" s="161">
        <f t="shared" si="3"/>
        <v>9973846</v>
      </c>
      <c r="L40" s="161">
        <f t="shared" si="3"/>
        <v>37762000</v>
      </c>
      <c r="M40" s="161">
        <f t="shared" si="3"/>
        <v>0</v>
      </c>
      <c r="N40" s="161">
        <f t="shared" si="3"/>
        <v>0</v>
      </c>
      <c r="O40" s="161">
        <f t="shared" si="3"/>
        <v>127014646</v>
      </c>
      <c r="P40" s="161">
        <f t="shared" si="3"/>
        <v>128187272</v>
      </c>
      <c r="Q40" s="161">
        <f t="shared" si="3"/>
        <v>1172626</v>
      </c>
      <c r="R40" s="187"/>
      <c r="S40" s="189"/>
    </row>
    <row r="41" spans="1:20" ht="24.95" customHeight="1" x14ac:dyDescent="0.25">
      <c r="O41" s="158"/>
      <c r="Q41" s="158">
        <f>P40-O40</f>
        <v>1172626</v>
      </c>
    </row>
    <row r="42" spans="1:20" ht="24.95" customHeight="1" x14ac:dyDescent="0.25">
      <c r="P42" s="216" t="s">
        <v>1603</v>
      </c>
      <c r="Q42" s="227">
        <f>'5.2019'!Q46+'6.2019'!Q40</f>
        <v>111653385</v>
      </c>
    </row>
    <row r="43" spans="1:20" ht="24.95" customHeight="1" x14ac:dyDescent="0.25">
      <c r="B43" s="129"/>
      <c r="H43" s="128"/>
      <c r="J43" s="128"/>
      <c r="K43" s="128"/>
      <c r="L43" s="128"/>
      <c r="M43" s="128"/>
      <c r="N43" s="128"/>
      <c r="O43" s="128"/>
      <c r="P43" s="218"/>
      <c r="Q43" s="216"/>
    </row>
    <row r="44" spans="1:20" ht="24.95" customHeight="1" x14ac:dyDescent="0.25">
      <c r="B44" s="129"/>
      <c r="H44" s="128"/>
      <c r="J44" s="128"/>
      <c r="K44" s="128"/>
      <c r="L44" s="128"/>
      <c r="M44" s="128"/>
      <c r="N44" s="128"/>
      <c r="O44" s="128"/>
      <c r="P44" s="218"/>
      <c r="Q44" s="230"/>
    </row>
    <row r="45" spans="1:20" ht="24.95" customHeight="1" x14ac:dyDescent="0.25">
      <c r="B45" s="129"/>
      <c r="H45" s="128"/>
      <c r="J45" s="128"/>
      <c r="K45" s="128"/>
      <c r="L45" s="128"/>
      <c r="M45" s="128"/>
      <c r="N45" s="128"/>
      <c r="O45" s="128"/>
      <c r="P45" s="218"/>
      <c r="Q45" s="230"/>
    </row>
    <row r="46" spans="1:20" ht="24.95" customHeight="1" x14ac:dyDescent="0.25">
      <c r="B46" s="129"/>
      <c r="H46" s="128"/>
      <c r="J46" s="128"/>
      <c r="K46" s="128"/>
      <c r="L46" s="128"/>
      <c r="M46" s="128"/>
      <c r="N46" s="128"/>
      <c r="O46" s="128"/>
      <c r="P46" s="218"/>
      <c r="Q46" s="216"/>
    </row>
    <row r="47" spans="1:20" x14ac:dyDescent="0.25">
      <c r="B47" s="129"/>
      <c r="H47" s="128"/>
      <c r="J47" s="128"/>
      <c r="K47" s="128"/>
      <c r="L47" s="128"/>
      <c r="M47" s="128"/>
      <c r="N47" s="128"/>
      <c r="O47" s="128"/>
      <c r="P47" s="218"/>
      <c r="Q47" s="216"/>
    </row>
    <row r="48" spans="1:20" x14ac:dyDescent="0.25">
      <c r="A48" s="128"/>
      <c r="B48" s="129"/>
      <c r="H48" s="128"/>
      <c r="J48" s="128"/>
      <c r="K48" s="128"/>
      <c r="L48" s="128"/>
      <c r="M48" s="128"/>
      <c r="N48" s="128"/>
      <c r="O48" s="128"/>
      <c r="P48" s="218"/>
      <c r="Q48" s="216"/>
    </row>
    <row r="49" spans="2:17" s="128" customFormat="1" x14ac:dyDescent="0.25">
      <c r="B49" s="129"/>
      <c r="Q49" s="216"/>
    </row>
    <row r="50" spans="2:17" s="128" customFormat="1" x14ac:dyDescent="0.25">
      <c r="Q50" s="216"/>
    </row>
    <row r="51" spans="2:17" s="128" customFormat="1" x14ac:dyDescent="0.25">
      <c r="Q51" s="216"/>
    </row>
  </sheetData>
  <mergeCells count="14">
    <mergeCell ref="A40:F40"/>
    <mergeCell ref="O5:O6"/>
    <mergeCell ref="P5:P6"/>
    <mergeCell ref="Q5:Q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T51"/>
  <sheetViews>
    <sheetView topLeftCell="D24" workbookViewId="0">
      <selection activeCell="N37" sqref="N37"/>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4.855468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2508</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32"/>
      <c r="B6" s="433"/>
      <c r="C6" s="432"/>
      <c r="D6" s="432"/>
      <c r="E6" s="422"/>
      <c r="F6" s="422"/>
      <c r="G6" s="241" t="s">
        <v>7</v>
      </c>
      <c r="H6" s="242" t="s">
        <v>15</v>
      </c>
      <c r="I6" s="241" t="s">
        <v>16</v>
      </c>
      <c r="J6" s="242" t="s">
        <v>8</v>
      </c>
      <c r="K6" s="242" t="s">
        <v>9</v>
      </c>
      <c r="L6" s="242" t="s">
        <v>10</v>
      </c>
      <c r="M6" s="242" t="s">
        <v>11</v>
      </c>
      <c r="N6" s="242" t="s">
        <v>12</v>
      </c>
      <c r="O6" s="430"/>
      <c r="P6" s="430"/>
      <c r="Q6" s="430"/>
    </row>
    <row r="7" spans="1:20" s="144" customFormat="1" ht="15.6" customHeight="1" thickBot="1" x14ac:dyDescent="0.25">
      <c r="A7" s="243">
        <v>1</v>
      </c>
      <c r="B7" s="244">
        <v>43647</v>
      </c>
      <c r="C7" s="245" t="s">
        <v>2509</v>
      </c>
      <c r="D7" s="245" t="s">
        <v>2510</v>
      </c>
      <c r="E7" s="246" t="s">
        <v>25</v>
      </c>
      <c r="F7" s="245"/>
      <c r="G7" s="245"/>
      <c r="H7" s="247"/>
      <c r="I7" s="245"/>
      <c r="J7" s="250">
        <v>1890000</v>
      </c>
      <c r="K7" s="250"/>
      <c r="L7" s="262"/>
      <c r="M7" s="247"/>
      <c r="N7" s="247"/>
      <c r="O7" s="250">
        <f>SUM(H7:N7)</f>
        <v>1890000</v>
      </c>
      <c r="P7" s="250">
        <v>8045455</v>
      </c>
      <c r="Q7" s="250">
        <f>P7-O7</f>
        <v>6155455</v>
      </c>
      <c r="R7" s="240"/>
      <c r="S7" s="215">
        <f>VLOOKUP(D7,'[3]07.2019'!N$5:O$416,2,0)</f>
        <v>1890000</v>
      </c>
      <c r="T7" s="215"/>
    </row>
    <row r="8" spans="1:20" s="144" customFormat="1" ht="15.6" customHeight="1" thickBot="1" x14ac:dyDescent="0.25">
      <c r="A8" s="211">
        <v>2</v>
      </c>
      <c r="B8" s="236">
        <v>43648</v>
      </c>
      <c r="C8" s="138" t="s">
        <v>2511</v>
      </c>
      <c r="D8" s="138" t="s">
        <v>2512</v>
      </c>
      <c r="E8" s="146" t="s">
        <v>2513</v>
      </c>
      <c r="F8" s="138"/>
      <c r="G8" s="138">
        <v>360</v>
      </c>
      <c r="H8" s="141">
        <f>+G8*16940</f>
        <v>6098400</v>
      </c>
      <c r="I8" s="138"/>
      <c r="J8" s="139">
        <v>2090000</v>
      </c>
      <c r="K8" s="139"/>
      <c r="L8" s="263"/>
      <c r="M8" s="141"/>
      <c r="N8" s="141"/>
      <c r="O8" s="139">
        <f t="shared" ref="O8:O39" si="0">SUM(H8:N8)</f>
        <v>8188400</v>
      </c>
      <c r="P8" s="139">
        <v>7700000</v>
      </c>
      <c r="Q8" s="139">
        <f t="shared" ref="Q8:Q39" si="1">P8-O8</f>
        <v>-488400</v>
      </c>
      <c r="R8" s="240"/>
      <c r="S8" s="215">
        <f>VLOOKUP(D8,'[3]07.2019'!N$5:O$416,2,0)</f>
        <v>2090000</v>
      </c>
      <c r="T8" s="215"/>
    </row>
    <row r="9" spans="1:20" s="144" customFormat="1" ht="15.6" customHeight="1" thickBot="1" x14ac:dyDescent="0.25">
      <c r="A9" s="211">
        <v>3</v>
      </c>
      <c r="B9" s="236">
        <v>43649</v>
      </c>
      <c r="C9" s="138" t="s">
        <v>2514</v>
      </c>
      <c r="D9" s="138" t="s">
        <v>2515</v>
      </c>
      <c r="E9" s="146" t="s">
        <v>21</v>
      </c>
      <c r="F9" s="138"/>
      <c r="G9" s="138"/>
      <c r="H9" s="141"/>
      <c r="I9" s="138"/>
      <c r="J9" s="139">
        <v>790000</v>
      </c>
      <c r="K9" s="139"/>
      <c r="L9" s="263"/>
      <c r="M9" s="141"/>
      <c r="N9" s="141"/>
      <c r="O9" s="139">
        <f t="shared" si="0"/>
        <v>790000</v>
      </c>
      <c r="P9" s="139">
        <v>2909091</v>
      </c>
      <c r="Q9" s="139">
        <f t="shared" si="1"/>
        <v>2119091</v>
      </c>
      <c r="R9" s="240"/>
      <c r="S9" s="215">
        <f>VLOOKUP(D9,'[3]07.2019'!N$5:O$416,2,0)</f>
        <v>790000</v>
      </c>
      <c r="T9" s="215"/>
    </row>
    <row r="10" spans="1:20" s="144" customFormat="1" ht="15.6" customHeight="1" thickBot="1" x14ac:dyDescent="0.25">
      <c r="A10" s="211">
        <v>4</v>
      </c>
      <c r="B10" s="236">
        <v>43650</v>
      </c>
      <c r="C10" s="138" t="s">
        <v>2516</v>
      </c>
      <c r="D10" s="138" t="s">
        <v>2517</v>
      </c>
      <c r="E10" s="146" t="s">
        <v>2518</v>
      </c>
      <c r="F10" s="138"/>
      <c r="G10" s="138">
        <v>280</v>
      </c>
      <c r="H10" s="141">
        <f>+G10*16940</f>
        <v>4743200</v>
      </c>
      <c r="I10" s="138"/>
      <c r="J10" s="139">
        <v>1060000</v>
      </c>
      <c r="K10" s="139"/>
      <c r="L10" s="263"/>
      <c r="M10" s="141"/>
      <c r="N10" s="141"/>
      <c r="O10" s="139">
        <f t="shared" si="0"/>
        <v>5803200</v>
      </c>
      <c r="P10" s="139">
        <v>4200000</v>
      </c>
      <c r="Q10" s="139">
        <f t="shared" si="1"/>
        <v>-1603200</v>
      </c>
      <c r="R10" s="240"/>
      <c r="S10" s="215">
        <f>VLOOKUP(D10,'[3]07.2019'!N$5:O$416,2,0)</f>
        <v>1060000</v>
      </c>
      <c r="T10" s="215"/>
    </row>
    <row r="11" spans="1:20" ht="15.6" customHeight="1" thickBot="1" x14ac:dyDescent="0.25">
      <c r="A11" s="211">
        <v>5</v>
      </c>
      <c r="B11" s="275">
        <v>43651</v>
      </c>
      <c r="C11" s="134" t="s">
        <v>2519</v>
      </c>
      <c r="D11" s="134" t="s">
        <v>2520</v>
      </c>
      <c r="E11" s="136" t="s">
        <v>406</v>
      </c>
      <c r="F11" s="134"/>
      <c r="G11" s="134"/>
      <c r="H11" s="139"/>
      <c r="I11" s="134"/>
      <c r="J11" s="139">
        <v>790000</v>
      </c>
      <c r="K11" s="139"/>
      <c r="L11" s="263"/>
      <c r="M11" s="139"/>
      <c r="N11" s="139"/>
      <c r="O11" s="139">
        <f t="shared" si="0"/>
        <v>790000</v>
      </c>
      <c r="P11" s="139">
        <v>4227273</v>
      </c>
      <c r="Q11" s="139">
        <f t="shared" si="1"/>
        <v>3437273</v>
      </c>
      <c r="R11" s="240"/>
      <c r="S11" s="215">
        <f>VLOOKUP(D11,'[3]07.2019'!N$5:O$416,2,0)</f>
        <v>790000</v>
      </c>
      <c r="T11" s="143"/>
    </row>
    <row r="12" spans="1:20" ht="15.6" customHeight="1" thickBot="1" x14ac:dyDescent="0.25">
      <c r="A12" s="211">
        <v>6</v>
      </c>
      <c r="B12" s="275">
        <v>43653</v>
      </c>
      <c r="C12" s="134" t="s">
        <v>2521</v>
      </c>
      <c r="D12" s="134" t="s">
        <v>2522</v>
      </c>
      <c r="E12" s="136" t="s">
        <v>259</v>
      </c>
      <c r="F12" s="134"/>
      <c r="G12" s="134"/>
      <c r="H12" s="139"/>
      <c r="I12" s="134"/>
      <c r="J12" s="139">
        <v>970000</v>
      </c>
      <c r="K12" s="139"/>
      <c r="L12" s="263"/>
      <c r="M12" s="139"/>
      <c r="N12" s="139"/>
      <c r="O12" s="139">
        <f t="shared" si="0"/>
        <v>970000</v>
      </c>
      <c r="P12" s="139">
        <v>4300000</v>
      </c>
      <c r="Q12" s="139">
        <f t="shared" si="1"/>
        <v>3330000</v>
      </c>
      <c r="R12" s="240"/>
      <c r="S12" s="215">
        <f>VLOOKUP(D12,'[3]07.2019'!N$5:O$416,2,0)</f>
        <v>970000</v>
      </c>
      <c r="T12" s="143"/>
    </row>
    <row r="13" spans="1:20" ht="15.6" customHeight="1" thickBot="1" x14ac:dyDescent="0.25">
      <c r="A13" s="211">
        <v>7</v>
      </c>
      <c r="B13" s="275">
        <v>43654</v>
      </c>
      <c r="C13" s="134" t="s">
        <v>2523</v>
      </c>
      <c r="D13" s="134" t="s">
        <v>2524</v>
      </c>
      <c r="E13" s="136" t="s">
        <v>115</v>
      </c>
      <c r="F13" s="134"/>
      <c r="G13" s="134">
        <v>365</v>
      </c>
      <c r="H13" s="141">
        <f>+G13*16940</f>
        <v>6183100</v>
      </c>
      <c r="I13" s="134"/>
      <c r="J13" s="139">
        <v>970000</v>
      </c>
      <c r="K13" s="139"/>
      <c r="L13" s="263"/>
      <c r="M13" s="139"/>
      <c r="N13" s="139"/>
      <c r="O13" s="139">
        <f t="shared" si="0"/>
        <v>7153100</v>
      </c>
      <c r="P13" s="139">
        <v>3372727</v>
      </c>
      <c r="Q13" s="139">
        <f t="shared" si="1"/>
        <v>-3780373</v>
      </c>
      <c r="R13" s="240"/>
      <c r="S13" s="215">
        <f>VLOOKUP(D13,'[3]07.2019'!N$5:O$416,2,0)</f>
        <v>970000</v>
      </c>
      <c r="T13" s="143"/>
    </row>
    <row r="14" spans="1:20" ht="15.6" customHeight="1" thickBot="1" x14ac:dyDescent="0.25">
      <c r="A14" s="211">
        <v>8</v>
      </c>
      <c r="B14" s="275">
        <v>43655</v>
      </c>
      <c r="C14" s="134" t="s">
        <v>2525</v>
      </c>
      <c r="D14" s="134" t="s">
        <v>2526</v>
      </c>
      <c r="E14" s="136" t="s">
        <v>25</v>
      </c>
      <c r="F14" s="134"/>
      <c r="G14" s="134"/>
      <c r="H14" s="139"/>
      <c r="I14" s="134"/>
      <c r="J14" s="139">
        <v>1890000</v>
      </c>
      <c r="K14" s="139"/>
      <c r="L14" s="263"/>
      <c r="M14" s="139"/>
      <c r="N14" s="139"/>
      <c r="O14" s="139">
        <f t="shared" si="0"/>
        <v>1890000</v>
      </c>
      <c r="P14" s="139">
        <v>8045455</v>
      </c>
      <c r="Q14" s="139">
        <f t="shared" si="1"/>
        <v>6155455</v>
      </c>
      <c r="R14" s="240"/>
      <c r="S14" s="215">
        <f>VLOOKUP(D14,'[3]07.2019'!N$5:O$416,2,0)</f>
        <v>1890000</v>
      </c>
      <c r="T14" s="143"/>
    </row>
    <row r="15" spans="1:20" ht="15.6" customHeight="1" thickBot="1" x14ac:dyDescent="0.25">
      <c r="A15" s="211">
        <v>9</v>
      </c>
      <c r="B15" s="275">
        <v>43656</v>
      </c>
      <c r="C15" s="134" t="s">
        <v>1180</v>
      </c>
      <c r="D15" s="134" t="s">
        <v>2527</v>
      </c>
      <c r="E15" s="136" t="s">
        <v>2528</v>
      </c>
      <c r="F15" s="134"/>
      <c r="G15" s="134"/>
      <c r="H15" s="139"/>
      <c r="I15" s="134"/>
      <c r="J15" s="139">
        <v>1240000</v>
      </c>
      <c r="K15" s="139"/>
      <c r="L15" s="263"/>
      <c r="M15" s="139"/>
      <c r="N15" s="139"/>
      <c r="O15" s="139">
        <f t="shared" si="0"/>
        <v>1240000</v>
      </c>
      <c r="P15" s="139">
        <v>6400000</v>
      </c>
      <c r="Q15" s="139">
        <f t="shared" si="1"/>
        <v>5160000</v>
      </c>
      <c r="R15" s="240"/>
      <c r="S15" s="215">
        <f>VLOOKUP(D15,'[3]07.2019'!N$5:O$416,2,0)</f>
        <v>1240000</v>
      </c>
      <c r="T15" s="143"/>
    </row>
    <row r="16" spans="1:20" ht="15.6" customHeight="1" thickBot="1" x14ac:dyDescent="0.25">
      <c r="A16" s="211">
        <v>10</v>
      </c>
      <c r="B16" s="275">
        <v>43657</v>
      </c>
      <c r="C16" s="134" t="s">
        <v>2529</v>
      </c>
      <c r="D16" s="134" t="s">
        <v>2530</v>
      </c>
      <c r="E16" s="136" t="s">
        <v>2531</v>
      </c>
      <c r="F16" s="134"/>
      <c r="G16" s="134">
        <v>290</v>
      </c>
      <c r="H16" s="141">
        <f>+G16*16940</f>
        <v>4912600</v>
      </c>
      <c r="I16" s="134"/>
      <c r="J16" s="139">
        <v>1000000</v>
      </c>
      <c r="K16" s="139"/>
      <c r="L16" s="263"/>
      <c r="M16" s="139"/>
      <c r="N16" s="139"/>
      <c r="O16" s="139">
        <f t="shared" si="0"/>
        <v>5912600</v>
      </c>
      <c r="P16" s="139">
        <v>5890909</v>
      </c>
      <c r="Q16" s="139">
        <f t="shared" si="1"/>
        <v>-21691</v>
      </c>
      <c r="R16" s="240"/>
      <c r="S16" s="215">
        <f>VLOOKUP(D16,'[3]07.2019'!N$5:O$416,2,0)</f>
        <v>1000000</v>
      </c>
      <c r="T16" s="143"/>
    </row>
    <row r="17" spans="1:20" ht="15.6" customHeight="1" thickBot="1" x14ac:dyDescent="0.25">
      <c r="A17" s="211">
        <v>11</v>
      </c>
      <c r="B17" s="275">
        <v>43658</v>
      </c>
      <c r="C17" s="134" t="s">
        <v>2532</v>
      </c>
      <c r="D17" s="134" t="s">
        <v>2533</v>
      </c>
      <c r="E17" s="136" t="s">
        <v>2534</v>
      </c>
      <c r="F17" s="134"/>
      <c r="G17" s="134"/>
      <c r="H17" s="139"/>
      <c r="I17" s="134"/>
      <c r="J17" s="139">
        <v>970000</v>
      </c>
      <c r="K17" s="139"/>
      <c r="L17" s="263"/>
      <c r="M17" s="139"/>
      <c r="N17" s="139"/>
      <c r="O17" s="139">
        <f t="shared" si="0"/>
        <v>970000</v>
      </c>
      <c r="P17" s="139">
        <v>4000000</v>
      </c>
      <c r="Q17" s="139">
        <f t="shared" si="1"/>
        <v>3030000</v>
      </c>
      <c r="R17" s="240"/>
      <c r="S17" s="215">
        <f>VLOOKUP(D17,'[3]07.2019'!N$5:O$416,2,0)</f>
        <v>970000</v>
      </c>
      <c r="T17" s="143"/>
    </row>
    <row r="18" spans="1:20" ht="15.6" customHeight="1" thickBot="1" x14ac:dyDescent="0.25">
      <c r="A18" s="211">
        <v>12</v>
      </c>
      <c r="B18" s="275">
        <v>43661</v>
      </c>
      <c r="C18" s="134" t="s">
        <v>2535</v>
      </c>
      <c r="D18" s="134" t="s">
        <v>2536</v>
      </c>
      <c r="E18" s="136" t="s">
        <v>947</v>
      </c>
      <c r="F18" s="134"/>
      <c r="G18" s="134"/>
      <c r="H18" s="139"/>
      <c r="I18" s="134"/>
      <c r="J18" s="139">
        <v>790000</v>
      </c>
      <c r="K18" s="139"/>
      <c r="L18" s="263"/>
      <c r="M18" s="139"/>
      <c r="N18" s="139"/>
      <c r="O18" s="139">
        <f t="shared" si="0"/>
        <v>790000</v>
      </c>
      <c r="P18" s="139">
        <v>3200000</v>
      </c>
      <c r="Q18" s="139">
        <f t="shared" si="1"/>
        <v>2410000</v>
      </c>
      <c r="R18" s="240"/>
      <c r="S18" s="215">
        <f>VLOOKUP(D18,'[3]07.2019'!N$5:O$416,2,0)</f>
        <v>790000</v>
      </c>
      <c r="T18" s="143"/>
    </row>
    <row r="19" spans="1:20" ht="15.6" customHeight="1" thickBot="1" x14ac:dyDescent="0.25">
      <c r="A19" s="211">
        <v>13</v>
      </c>
      <c r="B19" s="275">
        <v>43661</v>
      </c>
      <c r="C19" s="134" t="s">
        <v>2537</v>
      </c>
      <c r="D19" s="134" t="s">
        <v>2538</v>
      </c>
      <c r="E19" s="136" t="s">
        <v>2539</v>
      </c>
      <c r="F19" s="134"/>
      <c r="G19" s="134">
        <v>220</v>
      </c>
      <c r="H19" s="141">
        <f>+G19*16940</f>
        <v>3726800</v>
      </c>
      <c r="I19" s="134"/>
      <c r="J19" s="139">
        <v>790000</v>
      </c>
      <c r="K19" s="139"/>
      <c r="L19" s="263"/>
      <c r="M19" s="139"/>
      <c r="N19" s="139"/>
      <c r="O19" s="139">
        <f t="shared" si="0"/>
        <v>4516800</v>
      </c>
      <c r="P19" s="139">
        <v>3263636</v>
      </c>
      <c r="Q19" s="139">
        <f t="shared" si="1"/>
        <v>-1253164</v>
      </c>
      <c r="R19" s="240"/>
      <c r="S19" s="215">
        <f>VLOOKUP(D19,'[3]07.2019'!N$5:O$416,2,0)</f>
        <v>790000</v>
      </c>
      <c r="T19" s="143"/>
    </row>
    <row r="20" spans="1:20" ht="15.6" customHeight="1" thickBot="1" x14ac:dyDescent="0.25">
      <c r="A20" s="211">
        <v>14</v>
      </c>
      <c r="B20" s="275">
        <v>43662</v>
      </c>
      <c r="C20" s="134" t="s">
        <v>2540</v>
      </c>
      <c r="D20" s="134" t="s">
        <v>2541</v>
      </c>
      <c r="E20" s="136" t="s">
        <v>25</v>
      </c>
      <c r="F20" s="134"/>
      <c r="G20" s="134"/>
      <c r="H20" s="139"/>
      <c r="I20" s="134"/>
      <c r="J20" s="139">
        <v>1890000</v>
      </c>
      <c r="K20" s="139"/>
      <c r="L20" s="263"/>
      <c r="M20" s="139"/>
      <c r="N20" s="139"/>
      <c r="O20" s="139">
        <f t="shared" si="0"/>
        <v>1890000</v>
      </c>
      <c r="P20" s="139">
        <v>8045455</v>
      </c>
      <c r="Q20" s="139">
        <f t="shared" si="1"/>
        <v>6155455</v>
      </c>
      <c r="R20" s="240"/>
      <c r="S20" s="215">
        <f>VLOOKUP(D20,'[3]07.2019'!N$5:O$416,2,0)</f>
        <v>1890000</v>
      </c>
      <c r="T20" s="143"/>
    </row>
    <row r="21" spans="1:20" ht="15.6" customHeight="1" thickBot="1" x14ac:dyDescent="0.25">
      <c r="A21" s="211">
        <v>15</v>
      </c>
      <c r="B21" s="275">
        <v>43663</v>
      </c>
      <c r="C21" s="134" t="s">
        <v>2542</v>
      </c>
      <c r="D21" s="134" t="s">
        <v>2543</v>
      </c>
      <c r="E21" s="136" t="s">
        <v>763</v>
      </c>
      <c r="F21" s="134"/>
      <c r="G21" s="134">
        <v>430</v>
      </c>
      <c r="H21" s="139">
        <f>+G21*16990</f>
        <v>7305700</v>
      </c>
      <c r="I21" s="134"/>
      <c r="J21" s="139">
        <v>970000</v>
      </c>
      <c r="K21" s="139"/>
      <c r="L21" s="263"/>
      <c r="M21" s="139"/>
      <c r="N21" s="139"/>
      <c r="O21" s="139">
        <f t="shared" si="0"/>
        <v>8275700</v>
      </c>
      <c r="P21" s="139">
        <v>4000000</v>
      </c>
      <c r="Q21" s="139">
        <f t="shared" si="1"/>
        <v>-4275700</v>
      </c>
      <c r="R21" s="240"/>
      <c r="S21" s="215">
        <f>VLOOKUP(D21,'[3]07.2019'!N$5:O$416,2,0)</f>
        <v>970000</v>
      </c>
      <c r="T21" s="143"/>
    </row>
    <row r="22" spans="1:20" ht="15.6" customHeight="1" thickBot="1" x14ac:dyDescent="0.25">
      <c r="A22" s="211">
        <v>16</v>
      </c>
      <c r="B22" s="275">
        <v>43664</v>
      </c>
      <c r="C22" s="134" t="s">
        <v>1185</v>
      </c>
      <c r="D22" s="134" t="s">
        <v>2544</v>
      </c>
      <c r="E22" s="136" t="s">
        <v>1567</v>
      </c>
      <c r="F22" s="134"/>
      <c r="G22" s="134"/>
      <c r="H22" s="139"/>
      <c r="I22" s="134"/>
      <c r="J22" s="139">
        <v>1510000</v>
      </c>
      <c r="K22" s="139"/>
      <c r="L22" s="263"/>
      <c r="M22" s="139"/>
      <c r="N22" s="139"/>
      <c r="O22" s="139">
        <f t="shared" si="0"/>
        <v>1510000</v>
      </c>
      <c r="P22" s="139">
        <v>5600000</v>
      </c>
      <c r="Q22" s="139">
        <f t="shared" si="1"/>
        <v>4090000</v>
      </c>
      <c r="R22" s="240"/>
      <c r="S22" s="215">
        <f>VLOOKUP(D22,'[3]07.2019'!N$5:O$416,2,0)</f>
        <v>1510000</v>
      </c>
      <c r="T22" s="143"/>
    </row>
    <row r="23" spans="1:20" ht="15.6" customHeight="1" thickBot="1" x14ac:dyDescent="0.25">
      <c r="A23" s="211">
        <v>17</v>
      </c>
      <c r="B23" s="275">
        <v>43665</v>
      </c>
      <c r="C23" s="134" t="s">
        <v>2545</v>
      </c>
      <c r="D23" s="134" t="s">
        <v>2546</v>
      </c>
      <c r="E23" s="136" t="s">
        <v>23</v>
      </c>
      <c r="F23" s="134"/>
      <c r="G23" s="134">
        <v>420</v>
      </c>
      <c r="H23" s="139">
        <f>+G23*16990</f>
        <v>7135800</v>
      </c>
      <c r="I23" s="134"/>
      <c r="J23" s="139">
        <v>2740000</v>
      </c>
      <c r="K23" s="139"/>
      <c r="L23" s="263"/>
      <c r="M23" s="139"/>
      <c r="N23" s="139"/>
      <c r="O23" s="139">
        <f t="shared" si="0"/>
        <v>9875800</v>
      </c>
      <c r="P23" s="139">
        <v>12181818</v>
      </c>
      <c r="Q23" s="139">
        <f t="shared" si="1"/>
        <v>2306018</v>
      </c>
      <c r="R23" s="240"/>
      <c r="S23" s="215">
        <f>VLOOKUP(D23,'[3]07.2019'!N$5:O$416,2,0)</f>
        <v>2740000</v>
      </c>
      <c r="T23" s="143"/>
    </row>
    <row r="24" spans="1:20" ht="15.6" customHeight="1" thickBot="1" x14ac:dyDescent="0.25">
      <c r="A24" s="211">
        <v>18</v>
      </c>
      <c r="B24" s="275">
        <v>43665</v>
      </c>
      <c r="C24" s="134" t="s">
        <v>466</v>
      </c>
      <c r="D24" s="134" t="s">
        <v>2547</v>
      </c>
      <c r="E24" s="136" t="s">
        <v>25</v>
      </c>
      <c r="F24" s="134"/>
      <c r="G24" s="134"/>
      <c r="H24" s="139"/>
      <c r="I24" s="134"/>
      <c r="J24" s="139">
        <v>1890000</v>
      </c>
      <c r="K24" s="139"/>
      <c r="L24" s="263"/>
      <c r="M24" s="139"/>
      <c r="N24" s="139"/>
      <c r="O24" s="139">
        <f t="shared" si="0"/>
        <v>1890000</v>
      </c>
      <c r="P24" s="139">
        <v>8045455</v>
      </c>
      <c r="Q24" s="139">
        <f t="shared" si="1"/>
        <v>6155455</v>
      </c>
      <c r="R24" s="240"/>
      <c r="S24" s="215">
        <f>VLOOKUP(D24,'[3]07.2019'!N$5:O$416,2,0)</f>
        <v>1890000</v>
      </c>
      <c r="T24" s="143"/>
    </row>
    <row r="25" spans="1:20" ht="15.6" customHeight="1" thickBot="1" x14ac:dyDescent="0.25">
      <c r="A25" s="211">
        <v>19</v>
      </c>
      <c r="B25" s="275">
        <v>43668</v>
      </c>
      <c r="C25" s="134" t="s">
        <v>1188</v>
      </c>
      <c r="D25" s="134" t="s">
        <v>2548</v>
      </c>
      <c r="E25" s="136" t="s">
        <v>23</v>
      </c>
      <c r="F25" s="134"/>
      <c r="G25" s="134">
        <v>410</v>
      </c>
      <c r="H25" s="139">
        <f>+G25*16990</f>
        <v>6965900</v>
      </c>
      <c r="I25" s="134"/>
      <c r="J25" s="139">
        <v>2740000</v>
      </c>
      <c r="K25" s="139"/>
      <c r="L25" s="263"/>
      <c r="M25" s="139"/>
      <c r="N25" s="139"/>
      <c r="O25" s="139">
        <f t="shared" si="0"/>
        <v>9705900</v>
      </c>
      <c r="P25" s="139">
        <v>12181818</v>
      </c>
      <c r="Q25" s="139">
        <f t="shared" si="1"/>
        <v>2475918</v>
      </c>
      <c r="R25" s="240"/>
      <c r="S25" s="215">
        <f>VLOOKUP(D25,'[3]07.2019'!N$5:O$416,2,0)</f>
        <v>2740000</v>
      </c>
      <c r="T25" s="143"/>
    </row>
    <row r="26" spans="1:20" ht="15.6" customHeight="1" thickBot="1" x14ac:dyDescent="0.25">
      <c r="A26" s="211">
        <v>20</v>
      </c>
      <c r="B26" s="275">
        <v>43669</v>
      </c>
      <c r="C26" s="134" t="s">
        <v>2549</v>
      </c>
      <c r="D26" s="134" t="s">
        <v>2550</v>
      </c>
      <c r="E26" s="136" t="s">
        <v>2551</v>
      </c>
      <c r="F26" s="134"/>
      <c r="G26" s="134"/>
      <c r="H26" s="139"/>
      <c r="I26" s="134"/>
      <c r="J26" s="139">
        <v>1510000</v>
      </c>
      <c r="K26" s="139"/>
      <c r="L26" s="263"/>
      <c r="M26" s="139"/>
      <c r="N26" s="139"/>
      <c r="O26" s="139">
        <f t="shared" si="0"/>
        <v>1510000</v>
      </c>
      <c r="P26" s="139">
        <v>6300000</v>
      </c>
      <c r="Q26" s="139">
        <f t="shared" si="1"/>
        <v>4790000</v>
      </c>
      <c r="R26" s="240"/>
      <c r="S26" s="215">
        <f>VLOOKUP(D26,'[3]07.2019'!N$5:O$416,2,0)</f>
        <v>1510000</v>
      </c>
      <c r="T26" s="143"/>
    </row>
    <row r="27" spans="1:20" s="144" customFormat="1" ht="15.6" customHeight="1" thickBot="1" x14ac:dyDescent="0.25">
      <c r="A27" s="211">
        <v>21</v>
      </c>
      <c r="B27" s="236">
        <v>43670</v>
      </c>
      <c r="C27" s="138" t="s">
        <v>1835</v>
      </c>
      <c r="D27" s="138" t="s">
        <v>2552</v>
      </c>
      <c r="E27" s="146" t="s">
        <v>2553</v>
      </c>
      <c r="F27" s="138"/>
      <c r="G27" s="138">
        <v>365</v>
      </c>
      <c r="H27" s="139">
        <f>+G27*16990</f>
        <v>6201350</v>
      </c>
      <c r="I27" s="138"/>
      <c r="J27" s="139">
        <v>1510000</v>
      </c>
      <c r="K27" s="139"/>
      <c r="L27" s="263"/>
      <c r="M27" s="141"/>
      <c r="N27" s="141"/>
      <c r="O27" s="139">
        <f t="shared" si="0"/>
        <v>7711350</v>
      </c>
      <c r="P27" s="139">
        <v>5600000</v>
      </c>
      <c r="Q27" s="139">
        <f t="shared" si="1"/>
        <v>-2111350</v>
      </c>
      <c r="R27" s="240"/>
      <c r="S27" s="215">
        <f>VLOOKUP(D27,'[3]07.2019'!N$5:O$416,2,0)</f>
        <v>1510000</v>
      </c>
      <c r="T27" s="215"/>
    </row>
    <row r="28" spans="1:20" s="144" customFormat="1" ht="15.6" customHeight="1" thickBot="1" x14ac:dyDescent="0.25">
      <c r="A28" s="211">
        <v>22</v>
      </c>
      <c r="B28" s="236">
        <v>43671</v>
      </c>
      <c r="C28" s="138" t="s">
        <v>471</v>
      </c>
      <c r="D28" s="138" t="s">
        <v>2554</v>
      </c>
      <c r="E28" s="146" t="s">
        <v>2555</v>
      </c>
      <c r="F28" s="138"/>
      <c r="G28" s="138"/>
      <c r="H28" s="141"/>
      <c r="I28" s="138"/>
      <c r="J28" s="139">
        <v>1270000</v>
      </c>
      <c r="K28" s="139"/>
      <c r="L28" s="263"/>
      <c r="M28" s="141"/>
      <c r="N28" s="141"/>
      <c r="O28" s="139">
        <f t="shared" si="0"/>
        <v>1270000</v>
      </c>
      <c r="P28" s="139">
        <v>5800000</v>
      </c>
      <c r="Q28" s="139">
        <f t="shared" si="1"/>
        <v>4530000</v>
      </c>
      <c r="R28" s="240"/>
      <c r="S28" s="215">
        <f>VLOOKUP(D28,'[3]07.2019'!N$5:O$416,2,0)</f>
        <v>1270000</v>
      </c>
      <c r="T28" s="215"/>
    </row>
    <row r="29" spans="1:20" s="144" customFormat="1" ht="15.6" customHeight="1" thickBot="1" x14ac:dyDescent="0.25">
      <c r="A29" s="211">
        <v>23</v>
      </c>
      <c r="B29" s="236">
        <v>43671</v>
      </c>
      <c r="C29" s="138" t="s">
        <v>1192</v>
      </c>
      <c r="D29" s="138" t="s">
        <v>2556</v>
      </c>
      <c r="E29" s="146" t="s">
        <v>1937</v>
      </c>
      <c r="F29" s="138"/>
      <c r="G29" s="138"/>
      <c r="H29" s="141"/>
      <c r="I29" s="138"/>
      <c r="J29" s="139">
        <v>1150000</v>
      </c>
      <c r="K29" s="139"/>
      <c r="L29" s="263"/>
      <c r="M29" s="141"/>
      <c r="N29" s="141"/>
      <c r="O29" s="139">
        <f t="shared" si="0"/>
        <v>1150000</v>
      </c>
      <c r="P29" s="139">
        <v>3860000</v>
      </c>
      <c r="Q29" s="139">
        <f t="shared" si="1"/>
        <v>2710000</v>
      </c>
      <c r="R29" s="240"/>
      <c r="S29" s="215">
        <f>VLOOKUP(D29,'[3]07.2019'!N$5:O$416,2,0)</f>
        <v>1150000</v>
      </c>
      <c r="T29" s="215"/>
    </row>
    <row r="30" spans="1:20" s="144" customFormat="1" ht="15.6" customHeight="1" thickBot="1" x14ac:dyDescent="0.25">
      <c r="A30" s="211">
        <v>24</v>
      </c>
      <c r="B30" s="237">
        <v>43673</v>
      </c>
      <c r="C30" s="138" t="s">
        <v>2557</v>
      </c>
      <c r="D30" s="138" t="s">
        <v>2558</v>
      </c>
      <c r="E30" s="146" t="s">
        <v>894</v>
      </c>
      <c r="F30" s="138"/>
      <c r="G30" s="138"/>
      <c r="H30" s="141"/>
      <c r="I30" s="138"/>
      <c r="J30" s="139">
        <v>790000</v>
      </c>
      <c r="K30" s="139"/>
      <c r="L30" s="263"/>
      <c r="M30" s="141"/>
      <c r="N30" s="141"/>
      <c r="O30" s="139">
        <f t="shared" si="0"/>
        <v>790000</v>
      </c>
      <c r="P30" s="139">
        <v>3700000</v>
      </c>
      <c r="Q30" s="139">
        <f t="shared" si="1"/>
        <v>2910000</v>
      </c>
      <c r="R30" s="217"/>
      <c r="S30" s="215">
        <f>VLOOKUP(D30,'[3]07.2019'!N$5:O$416,2,0)</f>
        <v>790000</v>
      </c>
      <c r="T30" s="215"/>
    </row>
    <row r="31" spans="1:20" s="144" customFormat="1" ht="15.6" customHeight="1" thickBot="1" x14ac:dyDescent="0.25">
      <c r="A31" s="211">
        <v>25</v>
      </c>
      <c r="B31" s="236">
        <v>43675</v>
      </c>
      <c r="C31" s="138" t="s">
        <v>2559</v>
      </c>
      <c r="D31" s="138" t="s">
        <v>2560</v>
      </c>
      <c r="E31" s="146" t="s">
        <v>2561</v>
      </c>
      <c r="F31" s="138"/>
      <c r="G31" s="138"/>
      <c r="H31" s="141"/>
      <c r="I31" s="138"/>
      <c r="J31" s="139">
        <v>790000</v>
      </c>
      <c r="K31" s="139"/>
      <c r="L31" s="263"/>
      <c r="M31" s="141"/>
      <c r="N31" s="141"/>
      <c r="O31" s="139">
        <f t="shared" si="0"/>
        <v>790000</v>
      </c>
      <c r="P31" s="139">
        <v>4490909</v>
      </c>
      <c r="Q31" s="139">
        <f t="shared" si="1"/>
        <v>3700909</v>
      </c>
      <c r="R31" s="240"/>
      <c r="S31" s="215">
        <f>VLOOKUP(D31,'[3]07.2019'!N$5:O$416,2,0)</f>
        <v>790000</v>
      </c>
      <c r="T31" s="215"/>
    </row>
    <row r="32" spans="1:20" s="144" customFormat="1" ht="15.6" customHeight="1" x14ac:dyDescent="0.2">
      <c r="A32" s="211">
        <v>26</v>
      </c>
      <c r="B32" s="237">
        <v>43676</v>
      </c>
      <c r="C32" s="138" t="s">
        <v>1839</v>
      </c>
      <c r="D32" s="138" t="s">
        <v>2562</v>
      </c>
      <c r="E32" s="146" t="s">
        <v>1747</v>
      </c>
      <c r="F32" s="138"/>
      <c r="G32" s="214">
        <v>345</v>
      </c>
      <c r="H32" s="208">
        <f>+G32*16990</f>
        <v>5861550</v>
      </c>
      <c r="I32" s="138"/>
      <c r="J32" s="139">
        <v>1780000</v>
      </c>
      <c r="K32" s="139"/>
      <c r="L32" s="263"/>
      <c r="M32" s="141"/>
      <c r="N32" s="141"/>
      <c r="O32" s="139">
        <f t="shared" si="0"/>
        <v>7641550</v>
      </c>
      <c r="P32" s="139">
        <v>5400000</v>
      </c>
      <c r="Q32" s="139">
        <f t="shared" si="1"/>
        <v>-2241550</v>
      </c>
      <c r="R32" s="217"/>
      <c r="S32" s="215">
        <f>VLOOKUP(D32,'[3]07.2019'!N$5:O$416,2,0)</f>
        <v>1780000</v>
      </c>
      <c r="T32" s="215"/>
    </row>
    <row r="33" spans="1:20" s="144" customFormat="1" ht="15.6" customHeight="1" x14ac:dyDescent="0.2">
      <c r="A33" s="211"/>
      <c r="B33" s="237"/>
      <c r="C33" s="138"/>
      <c r="D33" s="138"/>
      <c r="E33" s="146"/>
      <c r="F33" s="138"/>
      <c r="G33" s="138"/>
      <c r="H33" s="141"/>
      <c r="I33" s="138"/>
      <c r="J33" s="139"/>
      <c r="K33" s="139"/>
      <c r="L33" s="263"/>
      <c r="M33" s="141"/>
      <c r="N33" s="141"/>
      <c r="O33" s="139">
        <f t="shared" si="0"/>
        <v>0</v>
      </c>
      <c r="P33" s="252"/>
      <c r="Q33" s="139">
        <f t="shared" si="1"/>
        <v>0</v>
      </c>
      <c r="R33" s="217"/>
      <c r="S33" s="215"/>
      <c r="T33" s="215"/>
    </row>
    <row r="34" spans="1:20" s="144" customFormat="1" ht="15.6" customHeight="1" x14ac:dyDescent="0.2">
      <c r="A34" s="211"/>
      <c r="B34" s="237"/>
      <c r="C34" s="192"/>
      <c r="D34" s="138" t="s">
        <v>2565</v>
      </c>
      <c r="E34" s="146"/>
      <c r="F34" s="138"/>
      <c r="G34" s="138"/>
      <c r="H34" s="141"/>
      <c r="I34" s="138"/>
      <c r="J34" s="139"/>
      <c r="K34" s="139"/>
      <c r="L34" s="185">
        <v>620000</v>
      </c>
      <c r="M34" s="141"/>
      <c r="N34" s="157"/>
      <c r="O34" s="139">
        <f t="shared" si="0"/>
        <v>620000</v>
      </c>
      <c r="P34" s="139"/>
      <c r="Q34" s="139">
        <f t="shared" si="1"/>
        <v>-620000</v>
      </c>
      <c r="R34" s="217"/>
      <c r="S34" s="78"/>
      <c r="T34" s="215"/>
    </row>
    <row r="35" spans="1:20" s="144" customFormat="1" ht="15.6" customHeight="1" x14ac:dyDescent="0.2">
      <c r="A35" s="211"/>
      <c r="B35" s="237"/>
      <c r="C35" s="192"/>
      <c r="D35" s="138" t="s">
        <v>2563</v>
      </c>
      <c r="E35" s="146"/>
      <c r="F35" s="138"/>
      <c r="G35" s="138"/>
      <c r="H35" s="141"/>
      <c r="I35" s="138"/>
      <c r="J35" s="139"/>
      <c r="K35" s="139"/>
      <c r="L35" s="185">
        <v>220000</v>
      </c>
      <c r="M35" s="141"/>
      <c r="N35" s="157"/>
      <c r="O35" s="139">
        <f t="shared" si="0"/>
        <v>220000</v>
      </c>
      <c r="P35" s="252"/>
      <c r="Q35" s="139">
        <f t="shared" si="1"/>
        <v>-220000</v>
      </c>
      <c r="R35" s="217"/>
      <c r="S35" s="215"/>
      <c r="T35" s="215"/>
    </row>
    <row r="36" spans="1:20" s="144" customFormat="1" ht="15.6" customHeight="1" x14ac:dyDescent="0.2">
      <c r="A36" s="211"/>
      <c r="B36" s="237"/>
      <c r="C36" s="276"/>
      <c r="D36" s="277" t="s">
        <v>2566</v>
      </c>
      <c r="E36" s="278"/>
      <c r="F36" s="279"/>
      <c r="G36" s="138"/>
      <c r="H36" s="141"/>
      <c r="I36" s="138"/>
      <c r="J36" s="139"/>
      <c r="K36" s="139"/>
      <c r="L36" s="185"/>
      <c r="M36" s="141"/>
      <c r="N36" s="157">
        <f>11700000/4</f>
        <v>2925000</v>
      </c>
      <c r="O36" s="139">
        <f t="shared" si="0"/>
        <v>2925000</v>
      </c>
      <c r="P36" s="252"/>
      <c r="Q36" s="139">
        <f t="shared" si="1"/>
        <v>-2925000</v>
      </c>
      <c r="R36" s="217"/>
      <c r="S36" s="215"/>
      <c r="T36" s="215"/>
    </row>
    <row r="37" spans="1:20" s="144" customFormat="1" ht="21.6" customHeight="1" x14ac:dyDescent="0.2">
      <c r="A37" s="211"/>
      <c r="B37" s="146"/>
      <c r="C37" s="265"/>
      <c r="D37" s="280" t="s">
        <v>2567</v>
      </c>
      <c r="E37" s="266"/>
      <c r="F37" s="267"/>
      <c r="G37" s="138"/>
      <c r="H37" s="139"/>
      <c r="I37" s="138"/>
      <c r="J37" s="139"/>
      <c r="K37" s="139"/>
      <c r="L37" s="139"/>
      <c r="M37" s="208">
        <v>5900000</v>
      </c>
      <c r="N37" s="157"/>
      <c r="O37" s="139">
        <f t="shared" si="0"/>
        <v>5900000</v>
      </c>
      <c r="P37" s="139"/>
      <c r="Q37" s="139">
        <f t="shared" si="1"/>
        <v>-5900000</v>
      </c>
      <c r="R37" s="217"/>
      <c r="S37" s="215" t="s">
        <v>2564</v>
      </c>
      <c r="T37" s="215"/>
    </row>
    <row r="38" spans="1:20" s="159" customFormat="1" ht="16.149999999999999" customHeight="1" x14ac:dyDescent="0.25">
      <c r="A38" s="211"/>
      <c r="B38" s="165"/>
      <c r="C38" s="196" t="s">
        <v>1337</v>
      </c>
      <c r="D38" s="195"/>
      <c r="E38" s="197"/>
      <c r="F38" s="195"/>
      <c r="G38" s="195"/>
      <c r="H38" s="155"/>
      <c r="I38" s="195"/>
      <c r="J38" s="157">
        <f>28*9000000/26</f>
        <v>9692307.692307692</v>
      </c>
      <c r="K38" s="157"/>
      <c r="L38" s="155"/>
      <c r="M38" s="155"/>
      <c r="N38" s="155"/>
      <c r="O38" s="139">
        <f t="shared" si="0"/>
        <v>9692307.692307692</v>
      </c>
      <c r="P38" s="139"/>
      <c r="Q38" s="139">
        <f t="shared" si="1"/>
        <v>-9692307.692307692</v>
      </c>
      <c r="S38" s="215"/>
      <c r="T38" s="215"/>
    </row>
    <row r="39" spans="1:20" s="159" customFormat="1" ht="16.149999999999999" customHeight="1" x14ac:dyDescent="0.25">
      <c r="A39" s="253"/>
      <c r="B39" s="254"/>
      <c r="C39" s="255" t="s">
        <v>1094</v>
      </c>
      <c r="D39" s="256"/>
      <c r="E39" s="257"/>
      <c r="F39" s="256"/>
      <c r="G39" s="256"/>
      <c r="H39" s="258"/>
      <c r="I39" s="256"/>
      <c r="J39" s="258"/>
      <c r="K39" s="259">
        <f>1200000*1.1</f>
        <v>1320000</v>
      </c>
      <c r="L39" s="260"/>
      <c r="M39" s="258"/>
      <c r="N39" s="258"/>
      <c r="O39" s="261">
        <f t="shared" si="0"/>
        <v>1320000</v>
      </c>
      <c r="P39" s="261"/>
      <c r="Q39" s="261">
        <f t="shared" si="1"/>
        <v>-1320000</v>
      </c>
      <c r="R39" s="186"/>
      <c r="S39" s="215"/>
      <c r="T39" s="215"/>
    </row>
    <row r="40" spans="1:20" ht="15.6" customHeight="1" x14ac:dyDescent="0.25">
      <c r="A40" s="426" t="s">
        <v>20</v>
      </c>
      <c r="B40" s="426"/>
      <c r="C40" s="426"/>
      <c r="D40" s="426"/>
      <c r="E40" s="426"/>
      <c r="F40" s="426"/>
      <c r="G40" s="161">
        <f t="shared" ref="G40:Q40" si="2">SUM(G7:G39)</f>
        <v>3485</v>
      </c>
      <c r="H40" s="161">
        <f t="shared" si="2"/>
        <v>59134400</v>
      </c>
      <c r="I40" s="161">
        <f t="shared" si="2"/>
        <v>0</v>
      </c>
      <c r="J40" s="161">
        <f t="shared" si="2"/>
        <v>45472307.692307696</v>
      </c>
      <c r="K40" s="161">
        <f t="shared" si="2"/>
        <v>1320000</v>
      </c>
      <c r="L40" s="161">
        <f t="shared" si="2"/>
        <v>840000</v>
      </c>
      <c r="M40" s="161">
        <f t="shared" si="2"/>
        <v>5900000</v>
      </c>
      <c r="N40" s="161">
        <f t="shared" si="2"/>
        <v>2925000</v>
      </c>
      <c r="O40" s="161">
        <f t="shared" si="2"/>
        <v>115591707.6923077</v>
      </c>
      <c r="P40" s="161">
        <f t="shared" si="2"/>
        <v>150760001</v>
      </c>
      <c r="Q40" s="161">
        <f t="shared" si="2"/>
        <v>35168293.307692304</v>
      </c>
      <c r="R40" s="187"/>
      <c r="S40" s="189"/>
    </row>
    <row r="41" spans="1:20" ht="24.95" customHeight="1" x14ac:dyDescent="0.25">
      <c r="O41" s="158"/>
      <c r="Q41" s="158">
        <f>P40-O40</f>
        <v>35168293.307692304</v>
      </c>
    </row>
    <row r="42" spans="1:20" ht="24.95" customHeight="1" x14ac:dyDescent="0.25">
      <c r="P42" s="216" t="s">
        <v>1603</v>
      </c>
      <c r="Q42" s="227">
        <f>'6.2019'!Q42+'7.2019'!Q40</f>
        <v>146821678.30769229</v>
      </c>
    </row>
    <row r="43" spans="1:20" ht="24.95" customHeight="1" x14ac:dyDescent="0.25">
      <c r="B43" s="129"/>
      <c r="H43" s="128"/>
      <c r="J43" s="128"/>
      <c r="K43" s="128"/>
      <c r="L43" s="128"/>
      <c r="M43" s="128"/>
      <c r="N43" s="128"/>
      <c r="O43" s="128"/>
      <c r="P43" s="218"/>
      <c r="Q43" s="216"/>
    </row>
    <row r="44" spans="1:20" ht="24.95" customHeight="1" x14ac:dyDescent="0.25">
      <c r="B44" s="129"/>
      <c r="H44" s="128"/>
      <c r="J44" s="128"/>
      <c r="K44" s="128"/>
      <c r="L44" s="128"/>
      <c r="M44" s="128"/>
      <c r="N44" s="128"/>
      <c r="O44" s="128"/>
      <c r="P44" s="218"/>
      <c r="Q44" s="230"/>
    </row>
    <row r="45" spans="1:20" ht="24.95" customHeight="1" x14ac:dyDescent="0.25">
      <c r="B45" s="129"/>
      <c r="H45" s="128"/>
      <c r="J45" s="128"/>
      <c r="K45" s="128"/>
      <c r="L45" s="128"/>
      <c r="M45" s="128"/>
      <c r="N45" s="128"/>
      <c r="O45" s="128"/>
      <c r="P45" s="218"/>
      <c r="Q45" s="230"/>
    </row>
    <row r="46" spans="1:20" ht="24.95" customHeight="1" x14ac:dyDescent="0.25">
      <c r="B46" s="129"/>
      <c r="H46" s="128"/>
      <c r="J46" s="128"/>
      <c r="K46" s="128"/>
      <c r="L46" s="128"/>
      <c r="M46" s="128"/>
      <c r="N46" s="128"/>
      <c r="O46" s="128"/>
      <c r="P46" s="218"/>
      <c r="Q46" s="216"/>
    </row>
    <row r="47" spans="1:20" x14ac:dyDescent="0.25">
      <c r="B47" s="129"/>
      <c r="H47" s="128"/>
      <c r="J47" s="128"/>
      <c r="K47" s="128"/>
      <c r="L47" s="128"/>
      <c r="M47" s="128"/>
      <c r="N47" s="128"/>
      <c r="O47" s="128"/>
      <c r="P47" s="218"/>
      <c r="Q47" s="216"/>
    </row>
    <row r="48" spans="1:20" x14ac:dyDescent="0.25">
      <c r="A48" s="128"/>
      <c r="B48" s="129"/>
      <c r="H48" s="128"/>
      <c r="J48" s="128"/>
      <c r="K48" s="128"/>
      <c r="L48" s="128"/>
      <c r="M48" s="128"/>
      <c r="N48" s="128"/>
      <c r="O48" s="128"/>
      <c r="P48" s="218"/>
      <c r="Q48" s="216"/>
    </row>
    <row r="49" spans="2:17" s="128" customFormat="1" x14ac:dyDescent="0.25">
      <c r="B49" s="129"/>
      <c r="Q49" s="216"/>
    </row>
    <row r="50" spans="2:17" s="128" customFormat="1" x14ac:dyDescent="0.25">
      <c r="Q50" s="216"/>
    </row>
    <row r="51" spans="2:17" s="128" customFormat="1" x14ac:dyDescent="0.25">
      <c r="Q51" s="216"/>
    </row>
  </sheetData>
  <mergeCells count="14">
    <mergeCell ref="O5:O6"/>
    <mergeCell ref="P5:P6"/>
    <mergeCell ref="Q5:Q6"/>
    <mergeCell ref="A40:F40"/>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52"/>
  <sheetViews>
    <sheetView topLeftCell="A28" zoomScaleNormal="100" workbookViewId="0">
      <selection activeCell="Q43" sqref="Q43"/>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2568</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0.45" customHeight="1" thickBot="1" x14ac:dyDescent="0.25">
      <c r="A7" s="211">
        <v>1</v>
      </c>
      <c r="B7" s="191">
        <v>43678</v>
      </c>
      <c r="C7" s="138" t="s">
        <v>1238</v>
      </c>
      <c r="D7" s="138" t="s">
        <v>2601</v>
      </c>
      <c r="E7" s="146" t="s">
        <v>146</v>
      </c>
      <c r="F7" s="138"/>
      <c r="G7" s="138"/>
      <c r="H7" s="141"/>
      <c r="I7" s="138"/>
      <c r="J7" s="226">
        <v>1780000</v>
      </c>
      <c r="K7" s="141"/>
      <c r="L7" s="150"/>
      <c r="M7" s="141"/>
      <c r="N7" s="141"/>
      <c r="O7" s="139">
        <f>SUM(H7:N7)</f>
        <v>1780000</v>
      </c>
      <c r="P7" s="139">
        <v>5520000</v>
      </c>
      <c r="Q7" s="250">
        <f>P7-O7</f>
        <v>3740000</v>
      </c>
      <c r="R7" s="240"/>
      <c r="S7" s="215"/>
      <c r="T7" s="215"/>
    </row>
    <row r="8" spans="1:20" s="144" customFormat="1" ht="20.45" customHeight="1" thickBot="1" x14ac:dyDescent="0.25">
      <c r="A8" s="211">
        <v>2</v>
      </c>
      <c r="B8" s="191">
        <v>43679</v>
      </c>
      <c r="C8" s="138" t="s">
        <v>2569</v>
      </c>
      <c r="D8" s="138" t="s">
        <v>2602</v>
      </c>
      <c r="E8" s="146" t="s">
        <v>892</v>
      </c>
      <c r="F8" s="138"/>
      <c r="G8" s="138"/>
      <c r="H8" s="141"/>
      <c r="I8" s="138"/>
      <c r="J8" s="226">
        <v>1510000</v>
      </c>
      <c r="K8" s="141"/>
      <c r="L8" s="150"/>
      <c r="M8" s="141"/>
      <c r="N8" s="141"/>
      <c r="O8" s="139">
        <f t="shared" ref="O8:O40" si="0">SUM(H8:N8)</f>
        <v>1510000</v>
      </c>
      <c r="P8" s="139">
        <v>5600000</v>
      </c>
      <c r="Q8" s="250">
        <f t="shared" ref="Q8:Q40" si="1">P8-O8</f>
        <v>4090000</v>
      </c>
      <c r="R8" s="240"/>
      <c r="S8" s="215"/>
      <c r="T8" s="215"/>
    </row>
    <row r="9" spans="1:20" s="144" customFormat="1" ht="20.45" customHeight="1" thickBot="1" x14ac:dyDescent="0.25">
      <c r="A9" s="211">
        <v>3</v>
      </c>
      <c r="B9" s="191">
        <v>43680</v>
      </c>
      <c r="C9" s="138" t="s">
        <v>2570</v>
      </c>
      <c r="D9" s="138" t="s">
        <v>2603</v>
      </c>
      <c r="E9" s="146" t="s">
        <v>2591</v>
      </c>
      <c r="F9" s="138"/>
      <c r="G9" s="138">
        <v>385</v>
      </c>
      <c r="H9" s="141">
        <f>G9*17020</f>
        <v>6552700</v>
      </c>
      <c r="I9" s="138"/>
      <c r="J9" s="226">
        <f>970000+100000</f>
        <v>1070000</v>
      </c>
      <c r="K9" s="141"/>
      <c r="L9" s="150"/>
      <c r="M9" s="141"/>
      <c r="N9" s="141"/>
      <c r="O9" s="139">
        <f t="shared" si="0"/>
        <v>7622700</v>
      </c>
      <c r="P9" s="139">
        <v>5000000</v>
      </c>
      <c r="Q9" s="250">
        <f t="shared" si="1"/>
        <v>-2622700</v>
      </c>
      <c r="R9" s="240"/>
      <c r="S9" s="215"/>
      <c r="T9" s="215"/>
    </row>
    <row r="10" spans="1:20" s="144" customFormat="1" ht="20.45" customHeight="1" thickBot="1" x14ac:dyDescent="0.25">
      <c r="A10" s="211">
        <v>4</v>
      </c>
      <c r="B10" s="191">
        <v>43682</v>
      </c>
      <c r="C10" s="138" t="s">
        <v>2571</v>
      </c>
      <c r="D10" s="138" t="s">
        <v>2604</v>
      </c>
      <c r="E10" s="146" t="s">
        <v>25</v>
      </c>
      <c r="F10" s="138"/>
      <c r="G10" s="138"/>
      <c r="H10" s="141"/>
      <c r="I10" s="138"/>
      <c r="J10" s="226">
        <v>1890000</v>
      </c>
      <c r="K10" s="141"/>
      <c r="L10" s="150"/>
      <c r="M10" s="141"/>
      <c r="N10" s="141"/>
      <c r="O10" s="139">
        <f t="shared" si="0"/>
        <v>1890000</v>
      </c>
      <c r="P10" s="141">
        <v>8045455</v>
      </c>
      <c r="Q10" s="250">
        <f t="shared" si="1"/>
        <v>6155455</v>
      </c>
      <c r="R10" s="240"/>
      <c r="S10" s="215"/>
      <c r="T10" s="215"/>
    </row>
    <row r="11" spans="1:20" s="144" customFormat="1" ht="20.45" customHeight="1" thickBot="1" x14ac:dyDescent="0.25">
      <c r="A11" s="211">
        <v>5</v>
      </c>
      <c r="B11" s="191">
        <v>43683</v>
      </c>
      <c r="C11" s="138" t="s">
        <v>2572</v>
      </c>
      <c r="D11" s="138" t="s">
        <v>2605</v>
      </c>
      <c r="E11" s="146" t="s">
        <v>714</v>
      </c>
      <c r="F11" s="138"/>
      <c r="G11" s="138">
        <v>330</v>
      </c>
      <c r="H11" s="141">
        <f t="shared" ref="H11:H20" si="2">G11*17020</f>
        <v>5616600</v>
      </c>
      <c r="I11" s="138"/>
      <c r="J11" s="226">
        <v>1510000</v>
      </c>
      <c r="K11" s="141"/>
      <c r="L11" s="150"/>
      <c r="M11" s="141"/>
      <c r="N11" s="141"/>
      <c r="O11" s="139">
        <f t="shared" si="0"/>
        <v>7126600</v>
      </c>
      <c r="P11" s="141">
        <v>5600000</v>
      </c>
      <c r="Q11" s="250">
        <f t="shared" si="1"/>
        <v>-1526600</v>
      </c>
      <c r="R11" s="240"/>
      <c r="S11" s="215"/>
      <c r="T11" s="215"/>
    </row>
    <row r="12" spans="1:20" s="144" customFormat="1" ht="20.45" customHeight="1" thickBot="1" x14ac:dyDescent="0.25">
      <c r="A12" s="211">
        <v>6</v>
      </c>
      <c r="B12" s="191">
        <v>43684</v>
      </c>
      <c r="C12" s="138" t="s">
        <v>2573</v>
      </c>
      <c r="D12" s="138" t="s">
        <v>2606</v>
      </c>
      <c r="E12" s="146" t="s">
        <v>248</v>
      </c>
      <c r="F12" s="138"/>
      <c r="G12" s="138"/>
      <c r="H12" s="141"/>
      <c r="I12" s="138"/>
      <c r="J12" s="226">
        <v>970000</v>
      </c>
      <c r="K12" s="141"/>
      <c r="L12" s="150"/>
      <c r="M12" s="141"/>
      <c r="N12" s="141"/>
      <c r="O12" s="139">
        <f t="shared" si="0"/>
        <v>970000</v>
      </c>
      <c r="P12" s="141">
        <v>4560000</v>
      </c>
      <c r="Q12" s="250">
        <f t="shared" si="1"/>
        <v>3590000</v>
      </c>
      <c r="R12" s="240"/>
      <c r="S12" s="215"/>
      <c r="T12" s="215"/>
    </row>
    <row r="13" spans="1:20" s="144" customFormat="1" ht="20.45" customHeight="1" thickBot="1" x14ac:dyDescent="0.25">
      <c r="A13" s="211">
        <v>7</v>
      </c>
      <c r="B13" s="191">
        <v>43685</v>
      </c>
      <c r="C13" s="138" t="s">
        <v>2574</v>
      </c>
      <c r="D13" s="138" t="s">
        <v>2607</v>
      </c>
      <c r="E13" s="146" t="s">
        <v>2592</v>
      </c>
      <c r="F13" s="138"/>
      <c r="G13" s="138"/>
      <c r="H13" s="141"/>
      <c r="I13" s="138"/>
      <c r="J13" s="226">
        <v>790000</v>
      </c>
      <c r="K13" s="141"/>
      <c r="L13" s="150"/>
      <c r="M13" s="141"/>
      <c r="N13" s="141"/>
      <c r="O13" s="139">
        <f t="shared" si="0"/>
        <v>790000</v>
      </c>
      <c r="P13" s="141">
        <v>3136364</v>
      </c>
      <c r="Q13" s="250">
        <f t="shared" si="1"/>
        <v>2346364</v>
      </c>
      <c r="R13" s="240"/>
      <c r="S13" s="215"/>
      <c r="T13" s="215"/>
    </row>
    <row r="14" spans="1:20" s="144" customFormat="1" ht="20.45" customHeight="1" thickBot="1" x14ac:dyDescent="0.25">
      <c r="A14" s="211">
        <v>8</v>
      </c>
      <c r="B14" s="191">
        <v>43685</v>
      </c>
      <c r="C14" s="138" t="s">
        <v>2575</v>
      </c>
      <c r="D14" s="138" t="s">
        <v>2607</v>
      </c>
      <c r="E14" s="146" t="s">
        <v>2593</v>
      </c>
      <c r="F14" s="138"/>
      <c r="G14" s="138"/>
      <c r="H14" s="141"/>
      <c r="I14" s="138"/>
      <c r="J14" s="229">
        <v>300000</v>
      </c>
      <c r="K14" s="141"/>
      <c r="L14" s="150"/>
      <c r="M14" s="141"/>
      <c r="N14" s="141"/>
      <c r="O14" s="139">
        <f t="shared" si="0"/>
        <v>300000</v>
      </c>
      <c r="P14" s="141">
        <v>1181818</v>
      </c>
      <c r="Q14" s="250">
        <f t="shared" si="1"/>
        <v>881818</v>
      </c>
      <c r="R14" s="240"/>
      <c r="S14" s="215"/>
      <c r="T14" s="215"/>
    </row>
    <row r="15" spans="1:20" s="144" customFormat="1" ht="20.45" customHeight="1" thickBot="1" x14ac:dyDescent="0.25">
      <c r="A15" s="211">
        <v>9</v>
      </c>
      <c r="B15" s="191">
        <v>43686</v>
      </c>
      <c r="C15" s="138" t="s">
        <v>2576</v>
      </c>
      <c r="D15" s="138" t="s">
        <v>2608</v>
      </c>
      <c r="E15" s="146" t="s">
        <v>2594</v>
      </c>
      <c r="F15" s="138"/>
      <c r="G15" s="138">
        <v>290</v>
      </c>
      <c r="H15" s="141">
        <f t="shared" si="2"/>
        <v>4935800</v>
      </c>
      <c r="I15" s="138"/>
      <c r="J15" s="226">
        <v>1160000</v>
      </c>
      <c r="K15" s="141"/>
      <c r="L15" s="150"/>
      <c r="M15" s="141"/>
      <c r="N15" s="141"/>
      <c r="O15" s="139">
        <f t="shared" si="0"/>
        <v>6095800</v>
      </c>
      <c r="P15" s="141">
        <v>5000000</v>
      </c>
      <c r="Q15" s="250">
        <f t="shared" si="1"/>
        <v>-1095800</v>
      </c>
      <c r="R15" s="240"/>
      <c r="S15" s="215"/>
      <c r="T15" s="215"/>
    </row>
    <row r="16" spans="1:20" s="144" customFormat="1" ht="20.45" customHeight="1" thickBot="1" x14ac:dyDescent="0.25">
      <c r="A16" s="211">
        <v>10</v>
      </c>
      <c r="B16" s="191">
        <v>43687</v>
      </c>
      <c r="C16" s="138" t="s">
        <v>2577</v>
      </c>
      <c r="D16" s="138" t="s">
        <v>2609</v>
      </c>
      <c r="E16" s="146" t="s">
        <v>25</v>
      </c>
      <c r="F16" s="138"/>
      <c r="G16" s="138"/>
      <c r="H16" s="141"/>
      <c r="I16" s="138"/>
      <c r="J16" s="226">
        <v>1890000</v>
      </c>
      <c r="K16" s="141"/>
      <c r="L16" s="150"/>
      <c r="M16" s="141"/>
      <c r="N16" s="141"/>
      <c r="O16" s="139">
        <f t="shared" si="0"/>
        <v>1890000</v>
      </c>
      <c r="P16" s="141">
        <v>8045455</v>
      </c>
      <c r="Q16" s="250">
        <f t="shared" si="1"/>
        <v>6155455</v>
      </c>
      <c r="R16" s="240"/>
      <c r="S16" s="215"/>
      <c r="T16" s="215"/>
    </row>
    <row r="17" spans="1:20" s="144" customFormat="1" ht="20.45" customHeight="1" thickBot="1" x14ac:dyDescent="0.25">
      <c r="A17" s="211">
        <v>11</v>
      </c>
      <c r="B17" s="191">
        <v>43689</v>
      </c>
      <c r="C17" s="138" t="s">
        <v>2578</v>
      </c>
      <c r="D17" s="138" t="s">
        <v>2610</v>
      </c>
      <c r="E17" s="146" t="s">
        <v>25</v>
      </c>
      <c r="F17" s="138"/>
      <c r="G17" s="138">
        <v>360</v>
      </c>
      <c r="H17" s="141">
        <f t="shared" si="2"/>
        <v>6127200</v>
      </c>
      <c r="I17" s="138"/>
      <c r="J17" s="226">
        <v>1890000</v>
      </c>
      <c r="K17" s="141"/>
      <c r="L17" s="150"/>
      <c r="M17" s="141"/>
      <c r="N17" s="141"/>
      <c r="O17" s="139">
        <f t="shared" si="0"/>
        <v>8017200</v>
      </c>
      <c r="P17" s="141">
        <v>8045455</v>
      </c>
      <c r="Q17" s="250">
        <f t="shared" si="1"/>
        <v>28255</v>
      </c>
      <c r="R17" s="240"/>
      <c r="S17" s="215"/>
      <c r="T17" s="215"/>
    </row>
    <row r="18" spans="1:20" s="144" customFormat="1" ht="20.45" customHeight="1" thickBot="1" x14ac:dyDescent="0.25">
      <c r="A18" s="211">
        <v>12</v>
      </c>
      <c r="B18" s="191">
        <v>43690</v>
      </c>
      <c r="C18" s="138" t="s">
        <v>2579</v>
      </c>
      <c r="D18" s="138" t="s">
        <v>2611</v>
      </c>
      <c r="E18" s="146" t="s">
        <v>1336</v>
      </c>
      <c r="F18" s="138"/>
      <c r="G18" s="138"/>
      <c r="H18" s="141"/>
      <c r="I18" s="138"/>
      <c r="J18" s="226">
        <v>1150000</v>
      </c>
      <c r="K18" s="141"/>
      <c r="L18" s="150"/>
      <c r="M18" s="141"/>
      <c r="N18" s="141"/>
      <c r="O18" s="139">
        <f t="shared" si="0"/>
        <v>1150000</v>
      </c>
      <c r="P18" s="141">
        <v>3900000</v>
      </c>
      <c r="Q18" s="250">
        <f t="shared" si="1"/>
        <v>2750000</v>
      </c>
      <c r="R18" s="240"/>
      <c r="S18" s="215"/>
      <c r="T18" s="215"/>
    </row>
    <row r="19" spans="1:20" s="144" customFormat="1" ht="20.45" customHeight="1" thickBot="1" x14ac:dyDescent="0.25">
      <c r="A19" s="211">
        <v>13</v>
      </c>
      <c r="B19" s="191">
        <v>43691</v>
      </c>
      <c r="C19" s="138" t="s">
        <v>1248</v>
      </c>
      <c r="D19" s="138" t="s">
        <v>2612</v>
      </c>
      <c r="E19" s="146" t="s">
        <v>654</v>
      </c>
      <c r="F19" s="138"/>
      <c r="G19" s="138"/>
      <c r="H19" s="141"/>
      <c r="I19" s="138"/>
      <c r="J19" s="226">
        <v>1160000</v>
      </c>
      <c r="K19" s="141"/>
      <c r="L19" s="150"/>
      <c r="M19" s="141"/>
      <c r="N19" s="141"/>
      <c r="O19" s="139">
        <f t="shared" si="0"/>
        <v>1160000</v>
      </c>
      <c r="P19" s="141">
        <v>5000000</v>
      </c>
      <c r="Q19" s="250">
        <f t="shared" si="1"/>
        <v>3840000</v>
      </c>
      <c r="R19" s="240"/>
      <c r="S19" s="215"/>
      <c r="T19" s="215"/>
    </row>
    <row r="20" spans="1:20" s="144" customFormat="1" ht="20.45" customHeight="1" thickBot="1" x14ac:dyDescent="0.25">
      <c r="A20" s="211">
        <v>14</v>
      </c>
      <c r="B20" s="191">
        <v>43692</v>
      </c>
      <c r="C20" s="138" t="s">
        <v>2580</v>
      </c>
      <c r="D20" s="138" t="s">
        <v>2613</v>
      </c>
      <c r="E20" s="146" t="s">
        <v>1865</v>
      </c>
      <c r="F20" s="138"/>
      <c r="G20" s="138">
        <v>260</v>
      </c>
      <c r="H20" s="141">
        <f t="shared" si="2"/>
        <v>4425200</v>
      </c>
      <c r="I20" s="138"/>
      <c r="J20" s="226">
        <v>790000</v>
      </c>
      <c r="K20" s="141"/>
      <c r="L20" s="150"/>
      <c r="M20" s="141"/>
      <c r="N20" s="141"/>
      <c r="O20" s="139">
        <f t="shared" si="0"/>
        <v>5215200</v>
      </c>
      <c r="P20" s="141">
        <v>3263636</v>
      </c>
      <c r="Q20" s="250">
        <f t="shared" si="1"/>
        <v>-1951564</v>
      </c>
      <c r="R20" s="240"/>
      <c r="S20" s="215"/>
      <c r="T20" s="215"/>
    </row>
    <row r="21" spans="1:20" s="144" customFormat="1" ht="20.45" customHeight="1" thickBot="1" x14ac:dyDescent="0.25">
      <c r="A21" s="211">
        <v>15</v>
      </c>
      <c r="B21" s="191">
        <v>43692</v>
      </c>
      <c r="C21" s="138" t="s">
        <v>2581</v>
      </c>
      <c r="D21" s="138" t="s">
        <v>2614</v>
      </c>
      <c r="E21" s="146" t="s">
        <v>2595</v>
      </c>
      <c r="F21" s="138"/>
      <c r="G21" s="138"/>
      <c r="H21" s="141"/>
      <c r="I21" s="138"/>
      <c r="J21" s="226">
        <v>970000</v>
      </c>
      <c r="K21" s="141"/>
      <c r="L21" s="150"/>
      <c r="M21" s="141"/>
      <c r="N21" s="141"/>
      <c r="O21" s="139">
        <f t="shared" si="0"/>
        <v>970000</v>
      </c>
      <c r="P21" s="141">
        <v>4000000</v>
      </c>
      <c r="Q21" s="250">
        <f t="shared" si="1"/>
        <v>3030000</v>
      </c>
      <c r="R21" s="240"/>
      <c r="S21" s="215"/>
      <c r="T21" s="215"/>
    </row>
    <row r="22" spans="1:20" s="144" customFormat="1" ht="20.45" customHeight="1" thickBot="1" x14ac:dyDescent="0.25">
      <c r="A22" s="211">
        <v>16</v>
      </c>
      <c r="B22" s="191">
        <v>43694</v>
      </c>
      <c r="C22" s="138" t="s">
        <v>1895</v>
      </c>
      <c r="D22" s="138" t="s">
        <v>2615</v>
      </c>
      <c r="E22" s="146" t="s">
        <v>2596</v>
      </c>
      <c r="F22" s="138"/>
      <c r="G22" s="138"/>
      <c r="H22" s="141"/>
      <c r="I22" s="138"/>
      <c r="J22" s="226">
        <v>1150000</v>
      </c>
      <c r="K22" s="141"/>
      <c r="L22" s="150"/>
      <c r="M22" s="141"/>
      <c r="N22" s="141"/>
      <c r="O22" s="139">
        <f t="shared" si="0"/>
        <v>1150000</v>
      </c>
      <c r="P22" s="141">
        <v>3800000</v>
      </c>
      <c r="Q22" s="250">
        <f t="shared" si="1"/>
        <v>2650000</v>
      </c>
      <c r="R22" s="240"/>
      <c r="S22" s="215"/>
      <c r="T22" s="215"/>
    </row>
    <row r="23" spans="1:20" s="144" customFormat="1" ht="20.45" customHeight="1" thickBot="1" x14ac:dyDescent="0.25">
      <c r="A23" s="211">
        <v>17</v>
      </c>
      <c r="B23" s="191">
        <v>43696</v>
      </c>
      <c r="C23" s="138" t="s">
        <v>2582</v>
      </c>
      <c r="D23" s="138" t="s">
        <v>2616</v>
      </c>
      <c r="E23" s="146" t="s">
        <v>2597</v>
      </c>
      <c r="F23" s="138"/>
      <c r="G23" s="138"/>
      <c r="H23" s="141"/>
      <c r="I23" s="138"/>
      <c r="J23" s="226">
        <f>790000+300000</f>
        <v>1090000</v>
      </c>
      <c r="K23" s="141"/>
      <c r="L23" s="150"/>
      <c r="M23" s="141"/>
      <c r="N23" s="141"/>
      <c r="O23" s="139">
        <f t="shared" si="0"/>
        <v>1090000</v>
      </c>
      <c r="P23" s="141">
        <v>4000000</v>
      </c>
      <c r="Q23" s="250">
        <f t="shared" si="1"/>
        <v>2910000</v>
      </c>
      <c r="R23" s="240"/>
      <c r="S23" s="215"/>
      <c r="T23" s="215"/>
    </row>
    <row r="24" spans="1:20" s="144" customFormat="1" ht="20.45" customHeight="1" thickBot="1" x14ac:dyDescent="0.25">
      <c r="A24" s="211">
        <v>18</v>
      </c>
      <c r="B24" s="191">
        <v>43696</v>
      </c>
      <c r="C24" s="138" t="s">
        <v>2583</v>
      </c>
      <c r="D24" s="138" t="s">
        <v>2616</v>
      </c>
      <c r="E24" s="146" t="s">
        <v>406</v>
      </c>
      <c r="F24" s="138"/>
      <c r="G24" s="138"/>
      <c r="H24" s="141"/>
      <c r="I24" s="138"/>
      <c r="J24" s="226">
        <v>0</v>
      </c>
      <c r="K24" s="141"/>
      <c r="L24" s="150"/>
      <c r="M24" s="141"/>
      <c r="N24" s="141"/>
      <c r="O24" s="139">
        <f t="shared" si="0"/>
        <v>0</v>
      </c>
      <c r="P24" s="141">
        <v>2690000</v>
      </c>
      <c r="Q24" s="250">
        <f t="shared" si="1"/>
        <v>2690000</v>
      </c>
      <c r="R24" s="240"/>
      <c r="S24" s="215"/>
      <c r="T24" s="215"/>
    </row>
    <row r="25" spans="1:20" s="144" customFormat="1" ht="20.45" customHeight="1" thickBot="1" x14ac:dyDescent="0.25">
      <c r="A25" s="211">
        <v>19</v>
      </c>
      <c r="B25" s="191">
        <v>43697</v>
      </c>
      <c r="C25" s="138" t="s">
        <v>2584</v>
      </c>
      <c r="D25" s="138" t="s">
        <v>2617</v>
      </c>
      <c r="E25" s="146" t="s">
        <v>892</v>
      </c>
      <c r="F25" s="138"/>
      <c r="G25" s="138">
        <v>330</v>
      </c>
      <c r="H25" s="141">
        <f>G25*16500</f>
        <v>5445000</v>
      </c>
      <c r="I25" s="138"/>
      <c r="J25" s="226">
        <v>1510000</v>
      </c>
      <c r="K25" s="141"/>
      <c r="L25" s="150"/>
      <c r="M25" s="141"/>
      <c r="N25" s="141"/>
      <c r="O25" s="139">
        <f t="shared" si="0"/>
        <v>6955000</v>
      </c>
      <c r="P25" s="141">
        <v>5600000</v>
      </c>
      <c r="Q25" s="250">
        <f t="shared" si="1"/>
        <v>-1355000</v>
      </c>
      <c r="R25" s="240"/>
      <c r="S25" s="215"/>
      <c r="T25" s="215"/>
    </row>
    <row r="26" spans="1:20" s="144" customFormat="1" ht="20.45" customHeight="1" thickBot="1" x14ac:dyDescent="0.25">
      <c r="A26" s="211">
        <v>20</v>
      </c>
      <c r="B26" s="191">
        <v>43698</v>
      </c>
      <c r="C26" s="138" t="s">
        <v>1899</v>
      </c>
      <c r="D26" s="138" t="s">
        <v>2618</v>
      </c>
      <c r="E26" s="146" t="s">
        <v>2631</v>
      </c>
      <c r="F26" s="138"/>
      <c r="G26" s="138"/>
      <c r="H26" s="141"/>
      <c r="I26" s="138"/>
      <c r="J26" s="226">
        <v>1270000</v>
      </c>
      <c r="K26" s="141"/>
      <c r="L26" s="150"/>
      <c r="M26" s="141"/>
      <c r="N26" s="141"/>
      <c r="O26" s="139">
        <f t="shared" si="0"/>
        <v>1270000</v>
      </c>
      <c r="P26" s="141">
        <v>5200000</v>
      </c>
      <c r="Q26" s="250">
        <f t="shared" si="1"/>
        <v>3930000</v>
      </c>
      <c r="R26" s="240"/>
      <c r="S26" s="215"/>
      <c r="T26" s="215"/>
    </row>
    <row r="27" spans="1:20" s="144" customFormat="1" ht="20.45" customHeight="1" thickBot="1" x14ac:dyDescent="0.25">
      <c r="A27" s="211">
        <v>21</v>
      </c>
      <c r="B27" s="191">
        <v>43699</v>
      </c>
      <c r="C27" s="138" t="s">
        <v>2585</v>
      </c>
      <c r="D27" s="138" t="s">
        <v>2619</v>
      </c>
      <c r="E27" s="146" t="s">
        <v>248</v>
      </c>
      <c r="F27" s="138"/>
      <c r="G27" s="138">
        <v>355</v>
      </c>
      <c r="H27" s="141">
        <f t="shared" ref="H27:H33" si="3">G27*16500</f>
        <v>5857500</v>
      </c>
      <c r="I27" s="138"/>
      <c r="J27" s="226">
        <v>970000</v>
      </c>
      <c r="K27" s="141"/>
      <c r="L27" s="150"/>
      <c r="M27" s="141"/>
      <c r="N27" s="141"/>
      <c r="O27" s="139">
        <f t="shared" si="0"/>
        <v>6827500</v>
      </c>
      <c r="P27" s="141">
        <v>4560000</v>
      </c>
      <c r="Q27" s="250">
        <f t="shared" si="1"/>
        <v>-2267500</v>
      </c>
      <c r="R27" s="240"/>
      <c r="S27" s="215"/>
      <c r="T27" s="215"/>
    </row>
    <row r="28" spans="1:20" s="144" customFormat="1" ht="20.45" customHeight="1" thickBot="1" x14ac:dyDescent="0.25">
      <c r="A28" s="211">
        <v>22</v>
      </c>
      <c r="B28" s="191">
        <v>43700</v>
      </c>
      <c r="C28" s="138" t="s">
        <v>1251</v>
      </c>
      <c r="D28" s="138" t="s">
        <v>2620</v>
      </c>
      <c r="E28" s="146" t="s">
        <v>654</v>
      </c>
      <c r="F28" s="138"/>
      <c r="G28" s="138"/>
      <c r="H28" s="141"/>
      <c r="I28" s="138"/>
      <c r="J28" s="226">
        <v>1160000</v>
      </c>
      <c r="K28" s="141"/>
      <c r="L28" s="150"/>
      <c r="M28" s="141"/>
      <c r="N28" s="141"/>
      <c r="O28" s="139">
        <f t="shared" si="0"/>
        <v>1160000</v>
      </c>
      <c r="P28" s="141">
        <v>5000000</v>
      </c>
      <c r="Q28" s="250">
        <f t="shared" si="1"/>
        <v>3840000</v>
      </c>
      <c r="R28" s="240"/>
      <c r="S28" s="215"/>
      <c r="T28" s="215"/>
    </row>
    <row r="29" spans="1:20" s="144" customFormat="1" ht="20.45" customHeight="1" thickBot="1" x14ac:dyDescent="0.25">
      <c r="A29" s="211">
        <v>23</v>
      </c>
      <c r="B29" s="191">
        <v>43701</v>
      </c>
      <c r="C29" s="138" t="s">
        <v>2586</v>
      </c>
      <c r="D29" s="138" t="s">
        <v>2621</v>
      </c>
      <c r="E29" s="146" t="s">
        <v>25</v>
      </c>
      <c r="F29" s="138"/>
      <c r="G29" s="138">
        <v>310</v>
      </c>
      <c r="H29" s="141">
        <f t="shared" si="3"/>
        <v>5115000</v>
      </c>
      <c r="I29" s="138"/>
      <c r="J29" s="226">
        <v>1890000</v>
      </c>
      <c r="K29" s="141"/>
      <c r="L29" s="150"/>
      <c r="M29" s="141"/>
      <c r="N29" s="141"/>
      <c r="O29" s="139">
        <f t="shared" si="0"/>
        <v>7005000</v>
      </c>
      <c r="P29" s="141">
        <v>8045455</v>
      </c>
      <c r="Q29" s="250">
        <f t="shared" si="1"/>
        <v>1040455</v>
      </c>
      <c r="R29" s="240"/>
      <c r="S29" s="215"/>
      <c r="T29" s="215"/>
    </row>
    <row r="30" spans="1:20" s="144" customFormat="1" ht="20.45" customHeight="1" x14ac:dyDescent="0.2">
      <c r="A30" s="211">
        <v>24</v>
      </c>
      <c r="B30" s="232">
        <v>43703</v>
      </c>
      <c r="C30" s="138" t="s">
        <v>2587</v>
      </c>
      <c r="D30" s="138" t="s">
        <v>2622</v>
      </c>
      <c r="E30" s="146" t="s">
        <v>2598</v>
      </c>
      <c r="F30" s="138"/>
      <c r="G30" s="138"/>
      <c r="H30" s="141"/>
      <c r="I30" s="138"/>
      <c r="J30" s="226">
        <v>1150000</v>
      </c>
      <c r="K30" s="141"/>
      <c r="L30" s="150"/>
      <c r="M30" s="141"/>
      <c r="N30" s="141"/>
      <c r="O30" s="139">
        <f t="shared" si="0"/>
        <v>1150000</v>
      </c>
      <c r="P30" s="141">
        <v>3700000</v>
      </c>
      <c r="Q30" s="250">
        <f t="shared" si="1"/>
        <v>2550000</v>
      </c>
      <c r="R30" s="217"/>
      <c r="S30" s="215"/>
      <c r="T30" s="215"/>
    </row>
    <row r="31" spans="1:20" s="144" customFormat="1" ht="20.45" customHeight="1" x14ac:dyDescent="0.2">
      <c r="A31" s="211">
        <v>25</v>
      </c>
      <c r="B31" s="232">
        <v>43704</v>
      </c>
      <c r="C31" s="138" t="s">
        <v>2588</v>
      </c>
      <c r="D31" s="138" t="s">
        <v>2623</v>
      </c>
      <c r="E31" s="146" t="s">
        <v>25</v>
      </c>
      <c r="F31" s="138"/>
      <c r="G31" s="138">
        <v>270</v>
      </c>
      <c r="H31" s="141">
        <f t="shared" si="3"/>
        <v>4455000</v>
      </c>
      <c r="I31" s="138"/>
      <c r="J31" s="226">
        <v>1890000</v>
      </c>
      <c r="K31" s="141"/>
      <c r="L31" s="150"/>
      <c r="M31" s="141"/>
      <c r="N31" s="141"/>
      <c r="O31" s="139">
        <f t="shared" si="0"/>
        <v>6345000</v>
      </c>
      <c r="P31" s="139">
        <v>8045455</v>
      </c>
      <c r="Q31" s="250">
        <f t="shared" si="1"/>
        <v>1700455</v>
      </c>
      <c r="R31" s="217"/>
      <c r="S31" s="215"/>
      <c r="T31" s="215"/>
    </row>
    <row r="32" spans="1:20" s="144" customFormat="1" ht="20.45" customHeight="1" x14ac:dyDescent="0.2">
      <c r="A32" s="211">
        <v>26</v>
      </c>
      <c r="B32" s="232">
        <v>43705</v>
      </c>
      <c r="C32" s="238" t="s">
        <v>1905</v>
      </c>
      <c r="D32" s="138" t="s">
        <v>2624</v>
      </c>
      <c r="E32" s="146" t="s">
        <v>342</v>
      </c>
      <c r="F32" s="138"/>
      <c r="G32" s="138"/>
      <c r="H32" s="141"/>
      <c r="I32" s="138"/>
      <c r="J32" s="226">
        <v>1510000</v>
      </c>
      <c r="K32" s="141"/>
      <c r="L32" s="219"/>
      <c r="M32" s="141"/>
      <c r="N32" s="157"/>
      <c r="O32" s="139">
        <f t="shared" si="0"/>
        <v>1510000</v>
      </c>
      <c r="P32" s="139">
        <v>5500000</v>
      </c>
      <c r="Q32" s="250">
        <f t="shared" si="1"/>
        <v>3990000</v>
      </c>
      <c r="R32" s="217"/>
      <c r="S32" s="215"/>
      <c r="T32" s="215"/>
    </row>
    <row r="33" spans="1:20" s="144" customFormat="1" ht="20.45" customHeight="1" x14ac:dyDescent="0.2">
      <c r="A33" s="211">
        <v>27</v>
      </c>
      <c r="B33" s="232">
        <v>43706</v>
      </c>
      <c r="C33" s="238" t="s">
        <v>2589</v>
      </c>
      <c r="D33" s="138" t="s">
        <v>2625</v>
      </c>
      <c r="E33" s="146" t="s">
        <v>2599</v>
      </c>
      <c r="F33" s="138"/>
      <c r="G33" s="138">
        <v>280</v>
      </c>
      <c r="H33" s="141">
        <f t="shared" si="3"/>
        <v>4620000</v>
      </c>
      <c r="I33" s="138"/>
      <c r="J33" s="226">
        <v>1160000</v>
      </c>
      <c r="K33" s="141"/>
      <c r="L33" s="219"/>
      <c r="M33" s="141"/>
      <c r="N33" s="157"/>
      <c r="O33" s="139">
        <f t="shared" si="0"/>
        <v>5780000</v>
      </c>
      <c r="P33" s="139">
        <v>5000000</v>
      </c>
      <c r="Q33" s="250">
        <f t="shared" si="1"/>
        <v>-780000</v>
      </c>
      <c r="R33" s="217"/>
      <c r="S33" s="215"/>
      <c r="T33" s="215"/>
    </row>
    <row r="34" spans="1:20" s="144" customFormat="1" ht="20.45" customHeight="1" x14ac:dyDescent="0.2">
      <c r="A34" s="211">
        <v>28</v>
      </c>
      <c r="B34" s="232">
        <v>43707</v>
      </c>
      <c r="C34" s="238" t="s">
        <v>1907</v>
      </c>
      <c r="D34" s="138" t="s">
        <v>2626</v>
      </c>
      <c r="E34" s="146" t="s">
        <v>2600</v>
      </c>
      <c r="F34" s="138"/>
      <c r="G34" s="138"/>
      <c r="H34" s="139"/>
      <c r="I34" s="138"/>
      <c r="J34" s="226">
        <v>1510000</v>
      </c>
      <c r="K34" s="141"/>
      <c r="L34" s="219"/>
      <c r="M34" s="141"/>
      <c r="N34" s="157"/>
      <c r="O34" s="139">
        <f t="shared" si="0"/>
        <v>1510000</v>
      </c>
      <c r="P34" s="139">
        <v>5600000</v>
      </c>
      <c r="Q34" s="250">
        <f t="shared" si="1"/>
        <v>4090000</v>
      </c>
      <c r="R34" s="217"/>
      <c r="S34" s="215"/>
      <c r="T34" s="215"/>
    </row>
    <row r="35" spans="1:20" s="144" customFormat="1" ht="20.45" customHeight="1" x14ac:dyDescent="0.2">
      <c r="A35" s="211">
        <v>29</v>
      </c>
      <c r="B35" s="232">
        <v>43708</v>
      </c>
      <c r="C35" s="238" t="s">
        <v>2590</v>
      </c>
      <c r="D35" s="138" t="s">
        <v>2627</v>
      </c>
      <c r="E35" s="146" t="s">
        <v>115</v>
      </c>
      <c r="F35" s="138"/>
      <c r="G35" s="138"/>
      <c r="H35" s="139"/>
      <c r="I35" s="138"/>
      <c r="J35" s="226">
        <v>1060000</v>
      </c>
      <c r="K35" s="141"/>
      <c r="L35" s="219"/>
      <c r="M35" s="141"/>
      <c r="N35" s="157"/>
      <c r="O35" s="139">
        <f t="shared" si="0"/>
        <v>1060000</v>
      </c>
      <c r="P35" s="139">
        <v>3800000</v>
      </c>
      <c r="Q35" s="250">
        <f t="shared" si="1"/>
        <v>2740000</v>
      </c>
      <c r="R35" s="217"/>
      <c r="S35" s="215"/>
      <c r="T35" s="215"/>
    </row>
    <row r="36" spans="1:20" s="144" customFormat="1" ht="20.45" customHeight="1" x14ac:dyDescent="0.2">
      <c r="A36" s="211"/>
      <c r="B36" s="232"/>
      <c r="C36" s="437" t="s">
        <v>2630</v>
      </c>
      <c r="D36" s="438"/>
      <c r="E36" s="438"/>
      <c r="F36" s="439"/>
      <c r="G36" s="220"/>
      <c r="H36" s="219"/>
      <c r="I36" s="220"/>
      <c r="J36" s="157"/>
      <c r="K36" s="185">
        <v>170000</v>
      </c>
      <c r="L36" s="219"/>
      <c r="M36" s="141"/>
      <c r="N36" s="157"/>
      <c r="O36" s="139">
        <f t="shared" si="0"/>
        <v>170000</v>
      </c>
      <c r="P36" s="139"/>
      <c r="Q36" s="250">
        <f t="shared" si="1"/>
        <v>-170000</v>
      </c>
      <c r="R36" s="217"/>
      <c r="S36" s="215"/>
      <c r="T36" s="215"/>
    </row>
    <row r="37" spans="1:20" s="144" customFormat="1" ht="20.45" customHeight="1" x14ac:dyDescent="0.2">
      <c r="A37" s="211"/>
      <c r="C37" s="437" t="s">
        <v>2629</v>
      </c>
      <c r="D37" s="438"/>
      <c r="E37" s="438"/>
      <c r="F37" s="439"/>
      <c r="G37" s="138"/>
      <c r="H37" s="139"/>
      <c r="I37" s="138"/>
      <c r="J37" s="141"/>
      <c r="K37" s="141"/>
      <c r="L37" s="219"/>
      <c r="M37" s="185">
        <v>11800000</v>
      </c>
      <c r="N37" s="157"/>
      <c r="O37" s="139">
        <f t="shared" si="0"/>
        <v>11800000</v>
      </c>
      <c r="P37" s="139"/>
      <c r="Q37" s="250">
        <f t="shared" si="1"/>
        <v>-11800000</v>
      </c>
      <c r="R37" s="217"/>
      <c r="S37" s="215"/>
      <c r="T37" s="215"/>
    </row>
    <row r="38" spans="1:20" s="144" customFormat="1" ht="20.45" customHeight="1" x14ac:dyDescent="0.2">
      <c r="A38" s="211"/>
      <c r="C38" s="437" t="s">
        <v>2628</v>
      </c>
      <c r="D38" s="438"/>
      <c r="E38" s="438"/>
      <c r="F38" s="439"/>
      <c r="G38" s="138"/>
      <c r="H38" s="139"/>
      <c r="I38" s="138"/>
      <c r="J38" s="141"/>
      <c r="K38" s="185">
        <v>300000</v>
      </c>
      <c r="L38" s="219"/>
      <c r="M38" s="157"/>
      <c r="N38" s="157"/>
      <c r="O38" s="139">
        <f t="shared" si="0"/>
        <v>300000</v>
      </c>
      <c r="P38" s="139"/>
      <c r="Q38" s="250">
        <f t="shared" si="1"/>
        <v>-300000</v>
      </c>
      <c r="R38" s="217"/>
      <c r="S38" s="215"/>
      <c r="T38" s="215"/>
    </row>
    <row r="39" spans="1:20" s="159" customFormat="1" ht="20.45" customHeight="1" x14ac:dyDescent="0.25">
      <c r="A39" s="211"/>
      <c r="B39" s="165"/>
      <c r="C39" s="440" t="s">
        <v>1337</v>
      </c>
      <c r="D39" s="441"/>
      <c r="E39" s="441"/>
      <c r="F39" s="442"/>
      <c r="G39" s="195"/>
      <c r="H39" s="155"/>
      <c r="I39" s="195"/>
      <c r="J39" s="155"/>
      <c r="K39" s="157">
        <v>9346154</v>
      </c>
      <c r="L39" s="155"/>
      <c r="M39" s="155"/>
      <c r="N39" s="155"/>
      <c r="O39" s="139">
        <f t="shared" si="0"/>
        <v>9346154</v>
      </c>
      <c r="P39" s="139"/>
      <c r="Q39" s="250">
        <f t="shared" si="1"/>
        <v>-9346154</v>
      </c>
      <c r="S39" s="215"/>
      <c r="T39" s="215"/>
    </row>
    <row r="40" spans="1:20" s="159" customFormat="1" ht="20.45" customHeight="1" x14ac:dyDescent="0.25">
      <c r="A40" s="211"/>
      <c r="B40" s="203"/>
      <c r="C40" s="434" t="s">
        <v>1094</v>
      </c>
      <c r="D40" s="435"/>
      <c r="E40" s="435"/>
      <c r="F40" s="436"/>
      <c r="G40" s="153"/>
      <c r="H40" s="156"/>
      <c r="I40" s="153"/>
      <c r="J40" s="156"/>
      <c r="K40" s="204">
        <f>1200000*1.1</f>
        <v>1320000</v>
      </c>
      <c r="L40" s="204"/>
      <c r="M40" s="156"/>
      <c r="N40" s="156"/>
      <c r="O40" s="139">
        <f t="shared" si="0"/>
        <v>1320000</v>
      </c>
      <c r="P40" s="139"/>
      <c r="Q40" s="250">
        <f t="shared" si="1"/>
        <v>-1320000</v>
      </c>
      <c r="R40" s="186"/>
      <c r="S40" s="215"/>
      <c r="T40" s="215"/>
    </row>
    <row r="41" spans="1:20" ht="20.45" customHeight="1" x14ac:dyDescent="0.25">
      <c r="A41" s="426" t="s">
        <v>20</v>
      </c>
      <c r="B41" s="426"/>
      <c r="C41" s="426"/>
      <c r="D41" s="426"/>
      <c r="E41" s="426"/>
      <c r="F41" s="426"/>
      <c r="G41" s="161">
        <f t="shared" ref="G41:Q41" si="4">SUM(G7:G40)</f>
        <v>3170</v>
      </c>
      <c r="H41" s="161">
        <f t="shared" si="4"/>
        <v>53150000</v>
      </c>
      <c r="I41" s="161">
        <f t="shared" si="4"/>
        <v>0</v>
      </c>
      <c r="J41" s="161">
        <f t="shared" si="4"/>
        <v>36150000</v>
      </c>
      <c r="K41" s="161">
        <f t="shared" si="4"/>
        <v>11136154</v>
      </c>
      <c r="L41" s="161">
        <f t="shared" si="4"/>
        <v>0</v>
      </c>
      <c r="M41" s="161">
        <f t="shared" si="4"/>
        <v>11800000</v>
      </c>
      <c r="N41" s="161">
        <f t="shared" si="4"/>
        <v>0</v>
      </c>
      <c r="O41" s="161">
        <f t="shared" si="4"/>
        <v>112236154</v>
      </c>
      <c r="P41" s="161">
        <f t="shared" si="4"/>
        <v>146439093</v>
      </c>
      <c r="Q41" s="161">
        <f t="shared" si="4"/>
        <v>34202939</v>
      </c>
      <c r="R41" s="187"/>
      <c r="S41" s="189"/>
    </row>
    <row r="42" spans="1:20" ht="24.95" customHeight="1" x14ac:dyDescent="0.25">
      <c r="O42" s="158"/>
      <c r="Q42" s="158">
        <f>P41-O41</f>
        <v>34202939</v>
      </c>
    </row>
    <row r="43" spans="1:20" ht="24.95" customHeight="1" x14ac:dyDescent="0.25">
      <c r="P43" s="216" t="s">
        <v>1603</v>
      </c>
      <c r="Q43" s="227">
        <f>'7.2019'!Q42+'8.2019'!Q41</f>
        <v>181024617.30769229</v>
      </c>
    </row>
    <row r="44" spans="1:20" ht="24.95" customHeight="1" x14ac:dyDescent="0.25">
      <c r="B44" s="129"/>
      <c r="H44" s="128"/>
      <c r="J44" s="128"/>
      <c r="K44" s="128"/>
      <c r="L44" s="128"/>
      <c r="M44" s="128"/>
      <c r="N44" s="128"/>
      <c r="O44" s="128"/>
      <c r="P44" s="218"/>
      <c r="Q44" s="216"/>
    </row>
    <row r="45" spans="1:20" ht="24.95" customHeight="1" x14ac:dyDescent="0.25">
      <c r="B45" s="129"/>
      <c r="H45" s="128"/>
      <c r="J45" s="128"/>
      <c r="K45" s="128"/>
      <c r="L45" s="128"/>
      <c r="M45" s="128"/>
      <c r="N45" s="128"/>
      <c r="O45" s="128"/>
      <c r="P45" s="218"/>
      <c r="Q45" s="230"/>
    </row>
    <row r="46" spans="1:20" ht="24.95" customHeight="1" x14ac:dyDescent="0.25">
      <c r="B46" s="129"/>
      <c r="H46" s="128"/>
      <c r="J46" s="128"/>
      <c r="K46" s="128"/>
      <c r="L46" s="128"/>
      <c r="M46" s="128"/>
      <c r="N46" s="128"/>
      <c r="O46" s="128"/>
      <c r="P46" s="218"/>
      <c r="Q46" s="230"/>
    </row>
    <row r="47" spans="1:20" ht="24.95" customHeight="1" x14ac:dyDescent="0.25">
      <c r="B47" s="129"/>
      <c r="H47" s="128"/>
      <c r="J47" s="128"/>
      <c r="K47" s="128"/>
      <c r="L47" s="128"/>
      <c r="M47" s="128"/>
      <c r="N47" s="128"/>
      <c r="O47" s="128"/>
      <c r="P47" s="218"/>
      <c r="Q47" s="216"/>
    </row>
    <row r="48" spans="1:20" x14ac:dyDescent="0.25">
      <c r="B48" s="129"/>
      <c r="H48" s="128"/>
      <c r="J48" s="128"/>
      <c r="K48" s="128"/>
      <c r="L48" s="128"/>
      <c r="M48" s="128"/>
      <c r="N48" s="128"/>
      <c r="O48" s="128"/>
      <c r="P48" s="218"/>
      <c r="Q48" s="216"/>
    </row>
    <row r="49" spans="2:17" s="128" customFormat="1" x14ac:dyDescent="0.25">
      <c r="B49" s="129"/>
      <c r="P49" s="218"/>
      <c r="Q49" s="216"/>
    </row>
    <row r="50" spans="2:17" s="128" customFormat="1" x14ac:dyDescent="0.25">
      <c r="B50" s="129"/>
      <c r="Q50" s="216"/>
    </row>
    <row r="51" spans="2:17" s="128" customFormat="1" x14ac:dyDescent="0.25">
      <c r="Q51" s="216"/>
    </row>
    <row r="52" spans="2:17" s="128" customFormat="1" x14ac:dyDescent="0.25">
      <c r="Q52" s="216"/>
    </row>
  </sheetData>
  <mergeCells count="19">
    <mergeCell ref="A1:Q1"/>
    <mergeCell ref="A2:Q2"/>
    <mergeCell ref="B3:Q3"/>
    <mergeCell ref="A5:A6"/>
    <mergeCell ref="B5:B6"/>
    <mergeCell ref="C5:C6"/>
    <mergeCell ref="D5:D6"/>
    <mergeCell ref="E5:E6"/>
    <mergeCell ref="F5:F6"/>
    <mergeCell ref="G5:N5"/>
    <mergeCell ref="C40:F40"/>
    <mergeCell ref="O5:O6"/>
    <mergeCell ref="P5:P6"/>
    <mergeCell ref="Q5:Q6"/>
    <mergeCell ref="A41:F41"/>
    <mergeCell ref="C36:F36"/>
    <mergeCell ref="C37:F37"/>
    <mergeCell ref="C38:F38"/>
    <mergeCell ref="C39:F39"/>
  </mergeCells>
  <pageMargins left="0.7" right="0.7" top="0.75" bottom="0.75" header="0.3" footer="0.3"/>
  <pageSetup paperSize="9" orientation="portrait" horizontalDpi="180" verticalDpi="180"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57"/>
  <sheetViews>
    <sheetView topLeftCell="A28" zoomScaleNormal="100" workbookViewId="0">
      <selection activeCell="R48" sqref="R48"/>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2632</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0.45" customHeight="1" thickBot="1" x14ac:dyDescent="0.25">
      <c r="A7" s="211">
        <v>1</v>
      </c>
      <c r="B7" s="191">
        <v>43711</v>
      </c>
      <c r="C7" s="138" t="s">
        <v>2633</v>
      </c>
      <c r="D7" s="138" t="s">
        <v>2646</v>
      </c>
      <c r="E7" s="146" t="s">
        <v>1375</v>
      </c>
      <c r="F7" s="138"/>
      <c r="G7" s="138">
        <v>340</v>
      </c>
      <c r="H7" s="141">
        <f>G7*16330</f>
        <v>5552200</v>
      </c>
      <c r="I7" s="138"/>
      <c r="J7" s="139">
        <v>1150000</v>
      </c>
      <c r="K7" s="141"/>
      <c r="L7" s="150"/>
      <c r="M7" s="141"/>
      <c r="N7" s="141"/>
      <c r="O7" s="139">
        <f>SUM(H7:N7)</f>
        <v>6702200</v>
      </c>
      <c r="P7" s="139">
        <v>4200000</v>
      </c>
      <c r="Q7" s="250">
        <f>P7-O7</f>
        <v>-2502200</v>
      </c>
      <c r="R7" s="240"/>
      <c r="S7" s="215"/>
      <c r="T7" s="215"/>
    </row>
    <row r="8" spans="1:20" s="144" customFormat="1" ht="20.45" customHeight="1" thickBot="1" x14ac:dyDescent="0.25">
      <c r="A8" s="211">
        <v>2</v>
      </c>
      <c r="B8" s="191">
        <v>43712</v>
      </c>
      <c r="C8" s="138" t="s">
        <v>1293</v>
      </c>
      <c r="D8" s="138" t="s">
        <v>2647</v>
      </c>
      <c r="E8" s="146" t="s">
        <v>2668</v>
      </c>
      <c r="F8" s="138"/>
      <c r="G8" s="138"/>
      <c r="H8" s="141"/>
      <c r="I8" s="138"/>
      <c r="J8" s="139">
        <f>1780000-180000</f>
        <v>1600000</v>
      </c>
      <c r="K8" s="141"/>
      <c r="L8" s="150"/>
      <c r="M8" s="141"/>
      <c r="N8" s="141"/>
      <c r="O8" s="139">
        <f t="shared" ref="O8:O45" si="0">SUM(H8:N8)</f>
        <v>1600000</v>
      </c>
      <c r="P8" s="139">
        <v>5520000</v>
      </c>
      <c r="Q8" s="250">
        <f t="shared" ref="Q8:Q45" si="1">P8-O8</f>
        <v>3920000</v>
      </c>
      <c r="R8" s="240"/>
      <c r="S8" s="215"/>
      <c r="T8" s="215"/>
    </row>
    <row r="9" spans="1:20" s="144" customFormat="1" ht="20.45" customHeight="1" thickBot="1" x14ac:dyDescent="0.25">
      <c r="A9" s="211">
        <v>3</v>
      </c>
      <c r="B9" s="191">
        <v>43713</v>
      </c>
      <c r="C9" s="138" t="s">
        <v>604</v>
      </c>
      <c r="D9" s="138" t="s">
        <v>2648</v>
      </c>
      <c r="E9" s="146" t="s">
        <v>2669</v>
      </c>
      <c r="F9" s="138"/>
      <c r="G9" s="138">
        <v>300</v>
      </c>
      <c r="H9" s="141">
        <f t="shared" ref="H9:H16" si="2">G9*16330</f>
        <v>4899000</v>
      </c>
      <c r="I9" s="138"/>
      <c r="J9" s="139">
        <v>1630000</v>
      </c>
      <c r="K9" s="141"/>
      <c r="L9" s="150"/>
      <c r="M9" s="141"/>
      <c r="N9" s="141"/>
      <c r="O9" s="139">
        <f t="shared" si="0"/>
        <v>6529000</v>
      </c>
      <c r="P9" s="139">
        <v>6100000</v>
      </c>
      <c r="Q9" s="250">
        <f t="shared" si="1"/>
        <v>-429000</v>
      </c>
      <c r="R9" s="240"/>
      <c r="S9" s="215"/>
      <c r="T9" s="215"/>
    </row>
    <row r="10" spans="1:20" s="144" customFormat="1" ht="20.45" customHeight="1" thickBot="1" x14ac:dyDescent="0.25">
      <c r="A10" s="211">
        <v>4</v>
      </c>
      <c r="B10" s="191">
        <v>43714</v>
      </c>
      <c r="C10" s="138" t="s">
        <v>1956</v>
      </c>
      <c r="D10" s="138" t="s">
        <v>2649</v>
      </c>
      <c r="E10" s="146" t="s">
        <v>333</v>
      </c>
      <c r="F10" s="138"/>
      <c r="G10" s="138"/>
      <c r="H10" s="141"/>
      <c r="I10" s="138"/>
      <c r="J10" s="139">
        <v>1160000</v>
      </c>
      <c r="K10" s="141"/>
      <c r="L10" s="150"/>
      <c r="M10" s="141"/>
      <c r="N10" s="141"/>
      <c r="O10" s="139">
        <f t="shared" si="0"/>
        <v>1160000</v>
      </c>
      <c r="P10" s="141">
        <v>5000000</v>
      </c>
      <c r="Q10" s="250">
        <f t="shared" si="1"/>
        <v>3840000</v>
      </c>
      <c r="R10" s="240"/>
      <c r="S10" s="215"/>
      <c r="T10" s="215"/>
    </row>
    <row r="11" spans="1:20" s="144" customFormat="1" ht="20.45" customHeight="1" thickBot="1" x14ac:dyDescent="0.25">
      <c r="A11" s="211">
        <v>5</v>
      </c>
      <c r="B11" s="191">
        <v>43715</v>
      </c>
      <c r="C11" s="138" t="s">
        <v>1296</v>
      </c>
      <c r="D11" s="138" t="s">
        <v>2650</v>
      </c>
      <c r="E11" s="146" t="s">
        <v>714</v>
      </c>
      <c r="F11" s="138"/>
      <c r="G11" s="138">
        <v>280</v>
      </c>
      <c r="H11" s="141">
        <f t="shared" si="2"/>
        <v>4572400</v>
      </c>
      <c r="I11" s="138"/>
      <c r="J11" s="139">
        <v>1510000</v>
      </c>
      <c r="K11" s="141"/>
      <c r="L11" s="150"/>
      <c r="M11" s="141"/>
      <c r="N11" s="141"/>
      <c r="O11" s="139">
        <f t="shared" si="0"/>
        <v>6082400</v>
      </c>
      <c r="P11" s="141">
        <v>5600000</v>
      </c>
      <c r="Q11" s="250">
        <f t="shared" si="1"/>
        <v>-482400</v>
      </c>
      <c r="R11" s="240"/>
      <c r="S11" s="215"/>
      <c r="T11" s="215"/>
    </row>
    <row r="12" spans="1:20" s="144" customFormat="1" ht="20.45" customHeight="1" thickBot="1" x14ac:dyDescent="0.25">
      <c r="A12" s="211">
        <v>6</v>
      </c>
      <c r="B12" s="191">
        <v>43717</v>
      </c>
      <c r="C12" s="138" t="s">
        <v>2634</v>
      </c>
      <c r="D12" s="138" t="s">
        <v>2651</v>
      </c>
      <c r="E12" s="146" t="s">
        <v>25</v>
      </c>
      <c r="F12" s="138"/>
      <c r="G12" s="138"/>
      <c r="H12" s="141"/>
      <c r="I12" s="138"/>
      <c r="J12" s="139">
        <v>1890000</v>
      </c>
      <c r="K12" s="141"/>
      <c r="L12" s="150"/>
      <c r="M12" s="141"/>
      <c r="N12" s="141"/>
      <c r="O12" s="139">
        <f t="shared" si="0"/>
        <v>1890000</v>
      </c>
      <c r="P12" s="141">
        <v>8045455</v>
      </c>
      <c r="Q12" s="250">
        <f t="shared" si="1"/>
        <v>6155455</v>
      </c>
      <c r="R12" s="240"/>
      <c r="S12" s="215"/>
      <c r="T12" s="215"/>
    </row>
    <row r="13" spans="1:20" s="144" customFormat="1" ht="20.45" customHeight="1" thickBot="1" x14ac:dyDescent="0.25">
      <c r="A13" s="211">
        <v>7</v>
      </c>
      <c r="B13" s="191">
        <v>43718</v>
      </c>
      <c r="C13" s="138" t="s">
        <v>2635</v>
      </c>
      <c r="D13" s="138" t="s">
        <v>2652</v>
      </c>
      <c r="E13" s="146" t="s">
        <v>654</v>
      </c>
      <c r="F13" s="138"/>
      <c r="G13" s="138">
        <v>310</v>
      </c>
      <c r="H13" s="141">
        <f t="shared" si="2"/>
        <v>5062300</v>
      </c>
      <c r="I13" s="138"/>
      <c r="J13" s="139">
        <v>1160000</v>
      </c>
      <c r="K13" s="141"/>
      <c r="L13" s="150"/>
      <c r="M13" s="141"/>
      <c r="N13" s="141"/>
      <c r="O13" s="139">
        <f t="shared" si="0"/>
        <v>6222300</v>
      </c>
      <c r="P13" s="141">
        <v>5000000</v>
      </c>
      <c r="Q13" s="250">
        <f t="shared" si="1"/>
        <v>-1222300</v>
      </c>
      <c r="R13" s="240"/>
      <c r="S13" s="215"/>
      <c r="T13" s="215"/>
    </row>
    <row r="14" spans="1:20" s="144" customFormat="1" ht="20.45" customHeight="1" thickBot="1" x14ac:dyDescent="0.25">
      <c r="A14" s="211">
        <v>8</v>
      </c>
      <c r="B14" s="191">
        <v>43719</v>
      </c>
      <c r="C14" s="138" t="s">
        <v>1299</v>
      </c>
      <c r="D14" s="138" t="s">
        <v>2653</v>
      </c>
      <c r="E14" s="146" t="s">
        <v>2670</v>
      </c>
      <c r="F14" s="138"/>
      <c r="G14" s="138"/>
      <c r="H14" s="141"/>
      <c r="I14" s="138"/>
      <c r="J14" s="139">
        <v>1270000</v>
      </c>
      <c r="K14" s="141"/>
      <c r="L14" s="150"/>
      <c r="M14" s="141"/>
      <c r="N14" s="141"/>
      <c r="O14" s="139">
        <f t="shared" si="0"/>
        <v>1270000</v>
      </c>
      <c r="P14" s="141">
        <v>5200000</v>
      </c>
      <c r="Q14" s="250">
        <f t="shared" si="1"/>
        <v>3930000</v>
      </c>
      <c r="R14" s="240"/>
      <c r="S14" s="215"/>
      <c r="T14" s="215"/>
    </row>
    <row r="15" spans="1:20" s="144" customFormat="1" ht="20.45" customHeight="1" thickBot="1" x14ac:dyDescent="0.25">
      <c r="A15" s="211">
        <v>9</v>
      </c>
      <c r="B15" s="191">
        <v>43720</v>
      </c>
      <c r="C15" s="138" t="s">
        <v>2636</v>
      </c>
      <c r="D15" s="138" t="s">
        <v>2654</v>
      </c>
      <c r="E15" s="146" t="s">
        <v>894</v>
      </c>
      <c r="F15" s="138"/>
      <c r="G15" s="138"/>
      <c r="H15" s="141"/>
      <c r="I15" s="138"/>
      <c r="J15" s="139">
        <v>790000</v>
      </c>
      <c r="K15" s="141"/>
      <c r="L15" s="150"/>
      <c r="M15" s="141"/>
      <c r="N15" s="141"/>
      <c r="O15" s="139">
        <f t="shared" si="0"/>
        <v>790000</v>
      </c>
      <c r="P15" s="141">
        <v>3100000</v>
      </c>
      <c r="Q15" s="250">
        <f t="shared" si="1"/>
        <v>2310000</v>
      </c>
      <c r="R15" s="240"/>
      <c r="S15" s="215"/>
      <c r="T15" s="215"/>
    </row>
    <row r="16" spans="1:20" s="144" customFormat="1" ht="20.45" customHeight="1" thickBot="1" x14ac:dyDescent="0.25">
      <c r="A16" s="211">
        <v>10</v>
      </c>
      <c r="B16" s="191">
        <v>43721</v>
      </c>
      <c r="C16" s="138" t="s">
        <v>2637</v>
      </c>
      <c r="D16" s="138" t="s">
        <v>2655</v>
      </c>
      <c r="E16" s="146" t="s">
        <v>25</v>
      </c>
      <c r="F16" s="138"/>
      <c r="G16" s="138">
        <v>370</v>
      </c>
      <c r="H16" s="141">
        <f t="shared" si="2"/>
        <v>6042100</v>
      </c>
      <c r="I16" s="138"/>
      <c r="J16" s="139">
        <v>1890000</v>
      </c>
      <c r="K16" s="141"/>
      <c r="L16" s="150"/>
      <c r="M16" s="141"/>
      <c r="N16" s="141"/>
      <c r="O16" s="139">
        <f t="shared" si="0"/>
        <v>7932100</v>
      </c>
      <c r="P16" s="141">
        <v>8045455</v>
      </c>
      <c r="Q16" s="250">
        <f t="shared" si="1"/>
        <v>113355</v>
      </c>
      <c r="R16" s="240"/>
      <c r="S16" s="215"/>
      <c r="T16" s="215"/>
    </row>
    <row r="17" spans="1:20" s="144" customFormat="1" ht="20.45" customHeight="1" thickBot="1" x14ac:dyDescent="0.25">
      <c r="A17" s="211">
        <v>11</v>
      </c>
      <c r="B17" s="191">
        <v>43722</v>
      </c>
      <c r="C17" s="138" t="s">
        <v>2638</v>
      </c>
      <c r="D17" s="138" t="s">
        <v>2656</v>
      </c>
      <c r="E17" s="146" t="s">
        <v>2671</v>
      </c>
      <c r="F17" s="138"/>
      <c r="G17" s="138"/>
      <c r="H17" s="141"/>
      <c r="I17" s="138"/>
      <c r="J17" s="139">
        <v>1240000</v>
      </c>
      <c r="K17" s="141"/>
      <c r="L17" s="150"/>
      <c r="M17" s="141"/>
      <c r="N17" s="141"/>
      <c r="O17" s="139">
        <f t="shared" si="0"/>
        <v>1240000</v>
      </c>
      <c r="P17" s="141">
        <v>6600000</v>
      </c>
      <c r="Q17" s="250">
        <f t="shared" si="1"/>
        <v>5360000</v>
      </c>
      <c r="R17" s="240"/>
      <c r="S17" s="215"/>
      <c r="T17" s="215"/>
    </row>
    <row r="18" spans="1:20" s="144" customFormat="1" ht="20.45" customHeight="1" thickBot="1" x14ac:dyDescent="0.25">
      <c r="A18" s="211">
        <v>12</v>
      </c>
      <c r="B18" s="191">
        <v>43724</v>
      </c>
      <c r="C18" s="138" t="s">
        <v>614</v>
      </c>
      <c r="D18" s="138" t="s">
        <v>2657</v>
      </c>
      <c r="E18" s="146" t="s">
        <v>2672</v>
      </c>
      <c r="F18" s="138"/>
      <c r="G18" s="138"/>
      <c r="H18" s="141"/>
      <c r="I18" s="138"/>
      <c r="J18" s="139">
        <v>1510000</v>
      </c>
      <c r="K18" s="141"/>
      <c r="L18" s="150"/>
      <c r="M18" s="141"/>
      <c r="N18" s="141"/>
      <c r="O18" s="139">
        <f t="shared" si="0"/>
        <v>1510000</v>
      </c>
      <c r="P18" s="141">
        <v>5600000</v>
      </c>
      <c r="Q18" s="250">
        <f t="shared" si="1"/>
        <v>4090000</v>
      </c>
      <c r="R18" s="240"/>
      <c r="S18" s="215"/>
      <c r="T18" s="215"/>
    </row>
    <row r="19" spans="1:20" s="144" customFormat="1" ht="20.45" customHeight="1" thickBot="1" x14ac:dyDescent="0.25">
      <c r="A19" s="211">
        <v>13</v>
      </c>
      <c r="B19" s="191">
        <v>43725</v>
      </c>
      <c r="C19" s="138" t="s">
        <v>2639</v>
      </c>
      <c r="D19" s="138" t="s">
        <v>2658</v>
      </c>
      <c r="E19" s="146" t="s">
        <v>2673</v>
      </c>
      <c r="F19" s="138"/>
      <c r="G19" s="138">
        <v>320</v>
      </c>
      <c r="H19" s="141">
        <f>G19*16200</f>
        <v>5184000</v>
      </c>
      <c r="I19" s="138"/>
      <c r="J19" s="139">
        <v>1510000</v>
      </c>
      <c r="K19" s="141"/>
      <c r="L19" s="150"/>
      <c r="M19" s="141"/>
      <c r="N19" s="141"/>
      <c r="O19" s="139">
        <f t="shared" si="0"/>
        <v>6694000</v>
      </c>
      <c r="P19" s="141">
        <v>5600000</v>
      </c>
      <c r="Q19" s="250">
        <f t="shared" si="1"/>
        <v>-1094000</v>
      </c>
      <c r="R19" s="240"/>
      <c r="S19" s="215"/>
      <c r="T19" s="215"/>
    </row>
    <row r="20" spans="1:20" s="144" customFormat="1" ht="20.45" customHeight="1" thickBot="1" x14ac:dyDescent="0.25">
      <c r="A20" s="211">
        <v>14</v>
      </c>
      <c r="B20" s="191">
        <v>43726</v>
      </c>
      <c r="C20" s="138" t="s">
        <v>2640</v>
      </c>
      <c r="D20" s="138" t="s">
        <v>2659</v>
      </c>
      <c r="E20" s="146" t="s">
        <v>2674</v>
      </c>
      <c r="F20" s="138"/>
      <c r="G20" s="138">
        <v>300</v>
      </c>
      <c r="H20" s="141">
        <f t="shared" ref="H20:H29" si="3">G20*16200</f>
        <v>4860000</v>
      </c>
      <c r="I20" s="138"/>
      <c r="J20" s="139">
        <v>1510000</v>
      </c>
      <c r="K20" s="141"/>
      <c r="L20" s="150"/>
      <c r="M20" s="141"/>
      <c r="N20" s="141"/>
      <c r="O20" s="139">
        <f t="shared" si="0"/>
        <v>6370000</v>
      </c>
      <c r="P20" s="141">
        <v>5600000</v>
      </c>
      <c r="Q20" s="250">
        <f t="shared" si="1"/>
        <v>-770000</v>
      </c>
      <c r="R20" s="240"/>
      <c r="S20" s="215"/>
      <c r="T20" s="215"/>
    </row>
    <row r="21" spans="1:20" s="144" customFormat="1" ht="20.45" customHeight="1" thickBot="1" x14ac:dyDescent="0.25">
      <c r="A21" s="211">
        <v>15</v>
      </c>
      <c r="B21" s="191">
        <v>43727</v>
      </c>
      <c r="C21" s="138" t="s">
        <v>1313</v>
      </c>
      <c r="D21" s="138" t="s">
        <v>2660</v>
      </c>
      <c r="E21" s="146" t="s">
        <v>2592</v>
      </c>
      <c r="F21" s="138"/>
      <c r="G21" s="138"/>
      <c r="H21" s="141"/>
      <c r="I21" s="138"/>
      <c r="J21" s="139">
        <f>790000+300000</f>
        <v>1090000</v>
      </c>
      <c r="K21" s="141"/>
      <c r="L21" s="150"/>
      <c r="M21" s="141"/>
      <c r="N21" s="141"/>
      <c r="O21" s="139">
        <f t="shared" si="0"/>
        <v>1090000</v>
      </c>
      <c r="P21" s="141">
        <v>3136364</v>
      </c>
      <c r="Q21" s="250">
        <f t="shared" si="1"/>
        <v>2046364</v>
      </c>
      <c r="R21" s="240"/>
      <c r="S21" s="215"/>
      <c r="T21" s="215"/>
    </row>
    <row r="22" spans="1:20" s="144" customFormat="1" ht="20.45" customHeight="1" thickBot="1" x14ac:dyDescent="0.25">
      <c r="A22" s="211">
        <v>16</v>
      </c>
      <c r="B22" s="191">
        <v>43727</v>
      </c>
      <c r="C22" s="138" t="s">
        <v>2641</v>
      </c>
      <c r="D22" s="138" t="s">
        <v>2660</v>
      </c>
      <c r="E22" s="146" t="s">
        <v>2593</v>
      </c>
      <c r="F22" s="138"/>
      <c r="G22" s="138"/>
      <c r="H22" s="141"/>
      <c r="I22" s="138"/>
      <c r="J22" s="139"/>
      <c r="K22" s="141"/>
      <c r="L22" s="150"/>
      <c r="M22" s="141"/>
      <c r="N22" s="141"/>
      <c r="O22" s="139">
        <f t="shared" si="0"/>
        <v>0</v>
      </c>
      <c r="P22" s="141">
        <v>1181818</v>
      </c>
      <c r="Q22" s="250">
        <f t="shared" si="1"/>
        <v>1181818</v>
      </c>
      <c r="R22" s="240"/>
      <c r="S22" s="215"/>
      <c r="T22" s="215"/>
    </row>
    <row r="23" spans="1:20" s="144" customFormat="1" ht="20.45" customHeight="1" thickBot="1" x14ac:dyDescent="0.25">
      <c r="A23" s="211">
        <v>17</v>
      </c>
      <c r="B23" s="191">
        <v>43728</v>
      </c>
      <c r="C23" s="138" t="s">
        <v>616</v>
      </c>
      <c r="D23" s="138" t="s">
        <v>2661</v>
      </c>
      <c r="E23" s="146" t="s">
        <v>2675</v>
      </c>
      <c r="F23" s="138"/>
      <c r="G23" s="138"/>
      <c r="H23" s="141"/>
      <c r="I23" s="138"/>
      <c r="J23" s="139">
        <v>1060000</v>
      </c>
      <c r="K23" s="141"/>
      <c r="L23" s="150"/>
      <c r="M23" s="141"/>
      <c r="N23" s="141"/>
      <c r="O23" s="139">
        <f t="shared" si="0"/>
        <v>1060000</v>
      </c>
      <c r="P23" s="141">
        <v>5000000</v>
      </c>
      <c r="Q23" s="250">
        <f t="shared" si="1"/>
        <v>3940000</v>
      </c>
      <c r="R23" s="240"/>
      <c r="S23" s="215"/>
      <c r="T23" s="215"/>
    </row>
    <row r="24" spans="1:20" s="144" customFormat="1" ht="20.45" customHeight="1" thickBot="1" x14ac:dyDescent="0.25">
      <c r="A24" s="211">
        <v>18</v>
      </c>
      <c r="B24" s="191">
        <v>43729</v>
      </c>
      <c r="C24" s="138" t="s">
        <v>1315</v>
      </c>
      <c r="D24" s="138" t="s">
        <v>2662</v>
      </c>
      <c r="E24" s="146" t="s">
        <v>894</v>
      </c>
      <c r="F24" s="138"/>
      <c r="G24" s="138">
        <v>295</v>
      </c>
      <c r="H24" s="141">
        <f t="shared" si="3"/>
        <v>4779000</v>
      </c>
      <c r="I24" s="138"/>
      <c r="J24" s="139">
        <v>790000</v>
      </c>
      <c r="K24" s="141"/>
      <c r="L24" s="150"/>
      <c r="M24" s="141"/>
      <c r="N24" s="141"/>
      <c r="O24" s="139">
        <f t="shared" si="0"/>
        <v>5569000</v>
      </c>
      <c r="P24" s="141">
        <v>3700000</v>
      </c>
      <c r="Q24" s="250">
        <f t="shared" si="1"/>
        <v>-1869000</v>
      </c>
      <c r="R24" s="240"/>
      <c r="S24" s="215"/>
      <c r="T24" s="215"/>
    </row>
    <row r="25" spans="1:20" s="144" customFormat="1" ht="20.45" customHeight="1" thickBot="1" x14ac:dyDescent="0.25">
      <c r="A25" s="211">
        <v>19</v>
      </c>
      <c r="B25" s="191">
        <v>43731</v>
      </c>
      <c r="C25" s="138" t="s">
        <v>2642</v>
      </c>
      <c r="D25" s="138" t="s">
        <v>2663</v>
      </c>
      <c r="E25" s="146" t="s">
        <v>2499</v>
      </c>
      <c r="F25" s="138"/>
      <c r="G25" s="138"/>
      <c r="H25" s="141"/>
      <c r="I25" s="138"/>
      <c r="J25" s="139">
        <v>790000</v>
      </c>
      <c r="K25" s="141"/>
      <c r="L25" s="150"/>
      <c r="M25" s="141"/>
      <c r="N25" s="141"/>
      <c r="O25" s="139">
        <f t="shared" si="0"/>
        <v>790000</v>
      </c>
      <c r="P25" s="141">
        <v>3600000</v>
      </c>
      <c r="Q25" s="250">
        <f t="shared" si="1"/>
        <v>2810000</v>
      </c>
      <c r="R25" s="240"/>
      <c r="S25" s="215"/>
      <c r="T25" s="215"/>
    </row>
    <row r="26" spans="1:20" s="144" customFormat="1" ht="20.45" customHeight="1" thickBot="1" x14ac:dyDescent="0.25">
      <c r="A26" s="211">
        <v>20</v>
      </c>
      <c r="B26" s="191">
        <v>43732</v>
      </c>
      <c r="C26" s="138" t="s">
        <v>2643</v>
      </c>
      <c r="D26" s="138" t="s">
        <v>2664</v>
      </c>
      <c r="E26" s="146" t="s">
        <v>23</v>
      </c>
      <c r="F26" s="138"/>
      <c r="G26" s="138">
        <v>330</v>
      </c>
      <c r="H26" s="141">
        <f t="shared" si="3"/>
        <v>5346000</v>
      </c>
      <c r="I26" s="138"/>
      <c r="J26" s="139">
        <v>2740000</v>
      </c>
      <c r="K26" s="141"/>
      <c r="L26" s="150"/>
      <c r="M26" s="141"/>
      <c r="N26" s="141"/>
      <c r="O26" s="139">
        <f t="shared" si="0"/>
        <v>8086000</v>
      </c>
      <c r="P26" s="141">
        <v>12181818</v>
      </c>
      <c r="Q26" s="250">
        <f t="shared" si="1"/>
        <v>4095818</v>
      </c>
      <c r="R26" s="240"/>
      <c r="S26" s="215"/>
      <c r="T26" s="215"/>
    </row>
    <row r="27" spans="1:20" s="144" customFormat="1" ht="20.45" customHeight="1" thickBot="1" x14ac:dyDescent="0.25">
      <c r="A27" s="211">
        <v>21</v>
      </c>
      <c r="B27" s="191">
        <v>43734</v>
      </c>
      <c r="C27" s="138" t="s">
        <v>1968</v>
      </c>
      <c r="D27" s="138" t="s">
        <v>2665</v>
      </c>
      <c r="E27" s="146" t="s">
        <v>2676</v>
      </c>
      <c r="F27" s="138"/>
      <c r="G27" s="138"/>
      <c r="H27" s="141"/>
      <c r="I27" s="138"/>
      <c r="J27" s="139">
        <v>1510000</v>
      </c>
      <c r="K27" s="141"/>
      <c r="L27" s="150"/>
      <c r="M27" s="141"/>
      <c r="N27" s="141"/>
      <c r="O27" s="139">
        <f t="shared" si="0"/>
        <v>1510000</v>
      </c>
      <c r="P27" s="141">
        <v>6300000</v>
      </c>
      <c r="Q27" s="250">
        <f t="shared" si="1"/>
        <v>4790000</v>
      </c>
      <c r="R27" s="240"/>
      <c r="S27" s="215"/>
      <c r="T27" s="215"/>
    </row>
    <row r="28" spans="1:20" s="144" customFormat="1" ht="20.45" customHeight="1" thickBot="1" x14ac:dyDescent="0.25">
      <c r="A28" s="211">
        <v>22</v>
      </c>
      <c r="B28" s="191">
        <v>43735</v>
      </c>
      <c r="C28" s="138" t="s">
        <v>2644</v>
      </c>
      <c r="D28" s="138" t="s">
        <v>931</v>
      </c>
      <c r="E28" s="146" t="s">
        <v>2592</v>
      </c>
      <c r="F28" s="138"/>
      <c r="G28" s="138"/>
      <c r="H28" s="141"/>
      <c r="I28" s="138"/>
      <c r="J28" s="139">
        <v>790000</v>
      </c>
      <c r="K28" s="141"/>
      <c r="L28" s="150"/>
      <c r="M28" s="141"/>
      <c r="N28" s="141"/>
      <c r="O28" s="139">
        <f t="shared" si="0"/>
        <v>790000</v>
      </c>
      <c r="P28" s="141">
        <v>3136364</v>
      </c>
      <c r="Q28" s="250">
        <f t="shared" si="1"/>
        <v>2346364</v>
      </c>
      <c r="R28" s="240"/>
      <c r="S28" s="215"/>
      <c r="T28" s="215"/>
    </row>
    <row r="29" spans="1:20" s="144" customFormat="1" ht="20.45" customHeight="1" thickBot="1" x14ac:dyDescent="0.25">
      <c r="A29" s="211">
        <v>23</v>
      </c>
      <c r="B29" s="191">
        <v>43736</v>
      </c>
      <c r="C29" s="138" t="s">
        <v>2645</v>
      </c>
      <c r="D29" s="138" t="s">
        <v>2666</v>
      </c>
      <c r="E29" s="146" t="s">
        <v>333</v>
      </c>
      <c r="F29" s="138"/>
      <c r="G29" s="138">
        <v>370</v>
      </c>
      <c r="H29" s="141">
        <f t="shared" si="3"/>
        <v>5994000</v>
      </c>
      <c r="I29" s="138"/>
      <c r="J29" s="139">
        <v>1160000</v>
      </c>
      <c r="K29" s="141"/>
      <c r="L29" s="150"/>
      <c r="M29" s="141"/>
      <c r="N29" s="141"/>
      <c r="O29" s="139">
        <f t="shared" si="0"/>
        <v>7154000</v>
      </c>
      <c r="P29" s="141">
        <v>5000000</v>
      </c>
      <c r="Q29" s="250">
        <f t="shared" si="1"/>
        <v>-2154000</v>
      </c>
      <c r="R29" s="240"/>
      <c r="S29" s="215"/>
      <c r="T29" s="215"/>
    </row>
    <row r="30" spans="1:20" s="144" customFormat="1" ht="20.45" customHeight="1" x14ac:dyDescent="0.2">
      <c r="A30" s="211">
        <v>24</v>
      </c>
      <c r="B30" s="232">
        <v>43738</v>
      </c>
      <c r="C30" s="138" t="s">
        <v>626</v>
      </c>
      <c r="D30" s="138" t="s">
        <v>2667</v>
      </c>
      <c r="E30" s="146" t="s">
        <v>2675</v>
      </c>
      <c r="F30" s="138"/>
      <c r="G30" s="138"/>
      <c r="H30" s="141"/>
      <c r="I30" s="138"/>
      <c r="J30" s="139">
        <v>1160000</v>
      </c>
      <c r="K30" s="141"/>
      <c r="L30" s="150"/>
      <c r="M30" s="141"/>
      <c r="N30" s="141"/>
      <c r="O30" s="139">
        <f>SUM(H30:N30)</f>
        <v>1160000</v>
      </c>
      <c r="P30" s="141">
        <v>5000000</v>
      </c>
      <c r="Q30" s="250">
        <f>P30-O30</f>
        <v>3840000</v>
      </c>
      <c r="R30" s="217"/>
      <c r="S30" s="215"/>
      <c r="T30" s="215"/>
    </row>
    <row r="31" spans="1:20" s="144" customFormat="1" ht="20.45" customHeight="1" x14ac:dyDescent="0.2">
      <c r="A31" s="211"/>
      <c r="B31" s="232"/>
      <c r="C31" s="265" t="s">
        <v>2686</v>
      </c>
      <c r="D31" s="277"/>
      <c r="E31" s="278"/>
      <c r="F31" s="279"/>
      <c r="G31" s="138"/>
      <c r="H31" s="141"/>
      <c r="I31" s="138"/>
      <c r="J31" s="139"/>
      <c r="K31" s="141"/>
      <c r="L31" s="185">
        <v>3200000</v>
      </c>
      <c r="M31" s="141"/>
      <c r="N31" s="141"/>
      <c r="O31" s="139">
        <f>SUM(H31:N31)</f>
        <v>3200000</v>
      </c>
      <c r="P31" s="141"/>
      <c r="Q31" s="250">
        <f>P31-O31</f>
        <v>-3200000</v>
      </c>
      <c r="R31" s="217"/>
      <c r="S31" s="215"/>
      <c r="T31" s="215"/>
    </row>
    <row r="32" spans="1:20" s="144" customFormat="1" ht="20.45" customHeight="1" x14ac:dyDescent="0.2">
      <c r="A32" s="211"/>
      <c r="B32" s="232"/>
      <c r="C32" s="437" t="s">
        <v>2677</v>
      </c>
      <c r="D32" s="438"/>
      <c r="E32" s="438"/>
      <c r="F32" s="439"/>
      <c r="G32" s="220"/>
      <c r="H32" s="219"/>
      <c r="I32" s="220"/>
      <c r="J32" s="157"/>
      <c r="K32" s="157"/>
      <c r="L32" s="185">
        <v>1250000</v>
      </c>
      <c r="M32" s="141"/>
      <c r="N32" s="157"/>
      <c r="O32" s="139">
        <f t="shared" si="0"/>
        <v>1250000</v>
      </c>
      <c r="P32" s="139"/>
      <c r="Q32" s="250">
        <f t="shared" si="1"/>
        <v>-1250000</v>
      </c>
      <c r="R32" s="217"/>
      <c r="S32" s="215"/>
      <c r="T32" s="215"/>
    </row>
    <row r="33" spans="1:20" s="144" customFormat="1" ht="20.45" customHeight="1" x14ac:dyDescent="0.2">
      <c r="A33" s="211"/>
      <c r="C33" s="437" t="s">
        <v>2678</v>
      </c>
      <c r="D33" s="438"/>
      <c r="E33" s="438"/>
      <c r="F33" s="439"/>
      <c r="G33" s="138"/>
      <c r="H33" s="139"/>
      <c r="I33" s="138"/>
      <c r="J33" s="141"/>
      <c r="K33" s="141"/>
      <c r="L33" s="219"/>
      <c r="M33" s="185">
        <v>5800000</v>
      </c>
      <c r="N33" s="157"/>
      <c r="O33" s="139">
        <f t="shared" si="0"/>
        <v>5800000</v>
      </c>
      <c r="P33" s="139"/>
      <c r="Q33" s="250">
        <f t="shared" si="1"/>
        <v>-5800000</v>
      </c>
      <c r="R33" s="217"/>
      <c r="S33" s="215"/>
      <c r="T33" s="215"/>
    </row>
    <row r="34" spans="1:20" s="144" customFormat="1" ht="20.45" customHeight="1" x14ac:dyDescent="0.2">
      <c r="A34" s="211"/>
      <c r="C34" s="437" t="s">
        <v>2679</v>
      </c>
      <c r="D34" s="438"/>
      <c r="E34" s="438"/>
      <c r="F34" s="439"/>
      <c r="G34" s="138"/>
      <c r="H34" s="139"/>
      <c r="I34" s="138"/>
      <c r="J34" s="141"/>
      <c r="K34" s="157"/>
      <c r="L34" s="185">
        <v>1800000</v>
      </c>
      <c r="M34" s="157"/>
      <c r="N34" s="157"/>
      <c r="O34" s="139">
        <f t="shared" si="0"/>
        <v>1800000</v>
      </c>
      <c r="P34" s="139"/>
      <c r="Q34" s="250">
        <f t="shared" si="1"/>
        <v>-1800000</v>
      </c>
      <c r="R34" s="217"/>
      <c r="S34" s="215"/>
      <c r="T34" s="215"/>
    </row>
    <row r="35" spans="1:20" s="144" customFormat="1" ht="20.45" customHeight="1" x14ac:dyDescent="0.2">
      <c r="A35" s="211"/>
      <c r="C35" s="443" t="s">
        <v>2680</v>
      </c>
      <c r="D35" s="444"/>
      <c r="E35" s="444"/>
      <c r="F35" s="445"/>
      <c r="G35" s="138"/>
      <c r="H35" s="139"/>
      <c r="I35" s="138"/>
      <c r="J35" s="141"/>
      <c r="K35" s="157"/>
      <c r="L35" s="185">
        <v>100000</v>
      </c>
      <c r="M35" s="157"/>
      <c r="N35" s="157"/>
      <c r="O35" s="139">
        <f t="shared" si="0"/>
        <v>100000</v>
      </c>
      <c r="P35" s="139"/>
      <c r="Q35" s="250">
        <f t="shared" si="1"/>
        <v>-100000</v>
      </c>
      <c r="R35" s="217"/>
      <c r="S35" s="215"/>
      <c r="T35" s="215"/>
    </row>
    <row r="36" spans="1:20" s="144" customFormat="1" ht="20.45" customHeight="1" x14ac:dyDescent="0.2">
      <c r="A36" s="211"/>
      <c r="C36" s="443" t="s">
        <v>2681</v>
      </c>
      <c r="D36" s="444"/>
      <c r="E36" s="444"/>
      <c r="F36" s="445"/>
      <c r="G36" s="138"/>
      <c r="H36" s="139"/>
      <c r="I36" s="138"/>
      <c r="J36" s="141"/>
      <c r="K36" s="157"/>
      <c r="L36" s="185">
        <v>1000000</v>
      </c>
      <c r="M36" s="157"/>
      <c r="N36" s="157"/>
      <c r="O36" s="139">
        <f t="shared" si="0"/>
        <v>1000000</v>
      </c>
      <c r="P36" s="139"/>
      <c r="Q36" s="250">
        <f t="shared" si="1"/>
        <v>-1000000</v>
      </c>
      <c r="R36" s="217"/>
      <c r="S36" s="215"/>
      <c r="T36" s="215"/>
    </row>
    <row r="37" spans="1:20" s="144" customFormat="1" ht="20.45" customHeight="1" x14ac:dyDescent="0.2">
      <c r="A37" s="211"/>
      <c r="C37" s="443" t="s">
        <v>2681</v>
      </c>
      <c r="D37" s="444"/>
      <c r="E37" s="444"/>
      <c r="F37" s="445"/>
      <c r="G37" s="138"/>
      <c r="H37" s="139"/>
      <c r="I37" s="138"/>
      <c r="J37" s="141"/>
      <c r="K37" s="157"/>
      <c r="L37" s="185">
        <v>200000</v>
      </c>
      <c r="M37" s="157"/>
      <c r="N37" s="157"/>
      <c r="O37" s="139">
        <f t="shared" si="0"/>
        <v>200000</v>
      </c>
      <c r="P37" s="139"/>
      <c r="Q37" s="250">
        <f t="shared" si="1"/>
        <v>-200000</v>
      </c>
      <c r="R37" s="217"/>
      <c r="S37" s="215"/>
      <c r="T37" s="215"/>
    </row>
    <row r="38" spans="1:20" s="144" customFormat="1" ht="20.45" customHeight="1" x14ac:dyDescent="0.2">
      <c r="A38" s="211"/>
      <c r="C38" s="443" t="s">
        <v>2682</v>
      </c>
      <c r="D38" s="444"/>
      <c r="E38" s="444"/>
      <c r="F38" s="445"/>
      <c r="G38" s="138"/>
      <c r="H38" s="139"/>
      <c r="I38" s="138"/>
      <c r="J38" s="141"/>
      <c r="K38" s="157"/>
      <c r="L38" s="185">
        <v>150000</v>
      </c>
      <c r="M38" s="157"/>
      <c r="N38" s="157"/>
      <c r="O38" s="139">
        <f t="shared" si="0"/>
        <v>150000</v>
      </c>
      <c r="P38" s="139"/>
      <c r="Q38" s="250">
        <f t="shared" si="1"/>
        <v>-150000</v>
      </c>
      <c r="R38" s="217"/>
      <c r="S38" s="215"/>
      <c r="T38" s="215"/>
    </row>
    <row r="39" spans="1:20" s="144" customFormat="1" ht="28.5" customHeight="1" x14ac:dyDescent="0.2">
      <c r="A39" s="211"/>
      <c r="C39" s="443" t="s">
        <v>2683</v>
      </c>
      <c r="D39" s="444"/>
      <c r="E39" s="444"/>
      <c r="F39" s="445"/>
      <c r="G39" s="138"/>
      <c r="H39" s="139"/>
      <c r="I39" s="138"/>
      <c r="J39" s="141"/>
      <c r="K39" s="157"/>
      <c r="L39" s="185">
        <v>3170000</v>
      </c>
      <c r="M39" s="157"/>
      <c r="N39" s="157"/>
      <c r="O39" s="139">
        <f t="shared" si="0"/>
        <v>3170000</v>
      </c>
      <c r="P39" s="139"/>
      <c r="Q39" s="250">
        <f t="shared" si="1"/>
        <v>-3170000</v>
      </c>
      <c r="R39" s="217"/>
      <c r="S39" s="215"/>
      <c r="T39" s="215"/>
    </row>
    <row r="40" spans="1:20" s="144" customFormat="1" ht="20.45" customHeight="1" x14ac:dyDescent="0.2">
      <c r="A40" s="211"/>
      <c r="C40" s="443" t="s">
        <v>2684</v>
      </c>
      <c r="D40" s="444"/>
      <c r="E40" s="444"/>
      <c r="F40" s="445"/>
      <c r="G40" s="138"/>
      <c r="H40" s="139"/>
      <c r="I40" s="138"/>
      <c r="J40" s="141"/>
      <c r="K40" s="157"/>
      <c r="L40" s="219"/>
      <c r="M40" s="185">
        <v>10400000</v>
      </c>
      <c r="N40" s="157"/>
      <c r="O40" s="139">
        <f t="shared" si="0"/>
        <v>10400000</v>
      </c>
      <c r="P40" s="139"/>
      <c r="Q40" s="250">
        <f t="shared" si="1"/>
        <v>-10400000</v>
      </c>
      <c r="R40" s="217"/>
      <c r="S40" s="215"/>
      <c r="T40" s="215"/>
    </row>
    <row r="41" spans="1:20" s="144" customFormat="1" ht="20.45" customHeight="1" x14ac:dyDescent="0.2">
      <c r="A41" s="211"/>
      <c r="C41" s="443" t="s">
        <v>2687</v>
      </c>
      <c r="D41" s="444"/>
      <c r="E41" s="444"/>
      <c r="F41" s="445"/>
      <c r="G41" s="138"/>
      <c r="H41" s="139"/>
      <c r="I41" s="138"/>
      <c r="J41" s="141"/>
      <c r="K41" s="157"/>
      <c r="L41" s="219"/>
      <c r="M41" s="185">
        <f>11900000/4</f>
        <v>2975000</v>
      </c>
      <c r="N41" s="157"/>
      <c r="O41" s="139">
        <f t="shared" si="0"/>
        <v>2975000</v>
      </c>
      <c r="P41" s="139"/>
      <c r="Q41" s="250">
        <f t="shared" si="1"/>
        <v>-2975000</v>
      </c>
      <c r="R41" s="217"/>
      <c r="S41" s="215"/>
      <c r="T41" s="215"/>
    </row>
    <row r="42" spans="1:20" s="144" customFormat="1" ht="20.45" customHeight="1" x14ac:dyDescent="0.2">
      <c r="A42" s="211"/>
      <c r="C42" s="281" t="s">
        <v>1089</v>
      </c>
      <c r="D42" s="282"/>
      <c r="E42" s="282"/>
      <c r="F42" s="283"/>
      <c r="G42" s="138"/>
      <c r="H42" s="139"/>
      <c r="I42" s="138"/>
      <c r="J42" s="141"/>
      <c r="K42" s="157"/>
      <c r="L42" s="219"/>
      <c r="M42" s="157"/>
      <c r="N42" s="185">
        <v>620000</v>
      </c>
      <c r="O42" s="139">
        <f t="shared" si="0"/>
        <v>620000</v>
      </c>
      <c r="P42" s="139"/>
      <c r="Q42" s="250">
        <f t="shared" si="1"/>
        <v>-620000</v>
      </c>
      <c r="R42" s="217"/>
      <c r="S42" s="215"/>
      <c r="T42" s="215"/>
    </row>
    <row r="43" spans="1:20" s="144" customFormat="1" ht="20.45" customHeight="1" x14ac:dyDescent="0.2">
      <c r="A43" s="211"/>
      <c r="C43" s="281" t="s">
        <v>2685</v>
      </c>
      <c r="D43" s="282"/>
      <c r="E43" s="282"/>
      <c r="F43" s="283"/>
      <c r="G43" s="138"/>
      <c r="H43" s="139"/>
      <c r="I43" s="138"/>
      <c r="J43" s="141"/>
      <c r="K43" s="157"/>
      <c r="L43" s="219"/>
      <c r="M43" s="157"/>
      <c r="N43" s="185">
        <v>650000</v>
      </c>
      <c r="O43" s="139">
        <f t="shared" si="0"/>
        <v>650000</v>
      </c>
      <c r="P43" s="139"/>
      <c r="Q43" s="250">
        <f t="shared" si="1"/>
        <v>-650000</v>
      </c>
      <c r="R43" s="217"/>
      <c r="S43" s="215"/>
      <c r="T43" s="215"/>
    </row>
    <row r="44" spans="1:20" s="159" customFormat="1" ht="20.45" customHeight="1" x14ac:dyDescent="0.25">
      <c r="A44" s="211"/>
      <c r="B44" s="165"/>
      <c r="C44" s="440" t="s">
        <v>1337</v>
      </c>
      <c r="D44" s="441"/>
      <c r="E44" s="441"/>
      <c r="F44" s="442"/>
      <c r="G44" s="195"/>
      <c r="H44" s="155"/>
      <c r="I44" s="195"/>
      <c r="J44" s="155"/>
      <c r="K44" s="233">
        <v>8307692</v>
      </c>
      <c r="L44" s="155"/>
      <c r="M44" s="155"/>
      <c r="N44" s="155"/>
      <c r="O44" s="139">
        <f t="shared" si="0"/>
        <v>8307692</v>
      </c>
      <c r="P44" s="139"/>
      <c r="Q44" s="250">
        <f t="shared" si="1"/>
        <v>-8307692</v>
      </c>
      <c r="S44" s="215"/>
      <c r="T44" s="215"/>
    </row>
    <row r="45" spans="1:20" s="159" customFormat="1" ht="20.45" customHeight="1" x14ac:dyDescent="0.25">
      <c r="A45" s="211"/>
      <c r="B45" s="203"/>
      <c r="C45" s="434" t="s">
        <v>1094</v>
      </c>
      <c r="D45" s="435"/>
      <c r="E45" s="435"/>
      <c r="F45" s="436"/>
      <c r="G45" s="153"/>
      <c r="H45" s="156"/>
      <c r="I45" s="153"/>
      <c r="J45" s="156"/>
      <c r="K45" s="204">
        <f>1200000*1.1</f>
        <v>1320000</v>
      </c>
      <c r="L45" s="204"/>
      <c r="M45" s="156"/>
      <c r="N45" s="156"/>
      <c r="O45" s="139">
        <f t="shared" si="0"/>
        <v>1320000</v>
      </c>
      <c r="P45" s="139"/>
      <c r="Q45" s="250">
        <f t="shared" si="1"/>
        <v>-1320000</v>
      </c>
      <c r="R45" s="186"/>
      <c r="S45" s="215"/>
      <c r="T45" s="215"/>
    </row>
    <row r="46" spans="1:20" ht="20.45" customHeight="1" x14ac:dyDescent="0.25">
      <c r="A46" s="426" t="s">
        <v>20</v>
      </c>
      <c r="B46" s="426"/>
      <c r="C46" s="426"/>
      <c r="D46" s="426"/>
      <c r="E46" s="426"/>
      <c r="F46" s="426"/>
      <c r="G46" s="161">
        <f t="shared" ref="G46:Q46" si="4">SUM(G7:G45)</f>
        <v>3215</v>
      </c>
      <c r="H46" s="161">
        <f t="shared" si="4"/>
        <v>52291000</v>
      </c>
      <c r="I46" s="161">
        <f t="shared" si="4"/>
        <v>0</v>
      </c>
      <c r="J46" s="161">
        <f t="shared" si="4"/>
        <v>30910000</v>
      </c>
      <c r="K46" s="161">
        <f t="shared" si="4"/>
        <v>9627692</v>
      </c>
      <c r="L46" s="161">
        <f t="shared" si="4"/>
        <v>10870000</v>
      </c>
      <c r="M46" s="161">
        <f t="shared" si="4"/>
        <v>19175000</v>
      </c>
      <c r="N46" s="161">
        <f t="shared" si="4"/>
        <v>1270000</v>
      </c>
      <c r="O46" s="161">
        <f t="shared" si="4"/>
        <v>124143692</v>
      </c>
      <c r="P46" s="161">
        <f t="shared" si="4"/>
        <v>127447274</v>
      </c>
      <c r="Q46" s="161">
        <f t="shared" si="4"/>
        <v>3303582</v>
      </c>
      <c r="R46" s="187"/>
      <c r="S46" s="189"/>
    </row>
    <row r="47" spans="1:20" ht="24.95" customHeight="1" x14ac:dyDescent="0.25">
      <c r="O47" s="158"/>
      <c r="Q47" s="158">
        <f>P46-O46</f>
        <v>3303582</v>
      </c>
    </row>
    <row r="48" spans="1:20" ht="24.95" customHeight="1" x14ac:dyDescent="0.25">
      <c r="P48" s="216" t="s">
        <v>1603</v>
      </c>
      <c r="Q48" s="227">
        <f>'8.2019'!Q43+'9.2019'!Q46</f>
        <v>184328199.30769229</v>
      </c>
    </row>
    <row r="49" spans="1:17" ht="24.95" customHeight="1" x14ac:dyDescent="0.25">
      <c r="B49" s="129"/>
      <c r="H49" s="128"/>
      <c r="J49" s="128"/>
      <c r="K49" s="128"/>
      <c r="L49" s="128"/>
      <c r="M49" s="128"/>
      <c r="N49" s="128"/>
      <c r="O49" s="128"/>
      <c r="P49" s="218"/>
      <c r="Q49" s="216"/>
    </row>
    <row r="50" spans="1:17" ht="24.95" customHeight="1" x14ac:dyDescent="0.25">
      <c r="B50" s="129"/>
      <c r="H50" s="128"/>
      <c r="J50" s="128"/>
      <c r="K50" s="128"/>
      <c r="L50" s="128"/>
      <c r="M50" s="128"/>
      <c r="N50" s="128"/>
      <c r="O50" s="128"/>
      <c r="P50" s="218"/>
      <c r="Q50" s="230"/>
    </row>
    <row r="51" spans="1:17" ht="24.95" customHeight="1" x14ac:dyDescent="0.25">
      <c r="B51" s="129"/>
      <c r="H51" s="128"/>
      <c r="J51" s="128"/>
      <c r="K51" s="128"/>
      <c r="L51" s="128"/>
      <c r="M51" s="128"/>
      <c r="N51" s="128"/>
      <c r="O51" s="128"/>
      <c r="P51" s="218"/>
      <c r="Q51" s="230"/>
    </row>
    <row r="52" spans="1:17" ht="24.95" customHeight="1" x14ac:dyDescent="0.25">
      <c r="B52" s="129"/>
      <c r="H52" s="128"/>
      <c r="J52" s="128"/>
      <c r="K52" s="128"/>
      <c r="L52" s="128"/>
      <c r="M52" s="128"/>
      <c r="N52" s="128"/>
      <c r="O52" s="128"/>
      <c r="P52" s="218"/>
      <c r="Q52" s="216"/>
    </row>
    <row r="53" spans="1:17" x14ac:dyDescent="0.25">
      <c r="B53" s="129"/>
      <c r="H53" s="128"/>
      <c r="J53" s="128"/>
      <c r="K53" s="128"/>
      <c r="L53" s="128"/>
      <c r="M53" s="128"/>
      <c r="N53" s="128"/>
      <c r="O53" s="128"/>
      <c r="P53" s="218"/>
      <c r="Q53" s="216"/>
    </row>
    <row r="54" spans="1:17" x14ac:dyDescent="0.25">
      <c r="A54" s="128"/>
      <c r="B54" s="129"/>
      <c r="H54" s="128"/>
      <c r="J54" s="128"/>
      <c r="K54" s="128"/>
      <c r="L54" s="128"/>
      <c r="M54" s="128"/>
      <c r="N54" s="128"/>
      <c r="O54" s="128"/>
      <c r="P54" s="218"/>
      <c r="Q54" s="216"/>
    </row>
    <row r="55" spans="1:17" x14ac:dyDescent="0.25">
      <c r="A55" s="128"/>
      <c r="B55" s="129"/>
      <c r="H55" s="128"/>
      <c r="J55" s="128"/>
      <c r="K55" s="128"/>
      <c r="L55" s="128"/>
      <c r="M55" s="128"/>
      <c r="N55" s="128"/>
      <c r="O55" s="128"/>
      <c r="P55" s="128"/>
      <c r="Q55" s="216"/>
    </row>
    <row r="56" spans="1:17" x14ac:dyDescent="0.25">
      <c r="A56" s="128"/>
      <c r="B56" s="128"/>
      <c r="H56" s="128"/>
      <c r="J56" s="128"/>
      <c r="K56" s="128"/>
      <c r="L56" s="128"/>
      <c r="M56" s="128"/>
      <c r="N56" s="128"/>
      <c r="O56" s="128"/>
      <c r="P56" s="128"/>
      <c r="Q56" s="216"/>
    </row>
    <row r="57" spans="1:17" x14ac:dyDescent="0.25">
      <c r="A57" s="128"/>
      <c r="B57" s="128"/>
      <c r="H57" s="128"/>
      <c r="J57" s="128"/>
      <c r="K57" s="128"/>
      <c r="L57" s="128"/>
      <c r="M57" s="128"/>
      <c r="N57" s="128"/>
      <c r="O57" s="128"/>
      <c r="P57" s="128"/>
      <c r="Q57" s="216"/>
    </row>
  </sheetData>
  <mergeCells count="26">
    <mergeCell ref="C34:F34"/>
    <mergeCell ref="A1:Q1"/>
    <mergeCell ref="A2:Q2"/>
    <mergeCell ref="B3:Q3"/>
    <mergeCell ref="A5:A6"/>
    <mergeCell ref="B5:B6"/>
    <mergeCell ref="C5:C6"/>
    <mergeCell ref="D5:D6"/>
    <mergeCell ref="E5:E6"/>
    <mergeCell ref="F5:F6"/>
    <mergeCell ref="G5:N5"/>
    <mergeCell ref="O5:O6"/>
    <mergeCell ref="P5:P6"/>
    <mergeCell ref="Q5:Q6"/>
    <mergeCell ref="C32:F32"/>
    <mergeCell ref="C33:F33"/>
    <mergeCell ref="C44:F44"/>
    <mergeCell ref="C45:F45"/>
    <mergeCell ref="A46:F46"/>
    <mergeCell ref="C35:F35"/>
    <mergeCell ref="C36:F36"/>
    <mergeCell ref="C37:F37"/>
    <mergeCell ref="C38:F38"/>
    <mergeCell ref="C39:F39"/>
    <mergeCell ref="C40:F40"/>
    <mergeCell ref="C41:F41"/>
  </mergeCells>
  <pageMargins left="0.7" right="0.7" top="0.75" bottom="0.75" header="0.3" footer="0.3"/>
  <pageSetup paperSize="9" orientation="portrait" horizontalDpi="180" verticalDpi="18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50"/>
  <sheetViews>
    <sheetView topLeftCell="A28" zoomScaleNormal="100" workbookViewId="0">
      <selection activeCell="Q41" sqref="Q41"/>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23.42578125" style="128" customWidth="1"/>
    <col min="19" max="19" width="14.5703125" style="128" customWidth="1"/>
    <col min="20" max="16384" width="9.140625" style="128"/>
  </cols>
  <sheetData>
    <row r="1" spans="1:20" ht="22.5" x14ac:dyDescent="0.25">
      <c r="A1" s="416" t="s">
        <v>0</v>
      </c>
      <c r="B1" s="416"/>
      <c r="C1" s="416"/>
      <c r="D1" s="416"/>
      <c r="E1" s="416"/>
      <c r="F1" s="416"/>
      <c r="G1" s="416"/>
      <c r="H1" s="416"/>
      <c r="I1" s="416"/>
      <c r="J1" s="416"/>
      <c r="K1" s="416"/>
      <c r="L1" s="416"/>
      <c r="M1" s="416"/>
      <c r="N1" s="416"/>
      <c r="O1" s="416"/>
      <c r="P1" s="416"/>
      <c r="Q1" s="416"/>
    </row>
    <row r="2" spans="1:20" ht="15.75" x14ac:dyDescent="0.25">
      <c r="A2" s="417" t="s">
        <v>19</v>
      </c>
      <c r="B2" s="417"/>
      <c r="C2" s="417"/>
      <c r="D2" s="417"/>
      <c r="E2" s="417"/>
      <c r="F2" s="417"/>
      <c r="G2" s="417"/>
      <c r="H2" s="417"/>
      <c r="I2" s="417"/>
      <c r="J2" s="417"/>
      <c r="K2" s="417"/>
      <c r="L2" s="417"/>
      <c r="M2" s="417"/>
      <c r="N2" s="417"/>
      <c r="O2" s="417"/>
      <c r="P2" s="417"/>
      <c r="Q2" s="417"/>
    </row>
    <row r="3" spans="1:20" ht="15.75" x14ac:dyDescent="0.25">
      <c r="A3" s="130"/>
      <c r="B3" s="417" t="s">
        <v>2688</v>
      </c>
      <c r="C3" s="417"/>
      <c r="D3" s="417"/>
      <c r="E3" s="417"/>
      <c r="F3" s="417"/>
      <c r="G3" s="417"/>
      <c r="H3" s="417"/>
      <c r="I3" s="417"/>
      <c r="J3" s="417"/>
      <c r="K3" s="417"/>
      <c r="L3" s="417"/>
      <c r="M3" s="417"/>
      <c r="N3" s="417"/>
      <c r="O3" s="417"/>
      <c r="P3" s="417"/>
      <c r="Q3" s="417"/>
    </row>
    <row r="5" spans="1:20"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0" s="129" customFormat="1" ht="24.95" customHeight="1"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0" s="144" customFormat="1" ht="20.45" customHeight="1" thickBot="1" x14ac:dyDescent="0.25">
      <c r="A7" s="211">
        <v>1</v>
      </c>
      <c r="B7" s="191">
        <v>43739</v>
      </c>
      <c r="C7" s="138" t="s">
        <v>2689</v>
      </c>
      <c r="D7" s="138" t="s">
        <v>2707</v>
      </c>
      <c r="E7" s="146" t="s">
        <v>2592</v>
      </c>
      <c r="F7" s="138"/>
      <c r="G7" s="138"/>
      <c r="H7" s="141"/>
      <c r="I7" s="138"/>
      <c r="J7" s="226">
        <v>790000</v>
      </c>
      <c r="K7" s="141"/>
      <c r="L7" s="150"/>
      <c r="M7" s="141"/>
      <c r="N7" s="141"/>
      <c r="O7" s="139">
        <f>SUM(H7:N7)</f>
        <v>790000</v>
      </c>
      <c r="P7" s="139">
        <v>3272727</v>
      </c>
      <c r="Q7" s="250">
        <f>P7-O7</f>
        <v>2482727</v>
      </c>
      <c r="R7" s="240"/>
      <c r="S7" s="215"/>
      <c r="T7" s="215"/>
    </row>
    <row r="8" spans="1:20" s="144" customFormat="1" ht="20.45" customHeight="1" thickBot="1" x14ac:dyDescent="0.25">
      <c r="A8" s="211">
        <v>2</v>
      </c>
      <c r="B8" s="191">
        <v>43740</v>
      </c>
      <c r="C8" s="138" t="s">
        <v>2008</v>
      </c>
      <c r="D8" s="138" t="s">
        <v>2708</v>
      </c>
      <c r="E8" s="146" t="s">
        <v>2676</v>
      </c>
      <c r="F8" s="138"/>
      <c r="G8" s="138">
        <v>360</v>
      </c>
      <c r="H8" s="141">
        <f>G8*16630</f>
        <v>5986800</v>
      </c>
      <c r="I8" s="138"/>
      <c r="J8" s="226">
        <v>1510000</v>
      </c>
      <c r="K8" s="141"/>
      <c r="L8" s="150"/>
      <c r="M8" s="141"/>
      <c r="N8" s="141"/>
      <c r="O8" s="139">
        <f t="shared" ref="O8:O38" si="0">SUM(H8:N8)</f>
        <v>7496800</v>
      </c>
      <c r="P8" s="139">
        <v>6300000</v>
      </c>
      <c r="Q8" s="250">
        <f t="shared" ref="Q8:Q38" si="1">P8-O8</f>
        <v>-1196800</v>
      </c>
      <c r="R8" s="240"/>
      <c r="S8" s="215"/>
      <c r="T8" s="215"/>
    </row>
    <row r="9" spans="1:20" s="144" customFormat="1" ht="20.45" customHeight="1" thickBot="1" x14ac:dyDescent="0.25">
      <c r="A9" s="211">
        <v>3</v>
      </c>
      <c r="B9" s="191">
        <v>43741</v>
      </c>
      <c r="C9" s="138" t="s">
        <v>669</v>
      </c>
      <c r="D9" s="138" t="s">
        <v>2709</v>
      </c>
      <c r="E9" s="146" t="s">
        <v>25</v>
      </c>
      <c r="F9" s="138"/>
      <c r="G9" s="138"/>
      <c r="H9" s="141">
        <f t="shared" ref="H9:H18" si="2">G9*16630</f>
        <v>0</v>
      </c>
      <c r="I9" s="138"/>
      <c r="J9" s="226">
        <v>1890000</v>
      </c>
      <c r="K9" s="141"/>
      <c r="L9" s="150"/>
      <c r="M9" s="141"/>
      <c r="N9" s="141"/>
      <c r="O9" s="139">
        <f t="shared" si="0"/>
        <v>1890000</v>
      </c>
      <c r="P9" s="139">
        <v>8045455</v>
      </c>
      <c r="Q9" s="250">
        <f t="shared" si="1"/>
        <v>6155455</v>
      </c>
      <c r="R9" s="240"/>
      <c r="S9" s="215"/>
      <c r="T9" s="215"/>
    </row>
    <row r="10" spans="1:20" s="144" customFormat="1" ht="20.45" customHeight="1" thickBot="1" x14ac:dyDescent="0.25">
      <c r="A10" s="211">
        <v>4</v>
      </c>
      <c r="B10" s="191">
        <v>43742</v>
      </c>
      <c r="C10" s="138" t="s">
        <v>2690</v>
      </c>
      <c r="D10" s="138" t="s">
        <v>2710</v>
      </c>
      <c r="E10" s="146" t="s">
        <v>2731</v>
      </c>
      <c r="F10" s="138"/>
      <c r="G10" s="138">
        <v>310</v>
      </c>
      <c r="H10" s="141">
        <f t="shared" si="2"/>
        <v>5155300</v>
      </c>
      <c r="I10" s="138"/>
      <c r="J10" s="226">
        <v>1000000</v>
      </c>
      <c r="K10" s="141"/>
      <c r="L10" s="150"/>
      <c r="M10" s="141"/>
      <c r="N10" s="141"/>
      <c r="O10" s="139">
        <f t="shared" si="0"/>
        <v>6155300</v>
      </c>
      <c r="P10" s="141">
        <v>6954545</v>
      </c>
      <c r="Q10" s="250">
        <f t="shared" si="1"/>
        <v>799245</v>
      </c>
      <c r="R10" s="240"/>
      <c r="S10" s="215"/>
      <c r="T10" s="215"/>
    </row>
    <row r="11" spans="1:20" s="144" customFormat="1" ht="20.45" customHeight="1" thickBot="1" x14ac:dyDescent="0.25">
      <c r="A11" s="211">
        <v>5</v>
      </c>
      <c r="B11" s="191">
        <v>43743</v>
      </c>
      <c r="C11" s="138" t="s">
        <v>2691</v>
      </c>
      <c r="D11" s="138" t="s">
        <v>2711</v>
      </c>
      <c r="E11" s="146" t="s">
        <v>2732</v>
      </c>
      <c r="F11" s="138"/>
      <c r="G11" s="138"/>
      <c r="H11" s="141">
        <f t="shared" si="2"/>
        <v>0</v>
      </c>
      <c r="I11" s="138"/>
      <c r="J11" s="226">
        <v>650000</v>
      </c>
      <c r="K11" s="141"/>
      <c r="L11" s="150"/>
      <c r="M11" s="141"/>
      <c r="N11" s="141"/>
      <c r="O11" s="139">
        <f t="shared" si="0"/>
        <v>650000</v>
      </c>
      <c r="P11" s="141">
        <v>2500000</v>
      </c>
      <c r="Q11" s="250">
        <f t="shared" si="1"/>
        <v>1850000</v>
      </c>
      <c r="R11" s="240"/>
      <c r="S11" s="215"/>
      <c r="T11" s="215"/>
    </row>
    <row r="12" spans="1:20" s="144" customFormat="1" ht="20.45" customHeight="1" thickBot="1" x14ac:dyDescent="0.25">
      <c r="A12" s="211">
        <v>6</v>
      </c>
      <c r="B12" s="191">
        <v>43745</v>
      </c>
      <c r="C12" s="138" t="s">
        <v>2692</v>
      </c>
      <c r="D12" s="138" t="s">
        <v>2712</v>
      </c>
      <c r="E12" s="146" t="s">
        <v>2733</v>
      </c>
      <c r="F12" s="138"/>
      <c r="G12" s="138"/>
      <c r="H12" s="141">
        <f t="shared" si="2"/>
        <v>0</v>
      </c>
      <c r="I12" s="138"/>
      <c r="J12" s="226">
        <v>650000</v>
      </c>
      <c r="K12" s="141"/>
      <c r="L12" s="150"/>
      <c r="M12" s="141"/>
      <c r="N12" s="141"/>
      <c r="O12" s="139">
        <f t="shared" si="0"/>
        <v>650000</v>
      </c>
      <c r="P12" s="141">
        <v>3118182</v>
      </c>
      <c r="Q12" s="250">
        <f t="shared" si="1"/>
        <v>2468182</v>
      </c>
      <c r="R12" s="240"/>
      <c r="S12" s="215"/>
      <c r="T12" s="215"/>
    </row>
    <row r="13" spans="1:20" s="144" customFormat="1" ht="20.45" customHeight="1" thickBot="1" x14ac:dyDescent="0.25">
      <c r="A13" s="211">
        <v>7</v>
      </c>
      <c r="B13" s="191">
        <v>43747</v>
      </c>
      <c r="C13" s="138" t="s">
        <v>2693</v>
      </c>
      <c r="D13" s="138" t="s">
        <v>2713</v>
      </c>
      <c r="E13" s="146" t="s">
        <v>2734</v>
      </c>
      <c r="F13" s="138"/>
      <c r="G13" s="138">
        <v>205</v>
      </c>
      <c r="H13" s="141">
        <f t="shared" si="2"/>
        <v>3409150</v>
      </c>
      <c r="I13" s="138"/>
      <c r="J13" s="226">
        <v>1150000</v>
      </c>
      <c r="K13" s="141"/>
      <c r="L13" s="150"/>
      <c r="M13" s="141"/>
      <c r="N13" s="141"/>
      <c r="O13" s="139">
        <f t="shared" si="0"/>
        <v>4559150</v>
      </c>
      <c r="P13" s="141">
        <v>3900000</v>
      </c>
      <c r="Q13" s="250">
        <f t="shared" si="1"/>
        <v>-659150</v>
      </c>
      <c r="R13" s="240"/>
      <c r="S13" s="215"/>
      <c r="T13" s="215"/>
    </row>
    <row r="14" spans="1:20" s="144" customFormat="1" ht="20.45" customHeight="1" thickBot="1" x14ac:dyDescent="0.25">
      <c r="A14" s="211">
        <v>8</v>
      </c>
      <c r="B14" s="191">
        <v>43748</v>
      </c>
      <c r="C14" s="138" t="s">
        <v>2694</v>
      </c>
      <c r="D14" s="138" t="s">
        <v>2714</v>
      </c>
      <c r="E14" s="146" t="s">
        <v>1495</v>
      </c>
      <c r="F14" s="138"/>
      <c r="G14" s="138"/>
      <c r="H14" s="141">
        <f t="shared" si="2"/>
        <v>0</v>
      </c>
      <c r="I14" s="138"/>
      <c r="J14" s="226">
        <v>2740000</v>
      </c>
      <c r="K14" s="141"/>
      <c r="L14" s="150"/>
      <c r="M14" s="141"/>
      <c r="N14" s="141"/>
      <c r="O14" s="139">
        <f t="shared" si="0"/>
        <v>2740000</v>
      </c>
      <c r="P14" s="141">
        <v>14090909</v>
      </c>
      <c r="Q14" s="250">
        <f t="shared" si="1"/>
        <v>11350909</v>
      </c>
      <c r="R14" s="240"/>
      <c r="S14" s="215"/>
      <c r="T14" s="215"/>
    </row>
    <row r="15" spans="1:20" s="144" customFormat="1" ht="20.45" customHeight="1" thickBot="1" x14ac:dyDescent="0.25">
      <c r="A15" s="211">
        <v>9</v>
      </c>
      <c r="B15" s="191">
        <v>43749</v>
      </c>
      <c r="C15" s="138" t="s">
        <v>2695</v>
      </c>
      <c r="D15" s="138" t="s">
        <v>2715</v>
      </c>
      <c r="E15" s="146" t="s">
        <v>2735</v>
      </c>
      <c r="F15" s="138"/>
      <c r="G15" s="138">
        <v>340</v>
      </c>
      <c r="H15" s="141">
        <f t="shared" si="2"/>
        <v>5654200</v>
      </c>
      <c r="I15" s="138"/>
      <c r="J15" s="226">
        <v>970000</v>
      </c>
      <c r="K15" s="141"/>
      <c r="L15" s="150"/>
      <c r="M15" s="141"/>
      <c r="N15" s="141"/>
      <c r="O15" s="139">
        <f t="shared" si="0"/>
        <v>6624200</v>
      </c>
      <c r="P15" s="141">
        <v>3890909</v>
      </c>
      <c r="Q15" s="250">
        <f t="shared" si="1"/>
        <v>-2733291</v>
      </c>
      <c r="R15" s="240"/>
      <c r="S15" s="215"/>
      <c r="T15" s="215"/>
    </row>
    <row r="16" spans="1:20" s="144" customFormat="1" ht="20.45" customHeight="1" thickBot="1" x14ac:dyDescent="0.25">
      <c r="A16" s="211">
        <v>10</v>
      </c>
      <c r="B16" s="191">
        <v>43750</v>
      </c>
      <c r="C16" s="138" t="s">
        <v>2696</v>
      </c>
      <c r="D16" s="138" t="s">
        <v>2716</v>
      </c>
      <c r="E16" s="146" t="s">
        <v>2736</v>
      </c>
      <c r="F16" s="138"/>
      <c r="G16" s="138"/>
      <c r="H16" s="141">
        <f t="shared" si="2"/>
        <v>0</v>
      </c>
      <c r="I16" s="138"/>
      <c r="J16" s="226">
        <v>970000</v>
      </c>
      <c r="K16" s="141"/>
      <c r="L16" s="150"/>
      <c r="M16" s="141"/>
      <c r="N16" s="141"/>
      <c r="O16" s="139">
        <f t="shared" si="0"/>
        <v>970000</v>
      </c>
      <c r="P16" s="141">
        <v>4700000</v>
      </c>
      <c r="Q16" s="250">
        <f t="shared" si="1"/>
        <v>3730000</v>
      </c>
      <c r="R16" s="240"/>
      <c r="S16" s="215"/>
      <c r="T16" s="215"/>
    </row>
    <row r="17" spans="1:20" s="144" customFormat="1" ht="20.45" customHeight="1" thickBot="1" x14ac:dyDescent="0.25">
      <c r="A17" s="211">
        <v>11</v>
      </c>
      <c r="B17" s="191">
        <v>43751</v>
      </c>
      <c r="C17" s="138" t="s">
        <v>2697</v>
      </c>
      <c r="D17" s="138" t="s">
        <v>2717</v>
      </c>
      <c r="E17" s="146" t="s">
        <v>333</v>
      </c>
      <c r="F17" s="138"/>
      <c r="G17" s="138"/>
      <c r="H17" s="141">
        <f t="shared" si="2"/>
        <v>0</v>
      </c>
      <c r="I17" s="138"/>
      <c r="J17" s="226">
        <v>1160000</v>
      </c>
      <c r="K17" s="141"/>
      <c r="L17" s="150"/>
      <c r="M17" s="141"/>
      <c r="N17" s="141"/>
      <c r="O17" s="139">
        <f t="shared" si="0"/>
        <v>1160000</v>
      </c>
      <c r="P17" s="141">
        <v>5000000</v>
      </c>
      <c r="Q17" s="250">
        <f t="shared" si="1"/>
        <v>3840000</v>
      </c>
      <c r="R17" s="240"/>
      <c r="S17" s="215"/>
      <c r="T17" s="215"/>
    </row>
    <row r="18" spans="1:20" s="144" customFormat="1" ht="20.45" customHeight="1" thickBot="1" x14ac:dyDescent="0.25">
      <c r="A18" s="211">
        <v>12</v>
      </c>
      <c r="B18" s="191">
        <v>43752</v>
      </c>
      <c r="C18" s="138" t="s">
        <v>2698</v>
      </c>
      <c r="D18" s="138" t="s">
        <v>2718</v>
      </c>
      <c r="E18" s="146" t="s">
        <v>2737</v>
      </c>
      <c r="F18" s="138"/>
      <c r="G18" s="138">
        <v>360</v>
      </c>
      <c r="H18" s="141">
        <f t="shared" si="2"/>
        <v>5986800</v>
      </c>
      <c r="I18" s="138"/>
      <c r="J18" s="226">
        <v>1150000</v>
      </c>
      <c r="K18" s="141"/>
      <c r="L18" s="150"/>
      <c r="M18" s="141"/>
      <c r="N18" s="141"/>
      <c r="O18" s="139">
        <f t="shared" si="0"/>
        <v>7136800</v>
      </c>
      <c r="P18" s="141">
        <v>3900000</v>
      </c>
      <c r="Q18" s="250">
        <f t="shared" si="1"/>
        <v>-3236800</v>
      </c>
      <c r="R18" s="240"/>
      <c r="S18" s="215"/>
      <c r="T18" s="215"/>
    </row>
    <row r="19" spans="1:20" s="144" customFormat="1" ht="20.45" customHeight="1" thickBot="1" x14ac:dyDescent="0.25">
      <c r="A19" s="211">
        <v>13</v>
      </c>
      <c r="B19" s="191">
        <v>43753</v>
      </c>
      <c r="C19" s="138" t="s">
        <v>2699</v>
      </c>
      <c r="D19" s="138" t="s">
        <v>2719</v>
      </c>
      <c r="E19" s="146" t="s">
        <v>25</v>
      </c>
      <c r="F19" s="138"/>
      <c r="G19" s="138"/>
      <c r="H19" s="141"/>
      <c r="I19" s="138"/>
      <c r="J19" s="226">
        <v>1890000</v>
      </c>
      <c r="K19" s="141"/>
      <c r="L19" s="150"/>
      <c r="M19" s="141"/>
      <c r="N19" s="141"/>
      <c r="O19" s="139">
        <f t="shared" si="0"/>
        <v>1890000</v>
      </c>
      <c r="P19" s="141">
        <v>8045455</v>
      </c>
      <c r="Q19" s="250">
        <f t="shared" si="1"/>
        <v>6155455</v>
      </c>
      <c r="R19" s="240"/>
      <c r="S19" s="215"/>
      <c r="T19" s="215"/>
    </row>
    <row r="20" spans="1:20" s="144" customFormat="1" ht="20.45" customHeight="1" thickBot="1" x14ac:dyDescent="0.25">
      <c r="A20" s="211">
        <v>14</v>
      </c>
      <c r="B20" s="191">
        <v>43757</v>
      </c>
      <c r="C20" s="138" t="s">
        <v>2700</v>
      </c>
      <c r="D20" s="192" t="s">
        <v>2720</v>
      </c>
      <c r="E20" s="146" t="s">
        <v>24</v>
      </c>
      <c r="F20" s="138"/>
      <c r="G20" s="138"/>
      <c r="H20" s="141"/>
      <c r="I20" s="138"/>
      <c r="J20" s="226">
        <v>790000</v>
      </c>
      <c r="K20" s="141"/>
      <c r="L20" s="150"/>
      <c r="M20" s="141"/>
      <c r="N20" s="141"/>
      <c r="O20" s="139">
        <f t="shared" si="0"/>
        <v>790000</v>
      </c>
      <c r="P20" s="141">
        <v>3100000</v>
      </c>
      <c r="Q20" s="250">
        <f t="shared" si="1"/>
        <v>2310000</v>
      </c>
      <c r="R20" s="240"/>
      <c r="S20" s="215"/>
      <c r="T20" s="215"/>
    </row>
    <row r="21" spans="1:20" s="144" customFormat="1" ht="20.45" customHeight="1" thickBot="1" x14ac:dyDescent="0.25">
      <c r="A21" s="211">
        <v>15</v>
      </c>
      <c r="B21" s="191">
        <v>43759</v>
      </c>
      <c r="C21" s="138" t="s">
        <v>683</v>
      </c>
      <c r="D21" s="138" t="s">
        <v>2721</v>
      </c>
      <c r="E21" s="146" t="s">
        <v>2738</v>
      </c>
      <c r="F21" s="138"/>
      <c r="G21" s="138">
        <v>325</v>
      </c>
      <c r="H21" s="141">
        <f>G21*16220</f>
        <v>5271500</v>
      </c>
      <c r="I21" s="138"/>
      <c r="J21" s="226">
        <v>650000</v>
      </c>
      <c r="K21" s="141"/>
      <c r="L21" s="150"/>
      <c r="M21" s="141"/>
      <c r="N21" s="141"/>
      <c r="O21" s="139">
        <f t="shared" si="0"/>
        <v>5921500</v>
      </c>
      <c r="P21" s="141">
        <v>2600000</v>
      </c>
      <c r="Q21" s="250">
        <f t="shared" si="1"/>
        <v>-3321500</v>
      </c>
      <c r="R21" s="240"/>
      <c r="S21" s="215"/>
      <c r="T21" s="215"/>
    </row>
    <row r="22" spans="1:20" s="144" customFormat="1" ht="20.45" customHeight="1" thickBot="1" x14ac:dyDescent="0.25">
      <c r="A22" s="211">
        <v>16</v>
      </c>
      <c r="B22" s="191">
        <v>43760</v>
      </c>
      <c r="C22" s="138" t="s">
        <v>2701</v>
      </c>
      <c r="D22" s="138" t="s">
        <v>2722</v>
      </c>
      <c r="E22" s="146" t="s">
        <v>25</v>
      </c>
      <c r="F22" s="138"/>
      <c r="G22" s="138"/>
      <c r="H22" s="141">
        <f t="shared" ref="H22:H27" si="3">G22*16220</f>
        <v>0</v>
      </c>
      <c r="I22" s="138"/>
      <c r="J22" s="226">
        <v>1890000</v>
      </c>
      <c r="K22" s="141"/>
      <c r="L22" s="150"/>
      <c r="M22" s="141"/>
      <c r="N22" s="141"/>
      <c r="O22" s="139">
        <f t="shared" si="0"/>
        <v>1890000</v>
      </c>
      <c r="P22" s="141">
        <v>8045455</v>
      </c>
      <c r="Q22" s="250">
        <f t="shared" si="1"/>
        <v>6155455</v>
      </c>
      <c r="R22" s="240"/>
      <c r="S22" s="215"/>
      <c r="T22" s="215"/>
    </row>
    <row r="23" spans="1:20" s="144" customFormat="1" ht="20.45" customHeight="1" thickBot="1" x14ac:dyDescent="0.25">
      <c r="A23" s="211">
        <v>17</v>
      </c>
      <c r="B23" s="191">
        <v>43761</v>
      </c>
      <c r="C23" s="138" t="s">
        <v>1349</v>
      </c>
      <c r="D23" s="138" t="s">
        <v>2723</v>
      </c>
      <c r="E23" s="146" t="s">
        <v>25</v>
      </c>
      <c r="F23" s="138"/>
      <c r="G23" s="138">
        <v>360</v>
      </c>
      <c r="H23" s="141">
        <f t="shared" si="3"/>
        <v>5839200</v>
      </c>
      <c r="I23" s="138"/>
      <c r="J23" s="226">
        <v>1890000</v>
      </c>
      <c r="K23" s="141"/>
      <c r="L23" s="150"/>
      <c r="M23" s="141"/>
      <c r="N23" s="141"/>
      <c r="O23" s="139">
        <f t="shared" si="0"/>
        <v>7729200</v>
      </c>
      <c r="P23" s="141">
        <v>8045455</v>
      </c>
      <c r="Q23" s="250">
        <f t="shared" si="1"/>
        <v>316255</v>
      </c>
      <c r="R23" s="240"/>
      <c r="S23" s="215"/>
      <c r="T23" s="215"/>
    </row>
    <row r="24" spans="1:20" s="144" customFormat="1" ht="20.45" customHeight="1" thickBot="1" x14ac:dyDescent="0.25">
      <c r="A24" s="211">
        <v>18</v>
      </c>
      <c r="B24" s="191">
        <v>43762</v>
      </c>
      <c r="C24" s="138" t="s">
        <v>2026</v>
      </c>
      <c r="D24" s="138" t="s">
        <v>2724</v>
      </c>
      <c r="E24" s="146" t="s">
        <v>894</v>
      </c>
      <c r="F24" s="138"/>
      <c r="G24" s="138"/>
      <c r="H24" s="141">
        <f t="shared" si="3"/>
        <v>0</v>
      </c>
      <c r="I24" s="138"/>
      <c r="J24" s="226">
        <v>790000</v>
      </c>
      <c r="K24" s="141"/>
      <c r="L24" s="150"/>
      <c r="M24" s="141"/>
      <c r="N24" s="141"/>
      <c r="O24" s="139">
        <f t="shared" si="0"/>
        <v>790000</v>
      </c>
      <c r="P24" s="141">
        <v>3700000</v>
      </c>
      <c r="Q24" s="250">
        <f t="shared" si="1"/>
        <v>2910000</v>
      </c>
      <c r="R24" s="240"/>
      <c r="S24" s="215"/>
      <c r="T24" s="215"/>
    </row>
    <row r="25" spans="1:20" s="144" customFormat="1" ht="20.45" customHeight="1" thickBot="1" x14ac:dyDescent="0.25">
      <c r="A25" s="211">
        <v>19</v>
      </c>
      <c r="B25" s="191">
        <v>43763</v>
      </c>
      <c r="C25" s="138" t="s">
        <v>2702</v>
      </c>
      <c r="D25" s="138" t="s">
        <v>2725</v>
      </c>
      <c r="E25" s="146" t="s">
        <v>894</v>
      </c>
      <c r="F25" s="138"/>
      <c r="G25" s="138"/>
      <c r="H25" s="141">
        <f t="shared" si="3"/>
        <v>0</v>
      </c>
      <c r="I25" s="138"/>
      <c r="J25" s="226">
        <v>790000</v>
      </c>
      <c r="K25" s="141"/>
      <c r="L25" s="150"/>
      <c r="M25" s="141"/>
      <c r="N25" s="141"/>
      <c r="O25" s="139">
        <f t="shared" si="0"/>
        <v>790000</v>
      </c>
      <c r="P25" s="141">
        <v>2945455</v>
      </c>
      <c r="Q25" s="250">
        <f t="shared" si="1"/>
        <v>2155455</v>
      </c>
      <c r="R25" s="240"/>
      <c r="S25" s="215"/>
      <c r="T25" s="215"/>
    </row>
    <row r="26" spans="1:20" s="144" customFormat="1" ht="20.45" customHeight="1" thickBot="1" x14ac:dyDescent="0.25">
      <c r="A26" s="211">
        <v>20</v>
      </c>
      <c r="B26" s="191">
        <v>43763</v>
      </c>
      <c r="C26" s="138" t="s">
        <v>2703</v>
      </c>
      <c r="D26" s="138" t="s">
        <v>2726</v>
      </c>
      <c r="E26" s="146" t="s">
        <v>2732</v>
      </c>
      <c r="F26" s="138"/>
      <c r="G26" s="138"/>
      <c r="H26" s="141">
        <f t="shared" si="3"/>
        <v>0</v>
      </c>
      <c r="I26" s="138"/>
      <c r="J26" s="226">
        <v>650000</v>
      </c>
      <c r="K26" s="141"/>
      <c r="L26" s="150"/>
      <c r="M26" s="141"/>
      <c r="N26" s="141"/>
      <c r="O26" s="139">
        <f t="shared" si="0"/>
        <v>650000</v>
      </c>
      <c r="P26" s="141">
        <v>2500000</v>
      </c>
      <c r="Q26" s="250">
        <f t="shared" si="1"/>
        <v>1850000</v>
      </c>
      <c r="R26" s="240"/>
      <c r="S26" s="215"/>
      <c r="T26" s="215"/>
    </row>
    <row r="27" spans="1:20" s="144" customFormat="1" ht="20.45" customHeight="1" thickBot="1" x14ac:dyDescent="0.25">
      <c r="A27" s="211">
        <v>21</v>
      </c>
      <c r="B27" s="191">
        <v>43766</v>
      </c>
      <c r="C27" s="138" t="s">
        <v>2704</v>
      </c>
      <c r="D27" s="138" t="s">
        <v>2727</v>
      </c>
      <c r="E27" s="146" t="s">
        <v>2739</v>
      </c>
      <c r="F27" s="138"/>
      <c r="G27" s="138">
        <v>245</v>
      </c>
      <c r="H27" s="141">
        <f t="shared" si="3"/>
        <v>3973900</v>
      </c>
      <c r="I27" s="138"/>
      <c r="J27" s="226">
        <v>200000</v>
      </c>
      <c r="K27" s="141"/>
      <c r="L27" s="150"/>
      <c r="M27" s="141"/>
      <c r="N27" s="141"/>
      <c r="O27" s="139">
        <f t="shared" si="0"/>
        <v>4173900</v>
      </c>
      <c r="P27" s="141">
        <v>1500000</v>
      </c>
      <c r="Q27" s="250">
        <f t="shared" si="1"/>
        <v>-2673900</v>
      </c>
      <c r="R27" s="240"/>
      <c r="S27" s="215"/>
      <c r="T27" s="215"/>
    </row>
    <row r="28" spans="1:20" s="144" customFormat="1" ht="20.45" customHeight="1" thickBot="1" x14ac:dyDescent="0.25">
      <c r="A28" s="211">
        <v>22</v>
      </c>
      <c r="B28" s="191">
        <v>43767</v>
      </c>
      <c r="C28" s="138" t="s">
        <v>2705</v>
      </c>
      <c r="D28" s="138" t="s">
        <v>2728</v>
      </c>
      <c r="E28" s="146" t="s">
        <v>24</v>
      </c>
      <c r="F28" s="138"/>
      <c r="G28" s="138"/>
      <c r="H28" s="141"/>
      <c r="I28" s="138"/>
      <c r="J28" s="226">
        <v>790000</v>
      </c>
      <c r="K28" s="141"/>
      <c r="L28" s="150"/>
      <c r="M28" s="141"/>
      <c r="N28" s="141"/>
      <c r="O28" s="139">
        <f t="shared" si="0"/>
        <v>790000</v>
      </c>
      <c r="P28" s="141">
        <v>3800000</v>
      </c>
      <c r="Q28" s="250">
        <f t="shared" si="1"/>
        <v>3010000</v>
      </c>
      <c r="R28" s="240"/>
      <c r="S28" s="215"/>
      <c r="T28" s="215"/>
    </row>
    <row r="29" spans="1:20" s="144" customFormat="1" ht="20.45" customHeight="1" thickBot="1" x14ac:dyDescent="0.25">
      <c r="A29" s="211">
        <v>23</v>
      </c>
      <c r="B29" s="191">
        <v>43768</v>
      </c>
      <c r="C29" s="138" t="s">
        <v>2706</v>
      </c>
      <c r="D29" s="138" t="s">
        <v>2729</v>
      </c>
      <c r="E29" s="146" t="s">
        <v>2497</v>
      </c>
      <c r="F29" s="138"/>
      <c r="G29" s="138"/>
      <c r="H29" s="141"/>
      <c r="I29" s="138"/>
      <c r="J29" s="226">
        <v>1150000</v>
      </c>
      <c r="K29" s="141"/>
      <c r="L29" s="150"/>
      <c r="M29" s="141"/>
      <c r="N29" s="141"/>
      <c r="O29" s="139">
        <f t="shared" si="0"/>
        <v>1150000</v>
      </c>
      <c r="P29" s="141">
        <v>3700000</v>
      </c>
      <c r="Q29" s="250">
        <f t="shared" si="1"/>
        <v>2550000</v>
      </c>
      <c r="R29" s="240"/>
      <c r="S29" s="215"/>
      <c r="T29" s="215"/>
    </row>
    <row r="30" spans="1:20" s="144" customFormat="1" ht="20.45" customHeight="1" x14ac:dyDescent="0.2">
      <c r="A30" s="211">
        <v>24</v>
      </c>
      <c r="B30" s="191">
        <v>43769</v>
      </c>
      <c r="C30" s="138" t="s">
        <v>2030</v>
      </c>
      <c r="D30" s="138" t="s">
        <v>2730</v>
      </c>
      <c r="E30" s="146" t="s">
        <v>2740</v>
      </c>
      <c r="F30" s="138"/>
      <c r="G30" s="214">
        <v>350</v>
      </c>
      <c r="H30" s="208">
        <f t="shared" ref="H30" si="4">G30*16220</f>
        <v>5677000</v>
      </c>
      <c r="I30" s="138"/>
      <c r="J30" s="226">
        <v>1240000</v>
      </c>
      <c r="K30" s="141"/>
      <c r="L30" s="150"/>
      <c r="M30" s="141"/>
      <c r="N30" s="141"/>
      <c r="O30" s="139">
        <f t="shared" si="0"/>
        <v>6917000</v>
      </c>
      <c r="P30" s="141">
        <v>6400000</v>
      </c>
      <c r="Q30" s="250">
        <f t="shared" si="1"/>
        <v>-517000</v>
      </c>
      <c r="R30" s="217"/>
      <c r="S30" s="215"/>
      <c r="T30" s="215"/>
    </row>
    <row r="31" spans="1:20" s="144" customFormat="1" ht="20.45" customHeight="1" x14ac:dyDescent="0.2">
      <c r="A31" s="211"/>
      <c r="B31" s="232"/>
      <c r="C31" s="265" t="s">
        <v>2741</v>
      </c>
      <c r="D31" s="277"/>
      <c r="E31" s="278"/>
      <c r="F31" s="279"/>
      <c r="G31" s="138"/>
      <c r="H31" s="141"/>
      <c r="I31" s="138"/>
      <c r="J31" s="139"/>
      <c r="K31" s="141"/>
      <c r="L31" s="219">
        <v>170000</v>
      </c>
      <c r="M31" s="141"/>
      <c r="N31" s="141"/>
      <c r="O31" s="139">
        <f t="shared" si="0"/>
        <v>170000</v>
      </c>
      <c r="P31" s="141"/>
      <c r="Q31" s="250">
        <f t="shared" si="1"/>
        <v>-170000</v>
      </c>
      <c r="R31" s="217"/>
      <c r="S31" s="215"/>
      <c r="T31" s="215"/>
    </row>
    <row r="32" spans="1:20" s="144" customFormat="1" ht="20.45" customHeight="1" x14ac:dyDescent="0.2">
      <c r="A32" s="211"/>
      <c r="B32" s="232"/>
      <c r="C32" s="437" t="s">
        <v>2742</v>
      </c>
      <c r="D32" s="438"/>
      <c r="E32" s="438"/>
      <c r="F32" s="439"/>
      <c r="G32" s="220"/>
      <c r="H32" s="219"/>
      <c r="I32" s="220"/>
      <c r="J32" s="157"/>
      <c r="K32" s="157"/>
      <c r="L32" s="219">
        <v>350000</v>
      </c>
      <c r="M32" s="141"/>
      <c r="N32" s="157"/>
      <c r="O32" s="139">
        <f t="shared" si="0"/>
        <v>350000</v>
      </c>
      <c r="P32" s="139"/>
      <c r="Q32" s="250">
        <f t="shared" si="1"/>
        <v>-350000</v>
      </c>
      <c r="R32" s="217"/>
      <c r="S32" s="215"/>
      <c r="T32" s="215"/>
    </row>
    <row r="33" spans="1:20" s="144" customFormat="1" ht="20.45" customHeight="1" x14ac:dyDescent="0.2">
      <c r="A33" s="211"/>
      <c r="C33" s="437" t="s">
        <v>2743</v>
      </c>
      <c r="D33" s="438"/>
      <c r="E33" s="438"/>
      <c r="F33" s="439"/>
      <c r="G33" s="138"/>
      <c r="H33" s="139"/>
      <c r="I33" s="138"/>
      <c r="J33" s="141"/>
      <c r="K33" s="141"/>
      <c r="L33" s="219">
        <v>8437000</v>
      </c>
      <c r="M33" s="185"/>
      <c r="N33" s="157"/>
      <c r="O33" s="139">
        <f t="shared" si="0"/>
        <v>8437000</v>
      </c>
      <c r="P33" s="139"/>
      <c r="Q33" s="250">
        <f t="shared" si="1"/>
        <v>-8437000</v>
      </c>
      <c r="R33" s="217"/>
      <c r="S33" s="215"/>
      <c r="T33" s="215"/>
    </row>
    <row r="34" spans="1:20" s="144" customFormat="1" ht="20.45" customHeight="1" x14ac:dyDescent="0.2">
      <c r="A34" s="211"/>
      <c r="C34" s="437" t="s">
        <v>1092</v>
      </c>
      <c r="D34" s="438"/>
      <c r="E34" s="438"/>
      <c r="F34" s="439"/>
      <c r="G34" s="138"/>
      <c r="H34" s="139"/>
      <c r="I34" s="138"/>
      <c r="J34" s="141"/>
      <c r="K34" s="157"/>
      <c r="L34" s="219">
        <v>610000</v>
      </c>
      <c r="M34" s="157"/>
      <c r="N34" s="157"/>
      <c r="O34" s="139">
        <f t="shared" si="0"/>
        <v>610000</v>
      </c>
      <c r="P34" s="139"/>
      <c r="Q34" s="250">
        <f t="shared" si="1"/>
        <v>-610000</v>
      </c>
      <c r="R34" s="217"/>
      <c r="S34" s="215"/>
      <c r="T34" s="215"/>
    </row>
    <row r="35" spans="1:20" s="144" customFormat="1" ht="20.45" customHeight="1" x14ac:dyDescent="0.2">
      <c r="A35" s="211"/>
      <c r="C35" s="443" t="s">
        <v>2744</v>
      </c>
      <c r="D35" s="444"/>
      <c r="E35" s="444"/>
      <c r="F35" s="445"/>
      <c r="G35" s="138"/>
      <c r="H35" s="139"/>
      <c r="I35" s="138"/>
      <c r="J35" s="141"/>
      <c r="K35" s="157"/>
      <c r="L35" s="219">
        <v>300000</v>
      </c>
      <c r="M35" s="157"/>
      <c r="N35" s="157"/>
      <c r="O35" s="139">
        <f t="shared" si="0"/>
        <v>300000</v>
      </c>
      <c r="P35" s="139"/>
      <c r="Q35" s="250">
        <f t="shared" si="1"/>
        <v>-300000</v>
      </c>
      <c r="R35" s="217"/>
      <c r="S35" s="215"/>
      <c r="T35" s="215"/>
    </row>
    <row r="36" spans="1:20" s="144" customFormat="1" ht="20.45" customHeight="1" x14ac:dyDescent="0.2">
      <c r="A36" s="211"/>
      <c r="C36" s="443" t="s">
        <v>2745</v>
      </c>
      <c r="D36" s="444"/>
      <c r="E36" s="444"/>
      <c r="F36" s="445"/>
      <c r="G36" s="138"/>
      <c r="H36" s="139"/>
      <c r="I36" s="138"/>
      <c r="J36" s="141"/>
      <c r="K36" s="157"/>
      <c r="L36" s="219">
        <v>2500000</v>
      </c>
      <c r="M36" s="157"/>
      <c r="N36" s="157"/>
      <c r="O36" s="139">
        <f t="shared" si="0"/>
        <v>2500000</v>
      </c>
      <c r="P36" s="139"/>
      <c r="Q36" s="250">
        <f t="shared" si="1"/>
        <v>-2500000</v>
      </c>
      <c r="R36" s="217"/>
      <c r="S36" s="215"/>
      <c r="T36" s="215"/>
    </row>
    <row r="37" spans="1:20" s="159" customFormat="1" ht="20.45" customHeight="1" x14ac:dyDescent="0.25">
      <c r="A37" s="211"/>
      <c r="B37" s="165"/>
      <c r="C37" s="440" t="s">
        <v>1337</v>
      </c>
      <c r="D37" s="441"/>
      <c r="E37" s="441"/>
      <c r="F37" s="442"/>
      <c r="G37" s="195"/>
      <c r="H37" s="155"/>
      <c r="I37" s="195"/>
      <c r="J37" s="155"/>
      <c r="K37" s="219">
        <v>9000000</v>
      </c>
      <c r="L37" s="155"/>
      <c r="M37" s="155"/>
      <c r="N37" s="155"/>
      <c r="O37" s="139">
        <f t="shared" si="0"/>
        <v>9000000</v>
      </c>
      <c r="P37" s="139"/>
      <c r="Q37" s="250">
        <f t="shared" si="1"/>
        <v>-9000000</v>
      </c>
      <c r="S37" s="215"/>
      <c r="T37" s="215"/>
    </row>
    <row r="38" spans="1:20" s="159" customFormat="1" ht="20.45" customHeight="1" x14ac:dyDescent="0.25">
      <c r="A38" s="211"/>
      <c r="B38" s="203"/>
      <c r="C38" s="434" t="s">
        <v>1094</v>
      </c>
      <c r="D38" s="435"/>
      <c r="E38" s="435"/>
      <c r="F38" s="436"/>
      <c r="G38" s="153"/>
      <c r="H38" s="156"/>
      <c r="I38" s="153"/>
      <c r="J38" s="156"/>
      <c r="K38" s="204">
        <f>1200000*1.1</f>
        <v>1320000</v>
      </c>
      <c r="L38" s="204"/>
      <c r="M38" s="156"/>
      <c r="N38" s="156"/>
      <c r="O38" s="139">
        <f t="shared" si="0"/>
        <v>1320000</v>
      </c>
      <c r="P38" s="139"/>
      <c r="Q38" s="250">
        <f t="shared" si="1"/>
        <v>-1320000</v>
      </c>
      <c r="R38" s="186"/>
      <c r="S38" s="215"/>
      <c r="T38" s="215"/>
    </row>
    <row r="39" spans="1:20" ht="20.45" customHeight="1" x14ac:dyDescent="0.25">
      <c r="A39" s="426" t="s">
        <v>20</v>
      </c>
      <c r="B39" s="426"/>
      <c r="C39" s="426"/>
      <c r="D39" s="426"/>
      <c r="E39" s="426"/>
      <c r="F39" s="426"/>
      <c r="G39" s="161">
        <f t="shared" ref="G39:Q39" si="5">SUM(G7:G38)</f>
        <v>2855</v>
      </c>
      <c r="H39" s="161">
        <f t="shared" si="5"/>
        <v>46953850</v>
      </c>
      <c r="I39" s="161">
        <f t="shared" si="5"/>
        <v>0</v>
      </c>
      <c r="J39" s="161">
        <f t="shared" si="5"/>
        <v>27350000</v>
      </c>
      <c r="K39" s="161">
        <f t="shared" si="5"/>
        <v>10320000</v>
      </c>
      <c r="L39" s="161">
        <f t="shared" si="5"/>
        <v>12367000</v>
      </c>
      <c r="M39" s="161">
        <f t="shared" si="5"/>
        <v>0</v>
      </c>
      <c r="N39" s="161">
        <f t="shared" si="5"/>
        <v>0</v>
      </c>
      <c r="O39" s="161">
        <f t="shared" si="5"/>
        <v>96990850</v>
      </c>
      <c r="P39" s="161">
        <f t="shared" si="5"/>
        <v>120054547</v>
      </c>
      <c r="Q39" s="161">
        <f t="shared" si="5"/>
        <v>23063697</v>
      </c>
      <c r="R39" s="187"/>
      <c r="S39" s="189"/>
    </row>
    <row r="40" spans="1:20" ht="24.95" customHeight="1" x14ac:dyDescent="0.25">
      <c r="O40" s="158"/>
      <c r="Q40" s="158">
        <f>P39-O39</f>
        <v>23063697</v>
      </c>
    </row>
    <row r="41" spans="1:20" ht="24.95" customHeight="1" x14ac:dyDescent="0.25">
      <c r="P41" s="216" t="s">
        <v>1603</v>
      </c>
      <c r="Q41" s="227">
        <f>'9.2019'!Q48+'10.2019'!Q39</f>
        <v>207391896.30769229</v>
      </c>
    </row>
    <row r="42" spans="1:20" ht="24.95" customHeight="1" x14ac:dyDescent="0.25">
      <c r="B42" s="129"/>
      <c r="H42" s="128"/>
      <c r="J42" s="128"/>
      <c r="K42" s="128"/>
      <c r="L42" s="128"/>
      <c r="M42" s="128"/>
      <c r="N42" s="128"/>
      <c r="O42" s="128"/>
      <c r="P42" s="218"/>
      <c r="Q42" s="216"/>
    </row>
    <row r="43" spans="1:20" ht="24.95" customHeight="1" x14ac:dyDescent="0.25">
      <c r="B43" s="129"/>
      <c r="H43" s="128"/>
      <c r="J43" s="128"/>
      <c r="K43" s="128"/>
      <c r="L43" s="128"/>
      <c r="M43" s="128"/>
      <c r="N43" s="128"/>
      <c r="O43" s="128"/>
      <c r="P43" s="218"/>
      <c r="Q43" s="230"/>
    </row>
    <row r="44" spans="1:20" ht="24.95" customHeight="1" x14ac:dyDescent="0.25">
      <c r="B44" s="129"/>
      <c r="H44" s="128"/>
      <c r="J44" s="128"/>
      <c r="K44" s="128"/>
      <c r="L44" s="128"/>
      <c r="M44" s="128"/>
      <c r="N44" s="128"/>
      <c r="O44" s="128"/>
      <c r="P44" s="218"/>
      <c r="Q44" s="230"/>
    </row>
    <row r="45" spans="1:20" ht="24.95" customHeight="1" x14ac:dyDescent="0.25">
      <c r="B45" s="129"/>
      <c r="H45" s="128"/>
      <c r="J45" s="128"/>
      <c r="K45" s="128"/>
      <c r="L45" s="128"/>
      <c r="M45" s="128"/>
      <c r="N45" s="128"/>
      <c r="O45" s="128"/>
      <c r="P45" s="218"/>
      <c r="Q45" s="216"/>
    </row>
    <row r="46" spans="1:20" x14ac:dyDescent="0.25">
      <c r="B46" s="129"/>
      <c r="H46" s="128"/>
      <c r="J46" s="128"/>
      <c r="K46" s="128"/>
      <c r="L46" s="128"/>
      <c r="M46" s="128"/>
      <c r="N46" s="128"/>
      <c r="O46" s="128"/>
      <c r="P46" s="218"/>
      <c r="Q46" s="216"/>
    </row>
    <row r="47" spans="1:20" x14ac:dyDescent="0.25">
      <c r="A47" s="128"/>
      <c r="B47" s="129"/>
      <c r="H47" s="128"/>
      <c r="J47" s="128"/>
      <c r="K47" s="128"/>
      <c r="L47" s="128"/>
      <c r="M47" s="128"/>
      <c r="N47" s="128"/>
      <c r="O47" s="128"/>
      <c r="P47" s="218"/>
      <c r="Q47" s="216"/>
    </row>
    <row r="48" spans="1:20" x14ac:dyDescent="0.25">
      <c r="A48" s="128"/>
      <c r="B48" s="129"/>
      <c r="H48" s="128"/>
      <c r="J48" s="128"/>
      <c r="K48" s="128"/>
      <c r="L48" s="128"/>
      <c r="M48" s="128"/>
      <c r="N48" s="128"/>
      <c r="O48" s="128"/>
      <c r="P48" s="128"/>
      <c r="Q48" s="216"/>
    </row>
    <row r="49" spans="17:17" s="128" customFormat="1" x14ac:dyDescent="0.25">
      <c r="Q49" s="216"/>
    </row>
    <row r="50" spans="17:17" s="128" customFormat="1" x14ac:dyDescent="0.25">
      <c r="Q50" s="216"/>
    </row>
  </sheetData>
  <mergeCells count="21">
    <mergeCell ref="A39:F39"/>
    <mergeCell ref="C35:F35"/>
    <mergeCell ref="O5:O6"/>
    <mergeCell ref="C36:F36"/>
    <mergeCell ref="C32:F32"/>
    <mergeCell ref="C33:F33"/>
    <mergeCell ref="C34:F34"/>
    <mergeCell ref="C37:F37"/>
    <mergeCell ref="C38:F38"/>
    <mergeCell ref="A1:Q1"/>
    <mergeCell ref="A2:Q2"/>
    <mergeCell ref="B3:Q3"/>
    <mergeCell ref="A5:A6"/>
    <mergeCell ref="B5:B6"/>
    <mergeCell ref="C5:C6"/>
    <mergeCell ref="D5:D6"/>
    <mergeCell ref="E5:E6"/>
    <mergeCell ref="F5:F6"/>
    <mergeCell ref="G5:N5"/>
    <mergeCell ref="P5:P6"/>
    <mergeCell ref="Q5:Q6"/>
  </mergeCells>
  <pageMargins left="0.7" right="0.7" top="0.75" bottom="0.75" header="0.3" footer="0.3"/>
  <pageSetup paperSize="9" orientation="portrait" horizontalDpi="180" verticalDpi="18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S52"/>
  <sheetViews>
    <sheetView topLeftCell="A19" zoomScaleNormal="100" workbookViewId="0">
      <selection activeCell="N62" sqref="N62"/>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140625" style="128"/>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2746</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191">
        <v>43770</v>
      </c>
      <c r="C7" s="138" t="s">
        <v>1381</v>
      </c>
      <c r="D7" s="138" t="s">
        <v>2768</v>
      </c>
      <c r="E7" s="146" t="s">
        <v>143</v>
      </c>
      <c r="F7" s="138"/>
      <c r="G7" s="138"/>
      <c r="H7" s="141"/>
      <c r="I7" s="138"/>
      <c r="J7" s="139">
        <v>1090000</v>
      </c>
      <c r="K7" s="141"/>
      <c r="L7" s="150"/>
      <c r="M7" s="141"/>
      <c r="N7" s="141"/>
      <c r="O7" s="139">
        <f>SUM(H7:N7)</f>
        <v>1090000</v>
      </c>
      <c r="P7" s="139">
        <v>4500000</v>
      </c>
      <c r="Q7" s="250">
        <f>P7-O7</f>
        <v>3410000</v>
      </c>
      <c r="R7" s="215"/>
    </row>
    <row r="8" spans="1:18" s="144" customFormat="1" ht="20.45" customHeight="1" x14ac:dyDescent="0.25">
      <c r="A8" s="211">
        <v>2</v>
      </c>
      <c r="B8" s="191">
        <v>43771</v>
      </c>
      <c r="C8" s="138" t="s">
        <v>2747</v>
      </c>
      <c r="D8" s="138" t="s">
        <v>2769</v>
      </c>
      <c r="E8" s="146" t="s">
        <v>201</v>
      </c>
      <c r="F8" s="138"/>
      <c r="G8" s="138"/>
      <c r="H8" s="141"/>
      <c r="I8" s="138"/>
      <c r="J8" s="139">
        <v>650000</v>
      </c>
      <c r="K8" s="141"/>
      <c r="L8" s="150"/>
      <c r="M8" s="141"/>
      <c r="N8" s="141"/>
      <c r="O8" s="139">
        <f t="shared" ref="O8:O40" si="0">SUM(H8:N8)</f>
        <v>650000</v>
      </c>
      <c r="P8" s="139">
        <v>3100000</v>
      </c>
      <c r="Q8" s="250">
        <f t="shared" ref="Q8:Q40" si="1">P8-O8</f>
        <v>2450000</v>
      </c>
      <c r="R8" s="215"/>
    </row>
    <row r="9" spans="1:18" s="144" customFormat="1" ht="20.45" customHeight="1" x14ac:dyDescent="0.25">
      <c r="A9" s="211">
        <v>3</v>
      </c>
      <c r="B9" s="191">
        <v>43773</v>
      </c>
      <c r="C9" s="138" t="s">
        <v>2748</v>
      </c>
      <c r="D9" s="138" t="s">
        <v>2770</v>
      </c>
      <c r="E9" s="146" t="s">
        <v>2794</v>
      </c>
      <c r="F9" s="138"/>
      <c r="G9" s="138">
        <v>330</v>
      </c>
      <c r="H9" s="141">
        <f>G9*16050</f>
        <v>5296500</v>
      </c>
      <c r="I9" s="138"/>
      <c r="J9" s="139">
        <v>1000000</v>
      </c>
      <c r="K9" s="141"/>
      <c r="L9" s="150"/>
      <c r="M9" s="141"/>
      <c r="N9" s="141"/>
      <c r="O9" s="139">
        <f t="shared" si="0"/>
        <v>6296500</v>
      </c>
      <c r="P9" s="139">
        <v>5800000</v>
      </c>
      <c r="Q9" s="250">
        <f t="shared" si="1"/>
        <v>-496500</v>
      </c>
      <c r="R9" s="215"/>
    </row>
    <row r="10" spans="1:18" s="144" customFormat="1" ht="20.45" customHeight="1" x14ac:dyDescent="0.25">
      <c r="A10" s="211">
        <v>4</v>
      </c>
      <c r="B10" s="191">
        <v>43774</v>
      </c>
      <c r="C10" s="138" t="s">
        <v>2749</v>
      </c>
      <c r="D10" s="138" t="s">
        <v>2771</v>
      </c>
      <c r="E10" s="146" t="s">
        <v>291</v>
      </c>
      <c r="F10" s="138"/>
      <c r="G10" s="138"/>
      <c r="H10" s="141"/>
      <c r="I10" s="138"/>
      <c r="J10" s="139">
        <v>1150000</v>
      </c>
      <c r="K10" s="141"/>
      <c r="L10" s="150"/>
      <c r="M10" s="141"/>
      <c r="N10" s="141"/>
      <c r="O10" s="139">
        <f t="shared" si="0"/>
        <v>1150000</v>
      </c>
      <c r="P10" s="141">
        <v>4000000</v>
      </c>
      <c r="Q10" s="250">
        <f t="shared" si="1"/>
        <v>2850000</v>
      </c>
      <c r="R10" s="215"/>
    </row>
    <row r="11" spans="1:18" s="144" customFormat="1" ht="20.45" customHeight="1" x14ac:dyDescent="0.25">
      <c r="A11" s="211">
        <v>5</v>
      </c>
      <c r="B11" s="191">
        <v>43775</v>
      </c>
      <c r="C11" s="138" t="s">
        <v>2750</v>
      </c>
      <c r="D11" s="138" t="s">
        <v>2772</v>
      </c>
      <c r="E11" s="146" t="s">
        <v>25</v>
      </c>
      <c r="F11" s="138"/>
      <c r="G11" s="138">
        <v>270</v>
      </c>
      <c r="H11" s="141">
        <f t="shared" ref="H11:H18" si="2">G11*16050</f>
        <v>4333500</v>
      </c>
      <c r="I11" s="138"/>
      <c r="J11" s="139">
        <v>1890000</v>
      </c>
      <c r="K11" s="141"/>
      <c r="L11" s="150"/>
      <c r="M11" s="141"/>
      <c r="N11" s="141"/>
      <c r="O11" s="139">
        <f t="shared" si="0"/>
        <v>6223500</v>
      </c>
      <c r="P11" s="141">
        <v>8045455</v>
      </c>
      <c r="Q11" s="250">
        <f t="shared" si="1"/>
        <v>1821955</v>
      </c>
      <c r="R11" s="215"/>
    </row>
    <row r="12" spans="1:18" s="144" customFormat="1" ht="20.45" customHeight="1" x14ac:dyDescent="0.25">
      <c r="A12" s="211">
        <v>6</v>
      </c>
      <c r="B12" s="191">
        <v>43776</v>
      </c>
      <c r="C12" s="138" t="s">
        <v>2751</v>
      </c>
      <c r="D12" s="138" t="s">
        <v>2773</v>
      </c>
      <c r="E12" s="146" t="s">
        <v>1937</v>
      </c>
      <c r="F12" s="138"/>
      <c r="G12" s="138"/>
      <c r="H12" s="141"/>
      <c r="I12" s="138"/>
      <c r="J12" s="139">
        <v>1150000</v>
      </c>
      <c r="K12" s="141"/>
      <c r="L12" s="150"/>
      <c r="M12" s="141"/>
      <c r="N12" s="141"/>
      <c r="O12" s="139">
        <f t="shared" si="0"/>
        <v>1150000</v>
      </c>
      <c r="P12" s="141">
        <v>3860000</v>
      </c>
      <c r="Q12" s="250">
        <f t="shared" si="1"/>
        <v>2710000</v>
      </c>
      <c r="R12" s="215"/>
    </row>
    <row r="13" spans="1:18" s="144" customFormat="1" ht="20.45" customHeight="1" x14ac:dyDescent="0.25">
      <c r="A13" s="211">
        <v>7</v>
      </c>
      <c r="B13" s="191">
        <v>43777</v>
      </c>
      <c r="C13" s="138" t="s">
        <v>2752</v>
      </c>
      <c r="D13" s="138" t="s">
        <v>2774</v>
      </c>
      <c r="E13" s="146" t="s">
        <v>1937</v>
      </c>
      <c r="F13" s="138"/>
      <c r="G13" s="138"/>
      <c r="H13" s="141"/>
      <c r="I13" s="138"/>
      <c r="J13" s="139">
        <v>1150000</v>
      </c>
      <c r="K13" s="141"/>
      <c r="L13" s="150"/>
      <c r="M13" s="141"/>
      <c r="N13" s="141"/>
      <c r="O13" s="139">
        <f t="shared" si="0"/>
        <v>1150000</v>
      </c>
      <c r="P13" s="141">
        <v>3860000</v>
      </c>
      <c r="Q13" s="250">
        <f t="shared" si="1"/>
        <v>2710000</v>
      </c>
      <c r="R13" s="215"/>
    </row>
    <row r="14" spans="1:18" s="144" customFormat="1" ht="20.45" customHeight="1" x14ac:dyDescent="0.25">
      <c r="A14" s="211">
        <v>8</v>
      </c>
      <c r="B14" s="191">
        <v>43778</v>
      </c>
      <c r="C14" s="138" t="s">
        <v>2073</v>
      </c>
      <c r="D14" s="138" t="s">
        <v>2775</v>
      </c>
      <c r="E14" s="146" t="s">
        <v>1937</v>
      </c>
      <c r="F14" s="138"/>
      <c r="G14" s="138">
        <v>290</v>
      </c>
      <c r="H14" s="141">
        <f t="shared" si="2"/>
        <v>4654500</v>
      </c>
      <c r="I14" s="138"/>
      <c r="J14" s="139">
        <f>1150000+300000</f>
        <v>1450000</v>
      </c>
      <c r="K14" s="141"/>
      <c r="L14" s="150"/>
      <c r="M14" s="141"/>
      <c r="N14" s="141"/>
      <c r="O14" s="139">
        <f t="shared" si="0"/>
        <v>6104500</v>
      </c>
      <c r="P14" s="141">
        <v>3860000</v>
      </c>
      <c r="Q14" s="250">
        <f t="shared" si="1"/>
        <v>-2244500</v>
      </c>
      <c r="R14" s="215"/>
    </row>
    <row r="15" spans="1:18" s="144" customFormat="1" ht="20.45" customHeight="1" x14ac:dyDescent="0.25">
      <c r="A15" s="211">
        <v>9</v>
      </c>
      <c r="B15" s="191">
        <v>43778</v>
      </c>
      <c r="C15" s="138" t="s">
        <v>2753</v>
      </c>
      <c r="D15" s="138" t="s">
        <v>2775</v>
      </c>
      <c r="E15" s="146" t="s">
        <v>2795</v>
      </c>
      <c r="F15" s="138"/>
      <c r="G15" s="138"/>
      <c r="H15" s="141"/>
      <c r="I15" s="138"/>
      <c r="J15" s="139"/>
      <c r="K15" s="141"/>
      <c r="L15" s="150"/>
      <c r="M15" s="141"/>
      <c r="N15" s="141"/>
      <c r="O15" s="139">
        <f t="shared" si="0"/>
        <v>0</v>
      </c>
      <c r="P15" s="141">
        <v>2000000</v>
      </c>
      <c r="Q15" s="250">
        <f t="shared" si="1"/>
        <v>2000000</v>
      </c>
      <c r="R15" s="215"/>
    </row>
    <row r="16" spans="1:18" s="144" customFormat="1" ht="20.45" customHeight="1" x14ac:dyDescent="0.25">
      <c r="A16" s="211">
        <v>10</v>
      </c>
      <c r="B16" s="191">
        <v>43779</v>
      </c>
      <c r="C16" s="138" t="s">
        <v>2074</v>
      </c>
      <c r="D16" s="138" t="s">
        <v>2776</v>
      </c>
      <c r="E16" s="146" t="s">
        <v>21</v>
      </c>
      <c r="F16" s="138"/>
      <c r="G16" s="138"/>
      <c r="H16" s="141"/>
      <c r="I16" s="138"/>
      <c r="J16" s="139">
        <v>790000</v>
      </c>
      <c r="K16" s="141"/>
      <c r="L16" s="150"/>
      <c r="M16" s="141"/>
      <c r="N16" s="141"/>
      <c r="O16" s="139">
        <f t="shared" si="0"/>
        <v>790000</v>
      </c>
      <c r="P16" s="141">
        <v>3000000</v>
      </c>
      <c r="Q16" s="250">
        <f t="shared" si="1"/>
        <v>2210000</v>
      </c>
      <c r="R16" s="215"/>
    </row>
    <row r="17" spans="1:18" s="144" customFormat="1" ht="20.45" customHeight="1" x14ac:dyDescent="0.25">
      <c r="A17" s="211">
        <v>11</v>
      </c>
      <c r="B17" s="191">
        <v>43780</v>
      </c>
      <c r="C17" s="138" t="s">
        <v>2754</v>
      </c>
      <c r="D17" s="138" t="s">
        <v>2777</v>
      </c>
      <c r="E17" s="146" t="s">
        <v>2796</v>
      </c>
      <c r="F17" s="138"/>
      <c r="G17" s="138"/>
      <c r="H17" s="141"/>
      <c r="I17" s="138"/>
      <c r="J17" s="139">
        <v>970000</v>
      </c>
      <c r="K17" s="141"/>
      <c r="L17" s="150"/>
      <c r="M17" s="141"/>
      <c r="N17" s="141"/>
      <c r="O17" s="139">
        <f t="shared" si="0"/>
        <v>970000</v>
      </c>
      <c r="P17" s="141">
        <v>4000000</v>
      </c>
      <c r="Q17" s="250">
        <f t="shared" si="1"/>
        <v>3030000</v>
      </c>
      <c r="R17" s="215"/>
    </row>
    <row r="18" spans="1:18" s="144" customFormat="1" ht="20.45" customHeight="1" x14ac:dyDescent="0.25">
      <c r="A18" s="211"/>
      <c r="B18" s="191">
        <v>43781</v>
      </c>
      <c r="C18" s="138" t="s">
        <v>2755</v>
      </c>
      <c r="D18" s="138" t="s">
        <v>2778</v>
      </c>
      <c r="E18" s="146" t="s">
        <v>25</v>
      </c>
      <c r="F18" s="138"/>
      <c r="G18" s="138">
        <v>360</v>
      </c>
      <c r="H18" s="141">
        <f t="shared" si="2"/>
        <v>5778000</v>
      </c>
      <c r="I18" s="138"/>
      <c r="J18" s="139">
        <v>1890000</v>
      </c>
      <c r="K18" s="141"/>
      <c r="L18" s="150"/>
      <c r="M18" s="141"/>
      <c r="N18" s="141"/>
      <c r="O18" s="139">
        <f t="shared" si="0"/>
        <v>7668000</v>
      </c>
      <c r="P18" s="141">
        <v>8045455</v>
      </c>
      <c r="Q18" s="250">
        <f t="shared" si="1"/>
        <v>377455</v>
      </c>
      <c r="R18" s="215"/>
    </row>
    <row r="19" spans="1:18" s="144" customFormat="1" ht="20.45" customHeight="1" x14ac:dyDescent="0.25">
      <c r="A19" s="211"/>
      <c r="B19" s="191">
        <v>43782</v>
      </c>
      <c r="C19" s="138" t="s">
        <v>2076</v>
      </c>
      <c r="D19" s="138" t="s">
        <v>2779</v>
      </c>
      <c r="E19" s="146" t="s">
        <v>723</v>
      </c>
      <c r="F19" s="138"/>
      <c r="G19" s="138"/>
      <c r="H19" s="141"/>
      <c r="I19" s="138"/>
      <c r="J19" s="139">
        <v>790000</v>
      </c>
      <c r="K19" s="141"/>
      <c r="L19" s="150"/>
      <c r="M19" s="141"/>
      <c r="N19" s="141"/>
      <c r="O19" s="139">
        <f t="shared" si="0"/>
        <v>790000</v>
      </c>
      <c r="P19" s="141">
        <v>2909091</v>
      </c>
      <c r="Q19" s="250">
        <f t="shared" si="1"/>
        <v>2119091</v>
      </c>
      <c r="R19" s="215"/>
    </row>
    <row r="20" spans="1:18" s="144" customFormat="1" ht="20.45" customHeight="1" x14ac:dyDescent="0.25">
      <c r="A20" s="211"/>
      <c r="B20" s="191">
        <v>43783</v>
      </c>
      <c r="C20" s="138" t="s">
        <v>2756</v>
      </c>
      <c r="D20" s="138" t="s">
        <v>2780</v>
      </c>
      <c r="E20" s="146" t="s">
        <v>2797</v>
      </c>
      <c r="F20" s="138"/>
      <c r="G20" s="138"/>
      <c r="H20" s="141"/>
      <c r="I20" s="138"/>
      <c r="J20" s="139">
        <v>1600000</v>
      </c>
      <c r="K20" s="141"/>
      <c r="L20" s="150"/>
      <c r="M20" s="141"/>
      <c r="N20" s="141"/>
      <c r="O20" s="139">
        <f t="shared" si="0"/>
        <v>1600000</v>
      </c>
      <c r="P20" s="141">
        <v>5100000</v>
      </c>
      <c r="Q20" s="250">
        <f t="shared" si="1"/>
        <v>3500000</v>
      </c>
      <c r="R20" s="215"/>
    </row>
    <row r="21" spans="1:18" s="144" customFormat="1" ht="20.45" customHeight="1" x14ac:dyDescent="0.25">
      <c r="A21" s="211"/>
      <c r="B21" s="191">
        <v>43784</v>
      </c>
      <c r="C21" s="138" t="s">
        <v>2757</v>
      </c>
      <c r="D21" s="138" t="s">
        <v>2781</v>
      </c>
      <c r="E21" s="146" t="s">
        <v>79</v>
      </c>
      <c r="F21" s="138"/>
      <c r="G21" s="138"/>
      <c r="H21" s="141"/>
      <c r="I21" s="138"/>
      <c r="J21" s="139">
        <v>1150000</v>
      </c>
      <c r="K21" s="141"/>
      <c r="L21" s="150"/>
      <c r="M21" s="141"/>
      <c r="N21" s="141"/>
      <c r="O21" s="139">
        <f t="shared" si="0"/>
        <v>1150000</v>
      </c>
      <c r="P21" s="141">
        <v>3900000</v>
      </c>
      <c r="Q21" s="250">
        <f t="shared" si="1"/>
        <v>2750000</v>
      </c>
      <c r="R21" s="215"/>
    </row>
    <row r="22" spans="1:18" s="144" customFormat="1" ht="20.45" customHeight="1" x14ac:dyDescent="0.25">
      <c r="A22" s="211"/>
      <c r="B22" s="191">
        <v>43785</v>
      </c>
      <c r="C22" s="138" t="s">
        <v>2758</v>
      </c>
      <c r="D22" s="138" t="s">
        <v>2782</v>
      </c>
      <c r="E22" s="146" t="s">
        <v>333</v>
      </c>
      <c r="F22" s="138"/>
      <c r="G22" s="138">
        <v>300</v>
      </c>
      <c r="H22" s="141">
        <f>G22*15960</f>
        <v>4788000</v>
      </c>
      <c r="I22" s="138"/>
      <c r="J22" s="139">
        <v>1160000</v>
      </c>
      <c r="K22" s="141"/>
      <c r="L22" s="150"/>
      <c r="M22" s="141"/>
      <c r="N22" s="141"/>
      <c r="O22" s="139">
        <f t="shared" si="0"/>
        <v>5948000</v>
      </c>
      <c r="P22" s="141">
        <v>5000000</v>
      </c>
      <c r="Q22" s="250">
        <f t="shared" si="1"/>
        <v>-948000</v>
      </c>
      <c r="R22" s="215"/>
    </row>
    <row r="23" spans="1:18" s="144" customFormat="1" ht="20.45" customHeight="1" x14ac:dyDescent="0.25">
      <c r="A23" s="211"/>
      <c r="B23" s="191">
        <v>43787</v>
      </c>
      <c r="C23" s="138" t="s">
        <v>2759</v>
      </c>
      <c r="D23" s="138" t="s">
        <v>2783</v>
      </c>
      <c r="E23" s="146" t="s">
        <v>2798</v>
      </c>
      <c r="F23" s="138"/>
      <c r="G23" s="138"/>
      <c r="H23" s="141"/>
      <c r="I23" s="138"/>
      <c r="J23" s="139">
        <v>970000</v>
      </c>
      <c r="K23" s="141"/>
      <c r="L23" s="150"/>
      <c r="M23" s="141"/>
      <c r="N23" s="141"/>
      <c r="O23" s="139">
        <f t="shared" si="0"/>
        <v>970000</v>
      </c>
      <c r="P23" s="141">
        <v>5500000</v>
      </c>
      <c r="Q23" s="250">
        <f t="shared" si="1"/>
        <v>4530000</v>
      </c>
      <c r="R23" s="215"/>
    </row>
    <row r="24" spans="1:18" s="144" customFormat="1" ht="20.45" customHeight="1" x14ac:dyDescent="0.25">
      <c r="A24" s="211"/>
      <c r="B24" s="191">
        <v>43788</v>
      </c>
      <c r="C24" s="138" t="s">
        <v>2081</v>
      </c>
      <c r="D24" s="138" t="s">
        <v>2784</v>
      </c>
      <c r="E24" s="146" t="s">
        <v>2799</v>
      </c>
      <c r="F24" s="138"/>
      <c r="G24" s="138">
        <v>360</v>
      </c>
      <c r="H24" s="141">
        <f t="shared" ref="H24:H32" si="3">G24*15960</f>
        <v>5745600</v>
      </c>
      <c r="I24" s="138"/>
      <c r="J24" s="139">
        <v>1010000</v>
      </c>
      <c r="K24" s="141"/>
      <c r="L24" s="150"/>
      <c r="M24" s="141"/>
      <c r="N24" s="141"/>
      <c r="O24" s="139">
        <f t="shared" si="0"/>
        <v>6755600</v>
      </c>
      <c r="P24" s="141">
        <v>4200000</v>
      </c>
      <c r="Q24" s="250">
        <f t="shared" si="1"/>
        <v>-2555600</v>
      </c>
      <c r="R24" s="215"/>
    </row>
    <row r="25" spans="1:18" s="144" customFormat="1" ht="20.45" customHeight="1" x14ac:dyDescent="0.25">
      <c r="A25" s="211"/>
      <c r="B25" s="191">
        <v>43789</v>
      </c>
      <c r="C25" s="138" t="s">
        <v>2760</v>
      </c>
      <c r="D25" s="138" t="s">
        <v>2616</v>
      </c>
      <c r="E25" s="146" t="s">
        <v>2800</v>
      </c>
      <c r="F25" s="138"/>
      <c r="G25" s="138"/>
      <c r="H25" s="141"/>
      <c r="I25" s="138"/>
      <c r="J25" s="139">
        <v>970000</v>
      </c>
      <c r="K25" s="141"/>
      <c r="L25" s="150"/>
      <c r="M25" s="141"/>
      <c r="N25" s="141"/>
      <c r="O25" s="139">
        <f t="shared" si="0"/>
        <v>970000</v>
      </c>
      <c r="P25" s="141">
        <v>3581818</v>
      </c>
      <c r="Q25" s="250">
        <f t="shared" si="1"/>
        <v>2611818</v>
      </c>
      <c r="R25" s="215"/>
    </row>
    <row r="26" spans="1:18" s="144" customFormat="1" ht="20.45" customHeight="1" x14ac:dyDescent="0.25">
      <c r="A26" s="211">
        <v>12</v>
      </c>
      <c r="B26" s="191">
        <v>43790</v>
      </c>
      <c r="C26" s="138" t="s">
        <v>2761</v>
      </c>
      <c r="D26" s="138" t="s">
        <v>2785</v>
      </c>
      <c r="E26" s="146" t="s">
        <v>2801</v>
      </c>
      <c r="F26" s="138"/>
      <c r="G26" s="138"/>
      <c r="H26" s="141"/>
      <c r="I26" s="138"/>
      <c r="J26" s="139">
        <v>1510000</v>
      </c>
      <c r="K26" s="141"/>
      <c r="L26" s="150"/>
      <c r="M26" s="141"/>
      <c r="N26" s="141"/>
      <c r="O26" s="139">
        <f t="shared" si="0"/>
        <v>1510000</v>
      </c>
      <c r="P26" s="141">
        <v>5600000</v>
      </c>
      <c r="Q26" s="250">
        <f t="shared" si="1"/>
        <v>4090000</v>
      </c>
      <c r="R26" s="215"/>
    </row>
    <row r="27" spans="1:18" s="144" customFormat="1" ht="20.45" customHeight="1" x14ac:dyDescent="0.25">
      <c r="A27" s="211">
        <v>13</v>
      </c>
      <c r="B27" s="191">
        <v>43791</v>
      </c>
      <c r="C27" s="138" t="s">
        <v>2762</v>
      </c>
      <c r="D27" s="138" t="s">
        <v>2786</v>
      </c>
      <c r="E27" s="146" t="s">
        <v>333</v>
      </c>
      <c r="F27" s="138"/>
      <c r="G27" s="138">
        <v>365</v>
      </c>
      <c r="H27" s="141">
        <f t="shared" si="3"/>
        <v>5825400</v>
      </c>
      <c r="I27" s="138"/>
      <c r="J27" s="139">
        <v>1160000</v>
      </c>
      <c r="K27" s="141"/>
      <c r="L27" s="150"/>
      <c r="M27" s="141"/>
      <c r="N27" s="141"/>
      <c r="O27" s="139">
        <f t="shared" si="0"/>
        <v>6985400</v>
      </c>
      <c r="P27" s="141">
        <v>5000000</v>
      </c>
      <c r="Q27" s="250">
        <f t="shared" si="1"/>
        <v>-1985400</v>
      </c>
      <c r="R27" s="215"/>
    </row>
    <row r="28" spans="1:18" s="144" customFormat="1" ht="20.45" customHeight="1" x14ac:dyDescent="0.25">
      <c r="A28" s="211">
        <v>14</v>
      </c>
      <c r="B28" s="191">
        <v>43792</v>
      </c>
      <c r="C28" s="138" t="s">
        <v>2763</v>
      </c>
      <c r="D28" s="192" t="s">
        <v>2787</v>
      </c>
      <c r="E28" s="146" t="s">
        <v>2801</v>
      </c>
      <c r="F28" s="138"/>
      <c r="G28" s="138"/>
      <c r="H28" s="141"/>
      <c r="I28" s="138"/>
      <c r="J28" s="139">
        <v>1510000</v>
      </c>
      <c r="K28" s="141"/>
      <c r="L28" s="150"/>
      <c r="M28" s="141"/>
      <c r="N28" s="141"/>
      <c r="O28" s="139">
        <f t="shared" si="0"/>
        <v>1510000</v>
      </c>
      <c r="P28" s="208">
        <v>5500000</v>
      </c>
      <c r="Q28" s="250">
        <f t="shared" si="1"/>
        <v>3990000</v>
      </c>
      <c r="R28" s="215"/>
    </row>
    <row r="29" spans="1:18" s="144" customFormat="1" ht="20.45" customHeight="1" x14ac:dyDescent="0.25">
      <c r="A29" s="211">
        <v>15</v>
      </c>
      <c r="B29" s="191">
        <v>43794</v>
      </c>
      <c r="C29" s="138" t="s">
        <v>741</v>
      </c>
      <c r="D29" s="138" t="s">
        <v>2788</v>
      </c>
      <c r="E29" s="146" t="s">
        <v>409</v>
      </c>
      <c r="F29" s="138"/>
      <c r="G29" s="138"/>
      <c r="H29" s="141"/>
      <c r="I29" s="138"/>
      <c r="J29" s="139">
        <v>790000</v>
      </c>
      <c r="K29" s="141"/>
      <c r="L29" s="150"/>
      <c r="M29" s="141"/>
      <c r="N29" s="141"/>
      <c r="O29" s="139">
        <f t="shared" si="0"/>
        <v>790000</v>
      </c>
      <c r="P29" s="141">
        <v>3054545</v>
      </c>
      <c r="Q29" s="250">
        <f t="shared" si="1"/>
        <v>2264545</v>
      </c>
      <c r="R29" s="215"/>
    </row>
    <row r="30" spans="1:18" s="144" customFormat="1" ht="20.45" customHeight="1" x14ac:dyDescent="0.25">
      <c r="A30" s="211">
        <v>16</v>
      </c>
      <c r="B30" s="191">
        <v>43795</v>
      </c>
      <c r="C30" s="138" t="s">
        <v>2764</v>
      </c>
      <c r="D30" s="138" t="s">
        <v>2789</v>
      </c>
      <c r="E30" s="146" t="s">
        <v>243</v>
      </c>
      <c r="F30" s="138"/>
      <c r="G30" s="138">
        <v>275</v>
      </c>
      <c r="H30" s="141">
        <f t="shared" si="3"/>
        <v>4389000</v>
      </c>
      <c r="I30" s="138"/>
      <c r="J30" s="139">
        <v>650000</v>
      </c>
      <c r="K30" s="141"/>
      <c r="L30" s="150"/>
      <c r="M30" s="141"/>
      <c r="N30" s="141"/>
      <c r="O30" s="139">
        <f t="shared" si="0"/>
        <v>5039000</v>
      </c>
      <c r="P30" s="141">
        <v>2800000</v>
      </c>
      <c r="Q30" s="250">
        <f t="shared" si="1"/>
        <v>-2239000</v>
      </c>
      <c r="R30" s="215"/>
    </row>
    <row r="31" spans="1:18" s="144" customFormat="1" ht="20.45" customHeight="1" x14ac:dyDescent="0.25">
      <c r="A31" s="211">
        <v>17</v>
      </c>
      <c r="B31" s="191">
        <v>43796</v>
      </c>
      <c r="C31" s="138" t="s">
        <v>2765</v>
      </c>
      <c r="D31" s="138" t="s">
        <v>2790</v>
      </c>
      <c r="E31" s="146" t="s">
        <v>25</v>
      </c>
      <c r="F31" s="138"/>
      <c r="G31" s="138"/>
      <c r="H31" s="141"/>
      <c r="I31" s="138"/>
      <c r="J31" s="139">
        <v>1890000</v>
      </c>
      <c r="K31" s="141"/>
      <c r="L31" s="150"/>
      <c r="M31" s="141"/>
      <c r="N31" s="141"/>
      <c r="O31" s="139">
        <f t="shared" si="0"/>
        <v>1890000</v>
      </c>
      <c r="P31" s="141">
        <v>8045455</v>
      </c>
      <c r="Q31" s="250">
        <f t="shared" si="1"/>
        <v>6155455</v>
      </c>
      <c r="R31" s="215"/>
    </row>
    <row r="32" spans="1:18" s="144" customFormat="1" ht="20.45" customHeight="1" x14ac:dyDescent="0.25">
      <c r="A32" s="211">
        <v>18</v>
      </c>
      <c r="B32" s="191">
        <v>43797</v>
      </c>
      <c r="C32" s="138" t="s">
        <v>2088</v>
      </c>
      <c r="D32" s="138" t="s">
        <v>2791</v>
      </c>
      <c r="E32" s="146" t="s">
        <v>894</v>
      </c>
      <c r="F32" s="138"/>
      <c r="G32" s="138">
        <v>270</v>
      </c>
      <c r="H32" s="141">
        <f t="shared" si="3"/>
        <v>4309200</v>
      </c>
      <c r="I32" s="138"/>
      <c r="J32" s="139">
        <v>790000</v>
      </c>
      <c r="K32" s="141"/>
      <c r="L32" s="150"/>
      <c r="M32" s="141"/>
      <c r="N32" s="141"/>
      <c r="O32" s="139">
        <f t="shared" si="0"/>
        <v>5099200</v>
      </c>
      <c r="P32" s="141">
        <v>4000000</v>
      </c>
      <c r="Q32" s="250">
        <f t="shared" si="1"/>
        <v>-1099200</v>
      </c>
      <c r="R32" s="215"/>
    </row>
    <row r="33" spans="1:19" s="144" customFormat="1" ht="20.45" customHeight="1" x14ac:dyDescent="0.25">
      <c r="A33" s="211">
        <v>19</v>
      </c>
      <c r="B33" s="191">
        <v>43798</v>
      </c>
      <c r="C33" s="138" t="s">
        <v>2766</v>
      </c>
      <c r="D33" s="138" t="s">
        <v>2792</v>
      </c>
      <c r="E33" s="146" t="s">
        <v>2062</v>
      </c>
      <c r="F33" s="138"/>
      <c r="G33" s="138"/>
      <c r="H33" s="141"/>
      <c r="I33" s="138"/>
      <c r="J33" s="139">
        <v>1400000</v>
      </c>
      <c r="K33" s="141"/>
      <c r="L33" s="150"/>
      <c r="M33" s="141"/>
      <c r="N33" s="141"/>
      <c r="O33" s="139">
        <f t="shared" si="0"/>
        <v>1400000</v>
      </c>
      <c r="P33" s="141">
        <v>5600000</v>
      </c>
      <c r="Q33" s="250">
        <f t="shared" si="1"/>
        <v>4200000</v>
      </c>
      <c r="R33" s="215"/>
    </row>
    <row r="34" spans="1:19" s="144" customFormat="1" ht="20.45" customHeight="1" x14ac:dyDescent="0.25">
      <c r="A34" s="211">
        <v>20</v>
      </c>
      <c r="B34" s="191">
        <v>43798</v>
      </c>
      <c r="C34" s="138" t="s">
        <v>2767</v>
      </c>
      <c r="D34" s="138" t="s">
        <v>2793</v>
      </c>
      <c r="E34" s="146" t="s">
        <v>1336</v>
      </c>
      <c r="F34" s="138"/>
      <c r="G34" s="138"/>
      <c r="H34" s="141"/>
      <c r="I34" s="138"/>
      <c r="J34" s="139">
        <v>1150000</v>
      </c>
      <c r="K34" s="141"/>
      <c r="L34" s="150"/>
      <c r="M34" s="141"/>
      <c r="N34" s="141"/>
      <c r="O34" s="139">
        <f t="shared" si="0"/>
        <v>1150000</v>
      </c>
      <c r="P34" s="141">
        <v>3900000</v>
      </c>
      <c r="Q34" s="250">
        <f t="shared" si="1"/>
        <v>2750000</v>
      </c>
      <c r="R34" s="215"/>
    </row>
    <row r="35" spans="1:19" s="144" customFormat="1" ht="20.45" customHeight="1" x14ac:dyDescent="0.25">
      <c r="A35" s="211"/>
      <c r="B35" s="232"/>
      <c r="C35" s="265" t="s">
        <v>2233</v>
      </c>
      <c r="D35" s="277"/>
      <c r="E35" s="278"/>
      <c r="F35" s="279"/>
      <c r="G35" s="138"/>
      <c r="H35" s="141"/>
      <c r="I35" s="138"/>
      <c r="J35" s="139"/>
      <c r="K35" s="141"/>
      <c r="L35" s="185">
        <v>2400000</v>
      </c>
      <c r="M35" s="141"/>
      <c r="N35" s="141"/>
      <c r="O35" s="139">
        <f t="shared" si="0"/>
        <v>2400000</v>
      </c>
      <c r="P35" s="141"/>
      <c r="Q35" s="250">
        <f t="shared" si="1"/>
        <v>-2400000</v>
      </c>
      <c r="R35" s="215"/>
    </row>
    <row r="36" spans="1:19" s="144" customFormat="1" ht="20.45" customHeight="1" x14ac:dyDescent="0.25">
      <c r="A36" s="211"/>
      <c r="B36" s="232"/>
      <c r="C36" s="437" t="s">
        <v>2804</v>
      </c>
      <c r="D36" s="438"/>
      <c r="E36" s="438"/>
      <c r="F36" s="439"/>
      <c r="G36" s="220"/>
      <c r="H36" s="219"/>
      <c r="I36" s="220"/>
      <c r="J36" s="157"/>
      <c r="K36" s="157"/>
      <c r="L36" s="219"/>
      <c r="M36" s="185">
        <v>11600000</v>
      </c>
      <c r="N36" s="157"/>
      <c r="O36" s="139">
        <f t="shared" si="0"/>
        <v>11600000</v>
      </c>
      <c r="P36" s="139"/>
      <c r="Q36" s="250">
        <f t="shared" si="1"/>
        <v>-11600000</v>
      </c>
      <c r="R36" s="215"/>
    </row>
    <row r="37" spans="1:19" s="144" customFormat="1" ht="20.45" customHeight="1" x14ac:dyDescent="0.25">
      <c r="A37" s="211"/>
      <c r="C37" s="437" t="s">
        <v>2802</v>
      </c>
      <c r="D37" s="438"/>
      <c r="E37" s="438"/>
      <c r="F37" s="439"/>
      <c r="G37" s="138"/>
      <c r="H37" s="139"/>
      <c r="I37" s="138"/>
      <c r="J37" s="141"/>
      <c r="K37" s="141"/>
      <c r="L37" s="185">
        <v>150000</v>
      </c>
      <c r="M37" s="219"/>
      <c r="N37" s="157"/>
      <c r="O37" s="139">
        <f t="shared" si="0"/>
        <v>150000</v>
      </c>
      <c r="P37" s="139"/>
      <c r="Q37" s="250">
        <f t="shared" si="1"/>
        <v>-150000</v>
      </c>
      <c r="R37" s="215"/>
    </row>
    <row r="38" spans="1:19" s="144" customFormat="1" ht="20.45" customHeight="1" x14ac:dyDescent="0.25">
      <c r="A38" s="211"/>
      <c r="C38" s="437" t="s">
        <v>2803</v>
      </c>
      <c r="D38" s="438"/>
      <c r="E38" s="438"/>
      <c r="F38" s="439"/>
      <c r="G38" s="138"/>
      <c r="H38" s="139"/>
      <c r="I38" s="138"/>
      <c r="J38" s="141"/>
      <c r="K38" s="157"/>
      <c r="L38" s="185">
        <v>102000</v>
      </c>
      <c r="M38" s="157"/>
      <c r="N38" s="157"/>
      <c r="O38" s="139">
        <f t="shared" si="0"/>
        <v>102000</v>
      </c>
      <c r="P38" s="139"/>
      <c r="Q38" s="250">
        <f t="shared" si="1"/>
        <v>-102000</v>
      </c>
      <c r="R38" s="215"/>
    </row>
    <row r="39" spans="1:19" s="159" customFormat="1" ht="20.45" customHeight="1" x14ac:dyDescent="0.25">
      <c r="A39" s="211"/>
      <c r="B39" s="165"/>
      <c r="C39" s="440" t="s">
        <v>1337</v>
      </c>
      <c r="D39" s="441"/>
      <c r="E39" s="441"/>
      <c r="F39" s="442"/>
      <c r="G39" s="195"/>
      <c r="H39" s="155"/>
      <c r="I39" s="195"/>
      <c r="J39" s="155"/>
      <c r="K39" s="219">
        <v>9346154</v>
      </c>
      <c r="L39" s="155"/>
      <c r="M39" s="155"/>
      <c r="N39" s="155"/>
      <c r="O39" s="139">
        <f t="shared" si="0"/>
        <v>9346154</v>
      </c>
      <c r="P39" s="139"/>
      <c r="Q39" s="250">
        <f t="shared" si="1"/>
        <v>-9346154</v>
      </c>
      <c r="R39" s="215"/>
    </row>
    <row r="40" spans="1:19" s="159" customFormat="1" ht="20.45" customHeight="1" x14ac:dyDescent="0.25">
      <c r="A40" s="211"/>
      <c r="B40" s="203"/>
      <c r="C40" s="434" t="s">
        <v>1094</v>
      </c>
      <c r="D40" s="435"/>
      <c r="E40" s="435"/>
      <c r="F40" s="436"/>
      <c r="G40" s="153"/>
      <c r="H40" s="156"/>
      <c r="I40" s="153"/>
      <c r="J40" s="156"/>
      <c r="K40" s="204">
        <f>1200000*1.1</f>
        <v>1320000</v>
      </c>
      <c r="L40" s="204"/>
      <c r="M40" s="156"/>
      <c r="N40" s="156"/>
      <c r="O40" s="139">
        <f t="shared" si="0"/>
        <v>1320000</v>
      </c>
      <c r="P40" s="139"/>
      <c r="Q40" s="250">
        <f t="shared" si="1"/>
        <v>-1320000</v>
      </c>
      <c r="R40" s="215"/>
    </row>
    <row r="41" spans="1:19" ht="20.45" customHeight="1" x14ac:dyDescent="0.25">
      <c r="A41" s="426" t="s">
        <v>20</v>
      </c>
      <c r="B41" s="426"/>
      <c r="C41" s="426"/>
      <c r="D41" s="426"/>
      <c r="E41" s="426"/>
      <c r="F41" s="426"/>
      <c r="G41" s="161">
        <f t="shared" ref="G41:Q41" si="4">SUM(G7:G40)</f>
        <v>2820</v>
      </c>
      <c r="H41" s="161">
        <f t="shared" si="4"/>
        <v>45119700</v>
      </c>
      <c r="I41" s="161">
        <f t="shared" si="4"/>
        <v>0</v>
      </c>
      <c r="J41" s="161">
        <f t="shared" si="4"/>
        <v>31680000</v>
      </c>
      <c r="K41" s="161">
        <f t="shared" si="4"/>
        <v>10666154</v>
      </c>
      <c r="L41" s="161">
        <f t="shared" si="4"/>
        <v>2652000</v>
      </c>
      <c r="M41" s="161">
        <f t="shared" si="4"/>
        <v>11600000</v>
      </c>
      <c r="N41" s="161">
        <f t="shared" si="4"/>
        <v>0</v>
      </c>
      <c r="O41" s="161">
        <f t="shared" si="4"/>
        <v>101717854</v>
      </c>
      <c r="P41" s="161">
        <f t="shared" si="4"/>
        <v>127761819</v>
      </c>
      <c r="Q41" s="161">
        <f t="shared" si="4"/>
        <v>26043965</v>
      </c>
    </row>
    <row r="42" spans="1:19" ht="24.95" customHeight="1" x14ac:dyDescent="0.25">
      <c r="O42" s="158"/>
      <c r="Q42" s="158">
        <f>P41-O41</f>
        <v>26043965</v>
      </c>
    </row>
    <row r="43" spans="1:19" ht="13.9" customHeight="1" x14ac:dyDescent="0.25">
      <c r="P43" s="216" t="s">
        <v>1603</v>
      </c>
      <c r="Q43" s="227">
        <f>'10.2019'!Q41+'11.2019'!Q41</f>
        <v>233435861.30769229</v>
      </c>
      <c r="S43" s="216">
        <f>Q43+'12.2018'!Q47+'12-2017'!Q48+'12.2016'!Q43+'T12.2015'!T48</f>
        <v>1611003984.131763</v>
      </c>
    </row>
    <row r="44" spans="1:19" ht="13.9" customHeight="1" x14ac:dyDescent="0.25">
      <c r="B44" s="129"/>
      <c r="H44" s="128"/>
      <c r="J44" s="128"/>
      <c r="K44" s="128"/>
      <c r="L44" s="128"/>
      <c r="M44" s="128"/>
      <c r="N44" s="128"/>
      <c r="O44" s="128"/>
      <c r="P44" s="218" t="s">
        <v>106</v>
      </c>
      <c r="Q44" s="216">
        <f>11*2000000</f>
        <v>22000000</v>
      </c>
    </row>
    <row r="45" spans="1:19" ht="13.9" customHeight="1" x14ac:dyDescent="0.25">
      <c r="B45" s="129"/>
      <c r="H45" s="128"/>
      <c r="J45" s="128"/>
      <c r="K45" s="128"/>
      <c r="L45" s="128"/>
      <c r="M45" s="128"/>
      <c r="N45" s="128"/>
      <c r="O45" s="128"/>
      <c r="P45" s="218" t="s">
        <v>2805</v>
      </c>
      <c r="Q45" s="230">
        <f>Q43-Q44</f>
        <v>211435861.30769229</v>
      </c>
    </row>
    <row r="46" spans="1:19" ht="13.9" customHeight="1" x14ac:dyDescent="0.25">
      <c r="B46" s="129"/>
      <c r="H46" s="128"/>
      <c r="J46" s="128"/>
      <c r="K46" s="128"/>
      <c r="L46" s="128"/>
      <c r="M46" s="128"/>
      <c r="N46" s="128"/>
      <c r="O46" s="128"/>
      <c r="P46" s="218" t="s">
        <v>2806</v>
      </c>
      <c r="Q46" s="230">
        <f>Q45*23.6%</f>
        <v>49898863.26861538</v>
      </c>
    </row>
    <row r="47" spans="1:19" ht="13.9" customHeight="1" x14ac:dyDescent="0.25">
      <c r="B47" s="129"/>
      <c r="H47" s="128"/>
      <c r="J47" s="128"/>
      <c r="K47" s="128"/>
      <c r="L47" s="128"/>
      <c r="M47" s="128"/>
      <c r="N47" s="128"/>
      <c r="O47" s="128"/>
      <c r="P47" s="218" t="s">
        <v>2807</v>
      </c>
      <c r="Q47" s="216">
        <f>700000000*23.6%</f>
        <v>165200000</v>
      </c>
    </row>
    <row r="48" spans="1:19" x14ac:dyDescent="0.25">
      <c r="B48" s="129"/>
      <c r="H48" s="128"/>
      <c r="J48" s="128"/>
      <c r="K48" s="128"/>
      <c r="L48" s="128"/>
      <c r="M48" s="128"/>
      <c r="N48" s="128"/>
      <c r="O48" s="128"/>
      <c r="P48" s="218" t="s">
        <v>2808</v>
      </c>
      <c r="Q48" s="216">
        <f>SUM(Q46:Q47)</f>
        <v>215098863.26861537</v>
      </c>
    </row>
    <row r="49" spans="1:17" x14ac:dyDescent="0.25">
      <c r="A49" s="128"/>
      <c r="B49" s="129"/>
      <c r="H49" s="128"/>
      <c r="J49" s="128"/>
      <c r="K49" s="128"/>
      <c r="L49" s="128"/>
      <c r="M49" s="128"/>
      <c r="N49" s="128"/>
      <c r="O49" s="128"/>
      <c r="P49" s="218" t="s">
        <v>2809</v>
      </c>
      <c r="Q49" s="216">
        <v>200000000</v>
      </c>
    </row>
    <row r="50" spans="1:17" x14ac:dyDescent="0.25">
      <c r="A50" s="128"/>
      <c r="B50" s="129"/>
      <c r="H50" s="128"/>
      <c r="J50" s="128"/>
      <c r="K50" s="128"/>
      <c r="L50" s="128"/>
      <c r="M50" s="128"/>
      <c r="N50" s="128"/>
      <c r="O50" s="128"/>
      <c r="P50" s="218" t="s">
        <v>2810</v>
      </c>
      <c r="Q50" s="216">
        <f>Q48-Q49</f>
        <v>15098863.268615365</v>
      </c>
    </row>
    <row r="51" spans="1:17" x14ac:dyDescent="0.25">
      <c r="A51" s="128"/>
      <c r="B51" s="128"/>
      <c r="H51" s="128"/>
      <c r="J51" s="128"/>
      <c r="K51" s="128"/>
      <c r="L51" s="128"/>
      <c r="M51" s="128"/>
      <c r="N51" s="128"/>
      <c r="O51" s="128"/>
      <c r="P51" s="128"/>
      <c r="Q51" s="216"/>
    </row>
    <row r="52" spans="1:17" x14ac:dyDescent="0.25">
      <c r="A52" s="128"/>
      <c r="B52" s="128"/>
      <c r="H52" s="128"/>
      <c r="J52" s="128"/>
      <c r="K52" s="128"/>
      <c r="L52" s="128"/>
      <c r="M52" s="128"/>
      <c r="N52" s="128"/>
      <c r="O52" s="128"/>
      <c r="P52" s="128"/>
      <c r="Q52" s="216"/>
    </row>
  </sheetData>
  <mergeCells count="19">
    <mergeCell ref="C39:F39"/>
    <mergeCell ref="C40:F40"/>
    <mergeCell ref="A41:F41"/>
    <mergeCell ref="O5:O6"/>
    <mergeCell ref="P5:P6"/>
    <mergeCell ref="Q5:Q6"/>
    <mergeCell ref="C36:F36"/>
    <mergeCell ref="C37:F37"/>
    <mergeCell ref="C38:F38"/>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180" verticalDpi="18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51"/>
  <sheetViews>
    <sheetView topLeftCell="A32" zoomScaleNormal="100" workbookViewId="0">
      <selection activeCell="P43" sqref="P43:P4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2811</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191">
        <v>44167</v>
      </c>
      <c r="C7" s="138" t="s">
        <v>1444</v>
      </c>
      <c r="D7" s="138" t="s">
        <v>2826</v>
      </c>
      <c r="E7" s="146" t="s">
        <v>2849</v>
      </c>
      <c r="F7" s="138"/>
      <c r="G7" s="138">
        <v>360</v>
      </c>
      <c r="H7" s="141">
        <f>G7*15980</f>
        <v>5752800</v>
      </c>
      <c r="I7" s="138"/>
      <c r="J7" s="226">
        <v>1160000</v>
      </c>
      <c r="K7" s="141"/>
      <c r="L7" s="150"/>
      <c r="M7" s="141"/>
      <c r="N7" s="141"/>
      <c r="O7" s="139">
        <f>SUM(H7:N7)</f>
        <v>6912800</v>
      </c>
      <c r="P7" s="139">
        <v>5000000</v>
      </c>
      <c r="Q7" s="250">
        <f>P7-O7</f>
        <v>-1912800</v>
      </c>
      <c r="R7" s="215"/>
    </row>
    <row r="8" spans="1:18" s="144" customFormat="1" ht="20.45" customHeight="1" x14ac:dyDescent="0.25">
      <c r="A8" s="211">
        <v>2</v>
      </c>
      <c r="B8" s="191">
        <v>44168</v>
      </c>
      <c r="C8" s="138" t="s">
        <v>2812</v>
      </c>
      <c r="D8" s="138" t="s">
        <v>2827</v>
      </c>
      <c r="E8" s="146" t="s">
        <v>2497</v>
      </c>
      <c r="F8" s="138"/>
      <c r="G8" s="138"/>
      <c r="H8" s="141"/>
      <c r="I8" s="138"/>
      <c r="J8" s="226">
        <v>1150000</v>
      </c>
      <c r="K8" s="141"/>
      <c r="L8" s="150"/>
      <c r="M8" s="141"/>
      <c r="N8" s="141"/>
      <c r="O8" s="139">
        <f t="shared" ref="O8:O39" si="0">SUM(H8:N8)</f>
        <v>1150000</v>
      </c>
      <c r="P8" s="139">
        <v>3350000</v>
      </c>
      <c r="Q8" s="250">
        <f t="shared" ref="Q8:Q39" si="1">P8-O8</f>
        <v>2200000</v>
      </c>
      <c r="R8" s="215"/>
    </row>
    <row r="9" spans="1:18" s="144" customFormat="1" ht="20.45" customHeight="1" x14ac:dyDescent="0.25">
      <c r="A9" s="211">
        <v>3</v>
      </c>
      <c r="B9" s="191">
        <v>44169</v>
      </c>
      <c r="C9" s="138" t="s">
        <v>2813</v>
      </c>
      <c r="D9" s="138" t="s">
        <v>2828</v>
      </c>
      <c r="E9" s="146" t="s">
        <v>2850</v>
      </c>
      <c r="F9" s="138"/>
      <c r="G9" s="138"/>
      <c r="H9" s="141"/>
      <c r="I9" s="138"/>
      <c r="J9" s="226">
        <v>970000</v>
      </c>
      <c r="K9" s="141"/>
      <c r="L9" s="150"/>
      <c r="M9" s="141"/>
      <c r="N9" s="141"/>
      <c r="O9" s="139">
        <f t="shared" si="0"/>
        <v>970000</v>
      </c>
      <c r="P9" s="139">
        <v>3250000</v>
      </c>
      <c r="Q9" s="250">
        <f t="shared" si="1"/>
        <v>2280000</v>
      </c>
      <c r="R9" s="215"/>
    </row>
    <row r="10" spans="1:18" s="144" customFormat="1" ht="20.45" customHeight="1" x14ac:dyDescent="0.25">
      <c r="A10" s="211">
        <v>4</v>
      </c>
      <c r="B10" s="191">
        <v>44170</v>
      </c>
      <c r="C10" s="138" t="s">
        <v>780</v>
      </c>
      <c r="D10" s="138" t="s">
        <v>2829</v>
      </c>
      <c r="E10" s="146" t="s">
        <v>2599</v>
      </c>
      <c r="F10" s="138"/>
      <c r="G10" s="138">
        <v>320</v>
      </c>
      <c r="H10" s="141">
        <f t="shared" ref="H10:H17" si="2">G10*15980</f>
        <v>5113600</v>
      </c>
      <c r="I10" s="138"/>
      <c r="J10" s="226">
        <v>1520000</v>
      </c>
      <c r="K10" s="141"/>
      <c r="L10" s="150"/>
      <c r="M10" s="141"/>
      <c r="N10" s="141"/>
      <c r="O10" s="139">
        <f t="shared" si="0"/>
        <v>6633600</v>
      </c>
      <c r="P10" s="141">
        <v>5100000</v>
      </c>
      <c r="Q10" s="250">
        <f t="shared" si="1"/>
        <v>-1533600</v>
      </c>
      <c r="R10" s="215"/>
    </row>
    <row r="11" spans="1:18" s="144" customFormat="1" ht="20.45" customHeight="1" x14ac:dyDescent="0.25">
      <c r="A11" s="211">
        <v>5</v>
      </c>
      <c r="B11" s="191">
        <v>44171</v>
      </c>
      <c r="C11" s="138" t="s">
        <v>2814</v>
      </c>
      <c r="D11" s="138" t="s">
        <v>2830</v>
      </c>
      <c r="E11" s="146" t="s">
        <v>177</v>
      </c>
      <c r="F11" s="138"/>
      <c r="G11" s="138"/>
      <c r="H11" s="141"/>
      <c r="I11" s="138"/>
      <c r="J11" s="226">
        <v>1150000</v>
      </c>
      <c r="K11" s="141"/>
      <c r="L11" s="150"/>
      <c r="M11" s="141"/>
      <c r="N11" s="141"/>
      <c r="O11" s="139">
        <f t="shared" si="0"/>
        <v>1150000</v>
      </c>
      <c r="P11" s="141">
        <v>3700000</v>
      </c>
      <c r="Q11" s="250">
        <f t="shared" si="1"/>
        <v>2550000</v>
      </c>
      <c r="R11" s="215"/>
    </row>
    <row r="12" spans="1:18" s="144" customFormat="1" ht="20.45" customHeight="1" x14ac:dyDescent="0.25">
      <c r="A12" s="211">
        <v>6</v>
      </c>
      <c r="B12" s="191">
        <v>44172</v>
      </c>
      <c r="C12" s="138" t="s">
        <v>1447</v>
      </c>
      <c r="D12" s="138" t="s">
        <v>2831</v>
      </c>
      <c r="E12" s="146" t="s">
        <v>333</v>
      </c>
      <c r="F12" s="138"/>
      <c r="G12" s="138"/>
      <c r="H12" s="141"/>
      <c r="I12" s="138"/>
      <c r="J12" s="226">
        <v>1160000</v>
      </c>
      <c r="K12" s="141"/>
      <c r="L12" s="150"/>
      <c r="M12" s="141"/>
      <c r="N12" s="141"/>
      <c r="O12" s="139">
        <f t="shared" si="0"/>
        <v>1160000</v>
      </c>
      <c r="P12" s="141">
        <v>5000000</v>
      </c>
      <c r="Q12" s="250">
        <f t="shared" si="1"/>
        <v>3840000</v>
      </c>
      <c r="R12" s="215"/>
    </row>
    <row r="13" spans="1:18" s="144" customFormat="1" ht="20.45" customHeight="1" x14ac:dyDescent="0.25">
      <c r="A13" s="211">
        <v>7</v>
      </c>
      <c r="B13" s="191">
        <v>44175</v>
      </c>
      <c r="C13" s="138" t="s">
        <v>2129</v>
      </c>
      <c r="D13" s="138" t="s">
        <v>2832</v>
      </c>
      <c r="E13" s="146" t="s">
        <v>1639</v>
      </c>
      <c r="F13" s="138"/>
      <c r="G13" s="138">
        <v>390</v>
      </c>
      <c r="H13" s="141">
        <f t="shared" si="2"/>
        <v>6232200</v>
      </c>
      <c r="I13" s="138"/>
      <c r="J13" s="226">
        <v>1240000</v>
      </c>
      <c r="K13" s="141"/>
      <c r="L13" s="150"/>
      <c r="M13" s="141"/>
      <c r="N13" s="141"/>
      <c r="O13" s="139">
        <f t="shared" si="0"/>
        <v>7472200</v>
      </c>
      <c r="P13" s="141">
        <v>6400000</v>
      </c>
      <c r="Q13" s="250">
        <f t="shared" si="1"/>
        <v>-1072200</v>
      </c>
      <c r="R13" s="215"/>
    </row>
    <row r="14" spans="1:18" s="144" customFormat="1" ht="20.45" customHeight="1" x14ac:dyDescent="0.25">
      <c r="A14" s="211">
        <v>8</v>
      </c>
      <c r="B14" s="191">
        <v>44176</v>
      </c>
      <c r="C14" s="138" t="s">
        <v>34</v>
      </c>
      <c r="D14" s="138" t="s">
        <v>2833</v>
      </c>
      <c r="E14" s="146" t="s">
        <v>25</v>
      </c>
      <c r="F14" s="138"/>
      <c r="G14" s="138"/>
      <c r="H14" s="141"/>
      <c r="I14" s="138"/>
      <c r="J14" s="226">
        <v>1890000</v>
      </c>
      <c r="K14" s="141"/>
      <c r="L14" s="150"/>
      <c r="M14" s="141"/>
      <c r="N14" s="141"/>
      <c r="O14" s="139">
        <f t="shared" si="0"/>
        <v>1890000</v>
      </c>
      <c r="P14" s="141">
        <v>8045455</v>
      </c>
      <c r="Q14" s="250">
        <f t="shared" si="1"/>
        <v>6155455</v>
      </c>
      <c r="R14" s="215"/>
    </row>
    <row r="15" spans="1:18" s="144" customFormat="1" ht="20.45" customHeight="1" x14ac:dyDescent="0.25">
      <c r="A15" s="211">
        <v>9</v>
      </c>
      <c r="B15" s="191">
        <v>44177</v>
      </c>
      <c r="C15" s="138" t="s">
        <v>2815</v>
      </c>
      <c r="D15" s="138" t="s">
        <v>2834</v>
      </c>
      <c r="E15" s="146" t="s">
        <v>1690</v>
      </c>
      <c r="F15" s="138"/>
      <c r="G15" s="138"/>
      <c r="H15" s="141"/>
      <c r="I15" s="138"/>
      <c r="J15" s="226">
        <v>970000</v>
      </c>
      <c r="K15" s="141"/>
      <c r="L15" s="150"/>
      <c r="M15" s="141"/>
      <c r="N15" s="141"/>
      <c r="O15" s="139">
        <f t="shared" si="0"/>
        <v>970000</v>
      </c>
      <c r="P15" s="141">
        <v>4000000</v>
      </c>
      <c r="Q15" s="250">
        <f t="shared" si="1"/>
        <v>3030000</v>
      </c>
      <c r="R15" s="215"/>
    </row>
    <row r="16" spans="1:18" s="144" customFormat="1" ht="20.45" customHeight="1" x14ac:dyDescent="0.25">
      <c r="A16" s="211">
        <v>10</v>
      </c>
      <c r="B16" s="191">
        <v>44178</v>
      </c>
      <c r="C16" s="138" t="s">
        <v>2131</v>
      </c>
      <c r="D16" s="138" t="s">
        <v>2835</v>
      </c>
      <c r="E16" s="146" t="s">
        <v>828</v>
      </c>
      <c r="F16" s="138"/>
      <c r="G16" s="138"/>
      <c r="H16" s="141"/>
      <c r="I16" s="138"/>
      <c r="J16" s="226">
        <v>790000</v>
      </c>
      <c r="K16" s="141"/>
      <c r="L16" s="150"/>
      <c r="M16" s="141"/>
      <c r="N16" s="141"/>
      <c r="O16" s="139">
        <f t="shared" si="0"/>
        <v>790000</v>
      </c>
      <c r="P16" s="141">
        <v>3200000</v>
      </c>
      <c r="Q16" s="250">
        <f t="shared" si="1"/>
        <v>2410000</v>
      </c>
      <c r="R16" s="215"/>
    </row>
    <row r="17" spans="1:18" s="144" customFormat="1" ht="20.45" customHeight="1" x14ac:dyDescent="0.25">
      <c r="A17" s="211">
        <v>11</v>
      </c>
      <c r="B17" s="191">
        <v>44179</v>
      </c>
      <c r="C17" s="138" t="s">
        <v>2816</v>
      </c>
      <c r="D17" s="138" t="s">
        <v>2836</v>
      </c>
      <c r="E17" s="146" t="s">
        <v>2851</v>
      </c>
      <c r="F17" s="138"/>
      <c r="G17" s="138">
        <v>360</v>
      </c>
      <c r="H17" s="141">
        <f t="shared" si="2"/>
        <v>5752800</v>
      </c>
      <c r="I17" s="138"/>
      <c r="J17" s="226">
        <v>1150000</v>
      </c>
      <c r="K17" s="141"/>
      <c r="L17" s="150"/>
      <c r="M17" s="141"/>
      <c r="N17" s="141"/>
      <c r="O17" s="139">
        <f t="shared" si="0"/>
        <v>6902800</v>
      </c>
      <c r="P17" s="141">
        <v>3900000</v>
      </c>
      <c r="Q17" s="250">
        <f t="shared" si="1"/>
        <v>-3002800</v>
      </c>
      <c r="R17" s="215"/>
    </row>
    <row r="18" spans="1:18" s="144" customFormat="1" ht="20.45" customHeight="1" x14ac:dyDescent="0.25">
      <c r="A18" s="211">
        <v>12</v>
      </c>
      <c r="B18" s="191">
        <v>44181</v>
      </c>
      <c r="C18" s="138" t="s">
        <v>2817</v>
      </c>
      <c r="D18" s="138" t="s">
        <v>2837</v>
      </c>
      <c r="E18" s="146" t="s">
        <v>512</v>
      </c>
      <c r="F18" s="138"/>
      <c r="G18" s="138"/>
      <c r="H18" s="141"/>
      <c r="I18" s="138"/>
      <c r="J18" s="226">
        <v>1510000</v>
      </c>
      <c r="K18" s="141"/>
      <c r="L18" s="150"/>
      <c r="M18" s="141"/>
      <c r="N18" s="141"/>
      <c r="O18" s="139">
        <f t="shared" si="0"/>
        <v>1510000</v>
      </c>
      <c r="P18" s="141">
        <v>5500000</v>
      </c>
      <c r="Q18" s="250">
        <f t="shared" si="1"/>
        <v>3990000</v>
      </c>
      <c r="R18" s="215"/>
    </row>
    <row r="19" spans="1:18" s="144" customFormat="1" ht="20.45" customHeight="1" x14ac:dyDescent="0.25">
      <c r="A19" s="211">
        <v>13</v>
      </c>
      <c r="B19" s="191">
        <v>44182</v>
      </c>
      <c r="C19" s="138" t="s">
        <v>793</v>
      </c>
      <c r="D19" s="138" t="s">
        <v>2838</v>
      </c>
      <c r="E19" s="146" t="s">
        <v>406</v>
      </c>
      <c r="F19" s="138"/>
      <c r="G19" s="138">
        <v>330</v>
      </c>
      <c r="H19" s="141">
        <f>G19*16060</f>
        <v>5299800</v>
      </c>
      <c r="I19" s="138"/>
      <c r="J19" s="226">
        <v>1150000</v>
      </c>
      <c r="K19" s="141"/>
      <c r="L19" s="150"/>
      <c r="M19" s="141"/>
      <c r="N19" s="141"/>
      <c r="O19" s="139">
        <f t="shared" si="0"/>
        <v>6449800</v>
      </c>
      <c r="P19" s="141">
        <v>4227273</v>
      </c>
      <c r="Q19" s="250">
        <f t="shared" si="1"/>
        <v>-2222527</v>
      </c>
      <c r="R19" s="215"/>
    </row>
    <row r="20" spans="1:18" s="144" customFormat="1" ht="20.45" customHeight="1" x14ac:dyDescent="0.25">
      <c r="A20" s="211">
        <v>14</v>
      </c>
      <c r="B20" s="191">
        <v>44183</v>
      </c>
      <c r="C20" s="138" t="s">
        <v>1456</v>
      </c>
      <c r="D20" s="138" t="s">
        <v>2839</v>
      </c>
      <c r="E20" s="146" t="s">
        <v>146</v>
      </c>
      <c r="F20" s="138"/>
      <c r="G20" s="138"/>
      <c r="H20" s="141"/>
      <c r="I20" s="138"/>
      <c r="J20" s="226">
        <v>1780000</v>
      </c>
      <c r="K20" s="141"/>
      <c r="L20" s="150"/>
      <c r="M20" s="141"/>
      <c r="N20" s="141"/>
      <c r="O20" s="139">
        <f t="shared" si="0"/>
        <v>1780000</v>
      </c>
      <c r="P20" s="141">
        <v>5520000</v>
      </c>
      <c r="Q20" s="250">
        <f t="shared" si="1"/>
        <v>3740000</v>
      </c>
      <c r="R20" s="215"/>
    </row>
    <row r="21" spans="1:18" s="144" customFormat="1" ht="20.45" customHeight="1" x14ac:dyDescent="0.25">
      <c r="A21" s="211">
        <v>15</v>
      </c>
      <c r="B21" s="191">
        <v>44184</v>
      </c>
      <c r="C21" s="138" t="s">
        <v>2818</v>
      </c>
      <c r="D21" s="138" t="s">
        <v>2840</v>
      </c>
      <c r="E21" s="146" t="s">
        <v>2852</v>
      </c>
      <c r="F21" s="138"/>
      <c r="G21" s="138"/>
      <c r="H21" s="141"/>
      <c r="I21" s="138"/>
      <c r="J21" s="226">
        <v>1510000</v>
      </c>
      <c r="K21" s="141"/>
      <c r="L21" s="150"/>
      <c r="M21" s="141"/>
      <c r="N21" s="141"/>
      <c r="O21" s="139">
        <f t="shared" si="0"/>
        <v>1510000</v>
      </c>
      <c r="P21" s="141">
        <v>5600000</v>
      </c>
      <c r="Q21" s="250">
        <f t="shared" si="1"/>
        <v>4090000</v>
      </c>
      <c r="R21" s="215"/>
    </row>
    <row r="22" spans="1:18" s="144" customFormat="1" ht="20.45" customHeight="1" x14ac:dyDescent="0.25">
      <c r="A22" s="211">
        <v>16</v>
      </c>
      <c r="B22" s="191">
        <v>44185</v>
      </c>
      <c r="C22" s="138" t="s">
        <v>43</v>
      </c>
      <c r="D22" s="138" t="s">
        <v>2841</v>
      </c>
      <c r="E22" s="146" t="s">
        <v>2796</v>
      </c>
      <c r="F22" s="138"/>
      <c r="G22" s="138">
        <v>385</v>
      </c>
      <c r="H22" s="141">
        <f t="shared" ref="H22:H29" si="3">G22*16060</f>
        <v>6183100</v>
      </c>
      <c r="I22" s="138"/>
      <c r="J22" s="226">
        <v>970000</v>
      </c>
      <c r="K22" s="141"/>
      <c r="L22" s="150"/>
      <c r="M22" s="141"/>
      <c r="N22" s="141"/>
      <c r="O22" s="139">
        <f t="shared" si="0"/>
        <v>7153100</v>
      </c>
      <c r="P22" s="141">
        <v>4000000</v>
      </c>
      <c r="Q22" s="250">
        <f t="shared" si="1"/>
        <v>-3153100</v>
      </c>
      <c r="R22" s="215"/>
    </row>
    <row r="23" spans="1:18" s="144" customFormat="1" ht="20.45" customHeight="1" x14ac:dyDescent="0.25">
      <c r="A23" s="211">
        <v>17</v>
      </c>
      <c r="B23" s="191">
        <v>44186</v>
      </c>
      <c r="C23" s="138" t="s">
        <v>1460</v>
      </c>
      <c r="D23" s="138" t="s">
        <v>2842</v>
      </c>
      <c r="E23" s="146" t="s">
        <v>2853</v>
      </c>
      <c r="F23" s="138"/>
      <c r="G23" s="138"/>
      <c r="H23" s="141"/>
      <c r="I23" s="138"/>
      <c r="J23" s="226">
        <f>970000+400000</f>
        <v>1370000</v>
      </c>
      <c r="K23" s="141"/>
      <c r="L23" s="150"/>
      <c r="M23" s="141"/>
      <c r="N23" s="141"/>
      <c r="O23" s="139">
        <f t="shared" si="0"/>
        <v>1370000</v>
      </c>
      <c r="P23" s="141">
        <v>4000000</v>
      </c>
      <c r="Q23" s="250">
        <f t="shared" si="1"/>
        <v>2630000</v>
      </c>
      <c r="R23" s="215"/>
    </row>
    <row r="24" spans="1:18" s="144" customFormat="1" ht="20.45" customHeight="1" x14ac:dyDescent="0.25">
      <c r="A24" s="211">
        <v>18</v>
      </c>
      <c r="B24" s="191">
        <v>44187</v>
      </c>
      <c r="C24" s="138" t="s">
        <v>2819</v>
      </c>
      <c r="D24" s="138" t="s">
        <v>2842</v>
      </c>
      <c r="E24" s="146" t="s">
        <v>2059</v>
      </c>
      <c r="F24" s="138"/>
      <c r="G24" s="138"/>
      <c r="H24" s="141"/>
      <c r="I24" s="138"/>
      <c r="J24" s="226">
        <v>0</v>
      </c>
      <c r="K24" s="141"/>
      <c r="L24" s="150"/>
      <c r="M24" s="141"/>
      <c r="N24" s="141"/>
      <c r="O24" s="139">
        <f t="shared" si="0"/>
        <v>0</v>
      </c>
      <c r="P24" s="141">
        <v>3500000</v>
      </c>
      <c r="Q24" s="250">
        <f t="shared" si="1"/>
        <v>3500000</v>
      </c>
      <c r="R24" s="215"/>
    </row>
    <row r="25" spans="1:18" s="144" customFormat="1" ht="20.45" customHeight="1" x14ac:dyDescent="0.25">
      <c r="A25" s="211">
        <v>19</v>
      </c>
      <c r="B25" s="191">
        <v>44189</v>
      </c>
      <c r="C25" s="138" t="s">
        <v>2820</v>
      </c>
      <c r="D25" s="138" t="s">
        <v>2843</v>
      </c>
      <c r="E25" s="146" t="s">
        <v>2854</v>
      </c>
      <c r="F25" s="138"/>
      <c r="G25" s="138"/>
      <c r="H25" s="141"/>
      <c r="I25" s="138"/>
      <c r="J25" s="226">
        <v>1780000</v>
      </c>
      <c r="K25" s="141"/>
      <c r="L25" s="150"/>
      <c r="M25" s="141"/>
      <c r="N25" s="141"/>
      <c r="O25" s="139">
        <f t="shared" si="0"/>
        <v>1780000</v>
      </c>
      <c r="P25" s="141">
        <v>5800000</v>
      </c>
      <c r="Q25" s="250">
        <f t="shared" si="1"/>
        <v>4020000</v>
      </c>
      <c r="R25" s="215"/>
    </row>
    <row r="26" spans="1:18" s="144" customFormat="1" ht="20.45" customHeight="1" x14ac:dyDescent="0.25">
      <c r="A26" s="211">
        <v>20</v>
      </c>
      <c r="B26" s="191">
        <v>44190</v>
      </c>
      <c r="C26" s="138" t="s">
        <v>2821</v>
      </c>
      <c r="D26" s="138" t="s">
        <v>2844</v>
      </c>
      <c r="E26" s="146" t="s">
        <v>25</v>
      </c>
      <c r="F26" s="138"/>
      <c r="G26" s="138">
        <v>320</v>
      </c>
      <c r="H26" s="141">
        <f t="shared" si="3"/>
        <v>5139200</v>
      </c>
      <c r="I26" s="138"/>
      <c r="J26" s="226">
        <v>1890000</v>
      </c>
      <c r="K26" s="141"/>
      <c r="L26" s="150"/>
      <c r="M26" s="141"/>
      <c r="N26" s="141"/>
      <c r="O26" s="139">
        <f t="shared" si="0"/>
        <v>7029200</v>
      </c>
      <c r="P26" s="141">
        <v>8045455</v>
      </c>
      <c r="Q26" s="250">
        <f t="shared" si="1"/>
        <v>1016255</v>
      </c>
      <c r="R26" s="215"/>
    </row>
    <row r="27" spans="1:18" s="144" customFormat="1" ht="20.45" customHeight="1" x14ac:dyDescent="0.25">
      <c r="A27" s="211">
        <v>21</v>
      </c>
      <c r="B27" s="191">
        <v>44191</v>
      </c>
      <c r="C27" s="138" t="s">
        <v>2822</v>
      </c>
      <c r="D27" s="138" t="s">
        <v>2845</v>
      </c>
      <c r="E27" s="146" t="s">
        <v>25</v>
      </c>
      <c r="F27" s="138"/>
      <c r="G27" s="138"/>
      <c r="H27" s="141"/>
      <c r="I27" s="138"/>
      <c r="J27" s="226">
        <v>1890000</v>
      </c>
      <c r="K27" s="141"/>
      <c r="L27" s="150"/>
      <c r="M27" s="141"/>
      <c r="N27" s="141"/>
      <c r="O27" s="139">
        <f t="shared" si="0"/>
        <v>1890000</v>
      </c>
      <c r="P27" s="141">
        <v>8045455</v>
      </c>
      <c r="Q27" s="250">
        <f t="shared" si="1"/>
        <v>6155455</v>
      </c>
      <c r="R27" s="215"/>
    </row>
    <row r="28" spans="1:18" s="144" customFormat="1" ht="20.45" customHeight="1" x14ac:dyDescent="0.25">
      <c r="A28" s="211">
        <v>22</v>
      </c>
      <c r="B28" s="191">
        <v>44192</v>
      </c>
      <c r="C28" s="138" t="s">
        <v>2823</v>
      </c>
      <c r="D28" s="192" t="s">
        <v>2846</v>
      </c>
      <c r="E28" s="146" t="s">
        <v>333</v>
      </c>
      <c r="F28" s="138"/>
      <c r="G28" s="138">
        <v>360</v>
      </c>
      <c r="H28" s="141">
        <f t="shared" si="3"/>
        <v>5781600</v>
      </c>
      <c r="I28" s="138"/>
      <c r="J28" s="226">
        <v>1160000</v>
      </c>
      <c r="K28" s="141"/>
      <c r="L28" s="150"/>
      <c r="M28" s="141"/>
      <c r="N28" s="141"/>
      <c r="O28" s="139">
        <f t="shared" si="0"/>
        <v>6941600</v>
      </c>
      <c r="P28" s="139">
        <v>5000000</v>
      </c>
      <c r="Q28" s="250">
        <f t="shared" si="1"/>
        <v>-1941600</v>
      </c>
      <c r="R28" s="215"/>
    </row>
    <row r="29" spans="1:18" s="144" customFormat="1" ht="20.45" customHeight="1" x14ac:dyDescent="0.25">
      <c r="A29" s="211">
        <v>23</v>
      </c>
      <c r="B29" s="191">
        <v>44193</v>
      </c>
      <c r="C29" s="138" t="s">
        <v>2824</v>
      </c>
      <c r="D29" s="138" t="s">
        <v>2847</v>
      </c>
      <c r="E29" s="146" t="s">
        <v>25</v>
      </c>
      <c r="F29" s="138"/>
      <c r="G29" s="138">
        <v>310</v>
      </c>
      <c r="H29" s="141">
        <f t="shared" si="3"/>
        <v>4978600</v>
      </c>
      <c r="I29" s="138"/>
      <c r="J29" s="226">
        <v>1890000</v>
      </c>
      <c r="K29" s="141"/>
      <c r="L29" s="150"/>
      <c r="M29" s="141"/>
      <c r="N29" s="141"/>
      <c r="O29" s="139">
        <f t="shared" si="0"/>
        <v>6868600</v>
      </c>
      <c r="P29" s="141">
        <v>8045455</v>
      </c>
      <c r="Q29" s="250">
        <f t="shared" si="1"/>
        <v>1176855</v>
      </c>
      <c r="R29" s="215"/>
    </row>
    <row r="30" spans="1:18" s="144" customFormat="1" ht="20.45" customHeight="1" x14ac:dyDescent="0.25">
      <c r="A30" s="211">
        <v>24</v>
      </c>
      <c r="B30" s="191">
        <v>44196</v>
      </c>
      <c r="C30" s="138" t="s">
        <v>2825</v>
      </c>
      <c r="D30" s="138" t="s">
        <v>2848</v>
      </c>
      <c r="E30" s="146" t="s">
        <v>146</v>
      </c>
      <c r="F30" s="138"/>
      <c r="G30" s="138"/>
      <c r="H30" s="141"/>
      <c r="I30" s="138"/>
      <c r="J30" s="226">
        <v>1780000</v>
      </c>
      <c r="K30" s="141"/>
      <c r="L30" s="150"/>
      <c r="M30" s="141"/>
      <c r="N30" s="141"/>
      <c r="O30" s="139">
        <f t="shared" si="0"/>
        <v>1780000</v>
      </c>
      <c r="P30" s="141">
        <v>5520000</v>
      </c>
      <c r="Q30" s="250">
        <f t="shared" si="1"/>
        <v>3740000</v>
      </c>
      <c r="R30" s="215"/>
    </row>
    <row r="31" spans="1:18" s="144" customFormat="1" ht="20.45" customHeight="1" x14ac:dyDescent="0.25">
      <c r="A31" s="211"/>
      <c r="B31" s="191"/>
      <c r="C31" s="138"/>
      <c r="D31" s="138"/>
      <c r="E31" s="146"/>
      <c r="F31" s="138"/>
      <c r="G31" s="138"/>
      <c r="H31" s="141"/>
      <c r="I31" s="138"/>
      <c r="J31" s="139"/>
      <c r="K31" s="141"/>
      <c r="L31" s="150"/>
      <c r="M31" s="141"/>
      <c r="N31" s="141"/>
      <c r="O31" s="139">
        <f t="shared" si="0"/>
        <v>0</v>
      </c>
      <c r="P31" s="141"/>
      <c r="Q31" s="250">
        <f t="shared" si="1"/>
        <v>0</v>
      </c>
      <c r="R31" s="215"/>
    </row>
    <row r="32" spans="1:18" s="144" customFormat="1" ht="20.45" customHeight="1" x14ac:dyDescent="0.25">
      <c r="A32" s="211"/>
      <c r="B32" s="191"/>
      <c r="C32" s="138"/>
      <c r="D32" s="138"/>
      <c r="E32" s="146"/>
      <c r="F32" s="138"/>
      <c r="G32" s="138"/>
      <c r="H32" s="141"/>
      <c r="I32" s="138"/>
      <c r="J32" s="139"/>
      <c r="K32" s="141"/>
      <c r="L32" s="150"/>
      <c r="M32" s="141"/>
      <c r="N32" s="141"/>
      <c r="O32" s="139">
        <f t="shared" si="0"/>
        <v>0</v>
      </c>
      <c r="P32" s="141"/>
      <c r="Q32" s="250">
        <f t="shared" si="1"/>
        <v>0</v>
      </c>
      <c r="R32" s="215"/>
    </row>
    <row r="33" spans="1:19" s="144" customFormat="1" ht="20.45" customHeight="1" x14ac:dyDescent="0.25">
      <c r="A33" s="211"/>
      <c r="B33" s="232"/>
      <c r="C33" s="265" t="s">
        <v>2855</v>
      </c>
      <c r="D33" s="277"/>
      <c r="E33" s="278"/>
      <c r="F33" s="279"/>
      <c r="G33" s="138"/>
      <c r="H33" s="141"/>
      <c r="I33" s="138"/>
      <c r="J33" s="139"/>
      <c r="K33" s="141"/>
      <c r="L33" s="219">
        <v>2500000</v>
      </c>
      <c r="M33" s="141"/>
      <c r="N33" s="141"/>
      <c r="O33" s="139">
        <f t="shared" si="0"/>
        <v>2500000</v>
      </c>
      <c r="P33" s="141"/>
      <c r="Q33" s="250">
        <f t="shared" si="1"/>
        <v>-2500000</v>
      </c>
      <c r="R33" s="215"/>
    </row>
    <row r="34" spans="1:19" s="144" customFormat="1" ht="20.45" customHeight="1" x14ac:dyDescent="0.25">
      <c r="A34" s="211"/>
      <c r="B34" s="232"/>
      <c r="C34" s="437" t="s">
        <v>2856</v>
      </c>
      <c r="D34" s="438"/>
      <c r="E34" s="438"/>
      <c r="F34" s="439"/>
      <c r="G34" s="220"/>
      <c r="H34" s="219"/>
      <c r="I34" s="220"/>
      <c r="J34" s="157"/>
      <c r="K34" s="157"/>
      <c r="L34" s="219">
        <v>1700000</v>
      </c>
      <c r="M34" s="219"/>
      <c r="N34" s="157"/>
      <c r="O34" s="139">
        <f t="shared" si="0"/>
        <v>1700000</v>
      </c>
      <c r="P34" s="139"/>
      <c r="Q34" s="250">
        <f t="shared" si="1"/>
        <v>-1700000</v>
      </c>
      <c r="R34" s="215"/>
    </row>
    <row r="35" spans="1:19" s="144" customFormat="1" ht="20.45" customHeight="1" x14ac:dyDescent="0.25">
      <c r="A35" s="211"/>
      <c r="C35" s="437" t="s">
        <v>2857</v>
      </c>
      <c r="D35" s="438"/>
      <c r="E35" s="438"/>
      <c r="F35" s="439"/>
      <c r="G35" s="138"/>
      <c r="H35" s="139"/>
      <c r="I35" s="138"/>
      <c r="J35" s="141"/>
      <c r="K35" s="141"/>
      <c r="L35" s="219">
        <v>60000</v>
      </c>
      <c r="M35" s="219"/>
      <c r="N35" s="157"/>
      <c r="O35" s="139">
        <f t="shared" si="0"/>
        <v>60000</v>
      </c>
      <c r="P35" s="139"/>
      <c r="Q35" s="250">
        <f t="shared" si="1"/>
        <v>-60000</v>
      </c>
      <c r="R35" s="215"/>
    </row>
    <row r="36" spans="1:19" s="144" customFormat="1" ht="20.45" customHeight="1" x14ac:dyDescent="0.25">
      <c r="A36" s="211"/>
      <c r="C36" s="437" t="s">
        <v>2858</v>
      </c>
      <c r="D36" s="438"/>
      <c r="E36" s="438"/>
      <c r="F36" s="439"/>
      <c r="G36" s="138"/>
      <c r="H36" s="139"/>
      <c r="I36" s="138"/>
      <c r="J36" s="141"/>
      <c r="K36" s="157"/>
      <c r="L36" s="219"/>
      <c r="M36" s="157"/>
      <c r="N36" s="157">
        <f>1364000/2</f>
        <v>682000</v>
      </c>
      <c r="O36" s="139">
        <f t="shared" si="0"/>
        <v>682000</v>
      </c>
      <c r="P36" s="139"/>
      <c r="Q36" s="250">
        <f t="shared" si="1"/>
        <v>-682000</v>
      </c>
      <c r="R36" s="215"/>
    </row>
    <row r="37" spans="1:19" s="159" customFormat="1" ht="20.45" customHeight="1" x14ac:dyDescent="0.25">
      <c r="A37" s="211"/>
      <c r="B37" s="165"/>
      <c r="C37" s="440" t="s">
        <v>1337</v>
      </c>
      <c r="D37" s="441"/>
      <c r="E37" s="441"/>
      <c r="F37" s="442"/>
      <c r="G37" s="195"/>
      <c r="H37" s="155"/>
      <c r="I37" s="195"/>
      <c r="J37" s="155"/>
      <c r="K37" s="219">
        <v>9000000</v>
      </c>
      <c r="L37" s="155"/>
      <c r="M37" s="155"/>
      <c r="N37" s="155"/>
      <c r="O37" s="139">
        <f t="shared" si="0"/>
        <v>9000000</v>
      </c>
      <c r="P37" s="139"/>
      <c r="Q37" s="250">
        <f t="shared" si="1"/>
        <v>-9000000</v>
      </c>
      <c r="R37" s="215"/>
    </row>
    <row r="38" spans="1:19" s="159" customFormat="1" ht="20.45" customHeight="1" x14ac:dyDescent="0.25">
      <c r="A38" s="211"/>
      <c r="B38" s="203"/>
      <c r="C38" s="285" t="s">
        <v>2859</v>
      </c>
      <c r="D38" s="286"/>
      <c r="E38" s="286"/>
      <c r="F38" s="287"/>
      <c r="G38" s="153"/>
      <c r="H38" s="156"/>
      <c r="I38" s="153"/>
      <c r="J38" s="156"/>
      <c r="K38" s="288">
        <v>3000000</v>
      </c>
      <c r="L38" s="156"/>
      <c r="M38" s="156"/>
      <c r="N38" s="156"/>
      <c r="O38" s="139">
        <f t="shared" si="0"/>
        <v>3000000</v>
      </c>
      <c r="P38" s="139"/>
      <c r="Q38" s="250">
        <f t="shared" si="1"/>
        <v>-3000000</v>
      </c>
      <c r="R38" s="215"/>
    </row>
    <row r="39" spans="1:19" s="159" customFormat="1" ht="20.45" customHeight="1" x14ac:dyDescent="0.25">
      <c r="A39" s="211"/>
      <c r="B39" s="203"/>
      <c r="C39" s="434" t="s">
        <v>1094</v>
      </c>
      <c r="D39" s="435"/>
      <c r="E39" s="435"/>
      <c r="F39" s="436"/>
      <c r="G39" s="153"/>
      <c r="H39" s="156"/>
      <c r="I39" s="153"/>
      <c r="J39" s="156"/>
      <c r="K39" s="204">
        <f>1200000*1.1</f>
        <v>1320000</v>
      </c>
      <c r="L39" s="204"/>
      <c r="M39" s="156"/>
      <c r="N39" s="156"/>
      <c r="O39" s="139">
        <f t="shared" si="0"/>
        <v>1320000</v>
      </c>
      <c r="P39" s="139"/>
      <c r="Q39" s="250">
        <f t="shared" si="1"/>
        <v>-1320000</v>
      </c>
      <c r="R39" s="215"/>
    </row>
    <row r="40" spans="1:19" ht="20.45" customHeight="1" x14ac:dyDescent="0.25">
      <c r="A40" s="426" t="s">
        <v>20</v>
      </c>
      <c r="B40" s="426"/>
      <c r="C40" s="426"/>
      <c r="D40" s="426"/>
      <c r="E40" s="426"/>
      <c r="F40" s="426"/>
      <c r="G40" s="161">
        <f t="shared" ref="G40:Q40" si="4">SUM(G7:G39)</f>
        <v>3135</v>
      </c>
      <c r="H40" s="161">
        <f t="shared" si="4"/>
        <v>50233700</v>
      </c>
      <c r="I40" s="161">
        <f t="shared" si="4"/>
        <v>0</v>
      </c>
      <c r="J40" s="161">
        <f t="shared" si="4"/>
        <v>31830000</v>
      </c>
      <c r="K40" s="161">
        <f t="shared" si="4"/>
        <v>13320000</v>
      </c>
      <c r="L40" s="161">
        <f t="shared" si="4"/>
        <v>4260000</v>
      </c>
      <c r="M40" s="161">
        <f t="shared" si="4"/>
        <v>0</v>
      </c>
      <c r="N40" s="161">
        <f t="shared" si="4"/>
        <v>682000</v>
      </c>
      <c r="O40" s="161">
        <f t="shared" si="4"/>
        <v>100325700</v>
      </c>
      <c r="P40" s="161">
        <f t="shared" si="4"/>
        <v>123749093</v>
      </c>
      <c r="Q40" s="161">
        <f t="shared" si="4"/>
        <v>23423393</v>
      </c>
    </row>
    <row r="41" spans="1:19" ht="24.95" customHeight="1" x14ac:dyDescent="0.25">
      <c r="O41" s="158"/>
      <c r="Q41" s="158">
        <f>P40-O40</f>
        <v>23423393</v>
      </c>
    </row>
    <row r="42" spans="1:19" ht="13.9" customHeight="1" x14ac:dyDescent="0.25">
      <c r="P42" s="216" t="s">
        <v>1603</v>
      </c>
      <c r="Q42" s="227">
        <f>'11.2019'!Q43+'12.2019'!Q40</f>
        <v>256859254.30769229</v>
      </c>
      <c r="S42" s="216">
        <f>Q42+'12.2018'!Q47+'12-2017'!Q48+'12.2016'!Q43+'T12.2015'!T48</f>
        <v>1634427377.131763</v>
      </c>
    </row>
    <row r="43" spans="1:19" ht="13.9" customHeight="1" x14ac:dyDescent="0.25">
      <c r="B43" s="129"/>
      <c r="J43" s="128"/>
      <c r="K43" s="128"/>
      <c r="L43" s="128"/>
      <c r="M43" s="128"/>
      <c r="N43" s="128"/>
      <c r="O43" s="128"/>
      <c r="P43" s="218" t="s">
        <v>106</v>
      </c>
      <c r="Q43" s="216">
        <f>12*2000000</f>
        <v>24000000</v>
      </c>
    </row>
    <row r="44" spans="1:19" ht="13.9" customHeight="1" x14ac:dyDescent="0.25">
      <c r="B44" s="129"/>
      <c r="H44" s="128"/>
      <c r="J44" s="128"/>
      <c r="K44" s="128"/>
      <c r="L44" s="128"/>
      <c r="M44" s="128"/>
      <c r="N44" s="128"/>
      <c r="O44" s="128"/>
      <c r="P44" s="218" t="s">
        <v>2805</v>
      </c>
      <c r="Q44" s="230">
        <f>Q42-Q43</f>
        <v>232859254.30769229</v>
      </c>
    </row>
    <row r="45" spans="1:19" ht="13.9" customHeight="1" x14ac:dyDescent="0.25">
      <c r="B45" s="129"/>
      <c r="H45" s="128"/>
      <c r="J45" s="128"/>
      <c r="K45" s="128"/>
      <c r="L45" s="128"/>
      <c r="M45" s="128"/>
      <c r="N45" s="128"/>
      <c r="O45" s="128"/>
      <c r="P45" s="218" t="s">
        <v>2860</v>
      </c>
      <c r="Q45" s="230">
        <f>Q44*35%</f>
        <v>81500739.007692292</v>
      </c>
      <c r="R45" s="143">
        <v>60000000</v>
      </c>
    </row>
    <row r="46" spans="1:19" ht="13.9" customHeight="1" x14ac:dyDescent="0.25">
      <c r="B46" s="129"/>
      <c r="H46" s="128"/>
      <c r="J46" s="128"/>
      <c r="K46" s="128"/>
      <c r="L46" s="128"/>
      <c r="M46" s="128"/>
      <c r="N46" s="128"/>
      <c r="O46" s="128"/>
      <c r="P46" s="218" t="s">
        <v>2861</v>
      </c>
      <c r="Q46" s="216">
        <f>Q44*11.7%</f>
        <v>27244532.753999997</v>
      </c>
      <c r="R46" s="143">
        <v>20000000</v>
      </c>
    </row>
    <row r="47" spans="1:19" x14ac:dyDescent="0.25">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9"/>
      <c r="H49" s="128"/>
      <c r="J49" s="128"/>
      <c r="K49" s="128"/>
      <c r="L49" s="128"/>
      <c r="M49" s="128"/>
      <c r="N49" s="128"/>
      <c r="O49" s="128"/>
      <c r="P49" s="218"/>
      <c r="Q49" s="216"/>
    </row>
    <row r="50" spans="1:17" x14ac:dyDescent="0.25">
      <c r="A50" s="128"/>
      <c r="B50" s="128"/>
      <c r="H50" s="128"/>
      <c r="J50" s="128"/>
      <c r="K50" s="128"/>
      <c r="L50" s="128"/>
      <c r="M50" s="128"/>
      <c r="N50" s="128"/>
      <c r="O50" s="128"/>
      <c r="P50" s="128"/>
      <c r="Q50" s="216"/>
    </row>
    <row r="51" spans="1:17" x14ac:dyDescent="0.25">
      <c r="A51" s="128"/>
      <c r="B51" s="128"/>
      <c r="H51" s="128"/>
      <c r="J51" s="128"/>
      <c r="K51" s="128"/>
      <c r="L51" s="128"/>
      <c r="M51" s="128"/>
      <c r="N51" s="128"/>
      <c r="O51" s="128"/>
      <c r="P51" s="128"/>
      <c r="Q51" s="216"/>
    </row>
  </sheetData>
  <mergeCells count="19">
    <mergeCell ref="Q5:Q6"/>
    <mergeCell ref="C34:F34"/>
    <mergeCell ref="C35:F35"/>
    <mergeCell ref="C36:F36"/>
    <mergeCell ref="A1:Q1"/>
    <mergeCell ref="A2:Q2"/>
    <mergeCell ref="B3:Q3"/>
    <mergeCell ref="A5:A6"/>
    <mergeCell ref="B5:B6"/>
    <mergeCell ref="C5:C6"/>
    <mergeCell ref="D5:D6"/>
    <mergeCell ref="E5:E6"/>
    <mergeCell ref="F5:F6"/>
    <mergeCell ref="G5:N5"/>
    <mergeCell ref="C37:F37"/>
    <mergeCell ref="C39:F39"/>
    <mergeCell ref="A40:F40"/>
    <mergeCell ref="O5:O6"/>
    <mergeCell ref="P5:P6"/>
  </mergeCells>
  <pageMargins left="0.7" right="0.7" top="0.75" bottom="0.75" header="0.3" footer="0.3"/>
  <pageSetup paperSize="9" orientation="portrait" horizontalDpi="180" verticalDpi="18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Q38"/>
  <sheetViews>
    <sheetView topLeftCell="A19" zoomScaleNormal="100" workbookViewId="0">
      <selection activeCell="H44" sqref="H44"/>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7" ht="22.5" x14ac:dyDescent="0.25">
      <c r="A1" s="416" t="s">
        <v>0</v>
      </c>
      <c r="B1" s="416"/>
      <c r="C1" s="416"/>
      <c r="D1" s="416"/>
      <c r="E1" s="416"/>
      <c r="F1" s="416"/>
      <c r="G1" s="416"/>
      <c r="H1" s="416"/>
      <c r="I1" s="416"/>
      <c r="J1" s="416"/>
      <c r="K1" s="416"/>
      <c r="L1" s="416"/>
      <c r="M1" s="416"/>
      <c r="N1" s="416"/>
      <c r="O1" s="416"/>
      <c r="P1" s="416"/>
      <c r="Q1" s="416"/>
    </row>
    <row r="2" spans="1:17" ht="15.75" x14ac:dyDescent="0.25">
      <c r="A2" s="417" t="s">
        <v>19</v>
      </c>
      <c r="B2" s="417"/>
      <c r="C2" s="417"/>
      <c r="D2" s="417"/>
      <c r="E2" s="417"/>
      <c r="F2" s="417"/>
      <c r="G2" s="417"/>
      <c r="H2" s="417"/>
      <c r="I2" s="417"/>
      <c r="J2" s="417"/>
      <c r="K2" s="417"/>
      <c r="L2" s="417"/>
      <c r="M2" s="417"/>
      <c r="N2" s="417"/>
      <c r="O2" s="417"/>
      <c r="P2" s="417"/>
      <c r="Q2" s="417"/>
    </row>
    <row r="3" spans="1:17" ht="15.75" x14ac:dyDescent="0.25">
      <c r="A3" s="130"/>
      <c r="B3" s="417" t="s">
        <v>2862</v>
      </c>
      <c r="C3" s="417"/>
      <c r="D3" s="417"/>
      <c r="E3" s="417"/>
      <c r="F3" s="417"/>
      <c r="G3" s="417"/>
      <c r="H3" s="417"/>
      <c r="I3" s="417"/>
      <c r="J3" s="417"/>
      <c r="K3" s="417"/>
      <c r="L3" s="417"/>
      <c r="M3" s="417"/>
      <c r="N3" s="417"/>
      <c r="O3" s="417"/>
      <c r="P3" s="417"/>
      <c r="Q3" s="417"/>
    </row>
    <row r="5" spans="1:17"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7"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7" s="144" customFormat="1" ht="20.45" customHeight="1" x14ac:dyDescent="0.25">
      <c r="A7" s="211">
        <v>1</v>
      </c>
      <c r="B7" s="191">
        <v>43832</v>
      </c>
      <c r="C7" s="138" t="s">
        <v>2863</v>
      </c>
      <c r="D7" s="138" t="s">
        <v>2871</v>
      </c>
      <c r="E7" s="146" t="s">
        <v>25</v>
      </c>
      <c r="F7" s="138"/>
      <c r="G7" s="138">
        <v>325</v>
      </c>
      <c r="H7" s="141">
        <f>G7*16590</f>
        <v>5391750</v>
      </c>
      <c r="I7" s="138"/>
      <c r="J7" s="139">
        <v>1890000</v>
      </c>
      <c r="K7" s="141"/>
      <c r="L7" s="150"/>
      <c r="M7" s="141"/>
      <c r="N7" s="141"/>
      <c r="O7" s="139">
        <f>SUM(H7:N7)</f>
        <v>7281750</v>
      </c>
      <c r="P7" s="139">
        <v>8045455</v>
      </c>
      <c r="Q7" s="250">
        <f>P7-O7</f>
        <v>763705</v>
      </c>
    </row>
    <row r="8" spans="1:17" s="144" customFormat="1" ht="20.45" customHeight="1" x14ac:dyDescent="0.25">
      <c r="A8" s="211">
        <v>2</v>
      </c>
      <c r="B8" s="191">
        <v>43833</v>
      </c>
      <c r="C8" s="138" t="s">
        <v>1519</v>
      </c>
      <c r="D8" s="138" t="s">
        <v>2872</v>
      </c>
      <c r="E8" s="146" t="s">
        <v>2882</v>
      </c>
      <c r="F8" s="138"/>
      <c r="G8" s="138"/>
      <c r="H8" s="141"/>
      <c r="I8" s="138"/>
      <c r="J8" s="139">
        <v>970000</v>
      </c>
      <c r="K8" s="141"/>
      <c r="L8" s="150"/>
      <c r="M8" s="141"/>
      <c r="N8" s="141"/>
      <c r="O8" s="139">
        <f t="shared" ref="O8:O33" si="0">SUM(H8:N8)</f>
        <v>970000</v>
      </c>
      <c r="P8" s="139">
        <v>4000000</v>
      </c>
      <c r="Q8" s="250">
        <f t="shared" ref="Q8:Q33" si="1">P8-O8</f>
        <v>3030000</v>
      </c>
    </row>
    <row r="9" spans="1:17" s="144" customFormat="1" ht="20.45" customHeight="1" x14ac:dyDescent="0.25">
      <c r="A9" s="211">
        <v>3</v>
      </c>
      <c r="B9" s="191">
        <v>43834</v>
      </c>
      <c r="C9" s="138" t="s">
        <v>1520</v>
      </c>
      <c r="D9" s="138" t="s">
        <v>2873</v>
      </c>
      <c r="E9" s="146" t="s">
        <v>513</v>
      </c>
      <c r="F9" s="138"/>
      <c r="G9" s="138"/>
      <c r="H9" s="141"/>
      <c r="I9" s="138"/>
      <c r="J9" s="139">
        <v>970000</v>
      </c>
      <c r="K9" s="141"/>
      <c r="L9" s="150"/>
      <c r="M9" s="141"/>
      <c r="N9" s="141"/>
      <c r="O9" s="139">
        <f t="shared" si="0"/>
        <v>970000</v>
      </c>
      <c r="P9" s="139">
        <v>4000000</v>
      </c>
      <c r="Q9" s="250">
        <f t="shared" si="1"/>
        <v>3030000</v>
      </c>
    </row>
    <row r="10" spans="1:17" s="144" customFormat="1" ht="20.45" customHeight="1" x14ac:dyDescent="0.25">
      <c r="A10" s="211">
        <v>4</v>
      </c>
      <c r="B10" s="191">
        <v>43836</v>
      </c>
      <c r="C10" s="138" t="s">
        <v>2864</v>
      </c>
      <c r="D10" s="138" t="s">
        <v>2874</v>
      </c>
      <c r="E10" s="146" t="s">
        <v>2883</v>
      </c>
      <c r="F10" s="138"/>
      <c r="G10" s="138"/>
      <c r="H10" s="141"/>
      <c r="I10" s="138"/>
      <c r="J10" s="139">
        <v>1090000</v>
      </c>
      <c r="K10" s="141"/>
      <c r="L10" s="150"/>
      <c r="M10" s="141"/>
      <c r="N10" s="141"/>
      <c r="O10" s="139">
        <f t="shared" si="0"/>
        <v>1090000</v>
      </c>
      <c r="P10" s="141">
        <v>3163636</v>
      </c>
      <c r="Q10" s="250">
        <f t="shared" si="1"/>
        <v>2073636</v>
      </c>
    </row>
    <row r="11" spans="1:17" s="144" customFormat="1" ht="20.45" customHeight="1" x14ac:dyDescent="0.25">
      <c r="A11" s="211">
        <v>5</v>
      </c>
      <c r="B11" s="191">
        <v>43836</v>
      </c>
      <c r="C11" s="138" t="s">
        <v>2865</v>
      </c>
      <c r="D11" s="138" t="s">
        <v>2874</v>
      </c>
      <c r="E11" s="146" t="s">
        <v>21</v>
      </c>
      <c r="F11" s="138"/>
      <c r="G11" s="138"/>
      <c r="H11" s="141"/>
      <c r="I11" s="138"/>
      <c r="J11" s="139">
        <v>0</v>
      </c>
      <c r="K11" s="141"/>
      <c r="L11" s="150"/>
      <c r="M11" s="141"/>
      <c r="N11" s="141"/>
      <c r="O11" s="139">
        <f t="shared" si="0"/>
        <v>0</v>
      </c>
      <c r="P11" s="141">
        <v>2061818</v>
      </c>
      <c r="Q11" s="250">
        <f t="shared" si="1"/>
        <v>2061818</v>
      </c>
    </row>
    <row r="12" spans="1:17" s="144" customFormat="1" ht="20.45" customHeight="1" x14ac:dyDescent="0.25">
      <c r="A12" s="211">
        <v>6</v>
      </c>
      <c r="B12" s="191">
        <v>43837</v>
      </c>
      <c r="C12" s="138" t="s">
        <v>2866</v>
      </c>
      <c r="D12" s="138" t="s">
        <v>2875</v>
      </c>
      <c r="E12" s="146" t="s">
        <v>116</v>
      </c>
      <c r="F12" s="138"/>
      <c r="G12" s="138">
        <v>305</v>
      </c>
      <c r="H12" s="141">
        <f t="shared" ref="H12:H16" si="2">G12*16590</f>
        <v>5059950</v>
      </c>
      <c r="I12" s="138"/>
      <c r="J12" s="139">
        <v>970000</v>
      </c>
      <c r="K12" s="141"/>
      <c r="L12" s="150"/>
      <c r="M12" s="141"/>
      <c r="N12" s="141"/>
      <c r="O12" s="139">
        <f t="shared" si="0"/>
        <v>6029950</v>
      </c>
      <c r="P12" s="141">
        <v>4000000</v>
      </c>
      <c r="Q12" s="250">
        <f t="shared" si="1"/>
        <v>-2029950</v>
      </c>
    </row>
    <row r="13" spans="1:17" s="144" customFormat="1" ht="20.45" customHeight="1" x14ac:dyDescent="0.25">
      <c r="A13" s="211">
        <v>7</v>
      </c>
      <c r="B13" s="191">
        <v>43838</v>
      </c>
      <c r="C13" s="138" t="s">
        <v>2867</v>
      </c>
      <c r="D13" s="138" t="s">
        <v>2876</v>
      </c>
      <c r="E13" s="146" t="s">
        <v>2883</v>
      </c>
      <c r="F13" s="138"/>
      <c r="G13" s="138"/>
      <c r="H13" s="141"/>
      <c r="I13" s="138"/>
      <c r="J13" s="139">
        <v>790000</v>
      </c>
      <c r="K13" s="141"/>
      <c r="L13" s="150"/>
      <c r="M13" s="141"/>
      <c r="N13" s="141"/>
      <c r="O13" s="139">
        <f t="shared" si="0"/>
        <v>790000</v>
      </c>
      <c r="P13" s="141">
        <v>3163636</v>
      </c>
      <c r="Q13" s="250">
        <f t="shared" si="1"/>
        <v>2373636</v>
      </c>
    </row>
    <row r="14" spans="1:17" s="144" customFormat="1" ht="20.45" customHeight="1" x14ac:dyDescent="0.25">
      <c r="A14" s="211">
        <v>8</v>
      </c>
      <c r="B14" s="191">
        <v>43839</v>
      </c>
      <c r="C14" s="138" t="s">
        <v>2868</v>
      </c>
      <c r="D14" s="138" t="s">
        <v>2877</v>
      </c>
      <c r="E14" s="146" t="s">
        <v>2884</v>
      </c>
      <c r="F14" s="138"/>
      <c r="G14" s="138">
        <v>305</v>
      </c>
      <c r="H14" s="141">
        <f t="shared" si="2"/>
        <v>5059950</v>
      </c>
      <c r="I14" s="138"/>
      <c r="J14" s="139">
        <v>970000</v>
      </c>
      <c r="K14" s="141"/>
      <c r="L14" s="150"/>
      <c r="M14" s="141"/>
      <c r="N14" s="141"/>
      <c r="O14" s="139">
        <f t="shared" si="0"/>
        <v>6029950</v>
      </c>
      <c r="P14" s="141">
        <v>4600000</v>
      </c>
      <c r="Q14" s="250">
        <f t="shared" si="1"/>
        <v>-1429950</v>
      </c>
    </row>
    <row r="15" spans="1:17" s="144" customFormat="1" ht="20.45" customHeight="1" x14ac:dyDescent="0.25">
      <c r="A15" s="211">
        <v>9</v>
      </c>
      <c r="B15" s="191">
        <v>43840</v>
      </c>
      <c r="C15" s="138" t="s">
        <v>1525</v>
      </c>
      <c r="D15" s="138" t="s">
        <v>2878</v>
      </c>
      <c r="E15" s="146" t="s">
        <v>1937</v>
      </c>
      <c r="F15" s="138"/>
      <c r="G15" s="138"/>
      <c r="H15" s="141"/>
      <c r="I15" s="138"/>
      <c r="J15" s="139">
        <v>1150000</v>
      </c>
      <c r="K15" s="141"/>
      <c r="L15" s="150"/>
      <c r="M15" s="141"/>
      <c r="N15" s="141"/>
      <c r="O15" s="139">
        <f t="shared" si="0"/>
        <v>1150000</v>
      </c>
      <c r="P15" s="141">
        <v>3800000</v>
      </c>
      <c r="Q15" s="250">
        <f t="shared" si="1"/>
        <v>2650000</v>
      </c>
    </row>
    <row r="16" spans="1:17" s="144" customFormat="1" ht="20.45" customHeight="1" x14ac:dyDescent="0.25">
      <c r="A16" s="211">
        <v>10</v>
      </c>
      <c r="B16" s="191">
        <v>43843</v>
      </c>
      <c r="C16" s="138" t="s">
        <v>2869</v>
      </c>
      <c r="D16" s="138" t="s">
        <v>2879</v>
      </c>
      <c r="E16" s="146" t="s">
        <v>25</v>
      </c>
      <c r="F16" s="138"/>
      <c r="G16" s="138">
        <v>270</v>
      </c>
      <c r="H16" s="141">
        <f t="shared" si="2"/>
        <v>4479300</v>
      </c>
      <c r="I16" s="138"/>
      <c r="J16" s="139">
        <v>1890000</v>
      </c>
      <c r="K16" s="141"/>
      <c r="L16" s="150"/>
      <c r="M16" s="141"/>
      <c r="N16" s="141"/>
      <c r="O16" s="139">
        <f t="shared" si="0"/>
        <v>6369300</v>
      </c>
      <c r="P16" s="141">
        <v>8045455</v>
      </c>
      <c r="Q16" s="250">
        <f t="shared" si="1"/>
        <v>1676155</v>
      </c>
    </row>
    <row r="17" spans="1:17" s="144" customFormat="1" ht="20.45" customHeight="1" x14ac:dyDescent="0.25">
      <c r="A17" s="211">
        <v>11</v>
      </c>
      <c r="B17" s="191">
        <v>43844</v>
      </c>
      <c r="C17" s="138" t="s">
        <v>2186</v>
      </c>
      <c r="D17" s="138" t="s">
        <v>2880</v>
      </c>
      <c r="E17" s="146" t="s">
        <v>2885</v>
      </c>
      <c r="F17" s="138"/>
      <c r="G17" s="138"/>
      <c r="H17" s="141"/>
      <c r="I17" s="138"/>
      <c r="J17" s="139">
        <v>790000</v>
      </c>
      <c r="K17" s="141"/>
      <c r="L17" s="150"/>
      <c r="M17" s="141"/>
      <c r="N17" s="141"/>
      <c r="O17" s="139">
        <f t="shared" si="0"/>
        <v>790000</v>
      </c>
      <c r="P17" s="141">
        <v>2945455</v>
      </c>
      <c r="Q17" s="250">
        <f t="shared" si="1"/>
        <v>2155455</v>
      </c>
    </row>
    <row r="18" spans="1:17" s="144" customFormat="1" ht="20.45" customHeight="1" x14ac:dyDescent="0.25">
      <c r="A18" s="211">
        <v>12</v>
      </c>
      <c r="B18" s="191">
        <v>43845</v>
      </c>
      <c r="C18" s="138" t="s">
        <v>2870</v>
      </c>
      <c r="D18" s="138" t="s">
        <v>2881</v>
      </c>
      <c r="E18" s="146" t="s">
        <v>2886</v>
      </c>
      <c r="F18" s="138"/>
      <c r="G18" s="138"/>
      <c r="H18" s="141"/>
      <c r="I18" s="138"/>
      <c r="J18" s="139">
        <v>790000</v>
      </c>
      <c r="K18" s="141"/>
      <c r="L18" s="150"/>
      <c r="M18" s="141"/>
      <c r="N18" s="141"/>
      <c r="O18" s="139">
        <f t="shared" si="0"/>
        <v>790000</v>
      </c>
      <c r="P18" s="141">
        <v>3400000</v>
      </c>
      <c r="Q18" s="250">
        <f t="shared" si="1"/>
        <v>2610000</v>
      </c>
    </row>
    <row r="19" spans="1:17" s="144" customFormat="1" ht="20.45" customHeight="1" x14ac:dyDescent="0.25">
      <c r="A19" s="211">
        <v>13</v>
      </c>
      <c r="B19" s="191">
        <v>43846</v>
      </c>
      <c r="C19" s="138" t="s">
        <v>2891</v>
      </c>
      <c r="D19" s="138" t="s">
        <v>2896</v>
      </c>
      <c r="E19" s="146" t="s">
        <v>2901</v>
      </c>
      <c r="F19" s="138"/>
      <c r="G19" s="138"/>
      <c r="H19" s="141"/>
      <c r="I19" s="138"/>
      <c r="J19" s="139">
        <v>1150000</v>
      </c>
      <c r="K19" s="141"/>
      <c r="L19" s="150"/>
      <c r="M19" s="141"/>
      <c r="N19" s="141"/>
      <c r="O19" s="139">
        <f t="shared" si="0"/>
        <v>1150000</v>
      </c>
      <c r="P19" s="141">
        <v>3900000</v>
      </c>
      <c r="Q19" s="250">
        <f t="shared" si="1"/>
        <v>2750000</v>
      </c>
    </row>
    <row r="20" spans="1:17" s="144" customFormat="1" ht="20.45" customHeight="1" x14ac:dyDescent="0.25">
      <c r="A20" s="211">
        <v>14</v>
      </c>
      <c r="B20" s="191">
        <v>43847</v>
      </c>
      <c r="C20" s="138" t="s">
        <v>2892</v>
      </c>
      <c r="D20" s="138" t="s">
        <v>2897</v>
      </c>
      <c r="E20" s="146" t="s">
        <v>1937</v>
      </c>
      <c r="F20" s="138"/>
      <c r="G20" s="138">
        <v>270</v>
      </c>
      <c r="H20" s="141">
        <f>G20*16540</f>
        <v>4465800</v>
      </c>
      <c r="I20" s="138"/>
      <c r="J20" s="139">
        <v>1150000</v>
      </c>
      <c r="K20" s="141"/>
      <c r="L20" s="150"/>
      <c r="M20" s="141"/>
      <c r="N20" s="141"/>
      <c r="O20" s="139">
        <f t="shared" si="0"/>
        <v>5615800</v>
      </c>
      <c r="P20" s="141">
        <v>3860000</v>
      </c>
      <c r="Q20" s="250">
        <f t="shared" si="1"/>
        <v>-1755800</v>
      </c>
    </row>
    <row r="21" spans="1:17" s="144" customFormat="1" ht="20.45" customHeight="1" x14ac:dyDescent="0.25">
      <c r="A21" s="211">
        <v>15</v>
      </c>
      <c r="B21" s="191">
        <v>43848</v>
      </c>
      <c r="C21" s="138" t="s">
        <v>2893</v>
      </c>
      <c r="D21" s="138" t="s">
        <v>2898</v>
      </c>
      <c r="E21" s="146" t="s">
        <v>25</v>
      </c>
      <c r="F21" s="138"/>
      <c r="G21" s="138">
        <v>270</v>
      </c>
      <c r="H21" s="141">
        <f>G21*16540</f>
        <v>4465800</v>
      </c>
      <c r="I21" s="138"/>
      <c r="J21" s="139">
        <v>1890000</v>
      </c>
      <c r="K21" s="141"/>
      <c r="L21" s="150"/>
      <c r="M21" s="141"/>
      <c r="N21" s="141"/>
      <c r="O21" s="139">
        <f t="shared" si="0"/>
        <v>6355800</v>
      </c>
      <c r="P21" s="141">
        <v>8045455</v>
      </c>
      <c r="Q21" s="250">
        <f t="shared" si="1"/>
        <v>1689655</v>
      </c>
    </row>
    <row r="22" spans="1:17" s="144" customFormat="1" ht="20.45" customHeight="1" x14ac:dyDescent="0.25">
      <c r="A22" s="211">
        <v>16</v>
      </c>
      <c r="B22" s="191">
        <v>43860</v>
      </c>
      <c r="C22" s="138" t="s">
        <v>2894</v>
      </c>
      <c r="D22" s="138" t="s">
        <v>2899</v>
      </c>
      <c r="E22" s="146" t="s">
        <v>723</v>
      </c>
      <c r="F22" s="138"/>
      <c r="G22" s="138"/>
      <c r="H22" s="141"/>
      <c r="I22" s="138"/>
      <c r="J22" s="139">
        <v>800000</v>
      </c>
      <c r="K22" s="141"/>
      <c r="L22" s="150"/>
      <c r="M22" s="141"/>
      <c r="N22" s="141"/>
      <c r="O22" s="139">
        <f t="shared" si="0"/>
        <v>800000</v>
      </c>
      <c r="P22" s="141">
        <v>2909091</v>
      </c>
      <c r="Q22" s="250">
        <f t="shared" si="1"/>
        <v>2109091</v>
      </c>
    </row>
    <row r="23" spans="1:17" s="144" customFormat="1" ht="20.45" customHeight="1" x14ac:dyDescent="0.25">
      <c r="A23" s="211">
        <v>17</v>
      </c>
      <c r="B23" s="191">
        <v>43861</v>
      </c>
      <c r="C23" s="138" t="s">
        <v>2895</v>
      </c>
      <c r="D23" s="138" t="s">
        <v>2900</v>
      </c>
      <c r="E23" s="146" t="s">
        <v>2902</v>
      </c>
      <c r="F23" s="138"/>
      <c r="G23" s="138"/>
      <c r="H23" s="141"/>
      <c r="I23" s="138"/>
      <c r="J23" s="139">
        <v>970000</v>
      </c>
      <c r="K23" s="141"/>
      <c r="L23" s="150"/>
      <c r="M23" s="141"/>
      <c r="N23" s="141"/>
      <c r="O23" s="139">
        <f t="shared" si="0"/>
        <v>970000</v>
      </c>
      <c r="P23" s="141">
        <v>4090909</v>
      </c>
      <c r="Q23" s="250">
        <f t="shared" si="1"/>
        <v>3120909</v>
      </c>
    </row>
    <row r="24" spans="1:17" s="144" customFormat="1" ht="20.45" customHeight="1" x14ac:dyDescent="0.25">
      <c r="A24" s="211"/>
      <c r="B24" s="191"/>
      <c r="C24" s="138"/>
      <c r="D24" s="138"/>
      <c r="E24" s="146"/>
      <c r="F24" s="138"/>
      <c r="G24" s="138"/>
      <c r="H24" s="141"/>
      <c r="I24" s="138"/>
      <c r="J24" s="139"/>
      <c r="K24" s="141"/>
      <c r="L24" s="150"/>
      <c r="M24" s="141"/>
      <c r="N24" s="141"/>
      <c r="O24" s="139">
        <f t="shared" si="0"/>
        <v>0</v>
      </c>
      <c r="P24" s="141"/>
      <c r="Q24" s="250">
        <f t="shared" si="1"/>
        <v>0</v>
      </c>
    </row>
    <row r="25" spans="1:17" s="144" customFormat="1" ht="20.45" customHeight="1" x14ac:dyDescent="0.25">
      <c r="A25" s="211"/>
      <c r="B25" s="232"/>
      <c r="C25" s="265" t="s">
        <v>2939</v>
      </c>
      <c r="D25" s="277"/>
      <c r="E25" s="278"/>
      <c r="F25" s="279"/>
      <c r="G25" s="138"/>
      <c r="H25" s="141"/>
      <c r="I25" s="138"/>
      <c r="J25" s="139"/>
      <c r="K25" s="141"/>
      <c r="L25" s="219">
        <v>160000</v>
      </c>
      <c r="M25" s="141"/>
      <c r="N25" s="141"/>
      <c r="O25" s="139">
        <f t="shared" si="0"/>
        <v>160000</v>
      </c>
      <c r="P25" s="141"/>
      <c r="Q25" s="250">
        <f t="shared" si="1"/>
        <v>-160000</v>
      </c>
    </row>
    <row r="26" spans="1:17" s="144" customFormat="1" ht="20.45" customHeight="1" x14ac:dyDescent="0.25">
      <c r="A26" s="211"/>
      <c r="B26" s="232"/>
      <c r="C26" s="265" t="s">
        <v>2903</v>
      </c>
      <c r="D26" s="277"/>
      <c r="E26" s="278"/>
      <c r="F26" s="279"/>
      <c r="G26" s="138"/>
      <c r="H26" s="141"/>
      <c r="I26" s="138"/>
      <c r="J26" s="139"/>
      <c r="K26" s="141"/>
      <c r="L26" s="219">
        <v>1900000</v>
      </c>
      <c r="M26" s="141"/>
      <c r="N26" s="141"/>
      <c r="O26" s="139">
        <f t="shared" si="0"/>
        <v>1900000</v>
      </c>
      <c r="P26" s="141"/>
      <c r="Q26" s="250">
        <f t="shared" si="1"/>
        <v>-1900000</v>
      </c>
    </row>
    <row r="27" spans="1:17" s="144" customFormat="1" ht="20.45" customHeight="1" x14ac:dyDescent="0.25">
      <c r="A27" s="211"/>
      <c r="B27" s="232"/>
      <c r="C27" s="437" t="s">
        <v>2887</v>
      </c>
      <c r="D27" s="438"/>
      <c r="E27" s="438"/>
      <c r="F27" s="439"/>
      <c r="G27" s="220"/>
      <c r="H27" s="219"/>
      <c r="I27" s="220"/>
      <c r="J27" s="157"/>
      <c r="K27" s="157"/>
      <c r="L27" s="219">
        <v>170000</v>
      </c>
      <c r="M27" s="219"/>
      <c r="N27" s="157"/>
      <c r="O27" s="139">
        <f t="shared" si="0"/>
        <v>170000</v>
      </c>
      <c r="P27" s="139"/>
      <c r="Q27" s="250">
        <f t="shared" si="1"/>
        <v>-170000</v>
      </c>
    </row>
    <row r="28" spans="1:17" s="144" customFormat="1" ht="20.45" customHeight="1" x14ac:dyDescent="0.25">
      <c r="A28" s="211"/>
      <c r="C28" s="437" t="s">
        <v>2888</v>
      </c>
      <c r="D28" s="438"/>
      <c r="E28" s="438"/>
      <c r="F28" s="439"/>
      <c r="G28" s="138"/>
      <c r="H28" s="139"/>
      <c r="I28" s="138"/>
      <c r="J28" s="141"/>
      <c r="K28" s="141"/>
      <c r="L28" s="219">
        <v>200000</v>
      </c>
      <c r="M28" s="219"/>
      <c r="N28" s="157"/>
      <c r="O28" s="139">
        <f t="shared" si="0"/>
        <v>200000</v>
      </c>
      <c r="P28" s="139"/>
      <c r="Q28" s="250">
        <f t="shared" si="1"/>
        <v>-200000</v>
      </c>
    </row>
    <row r="29" spans="1:17" s="144" customFormat="1" ht="20.45" customHeight="1" x14ac:dyDescent="0.25">
      <c r="A29" s="211"/>
      <c r="C29" s="437" t="s">
        <v>2889</v>
      </c>
      <c r="D29" s="438"/>
      <c r="E29" s="438"/>
      <c r="F29" s="439"/>
      <c r="G29" s="138"/>
      <c r="H29" s="139"/>
      <c r="I29" s="138"/>
      <c r="J29" s="141"/>
      <c r="K29" s="157"/>
      <c r="L29" s="219">
        <v>1000000</v>
      </c>
      <c r="M29" s="157"/>
      <c r="N29" s="157"/>
      <c r="O29" s="139">
        <f t="shared" si="0"/>
        <v>1000000</v>
      </c>
      <c r="P29" s="139"/>
      <c r="Q29" s="250">
        <f t="shared" si="1"/>
        <v>-1000000</v>
      </c>
    </row>
    <row r="30" spans="1:17" s="144" customFormat="1" ht="20.45" customHeight="1" x14ac:dyDescent="0.25">
      <c r="A30" s="211"/>
      <c r="C30" s="443" t="s">
        <v>2890</v>
      </c>
      <c r="D30" s="444"/>
      <c r="E30" s="444"/>
      <c r="F30" s="445"/>
      <c r="G30" s="138"/>
      <c r="H30" s="139"/>
      <c r="I30" s="138"/>
      <c r="J30" s="141"/>
      <c r="K30" s="157"/>
      <c r="L30" s="219">
        <v>1000000</v>
      </c>
      <c r="M30" s="157"/>
      <c r="N30" s="157"/>
      <c r="O30" s="139">
        <f t="shared" si="0"/>
        <v>1000000</v>
      </c>
      <c r="P30" s="139"/>
      <c r="Q30" s="250">
        <f t="shared" si="1"/>
        <v>-1000000</v>
      </c>
    </row>
    <row r="31" spans="1:17" s="159" customFormat="1" ht="20.45" customHeight="1" x14ac:dyDescent="0.25">
      <c r="A31" s="211"/>
      <c r="B31" s="165"/>
      <c r="C31" s="440" t="s">
        <v>1337</v>
      </c>
      <c r="D31" s="441"/>
      <c r="E31" s="441"/>
      <c r="F31" s="442"/>
      <c r="G31" s="195"/>
      <c r="H31" s="155"/>
      <c r="I31" s="195"/>
      <c r="J31" s="155"/>
      <c r="K31" s="219">
        <v>4846154</v>
      </c>
      <c r="L31" s="155"/>
      <c r="M31" s="155"/>
      <c r="N31" s="155"/>
      <c r="O31" s="139">
        <f t="shared" si="0"/>
        <v>4846154</v>
      </c>
      <c r="P31" s="139"/>
      <c r="Q31" s="250">
        <f t="shared" si="1"/>
        <v>-4846154</v>
      </c>
    </row>
    <row r="32" spans="1:17" s="159" customFormat="1" ht="20.45" customHeight="1" x14ac:dyDescent="0.25">
      <c r="A32" s="211"/>
      <c r="B32" s="203"/>
      <c r="C32" s="285" t="s">
        <v>2269</v>
      </c>
      <c r="D32" s="286"/>
      <c r="E32" s="286"/>
      <c r="F32" s="287"/>
      <c r="G32" s="153"/>
      <c r="H32" s="156"/>
      <c r="I32" s="153"/>
      <c r="J32" s="156"/>
      <c r="K32" s="288">
        <v>300000</v>
      </c>
      <c r="L32" s="156"/>
      <c r="M32" s="156"/>
      <c r="N32" s="156"/>
      <c r="O32" s="139">
        <f t="shared" si="0"/>
        <v>300000</v>
      </c>
      <c r="P32" s="139"/>
      <c r="Q32" s="250">
        <f t="shared" si="1"/>
        <v>-300000</v>
      </c>
    </row>
    <row r="33" spans="1:17" s="159" customFormat="1" ht="20.45" customHeight="1" x14ac:dyDescent="0.25">
      <c r="A33" s="211"/>
      <c r="B33" s="203"/>
      <c r="C33" s="434" t="s">
        <v>1094</v>
      </c>
      <c r="D33" s="435"/>
      <c r="E33" s="435"/>
      <c r="F33" s="436"/>
      <c r="G33" s="153"/>
      <c r="H33" s="156"/>
      <c r="I33" s="153"/>
      <c r="J33" s="156"/>
      <c r="K33" s="204">
        <f>1200000*1.1</f>
        <v>1320000</v>
      </c>
      <c r="L33" s="204"/>
      <c r="M33" s="156"/>
      <c r="N33" s="156"/>
      <c r="O33" s="139">
        <f t="shared" si="0"/>
        <v>1320000</v>
      </c>
      <c r="P33" s="139"/>
      <c r="Q33" s="250">
        <f t="shared" si="1"/>
        <v>-1320000</v>
      </c>
    </row>
    <row r="34" spans="1:17" ht="20.45" customHeight="1" x14ac:dyDescent="0.25">
      <c r="A34" s="426" t="s">
        <v>20</v>
      </c>
      <c r="B34" s="426"/>
      <c r="C34" s="426"/>
      <c r="D34" s="426"/>
      <c r="E34" s="426"/>
      <c r="F34" s="426"/>
      <c r="G34" s="161">
        <f t="shared" ref="G34:Q34" si="3">SUM(G7:G33)</f>
        <v>1745</v>
      </c>
      <c r="H34" s="161">
        <f t="shared" si="3"/>
        <v>28922550</v>
      </c>
      <c r="I34" s="161">
        <f t="shared" si="3"/>
        <v>0</v>
      </c>
      <c r="J34" s="161">
        <f t="shared" si="3"/>
        <v>18230000</v>
      </c>
      <c r="K34" s="161">
        <f t="shared" si="3"/>
        <v>6466154</v>
      </c>
      <c r="L34" s="161">
        <f t="shared" si="3"/>
        <v>4430000</v>
      </c>
      <c r="M34" s="161">
        <f t="shared" si="3"/>
        <v>0</v>
      </c>
      <c r="N34" s="161">
        <f t="shared" si="3"/>
        <v>0</v>
      </c>
      <c r="O34" s="161">
        <f t="shared" si="3"/>
        <v>58048704</v>
      </c>
      <c r="P34" s="161">
        <f t="shared" si="3"/>
        <v>74030910</v>
      </c>
      <c r="Q34" s="161">
        <f t="shared" si="3"/>
        <v>15982206</v>
      </c>
    </row>
    <row r="35" spans="1:17" ht="24.95" customHeight="1" x14ac:dyDescent="0.25">
      <c r="O35" s="158"/>
      <c r="Q35" s="158"/>
    </row>
    <row r="36" spans="1:17" ht="13.9" customHeight="1" x14ac:dyDescent="0.25">
      <c r="P36" s="216" t="s">
        <v>1603</v>
      </c>
      <c r="Q36" s="227">
        <f>Q34</f>
        <v>15982206</v>
      </c>
    </row>
    <row r="37" spans="1:17" ht="13.9" customHeight="1" x14ac:dyDescent="0.25">
      <c r="B37" s="129"/>
      <c r="J37" s="128"/>
      <c r="K37" s="128"/>
      <c r="L37" s="128"/>
      <c r="M37" s="128"/>
      <c r="N37" s="128"/>
      <c r="O37" s="128"/>
      <c r="P37" s="218"/>
      <c r="Q37" s="216"/>
    </row>
    <row r="38" spans="1:17" ht="13.9" customHeight="1" x14ac:dyDescent="0.25">
      <c r="B38" s="129"/>
      <c r="H38" s="128"/>
      <c r="J38" s="128"/>
      <c r="K38" s="128"/>
      <c r="L38" s="128"/>
      <c r="M38" s="128"/>
      <c r="N38" s="128"/>
      <c r="O38" s="128"/>
      <c r="P38" s="218"/>
      <c r="Q38" s="230"/>
    </row>
  </sheetData>
  <mergeCells count="20">
    <mergeCell ref="A34:F34"/>
    <mergeCell ref="C30:F30"/>
    <mergeCell ref="O5:O6"/>
    <mergeCell ref="C27:F27"/>
    <mergeCell ref="C28:F28"/>
    <mergeCell ref="C29:F29"/>
    <mergeCell ref="C31:F31"/>
    <mergeCell ref="C33:F33"/>
    <mergeCell ref="A5:A6"/>
    <mergeCell ref="B5:B6"/>
    <mergeCell ref="C5:C6"/>
    <mergeCell ref="D5:D6"/>
    <mergeCell ref="E5:E6"/>
    <mergeCell ref="F5:F6"/>
    <mergeCell ref="G5:N5"/>
    <mergeCell ref="A1:Q1"/>
    <mergeCell ref="A2:Q2"/>
    <mergeCell ref="B3:Q3"/>
    <mergeCell ref="P5:P6"/>
    <mergeCell ref="Q5:Q6"/>
  </mergeCells>
  <pageMargins left="0.7" right="0.7" top="0.75" bottom="0.75" header="0.3" footer="0.3"/>
  <pageSetup paperSize="9" orientation="portrait" horizontalDpi="180" verticalDpi="18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39"/>
  <sheetViews>
    <sheetView topLeftCell="B12" zoomScaleNormal="100" workbookViewId="0">
      <selection activeCell="D14" sqref="D14"/>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2904</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191">
        <v>43864</v>
      </c>
      <c r="C7" s="138" t="s">
        <v>2905</v>
      </c>
      <c r="D7" s="138" t="s">
        <v>2918</v>
      </c>
      <c r="E7" s="146" t="s">
        <v>2933</v>
      </c>
      <c r="F7" s="138"/>
      <c r="G7" s="138">
        <v>300</v>
      </c>
      <c r="H7" s="141">
        <f>G7*16130</f>
        <v>4839000</v>
      </c>
      <c r="I7" s="138"/>
      <c r="J7" s="139">
        <v>970000</v>
      </c>
      <c r="K7" s="141"/>
      <c r="L7" s="150"/>
      <c r="M7" s="141"/>
      <c r="N7" s="141"/>
      <c r="O7" s="139">
        <f>SUM(H7:N7)</f>
        <v>5809000</v>
      </c>
      <c r="P7" s="139">
        <v>5100000</v>
      </c>
      <c r="Q7" s="250">
        <f>P7-O7</f>
        <v>-709000</v>
      </c>
      <c r="R7" s="215"/>
    </row>
    <row r="8" spans="1:18" s="144" customFormat="1" ht="20.45" customHeight="1" x14ac:dyDescent="0.25">
      <c r="A8" s="211">
        <v>2</v>
      </c>
      <c r="B8" s="191">
        <v>43865</v>
      </c>
      <c r="C8" s="138" t="s">
        <v>2906</v>
      </c>
      <c r="D8" s="138" t="s">
        <v>2919</v>
      </c>
      <c r="E8" s="146" t="s">
        <v>25</v>
      </c>
      <c r="F8" s="138"/>
      <c r="G8" s="138"/>
      <c r="H8" s="141"/>
      <c r="I8" s="138"/>
      <c r="J8" s="139">
        <v>1890000</v>
      </c>
      <c r="K8" s="141"/>
      <c r="L8" s="150"/>
      <c r="M8" s="141"/>
      <c r="N8" s="141"/>
      <c r="O8" s="139">
        <f t="shared" ref="O8:O27" si="0">SUM(H8:N8)</f>
        <v>1890000</v>
      </c>
      <c r="P8" s="139">
        <v>8045455</v>
      </c>
      <c r="Q8" s="250">
        <f t="shared" ref="Q8:Q27" si="1">P8-O8</f>
        <v>6155455</v>
      </c>
      <c r="R8" s="215"/>
    </row>
    <row r="9" spans="1:18" s="144" customFormat="1" ht="20.45" customHeight="1" x14ac:dyDescent="0.25">
      <c r="A9" s="211">
        <v>3</v>
      </c>
      <c r="B9" s="191">
        <v>43866</v>
      </c>
      <c r="C9" s="138" t="s">
        <v>1578</v>
      </c>
      <c r="D9" s="138" t="s">
        <v>2920</v>
      </c>
      <c r="E9" s="146" t="s">
        <v>513</v>
      </c>
      <c r="F9" s="138"/>
      <c r="G9" s="138"/>
      <c r="H9" s="141"/>
      <c r="I9" s="138"/>
      <c r="J9" s="139">
        <f>970000+660000</f>
        <v>1630000</v>
      </c>
      <c r="K9" s="141"/>
      <c r="L9" s="150"/>
      <c r="M9" s="141"/>
      <c r="N9" s="141"/>
      <c r="O9" s="139">
        <f t="shared" si="0"/>
        <v>1630000</v>
      </c>
      <c r="P9" s="139">
        <v>4000000</v>
      </c>
      <c r="Q9" s="250">
        <f t="shared" si="1"/>
        <v>2370000</v>
      </c>
      <c r="R9" s="215"/>
    </row>
    <row r="10" spans="1:18" s="144" customFormat="1" ht="20.45" customHeight="1" x14ac:dyDescent="0.25">
      <c r="A10" s="211">
        <v>4</v>
      </c>
      <c r="B10" s="191">
        <v>43867</v>
      </c>
      <c r="C10" s="138" t="s">
        <v>2907</v>
      </c>
      <c r="D10" s="138" t="s">
        <v>2920</v>
      </c>
      <c r="E10" s="146" t="s">
        <v>2795</v>
      </c>
      <c r="F10" s="138"/>
      <c r="G10" s="138">
        <v>320</v>
      </c>
      <c r="H10" s="141">
        <f t="shared" ref="H10:H14" si="2">G10*16130</f>
        <v>5161600</v>
      </c>
      <c r="I10" s="138"/>
      <c r="J10" s="139">
        <v>0</v>
      </c>
      <c r="K10" s="141"/>
      <c r="L10" s="150"/>
      <c r="M10" s="141"/>
      <c r="N10" s="141"/>
      <c r="O10" s="139">
        <f t="shared" si="0"/>
        <v>5161600</v>
      </c>
      <c r="P10" s="141">
        <v>2000000</v>
      </c>
      <c r="Q10" s="250">
        <f t="shared" si="1"/>
        <v>-3161600</v>
      </c>
      <c r="R10" s="215"/>
    </row>
    <row r="11" spans="1:18" s="144" customFormat="1" ht="20.45" customHeight="1" x14ac:dyDescent="0.25">
      <c r="A11" s="211">
        <v>5</v>
      </c>
      <c r="B11" s="191">
        <v>43869</v>
      </c>
      <c r="C11" s="138" t="s">
        <v>1581</v>
      </c>
      <c r="D11" s="138" t="s">
        <v>2921</v>
      </c>
      <c r="E11" s="146" t="s">
        <v>259</v>
      </c>
      <c r="F11" s="138"/>
      <c r="G11" s="138"/>
      <c r="H11" s="141"/>
      <c r="I11" s="138"/>
      <c r="J11" s="139">
        <v>970000</v>
      </c>
      <c r="K11" s="141"/>
      <c r="L11" s="150"/>
      <c r="M11" s="141"/>
      <c r="N11" s="141"/>
      <c r="O11" s="139">
        <f t="shared" si="0"/>
        <v>970000</v>
      </c>
      <c r="P11" s="141">
        <v>3800000</v>
      </c>
      <c r="Q11" s="250">
        <f t="shared" si="1"/>
        <v>2830000</v>
      </c>
      <c r="R11" s="215"/>
    </row>
    <row r="12" spans="1:18" s="144" customFormat="1" ht="20.45" customHeight="1" x14ac:dyDescent="0.25">
      <c r="A12" s="211">
        <v>6</v>
      </c>
      <c r="B12" s="191">
        <v>43872</v>
      </c>
      <c r="C12" s="138" t="s">
        <v>2908</v>
      </c>
      <c r="D12" s="138" t="s">
        <v>2922</v>
      </c>
      <c r="E12" s="146" t="s">
        <v>79</v>
      </c>
      <c r="F12" s="138"/>
      <c r="G12" s="138"/>
      <c r="H12" s="141"/>
      <c r="I12" s="138"/>
      <c r="J12" s="139">
        <f>1150000+300000</f>
        <v>1450000</v>
      </c>
      <c r="K12" s="141"/>
      <c r="L12" s="150"/>
      <c r="M12" s="141"/>
      <c r="N12" s="141"/>
      <c r="O12" s="139">
        <f t="shared" si="0"/>
        <v>1450000</v>
      </c>
      <c r="P12" s="141">
        <v>5400000</v>
      </c>
      <c r="Q12" s="250">
        <f t="shared" si="1"/>
        <v>3950000</v>
      </c>
      <c r="R12" s="215"/>
    </row>
    <row r="13" spans="1:18" s="144" customFormat="1" ht="20.45" customHeight="1" x14ac:dyDescent="0.25">
      <c r="A13" s="211">
        <v>7</v>
      </c>
      <c r="B13" s="191">
        <v>43872</v>
      </c>
      <c r="C13" s="138" t="s">
        <v>2909</v>
      </c>
      <c r="D13" s="138" t="s">
        <v>2922</v>
      </c>
      <c r="E13" s="146" t="s">
        <v>291</v>
      </c>
      <c r="F13" s="138"/>
      <c r="G13" s="138"/>
      <c r="H13" s="141"/>
      <c r="I13" s="138"/>
      <c r="J13" s="139">
        <v>0</v>
      </c>
      <c r="K13" s="141"/>
      <c r="L13" s="150"/>
      <c r="M13" s="141"/>
      <c r="N13" s="141"/>
      <c r="O13" s="139">
        <f t="shared" si="0"/>
        <v>0</v>
      </c>
      <c r="P13" s="141">
        <v>0</v>
      </c>
      <c r="Q13" s="250">
        <f t="shared" si="1"/>
        <v>0</v>
      </c>
      <c r="R13" s="215"/>
    </row>
    <row r="14" spans="1:18" s="144" customFormat="1" ht="20.45" customHeight="1" x14ac:dyDescent="0.2">
      <c r="A14" s="211">
        <v>8</v>
      </c>
      <c r="B14" s="191">
        <v>43873</v>
      </c>
      <c r="C14" s="214" t="s">
        <v>2910</v>
      </c>
      <c r="D14" s="214" t="s">
        <v>2940</v>
      </c>
      <c r="E14" s="289" t="s">
        <v>1865</v>
      </c>
      <c r="F14" s="214"/>
      <c r="G14" s="214">
        <v>250</v>
      </c>
      <c r="H14" s="208">
        <f t="shared" si="2"/>
        <v>4032500</v>
      </c>
      <c r="I14" s="214"/>
      <c r="J14" s="208">
        <v>790000</v>
      </c>
      <c r="K14" s="208"/>
      <c r="L14" s="290"/>
      <c r="M14" s="208"/>
      <c r="N14" s="208"/>
      <c r="O14" s="208">
        <f t="shared" si="0"/>
        <v>4822500</v>
      </c>
      <c r="P14" s="291">
        <v>3263636</v>
      </c>
      <c r="Q14" s="250">
        <f t="shared" si="1"/>
        <v>-1558864</v>
      </c>
      <c r="R14" s="215"/>
    </row>
    <row r="15" spans="1:18" s="144" customFormat="1" ht="20.45" customHeight="1" x14ac:dyDescent="0.25">
      <c r="A15" s="211">
        <v>9</v>
      </c>
      <c r="B15" s="191">
        <v>43875</v>
      </c>
      <c r="C15" s="138" t="s">
        <v>2239</v>
      </c>
      <c r="D15" s="138" t="s">
        <v>2923</v>
      </c>
      <c r="E15" s="146" t="s">
        <v>657</v>
      </c>
      <c r="F15" s="138"/>
      <c r="G15" s="138"/>
      <c r="H15" s="141"/>
      <c r="I15" s="138"/>
      <c r="J15" s="139">
        <v>1780000</v>
      </c>
      <c r="K15" s="141"/>
      <c r="L15" s="150"/>
      <c r="M15" s="141"/>
      <c r="N15" s="141"/>
      <c r="O15" s="139">
        <f t="shared" si="0"/>
        <v>1780000</v>
      </c>
      <c r="P15" s="141">
        <v>5800000</v>
      </c>
      <c r="Q15" s="250">
        <f t="shared" si="1"/>
        <v>4020000</v>
      </c>
      <c r="R15" s="215"/>
    </row>
    <row r="16" spans="1:18" s="144" customFormat="1" ht="20.45" customHeight="1" x14ac:dyDescent="0.25">
      <c r="A16" s="211">
        <v>10</v>
      </c>
      <c r="B16" s="191">
        <v>43877</v>
      </c>
      <c r="C16" s="138" t="s">
        <v>2911</v>
      </c>
      <c r="D16" s="138" t="s">
        <v>2924</v>
      </c>
      <c r="E16" s="146" t="s">
        <v>2497</v>
      </c>
      <c r="F16" s="138"/>
      <c r="G16" s="138"/>
      <c r="H16" s="141"/>
      <c r="I16" s="138"/>
      <c r="J16" s="139">
        <v>1150000</v>
      </c>
      <c r="K16" s="141"/>
      <c r="L16" s="150"/>
      <c r="M16" s="141"/>
      <c r="N16" s="141"/>
      <c r="O16" s="139">
        <f t="shared" si="0"/>
        <v>1150000</v>
      </c>
      <c r="P16" s="141">
        <v>3800000</v>
      </c>
      <c r="Q16" s="250">
        <f t="shared" si="1"/>
        <v>2650000</v>
      </c>
      <c r="R16" s="215"/>
    </row>
    <row r="17" spans="1:19" s="144" customFormat="1" ht="20.45" customHeight="1" x14ac:dyDescent="0.25">
      <c r="A17" s="211">
        <v>11</v>
      </c>
      <c r="B17" s="191">
        <v>43878</v>
      </c>
      <c r="C17" s="138" t="s">
        <v>2912</v>
      </c>
      <c r="D17" s="138" t="s">
        <v>2925</v>
      </c>
      <c r="E17" s="146" t="s">
        <v>2934</v>
      </c>
      <c r="F17" s="138"/>
      <c r="G17" s="138">
        <v>330</v>
      </c>
      <c r="H17" s="141">
        <f>G17*15170</f>
        <v>5006100</v>
      </c>
      <c r="I17" s="138"/>
      <c r="J17" s="139">
        <v>970000</v>
      </c>
      <c r="K17" s="141"/>
      <c r="L17" s="150"/>
      <c r="M17" s="141"/>
      <c r="N17" s="141"/>
      <c r="O17" s="139">
        <f t="shared" si="0"/>
        <v>5976100</v>
      </c>
      <c r="P17" s="141">
        <v>3800000</v>
      </c>
      <c r="Q17" s="250">
        <f t="shared" si="1"/>
        <v>-2176100</v>
      </c>
      <c r="R17" s="215"/>
    </row>
    <row r="18" spans="1:19" s="144" customFormat="1" ht="20.45" customHeight="1" x14ac:dyDescent="0.25">
      <c r="A18" s="211">
        <v>12</v>
      </c>
      <c r="B18" s="191">
        <v>43880</v>
      </c>
      <c r="C18" s="138" t="s">
        <v>2913</v>
      </c>
      <c r="D18" s="138" t="s">
        <v>2926</v>
      </c>
      <c r="E18" s="146" t="s">
        <v>2935</v>
      </c>
      <c r="F18" s="138"/>
      <c r="G18" s="138"/>
      <c r="H18" s="141"/>
      <c r="I18" s="138"/>
      <c r="J18" s="139">
        <v>970000</v>
      </c>
      <c r="K18" s="141"/>
      <c r="L18" s="150"/>
      <c r="M18" s="141"/>
      <c r="N18" s="141"/>
      <c r="O18" s="139">
        <f t="shared" si="0"/>
        <v>970000</v>
      </c>
      <c r="P18" s="141">
        <v>3890909</v>
      </c>
      <c r="Q18" s="250">
        <f t="shared" si="1"/>
        <v>2920909</v>
      </c>
      <c r="R18" s="215"/>
    </row>
    <row r="19" spans="1:19" s="144" customFormat="1" ht="20.45" customHeight="1" x14ac:dyDescent="0.25">
      <c r="A19" s="211">
        <v>13</v>
      </c>
      <c r="B19" s="191">
        <v>43881</v>
      </c>
      <c r="C19" s="138" t="s">
        <v>2244</v>
      </c>
      <c r="D19" s="138" t="s">
        <v>2927</v>
      </c>
      <c r="E19" s="146" t="s">
        <v>1937</v>
      </c>
      <c r="F19" s="138"/>
      <c r="G19" s="138"/>
      <c r="H19" s="141"/>
      <c r="I19" s="138"/>
      <c r="J19" s="139">
        <v>1150000</v>
      </c>
      <c r="K19" s="141"/>
      <c r="L19" s="150"/>
      <c r="M19" s="141"/>
      <c r="N19" s="141"/>
      <c r="O19" s="139">
        <f t="shared" si="0"/>
        <v>1150000</v>
      </c>
      <c r="P19" s="141">
        <v>3860000</v>
      </c>
      <c r="Q19" s="250">
        <f t="shared" si="1"/>
        <v>2710000</v>
      </c>
      <c r="R19" s="215"/>
    </row>
    <row r="20" spans="1:19" s="144" customFormat="1" ht="20.45" customHeight="1" x14ac:dyDescent="0.25">
      <c r="A20" s="211">
        <v>14</v>
      </c>
      <c r="B20" s="191">
        <v>43882</v>
      </c>
      <c r="C20" s="138" t="s">
        <v>2914</v>
      </c>
      <c r="D20" s="138" t="s">
        <v>2928</v>
      </c>
      <c r="E20" s="146" t="s">
        <v>2059</v>
      </c>
      <c r="F20" s="138"/>
      <c r="G20" s="138">
        <v>325</v>
      </c>
      <c r="H20" s="141">
        <f t="shared" ref="H20:H22" si="3">G20*15170</f>
        <v>4930250</v>
      </c>
      <c r="I20" s="138"/>
      <c r="J20" s="139">
        <v>1200000</v>
      </c>
      <c r="K20" s="141"/>
      <c r="L20" s="150"/>
      <c r="M20" s="141"/>
      <c r="N20" s="141"/>
      <c r="O20" s="139">
        <f t="shared" si="0"/>
        <v>6130250</v>
      </c>
      <c r="P20" s="141">
        <v>6363636</v>
      </c>
      <c r="Q20" s="250">
        <f t="shared" si="1"/>
        <v>233386</v>
      </c>
      <c r="R20" s="215"/>
    </row>
    <row r="21" spans="1:19" s="144" customFormat="1" ht="20.45" customHeight="1" x14ac:dyDescent="0.25">
      <c r="A21" s="211">
        <v>15</v>
      </c>
      <c r="B21" s="191">
        <v>43886</v>
      </c>
      <c r="C21" s="138" t="s">
        <v>2915</v>
      </c>
      <c r="D21" s="138" t="s">
        <v>2929</v>
      </c>
      <c r="E21" s="146" t="s">
        <v>2936</v>
      </c>
      <c r="F21" s="138"/>
      <c r="G21" s="138"/>
      <c r="H21" s="141"/>
      <c r="I21" s="138"/>
      <c r="J21" s="139">
        <v>1000000</v>
      </c>
      <c r="K21" s="141"/>
      <c r="L21" s="150"/>
      <c r="M21" s="141"/>
      <c r="N21" s="141"/>
      <c r="O21" s="139">
        <f t="shared" si="0"/>
        <v>1000000</v>
      </c>
      <c r="P21" s="141">
        <v>5600000</v>
      </c>
      <c r="Q21" s="250">
        <f t="shared" si="1"/>
        <v>4600000</v>
      </c>
      <c r="R21" s="215"/>
    </row>
    <row r="22" spans="1:19" s="144" customFormat="1" ht="20.45" customHeight="1" x14ac:dyDescent="0.25">
      <c r="A22" s="211">
        <v>16</v>
      </c>
      <c r="B22" s="191">
        <v>43888</v>
      </c>
      <c r="C22" s="138" t="s">
        <v>2248</v>
      </c>
      <c r="D22" s="138" t="s">
        <v>2930</v>
      </c>
      <c r="E22" s="146" t="s">
        <v>2937</v>
      </c>
      <c r="F22" s="138"/>
      <c r="G22" s="138">
        <v>310</v>
      </c>
      <c r="H22" s="141">
        <f t="shared" si="3"/>
        <v>4702700</v>
      </c>
      <c r="I22" s="138"/>
      <c r="J22" s="139">
        <v>1160000</v>
      </c>
      <c r="K22" s="141"/>
      <c r="L22" s="150"/>
      <c r="M22" s="141"/>
      <c r="N22" s="141"/>
      <c r="O22" s="139">
        <f t="shared" si="0"/>
        <v>5862700</v>
      </c>
      <c r="P22" s="141">
        <v>5800000</v>
      </c>
      <c r="Q22" s="250">
        <f t="shared" si="1"/>
        <v>-62700</v>
      </c>
      <c r="R22" s="215"/>
    </row>
    <row r="23" spans="1:19" s="144" customFormat="1" ht="20.45" customHeight="1" x14ac:dyDescent="0.25">
      <c r="A23" s="211">
        <v>17</v>
      </c>
      <c r="B23" s="191">
        <v>43889</v>
      </c>
      <c r="C23" s="138" t="s">
        <v>2916</v>
      </c>
      <c r="D23" s="138" t="s">
        <v>2931</v>
      </c>
      <c r="E23" s="146" t="s">
        <v>2497</v>
      </c>
      <c r="F23" s="138"/>
      <c r="G23" s="138"/>
      <c r="H23" s="141"/>
      <c r="I23" s="138"/>
      <c r="J23" s="139">
        <v>1150000</v>
      </c>
      <c r="K23" s="141"/>
      <c r="L23" s="150"/>
      <c r="M23" s="141"/>
      <c r="N23" s="141"/>
      <c r="O23" s="139">
        <f t="shared" si="0"/>
        <v>1150000</v>
      </c>
      <c r="P23" s="141">
        <v>3800000</v>
      </c>
      <c r="Q23" s="250">
        <f t="shared" si="1"/>
        <v>2650000</v>
      </c>
      <c r="R23" s="215"/>
    </row>
    <row r="24" spans="1:19" s="144" customFormat="1" ht="20.45" customHeight="1" x14ac:dyDescent="0.25">
      <c r="A24" s="211"/>
      <c r="B24" s="191">
        <v>43890</v>
      </c>
      <c r="C24" s="138" t="s">
        <v>2917</v>
      </c>
      <c r="D24" s="138" t="s">
        <v>2932</v>
      </c>
      <c r="E24" s="146" t="s">
        <v>1937</v>
      </c>
      <c r="F24" s="138"/>
      <c r="G24" s="138"/>
      <c r="H24" s="141"/>
      <c r="I24" s="138"/>
      <c r="J24" s="139">
        <v>1150000</v>
      </c>
      <c r="K24" s="141"/>
      <c r="L24" s="150"/>
      <c r="M24" s="141"/>
      <c r="N24" s="141"/>
      <c r="O24" s="139">
        <f t="shared" si="0"/>
        <v>1150000</v>
      </c>
      <c r="P24" s="141">
        <v>4360000</v>
      </c>
      <c r="Q24" s="250">
        <f t="shared" si="1"/>
        <v>3210000</v>
      </c>
      <c r="R24" s="215"/>
    </row>
    <row r="25" spans="1:19" s="144" customFormat="1" ht="20.45" customHeight="1" x14ac:dyDescent="0.25">
      <c r="A25" s="211"/>
      <c r="B25" s="232"/>
      <c r="C25" s="265" t="s">
        <v>2938</v>
      </c>
      <c r="D25" s="277"/>
      <c r="E25" s="278"/>
      <c r="F25" s="279"/>
      <c r="G25" s="138"/>
      <c r="H25" s="141"/>
      <c r="I25" s="138"/>
      <c r="J25" s="139"/>
      <c r="K25" s="141"/>
      <c r="L25" s="219">
        <v>4850000</v>
      </c>
      <c r="M25" s="141"/>
      <c r="N25" s="141"/>
      <c r="O25" s="139">
        <f t="shared" si="0"/>
        <v>4850000</v>
      </c>
      <c r="P25" s="141"/>
      <c r="Q25" s="250">
        <f t="shared" si="1"/>
        <v>-4850000</v>
      </c>
      <c r="R25" s="215"/>
    </row>
    <row r="26" spans="1:19" s="159" customFormat="1" ht="20.45" customHeight="1" x14ac:dyDescent="0.25">
      <c r="A26" s="211"/>
      <c r="B26" s="165"/>
      <c r="C26" s="440" t="s">
        <v>1337</v>
      </c>
      <c r="D26" s="441"/>
      <c r="E26" s="441"/>
      <c r="F26" s="442"/>
      <c r="G26" s="195"/>
      <c r="H26" s="155"/>
      <c r="I26" s="195"/>
      <c r="J26" s="155"/>
      <c r="K26" s="219">
        <v>9000000</v>
      </c>
      <c r="L26" s="155"/>
      <c r="M26" s="155"/>
      <c r="N26" s="155"/>
      <c r="O26" s="139">
        <f t="shared" si="0"/>
        <v>9000000</v>
      </c>
      <c r="P26" s="139"/>
      <c r="Q26" s="250">
        <f t="shared" si="1"/>
        <v>-9000000</v>
      </c>
      <c r="R26" s="215"/>
    </row>
    <row r="27" spans="1:19" s="159" customFormat="1" ht="20.45" customHeight="1" x14ac:dyDescent="0.25">
      <c r="A27" s="211"/>
      <c r="B27" s="203"/>
      <c r="C27" s="434" t="s">
        <v>1094</v>
      </c>
      <c r="D27" s="435"/>
      <c r="E27" s="435"/>
      <c r="F27" s="436"/>
      <c r="G27" s="153"/>
      <c r="H27" s="156"/>
      <c r="I27" s="153"/>
      <c r="J27" s="156"/>
      <c r="K27" s="204">
        <f>1200000*1.1</f>
        <v>1320000</v>
      </c>
      <c r="L27" s="204"/>
      <c r="M27" s="156"/>
      <c r="N27" s="156"/>
      <c r="O27" s="139">
        <f t="shared" si="0"/>
        <v>1320000</v>
      </c>
      <c r="P27" s="139"/>
      <c r="Q27" s="250">
        <f t="shared" si="1"/>
        <v>-1320000</v>
      </c>
      <c r="R27" s="215"/>
    </row>
    <row r="28" spans="1:19" ht="20.45" customHeight="1" x14ac:dyDescent="0.25">
      <c r="A28" s="426" t="s">
        <v>20</v>
      </c>
      <c r="B28" s="426"/>
      <c r="C28" s="426"/>
      <c r="D28" s="426"/>
      <c r="E28" s="426"/>
      <c r="F28" s="426"/>
      <c r="G28" s="161">
        <f t="shared" ref="G28:Q28" si="4">SUM(G7:G27)</f>
        <v>1835</v>
      </c>
      <c r="H28" s="161">
        <f t="shared" si="4"/>
        <v>28672150</v>
      </c>
      <c r="I28" s="161">
        <f t="shared" si="4"/>
        <v>0</v>
      </c>
      <c r="J28" s="161">
        <f t="shared" si="4"/>
        <v>19380000</v>
      </c>
      <c r="K28" s="161">
        <f t="shared" si="4"/>
        <v>10320000</v>
      </c>
      <c r="L28" s="161">
        <f t="shared" si="4"/>
        <v>4850000</v>
      </c>
      <c r="M28" s="161">
        <f t="shared" si="4"/>
        <v>0</v>
      </c>
      <c r="N28" s="161">
        <f t="shared" si="4"/>
        <v>0</v>
      </c>
      <c r="O28" s="161">
        <f t="shared" si="4"/>
        <v>63222150</v>
      </c>
      <c r="P28" s="161">
        <f t="shared" si="4"/>
        <v>78683636</v>
      </c>
      <c r="Q28" s="161">
        <f t="shared" si="4"/>
        <v>15461486</v>
      </c>
    </row>
    <row r="29" spans="1:19" ht="24.95" customHeight="1" x14ac:dyDescent="0.25">
      <c r="O29" s="158"/>
      <c r="Q29" s="158"/>
    </row>
    <row r="30" spans="1:19" ht="13.9" customHeight="1" x14ac:dyDescent="0.25">
      <c r="P30" s="216" t="s">
        <v>1603</v>
      </c>
      <c r="Q30" s="227">
        <f>'01.2020'!Q36+'02.2020'!Q28</f>
        <v>31443692</v>
      </c>
      <c r="S30" s="216"/>
    </row>
    <row r="31" spans="1:19" ht="13.9" customHeight="1" x14ac:dyDescent="0.25">
      <c r="B31" s="129"/>
      <c r="J31" s="128"/>
      <c r="K31" s="128"/>
      <c r="L31" s="128"/>
      <c r="M31" s="128"/>
      <c r="N31" s="128"/>
      <c r="O31" s="128"/>
      <c r="P31" s="218"/>
      <c r="Q31" s="216"/>
    </row>
    <row r="32" spans="1:19" ht="13.9" customHeight="1" x14ac:dyDescent="0.25">
      <c r="B32" s="129"/>
      <c r="H32" s="128"/>
      <c r="J32" s="128"/>
      <c r="K32" s="128"/>
      <c r="L32" s="128"/>
      <c r="M32" s="128"/>
      <c r="N32" s="128"/>
      <c r="O32" s="128"/>
      <c r="P32" s="218"/>
      <c r="Q32" s="230"/>
    </row>
    <row r="33" spans="1:18" ht="13.9" customHeight="1" x14ac:dyDescent="0.25">
      <c r="B33" s="129"/>
      <c r="H33" s="128"/>
      <c r="J33" s="128"/>
      <c r="K33" s="128"/>
      <c r="L33" s="128"/>
      <c r="M33" s="128"/>
      <c r="N33" s="128"/>
      <c r="O33" s="128"/>
      <c r="P33" s="218"/>
      <c r="Q33" s="230"/>
      <c r="R33" s="143"/>
    </row>
    <row r="34" spans="1:18" ht="13.9" customHeight="1" x14ac:dyDescent="0.25">
      <c r="B34" s="129"/>
      <c r="H34" s="128"/>
      <c r="J34" s="128"/>
      <c r="K34" s="128"/>
      <c r="L34" s="128"/>
      <c r="M34" s="128"/>
      <c r="N34" s="128"/>
      <c r="O34" s="128"/>
      <c r="P34" s="218"/>
      <c r="Q34" s="216"/>
      <c r="R34" s="143"/>
    </row>
    <row r="35" spans="1:18" x14ac:dyDescent="0.25">
      <c r="B35" s="129"/>
      <c r="H35" s="128"/>
      <c r="J35" s="128"/>
      <c r="K35" s="128"/>
      <c r="L35" s="128"/>
      <c r="M35" s="128"/>
      <c r="N35" s="128"/>
      <c r="O35" s="128"/>
      <c r="P35" s="218"/>
      <c r="Q35" s="216"/>
    </row>
    <row r="36" spans="1:18" x14ac:dyDescent="0.25">
      <c r="A36" s="128"/>
      <c r="B36" s="129"/>
      <c r="H36" s="128"/>
      <c r="J36" s="128"/>
      <c r="K36" s="128"/>
      <c r="L36" s="128"/>
      <c r="M36" s="128"/>
      <c r="N36" s="128"/>
      <c r="O36" s="128"/>
      <c r="P36" s="218"/>
      <c r="Q36" s="216"/>
    </row>
    <row r="37" spans="1:18" x14ac:dyDescent="0.25">
      <c r="A37" s="128"/>
      <c r="B37" s="129"/>
      <c r="H37" s="128"/>
      <c r="J37" s="128"/>
      <c r="K37" s="128"/>
      <c r="L37" s="128"/>
      <c r="M37" s="128"/>
      <c r="N37" s="128"/>
      <c r="O37" s="128"/>
      <c r="P37" s="218"/>
      <c r="Q37" s="216"/>
    </row>
    <row r="38" spans="1:18" x14ac:dyDescent="0.25">
      <c r="A38" s="128"/>
      <c r="B38" s="128"/>
      <c r="H38" s="128"/>
      <c r="J38" s="128"/>
      <c r="K38" s="128"/>
      <c r="L38" s="128"/>
      <c r="M38" s="128"/>
      <c r="N38" s="128"/>
      <c r="O38" s="128"/>
      <c r="P38" s="128"/>
      <c r="Q38" s="216"/>
    </row>
    <row r="39" spans="1:18" x14ac:dyDescent="0.25">
      <c r="A39" s="128"/>
      <c r="B39" s="128"/>
      <c r="H39" s="128"/>
      <c r="J39" s="128"/>
      <c r="K39" s="128"/>
      <c r="L39" s="128"/>
      <c r="M39" s="128"/>
      <c r="N39" s="128"/>
      <c r="O39" s="128"/>
      <c r="P39" s="128"/>
      <c r="Q39" s="216"/>
    </row>
  </sheetData>
  <mergeCells count="16">
    <mergeCell ref="C26:F26"/>
    <mergeCell ref="C27:F27"/>
    <mergeCell ref="A28:F28"/>
    <mergeCell ref="O5:O6"/>
    <mergeCell ref="A1:Q1"/>
    <mergeCell ref="A2:Q2"/>
    <mergeCell ref="B3:Q3"/>
    <mergeCell ref="A5:A6"/>
    <mergeCell ref="B5:B6"/>
    <mergeCell ref="C5:C6"/>
    <mergeCell ref="D5:D6"/>
    <mergeCell ref="E5:E6"/>
    <mergeCell ref="F5:F6"/>
    <mergeCell ref="G5:N5"/>
    <mergeCell ref="P5:P6"/>
    <mergeCell ref="Q5:Q6"/>
  </mergeCells>
  <pageMargins left="0.7" right="0.7" top="0.75" bottom="0.75" header="0.3" footer="0.3"/>
  <pageSetup paperSize="9" orientation="portrait" horizontalDpi="180" verticalDpi="18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53"/>
  <sheetViews>
    <sheetView topLeftCell="B28" zoomScaleNormal="100" workbookViewId="0">
      <selection activeCell="J59" sqref="J5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2941</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191">
        <v>43893</v>
      </c>
      <c r="C7" s="138" t="s">
        <v>2942</v>
      </c>
      <c r="D7" s="138" t="s">
        <v>2960</v>
      </c>
      <c r="E7" s="146" t="s">
        <v>894</v>
      </c>
      <c r="F7" s="138"/>
      <c r="G7" s="138">
        <v>275</v>
      </c>
      <c r="H7" s="141">
        <f>G7*14780</f>
        <v>4064500</v>
      </c>
      <c r="I7" s="138"/>
      <c r="J7" s="226">
        <v>790000</v>
      </c>
      <c r="K7" s="141"/>
      <c r="L7" s="150"/>
      <c r="M7" s="141"/>
      <c r="N7" s="141"/>
      <c r="O7" s="139">
        <f>SUM(H7:N7)</f>
        <v>4854500</v>
      </c>
      <c r="P7" s="139">
        <v>2800000</v>
      </c>
      <c r="Q7" s="250">
        <f>P7-O7</f>
        <v>-2054500</v>
      </c>
      <c r="R7" s="215"/>
    </row>
    <row r="8" spans="1:18" s="144" customFormat="1" ht="20.45" customHeight="1" x14ac:dyDescent="0.25">
      <c r="A8" s="211">
        <v>2</v>
      </c>
      <c r="B8" s="191">
        <v>43894</v>
      </c>
      <c r="C8" s="138" t="s">
        <v>171</v>
      </c>
      <c r="D8" s="138" t="s">
        <v>2961</v>
      </c>
      <c r="E8" s="146" t="s">
        <v>1937</v>
      </c>
      <c r="F8" s="138"/>
      <c r="G8" s="138"/>
      <c r="H8" s="141"/>
      <c r="I8" s="138"/>
      <c r="J8" s="226">
        <v>1150000</v>
      </c>
      <c r="K8" s="141"/>
      <c r="L8" s="150"/>
      <c r="M8" s="141"/>
      <c r="N8" s="141"/>
      <c r="O8" s="139">
        <f t="shared" ref="O8:O41" si="0">SUM(H8:N8)</f>
        <v>1150000</v>
      </c>
      <c r="P8" s="139">
        <v>3860000</v>
      </c>
      <c r="Q8" s="250">
        <f t="shared" ref="Q8:Q41" si="1">P8-O8</f>
        <v>2710000</v>
      </c>
      <c r="R8" s="215"/>
    </row>
    <row r="9" spans="1:18" s="144" customFormat="1" ht="20.45" customHeight="1" x14ac:dyDescent="0.25">
      <c r="A9" s="211">
        <v>3</v>
      </c>
      <c r="B9" s="191">
        <v>43895</v>
      </c>
      <c r="C9" s="138" t="s">
        <v>175</v>
      </c>
      <c r="D9" s="138" t="s">
        <v>2962</v>
      </c>
      <c r="E9" s="146" t="s">
        <v>2936</v>
      </c>
      <c r="F9" s="138"/>
      <c r="G9" s="138"/>
      <c r="H9" s="141"/>
      <c r="I9" s="138"/>
      <c r="J9" s="226">
        <v>1000000</v>
      </c>
      <c r="K9" s="141"/>
      <c r="L9" s="150"/>
      <c r="M9" s="141"/>
      <c r="N9" s="141"/>
      <c r="O9" s="139">
        <f t="shared" si="0"/>
        <v>1000000</v>
      </c>
      <c r="P9" s="139">
        <v>5600000</v>
      </c>
      <c r="Q9" s="250">
        <f t="shared" si="1"/>
        <v>4600000</v>
      </c>
      <c r="R9" s="215"/>
    </row>
    <row r="10" spans="1:18" s="144" customFormat="1" ht="20.45" customHeight="1" x14ac:dyDescent="0.25">
      <c r="A10" s="211">
        <v>4</v>
      </c>
      <c r="B10" s="191">
        <v>43896</v>
      </c>
      <c r="C10" s="138" t="s">
        <v>2943</v>
      </c>
      <c r="D10" s="138" t="s">
        <v>2963</v>
      </c>
      <c r="E10" s="146" t="s">
        <v>79</v>
      </c>
      <c r="F10" s="138"/>
      <c r="G10" s="138">
        <v>360</v>
      </c>
      <c r="H10" s="141">
        <f t="shared" ref="H10:H15" si="2">G10*14780</f>
        <v>5320800</v>
      </c>
      <c r="I10" s="138"/>
      <c r="J10" s="226">
        <v>1150000</v>
      </c>
      <c r="K10" s="141"/>
      <c r="L10" s="150"/>
      <c r="M10" s="141"/>
      <c r="N10" s="141"/>
      <c r="O10" s="139">
        <f t="shared" si="0"/>
        <v>6470800</v>
      </c>
      <c r="P10" s="141">
        <v>3800000</v>
      </c>
      <c r="Q10" s="250">
        <f t="shared" si="1"/>
        <v>-2670800</v>
      </c>
      <c r="R10" s="215"/>
    </row>
    <row r="11" spans="1:18" s="144" customFormat="1" ht="20.45" customHeight="1" x14ac:dyDescent="0.25">
      <c r="A11" s="211">
        <v>5</v>
      </c>
      <c r="B11" s="191">
        <v>43897</v>
      </c>
      <c r="C11" s="138" t="s">
        <v>2944</v>
      </c>
      <c r="D11" s="138" t="s">
        <v>2964</v>
      </c>
      <c r="E11" s="146" t="s">
        <v>115</v>
      </c>
      <c r="F11" s="138"/>
      <c r="G11" s="138"/>
      <c r="H11" s="141"/>
      <c r="I11" s="138"/>
      <c r="J11" s="226">
        <v>1150000</v>
      </c>
      <c r="K11" s="141"/>
      <c r="L11" s="150"/>
      <c r="M11" s="141"/>
      <c r="N11" s="141"/>
      <c r="O11" s="139">
        <f t="shared" si="0"/>
        <v>1150000</v>
      </c>
      <c r="P11" s="141">
        <v>3500000</v>
      </c>
      <c r="Q11" s="250">
        <f t="shared" si="1"/>
        <v>2350000</v>
      </c>
      <c r="R11" s="215"/>
    </row>
    <row r="12" spans="1:18" s="144" customFormat="1" ht="20.45" customHeight="1" x14ac:dyDescent="0.25">
      <c r="A12" s="211">
        <v>6</v>
      </c>
      <c r="B12" s="191">
        <v>43898</v>
      </c>
      <c r="C12" s="138" t="s">
        <v>2945</v>
      </c>
      <c r="D12" s="138" t="s">
        <v>2965</v>
      </c>
      <c r="E12" s="146" t="s">
        <v>80</v>
      </c>
      <c r="F12" s="138"/>
      <c r="G12" s="138"/>
      <c r="H12" s="141"/>
      <c r="I12" s="138"/>
      <c r="J12" s="226">
        <v>790000</v>
      </c>
      <c r="K12" s="141"/>
      <c r="L12" s="150"/>
      <c r="M12" s="141"/>
      <c r="N12" s="141"/>
      <c r="O12" s="139">
        <f t="shared" si="0"/>
        <v>790000</v>
      </c>
      <c r="P12" s="141">
        <v>3200000</v>
      </c>
      <c r="Q12" s="250">
        <f t="shared" si="1"/>
        <v>2410000</v>
      </c>
      <c r="R12" s="215"/>
    </row>
    <row r="13" spans="1:18" s="144" customFormat="1" ht="20.45" customHeight="1" x14ac:dyDescent="0.25">
      <c r="A13" s="211">
        <v>7</v>
      </c>
      <c r="B13" s="191">
        <v>43899</v>
      </c>
      <c r="C13" s="138" t="s">
        <v>2946</v>
      </c>
      <c r="D13" s="138" t="s">
        <v>2966</v>
      </c>
      <c r="E13" s="146" t="s">
        <v>80</v>
      </c>
      <c r="F13" s="138"/>
      <c r="G13" s="138">
        <v>290</v>
      </c>
      <c r="H13" s="141">
        <f t="shared" si="2"/>
        <v>4286200</v>
      </c>
      <c r="I13" s="138"/>
      <c r="J13" s="226">
        <v>790000</v>
      </c>
      <c r="K13" s="141"/>
      <c r="L13" s="150"/>
      <c r="M13" s="141"/>
      <c r="N13" s="141"/>
      <c r="O13" s="139">
        <f t="shared" si="0"/>
        <v>5076200</v>
      </c>
      <c r="P13" s="141">
        <v>3200000</v>
      </c>
      <c r="Q13" s="250">
        <f t="shared" si="1"/>
        <v>-1876200</v>
      </c>
      <c r="R13" s="215"/>
    </row>
    <row r="14" spans="1:18" s="144" customFormat="1" ht="20.45" customHeight="1" x14ac:dyDescent="0.25">
      <c r="A14" s="211">
        <v>8</v>
      </c>
      <c r="B14" s="191">
        <v>43900</v>
      </c>
      <c r="C14" s="138" t="s">
        <v>187</v>
      </c>
      <c r="D14" s="138" t="s">
        <v>2967</v>
      </c>
      <c r="E14" s="146" t="s">
        <v>23</v>
      </c>
      <c r="F14" s="138"/>
      <c r="G14" s="138"/>
      <c r="H14" s="141"/>
      <c r="I14" s="138"/>
      <c r="J14" s="226">
        <v>2740000</v>
      </c>
      <c r="K14" s="141"/>
      <c r="L14" s="150"/>
      <c r="M14" s="141"/>
      <c r="N14" s="141"/>
      <c r="O14" s="139">
        <f t="shared" si="0"/>
        <v>2740000</v>
      </c>
      <c r="P14" s="141">
        <v>14090909</v>
      </c>
      <c r="Q14" s="250">
        <f t="shared" si="1"/>
        <v>11350909</v>
      </c>
      <c r="R14" s="215"/>
    </row>
    <row r="15" spans="1:18" s="144" customFormat="1" ht="20.45" customHeight="1" x14ac:dyDescent="0.25">
      <c r="A15" s="211">
        <v>9</v>
      </c>
      <c r="B15" s="191">
        <v>43901</v>
      </c>
      <c r="C15" s="138" t="s">
        <v>2947</v>
      </c>
      <c r="D15" s="138" t="s">
        <v>2968</v>
      </c>
      <c r="E15" s="146" t="s">
        <v>80</v>
      </c>
      <c r="F15" s="138"/>
      <c r="G15" s="138">
        <v>330</v>
      </c>
      <c r="H15" s="141">
        <f t="shared" si="2"/>
        <v>4877400</v>
      </c>
      <c r="I15" s="138"/>
      <c r="J15" s="226">
        <v>790000</v>
      </c>
      <c r="K15" s="141"/>
      <c r="L15" s="150"/>
      <c r="M15" s="141"/>
      <c r="N15" s="141"/>
      <c r="O15" s="139">
        <f t="shared" si="0"/>
        <v>5667400</v>
      </c>
      <c r="P15" s="141">
        <v>3200000</v>
      </c>
      <c r="Q15" s="250">
        <f t="shared" si="1"/>
        <v>-2467400</v>
      </c>
      <c r="R15" s="215"/>
    </row>
    <row r="16" spans="1:18" s="144" customFormat="1" ht="20.45" customHeight="1" x14ac:dyDescent="0.25">
      <c r="A16" s="211">
        <v>10</v>
      </c>
      <c r="B16" s="191">
        <v>43902</v>
      </c>
      <c r="C16" s="138" t="s">
        <v>192</v>
      </c>
      <c r="D16" s="138" t="s">
        <v>2969</v>
      </c>
      <c r="E16" s="146" t="s">
        <v>894</v>
      </c>
      <c r="F16" s="138"/>
      <c r="G16" s="138"/>
      <c r="H16" s="141"/>
      <c r="I16" s="138"/>
      <c r="J16" s="226">
        <v>790000</v>
      </c>
      <c r="K16" s="141"/>
      <c r="L16" s="150"/>
      <c r="M16" s="141"/>
      <c r="N16" s="141"/>
      <c r="O16" s="139">
        <f t="shared" si="0"/>
        <v>790000</v>
      </c>
      <c r="P16" s="141">
        <v>4000000</v>
      </c>
      <c r="Q16" s="250">
        <f t="shared" si="1"/>
        <v>3210000</v>
      </c>
      <c r="R16" s="215"/>
    </row>
    <row r="17" spans="1:18" s="144" customFormat="1" ht="20.45" customHeight="1" x14ac:dyDescent="0.25">
      <c r="A17" s="211">
        <v>11</v>
      </c>
      <c r="B17" s="191">
        <v>43903</v>
      </c>
      <c r="C17" s="138" t="s">
        <v>2948</v>
      </c>
      <c r="D17" s="138" t="s">
        <v>2970</v>
      </c>
      <c r="E17" s="146" t="s">
        <v>2984</v>
      </c>
      <c r="F17" s="138"/>
      <c r="G17" s="138"/>
      <c r="H17" s="141"/>
      <c r="I17" s="138"/>
      <c r="J17" s="226">
        <v>970000</v>
      </c>
      <c r="K17" s="141"/>
      <c r="L17" s="150"/>
      <c r="M17" s="141"/>
      <c r="N17" s="141"/>
      <c r="O17" s="139">
        <f t="shared" si="0"/>
        <v>970000</v>
      </c>
      <c r="P17" s="141">
        <v>3827273</v>
      </c>
      <c r="Q17" s="250">
        <f t="shared" si="1"/>
        <v>2857273</v>
      </c>
      <c r="R17" s="215"/>
    </row>
    <row r="18" spans="1:18" s="144" customFormat="1" ht="20.45" customHeight="1" x14ac:dyDescent="0.25">
      <c r="A18" s="211">
        <v>12</v>
      </c>
      <c r="B18" s="191">
        <v>43904</v>
      </c>
      <c r="C18" s="138" t="s">
        <v>2949</v>
      </c>
      <c r="D18" s="138" t="s">
        <v>2971</v>
      </c>
      <c r="E18" s="146" t="s">
        <v>2985</v>
      </c>
      <c r="F18" s="138"/>
      <c r="G18" s="138">
        <v>260</v>
      </c>
      <c r="H18" s="141">
        <f>G18*13030</f>
        <v>3387800</v>
      </c>
      <c r="I18" s="138"/>
      <c r="J18" s="226">
        <v>790000</v>
      </c>
      <c r="K18" s="141"/>
      <c r="L18" s="150"/>
      <c r="M18" s="141"/>
      <c r="N18" s="141"/>
      <c r="O18" s="139">
        <f t="shared" si="0"/>
        <v>4177800</v>
      </c>
      <c r="P18" s="141">
        <v>2763636</v>
      </c>
      <c r="Q18" s="250">
        <f t="shared" si="1"/>
        <v>-1414164</v>
      </c>
      <c r="R18" s="215"/>
    </row>
    <row r="19" spans="1:18" s="144" customFormat="1" ht="20.45" customHeight="1" x14ac:dyDescent="0.25">
      <c r="A19" s="211">
        <v>13</v>
      </c>
      <c r="B19" s="191">
        <v>43908</v>
      </c>
      <c r="C19" s="138" t="s">
        <v>2950</v>
      </c>
      <c r="D19" s="138" t="s">
        <v>2972</v>
      </c>
      <c r="E19" s="146" t="s">
        <v>2986</v>
      </c>
      <c r="F19" s="138"/>
      <c r="G19" s="138"/>
      <c r="H19" s="141"/>
      <c r="I19" s="138"/>
      <c r="J19" s="226">
        <v>970000</v>
      </c>
      <c r="K19" s="141"/>
      <c r="L19" s="150"/>
      <c r="M19" s="141"/>
      <c r="N19" s="141"/>
      <c r="O19" s="139">
        <f t="shared" si="0"/>
        <v>970000</v>
      </c>
      <c r="P19" s="141">
        <v>3772727</v>
      </c>
      <c r="Q19" s="250">
        <f t="shared" si="1"/>
        <v>2802727</v>
      </c>
      <c r="R19" s="215"/>
    </row>
    <row r="20" spans="1:18" s="144" customFormat="1" ht="20.45" customHeight="1" x14ac:dyDescent="0.25">
      <c r="A20" s="211">
        <v>14</v>
      </c>
      <c r="B20" s="191">
        <v>43909</v>
      </c>
      <c r="C20" s="138" t="s">
        <v>2951</v>
      </c>
      <c r="D20" s="138" t="s">
        <v>2973</v>
      </c>
      <c r="E20" s="146" t="s">
        <v>1336</v>
      </c>
      <c r="F20" s="138"/>
      <c r="G20" s="138"/>
      <c r="H20" s="141"/>
      <c r="I20" s="138"/>
      <c r="J20" s="226">
        <v>1150000</v>
      </c>
      <c r="K20" s="141"/>
      <c r="L20" s="150"/>
      <c r="M20" s="141"/>
      <c r="N20" s="141"/>
      <c r="O20" s="139">
        <f t="shared" si="0"/>
        <v>1150000</v>
      </c>
      <c r="P20" s="141">
        <v>3900000</v>
      </c>
      <c r="Q20" s="250">
        <f t="shared" si="1"/>
        <v>2750000</v>
      </c>
      <c r="R20" s="215"/>
    </row>
    <row r="21" spans="1:18" s="144" customFormat="1" ht="20.45" customHeight="1" x14ac:dyDescent="0.25">
      <c r="A21" s="211">
        <v>15</v>
      </c>
      <c r="B21" s="191">
        <v>43910</v>
      </c>
      <c r="C21" s="138" t="s">
        <v>2952</v>
      </c>
      <c r="D21" s="138" t="s">
        <v>2974</v>
      </c>
      <c r="E21" s="146" t="s">
        <v>2987</v>
      </c>
      <c r="F21" s="138"/>
      <c r="G21" s="138">
        <v>250</v>
      </c>
      <c r="H21" s="141">
        <f t="shared" ref="H21:H29" si="3">G21*13030</f>
        <v>3257500</v>
      </c>
      <c r="I21" s="138"/>
      <c r="J21" s="226">
        <v>650000</v>
      </c>
      <c r="K21" s="141"/>
      <c r="L21" s="150"/>
      <c r="M21" s="141"/>
      <c r="N21" s="141"/>
      <c r="O21" s="139">
        <f t="shared" si="0"/>
        <v>3907500</v>
      </c>
      <c r="P21" s="141">
        <v>2800000</v>
      </c>
      <c r="Q21" s="250">
        <f t="shared" si="1"/>
        <v>-1107500</v>
      </c>
      <c r="R21" s="215"/>
    </row>
    <row r="22" spans="1:18" s="144" customFormat="1" ht="20.45" customHeight="1" x14ac:dyDescent="0.2">
      <c r="A22" s="211">
        <v>16</v>
      </c>
      <c r="B22" s="191">
        <v>43911</v>
      </c>
      <c r="C22" s="138" t="s">
        <v>971</v>
      </c>
      <c r="D22" s="138" t="s">
        <v>2975</v>
      </c>
      <c r="E22" s="146" t="s">
        <v>259</v>
      </c>
      <c r="F22" s="138"/>
      <c r="G22" s="138"/>
      <c r="H22" s="141"/>
      <c r="I22" s="138"/>
      <c r="J22" s="226">
        <v>970000</v>
      </c>
      <c r="K22" s="141"/>
      <c r="L22" s="150"/>
      <c r="M22" s="141"/>
      <c r="N22" s="141"/>
      <c r="O22" s="139">
        <f t="shared" si="0"/>
        <v>970000</v>
      </c>
      <c r="P22" s="292">
        <v>3700000</v>
      </c>
      <c r="Q22" s="250">
        <f t="shared" si="1"/>
        <v>2730000</v>
      </c>
      <c r="R22" s="215"/>
    </row>
    <row r="23" spans="1:18" s="144" customFormat="1" ht="20.45" customHeight="1" x14ac:dyDescent="0.25">
      <c r="A23" s="211">
        <v>17</v>
      </c>
      <c r="B23" s="191">
        <v>43912</v>
      </c>
      <c r="C23" s="138" t="s">
        <v>2953</v>
      </c>
      <c r="D23" s="138" t="s">
        <v>2976</v>
      </c>
      <c r="E23" s="146" t="s">
        <v>2988</v>
      </c>
      <c r="F23" s="138"/>
      <c r="G23" s="138"/>
      <c r="H23" s="141"/>
      <c r="I23" s="138"/>
      <c r="J23" s="226">
        <v>790000</v>
      </c>
      <c r="K23" s="141"/>
      <c r="L23" s="150"/>
      <c r="M23" s="141"/>
      <c r="N23" s="141"/>
      <c r="O23" s="139">
        <f t="shared" si="0"/>
        <v>790000</v>
      </c>
      <c r="P23" s="141">
        <v>3600000</v>
      </c>
      <c r="Q23" s="250">
        <f t="shared" si="1"/>
        <v>2810000</v>
      </c>
      <c r="R23" s="215"/>
    </row>
    <row r="24" spans="1:18" s="144" customFormat="1" ht="20.45" customHeight="1" x14ac:dyDescent="0.25">
      <c r="A24" s="211">
        <v>18</v>
      </c>
      <c r="B24" s="191">
        <v>43913</v>
      </c>
      <c r="C24" s="138" t="s">
        <v>2954</v>
      </c>
      <c r="D24" s="138" t="s">
        <v>2977</v>
      </c>
      <c r="E24" s="146" t="s">
        <v>2989</v>
      </c>
      <c r="F24" s="138"/>
      <c r="G24" s="138">
        <v>280</v>
      </c>
      <c r="H24" s="141">
        <f t="shared" si="3"/>
        <v>3648400</v>
      </c>
      <c r="I24" s="138"/>
      <c r="J24" s="226">
        <v>970000</v>
      </c>
      <c r="K24" s="141"/>
      <c r="L24" s="150"/>
      <c r="M24" s="141"/>
      <c r="N24" s="141"/>
      <c r="O24" s="139">
        <f t="shared" si="0"/>
        <v>4618400</v>
      </c>
      <c r="P24" s="141">
        <v>3481818</v>
      </c>
      <c r="Q24" s="250">
        <f t="shared" si="1"/>
        <v>-1136582</v>
      </c>
      <c r="R24" s="215"/>
    </row>
    <row r="25" spans="1:18" s="144" customFormat="1" ht="20.45" customHeight="1" x14ac:dyDescent="0.25">
      <c r="A25" s="211">
        <v>19</v>
      </c>
      <c r="B25" s="191">
        <v>43914</v>
      </c>
      <c r="C25" s="138" t="s">
        <v>2955</v>
      </c>
      <c r="D25" s="138" t="s">
        <v>2978</v>
      </c>
      <c r="E25" s="146" t="s">
        <v>2990</v>
      </c>
      <c r="F25" s="138"/>
      <c r="G25" s="138"/>
      <c r="H25" s="141"/>
      <c r="I25" s="138"/>
      <c r="J25" s="226">
        <v>1150000</v>
      </c>
      <c r="K25" s="141"/>
      <c r="L25" s="150"/>
      <c r="M25" s="141"/>
      <c r="N25" s="141"/>
      <c r="O25" s="139">
        <f t="shared" si="0"/>
        <v>1150000</v>
      </c>
      <c r="P25" s="141">
        <v>3700000</v>
      </c>
      <c r="Q25" s="250">
        <f t="shared" si="1"/>
        <v>2550000</v>
      </c>
      <c r="R25" s="215"/>
    </row>
    <row r="26" spans="1:18" s="144" customFormat="1" ht="20.45" customHeight="1" x14ac:dyDescent="0.25">
      <c r="A26" s="211">
        <v>20</v>
      </c>
      <c r="B26" s="191">
        <v>43915</v>
      </c>
      <c r="C26" s="138" t="s">
        <v>2290</v>
      </c>
      <c r="D26" s="138" t="s">
        <v>2979</v>
      </c>
      <c r="E26" s="146" t="s">
        <v>2991</v>
      </c>
      <c r="F26" s="138"/>
      <c r="G26" s="138"/>
      <c r="H26" s="141"/>
      <c r="I26" s="138"/>
      <c r="J26" s="226">
        <v>200000</v>
      </c>
      <c r="K26" s="141"/>
      <c r="L26" s="150"/>
      <c r="M26" s="141"/>
      <c r="N26" s="141"/>
      <c r="O26" s="139">
        <f t="shared" si="0"/>
        <v>200000</v>
      </c>
      <c r="P26" s="141">
        <v>1800000</v>
      </c>
      <c r="Q26" s="250">
        <f t="shared" si="1"/>
        <v>1600000</v>
      </c>
      <c r="R26" s="215"/>
    </row>
    <row r="27" spans="1:18" s="144" customFormat="1" ht="20.45" customHeight="1" x14ac:dyDescent="0.25">
      <c r="A27" s="211">
        <v>21</v>
      </c>
      <c r="B27" s="191">
        <v>43916</v>
      </c>
      <c r="C27" s="138" t="s">
        <v>2956</v>
      </c>
      <c r="D27" s="138" t="s">
        <v>2980</v>
      </c>
      <c r="E27" s="146" t="s">
        <v>2992</v>
      </c>
      <c r="F27" s="138"/>
      <c r="G27" s="138"/>
      <c r="H27" s="141"/>
      <c r="I27" s="138"/>
      <c r="J27" s="226">
        <v>970000</v>
      </c>
      <c r="K27" s="141"/>
      <c r="L27" s="150"/>
      <c r="M27" s="141"/>
      <c r="N27" s="141"/>
      <c r="O27" s="139">
        <f t="shared" si="0"/>
        <v>970000</v>
      </c>
      <c r="P27" s="141">
        <v>3845455</v>
      </c>
      <c r="Q27" s="250">
        <f t="shared" si="1"/>
        <v>2875455</v>
      </c>
      <c r="R27" s="215"/>
    </row>
    <row r="28" spans="1:18" s="144" customFormat="1" ht="20.45" customHeight="1" x14ac:dyDescent="0.25">
      <c r="A28" s="211">
        <v>22</v>
      </c>
      <c r="B28" s="191">
        <v>43917</v>
      </c>
      <c r="C28" s="138" t="s">
        <v>2957</v>
      </c>
      <c r="D28" s="138" t="s">
        <v>2981</v>
      </c>
      <c r="E28" s="146" t="s">
        <v>2993</v>
      </c>
      <c r="F28" s="138"/>
      <c r="G28" s="138">
        <v>300</v>
      </c>
      <c r="H28" s="141">
        <f t="shared" si="3"/>
        <v>3909000</v>
      </c>
      <c r="I28" s="138"/>
      <c r="J28" s="226">
        <v>970000</v>
      </c>
      <c r="K28" s="141"/>
      <c r="L28" s="150"/>
      <c r="M28" s="141"/>
      <c r="N28" s="141"/>
      <c r="O28" s="139">
        <f t="shared" si="0"/>
        <v>4879000</v>
      </c>
      <c r="P28" s="141">
        <v>3481818</v>
      </c>
      <c r="Q28" s="250">
        <f t="shared" si="1"/>
        <v>-1397182</v>
      </c>
      <c r="R28" s="215"/>
    </row>
    <row r="29" spans="1:18" s="144" customFormat="1" ht="20.45" customHeight="1" x14ac:dyDescent="0.25">
      <c r="A29" s="211">
        <v>23</v>
      </c>
      <c r="B29" s="191">
        <v>43918</v>
      </c>
      <c r="C29" s="138" t="s">
        <v>2958</v>
      </c>
      <c r="D29" s="138" t="s">
        <v>2982</v>
      </c>
      <c r="E29" s="146" t="s">
        <v>2994</v>
      </c>
      <c r="F29" s="138"/>
      <c r="G29" s="138">
        <v>240</v>
      </c>
      <c r="H29" s="141">
        <f t="shared" si="3"/>
        <v>3127200</v>
      </c>
      <c r="I29" s="138"/>
      <c r="J29" s="226">
        <v>2080000</v>
      </c>
      <c r="K29" s="141"/>
      <c r="L29" s="150"/>
      <c r="M29" s="141"/>
      <c r="N29" s="141"/>
      <c r="O29" s="139">
        <f t="shared" si="0"/>
        <v>5207200</v>
      </c>
      <c r="P29" s="141">
        <v>8800000</v>
      </c>
      <c r="Q29" s="250">
        <f t="shared" si="1"/>
        <v>3592800</v>
      </c>
      <c r="R29" s="215"/>
    </row>
    <row r="30" spans="1:18" s="144" customFormat="1" ht="20.45" customHeight="1" x14ac:dyDescent="0.25">
      <c r="A30" s="211">
        <v>24</v>
      </c>
      <c r="B30" s="191">
        <v>43920</v>
      </c>
      <c r="C30" s="138" t="s">
        <v>2959</v>
      </c>
      <c r="D30" s="138" t="s">
        <v>2983</v>
      </c>
      <c r="E30" s="146" t="s">
        <v>79</v>
      </c>
      <c r="F30" s="138"/>
      <c r="G30" s="138"/>
      <c r="H30" s="141"/>
      <c r="I30" s="138"/>
      <c r="J30" s="226">
        <v>2080000</v>
      </c>
      <c r="K30" s="141"/>
      <c r="L30" s="150"/>
      <c r="M30" s="141"/>
      <c r="N30" s="141"/>
      <c r="O30" s="139">
        <f t="shared" si="0"/>
        <v>2080000</v>
      </c>
      <c r="P30" s="141">
        <v>3500000</v>
      </c>
      <c r="Q30" s="250">
        <f t="shared" si="1"/>
        <v>1420000</v>
      </c>
      <c r="R30" s="215"/>
    </row>
    <row r="31" spans="1:18" s="144" customFormat="1" ht="20.45" customHeight="1" x14ac:dyDescent="0.25">
      <c r="A31" s="211"/>
      <c r="B31" s="191"/>
      <c r="C31" s="138"/>
      <c r="D31" s="138"/>
      <c r="E31" s="146"/>
      <c r="F31" s="138"/>
      <c r="G31" s="138"/>
      <c r="H31" s="141"/>
      <c r="I31" s="138"/>
      <c r="J31" s="139"/>
      <c r="K31" s="141"/>
      <c r="L31" s="150"/>
      <c r="M31" s="141"/>
      <c r="N31" s="141"/>
      <c r="O31" s="139">
        <f t="shared" si="0"/>
        <v>0</v>
      </c>
      <c r="P31" s="141"/>
      <c r="Q31" s="250">
        <f t="shared" si="1"/>
        <v>0</v>
      </c>
      <c r="R31" s="215"/>
    </row>
    <row r="32" spans="1:18" s="144" customFormat="1" ht="20.45" customHeight="1" x14ac:dyDescent="0.25">
      <c r="A32" s="211"/>
      <c r="B32" s="191"/>
      <c r="C32" s="138"/>
      <c r="D32" s="138"/>
      <c r="E32" s="146"/>
      <c r="F32" s="138"/>
      <c r="G32" s="138"/>
      <c r="H32" s="141"/>
      <c r="I32" s="138"/>
      <c r="J32" s="139"/>
      <c r="K32" s="141"/>
      <c r="L32" s="150"/>
      <c r="M32" s="141"/>
      <c r="N32" s="141"/>
      <c r="O32" s="139">
        <f t="shared" si="0"/>
        <v>0</v>
      </c>
      <c r="P32" s="141"/>
      <c r="Q32" s="250">
        <f t="shared" si="1"/>
        <v>0</v>
      </c>
      <c r="R32" s="215"/>
    </row>
    <row r="33" spans="1:19" s="144" customFormat="1" ht="20.45" customHeight="1" x14ac:dyDescent="0.2">
      <c r="A33" s="211"/>
      <c r="B33" s="232"/>
      <c r="C33" s="293" t="s">
        <v>2995</v>
      </c>
      <c r="D33" s="277"/>
      <c r="E33" s="278"/>
      <c r="F33" s="279"/>
      <c r="G33" s="138"/>
      <c r="H33" s="141"/>
      <c r="I33" s="138"/>
      <c r="J33" s="139"/>
      <c r="K33" s="141"/>
      <c r="L33" s="185">
        <v>520000</v>
      </c>
      <c r="M33" s="141"/>
      <c r="N33" s="141"/>
      <c r="O33" s="139">
        <f t="shared" si="0"/>
        <v>520000</v>
      </c>
      <c r="P33" s="141"/>
      <c r="Q33" s="250">
        <f t="shared" si="1"/>
        <v>-520000</v>
      </c>
      <c r="R33" s="215"/>
    </row>
    <row r="34" spans="1:19" s="144" customFormat="1" ht="20.45" customHeight="1" x14ac:dyDescent="0.25">
      <c r="A34" s="211"/>
      <c r="B34" s="232"/>
      <c r="C34" s="265" t="s">
        <v>2996</v>
      </c>
      <c r="D34" s="277"/>
      <c r="E34" s="278"/>
      <c r="F34" s="279"/>
      <c r="G34" s="138"/>
      <c r="H34" s="141"/>
      <c r="I34" s="138"/>
      <c r="J34" s="139"/>
      <c r="K34" s="141"/>
      <c r="L34" s="185">
        <v>1650000</v>
      </c>
      <c r="M34" s="141"/>
      <c r="N34" s="141"/>
      <c r="O34" s="139">
        <f t="shared" si="0"/>
        <v>1650000</v>
      </c>
      <c r="P34" s="141"/>
      <c r="Q34" s="250">
        <f t="shared" si="1"/>
        <v>-1650000</v>
      </c>
      <c r="R34" s="215"/>
    </row>
    <row r="35" spans="1:19" s="144" customFormat="1" ht="20.45" customHeight="1" x14ac:dyDescent="0.25">
      <c r="A35" s="211"/>
      <c r="B35" s="232"/>
      <c r="C35" s="265" t="s">
        <v>2997</v>
      </c>
      <c r="D35" s="277"/>
      <c r="E35" s="278"/>
      <c r="F35" s="279"/>
      <c r="G35" s="138"/>
      <c r="H35" s="141"/>
      <c r="I35" s="138"/>
      <c r="J35" s="139"/>
      <c r="K35" s="141"/>
      <c r="L35" s="185">
        <v>170000</v>
      </c>
      <c r="M35" s="141"/>
      <c r="N35" s="141"/>
      <c r="O35" s="139">
        <f t="shared" si="0"/>
        <v>170000</v>
      </c>
      <c r="P35" s="141"/>
      <c r="Q35" s="250">
        <f t="shared" si="1"/>
        <v>-170000</v>
      </c>
      <c r="R35" s="215"/>
    </row>
    <row r="36" spans="1:19" s="144" customFormat="1" ht="20.45" customHeight="1" x14ac:dyDescent="0.25">
      <c r="A36" s="211"/>
      <c r="B36" s="232"/>
      <c r="C36" s="265" t="s">
        <v>2998</v>
      </c>
      <c r="D36" s="277"/>
      <c r="E36" s="278"/>
      <c r="F36" s="279"/>
      <c r="G36" s="138"/>
      <c r="H36" s="141"/>
      <c r="I36" s="138"/>
      <c r="J36" s="139"/>
      <c r="K36" s="141"/>
      <c r="L36" s="219"/>
      <c r="M36" s="185">
        <v>5600000</v>
      </c>
      <c r="N36" s="141"/>
      <c r="O36" s="139">
        <f t="shared" si="0"/>
        <v>5600000</v>
      </c>
      <c r="P36" s="141"/>
      <c r="Q36" s="250">
        <f t="shared" si="1"/>
        <v>-5600000</v>
      </c>
      <c r="R36" s="215"/>
    </row>
    <row r="37" spans="1:19" s="144" customFormat="1" ht="20.45" customHeight="1" x14ac:dyDescent="0.25">
      <c r="A37" s="211"/>
      <c r="B37" s="232"/>
      <c r="C37" s="265" t="s">
        <v>2999</v>
      </c>
      <c r="D37" s="277"/>
      <c r="E37" s="278"/>
      <c r="F37" s="279"/>
      <c r="G37" s="138"/>
      <c r="H37" s="141"/>
      <c r="I37" s="138"/>
      <c r="J37" s="139"/>
      <c r="K37" s="141"/>
      <c r="L37" s="185">
        <v>400000</v>
      </c>
      <c r="M37" s="141"/>
      <c r="N37" s="141"/>
      <c r="O37" s="139">
        <f t="shared" si="0"/>
        <v>400000</v>
      </c>
      <c r="P37" s="141"/>
      <c r="Q37" s="250">
        <f t="shared" si="1"/>
        <v>-400000</v>
      </c>
      <c r="R37" s="215"/>
    </row>
    <row r="38" spans="1:19" s="144" customFormat="1" ht="20.45" customHeight="1" x14ac:dyDescent="0.25">
      <c r="A38" s="211"/>
      <c r="B38" s="232"/>
      <c r="C38" s="265" t="s">
        <v>3000</v>
      </c>
      <c r="D38" s="277"/>
      <c r="E38" s="278"/>
      <c r="F38" s="279"/>
      <c r="G38" s="138"/>
      <c r="H38" s="141"/>
      <c r="I38" s="138"/>
      <c r="J38" s="139"/>
      <c r="K38" s="141"/>
      <c r="L38" s="185">
        <v>310000</v>
      </c>
      <c r="M38" s="141"/>
      <c r="N38" s="141"/>
      <c r="O38" s="139">
        <f t="shared" si="0"/>
        <v>310000</v>
      </c>
      <c r="P38" s="141"/>
      <c r="Q38" s="250">
        <f t="shared" si="1"/>
        <v>-310000</v>
      </c>
      <c r="R38" s="215"/>
    </row>
    <row r="39" spans="1:19" s="144" customFormat="1" ht="20.45" customHeight="1" x14ac:dyDescent="0.25">
      <c r="A39" s="211"/>
      <c r="B39" s="232"/>
      <c r="C39" s="265" t="s">
        <v>3001</v>
      </c>
      <c r="D39" s="277"/>
      <c r="E39" s="278"/>
      <c r="F39" s="279"/>
      <c r="G39" s="138"/>
      <c r="H39" s="141"/>
      <c r="I39" s="138"/>
      <c r="J39" s="139"/>
      <c r="K39" s="141"/>
      <c r="L39" s="185">
        <v>400000</v>
      </c>
      <c r="M39" s="141"/>
      <c r="N39" s="141"/>
      <c r="O39" s="139">
        <f t="shared" si="0"/>
        <v>400000</v>
      </c>
      <c r="P39" s="141"/>
      <c r="Q39" s="250">
        <f t="shared" si="1"/>
        <v>-400000</v>
      </c>
      <c r="R39" s="215"/>
    </row>
    <row r="40" spans="1:19" s="159" customFormat="1" ht="20.45" customHeight="1" x14ac:dyDescent="0.25">
      <c r="A40" s="211"/>
      <c r="B40" s="165"/>
      <c r="C40" s="440" t="s">
        <v>1337</v>
      </c>
      <c r="D40" s="441"/>
      <c r="E40" s="441"/>
      <c r="F40" s="442"/>
      <c r="G40" s="195"/>
      <c r="H40" s="155"/>
      <c r="I40" s="195"/>
      <c r="J40" s="155"/>
      <c r="K40" s="219">
        <v>8653846</v>
      </c>
      <c r="L40" s="155"/>
      <c r="M40" s="155"/>
      <c r="N40" s="155"/>
      <c r="O40" s="139">
        <f t="shared" si="0"/>
        <v>8653846</v>
      </c>
      <c r="P40" s="139"/>
      <c r="Q40" s="250">
        <f t="shared" si="1"/>
        <v>-8653846</v>
      </c>
      <c r="R40" s="215"/>
    </row>
    <row r="41" spans="1:19" s="159" customFormat="1" ht="20.45" customHeight="1" x14ac:dyDescent="0.25">
      <c r="A41" s="211"/>
      <c r="B41" s="203"/>
      <c r="C41" s="434" t="s">
        <v>1094</v>
      </c>
      <c r="D41" s="435"/>
      <c r="E41" s="435"/>
      <c r="F41" s="436"/>
      <c r="G41" s="153"/>
      <c r="H41" s="156"/>
      <c r="I41" s="153"/>
      <c r="J41" s="156"/>
      <c r="K41" s="204">
        <f>1200000*1.1</f>
        <v>1320000</v>
      </c>
      <c r="L41" s="204"/>
      <c r="M41" s="156"/>
      <c r="N41" s="156"/>
      <c r="O41" s="139">
        <f t="shared" si="0"/>
        <v>1320000</v>
      </c>
      <c r="P41" s="139"/>
      <c r="Q41" s="250">
        <f t="shared" si="1"/>
        <v>-1320000</v>
      </c>
      <c r="R41" s="215"/>
    </row>
    <row r="42" spans="1:19" ht="20.45" customHeight="1" x14ac:dyDescent="0.25">
      <c r="A42" s="426" t="s">
        <v>20</v>
      </c>
      <c r="B42" s="426"/>
      <c r="C42" s="426"/>
      <c r="D42" s="426"/>
      <c r="E42" s="426"/>
      <c r="F42" s="426"/>
      <c r="G42" s="161">
        <f t="shared" ref="G42:Q42" si="4">SUM(G7:G41)</f>
        <v>2585</v>
      </c>
      <c r="H42" s="161">
        <f t="shared" si="4"/>
        <v>35878800</v>
      </c>
      <c r="I42" s="161">
        <f t="shared" si="4"/>
        <v>0</v>
      </c>
      <c r="J42" s="161">
        <f t="shared" si="4"/>
        <v>25850000</v>
      </c>
      <c r="K42" s="161">
        <f t="shared" si="4"/>
        <v>9973846</v>
      </c>
      <c r="L42" s="161">
        <f t="shared" si="4"/>
        <v>3450000</v>
      </c>
      <c r="M42" s="161">
        <f t="shared" si="4"/>
        <v>5600000</v>
      </c>
      <c r="N42" s="161">
        <f t="shared" si="4"/>
        <v>0</v>
      </c>
      <c r="O42" s="161">
        <f t="shared" si="4"/>
        <v>80752646</v>
      </c>
      <c r="P42" s="161">
        <f t="shared" si="4"/>
        <v>100223636</v>
      </c>
      <c r="Q42" s="161">
        <f t="shared" si="4"/>
        <v>19470990</v>
      </c>
    </row>
    <row r="43" spans="1:19" ht="24.95" customHeight="1" x14ac:dyDescent="0.25">
      <c r="O43" s="158"/>
      <c r="Q43" s="158"/>
    </row>
    <row r="44" spans="1:19" ht="13.9" customHeight="1" x14ac:dyDescent="0.25">
      <c r="P44" s="216" t="s">
        <v>1603</v>
      </c>
      <c r="Q44" s="227">
        <f>'02.2020'!Q30+'03.2020'!Q42</f>
        <v>50914682</v>
      </c>
      <c r="S44" s="216"/>
    </row>
    <row r="45" spans="1:19" ht="13.9" customHeight="1" x14ac:dyDescent="0.25">
      <c r="B45" s="129"/>
      <c r="J45" s="128"/>
      <c r="K45" s="128"/>
      <c r="L45" s="128"/>
      <c r="M45" s="128"/>
      <c r="N45" s="128"/>
      <c r="O45" s="128"/>
      <c r="P45" s="218"/>
      <c r="Q45" s="216"/>
    </row>
    <row r="46" spans="1:19" ht="13.9" customHeight="1" x14ac:dyDescent="0.25">
      <c r="B46" s="129"/>
      <c r="H46" s="128"/>
      <c r="J46" s="128"/>
      <c r="K46" s="128"/>
      <c r="L46" s="128"/>
      <c r="M46" s="128"/>
      <c r="N46" s="128"/>
      <c r="O46" s="128"/>
      <c r="P46" s="218"/>
      <c r="Q46" s="230"/>
    </row>
    <row r="47" spans="1:19" ht="13.9" customHeight="1" x14ac:dyDescent="0.25">
      <c r="B47" s="129"/>
      <c r="H47" s="128"/>
      <c r="J47" s="128"/>
      <c r="K47" s="128"/>
      <c r="L47" s="128"/>
      <c r="M47" s="128"/>
      <c r="N47" s="128"/>
      <c r="O47" s="128"/>
      <c r="P47" s="218"/>
      <c r="Q47" s="230"/>
      <c r="R47" s="143"/>
    </row>
    <row r="48" spans="1:19" ht="13.9" customHeight="1" x14ac:dyDescent="0.25">
      <c r="B48" s="129"/>
      <c r="H48" s="128"/>
      <c r="J48" s="128"/>
      <c r="K48" s="128"/>
      <c r="L48" s="128"/>
      <c r="M48" s="128"/>
      <c r="N48" s="128"/>
      <c r="O48" s="128"/>
      <c r="P48" s="218"/>
      <c r="Q48" s="216"/>
      <c r="R48" s="143"/>
    </row>
    <row r="49" spans="1:17" x14ac:dyDescent="0.25">
      <c r="B49" s="129"/>
      <c r="H49" s="128"/>
      <c r="J49" s="128"/>
      <c r="K49" s="128"/>
      <c r="L49" s="128"/>
      <c r="M49" s="128"/>
      <c r="N49" s="128"/>
      <c r="O49" s="128"/>
      <c r="P49" s="218"/>
      <c r="Q49" s="216"/>
    </row>
    <row r="50" spans="1:17" x14ac:dyDescent="0.25">
      <c r="A50" s="128"/>
      <c r="B50" s="129"/>
      <c r="H50" s="128"/>
      <c r="J50" s="128"/>
      <c r="K50" s="128"/>
      <c r="L50" s="128"/>
      <c r="M50" s="128"/>
      <c r="N50" s="128"/>
      <c r="O50" s="128"/>
      <c r="P50" s="218"/>
      <c r="Q50" s="216"/>
    </row>
    <row r="51" spans="1:17" x14ac:dyDescent="0.25">
      <c r="A51" s="128"/>
      <c r="B51" s="129"/>
      <c r="H51" s="128"/>
      <c r="J51" s="128"/>
      <c r="K51" s="128"/>
      <c r="L51" s="128"/>
      <c r="M51" s="128"/>
      <c r="N51" s="128"/>
      <c r="O51" s="128"/>
      <c r="P51" s="218"/>
      <c r="Q51" s="216"/>
    </row>
    <row r="52" spans="1:17" x14ac:dyDescent="0.25">
      <c r="A52" s="128"/>
      <c r="B52" s="128"/>
      <c r="H52" s="128"/>
      <c r="J52" s="128"/>
      <c r="K52" s="128"/>
      <c r="L52" s="128"/>
      <c r="M52" s="128"/>
      <c r="N52" s="128"/>
      <c r="O52" s="128"/>
      <c r="P52" s="128"/>
      <c r="Q52" s="216"/>
    </row>
    <row r="53" spans="1:17" x14ac:dyDescent="0.25">
      <c r="A53" s="128"/>
      <c r="B53" s="128"/>
      <c r="H53" s="128"/>
      <c r="J53" s="128"/>
      <c r="K53" s="128"/>
      <c r="L53" s="128"/>
      <c r="M53" s="128"/>
      <c r="N53" s="128"/>
      <c r="O53" s="128"/>
      <c r="P53" s="128"/>
      <c r="Q53" s="216"/>
    </row>
  </sheetData>
  <mergeCells count="16">
    <mergeCell ref="A42:F42"/>
    <mergeCell ref="A1:Q1"/>
    <mergeCell ref="A2:Q2"/>
    <mergeCell ref="B3:Q3"/>
    <mergeCell ref="A5:A6"/>
    <mergeCell ref="B5:B6"/>
    <mergeCell ref="C5:C6"/>
    <mergeCell ref="D5:D6"/>
    <mergeCell ref="E5:E6"/>
    <mergeCell ref="F5:F6"/>
    <mergeCell ref="G5:N5"/>
    <mergeCell ref="O5:O6"/>
    <mergeCell ref="P5:P6"/>
    <mergeCell ref="Q5:Q6"/>
    <mergeCell ref="C40:F40"/>
    <mergeCell ref="C41:F41"/>
  </mergeCells>
  <pageMargins left="0.7" right="0.7" top="0.75" bottom="0.75" header="0.3" footer="0.3"/>
  <pageSetup paperSize="9" orientation="portrait" horizontalDpi="180" verticalDpi="18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50"/>
  <sheetViews>
    <sheetView zoomScaleNormal="100" workbookViewId="0">
      <selection activeCell="C36" sqref="C36"/>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3002</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191">
        <v>43922</v>
      </c>
      <c r="C7" s="138" t="s">
        <v>239</v>
      </c>
      <c r="D7" s="138" t="s">
        <v>3014</v>
      </c>
      <c r="E7" s="146" t="s">
        <v>2883</v>
      </c>
      <c r="F7" s="138"/>
      <c r="G7" s="138"/>
      <c r="H7" s="141"/>
      <c r="I7" s="138"/>
      <c r="J7" s="139">
        <v>790000</v>
      </c>
      <c r="K7" s="141"/>
      <c r="L7" s="150"/>
      <c r="M7" s="141"/>
      <c r="N7" s="141"/>
      <c r="O7" s="139">
        <f>SUM(H7:N7)</f>
        <v>790000</v>
      </c>
      <c r="P7" s="139">
        <v>2800000</v>
      </c>
      <c r="Q7" s="250">
        <f>P7-O7</f>
        <v>2010000</v>
      </c>
      <c r="R7" s="215"/>
    </row>
    <row r="8" spans="1:18" s="144" customFormat="1" ht="20.45" customHeight="1" x14ac:dyDescent="0.25">
      <c r="A8" s="211">
        <v>2</v>
      </c>
      <c r="B8" s="191">
        <v>43923</v>
      </c>
      <c r="C8" s="138" t="s">
        <v>3003</v>
      </c>
      <c r="D8" s="138" t="s">
        <v>3015</v>
      </c>
      <c r="E8" s="146" t="s">
        <v>3028</v>
      </c>
      <c r="F8" s="138"/>
      <c r="G8" s="138">
        <v>230</v>
      </c>
      <c r="H8" s="141">
        <f>G8*11250</f>
        <v>2587500</v>
      </c>
      <c r="I8" s="138"/>
      <c r="J8" s="139">
        <v>650000</v>
      </c>
      <c r="K8" s="141"/>
      <c r="L8" s="150"/>
      <c r="M8" s="141"/>
      <c r="N8" s="141"/>
      <c r="O8" s="139">
        <f t="shared" ref="O8:O38" si="0">SUM(H8:N8)</f>
        <v>3237500</v>
      </c>
      <c r="P8" s="139">
        <v>2600000</v>
      </c>
      <c r="Q8" s="250">
        <f t="shared" ref="Q8:Q38" si="1">P8-O8</f>
        <v>-637500</v>
      </c>
      <c r="R8" s="215"/>
    </row>
    <row r="9" spans="1:18" s="144" customFormat="1" ht="20.45" customHeight="1" x14ac:dyDescent="0.25">
      <c r="A9" s="211">
        <v>3</v>
      </c>
      <c r="B9" s="191">
        <v>43925</v>
      </c>
      <c r="C9" s="138" t="s">
        <v>3004</v>
      </c>
      <c r="D9" s="138" t="s">
        <v>3016</v>
      </c>
      <c r="E9" s="146" t="s">
        <v>2497</v>
      </c>
      <c r="F9" s="138"/>
      <c r="G9" s="138"/>
      <c r="H9" s="141"/>
      <c r="I9" s="138"/>
      <c r="J9" s="139">
        <v>1150000</v>
      </c>
      <c r="K9" s="141"/>
      <c r="L9" s="150"/>
      <c r="M9" s="141"/>
      <c r="N9" s="141"/>
      <c r="O9" s="139">
        <f t="shared" si="0"/>
        <v>1150000</v>
      </c>
      <c r="P9" s="139">
        <v>3600000</v>
      </c>
      <c r="Q9" s="250">
        <f t="shared" si="1"/>
        <v>2450000</v>
      </c>
      <c r="R9" s="215"/>
    </row>
    <row r="10" spans="1:18" s="144" customFormat="1" ht="20.45" customHeight="1" x14ac:dyDescent="0.25">
      <c r="A10" s="211">
        <v>4</v>
      </c>
      <c r="B10" s="191">
        <v>43927</v>
      </c>
      <c r="C10" s="138" t="s">
        <v>3005</v>
      </c>
      <c r="D10" s="138" t="s">
        <v>3017</v>
      </c>
      <c r="E10" s="146" t="s">
        <v>3029</v>
      </c>
      <c r="F10" s="138"/>
      <c r="G10" s="138"/>
      <c r="H10" s="141"/>
      <c r="I10" s="138"/>
      <c r="J10" s="139">
        <v>790000</v>
      </c>
      <c r="K10" s="141"/>
      <c r="L10" s="150"/>
      <c r="M10" s="141"/>
      <c r="N10" s="141"/>
      <c r="O10" s="139">
        <f t="shared" si="0"/>
        <v>790000</v>
      </c>
      <c r="P10" s="141">
        <v>2772727</v>
      </c>
      <c r="Q10" s="250">
        <f t="shared" si="1"/>
        <v>1982727</v>
      </c>
      <c r="R10" s="215"/>
    </row>
    <row r="11" spans="1:18" s="144" customFormat="1" ht="20.45" customHeight="1" x14ac:dyDescent="0.25">
      <c r="A11" s="211">
        <v>5</v>
      </c>
      <c r="B11" s="191">
        <v>43928</v>
      </c>
      <c r="C11" s="138" t="s">
        <v>3006</v>
      </c>
      <c r="D11" s="138" t="s">
        <v>3018</v>
      </c>
      <c r="E11" s="146" t="s">
        <v>2986</v>
      </c>
      <c r="F11" s="138"/>
      <c r="G11" s="138">
        <v>300</v>
      </c>
      <c r="H11" s="141">
        <f t="shared" ref="H11:H12" si="2">G11*11250</f>
        <v>3375000</v>
      </c>
      <c r="I11" s="138"/>
      <c r="J11" s="139">
        <v>970000</v>
      </c>
      <c r="K11" s="141"/>
      <c r="L11" s="150"/>
      <c r="M11" s="141"/>
      <c r="N11" s="141"/>
      <c r="O11" s="139">
        <f t="shared" si="0"/>
        <v>4345000</v>
      </c>
      <c r="P11" s="141">
        <v>3500000</v>
      </c>
      <c r="Q11" s="250">
        <f t="shared" si="1"/>
        <v>-845000</v>
      </c>
      <c r="R11" s="215"/>
    </row>
    <row r="12" spans="1:18" s="144" customFormat="1" ht="20.45" customHeight="1" x14ac:dyDescent="0.25">
      <c r="A12" s="211">
        <v>6</v>
      </c>
      <c r="B12" s="191">
        <v>43929</v>
      </c>
      <c r="C12" s="138" t="s">
        <v>3007</v>
      </c>
      <c r="D12" s="138" t="s">
        <v>3019</v>
      </c>
      <c r="E12" s="146" t="s">
        <v>23</v>
      </c>
      <c r="F12" s="138"/>
      <c r="G12" s="138">
        <v>245</v>
      </c>
      <c r="H12" s="141">
        <f t="shared" si="2"/>
        <v>2756250</v>
      </c>
      <c r="I12" s="138"/>
      <c r="J12" s="139">
        <v>2740000</v>
      </c>
      <c r="K12" s="141"/>
      <c r="L12" s="150"/>
      <c r="M12" s="141"/>
      <c r="N12" s="141"/>
      <c r="O12" s="139">
        <f t="shared" si="0"/>
        <v>5496250</v>
      </c>
      <c r="P12" s="141">
        <v>11727273</v>
      </c>
      <c r="Q12" s="250">
        <f t="shared" si="1"/>
        <v>6231023</v>
      </c>
      <c r="R12" s="215"/>
    </row>
    <row r="13" spans="1:18" s="144" customFormat="1" ht="20.45" customHeight="1" x14ac:dyDescent="0.25">
      <c r="A13" s="211">
        <v>7</v>
      </c>
      <c r="B13" s="191">
        <v>43939</v>
      </c>
      <c r="C13" s="138" t="s">
        <v>2350</v>
      </c>
      <c r="D13" s="138" t="s">
        <v>3020</v>
      </c>
      <c r="E13" s="146" t="s">
        <v>3030</v>
      </c>
      <c r="F13" s="138"/>
      <c r="G13" s="138"/>
      <c r="H13" s="141"/>
      <c r="I13" s="138"/>
      <c r="J13" s="139">
        <v>200000</v>
      </c>
      <c r="K13" s="141"/>
      <c r="L13" s="150"/>
      <c r="M13" s="141"/>
      <c r="N13" s="141"/>
      <c r="O13" s="139">
        <f t="shared" si="0"/>
        <v>200000</v>
      </c>
      <c r="P13" s="141">
        <v>1700000</v>
      </c>
      <c r="Q13" s="250">
        <f t="shared" si="1"/>
        <v>1500000</v>
      </c>
      <c r="R13" s="215"/>
    </row>
    <row r="14" spans="1:18" s="144" customFormat="1" ht="20.45" customHeight="1" x14ac:dyDescent="0.25">
      <c r="A14" s="211">
        <v>8</v>
      </c>
      <c r="B14" s="191">
        <v>43943</v>
      </c>
      <c r="C14" s="138" t="s">
        <v>3008</v>
      </c>
      <c r="D14" s="138" t="s">
        <v>3021</v>
      </c>
      <c r="E14" s="146" t="s">
        <v>23</v>
      </c>
      <c r="F14" s="138"/>
      <c r="G14" s="138"/>
      <c r="H14" s="141"/>
      <c r="I14" s="138"/>
      <c r="J14" s="139">
        <v>2740000</v>
      </c>
      <c r="K14" s="141"/>
      <c r="L14" s="150"/>
      <c r="M14" s="141"/>
      <c r="N14" s="141"/>
      <c r="O14" s="139">
        <f t="shared" si="0"/>
        <v>2740000</v>
      </c>
      <c r="P14" s="141">
        <v>11727273</v>
      </c>
      <c r="Q14" s="250">
        <f t="shared" si="1"/>
        <v>8987273</v>
      </c>
      <c r="R14" s="215"/>
    </row>
    <row r="15" spans="1:18" s="144" customFormat="1" ht="20.45" customHeight="1" x14ac:dyDescent="0.25">
      <c r="A15" s="211">
        <v>9</v>
      </c>
      <c r="B15" s="191">
        <v>43944</v>
      </c>
      <c r="C15" s="138" t="s">
        <v>3009</v>
      </c>
      <c r="D15" s="138" t="s">
        <v>3022</v>
      </c>
      <c r="E15" s="146" t="s">
        <v>338</v>
      </c>
      <c r="F15" s="138"/>
      <c r="G15" s="138">
        <v>280</v>
      </c>
      <c r="H15" s="141">
        <f>G15*10820</f>
        <v>3029600</v>
      </c>
      <c r="I15" s="138"/>
      <c r="J15" s="139">
        <v>1060000</v>
      </c>
      <c r="K15" s="141"/>
      <c r="L15" s="150"/>
      <c r="M15" s="141"/>
      <c r="N15" s="141"/>
      <c r="O15" s="139">
        <f t="shared" si="0"/>
        <v>4089600</v>
      </c>
      <c r="P15" s="141">
        <v>3600000</v>
      </c>
      <c r="Q15" s="250">
        <f t="shared" si="1"/>
        <v>-489600</v>
      </c>
      <c r="R15" s="215"/>
    </row>
    <row r="16" spans="1:18" s="144" customFormat="1" ht="20.45" customHeight="1" x14ac:dyDescent="0.25">
      <c r="A16" s="211">
        <v>10</v>
      </c>
      <c r="B16" s="191">
        <v>43945</v>
      </c>
      <c r="C16" s="138" t="s">
        <v>3010</v>
      </c>
      <c r="D16" s="138" t="s">
        <v>3023</v>
      </c>
      <c r="E16" s="146" t="s">
        <v>2059</v>
      </c>
      <c r="F16" s="138"/>
      <c r="G16" s="138"/>
      <c r="H16" s="141"/>
      <c r="I16" s="138"/>
      <c r="J16" s="139">
        <v>1400000</v>
      </c>
      <c r="K16" s="141"/>
      <c r="L16" s="150"/>
      <c r="M16" s="141"/>
      <c r="N16" s="141"/>
      <c r="O16" s="139">
        <f t="shared" si="0"/>
        <v>1400000</v>
      </c>
      <c r="P16" s="141">
        <v>5454545</v>
      </c>
      <c r="Q16" s="250">
        <f t="shared" si="1"/>
        <v>4054545</v>
      </c>
      <c r="R16" s="215"/>
    </row>
    <row r="17" spans="1:18" s="144" customFormat="1" ht="20.45" customHeight="1" x14ac:dyDescent="0.25">
      <c r="A17" s="211">
        <v>11</v>
      </c>
      <c r="B17" s="191">
        <v>43946</v>
      </c>
      <c r="C17" s="138" t="s">
        <v>3011</v>
      </c>
      <c r="D17" s="138" t="s">
        <v>3024</v>
      </c>
      <c r="E17" s="146" t="s">
        <v>201</v>
      </c>
      <c r="F17" s="138"/>
      <c r="G17" s="138">
        <v>320</v>
      </c>
      <c r="H17" s="141">
        <f t="shared" ref="H17:H20" si="3">G17*10820</f>
        <v>3462400</v>
      </c>
      <c r="I17" s="138"/>
      <c r="J17" s="208">
        <v>650000</v>
      </c>
      <c r="K17" s="141"/>
      <c r="L17" s="150"/>
      <c r="M17" s="141"/>
      <c r="N17" s="141"/>
      <c r="O17" s="139">
        <f t="shared" si="0"/>
        <v>4112400</v>
      </c>
      <c r="P17" s="141">
        <v>2900000</v>
      </c>
      <c r="Q17" s="250">
        <f t="shared" si="1"/>
        <v>-1212400</v>
      </c>
      <c r="R17" s="215"/>
    </row>
    <row r="18" spans="1:18" s="144" customFormat="1" ht="20.45" customHeight="1" x14ac:dyDescent="0.25">
      <c r="A18" s="211">
        <v>12</v>
      </c>
      <c r="B18" s="191">
        <v>43949</v>
      </c>
      <c r="C18" s="138" t="s">
        <v>292</v>
      </c>
      <c r="D18" s="138" t="s">
        <v>3025</v>
      </c>
      <c r="E18" s="146" t="s">
        <v>1336</v>
      </c>
      <c r="F18" s="138"/>
      <c r="G18" s="138"/>
      <c r="H18" s="141">
        <f t="shared" si="3"/>
        <v>0</v>
      </c>
      <c r="I18" s="138"/>
      <c r="J18" s="139">
        <v>1150000</v>
      </c>
      <c r="K18" s="141"/>
      <c r="L18" s="150"/>
      <c r="M18" s="141"/>
      <c r="N18" s="141"/>
      <c r="O18" s="139">
        <f t="shared" si="0"/>
        <v>1150000</v>
      </c>
      <c r="P18" s="141">
        <v>3900000</v>
      </c>
      <c r="Q18" s="250">
        <f t="shared" si="1"/>
        <v>2750000</v>
      </c>
      <c r="R18" s="215"/>
    </row>
    <row r="19" spans="1:18" s="144" customFormat="1" ht="20.45" customHeight="1" x14ac:dyDescent="0.25">
      <c r="A19" s="211">
        <v>13</v>
      </c>
      <c r="B19" s="191">
        <v>43950</v>
      </c>
      <c r="C19" s="138" t="s">
        <v>3012</v>
      </c>
      <c r="D19" s="138" t="s">
        <v>3026</v>
      </c>
      <c r="E19" s="146" t="s">
        <v>894</v>
      </c>
      <c r="F19" s="138"/>
      <c r="G19" s="138"/>
      <c r="H19" s="141">
        <f t="shared" si="3"/>
        <v>0</v>
      </c>
      <c r="I19" s="138"/>
      <c r="J19" s="139">
        <v>790000</v>
      </c>
      <c r="K19" s="141"/>
      <c r="L19" s="150"/>
      <c r="M19" s="141"/>
      <c r="N19" s="141"/>
      <c r="O19" s="139">
        <f t="shared" si="0"/>
        <v>790000</v>
      </c>
      <c r="P19" s="141">
        <v>2909091</v>
      </c>
      <c r="Q19" s="250">
        <f t="shared" si="1"/>
        <v>2119091</v>
      </c>
      <c r="R19" s="215"/>
    </row>
    <row r="20" spans="1:18" s="144" customFormat="1" ht="20.45" customHeight="1" x14ac:dyDescent="0.25">
      <c r="A20" s="211">
        <v>14</v>
      </c>
      <c r="B20" s="191">
        <v>43950</v>
      </c>
      <c r="C20" s="138" t="s">
        <v>3013</v>
      </c>
      <c r="D20" s="138" t="s">
        <v>3027</v>
      </c>
      <c r="E20" s="146" t="s">
        <v>1767</v>
      </c>
      <c r="F20" s="138"/>
      <c r="G20" s="214">
        <v>195</v>
      </c>
      <c r="H20" s="208">
        <f t="shared" si="3"/>
        <v>2109900</v>
      </c>
      <c r="I20" s="138"/>
      <c r="J20" s="208">
        <v>200000</v>
      </c>
      <c r="K20" s="141"/>
      <c r="L20" s="150"/>
      <c r="M20" s="141"/>
      <c r="N20" s="141"/>
      <c r="O20" s="139">
        <f t="shared" si="0"/>
        <v>2309900</v>
      </c>
      <c r="P20" s="141">
        <v>1500000</v>
      </c>
      <c r="Q20" s="250">
        <f t="shared" si="1"/>
        <v>-809900</v>
      </c>
      <c r="R20" s="215"/>
    </row>
    <row r="21" spans="1:18" s="144" customFormat="1" ht="20.45" customHeight="1" x14ac:dyDescent="0.25">
      <c r="A21" s="211"/>
      <c r="B21" s="191"/>
      <c r="C21" s="138"/>
      <c r="D21" s="138"/>
      <c r="E21" s="146"/>
      <c r="F21" s="138"/>
      <c r="G21" s="138"/>
      <c r="H21" s="141"/>
      <c r="I21" s="138"/>
      <c r="J21" s="139"/>
      <c r="K21" s="141"/>
      <c r="L21" s="150"/>
      <c r="M21" s="141"/>
      <c r="N21" s="141"/>
      <c r="O21" s="139">
        <f t="shared" si="0"/>
        <v>0</v>
      </c>
      <c r="P21" s="141"/>
      <c r="Q21" s="250">
        <f t="shared" si="1"/>
        <v>0</v>
      </c>
      <c r="R21" s="215"/>
    </row>
    <row r="22" spans="1:18" s="144" customFormat="1" ht="20.45" customHeight="1" x14ac:dyDescent="0.25">
      <c r="A22" s="211"/>
      <c r="B22" s="191"/>
      <c r="C22" s="138"/>
      <c r="D22" s="138"/>
      <c r="E22" s="146"/>
      <c r="F22" s="138"/>
      <c r="G22" s="138"/>
      <c r="H22" s="141"/>
      <c r="I22" s="138"/>
      <c r="J22" s="139"/>
      <c r="K22" s="141"/>
      <c r="L22" s="150"/>
      <c r="M22" s="141"/>
      <c r="N22" s="141"/>
      <c r="O22" s="139">
        <f t="shared" si="0"/>
        <v>0</v>
      </c>
      <c r="P22" s="141"/>
      <c r="Q22" s="250">
        <f t="shared" si="1"/>
        <v>0</v>
      </c>
      <c r="R22" s="215"/>
    </row>
    <row r="23" spans="1:18" s="144" customFormat="1" ht="20.45" customHeight="1" x14ac:dyDescent="0.2">
      <c r="A23" s="211"/>
      <c r="B23" s="232"/>
      <c r="C23" s="293" t="s">
        <v>3031</v>
      </c>
      <c r="D23" s="277"/>
      <c r="E23" s="278"/>
      <c r="F23" s="279"/>
      <c r="G23" s="138"/>
      <c r="H23" s="141"/>
      <c r="I23" s="138"/>
      <c r="J23" s="139"/>
      <c r="K23" s="141"/>
      <c r="L23" s="219">
        <v>2710000</v>
      </c>
      <c r="M23" s="141"/>
      <c r="N23" s="141"/>
      <c r="O23" s="139">
        <f t="shared" si="0"/>
        <v>2710000</v>
      </c>
      <c r="P23" s="141"/>
      <c r="Q23" s="250">
        <f t="shared" si="1"/>
        <v>-2710000</v>
      </c>
      <c r="R23" s="215"/>
    </row>
    <row r="24" spans="1:18" s="144" customFormat="1" ht="20.45" customHeight="1" x14ac:dyDescent="0.25">
      <c r="A24" s="211"/>
      <c r="B24" s="232"/>
      <c r="C24" s="265" t="s">
        <v>1091</v>
      </c>
      <c r="D24" s="277"/>
      <c r="E24" s="278"/>
      <c r="F24" s="279"/>
      <c r="G24" s="138"/>
      <c r="H24" s="141"/>
      <c r="I24" s="138"/>
      <c r="J24" s="139"/>
      <c r="K24" s="141"/>
      <c r="L24" s="219">
        <v>8628000</v>
      </c>
      <c r="M24" s="141"/>
      <c r="N24" s="141"/>
      <c r="O24" s="139">
        <f t="shared" si="0"/>
        <v>8628000</v>
      </c>
      <c r="P24" s="141"/>
      <c r="Q24" s="250">
        <f t="shared" si="1"/>
        <v>-8628000</v>
      </c>
      <c r="R24" s="215"/>
    </row>
    <row r="25" spans="1:18" s="144" customFormat="1" ht="20.45" customHeight="1" x14ac:dyDescent="0.25">
      <c r="A25" s="211"/>
      <c r="B25" s="232"/>
      <c r="C25" s="265" t="s">
        <v>3032</v>
      </c>
      <c r="D25" s="277"/>
      <c r="E25" s="278"/>
      <c r="F25" s="279"/>
      <c r="G25" s="138"/>
      <c r="H25" s="141"/>
      <c r="I25" s="138"/>
      <c r="J25" s="139"/>
      <c r="K25" s="141"/>
      <c r="L25" s="219">
        <v>230000</v>
      </c>
      <c r="M25" s="141"/>
      <c r="N25" s="141"/>
      <c r="O25" s="139">
        <f t="shared" si="0"/>
        <v>230000</v>
      </c>
      <c r="P25" s="141"/>
      <c r="Q25" s="250">
        <f t="shared" si="1"/>
        <v>-230000</v>
      </c>
      <c r="R25" s="215"/>
    </row>
    <row r="26" spans="1:18" s="144" customFormat="1" ht="20.45" customHeight="1" x14ac:dyDescent="0.25">
      <c r="A26" s="211"/>
      <c r="B26" s="232"/>
      <c r="C26" s="265" t="s">
        <v>2066</v>
      </c>
      <c r="D26" s="277"/>
      <c r="E26" s="278"/>
      <c r="F26" s="279"/>
      <c r="G26" s="138"/>
      <c r="H26" s="141"/>
      <c r="I26" s="138"/>
      <c r="J26" s="139"/>
      <c r="K26" s="141"/>
      <c r="L26" s="219">
        <v>610000</v>
      </c>
      <c r="M26" s="219"/>
      <c r="N26" s="141"/>
      <c r="O26" s="139">
        <f t="shared" si="0"/>
        <v>610000</v>
      </c>
      <c r="P26" s="141"/>
      <c r="Q26" s="250">
        <f t="shared" si="1"/>
        <v>-610000</v>
      </c>
      <c r="R26" s="215"/>
    </row>
    <row r="27" spans="1:18" s="144" customFormat="1" ht="20.45" customHeight="1" x14ac:dyDescent="0.25">
      <c r="A27" s="211"/>
      <c r="B27" s="232"/>
      <c r="C27" s="265" t="s">
        <v>1090</v>
      </c>
      <c r="D27" s="277"/>
      <c r="E27" s="278"/>
      <c r="F27" s="279"/>
      <c r="G27" s="138"/>
      <c r="H27" s="141"/>
      <c r="I27" s="138"/>
      <c r="J27" s="139"/>
      <c r="K27" s="141"/>
      <c r="L27" s="219">
        <v>500000</v>
      </c>
      <c r="M27" s="141"/>
      <c r="N27" s="141"/>
      <c r="O27" s="139">
        <f t="shared" si="0"/>
        <v>500000</v>
      </c>
      <c r="P27" s="141"/>
      <c r="Q27" s="250">
        <f t="shared" si="1"/>
        <v>-500000</v>
      </c>
      <c r="R27" s="215"/>
    </row>
    <row r="28" spans="1:18" s="144" customFormat="1" ht="20.45" customHeight="1" x14ac:dyDescent="0.25">
      <c r="A28" s="211"/>
      <c r="B28" s="232"/>
      <c r="C28" s="265" t="s">
        <v>3033</v>
      </c>
      <c r="D28" s="277"/>
      <c r="E28" s="278"/>
      <c r="F28" s="279"/>
      <c r="G28" s="138"/>
      <c r="H28" s="141"/>
      <c r="I28" s="138"/>
      <c r="J28" s="139"/>
      <c r="K28" s="141"/>
      <c r="L28" s="219">
        <v>170000</v>
      </c>
      <c r="M28" s="141"/>
      <c r="N28" s="141"/>
      <c r="O28" s="139">
        <f t="shared" si="0"/>
        <v>170000</v>
      </c>
      <c r="P28" s="141"/>
      <c r="Q28" s="250">
        <f t="shared" si="1"/>
        <v>-170000</v>
      </c>
      <c r="R28" s="215"/>
    </row>
    <row r="29" spans="1:18" s="144" customFormat="1" ht="20.45" customHeight="1" x14ac:dyDescent="0.25">
      <c r="A29" s="211"/>
      <c r="B29" s="232"/>
      <c r="C29" s="265" t="s">
        <v>3034</v>
      </c>
      <c r="D29" s="277"/>
      <c r="E29" s="278"/>
      <c r="F29" s="279"/>
      <c r="G29" s="138"/>
      <c r="H29" s="141"/>
      <c r="I29" s="138"/>
      <c r="J29" s="139"/>
      <c r="K29" s="141"/>
      <c r="L29" s="219">
        <v>150000</v>
      </c>
      <c r="M29" s="141"/>
      <c r="N29" s="141"/>
      <c r="O29" s="139">
        <f t="shared" si="0"/>
        <v>150000</v>
      </c>
      <c r="P29" s="141"/>
      <c r="Q29" s="250">
        <f t="shared" si="1"/>
        <v>-150000</v>
      </c>
      <c r="R29" s="215"/>
    </row>
    <row r="30" spans="1:18" s="144" customFormat="1" ht="20.45" customHeight="1" x14ac:dyDescent="0.25">
      <c r="A30" s="211"/>
      <c r="B30" s="232"/>
      <c r="C30" s="265" t="s">
        <v>2858</v>
      </c>
      <c r="D30" s="277"/>
      <c r="E30" s="278"/>
      <c r="F30" s="279"/>
      <c r="G30" s="138"/>
      <c r="H30" s="141"/>
      <c r="I30" s="138"/>
      <c r="J30" s="139"/>
      <c r="K30" s="141"/>
      <c r="L30" s="219">
        <v>620000</v>
      </c>
      <c r="M30" s="141"/>
      <c r="N30" s="141"/>
      <c r="O30" s="139">
        <f t="shared" si="0"/>
        <v>620000</v>
      </c>
      <c r="P30" s="141"/>
      <c r="Q30" s="250">
        <f t="shared" si="1"/>
        <v>-620000</v>
      </c>
      <c r="R30" s="215"/>
    </row>
    <row r="31" spans="1:18" s="144" customFormat="1" ht="20.45" customHeight="1" x14ac:dyDescent="0.25">
      <c r="A31" s="211"/>
      <c r="B31" s="232"/>
      <c r="C31" s="265" t="s">
        <v>3035</v>
      </c>
      <c r="D31" s="277"/>
      <c r="E31" s="278"/>
      <c r="F31" s="279"/>
      <c r="G31" s="138"/>
      <c r="H31" s="141"/>
      <c r="I31" s="138"/>
      <c r="J31" s="139"/>
      <c r="K31" s="141"/>
      <c r="L31" s="219">
        <v>480000</v>
      </c>
      <c r="M31" s="141"/>
      <c r="N31" s="141"/>
      <c r="O31" s="139">
        <f t="shared" si="0"/>
        <v>480000</v>
      </c>
      <c r="P31" s="141"/>
      <c r="Q31" s="250">
        <f t="shared" si="1"/>
        <v>-480000</v>
      </c>
      <c r="R31" s="215"/>
    </row>
    <row r="32" spans="1:18" s="144" customFormat="1" ht="20.45" customHeight="1" x14ac:dyDescent="0.25">
      <c r="A32" s="211"/>
      <c r="B32" s="232"/>
      <c r="C32" s="265" t="s">
        <v>3036</v>
      </c>
      <c r="D32" s="277"/>
      <c r="E32" s="278"/>
      <c r="F32" s="279"/>
      <c r="G32" s="138"/>
      <c r="H32" s="141"/>
      <c r="I32" s="138"/>
      <c r="J32" s="139"/>
      <c r="K32" s="141"/>
      <c r="L32" s="219">
        <v>390000</v>
      </c>
      <c r="M32" s="141"/>
      <c r="N32" s="141"/>
      <c r="O32" s="139">
        <f t="shared" si="0"/>
        <v>390000</v>
      </c>
      <c r="P32" s="141"/>
      <c r="Q32" s="250">
        <f t="shared" si="1"/>
        <v>-390000</v>
      </c>
      <c r="R32" s="215"/>
    </row>
    <row r="33" spans="1:19" s="144" customFormat="1" ht="20.45" customHeight="1" x14ac:dyDescent="0.25">
      <c r="A33" s="211"/>
      <c r="B33" s="232"/>
      <c r="C33" s="265" t="s">
        <v>3037</v>
      </c>
      <c r="D33" s="277"/>
      <c r="E33" s="278"/>
      <c r="F33" s="279"/>
      <c r="G33" s="138"/>
      <c r="H33" s="141"/>
      <c r="I33" s="138"/>
      <c r="J33" s="139"/>
      <c r="K33" s="141"/>
      <c r="L33" s="219">
        <v>630000</v>
      </c>
      <c r="M33" s="141"/>
      <c r="N33" s="141"/>
      <c r="O33" s="139">
        <f t="shared" si="0"/>
        <v>630000</v>
      </c>
      <c r="P33" s="141"/>
      <c r="Q33" s="250">
        <f t="shared" si="1"/>
        <v>-630000</v>
      </c>
      <c r="R33" s="215"/>
    </row>
    <row r="34" spans="1:19" s="144" customFormat="1" ht="20.45" customHeight="1" x14ac:dyDescent="0.25">
      <c r="A34" s="211"/>
      <c r="B34" s="232"/>
      <c r="C34" s="265" t="s">
        <v>3038</v>
      </c>
      <c r="D34" s="277"/>
      <c r="E34" s="278"/>
      <c r="F34" s="279"/>
      <c r="G34" s="138"/>
      <c r="H34" s="141"/>
      <c r="I34" s="138"/>
      <c r="J34" s="139"/>
      <c r="K34" s="141"/>
      <c r="L34" s="219">
        <v>550000</v>
      </c>
      <c r="M34" s="141"/>
      <c r="N34" s="141"/>
      <c r="O34" s="139">
        <f t="shared" si="0"/>
        <v>550000</v>
      </c>
      <c r="P34" s="141"/>
      <c r="Q34" s="250">
        <f t="shared" si="1"/>
        <v>-550000</v>
      </c>
      <c r="R34" s="215"/>
    </row>
    <row r="35" spans="1:19" s="144" customFormat="1" ht="20.45" customHeight="1" x14ac:dyDescent="0.25">
      <c r="A35" s="211"/>
      <c r="B35" s="232"/>
      <c r="C35" s="265" t="s">
        <v>3039</v>
      </c>
      <c r="D35" s="277"/>
      <c r="E35" s="278"/>
      <c r="F35" s="279"/>
      <c r="G35" s="138"/>
      <c r="H35" s="141"/>
      <c r="I35" s="138"/>
      <c r="J35" s="139"/>
      <c r="K35" s="141"/>
      <c r="L35" s="219">
        <v>180000</v>
      </c>
      <c r="M35" s="141"/>
      <c r="N35" s="141"/>
      <c r="O35" s="139">
        <f t="shared" si="0"/>
        <v>180000</v>
      </c>
      <c r="P35" s="141"/>
      <c r="Q35" s="250">
        <f t="shared" si="1"/>
        <v>-180000</v>
      </c>
      <c r="R35" s="215"/>
    </row>
    <row r="36" spans="1:19" s="144" customFormat="1" ht="20.45" customHeight="1" x14ac:dyDescent="0.25">
      <c r="A36" s="211"/>
      <c r="B36" s="232"/>
      <c r="C36" s="294" t="s">
        <v>3040</v>
      </c>
      <c r="D36" s="277"/>
      <c r="E36" s="278"/>
      <c r="F36" s="279"/>
      <c r="G36" s="138"/>
      <c r="H36" s="141"/>
      <c r="I36" s="138"/>
      <c r="J36" s="139"/>
      <c r="K36" s="141"/>
      <c r="L36" s="219"/>
      <c r="M36" s="141"/>
      <c r="N36" s="208">
        <f>11900000/4</f>
        <v>2975000</v>
      </c>
      <c r="O36" s="139">
        <f t="shared" si="0"/>
        <v>2975000</v>
      </c>
      <c r="P36" s="141"/>
      <c r="Q36" s="250">
        <f t="shared" si="1"/>
        <v>-2975000</v>
      </c>
      <c r="R36" s="215"/>
    </row>
    <row r="37" spans="1:19" s="159" customFormat="1" ht="20.45" customHeight="1" x14ac:dyDescent="0.25">
      <c r="A37" s="211"/>
      <c r="B37" s="165"/>
      <c r="C37" s="440" t="s">
        <v>1337</v>
      </c>
      <c r="D37" s="441"/>
      <c r="E37" s="441"/>
      <c r="F37" s="442"/>
      <c r="G37" s="195"/>
      <c r="H37" s="155"/>
      <c r="I37" s="195"/>
      <c r="J37" s="155"/>
      <c r="K37" s="219">
        <v>5192308</v>
      </c>
      <c r="L37" s="155"/>
      <c r="M37" s="155"/>
      <c r="N37" s="155"/>
      <c r="O37" s="139">
        <f t="shared" si="0"/>
        <v>5192308</v>
      </c>
      <c r="P37" s="139"/>
      <c r="Q37" s="250">
        <f t="shared" si="1"/>
        <v>-5192308</v>
      </c>
      <c r="R37" s="215"/>
    </row>
    <row r="38" spans="1:19" s="159" customFormat="1" ht="20.45" customHeight="1" x14ac:dyDescent="0.25">
      <c r="A38" s="211"/>
      <c r="B38" s="203"/>
      <c r="C38" s="434" t="s">
        <v>1094</v>
      </c>
      <c r="D38" s="435"/>
      <c r="E38" s="435"/>
      <c r="F38" s="436"/>
      <c r="G38" s="153"/>
      <c r="H38" s="156"/>
      <c r="I38" s="153"/>
      <c r="J38" s="156"/>
      <c r="K38" s="204">
        <f>1200000*1.1</f>
        <v>1320000</v>
      </c>
      <c r="L38" s="204"/>
      <c r="M38" s="156"/>
      <c r="N38" s="156"/>
      <c r="O38" s="139">
        <f t="shared" si="0"/>
        <v>1320000</v>
      </c>
      <c r="P38" s="139"/>
      <c r="Q38" s="250">
        <f t="shared" si="1"/>
        <v>-1320000</v>
      </c>
      <c r="R38" s="215"/>
    </row>
    <row r="39" spans="1:19" ht="20.45" customHeight="1" x14ac:dyDescent="0.25">
      <c r="A39" s="426" t="s">
        <v>20</v>
      </c>
      <c r="B39" s="426"/>
      <c r="C39" s="426"/>
      <c r="D39" s="426"/>
      <c r="E39" s="426"/>
      <c r="F39" s="426"/>
      <c r="G39" s="161">
        <f t="shared" ref="G39:Q39" si="4">SUM(G7:G38)</f>
        <v>1570</v>
      </c>
      <c r="H39" s="161">
        <f t="shared" si="4"/>
        <v>17320650</v>
      </c>
      <c r="I39" s="161">
        <f t="shared" si="4"/>
        <v>0</v>
      </c>
      <c r="J39" s="161">
        <f t="shared" si="4"/>
        <v>15280000</v>
      </c>
      <c r="K39" s="161">
        <f t="shared" si="4"/>
        <v>6512308</v>
      </c>
      <c r="L39" s="161">
        <f t="shared" si="4"/>
        <v>15848000</v>
      </c>
      <c r="M39" s="161">
        <f t="shared" si="4"/>
        <v>0</v>
      </c>
      <c r="N39" s="161">
        <f t="shared" si="4"/>
        <v>2975000</v>
      </c>
      <c r="O39" s="161">
        <f t="shared" si="4"/>
        <v>57935958</v>
      </c>
      <c r="P39" s="161">
        <f t="shared" si="4"/>
        <v>60690909</v>
      </c>
      <c r="Q39" s="161">
        <f t="shared" si="4"/>
        <v>2754951</v>
      </c>
    </row>
    <row r="40" spans="1:19" ht="24.95" customHeight="1" x14ac:dyDescent="0.25">
      <c r="O40" s="158"/>
      <c r="Q40" s="158"/>
    </row>
    <row r="41" spans="1:19" ht="13.9" customHeight="1" x14ac:dyDescent="0.25">
      <c r="P41" s="216" t="s">
        <v>1603</v>
      </c>
      <c r="Q41" s="227">
        <f>'03.2020'!Q44+'04.2020'!Q39</f>
        <v>53669633</v>
      </c>
      <c r="S41" s="216"/>
    </row>
    <row r="42" spans="1:19" ht="13.9" customHeight="1" x14ac:dyDescent="0.25">
      <c r="B42" s="129"/>
      <c r="J42" s="128"/>
      <c r="K42" s="128"/>
      <c r="L42" s="128"/>
      <c r="M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8"/>
      <c r="H49" s="128"/>
      <c r="J49" s="128"/>
      <c r="K49" s="128"/>
      <c r="L49" s="128"/>
      <c r="M49" s="128"/>
      <c r="N49" s="128"/>
      <c r="O49" s="128"/>
      <c r="P49" s="128"/>
      <c r="Q49" s="216"/>
    </row>
    <row r="50" spans="1:17" x14ac:dyDescent="0.25">
      <c r="A50" s="128"/>
      <c r="B50" s="128"/>
      <c r="H50" s="128"/>
      <c r="J50" s="128"/>
      <c r="K50" s="128"/>
      <c r="L50" s="128"/>
      <c r="M50" s="128"/>
      <c r="N50" s="128"/>
      <c r="O50" s="128"/>
      <c r="P50" s="128"/>
      <c r="Q50" s="216"/>
    </row>
  </sheetData>
  <mergeCells count="16">
    <mergeCell ref="A39:F39"/>
    <mergeCell ref="A1:Q1"/>
    <mergeCell ref="A2:Q2"/>
    <mergeCell ref="B3:Q3"/>
    <mergeCell ref="A5:A6"/>
    <mergeCell ref="B5:B6"/>
    <mergeCell ref="C5:C6"/>
    <mergeCell ref="D5:D6"/>
    <mergeCell ref="E5:E6"/>
    <mergeCell ref="F5:F6"/>
    <mergeCell ref="G5:N5"/>
    <mergeCell ref="O5:O6"/>
    <mergeCell ref="P5:P6"/>
    <mergeCell ref="Q5:Q6"/>
    <mergeCell ref="C37:F37"/>
    <mergeCell ref="C38:F38"/>
  </mergeCells>
  <pageMargins left="0.7" right="0.7" top="0.75" bottom="0.75" header="0.3" footer="0.3"/>
  <pageSetup paperSize="9" orientation="portrait" horizontalDpi="180" verticalDpi="18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R45"/>
  <sheetViews>
    <sheetView topLeftCell="A13" zoomScaleNormal="100" workbookViewId="0">
      <selection activeCell="Q29" sqref="Q29:Q33"/>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3041</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295" t="s">
        <v>3059</v>
      </c>
      <c r="C7" s="138" t="s">
        <v>3042</v>
      </c>
      <c r="D7" s="138" t="s">
        <v>3079</v>
      </c>
      <c r="E7" s="146" t="s">
        <v>2885</v>
      </c>
      <c r="F7" s="138"/>
      <c r="G7" s="138"/>
      <c r="H7" s="141"/>
      <c r="I7" s="138"/>
      <c r="J7" s="226">
        <v>790000</v>
      </c>
      <c r="K7" s="141"/>
      <c r="L7" s="150"/>
      <c r="M7" s="141"/>
      <c r="N7" s="141"/>
      <c r="O7" s="139">
        <f>SUM(H7:N7)</f>
        <v>790000</v>
      </c>
      <c r="P7" s="139">
        <v>2454545</v>
      </c>
      <c r="Q7" s="250">
        <f>P7-O7</f>
        <v>1664545</v>
      </c>
      <c r="R7" s="215"/>
    </row>
    <row r="8" spans="1:18" s="144" customFormat="1" ht="20.45" customHeight="1" x14ac:dyDescent="0.25">
      <c r="A8" s="211">
        <v>2</v>
      </c>
      <c r="B8" s="295" t="s">
        <v>3060</v>
      </c>
      <c r="C8" s="138" t="s">
        <v>3043</v>
      </c>
      <c r="D8" s="138" t="s">
        <v>3080</v>
      </c>
      <c r="E8" s="146" t="s">
        <v>3097</v>
      </c>
      <c r="F8" s="138"/>
      <c r="G8" s="138">
        <v>185</v>
      </c>
      <c r="H8" s="141">
        <f>G8*9940</f>
        <v>1838900</v>
      </c>
      <c r="I8" s="138"/>
      <c r="J8" s="226">
        <v>970000</v>
      </c>
      <c r="K8" s="141"/>
      <c r="L8" s="150"/>
      <c r="M8" s="141"/>
      <c r="N8" s="141"/>
      <c r="O8" s="139">
        <f t="shared" ref="O8:O33" si="0">SUM(H8:N8)</f>
        <v>2808900</v>
      </c>
      <c r="P8" s="139">
        <v>3750000</v>
      </c>
      <c r="Q8" s="250">
        <f t="shared" ref="Q8:Q33" si="1">P8-O8</f>
        <v>941100</v>
      </c>
      <c r="R8" s="215"/>
    </row>
    <row r="9" spans="1:18" s="144" customFormat="1" ht="20.45" customHeight="1" x14ac:dyDescent="0.25">
      <c r="A9" s="211">
        <v>3</v>
      </c>
      <c r="B9" s="295" t="s">
        <v>3061</v>
      </c>
      <c r="C9" s="138" t="s">
        <v>3044</v>
      </c>
      <c r="D9" s="138" t="s">
        <v>3081</v>
      </c>
      <c r="E9" s="146" t="s">
        <v>279</v>
      </c>
      <c r="F9" s="138"/>
      <c r="G9" s="138"/>
      <c r="H9" s="141"/>
      <c r="I9" s="138"/>
      <c r="J9" s="226">
        <v>1890000</v>
      </c>
      <c r="K9" s="141"/>
      <c r="L9" s="150"/>
      <c r="M9" s="141"/>
      <c r="N9" s="141"/>
      <c r="O9" s="139">
        <f t="shared" si="0"/>
        <v>1890000</v>
      </c>
      <c r="P9" s="139">
        <v>9272727</v>
      </c>
      <c r="Q9" s="250">
        <f t="shared" si="1"/>
        <v>7382727</v>
      </c>
      <c r="R9" s="215"/>
    </row>
    <row r="10" spans="1:18" s="144" customFormat="1" ht="20.45" customHeight="1" x14ac:dyDescent="0.25">
      <c r="A10" s="211">
        <v>4</v>
      </c>
      <c r="B10" s="295" t="s">
        <v>3062</v>
      </c>
      <c r="C10" s="138" t="s">
        <v>1705</v>
      </c>
      <c r="D10" s="138" t="s">
        <v>3082</v>
      </c>
      <c r="E10" s="146" t="s">
        <v>259</v>
      </c>
      <c r="F10" s="138"/>
      <c r="G10" s="138">
        <v>310</v>
      </c>
      <c r="H10" s="141">
        <f>G10*9940</f>
        <v>3081400</v>
      </c>
      <c r="I10" s="138"/>
      <c r="J10" s="226">
        <v>970000</v>
      </c>
      <c r="K10" s="141"/>
      <c r="L10" s="150"/>
      <c r="M10" s="141"/>
      <c r="N10" s="141"/>
      <c r="O10" s="139">
        <f t="shared" si="0"/>
        <v>4051400</v>
      </c>
      <c r="P10" s="139">
        <v>3700000</v>
      </c>
      <c r="Q10" s="250">
        <f t="shared" si="1"/>
        <v>-351400</v>
      </c>
      <c r="R10" s="215"/>
    </row>
    <row r="11" spans="1:18" s="144" customFormat="1" ht="20.45" customHeight="1" x14ac:dyDescent="0.25">
      <c r="A11" s="211">
        <v>5</v>
      </c>
      <c r="B11" s="295" t="s">
        <v>3063</v>
      </c>
      <c r="C11" s="138" t="s">
        <v>3045</v>
      </c>
      <c r="D11" s="138" t="s">
        <v>3083</v>
      </c>
      <c r="E11" s="146" t="s">
        <v>2059</v>
      </c>
      <c r="F11" s="138"/>
      <c r="G11" s="138"/>
      <c r="H11" s="141"/>
      <c r="I11" s="138"/>
      <c r="J11" s="226">
        <v>1400000</v>
      </c>
      <c r="K11" s="141"/>
      <c r="L11" s="150"/>
      <c r="M11" s="141"/>
      <c r="N11" s="141"/>
      <c r="O11" s="139">
        <f t="shared" si="0"/>
        <v>1400000</v>
      </c>
      <c r="P11" s="139">
        <v>5454545</v>
      </c>
      <c r="Q11" s="250">
        <f t="shared" si="1"/>
        <v>4054545</v>
      </c>
      <c r="R11" s="215"/>
    </row>
    <row r="12" spans="1:18" s="144" customFormat="1" ht="20.45" customHeight="1" x14ac:dyDescent="0.25">
      <c r="A12" s="211">
        <v>6</v>
      </c>
      <c r="B12" s="295" t="s">
        <v>3064</v>
      </c>
      <c r="C12" s="138" t="s">
        <v>3046</v>
      </c>
      <c r="D12" s="138" t="s">
        <v>3084</v>
      </c>
      <c r="E12" s="146" t="s">
        <v>1336</v>
      </c>
      <c r="F12" s="138"/>
      <c r="G12" s="138">
        <v>150</v>
      </c>
      <c r="H12" s="141">
        <f>150*9940</f>
        <v>1491000</v>
      </c>
      <c r="I12" s="138"/>
      <c r="J12" s="226">
        <f>1150000+880000</f>
        <v>2030000</v>
      </c>
      <c r="K12" s="141"/>
      <c r="L12" s="150"/>
      <c r="M12" s="141"/>
      <c r="N12" s="141"/>
      <c r="O12" s="139">
        <f t="shared" si="0"/>
        <v>3521000</v>
      </c>
      <c r="P12" s="139">
        <v>3500000</v>
      </c>
      <c r="Q12" s="250">
        <f t="shared" si="1"/>
        <v>-21000</v>
      </c>
      <c r="R12" s="215"/>
    </row>
    <row r="13" spans="1:18" s="144" customFormat="1" ht="20.45" customHeight="1" x14ac:dyDescent="0.25">
      <c r="A13" s="211">
        <v>7</v>
      </c>
      <c r="B13" s="295" t="s">
        <v>3064</v>
      </c>
      <c r="C13" s="138" t="s">
        <v>3047</v>
      </c>
      <c r="D13" s="138" t="s">
        <v>3084</v>
      </c>
      <c r="E13" s="146" t="s">
        <v>25</v>
      </c>
      <c r="F13" s="138"/>
      <c r="G13" s="138"/>
      <c r="H13" s="141"/>
      <c r="I13" s="138"/>
      <c r="J13" s="226">
        <v>0</v>
      </c>
      <c r="K13" s="141"/>
      <c r="L13" s="150"/>
      <c r="M13" s="141"/>
      <c r="N13" s="141"/>
      <c r="O13" s="139">
        <f t="shared" si="0"/>
        <v>0</v>
      </c>
      <c r="P13" s="139">
        <v>4954545</v>
      </c>
      <c r="Q13" s="250">
        <f t="shared" si="1"/>
        <v>4954545</v>
      </c>
      <c r="R13" s="215"/>
    </row>
    <row r="14" spans="1:18" s="144" customFormat="1" ht="20.45" customHeight="1" x14ac:dyDescent="0.25">
      <c r="A14" s="211">
        <v>8</v>
      </c>
      <c r="B14" s="295" t="s">
        <v>3065</v>
      </c>
      <c r="C14" s="138" t="s">
        <v>3048</v>
      </c>
      <c r="D14" s="138" t="s">
        <v>3085</v>
      </c>
      <c r="E14" s="146" t="s">
        <v>80</v>
      </c>
      <c r="F14" s="138"/>
      <c r="G14" s="138">
        <v>340</v>
      </c>
      <c r="H14" s="141">
        <f>G14*9850</f>
        <v>3349000</v>
      </c>
      <c r="I14" s="138"/>
      <c r="J14" s="226">
        <v>790000</v>
      </c>
      <c r="K14" s="141"/>
      <c r="L14" s="150"/>
      <c r="M14" s="141"/>
      <c r="N14" s="141"/>
      <c r="O14" s="139">
        <f t="shared" si="0"/>
        <v>4139000</v>
      </c>
      <c r="P14" s="139">
        <v>3200000</v>
      </c>
      <c r="Q14" s="250">
        <f t="shared" si="1"/>
        <v>-939000</v>
      </c>
      <c r="R14" s="215"/>
    </row>
    <row r="15" spans="1:18" s="144" customFormat="1" ht="20.45" customHeight="1" x14ac:dyDescent="0.25">
      <c r="A15" s="211">
        <v>9</v>
      </c>
      <c r="B15" s="295" t="s">
        <v>3066</v>
      </c>
      <c r="C15" s="138" t="s">
        <v>3049</v>
      </c>
      <c r="D15" s="138" t="s">
        <v>700</v>
      </c>
      <c r="E15" s="146" t="s">
        <v>2985</v>
      </c>
      <c r="F15" s="138"/>
      <c r="G15" s="138"/>
      <c r="H15" s="141"/>
      <c r="I15" s="138"/>
      <c r="J15" s="226">
        <v>790000</v>
      </c>
      <c r="K15" s="141"/>
      <c r="L15" s="150"/>
      <c r="M15" s="141"/>
      <c r="N15" s="141"/>
      <c r="O15" s="139">
        <f t="shared" si="0"/>
        <v>790000</v>
      </c>
      <c r="P15" s="139">
        <v>2427273</v>
      </c>
      <c r="Q15" s="250">
        <f t="shared" si="1"/>
        <v>1637273</v>
      </c>
      <c r="R15" s="215"/>
    </row>
    <row r="16" spans="1:18" s="144" customFormat="1" ht="20.45" customHeight="1" x14ac:dyDescent="0.25">
      <c r="A16" s="211">
        <v>10</v>
      </c>
      <c r="B16" s="295" t="s">
        <v>3067</v>
      </c>
      <c r="C16" s="138" t="s">
        <v>1712</v>
      </c>
      <c r="D16" s="138" t="s">
        <v>3086</v>
      </c>
      <c r="E16" s="146" t="s">
        <v>1937</v>
      </c>
      <c r="F16" s="138"/>
      <c r="G16" s="138"/>
      <c r="H16" s="141"/>
      <c r="I16" s="138"/>
      <c r="J16" s="226">
        <v>1150000</v>
      </c>
      <c r="K16" s="141"/>
      <c r="L16" s="150"/>
      <c r="M16" s="141"/>
      <c r="N16" s="141"/>
      <c r="O16" s="139">
        <f t="shared" si="0"/>
        <v>1150000</v>
      </c>
      <c r="P16" s="139">
        <v>3860000</v>
      </c>
      <c r="Q16" s="250">
        <f t="shared" si="1"/>
        <v>2710000</v>
      </c>
      <c r="R16" s="215"/>
    </row>
    <row r="17" spans="1:18" s="144" customFormat="1" ht="20.45" customHeight="1" x14ac:dyDescent="0.25">
      <c r="A17" s="211">
        <v>11</v>
      </c>
      <c r="B17" s="295" t="s">
        <v>3068</v>
      </c>
      <c r="C17" s="138" t="s">
        <v>3050</v>
      </c>
      <c r="D17" s="138" t="s">
        <v>3087</v>
      </c>
      <c r="E17" s="146" t="s">
        <v>406</v>
      </c>
      <c r="F17" s="138"/>
      <c r="G17" s="138">
        <v>270</v>
      </c>
      <c r="H17" s="141">
        <f>G17*9850</f>
        <v>2659500</v>
      </c>
      <c r="I17" s="138"/>
      <c r="J17" s="226">
        <v>790000</v>
      </c>
      <c r="K17" s="141"/>
      <c r="L17" s="150"/>
      <c r="M17" s="141"/>
      <c r="N17" s="141"/>
      <c r="O17" s="139">
        <f t="shared" si="0"/>
        <v>3449500</v>
      </c>
      <c r="P17" s="139">
        <v>3600000</v>
      </c>
      <c r="Q17" s="250">
        <f t="shared" si="1"/>
        <v>150500</v>
      </c>
      <c r="R17" s="215"/>
    </row>
    <row r="18" spans="1:18" s="144" customFormat="1" ht="20.45" customHeight="1" x14ac:dyDescent="0.25">
      <c r="A18" s="211">
        <v>12</v>
      </c>
      <c r="B18" s="295" t="s">
        <v>3069</v>
      </c>
      <c r="C18" s="138" t="s">
        <v>1097</v>
      </c>
      <c r="D18" s="138" t="s">
        <v>3088</v>
      </c>
      <c r="E18" s="146" t="s">
        <v>25</v>
      </c>
      <c r="F18" s="138"/>
      <c r="G18" s="138"/>
      <c r="H18" s="141"/>
      <c r="I18" s="138"/>
      <c r="J18" s="226">
        <v>1890000</v>
      </c>
      <c r="K18" s="141"/>
      <c r="L18" s="150"/>
      <c r="M18" s="141"/>
      <c r="N18" s="141"/>
      <c r="O18" s="139">
        <f t="shared" si="0"/>
        <v>1890000</v>
      </c>
      <c r="P18" s="139">
        <v>6936364</v>
      </c>
      <c r="Q18" s="250">
        <f t="shared" si="1"/>
        <v>5046364</v>
      </c>
      <c r="R18" s="215"/>
    </row>
    <row r="19" spans="1:18" s="144" customFormat="1" ht="20.45" customHeight="1" x14ac:dyDescent="0.25">
      <c r="A19" s="211">
        <v>13</v>
      </c>
      <c r="B19" s="295" t="s">
        <v>3070</v>
      </c>
      <c r="C19" s="138" t="s">
        <v>2407</v>
      </c>
      <c r="D19" s="138" t="s">
        <v>3089</v>
      </c>
      <c r="E19" s="146" t="s">
        <v>3098</v>
      </c>
      <c r="F19" s="138"/>
      <c r="G19" s="138">
        <v>240</v>
      </c>
      <c r="H19" s="141">
        <f>G19*9850</f>
        <v>2364000</v>
      </c>
      <c r="I19" s="138"/>
      <c r="J19" s="226">
        <v>650000</v>
      </c>
      <c r="K19" s="141"/>
      <c r="L19" s="150"/>
      <c r="M19" s="141"/>
      <c r="N19" s="141"/>
      <c r="O19" s="139">
        <f t="shared" si="0"/>
        <v>3014000</v>
      </c>
      <c r="P19" s="141">
        <v>2500000</v>
      </c>
      <c r="Q19" s="250">
        <f t="shared" si="1"/>
        <v>-514000</v>
      </c>
      <c r="R19" s="215"/>
    </row>
    <row r="20" spans="1:18" s="144" customFormat="1" ht="20.45" customHeight="1" x14ac:dyDescent="0.25">
      <c r="A20" s="211">
        <v>14</v>
      </c>
      <c r="B20" s="295" t="s">
        <v>3071</v>
      </c>
      <c r="C20" s="138" t="s">
        <v>3051</v>
      </c>
      <c r="D20" s="138" t="s">
        <v>3090</v>
      </c>
      <c r="E20" s="146" t="s">
        <v>2885</v>
      </c>
      <c r="F20" s="138"/>
      <c r="G20" s="138"/>
      <c r="H20" s="141"/>
      <c r="I20" s="138"/>
      <c r="J20" s="226">
        <v>790000</v>
      </c>
      <c r="K20" s="141"/>
      <c r="L20" s="150"/>
      <c r="M20" s="141"/>
      <c r="N20" s="141"/>
      <c r="O20" s="139">
        <f t="shared" si="0"/>
        <v>790000</v>
      </c>
      <c r="P20" s="141">
        <v>2454545</v>
      </c>
      <c r="Q20" s="250">
        <f t="shared" si="1"/>
        <v>1664545</v>
      </c>
      <c r="R20" s="215"/>
    </row>
    <row r="21" spans="1:18" s="144" customFormat="1" ht="20.45" customHeight="1" x14ac:dyDescent="0.25">
      <c r="A21" s="211">
        <v>15</v>
      </c>
      <c r="B21" s="295" t="s">
        <v>3072</v>
      </c>
      <c r="C21" s="138" t="s">
        <v>3052</v>
      </c>
      <c r="D21" s="138" t="s">
        <v>3091</v>
      </c>
      <c r="E21" s="146" t="s">
        <v>80</v>
      </c>
      <c r="F21" s="138"/>
      <c r="G21" s="138"/>
      <c r="H21" s="141"/>
      <c r="I21" s="138"/>
      <c r="J21" s="226">
        <v>790000</v>
      </c>
      <c r="K21" s="141"/>
      <c r="L21" s="150"/>
      <c r="M21" s="141"/>
      <c r="N21" s="141"/>
      <c r="O21" s="139">
        <f t="shared" si="0"/>
        <v>790000</v>
      </c>
      <c r="P21" s="141">
        <v>3200000</v>
      </c>
      <c r="Q21" s="250">
        <f t="shared" si="1"/>
        <v>2410000</v>
      </c>
      <c r="R21" s="215"/>
    </row>
    <row r="22" spans="1:18" s="144" customFormat="1" ht="20.45" customHeight="1" x14ac:dyDescent="0.25">
      <c r="A22" s="211">
        <v>16</v>
      </c>
      <c r="B22" s="295" t="s">
        <v>3073</v>
      </c>
      <c r="C22" s="138" t="s">
        <v>3053</v>
      </c>
      <c r="D22" s="138" t="s">
        <v>3092</v>
      </c>
      <c r="E22" s="146" t="s">
        <v>80</v>
      </c>
      <c r="F22" s="138"/>
      <c r="G22" s="138">
        <v>280</v>
      </c>
      <c r="H22" s="141">
        <f>G22*9850</f>
        <v>2758000</v>
      </c>
      <c r="I22" s="138"/>
      <c r="J22" s="226">
        <v>790000</v>
      </c>
      <c r="K22" s="141"/>
      <c r="L22" s="150"/>
      <c r="M22" s="141"/>
      <c r="N22" s="141"/>
      <c r="O22" s="139">
        <f t="shared" si="0"/>
        <v>3548000</v>
      </c>
      <c r="P22" s="141">
        <v>3200000</v>
      </c>
      <c r="Q22" s="250">
        <f t="shared" si="1"/>
        <v>-348000</v>
      </c>
      <c r="R22" s="215"/>
    </row>
    <row r="23" spans="1:18" s="144" customFormat="1" ht="20.45" customHeight="1" x14ac:dyDescent="0.25">
      <c r="A23" s="211">
        <v>17</v>
      </c>
      <c r="B23" s="295" t="s">
        <v>3074</v>
      </c>
      <c r="C23" s="138" t="s">
        <v>3054</v>
      </c>
      <c r="D23" s="138" t="s">
        <v>3093</v>
      </c>
      <c r="E23" s="146" t="s">
        <v>1937</v>
      </c>
      <c r="F23" s="138"/>
      <c r="G23" s="138"/>
      <c r="H23" s="141"/>
      <c r="I23" s="138"/>
      <c r="J23" s="226">
        <f>1150000+1000000</f>
        <v>2150000</v>
      </c>
      <c r="K23" s="141"/>
      <c r="L23" s="150"/>
      <c r="M23" s="141"/>
      <c r="N23" s="141"/>
      <c r="O23" s="139">
        <f t="shared" si="0"/>
        <v>2150000</v>
      </c>
      <c r="P23" s="141">
        <v>3560000</v>
      </c>
      <c r="Q23" s="250">
        <f t="shared" si="1"/>
        <v>1410000</v>
      </c>
      <c r="R23" s="215"/>
    </row>
    <row r="24" spans="1:18" s="144" customFormat="1" ht="20.45" customHeight="1" x14ac:dyDescent="0.25">
      <c r="A24" s="211">
        <v>18</v>
      </c>
      <c r="B24" s="295" t="s">
        <v>3074</v>
      </c>
      <c r="C24" s="138" t="s">
        <v>3055</v>
      </c>
      <c r="D24" s="138" t="s">
        <v>3093</v>
      </c>
      <c r="E24" s="146" t="s">
        <v>25</v>
      </c>
      <c r="F24" s="138"/>
      <c r="G24" s="134"/>
      <c r="H24" s="139"/>
      <c r="I24" s="134"/>
      <c r="J24" s="226">
        <v>0</v>
      </c>
      <c r="K24" s="141"/>
      <c r="L24" s="150"/>
      <c r="M24" s="141"/>
      <c r="N24" s="141"/>
      <c r="O24" s="139">
        <f t="shared" si="0"/>
        <v>0</v>
      </c>
      <c r="P24" s="141">
        <v>4954545</v>
      </c>
      <c r="Q24" s="250">
        <f t="shared" si="1"/>
        <v>4954545</v>
      </c>
      <c r="R24" s="215"/>
    </row>
    <row r="25" spans="1:18" s="144" customFormat="1" ht="20.45" customHeight="1" x14ac:dyDescent="0.25">
      <c r="A25" s="211">
        <v>19</v>
      </c>
      <c r="B25" s="295" t="s">
        <v>3075</v>
      </c>
      <c r="C25" s="138" t="s">
        <v>3056</v>
      </c>
      <c r="D25" s="138" t="s">
        <v>3093</v>
      </c>
      <c r="E25" s="146" t="s">
        <v>3099</v>
      </c>
      <c r="F25" s="138"/>
      <c r="G25" s="134">
        <v>270</v>
      </c>
      <c r="H25" s="139">
        <f>G25*9850</f>
        <v>2659500</v>
      </c>
      <c r="I25" s="134"/>
      <c r="J25" s="226">
        <v>0</v>
      </c>
      <c r="K25" s="141"/>
      <c r="L25" s="150"/>
      <c r="M25" s="141"/>
      <c r="N25" s="141"/>
      <c r="O25" s="139">
        <f t="shared" si="0"/>
        <v>2659500</v>
      </c>
      <c r="P25" s="141">
        <v>2600000</v>
      </c>
      <c r="Q25" s="250">
        <f t="shared" si="1"/>
        <v>-59500</v>
      </c>
      <c r="R25" s="215"/>
    </row>
    <row r="26" spans="1:18" s="144" customFormat="1" ht="20.45" customHeight="1" x14ac:dyDescent="0.25">
      <c r="A26" s="211">
        <v>20</v>
      </c>
      <c r="B26" s="295" t="s">
        <v>3076</v>
      </c>
      <c r="C26" s="138" t="s">
        <v>1722</v>
      </c>
      <c r="D26" s="138" t="s">
        <v>3094</v>
      </c>
      <c r="E26" s="146" t="s">
        <v>3100</v>
      </c>
      <c r="F26" s="138"/>
      <c r="G26" s="134"/>
      <c r="H26" s="139"/>
      <c r="I26" s="134"/>
      <c r="J26" s="208">
        <f>970000+300000</f>
        <v>1270000</v>
      </c>
      <c r="K26" s="141"/>
      <c r="L26" s="150"/>
      <c r="M26" s="141"/>
      <c r="N26" s="141"/>
      <c r="O26" s="139">
        <f t="shared" si="0"/>
        <v>1270000</v>
      </c>
      <c r="P26" s="141">
        <v>5500000</v>
      </c>
      <c r="Q26" s="250">
        <f t="shared" si="1"/>
        <v>4230000</v>
      </c>
      <c r="R26" s="215"/>
    </row>
    <row r="27" spans="1:18" s="144" customFormat="1" ht="20.45" customHeight="1" x14ac:dyDescent="0.25">
      <c r="A27" s="211">
        <v>21</v>
      </c>
      <c r="B27" s="295" t="s">
        <v>3077</v>
      </c>
      <c r="C27" s="138" t="s">
        <v>3057</v>
      </c>
      <c r="D27" s="138" t="s">
        <v>3095</v>
      </c>
      <c r="E27" s="146" t="s">
        <v>115</v>
      </c>
      <c r="F27" s="138"/>
      <c r="G27" s="134"/>
      <c r="H27" s="139"/>
      <c r="I27" s="134"/>
      <c r="J27" s="226">
        <v>1150000</v>
      </c>
      <c r="K27" s="141"/>
      <c r="L27" s="150"/>
      <c r="M27" s="141"/>
      <c r="N27" s="141"/>
      <c r="O27" s="139">
        <f t="shared" si="0"/>
        <v>1150000</v>
      </c>
      <c r="P27" s="141">
        <v>3400000</v>
      </c>
      <c r="Q27" s="250">
        <f t="shared" si="1"/>
        <v>2250000</v>
      </c>
      <c r="R27" s="215"/>
    </row>
    <row r="28" spans="1:18" s="144" customFormat="1" ht="20.45" customHeight="1" x14ac:dyDescent="0.25">
      <c r="A28" s="211">
        <v>22</v>
      </c>
      <c r="B28" s="295" t="s">
        <v>3078</v>
      </c>
      <c r="C28" s="138" t="s">
        <v>3058</v>
      </c>
      <c r="D28" s="138" t="s">
        <v>3096</v>
      </c>
      <c r="E28" s="146" t="s">
        <v>2985</v>
      </c>
      <c r="F28" s="138"/>
      <c r="G28" s="134">
        <v>290</v>
      </c>
      <c r="H28" s="139">
        <f>G28*10740</f>
        <v>3114600</v>
      </c>
      <c r="I28" s="134"/>
      <c r="J28" s="226">
        <v>790000</v>
      </c>
      <c r="K28" s="141"/>
      <c r="L28" s="150"/>
      <c r="M28" s="141"/>
      <c r="N28" s="141"/>
      <c r="O28" s="139">
        <f t="shared" si="0"/>
        <v>3904600</v>
      </c>
      <c r="P28" s="141">
        <v>2427273</v>
      </c>
      <c r="Q28" s="250">
        <f t="shared" si="1"/>
        <v>-1477327</v>
      </c>
      <c r="R28" s="215"/>
    </row>
    <row r="29" spans="1:18" s="144" customFormat="1" ht="20.45" customHeight="1" x14ac:dyDescent="0.25">
      <c r="A29" s="211"/>
      <c r="B29" s="191"/>
      <c r="C29" s="138"/>
      <c r="D29" s="138"/>
      <c r="E29" s="146"/>
      <c r="F29" s="138"/>
      <c r="G29" s="138"/>
      <c r="H29" s="141"/>
      <c r="I29" s="138"/>
      <c r="J29" s="139"/>
      <c r="K29" s="141"/>
      <c r="L29" s="150"/>
      <c r="M29" s="141"/>
      <c r="N29" s="141"/>
      <c r="O29" s="139">
        <f t="shared" si="0"/>
        <v>0</v>
      </c>
      <c r="P29" s="141"/>
      <c r="Q29" s="250">
        <f t="shared" si="1"/>
        <v>0</v>
      </c>
      <c r="R29" s="215"/>
    </row>
    <row r="30" spans="1:18" s="144" customFormat="1" ht="20.45" customHeight="1" x14ac:dyDescent="0.25">
      <c r="A30" s="211"/>
      <c r="B30" s="191"/>
      <c r="C30" s="138"/>
      <c r="D30" s="138"/>
      <c r="E30" s="146"/>
      <c r="F30" s="138"/>
      <c r="G30" s="138"/>
      <c r="H30" s="141"/>
      <c r="I30" s="138"/>
      <c r="J30" s="139"/>
      <c r="K30" s="141"/>
      <c r="L30" s="150"/>
      <c r="M30" s="141"/>
      <c r="N30" s="141"/>
      <c r="O30" s="139">
        <f t="shared" si="0"/>
        <v>0</v>
      </c>
      <c r="P30" s="141"/>
      <c r="Q30" s="250">
        <f t="shared" si="1"/>
        <v>0</v>
      </c>
      <c r="R30" s="215"/>
    </row>
    <row r="31" spans="1:18" s="144" customFormat="1" ht="20.45" customHeight="1" x14ac:dyDescent="0.25">
      <c r="A31" s="211"/>
      <c r="B31" s="191"/>
      <c r="C31" s="265" t="s">
        <v>1754</v>
      </c>
      <c r="D31" s="277"/>
      <c r="E31" s="278"/>
      <c r="F31" s="279"/>
      <c r="G31" s="138"/>
      <c r="H31" s="141"/>
      <c r="I31" s="138"/>
      <c r="J31" s="139"/>
      <c r="K31" s="141"/>
      <c r="L31" s="185">
        <v>17650000</v>
      </c>
      <c r="M31" s="157"/>
      <c r="N31" s="157"/>
      <c r="O31" s="139">
        <f t="shared" si="0"/>
        <v>17650000</v>
      </c>
      <c r="P31" s="141"/>
      <c r="Q31" s="250">
        <f t="shared" si="1"/>
        <v>-17650000</v>
      </c>
      <c r="R31" s="215"/>
    </row>
    <row r="32" spans="1:18" s="159" customFormat="1" ht="20.45" customHeight="1" x14ac:dyDescent="0.25">
      <c r="A32" s="211"/>
      <c r="B32" s="165"/>
      <c r="C32" s="440" t="s">
        <v>1337</v>
      </c>
      <c r="D32" s="441"/>
      <c r="E32" s="441"/>
      <c r="F32" s="442"/>
      <c r="G32" s="195"/>
      <c r="H32" s="155"/>
      <c r="I32" s="195"/>
      <c r="J32" s="155"/>
      <c r="K32" s="219">
        <v>7961538</v>
      </c>
      <c r="L32" s="155"/>
      <c r="M32" s="155"/>
      <c r="N32" s="155"/>
      <c r="O32" s="139">
        <f t="shared" si="0"/>
        <v>7961538</v>
      </c>
      <c r="P32" s="139"/>
      <c r="Q32" s="250">
        <f t="shared" si="1"/>
        <v>-7961538</v>
      </c>
      <c r="R32" s="215"/>
    </row>
    <row r="33" spans="1:18" s="159" customFormat="1" ht="20.45" customHeight="1" x14ac:dyDescent="0.25">
      <c r="A33" s="211"/>
      <c r="B33" s="203"/>
      <c r="C33" s="434" t="s">
        <v>1094</v>
      </c>
      <c r="D33" s="435"/>
      <c r="E33" s="435"/>
      <c r="F33" s="436"/>
      <c r="G33" s="153"/>
      <c r="H33" s="156"/>
      <c r="I33" s="153"/>
      <c r="J33" s="156"/>
      <c r="K33" s="205">
        <v>1200000</v>
      </c>
      <c r="L33" s="204"/>
      <c r="M33" s="156"/>
      <c r="N33" s="156"/>
      <c r="O33" s="139">
        <f t="shared" si="0"/>
        <v>1200000</v>
      </c>
      <c r="P33" s="139"/>
      <c r="Q33" s="250">
        <f t="shared" si="1"/>
        <v>-1200000</v>
      </c>
      <c r="R33" s="215"/>
    </row>
    <row r="34" spans="1:18" ht="20.45" customHeight="1" x14ac:dyDescent="0.25">
      <c r="A34" s="426" t="s">
        <v>20</v>
      </c>
      <c r="B34" s="426"/>
      <c r="C34" s="426"/>
      <c r="D34" s="426"/>
      <c r="E34" s="426"/>
      <c r="F34" s="426"/>
      <c r="G34" s="161">
        <f t="shared" ref="G34:Q34" si="2">SUM(G7:G33)</f>
        <v>2335</v>
      </c>
      <c r="H34" s="161">
        <f t="shared" si="2"/>
        <v>23315900</v>
      </c>
      <c r="I34" s="161">
        <f t="shared" si="2"/>
        <v>0</v>
      </c>
      <c r="J34" s="161">
        <f t="shared" si="2"/>
        <v>21840000</v>
      </c>
      <c r="K34" s="161">
        <f t="shared" si="2"/>
        <v>9161538</v>
      </c>
      <c r="L34" s="161">
        <f t="shared" si="2"/>
        <v>17650000</v>
      </c>
      <c r="M34" s="161">
        <f t="shared" si="2"/>
        <v>0</v>
      </c>
      <c r="N34" s="161">
        <f t="shared" si="2"/>
        <v>0</v>
      </c>
      <c r="O34" s="296">
        <f t="shared" si="2"/>
        <v>71967438</v>
      </c>
      <c r="P34" s="161">
        <f t="shared" si="2"/>
        <v>86906362</v>
      </c>
      <c r="Q34" s="297">
        <f t="shared" si="2"/>
        <v>14938924</v>
      </c>
    </row>
    <row r="35" spans="1:18" ht="24.95" customHeight="1" x14ac:dyDescent="0.25">
      <c r="O35" s="158"/>
      <c r="Q35" s="158"/>
    </row>
    <row r="36" spans="1:18" ht="13.9" customHeight="1" x14ac:dyDescent="0.25">
      <c r="P36" s="216" t="s">
        <v>1603</v>
      </c>
      <c r="Q36" s="298">
        <f>'[4]04.2020'!Q41+'[4]05.2020'!Q34</f>
        <v>68608557</v>
      </c>
    </row>
    <row r="37" spans="1:18" ht="13.9" customHeight="1" x14ac:dyDescent="0.25">
      <c r="B37" s="129"/>
      <c r="J37" s="128"/>
      <c r="K37" s="128"/>
      <c r="L37" s="128"/>
      <c r="M37" s="128"/>
      <c r="N37" s="128"/>
      <c r="O37" s="128"/>
      <c r="P37" s="218"/>
      <c r="Q37" s="216"/>
    </row>
    <row r="38" spans="1:18" ht="13.9" customHeight="1" x14ac:dyDescent="0.25">
      <c r="B38" s="129"/>
      <c r="H38" s="128"/>
      <c r="J38" s="128"/>
      <c r="K38" s="128"/>
      <c r="L38" s="128"/>
      <c r="M38" s="128"/>
      <c r="N38" s="128"/>
      <c r="O38" s="128"/>
      <c r="P38" s="218"/>
      <c r="Q38" s="230"/>
    </row>
    <row r="39" spans="1:18" ht="13.9" customHeight="1" x14ac:dyDescent="0.25">
      <c r="B39" s="129"/>
      <c r="H39" s="128"/>
      <c r="J39" s="128"/>
      <c r="K39" s="128"/>
      <c r="L39" s="128"/>
      <c r="M39" s="128"/>
      <c r="N39" s="128"/>
      <c r="O39" s="128"/>
      <c r="P39" s="218"/>
      <c r="Q39" s="230"/>
      <c r="R39" s="143"/>
    </row>
    <row r="40" spans="1:18" ht="13.9" customHeight="1" x14ac:dyDescent="0.25">
      <c r="B40" s="129"/>
      <c r="H40" s="128"/>
      <c r="J40" s="128"/>
      <c r="K40" s="128"/>
      <c r="L40" s="128"/>
      <c r="M40" s="128"/>
      <c r="N40" s="128"/>
      <c r="O40" s="128"/>
      <c r="P40" s="218"/>
      <c r="Q40" s="216"/>
      <c r="R40" s="143"/>
    </row>
    <row r="41" spans="1:18" x14ac:dyDescent="0.25">
      <c r="B41" s="129"/>
      <c r="H41" s="128"/>
      <c r="J41" s="128"/>
      <c r="K41" s="128"/>
      <c r="L41" s="128"/>
      <c r="M41" s="128"/>
      <c r="N41" s="128"/>
      <c r="O41" s="128"/>
      <c r="P41" s="218"/>
      <c r="Q41" s="216"/>
    </row>
    <row r="42" spans="1:18" x14ac:dyDescent="0.25">
      <c r="A42" s="128"/>
      <c r="B42" s="129"/>
      <c r="H42" s="128"/>
      <c r="J42" s="128"/>
      <c r="K42" s="128"/>
      <c r="L42" s="128"/>
      <c r="M42" s="128"/>
      <c r="N42" s="128"/>
      <c r="O42" s="128"/>
      <c r="P42" s="218"/>
      <c r="Q42" s="216"/>
    </row>
    <row r="43" spans="1:18" x14ac:dyDescent="0.25">
      <c r="A43" s="128"/>
      <c r="B43" s="129"/>
      <c r="H43" s="128"/>
      <c r="J43" s="128"/>
      <c r="K43" s="128"/>
      <c r="L43" s="128"/>
      <c r="M43" s="128"/>
      <c r="N43" s="128"/>
      <c r="O43" s="128"/>
      <c r="P43" s="218"/>
      <c r="Q43" s="216"/>
    </row>
    <row r="44" spans="1:18" x14ac:dyDescent="0.25">
      <c r="A44" s="128"/>
      <c r="B44" s="128"/>
      <c r="H44" s="128"/>
      <c r="J44" s="128"/>
      <c r="K44" s="128"/>
      <c r="L44" s="128"/>
      <c r="M44" s="128"/>
      <c r="N44" s="128"/>
      <c r="O44" s="128"/>
      <c r="P44" s="128"/>
      <c r="Q44" s="216"/>
    </row>
    <row r="45" spans="1:18" x14ac:dyDescent="0.25">
      <c r="A45" s="128"/>
      <c r="B45" s="128"/>
      <c r="H45" s="128"/>
      <c r="J45" s="128"/>
      <c r="K45" s="128"/>
      <c r="L45" s="128"/>
      <c r="M45" s="128"/>
      <c r="N45" s="128"/>
      <c r="O45" s="128"/>
      <c r="P45" s="128"/>
      <c r="Q45" s="216"/>
    </row>
  </sheetData>
  <mergeCells count="16">
    <mergeCell ref="C32:F32"/>
    <mergeCell ref="A34:F34"/>
    <mergeCell ref="A1:Q1"/>
    <mergeCell ref="A2:Q2"/>
    <mergeCell ref="B3:Q3"/>
    <mergeCell ref="A5:A6"/>
    <mergeCell ref="B5:B6"/>
    <mergeCell ref="C5:C6"/>
    <mergeCell ref="D5:D6"/>
    <mergeCell ref="E5:E6"/>
    <mergeCell ref="F5:F6"/>
    <mergeCell ref="G5:N5"/>
    <mergeCell ref="O5:O6"/>
    <mergeCell ref="P5:P6"/>
    <mergeCell ref="Q5:Q6"/>
    <mergeCell ref="C33:F33"/>
  </mergeCells>
  <pageMargins left="0.7" right="0.7" top="0.75" bottom="0.75" header="0.3" footer="0.3"/>
  <pageSetup paperSize="9" orientation="portrait" horizontalDpi="180" verticalDpi="18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S49"/>
  <sheetViews>
    <sheetView zoomScaleNormal="100" workbookViewId="0">
      <selection activeCell="I19" sqref="I19"/>
    </sheetView>
  </sheetViews>
  <sheetFormatPr defaultColWidth="9.140625" defaultRowHeight="12.75" x14ac:dyDescent="0.25"/>
  <cols>
    <col min="1" max="1" width="4.5703125" style="129" customWidth="1"/>
    <col min="2" max="2" width="10.28515625" style="163" customWidth="1"/>
    <col min="3" max="3" width="35.8554687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6" style="143" customWidth="1"/>
    <col min="17" max="17" width="17.285156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3177</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11">
        <v>1</v>
      </c>
      <c r="B7" s="295" t="s">
        <v>3145</v>
      </c>
      <c r="C7" s="138" t="s">
        <v>3101</v>
      </c>
      <c r="D7" s="138" t="s">
        <v>3123</v>
      </c>
      <c r="E7" s="146" t="s">
        <v>25</v>
      </c>
      <c r="F7" s="138"/>
      <c r="G7" s="138"/>
      <c r="H7" s="141"/>
      <c r="I7" s="138"/>
      <c r="J7" s="139">
        <v>1890000</v>
      </c>
      <c r="K7" s="141"/>
      <c r="L7" s="150"/>
      <c r="M7" s="141"/>
      <c r="N7" s="141"/>
      <c r="O7" s="139">
        <f>SUM(H7:N7)</f>
        <v>1890000</v>
      </c>
      <c r="P7" s="139">
        <v>7209091</v>
      </c>
      <c r="Q7" s="250">
        <f>P7-O7</f>
        <v>5319091</v>
      </c>
      <c r="R7" s="215"/>
    </row>
    <row r="8" spans="1:18" s="144" customFormat="1" ht="20.45" customHeight="1" x14ac:dyDescent="0.25">
      <c r="A8" s="211">
        <v>2</v>
      </c>
      <c r="B8" s="295" t="s">
        <v>3146</v>
      </c>
      <c r="C8" s="138" t="s">
        <v>3102</v>
      </c>
      <c r="D8" s="138" t="s">
        <v>3124</v>
      </c>
      <c r="E8" s="146" t="s">
        <v>2059</v>
      </c>
      <c r="F8" s="138"/>
      <c r="G8" s="138"/>
      <c r="H8" s="141"/>
      <c r="I8" s="138"/>
      <c r="J8" s="139">
        <v>1400000</v>
      </c>
      <c r="K8" s="141"/>
      <c r="L8" s="150"/>
      <c r="M8" s="141"/>
      <c r="N8" s="141"/>
      <c r="O8" s="139">
        <f t="shared" ref="O8:O37" si="0">SUM(H8:N8)</f>
        <v>1400000</v>
      </c>
      <c r="P8" s="139">
        <v>5454545</v>
      </c>
      <c r="Q8" s="250">
        <f t="shared" ref="Q8:Q30" si="1">P8-O8</f>
        <v>4054545</v>
      </c>
      <c r="R8" s="215"/>
    </row>
    <row r="9" spans="1:18" s="144" customFormat="1" ht="20.45" customHeight="1" x14ac:dyDescent="0.25">
      <c r="A9" s="211">
        <v>3</v>
      </c>
      <c r="B9" s="295" t="s">
        <v>3147</v>
      </c>
      <c r="C9" s="138" t="s">
        <v>3103</v>
      </c>
      <c r="D9" s="138" t="s">
        <v>3125</v>
      </c>
      <c r="E9" s="146" t="s">
        <v>2883</v>
      </c>
      <c r="F9" s="138"/>
      <c r="G9" s="138">
        <v>330</v>
      </c>
      <c r="H9" s="141">
        <f>G9*10740</f>
        <v>3544200</v>
      </c>
      <c r="I9" s="138"/>
      <c r="J9" s="139">
        <v>790000</v>
      </c>
      <c r="K9" s="141"/>
      <c r="L9" s="150"/>
      <c r="M9" s="141"/>
      <c r="N9" s="141"/>
      <c r="O9" s="139">
        <f t="shared" si="0"/>
        <v>4334200</v>
      </c>
      <c r="P9" s="139">
        <v>2636364</v>
      </c>
      <c r="Q9" s="250">
        <f t="shared" si="1"/>
        <v>-1697836</v>
      </c>
      <c r="R9" s="215"/>
    </row>
    <row r="10" spans="1:18" s="144" customFormat="1" ht="20.45" customHeight="1" x14ac:dyDescent="0.25">
      <c r="A10" s="211">
        <v>4</v>
      </c>
      <c r="B10" s="295" t="s">
        <v>3148</v>
      </c>
      <c r="C10" s="138" t="s">
        <v>3104</v>
      </c>
      <c r="D10" s="138" t="s">
        <v>3126</v>
      </c>
      <c r="E10" s="146" t="s">
        <v>25</v>
      </c>
      <c r="F10" s="138"/>
      <c r="G10" s="138"/>
      <c r="H10" s="141"/>
      <c r="I10" s="138"/>
      <c r="J10" s="139">
        <v>1890000</v>
      </c>
      <c r="K10" s="141"/>
      <c r="L10" s="150"/>
      <c r="M10" s="141"/>
      <c r="N10" s="141"/>
      <c r="O10" s="139">
        <f t="shared" si="0"/>
        <v>1890000</v>
      </c>
      <c r="P10" s="139">
        <v>7209091</v>
      </c>
      <c r="Q10" s="250">
        <f t="shared" si="1"/>
        <v>5319091</v>
      </c>
      <c r="R10" s="215"/>
    </row>
    <row r="11" spans="1:18" s="144" customFormat="1" ht="20.45" customHeight="1" x14ac:dyDescent="0.25">
      <c r="A11" s="211">
        <v>5</v>
      </c>
      <c r="B11" s="295" t="s">
        <v>3149</v>
      </c>
      <c r="C11" s="138" t="s">
        <v>3105</v>
      </c>
      <c r="D11" s="138" t="s">
        <v>3127</v>
      </c>
      <c r="E11" s="146" t="s">
        <v>21</v>
      </c>
      <c r="F11" s="138"/>
      <c r="G11" s="138">
        <v>340</v>
      </c>
      <c r="H11" s="141">
        <f t="shared" ref="H11:H15" si="2">G11*10740</f>
        <v>3651600</v>
      </c>
      <c r="I11" s="138"/>
      <c r="J11" s="139">
        <v>790000</v>
      </c>
      <c r="K11" s="141"/>
      <c r="L11" s="150"/>
      <c r="M11" s="141"/>
      <c r="N11" s="141"/>
      <c r="O11" s="139">
        <f t="shared" si="0"/>
        <v>4441600</v>
      </c>
      <c r="P11" s="139">
        <v>2700000</v>
      </c>
      <c r="Q11" s="250">
        <f t="shared" si="1"/>
        <v>-1741600</v>
      </c>
      <c r="R11" s="215"/>
    </row>
    <row r="12" spans="1:18" s="144" customFormat="1" ht="20.45" customHeight="1" x14ac:dyDescent="0.2">
      <c r="A12" s="211">
        <v>6</v>
      </c>
      <c r="B12" s="295" t="s">
        <v>3150</v>
      </c>
      <c r="C12" s="138" t="s">
        <v>3106</v>
      </c>
      <c r="D12" s="138" t="s">
        <v>3128</v>
      </c>
      <c r="E12" s="146" t="s">
        <v>3168</v>
      </c>
      <c r="F12" s="138"/>
      <c r="G12" s="138"/>
      <c r="H12" s="141"/>
      <c r="I12" s="138"/>
      <c r="J12" s="139"/>
      <c r="K12" s="141"/>
      <c r="L12" s="150"/>
      <c r="M12" s="141"/>
      <c r="N12" s="141"/>
      <c r="O12" s="139">
        <f t="shared" si="0"/>
        <v>0</v>
      </c>
      <c r="P12" s="139">
        <v>500000</v>
      </c>
      <c r="Q12" s="250">
        <f t="shared" si="1"/>
        <v>500000</v>
      </c>
      <c r="R12" s="302" t="s">
        <v>3178</v>
      </c>
    </row>
    <row r="13" spans="1:18" s="144" customFormat="1" ht="20.45" customHeight="1" x14ac:dyDescent="0.25">
      <c r="A13" s="211">
        <v>7</v>
      </c>
      <c r="B13" s="295" t="s">
        <v>3151</v>
      </c>
      <c r="C13" s="138" t="s">
        <v>3107</v>
      </c>
      <c r="D13" s="138" t="s">
        <v>3129</v>
      </c>
      <c r="E13" s="146" t="s">
        <v>2059</v>
      </c>
      <c r="F13" s="138"/>
      <c r="G13" s="138"/>
      <c r="H13" s="141"/>
      <c r="I13" s="138"/>
      <c r="J13" s="139">
        <v>1400000</v>
      </c>
      <c r="K13" s="141"/>
      <c r="L13" s="150"/>
      <c r="M13" s="141"/>
      <c r="N13" s="141"/>
      <c r="O13" s="139">
        <f t="shared" si="0"/>
        <v>1400000</v>
      </c>
      <c r="P13" s="139">
        <v>5454545</v>
      </c>
      <c r="Q13" s="250">
        <f t="shared" si="1"/>
        <v>4054545</v>
      </c>
      <c r="R13" s="215"/>
    </row>
    <row r="14" spans="1:18" s="144" customFormat="1" ht="20.45" customHeight="1" x14ac:dyDescent="0.25">
      <c r="A14" s="211">
        <v>8</v>
      </c>
      <c r="B14" s="295" t="s">
        <v>3152</v>
      </c>
      <c r="C14" s="138" t="s">
        <v>3108</v>
      </c>
      <c r="D14" s="138" t="s">
        <v>3130</v>
      </c>
      <c r="E14" s="146" t="s">
        <v>80</v>
      </c>
      <c r="F14" s="138"/>
      <c r="G14" s="138"/>
      <c r="H14" s="141"/>
      <c r="I14" s="138"/>
      <c r="J14" s="139">
        <v>790000</v>
      </c>
      <c r="K14" s="141"/>
      <c r="L14" s="150"/>
      <c r="M14" s="141"/>
      <c r="N14" s="141"/>
      <c r="O14" s="139">
        <f t="shared" si="0"/>
        <v>790000</v>
      </c>
      <c r="P14" s="139">
        <v>3200000</v>
      </c>
      <c r="Q14" s="250">
        <f t="shared" si="1"/>
        <v>2410000</v>
      </c>
      <c r="R14" s="215"/>
    </row>
    <row r="15" spans="1:18" s="144" customFormat="1" ht="20.45" customHeight="1" x14ac:dyDescent="0.25">
      <c r="A15" s="211">
        <v>9</v>
      </c>
      <c r="B15" s="295" t="s">
        <v>3153</v>
      </c>
      <c r="C15" s="138" t="s">
        <v>2458</v>
      </c>
      <c r="D15" s="138" t="s">
        <v>3131</v>
      </c>
      <c r="E15" s="146" t="s">
        <v>1937</v>
      </c>
      <c r="F15" s="138"/>
      <c r="G15" s="138">
        <v>340</v>
      </c>
      <c r="H15" s="141">
        <f t="shared" si="2"/>
        <v>3651600</v>
      </c>
      <c r="I15" s="138"/>
      <c r="J15" s="139">
        <v>1150000</v>
      </c>
      <c r="K15" s="141"/>
      <c r="L15" s="150"/>
      <c r="M15" s="141"/>
      <c r="N15" s="141"/>
      <c r="O15" s="139">
        <f t="shared" si="0"/>
        <v>4801600</v>
      </c>
      <c r="P15" s="139">
        <v>3560000</v>
      </c>
      <c r="Q15" s="250">
        <f t="shared" si="1"/>
        <v>-1241600</v>
      </c>
      <c r="R15" s="215"/>
    </row>
    <row r="16" spans="1:18" s="144" customFormat="1" ht="20.45" customHeight="1" x14ac:dyDescent="0.25">
      <c r="A16" s="211">
        <v>10</v>
      </c>
      <c r="B16" s="295" t="s">
        <v>3154</v>
      </c>
      <c r="C16" s="138" t="s">
        <v>3109</v>
      </c>
      <c r="D16" s="138" t="s">
        <v>3132</v>
      </c>
      <c r="E16" s="146" t="s">
        <v>80</v>
      </c>
      <c r="F16" s="138"/>
      <c r="G16" s="138"/>
      <c r="H16" s="141"/>
      <c r="I16" s="138"/>
      <c r="J16" s="139">
        <v>790000</v>
      </c>
      <c r="K16" s="141"/>
      <c r="L16" s="150"/>
      <c r="M16" s="141"/>
      <c r="N16" s="141"/>
      <c r="O16" s="139">
        <f t="shared" si="0"/>
        <v>790000</v>
      </c>
      <c r="P16" s="139">
        <v>3200000</v>
      </c>
      <c r="Q16" s="250">
        <f t="shared" si="1"/>
        <v>2410000</v>
      </c>
      <c r="R16" s="215"/>
    </row>
    <row r="17" spans="1:18" s="144" customFormat="1" ht="20.45" customHeight="1" x14ac:dyDescent="0.25">
      <c r="A17" s="211">
        <v>11</v>
      </c>
      <c r="B17" s="295" t="s">
        <v>3155</v>
      </c>
      <c r="C17" s="138" t="s">
        <v>3110</v>
      </c>
      <c r="D17" s="138" t="s">
        <v>3133</v>
      </c>
      <c r="E17" s="146" t="s">
        <v>23</v>
      </c>
      <c r="F17" s="138"/>
      <c r="G17" s="138"/>
      <c r="H17" s="141"/>
      <c r="I17" s="138"/>
      <c r="J17" s="139">
        <v>2740000</v>
      </c>
      <c r="K17" s="141"/>
      <c r="L17" s="150"/>
      <c r="M17" s="141"/>
      <c r="N17" s="141"/>
      <c r="O17" s="139">
        <f t="shared" si="0"/>
        <v>2740000</v>
      </c>
      <c r="P17" s="139">
        <v>11363636</v>
      </c>
      <c r="Q17" s="250">
        <f t="shared" si="1"/>
        <v>8623636</v>
      </c>
      <c r="R17" s="215"/>
    </row>
    <row r="18" spans="1:18" s="144" customFormat="1" ht="20.45" customHeight="1" x14ac:dyDescent="0.25">
      <c r="A18" s="211">
        <v>12</v>
      </c>
      <c r="B18" s="295" t="s">
        <v>3156</v>
      </c>
      <c r="C18" s="138" t="s">
        <v>3111</v>
      </c>
      <c r="D18" s="138" t="s">
        <v>3134</v>
      </c>
      <c r="E18" s="146" t="s">
        <v>1424</v>
      </c>
      <c r="F18" s="138"/>
      <c r="G18" s="138">
        <v>340</v>
      </c>
      <c r="H18" s="141">
        <f>G18*11510</f>
        <v>3913400</v>
      </c>
      <c r="I18" s="138"/>
      <c r="J18" s="139">
        <v>1550000</v>
      </c>
      <c r="K18" s="141"/>
      <c r="L18" s="150"/>
      <c r="M18" s="141"/>
      <c r="N18" s="141"/>
      <c r="O18" s="139">
        <f t="shared" si="0"/>
        <v>5463400</v>
      </c>
      <c r="P18" s="141">
        <v>5900000</v>
      </c>
      <c r="Q18" s="250">
        <f t="shared" si="1"/>
        <v>436600</v>
      </c>
      <c r="R18" s="215"/>
    </row>
    <row r="19" spans="1:18" s="144" customFormat="1" ht="20.45" customHeight="1" x14ac:dyDescent="0.25">
      <c r="A19" s="211">
        <v>13</v>
      </c>
      <c r="B19" s="295" t="s">
        <v>3157</v>
      </c>
      <c r="C19" s="138" t="s">
        <v>3112</v>
      </c>
      <c r="D19" s="138" t="s">
        <v>3135</v>
      </c>
      <c r="E19" s="146" t="s">
        <v>80</v>
      </c>
      <c r="F19" s="138"/>
      <c r="G19" s="138"/>
      <c r="H19" s="141"/>
      <c r="I19" s="138"/>
      <c r="J19" s="139">
        <v>790000</v>
      </c>
      <c r="K19" s="141"/>
      <c r="L19" s="150"/>
      <c r="M19" s="141"/>
      <c r="N19" s="141"/>
      <c r="O19" s="139">
        <f t="shared" si="0"/>
        <v>790000</v>
      </c>
      <c r="P19" s="141">
        <v>3200000</v>
      </c>
      <c r="Q19" s="250">
        <f t="shared" si="1"/>
        <v>2410000</v>
      </c>
      <c r="R19" s="215"/>
    </row>
    <row r="20" spans="1:18" s="144" customFormat="1" ht="20.45" customHeight="1" x14ac:dyDescent="0.25">
      <c r="A20" s="211">
        <v>14</v>
      </c>
      <c r="B20" s="295" t="s">
        <v>3158</v>
      </c>
      <c r="C20" s="138" t="s">
        <v>1132</v>
      </c>
      <c r="D20" s="138" t="s">
        <v>3136</v>
      </c>
      <c r="E20" s="146" t="s">
        <v>3169</v>
      </c>
      <c r="F20" s="138"/>
      <c r="G20" s="138">
        <v>375</v>
      </c>
      <c r="H20" s="141">
        <f t="shared" ref="H20:H26" si="3">G20*11510</f>
        <v>4316250</v>
      </c>
      <c r="I20" s="138"/>
      <c r="J20" s="139">
        <v>970000</v>
      </c>
      <c r="K20" s="141"/>
      <c r="L20" s="150"/>
      <c r="M20" s="141"/>
      <c r="N20" s="141"/>
      <c r="O20" s="139">
        <f t="shared" si="0"/>
        <v>5286250</v>
      </c>
      <c r="P20" s="141">
        <v>3218182</v>
      </c>
      <c r="Q20" s="250">
        <f t="shared" si="1"/>
        <v>-2068068</v>
      </c>
      <c r="R20" s="215"/>
    </row>
    <row r="21" spans="1:18" s="144" customFormat="1" ht="20.45" customHeight="1" x14ac:dyDescent="0.25">
      <c r="A21" s="211">
        <v>15</v>
      </c>
      <c r="B21" s="295" t="s">
        <v>3159</v>
      </c>
      <c r="C21" s="138" t="s">
        <v>3113</v>
      </c>
      <c r="D21" s="138" t="s">
        <v>3137</v>
      </c>
      <c r="E21" s="146" t="s">
        <v>25</v>
      </c>
      <c r="F21" s="138"/>
      <c r="G21" s="138"/>
      <c r="H21" s="141"/>
      <c r="I21" s="138"/>
      <c r="J21" s="139">
        <v>1890000</v>
      </c>
      <c r="K21" s="141"/>
      <c r="L21" s="150"/>
      <c r="M21" s="141"/>
      <c r="N21" s="141"/>
      <c r="O21" s="139">
        <f t="shared" si="0"/>
        <v>1890000</v>
      </c>
      <c r="P21" s="141">
        <v>7209091</v>
      </c>
      <c r="Q21" s="250">
        <f t="shared" si="1"/>
        <v>5319091</v>
      </c>
      <c r="R21" s="215"/>
    </row>
    <row r="22" spans="1:18" s="144" customFormat="1" ht="20.45" customHeight="1" x14ac:dyDescent="0.25">
      <c r="A22" s="211">
        <v>16</v>
      </c>
      <c r="B22" s="295" t="s">
        <v>3160</v>
      </c>
      <c r="C22" s="138" t="s">
        <v>3114</v>
      </c>
      <c r="D22" s="138" t="s">
        <v>3138</v>
      </c>
      <c r="E22" s="146" t="s">
        <v>3170</v>
      </c>
      <c r="F22" s="138"/>
      <c r="G22" s="138"/>
      <c r="H22" s="141"/>
      <c r="I22" s="138"/>
      <c r="J22" s="139">
        <v>1450000</v>
      </c>
      <c r="K22" s="141"/>
      <c r="L22" s="150"/>
      <c r="M22" s="141"/>
      <c r="N22" s="141"/>
      <c r="O22" s="139">
        <f t="shared" si="0"/>
        <v>1450000</v>
      </c>
      <c r="P22" s="141">
        <v>3009091</v>
      </c>
      <c r="Q22" s="250">
        <f t="shared" si="1"/>
        <v>1559091</v>
      </c>
      <c r="R22" s="215"/>
    </row>
    <row r="23" spans="1:18" s="144" customFormat="1" ht="20.45" customHeight="1" x14ac:dyDescent="0.25">
      <c r="A23" s="211">
        <v>17</v>
      </c>
      <c r="B23" s="295" t="s">
        <v>3161</v>
      </c>
      <c r="C23" s="138" t="s">
        <v>3115</v>
      </c>
      <c r="D23" s="138" t="s">
        <v>3138</v>
      </c>
      <c r="E23" s="146" t="s">
        <v>894</v>
      </c>
      <c r="F23" s="138"/>
      <c r="G23" s="138">
        <v>290</v>
      </c>
      <c r="H23" s="141">
        <f t="shared" si="3"/>
        <v>3337900</v>
      </c>
      <c r="I23" s="138"/>
      <c r="J23" s="139"/>
      <c r="K23" s="141"/>
      <c r="L23" s="150"/>
      <c r="M23" s="141"/>
      <c r="N23" s="141"/>
      <c r="O23" s="139">
        <f t="shared" si="0"/>
        <v>3337900</v>
      </c>
      <c r="P23" s="141">
        <v>2400000</v>
      </c>
      <c r="Q23" s="250">
        <f t="shared" si="1"/>
        <v>-937900</v>
      </c>
      <c r="R23" s="215"/>
    </row>
    <row r="24" spans="1:18" s="144" customFormat="1" ht="20.45" customHeight="1" x14ac:dyDescent="0.25">
      <c r="A24" s="211">
        <v>18</v>
      </c>
      <c r="B24" s="295" t="s">
        <v>3162</v>
      </c>
      <c r="C24" s="138" t="s">
        <v>3116</v>
      </c>
      <c r="D24" s="138" t="s">
        <v>3139</v>
      </c>
      <c r="E24" s="146" t="s">
        <v>3171</v>
      </c>
      <c r="F24" s="138"/>
      <c r="G24" s="134"/>
      <c r="H24" s="141"/>
      <c r="I24" s="134"/>
      <c r="J24" s="139">
        <v>970000</v>
      </c>
      <c r="K24" s="141"/>
      <c r="L24" s="150"/>
      <c r="M24" s="141"/>
      <c r="N24" s="141"/>
      <c r="O24" s="139">
        <f t="shared" si="0"/>
        <v>970000</v>
      </c>
      <c r="P24" s="141">
        <v>3218182</v>
      </c>
      <c r="Q24" s="250">
        <f t="shared" si="1"/>
        <v>2248182</v>
      </c>
      <c r="R24" s="215"/>
    </row>
    <row r="25" spans="1:18" s="144" customFormat="1" ht="20.45" customHeight="1" x14ac:dyDescent="0.25">
      <c r="A25" s="211">
        <v>19</v>
      </c>
      <c r="B25" s="295" t="s">
        <v>3163</v>
      </c>
      <c r="C25" s="138" t="s">
        <v>3117</v>
      </c>
      <c r="D25" s="138" t="s">
        <v>3140</v>
      </c>
      <c r="E25" s="146" t="s">
        <v>21</v>
      </c>
      <c r="F25" s="138"/>
      <c r="G25" s="134"/>
      <c r="H25" s="141"/>
      <c r="I25" s="134"/>
      <c r="J25" s="139">
        <v>790000</v>
      </c>
      <c r="K25" s="141"/>
      <c r="L25" s="150"/>
      <c r="M25" s="141"/>
      <c r="N25" s="141"/>
      <c r="O25" s="139">
        <f t="shared" si="0"/>
        <v>790000</v>
      </c>
      <c r="P25" s="141">
        <v>2700000</v>
      </c>
      <c r="Q25" s="250">
        <f t="shared" si="1"/>
        <v>1910000</v>
      </c>
      <c r="R25" s="215"/>
    </row>
    <row r="26" spans="1:18" s="144" customFormat="1" ht="20.45" customHeight="1" x14ac:dyDescent="0.25">
      <c r="A26" s="211">
        <v>20</v>
      </c>
      <c r="B26" s="295" t="s">
        <v>3164</v>
      </c>
      <c r="C26" s="138" t="s">
        <v>3118</v>
      </c>
      <c r="D26" s="192" t="s">
        <v>3141</v>
      </c>
      <c r="E26" s="238" t="s">
        <v>2883</v>
      </c>
      <c r="F26" s="299"/>
      <c r="G26" s="194">
        <v>256</v>
      </c>
      <c r="H26" s="209">
        <f t="shared" si="3"/>
        <v>2946560</v>
      </c>
      <c r="I26" s="194"/>
      <c r="J26" s="139">
        <v>790000</v>
      </c>
      <c r="K26" s="141"/>
      <c r="L26" s="150"/>
      <c r="M26" s="141"/>
      <c r="N26" s="141"/>
      <c r="O26" s="139">
        <f t="shared" si="0"/>
        <v>3736560</v>
      </c>
      <c r="P26" s="141">
        <v>2763636</v>
      </c>
      <c r="Q26" s="250">
        <f t="shared" si="1"/>
        <v>-972924</v>
      </c>
      <c r="R26" s="215"/>
    </row>
    <row r="27" spans="1:18" s="144" customFormat="1" ht="20.45" customHeight="1" x14ac:dyDescent="0.25">
      <c r="A27" s="211">
        <v>21</v>
      </c>
      <c r="B27" s="295" t="s">
        <v>3164</v>
      </c>
      <c r="C27" s="138" t="s">
        <v>3119</v>
      </c>
      <c r="D27" s="138" t="s">
        <v>3142</v>
      </c>
      <c r="E27" s="146" t="s">
        <v>80</v>
      </c>
      <c r="F27" s="138"/>
      <c r="G27" s="134"/>
      <c r="H27" s="139"/>
      <c r="I27" s="134"/>
      <c r="J27" s="139">
        <v>790000</v>
      </c>
      <c r="K27" s="141"/>
      <c r="L27" s="150"/>
      <c r="M27" s="141"/>
      <c r="N27" s="141"/>
      <c r="O27" s="139">
        <f t="shared" si="0"/>
        <v>790000</v>
      </c>
      <c r="P27" s="141">
        <v>3200000</v>
      </c>
      <c r="Q27" s="250">
        <f t="shared" si="1"/>
        <v>2410000</v>
      </c>
      <c r="R27" s="215"/>
    </row>
    <row r="28" spans="1:18" s="144" customFormat="1" ht="20.45" customHeight="1" x14ac:dyDescent="0.25">
      <c r="A28" s="211">
        <v>22</v>
      </c>
      <c r="B28" s="295" t="s">
        <v>3165</v>
      </c>
      <c r="C28" s="138" t="s">
        <v>3120</v>
      </c>
      <c r="D28" s="138" t="s">
        <v>3143</v>
      </c>
      <c r="E28" s="146" t="s">
        <v>3172</v>
      </c>
      <c r="F28" s="138"/>
      <c r="G28" s="134"/>
      <c r="H28" s="139"/>
      <c r="I28" s="134"/>
      <c r="J28" s="139">
        <f>970000+300000</f>
        <v>1270000</v>
      </c>
      <c r="K28" s="141"/>
      <c r="L28" s="150"/>
      <c r="M28" s="141"/>
      <c r="N28" s="141"/>
      <c r="O28" s="139">
        <f t="shared" si="0"/>
        <v>1270000</v>
      </c>
      <c r="P28" s="141">
        <v>5400000</v>
      </c>
      <c r="Q28" s="250">
        <f t="shared" si="1"/>
        <v>4130000</v>
      </c>
      <c r="R28" s="215"/>
    </row>
    <row r="29" spans="1:18" s="144" customFormat="1" ht="20.45" customHeight="1" x14ac:dyDescent="0.25">
      <c r="A29" s="211">
        <v>23</v>
      </c>
      <c r="B29" s="295" t="s">
        <v>3166</v>
      </c>
      <c r="C29" s="138" t="s">
        <v>3121</v>
      </c>
      <c r="D29" s="138" t="s">
        <v>3143</v>
      </c>
      <c r="E29" s="146" t="s">
        <v>3173</v>
      </c>
      <c r="F29" s="138"/>
      <c r="G29" s="134">
        <v>240</v>
      </c>
      <c r="H29" s="139">
        <f>G29*12110</f>
        <v>2906400</v>
      </c>
      <c r="I29" s="134"/>
      <c r="J29" s="139"/>
      <c r="K29" s="141"/>
      <c r="L29" s="150"/>
      <c r="M29" s="141"/>
      <c r="N29" s="141"/>
      <c r="O29" s="139">
        <f t="shared" si="0"/>
        <v>2906400</v>
      </c>
      <c r="P29" s="141">
        <v>0</v>
      </c>
      <c r="Q29" s="250">
        <f t="shared" si="1"/>
        <v>-2906400</v>
      </c>
      <c r="R29" s="215"/>
    </row>
    <row r="30" spans="1:18" s="144" customFormat="1" ht="20.45" customHeight="1" x14ac:dyDescent="0.25">
      <c r="A30" s="211">
        <v>24</v>
      </c>
      <c r="B30" s="295" t="s">
        <v>3167</v>
      </c>
      <c r="C30" s="138" t="s">
        <v>3122</v>
      </c>
      <c r="D30" s="138" t="s">
        <v>3144</v>
      </c>
      <c r="E30" s="146" t="s">
        <v>23</v>
      </c>
      <c r="F30" s="138"/>
      <c r="G30" s="134"/>
      <c r="H30" s="139"/>
      <c r="I30" s="134"/>
      <c r="J30" s="139">
        <v>2740000</v>
      </c>
      <c r="K30" s="141"/>
      <c r="L30" s="150"/>
      <c r="M30" s="141"/>
      <c r="N30" s="141"/>
      <c r="O30" s="139">
        <f t="shared" si="0"/>
        <v>2740000</v>
      </c>
      <c r="P30" s="141">
        <v>11363636</v>
      </c>
      <c r="Q30" s="250">
        <f t="shared" si="1"/>
        <v>8623636</v>
      </c>
      <c r="R30" s="215"/>
    </row>
    <row r="31" spans="1:18" s="144" customFormat="1" ht="20.45" customHeight="1" x14ac:dyDescent="0.25">
      <c r="A31" s="211"/>
      <c r="B31" s="191"/>
      <c r="C31" s="138"/>
      <c r="D31" s="138"/>
      <c r="E31" s="146"/>
      <c r="F31" s="138"/>
      <c r="G31" s="138"/>
      <c r="H31" s="141"/>
      <c r="I31" s="138"/>
      <c r="J31" s="139"/>
      <c r="K31" s="141"/>
      <c r="L31" s="150"/>
      <c r="M31" s="141"/>
      <c r="N31" s="141"/>
      <c r="O31" s="139"/>
      <c r="P31" s="141"/>
      <c r="Q31" s="250"/>
      <c r="R31" s="215"/>
    </row>
    <row r="32" spans="1:18" s="144" customFormat="1" ht="20.45" customHeight="1" x14ac:dyDescent="0.25">
      <c r="A32" s="211"/>
      <c r="B32" s="191"/>
      <c r="C32" s="434" t="s">
        <v>1094</v>
      </c>
      <c r="D32" s="435"/>
      <c r="E32" s="435"/>
      <c r="F32" s="436"/>
      <c r="G32" s="153"/>
      <c r="H32" s="156"/>
      <c r="I32" s="153"/>
      <c r="J32" s="156"/>
      <c r="K32" s="204">
        <v>1200000</v>
      </c>
      <c r="L32" s="150"/>
      <c r="M32" s="141"/>
      <c r="N32" s="141"/>
      <c r="O32" s="139">
        <f>SUM(H32:N32)</f>
        <v>1200000</v>
      </c>
      <c r="P32" s="141"/>
      <c r="Q32" s="250"/>
      <c r="R32" s="215"/>
    </row>
    <row r="33" spans="1:19" s="144" customFormat="1" ht="20.45" customHeight="1" x14ac:dyDescent="0.25">
      <c r="A33" s="211"/>
      <c r="B33" s="191"/>
      <c r="C33" s="265" t="s">
        <v>3174</v>
      </c>
      <c r="D33" s="277"/>
      <c r="E33" s="278"/>
      <c r="F33" s="279"/>
      <c r="G33" s="138"/>
      <c r="H33" s="141"/>
      <c r="I33" s="138"/>
      <c r="J33" s="139"/>
      <c r="K33" s="141"/>
      <c r="L33" s="233">
        <v>250000</v>
      </c>
      <c r="M33" s="157"/>
      <c r="N33" s="157"/>
      <c r="O33" s="139">
        <f>SUM(H33:N33)</f>
        <v>250000</v>
      </c>
      <c r="P33" s="141"/>
      <c r="Q33" s="250"/>
      <c r="R33" s="215" t="s">
        <v>3175</v>
      </c>
    </row>
    <row r="34" spans="1:19" s="144" customFormat="1" ht="20.45" customHeight="1" x14ac:dyDescent="0.25">
      <c r="A34" s="211"/>
      <c r="B34" s="191"/>
      <c r="C34" s="265" t="s">
        <v>3176</v>
      </c>
      <c r="D34" s="277"/>
      <c r="E34" s="278"/>
      <c r="F34" s="279"/>
      <c r="G34" s="138"/>
      <c r="H34" s="141"/>
      <c r="I34" s="138"/>
      <c r="J34" s="139"/>
      <c r="K34" s="149"/>
      <c r="L34" s="157">
        <v>1200000</v>
      </c>
      <c r="M34" s="157"/>
      <c r="N34" s="157"/>
      <c r="O34" s="139">
        <f t="shared" ref="O34:O36" si="4">SUM(H34:N34)</f>
        <v>1200000</v>
      </c>
      <c r="P34" s="141"/>
      <c r="Q34" s="250"/>
      <c r="R34" s="215"/>
    </row>
    <row r="35" spans="1:19" s="144" customFormat="1" ht="20.45" customHeight="1" x14ac:dyDescent="0.25">
      <c r="A35" s="211"/>
      <c r="B35" s="191"/>
      <c r="C35" s="265" t="s">
        <v>3179</v>
      </c>
      <c r="D35" s="277"/>
      <c r="E35" s="278"/>
      <c r="F35" s="279"/>
      <c r="G35" s="138"/>
      <c r="H35" s="141"/>
      <c r="I35" s="138"/>
      <c r="J35" s="139"/>
      <c r="K35" s="149"/>
      <c r="L35" s="157">
        <v>1800000</v>
      </c>
      <c r="M35" s="157"/>
      <c r="N35" s="157"/>
      <c r="O35" s="139">
        <f t="shared" si="4"/>
        <v>1800000</v>
      </c>
      <c r="P35" s="141"/>
      <c r="Q35" s="250"/>
      <c r="R35" s="215"/>
    </row>
    <row r="36" spans="1:19" s="159" customFormat="1" ht="20.45" customHeight="1" x14ac:dyDescent="0.25">
      <c r="A36" s="211"/>
      <c r="B36" s="165"/>
      <c r="C36" s="440" t="s">
        <v>1337</v>
      </c>
      <c r="D36" s="441"/>
      <c r="E36" s="441"/>
      <c r="F36" s="442"/>
      <c r="G36" s="195"/>
      <c r="H36" s="155"/>
      <c r="I36" s="195"/>
      <c r="J36" s="155"/>
      <c r="K36" s="301">
        <v>8653846.153846154</v>
      </c>
      <c r="L36" s="155"/>
      <c r="M36" s="155"/>
      <c r="N36" s="155"/>
      <c r="O36" s="139">
        <f t="shared" si="4"/>
        <v>8653846.153846154</v>
      </c>
      <c r="P36" s="139"/>
      <c r="Q36" s="250"/>
      <c r="R36" s="215"/>
    </row>
    <row r="37" spans="1:19" s="159" customFormat="1" ht="20.45" customHeight="1" x14ac:dyDescent="0.25">
      <c r="A37" s="211"/>
      <c r="B37" s="203"/>
      <c r="C37" s="434"/>
      <c r="D37" s="435"/>
      <c r="E37" s="435"/>
      <c r="F37" s="436"/>
      <c r="G37" s="153"/>
      <c r="H37" s="156"/>
      <c r="I37" s="153"/>
      <c r="J37" s="156"/>
      <c r="K37" s="300"/>
      <c r="L37" s="204"/>
      <c r="M37" s="156"/>
      <c r="N37" s="156"/>
      <c r="O37" s="139">
        <f t="shared" si="0"/>
        <v>0</v>
      </c>
      <c r="P37" s="139"/>
      <c r="Q37" s="250"/>
      <c r="R37" s="215"/>
    </row>
    <row r="38" spans="1:19" ht="20.45" customHeight="1" x14ac:dyDescent="0.25">
      <c r="A38" s="426" t="s">
        <v>20</v>
      </c>
      <c r="B38" s="426"/>
      <c r="C38" s="426"/>
      <c r="D38" s="426"/>
      <c r="E38" s="426"/>
      <c r="F38" s="426"/>
      <c r="G38" s="161">
        <f t="shared" ref="G38:N38" si="5">SUM(G7:G37)</f>
        <v>2511</v>
      </c>
      <c r="H38" s="161">
        <f t="shared" si="5"/>
        <v>28267910</v>
      </c>
      <c r="I38" s="161">
        <f t="shared" si="5"/>
        <v>0</v>
      </c>
      <c r="J38" s="161">
        <f t="shared" si="5"/>
        <v>27630000</v>
      </c>
      <c r="K38" s="161">
        <f>SUM(K7:K37)</f>
        <v>9853846.153846154</v>
      </c>
      <c r="L38" s="161">
        <f>SUM(L7:L37)</f>
        <v>3250000</v>
      </c>
      <c r="M38" s="161">
        <f t="shared" si="5"/>
        <v>0</v>
      </c>
      <c r="N38" s="161">
        <f t="shared" si="5"/>
        <v>0</v>
      </c>
      <c r="O38" s="161">
        <f>SUM(O7:O37)</f>
        <v>69001756.15384616</v>
      </c>
      <c r="P38" s="161">
        <f>SUM(P7:P37)</f>
        <v>106069090</v>
      </c>
      <c r="Q38" s="234">
        <f>P38-O38</f>
        <v>37067333.84615384</v>
      </c>
    </row>
    <row r="39" spans="1:19" ht="24.95" customHeight="1" x14ac:dyDescent="0.25">
      <c r="O39" s="158"/>
      <c r="Q39" s="158"/>
    </row>
    <row r="40" spans="1:19" ht="13.9" customHeight="1" x14ac:dyDescent="0.25">
      <c r="P40" s="216" t="s">
        <v>1603</v>
      </c>
      <c r="Q40" s="227">
        <f>'05.2020'!Q36+'06.2020'!Q38</f>
        <v>105675890.84615384</v>
      </c>
      <c r="S40" s="216"/>
    </row>
    <row r="41" spans="1:19" ht="13.9" customHeight="1" x14ac:dyDescent="0.25">
      <c r="B41" s="129"/>
      <c r="J41" s="128"/>
      <c r="K41" s="128"/>
      <c r="L41" s="128"/>
      <c r="M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H48" s="128"/>
      <c r="J48" s="128"/>
      <c r="K48" s="128"/>
      <c r="L48" s="128"/>
      <c r="M48" s="128"/>
      <c r="N48" s="128"/>
      <c r="O48" s="128"/>
      <c r="P48" s="128"/>
      <c r="Q48" s="216"/>
    </row>
    <row r="49" spans="1:17" x14ac:dyDescent="0.25">
      <c r="A49" s="128"/>
      <c r="B49" s="128"/>
      <c r="H49" s="128"/>
      <c r="J49" s="128"/>
      <c r="K49" s="128"/>
      <c r="L49" s="128"/>
      <c r="M49" s="128"/>
      <c r="N49" s="128"/>
      <c r="O49" s="128"/>
      <c r="P49" s="128"/>
      <c r="Q49" s="216"/>
    </row>
  </sheetData>
  <mergeCells count="17">
    <mergeCell ref="Q5:Q6"/>
    <mergeCell ref="C36:F36"/>
    <mergeCell ref="C37:F37"/>
    <mergeCell ref="A38:F38"/>
    <mergeCell ref="C32:F32"/>
    <mergeCell ref="A1:Q1"/>
    <mergeCell ref="A2:Q2"/>
    <mergeCell ref="B3:Q3"/>
    <mergeCell ref="A5:A6"/>
    <mergeCell ref="B5:B6"/>
    <mergeCell ref="C5:C6"/>
    <mergeCell ref="D5:D6"/>
    <mergeCell ref="E5:E6"/>
    <mergeCell ref="F5:F6"/>
    <mergeCell ref="G5:N5"/>
    <mergeCell ref="O5:O6"/>
    <mergeCell ref="P5:P6"/>
  </mergeCells>
  <pageMargins left="0.7" right="0.7" top="0.75" bottom="0.75" header="0.3" footer="0.3"/>
  <pageSetup paperSize="9" orientation="portrait" horizontalDpi="180" verticalDpi="18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54"/>
  <sheetViews>
    <sheetView topLeftCell="A22" zoomScaleNormal="100" workbookViewId="0">
      <selection activeCell="E48" sqref="E48"/>
    </sheetView>
  </sheetViews>
  <sheetFormatPr defaultColWidth="9.140625" defaultRowHeight="12.75" x14ac:dyDescent="0.25"/>
  <cols>
    <col min="1" max="1" width="4.5703125" style="129" customWidth="1"/>
    <col min="2" max="2" width="10.28515625" style="163" customWidth="1"/>
    <col min="3" max="3" width="31.140625" style="128" customWidth="1"/>
    <col min="4" max="4" width="21.28515625" style="128" customWidth="1"/>
    <col min="5" max="5" width="32.7109375"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7.285156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3180</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11">
        <v>1</v>
      </c>
      <c r="B7" s="303">
        <v>44012</v>
      </c>
      <c r="C7" s="138" t="s">
        <v>3181</v>
      </c>
      <c r="D7" s="308" t="s">
        <v>3199</v>
      </c>
      <c r="E7" s="146" t="s">
        <v>80</v>
      </c>
      <c r="F7" s="138"/>
      <c r="G7" s="138">
        <v>340</v>
      </c>
      <c r="H7" s="141">
        <f>G7*12110</f>
        <v>4117400</v>
      </c>
      <c r="I7" s="138"/>
      <c r="J7" s="139">
        <v>790000</v>
      </c>
      <c r="K7" s="141"/>
      <c r="L7" s="150"/>
      <c r="M7" s="141"/>
      <c r="N7" s="141"/>
      <c r="O7" s="139">
        <f>SUM(H7:N7)</f>
        <v>4907400</v>
      </c>
      <c r="P7" s="139">
        <v>3200000</v>
      </c>
      <c r="Q7" s="250">
        <f>P7-O7</f>
        <v>-1707400</v>
      </c>
      <c r="R7" s="215"/>
    </row>
    <row r="8" spans="1:24" s="144" customFormat="1" ht="20.45" customHeight="1" x14ac:dyDescent="0.25">
      <c r="A8" s="211">
        <v>2</v>
      </c>
      <c r="B8" s="303">
        <v>44013</v>
      </c>
      <c r="C8" s="138" t="s">
        <v>3182</v>
      </c>
      <c r="D8" s="308" t="s">
        <v>3200</v>
      </c>
      <c r="E8" s="146" t="s">
        <v>80</v>
      </c>
      <c r="F8" s="138"/>
      <c r="G8" s="138"/>
      <c r="H8" s="141"/>
      <c r="I8" s="138"/>
      <c r="J8" s="139">
        <v>790000</v>
      </c>
      <c r="K8" s="141"/>
      <c r="L8" s="150"/>
      <c r="M8" s="141"/>
      <c r="N8" s="141"/>
      <c r="O8" s="139">
        <f>SUM(H8:N8)</f>
        <v>790000</v>
      </c>
      <c r="P8" s="139">
        <v>3200000</v>
      </c>
      <c r="Q8" s="250">
        <f>P8-O8</f>
        <v>2410000</v>
      </c>
      <c r="R8" s="215"/>
    </row>
    <row r="9" spans="1:24" s="144" customFormat="1" ht="20.45" customHeight="1" x14ac:dyDescent="0.25">
      <c r="A9" s="211">
        <v>3</v>
      </c>
      <c r="B9" s="303">
        <v>44014</v>
      </c>
      <c r="C9" s="138" t="s">
        <v>3183</v>
      </c>
      <c r="D9" s="308" t="s">
        <v>3201</v>
      </c>
      <c r="E9" s="146" t="s">
        <v>1937</v>
      </c>
      <c r="F9" s="138"/>
      <c r="G9" s="138"/>
      <c r="H9" s="141"/>
      <c r="I9" s="138"/>
      <c r="J9" s="139">
        <v>1150000</v>
      </c>
      <c r="K9" s="141"/>
      <c r="L9" s="150"/>
      <c r="M9" s="141"/>
      <c r="N9" s="141"/>
      <c r="O9" s="139">
        <f t="shared" ref="O9:O29" si="0">SUM(H9:N9)</f>
        <v>1150000</v>
      </c>
      <c r="P9" s="139">
        <v>3560000</v>
      </c>
      <c r="Q9" s="250">
        <f t="shared" ref="Q9:Q29" si="1">P9-O9</f>
        <v>2410000</v>
      </c>
      <c r="R9" s="215"/>
    </row>
    <row r="10" spans="1:24" s="144" customFormat="1" ht="20.45" customHeight="1" x14ac:dyDescent="0.25">
      <c r="A10" s="211">
        <v>4</v>
      </c>
      <c r="B10" s="303">
        <v>44016</v>
      </c>
      <c r="C10" s="138" t="s">
        <v>1174</v>
      </c>
      <c r="D10" s="308" t="s">
        <v>3202</v>
      </c>
      <c r="E10" s="146" t="s">
        <v>25</v>
      </c>
      <c r="F10" s="138"/>
      <c r="G10" s="138"/>
      <c r="H10" s="141"/>
      <c r="I10" s="138"/>
      <c r="J10" s="139">
        <v>1890000</v>
      </c>
      <c r="K10" s="141"/>
      <c r="L10" s="150"/>
      <c r="M10" s="141"/>
      <c r="N10" s="141"/>
      <c r="O10" s="139">
        <f t="shared" si="0"/>
        <v>1890000</v>
      </c>
      <c r="P10" s="139">
        <v>7209091</v>
      </c>
      <c r="Q10" s="250">
        <f t="shared" si="1"/>
        <v>5319091</v>
      </c>
      <c r="R10" s="215"/>
    </row>
    <row r="11" spans="1:24" s="144" customFormat="1" ht="20.45" customHeight="1" x14ac:dyDescent="0.25">
      <c r="A11" s="211">
        <v>5</v>
      </c>
      <c r="B11" s="303">
        <v>44018</v>
      </c>
      <c r="C11" s="138" t="s">
        <v>3184</v>
      </c>
      <c r="D11" s="308" t="s">
        <v>3203</v>
      </c>
      <c r="E11" s="146" t="s">
        <v>2883</v>
      </c>
      <c r="F11" s="138"/>
      <c r="G11" s="138"/>
      <c r="H11" s="141"/>
      <c r="I11" s="138"/>
      <c r="J11" s="139">
        <f>790000+1060000-180000</f>
        <v>1670000</v>
      </c>
      <c r="K11" s="141"/>
      <c r="L11" s="150"/>
      <c r="M11" s="141"/>
      <c r="N11" s="141"/>
      <c r="O11" s="139">
        <f t="shared" si="0"/>
        <v>1670000</v>
      </c>
      <c r="P11" s="139">
        <v>2763636</v>
      </c>
      <c r="Q11" s="250">
        <f t="shared" si="1"/>
        <v>1093636</v>
      </c>
      <c r="R11" s="215"/>
    </row>
    <row r="12" spans="1:24" s="144" customFormat="1" ht="20.45" customHeight="1" x14ac:dyDescent="0.2">
      <c r="A12" s="211">
        <v>6</v>
      </c>
      <c r="B12" s="303">
        <v>44018</v>
      </c>
      <c r="C12" s="138" t="s">
        <v>3185</v>
      </c>
      <c r="D12" s="308" t="s">
        <v>3203</v>
      </c>
      <c r="E12" s="146" t="s">
        <v>25</v>
      </c>
      <c r="F12" s="138"/>
      <c r="G12" s="138">
        <v>370</v>
      </c>
      <c r="H12" s="141">
        <f t="shared" ref="H12:H27" si="2">G12*12110</f>
        <v>4480700</v>
      </c>
      <c r="I12" s="138"/>
      <c r="J12" s="139"/>
      <c r="K12" s="141"/>
      <c r="L12" s="150"/>
      <c r="M12" s="141"/>
      <c r="N12" s="141"/>
      <c r="O12" s="139">
        <f t="shared" si="0"/>
        <v>4480700</v>
      </c>
      <c r="P12" s="139">
        <v>4954545</v>
      </c>
      <c r="Q12" s="250">
        <f t="shared" si="1"/>
        <v>473845</v>
      </c>
      <c r="R12" s="302"/>
    </row>
    <row r="13" spans="1:24" s="144" customFormat="1" ht="20.45" customHeight="1" x14ac:dyDescent="0.25">
      <c r="A13" s="211">
        <v>7</v>
      </c>
      <c r="B13" s="303">
        <v>44020</v>
      </c>
      <c r="C13" s="138" t="s">
        <v>452</v>
      </c>
      <c r="D13" s="308" t="s">
        <v>3204</v>
      </c>
      <c r="E13" s="146" t="s">
        <v>25</v>
      </c>
      <c r="F13" s="138"/>
      <c r="G13" s="138">
        <v>235</v>
      </c>
      <c r="H13" s="141">
        <f t="shared" si="2"/>
        <v>2845850</v>
      </c>
      <c r="I13" s="138"/>
      <c r="J13" s="139">
        <v>1890000</v>
      </c>
      <c r="K13" s="141"/>
      <c r="L13" s="150"/>
      <c r="M13" s="141"/>
      <c r="N13" s="139"/>
      <c r="O13" s="139">
        <f t="shared" si="0"/>
        <v>4735850</v>
      </c>
      <c r="P13" s="139">
        <v>7209091</v>
      </c>
      <c r="Q13" s="250">
        <f t="shared" si="1"/>
        <v>2473241</v>
      </c>
      <c r="R13" s="143"/>
      <c r="S13" s="128"/>
      <c r="T13" s="128"/>
      <c r="U13" s="128"/>
      <c r="V13" s="128"/>
      <c r="W13" s="128"/>
      <c r="X13" s="128"/>
    </row>
    <row r="14" spans="1:24" s="144" customFormat="1" ht="20.45" customHeight="1" x14ac:dyDescent="0.25">
      <c r="A14" s="211">
        <v>8</v>
      </c>
      <c r="B14" s="303">
        <v>44021</v>
      </c>
      <c r="C14" s="138" t="s">
        <v>3186</v>
      </c>
      <c r="D14" s="308" t="s">
        <v>3205</v>
      </c>
      <c r="E14" s="146" t="s">
        <v>80</v>
      </c>
      <c r="F14" s="138"/>
      <c r="G14" s="138"/>
      <c r="H14" s="141"/>
      <c r="I14" s="138"/>
      <c r="J14" s="139">
        <v>790000</v>
      </c>
      <c r="K14" s="141"/>
      <c r="L14" s="150"/>
      <c r="M14" s="141"/>
      <c r="N14" s="139"/>
      <c r="O14" s="139">
        <f t="shared" si="0"/>
        <v>790000</v>
      </c>
      <c r="P14" s="139">
        <v>3200000</v>
      </c>
      <c r="Q14" s="250">
        <f t="shared" si="1"/>
        <v>2410000</v>
      </c>
      <c r="R14" s="143"/>
      <c r="S14" s="128"/>
      <c r="T14" s="128"/>
      <c r="U14" s="128"/>
      <c r="V14" s="128"/>
      <c r="W14" s="128"/>
      <c r="X14" s="128"/>
    </row>
    <row r="15" spans="1:24" s="144" customFormat="1" ht="20.45" customHeight="1" x14ac:dyDescent="0.25">
      <c r="A15" s="211">
        <v>9</v>
      </c>
      <c r="B15" s="303">
        <v>44024</v>
      </c>
      <c r="C15" s="138" t="s">
        <v>3187</v>
      </c>
      <c r="D15" s="308" t="s">
        <v>3206</v>
      </c>
      <c r="E15" s="146" t="s">
        <v>25</v>
      </c>
      <c r="F15" s="138"/>
      <c r="G15" s="138">
        <v>280</v>
      </c>
      <c r="H15" s="141">
        <f t="shared" si="2"/>
        <v>3390800</v>
      </c>
      <c r="I15" s="138"/>
      <c r="J15" s="139">
        <v>1890000</v>
      </c>
      <c r="K15" s="141"/>
      <c r="L15" s="150"/>
      <c r="M15" s="141"/>
      <c r="N15" s="139"/>
      <c r="O15" s="139">
        <f t="shared" si="0"/>
        <v>5280800</v>
      </c>
      <c r="P15" s="139">
        <v>7209091</v>
      </c>
      <c r="Q15" s="250">
        <f t="shared" si="1"/>
        <v>1928291</v>
      </c>
      <c r="R15" s="143"/>
      <c r="S15" s="128"/>
      <c r="T15" s="128"/>
      <c r="U15" s="128"/>
      <c r="V15" s="128"/>
      <c r="W15" s="128"/>
      <c r="X15" s="128"/>
    </row>
    <row r="16" spans="1:24" s="144" customFormat="1" ht="20.45" customHeight="1" x14ac:dyDescent="0.25">
      <c r="A16" s="211">
        <v>10</v>
      </c>
      <c r="B16" s="303">
        <v>44025</v>
      </c>
      <c r="C16" s="138" t="s">
        <v>3188</v>
      </c>
      <c r="D16" s="308" t="s">
        <v>3207</v>
      </c>
      <c r="E16" s="146" t="s">
        <v>3221</v>
      </c>
      <c r="F16" s="138"/>
      <c r="G16" s="138"/>
      <c r="H16" s="141"/>
      <c r="I16" s="138"/>
      <c r="J16" s="139">
        <v>970000</v>
      </c>
      <c r="K16" s="141"/>
      <c r="L16" s="150"/>
      <c r="M16" s="141"/>
      <c r="N16" s="139"/>
      <c r="O16" s="139">
        <f t="shared" si="0"/>
        <v>970000</v>
      </c>
      <c r="P16" s="139">
        <v>3400000</v>
      </c>
      <c r="Q16" s="250">
        <f t="shared" si="1"/>
        <v>2430000</v>
      </c>
      <c r="R16" s="143"/>
      <c r="S16" s="128"/>
      <c r="T16" s="128"/>
      <c r="U16" s="128"/>
      <c r="V16" s="128"/>
      <c r="W16" s="128"/>
      <c r="X16" s="128"/>
    </row>
    <row r="17" spans="1:24" s="144" customFormat="1" ht="20.45" customHeight="1" x14ac:dyDescent="0.25">
      <c r="A17" s="211">
        <v>11</v>
      </c>
      <c r="B17" s="303">
        <v>44026</v>
      </c>
      <c r="C17" s="138" t="s">
        <v>3189</v>
      </c>
      <c r="D17" s="308" t="s">
        <v>3208</v>
      </c>
      <c r="E17" s="146" t="s">
        <v>2733</v>
      </c>
      <c r="F17" s="138"/>
      <c r="G17" s="138"/>
      <c r="H17" s="141"/>
      <c r="I17" s="138"/>
      <c r="J17" s="139">
        <v>650000</v>
      </c>
      <c r="K17" s="141"/>
      <c r="L17" s="150"/>
      <c r="M17" s="141"/>
      <c r="N17" s="139"/>
      <c r="O17" s="139">
        <f t="shared" si="0"/>
        <v>650000</v>
      </c>
      <c r="P17" s="139">
        <v>2500000</v>
      </c>
      <c r="Q17" s="250">
        <f t="shared" si="1"/>
        <v>1850000</v>
      </c>
      <c r="R17" s="143"/>
      <c r="S17" s="128"/>
      <c r="T17" s="128"/>
      <c r="U17" s="128"/>
      <c r="V17" s="128"/>
      <c r="W17" s="128"/>
      <c r="X17" s="128"/>
    </row>
    <row r="18" spans="1:24" s="144" customFormat="1" ht="20.45" customHeight="1" x14ac:dyDescent="0.25">
      <c r="A18" s="211">
        <v>12</v>
      </c>
      <c r="B18" s="303">
        <v>44027</v>
      </c>
      <c r="C18" s="138" t="s">
        <v>3190</v>
      </c>
      <c r="D18" s="308" t="s">
        <v>3209</v>
      </c>
      <c r="E18" s="146" t="s">
        <v>1566</v>
      </c>
      <c r="F18" s="138"/>
      <c r="G18" s="138">
        <v>340</v>
      </c>
      <c r="H18" s="141">
        <f t="shared" si="2"/>
        <v>4117400</v>
      </c>
      <c r="I18" s="138"/>
      <c r="J18" s="139">
        <v>790000</v>
      </c>
      <c r="K18" s="141"/>
      <c r="L18" s="150"/>
      <c r="M18" s="141"/>
      <c r="N18" s="139"/>
      <c r="O18" s="139">
        <f t="shared" si="0"/>
        <v>4907400</v>
      </c>
      <c r="P18" s="139">
        <v>3000000</v>
      </c>
      <c r="Q18" s="250">
        <f t="shared" si="1"/>
        <v>-1907400</v>
      </c>
      <c r="R18" s="143"/>
      <c r="S18" s="128"/>
      <c r="T18" s="128"/>
      <c r="U18" s="128"/>
      <c r="V18" s="128"/>
      <c r="W18" s="128"/>
      <c r="X18" s="128"/>
    </row>
    <row r="19" spans="1:24" s="144" customFormat="1" ht="20.45" customHeight="1" x14ac:dyDescent="0.25">
      <c r="A19" s="211">
        <v>13</v>
      </c>
      <c r="B19" s="303">
        <v>44027</v>
      </c>
      <c r="C19" s="138" t="s">
        <v>3191</v>
      </c>
      <c r="D19" s="308" t="s">
        <v>3210</v>
      </c>
      <c r="E19" s="146" t="s">
        <v>2059</v>
      </c>
      <c r="F19" s="138"/>
      <c r="G19" s="138"/>
      <c r="H19" s="141"/>
      <c r="I19" s="138"/>
      <c r="J19" s="139">
        <v>1400000</v>
      </c>
      <c r="K19" s="141"/>
      <c r="L19" s="150"/>
      <c r="M19" s="141"/>
      <c r="N19" s="139"/>
      <c r="O19" s="139">
        <f t="shared" si="0"/>
        <v>1400000</v>
      </c>
      <c r="P19" s="139">
        <v>5454545</v>
      </c>
      <c r="Q19" s="250">
        <f t="shared" si="1"/>
        <v>4054545</v>
      </c>
      <c r="R19" s="143"/>
      <c r="S19" s="128"/>
      <c r="T19" s="128"/>
      <c r="U19" s="128"/>
      <c r="V19" s="128"/>
      <c r="W19" s="128"/>
      <c r="X19" s="128"/>
    </row>
    <row r="20" spans="1:24" s="144" customFormat="1" ht="20.45" customHeight="1" x14ac:dyDescent="0.25">
      <c r="A20" s="211">
        <v>14</v>
      </c>
      <c r="B20" s="303">
        <v>44028</v>
      </c>
      <c r="C20" s="138" t="s">
        <v>3192</v>
      </c>
      <c r="D20" s="308" t="s">
        <v>3211</v>
      </c>
      <c r="E20" s="146" t="s">
        <v>3222</v>
      </c>
      <c r="F20" s="138"/>
      <c r="G20" s="138"/>
      <c r="H20" s="141"/>
      <c r="I20" s="138"/>
      <c r="J20" s="139">
        <v>650000</v>
      </c>
      <c r="K20" s="141"/>
      <c r="L20" s="150"/>
      <c r="M20" s="141"/>
      <c r="N20" s="139"/>
      <c r="O20" s="139">
        <f t="shared" si="0"/>
        <v>650000</v>
      </c>
      <c r="P20" s="139">
        <v>2500000</v>
      </c>
      <c r="Q20" s="250">
        <f t="shared" si="1"/>
        <v>1850000</v>
      </c>
      <c r="R20" s="143"/>
      <c r="S20" s="128"/>
      <c r="T20" s="128"/>
      <c r="U20" s="128"/>
      <c r="V20" s="128"/>
      <c r="W20" s="128"/>
      <c r="X20" s="128"/>
    </row>
    <row r="21" spans="1:24" s="144" customFormat="1" ht="20.45" customHeight="1" x14ac:dyDescent="0.25">
      <c r="A21" s="211">
        <v>15</v>
      </c>
      <c r="B21" s="303">
        <v>44029</v>
      </c>
      <c r="C21" s="138" t="s">
        <v>3193</v>
      </c>
      <c r="D21" s="308" t="s">
        <v>3212</v>
      </c>
      <c r="E21" s="146" t="s">
        <v>2059</v>
      </c>
      <c r="F21" s="138"/>
      <c r="G21" s="138">
        <v>285</v>
      </c>
      <c r="H21" s="141">
        <f t="shared" si="2"/>
        <v>3451350</v>
      </c>
      <c r="I21" s="138"/>
      <c r="J21" s="139">
        <v>1400000</v>
      </c>
      <c r="K21" s="141"/>
      <c r="L21" s="150"/>
      <c r="M21" s="141"/>
      <c r="N21" s="139"/>
      <c r="O21" s="139">
        <f t="shared" si="0"/>
        <v>4851350</v>
      </c>
      <c r="P21" s="139">
        <v>5781818</v>
      </c>
      <c r="Q21" s="250">
        <f t="shared" si="1"/>
        <v>930468</v>
      </c>
      <c r="R21" s="143"/>
      <c r="S21" s="128"/>
      <c r="T21" s="128"/>
      <c r="U21" s="128"/>
      <c r="V21" s="128"/>
      <c r="W21" s="128"/>
      <c r="X21" s="128"/>
    </row>
    <row r="22" spans="1:24" s="144" customFormat="1" ht="20.45" customHeight="1" x14ac:dyDescent="0.25">
      <c r="A22" s="211">
        <v>16</v>
      </c>
      <c r="B22" s="303">
        <v>44030</v>
      </c>
      <c r="C22" s="138" t="s">
        <v>3194</v>
      </c>
      <c r="D22" s="308" t="s">
        <v>3213</v>
      </c>
      <c r="E22" s="146" t="s">
        <v>3223</v>
      </c>
      <c r="F22" s="138"/>
      <c r="G22" s="138"/>
      <c r="H22" s="141"/>
      <c r="I22" s="138"/>
      <c r="J22" s="139">
        <v>970000</v>
      </c>
      <c r="K22" s="141"/>
      <c r="L22" s="150"/>
      <c r="M22" s="141"/>
      <c r="N22" s="139"/>
      <c r="O22" s="139">
        <f t="shared" si="0"/>
        <v>970000</v>
      </c>
      <c r="P22" s="139">
        <v>3500000</v>
      </c>
      <c r="Q22" s="250">
        <f t="shared" si="1"/>
        <v>2530000</v>
      </c>
      <c r="R22" s="143"/>
      <c r="S22" s="128"/>
      <c r="T22" s="128"/>
      <c r="U22" s="128"/>
      <c r="V22" s="128"/>
      <c r="W22" s="128"/>
      <c r="X22" s="128"/>
    </row>
    <row r="23" spans="1:24" s="144" customFormat="1" ht="20.45" customHeight="1" x14ac:dyDescent="0.25">
      <c r="A23" s="211">
        <v>17</v>
      </c>
      <c r="B23" s="303">
        <v>44030</v>
      </c>
      <c r="C23" s="138" t="s">
        <v>3195</v>
      </c>
      <c r="D23" s="308" t="s">
        <v>3214</v>
      </c>
      <c r="E23" s="146" t="s">
        <v>723</v>
      </c>
      <c r="F23" s="138"/>
      <c r="G23" s="138"/>
      <c r="H23" s="141"/>
      <c r="I23" s="138"/>
      <c r="J23" s="139">
        <v>790000</v>
      </c>
      <c r="K23" s="141"/>
      <c r="L23" s="150"/>
      <c r="M23" s="141"/>
      <c r="N23" s="139"/>
      <c r="O23" s="139">
        <f t="shared" si="0"/>
        <v>790000</v>
      </c>
      <c r="P23" s="139">
        <v>2572727</v>
      </c>
      <c r="Q23" s="250">
        <f t="shared" si="1"/>
        <v>1782727</v>
      </c>
      <c r="R23" s="143"/>
      <c r="S23" s="128"/>
      <c r="T23" s="128"/>
      <c r="U23" s="128"/>
      <c r="V23" s="128"/>
      <c r="W23" s="128"/>
      <c r="X23" s="128"/>
    </row>
    <row r="24" spans="1:24" s="144" customFormat="1" ht="20.45" customHeight="1" x14ac:dyDescent="0.25">
      <c r="A24" s="211">
        <v>18</v>
      </c>
      <c r="B24" s="303">
        <v>44033</v>
      </c>
      <c r="C24" s="138" t="s">
        <v>466</v>
      </c>
      <c r="D24" s="308" t="s">
        <v>3215</v>
      </c>
      <c r="E24" s="146" t="s">
        <v>1170</v>
      </c>
      <c r="F24" s="138"/>
      <c r="G24" s="134">
        <v>330</v>
      </c>
      <c r="H24" s="141">
        <f t="shared" si="2"/>
        <v>3996300</v>
      </c>
      <c r="I24" s="134"/>
      <c r="J24" s="139">
        <v>2740000</v>
      </c>
      <c r="K24" s="141"/>
      <c r="L24" s="150"/>
      <c r="M24" s="141"/>
      <c r="N24" s="139"/>
      <c r="O24" s="139">
        <f t="shared" si="0"/>
        <v>6736300</v>
      </c>
      <c r="P24" s="139">
        <v>12272727</v>
      </c>
      <c r="Q24" s="250">
        <f>P24-O24</f>
        <v>5536427</v>
      </c>
      <c r="R24" s="143"/>
      <c r="S24" s="128"/>
      <c r="T24" s="128"/>
      <c r="U24" s="128"/>
      <c r="V24" s="128"/>
      <c r="W24" s="128"/>
      <c r="X24" s="128"/>
    </row>
    <row r="25" spans="1:24" s="144" customFormat="1" ht="20.45" customHeight="1" x14ac:dyDescent="0.25">
      <c r="A25" s="211">
        <v>19</v>
      </c>
      <c r="B25" s="303">
        <v>44035</v>
      </c>
      <c r="C25" s="138" t="s">
        <v>3196</v>
      </c>
      <c r="D25" s="308" t="s">
        <v>3216</v>
      </c>
      <c r="E25" s="146" t="s">
        <v>1375</v>
      </c>
      <c r="F25" s="138"/>
      <c r="G25" s="134">
        <v>245</v>
      </c>
      <c r="H25" s="141">
        <f t="shared" si="2"/>
        <v>2966950</v>
      </c>
      <c r="I25" s="134"/>
      <c r="J25" s="139">
        <v>1150000</v>
      </c>
      <c r="K25" s="141"/>
      <c r="L25" s="150"/>
      <c r="M25" s="141"/>
      <c r="N25" s="139"/>
      <c r="O25" s="139">
        <f t="shared" si="0"/>
        <v>4116950</v>
      </c>
      <c r="P25" s="139">
        <v>3500000</v>
      </c>
      <c r="Q25" s="250">
        <f t="shared" si="1"/>
        <v>-616950</v>
      </c>
      <c r="R25" s="143"/>
      <c r="S25" s="128"/>
      <c r="T25" s="128"/>
      <c r="U25" s="128"/>
      <c r="V25" s="128"/>
      <c r="W25" s="128"/>
      <c r="X25" s="128"/>
    </row>
    <row r="26" spans="1:24" s="144" customFormat="1" ht="20.45" customHeight="1" x14ac:dyDescent="0.25">
      <c r="A26" s="211">
        <v>20</v>
      </c>
      <c r="B26" s="303">
        <v>44036</v>
      </c>
      <c r="C26" s="138" t="s">
        <v>3197</v>
      </c>
      <c r="D26" s="309" t="s">
        <v>3217</v>
      </c>
      <c r="E26" s="238" t="s">
        <v>80</v>
      </c>
      <c r="F26" s="299"/>
      <c r="G26" s="194"/>
      <c r="H26" s="141"/>
      <c r="I26" s="194"/>
      <c r="J26" s="139">
        <v>790000</v>
      </c>
      <c r="K26" s="141"/>
      <c r="L26" s="150"/>
      <c r="M26" s="141"/>
      <c r="N26" s="139"/>
      <c r="O26" s="139">
        <f t="shared" si="0"/>
        <v>790000</v>
      </c>
      <c r="P26" s="139">
        <v>3200000</v>
      </c>
      <c r="Q26" s="250">
        <f>P26-O26</f>
        <v>2410000</v>
      </c>
      <c r="R26" s="143"/>
      <c r="S26" s="128"/>
      <c r="T26" s="128"/>
      <c r="U26" s="128"/>
      <c r="V26" s="128"/>
      <c r="W26" s="128"/>
      <c r="X26" s="128"/>
    </row>
    <row r="27" spans="1:24" s="144" customFormat="1" ht="20.45" customHeight="1" x14ac:dyDescent="0.25">
      <c r="A27" s="211">
        <v>21</v>
      </c>
      <c r="B27" s="303">
        <v>44037</v>
      </c>
      <c r="C27" s="138" t="s">
        <v>1191</v>
      </c>
      <c r="D27" s="308" t="s">
        <v>3218</v>
      </c>
      <c r="E27" s="146" t="s">
        <v>80</v>
      </c>
      <c r="F27" s="138"/>
      <c r="G27" s="134">
        <v>290</v>
      </c>
      <c r="H27" s="141">
        <f t="shared" si="2"/>
        <v>3511900</v>
      </c>
      <c r="I27" s="134"/>
      <c r="J27" s="139">
        <v>790000</v>
      </c>
      <c r="K27" s="141"/>
      <c r="L27" s="150"/>
      <c r="M27" s="141"/>
      <c r="N27" s="141"/>
      <c r="O27" s="139">
        <f t="shared" si="0"/>
        <v>4301900</v>
      </c>
      <c r="P27" s="141">
        <v>3200000</v>
      </c>
      <c r="Q27" s="250">
        <f t="shared" si="1"/>
        <v>-1101900</v>
      </c>
      <c r="R27" s="215"/>
    </row>
    <row r="28" spans="1:24" s="144" customFormat="1" ht="20.45" customHeight="1" x14ac:dyDescent="0.25">
      <c r="A28" s="211">
        <v>22</v>
      </c>
      <c r="B28" s="303">
        <v>44039</v>
      </c>
      <c r="C28" s="138" t="s">
        <v>1837</v>
      </c>
      <c r="D28" s="308" t="s">
        <v>3219</v>
      </c>
      <c r="E28" s="146" t="s">
        <v>23</v>
      </c>
      <c r="F28" s="138"/>
      <c r="G28" s="134">
        <v>240</v>
      </c>
      <c r="H28" s="139">
        <f>G28*12390</f>
        <v>2973600</v>
      </c>
      <c r="I28" s="134"/>
      <c r="J28" s="139">
        <v>2740000</v>
      </c>
      <c r="K28" s="141"/>
      <c r="L28" s="150"/>
      <c r="M28" s="141"/>
      <c r="N28" s="141"/>
      <c r="O28" s="139">
        <f t="shared" si="0"/>
        <v>5713600</v>
      </c>
      <c r="P28" s="141">
        <v>11363636</v>
      </c>
      <c r="Q28" s="250">
        <f t="shared" si="1"/>
        <v>5650036</v>
      </c>
      <c r="R28" s="215"/>
    </row>
    <row r="29" spans="1:24" s="144" customFormat="1" ht="20.45" customHeight="1" x14ac:dyDescent="0.25">
      <c r="A29" s="211">
        <v>23</v>
      </c>
      <c r="B29" s="303">
        <v>44041</v>
      </c>
      <c r="C29" s="138" t="s">
        <v>3198</v>
      </c>
      <c r="D29" s="308" t="s">
        <v>3220</v>
      </c>
      <c r="E29" s="146" t="s">
        <v>3224</v>
      </c>
      <c r="F29" s="138"/>
      <c r="G29" s="134">
        <v>265</v>
      </c>
      <c r="H29" s="139">
        <f>G29*12390</f>
        <v>3283350</v>
      </c>
      <c r="I29" s="134"/>
      <c r="J29" s="139">
        <v>1720000</v>
      </c>
      <c r="K29" s="141"/>
      <c r="L29" s="263"/>
      <c r="M29" s="139"/>
      <c r="N29" s="141"/>
      <c r="O29" s="139">
        <f t="shared" si="0"/>
        <v>5003350</v>
      </c>
      <c r="P29" s="141">
        <v>7800000</v>
      </c>
      <c r="Q29" s="250">
        <f t="shared" si="1"/>
        <v>2796650</v>
      </c>
      <c r="R29" s="215"/>
    </row>
    <row r="30" spans="1:24" s="144" customFormat="1" ht="20.45" customHeight="1" x14ac:dyDescent="0.25">
      <c r="A30" s="211"/>
      <c r="B30" s="191"/>
      <c r="C30" s="138"/>
      <c r="D30" s="138"/>
      <c r="E30" s="146"/>
      <c r="F30" s="138"/>
      <c r="G30" s="138"/>
      <c r="H30" s="141"/>
      <c r="I30" s="138"/>
      <c r="J30" s="139"/>
      <c r="K30" s="141"/>
      <c r="L30" s="263"/>
      <c r="M30" s="139"/>
      <c r="N30" s="141"/>
      <c r="O30" s="139"/>
      <c r="P30" s="141"/>
      <c r="Q30" s="250"/>
      <c r="R30" s="215"/>
    </row>
    <row r="31" spans="1:24" s="144" customFormat="1" ht="20.45" customHeight="1" x14ac:dyDescent="0.25">
      <c r="A31" s="211"/>
      <c r="B31" s="191"/>
      <c r="C31" s="440" t="s">
        <v>1094</v>
      </c>
      <c r="D31" s="441"/>
      <c r="E31" s="441"/>
      <c r="F31" s="442"/>
      <c r="G31" s="153"/>
      <c r="H31" s="156"/>
      <c r="I31" s="153"/>
      <c r="J31" s="156"/>
      <c r="K31" s="204">
        <v>1200000</v>
      </c>
      <c r="L31" s="263"/>
      <c r="M31" s="139"/>
      <c r="N31" s="141"/>
      <c r="O31" s="139">
        <f>SUM(H31:N31)</f>
        <v>1200000</v>
      </c>
      <c r="P31" s="141"/>
      <c r="Q31" s="250"/>
      <c r="R31" s="215"/>
    </row>
    <row r="32" spans="1:24" s="144" customFormat="1" ht="20.45" customHeight="1" x14ac:dyDescent="0.25">
      <c r="A32" s="211"/>
      <c r="B32" s="191"/>
      <c r="C32" s="304" t="s">
        <v>3225</v>
      </c>
      <c r="D32" s="305"/>
      <c r="E32" s="306"/>
      <c r="F32" s="307"/>
      <c r="G32" s="138"/>
      <c r="H32" s="141"/>
      <c r="I32" s="138"/>
      <c r="J32" s="139"/>
      <c r="K32" s="141"/>
      <c r="L32" s="219"/>
      <c r="M32" s="219">
        <v>5600000</v>
      </c>
      <c r="N32" s="157"/>
      <c r="O32" s="139">
        <f t="shared" ref="O32:O41" si="3">SUM(H32:N32)</f>
        <v>5600000</v>
      </c>
      <c r="P32" s="141"/>
      <c r="Q32" s="250"/>
      <c r="R32" s="215"/>
    </row>
    <row r="33" spans="1:19" s="144" customFormat="1" ht="20.45" customHeight="1" x14ac:dyDescent="0.25">
      <c r="A33" s="211"/>
      <c r="B33" s="191"/>
      <c r="C33" s="265" t="s">
        <v>3226</v>
      </c>
      <c r="D33" s="277"/>
      <c r="E33" s="278"/>
      <c r="F33" s="279"/>
      <c r="G33" s="138"/>
      <c r="H33" s="141"/>
      <c r="I33" s="138"/>
      <c r="J33" s="139"/>
      <c r="K33" s="149"/>
      <c r="L33" s="219"/>
      <c r="M33" s="219"/>
      <c r="N33" s="219">
        <v>320000</v>
      </c>
      <c r="O33" s="139">
        <f t="shared" si="3"/>
        <v>320000</v>
      </c>
      <c r="P33" s="141"/>
      <c r="Q33" s="250"/>
      <c r="R33" s="215"/>
    </row>
    <row r="34" spans="1:19" s="144" customFormat="1" ht="20.45" customHeight="1" x14ac:dyDescent="0.25">
      <c r="A34" s="211"/>
      <c r="B34" s="191"/>
      <c r="C34" s="265" t="s">
        <v>3227</v>
      </c>
      <c r="D34" s="277"/>
      <c r="E34" s="278"/>
      <c r="F34" s="279"/>
      <c r="G34" s="138"/>
      <c r="H34" s="141"/>
      <c r="I34" s="138"/>
      <c r="J34" s="139"/>
      <c r="K34" s="149"/>
      <c r="L34" s="219"/>
      <c r="M34" s="219"/>
      <c r="N34" s="219">
        <v>250000</v>
      </c>
      <c r="O34" s="139">
        <f t="shared" si="3"/>
        <v>250000</v>
      </c>
      <c r="P34" s="141"/>
      <c r="Q34" s="250"/>
      <c r="R34" s="215"/>
    </row>
    <row r="35" spans="1:19" s="144" customFormat="1" ht="20.45" customHeight="1" x14ac:dyDescent="0.25">
      <c r="A35" s="211"/>
      <c r="B35" s="191"/>
      <c r="C35" s="265" t="s">
        <v>3228</v>
      </c>
      <c r="D35" s="277"/>
      <c r="E35" s="278"/>
      <c r="F35" s="279"/>
      <c r="G35" s="138"/>
      <c r="H35" s="141"/>
      <c r="I35" s="138"/>
      <c r="J35" s="139"/>
      <c r="K35" s="149"/>
      <c r="L35" s="219">
        <v>4500000</v>
      </c>
      <c r="M35" s="219"/>
      <c r="N35" s="157"/>
      <c r="O35" s="139">
        <f t="shared" si="3"/>
        <v>4500000</v>
      </c>
      <c r="P35" s="141"/>
      <c r="Q35" s="250"/>
      <c r="R35" s="215"/>
    </row>
    <row r="36" spans="1:19" s="144" customFormat="1" ht="20.45" customHeight="1" x14ac:dyDescent="0.25">
      <c r="A36" s="211"/>
      <c r="B36" s="191"/>
      <c r="C36" s="265" t="s">
        <v>3229</v>
      </c>
      <c r="D36" s="277"/>
      <c r="E36" s="278"/>
      <c r="F36" s="279"/>
      <c r="G36" s="138"/>
      <c r="H36" s="141"/>
      <c r="I36" s="138"/>
      <c r="J36" s="139"/>
      <c r="K36" s="149"/>
      <c r="L36" s="219"/>
      <c r="M36" s="219">
        <v>10000000</v>
      </c>
      <c r="N36" s="157"/>
      <c r="O36" s="139">
        <f t="shared" si="3"/>
        <v>10000000</v>
      </c>
      <c r="P36" s="141"/>
      <c r="Q36" s="250"/>
      <c r="R36" s="215"/>
    </row>
    <row r="37" spans="1:19" s="144" customFormat="1" ht="20.45" customHeight="1" x14ac:dyDescent="0.25">
      <c r="A37" s="211"/>
      <c r="B37" s="191"/>
      <c r="C37" s="265" t="s">
        <v>3230</v>
      </c>
      <c r="D37" s="277"/>
      <c r="E37" s="278"/>
      <c r="F37" s="279"/>
      <c r="G37" s="138"/>
      <c r="H37" s="141"/>
      <c r="I37" s="138"/>
      <c r="J37" s="139"/>
      <c r="K37" s="149"/>
      <c r="L37" s="219"/>
      <c r="M37" s="219"/>
      <c r="N37" s="219">
        <v>3800000</v>
      </c>
      <c r="O37" s="139">
        <f t="shared" si="3"/>
        <v>3800000</v>
      </c>
      <c r="P37" s="141"/>
      <c r="Q37" s="250"/>
      <c r="R37" s="215"/>
    </row>
    <row r="38" spans="1:19" s="144" customFormat="1" ht="20.45" customHeight="1" x14ac:dyDescent="0.25">
      <c r="A38" s="211"/>
      <c r="B38" s="191"/>
      <c r="C38" s="265" t="s">
        <v>3233</v>
      </c>
      <c r="D38" s="277"/>
      <c r="E38" s="278"/>
      <c r="F38" s="279"/>
      <c r="G38" s="138"/>
      <c r="H38" s="141"/>
      <c r="I38" s="138"/>
      <c r="J38" s="139"/>
      <c r="K38" s="149"/>
      <c r="L38" s="219">
        <v>450000</v>
      </c>
      <c r="M38" s="219"/>
      <c r="N38" s="157"/>
      <c r="O38" s="139">
        <f t="shared" si="3"/>
        <v>450000</v>
      </c>
      <c r="P38" s="141"/>
      <c r="Q38" s="250"/>
      <c r="R38" s="215"/>
    </row>
    <row r="39" spans="1:19" s="144" customFormat="1" ht="20.45" customHeight="1" x14ac:dyDescent="0.25">
      <c r="A39" s="211"/>
      <c r="B39" s="191"/>
      <c r="C39" s="265" t="s">
        <v>3231</v>
      </c>
      <c r="D39" s="277"/>
      <c r="E39" s="278"/>
      <c r="F39" s="279"/>
      <c r="G39" s="138"/>
      <c r="H39" s="141"/>
      <c r="I39" s="138"/>
      <c r="J39" s="139"/>
      <c r="K39" s="149"/>
      <c r="L39" s="219">
        <v>170000</v>
      </c>
      <c r="M39" s="219"/>
      <c r="N39" s="157"/>
      <c r="O39" s="139">
        <f t="shared" si="3"/>
        <v>170000</v>
      </c>
      <c r="P39" s="141"/>
      <c r="Q39" s="250"/>
      <c r="R39" s="215"/>
    </row>
    <row r="40" spans="1:19" s="144" customFormat="1" ht="20.45" customHeight="1" x14ac:dyDescent="0.25">
      <c r="A40" s="211"/>
      <c r="B40" s="191"/>
      <c r="C40" s="265" t="s">
        <v>3232</v>
      </c>
      <c r="D40" s="277"/>
      <c r="E40" s="278"/>
      <c r="F40" s="279"/>
      <c r="G40" s="138"/>
      <c r="H40" s="141"/>
      <c r="I40" s="138"/>
      <c r="J40" s="139"/>
      <c r="K40" s="149"/>
      <c r="L40" s="219">
        <v>800000</v>
      </c>
      <c r="M40" s="219"/>
      <c r="N40" s="157"/>
      <c r="O40" s="139">
        <f t="shared" si="3"/>
        <v>800000</v>
      </c>
      <c r="P40" s="141"/>
      <c r="Q40" s="250"/>
      <c r="R40" s="215"/>
    </row>
    <row r="41" spans="1:19" s="159" customFormat="1" ht="20.45" customHeight="1" x14ac:dyDescent="0.25">
      <c r="A41" s="211"/>
      <c r="B41" s="165"/>
      <c r="C41" s="440" t="s">
        <v>1337</v>
      </c>
      <c r="D41" s="441"/>
      <c r="E41" s="441"/>
      <c r="F41" s="442"/>
      <c r="G41" s="195"/>
      <c r="H41" s="155"/>
      <c r="I41" s="195"/>
      <c r="J41" s="155"/>
      <c r="K41" s="301">
        <v>8653846.153846154</v>
      </c>
      <c r="L41" s="155"/>
      <c r="M41" s="155"/>
      <c r="N41" s="155"/>
      <c r="O41" s="139">
        <f t="shared" si="3"/>
        <v>8653846.153846154</v>
      </c>
      <c r="P41" s="139"/>
      <c r="Q41" s="250"/>
      <c r="R41" s="215"/>
    </row>
    <row r="42" spans="1:19" s="159" customFormat="1" ht="20.45" customHeight="1" x14ac:dyDescent="0.25">
      <c r="A42" s="211"/>
      <c r="B42" s="203"/>
      <c r="C42" s="434"/>
      <c r="D42" s="435"/>
      <c r="E42" s="435"/>
      <c r="F42" s="436"/>
      <c r="G42" s="153"/>
      <c r="H42" s="156"/>
      <c r="I42" s="153"/>
      <c r="J42" s="156"/>
      <c r="K42" s="300"/>
      <c r="L42" s="204"/>
      <c r="M42" s="156"/>
      <c r="N42" s="156"/>
      <c r="O42" s="139">
        <f t="shared" ref="O42" si="4">SUM(H42:N42)</f>
        <v>0</v>
      </c>
      <c r="P42" s="139"/>
      <c r="Q42" s="250"/>
      <c r="R42" s="215"/>
    </row>
    <row r="43" spans="1:19" ht="20.45" customHeight="1" x14ac:dyDescent="0.25">
      <c r="A43" s="426" t="s">
        <v>20</v>
      </c>
      <c r="B43" s="426"/>
      <c r="C43" s="426"/>
      <c r="D43" s="426"/>
      <c r="E43" s="426"/>
      <c r="F43" s="426"/>
      <c r="G43" s="161">
        <f t="shared" ref="G43:N43" si="5">SUM(G7:G42)</f>
        <v>3220</v>
      </c>
      <c r="H43" s="161">
        <f>SUM(H7:H42)</f>
        <v>39135600</v>
      </c>
      <c r="I43" s="161">
        <f t="shared" si="5"/>
        <v>0</v>
      </c>
      <c r="J43" s="161">
        <f t="shared" si="5"/>
        <v>28410000</v>
      </c>
      <c r="K43" s="161">
        <f>SUM(K7:K42)</f>
        <v>9853846.153846154</v>
      </c>
      <c r="L43" s="161">
        <f>SUM(L7:L42)</f>
        <v>5920000</v>
      </c>
      <c r="M43" s="161">
        <f>SUM(M7:M42)</f>
        <v>15600000</v>
      </c>
      <c r="N43" s="161">
        <f t="shared" si="5"/>
        <v>4370000</v>
      </c>
      <c r="O43" s="161">
        <f>SUM(O7:O42)</f>
        <v>103289446.15384616</v>
      </c>
      <c r="P43" s="161">
        <f>SUM(P7:P42)</f>
        <v>112550907</v>
      </c>
      <c r="Q43" s="234">
        <f>P43-O43</f>
        <v>9261460.8461538404</v>
      </c>
    </row>
    <row r="44" spans="1:19" ht="24.95" customHeight="1" x14ac:dyDescent="0.25">
      <c r="O44" s="158"/>
      <c r="Q44" s="158"/>
    </row>
    <row r="45" spans="1:19" ht="13.9" customHeight="1" x14ac:dyDescent="0.25">
      <c r="P45" s="216" t="s">
        <v>1603</v>
      </c>
      <c r="Q45" s="227">
        <f>'06.2020'!Q40+'07.2020'!Q43</f>
        <v>114937351.69230768</v>
      </c>
      <c r="S45" s="216"/>
    </row>
    <row r="46" spans="1:19" ht="13.9" customHeight="1" x14ac:dyDescent="0.25">
      <c r="B46" s="129"/>
      <c r="J46" s="128"/>
      <c r="K46" s="128"/>
      <c r="L46" s="128"/>
      <c r="M46" s="128"/>
      <c r="N46" s="128"/>
      <c r="O46" s="128"/>
      <c r="P46" s="218"/>
      <c r="Q46" s="216"/>
    </row>
    <row r="47" spans="1:19" ht="13.9" customHeight="1" x14ac:dyDescent="0.25">
      <c r="B47" s="129"/>
      <c r="H47" s="128"/>
      <c r="J47" s="128"/>
      <c r="K47" s="128"/>
      <c r="L47" s="128"/>
      <c r="M47" s="128"/>
      <c r="N47" s="128"/>
      <c r="O47" s="128"/>
      <c r="P47" s="218"/>
      <c r="Q47" s="230"/>
    </row>
    <row r="48" spans="1:19" ht="13.9" customHeight="1" x14ac:dyDescent="0.25">
      <c r="B48" s="129"/>
      <c r="H48" s="128"/>
      <c r="J48" s="128"/>
      <c r="K48" s="128"/>
      <c r="L48" s="128"/>
      <c r="M48" s="128"/>
      <c r="N48" s="128"/>
      <c r="O48" s="128"/>
      <c r="P48" s="218"/>
      <c r="Q48" s="230"/>
      <c r="R48" s="143"/>
    </row>
    <row r="49" spans="1:18" ht="13.9" customHeight="1" x14ac:dyDescent="0.25">
      <c r="B49" s="129"/>
      <c r="H49" s="128"/>
      <c r="J49" s="128"/>
      <c r="K49" s="128"/>
      <c r="L49" s="128"/>
      <c r="M49" s="128"/>
      <c r="N49" s="128"/>
      <c r="O49" s="128"/>
      <c r="P49" s="218"/>
      <c r="Q49" s="216"/>
      <c r="R49" s="143"/>
    </row>
    <row r="50" spans="1:18" x14ac:dyDescent="0.25">
      <c r="B50" s="129"/>
      <c r="H50" s="128"/>
      <c r="J50" s="128"/>
      <c r="K50" s="128"/>
      <c r="L50" s="128"/>
      <c r="M50" s="128"/>
      <c r="N50" s="128"/>
      <c r="O50" s="128"/>
      <c r="P50" s="218"/>
      <c r="Q50" s="216"/>
    </row>
    <row r="51" spans="1:18" x14ac:dyDescent="0.25">
      <c r="A51" s="128"/>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8"/>
      <c r="H53" s="128"/>
      <c r="J53" s="128"/>
      <c r="K53" s="128"/>
      <c r="L53" s="128"/>
      <c r="M53" s="128"/>
      <c r="N53" s="128"/>
      <c r="O53" s="128"/>
      <c r="P53" s="128"/>
      <c r="Q53" s="216"/>
    </row>
    <row r="54" spans="1:18" x14ac:dyDescent="0.25">
      <c r="A54" s="128"/>
      <c r="B54" s="128"/>
      <c r="H54" s="128"/>
      <c r="J54" s="128"/>
      <c r="K54" s="128"/>
      <c r="L54" s="128"/>
      <c r="M54" s="128"/>
      <c r="N54" s="128"/>
      <c r="O54" s="128"/>
      <c r="P54" s="128"/>
      <c r="Q54" s="216"/>
    </row>
  </sheetData>
  <mergeCells count="17">
    <mergeCell ref="A43:F43"/>
    <mergeCell ref="O5:O6"/>
    <mergeCell ref="P5:P6"/>
    <mergeCell ref="Q5:Q6"/>
    <mergeCell ref="C31:F31"/>
    <mergeCell ref="C41:F41"/>
    <mergeCell ref="C42:F42"/>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54"/>
  <sheetViews>
    <sheetView topLeftCell="A22" zoomScaleNormal="100" workbookViewId="0">
      <selection activeCell="K38" sqref="K38"/>
    </sheetView>
  </sheetViews>
  <sheetFormatPr defaultColWidth="9.140625" defaultRowHeight="12.75" x14ac:dyDescent="0.25"/>
  <cols>
    <col min="1" max="1" width="4.5703125" style="129" customWidth="1"/>
    <col min="2" max="2" width="10.28515625" style="163" customWidth="1"/>
    <col min="3" max="3" width="28.7109375" style="128" customWidth="1"/>
    <col min="4" max="4" width="16.5703125" style="128" customWidth="1"/>
    <col min="5" max="5" width="34"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7.285156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3234</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11">
        <v>1</v>
      </c>
      <c r="B7" s="303">
        <v>44043</v>
      </c>
      <c r="C7" s="138" t="s">
        <v>3235</v>
      </c>
      <c r="D7" s="308" t="s">
        <v>3251</v>
      </c>
      <c r="E7" s="146" t="s">
        <v>2798</v>
      </c>
      <c r="F7" s="138"/>
      <c r="G7" s="138"/>
      <c r="H7" s="141"/>
      <c r="I7" s="138"/>
      <c r="J7" s="139">
        <v>970000</v>
      </c>
      <c r="K7" s="141"/>
      <c r="L7" s="150"/>
      <c r="M7" s="141"/>
      <c r="N7" s="141"/>
      <c r="O7" s="139">
        <f>SUM(H7:N7)</f>
        <v>970000</v>
      </c>
      <c r="P7" s="139">
        <v>4772727</v>
      </c>
      <c r="Q7" s="250">
        <f>P7-O7</f>
        <v>3802727</v>
      </c>
      <c r="R7" s="215"/>
    </row>
    <row r="8" spans="1:24" s="144" customFormat="1" ht="20.45" customHeight="1" x14ac:dyDescent="0.25">
      <c r="A8" s="211">
        <v>2</v>
      </c>
      <c r="B8" s="303">
        <v>44043</v>
      </c>
      <c r="C8" s="138" t="s">
        <v>3236</v>
      </c>
      <c r="D8" s="308" t="s">
        <v>3252</v>
      </c>
      <c r="E8" s="146" t="s">
        <v>894</v>
      </c>
      <c r="F8" s="138"/>
      <c r="G8" s="138"/>
      <c r="H8" s="141"/>
      <c r="I8" s="138"/>
      <c r="J8" s="139">
        <v>790000</v>
      </c>
      <c r="K8" s="141"/>
      <c r="L8" s="150"/>
      <c r="M8" s="141"/>
      <c r="N8" s="141"/>
      <c r="O8" s="139">
        <f>SUM(H8:N8)</f>
        <v>790000</v>
      </c>
      <c r="P8" s="139">
        <v>3700000</v>
      </c>
      <c r="Q8" s="250">
        <f t="shared" ref="Q8:Q32" si="0">P8-O8</f>
        <v>2910000</v>
      </c>
      <c r="R8" s="215"/>
    </row>
    <row r="9" spans="1:24" s="144" customFormat="1" ht="20.45" customHeight="1" x14ac:dyDescent="0.25">
      <c r="A9" s="211">
        <v>3</v>
      </c>
      <c r="B9" s="303">
        <v>44045</v>
      </c>
      <c r="C9" s="138" t="s">
        <v>3237</v>
      </c>
      <c r="D9" s="308" t="s">
        <v>3253</v>
      </c>
      <c r="E9" s="146" t="s">
        <v>3275</v>
      </c>
      <c r="F9" s="138"/>
      <c r="G9" s="138"/>
      <c r="H9" s="141"/>
      <c r="I9" s="138"/>
      <c r="J9" s="139">
        <v>790000</v>
      </c>
      <c r="K9" s="141"/>
      <c r="L9" s="150"/>
      <c r="M9" s="141"/>
      <c r="N9" s="141"/>
      <c r="O9" s="139">
        <f t="shared" ref="O9:O32" si="1">SUM(H9:N9)</f>
        <v>790000</v>
      </c>
      <c r="P9" s="139">
        <v>3018182</v>
      </c>
      <c r="Q9" s="250">
        <f t="shared" si="0"/>
        <v>2228182</v>
      </c>
      <c r="R9" s="215"/>
    </row>
    <row r="10" spans="1:24" s="144" customFormat="1" ht="20.45" customHeight="1" x14ac:dyDescent="0.25">
      <c r="A10" s="211">
        <v>4</v>
      </c>
      <c r="B10" s="303">
        <v>44046</v>
      </c>
      <c r="C10" s="138" t="s">
        <v>1884</v>
      </c>
      <c r="D10" s="308" t="s">
        <v>3254</v>
      </c>
      <c r="E10" s="146" t="s">
        <v>894</v>
      </c>
      <c r="F10" s="138"/>
      <c r="G10" s="138"/>
      <c r="H10" s="141"/>
      <c r="I10" s="138"/>
      <c r="J10" s="139">
        <v>790000</v>
      </c>
      <c r="K10" s="141"/>
      <c r="L10" s="150"/>
      <c r="M10" s="141"/>
      <c r="N10" s="141"/>
      <c r="O10" s="139">
        <f t="shared" si="1"/>
        <v>790000</v>
      </c>
      <c r="P10" s="139">
        <v>3300000</v>
      </c>
      <c r="Q10" s="250">
        <f t="shared" si="0"/>
        <v>2510000</v>
      </c>
      <c r="R10" s="215"/>
    </row>
    <row r="11" spans="1:24" s="144" customFormat="1" ht="20.45" customHeight="1" x14ac:dyDescent="0.25">
      <c r="A11" s="211">
        <v>5</v>
      </c>
      <c r="B11" s="303">
        <v>44047</v>
      </c>
      <c r="C11" s="138" t="s">
        <v>3238</v>
      </c>
      <c r="D11" s="308" t="s">
        <v>3255</v>
      </c>
      <c r="E11" s="146" t="s">
        <v>80</v>
      </c>
      <c r="F11" s="138"/>
      <c r="G11" s="138">
        <v>280</v>
      </c>
      <c r="H11" s="141">
        <f>G11*12390</f>
        <v>3469200</v>
      </c>
      <c r="I11" s="138"/>
      <c r="J11" s="139">
        <v>790000</v>
      </c>
      <c r="K11" s="141"/>
      <c r="L11" s="150"/>
      <c r="M11" s="141"/>
      <c r="N11" s="141"/>
      <c r="O11" s="139">
        <f t="shared" si="1"/>
        <v>4259200</v>
      </c>
      <c r="P11" s="139">
        <v>3200000</v>
      </c>
      <c r="Q11" s="250">
        <f t="shared" si="0"/>
        <v>-1059200</v>
      </c>
      <c r="R11" s="215"/>
    </row>
    <row r="12" spans="1:24" s="144" customFormat="1" ht="20.45" customHeight="1" x14ac:dyDescent="0.2">
      <c r="A12" s="211">
        <v>6</v>
      </c>
      <c r="B12" s="303">
        <v>44048</v>
      </c>
      <c r="C12" s="138" t="s">
        <v>3239</v>
      </c>
      <c r="D12" s="308" t="s">
        <v>3256</v>
      </c>
      <c r="E12" s="146" t="s">
        <v>80</v>
      </c>
      <c r="F12" s="138"/>
      <c r="G12" s="138"/>
      <c r="H12" s="141"/>
      <c r="I12" s="138"/>
      <c r="J12" s="139">
        <v>790000</v>
      </c>
      <c r="K12" s="141"/>
      <c r="L12" s="150"/>
      <c r="M12" s="141"/>
      <c r="N12" s="141"/>
      <c r="O12" s="139">
        <f t="shared" si="1"/>
        <v>790000</v>
      </c>
      <c r="P12" s="139">
        <v>3200000</v>
      </c>
      <c r="Q12" s="250">
        <f t="shared" si="0"/>
        <v>2410000</v>
      </c>
      <c r="R12" s="302"/>
    </row>
    <row r="13" spans="1:24" s="144" customFormat="1" ht="20.45" customHeight="1" x14ac:dyDescent="0.25">
      <c r="A13" s="211">
        <v>7</v>
      </c>
      <c r="B13" s="303">
        <v>44049</v>
      </c>
      <c r="C13" s="138" t="s">
        <v>2573</v>
      </c>
      <c r="D13" s="308" t="s">
        <v>3257</v>
      </c>
      <c r="E13" s="146" t="s">
        <v>25</v>
      </c>
      <c r="F13" s="138"/>
      <c r="G13" s="138">
        <v>280</v>
      </c>
      <c r="H13" s="141">
        <f t="shared" ref="H13:H15" si="2">G13*12390</f>
        <v>3469200</v>
      </c>
      <c r="I13" s="138"/>
      <c r="J13" s="139">
        <v>1890000</v>
      </c>
      <c r="K13" s="141"/>
      <c r="L13" s="150"/>
      <c r="M13" s="141"/>
      <c r="N13" s="139"/>
      <c r="O13" s="139">
        <f t="shared" si="1"/>
        <v>5359200</v>
      </c>
      <c r="P13" s="139">
        <v>7209091</v>
      </c>
      <c r="Q13" s="250">
        <f t="shared" si="0"/>
        <v>1849891</v>
      </c>
      <c r="R13" s="143"/>
      <c r="S13" s="128"/>
      <c r="T13" s="128"/>
      <c r="U13" s="128"/>
      <c r="V13" s="128"/>
      <c r="W13" s="128"/>
      <c r="X13" s="128"/>
    </row>
    <row r="14" spans="1:24" s="144" customFormat="1" ht="20.45" customHeight="1" x14ac:dyDescent="0.25">
      <c r="A14" s="211">
        <v>8</v>
      </c>
      <c r="B14" s="303">
        <v>44050</v>
      </c>
      <c r="C14" s="138" t="s">
        <v>2574</v>
      </c>
      <c r="D14" s="308" t="s">
        <v>3258</v>
      </c>
      <c r="E14" s="146" t="s">
        <v>291</v>
      </c>
      <c r="F14" s="138"/>
      <c r="G14" s="138"/>
      <c r="H14" s="141"/>
      <c r="I14" s="138"/>
      <c r="J14" s="139">
        <v>1150000</v>
      </c>
      <c r="K14" s="141"/>
      <c r="L14" s="150"/>
      <c r="M14" s="141"/>
      <c r="N14" s="139"/>
      <c r="O14" s="139">
        <f t="shared" si="1"/>
        <v>1150000</v>
      </c>
      <c r="P14" s="139">
        <v>3618182</v>
      </c>
      <c r="Q14" s="250">
        <f t="shared" si="0"/>
        <v>2468182</v>
      </c>
      <c r="R14" s="143"/>
      <c r="S14" s="128"/>
      <c r="T14" s="128"/>
      <c r="U14" s="128"/>
      <c r="V14" s="128"/>
      <c r="W14" s="128"/>
      <c r="X14" s="128"/>
    </row>
    <row r="15" spans="1:24" s="144" customFormat="1" ht="20.45" customHeight="1" x14ac:dyDescent="0.25">
      <c r="A15" s="211">
        <v>9</v>
      </c>
      <c r="B15" s="303">
        <v>44053</v>
      </c>
      <c r="C15" s="138" t="s">
        <v>3240</v>
      </c>
      <c r="D15" s="308" t="s">
        <v>3259</v>
      </c>
      <c r="E15" s="146" t="s">
        <v>3221</v>
      </c>
      <c r="F15" s="138"/>
      <c r="G15" s="138">
        <v>270</v>
      </c>
      <c r="H15" s="141">
        <f t="shared" si="2"/>
        <v>3345300</v>
      </c>
      <c r="I15" s="138"/>
      <c r="J15" s="139">
        <v>970000</v>
      </c>
      <c r="K15" s="141"/>
      <c r="L15" s="150"/>
      <c r="M15" s="141"/>
      <c r="N15" s="139"/>
      <c r="O15" s="139">
        <f t="shared" si="1"/>
        <v>4315300</v>
      </c>
      <c r="P15" s="139">
        <v>3400000</v>
      </c>
      <c r="Q15" s="250">
        <f t="shared" si="0"/>
        <v>-915300</v>
      </c>
      <c r="R15" s="143"/>
      <c r="S15" s="128"/>
      <c r="T15" s="128"/>
      <c r="U15" s="128"/>
      <c r="V15" s="128"/>
      <c r="W15" s="128"/>
      <c r="X15" s="128"/>
    </row>
    <row r="16" spans="1:24" s="144" customFormat="1" ht="20.45" customHeight="1" x14ac:dyDescent="0.25">
      <c r="A16" s="211">
        <v>10</v>
      </c>
      <c r="B16" s="303">
        <v>44054</v>
      </c>
      <c r="C16" s="138" t="s">
        <v>2578</v>
      </c>
      <c r="D16" s="308" t="s">
        <v>3260</v>
      </c>
      <c r="E16" s="146" t="s">
        <v>23</v>
      </c>
      <c r="F16" s="138"/>
      <c r="G16" s="138"/>
      <c r="H16" s="141"/>
      <c r="I16" s="138"/>
      <c r="J16" s="139">
        <v>2740000</v>
      </c>
      <c r="K16" s="141"/>
      <c r="L16" s="150"/>
      <c r="M16" s="141"/>
      <c r="N16" s="139"/>
      <c r="O16" s="139">
        <f t="shared" si="1"/>
        <v>2740000</v>
      </c>
      <c r="P16" s="139">
        <v>11818182</v>
      </c>
      <c r="Q16" s="250">
        <f t="shared" si="0"/>
        <v>9078182</v>
      </c>
      <c r="R16" s="143"/>
      <c r="S16" s="128"/>
      <c r="T16" s="128"/>
      <c r="U16" s="128"/>
      <c r="V16" s="128"/>
      <c r="W16" s="128"/>
      <c r="X16" s="128"/>
    </row>
    <row r="17" spans="1:24" s="144" customFormat="1" ht="20.45" customHeight="1" x14ac:dyDescent="0.25">
      <c r="A17" s="211">
        <v>11</v>
      </c>
      <c r="B17" s="303">
        <v>44055</v>
      </c>
      <c r="C17" s="138" t="s">
        <v>3241</v>
      </c>
      <c r="D17" s="308" t="s">
        <v>3261</v>
      </c>
      <c r="E17" s="146" t="s">
        <v>3276</v>
      </c>
      <c r="F17" s="138"/>
      <c r="G17" s="138"/>
      <c r="H17" s="141"/>
      <c r="I17" s="138"/>
      <c r="J17" s="139">
        <v>1060000</v>
      </c>
      <c r="K17" s="141"/>
      <c r="L17" s="150"/>
      <c r="M17" s="141"/>
      <c r="N17" s="139"/>
      <c r="O17" s="139">
        <f t="shared" si="1"/>
        <v>1060000</v>
      </c>
      <c r="P17" s="139">
        <v>3218182</v>
      </c>
      <c r="Q17" s="250">
        <f t="shared" si="0"/>
        <v>2158182</v>
      </c>
      <c r="R17" s="143"/>
      <c r="S17" s="128"/>
      <c r="T17" s="128"/>
      <c r="U17" s="128"/>
      <c r="V17" s="128"/>
      <c r="W17" s="128"/>
      <c r="X17" s="128"/>
    </row>
    <row r="18" spans="1:24" s="144" customFormat="1" ht="20.45" customHeight="1" x14ac:dyDescent="0.25">
      <c r="A18" s="211">
        <v>12</v>
      </c>
      <c r="B18" s="303">
        <v>44056</v>
      </c>
      <c r="C18" s="138" t="s">
        <v>3242</v>
      </c>
      <c r="D18" s="308" t="s">
        <v>3262</v>
      </c>
      <c r="E18" s="146" t="s">
        <v>3277</v>
      </c>
      <c r="F18" s="138"/>
      <c r="G18" s="138"/>
      <c r="H18" s="141"/>
      <c r="I18" s="138"/>
      <c r="J18" s="139">
        <v>970000</v>
      </c>
      <c r="K18" s="141"/>
      <c r="L18" s="150"/>
      <c r="M18" s="141"/>
      <c r="N18" s="139"/>
      <c r="O18" s="139">
        <f t="shared" si="1"/>
        <v>970000</v>
      </c>
      <c r="P18" s="139">
        <v>3560000</v>
      </c>
      <c r="Q18" s="250">
        <f t="shared" si="0"/>
        <v>2590000</v>
      </c>
      <c r="R18" s="143"/>
      <c r="S18" s="128"/>
      <c r="T18" s="128"/>
      <c r="U18" s="128"/>
      <c r="V18" s="128"/>
      <c r="W18" s="128"/>
      <c r="X18" s="128"/>
    </row>
    <row r="19" spans="1:24" s="144" customFormat="1" ht="20.45" customHeight="1" x14ac:dyDescent="0.25">
      <c r="A19" s="211">
        <v>13</v>
      </c>
      <c r="B19" s="303">
        <v>44057</v>
      </c>
      <c r="C19" s="138" t="s">
        <v>1892</v>
      </c>
      <c r="D19" s="308" t="s">
        <v>3263</v>
      </c>
      <c r="E19" s="146" t="s">
        <v>3277</v>
      </c>
      <c r="F19" s="138"/>
      <c r="G19" s="138">
        <v>345</v>
      </c>
      <c r="H19" s="141">
        <f>G19*12200</f>
        <v>4209000</v>
      </c>
      <c r="I19" s="138"/>
      <c r="J19" s="139">
        <v>970000</v>
      </c>
      <c r="K19" s="141"/>
      <c r="L19" s="150"/>
      <c r="M19" s="141"/>
      <c r="N19" s="139"/>
      <c r="O19" s="139">
        <f t="shared" si="1"/>
        <v>5179000</v>
      </c>
      <c r="P19" s="139">
        <v>3560000</v>
      </c>
      <c r="Q19" s="250">
        <f t="shared" si="0"/>
        <v>-1619000</v>
      </c>
      <c r="R19" s="143"/>
      <c r="S19" s="128"/>
      <c r="T19" s="128"/>
      <c r="U19" s="128"/>
      <c r="V19" s="128"/>
      <c r="W19" s="128"/>
      <c r="X19" s="128"/>
    </row>
    <row r="20" spans="1:24" s="144" customFormat="1" ht="20.45" customHeight="1" x14ac:dyDescent="0.25">
      <c r="A20" s="211">
        <v>14</v>
      </c>
      <c r="B20" s="303">
        <v>44060</v>
      </c>
      <c r="C20" s="138" t="s">
        <v>585</v>
      </c>
      <c r="D20" s="308" t="s">
        <v>3264</v>
      </c>
      <c r="E20" s="146" t="s">
        <v>23</v>
      </c>
      <c r="F20" s="138"/>
      <c r="G20" s="138">
        <v>300</v>
      </c>
      <c r="H20" s="141">
        <f t="shared" ref="H20:H30" si="3">G20*12200</f>
        <v>3660000</v>
      </c>
      <c r="I20" s="138"/>
      <c r="J20" s="139">
        <v>2740000</v>
      </c>
      <c r="K20" s="141"/>
      <c r="L20" s="150"/>
      <c r="M20" s="141"/>
      <c r="N20" s="139"/>
      <c r="O20" s="139">
        <f t="shared" si="1"/>
        <v>6400000</v>
      </c>
      <c r="P20" s="139">
        <v>11363636</v>
      </c>
      <c r="Q20" s="250">
        <f t="shared" si="0"/>
        <v>4963636</v>
      </c>
      <c r="R20" s="143"/>
      <c r="S20" s="128"/>
      <c r="T20" s="128"/>
      <c r="U20" s="128"/>
      <c r="V20" s="128"/>
      <c r="W20" s="128"/>
      <c r="X20" s="128"/>
    </row>
    <row r="21" spans="1:24" s="144" customFormat="1" ht="20.45" customHeight="1" x14ac:dyDescent="0.25">
      <c r="A21" s="211">
        <v>15</v>
      </c>
      <c r="B21" s="303">
        <v>44060</v>
      </c>
      <c r="C21" s="138" t="s">
        <v>3243</v>
      </c>
      <c r="D21" s="308" t="s">
        <v>3265</v>
      </c>
      <c r="E21" s="146" t="s">
        <v>80</v>
      </c>
      <c r="F21" s="138"/>
      <c r="G21" s="138"/>
      <c r="H21" s="141"/>
      <c r="I21" s="138"/>
      <c r="J21" s="139">
        <v>790000</v>
      </c>
      <c r="K21" s="141"/>
      <c r="L21" s="150"/>
      <c r="M21" s="141"/>
      <c r="N21" s="139"/>
      <c r="O21" s="139">
        <f t="shared" si="1"/>
        <v>790000</v>
      </c>
      <c r="P21" s="139">
        <v>3200000</v>
      </c>
      <c r="Q21" s="250">
        <f t="shared" si="0"/>
        <v>2410000</v>
      </c>
      <c r="R21" s="143"/>
      <c r="S21" s="128"/>
      <c r="T21" s="128"/>
      <c r="U21" s="128"/>
      <c r="V21" s="128"/>
      <c r="W21" s="128"/>
      <c r="X21" s="128"/>
    </row>
    <row r="22" spans="1:24" s="144" customFormat="1" ht="20.45" customHeight="1" x14ac:dyDescent="0.25">
      <c r="A22" s="211">
        <v>16</v>
      </c>
      <c r="B22" s="303">
        <v>44062</v>
      </c>
      <c r="C22" s="138" t="s">
        <v>3244</v>
      </c>
      <c r="D22" s="308" t="s">
        <v>3266</v>
      </c>
      <c r="E22" s="146" t="s">
        <v>1937</v>
      </c>
      <c r="F22" s="138"/>
      <c r="G22" s="138">
        <v>335</v>
      </c>
      <c r="H22" s="141">
        <f t="shared" si="3"/>
        <v>4087000</v>
      </c>
      <c r="I22" s="138"/>
      <c r="J22" s="139">
        <v>1150000</v>
      </c>
      <c r="K22" s="141"/>
      <c r="L22" s="150"/>
      <c r="M22" s="141"/>
      <c r="N22" s="139"/>
      <c r="O22" s="139">
        <f t="shared" si="1"/>
        <v>5237000</v>
      </c>
      <c r="P22" s="139">
        <v>3560000</v>
      </c>
      <c r="Q22" s="250">
        <f t="shared" si="0"/>
        <v>-1677000</v>
      </c>
      <c r="R22" s="143"/>
      <c r="S22" s="128"/>
      <c r="T22" s="128"/>
      <c r="U22" s="128"/>
      <c r="V22" s="128"/>
      <c r="W22" s="128"/>
      <c r="X22" s="128"/>
    </row>
    <row r="23" spans="1:24" s="144" customFormat="1" ht="20.45" customHeight="1" x14ac:dyDescent="0.25">
      <c r="A23" s="211">
        <v>17</v>
      </c>
      <c r="B23" s="303">
        <v>44063</v>
      </c>
      <c r="C23" s="138" t="s">
        <v>3245</v>
      </c>
      <c r="D23" s="308" t="s">
        <v>3267</v>
      </c>
      <c r="E23" s="146" t="s">
        <v>1937</v>
      </c>
      <c r="F23" s="138"/>
      <c r="G23" s="138"/>
      <c r="H23" s="141"/>
      <c r="I23" s="138"/>
      <c r="J23" s="139">
        <v>1150000</v>
      </c>
      <c r="K23" s="141"/>
      <c r="L23" s="150"/>
      <c r="M23" s="141"/>
      <c r="N23" s="139"/>
      <c r="O23" s="139">
        <f t="shared" si="1"/>
        <v>1150000</v>
      </c>
      <c r="P23" s="139">
        <v>3560000</v>
      </c>
      <c r="Q23" s="250">
        <f t="shared" si="0"/>
        <v>2410000</v>
      </c>
      <c r="R23" s="143"/>
      <c r="S23" s="128"/>
      <c r="T23" s="128"/>
      <c r="U23" s="128"/>
      <c r="V23" s="128"/>
      <c r="W23" s="128"/>
      <c r="X23" s="128"/>
    </row>
    <row r="24" spans="1:24" s="144" customFormat="1" ht="20.45" customHeight="1" x14ac:dyDescent="0.25">
      <c r="A24" s="211">
        <v>18</v>
      </c>
      <c r="B24" s="303">
        <v>44065</v>
      </c>
      <c r="C24" s="138" t="s">
        <v>3246</v>
      </c>
      <c r="D24" s="308" t="s">
        <v>3268</v>
      </c>
      <c r="E24" s="146" t="s">
        <v>2062</v>
      </c>
      <c r="F24" s="138"/>
      <c r="G24" s="138">
        <v>180</v>
      </c>
      <c r="H24" s="141">
        <f t="shared" si="3"/>
        <v>2196000</v>
      </c>
      <c r="I24" s="138"/>
      <c r="J24" s="139">
        <v>1400000</v>
      </c>
      <c r="K24" s="141"/>
      <c r="L24" s="150"/>
      <c r="M24" s="141"/>
      <c r="N24" s="139"/>
      <c r="O24" s="139">
        <f t="shared" si="1"/>
        <v>3596000</v>
      </c>
      <c r="P24" s="139">
        <v>5000000</v>
      </c>
      <c r="Q24" s="250">
        <f t="shared" si="0"/>
        <v>1404000</v>
      </c>
      <c r="R24" s="143"/>
      <c r="S24" s="128"/>
      <c r="T24" s="128"/>
      <c r="U24" s="128"/>
      <c r="V24" s="128"/>
      <c r="W24" s="128"/>
      <c r="X24" s="128"/>
    </row>
    <row r="25" spans="1:24" s="144" customFormat="1" ht="20.45" customHeight="1" x14ac:dyDescent="0.25">
      <c r="A25" s="211">
        <v>19</v>
      </c>
      <c r="B25" s="303">
        <v>44066</v>
      </c>
      <c r="C25" s="138" t="s">
        <v>550</v>
      </c>
      <c r="D25" s="308" t="s">
        <v>3269</v>
      </c>
      <c r="E25" s="146" t="s">
        <v>2883</v>
      </c>
      <c r="F25" s="138"/>
      <c r="G25" s="138"/>
      <c r="H25" s="141"/>
      <c r="I25" s="138"/>
      <c r="J25" s="139">
        <f>790000+600000</f>
        <v>1390000</v>
      </c>
      <c r="K25" s="141"/>
      <c r="L25" s="150"/>
      <c r="M25" s="141"/>
      <c r="N25" s="139"/>
      <c r="O25" s="139">
        <f t="shared" si="1"/>
        <v>1390000</v>
      </c>
      <c r="P25" s="139">
        <v>2763636</v>
      </c>
      <c r="Q25" s="250">
        <f t="shared" si="0"/>
        <v>1373636</v>
      </c>
      <c r="R25" s="143"/>
      <c r="S25" s="128"/>
      <c r="T25" s="128"/>
      <c r="U25" s="128"/>
      <c r="V25" s="128"/>
      <c r="W25" s="128"/>
      <c r="X25" s="128"/>
    </row>
    <row r="26" spans="1:24" s="144" customFormat="1" ht="20.45" customHeight="1" x14ac:dyDescent="0.25">
      <c r="A26" s="211">
        <v>20</v>
      </c>
      <c r="B26" s="303">
        <v>44067</v>
      </c>
      <c r="C26" s="138" t="s">
        <v>3247</v>
      </c>
      <c r="D26" s="308" t="s">
        <v>3269</v>
      </c>
      <c r="E26" s="146" t="s">
        <v>3278</v>
      </c>
      <c r="F26" s="138"/>
      <c r="G26" s="138"/>
      <c r="H26" s="141"/>
      <c r="I26" s="138"/>
      <c r="J26" s="139"/>
      <c r="K26" s="141"/>
      <c r="L26" s="150"/>
      <c r="M26" s="141"/>
      <c r="N26" s="139"/>
      <c r="O26" s="139">
        <f t="shared" si="1"/>
        <v>0</v>
      </c>
      <c r="P26" s="139">
        <v>2893636</v>
      </c>
      <c r="Q26" s="250">
        <f t="shared" si="0"/>
        <v>2893636</v>
      </c>
      <c r="R26" s="143"/>
      <c r="S26" s="128"/>
      <c r="T26" s="128"/>
      <c r="U26" s="128"/>
      <c r="V26" s="128"/>
      <c r="W26" s="128"/>
      <c r="X26" s="128"/>
    </row>
    <row r="27" spans="1:24" s="144" customFormat="1" ht="20.45" customHeight="1" x14ac:dyDescent="0.25">
      <c r="A27" s="211">
        <v>21</v>
      </c>
      <c r="B27" s="303">
        <v>44067</v>
      </c>
      <c r="C27" s="138" t="s">
        <v>3248</v>
      </c>
      <c r="D27" s="308" t="s">
        <v>3270</v>
      </c>
      <c r="E27" s="146" t="s">
        <v>3279</v>
      </c>
      <c r="F27" s="138"/>
      <c r="G27" s="134"/>
      <c r="H27" s="141"/>
      <c r="I27" s="134"/>
      <c r="J27" s="139">
        <v>970000</v>
      </c>
      <c r="K27" s="141"/>
      <c r="L27" s="150"/>
      <c r="M27" s="141"/>
      <c r="N27" s="139"/>
      <c r="O27" s="139">
        <f t="shared" si="1"/>
        <v>970000</v>
      </c>
      <c r="P27" s="139">
        <v>3629091</v>
      </c>
      <c r="Q27" s="250">
        <f t="shared" si="0"/>
        <v>2659091</v>
      </c>
      <c r="R27" s="143"/>
      <c r="S27" s="128"/>
      <c r="T27" s="128"/>
      <c r="U27" s="128"/>
      <c r="V27" s="128"/>
      <c r="W27" s="128"/>
      <c r="X27" s="128"/>
    </row>
    <row r="28" spans="1:24" s="144" customFormat="1" ht="20.45" customHeight="1" x14ac:dyDescent="0.25">
      <c r="A28" s="211">
        <v>22</v>
      </c>
      <c r="B28" s="303">
        <v>44068</v>
      </c>
      <c r="C28" s="138" t="s">
        <v>3249</v>
      </c>
      <c r="D28" s="308" t="s">
        <v>3271</v>
      </c>
      <c r="E28" s="146" t="s">
        <v>2985</v>
      </c>
      <c r="F28" s="138"/>
      <c r="G28" s="134">
        <v>340</v>
      </c>
      <c r="H28" s="141">
        <f t="shared" si="3"/>
        <v>4148000</v>
      </c>
      <c r="I28" s="134"/>
      <c r="J28" s="139">
        <v>790000</v>
      </c>
      <c r="K28" s="141"/>
      <c r="L28" s="150"/>
      <c r="M28" s="141"/>
      <c r="N28" s="139"/>
      <c r="O28" s="139">
        <f t="shared" si="1"/>
        <v>4938000</v>
      </c>
      <c r="P28" s="139">
        <v>2545455</v>
      </c>
      <c r="Q28" s="250">
        <f t="shared" si="0"/>
        <v>-2392545</v>
      </c>
      <c r="R28" s="143"/>
      <c r="S28" s="128"/>
      <c r="T28" s="128"/>
      <c r="U28" s="128"/>
      <c r="V28" s="128"/>
      <c r="W28" s="128"/>
      <c r="X28" s="128"/>
    </row>
    <row r="29" spans="1:24" s="144" customFormat="1" ht="20.45" customHeight="1" x14ac:dyDescent="0.25">
      <c r="A29" s="211">
        <v>23</v>
      </c>
      <c r="B29" s="303">
        <v>44069</v>
      </c>
      <c r="C29" s="138" t="s">
        <v>1903</v>
      </c>
      <c r="D29" s="309" t="s">
        <v>994</v>
      </c>
      <c r="E29" s="238" t="s">
        <v>2592</v>
      </c>
      <c r="F29" s="299"/>
      <c r="G29" s="194"/>
      <c r="H29" s="141"/>
      <c r="I29" s="194"/>
      <c r="J29" s="139">
        <v>790000</v>
      </c>
      <c r="K29" s="141"/>
      <c r="L29" s="150"/>
      <c r="M29" s="141"/>
      <c r="N29" s="139"/>
      <c r="O29" s="139">
        <f t="shared" si="1"/>
        <v>790000</v>
      </c>
      <c r="P29" s="139">
        <v>2581818</v>
      </c>
      <c r="Q29" s="250">
        <f t="shared" si="0"/>
        <v>1791818</v>
      </c>
      <c r="R29" s="143"/>
      <c r="S29" s="128"/>
      <c r="T29" s="128"/>
      <c r="U29" s="128"/>
      <c r="V29" s="128"/>
      <c r="W29" s="128"/>
      <c r="X29" s="128"/>
    </row>
    <row r="30" spans="1:24" s="144" customFormat="1" ht="20.45" customHeight="1" x14ac:dyDescent="0.25">
      <c r="A30" s="211">
        <v>24</v>
      </c>
      <c r="B30" s="303">
        <v>44070</v>
      </c>
      <c r="C30" s="138" t="s">
        <v>1255</v>
      </c>
      <c r="D30" s="308" t="s">
        <v>3272</v>
      </c>
      <c r="E30" s="146" t="s">
        <v>25</v>
      </c>
      <c r="F30" s="138"/>
      <c r="G30" s="134">
        <v>155</v>
      </c>
      <c r="H30" s="141">
        <f t="shared" si="3"/>
        <v>1891000</v>
      </c>
      <c r="I30" s="134"/>
      <c r="J30" s="139">
        <v>1890000</v>
      </c>
      <c r="K30" s="141"/>
      <c r="L30" s="150"/>
      <c r="M30" s="141"/>
      <c r="N30" s="141"/>
      <c r="O30" s="139">
        <f t="shared" si="1"/>
        <v>3781000</v>
      </c>
      <c r="P30" s="141">
        <v>7572727</v>
      </c>
      <c r="Q30" s="250">
        <f t="shared" si="0"/>
        <v>3791727</v>
      </c>
      <c r="R30" s="215"/>
    </row>
    <row r="31" spans="1:24" s="144" customFormat="1" ht="20.45" customHeight="1" x14ac:dyDescent="0.25">
      <c r="A31" s="211">
        <v>25</v>
      </c>
      <c r="B31" s="303">
        <v>44071</v>
      </c>
      <c r="C31" s="138" t="s">
        <v>1256</v>
      </c>
      <c r="D31" s="308" t="s">
        <v>3273</v>
      </c>
      <c r="E31" s="146" t="s">
        <v>25</v>
      </c>
      <c r="F31" s="138"/>
      <c r="G31" s="134"/>
      <c r="H31" s="141"/>
      <c r="I31" s="134"/>
      <c r="J31" s="139">
        <v>1890000</v>
      </c>
      <c r="K31" s="141"/>
      <c r="L31" s="150"/>
      <c r="M31" s="141"/>
      <c r="N31" s="141"/>
      <c r="O31" s="139">
        <f t="shared" si="1"/>
        <v>1890000</v>
      </c>
      <c r="P31" s="141">
        <v>7209091</v>
      </c>
      <c r="Q31" s="250">
        <f t="shared" si="0"/>
        <v>5319091</v>
      </c>
      <c r="R31" s="215"/>
    </row>
    <row r="32" spans="1:24" s="144" customFormat="1" ht="27" customHeight="1" x14ac:dyDescent="0.25">
      <c r="A32" s="211">
        <v>26</v>
      </c>
      <c r="B32" s="303">
        <v>44072</v>
      </c>
      <c r="C32" s="138" t="s">
        <v>3250</v>
      </c>
      <c r="D32" s="308" t="s">
        <v>3274</v>
      </c>
      <c r="E32" s="146" t="s">
        <v>3280</v>
      </c>
      <c r="F32" s="138"/>
      <c r="G32" s="134">
        <v>365</v>
      </c>
      <c r="H32" s="139">
        <f>G32*11960</f>
        <v>4365400</v>
      </c>
      <c r="I32" s="134"/>
      <c r="J32" s="139">
        <v>970000</v>
      </c>
      <c r="K32" s="141"/>
      <c r="L32" s="263"/>
      <c r="M32" s="139"/>
      <c r="N32" s="141"/>
      <c r="O32" s="139">
        <f t="shared" si="1"/>
        <v>5335400</v>
      </c>
      <c r="P32" s="141">
        <v>3409091</v>
      </c>
      <c r="Q32" s="250">
        <f t="shared" si="0"/>
        <v>-1926309</v>
      </c>
      <c r="R32" s="215"/>
    </row>
    <row r="33" spans="1:19" s="144" customFormat="1" ht="20.45" customHeight="1" x14ac:dyDescent="0.25">
      <c r="A33" s="211"/>
      <c r="B33" s="191"/>
      <c r="C33" s="138"/>
      <c r="D33" s="138"/>
      <c r="E33" s="146"/>
      <c r="F33" s="138"/>
      <c r="G33" s="138"/>
      <c r="H33" s="141"/>
      <c r="I33" s="138"/>
      <c r="J33" s="139"/>
      <c r="K33" s="141"/>
      <c r="L33" s="263"/>
      <c r="M33" s="139"/>
      <c r="N33" s="141"/>
      <c r="O33" s="139"/>
      <c r="P33" s="141"/>
      <c r="Q33" s="250"/>
      <c r="R33" s="215"/>
    </row>
    <row r="34" spans="1:19" s="144" customFormat="1" ht="20.45" customHeight="1" x14ac:dyDescent="0.25">
      <c r="A34" s="211"/>
      <c r="B34" s="191"/>
      <c r="C34" s="440" t="s">
        <v>1094</v>
      </c>
      <c r="D34" s="441"/>
      <c r="E34" s="441"/>
      <c r="F34" s="442"/>
      <c r="G34" s="153"/>
      <c r="H34" s="156"/>
      <c r="I34" s="153"/>
      <c r="J34" s="156"/>
      <c r="K34" s="204">
        <v>1200000</v>
      </c>
      <c r="L34" s="263"/>
      <c r="M34" s="139"/>
      <c r="N34" s="141"/>
      <c r="O34" s="139">
        <f>SUM(H34:N34)</f>
        <v>1200000</v>
      </c>
      <c r="P34" s="141"/>
      <c r="Q34" s="250"/>
      <c r="R34" s="215"/>
    </row>
    <row r="35" spans="1:19" s="144" customFormat="1" ht="20.45" customHeight="1" x14ac:dyDescent="0.25">
      <c r="A35" s="211"/>
      <c r="B35" s="191"/>
      <c r="C35" s="310" t="s">
        <v>3281</v>
      </c>
      <c r="D35" s="311"/>
      <c r="E35" s="312"/>
      <c r="F35" s="313"/>
      <c r="G35" s="134"/>
      <c r="H35" s="139"/>
      <c r="I35" s="134"/>
      <c r="J35" s="139"/>
      <c r="K35" s="139"/>
      <c r="L35" s="219">
        <v>1200000</v>
      </c>
      <c r="M35" s="219"/>
      <c r="N35" s="157"/>
      <c r="O35" s="139">
        <f t="shared" ref="O35:O42" si="4">SUM(H35:N35)</f>
        <v>1200000</v>
      </c>
      <c r="P35" s="141"/>
      <c r="Q35" s="250"/>
      <c r="R35" s="215"/>
    </row>
    <row r="36" spans="1:19" s="144" customFormat="1" ht="20.45" customHeight="1" x14ac:dyDescent="0.25">
      <c r="A36" s="211"/>
      <c r="B36" s="191"/>
      <c r="C36" s="446" t="s">
        <v>3282</v>
      </c>
      <c r="D36" s="447"/>
      <c r="E36" s="447"/>
      <c r="F36" s="317"/>
      <c r="G36" s="134"/>
      <c r="H36" s="139"/>
      <c r="I36" s="134"/>
      <c r="J36" s="139"/>
      <c r="K36" s="206"/>
      <c r="L36" s="219">
        <v>350000</v>
      </c>
      <c r="M36" s="219"/>
      <c r="N36" s="219"/>
      <c r="O36" s="139">
        <f t="shared" si="4"/>
        <v>350000</v>
      </c>
      <c r="P36" s="141"/>
      <c r="Q36" s="250"/>
      <c r="R36" s="215"/>
    </row>
    <row r="37" spans="1:19" s="144" customFormat="1" ht="20.45" customHeight="1" x14ac:dyDescent="0.25">
      <c r="A37" s="211"/>
      <c r="B37" s="191"/>
      <c r="C37" s="314" t="s">
        <v>3283</v>
      </c>
      <c r="D37" s="315"/>
      <c r="E37" s="316"/>
      <c r="F37" s="317"/>
      <c r="G37" s="134"/>
      <c r="H37" s="139"/>
      <c r="I37" s="134"/>
      <c r="J37" s="139"/>
      <c r="K37" s="206"/>
      <c r="L37" s="219">
        <v>400000</v>
      </c>
      <c r="M37" s="219"/>
      <c r="N37" s="219"/>
      <c r="O37" s="139">
        <f t="shared" si="4"/>
        <v>400000</v>
      </c>
      <c r="P37" s="141"/>
      <c r="Q37" s="250"/>
      <c r="R37" s="215"/>
    </row>
    <row r="38" spans="1:19" s="144" customFormat="1" ht="20.45" customHeight="1" x14ac:dyDescent="0.25">
      <c r="A38" s="211"/>
      <c r="B38" s="191"/>
      <c r="C38" s="314" t="s">
        <v>3284</v>
      </c>
      <c r="D38" s="315"/>
      <c r="E38" s="316"/>
      <c r="F38" s="317"/>
      <c r="G38" s="134"/>
      <c r="H38" s="139"/>
      <c r="I38" s="134"/>
      <c r="J38" s="139"/>
      <c r="K38" s="206"/>
      <c r="L38" s="219">
        <v>550000</v>
      </c>
      <c r="M38" s="219"/>
      <c r="N38" s="157"/>
      <c r="O38" s="139">
        <f t="shared" si="4"/>
        <v>550000</v>
      </c>
      <c r="P38" s="141"/>
      <c r="Q38" s="250"/>
      <c r="R38" s="215"/>
    </row>
    <row r="39" spans="1:19" s="144" customFormat="1" ht="20.45" customHeight="1" x14ac:dyDescent="0.25">
      <c r="A39" s="211"/>
      <c r="B39" s="191"/>
      <c r="C39" s="314" t="s">
        <v>3285</v>
      </c>
      <c r="D39" s="315"/>
      <c r="E39" s="316"/>
      <c r="F39" s="317"/>
      <c r="G39" s="134"/>
      <c r="H39" s="139"/>
      <c r="I39" s="134"/>
      <c r="J39" s="139"/>
      <c r="K39" s="206"/>
      <c r="L39" s="219">
        <v>1100000</v>
      </c>
      <c r="M39" s="219"/>
      <c r="N39" s="157"/>
      <c r="O39" s="139">
        <f t="shared" si="4"/>
        <v>1100000</v>
      </c>
      <c r="P39" s="141"/>
      <c r="Q39" s="250"/>
      <c r="R39" s="215"/>
    </row>
    <row r="40" spans="1:19" s="144" customFormat="1" ht="20.45" customHeight="1" x14ac:dyDescent="0.25">
      <c r="A40" s="211"/>
      <c r="B40" s="191"/>
      <c r="C40" s="294" t="s">
        <v>3286</v>
      </c>
      <c r="D40" s="318"/>
      <c r="E40" s="319"/>
      <c r="F40" s="320"/>
      <c r="G40" s="214"/>
      <c r="H40" s="208"/>
      <c r="I40" s="214"/>
      <c r="J40" s="208"/>
      <c r="K40" s="321"/>
      <c r="L40" s="233">
        <v>1800000</v>
      </c>
      <c r="M40" s="219"/>
      <c r="N40" s="157"/>
      <c r="O40" s="139">
        <f t="shared" si="4"/>
        <v>1800000</v>
      </c>
      <c r="P40" s="141"/>
      <c r="Q40" s="250"/>
      <c r="R40" s="215"/>
    </row>
    <row r="41" spans="1:19" s="159" customFormat="1" ht="20.45" customHeight="1" x14ac:dyDescent="0.25">
      <c r="A41" s="211"/>
      <c r="B41" s="165"/>
      <c r="C41" s="440" t="s">
        <v>1337</v>
      </c>
      <c r="D41" s="441"/>
      <c r="E41" s="441"/>
      <c r="F41" s="442"/>
      <c r="G41" s="195"/>
      <c r="H41" s="155"/>
      <c r="I41" s="195"/>
      <c r="J41" s="155"/>
      <c r="K41" s="301">
        <v>9346154</v>
      </c>
      <c r="L41" s="155"/>
      <c r="M41" s="155"/>
      <c r="N41" s="155"/>
      <c r="O41" s="139">
        <f t="shared" si="4"/>
        <v>9346154</v>
      </c>
      <c r="P41" s="139"/>
      <c r="Q41" s="250"/>
      <c r="R41" s="215"/>
    </row>
    <row r="42" spans="1:19" s="159" customFormat="1" ht="20.45" customHeight="1" x14ac:dyDescent="0.25">
      <c r="A42" s="211"/>
      <c r="B42" s="203"/>
      <c r="C42" s="434"/>
      <c r="D42" s="435"/>
      <c r="E42" s="435"/>
      <c r="F42" s="436"/>
      <c r="G42" s="153"/>
      <c r="H42" s="156"/>
      <c r="I42" s="153"/>
      <c r="J42" s="156"/>
      <c r="K42" s="300"/>
      <c r="L42" s="204"/>
      <c r="M42" s="156"/>
      <c r="N42" s="156"/>
      <c r="O42" s="139">
        <f t="shared" si="4"/>
        <v>0</v>
      </c>
      <c r="P42" s="139"/>
      <c r="Q42" s="250"/>
      <c r="R42" s="215"/>
    </row>
    <row r="43" spans="1:19" ht="20.45" customHeight="1" x14ac:dyDescent="0.25">
      <c r="A43" s="426" t="s">
        <v>20</v>
      </c>
      <c r="B43" s="426"/>
      <c r="C43" s="426"/>
      <c r="D43" s="426"/>
      <c r="E43" s="426"/>
      <c r="F43" s="426"/>
      <c r="G43" s="161">
        <f t="shared" ref="G43:N43" si="5">SUM(G7:G42)</f>
        <v>2850</v>
      </c>
      <c r="H43" s="161">
        <f>SUM(H7:H42)</f>
        <v>34840100</v>
      </c>
      <c r="I43" s="161">
        <f t="shared" si="5"/>
        <v>0</v>
      </c>
      <c r="J43" s="161">
        <f t="shared" si="5"/>
        <v>30590000</v>
      </c>
      <c r="K43" s="161">
        <f>SUM(K7:K42)</f>
        <v>10546154</v>
      </c>
      <c r="L43" s="161">
        <f>SUM(L7:L42)</f>
        <v>5400000</v>
      </c>
      <c r="M43" s="161">
        <f>SUM(M7:M42)</f>
        <v>0</v>
      </c>
      <c r="N43" s="161">
        <f t="shared" si="5"/>
        <v>0</v>
      </c>
      <c r="O43" s="161">
        <f>SUM(O7:O42)</f>
        <v>81376254</v>
      </c>
      <c r="P43" s="161">
        <f>SUM(P7:P42)</f>
        <v>116862727</v>
      </c>
      <c r="Q43" s="234">
        <f>P43-O43</f>
        <v>35486473</v>
      </c>
    </row>
    <row r="44" spans="1:19" ht="24.95" customHeight="1" x14ac:dyDescent="0.25">
      <c r="O44" s="158"/>
      <c r="Q44" s="158"/>
    </row>
    <row r="45" spans="1:19" ht="13.9" customHeight="1" x14ac:dyDescent="0.25">
      <c r="P45" s="216" t="s">
        <v>1603</v>
      </c>
      <c r="Q45" s="227">
        <f>'07.2020'!Q45+'08.2020'!Q43</f>
        <v>150423824.69230768</v>
      </c>
      <c r="S45" s="216"/>
    </row>
    <row r="46" spans="1:19" ht="13.9" customHeight="1" x14ac:dyDescent="0.25">
      <c r="B46" s="129"/>
      <c r="J46" s="128"/>
      <c r="K46" s="128"/>
      <c r="L46" s="128"/>
      <c r="M46" s="128"/>
      <c r="N46" s="128"/>
      <c r="O46" s="128"/>
      <c r="P46" s="218"/>
      <c r="Q46" s="216"/>
    </row>
    <row r="47" spans="1:19" ht="13.9" customHeight="1" x14ac:dyDescent="0.25">
      <c r="B47" s="129"/>
      <c r="H47" s="128"/>
      <c r="J47" s="128"/>
      <c r="K47" s="128"/>
      <c r="L47" s="128"/>
      <c r="M47" s="128"/>
      <c r="N47" s="128"/>
      <c r="O47" s="128"/>
      <c r="P47" s="218"/>
      <c r="Q47" s="230"/>
    </row>
    <row r="48" spans="1:19" ht="13.9" customHeight="1" x14ac:dyDescent="0.25">
      <c r="B48" s="129"/>
      <c r="H48" s="128"/>
      <c r="J48" s="128"/>
      <c r="K48" s="128"/>
      <c r="L48" s="128"/>
      <c r="M48" s="128"/>
      <c r="N48" s="128"/>
      <c r="O48" s="128"/>
      <c r="P48" s="218"/>
      <c r="Q48" s="230"/>
      <c r="R48" s="143"/>
    </row>
    <row r="49" spans="1:18" ht="13.9" customHeight="1" x14ac:dyDescent="0.25">
      <c r="B49" s="129"/>
      <c r="H49" s="128"/>
      <c r="J49" s="128"/>
      <c r="K49" s="128"/>
      <c r="L49" s="128"/>
      <c r="M49" s="128"/>
      <c r="N49" s="128"/>
      <c r="O49" s="128"/>
      <c r="P49" s="218"/>
      <c r="Q49" s="216"/>
      <c r="R49" s="143"/>
    </row>
    <row r="50" spans="1:18" x14ac:dyDescent="0.25">
      <c r="B50" s="129"/>
      <c r="H50" s="128"/>
      <c r="J50" s="128"/>
      <c r="K50" s="128"/>
      <c r="L50" s="128"/>
      <c r="M50" s="128"/>
      <c r="N50" s="128"/>
      <c r="O50" s="128"/>
      <c r="P50" s="218"/>
      <c r="Q50" s="216"/>
    </row>
    <row r="51" spans="1:18" x14ac:dyDescent="0.25">
      <c r="A51" s="128"/>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8"/>
      <c r="H53" s="128"/>
      <c r="J53" s="128"/>
      <c r="K53" s="128"/>
      <c r="L53" s="128"/>
      <c r="M53" s="128"/>
      <c r="N53" s="128"/>
      <c r="O53" s="128"/>
      <c r="P53" s="128"/>
      <c r="Q53" s="216"/>
    </row>
    <row r="54" spans="1:18" x14ac:dyDescent="0.25">
      <c r="A54" s="128"/>
      <c r="B54" s="128"/>
      <c r="H54" s="128"/>
      <c r="J54" s="128"/>
      <c r="K54" s="128"/>
      <c r="L54" s="128"/>
      <c r="M54" s="128"/>
      <c r="N54" s="128"/>
      <c r="O54" s="128"/>
      <c r="P54" s="128"/>
      <c r="Q54" s="216"/>
    </row>
  </sheetData>
  <mergeCells count="18">
    <mergeCell ref="A43:F43"/>
    <mergeCell ref="O5:O6"/>
    <mergeCell ref="P5:P6"/>
    <mergeCell ref="Q5:Q6"/>
    <mergeCell ref="C34:F34"/>
    <mergeCell ref="C41:F41"/>
    <mergeCell ref="C42:F42"/>
    <mergeCell ref="C36:E3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55"/>
  <sheetViews>
    <sheetView zoomScaleNormal="100" workbookViewId="0">
      <selection activeCell="D36" sqref="D36"/>
    </sheetView>
  </sheetViews>
  <sheetFormatPr defaultColWidth="9.140625" defaultRowHeight="12.75" x14ac:dyDescent="0.25"/>
  <cols>
    <col min="1" max="1" width="4.5703125" style="129" customWidth="1"/>
    <col min="2" max="2" width="10.28515625" style="163" customWidth="1"/>
    <col min="3" max="3" width="28.7109375" style="128" customWidth="1"/>
    <col min="4" max="4" width="16.5703125" style="128" customWidth="1"/>
    <col min="5" max="5" width="34"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7.285156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3287</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11">
        <v>1</v>
      </c>
      <c r="B7" s="303">
        <v>44074</v>
      </c>
      <c r="C7" s="134" t="s">
        <v>1953</v>
      </c>
      <c r="D7" s="211" t="s">
        <v>3311</v>
      </c>
      <c r="E7" s="136" t="s">
        <v>259</v>
      </c>
      <c r="F7" s="134"/>
      <c r="G7" s="138"/>
      <c r="H7" s="141"/>
      <c r="I7" s="138"/>
      <c r="J7" s="139">
        <v>970000</v>
      </c>
      <c r="K7" s="141"/>
      <c r="L7" s="150"/>
      <c r="M7" s="141"/>
      <c r="N7" s="141"/>
      <c r="O7" s="139">
        <f>SUM(H7:N7)</f>
        <v>970000</v>
      </c>
      <c r="P7" s="139">
        <v>3600000</v>
      </c>
      <c r="Q7" s="250">
        <f>P7-O7</f>
        <v>2630000</v>
      </c>
      <c r="R7" s="215"/>
    </row>
    <row r="8" spans="1:24" s="144" customFormat="1" ht="20.45" customHeight="1" x14ac:dyDescent="0.25">
      <c r="A8" s="211">
        <v>2</v>
      </c>
      <c r="B8" s="303">
        <v>44075</v>
      </c>
      <c r="C8" s="134" t="s">
        <v>3288</v>
      </c>
      <c r="D8" s="211" t="s">
        <v>3312</v>
      </c>
      <c r="E8" s="136" t="s">
        <v>3029</v>
      </c>
      <c r="F8" s="134"/>
      <c r="G8" s="138"/>
      <c r="H8" s="141"/>
      <c r="I8" s="138"/>
      <c r="J8" s="139">
        <v>790000</v>
      </c>
      <c r="K8" s="141"/>
      <c r="L8" s="150"/>
      <c r="M8" s="141"/>
      <c r="N8" s="141"/>
      <c r="O8" s="139">
        <f>SUM(H8:N8)</f>
        <v>790000</v>
      </c>
      <c r="P8" s="139">
        <v>2900000</v>
      </c>
      <c r="Q8" s="250">
        <f t="shared" ref="Q8:Q36" si="0">P8-O8</f>
        <v>2110000</v>
      </c>
      <c r="R8" s="215"/>
    </row>
    <row r="9" spans="1:24" s="144" customFormat="1" ht="20.45" customHeight="1" x14ac:dyDescent="0.25">
      <c r="A9" s="211">
        <v>3</v>
      </c>
      <c r="B9" s="303">
        <v>44077</v>
      </c>
      <c r="C9" s="134" t="s">
        <v>3289</v>
      </c>
      <c r="D9" s="211" t="s">
        <v>3313</v>
      </c>
      <c r="E9" s="136" t="s">
        <v>3339</v>
      </c>
      <c r="F9" s="134"/>
      <c r="G9" s="138">
        <v>290</v>
      </c>
      <c r="H9" s="141">
        <f>G9*11960</f>
        <v>3468400</v>
      </c>
      <c r="I9" s="138"/>
      <c r="J9" s="139">
        <v>200000</v>
      </c>
      <c r="K9" s="141"/>
      <c r="L9" s="150"/>
      <c r="M9" s="141"/>
      <c r="N9" s="141"/>
      <c r="O9" s="139">
        <f t="shared" ref="O9:O36" si="1">SUM(H9:N9)</f>
        <v>3668400</v>
      </c>
      <c r="P9" s="139">
        <v>900000</v>
      </c>
      <c r="Q9" s="250">
        <f t="shared" si="0"/>
        <v>-2768400</v>
      </c>
      <c r="R9" s="215"/>
    </row>
    <row r="10" spans="1:24" s="144" customFormat="1" ht="20.45" customHeight="1" x14ac:dyDescent="0.25">
      <c r="A10" s="211">
        <v>4</v>
      </c>
      <c r="B10" s="303">
        <v>44077</v>
      </c>
      <c r="C10" s="134" t="s">
        <v>3290</v>
      </c>
      <c r="D10" s="211" t="s">
        <v>3314</v>
      </c>
      <c r="E10" s="136" t="s">
        <v>218</v>
      </c>
      <c r="F10" s="134"/>
      <c r="G10" s="138"/>
      <c r="H10" s="141"/>
      <c r="I10" s="138"/>
      <c r="J10" s="139">
        <v>1150000</v>
      </c>
      <c r="K10" s="141"/>
      <c r="L10" s="150"/>
      <c r="M10" s="141"/>
      <c r="N10" s="141"/>
      <c r="O10" s="139">
        <f t="shared" si="1"/>
        <v>1150000</v>
      </c>
      <c r="P10" s="139">
        <v>3418182</v>
      </c>
      <c r="Q10" s="250">
        <f t="shared" si="0"/>
        <v>2268182</v>
      </c>
      <c r="R10" s="215" t="s">
        <v>3345</v>
      </c>
    </row>
    <row r="11" spans="1:24" s="144" customFormat="1" ht="20.45" customHeight="1" x14ac:dyDescent="0.25">
      <c r="A11" s="211">
        <v>5</v>
      </c>
      <c r="B11" s="326">
        <v>44078</v>
      </c>
      <c r="C11" s="214" t="s">
        <v>3291</v>
      </c>
      <c r="D11" s="327" t="s">
        <v>3315</v>
      </c>
      <c r="E11" s="289" t="s">
        <v>201</v>
      </c>
      <c r="F11" s="214"/>
      <c r="G11" s="214"/>
      <c r="H11" s="208"/>
      <c r="I11" s="214"/>
      <c r="J11" s="208">
        <v>650000</v>
      </c>
      <c r="K11" s="141"/>
      <c r="L11" s="150"/>
      <c r="M11" s="141"/>
      <c r="N11" s="141"/>
      <c r="O11" s="139">
        <f t="shared" si="1"/>
        <v>650000</v>
      </c>
      <c r="P11" s="139">
        <v>2900000</v>
      </c>
      <c r="Q11" s="250">
        <f t="shared" si="0"/>
        <v>2250000</v>
      </c>
      <c r="R11" s="215"/>
    </row>
    <row r="12" spans="1:24" s="144" customFormat="1" ht="20.45" customHeight="1" x14ac:dyDescent="0.2">
      <c r="A12" s="211">
        <v>6</v>
      </c>
      <c r="B12" s="303">
        <v>44081</v>
      </c>
      <c r="C12" s="134" t="s">
        <v>3292</v>
      </c>
      <c r="D12" s="211" t="s">
        <v>3316</v>
      </c>
      <c r="E12" s="136" t="s">
        <v>3029</v>
      </c>
      <c r="F12" s="134"/>
      <c r="G12" s="138"/>
      <c r="H12" s="141"/>
      <c r="I12" s="138"/>
      <c r="J12" s="139">
        <v>790000</v>
      </c>
      <c r="K12" s="141"/>
      <c r="L12" s="150"/>
      <c r="M12" s="141"/>
      <c r="N12" s="141"/>
      <c r="O12" s="139">
        <f t="shared" si="1"/>
        <v>790000</v>
      </c>
      <c r="P12" s="139">
        <v>2900000</v>
      </c>
      <c r="Q12" s="250">
        <f t="shared" si="0"/>
        <v>2110000</v>
      </c>
      <c r="R12" s="302"/>
    </row>
    <row r="13" spans="1:24" s="144" customFormat="1" ht="20.45" customHeight="1" x14ac:dyDescent="0.25">
      <c r="A13" s="211">
        <v>7</v>
      </c>
      <c r="B13" s="303">
        <v>44082</v>
      </c>
      <c r="C13" s="134" t="s">
        <v>3293</v>
      </c>
      <c r="D13" s="211" t="s">
        <v>3317</v>
      </c>
      <c r="E13" s="136" t="s">
        <v>3340</v>
      </c>
      <c r="F13" s="134"/>
      <c r="G13" s="138">
        <v>245</v>
      </c>
      <c r="H13" s="141">
        <f>G13*11960</f>
        <v>2930200</v>
      </c>
      <c r="I13" s="138"/>
      <c r="J13" s="139">
        <v>660000</v>
      </c>
      <c r="K13" s="141"/>
      <c r="L13" s="150"/>
      <c r="M13" s="141"/>
      <c r="N13" s="139"/>
      <c r="O13" s="139">
        <f t="shared" si="1"/>
        <v>3590200</v>
      </c>
      <c r="P13" s="139">
        <v>2000000</v>
      </c>
      <c r="Q13" s="250">
        <f t="shared" si="0"/>
        <v>-1590200</v>
      </c>
      <c r="R13" s="143"/>
      <c r="S13" s="128"/>
      <c r="T13" s="128"/>
      <c r="U13" s="128"/>
      <c r="V13" s="128"/>
      <c r="W13" s="128"/>
      <c r="X13" s="128"/>
    </row>
    <row r="14" spans="1:24" s="144" customFormat="1" ht="20.45" customHeight="1" x14ac:dyDescent="0.25">
      <c r="A14" s="211">
        <v>8</v>
      </c>
      <c r="B14" s="303">
        <v>44082</v>
      </c>
      <c r="C14" s="134" t="s">
        <v>1298</v>
      </c>
      <c r="D14" s="211" t="s">
        <v>3318</v>
      </c>
      <c r="E14" s="136" t="s">
        <v>1283</v>
      </c>
      <c r="F14" s="134"/>
      <c r="G14" s="138"/>
      <c r="H14" s="141"/>
      <c r="I14" s="138"/>
      <c r="J14" s="139">
        <v>790000</v>
      </c>
      <c r="K14" s="141"/>
      <c r="L14" s="150"/>
      <c r="M14" s="141"/>
      <c r="N14" s="139"/>
      <c r="O14" s="139">
        <f t="shared" si="1"/>
        <v>790000</v>
      </c>
      <c r="P14" s="139">
        <v>3300000</v>
      </c>
      <c r="Q14" s="250">
        <f t="shared" si="0"/>
        <v>2510000</v>
      </c>
      <c r="R14" s="143"/>
      <c r="S14" s="128"/>
      <c r="T14" s="128"/>
      <c r="U14" s="128"/>
      <c r="V14" s="128"/>
      <c r="W14" s="128"/>
      <c r="X14" s="128"/>
    </row>
    <row r="15" spans="1:24" s="144" customFormat="1" ht="20.45" customHeight="1" x14ac:dyDescent="0.25">
      <c r="A15" s="211">
        <v>9</v>
      </c>
      <c r="B15" s="303">
        <v>44083</v>
      </c>
      <c r="C15" s="134" t="s">
        <v>3294</v>
      </c>
      <c r="D15" s="211" t="s">
        <v>3319</v>
      </c>
      <c r="E15" s="136" t="s">
        <v>25</v>
      </c>
      <c r="F15" s="134"/>
      <c r="G15" s="138"/>
      <c r="H15" s="141"/>
      <c r="I15" s="138"/>
      <c r="J15" s="139">
        <v>1890000</v>
      </c>
      <c r="K15" s="141"/>
      <c r="L15" s="150"/>
      <c r="M15" s="141"/>
      <c r="N15" s="139"/>
      <c r="O15" s="139">
        <f t="shared" si="1"/>
        <v>1890000</v>
      </c>
      <c r="P15" s="139">
        <v>7572727</v>
      </c>
      <c r="Q15" s="250">
        <f t="shared" si="0"/>
        <v>5682727</v>
      </c>
      <c r="R15" s="143"/>
      <c r="S15" s="128"/>
      <c r="T15" s="128"/>
      <c r="U15" s="128"/>
      <c r="V15" s="128"/>
      <c r="W15" s="128"/>
      <c r="X15" s="128"/>
    </row>
    <row r="16" spans="1:24" s="144" customFormat="1" ht="20.45" customHeight="1" x14ac:dyDescent="0.25">
      <c r="A16" s="211">
        <v>10</v>
      </c>
      <c r="B16" s="303">
        <v>44084</v>
      </c>
      <c r="C16" s="134" t="s">
        <v>3295</v>
      </c>
      <c r="D16" s="211" t="s">
        <v>3320</v>
      </c>
      <c r="E16" s="136" t="s">
        <v>25</v>
      </c>
      <c r="F16" s="134"/>
      <c r="G16" s="138">
        <v>265</v>
      </c>
      <c r="H16" s="141">
        <f>G16*11960</f>
        <v>3169400</v>
      </c>
      <c r="I16" s="138"/>
      <c r="J16" s="139">
        <v>1890000</v>
      </c>
      <c r="K16" s="141"/>
      <c r="L16" s="150"/>
      <c r="M16" s="141"/>
      <c r="N16" s="139"/>
      <c r="O16" s="139">
        <f t="shared" si="1"/>
        <v>5059400</v>
      </c>
      <c r="P16" s="139">
        <v>7572727</v>
      </c>
      <c r="Q16" s="250">
        <f t="shared" si="0"/>
        <v>2513327</v>
      </c>
      <c r="R16" s="143"/>
      <c r="S16" s="128"/>
      <c r="T16" s="128"/>
      <c r="U16" s="128"/>
      <c r="V16" s="128"/>
      <c r="W16" s="128"/>
      <c r="X16" s="128"/>
    </row>
    <row r="17" spans="1:24" s="144" customFormat="1" ht="20.45" customHeight="1" x14ac:dyDescent="0.25">
      <c r="A17" s="211">
        <v>11</v>
      </c>
      <c r="B17" s="303">
        <v>44085</v>
      </c>
      <c r="C17" s="134" t="s">
        <v>1300</v>
      </c>
      <c r="D17" s="211" t="s">
        <v>3321</v>
      </c>
      <c r="E17" s="136" t="s">
        <v>3341</v>
      </c>
      <c r="F17" s="134"/>
      <c r="G17" s="138"/>
      <c r="H17" s="141"/>
      <c r="I17" s="138"/>
      <c r="J17" s="139">
        <v>1150000</v>
      </c>
      <c r="K17" s="141"/>
      <c r="L17" s="150"/>
      <c r="M17" s="141"/>
      <c r="N17" s="139"/>
      <c r="O17" s="139">
        <f t="shared" si="1"/>
        <v>1150000</v>
      </c>
      <c r="P17" s="139">
        <v>3909091</v>
      </c>
      <c r="Q17" s="250">
        <f t="shared" si="0"/>
        <v>2759091</v>
      </c>
      <c r="R17" s="143"/>
      <c r="S17" s="128"/>
      <c r="T17" s="128"/>
      <c r="U17" s="128"/>
      <c r="V17" s="128"/>
      <c r="W17" s="128"/>
      <c r="X17" s="128"/>
    </row>
    <row r="18" spans="1:24" s="144" customFormat="1" ht="20.45" customHeight="1" x14ac:dyDescent="0.25">
      <c r="A18" s="211">
        <v>12</v>
      </c>
      <c r="B18" s="303">
        <v>44086</v>
      </c>
      <c r="C18" s="134" t="s">
        <v>3296</v>
      </c>
      <c r="D18" s="211" t="s">
        <v>3322</v>
      </c>
      <c r="E18" s="136" t="s">
        <v>894</v>
      </c>
      <c r="F18" s="134"/>
      <c r="G18" s="138"/>
      <c r="H18" s="141"/>
      <c r="I18" s="138"/>
      <c r="J18" s="139">
        <v>1160000</v>
      </c>
      <c r="K18" s="141"/>
      <c r="L18" s="150"/>
      <c r="M18" s="141"/>
      <c r="N18" s="139"/>
      <c r="O18" s="139">
        <f t="shared" si="1"/>
        <v>1160000</v>
      </c>
      <c r="P18" s="139">
        <v>4400000</v>
      </c>
      <c r="Q18" s="250">
        <f t="shared" si="0"/>
        <v>3240000</v>
      </c>
      <c r="R18" s="143"/>
      <c r="S18" s="128"/>
      <c r="T18" s="128"/>
      <c r="U18" s="128"/>
      <c r="V18" s="128"/>
      <c r="W18" s="128"/>
      <c r="X18" s="128"/>
    </row>
    <row r="19" spans="1:24" s="144" customFormat="1" ht="20.45" customHeight="1" x14ac:dyDescent="0.25">
      <c r="A19" s="211">
        <v>13</v>
      </c>
      <c r="B19" s="303">
        <v>44086</v>
      </c>
      <c r="C19" s="134" t="s">
        <v>3297</v>
      </c>
      <c r="D19" s="211" t="s">
        <v>3322</v>
      </c>
      <c r="E19" s="136" t="s">
        <v>24</v>
      </c>
      <c r="F19" s="134"/>
      <c r="G19" s="138"/>
      <c r="H19" s="141"/>
      <c r="I19" s="138"/>
      <c r="J19" s="139"/>
      <c r="K19" s="141"/>
      <c r="L19" s="150"/>
      <c r="M19" s="141"/>
      <c r="N19" s="139"/>
      <c r="O19" s="139">
        <f t="shared" si="1"/>
        <v>0</v>
      </c>
      <c r="P19" s="139">
        <v>0</v>
      </c>
      <c r="Q19" s="250">
        <f t="shared" si="0"/>
        <v>0</v>
      </c>
      <c r="R19" s="143"/>
      <c r="S19" s="128"/>
      <c r="T19" s="128"/>
      <c r="U19" s="128"/>
      <c r="V19" s="128"/>
      <c r="W19" s="128"/>
      <c r="X19" s="128"/>
    </row>
    <row r="20" spans="1:24" s="144" customFormat="1" ht="20.45" customHeight="1" x14ac:dyDescent="0.25">
      <c r="A20" s="211">
        <v>14</v>
      </c>
      <c r="B20" s="303">
        <v>44088</v>
      </c>
      <c r="C20" s="134" t="s">
        <v>3298</v>
      </c>
      <c r="D20" s="211" t="s">
        <v>3323</v>
      </c>
      <c r="E20" s="136" t="s">
        <v>3342</v>
      </c>
      <c r="F20" s="134"/>
      <c r="G20" s="138">
        <v>280</v>
      </c>
      <c r="H20" s="141">
        <f>G20*11510</f>
        <v>3222800</v>
      </c>
      <c r="I20" s="138"/>
      <c r="J20" s="139">
        <v>790000</v>
      </c>
      <c r="K20" s="141"/>
      <c r="L20" s="150"/>
      <c r="M20" s="141"/>
      <c r="N20" s="139"/>
      <c r="O20" s="139">
        <f t="shared" si="1"/>
        <v>4012800</v>
      </c>
      <c r="P20" s="139">
        <v>2700000</v>
      </c>
      <c r="Q20" s="250">
        <f t="shared" si="0"/>
        <v>-1312800</v>
      </c>
      <c r="R20" s="143"/>
      <c r="S20" s="128"/>
      <c r="T20" s="128"/>
      <c r="U20" s="128"/>
      <c r="V20" s="128"/>
      <c r="W20" s="128"/>
      <c r="X20" s="128"/>
    </row>
    <row r="21" spans="1:24" s="144" customFormat="1" ht="20.45" customHeight="1" x14ac:dyDescent="0.25">
      <c r="A21" s="211">
        <v>15</v>
      </c>
      <c r="B21" s="303">
        <v>44089</v>
      </c>
      <c r="C21" s="134" t="s">
        <v>3299</v>
      </c>
      <c r="D21" s="211" t="s">
        <v>3324</v>
      </c>
      <c r="E21" s="136" t="s">
        <v>218</v>
      </c>
      <c r="F21" s="134"/>
      <c r="G21" s="138"/>
      <c r="H21" s="141"/>
      <c r="I21" s="138"/>
      <c r="J21" s="139">
        <v>1150000</v>
      </c>
      <c r="K21" s="141"/>
      <c r="L21" s="150"/>
      <c r="M21" s="141"/>
      <c r="N21" s="139"/>
      <c r="O21" s="139">
        <f t="shared" si="1"/>
        <v>1150000</v>
      </c>
      <c r="P21" s="139">
        <v>3500000</v>
      </c>
      <c r="Q21" s="250">
        <f t="shared" si="0"/>
        <v>2350000</v>
      </c>
      <c r="R21" s="143"/>
      <c r="S21" s="128"/>
      <c r="T21" s="128"/>
      <c r="U21" s="128"/>
      <c r="V21" s="128"/>
      <c r="W21" s="128"/>
      <c r="X21" s="128"/>
    </row>
    <row r="22" spans="1:24" s="144" customFormat="1" ht="20.45" customHeight="1" x14ac:dyDescent="0.25">
      <c r="A22" s="211">
        <v>16</v>
      </c>
      <c r="B22" s="303">
        <v>44090</v>
      </c>
      <c r="C22" s="134" t="s">
        <v>3300</v>
      </c>
      <c r="D22" s="211" t="s">
        <v>3325</v>
      </c>
      <c r="E22" s="136" t="s">
        <v>23</v>
      </c>
      <c r="F22" s="134"/>
      <c r="G22" s="138">
        <v>280</v>
      </c>
      <c r="H22" s="141">
        <f>G22*11510</f>
        <v>3222800</v>
      </c>
      <c r="I22" s="138"/>
      <c r="J22" s="139">
        <v>2740000</v>
      </c>
      <c r="K22" s="141"/>
      <c r="L22" s="150"/>
      <c r="M22" s="141"/>
      <c r="N22" s="139"/>
      <c r="O22" s="139">
        <f t="shared" si="1"/>
        <v>5962800</v>
      </c>
      <c r="P22" s="139">
        <v>11862182</v>
      </c>
      <c r="Q22" s="250">
        <f t="shared" si="0"/>
        <v>5899382</v>
      </c>
      <c r="R22" s="143"/>
      <c r="S22" s="128"/>
      <c r="T22" s="128"/>
      <c r="U22" s="128"/>
      <c r="V22" s="128"/>
      <c r="W22" s="128"/>
      <c r="X22" s="128"/>
    </row>
    <row r="23" spans="1:24" s="144" customFormat="1" ht="20.45" customHeight="1" x14ac:dyDescent="0.25">
      <c r="A23" s="211">
        <v>17</v>
      </c>
      <c r="B23" s="303">
        <v>44091</v>
      </c>
      <c r="C23" s="134" t="s">
        <v>3301</v>
      </c>
      <c r="D23" s="211" t="s">
        <v>3326</v>
      </c>
      <c r="E23" s="136" t="s">
        <v>3343</v>
      </c>
      <c r="F23" s="134"/>
      <c r="G23" s="138"/>
      <c r="H23" s="141"/>
      <c r="I23" s="138"/>
      <c r="J23" s="139">
        <v>790000</v>
      </c>
      <c r="K23" s="141"/>
      <c r="L23" s="150"/>
      <c r="M23" s="141"/>
      <c r="N23" s="139"/>
      <c r="O23" s="139">
        <f t="shared" si="1"/>
        <v>790000</v>
      </c>
      <c r="P23" s="139">
        <v>2654545</v>
      </c>
      <c r="Q23" s="250">
        <f t="shared" si="0"/>
        <v>1864545</v>
      </c>
      <c r="R23" s="143"/>
      <c r="S23" s="128"/>
      <c r="T23" s="128"/>
      <c r="U23" s="128"/>
      <c r="V23" s="128"/>
      <c r="W23" s="128"/>
      <c r="X23" s="128"/>
    </row>
    <row r="24" spans="1:24" s="144" customFormat="1" ht="20.45" customHeight="1" x14ac:dyDescent="0.25">
      <c r="A24" s="211">
        <v>18</v>
      </c>
      <c r="B24" s="303">
        <v>44093</v>
      </c>
      <c r="C24" s="134" t="s">
        <v>3302</v>
      </c>
      <c r="D24" s="211" t="s">
        <v>3327</v>
      </c>
      <c r="E24" s="136" t="s">
        <v>2059</v>
      </c>
      <c r="F24" s="134"/>
      <c r="G24" s="138">
        <v>245</v>
      </c>
      <c r="H24" s="141">
        <f>G24*11510</f>
        <v>2819950</v>
      </c>
      <c r="I24" s="138"/>
      <c r="J24" s="139">
        <v>1400000</v>
      </c>
      <c r="K24" s="141"/>
      <c r="L24" s="150"/>
      <c r="M24" s="141"/>
      <c r="N24" s="139"/>
      <c r="O24" s="139">
        <f t="shared" si="1"/>
        <v>4219950</v>
      </c>
      <c r="P24" s="139">
        <v>5454545</v>
      </c>
      <c r="Q24" s="250">
        <f t="shared" si="0"/>
        <v>1234595</v>
      </c>
      <c r="R24" s="143"/>
      <c r="S24" s="128"/>
      <c r="T24" s="128"/>
      <c r="U24" s="128"/>
      <c r="V24" s="128"/>
      <c r="W24" s="128"/>
      <c r="X24" s="128"/>
    </row>
    <row r="25" spans="1:24" s="144" customFormat="1" ht="20.45" customHeight="1" x14ac:dyDescent="0.25">
      <c r="A25" s="211">
        <v>19</v>
      </c>
      <c r="B25" s="303">
        <v>44094</v>
      </c>
      <c r="C25" s="134" t="s">
        <v>1965</v>
      </c>
      <c r="D25" s="211" t="s">
        <v>3328</v>
      </c>
      <c r="E25" s="136" t="s">
        <v>2059</v>
      </c>
      <c r="F25" s="134"/>
      <c r="G25" s="138"/>
      <c r="H25" s="141"/>
      <c r="I25" s="138"/>
      <c r="J25" s="139">
        <v>1400000</v>
      </c>
      <c r="K25" s="141"/>
      <c r="L25" s="150"/>
      <c r="M25" s="141"/>
      <c r="N25" s="139"/>
      <c r="O25" s="139">
        <f t="shared" si="1"/>
        <v>1400000</v>
      </c>
      <c r="P25" s="139">
        <v>5454545</v>
      </c>
      <c r="Q25" s="250">
        <f t="shared" si="0"/>
        <v>4054545</v>
      </c>
      <c r="R25" s="143"/>
      <c r="S25" s="128"/>
      <c r="T25" s="128"/>
      <c r="U25" s="128"/>
      <c r="V25" s="128"/>
      <c r="W25" s="128"/>
      <c r="X25" s="128"/>
    </row>
    <row r="26" spans="1:24" s="144" customFormat="1" ht="20.45" customHeight="1" x14ac:dyDescent="0.25">
      <c r="A26" s="211">
        <v>20</v>
      </c>
      <c r="B26" s="303">
        <v>44095</v>
      </c>
      <c r="C26" s="134" t="s">
        <v>3303</v>
      </c>
      <c r="D26" s="211" t="s">
        <v>3329</v>
      </c>
      <c r="E26" s="136" t="s">
        <v>291</v>
      </c>
      <c r="F26" s="134"/>
      <c r="G26" s="138">
        <v>365</v>
      </c>
      <c r="H26" s="141">
        <f>G26*11510</f>
        <v>4201150</v>
      </c>
      <c r="I26" s="138"/>
      <c r="J26" s="139">
        <v>1150000</v>
      </c>
      <c r="K26" s="141"/>
      <c r="L26" s="150"/>
      <c r="M26" s="141"/>
      <c r="N26" s="139"/>
      <c r="O26" s="139">
        <f t="shared" si="1"/>
        <v>5351150</v>
      </c>
      <c r="P26" s="139">
        <v>3700000</v>
      </c>
      <c r="Q26" s="250">
        <f t="shared" si="0"/>
        <v>-1651150</v>
      </c>
      <c r="R26" s="143"/>
      <c r="S26" s="128"/>
      <c r="T26" s="128"/>
      <c r="U26" s="128"/>
      <c r="V26" s="128"/>
      <c r="W26" s="128"/>
      <c r="X26" s="128"/>
    </row>
    <row r="27" spans="1:24" s="144" customFormat="1" ht="20.45" customHeight="1" x14ac:dyDescent="0.25">
      <c r="A27" s="211">
        <v>21</v>
      </c>
      <c r="B27" s="303">
        <v>44096</v>
      </c>
      <c r="C27" s="134" t="s">
        <v>2642</v>
      </c>
      <c r="D27" s="211" t="s">
        <v>3330</v>
      </c>
      <c r="E27" s="136" t="s">
        <v>894</v>
      </c>
      <c r="F27" s="134"/>
      <c r="G27" s="138"/>
      <c r="H27" s="141"/>
      <c r="I27" s="138"/>
      <c r="J27" s="139">
        <v>790000</v>
      </c>
      <c r="K27" s="141"/>
      <c r="L27" s="150"/>
      <c r="M27" s="141"/>
      <c r="N27" s="139"/>
      <c r="O27" s="139">
        <f t="shared" si="1"/>
        <v>790000</v>
      </c>
      <c r="P27" s="139">
        <v>2700000</v>
      </c>
      <c r="Q27" s="250">
        <f t="shared" si="0"/>
        <v>1910000</v>
      </c>
      <c r="R27" s="143"/>
      <c r="S27" s="128"/>
      <c r="T27" s="128"/>
      <c r="U27" s="128"/>
      <c r="V27" s="128"/>
      <c r="W27" s="128"/>
      <c r="X27" s="128"/>
    </row>
    <row r="28" spans="1:24" s="144" customFormat="1" ht="20.45" customHeight="1" x14ac:dyDescent="0.25">
      <c r="A28" s="211">
        <v>22</v>
      </c>
      <c r="B28" s="303">
        <v>44097</v>
      </c>
      <c r="C28" s="134" t="s">
        <v>3304</v>
      </c>
      <c r="D28" s="211" t="s">
        <v>3331</v>
      </c>
      <c r="E28" s="136" t="s">
        <v>1505</v>
      </c>
      <c r="F28" s="134"/>
      <c r="G28" s="138"/>
      <c r="H28" s="141"/>
      <c r="I28" s="138"/>
      <c r="J28" s="139">
        <v>660000</v>
      </c>
      <c r="K28" s="141"/>
      <c r="L28" s="150"/>
      <c r="M28" s="141"/>
      <c r="N28" s="139"/>
      <c r="O28" s="139">
        <f t="shared" si="1"/>
        <v>660000</v>
      </c>
      <c r="P28" s="139">
        <v>2000000</v>
      </c>
      <c r="Q28" s="250">
        <f t="shared" si="0"/>
        <v>1340000</v>
      </c>
      <c r="R28" s="143"/>
      <c r="S28" s="128"/>
      <c r="T28" s="128"/>
      <c r="U28" s="128"/>
      <c r="V28" s="128"/>
      <c r="W28" s="128"/>
      <c r="X28" s="128"/>
    </row>
    <row r="29" spans="1:24" s="144" customFormat="1" ht="20.45" customHeight="1" x14ac:dyDescent="0.25">
      <c r="A29" s="211">
        <v>23</v>
      </c>
      <c r="B29" s="303">
        <v>44097</v>
      </c>
      <c r="C29" s="134" t="s">
        <v>3305</v>
      </c>
      <c r="D29" s="211" t="s">
        <v>3332</v>
      </c>
      <c r="E29" s="136" t="s">
        <v>1937</v>
      </c>
      <c r="F29" s="134"/>
      <c r="G29" s="138"/>
      <c r="H29" s="141"/>
      <c r="I29" s="138"/>
      <c r="J29" s="139">
        <v>1150000</v>
      </c>
      <c r="K29" s="141"/>
      <c r="L29" s="150"/>
      <c r="M29" s="141"/>
      <c r="N29" s="139"/>
      <c r="O29" s="139">
        <f t="shared" si="1"/>
        <v>1150000</v>
      </c>
      <c r="P29" s="139">
        <v>3560000</v>
      </c>
      <c r="Q29" s="250">
        <f t="shared" si="0"/>
        <v>2410000</v>
      </c>
      <c r="R29" s="143"/>
      <c r="S29" s="128"/>
      <c r="T29" s="128"/>
      <c r="U29" s="128"/>
      <c r="V29" s="128"/>
      <c r="W29" s="128"/>
      <c r="X29" s="128"/>
    </row>
    <row r="30" spans="1:24" s="144" customFormat="1" ht="20.45" customHeight="1" x14ac:dyDescent="0.25">
      <c r="A30" s="211">
        <v>24</v>
      </c>
      <c r="B30" s="303">
        <v>44097</v>
      </c>
      <c r="C30" s="134" t="s">
        <v>1318</v>
      </c>
      <c r="D30" s="211" t="s">
        <v>3333</v>
      </c>
      <c r="E30" s="136" t="s">
        <v>1937</v>
      </c>
      <c r="F30" s="134"/>
      <c r="G30" s="138">
        <v>315</v>
      </c>
      <c r="H30" s="141">
        <f>G30*11510</f>
        <v>3625650</v>
      </c>
      <c r="I30" s="138"/>
      <c r="J30" s="139">
        <v>1150000</v>
      </c>
      <c r="K30" s="141"/>
      <c r="L30" s="150"/>
      <c r="M30" s="141"/>
      <c r="N30" s="139"/>
      <c r="O30" s="139">
        <f t="shared" si="1"/>
        <v>4775650</v>
      </c>
      <c r="P30" s="139">
        <v>3560000</v>
      </c>
      <c r="Q30" s="250">
        <f t="shared" si="0"/>
        <v>-1215650</v>
      </c>
      <c r="R30" s="143"/>
      <c r="S30" s="128"/>
      <c r="T30" s="128"/>
      <c r="U30" s="128"/>
      <c r="V30" s="128"/>
      <c r="W30" s="128"/>
      <c r="X30" s="128"/>
    </row>
    <row r="31" spans="1:24" s="144" customFormat="1" ht="20.45" customHeight="1" x14ac:dyDescent="0.25">
      <c r="A31" s="211">
        <v>25</v>
      </c>
      <c r="B31" s="303">
        <v>44099</v>
      </c>
      <c r="C31" s="134" t="s">
        <v>3306</v>
      </c>
      <c r="D31" s="211" t="s">
        <v>3334</v>
      </c>
      <c r="E31" s="136" t="s">
        <v>828</v>
      </c>
      <c r="F31" s="134"/>
      <c r="G31" s="138"/>
      <c r="H31" s="141"/>
      <c r="I31" s="138"/>
      <c r="J31" s="139">
        <v>790000</v>
      </c>
      <c r="K31" s="141"/>
      <c r="L31" s="150"/>
      <c r="M31" s="141"/>
      <c r="N31" s="139"/>
      <c r="O31" s="139">
        <f t="shared" si="1"/>
        <v>790000</v>
      </c>
      <c r="P31" s="139">
        <v>2800000</v>
      </c>
      <c r="Q31" s="250">
        <f t="shared" si="0"/>
        <v>2010000</v>
      </c>
      <c r="R31" s="143"/>
      <c r="S31" s="128"/>
      <c r="T31" s="128"/>
      <c r="U31" s="128"/>
      <c r="V31" s="128"/>
      <c r="W31" s="128"/>
      <c r="X31" s="128"/>
    </row>
    <row r="32" spans="1:24" s="144" customFormat="1" ht="20.45" customHeight="1" x14ac:dyDescent="0.25">
      <c r="A32" s="211">
        <v>26</v>
      </c>
      <c r="B32" s="303">
        <v>44100</v>
      </c>
      <c r="C32" s="134" t="s">
        <v>3307</v>
      </c>
      <c r="D32" s="211" t="s">
        <v>3335</v>
      </c>
      <c r="E32" s="136" t="s">
        <v>3344</v>
      </c>
      <c r="F32" s="134"/>
      <c r="G32" s="134"/>
      <c r="H32" s="141"/>
      <c r="I32" s="134"/>
      <c r="J32" s="139">
        <v>970000</v>
      </c>
      <c r="K32" s="141"/>
      <c r="L32" s="150"/>
      <c r="M32" s="141"/>
      <c r="N32" s="139"/>
      <c r="O32" s="139">
        <f t="shared" si="1"/>
        <v>970000</v>
      </c>
      <c r="P32" s="139">
        <v>3700000</v>
      </c>
      <c r="Q32" s="250">
        <f t="shared" si="0"/>
        <v>2730000</v>
      </c>
      <c r="R32" s="143"/>
      <c r="S32" s="128"/>
      <c r="T32" s="128"/>
      <c r="U32" s="128"/>
      <c r="V32" s="128"/>
      <c r="W32" s="128"/>
      <c r="X32" s="128"/>
    </row>
    <row r="33" spans="1:24" s="144" customFormat="1" ht="20.45" customHeight="1" x14ac:dyDescent="0.25">
      <c r="A33" s="211">
        <v>27</v>
      </c>
      <c r="B33" s="303">
        <v>44100</v>
      </c>
      <c r="C33" s="134" t="s">
        <v>1970</v>
      </c>
      <c r="D33" s="211" t="s">
        <v>3336</v>
      </c>
      <c r="E33" s="136" t="s">
        <v>2059</v>
      </c>
      <c r="F33" s="134"/>
      <c r="G33" s="134"/>
      <c r="H33" s="141"/>
      <c r="I33" s="134"/>
      <c r="J33" s="139">
        <v>1400000</v>
      </c>
      <c r="K33" s="141"/>
      <c r="L33" s="150"/>
      <c r="M33" s="141"/>
      <c r="N33" s="139"/>
      <c r="O33" s="139">
        <f t="shared" si="1"/>
        <v>1400000</v>
      </c>
      <c r="P33" s="139">
        <v>5454545</v>
      </c>
      <c r="Q33" s="250">
        <f t="shared" si="0"/>
        <v>4054545</v>
      </c>
      <c r="R33" s="143"/>
      <c r="S33" s="128"/>
      <c r="T33" s="128"/>
      <c r="U33" s="128"/>
      <c r="V33" s="128"/>
      <c r="W33" s="128"/>
      <c r="X33" s="128"/>
    </row>
    <row r="34" spans="1:24" s="144" customFormat="1" ht="20.45" customHeight="1" x14ac:dyDescent="0.25">
      <c r="A34" s="211">
        <v>28</v>
      </c>
      <c r="B34" s="303">
        <v>44101</v>
      </c>
      <c r="C34" s="134" t="s">
        <v>3308</v>
      </c>
      <c r="D34" s="322" t="s">
        <v>3337</v>
      </c>
      <c r="E34" s="190" t="s">
        <v>25</v>
      </c>
      <c r="F34" s="195"/>
      <c r="G34" s="194">
        <v>275</v>
      </c>
      <c r="H34" s="141">
        <f>G34*11120</f>
        <v>3058000</v>
      </c>
      <c r="I34" s="194"/>
      <c r="J34" s="139">
        <v>1890000</v>
      </c>
      <c r="K34" s="141"/>
      <c r="L34" s="150"/>
      <c r="M34" s="141"/>
      <c r="N34" s="139"/>
      <c r="O34" s="139">
        <f t="shared" si="1"/>
        <v>4948000</v>
      </c>
      <c r="P34" s="139">
        <v>7209091</v>
      </c>
      <c r="Q34" s="250">
        <f t="shared" si="0"/>
        <v>2261091</v>
      </c>
      <c r="R34" s="143"/>
      <c r="S34" s="128"/>
      <c r="T34" s="128"/>
      <c r="U34" s="128"/>
      <c r="V34" s="128"/>
      <c r="W34" s="128"/>
      <c r="X34" s="128"/>
    </row>
    <row r="35" spans="1:24" s="144" customFormat="1" ht="20.45" customHeight="1" x14ac:dyDescent="0.25">
      <c r="A35" s="211">
        <v>29</v>
      </c>
      <c r="B35" s="303">
        <v>44103</v>
      </c>
      <c r="C35" s="134" t="s">
        <v>3309</v>
      </c>
      <c r="D35" s="211" t="s">
        <v>3338</v>
      </c>
      <c r="E35" s="136" t="s">
        <v>947</v>
      </c>
      <c r="F35" s="134"/>
      <c r="G35" s="134">
        <v>320</v>
      </c>
      <c r="H35" s="141">
        <f>G35*11120</f>
        <v>3558400</v>
      </c>
      <c r="I35" s="134"/>
      <c r="J35" s="139">
        <v>790000</v>
      </c>
      <c r="K35" s="141"/>
      <c r="L35" s="150"/>
      <c r="M35" s="141"/>
      <c r="N35" s="141"/>
      <c r="O35" s="139">
        <f t="shared" si="1"/>
        <v>4348400</v>
      </c>
      <c r="P35" s="141">
        <v>2700000</v>
      </c>
      <c r="Q35" s="250">
        <f t="shared" si="0"/>
        <v>-1648400</v>
      </c>
      <c r="R35" s="215"/>
    </row>
    <row r="36" spans="1:24" s="144" customFormat="1" ht="20.45" customHeight="1" x14ac:dyDescent="0.25">
      <c r="A36" s="211">
        <v>30</v>
      </c>
      <c r="B36" s="303">
        <v>44104</v>
      </c>
      <c r="C36" s="134" t="s">
        <v>3310</v>
      </c>
      <c r="D36" s="211" t="s">
        <v>3338</v>
      </c>
      <c r="E36" s="136" t="s">
        <v>2799</v>
      </c>
      <c r="F36" s="134"/>
      <c r="G36" s="134"/>
      <c r="H36" s="141"/>
      <c r="I36" s="134"/>
      <c r="J36" s="139">
        <v>670000</v>
      </c>
      <c r="K36" s="141"/>
      <c r="L36" s="150"/>
      <c r="M36" s="141"/>
      <c r="N36" s="141"/>
      <c r="O36" s="139">
        <f t="shared" si="1"/>
        <v>670000</v>
      </c>
      <c r="P36" s="141">
        <v>3000000</v>
      </c>
      <c r="Q36" s="250">
        <f t="shared" si="0"/>
        <v>2330000</v>
      </c>
      <c r="R36" s="215"/>
    </row>
    <row r="37" spans="1:24" s="144" customFormat="1" ht="20.45" customHeight="1" x14ac:dyDescent="0.25">
      <c r="A37" s="211"/>
      <c r="B37" s="191"/>
      <c r="C37" s="134"/>
      <c r="D37" s="134"/>
      <c r="E37" s="136"/>
      <c r="F37" s="134"/>
      <c r="G37" s="138"/>
      <c r="H37" s="141"/>
      <c r="I37" s="138"/>
      <c r="J37" s="139"/>
      <c r="K37" s="141"/>
      <c r="L37" s="263"/>
      <c r="M37" s="139"/>
      <c r="N37" s="141"/>
      <c r="O37" s="139"/>
      <c r="P37" s="141"/>
      <c r="Q37" s="250"/>
      <c r="R37" s="215"/>
    </row>
    <row r="38" spans="1:24" s="144" customFormat="1" ht="20.45" customHeight="1" x14ac:dyDescent="0.25">
      <c r="A38" s="211"/>
      <c r="B38" s="191"/>
      <c r="C38" s="440" t="s">
        <v>1094</v>
      </c>
      <c r="D38" s="441"/>
      <c r="E38" s="441"/>
      <c r="F38" s="442"/>
      <c r="G38" s="153"/>
      <c r="H38" s="156"/>
      <c r="I38" s="153"/>
      <c r="J38" s="156"/>
      <c r="K38" s="204">
        <v>1200000</v>
      </c>
      <c r="L38" s="263"/>
      <c r="M38" s="139"/>
      <c r="N38" s="141"/>
      <c r="O38" s="139">
        <f t="shared" ref="O38:O42" si="2">SUM(H38:N38)</f>
        <v>1200000</v>
      </c>
      <c r="P38" s="141"/>
      <c r="Q38" s="250"/>
      <c r="R38" s="215"/>
    </row>
    <row r="39" spans="1:24" s="144" customFormat="1" ht="20.45" customHeight="1" x14ac:dyDescent="0.25">
      <c r="A39" s="211"/>
      <c r="B39" s="191"/>
      <c r="C39" s="446" t="s">
        <v>3346</v>
      </c>
      <c r="D39" s="447"/>
      <c r="E39" s="447"/>
      <c r="F39" s="448"/>
      <c r="G39" s="134"/>
      <c r="H39" s="139"/>
      <c r="I39" s="134"/>
      <c r="J39" s="139"/>
      <c r="K39" s="139"/>
      <c r="L39" s="219">
        <v>200000</v>
      </c>
      <c r="M39" s="219"/>
      <c r="N39" s="157"/>
      <c r="O39" s="139">
        <f t="shared" si="2"/>
        <v>200000</v>
      </c>
      <c r="P39" s="141"/>
      <c r="Q39" s="250"/>
      <c r="R39" s="215"/>
    </row>
    <row r="40" spans="1:24" s="144" customFormat="1" ht="20.45" customHeight="1" x14ac:dyDescent="0.25">
      <c r="A40" s="211"/>
      <c r="B40" s="191"/>
      <c r="C40" s="446" t="s">
        <v>3347</v>
      </c>
      <c r="D40" s="447"/>
      <c r="E40" s="447"/>
      <c r="F40" s="317"/>
      <c r="G40" s="134"/>
      <c r="H40" s="139"/>
      <c r="I40" s="134"/>
      <c r="J40" s="139"/>
      <c r="K40" s="206"/>
      <c r="L40" s="219">
        <v>170000</v>
      </c>
      <c r="M40" s="219"/>
      <c r="N40" s="219"/>
      <c r="O40" s="139">
        <f t="shared" si="2"/>
        <v>170000</v>
      </c>
      <c r="P40" s="141"/>
      <c r="Q40" s="250"/>
      <c r="R40" s="215"/>
    </row>
    <row r="41" spans="1:24" s="144" customFormat="1" ht="20.45" customHeight="1" x14ac:dyDescent="0.25">
      <c r="A41" s="211"/>
      <c r="B41" s="191"/>
      <c r="C41" s="314" t="s">
        <v>3348</v>
      </c>
      <c r="D41" s="315"/>
      <c r="E41" s="316"/>
      <c r="F41" s="317"/>
      <c r="G41" s="134"/>
      <c r="H41" s="139"/>
      <c r="I41" s="134"/>
      <c r="J41" s="139"/>
      <c r="K41" s="301">
        <v>500000</v>
      </c>
      <c r="L41" s="219"/>
      <c r="M41" s="219"/>
      <c r="N41" s="157"/>
      <c r="O41" s="139">
        <f t="shared" si="2"/>
        <v>500000</v>
      </c>
      <c r="P41" s="141"/>
      <c r="Q41" s="250"/>
      <c r="R41" s="215"/>
    </row>
    <row r="42" spans="1:24" s="159" customFormat="1" ht="20.45" customHeight="1" x14ac:dyDescent="0.25">
      <c r="A42" s="211"/>
      <c r="B42" s="165"/>
      <c r="C42" s="440" t="s">
        <v>1337</v>
      </c>
      <c r="D42" s="441"/>
      <c r="E42" s="441"/>
      <c r="F42" s="442"/>
      <c r="G42" s="195"/>
      <c r="H42" s="155"/>
      <c r="I42" s="195"/>
      <c r="J42" s="155"/>
      <c r="K42" s="301">
        <f>'[5]09.2020'!$K$10</f>
        <v>9692307.692307692</v>
      </c>
      <c r="L42" s="155"/>
      <c r="M42" s="155"/>
      <c r="N42" s="155"/>
      <c r="O42" s="139">
        <f t="shared" si="2"/>
        <v>9692307.692307692</v>
      </c>
      <c r="P42" s="139"/>
      <c r="Q42" s="250"/>
      <c r="R42" s="215"/>
    </row>
    <row r="43" spans="1:24" s="159" customFormat="1" ht="20.45" customHeight="1" x14ac:dyDescent="0.25">
      <c r="A43" s="211"/>
      <c r="B43" s="203"/>
      <c r="C43" s="434"/>
      <c r="D43" s="435"/>
      <c r="E43" s="435"/>
      <c r="F43" s="436"/>
      <c r="G43" s="153"/>
      <c r="H43" s="156"/>
      <c r="I43" s="153"/>
      <c r="J43" s="156"/>
      <c r="K43" s="300"/>
      <c r="L43" s="204"/>
      <c r="M43" s="156"/>
      <c r="N43" s="156"/>
      <c r="O43" s="139">
        <f t="shared" ref="O43" si="3">SUM(H43:N43)</f>
        <v>0</v>
      </c>
      <c r="P43" s="139"/>
      <c r="Q43" s="250"/>
      <c r="R43" s="215"/>
    </row>
    <row r="44" spans="1:24" ht="20.45" customHeight="1" x14ac:dyDescent="0.25">
      <c r="A44" s="426" t="s">
        <v>20</v>
      </c>
      <c r="B44" s="426"/>
      <c r="C44" s="426"/>
      <c r="D44" s="426"/>
      <c r="E44" s="426"/>
      <c r="F44" s="426"/>
      <c r="G44" s="161">
        <f t="shared" ref="G44:N44" si="4">SUM(G7:G43)</f>
        <v>2880</v>
      </c>
      <c r="H44" s="161">
        <f t="shared" si="4"/>
        <v>33276750</v>
      </c>
      <c r="I44" s="161">
        <f t="shared" si="4"/>
        <v>0</v>
      </c>
      <c r="J44" s="161">
        <f t="shared" si="4"/>
        <v>31770000</v>
      </c>
      <c r="K44" s="161">
        <f t="shared" si="4"/>
        <v>11392307.692307692</v>
      </c>
      <c r="L44" s="161">
        <f t="shared" si="4"/>
        <v>370000</v>
      </c>
      <c r="M44" s="161">
        <f t="shared" si="4"/>
        <v>0</v>
      </c>
      <c r="N44" s="161">
        <f t="shared" si="4"/>
        <v>0</v>
      </c>
      <c r="O44" s="161">
        <f>SUM(O7:O43)</f>
        <v>76809057.692307696</v>
      </c>
      <c r="P44" s="161">
        <f>SUM(P7:P43)</f>
        <v>117382180</v>
      </c>
      <c r="Q44" s="234">
        <f>P44-O44</f>
        <v>40573122.307692304</v>
      </c>
    </row>
    <row r="45" spans="1:24" ht="24.95" customHeight="1" x14ac:dyDescent="0.25">
      <c r="O45" s="158"/>
      <c r="Q45" s="158"/>
    </row>
    <row r="46" spans="1:24" ht="13.9" customHeight="1" x14ac:dyDescent="0.25">
      <c r="P46" s="216" t="s">
        <v>1603</v>
      </c>
      <c r="Q46" s="227">
        <f>'08.2020'!Q45+'09.2020'!Q44</f>
        <v>190996947</v>
      </c>
      <c r="S46" s="216"/>
    </row>
    <row r="47" spans="1:24" ht="13.9" customHeight="1" x14ac:dyDescent="0.25">
      <c r="B47" s="129"/>
      <c r="J47" s="128"/>
      <c r="K47" s="128"/>
      <c r="L47" s="128"/>
      <c r="M47" s="128"/>
      <c r="N47" s="128"/>
      <c r="O47" s="128"/>
      <c r="P47" s="218"/>
      <c r="Q47" s="216"/>
    </row>
    <row r="48" spans="1:24" ht="13.9" customHeight="1" x14ac:dyDescent="0.25">
      <c r="B48" s="129"/>
      <c r="H48" s="128"/>
      <c r="J48" s="128"/>
      <c r="K48" s="128"/>
      <c r="L48" s="128"/>
      <c r="M48" s="128"/>
      <c r="N48" s="128"/>
      <c r="O48" s="128"/>
      <c r="P48" s="218"/>
      <c r="Q48" s="230"/>
    </row>
    <row r="49" spans="1:18" ht="13.9" customHeight="1" x14ac:dyDescent="0.25">
      <c r="B49" s="129"/>
      <c r="H49" s="128"/>
      <c r="J49" s="128"/>
      <c r="K49" s="128"/>
      <c r="L49" s="128"/>
      <c r="M49" s="128"/>
      <c r="N49" s="128"/>
      <c r="O49" s="128"/>
      <c r="P49" s="218"/>
      <c r="Q49" s="230"/>
      <c r="R49" s="143"/>
    </row>
    <row r="50" spans="1:18" ht="13.9" customHeight="1" x14ac:dyDescent="0.25">
      <c r="B50" s="129"/>
      <c r="H50" s="128"/>
      <c r="J50" s="128"/>
      <c r="K50" s="128"/>
      <c r="L50" s="128"/>
      <c r="M50" s="128"/>
      <c r="N50" s="128"/>
      <c r="O50" s="128"/>
      <c r="P50" s="218"/>
      <c r="Q50" s="216"/>
      <c r="R50" s="143"/>
    </row>
    <row r="51" spans="1:18" x14ac:dyDescent="0.25">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9"/>
      <c r="H53" s="128"/>
      <c r="J53" s="128"/>
      <c r="K53" s="128"/>
      <c r="L53" s="128"/>
      <c r="M53" s="128"/>
      <c r="N53" s="128"/>
      <c r="O53" s="128"/>
      <c r="P53" s="218"/>
      <c r="Q53" s="216"/>
    </row>
    <row r="54" spans="1:18" x14ac:dyDescent="0.25">
      <c r="A54" s="128"/>
      <c r="B54" s="128"/>
      <c r="H54" s="128"/>
      <c r="J54" s="128"/>
      <c r="K54" s="128"/>
      <c r="L54" s="128"/>
      <c r="M54" s="128"/>
      <c r="N54" s="128"/>
      <c r="O54" s="128"/>
      <c r="P54" s="128"/>
      <c r="Q54" s="216"/>
    </row>
    <row r="55" spans="1:18" x14ac:dyDescent="0.25">
      <c r="A55" s="128"/>
      <c r="B55" s="128"/>
      <c r="H55" s="128"/>
      <c r="J55" s="128"/>
      <c r="K55" s="128"/>
      <c r="L55" s="128"/>
      <c r="M55" s="128"/>
      <c r="N55" s="128"/>
      <c r="O55" s="128"/>
      <c r="P55" s="128"/>
      <c r="Q55" s="216"/>
    </row>
  </sheetData>
  <mergeCells count="19">
    <mergeCell ref="C43:F43"/>
    <mergeCell ref="A44:F44"/>
    <mergeCell ref="O5:O6"/>
    <mergeCell ref="P5:P6"/>
    <mergeCell ref="Q5:Q6"/>
    <mergeCell ref="C38:F38"/>
    <mergeCell ref="C40:E40"/>
    <mergeCell ref="C42:F42"/>
    <mergeCell ref="C39:F39"/>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54"/>
  <sheetViews>
    <sheetView topLeftCell="A10" zoomScaleNormal="100" workbookViewId="0">
      <selection activeCell="K41" sqref="K41"/>
    </sheetView>
  </sheetViews>
  <sheetFormatPr defaultColWidth="9.140625" defaultRowHeight="12.75" x14ac:dyDescent="0.25"/>
  <cols>
    <col min="1" max="1" width="4.5703125" style="129" customWidth="1"/>
    <col min="2" max="2" width="10.28515625" style="163" customWidth="1"/>
    <col min="3" max="3" width="28.7109375" style="128" customWidth="1"/>
    <col min="4" max="4" width="16.5703125" style="128" customWidth="1"/>
    <col min="5" max="5" width="34" style="128" customWidth="1"/>
    <col min="6" max="6" width="11.57031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7.285156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3349</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11">
        <v>1</v>
      </c>
      <c r="B7" s="303">
        <v>44106</v>
      </c>
      <c r="C7" s="134" t="s">
        <v>3350</v>
      </c>
      <c r="D7" s="211" t="s">
        <v>3369</v>
      </c>
      <c r="E7" s="136" t="s">
        <v>218</v>
      </c>
      <c r="F7" s="134"/>
      <c r="G7" s="138">
        <v>230</v>
      </c>
      <c r="H7" s="141">
        <f>G7*11120</f>
        <v>2557600</v>
      </c>
      <c r="I7" s="138"/>
      <c r="J7" s="139">
        <v>1150000</v>
      </c>
      <c r="K7" s="139"/>
      <c r="L7" s="263"/>
      <c r="M7" s="141"/>
      <c r="N7" s="141"/>
      <c r="O7" s="139">
        <f>SUM(H7:N7)</f>
        <v>3707600</v>
      </c>
      <c r="P7" s="139">
        <v>3418182</v>
      </c>
      <c r="Q7" s="250">
        <f>P7-O7</f>
        <v>-289418</v>
      </c>
      <c r="R7" s="215"/>
    </row>
    <row r="8" spans="1:24" s="144" customFormat="1" ht="20.45" customHeight="1" x14ac:dyDescent="0.25">
      <c r="A8" s="211">
        <v>2</v>
      </c>
      <c r="B8" s="303">
        <v>44107</v>
      </c>
      <c r="C8" s="134" t="s">
        <v>3351</v>
      </c>
      <c r="D8" s="211" t="s">
        <v>3370</v>
      </c>
      <c r="E8" s="136" t="s">
        <v>3277</v>
      </c>
      <c r="F8" s="134"/>
      <c r="G8" s="138"/>
      <c r="H8" s="141"/>
      <c r="I8" s="138"/>
      <c r="J8" s="139">
        <v>970000</v>
      </c>
      <c r="K8" s="139"/>
      <c r="L8" s="263"/>
      <c r="M8" s="141"/>
      <c r="N8" s="141"/>
      <c r="O8" s="139">
        <f>SUM(H8:N8)</f>
        <v>970000</v>
      </c>
      <c r="P8" s="139">
        <v>3560000</v>
      </c>
      <c r="Q8" s="250">
        <f t="shared" ref="Q8:Q32" si="0">P8-O8</f>
        <v>2590000</v>
      </c>
      <c r="R8" s="215"/>
    </row>
    <row r="9" spans="1:24" s="144" customFormat="1" ht="20.45" customHeight="1" x14ac:dyDescent="0.25">
      <c r="A9" s="211">
        <v>3</v>
      </c>
      <c r="B9" s="303">
        <v>44109</v>
      </c>
      <c r="C9" s="134" t="s">
        <v>3352</v>
      </c>
      <c r="D9" s="211" t="s">
        <v>3371</v>
      </c>
      <c r="E9" s="136" t="s">
        <v>3275</v>
      </c>
      <c r="F9" s="134"/>
      <c r="G9" s="138"/>
      <c r="H9" s="141"/>
      <c r="I9" s="138"/>
      <c r="J9" s="139">
        <v>790000</v>
      </c>
      <c r="K9" s="139"/>
      <c r="L9" s="263"/>
      <c r="M9" s="141"/>
      <c r="N9" s="141"/>
      <c r="O9" s="139">
        <f t="shared" ref="O9:O32" si="1">SUM(H9:N9)</f>
        <v>790000</v>
      </c>
      <c r="P9" s="139">
        <v>3018182</v>
      </c>
      <c r="Q9" s="250">
        <f t="shared" si="0"/>
        <v>2228182</v>
      </c>
      <c r="R9" s="215"/>
    </row>
    <row r="10" spans="1:24" s="144" customFormat="1" ht="20.45" customHeight="1" x14ac:dyDescent="0.25">
      <c r="A10" s="211">
        <v>4</v>
      </c>
      <c r="B10" s="303">
        <v>44110</v>
      </c>
      <c r="C10" s="134" t="s">
        <v>3353</v>
      </c>
      <c r="D10" s="211" t="s">
        <v>3372</v>
      </c>
      <c r="E10" s="136" t="s">
        <v>80</v>
      </c>
      <c r="F10" s="134"/>
      <c r="G10" s="138">
        <v>280</v>
      </c>
      <c r="H10" s="141">
        <f t="shared" ref="H10:H29" si="2">G10*11120</f>
        <v>3113600</v>
      </c>
      <c r="I10" s="138"/>
      <c r="J10" s="139">
        <v>790000</v>
      </c>
      <c r="K10" s="139"/>
      <c r="L10" s="263"/>
      <c r="M10" s="141"/>
      <c r="N10" s="141"/>
      <c r="O10" s="139">
        <f t="shared" si="1"/>
        <v>3903600</v>
      </c>
      <c r="P10" s="139">
        <v>3200000</v>
      </c>
      <c r="Q10" s="250">
        <f t="shared" si="0"/>
        <v>-703600</v>
      </c>
      <c r="R10" s="215"/>
    </row>
    <row r="11" spans="1:24" s="144" customFormat="1" ht="20.45" customHeight="1" x14ac:dyDescent="0.25">
      <c r="A11" s="211">
        <v>5</v>
      </c>
      <c r="B11" s="303">
        <v>44111</v>
      </c>
      <c r="C11" s="134" t="s">
        <v>3354</v>
      </c>
      <c r="D11" s="211" t="s">
        <v>3373</v>
      </c>
      <c r="E11" s="136" t="s">
        <v>1876</v>
      </c>
      <c r="F11" s="134"/>
      <c r="G11" s="138"/>
      <c r="H11" s="141"/>
      <c r="I11" s="138"/>
      <c r="J11" s="139">
        <v>970000</v>
      </c>
      <c r="K11" s="139"/>
      <c r="L11" s="263"/>
      <c r="M11" s="141"/>
      <c r="N11" s="141"/>
      <c r="O11" s="139">
        <f t="shared" si="1"/>
        <v>970000</v>
      </c>
      <c r="P11" s="139">
        <v>4000000</v>
      </c>
      <c r="Q11" s="250">
        <f t="shared" si="0"/>
        <v>3030000</v>
      </c>
      <c r="R11" s="215"/>
    </row>
    <row r="12" spans="1:24" s="144" customFormat="1" ht="20.45" customHeight="1" x14ac:dyDescent="0.2">
      <c r="A12" s="211">
        <v>6</v>
      </c>
      <c r="B12" s="303">
        <v>44111</v>
      </c>
      <c r="C12" s="134" t="s">
        <v>2012</v>
      </c>
      <c r="D12" s="211" t="s">
        <v>3374</v>
      </c>
      <c r="E12" s="136" t="s">
        <v>23</v>
      </c>
      <c r="F12" s="134"/>
      <c r="G12" s="138"/>
      <c r="H12" s="141"/>
      <c r="I12" s="138"/>
      <c r="J12" s="139">
        <v>2740000</v>
      </c>
      <c r="K12" s="139"/>
      <c r="L12" s="263"/>
      <c r="M12" s="141"/>
      <c r="N12" s="141"/>
      <c r="O12" s="139">
        <f t="shared" si="1"/>
        <v>2740000</v>
      </c>
      <c r="P12" s="139">
        <v>11363636</v>
      </c>
      <c r="Q12" s="250">
        <f t="shared" si="0"/>
        <v>8623636</v>
      </c>
      <c r="R12" s="302"/>
    </row>
    <row r="13" spans="1:24" s="144" customFormat="1" ht="20.45" customHeight="1" x14ac:dyDescent="0.25">
      <c r="A13" s="211">
        <v>7</v>
      </c>
      <c r="B13" s="303">
        <v>44112</v>
      </c>
      <c r="C13" s="134" t="s">
        <v>3355</v>
      </c>
      <c r="D13" s="211" t="s">
        <v>3375</v>
      </c>
      <c r="E13" s="136" t="s">
        <v>2883</v>
      </c>
      <c r="F13" s="134"/>
      <c r="G13" s="138"/>
      <c r="H13" s="141"/>
      <c r="I13" s="138"/>
      <c r="J13" s="139">
        <v>790000</v>
      </c>
      <c r="K13" s="139"/>
      <c r="L13" s="263"/>
      <c r="M13" s="141"/>
      <c r="N13" s="139"/>
      <c r="O13" s="139">
        <f t="shared" si="1"/>
        <v>790000</v>
      </c>
      <c r="P13" s="139">
        <v>2763636</v>
      </c>
      <c r="Q13" s="250">
        <f t="shared" si="0"/>
        <v>1973636</v>
      </c>
      <c r="R13" s="143"/>
      <c r="S13" s="128"/>
      <c r="T13" s="128"/>
      <c r="U13" s="128"/>
      <c r="V13" s="128"/>
      <c r="W13" s="128"/>
      <c r="X13" s="128"/>
    </row>
    <row r="14" spans="1:24" s="144" customFormat="1" ht="20.45" customHeight="1" x14ac:dyDescent="0.25">
      <c r="A14" s="211">
        <v>8</v>
      </c>
      <c r="B14" s="303">
        <v>44113</v>
      </c>
      <c r="C14" s="134" t="s">
        <v>2694</v>
      </c>
      <c r="D14" s="211" t="s">
        <v>3376</v>
      </c>
      <c r="E14" s="136" t="s">
        <v>25</v>
      </c>
      <c r="F14" s="134"/>
      <c r="G14" s="138">
        <v>340</v>
      </c>
      <c r="H14" s="141">
        <f t="shared" si="2"/>
        <v>3780800</v>
      </c>
      <c r="I14" s="138"/>
      <c r="J14" s="139">
        <v>1890000</v>
      </c>
      <c r="K14" s="139"/>
      <c r="L14" s="263"/>
      <c r="M14" s="141"/>
      <c r="N14" s="139"/>
      <c r="O14" s="139">
        <f t="shared" si="1"/>
        <v>5670800</v>
      </c>
      <c r="P14" s="139">
        <v>7209091</v>
      </c>
      <c r="Q14" s="250">
        <f t="shared" si="0"/>
        <v>1538291</v>
      </c>
      <c r="R14" s="143"/>
      <c r="S14" s="128"/>
      <c r="T14" s="128"/>
      <c r="U14" s="128"/>
      <c r="V14" s="128"/>
      <c r="W14" s="128"/>
      <c r="X14" s="128"/>
    </row>
    <row r="15" spans="1:24" s="144" customFormat="1" ht="20.45" customHeight="1" x14ac:dyDescent="0.25">
      <c r="A15" s="211">
        <v>9</v>
      </c>
      <c r="B15" s="303">
        <v>44116</v>
      </c>
      <c r="C15" s="134" t="s">
        <v>2696</v>
      </c>
      <c r="D15" s="211" t="s">
        <v>3377</v>
      </c>
      <c r="E15" s="136" t="s">
        <v>1568</v>
      </c>
      <c r="F15" s="134"/>
      <c r="G15" s="138">
        <v>260</v>
      </c>
      <c r="H15" s="141">
        <f t="shared" si="2"/>
        <v>2891200</v>
      </c>
      <c r="I15" s="138"/>
      <c r="J15" s="139">
        <v>1450000</v>
      </c>
      <c r="K15" s="139"/>
      <c r="L15" s="263"/>
      <c r="M15" s="141"/>
      <c r="N15" s="139"/>
      <c r="O15" s="139">
        <f t="shared" si="1"/>
        <v>4341200</v>
      </c>
      <c r="P15" s="139">
        <v>3700000</v>
      </c>
      <c r="Q15" s="250">
        <f t="shared" si="0"/>
        <v>-641200</v>
      </c>
      <c r="R15" s="143"/>
      <c r="S15" s="128"/>
      <c r="T15" s="128"/>
      <c r="U15" s="128"/>
      <c r="V15" s="128"/>
      <c r="W15" s="128"/>
      <c r="X15" s="128"/>
    </row>
    <row r="16" spans="1:24" s="144" customFormat="1" ht="20.45" customHeight="1" x14ac:dyDescent="0.25">
      <c r="A16" s="211">
        <v>10</v>
      </c>
      <c r="B16" s="303">
        <v>44116</v>
      </c>
      <c r="C16" s="134" t="s">
        <v>3356</v>
      </c>
      <c r="D16" s="211" t="s">
        <v>3377</v>
      </c>
      <c r="E16" s="136" t="s">
        <v>2987</v>
      </c>
      <c r="F16" s="134"/>
      <c r="G16" s="138"/>
      <c r="H16" s="141"/>
      <c r="I16" s="138"/>
      <c r="J16" s="139"/>
      <c r="K16" s="139"/>
      <c r="L16" s="263"/>
      <c r="M16" s="141"/>
      <c r="N16" s="139"/>
      <c r="O16" s="139">
        <f t="shared" si="1"/>
        <v>0</v>
      </c>
      <c r="P16" s="139">
        <v>2500000</v>
      </c>
      <c r="Q16" s="250">
        <f t="shared" si="0"/>
        <v>2500000</v>
      </c>
      <c r="R16" s="143"/>
      <c r="S16" s="128"/>
      <c r="T16" s="128"/>
      <c r="U16" s="128"/>
      <c r="V16" s="128"/>
      <c r="W16" s="128"/>
      <c r="X16" s="128"/>
    </row>
    <row r="17" spans="1:24" s="144" customFormat="1" ht="20.45" customHeight="1" x14ac:dyDescent="0.25">
      <c r="A17" s="211">
        <v>11</v>
      </c>
      <c r="B17" s="303">
        <v>44117</v>
      </c>
      <c r="C17" s="134" t="s">
        <v>3357</v>
      </c>
      <c r="D17" s="211" t="s">
        <v>3378</v>
      </c>
      <c r="E17" s="136" t="s">
        <v>1170</v>
      </c>
      <c r="F17" s="134"/>
      <c r="G17" s="138"/>
      <c r="H17" s="141"/>
      <c r="I17" s="138"/>
      <c r="J17" s="139">
        <v>2740000</v>
      </c>
      <c r="K17" s="139"/>
      <c r="L17" s="263"/>
      <c r="M17" s="141"/>
      <c r="N17" s="139"/>
      <c r="O17" s="139">
        <f t="shared" si="1"/>
        <v>2740000</v>
      </c>
      <c r="P17" s="139">
        <v>12272727</v>
      </c>
      <c r="Q17" s="250">
        <f t="shared" si="0"/>
        <v>9532727</v>
      </c>
      <c r="R17" s="143"/>
      <c r="S17" s="128"/>
      <c r="T17" s="128"/>
      <c r="U17" s="128"/>
      <c r="V17" s="128"/>
      <c r="W17" s="128"/>
      <c r="X17" s="128"/>
    </row>
    <row r="18" spans="1:24" s="144" customFormat="1" ht="20.45" customHeight="1" x14ac:dyDescent="0.25">
      <c r="A18" s="211">
        <v>12</v>
      </c>
      <c r="B18" s="303">
        <v>44119</v>
      </c>
      <c r="C18" s="134" t="s">
        <v>3358</v>
      </c>
      <c r="D18" s="211" t="s">
        <v>3379</v>
      </c>
      <c r="E18" s="136" t="s">
        <v>21</v>
      </c>
      <c r="F18" s="134"/>
      <c r="G18" s="138">
        <v>355</v>
      </c>
      <c r="H18" s="141">
        <f t="shared" si="2"/>
        <v>3947600</v>
      </c>
      <c r="I18" s="138"/>
      <c r="J18" s="207">
        <v>1150000</v>
      </c>
      <c r="K18" s="139"/>
      <c r="L18" s="263"/>
      <c r="M18" s="141"/>
      <c r="N18" s="139"/>
      <c r="O18" s="139">
        <f t="shared" si="1"/>
        <v>5097600</v>
      </c>
      <c r="P18" s="139">
        <v>2700000</v>
      </c>
      <c r="Q18" s="250">
        <f t="shared" si="0"/>
        <v>-2397600</v>
      </c>
      <c r="R18" s="143" t="s">
        <v>3448</v>
      </c>
      <c r="S18" s="128"/>
      <c r="T18" s="128"/>
      <c r="U18" s="128"/>
      <c r="V18" s="128"/>
      <c r="W18" s="128"/>
      <c r="X18" s="128"/>
    </row>
    <row r="19" spans="1:24" s="144" customFormat="1" ht="20.45" customHeight="1" x14ac:dyDescent="0.25">
      <c r="A19" s="211">
        <v>13</v>
      </c>
      <c r="B19" s="303">
        <v>44120</v>
      </c>
      <c r="C19" s="134" t="s">
        <v>3359</v>
      </c>
      <c r="D19" s="211" t="s">
        <v>3380</v>
      </c>
      <c r="E19" s="136" t="s">
        <v>3393</v>
      </c>
      <c r="F19" s="134"/>
      <c r="G19" s="138"/>
      <c r="H19" s="141"/>
      <c r="I19" s="138"/>
      <c r="J19" s="139">
        <v>200000</v>
      </c>
      <c r="K19" s="139"/>
      <c r="L19" s="263"/>
      <c r="M19" s="141"/>
      <c r="N19" s="139"/>
      <c r="O19" s="139">
        <f t="shared" si="1"/>
        <v>200000</v>
      </c>
      <c r="P19" s="139">
        <v>1500000</v>
      </c>
      <c r="Q19" s="250">
        <f t="shared" si="0"/>
        <v>1300000</v>
      </c>
      <c r="R19" s="143"/>
      <c r="S19" s="128"/>
      <c r="T19" s="128"/>
      <c r="U19" s="128"/>
      <c r="V19" s="128"/>
      <c r="W19" s="128"/>
      <c r="X19" s="128"/>
    </row>
    <row r="20" spans="1:24" s="144" customFormat="1" ht="20.45" customHeight="1" x14ac:dyDescent="0.25">
      <c r="A20" s="211">
        <v>14</v>
      </c>
      <c r="B20" s="303">
        <v>44120</v>
      </c>
      <c r="C20" s="134" t="s">
        <v>2019</v>
      </c>
      <c r="D20" s="211" t="s">
        <v>3381</v>
      </c>
      <c r="E20" s="136" t="s">
        <v>894</v>
      </c>
      <c r="F20" s="134"/>
      <c r="G20" s="138"/>
      <c r="H20" s="141"/>
      <c r="I20" s="138"/>
      <c r="J20" s="139">
        <v>790000</v>
      </c>
      <c r="K20" s="139"/>
      <c r="L20" s="263"/>
      <c r="M20" s="141"/>
      <c r="N20" s="139"/>
      <c r="O20" s="139">
        <f t="shared" si="1"/>
        <v>790000</v>
      </c>
      <c r="P20" s="139">
        <v>3300000</v>
      </c>
      <c r="Q20" s="250">
        <f t="shared" si="0"/>
        <v>2510000</v>
      </c>
      <c r="R20" s="143"/>
      <c r="S20" s="128"/>
      <c r="T20" s="128"/>
      <c r="U20" s="128"/>
      <c r="V20" s="128"/>
      <c r="W20" s="128"/>
      <c r="X20" s="128"/>
    </row>
    <row r="21" spans="1:24" s="144" customFormat="1" ht="20.45" customHeight="1" x14ac:dyDescent="0.25">
      <c r="A21" s="211">
        <v>15</v>
      </c>
      <c r="B21" s="303">
        <v>44121</v>
      </c>
      <c r="C21" s="134" t="s">
        <v>2020</v>
      </c>
      <c r="D21" s="211" t="s">
        <v>3382</v>
      </c>
      <c r="E21" s="136" t="s">
        <v>894</v>
      </c>
      <c r="F21" s="134"/>
      <c r="G21" s="138">
        <v>240</v>
      </c>
      <c r="H21" s="141">
        <f t="shared" si="2"/>
        <v>2668800</v>
      </c>
      <c r="I21" s="138"/>
      <c r="J21" s="139">
        <v>790000</v>
      </c>
      <c r="K21" s="139"/>
      <c r="L21" s="263"/>
      <c r="M21" s="141"/>
      <c r="N21" s="139"/>
      <c r="O21" s="139">
        <f t="shared" si="1"/>
        <v>3458800</v>
      </c>
      <c r="P21" s="139">
        <v>3300000</v>
      </c>
      <c r="Q21" s="250">
        <f t="shared" si="0"/>
        <v>-158800</v>
      </c>
      <c r="R21" s="143"/>
      <c r="S21" s="128"/>
      <c r="T21" s="128"/>
      <c r="U21" s="128"/>
      <c r="V21" s="128"/>
      <c r="W21" s="128"/>
      <c r="X21" s="128"/>
    </row>
    <row r="22" spans="1:24" s="144" customFormat="1" ht="20.45" customHeight="1" x14ac:dyDescent="0.25">
      <c r="A22" s="211">
        <v>16</v>
      </c>
      <c r="B22" s="303">
        <v>44123</v>
      </c>
      <c r="C22" s="134" t="s">
        <v>3360</v>
      </c>
      <c r="D22" s="211" t="s">
        <v>3383</v>
      </c>
      <c r="E22" s="136" t="s">
        <v>2883</v>
      </c>
      <c r="F22" s="134"/>
      <c r="G22" s="138"/>
      <c r="H22" s="141"/>
      <c r="I22" s="138"/>
      <c r="J22" s="139">
        <v>790000</v>
      </c>
      <c r="K22" s="139"/>
      <c r="L22" s="263"/>
      <c r="M22" s="141"/>
      <c r="N22" s="139"/>
      <c r="O22" s="139">
        <f t="shared" si="1"/>
        <v>790000</v>
      </c>
      <c r="P22" s="139">
        <v>2763636</v>
      </c>
      <c r="Q22" s="250">
        <f t="shared" si="0"/>
        <v>1973636</v>
      </c>
      <c r="R22" s="143"/>
      <c r="S22" s="128"/>
      <c r="T22" s="128"/>
      <c r="U22" s="128"/>
      <c r="V22" s="128"/>
      <c r="W22" s="128"/>
      <c r="X22" s="128"/>
    </row>
    <row r="23" spans="1:24" s="144" customFormat="1" ht="20.45" customHeight="1" x14ac:dyDescent="0.25">
      <c r="A23" s="211">
        <v>17</v>
      </c>
      <c r="B23" s="303">
        <v>44123</v>
      </c>
      <c r="C23" s="134" t="s">
        <v>1347</v>
      </c>
      <c r="D23" s="211" t="s">
        <v>3384</v>
      </c>
      <c r="E23" s="136" t="s">
        <v>2592</v>
      </c>
      <c r="F23" s="134"/>
      <c r="G23" s="138"/>
      <c r="H23" s="141"/>
      <c r="I23" s="138"/>
      <c r="J23" s="139">
        <v>790000</v>
      </c>
      <c r="K23" s="139"/>
      <c r="L23" s="263"/>
      <c r="M23" s="141"/>
      <c r="N23" s="139"/>
      <c r="O23" s="139">
        <f t="shared" si="1"/>
        <v>790000</v>
      </c>
      <c r="P23" s="139">
        <v>2900000</v>
      </c>
      <c r="Q23" s="250">
        <f t="shared" si="0"/>
        <v>2110000</v>
      </c>
      <c r="R23" s="143"/>
      <c r="S23" s="128"/>
      <c r="T23" s="128"/>
      <c r="U23" s="128"/>
      <c r="V23" s="128"/>
      <c r="W23" s="128"/>
      <c r="X23" s="128"/>
    </row>
    <row r="24" spans="1:24" s="144" customFormat="1" ht="20.45" customHeight="1" x14ac:dyDescent="0.25">
      <c r="A24" s="211">
        <v>18</v>
      </c>
      <c r="B24" s="303">
        <v>44124</v>
      </c>
      <c r="C24" s="134" t="s">
        <v>3361</v>
      </c>
      <c r="D24" s="211" t="s">
        <v>3385</v>
      </c>
      <c r="E24" s="136" t="s">
        <v>25</v>
      </c>
      <c r="F24" s="134"/>
      <c r="G24" s="138"/>
      <c r="H24" s="141"/>
      <c r="I24" s="138"/>
      <c r="J24" s="139">
        <v>1890000</v>
      </c>
      <c r="K24" s="139"/>
      <c r="L24" s="263"/>
      <c r="M24" s="141"/>
      <c r="N24" s="139"/>
      <c r="O24" s="139">
        <f t="shared" si="1"/>
        <v>1890000</v>
      </c>
      <c r="P24" s="139">
        <v>7209091</v>
      </c>
      <c r="Q24" s="250">
        <f t="shared" si="0"/>
        <v>5319091</v>
      </c>
      <c r="R24" s="143"/>
      <c r="S24" s="128"/>
      <c r="T24" s="128"/>
      <c r="U24" s="128"/>
      <c r="V24" s="128"/>
      <c r="W24" s="128"/>
      <c r="X24" s="128"/>
    </row>
    <row r="25" spans="1:24" s="144" customFormat="1" ht="20.45" customHeight="1" x14ac:dyDescent="0.25">
      <c r="A25" s="211">
        <v>19</v>
      </c>
      <c r="B25" s="303">
        <v>44125</v>
      </c>
      <c r="C25" s="134" t="s">
        <v>3362</v>
      </c>
      <c r="D25" s="211" t="s">
        <v>1409</v>
      </c>
      <c r="E25" s="136" t="s">
        <v>3029</v>
      </c>
      <c r="F25" s="134"/>
      <c r="G25" s="138">
        <v>330</v>
      </c>
      <c r="H25" s="141">
        <f t="shared" si="2"/>
        <v>3669600</v>
      </c>
      <c r="I25" s="138"/>
      <c r="J25" s="139">
        <v>790000</v>
      </c>
      <c r="K25" s="139"/>
      <c r="L25" s="263"/>
      <c r="M25" s="141"/>
      <c r="N25" s="139"/>
      <c r="O25" s="139">
        <f t="shared" si="1"/>
        <v>4459600</v>
      </c>
      <c r="P25" s="139">
        <v>2900000</v>
      </c>
      <c r="Q25" s="250">
        <f t="shared" si="0"/>
        <v>-1559600</v>
      </c>
      <c r="R25" s="143"/>
      <c r="S25" s="128"/>
      <c r="T25" s="128"/>
      <c r="U25" s="128"/>
      <c r="V25" s="128"/>
      <c r="W25" s="128"/>
      <c r="X25" s="128"/>
    </row>
    <row r="26" spans="1:24" s="144" customFormat="1" ht="20.45" customHeight="1" x14ac:dyDescent="0.25">
      <c r="A26" s="211">
        <v>20</v>
      </c>
      <c r="B26" s="303">
        <v>44126</v>
      </c>
      <c r="C26" s="134" t="s">
        <v>3363</v>
      </c>
      <c r="D26" s="211" t="s">
        <v>3386</v>
      </c>
      <c r="E26" s="136" t="s">
        <v>2883</v>
      </c>
      <c r="F26" s="134"/>
      <c r="G26" s="138"/>
      <c r="H26" s="141"/>
      <c r="I26" s="138"/>
      <c r="J26" s="139">
        <v>790000</v>
      </c>
      <c r="K26" s="139"/>
      <c r="L26" s="263"/>
      <c r="M26" s="141"/>
      <c r="N26" s="139"/>
      <c r="O26" s="139">
        <f t="shared" si="1"/>
        <v>790000</v>
      </c>
      <c r="P26" s="139">
        <v>2700000</v>
      </c>
      <c r="Q26" s="250">
        <f t="shared" si="0"/>
        <v>1910000</v>
      </c>
      <c r="R26" s="143"/>
      <c r="S26" s="128"/>
      <c r="T26" s="128"/>
      <c r="U26" s="128"/>
      <c r="V26" s="128"/>
      <c r="W26" s="128"/>
      <c r="X26" s="128"/>
    </row>
    <row r="27" spans="1:24" s="144" customFormat="1" ht="20.45" customHeight="1" x14ac:dyDescent="0.25">
      <c r="A27" s="211">
        <v>21</v>
      </c>
      <c r="B27" s="303">
        <v>44127</v>
      </c>
      <c r="C27" s="134" t="s">
        <v>3364</v>
      </c>
      <c r="D27" s="211" t="s">
        <v>3387</v>
      </c>
      <c r="E27" s="136" t="s">
        <v>3394</v>
      </c>
      <c r="F27" s="134"/>
      <c r="G27" s="138">
        <v>150</v>
      </c>
      <c r="H27" s="141">
        <f t="shared" si="2"/>
        <v>1668000</v>
      </c>
      <c r="I27" s="138"/>
      <c r="J27" s="139">
        <v>1890000</v>
      </c>
      <c r="K27" s="139"/>
      <c r="L27" s="263"/>
      <c r="M27" s="141"/>
      <c r="N27" s="139"/>
      <c r="O27" s="139">
        <f t="shared" si="1"/>
        <v>3558000</v>
      </c>
      <c r="P27" s="139">
        <v>8000000</v>
      </c>
      <c r="Q27" s="250">
        <f t="shared" si="0"/>
        <v>4442000</v>
      </c>
      <c r="R27" s="143"/>
      <c r="S27" s="128"/>
      <c r="T27" s="128"/>
      <c r="U27" s="128"/>
      <c r="V27" s="128"/>
      <c r="W27" s="128"/>
      <c r="X27" s="128"/>
    </row>
    <row r="28" spans="1:24" s="144" customFormat="1" ht="20.45" customHeight="1" x14ac:dyDescent="0.25">
      <c r="A28" s="211">
        <v>22</v>
      </c>
      <c r="B28" s="303">
        <v>44130</v>
      </c>
      <c r="C28" s="134" t="s">
        <v>2029</v>
      </c>
      <c r="D28" s="211" t="s">
        <v>3388</v>
      </c>
      <c r="E28" s="136" t="s">
        <v>3395</v>
      </c>
      <c r="F28" s="134"/>
      <c r="G28" s="138"/>
      <c r="H28" s="141"/>
      <c r="I28" s="138"/>
      <c r="J28" s="139">
        <v>1720000</v>
      </c>
      <c r="K28" s="139"/>
      <c r="L28" s="263"/>
      <c r="M28" s="141"/>
      <c r="N28" s="139"/>
      <c r="O28" s="139">
        <f t="shared" si="1"/>
        <v>1720000</v>
      </c>
      <c r="P28" s="139">
        <v>8300000</v>
      </c>
      <c r="Q28" s="250">
        <f t="shared" si="0"/>
        <v>6580000</v>
      </c>
      <c r="R28" s="143"/>
      <c r="S28" s="128"/>
      <c r="T28" s="128"/>
      <c r="U28" s="128"/>
      <c r="V28" s="128"/>
      <c r="W28" s="128"/>
      <c r="X28" s="128"/>
    </row>
    <row r="29" spans="1:24" s="144" customFormat="1" ht="20.45" customHeight="1" x14ac:dyDescent="0.25">
      <c r="A29" s="211">
        <v>23</v>
      </c>
      <c r="B29" s="303">
        <v>44131</v>
      </c>
      <c r="C29" s="134" t="s">
        <v>3365</v>
      </c>
      <c r="D29" s="211" t="s">
        <v>3389</v>
      </c>
      <c r="E29" s="136" t="s">
        <v>2059</v>
      </c>
      <c r="F29" s="134"/>
      <c r="G29" s="138">
        <v>190</v>
      </c>
      <c r="H29" s="141">
        <f t="shared" si="2"/>
        <v>2112800</v>
      </c>
      <c r="I29" s="138"/>
      <c r="J29" s="139">
        <v>1400000</v>
      </c>
      <c r="K29" s="139"/>
      <c r="L29" s="263"/>
      <c r="M29" s="141"/>
      <c r="N29" s="139"/>
      <c r="O29" s="139">
        <f t="shared" si="1"/>
        <v>3512800</v>
      </c>
      <c r="P29" s="139">
        <v>5454545</v>
      </c>
      <c r="Q29" s="250">
        <f t="shared" si="0"/>
        <v>1941745</v>
      </c>
      <c r="R29" s="143"/>
      <c r="S29" s="128"/>
      <c r="T29" s="128"/>
      <c r="U29" s="128"/>
      <c r="V29" s="128"/>
      <c r="W29" s="128"/>
      <c r="X29" s="128"/>
    </row>
    <row r="30" spans="1:24" s="144" customFormat="1" ht="20.45" customHeight="1" x14ac:dyDescent="0.25">
      <c r="A30" s="211">
        <v>24</v>
      </c>
      <c r="B30" s="303">
        <v>44132</v>
      </c>
      <c r="C30" s="134" t="s">
        <v>3366</v>
      </c>
      <c r="D30" s="211" t="s">
        <v>3390</v>
      </c>
      <c r="E30" s="136" t="s">
        <v>3341</v>
      </c>
      <c r="F30" s="134"/>
      <c r="G30" s="138">
        <v>245</v>
      </c>
      <c r="H30" s="141">
        <f>G30*11210</f>
        <v>2746450</v>
      </c>
      <c r="I30" s="138"/>
      <c r="J30" s="139">
        <v>1150000</v>
      </c>
      <c r="K30" s="139"/>
      <c r="L30" s="263"/>
      <c r="M30" s="141"/>
      <c r="N30" s="139"/>
      <c r="O30" s="139">
        <f t="shared" si="1"/>
        <v>3896450</v>
      </c>
      <c r="P30" s="139">
        <v>3909091</v>
      </c>
      <c r="Q30" s="250">
        <f t="shared" si="0"/>
        <v>12641</v>
      </c>
      <c r="R30" s="143"/>
      <c r="S30" s="128"/>
      <c r="T30" s="128"/>
      <c r="U30" s="128"/>
      <c r="V30" s="128"/>
      <c r="W30" s="128"/>
      <c r="X30" s="128"/>
    </row>
    <row r="31" spans="1:24" s="144" customFormat="1" ht="20.45" customHeight="1" x14ac:dyDescent="0.25">
      <c r="A31" s="211">
        <v>25</v>
      </c>
      <c r="B31" s="303">
        <v>44133</v>
      </c>
      <c r="C31" s="134" t="s">
        <v>3367</v>
      </c>
      <c r="D31" s="211" t="s">
        <v>3391</v>
      </c>
      <c r="E31" s="136" t="s">
        <v>3396</v>
      </c>
      <c r="F31" s="134"/>
      <c r="G31" s="138"/>
      <c r="H31" s="141"/>
      <c r="I31" s="138"/>
      <c r="J31" s="139">
        <v>1500000</v>
      </c>
      <c r="K31" s="139"/>
      <c r="L31" s="263"/>
      <c r="M31" s="141"/>
      <c r="N31" s="139"/>
      <c r="O31" s="139">
        <f t="shared" si="1"/>
        <v>1500000</v>
      </c>
      <c r="P31" s="139">
        <v>5500000</v>
      </c>
      <c r="Q31" s="250">
        <f t="shared" si="0"/>
        <v>4000000</v>
      </c>
      <c r="R31" s="143"/>
      <c r="S31" s="128"/>
      <c r="T31" s="128"/>
      <c r="U31" s="128"/>
      <c r="V31" s="128"/>
      <c r="W31" s="128"/>
      <c r="X31" s="128"/>
    </row>
    <row r="32" spans="1:24" s="144" customFormat="1" ht="20.45" customHeight="1" x14ac:dyDescent="0.25">
      <c r="A32" s="211">
        <v>26</v>
      </c>
      <c r="B32" s="303">
        <v>44134</v>
      </c>
      <c r="C32" s="134" t="s">
        <v>3368</v>
      </c>
      <c r="D32" s="211" t="s">
        <v>3392</v>
      </c>
      <c r="E32" s="136" t="s">
        <v>3397</v>
      </c>
      <c r="F32" s="134"/>
      <c r="G32" s="134">
        <v>345</v>
      </c>
      <c r="H32" s="141">
        <f t="shared" ref="H32" si="3">G32*11210</f>
        <v>3867450</v>
      </c>
      <c r="I32" s="134"/>
      <c r="J32" s="139">
        <v>300000</v>
      </c>
      <c r="K32" s="139"/>
      <c r="L32" s="263"/>
      <c r="M32" s="141"/>
      <c r="N32" s="139"/>
      <c r="O32" s="139">
        <f t="shared" si="1"/>
        <v>4167450</v>
      </c>
      <c r="P32" s="139">
        <v>1400000</v>
      </c>
      <c r="Q32" s="250">
        <f t="shared" si="0"/>
        <v>-2767450</v>
      </c>
      <c r="R32" s="143"/>
      <c r="S32" s="128"/>
      <c r="T32" s="128"/>
      <c r="U32" s="128"/>
      <c r="V32" s="128"/>
      <c r="W32" s="128"/>
      <c r="X32" s="128"/>
    </row>
    <row r="33" spans="1:19" s="144" customFormat="1" ht="20.45" customHeight="1" x14ac:dyDescent="0.25">
      <c r="A33" s="211"/>
      <c r="B33" s="191"/>
      <c r="C33" s="134"/>
      <c r="D33" s="134"/>
      <c r="E33" s="136"/>
      <c r="F33" s="134"/>
      <c r="G33" s="138"/>
      <c r="H33" s="141"/>
      <c r="I33" s="138"/>
      <c r="J33" s="139"/>
      <c r="K33" s="139"/>
      <c r="L33" s="263"/>
      <c r="M33" s="139"/>
      <c r="N33" s="141"/>
      <c r="O33" s="139"/>
      <c r="P33" s="141"/>
      <c r="Q33" s="250"/>
      <c r="R33" s="215"/>
    </row>
    <row r="34" spans="1:19" s="144" customFormat="1" ht="20.45" customHeight="1" x14ac:dyDescent="0.25">
      <c r="A34" s="211"/>
      <c r="B34" s="191"/>
      <c r="C34" s="440" t="s">
        <v>1094</v>
      </c>
      <c r="D34" s="441"/>
      <c r="E34" s="441"/>
      <c r="F34" s="442"/>
      <c r="G34" s="153"/>
      <c r="H34" s="156"/>
      <c r="I34" s="153"/>
      <c r="J34" s="156"/>
      <c r="K34" s="288">
        <v>1200000</v>
      </c>
      <c r="L34" s="263"/>
      <c r="M34" s="139"/>
      <c r="N34" s="141"/>
      <c r="O34" s="139">
        <f t="shared" ref="O34:O41" si="4">SUM(H34:N34)</f>
        <v>1200000</v>
      </c>
      <c r="P34" s="141"/>
      <c r="Q34" s="250"/>
      <c r="R34" s="215"/>
    </row>
    <row r="35" spans="1:19" s="144" customFormat="1" ht="20.45" customHeight="1" x14ac:dyDescent="0.25">
      <c r="A35" s="211"/>
      <c r="B35" s="191"/>
      <c r="C35" s="446" t="s">
        <v>3398</v>
      </c>
      <c r="D35" s="447"/>
      <c r="E35" s="447"/>
      <c r="F35" s="448"/>
      <c r="G35" s="134"/>
      <c r="H35" s="139"/>
      <c r="I35" s="134"/>
      <c r="J35" s="139"/>
      <c r="K35" s="139"/>
      <c r="L35" s="219">
        <v>3100000</v>
      </c>
      <c r="M35" s="219"/>
      <c r="N35" s="157"/>
      <c r="O35" s="139">
        <f t="shared" si="4"/>
        <v>3100000</v>
      </c>
      <c r="P35" s="141"/>
      <c r="Q35" s="250"/>
      <c r="R35" s="215"/>
    </row>
    <row r="36" spans="1:19" s="144" customFormat="1" ht="20.45" customHeight="1" x14ac:dyDescent="0.25">
      <c r="A36" s="211"/>
      <c r="B36" s="191"/>
      <c r="C36" s="323" t="s">
        <v>1092</v>
      </c>
      <c r="D36" s="324"/>
      <c r="E36" s="324"/>
      <c r="F36" s="325"/>
      <c r="G36" s="134"/>
      <c r="H36" s="139"/>
      <c r="I36" s="134"/>
      <c r="J36" s="139"/>
      <c r="K36" s="206"/>
      <c r="L36" s="219">
        <v>610000</v>
      </c>
      <c r="M36" s="219"/>
      <c r="N36" s="157"/>
      <c r="O36" s="139">
        <f t="shared" si="4"/>
        <v>610000</v>
      </c>
      <c r="P36" s="141"/>
      <c r="Q36" s="250"/>
      <c r="R36" s="215"/>
    </row>
    <row r="37" spans="1:19" s="144" customFormat="1" ht="20.45" customHeight="1" x14ac:dyDescent="0.25">
      <c r="A37" s="211"/>
      <c r="B37" s="191"/>
      <c r="C37" s="323" t="s">
        <v>3399</v>
      </c>
      <c r="D37" s="324"/>
      <c r="E37" s="324"/>
      <c r="F37" s="325"/>
      <c r="G37" s="134"/>
      <c r="H37" s="139"/>
      <c r="I37" s="134"/>
      <c r="J37" s="139"/>
      <c r="K37" s="206"/>
      <c r="L37" s="219">
        <v>7846000</v>
      </c>
      <c r="M37" s="219"/>
      <c r="N37" s="157"/>
      <c r="O37" s="139">
        <f t="shared" si="4"/>
        <v>7846000</v>
      </c>
      <c r="P37" s="141"/>
      <c r="Q37" s="250"/>
      <c r="R37" s="215"/>
    </row>
    <row r="38" spans="1:19" s="144" customFormat="1" ht="20.45" customHeight="1" x14ac:dyDescent="0.25">
      <c r="A38" s="211"/>
      <c r="B38" s="191"/>
      <c r="C38" s="323" t="s">
        <v>3400</v>
      </c>
      <c r="D38" s="324"/>
      <c r="E38" s="324"/>
      <c r="F38" s="325"/>
      <c r="G38" s="134"/>
      <c r="H38" s="139"/>
      <c r="I38" s="134"/>
      <c r="J38" s="139"/>
      <c r="K38" s="206"/>
      <c r="L38" s="219">
        <v>300000</v>
      </c>
      <c r="M38" s="219"/>
      <c r="N38" s="157"/>
      <c r="O38" s="139">
        <f t="shared" si="4"/>
        <v>300000</v>
      </c>
      <c r="P38" s="141"/>
      <c r="Q38" s="250"/>
      <c r="R38" s="215"/>
    </row>
    <row r="39" spans="1:19" s="144" customFormat="1" ht="20.45" customHeight="1" x14ac:dyDescent="0.25">
      <c r="A39" s="211"/>
      <c r="B39" s="191"/>
      <c r="C39" s="446" t="s">
        <v>3401</v>
      </c>
      <c r="D39" s="447"/>
      <c r="E39" s="447"/>
      <c r="F39" s="317"/>
      <c r="G39" s="134"/>
      <c r="H39" s="139"/>
      <c r="I39" s="134"/>
      <c r="J39" s="139"/>
      <c r="K39" s="206"/>
      <c r="L39" s="219">
        <v>1000000</v>
      </c>
      <c r="M39" s="219"/>
      <c r="N39" s="219"/>
      <c r="O39" s="139">
        <f t="shared" si="4"/>
        <v>1000000</v>
      </c>
      <c r="P39" s="141"/>
      <c r="Q39" s="250"/>
      <c r="R39" s="215"/>
    </row>
    <row r="40" spans="1:19" s="144" customFormat="1" ht="20.45" customHeight="1" x14ac:dyDescent="0.25">
      <c r="A40" s="211"/>
      <c r="B40" s="191"/>
      <c r="C40" s="314" t="s">
        <v>3402</v>
      </c>
      <c r="D40" s="315"/>
      <c r="E40" s="316"/>
      <c r="F40" s="317"/>
      <c r="G40" s="134"/>
      <c r="H40" s="139"/>
      <c r="I40" s="134"/>
      <c r="J40" s="139"/>
      <c r="K40" s="329"/>
      <c r="L40" s="219">
        <v>2380000</v>
      </c>
      <c r="M40" s="219"/>
      <c r="N40" s="157"/>
      <c r="O40" s="139">
        <f t="shared" si="4"/>
        <v>2380000</v>
      </c>
      <c r="P40" s="141"/>
      <c r="Q40" s="250"/>
      <c r="R40" s="215"/>
    </row>
    <row r="41" spans="1:19" s="159" customFormat="1" ht="20.45" customHeight="1" x14ac:dyDescent="0.25">
      <c r="A41" s="211"/>
      <c r="B41" s="165"/>
      <c r="C41" s="440" t="s">
        <v>1337</v>
      </c>
      <c r="D41" s="441"/>
      <c r="E41" s="441"/>
      <c r="F41" s="442"/>
      <c r="G41" s="195"/>
      <c r="H41" s="155"/>
      <c r="I41" s="195"/>
      <c r="J41" s="155"/>
      <c r="K41" s="329">
        <f>'[5]10.2020'!$K$10</f>
        <v>9692307.692307692</v>
      </c>
      <c r="L41" s="155"/>
      <c r="M41" s="155"/>
      <c r="N41" s="155"/>
      <c r="O41" s="139">
        <f t="shared" si="4"/>
        <v>9692307.692307692</v>
      </c>
      <c r="P41" s="139"/>
      <c r="Q41" s="250"/>
      <c r="R41" s="215"/>
    </row>
    <row r="42" spans="1:19" s="159" customFormat="1" ht="20.45" customHeight="1" x14ac:dyDescent="0.25">
      <c r="A42" s="211"/>
      <c r="B42" s="203"/>
      <c r="C42" s="434"/>
      <c r="D42" s="435"/>
      <c r="E42" s="435"/>
      <c r="F42" s="436"/>
      <c r="G42" s="153"/>
      <c r="H42" s="156"/>
      <c r="I42" s="153"/>
      <c r="J42" s="156"/>
      <c r="K42" s="330"/>
      <c r="L42" s="288"/>
      <c r="M42" s="156"/>
      <c r="N42" s="156"/>
      <c r="O42" s="139"/>
      <c r="P42" s="139"/>
      <c r="Q42" s="250"/>
      <c r="R42" s="215"/>
    </row>
    <row r="43" spans="1:19" ht="20.45" customHeight="1" x14ac:dyDescent="0.25">
      <c r="A43" s="426" t="s">
        <v>20</v>
      </c>
      <c r="B43" s="426"/>
      <c r="C43" s="426"/>
      <c r="D43" s="426"/>
      <c r="E43" s="426"/>
      <c r="F43" s="426"/>
      <c r="G43" s="161">
        <f t="shared" ref="G43:N43" si="5">SUM(G7:G42)</f>
        <v>2965</v>
      </c>
      <c r="H43" s="161">
        <f t="shared" si="5"/>
        <v>33023900</v>
      </c>
      <c r="I43" s="161">
        <f t="shared" si="5"/>
        <v>0</v>
      </c>
      <c r="J43" s="161">
        <f t="shared" si="5"/>
        <v>30220000</v>
      </c>
      <c r="K43" s="161">
        <f t="shared" si="5"/>
        <v>10892307.692307692</v>
      </c>
      <c r="L43" s="161">
        <f t="shared" si="5"/>
        <v>15236000</v>
      </c>
      <c r="M43" s="161">
        <f t="shared" si="5"/>
        <v>0</v>
      </c>
      <c r="N43" s="161">
        <f t="shared" si="5"/>
        <v>0</v>
      </c>
      <c r="O43" s="161">
        <f>SUM(O7:O42)</f>
        <v>89372207.692307696</v>
      </c>
      <c r="P43" s="161">
        <f>SUM(P7:P42)</f>
        <v>118841817</v>
      </c>
      <c r="Q43" s="234">
        <f>P43-O43</f>
        <v>29469609.307692304</v>
      </c>
    </row>
    <row r="44" spans="1:19" ht="24.95" customHeight="1" x14ac:dyDescent="0.25">
      <c r="O44" s="158"/>
      <c r="Q44" s="158"/>
    </row>
    <row r="45" spans="1:19" ht="13.9" customHeight="1" x14ac:dyDescent="0.25">
      <c r="P45" s="216" t="s">
        <v>1603</v>
      </c>
      <c r="Q45" s="227">
        <f>'09.2020'!Q46+'10.2020'!Q43</f>
        <v>220466556.30769229</v>
      </c>
      <c r="S45" s="216"/>
    </row>
    <row r="46" spans="1:19" ht="13.9" customHeight="1" x14ac:dyDescent="0.25">
      <c r="B46" s="129"/>
      <c r="J46" s="128"/>
      <c r="K46" s="128"/>
      <c r="L46" s="128"/>
      <c r="M46" s="128"/>
      <c r="N46" s="128"/>
      <c r="O46" s="128"/>
      <c r="P46" s="218"/>
      <c r="Q46" s="216"/>
    </row>
    <row r="47" spans="1:19" ht="13.9" customHeight="1" x14ac:dyDescent="0.25">
      <c r="B47" s="129"/>
      <c r="H47" s="128"/>
      <c r="J47" s="128"/>
      <c r="K47" s="128"/>
      <c r="L47" s="128"/>
      <c r="M47" s="128"/>
      <c r="N47" s="128"/>
      <c r="O47" s="128"/>
      <c r="P47" s="218"/>
      <c r="Q47" s="230"/>
    </row>
    <row r="48" spans="1:19" ht="13.9" customHeight="1" x14ac:dyDescent="0.25">
      <c r="B48" s="129"/>
      <c r="H48" s="128"/>
      <c r="J48" s="128"/>
      <c r="K48" s="128"/>
      <c r="L48" s="128"/>
      <c r="M48" s="128"/>
      <c r="N48" s="128"/>
      <c r="O48" s="128"/>
      <c r="P48" s="218"/>
      <c r="Q48" s="230"/>
      <c r="R48" s="143"/>
    </row>
    <row r="49" spans="1:18" ht="13.9" customHeight="1" x14ac:dyDescent="0.25">
      <c r="B49" s="129"/>
      <c r="H49" s="128"/>
      <c r="J49" s="128"/>
      <c r="K49" s="128"/>
      <c r="L49" s="128"/>
      <c r="M49" s="128"/>
      <c r="N49" s="128"/>
      <c r="O49" s="128"/>
      <c r="P49" s="218"/>
      <c r="Q49" s="216"/>
      <c r="R49" s="143"/>
    </row>
    <row r="50" spans="1:18" x14ac:dyDescent="0.25">
      <c r="B50" s="129"/>
      <c r="H50" s="128"/>
      <c r="J50" s="128"/>
      <c r="K50" s="128"/>
      <c r="L50" s="128"/>
      <c r="M50" s="128"/>
      <c r="N50" s="128"/>
      <c r="O50" s="128"/>
      <c r="P50" s="218"/>
      <c r="Q50" s="216"/>
    </row>
    <row r="51" spans="1:18" x14ac:dyDescent="0.25">
      <c r="A51" s="128"/>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8"/>
      <c r="H53" s="128"/>
      <c r="J53" s="128"/>
      <c r="K53" s="128"/>
      <c r="L53" s="128"/>
      <c r="M53" s="128"/>
      <c r="N53" s="128"/>
      <c r="O53" s="128"/>
      <c r="P53" s="128"/>
      <c r="Q53" s="216"/>
    </row>
    <row r="54" spans="1:18" x14ac:dyDescent="0.25">
      <c r="A54" s="128"/>
      <c r="B54" s="128"/>
      <c r="H54" s="128"/>
      <c r="J54" s="128"/>
      <c r="K54" s="128"/>
      <c r="L54" s="128"/>
      <c r="M54" s="128"/>
      <c r="N54" s="128"/>
      <c r="O54" s="128"/>
      <c r="P54" s="128"/>
      <c r="Q54" s="216"/>
    </row>
  </sheetData>
  <mergeCells count="19">
    <mergeCell ref="Q5:Q6"/>
    <mergeCell ref="C34:F34"/>
    <mergeCell ref="C35:F35"/>
    <mergeCell ref="C39:E39"/>
    <mergeCell ref="A1:Q1"/>
    <mergeCell ref="A2:Q2"/>
    <mergeCell ref="B3:Q3"/>
    <mergeCell ref="A5:A6"/>
    <mergeCell ref="B5:B6"/>
    <mergeCell ref="C5:C6"/>
    <mergeCell ref="D5:D6"/>
    <mergeCell ref="E5:E6"/>
    <mergeCell ref="F5:F6"/>
    <mergeCell ref="G5:N5"/>
    <mergeCell ref="C41:F41"/>
    <mergeCell ref="C42:F42"/>
    <mergeCell ref="A43:F43"/>
    <mergeCell ref="O5:O6"/>
    <mergeCell ref="P5:P6"/>
  </mergeCells>
  <pageMargins left="0.7" right="0.7" top="0.75" bottom="0.75" header="0.3" footer="0.3"/>
  <pageSetup paperSize="9" orientation="landscape" horizontalDpi="180" verticalDpi="18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49"/>
  <sheetViews>
    <sheetView topLeftCell="A25" zoomScaleNormal="100" workbookViewId="0">
      <selection activeCell="H48" sqref="H4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2.7109375" style="128" customWidth="1"/>
    <col min="6" max="6" width="10.140625" style="128" customWidth="1"/>
    <col min="7" max="7" width="8" style="128" customWidth="1"/>
    <col min="8" max="8" width="11" style="143" customWidth="1"/>
    <col min="9" max="9" width="12.2851562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7.285156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3403</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11">
        <v>1</v>
      </c>
      <c r="B7" s="328">
        <v>44137</v>
      </c>
      <c r="C7" s="134" t="s">
        <v>3404</v>
      </c>
      <c r="D7" s="211" t="s">
        <v>3421</v>
      </c>
      <c r="E7" s="136" t="s">
        <v>3029</v>
      </c>
      <c r="F7" s="134"/>
      <c r="G7" s="134"/>
      <c r="H7" s="139"/>
      <c r="I7" s="134"/>
      <c r="J7" s="139">
        <v>790000</v>
      </c>
      <c r="K7" s="139"/>
      <c r="L7" s="263"/>
      <c r="M7" s="139"/>
      <c r="N7" s="139"/>
      <c r="O7" s="139">
        <f>SUM(H7:N7)</f>
        <v>790000</v>
      </c>
      <c r="P7" s="139">
        <v>2900000</v>
      </c>
      <c r="Q7" s="250">
        <f>P7-O7</f>
        <v>2110000</v>
      </c>
      <c r="R7" s="215"/>
    </row>
    <row r="8" spans="1:24" s="144" customFormat="1" ht="20.45" customHeight="1" x14ac:dyDescent="0.25">
      <c r="A8" s="211">
        <v>2</v>
      </c>
      <c r="B8" s="328">
        <v>44138</v>
      </c>
      <c r="C8" s="134" t="s">
        <v>3405</v>
      </c>
      <c r="D8" s="211" t="s">
        <v>3422</v>
      </c>
      <c r="E8" s="136" t="s">
        <v>2059</v>
      </c>
      <c r="F8" s="134"/>
      <c r="G8" s="134">
        <v>215</v>
      </c>
      <c r="H8" s="139">
        <f>G8*11210</f>
        <v>2410150</v>
      </c>
      <c r="I8" s="134"/>
      <c r="J8" s="139">
        <v>1400000</v>
      </c>
      <c r="K8" s="139"/>
      <c r="L8" s="263"/>
      <c r="M8" s="139"/>
      <c r="N8" s="139"/>
      <c r="O8" s="139">
        <f>SUM(H8:N8)</f>
        <v>3810150</v>
      </c>
      <c r="P8" s="139">
        <v>5454545</v>
      </c>
      <c r="Q8" s="250">
        <f t="shared" ref="Q8:Q28" si="0">P8-O8</f>
        <v>1644395</v>
      </c>
      <c r="R8" s="215"/>
    </row>
    <row r="9" spans="1:24" s="144" customFormat="1" ht="20.45" customHeight="1" x14ac:dyDescent="0.25">
      <c r="A9" s="211">
        <v>3</v>
      </c>
      <c r="B9" s="328">
        <v>44139</v>
      </c>
      <c r="C9" s="134" t="s">
        <v>3406</v>
      </c>
      <c r="D9" s="211" t="s">
        <v>3423</v>
      </c>
      <c r="E9" s="136" t="s">
        <v>25</v>
      </c>
      <c r="F9" s="134"/>
      <c r="G9" s="134"/>
      <c r="H9" s="139"/>
      <c r="I9" s="134"/>
      <c r="J9" s="139">
        <v>1890000</v>
      </c>
      <c r="K9" s="139"/>
      <c r="L9" s="263"/>
      <c r="M9" s="139"/>
      <c r="N9" s="139"/>
      <c r="O9" s="139">
        <f t="shared" ref="O9:O28" si="1">SUM(H9:N9)</f>
        <v>1890000</v>
      </c>
      <c r="P9" s="139">
        <v>7209091</v>
      </c>
      <c r="Q9" s="250">
        <f t="shared" si="0"/>
        <v>5319091</v>
      </c>
      <c r="R9" s="215"/>
    </row>
    <row r="10" spans="1:24" s="144" customFormat="1" ht="20.45" customHeight="1" x14ac:dyDescent="0.25">
      <c r="A10" s="211">
        <v>4</v>
      </c>
      <c r="B10" s="328">
        <v>44139</v>
      </c>
      <c r="C10" s="134" t="s">
        <v>2749</v>
      </c>
      <c r="D10" s="211" t="s">
        <v>3424</v>
      </c>
      <c r="E10" s="136" t="s">
        <v>1568</v>
      </c>
      <c r="F10" s="134"/>
      <c r="G10" s="134"/>
      <c r="H10" s="139"/>
      <c r="I10" s="134"/>
      <c r="J10" s="139">
        <v>1150000</v>
      </c>
      <c r="K10" s="139"/>
      <c r="L10" s="263"/>
      <c r="M10" s="139"/>
      <c r="N10" s="139"/>
      <c r="O10" s="139">
        <f t="shared" si="1"/>
        <v>1150000</v>
      </c>
      <c r="P10" s="139">
        <v>3300000</v>
      </c>
      <c r="Q10" s="250">
        <f t="shared" si="0"/>
        <v>2150000</v>
      </c>
      <c r="R10" s="215"/>
    </row>
    <row r="11" spans="1:24" s="144" customFormat="1" ht="20.45" customHeight="1" x14ac:dyDescent="0.25">
      <c r="A11" s="211">
        <v>5</v>
      </c>
      <c r="B11" s="328">
        <v>44140</v>
      </c>
      <c r="C11" s="134" t="s">
        <v>1383</v>
      </c>
      <c r="D11" s="211" t="s">
        <v>3425</v>
      </c>
      <c r="E11" s="136" t="s">
        <v>2499</v>
      </c>
      <c r="F11" s="134"/>
      <c r="G11" s="134"/>
      <c r="H11" s="139"/>
      <c r="I11" s="134"/>
      <c r="J11" s="139">
        <v>790000</v>
      </c>
      <c r="K11" s="139"/>
      <c r="L11" s="263"/>
      <c r="M11" s="139"/>
      <c r="N11" s="139"/>
      <c r="O11" s="139">
        <f t="shared" si="1"/>
        <v>790000</v>
      </c>
      <c r="P11" s="139">
        <v>3700000</v>
      </c>
      <c r="Q11" s="250">
        <f t="shared" si="0"/>
        <v>2910000</v>
      </c>
      <c r="R11" s="215"/>
    </row>
    <row r="12" spans="1:24" s="144" customFormat="1" ht="20.45" customHeight="1" x14ac:dyDescent="0.2">
      <c r="A12" s="211">
        <v>6</v>
      </c>
      <c r="B12" s="328">
        <v>44141</v>
      </c>
      <c r="C12" s="134" t="s">
        <v>1385</v>
      </c>
      <c r="D12" s="211" t="s">
        <v>3426</v>
      </c>
      <c r="E12" s="136" t="s">
        <v>3395</v>
      </c>
      <c r="F12" s="134"/>
      <c r="G12" s="134">
        <v>270</v>
      </c>
      <c r="H12" s="139">
        <f t="shared" ref="H12:H13" si="2">G12*11210</f>
        <v>3026700</v>
      </c>
      <c r="I12" s="134"/>
      <c r="J12" s="139">
        <v>1720000</v>
      </c>
      <c r="K12" s="139"/>
      <c r="L12" s="263"/>
      <c r="M12" s="139"/>
      <c r="N12" s="139"/>
      <c r="O12" s="139">
        <f t="shared" si="1"/>
        <v>4746700</v>
      </c>
      <c r="P12" s="139">
        <v>8200000</v>
      </c>
      <c r="Q12" s="250">
        <f t="shared" si="0"/>
        <v>3453300</v>
      </c>
      <c r="R12" s="302"/>
    </row>
    <row r="13" spans="1:24" s="144" customFormat="1" ht="20.45" customHeight="1" x14ac:dyDescent="0.25">
      <c r="A13" s="211">
        <v>7</v>
      </c>
      <c r="B13" s="328">
        <v>44144</v>
      </c>
      <c r="C13" s="134" t="s">
        <v>3407</v>
      </c>
      <c r="D13" s="211" t="s">
        <v>3427</v>
      </c>
      <c r="E13" s="136" t="s">
        <v>25</v>
      </c>
      <c r="F13" s="134"/>
      <c r="G13" s="134">
        <v>345</v>
      </c>
      <c r="H13" s="139">
        <f t="shared" si="2"/>
        <v>3867450</v>
      </c>
      <c r="I13" s="134"/>
      <c r="J13" s="139">
        <v>1890000</v>
      </c>
      <c r="K13" s="139"/>
      <c r="L13" s="263"/>
      <c r="M13" s="139"/>
      <c r="N13" s="139"/>
      <c r="O13" s="139">
        <f t="shared" si="1"/>
        <v>5757450</v>
      </c>
      <c r="P13" s="139">
        <v>7209091</v>
      </c>
      <c r="Q13" s="250">
        <f t="shared" si="0"/>
        <v>1451641</v>
      </c>
      <c r="R13" s="143"/>
      <c r="S13" s="128"/>
      <c r="T13" s="128"/>
      <c r="U13" s="128"/>
      <c r="V13" s="128"/>
      <c r="W13" s="128"/>
      <c r="X13" s="128"/>
    </row>
    <row r="14" spans="1:24" s="144" customFormat="1" ht="20.45" customHeight="1" x14ac:dyDescent="0.25">
      <c r="A14" s="211">
        <v>8</v>
      </c>
      <c r="B14" s="328">
        <v>44146</v>
      </c>
      <c r="C14" s="134" t="s">
        <v>2755</v>
      </c>
      <c r="D14" s="211" t="s">
        <v>3428</v>
      </c>
      <c r="E14" s="136" t="s">
        <v>143</v>
      </c>
      <c r="F14" s="134"/>
      <c r="G14" s="134"/>
      <c r="H14" s="139"/>
      <c r="I14" s="134"/>
      <c r="J14" s="139">
        <v>970000</v>
      </c>
      <c r="K14" s="139"/>
      <c r="L14" s="263"/>
      <c r="M14" s="139"/>
      <c r="N14" s="139"/>
      <c r="O14" s="139">
        <f t="shared" si="1"/>
        <v>970000</v>
      </c>
      <c r="P14" s="139">
        <v>4300000</v>
      </c>
      <c r="Q14" s="250">
        <f t="shared" si="0"/>
        <v>3330000</v>
      </c>
      <c r="R14" s="143"/>
      <c r="S14" s="128"/>
      <c r="T14" s="128"/>
      <c r="U14" s="128"/>
      <c r="V14" s="128"/>
      <c r="W14" s="128"/>
      <c r="X14" s="128"/>
    </row>
    <row r="15" spans="1:24" s="144" customFormat="1" ht="20.45" customHeight="1" x14ac:dyDescent="0.25">
      <c r="A15" s="211">
        <v>9</v>
      </c>
      <c r="B15" s="328">
        <v>44147</v>
      </c>
      <c r="C15" s="134" t="s">
        <v>2076</v>
      </c>
      <c r="D15" s="211" t="s">
        <v>3429</v>
      </c>
      <c r="E15" s="136" t="s">
        <v>3442</v>
      </c>
      <c r="F15" s="134"/>
      <c r="G15" s="134">
        <v>310</v>
      </c>
      <c r="H15" s="139">
        <f>G15*10830</f>
        <v>3357300</v>
      </c>
      <c r="I15" s="134"/>
      <c r="J15" s="139">
        <v>790000</v>
      </c>
      <c r="K15" s="139"/>
      <c r="L15" s="263"/>
      <c r="M15" s="139"/>
      <c r="N15" s="139"/>
      <c r="O15" s="139">
        <f t="shared" si="1"/>
        <v>4147300</v>
      </c>
      <c r="P15" s="139">
        <v>3809091</v>
      </c>
      <c r="Q15" s="250">
        <f t="shared" si="0"/>
        <v>-338209</v>
      </c>
      <c r="R15" s="143"/>
      <c r="S15" s="128"/>
      <c r="T15" s="128"/>
      <c r="U15" s="128"/>
      <c r="V15" s="128"/>
      <c r="W15" s="128"/>
      <c r="X15" s="128"/>
    </row>
    <row r="16" spans="1:24" s="144" customFormat="1" ht="20.45" customHeight="1" x14ac:dyDescent="0.25">
      <c r="A16" s="211">
        <v>10</v>
      </c>
      <c r="B16" s="328">
        <v>44148</v>
      </c>
      <c r="C16" s="134" t="s">
        <v>3408</v>
      </c>
      <c r="D16" s="211" t="s">
        <v>3430</v>
      </c>
      <c r="E16" s="136" t="s">
        <v>25</v>
      </c>
      <c r="F16" s="134"/>
      <c r="G16" s="134"/>
      <c r="H16" s="139"/>
      <c r="I16" s="134"/>
      <c r="J16" s="139">
        <v>1890000</v>
      </c>
      <c r="K16" s="139"/>
      <c r="L16" s="263"/>
      <c r="M16" s="139"/>
      <c r="N16" s="139"/>
      <c r="O16" s="139">
        <f t="shared" si="1"/>
        <v>1890000</v>
      </c>
      <c r="P16" s="139">
        <v>7209091</v>
      </c>
      <c r="Q16" s="250">
        <f t="shared" si="0"/>
        <v>5319091</v>
      </c>
      <c r="R16" s="143"/>
      <c r="S16" s="128"/>
      <c r="T16" s="128"/>
      <c r="U16" s="128"/>
      <c r="V16" s="128"/>
      <c r="W16" s="128"/>
      <c r="X16" s="128"/>
    </row>
    <row r="17" spans="1:24" s="144" customFormat="1" ht="20.45" customHeight="1" x14ac:dyDescent="0.25">
      <c r="A17" s="211">
        <v>11</v>
      </c>
      <c r="B17" s="328">
        <v>44150</v>
      </c>
      <c r="C17" s="134" t="s">
        <v>3409</v>
      </c>
      <c r="D17" s="211" t="s">
        <v>3431</v>
      </c>
      <c r="E17" s="136" t="s">
        <v>2059</v>
      </c>
      <c r="F17" s="134"/>
      <c r="G17" s="134">
        <v>300</v>
      </c>
      <c r="H17" s="139">
        <f t="shared" ref="H17:H26" si="3">G17*10830</f>
        <v>3249000</v>
      </c>
      <c r="I17" s="134"/>
      <c r="J17" s="139">
        <v>1400000</v>
      </c>
      <c r="K17" s="139"/>
      <c r="L17" s="263"/>
      <c r="M17" s="139"/>
      <c r="N17" s="139"/>
      <c r="O17" s="139">
        <f t="shared" si="1"/>
        <v>4649000</v>
      </c>
      <c r="P17" s="139">
        <v>5454545</v>
      </c>
      <c r="Q17" s="250">
        <f t="shared" si="0"/>
        <v>805545</v>
      </c>
      <c r="R17" s="143"/>
      <c r="S17" s="128"/>
      <c r="T17" s="128"/>
      <c r="U17" s="128"/>
      <c r="V17" s="128"/>
      <c r="W17" s="128"/>
      <c r="X17" s="128"/>
    </row>
    <row r="18" spans="1:24" s="144" customFormat="1" ht="20.45" customHeight="1" x14ac:dyDescent="0.25">
      <c r="A18" s="211">
        <v>12</v>
      </c>
      <c r="B18" s="328">
        <v>44152</v>
      </c>
      <c r="C18" s="134" t="s">
        <v>3410</v>
      </c>
      <c r="D18" s="211" t="s">
        <v>3432</v>
      </c>
      <c r="E18" s="136" t="s">
        <v>1937</v>
      </c>
      <c r="F18" s="134"/>
      <c r="G18" s="134"/>
      <c r="H18" s="139"/>
      <c r="I18" s="134"/>
      <c r="J18" s="139">
        <v>1150000</v>
      </c>
      <c r="K18" s="139"/>
      <c r="L18" s="263"/>
      <c r="M18" s="139"/>
      <c r="N18" s="139"/>
      <c r="O18" s="139">
        <f t="shared" si="1"/>
        <v>1150000</v>
      </c>
      <c r="P18" s="139">
        <v>3560000</v>
      </c>
      <c r="Q18" s="250">
        <f t="shared" si="0"/>
        <v>2410000</v>
      </c>
      <c r="R18" s="143"/>
      <c r="S18" s="128"/>
      <c r="T18" s="128"/>
      <c r="U18" s="128"/>
      <c r="V18" s="128"/>
      <c r="W18" s="128"/>
      <c r="X18" s="128"/>
    </row>
    <row r="19" spans="1:24" s="144" customFormat="1" ht="20.45" customHeight="1" x14ac:dyDescent="0.25">
      <c r="A19" s="211">
        <v>13</v>
      </c>
      <c r="B19" s="328">
        <v>44153</v>
      </c>
      <c r="C19" s="134" t="s">
        <v>3411</v>
      </c>
      <c r="D19" s="211" t="s">
        <v>3432</v>
      </c>
      <c r="E19" s="136" t="s">
        <v>2984</v>
      </c>
      <c r="F19" s="134"/>
      <c r="G19" s="134">
        <v>260</v>
      </c>
      <c r="H19" s="139">
        <f t="shared" si="3"/>
        <v>2815800</v>
      </c>
      <c r="I19" s="134"/>
      <c r="J19" s="139">
        <v>300000</v>
      </c>
      <c r="K19" s="139"/>
      <c r="L19" s="263"/>
      <c r="M19" s="139"/>
      <c r="N19" s="139"/>
      <c r="O19" s="139">
        <f t="shared" si="1"/>
        <v>3115800</v>
      </c>
      <c r="P19" s="139">
        <v>2000000</v>
      </c>
      <c r="Q19" s="250">
        <f t="shared" si="0"/>
        <v>-1115800</v>
      </c>
      <c r="R19" s="143"/>
      <c r="S19" s="128"/>
      <c r="T19" s="128"/>
      <c r="U19" s="128"/>
      <c r="V19" s="128"/>
      <c r="W19" s="128"/>
      <c r="X19" s="128"/>
    </row>
    <row r="20" spans="1:24" s="144" customFormat="1" ht="20.45" customHeight="1" x14ac:dyDescent="0.25">
      <c r="A20" s="211">
        <v>14</v>
      </c>
      <c r="B20" s="328">
        <v>44153</v>
      </c>
      <c r="C20" s="134" t="s">
        <v>3412</v>
      </c>
      <c r="D20" s="211" t="s">
        <v>3433</v>
      </c>
      <c r="E20" s="136" t="s">
        <v>143</v>
      </c>
      <c r="F20" s="134"/>
      <c r="G20" s="134"/>
      <c r="H20" s="139"/>
      <c r="I20" s="134"/>
      <c r="J20" s="139">
        <v>970000</v>
      </c>
      <c r="K20" s="139"/>
      <c r="L20" s="263"/>
      <c r="M20" s="139"/>
      <c r="N20" s="139"/>
      <c r="O20" s="139">
        <f t="shared" si="1"/>
        <v>970000</v>
      </c>
      <c r="P20" s="139">
        <v>4300000</v>
      </c>
      <c r="Q20" s="250">
        <f t="shared" si="0"/>
        <v>3330000</v>
      </c>
      <c r="R20" s="143"/>
      <c r="S20" s="128"/>
      <c r="T20" s="128"/>
      <c r="U20" s="128"/>
      <c r="V20" s="128"/>
      <c r="W20" s="128"/>
      <c r="X20" s="128"/>
    </row>
    <row r="21" spans="1:24" s="144" customFormat="1" ht="20.45" customHeight="1" x14ac:dyDescent="0.25">
      <c r="A21" s="211">
        <v>15</v>
      </c>
      <c r="B21" s="328">
        <v>44155</v>
      </c>
      <c r="C21" s="134" t="s">
        <v>3413</v>
      </c>
      <c r="D21" s="211" t="s">
        <v>3434</v>
      </c>
      <c r="E21" s="136" t="s">
        <v>25</v>
      </c>
      <c r="F21" s="134"/>
      <c r="G21" s="134"/>
      <c r="H21" s="139"/>
      <c r="I21" s="134"/>
      <c r="J21" s="139">
        <v>1890000</v>
      </c>
      <c r="K21" s="139"/>
      <c r="L21" s="263"/>
      <c r="M21" s="139"/>
      <c r="N21" s="139"/>
      <c r="O21" s="139">
        <f t="shared" si="1"/>
        <v>1890000</v>
      </c>
      <c r="P21" s="139">
        <v>7209091</v>
      </c>
      <c r="Q21" s="250">
        <f t="shared" si="0"/>
        <v>5319091</v>
      </c>
      <c r="R21" s="143"/>
      <c r="S21" s="128"/>
      <c r="T21" s="128"/>
      <c r="U21" s="128"/>
      <c r="V21" s="128"/>
      <c r="W21" s="128"/>
      <c r="X21" s="128"/>
    </row>
    <row r="22" spans="1:24" s="144" customFormat="1" ht="20.45" customHeight="1" x14ac:dyDescent="0.25">
      <c r="A22" s="211">
        <v>16</v>
      </c>
      <c r="B22" s="328">
        <v>44155</v>
      </c>
      <c r="C22" s="134" t="s">
        <v>3414</v>
      </c>
      <c r="D22" s="211" t="s">
        <v>3435</v>
      </c>
      <c r="E22" s="136" t="s">
        <v>259</v>
      </c>
      <c r="F22" s="134"/>
      <c r="G22" s="134">
        <v>300</v>
      </c>
      <c r="H22" s="139">
        <f t="shared" si="3"/>
        <v>3249000</v>
      </c>
      <c r="I22" s="134"/>
      <c r="J22" s="139">
        <v>970000</v>
      </c>
      <c r="K22" s="139"/>
      <c r="L22" s="263"/>
      <c r="M22" s="139"/>
      <c r="N22" s="139"/>
      <c r="O22" s="139">
        <f t="shared" si="1"/>
        <v>4219000</v>
      </c>
      <c r="P22" s="139">
        <v>3600000</v>
      </c>
      <c r="Q22" s="250">
        <f t="shared" si="0"/>
        <v>-619000</v>
      </c>
      <c r="R22" s="143"/>
      <c r="S22" s="128"/>
      <c r="T22" s="128"/>
      <c r="U22" s="128"/>
      <c r="V22" s="128"/>
      <c r="W22" s="128"/>
      <c r="X22" s="128"/>
    </row>
    <row r="23" spans="1:24" s="144" customFormat="1" ht="20.45" customHeight="1" x14ac:dyDescent="0.25">
      <c r="A23" s="211">
        <v>17</v>
      </c>
      <c r="B23" s="328">
        <v>44157</v>
      </c>
      <c r="C23" s="134" t="s">
        <v>3415</v>
      </c>
      <c r="D23" s="211" t="s">
        <v>3436</v>
      </c>
      <c r="E23" s="136" t="s">
        <v>143</v>
      </c>
      <c r="F23" s="134"/>
      <c r="G23" s="134"/>
      <c r="H23" s="139"/>
      <c r="I23" s="134"/>
      <c r="J23" s="139">
        <v>970000</v>
      </c>
      <c r="K23" s="139"/>
      <c r="L23" s="263"/>
      <c r="M23" s="139"/>
      <c r="N23" s="139"/>
      <c r="O23" s="139">
        <f t="shared" si="1"/>
        <v>970000</v>
      </c>
      <c r="P23" s="139">
        <v>4300000</v>
      </c>
      <c r="Q23" s="250">
        <f t="shared" si="0"/>
        <v>3330000</v>
      </c>
      <c r="R23" s="143"/>
      <c r="S23" s="128"/>
      <c r="T23" s="128"/>
      <c r="U23" s="128"/>
      <c r="V23" s="128"/>
      <c r="W23" s="128"/>
      <c r="X23" s="128"/>
    </row>
    <row r="24" spans="1:24" s="144" customFormat="1" ht="20.45" customHeight="1" x14ac:dyDescent="0.25">
      <c r="A24" s="211">
        <v>18</v>
      </c>
      <c r="B24" s="328">
        <v>44158</v>
      </c>
      <c r="C24" s="134" t="s">
        <v>3416</v>
      </c>
      <c r="D24" s="211" t="s">
        <v>3437</v>
      </c>
      <c r="E24" s="136" t="s">
        <v>3395</v>
      </c>
      <c r="F24" s="134"/>
      <c r="G24" s="134">
        <v>230</v>
      </c>
      <c r="H24" s="139">
        <f t="shared" si="3"/>
        <v>2490900</v>
      </c>
      <c r="I24" s="134"/>
      <c r="J24" s="139">
        <v>1720000</v>
      </c>
      <c r="K24" s="139"/>
      <c r="L24" s="263"/>
      <c r="M24" s="139"/>
      <c r="N24" s="139"/>
      <c r="O24" s="139">
        <f t="shared" si="1"/>
        <v>4210900</v>
      </c>
      <c r="P24" s="139">
        <v>8200000</v>
      </c>
      <c r="Q24" s="250">
        <f t="shared" si="0"/>
        <v>3989100</v>
      </c>
      <c r="R24" s="143"/>
      <c r="S24" s="128"/>
      <c r="T24" s="128"/>
      <c r="U24" s="128"/>
      <c r="V24" s="128"/>
      <c r="W24" s="128"/>
      <c r="X24" s="128"/>
    </row>
    <row r="25" spans="1:24" s="144" customFormat="1" ht="20.45" customHeight="1" x14ac:dyDescent="0.25">
      <c r="A25" s="211">
        <v>19</v>
      </c>
      <c r="B25" s="328">
        <v>44159</v>
      </c>
      <c r="C25" s="134" t="s">
        <v>3417</v>
      </c>
      <c r="D25" s="211" t="s">
        <v>3438</v>
      </c>
      <c r="E25" s="136" t="s">
        <v>1568</v>
      </c>
      <c r="F25" s="134"/>
      <c r="G25" s="134"/>
      <c r="H25" s="139"/>
      <c r="I25" s="134"/>
      <c r="J25" s="139">
        <v>1150000</v>
      </c>
      <c r="K25" s="139"/>
      <c r="L25" s="263"/>
      <c r="M25" s="139"/>
      <c r="N25" s="139"/>
      <c r="O25" s="139">
        <f t="shared" si="1"/>
        <v>1150000</v>
      </c>
      <c r="P25" s="139">
        <v>3300000</v>
      </c>
      <c r="Q25" s="250">
        <f t="shared" si="0"/>
        <v>2150000</v>
      </c>
      <c r="R25" s="143"/>
      <c r="S25" s="128"/>
      <c r="T25" s="128"/>
      <c r="U25" s="128"/>
      <c r="V25" s="128"/>
      <c r="W25" s="128"/>
      <c r="X25" s="128"/>
    </row>
    <row r="26" spans="1:24" s="144" customFormat="1" ht="20.45" customHeight="1" x14ac:dyDescent="0.25">
      <c r="A26" s="211">
        <v>20</v>
      </c>
      <c r="B26" s="328">
        <v>44160</v>
      </c>
      <c r="C26" s="134" t="s">
        <v>3418</v>
      </c>
      <c r="D26" s="211" t="s">
        <v>3439</v>
      </c>
      <c r="E26" s="136" t="s">
        <v>2883</v>
      </c>
      <c r="F26" s="134"/>
      <c r="G26" s="134">
        <v>340</v>
      </c>
      <c r="H26" s="139">
        <f t="shared" si="3"/>
        <v>3682200</v>
      </c>
      <c r="I26" s="134"/>
      <c r="J26" s="139">
        <v>790000</v>
      </c>
      <c r="K26" s="139"/>
      <c r="L26" s="263"/>
      <c r="M26" s="139"/>
      <c r="N26" s="139"/>
      <c r="O26" s="139">
        <f t="shared" si="1"/>
        <v>4472200</v>
      </c>
      <c r="P26" s="139">
        <v>2763636</v>
      </c>
      <c r="Q26" s="250">
        <f t="shared" si="0"/>
        <v>-1708564</v>
      </c>
      <c r="R26" s="143"/>
      <c r="S26" s="128"/>
      <c r="T26" s="128"/>
      <c r="U26" s="128"/>
      <c r="V26" s="128"/>
      <c r="W26" s="128"/>
      <c r="X26" s="128"/>
    </row>
    <row r="27" spans="1:24" s="144" customFormat="1" ht="20.45" customHeight="1" x14ac:dyDescent="0.25">
      <c r="A27" s="211">
        <v>21</v>
      </c>
      <c r="B27" s="328">
        <v>44161</v>
      </c>
      <c r="C27" s="134" t="s">
        <v>3419</v>
      </c>
      <c r="D27" s="211" t="s">
        <v>3440</v>
      </c>
      <c r="E27" s="136" t="s">
        <v>3443</v>
      </c>
      <c r="F27" s="134"/>
      <c r="G27" s="134"/>
      <c r="H27" s="139"/>
      <c r="I27" s="134"/>
      <c r="J27" s="139">
        <v>970000</v>
      </c>
      <c r="K27" s="139"/>
      <c r="L27" s="263"/>
      <c r="M27" s="139"/>
      <c r="N27" s="139"/>
      <c r="O27" s="139">
        <f t="shared" si="1"/>
        <v>970000</v>
      </c>
      <c r="P27" s="139">
        <v>3218182</v>
      </c>
      <c r="Q27" s="250">
        <f t="shared" si="0"/>
        <v>2248182</v>
      </c>
      <c r="R27" s="143"/>
      <c r="S27" s="128"/>
      <c r="T27" s="128"/>
      <c r="U27" s="128"/>
      <c r="V27" s="128"/>
      <c r="W27" s="128"/>
      <c r="X27" s="128"/>
    </row>
    <row r="28" spans="1:24" s="144" customFormat="1" ht="20.45" customHeight="1" x14ac:dyDescent="0.25">
      <c r="A28" s="211">
        <v>22</v>
      </c>
      <c r="B28" s="328">
        <v>44162</v>
      </c>
      <c r="C28" s="134" t="s">
        <v>3420</v>
      </c>
      <c r="D28" s="211" t="s">
        <v>3441</v>
      </c>
      <c r="E28" s="136" t="s">
        <v>23</v>
      </c>
      <c r="F28" s="134"/>
      <c r="G28" s="134">
        <v>180</v>
      </c>
      <c r="H28" s="139">
        <f>G28*11430</f>
        <v>2057400</v>
      </c>
      <c r="I28" s="134"/>
      <c r="J28" s="139">
        <v>2740000</v>
      </c>
      <c r="K28" s="139"/>
      <c r="L28" s="263"/>
      <c r="M28" s="139"/>
      <c r="N28" s="139"/>
      <c r="O28" s="139">
        <f t="shared" si="1"/>
        <v>4797400</v>
      </c>
      <c r="P28" s="139">
        <v>12272727</v>
      </c>
      <c r="Q28" s="250">
        <f t="shared" si="0"/>
        <v>7475327</v>
      </c>
      <c r="R28" s="143"/>
      <c r="S28" s="128"/>
      <c r="T28" s="128"/>
      <c r="U28" s="128"/>
      <c r="V28" s="128"/>
      <c r="W28" s="128"/>
      <c r="X28" s="128"/>
    </row>
    <row r="29" spans="1:24" s="144" customFormat="1" ht="20.45" customHeight="1" x14ac:dyDescent="0.25">
      <c r="A29" s="211"/>
      <c r="B29" s="191"/>
      <c r="C29" s="134"/>
      <c r="D29" s="134"/>
      <c r="E29" s="136"/>
      <c r="F29" s="134"/>
      <c r="G29" s="138"/>
      <c r="H29" s="141"/>
      <c r="I29" s="138"/>
      <c r="J29" s="139"/>
      <c r="K29" s="139"/>
      <c r="L29" s="263"/>
      <c r="M29" s="139"/>
      <c r="N29" s="139"/>
      <c r="O29" s="139"/>
      <c r="P29" s="141"/>
      <c r="Q29" s="250"/>
      <c r="R29" s="215"/>
    </row>
    <row r="30" spans="1:24" s="144" customFormat="1" ht="20.45" customHeight="1" x14ac:dyDescent="0.25">
      <c r="A30" s="211"/>
      <c r="B30" s="191"/>
      <c r="C30" s="440" t="s">
        <v>1094</v>
      </c>
      <c r="D30" s="441"/>
      <c r="E30" s="441"/>
      <c r="F30" s="442"/>
      <c r="G30" s="153"/>
      <c r="H30" s="156"/>
      <c r="I30" s="153"/>
      <c r="J30" s="156"/>
      <c r="K30" s="288">
        <v>1200000</v>
      </c>
      <c r="L30" s="263"/>
      <c r="M30" s="139"/>
      <c r="N30" s="139"/>
      <c r="O30" s="139">
        <f t="shared" ref="O30:O36" si="4">SUM(H30:N30)</f>
        <v>1200000</v>
      </c>
      <c r="P30" s="141"/>
      <c r="Q30" s="250"/>
      <c r="R30" s="215"/>
    </row>
    <row r="31" spans="1:24" s="144" customFormat="1" ht="20.45" customHeight="1" x14ac:dyDescent="0.25">
      <c r="A31" s="211"/>
      <c r="B31" s="191"/>
      <c r="C31" s="446" t="s">
        <v>3444</v>
      </c>
      <c r="D31" s="447"/>
      <c r="E31" s="447"/>
      <c r="F31" s="448"/>
      <c r="G31" s="134"/>
      <c r="H31" s="139"/>
      <c r="I31" s="134"/>
      <c r="J31" s="139"/>
      <c r="K31" s="139"/>
      <c r="L31" s="219">
        <v>1000000</v>
      </c>
      <c r="M31" s="219"/>
      <c r="N31" s="219"/>
      <c r="O31" s="139">
        <f t="shared" si="4"/>
        <v>1000000</v>
      </c>
      <c r="P31" s="141"/>
      <c r="Q31" s="250"/>
      <c r="R31" s="215"/>
    </row>
    <row r="32" spans="1:24" s="144" customFormat="1" ht="20.45" customHeight="1" x14ac:dyDescent="0.25">
      <c r="A32" s="211"/>
      <c r="B32" s="191"/>
      <c r="C32" s="323" t="s">
        <v>3445</v>
      </c>
      <c r="D32" s="324"/>
      <c r="E32" s="324"/>
      <c r="F32" s="325"/>
      <c r="G32" s="134"/>
      <c r="H32" s="139"/>
      <c r="I32" s="134"/>
      <c r="J32" s="139"/>
      <c r="K32" s="206"/>
      <c r="L32" s="219"/>
      <c r="M32" s="219">
        <v>150000</v>
      </c>
      <c r="N32" s="219"/>
      <c r="O32" s="139">
        <f t="shared" si="4"/>
        <v>150000</v>
      </c>
      <c r="P32" s="141"/>
      <c r="Q32" s="250"/>
      <c r="R32" s="215"/>
    </row>
    <row r="33" spans="1:19" s="144" customFormat="1" ht="20.45" customHeight="1" x14ac:dyDescent="0.25">
      <c r="A33" s="211"/>
      <c r="B33" s="191"/>
      <c r="C33" s="323" t="s">
        <v>3446</v>
      </c>
      <c r="D33" s="324"/>
      <c r="E33" s="324"/>
      <c r="F33" s="325"/>
      <c r="G33" s="134"/>
      <c r="H33" s="139"/>
      <c r="I33" s="134"/>
      <c r="J33" s="139"/>
      <c r="K33" s="206"/>
      <c r="L33" s="219"/>
      <c r="M33" s="219">
        <v>9800000</v>
      </c>
      <c r="N33" s="219"/>
      <c r="O33" s="139">
        <f t="shared" si="4"/>
        <v>9800000</v>
      </c>
      <c r="P33" s="141"/>
      <c r="Q33" s="250"/>
      <c r="R33" s="215"/>
    </row>
    <row r="34" spans="1:19" s="144" customFormat="1" ht="20.45" customHeight="1" x14ac:dyDescent="0.25">
      <c r="A34" s="211"/>
      <c r="B34" s="191"/>
      <c r="C34" s="323" t="s">
        <v>3447</v>
      </c>
      <c r="D34" s="324"/>
      <c r="E34" s="324"/>
      <c r="F34" s="325"/>
      <c r="G34" s="134"/>
      <c r="H34" s="139"/>
      <c r="I34" s="134"/>
      <c r="J34" s="139"/>
      <c r="K34" s="206"/>
      <c r="L34" s="219">
        <v>2150000</v>
      </c>
      <c r="M34" s="219"/>
      <c r="N34" s="219"/>
      <c r="O34" s="139">
        <f t="shared" si="4"/>
        <v>2150000</v>
      </c>
      <c r="P34" s="141"/>
      <c r="Q34" s="250"/>
      <c r="R34" s="215"/>
    </row>
    <row r="35" spans="1:19" s="144" customFormat="1" ht="20.45" customHeight="1" x14ac:dyDescent="0.25">
      <c r="A35" s="211"/>
      <c r="B35" s="191"/>
      <c r="C35" s="323" t="s">
        <v>3449</v>
      </c>
      <c r="D35" s="324"/>
      <c r="E35" s="324"/>
      <c r="F35" s="325"/>
      <c r="G35" s="134"/>
      <c r="H35" s="139"/>
      <c r="I35" s="134"/>
      <c r="J35" s="139"/>
      <c r="K35" s="206"/>
      <c r="L35" s="219"/>
      <c r="M35" s="219"/>
      <c r="N35" s="219">
        <v>2437500</v>
      </c>
      <c r="O35" s="139">
        <f t="shared" si="4"/>
        <v>2437500</v>
      </c>
      <c r="P35" s="141"/>
      <c r="Q35" s="250"/>
      <c r="R35" s="215"/>
    </row>
    <row r="36" spans="1:19" s="159" customFormat="1" ht="20.45" customHeight="1" x14ac:dyDescent="0.25">
      <c r="A36" s="211"/>
      <c r="B36" s="165"/>
      <c r="C36" s="440" t="s">
        <v>1337</v>
      </c>
      <c r="D36" s="441"/>
      <c r="E36" s="441"/>
      <c r="F36" s="442"/>
      <c r="G36" s="195"/>
      <c r="H36" s="155"/>
      <c r="I36" s="195"/>
      <c r="J36" s="155"/>
      <c r="K36" s="329">
        <f>'[5]11.2020'!$K$10</f>
        <v>8307692.307692307</v>
      </c>
      <c r="L36" s="155"/>
      <c r="M36" s="155"/>
      <c r="N36" s="155"/>
      <c r="O36" s="139">
        <f t="shared" si="4"/>
        <v>8307692.307692307</v>
      </c>
      <c r="P36" s="139"/>
      <c r="Q36" s="250"/>
      <c r="R36" s="215"/>
    </row>
    <row r="37" spans="1:19" s="159" customFormat="1" ht="20.45" customHeight="1" x14ac:dyDescent="0.25">
      <c r="A37" s="211"/>
      <c r="B37" s="203"/>
      <c r="C37" s="434"/>
      <c r="D37" s="435"/>
      <c r="E37" s="435"/>
      <c r="F37" s="436"/>
      <c r="G37" s="153"/>
      <c r="H37" s="156"/>
      <c r="I37" s="153"/>
      <c r="J37" s="156"/>
      <c r="K37" s="300"/>
      <c r="L37" s="204"/>
      <c r="M37" s="156"/>
      <c r="N37" s="156"/>
      <c r="O37" s="139"/>
      <c r="P37" s="139"/>
      <c r="Q37" s="250"/>
      <c r="R37" s="215"/>
    </row>
    <row r="38" spans="1:19" ht="20.45" customHeight="1" x14ac:dyDescent="0.25">
      <c r="A38" s="426" t="s">
        <v>20</v>
      </c>
      <c r="B38" s="426"/>
      <c r="C38" s="426"/>
      <c r="D38" s="426"/>
      <c r="E38" s="426"/>
      <c r="F38" s="426"/>
      <c r="G38" s="161">
        <f>SUM(G7:G37)</f>
        <v>2750</v>
      </c>
      <c r="H38" s="161">
        <f t="shared" ref="H38:N38" si="5">SUM(H7:H37)</f>
        <v>30205900</v>
      </c>
      <c r="I38" s="161">
        <f t="shared" si="5"/>
        <v>0</v>
      </c>
      <c r="J38" s="161">
        <f t="shared" si="5"/>
        <v>28300000</v>
      </c>
      <c r="K38" s="161">
        <f t="shared" si="5"/>
        <v>9507692.307692308</v>
      </c>
      <c r="L38" s="161">
        <f t="shared" si="5"/>
        <v>3150000</v>
      </c>
      <c r="M38" s="161">
        <f t="shared" si="5"/>
        <v>9950000</v>
      </c>
      <c r="N38" s="161">
        <f t="shared" si="5"/>
        <v>2437500</v>
      </c>
      <c r="O38" s="161">
        <f>SUM(O7:O37)</f>
        <v>83551092.307692304</v>
      </c>
      <c r="P38" s="161">
        <f>SUM(P7:P37)</f>
        <v>113469090</v>
      </c>
      <c r="Q38" s="234">
        <f>P38-O38</f>
        <v>29917997.692307696</v>
      </c>
    </row>
    <row r="39" spans="1:19" ht="24.95" customHeight="1" x14ac:dyDescent="0.25">
      <c r="O39" s="158"/>
      <c r="Q39" s="158"/>
    </row>
    <row r="40" spans="1:19" ht="13.9" customHeight="1" x14ac:dyDescent="0.25">
      <c r="P40" s="216" t="s">
        <v>1603</v>
      </c>
      <c r="Q40" s="227">
        <f>'10.2020'!Q45+'11.2020'!Q38</f>
        <v>250384554</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H48" s="128"/>
      <c r="J48" s="128"/>
      <c r="K48" s="128"/>
      <c r="L48" s="128"/>
      <c r="M48" s="128"/>
      <c r="N48" s="128"/>
      <c r="O48" s="128"/>
      <c r="P48" s="128"/>
      <c r="Q48" s="216"/>
    </row>
    <row r="49" spans="1:17" x14ac:dyDescent="0.25">
      <c r="A49" s="128"/>
      <c r="B49" s="128"/>
      <c r="H49" s="128"/>
      <c r="J49" s="128"/>
      <c r="K49" s="128"/>
      <c r="L49" s="128"/>
      <c r="M49" s="128"/>
      <c r="N49" s="128"/>
      <c r="O49" s="128"/>
      <c r="P49" s="128"/>
      <c r="Q49" s="216"/>
    </row>
  </sheetData>
  <mergeCells count="18">
    <mergeCell ref="Q5:Q6"/>
    <mergeCell ref="C30:F30"/>
    <mergeCell ref="C31:F31"/>
    <mergeCell ref="A1:Q1"/>
    <mergeCell ref="A2:Q2"/>
    <mergeCell ref="B3:Q3"/>
    <mergeCell ref="A5:A6"/>
    <mergeCell ref="B5:B6"/>
    <mergeCell ref="C5:C6"/>
    <mergeCell ref="D5:D6"/>
    <mergeCell ref="E5:E6"/>
    <mergeCell ref="F5:F6"/>
    <mergeCell ref="G5:N5"/>
    <mergeCell ref="C36:F36"/>
    <mergeCell ref="C37:F37"/>
    <mergeCell ref="A38:F38"/>
    <mergeCell ref="O5:O6"/>
    <mergeCell ref="P5:P6"/>
  </mergeCells>
  <pageMargins left="0.7" right="0.7" top="0.75" bottom="0.75" header="0.3" footer="0.3"/>
  <pageSetup paperSize="9" orientation="landscape" horizontalDpi="180" verticalDpi="18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55"/>
  <sheetViews>
    <sheetView topLeftCell="A28" zoomScaleNormal="100" workbookViewId="0">
      <selection activeCell="I32" sqref="I3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4"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3505</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43">
        <v>1</v>
      </c>
      <c r="B7" s="331">
        <v>44165</v>
      </c>
      <c r="C7" s="332" t="s">
        <v>1443</v>
      </c>
      <c r="D7" s="243" t="s">
        <v>3466</v>
      </c>
      <c r="E7" s="333" t="s">
        <v>3490</v>
      </c>
      <c r="F7" s="332"/>
      <c r="G7" s="332"/>
      <c r="H7" s="250"/>
      <c r="I7" s="332"/>
      <c r="J7" s="250">
        <v>890000</v>
      </c>
      <c r="K7" s="250"/>
      <c r="L7" s="262"/>
      <c r="M7" s="250"/>
      <c r="N7" s="250"/>
      <c r="O7" s="250">
        <f>SUM(H7:N7)</f>
        <v>890000</v>
      </c>
      <c r="P7" s="250">
        <v>3800000</v>
      </c>
      <c r="Q7" s="250">
        <f>P7-O7</f>
        <v>2910000</v>
      </c>
      <c r="R7" s="215"/>
    </row>
    <row r="8" spans="1:24" s="144" customFormat="1" ht="20.45" customHeight="1" x14ac:dyDescent="0.25">
      <c r="A8" s="211">
        <v>2</v>
      </c>
      <c r="B8" s="328">
        <v>44167</v>
      </c>
      <c r="C8" s="134" t="s">
        <v>3450</v>
      </c>
      <c r="D8" s="211" t="s">
        <v>3467</v>
      </c>
      <c r="E8" s="136" t="s">
        <v>25</v>
      </c>
      <c r="F8" s="134"/>
      <c r="G8" s="134">
        <v>320</v>
      </c>
      <c r="H8" s="139">
        <f>G8*11430</f>
        <v>3657600</v>
      </c>
      <c r="I8" s="134"/>
      <c r="J8" s="139">
        <v>1890000</v>
      </c>
      <c r="K8" s="139"/>
      <c r="L8" s="263"/>
      <c r="M8" s="139"/>
      <c r="N8" s="139"/>
      <c r="O8" s="139">
        <f t="shared" ref="O8:O31" si="0">SUM(H8:N8)</f>
        <v>5547600</v>
      </c>
      <c r="P8" s="139">
        <v>7209091</v>
      </c>
      <c r="Q8" s="139">
        <f t="shared" ref="Q8:Q31" si="1">P8-O8</f>
        <v>1661491</v>
      </c>
      <c r="R8" s="215"/>
    </row>
    <row r="9" spans="1:24" s="144" customFormat="1" ht="20.45" customHeight="1" x14ac:dyDescent="0.25">
      <c r="A9" s="211">
        <v>3</v>
      </c>
      <c r="B9" s="328">
        <v>44168</v>
      </c>
      <c r="C9" s="134" t="s">
        <v>3451</v>
      </c>
      <c r="D9" s="211" t="s">
        <v>3468</v>
      </c>
      <c r="E9" s="136" t="s">
        <v>828</v>
      </c>
      <c r="F9" s="134"/>
      <c r="G9" s="134"/>
      <c r="H9" s="139"/>
      <c r="I9" s="134"/>
      <c r="J9" s="139">
        <v>790000</v>
      </c>
      <c r="K9" s="139"/>
      <c r="L9" s="263"/>
      <c r="M9" s="139"/>
      <c r="N9" s="139"/>
      <c r="O9" s="139">
        <f t="shared" si="0"/>
        <v>790000</v>
      </c>
      <c r="P9" s="139">
        <v>2700000</v>
      </c>
      <c r="Q9" s="139">
        <f t="shared" si="1"/>
        <v>1910000</v>
      </c>
      <c r="R9" s="215"/>
    </row>
    <row r="10" spans="1:24" s="144" customFormat="1" ht="20.45" customHeight="1" x14ac:dyDescent="0.25">
      <c r="A10" s="211">
        <v>4</v>
      </c>
      <c r="B10" s="328">
        <v>44169</v>
      </c>
      <c r="C10" s="134" t="s">
        <v>3452</v>
      </c>
      <c r="D10" s="211" t="s">
        <v>3469</v>
      </c>
      <c r="E10" s="136" t="s">
        <v>2883</v>
      </c>
      <c r="F10" s="134"/>
      <c r="G10" s="134">
        <v>260</v>
      </c>
      <c r="H10" s="139">
        <f>G10*11430</f>
        <v>2971800</v>
      </c>
      <c r="I10" s="134"/>
      <c r="J10" s="139">
        <v>790000</v>
      </c>
      <c r="K10" s="139"/>
      <c r="L10" s="263"/>
      <c r="M10" s="139"/>
      <c r="N10" s="139"/>
      <c r="O10" s="139">
        <f t="shared" si="0"/>
        <v>3761800</v>
      </c>
      <c r="P10" s="139">
        <v>2763636</v>
      </c>
      <c r="Q10" s="139">
        <f t="shared" si="1"/>
        <v>-998164</v>
      </c>
      <c r="R10" s="215"/>
    </row>
    <row r="11" spans="1:24" s="144" customFormat="1" ht="20.45" customHeight="1" x14ac:dyDescent="0.25">
      <c r="A11" s="211">
        <v>5</v>
      </c>
      <c r="B11" s="328">
        <v>44173</v>
      </c>
      <c r="C11" s="134" t="s">
        <v>3453</v>
      </c>
      <c r="D11" s="211" t="s">
        <v>3470</v>
      </c>
      <c r="E11" s="136" t="s">
        <v>3491</v>
      </c>
      <c r="F11" s="134"/>
      <c r="G11" s="134">
        <v>260</v>
      </c>
      <c r="H11" s="139">
        <f>G11*11430</f>
        <v>2971800</v>
      </c>
      <c r="I11" s="134"/>
      <c r="J11" s="139">
        <v>890000</v>
      </c>
      <c r="K11" s="139"/>
      <c r="L11" s="263"/>
      <c r="M11" s="139"/>
      <c r="N11" s="139"/>
      <c r="O11" s="139">
        <f t="shared" si="0"/>
        <v>3861800</v>
      </c>
      <c r="P11" s="139">
        <v>3000000</v>
      </c>
      <c r="Q11" s="139">
        <f t="shared" si="1"/>
        <v>-861800</v>
      </c>
      <c r="R11" s="215"/>
    </row>
    <row r="12" spans="1:24" s="144" customFormat="1" ht="20.45" customHeight="1" x14ac:dyDescent="0.2">
      <c r="A12" s="211">
        <v>6</v>
      </c>
      <c r="B12" s="328">
        <v>44173</v>
      </c>
      <c r="C12" s="134" t="s">
        <v>3453</v>
      </c>
      <c r="D12" s="211" t="s">
        <v>3471</v>
      </c>
      <c r="E12" s="136" t="s">
        <v>3491</v>
      </c>
      <c r="F12" s="134"/>
      <c r="G12" s="134"/>
      <c r="H12" s="139"/>
      <c r="I12" s="134"/>
      <c r="J12" s="139"/>
      <c r="K12" s="139"/>
      <c r="L12" s="263"/>
      <c r="M12" s="139"/>
      <c r="N12" s="139"/>
      <c r="O12" s="139">
        <f t="shared" si="0"/>
        <v>0</v>
      </c>
      <c r="P12" s="139">
        <v>0</v>
      </c>
      <c r="Q12" s="139">
        <f t="shared" si="1"/>
        <v>0</v>
      </c>
      <c r="R12" s="302"/>
    </row>
    <row r="13" spans="1:24" s="144" customFormat="1" ht="20.45" customHeight="1" x14ac:dyDescent="0.25">
      <c r="A13" s="211">
        <v>7</v>
      </c>
      <c r="B13" s="328">
        <v>44173</v>
      </c>
      <c r="C13" s="134" t="s">
        <v>3454</v>
      </c>
      <c r="D13" s="211" t="s">
        <v>3472</v>
      </c>
      <c r="E13" s="136" t="s">
        <v>80</v>
      </c>
      <c r="F13" s="134"/>
      <c r="G13" s="134"/>
      <c r="H13" s="139"/>
      <c r="I13" s="134"/>
      <c r="J13" s="139">
        <v>790000</v>
      </c>
      <c r="K13" s="139"/>
      <c r="L13" s="263"/>
      <c r="M13" s="139"/>
      <c r="N13" s="139"/>
      <c r="O13" s="139">
        <f t="shared" si="0"/>
        <v>790000</v>
      </c>
      <c r="P13" s="139">
        <v>3200000</v>
      </c>
      <c r="Q13" s="139">
        <f t="shared" si="1"/>
        <v>2410000</v>
      </c>
      <c r="R13" s="143"/>
      <c r="S13" s="128"/>
      <c r="T13" s="128"/>
      <c r="U13" s="128"/>
      <c r="V13" s="128"/>
      <c r="W13" s="128"/>
      <c r="X13" s="128"/>
    </row>
    <row r="14" spans="1:24" s="144" customFormat="1" ht="24.75" customHeight="1" x14ac:dyDescent="0.25">
      <c r="A14" s="211">
        <v>8</v>
      </c>
      <c r="B14" s="328">
        <v>44173</v>
      </c>
      <c r="C14" s="134" t="s">
        <v>3455</v>
      </c>
      <c r="D14" s="211" t="s">
        <v>3473</v>
      </c>
      <c r="E14" s="136" t="s">
        <v>3492</v>
      </c>
      <c r="F14" s="134"/>
      <c r="G14" s="134"/>
      <c r="H14" s="139"/>
      <c r="I14" s="134"/>
      <c r="J14" s="139">
        <v>970000</v>
      </c>
      <c r="K14" s="139"/>
      <c r="L14" s="263"/>
      <c r="M14" s="139"/>
      <c r="N14" s="139"/>
      <c r="O14" s="139">
        <f t="shared" si="0"/>
        <v>970000</v>
      </c>
      <c r="P14" s="139">
        <v>3218182</v>
      </c>
      <c r="Q14" s="139">
        <f t="shared" si="1"/>
        <v>2248182</v>
      </c>
      <c r="R14" s="143"/>
      <c r="S14" s="128"/>
      <c r="T14" s="128"/>
      <c r="U14" s="128"/>
      <c r="V14" s="128"/>
      <c r="W14" s="128"/>
      <c r="X14" s="128"/>
    </row>
    <row r="15" spans="1:24" s="144" customFormat="1" ht="27" customHeight="1" x14ac:dyDescent="0.25">
      <c r="A15" s="211">
        <v>9</v>
      </c>
      <c r="B15" s="328">
        <v>44174</v>
      </c>
      <c r="C15" s="134" t="s">
        <v>2129</v>
      </c>
      <c r="D15" s="211" t="s">
        <v>3474</v>
      </c>
      <c r="E15" s="136" t="s">
        <v>3493</v>
      </c>
      <c r="F15" s="134"/>
      <c r="G15" s="134"/>
      <c r="H15" s="139"/>
      <c r="I15" s="134"/>
      <c r="J15" s="139">
        <v>1160000</v>
      </c>
      <c r="K15" s="139"/>
      <c r="L15" s="263"/>
      <c r="M15" s="139"/>
      <c r="N15" s="139"/>
      <c r="O15" s="139">
        <f t="shared" si="0"/>
        <v>1160000</v>
      </c>
      <c r="P15" s="139">
        <v>4700000</v>
      </c>
      <c r="Q15" s="139">
        <f t="shared" si="1"/>
        <v>3540000</v>
      </c>
      <c r="R15" s="143"/>
      <c r="S15" s="128"/>
      <c r="T15" s="128"/>
      <c r="U15" s="128"/>
      <c r="V15" s="128"/>
      <c r="W15" s="128"/>
      <c r="X15" s="128"/>
    </row>
    <row r="16" spans="1:24" s="144" customFormat="1" ht="20.45" customHeight="1" x14ac:dyDescent="0.25">
      <c r="A16" s="211">
        <v>10</v>
      </c>
      <c r="B16" s="328">
        <v>44175</v>
      </c>
      <c r="C16" s="134" t="s">
        <v>1450</v>
      </c>
      <c r="D16" s="211" t="s">
        <v>3475</v>
      </c>
      <c r="E16" s="136" t="s">
        <v>1568</v>
      </c>
      <c r="F16" s="134"/>
      <c r="G16" s="134">
        <v>225</v>
      </c>
      <c r="H16" s="139">
        <f t="shared" ref="H16" si="2">G16*11430</f>
        <v>2571750</v>
      </c>
      <c r="I16" s="134"/>
      <c r="J16" s="139">
        <v>1150000</v>
      </c>
      <c r="K16" s="139"/>
      <c r="L16" s="263"/>
      <c r="M16" s="139"/>
      <c r="N16" s="139"/>
      <c r="O16" s="139">
        <f t="shared" si="0"/>
        <v>3721750</v>
      </c>
      <c r="P16" s="139">
        <v>3300000</v>
      </c>
      <c r="Q16" s="139">
        <f t="shared" si="1"/>
        <v>-421750</v>
      </c>
      <c r="R16" s="143"/>
      <c r="S16" s="128"/>
      <c r="T16" s="128"/>
      <c r="U16" s="128"/>
      <c r="V16" s="128"/>
      <c r="W16" s="128"/>
      <c r="X16" s="128"/>
    </row>
    <row r="17" spans="1:24" s="144" customFormat="1" ht="20.45" customHeight="1" x14ac:dyDescent="0.25">
      <c r="A17" s="211">
        <v>11</v>
      </c>
      <c r="B17" s="328">
        <v>44176</v>
      </c>
      <c r="C17" s="134" t="s">
        <v>2130</v>
      </c>
      <c r="D17" s="211" t="s">
        <v>3476</v>
      </c>
      <c r="E17" s="136" t="s">
        <v>406</v>
      </c>
      <c r="F17" s="134"/>
      <c r="G17" s="134"/>
      <c r="H17" s="139"/>
      <c r="I17" s="134"/>
      <c r="J17" s="139">
        <v>970000</v>
      </c>
      <c r="K17" s="139"/>
      <c r="L17" s="263"/>
      <c r="M17" s="139"/>
      <c r="N17" s="139"/>
      <c r="O17" s="139">
        <f t="shared" si="0"/>
        <v>970000</v>
      </c>
      <c r="P17" s="139">
        <v>3500000</v>
      </c>
      <c r="Q17" s="139">
        <f t="shared" si="1"/>
        <v>2530000</v>
      </c>
      <c r="R17" s="143"/>
      <c r="S17" s="128"/>
      <c r="T17" s="128"/>
      <c r="U17" s="128"/>
      <c r="V17" s="128"/>
      <c r="W17" s="128"/>
      <c r="X17" s="128"/>
    </row>
    <row r="18" spans="1:24" s="144" customFormat="1" ht="20.45" customHeight="1" x14ac:dyDescent="0.25">
      <c r="A18" s="211">
        <v>12</v>
      </c>
      <c r="B18" s="328">
        <v>44179</v>
      </c>
      <c r="C18" s="134" t="s">
        <v>789</v>
      </c>
      <c r="D18" s="211" t="s">
        <v>3477</v>
      </c>
      <c r="E18" s="136" t="s">
        <v>3494</v>
      </c>
      <c r="F18" s="134"/>
      <c r="G18" s="134">
        <v>255</v>
      </c>
      <c r="H18" s="139">
        <f>G18*11890</f>
        <v>3031950</v>
      </c>
      <c r="I18" s="134"/>
      <c r="J18" s="139">
        <v>790000</v>
      </c>
      <c r="K18" s="139"/>
      <c r="L18" s="263"/>
      <c r="M18" s="139"/>
      <c r="N18" s="139"/>
      <c r="O18" s="139">
        <f t="shared" si="0"/>
        <v>3821950</v>
      </c>
      <c r="P18" s="139">
        <v>3790909</v>
      </c>
      <c r="Q18" s="139">
        <f t="shared" si="1"/>
        <v>-31041</v>
      </c>
      <c r="R18" s="143"/>
      <c r="S18" s="128"/>
      <c r="T18" s="128"/>
      <c r="U18" s="128"/>
      <c r="V18" s="128"/>
      <c r="W18" s="128"/>
      <c r="X18" s="128"/>
    </row>
    <row r="19" spans="1:24" s="144" customFormat="1" ht="20.45" customHeight="1" x14ac:dyDescent="0.25">
      <c r="A19" s="211">
        <v>13</v>
      </c>
      <c r="B19" s="328">
        <v>44179</v>
      </c>
      <c r="C19" s="134" t="s">
        <v>3456</v>
      </c>
      <c r="D19" s="211" t="s">
        <v>3478</v>
      </c>
      <c r="E19" s="136" t="s">
        <v>3495</v>
      </c>
      <c r="F19" s="134"/>
      <c r="G19" s="134"/>
      <c r="H19" s="139"/>
      <c r="I19" s="134"/>
      <c r="J19" s="139">
        <v>970000</v>
      </c>
      <c r="K19" s="139"/>
      <c r="L19" s="263"/>
      <c r="M19" s="139"/>
      <c r="N19" s="139"/>
      <c r="O19" s="139">
        <f t="shared" si="0"/>
        <v>970000</v>
      </c>
      <c r="P19" s="139">
        <v>3218182</v>
      </c>
      <c r="Q19" s="139">
        <f t="shared" si="1"/>
        <v>2248182</v>
      </c>
      <c r="R19" s="143"/>
      <c r="S19" s="128"/>
      <c r="T19" s="128"/>
      <c r="U19" s="128"/>
      <c r="V19" s="128"/>
      <c r="W19" s="128"/>
      <c r="X19" s="128"/>
    </row>
    <row r="20" spans="1:24" s="144" customFormat="1" ht="20.45" customHeight="1" x14ac:dyDescent="0.25">
      <c r="A20" s="211">
        <v>14</v>
      </c>
      <c r="B20" s="328">
        <v>44180</v>
      </c>
      <c r="C20" s="134" t="s">
        <v>3457</v>
      </c>
      <c r="D20" s="211" t="s">
        <v>3479</v>
      </c>
      <c r="E20" s="136" t="s">
        <v>1568</v>
      </c>
      <c r="F20" s="134"/>
      <c r="G20" s="134"/>
      <c r="H20" s="139"/>
      <c r="I20" s="134"/>
      <c r="J20" s="139">
        <v>1450000</v>
      </c>
      <c r="K20" s="139"/>
      <c r="L20" s="263"/>
      <c r="M20" s="139"/>
      <c r="N20" s="139"/>
      <c r="O20" s="139">
        <f t="shared" si="0"/>
        <v>1450000</v>
      </c>
      <c r="P20" s="139">
        <v>5500000</v>
      </c>
      <c r="Q20" s="139">
        <f t="shared" si="1"/>
        <v>4050000</v>
      </c>
      <c r="R20" s="143"/>
      <c r="S20" s="128"/>
      <c r="T20" s="128"/>
      <c r="U20" s="128"/>
      <c r="V20" s="128"/>
      <c r="W20" s="128"/>
      <c r="X20" s="128"/>
    </row>
    <row r="21" spans="1:24" s="144" customFormat="1" ht="20.45" customHeight="1" x14ac:dyDescent="0.25">
      <c r="A21" s="211">
        <v>15</v>
      </c>
      <c r="B21" s="328">
        <v>44182</v>
      </c>
      <c r="C21" s="134" t="s">
        <v>3458</v>
      </c>
      <c r="D21" s="211" t="s">
        <v>3480</v>
      </c>
      <c r="E21" s="136" t="s">
        <v>291</v>
      </c>
      <c r="F21" s="134"/>
      <c r="G21" s="134"/>
      <c r="H21" s="139"/>
      <c r="I21" s="134"/>
      <c r="J21" s="139">
        <v>1150000</v>
      </c>
      <c r="K21" s="139"/>
      <c r="L21" s="263"/>
      <c r="M21" s="139"/>
      <c r="N21" s="139"/>
      <c r="O21" s="139">
        <f t="shared" si="0"/>
        <v>1150000</v>
      </c>
      <c r="P21" s="139">
        <v>4345455</v>
      </c>
      <c r="Q21" s="139">
        <f t="shared" si="1"/>
        <v>3195455</v>
      </c>
      <c r="R21" s="143"/>
      <c r="S21" s="128"/>
      <c r="T21" s="128"/>
      <c r="U21" s="128"/>
      <c r="V21" s="128"/>
      <c r="W21" s="128"/>
      <c r="X21" s="128"/>
    </row>
    <row r="22" spans="1:24" s="144" customFormat="1" ht="20.45" customHeight="1" x14ac:dyDescent="0.25">
      <c r="A22" s="211">
        <v>16</v>
      </c>
      <c r="B22" s="328">
        <v>44186</v>
      </c>
      <c r="C22" s="134" t="s">
        <v>3459</v>
      </c>
      <c r="D22" s="211" t="s">
        <v>1929</v>
      </c>
      <c r="E22" s="136" t="s">
        <v>3341</v>
      </c>
      <c r="F22" s="134"/>
      <c r="G22" s="134">
        <v>280</v>
      </c>
      <c r="H22" s="139">
        <f t="shared" ref="H22:H25" si="3">G22*11890</f>
        <v>3329200</v>
      </c>
      <c r="I22" s="134"/>
      <c r="J22" s="139">
        <v>1150000</v>
      </c>
      <c r="K22" s="139"/>
      <c r="L22" s="263"/>
      <c r="M22" s="139"/>
      <c r="N22" s="139"/>
      <c r="O22" s="139">
        <f t="shared" si="0"/>
        <v>4479200</v>
      </c>
      <c r="P22" s="139">
        <v>3909091</v>
      </c>
      <c r="Q22" s="139">
        <f t="shared" si="1"/>
        <v>-570109</v>
      </c>
      <c r="R22" s="143"/>
      <c r="S22" s="128"/>
      <c r="T22" s="128"/>
      <c r="U22" s="128"/>
      <c r="V22" s="128"/>
      <c r="W22" s="128"/>
      <c r="X22" s="128"/>
    </row>
    <row r="23" spans="1:24" s="144" customFormat="1" ht="20.45" customHeight="1" x14ac:dyDescent="0.25">
      <c r="A23" s="211">
        <v>17</v>
      </c>
      <c r="B23" s="328">
        <v>44186</v>
      </c>
      <c r="C23" s="134" t="s">
        <v>796</v>
      </c>
      <c r="D23" s="211" t="s">
        <v>3481</v>
      </c>
      <c r="E23" s="136" t="s">
        <v>25</v>
      </c>
      <c r="F23" s="134"/>
      <c r="G23" s="134"/>
      <c r="H23" s="139"/>
      <c r="I23" s="134"/>
      <c r="J23" s="139">
        <v>1890000</v>
      </c>
      <c r="K23" s="139"/>
      <c r="L23" s="263"/>
      <c r="M23" s="139"/>
      <c r="N23" s="139"/>
      <c r="O23" s="139">
        <f t="shared" si="0"/>
        <v>1890000</v>
      </c>
      <c r="P23" s="139">
        <v>7209091</v>
      </c>
      <c r="Q23" s="139">
        <f t="shared" si="1"/>
        <v>5319091</v>
      </c>
      <c r="R23" s="143"/>
      <c r="S23" s="128"/>
      <c r="T23" s="128"/>
      <c r="U23" s="128"/>
      <c r="V23" s="128"/>
      <c r="W23" s="128"/>
      <c r="X23" s="128"/>
    </row>
    <row r="24" spans="1:24" s="144" customFormat="1" ht="32.25" customHeight="1" x14ac:dyDescent="0.25">
      <c r="A24" s="211">
        <v>18</v>
      </c>
      <c r="B24" s="328">
        <v>44187</v>
      </c>
      <c r="C24" s="134" t="s">
        <v>47</v>
      </c>
      <c r="D24" s="211" t="s">
        <v>3482</v>
      </c>
      <c r="E24" s="136" t="s">
        <v>3496</v>
      </c>
      <c r="F24" s="134"/>
      <c r="G24" s="134">
        <v>270</v>
      </c>
      <c r="H24" s="139">
        <f t="shared" si="3"/>
        <v>3210300</v>
      </c>
      <c r="I24" s="134"/>
      <c r="J24" s="139">
        <v>2280000</v>
      </c>
      <c r="K24" s="139"/>
      <c r="L24" s="263"/>
      <c r="M24" s="139"/>
      <c r="N24" s="139"/>
      <c r="O24" s="139">
        <f t="shared" si="0"/>
        <v>5490300</v>
      </c>
      <c r="P24" s="139">
        <v>8209091</v>
      </c>
      <c r="Q24" s="139">
        <f t="shared" si="1"/>
        <v>2718791</v>
      </c>
      <c r="R24" s="143"/>
      <c r="S24" s="128"/>
      <c r="T24" s="128"/>
      <c r="U24" s="128"/>
      <c r="V24" s="128"/>
      <c r="W24" s="128"/>
      <c r="X24" s="128"/>
    </row>
    <row r="25" spans="1:24" s="144" customFormat="1" ht="20.45" customHeight="1" x14ac:dyDescent="0.25">
      <c r="A25" s="211">
        <v>19</v>
      </c>
      <c r="B25" s="328">
        <v>44188</v>
      </c>
      <c r="C25" s="134" t="s">
        <v>3460</v>
      </c>
      <c r="D25" s="211" t="s">
        <v>3483</v>
      </c>
      <c r="E25" s="136" t="s">
        <v>25</v>
      </c>
      <c r="F25" s="134"/>
      <c r="G25" s="134">
        <v>200</v>
      </c>
      <c r="H25" s="139">
        <f t="shared" si="3"/>
        <v>2378000</v>
      </c>
      <c r="I25" s="134"/>
      <c r="J25" s="139">
        <v>1890000</v>
      </c>
      <c r="K25" s="139"/>
      <c r="L25" s="263"/>
      <c r="M25" s="139"/>
      <c r="N25" s="139"/>
      <c r="O25" s="139">
        <f t="shared" si="0"/>
        <v>4268000</v>
      </c>
      <c r="P25" s="139">
        <v>7209091</v>
      </c>
      <c r="Q25" s="139">
        <f t="shared" si="1"/>
        <v>2941091</v>
      </c>
      <c r="R25" s="143"/>
      <c r="S25" s="128"/>
      <c r="T25" s="128"/>
      <c r="U25" s="128"/>
      <c r="V25" s="128"/>
      <c r="W25" s="128"/>
      <c r="X25" s="128"/>
    </row>
    <row r="26" spans="1:24" s="144" customFormat="1" ht="20.45" customHeight="1" x14ac:dyDescent="0.25">
      <c r="A26" s="211">
        <v>20</v>
      </c>
      <c r="B26" s="328">
        <v>44190</v>
      </c>
      <c r="C26" s="134" t="s">
        <v>1463</v>
      </c>
      <c r="D26" s="211" t="s">
        <v>3484</v>
      </c>
      <c r="E26" s="136" t="s">
        <v>259</v>
      </c>
      <c r="F26" s="134"/>
      <c r="G26" s="134"/>
      <c r="H26" s="139"/>
      <c r="I26" s="134"/>
      <c r="J26" s="139">
        <v>970000</v>
      </c>
      <c r="K26" s="139"/>
      <c r="L26" s="263"/>
      <c r="M26" s="139"/>
      <c r="N26" s="139"/>
      <c r="O26" s="139">
        <f t="shared" si="0"/>
        <v>970000</v>
      </c>
      <c r="P26" s="139">
        <v>3700000</v>
      </c>
      <c r="Q26" s="139">
        <f t="shared" si="1"/>
        <v>2730000</v>
      </c>
      <c r="R26" s="143"/>
      <c r="S26" s="128"/>
      <c r="T26" s="128"/>
      <c r="U26" s="128"/>
      <c r="V26" s="128"/>
      <c r="W26" s="128"/>
      <c r="X26" s="128"/>
    </row>
    <row r="27" spans="1:24" s="144" customFormat="1" ht="20.45" customHeight="1" x14ac:dyDescent="0.25">
      <c r="A27" s="211">
        <v>21</v>
      </c>
      <c r="B27" s="328">
        <v>44192</v>
      </c>
      <c r="C27" s="134" t="s">
        <v>3461</v>
      </c>
      <c r="D27" s="211" t="s">
        <v>3485</v>
      </c>
      <c r="E27" s="136" t="s">
        <v>3497</v>
      </c>
      <c r="F27" s="134"/>
      <c r="G27" s="134">
        <v>290</v>
      </c>
      <c r="H27" s="139">
        <f>G27*12370</f>
        <v>3587300</v>
      </c>
      <c r="I27" s="134"/>
      <c r="J27" s="139">
        <v>650000</v>
      </c>
      <c r="K27" s="139"/>
      <c r="L27" s="263"/>
      <c r="M27" s="139"/>
      <c r="N27" s="139"/>
      <c r="O27" s="139">
        <f t="shared" si="0"/>
        <v>4237300</v>
      </c>
      <c r="P27" s="139">
        <v>2200000</v>
      </c>
      <c r="Q27" s="139">
        <f t="shared" si="1"/>
        <v>-2037300</v>
      </c>
      <c r="R27" s="143"/>
      <c r="S27" s="128"/>
      <c r="T27" s="128"/>
      <c r="U27" s="128"/>
      <c r="V27" s="128"/>
      <c r="W27" s="128"/>
      <c r="X27" s="128"/>
    </row>
    <row r="28" spans="1:24" s="144" customFormat="1" ht="20.45" customHeight="1" x14ac:dyDescent="0.25">
      <c r="A28" s="211">
        <v>22</v>
      </c>
      <c r="B28" s="328">
        <v>44193</v>
      </c>
      <c r="C28" s="134" t="s">
        <v>3462</v>
      </c>
      <c r="D28" s="211" t="s">
        <v>3486</v>
      </c>
      <c r="E28" s="136" t="s">
        <v>3498</v>
      </c>
      <c r="F28" s="134"/>
      <c r="G28" s="134"/>
      <c r="H28" s="139"/>
      <c r="I28" s="134"/>
      <c r="J28" s="139">
        <v>300000</v>
      </c>
      <c r="K28" s="139"/>
      <c r="L28" s="263"/>
      <c r="M28" s="139"/>
      <c r="N28" s="139"/>
      <c r="O28" s="139">
        <f t="shared" si="0"/>
        <v>300000</v>
      </c>
      <c r="P28" s="139">
        <v>1381818</v>
      </c>
      <c r="Q28" s="139">
        <f t="shared" si="1"/>
        <v>1081818</v>
      </c>
      <c r="R28" s="143"/>
      <c r="S28" s="128"/>
      <c r="T28" s="128"/>
      <c r="U28" s="128"/>
      <c r="V28" s="128"/>
      <c r="W28" s="128"/>
      <c r="X28" s="128"/>
    </row>
    <row r="29" spans="1:24" s="144" customFormat="1" ht="20.45" customHeight="1" x14ac:dyDescent="0.25">
      <c r="A29" s="211">
        <v>23</v>
      </c>
      <c r="B29" s="328">
        <v>44193</v>
      </c>
      <c r="C29" s="134" t="s">
        <v>3463</v>
      </c>
      <c r="D29" s="211" t="s">
        <v>3487</v>
      </c>
      <c r="E29" s="136" t="s">
        <v>25</v>
      </c>
      <c r="F29" s="134"/>
      <c r="G29" s="134"/>
      <c r="H29" s="139"/>
      <c r="I29" s="134"/>
      <c r="J29" s="139">
        <v>1890000</v>
      </c>
      <c r="K29" s="139"/>
      <c r="L29" s="263"/>
      <c r="M29" s="139"/>
      <c r="N29" s="139"/>
      <c r="O29" s="139">
        <f t="shared" si="0"/>
        <v>1890000</v>
      </c>
      <c r="P29" s="139">
        <v>7209091</v>
      </c>
      <c r="Q29" s="139">
        <f t="shared" si="1"/>
        <v>5319091</v>
      </c>
      <c r="R29" s="143"/>
      <c r="S29" s="128"/>
      <c r="T29" s="128"/>
      <c r="U29" s="128"/>
      <c r="V29" s="128"/>
      <c r="W29" s="128"/>
      <c r="X29" s="128"/>
    </row>
    <row r="30" spans="1:24" s="144" customFormat="1" ht="20.45" customHeight="1" x14ac:dyDescent="0.25">
      <c r="A30" s="211">
        <v>24</v>
      </c>
      <c r="B30" s="328">
        <v>44194</v>
      </c>
      <c r="C30" s="134" t="s">
        <v>3464</v>
      </c>
      <c r="D30" s="211" t="s">
        <v>3488</v>
      </c>
      <c r="E30" s="136" t="s">
        <v>79</v>
      </c>
      <c r="F30" s="134"/>
      <c r="G30" s="134">
        <v>317</v>
      </c>
      <c r="H30" s="139">
        <f t="shared" ref="H30:H31" si="4">G30*12370</f>
        <v>3921290</v>
      </c>
      <c r="I30" s="134"/>
      <c r="J30" s="139">
        <v>1150000</v>
      </c>
      <c r="K30" s="139"/>
      <c r="L30" s="263"/>
      <c r="M30" s="139"/>
      <c r="N30" s="139"/>
      <c r="O30" s="139">
        <f t="shared" si="0"/>
        <v>5071290</v>
      </c>
      <c r="P30" s="139">
        <v>3700000</v>
      </c>
      <c r="Q30" s="139">
        <f t="shared" si="1"/>
        <v>-1371290</v>
      </c>
      <c r="R30" s="143"/>
      <c r="S30" s="128"/>
      <c r="T30" s="128"/>
      <c r="U30" s="128"/>
      <c r="V30" s="128"/>
      <c r="W30" s="128"/>
      <c r="X30" s="128"/>
    </row>
    <row r="31" spans="1:24" s="144" customFormat="1" ht="20.45" customHeight="1" x14ac:dyDescent="0.25">
      <c r="A31" s="211">
        <v>25</v>
      </c>
      <c r="B31" s="328">
        <v>44195</v>
      </c>
      <c r="C31" s="134" t="s">
        <v>3465</v>
      </c>
      <c r="D31" s="211" t="s">
        <v>3489</v>
      </c>
      <c r="E31" s="136" t="s">
        <v>3499</v>
      </c>
      <c r="F31" s="134"/>
      <c r="G31" s="214">
        <v>207</v>
      </c>
      <c r="H31" s="208">
        <f t="shared" si="4"/>
        <v>2560590</v>
      </c>
      <c r="I31" s="134"/>
      <c r="J31" s="139">
        <v>790000</v>
      </c>
      <c r="K31" s="139"/>
      <c r="L31" s="263"/>
      <c r="M31" s="139"/>
      <c r="N31" s="139"/>
      <c r="O31" s="139">
        <f t="shared" si="0"/>
        <v>3350590</v>
      </c>
      <c r="P31" s="139">
        <v>3500000</v>
      </c>
      <c r="Q31" s="139">
        <f t="shared" si="1"/>
        <v>149410</v>
      </c>
      <c r="R31" s="143" t="s">
        <v>3506</v>
      </c>
      <c r="S31" s="128"/>
      <c r="T31" s="128"/>
      <c r="U31" s="128"/>
      <c r="V31" s="128"/>
      <c r="W31" s="128"/>
      <c r="X31" s="128"/>
    </row>
    <row r="32" spans="1:24" s="144" customFormat="1" ht="20.45" customHeight="1" x14ac:dyDescent="0.25">
      <c r="A32" s="211"/>
      <c r="B32" s="191"/>
      <c r="C32" s="134"/>
      <c r="D32" s="134"/>
      <c r="E32" s="136"/>
      <c r="F32" s="134"/>
      <c r="G32" s="138"/>
      <c r="H32" s="141"/>
      <c r="I32" s="138"/>
      <c r="J32" s="139"/>
      <c r="K32" s="139"/>
      <c r="L32" s="263"/>
      <c r="M32" s="139"/>
      <c r="N32" s="139"/>
      <c r="O32" s="139"/>
      <c r="P32" s="141"/>
      <c r="Q32" s="139"/>
      <c r="R32" s="215"/>
    </row>
    <row r="33" spans="1:19" s="144" customFormat="1" ht="20.45" customHeight="1" x14ac:dyDescent="0.25">
      <c r="A33" s="211"/>
      <c r="B33" s="191"/>
      <c r="C33" s="449" t="s">
        <v>1094</v>
      </c>
      <c r="D33" s="449"/>
      <c r="E33" s="449"/>
      <c r="F33" s="449"/>
      <c r="G33" s="195"/>
      <c r="H33" s="155"/>
      <c r="I33" s="195"/>
      <c r="J33" s="155"/>
      <c r="K33" s="219">
        <v>1200000</v>
      </c>
      <c r="L33" s="263"/>
      <c r="M33" s="139"/>
      <c r="N33" s="139"/>
      <c r="O33" s="139">
        <f>SUM(H33:N33)</f>
        <v>1200000</v>
      </c>
      <c r="P33" s="141"/>
      <c r="Q33" s="139"/>
      <c r="R33" s="215"/>
    </row>
    <row r="34" spans="1:19" s="144" customFormat="1" ht="20.45" customHeight="1" x14ac:dyDescent="0.25">
      <c r="A34" s="211"/>
      <c r="B34" s="191"/>
      <c r="C34" s="451" t="s">
        <v>3500</v>
      </c>
      <c r="D34" s="451"/>
      <c r="E34" s="451"/>
      <c r="F34" s="451"/>
      <c r="G34" s="134"/>
      <c r="H34" s="139"/>
      <c r="I34" s="134"/>
      <c r="J34" s="139"/>
      <c r="K34" s="139"/>
      <c r="L34" s="219">
        <v>700000</v>
      </c>
      <c r="M34" s="219"/>
      <c r="N34" s="219"/>
      <c r="O34" s="139">
        <f t="shared" ref="O34:O42" si="5">SUM(H34:N34)</f>
        <v>700000</v>
      </c>
      <c r="P34" s="141"/>
      <c r="Q34" s="139"/>
      <c r="R34" s="215"/>
    </row>
    <row r="35" spans="1:19" s="144" customFormat="1" ht="20.45" customHeight="1" x14ac:dyDescent="0.25">
      <c r="A35" s="211"/>
      <c r="B35" s="191"/>
      <c r="C35" s="336" t="s">
        <v>3501</v>
      </c>
      <c r="D35" s="336"/>
      <c r="E35" s="336"/>
      <c r="F35" s="336"/>
      <c r="G35" s="134"/>
      <c r="H35" s="139"/>
      <c r="I35" s="134"/>
      <c r="J35" s="139"/>
      <c r="K35" s="139"/>
      <c r="L35" s="219">
        <v>250000</v>
      </c>
      <c r="M35" s="219"/>
      <c r="N35" s="219"/>
      <c r="O35" s="139">
        <f t="shared" si="5"/>
        <v>250000</v>
      </c>
      <c r="P35" s="141"/>
      <c r="Q35" s="139"/>
      <c r="R35" s="215"/>
    </row>
    <row r="36" spans="1:19" s="144" customFormat="1" ht="20.45" customHeight="1" x14ac:dyDescent="0.25">
      <c r="A36" s="211"/>
      <c r="B36" s="191"/>
      <c r="C36" s="336" t="s">
        <v>3507</v>
      </c>
      <c r="D36" s="336"/>
      <c r="E36" s="336"/>
      <c r="F36" s="336"/>
      <c r="G36" s="134"/>
      <c r="H36" s="139"/>
      <c r="I36" s="134"/>
      <c r="J36" s="139"/>
      <c r="K36" s="139"/>
      <c r="L36" s="219">
        <v>120000</v>
      </c>
      <c r="M36" s="219"/>
      <c r="N36" s="219"/>
      <c r="O36" s="139">
        <f t="shared" si="5"/>
        <v>120000</v>
      </c>
      <c r="P36" s="141"/>
      <c r="Q36" s="139"/>
      <c r="R36" s="215"/>
    </row>
    <row r="37" spans="1:19" s="144" customFormat="1" ht="20.45" customHeight="1" x14ac:dyDescent="0.25">
      <c r="A37" s="211"/>
      <c r="B37" s="191"/>
      <c r="C37" s="336" t="s">
        <v>3508</v>
      </c>
      <c r="D37" s="336"/>
      <c r="E37" s="336"/>
      <c r="F37" s="336"/>
      <c r="G37" s="134"/>
      <c r="H37" s="139"/>
      <c r="I37" s="134"/>
      <c r="J37" s="139"/>
      <c r="K37" s="139"/>
      <c r="L37" s="219">
        <v>200000</v>
      </c>
      <c r="M37" s="219"/>
      <c r="N37" s="219"/>
      <c r="O37" s="139">
        <f t="shared" si="5"/>
        <v>200000</v>
      </c>
      <c r="P37" s="141"/>
      <c r="Q37" s="139"/>
      <c r="R37" s="215"/>
    </row>
    <row r="38" spans="1:19" s="144" customFormat="1" ht="20.45" customHeight="1" x14ac:dyDescent="0.25">
      <c r="A38" s="211"/>
      <c r="B38" s="191"/>
      <c r="C38" s="336" t="s">
        <v>3504</v>
      </c>
      <c r="D38" s="336"/>
      <c r="E38" s="336"/>
      <c r="F38" s="336"/>
      <c r="G38" s="134"/>
      <c r="H38" s="139"/>
      <c r="I38" s="134"/>
      <c r="J38" s="139"/>
      <c r="K38" s="139"/>
      <c r="L38" s="219">
        <v>900000</v>
      </c>
      <c r="M38" s="219"/>
      <c r="N38" s="219"/>
      <c r="O38" s="139">
        <f t="shared" si="5"/>
        <v>900000</v>
      </c>
      <c r="P38" s="141"/>
      <c r="Q38" s="139"/>
      <c r="R38" s="215"/>
    </row>
    <row r="39" spans="1:19" s="144" customFormat="1" ht="20.45" customHeight="1" x14ac:dyDescent="0.25">
      <c r="A39" s="211"/>
      <c r="B39" s="191"/>
      <c r="C39" s="336" t="s">
        <v>3503</v>
      </c>
      <c r="D39" s="336"/>
      <c r="E39" s="336"/>
      <c r="F39" s="336"/>
      <c r="G39" s="134"/>
      <c r="H39" s="139"/>
      <c r="I39" s="134"/>
      <c r="J39" s="139"/>
      <c r="K39" s="139"/>
      <c r="L39" s="219">
        <v>3750000</v>
      </c>
      <c r="M39" s="219"/>
      <c r="N39" s="219"/>
      <c r="O39" s="139">
        <f t="shared" si="5"/>
        <v>3750000</v>
      </c>
      <c r="P39" s="141"/>
      <c r="Q39" s="139"/>
      <c r="R39" s="215"/>
    </row>
    <row r="40" spans="1:19" s="144" customFormat="1" ht="20.45" customHeight="1" x14ac:dyDescent="0.25">
      <c r="A40" s="211"/>
      <c r="B40" s="191"/>
      <c r="C40" s="336" t="s">
        <v>3509</v>
      </c>
      <c r="D40" s="336"/>
      <c r="E40" s="336"/>
      <c r="F40" s="336"/>
      <c r="G40" s="134"/>
      <c r="H40" s="139"/>
      <c r="I40" s="134"/>
      <c r="J40" s="139"/>
      <c r="K40" s="139"/>
      <c r="L40" s="219">
        <v>4500000</v>
      </c>
      <c r="M40" s="219"/>
      <c r="N40" s="219"/>
      <c r="O40" s="139">
        <f t="shared" si="5"/>
        <v>4500000</v>
      </c>
      <c r="P40" s="141"/>
      <c r="Q40" s="139"/>
      <c r="R40" s="215"/>
    </row>
    <row r="41" spans="1:19" s="144" customFormat="1" ht="20.45" customHeight="1" x14ac:dyDescent="0.25">
      <c r="A41" s="211"/>
      <c r="B41" s="191"/>
      <c r="C41" s="336" t="s">
        <v>3502</v>
      </c>
      <c r="D41" s="336"/>
      <c r="E41" s="336"/>
      <c r="F41" s="336"/>
      <c r="G41" s="134"/>
      <c r="H41" s="139"/>
      <c r="I41" s="134"/>
      <c r="J41" s="139"/>
      <c r="K41" s="219">
        <v>300000</v>
      </c>
      <c r="L41" s="219"/>
      <c r="M41" s="219"/>
      <c r="N41" s="219"/>
      <c r="O41" s="139">
        <f t="shared" si="5"/>
        <v>300000</v>
      </c>
      <c r="P41" s="141"/>
      <c r="Q41" s="139"/>
      <c r="R41" s="215"/>
    </row>
    <row r="42" spans="1:19" s="159" customFormat="1" ht="20.45" customHeight="1" x14ac:dyDescent="0.25">
      <c r="A42" s="211"/>
      <c r="B42" s="165"/>
      <c r="C42" s="449" t="s">
        <v>1337</v>
      </c>
      <c r="D42" s="449"/>
      <c r="E42" s="449"/>
      <c r="F42" s="449"/>
      <c r="G42" s="195"/>
      <c r="H42" s="155"/>
      <c r="I42" s="195"/>
      <c r="J42" s="155"/>
      <c r="K42" s="219">
        <v>8653846</v>
      </c>
      <c r="L42" s="155"/>
      <c r="M42" s="155"/>
      <c r="N42" s="155"/>
      <c r="O42" s="139">
        <f t="shared" si="5"/>
        <v>8653846</v>
      </c>
      <c r="P42" s="139"/>
      <c r="Q42" s="139"/>
      <c r="R42" s="215"/>
    </row>
    <row r="43" spans="1:19" s="159" customFormat="1" ht="20.45" customHeight="1" x14ac:dyDescent="0.25">
      <c r="A43" s="211"/>
      <c r="B43" s="165"/>
      <c r="C43" s="449"/>
      <c r="D43" s="449"/>
      <c r="E43" s="449"/>
      <c r="F43" s="449"/>
      <c r="G43" s="195"/>
      <c r="H43" s="155"/>
      <c r="I43" s="195"/>
      <c r="J43" s="155"/>
      <c r="K43" s="157"/>
      <c r="L43" s="157"/>
      <c r="M43" s="155"/>
      <c r="N43" s="155"/>
      <c r="O43" s="139"/>
      <c r="P43" s="139"/>
      <c r="Q43" s="139"/>
      <c r="R43" s="215"/>
    </row>
    <row r="44" spans="1:19" ht="20.45" customHeight="1" x14ac:dyDescent="0.25">
      <c r="A44" s="450" t="s">
        <v>20</v>
      </c>
      <c r="B44" s="450"/>
      <c r="C44" s="450"/>
      <c r="D44" s="450"/>
      <c r="E44" s="450"/>
      <c r="F44" s="450"/>
      <c r="G44" s="334">
        <f t="shared" ref="G44:N44" si="6">SUM(G7:G43)</f>
        <v>2884</v>
      </c>
      <c r="H44" s="334">
        <f t="shared" si="6"/>
        <v>34191580</v>
      </c>
      <c r="I44" s="334">
        <f t="shared" si="6"/>
        <v>0</v>
      </c>
      <c r="J44" s="334">
        <f t="shared" si="6"/>
        <v>27610000</v>
      </c>
      <c r="K44" s="334">
        <f t="shared" si="6"/>
        <v>10153846</v>
      </c>
      <c r="L44" s="334">
        <f t="shared" si="6"/>
        <v>10420000</v>
      </c>
      <c r="M44" s="334">
        <f t="shared" si="6"/>
        <v>0</v>
      </c>
      <c r="N44" s="334">
        <f t="shared" si="6"/>
        <v>0</v>
      </c>
      <c r="O44" s="334">
        <f>SUM(O7:O43)</f>
        <v>82375426</v>
      </c>
      <c r="P44" s="334">
        <f>SUM(P7:P43)</f>
        <v>102472728</v>
      </c>
      <c r="Q44" s="335">
        <f>P44-O44</f>
        <v>20097302</v>
      </c>
    </row>
    <row r="45" spans="1:19" ht="24.95" customHeight="1" x14ac:dyDescent="0.25">
      <c r="O45" s="158"/>
      <c r="Q45" s="158"/>
    </row>
    <row r="46" spans="1:19" ht="13.9" customHeight="1" x14ac:dyDescent="0.25">
      <c r="P46" s="216" t="s">
        <v>1603</v>
      </c>
      <c r="Q46" s="227">
        <f>'11.2020'!Q40+'12.2020'!Q44</f>
        <v>270481856</v>
      </c>
      <c r="S46" s="216"/>
    </row>
    <row r="47" spans="1:19" ht="13.9" customHeight="1" x14ac:dyDescent="0.25">
      <c r="B47" s="129"/>
      <c r="J47" s="128"/>
      <c r="K47" s="128"/>
      <c r="L47" s="128"/>
      <c r="N47" s="128"/>
      <c r="O47" s="128"/>
      <c r="P47" s="218"/>
      <c r="Q47" s="216"/>
    </row>
    <row r="48" spans="1:19" ht="13.9" customHeight="1" x14ac:dyDescent="0.25">
      <c r="B48" s="129"/>
      <c r="H48" s="128"/>
      <c r="J48" s="128"/>
      <c r="K48" s="128"/>
      <c r="L48" s="128"/>
      <c r="M48" s="128"/>
      <c r="N48" s="128"/>
      <c r="O48" s="128"/>
      <c r="P48" s="218"/>
      <c r="Q48" s="230"/>
    </row>
    <row r="49" spans="1:18" ht="13.9" customHeight="1" x14ac:dyDescent="0.25">
      <c r="B49" s="129"/>
      <c r="H49" s="128"/>
      <c r="J49" s="128"/>
      <c r="K49" s="128"/>
      <c r="L49" s="128"/>
      <c r="M49" s="128"/>
      <c r="N49" s="128"/>
      <c r="O49" s="128"/>
      <c r="P49" s="218"/>
      <c r="Q49" s="230"/>
      <c r="R49" s="143"/>
    </row>
    <row r="50" spans="1:18" ht="13.9" customHeight="1" x14ac:dyDescent="0.25">
      <c r="B50" s="129"/>
      <c r="H50" s="128"/>
      <c r="J50" s="128"/>
      <c r="K50" s="128"/>
      <c r="L50" s="128"/>
      <c r="M50" s="128"/>
      <c r="N50" s="128"/>
      <c r="O50" s="128"/>
      <c r="P50" s="218"/>
      <c r="Q50" s="216"/>
      <c r="R50" s="143"/>
    </row>
    <row r="51" spans="1:18" x14ac:dyDescent="0.25">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9"/>
      <c r="H53" s="128"/>
      <c r="J53" s="128"/>
      <c r="K53" s="128"/>
      <c r="L53" s="128"/>
      <c r="M53" s="128"/>
      <c r="N53" s="128"/>
      <c r="O53" s="128"/>
      <c r="P53" s="218"/>
      <c r="Q53" s="216"/>
    </row>
    <row r="54" spans="1:18" x14ac:dyDescent="0.25">
      <c r="A54" s="128"/>
      <c r="B54" s="128"/>
      <c r="H54" s="128"/>
      <c r="J54" s="128"/>
      <c r="K54" s="128"/>
      <c r="L54" s="128"/>
      <c r="M54" s="128"/>
      <c r="N54" s="128"/>
      <c r="O54" s="128"/>
      <c r="P54" s="128"/>
      <c r="Q54" s="216"/>
    </row>
    <row r="55" spans="1:18" x14ac:dyDescent="0.25">
      <c r="A55" s="128"/>
      <c r="B55" s="128"/>
      <c r="H55" s="128"/>
      <c r="J55" s="128"/>
      <c r="K55" s="128"/>
      <c r="L55" s="128"/>
      <c r="M55" s="128"/>
      <c r="N55" s="128"/>
      <c r="O55" s="128"/>
      <c r="P55" s="128"/>
      <c r="Q55" s="216"/>
    </row>
  </sheetData>
  <mergeCells count="18">
    <mergeCell ref="C43:F43"/>
    <mergeCell ref="A44:F44"/>
    <mergeCell ref="O5:O6"/>
    <mergeCell ref="P5:P6"/>
    <mergeCell ref="Q5:Q6"/>
    <mergeCell ref="C33:F33"/>
    <mergeCell ref="C34:F34"/>
    <mergeCell ref="C42:F42"/>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56"/>
  <sheetViews>
    <sheetView topLeftCell="A30" zoomScaleNormal="100" workbookViewId="0">
      <selection activeCell="B3" sqref="B3:Q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4"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24" ht="22.5" x14ac:dyDescent="0.25">
      <c r="A1" s="416" t="s">
        <v>0</v>
      </c>
      <c r="B1" s="416"/>
      <c r="C1" s="416"/>
      <c r="D1" s="416"/>
      <c r="E1" s="416"/>
      <c r="F1" s="416"/>
      <c r="G1" s="416"/>
      <c r="H1" s="416"/>
      <c r="I1" s="416"/>
      <c r="J1" s="416"/>
      <c r="K1" s="416"/>
      <c r="L1" s="416"/>
      <c r="M1" s="416"/>
      <c r="N1" s="416"/>
      <c r="O1" s="416"/>
      <c r="P1" s="416"/>
      <c r="Q1" s="416"/>
    </row>
    <row r="2" spans="1:24" ht="15.75" x14ac:dyDescent="0.25">
      <c r="A2" s="417" t="s">
        <v>19</v>
      </c>
      <c r="B2" s="417"/>
      <c r="C2" s="417"/>
      <c r="D2" s="417"/>
      <c r="E2" s="417"/>
      <c r="F2" s="417"/>
      <c r="G2" s="417"/>
      <c r="H2" s="417"/>
      <c r="I2" s="417"/>
      <c r="J2" s="417"/>
      <c r="K2" s="417"/>
      <c r="L2" s="417"/>
      <c r="M2" s="417"/>
      <c r="N2" s="417"/>
      <c r="O2" s="417"/>
      <c r="P2" s="417"/>
      <c r="Q2" s="417"/>
    </row>
    <row r="3" spans="1:24" ht="15.75" x14ac:dyDescent="0.25">
      <c r="A3" s="130"/>
      <c r="B3" s="417" t="s">
        <v>3510</v>
      </c>
      <c r="C3" s="417"/>
      <c r="D3" s="417"/>
      <c r="E3" s="417"/>
      <c r="F3" s="417"/>
      <c r="G3" s="417"/>
      <c r="H3" s="417"/>
      <c r="I3" s="417"/>
      <c r="J3" s="417"/>
      <c r="K3" s="417"/>
      <c r="L3" s="417"/>
      <c r="M3" s="417"/>
      <c r="N3" s="417"/>
      <c r="O3" s="417"/>
      <c r="P3" s="417"/>
      <c r="Q3" s="417"/>
    </row>
    <row r="5" spans="1:24"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4"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4" s="144" customFormat="1" ht="20.45" customHeight="1" x14ac:dyDescent="0.25">
      <c r="A7" s="243">
        <v>1</v>
      </c>
      <c r="B7" s="331">
        <v>44200</v>
      </c>
      <c r="C7" s="332" t="s">
        <v>842</v>
      </c>
      <c r="D7" s="243" t="s">
        <v>868</v>
      </c>
      <c r="E7" s="333" t="s">
        <v>2985</v>
      </c>
      <c r="F7" s="332"/>
      <c r="G7" s="332"/>
      <c r="H7" s="250"/>
      <c r="I7" s="332"/>
      <c r="J7" s="250">
        <v>790000</v>
      </c>
      <c r="K7" s="250"/>
      <c r="L7" s="262"/>
      <c r="M7" s="250"/>
      <c r="N7" s="250"/>
      <c r="O7" s="250">
        <f>SUM(H7:N7)</f>
        <v>790000</v>
      </c>
      <c r="P7" s="250">
        <v>2545455</v>
      </c>
      <c r="Q7" s="250">
        <f>P7-O7</f>
        <v>1755455</v>
      </c>
      <c r="R7" s="215"/>
    </row>
    <row r="8" spans="1:24" s="144" customFormat="1" ht="20.45" customHeight="1" x14ac:dyDescent="0.25">
      <c r="A8" s="211">
        <v>2</v>
      </c>
      <c r="B8" s="328">
        <v>44200</v>
      </c>
      <c r="C8" s="134" t="s">
        <v>3511</v>
      </c>
      <c r="D8" s="211" t="s">
        <v>3533</v>
      </c>
      <c r="E8" s="136" t="s">
        <v>3526</v>
      </c>
      <c r="F8" s="134"/>
      <c r="G8" s="134"/>
      <c r="H8" s="139"/>
      <c r="I8" s="134"/>
      <c r="J8" s="139">
        <v>970000</v>
      </c>
      <c r="K8" s="139"/>
      <c r="L8" s="263"/>
      <c r="M8" s="139"/>
      <c r="N8" s="139"/>
      <c r="O8" s="139">
        <f t="shared" ref="O8:O32" si="0">SUM(H8:N8)</f>
        <v>970000</v>
      </c>
      <c r="P8" s="139">
        <v>3727273</v>
      </c>
      <c r="Q8" s="139">
        <f t="shared" ref="Q8:Q32" si="1">P8-O8</f>
        <v>2757273</v>
      </c>
      <c r="R8" s="215"/>
    </row>
    <row r="9" spans="1:24" s="144" customFormat="1" ht="20.45" customHeight="1" x14ac:dyDescent="0.25">
      <c r="A9" s="211">
        <v>3</v>
      </c>
      <c r="B9" s="328">
        <v>44201</v>
      </c>
      <c r="C9" s="134" t="s">
        <v>2864</v>
      </c>
      <c r="D9" s="211" t="s">
        <v>3534</v>
      </c>
      <c r="E9" s="136" t="s">
        <v>3527</v>
      </c>
      <c r="F9" s="134"/>
      <c r="G9" s="134">
        <v>187</v>
      </c>
      <c r="H9" s="139">
        <f>G9*12370</f>
        <v>2313190</v>
      </c>
      <c r="I9" s="134"/>
      <c r="J9" s="139">
        <v>790000</v>
      </c>
      <c r="K9" s="139"/>
      <c r="L9" s="263"/>
      <c r="M9" s="139"/>
      <c r="N9" s="139"/>
      <c r="O9" s="139">
        <f t="shared" si="0"/>
        <v>3103190</v>
      </c>
      <c r="P9" s="139">
        <v>3600000</v>
      </c>
      <c r="Q9" s="139">
        <f t="shared" si="1"/>
        <v>496810</v>
      </c>
      <c r="R9" s="215"/>
    </row>
    <row r="10" spans="1:24" s="144" customFormat="1" ht="20.45" customHeight="1" x14ac:dyDescent="0.25">
      <c r="A10" s="211">
        <v>4</v>
      </c>
      <c r="B10" s="328">
        <v>44202</v>
      </c>
      <c r="C10" s="134" t="s">
        <v>2866</v>
      </c>
      <c r="D10" s="211" t="s">
        <v>3535</v>
      </c>
      <c r="E10" s="136" t="s">
        <v>1937</v>
      </c>
      <c r="F10" s="134"/>
      <c r="G10" s="134"/>
      <c r="H10" s="139"/>
      <c r="I10" s="134"/>
      <c r="J10" s="139">
        <v>1150000</v>
      </c>
      <c r="K10" s="139"/>
      <c r="L10" s="263"/>
      <c r="M10" s="139"/>
      <c r="N10" s="139"/>
      <c r="O10" s="139">
        <f t="shared" si="0"/>
        <v>1150000</v>
      </c>
      <c r="P10" s="139">
        <v>3500000</v>
      </c>
      <c r="Q10" s="139">
        <f t="shared" si="1"/>
        <v>2350000</v>
      </c>
      <c r="R10" s="215"/>
    </row>
    <row r="11" spans="1:24" s="144" customFormat="1" ht="20.45" customHeight="1" x14ac:dyDescent="0.25">
      <c r="A11" s="211">
        <v>5</v>
      </c>
      <c r="B11" s="328">
        <v>44203</v>
      </c>
      <c r="C11" s="134" t="s">
        <v>3512</v>
      </c>
      <c r="D11" s="211" t="s">
        <v>3536</v>
      </c>
      <c r="E11" s="136" t="s">
        <v>23</v>
      </c>
      <c r="F11" s="134"/>
      <c r="G11" s="134">
        <v>183</v>
      </c>
      <c r="H11" s="139">
        <f t="shared" ref="H11:H14" si="2">G11*12370</f>
        <v>2263710</v>
      </c>
      <c r="I11" s="134"/>
      <c r="J11" s="139">
        <v>2740000</v>
      </c>
      <c r="K11" s="139"/>
      <c r="L11" s="263"/>
      <c r="M11" s="139"/>
      <c r="N11" s="139"/>
      <c r="O11" s="139">
        <f t="shared" si="0"/>
        <v>5003710</v>
      </c>
      <c r="P11" s="139">
        <v>11363636</v>
      </c>
      <c r="Q11" s="139">
        <f t="shared" si="1"/>
        <v>6359926</v>
      </c>
      <c r="R11" s="215"/>
    </row>
    <row r="12" spans="1:24" s="144" customFormat="1" ht="20.45" customHeight="1" x14ac:dyDescent="0.2">
      <c r="A12" s="211">
        <v>6</v>
      </c>
      <c r="B12" s="328">
        <v>44204</v>
      </c>
      <c r="C12" s="134" t="s">
        <v>3513</v>
      </c>
      <c r="D12" s="211" t="s">
        <v>3537</v>
      </c>
      <c r="E12" s="136" t="s">
        <v>143</v>
      </c>
      <c r="F12" s="134"/>
      <c r="G12" s="134"/>
      <c r="H12" s="139"/>
      <c r="I12" s="134"/>
      <c r="J12" s="139">
        <v>970000</v>
      </c>
      <c r="K12" s="139"/>
      <c r="L12" s="263"/>
      <c r="M12" s="139"/>
      <c r="N12" s="139"/>
      <c r="O12" s="139">
        <f t="shared" si="0"/>
        <v>970000</v>
      </c>
      <c r="P12" s="139">
        <v>4200000</v>
      </c>
      <c r="Q12" s="139">
        <f t="shared" si="1"/>
        <v>3230000</v>
      </c>
      <c r="R12" s="302"/>
    </row>
    <row r="13" spans="1:24" s="144" customFormat="1" ht="20.45" customHeight="1" x14ac:dyDescent="0.25">
      <c r="A13" s="211">
        <v>7</v>
      </c>
      <c r="B13" s="328">
        <v>44206</v>
      </c>
      <c r="C13" s="134" t="s">
        <v>2184</v>
      </c>
      <c r="D13" s="211" t="s">
        <v>3538</v>
      </c>
      <c r="E13" s="136" t="s">
        <v>828</v>
      </c>
      <c r="F13" s="134"/>
      <c r="G13" s="134">
        <v>260</v>
      </c>
      <c r="H13" s="139">
        <f t="shared" si="2"/>
        <v>3216200</v>
      </c>
      <c r="I13" s="134"/>
      <c r="J13" s="139">
        <v>790000</v>
      </c>
      <c r="K13" s="139"/>
      <c r="L13" s="263"/>
      <c r="M13" s="139"/>
      <c r="N13" s="139"/>
      <c r="O13" s="139">
        <f t="shared" si="0"/>
        <v>4006200</v>
      </c>
      <c r="P13" s="139">
        <v>2700000</v>
      </c>
      <c r="Q13" s="139">
        <f t="shared" si="1"/>
        <v>-1306200</v>
      </c>
      <c r="R13" s="143"/>
      <c r="S13" s="128"/>
      <c r="T13" s="128"/>
      <c r="U13" s="128"/>
      <c r="V13" s="128"/>
      <c r="W13" s="128"/>
      <c r="X13" s="128"/>
    </row>
    <row r="14" spans="1:24" s="144" customFormat="1" ht="24.75" customHeight="1" x14ac:dyDescent="0.25">
      <c r="A14" s="211">
        <v>8</v>
      </c>
      <c r="B14" s="328">
        <v>44208</v>
      </c>
      <c r="C14" s="134" t="s">
        <v>3514</v>
      </c>
      <c r="D14" s="211" t="s">
        <v>3539</v>
      </c>
      <c r="E14" s="136" t="s">
        <v>25</v>
      </c>
      <c r="F14" s="134"/>
      <c r="G14" s="134">
        <v>192</v>
      </c>
      <c r="H14" s="139">
        <f t="shared" si="2"/>
        <v>2375040</v>
      </c>
      <c r="I14" s="134"/>
      <c r="J14" s="139">
        <v>1990000</v>
      </c>
      <c r="K14" s="139"/>
      <c r="L14" s="263"/>
      <c r="M14" s="139"/>
      <c r="N14" s="139"/>
      <c r="O14" s="139">
        <f t="shared" si="0"/>
        <v>4365040</v>
      </c>
      <c r="P14" s="139">
        <v>7209091</v>
      </c>
      <c r="Q14" s="139">
        <f t="shared" si="1"/>
        <v>2844051</v>
      </c>
      <c r="R14" s="143"/>
      <c r="S14" s="128"/>
      <c r="T14" s="128"/>
      <c r="U14" s="128"/>
      <c r="V14" s="128"/>
      <c r="W14" s="128"/>
      <c r="X14" s="128"/>
    </row>
    <row r="15" spans="1:24" s="144" customFormat="1" ht="27" customHeight="1" x14ac:dyDescent="0.25">
      <c r="A15" s="211">
        <v>9</v>
      </c>
      <c r="B15" s="328">
        <v>44209</v>
      </c>
      <c r="C15" s="134" t="s">
        <v>3515</v>
      </c>
      <c r="D15" s="211" t="s">
        <v>3540</v>
      </c>
      <c r="E15" s="136" t="s">
        <v>79</v>
      </c>
      <c r="F15" s="134"/>
      <c r="G15" s="134"/>
      <c r="H15" s="139"/>
      <c r="I15" s="134"/>
      <c r="J15" s="139">
        <v>1150000</v>
      </c>
      <c r="K15" s="139"/>
      <c r="L15" s="263"/>
      <c r="M15" s="139"/>
      <c r="N15" s="139"/>
      <c r="O15" s="139">
        <f t="shared" si="0"/>
        <v>1150000</v>
      </c>
      <c r="P15" s="139">
        <v>3800000</v>
      </c>
      <c r="Q15" s="139">
        <f t="shared" si="1"/>
        <v>2650000</v>
      </c>
      <c r="R15" s="143"/>
      <c r="S15" s="128"/>
      <c r="T15" s="128"/>
      <c r="U15" s="128"/>
      <c r="V15" s="128"/>
      <c r="W15" s="128"/>
      <c r="X15" s="128"/>
    </row>
    <row r="16" spans="1:24" s="144" customFormat="1" ht="20.45" customHeight="1" x14ac:dyDescent="0.25">
      <c r="A16" s="211">
        <v>10</v>
      </c>
      <c r="B16" s="328">
        <v>44209</v>
      </c>
      <c r="C16" s="134" t="s">
        <v>123</v>
      </c>
      <c r="D16" s="211" t="s">
        <v>3541</v>
      </c>
      <c r="E16" s="136" t="s">
        <v>143</v>
      </c>
      <c r="F16" s="134"/>
      <c r="G16" s="134">
        <v>283</v>
      </c>
      <c r="H16" s="139">
        <f>G16*12640</f>
        <v>3577120</v>
      </c>
      <c r="I16" s="134"/>
      <c r="J16" s="139">
        <v>970000</v>
      </c>
      <c r="K16" s="139"/>
      <c r="L16" s="263"/>
      <c r="M16" s="139"/>
      <c r="N16" s="139"/>
      <c r="O16" s="139">
        <f t="shared" si="0"/>
        <v>4547120</v>
      </c>
      <c r="P16" s="139">
        <v>4300000</v>
      </c>
      <c r="Q16" s="139">
        <f t="shared" si="1"/>
        <v>-247120</v>
      </c>
      <c r="R16" s="143"/>
      <c r="S16" s="128"/>
      <c r="T16" s="128"/>
      <c r="U16" s="128"/>
      <c r="V16" s="128"/>
      <c r="W16" s="128"/>
      <c r="X16" s="128"/>
    </row>
    <row r="17" spans="1:24" s="144" customFormat="1" ht="20.45" customHeight="1" x14ac:dyDescent="0.25">
      <c r="A17" s="211">
        <v>11</v>
      </c>
      <c r="B17" s="328">
        <v>44210</v>
      </c>
      <c r="C17" s="134" t="s">
        <v>3516</v>
      </c>
      <c r="D17" s="211" t="s">
        <v>3542</v>
      </c>
      <c r="E17" s="136" t="s">
        <v>3528</v>
      </c>
      <c r="F17" s="134"/>
      <c r="G17" s="134"/>
      <c r="H17" s="139"/>
      <c r="I17" s="134"/>
      <c r="J17" s="139">
        <v>970000</v>
      </c>
      <c r="K17" s="139"/>
      <c r="L17" s="263"/>
      <c r="M17" s="139"/>
      <c r="N17" s="139"/>
      <c r="O17" s="139">
        <f t="shared" si="0"/>
        <v>970000</v>
      </c>
      <c r="P17" s="139">
        <v>3990909</v>
      </c>
      <c r="Q17" s="139">
        <f t="shared" si="1"/>
        <v>3020909</v>
      </c>
      <c r="R17" s="143"/>
      <c r="S17" s="128"/>
      <c r="T17" s="128"/>
      <c r="U17" s="128"/>
      <c r="V17" s="128"/>
      <c r="W17" s="128"/>
      <c r="X17" s="128"/>
    </row>
    <row r="18" spans="1:24" s="144" customFormat="1" ht="20.45" customHeight="1" x14ac:dyDescent="0.25">
      <c r="A18" s="211">
        <v>12</v>
      </c>
      <c r="B18" s="328">
        <v>44212</v>
      </c>
      <c r="C18" s="134" t="s">
        <v>128</v>
      </c>
      <c r="D18" s="211" t="s">
        <v>3543</v>
      </c>
      <c r="E18" s="136" t="s">
        <v>84</v>
      </c>
      <c r="F18" s="134"/>
      <c r="G18" s="134">
        <v>225</v>
      </c>
      <c r="H18" s="139">
        <f t="shared" ref="H18:H28" si="3">G18*12640</f>
        <v>2844000</v>
      </c>
      <c r="I18" s="134"/>
      <c r="J18" s="139">
        <v>970000</v>
      </c>
      <c r="K18" s="139"/>
      <c r="L18" s="263"/>
      <c r="M18" s="139"/>
      <c r="N18" s="139"/>
      <c r="O18" s="139">
        <f t="shared" si="0"/>
        <v>3814000</v>
      </c>
      <c r="P18" s="139">
        <v>3700000</v>
      </c>
      <c r="Q18" s="139">
        <f t="shared" si="1"/>
        <v>-114000</v>
      </c>
      <c r="R18" s="143"/>
      <c r="S18" s="128"/>
      <c r="T18" s="128"/>
      <c r="U18" s="128"/>
      <c r="V18" s="128"/>
      <c r="W18" s="128"/>
      <c r="X18" s="128"/>
    </row>
    <row r="19" spans="1:24" s="144" customFormat="1" ht="20.45" customHeight="1" x14ac:dyDescent="0.25">
      <c r="A19" s="211">
        <v>13</v>
      </c>
      <c r="B19" s="328">
        <v>44214</v>
      </c>
      <c r="C19" s="134" t="s">
        <v>861</v>
      </c>
      <c r="D19" s="211" t="s">
        <v>3544</v>
      </c>
      <c r="E19" s="136" t="s">
        <v>3442</v>
      </c>
      <c r="F19" s="134"/>
      <c r="G19" s="134">
        <v>201</v>
      </c>
      <c r="H19" s="139">
        <f t="shared" si="3"/>
        <v>2540640</v>
      </c>
      <c r="I19" s="134"/>
      <c r="J19" s="139">
        <v>790000</v>
      </c>
      <c r="K19" s="139"/>
      <c r="L19" s="263"/>
      <c r="M19" s="139"/>
      <c r="N19" s="139"/>
      <c r="O19" s="139">
        <f t="shared" si="0"/>
        <v>3330640</v>
      </c>
      <c r="P19" s="139">
        <v>3809091</v>
      </c>
      <c r="Q19" s="139">
        <f t="shared" si="1"/>
        <v>478451</v>
      </c>
      <c r="R19" s="143"/>
      <c r="S19" s="128"/>
      <c r="T19" s="128"/>
      <c r="U19" s="128"/>
      <c r="V19" s="128"/>
      <c r="W19" s="128"/>
      <c r="X19" s="128"/>
    </row>
    <row r="20" spans="1:24" s="144" customFormat="1" ht="20.45" customHeight="1" x14ac:dyDescent="0.25">
      <c r="A20" s="211">
        <v>14</v>
      </c>
      <c r="B20" s="328">
        <v>44215</v>
      </c>
      <c r="C20" s="134" t="s">
        <v>3517</v>
      </c>
      <c r="D20" s="211" t="s">
        <v>3545</v>
      </c>
      <c r="E20" s="136" t="s">
        <v>1568</v>
      </c>
      <c r="F20" s="134"/>
      <c r="G20" s="134"/>
      <c r="H20" s="139"/>
      <c r="I20" s="134"/>
      <c r="J20" s="139">
        <v>1150000</v>
      </c>
      <c r="K20" s="139"/>
      <c r="L20" s="263"/>
      <c r="M20" s="139"/>
      <c r="N20" s="139"/>
      <c r="O20" s="139">
        <f t="shared" si="0"/>
        <v>1150000</v>
      </c>
      <c r="P20" s="139">
        <v>3400000</v>
      </c>
      <c r="Q20" s="139">
        <f t="shared" si="1"/>
        <v>2250000</v>
      </c>
      <c r="R20" s="143"/>
      <c r="S20" s="128"/>
      <c r="T20" s="128"/>
      <c r="U20" s="128"/>
      <c r="V20" s="128"/>
      <c r="W20" s="128"/>
      <c r="X20" s="128"/>
    </row>
    <row r="21" spans="1:24" s="144" customFormat="1" ht="20.45" customHeight="1" x14ac:dyDescent="0.25">
      <c r="A21" s="211">
        <v>15</v>
      </c>
      <c r="B21" s="328">
        <v>44215</v>
      </c>
      <c r="C21" s="134" t="s">
        <v>3518</v>
      </c>
      <c r="D21" s="211" t="s">
        <v>3545</v>
      </c>
      <c r="E21" s="136" t="s">
        <v>3529</v>
      </c>
      <c r="F21" s="134"/>
      <c r="G21" s="134"/>
      <c r="H21" s="139"/>
      <c r="I21" s="134"/>
      <c r="J21" s="139">
        <v>300000</v>
      </c>
      <c r="K21" s="139"/>
      <c r="L21" s="263"/>
      <c r="M21" s="139"/>
      <c r="N21" s="139"/>
      <c r="O21" s="139">
        <f t="shared" si="0"/>
        <v>300000</v>
      </c>
      <c r="P21" s="139">
        <v>2500000</v>
      </c>
      <c r="Q21" s="139">
        <f t="shared" si="1"/>
        <v>2200000</v>
      </c>
      <c r="R21" s="143"/>
      <c r="S21" s="128"/>
      <c r="T21" s="128"/>
      <c r="U21" s="128"/>
      <c r="V21" s="128"/>
      <c r="W21" s="128"/>
      <c r="X21" s="128"/>
    </row>
    <row r="22" spans="1:24" s="144" customFormat="1" ht="20.45" customHeight="1" x14ac:dyDescent="0.25">
      <c r="A22" s="211">
        <v>16</v>
      </c>
      <c r="B22" s="328">
        <v>44215</v>
      </c>
      <c r="C22" s="134" t="s">
        <v>3519</v>
      </c>
      <c r="D22" s="211" t="s">
        <v>3546</v>
      </c>
      <c r="E22" s="136" t="s">
        <v>177</v>
      </c>
      <c r="F22" s="134"/>
      <c r="G22" s="134"/>
      <c r="H22" s="139"/>
      <c r="I22" s="134"/>
      <c r="J22" s="139">
        <v>1150000</v>
      </c>
      <c r="K22" s="139"/>
      <c r="L22" s="263"/>
      <c r="M22" s="139"/>
      <c r="N22" s="139"/>
      <c r="O22" s="139">
        <f t="shared" si="0"/>
        <v>1150000</v>
      </c>
      <c r="P22" s="139">
        <v>3800000</v>
      </c>
      <c r="Q22" s="139">
        <f t="shared" si="1"/>
        <v>2650000</v>
      </c>
      <c r="R22" s="143"/>
      <c r="S22" s="128"/>
      <c r="T22" s="128"/>
      <c r="U22" s="128"/>
      <c r="V22" s="128"/>
      <c r="W22" s="128"/>
      <c r="X22" s="128"/>
    </row>
    <row r="23" spans="1:24" s="144" customFormat="1" ht="20.45" customHeight="1" x14ac:dyDescent="0.25">
      <c r="A23" s="211">
        <v>17</v>
      </c>
      <c r="B23" s="328">
        <v>44217</v>
      </c>
      <c r="C23" s="134" t="s">
        <v>2190</v>
      </c>
      <c r="D23" s="211" t="s">
        <v>3547</v>
      </c>
      <c r="E23" s="136" t="s">
        <v>1568</v>
      </c>
      <c r="F23" s="134"/>
      <c r="G23" s="134">
        <v>230</v>
      </c>
      <c r="H23" s="139">
        <f t="shared" si="3"/>
        <v>2907200</v>
      </c>
      <c r="I23" s="134"/>
      <c r="J23" s="139">
        <v>1150000</v>
      </c>
      <c r="K23" s="139"/>
      <c r="L23" s="263"/>
      <c r="M23" s="139"/>
      <c r="N23" s="139"/>
      <c r="O23" s="139">
        <f t="shared" si="0"/>
        <v>4057200</v>
      </c>
      <c r="P23" s="139">
        <v>3700000</v>
      </c>
      <c r="Q23" s="139">
        <f t="shared" si="1"/>
        <v>-357200</v>
      </c>
      <c r="R23" s="143"/>
      <c r="S23" s="128"/>
      <c r="T23" s="128"/>
      <c r="U23" s="128"/>
      <c r="V23" s="128"/>
      <c r="W23" s="128"/>
      <c r="X23" s="128"/>
    </row>
    <row r="24" spans="1:24" s="144" customFormat="1" ht="32.25" customHeight="1" x14ac:dyDescent="0.25">
      <c r="A24" s="211">
        <v>18</v>
      </c>
      <c r="B24" s="328">
        <v>44217</v>
      </c>
      <c r="C24" s="134" t="s">
        <v>138</v>
      </c>
      <c r="D24" s="211" t="s">
        <v>3548</v>
      </c>
      <c r="E24" s="136" t="s">
        <v>2059</v>
      </c>
      <c r="F24" s="134"/>
      <c r="G24" s="134"/>
      <c r="H24" s="139"/>
      <c r="I24" s="134"/>
      <c r="J24" s="139">
        <v>1400000</v>
      </c>
      <c r="K24" s="139"/>
      <c r="L24" s="263"/>
      <c r="M24" s="139"/>
      <c r="N24" s="139"/>
      <c r="O24" s="139">
        <f t="shared" si="0"/>
        <v>1400000</v>
      </c>
      <c r="P24" s="139">
        <v>5454545</v>
      </c>
      <c r="Q24" s="139">
        <f t="shared" si="1"/>
        <v>4054545</v>
      </c>
      <c r="R24" s="143"/>
      <c r="S24" s="128"/>
      <c r="T24" s="128"/>
      <c r="U24" s="128"/>
      <c r="V24" s="128"/>
      <c r="W24" s="128"/>
      <c r="X24" s="128"/>
    </row>
    <row r="25" spans="1:24" s="144" customFormat="1" ht="20.45" customHeight="1" x14ac:dyDescent="0.25">
      <c r="A25" s="211">
        <v>19</v>
      </c>
      <c r="B25" s="328">
        <v>44218</v>
      </c>
      <c r="C25" s="134" t="s">
        <v>3520</v>
      </c>
      <c r="D25" s="211" t="s">
        <v>3549</v>
      </c>
      <c r="E25" s="136" t="s">
        <v>3442</v>
      </c>
      <c r="F25" s="134"/>
      <c r="G25" s="134">
        <v>255</v>
      </c>
      <c r="H25" s="139">
        <f t="shared" si="3"/>
        <v>3223200</v>
      </c>
      <c r="I25" s="134"/>
      <c r="J25" s="139">
        <v>790000</v>
      </c>
      <c r="K25" s="139"/>
      <c r="L25" s="263"/>
      <c r="M25" s="139"/>
      <c r="N25" s="139"/>
      <c r="O25" s="139">
        <f t="shared" si="0"/>
        <v>4013200</v>
      </c>
      <c r="P25" s="139">
        <v>3809091</v>
      </c>
      <c r="Q25" s="139">
        <f t="shared" si="1"/>
        <v>-204109</v>
      </c>
      <c r="R25" s="143"/>
      <c r="S25" s="128"/>
      <c r="T25" s="128"/>
      <c r="U25" s="128"/>
      <c r="V25" s="128"/>
      <c r="W25" s="128"/>
      <c r="X25" s="128"/>
    </row>
    <row r="26" spans="1:24" s="144" customFormat="1" ht="20.45" customHeight="1" x14ac:dyDescent="0.25">
      <c r="A26" s="211">
        <v>20</v>
      </c>
      <c r="B26" s="328">
        <v>44221</v>
      </c>
      <c r="C26" s="134" t="s">
        <v>3521</v>
      </c>
      <c r="D26" s="211" t="s">
        <v>3550</v>
      </c>
      <c r="E26" s="136" t="s">
        <v>177</v>
      </c>
      <c r="F26" s="134"/>
      <c r="G26" s="134"/>
      <c r="H26" s="139"/>
      <c r="I26" s="134"/>
      <c r="J26" s="139">
        <v>1150000</v>
      </c>
      <c r="K26" s="139"/>
      <c r="L26" s="263"/>
      <c r="M26" s="139"/>
      <c r="N26" s="139"/>
      <c r="O26" s="139">
        <f t="shared" si="0"/>
        <v>1150000</v>
      </c>
      <c r="P26" s="139">
        <v>4027273</v>
      </c>
      <c r="Q26" s="139">
        <f t="shared" si="1"/>
        <v>2877273</v>
      </c>
      <c r="R26" s="143"/>
      <c r="S26" s="128"/>
      <c r="T26" s="128"/>
      <c r="U26" s="128"/>
      <c r="V26" s="128"/>
      <c r="W26" s="128"/>
      <c r="X26" s="128"/>
    </row>
    <row r="27" spans="1:24" s="144" customFormat="1" ht="20.45" customHeight="1" x14ac:dyDescent="0.25">
      <c r="A27" s="211">
        <v>21</v>
      </c>
      <c r="B27" s="328">
        <v>44221</v>
      </c>
      <c r="C27" s="134" t="s">
        <v>3522</v>
      </c>
      <c r="D27" s="211" t="s">
        <v>3551</v>
      </c>
      <c r="E27" s="136" t="s">
        <v>3530</v>
      </c>
      <c r="F27" s="134"/>
      <c r="G27" s="134"/>
      <c r="H27" s="139"/>
      <c r="I27" s="134"/>
      <c r="J27" s="139">
        <v>1150000</v>
      </c>
      <c r="K27" s="139"/>
      <c r="L27" s="263"/>
      <c r="M27" s="139"/>
      <c r="N27" s="139"/>
      <c r="O27" s="139">
        <f t="shared" si="0"/>
        <v>1150000</v>
      </c>
      <c r="P27" s="139">
        <v>3400000</v>
      </c>
      <c r="Q27" s="139">
        <f t="shared" si="1"/>
        <v>2250000</v>
      </c>
      <c r="R27" s="143"/>
      <c r="S27" s="128"/>
      <c r="T27" s="128"/>
      <c r="U27" s="128"/>
      <c r="V27" s="128"/>
      <c r="W27" s="128"/>
      <c r="X27" s="128"/>
    </row>
    <row r="28" spans="1:24" s="144" customFormat="1" ht="20.45" customHeight="1" x14ac:dyDescent="0.25">
      <c r="A28" s="211">
        <v>22</v>
      </c>
      <c r="B28" s="328">
        <v>44223</v>
      </c>
      <c r="C28" s="134" t="s">
        <v>1536</v>
      </c>
      <c r="D28" s="211" t="s">
        <v>3552</v>
      </c>
      <c r="E28" s="136" t="s">
        <v>3531</v>
      </c>
      <c r="F28" s="134"/>
      <c r="G28" s="134">
        <v>190</v>
      </c>
      <c r="H28" s="139">
        <f t="shared" si="3"/>
        <v>2401600</v>
      </c>
      <c r="I28" s="134"/>
      <c r="J28" s="139">
        <v>970000</v>
      </c>
      <c r="K28" s="139"/>
      <c r="L28" s="263"/>
      <c r="M28" s="139"/>
      <c r="N28" s="139"/>
      <c r="O28" s="139">
        <f t="shared" si="0"/>
        <v>3371600</v>
      </c>
      <c r="P28" s="139">
        <v>3800000</v>
      </c>
      <c r="Q28" s="139">
        <f t="shared" si="1"/>
        <v>428400</v>
      </c>
      <c r="R28" s="143"/>
      <c r="S28" s="128"/>
      <c r="T28" s="128"/>
      <c r="U28" s="128"/>
      <c r="V28" s="128"/>
      <c r="W28" s="128"/>
      <c r="X28" s="128"/>
    </row>
    <row r="29" spans="1:24" s="144" customFormat="1" ht="20.45" customHeight="1" x14ac:dyDescent="0.25">
      <c r="A29" s="211">
        <v>23</v>
      </c>
      <c r="B29" s="328">
        <v>44223</v>
      </c>
      <c r="C29" s="134" t="s">
        <v>3523</v>
      </c>
      <c r="D29" s="211" t="s">
        <v>3553</v>
      </c>
      <c r="E29" s="136" t="s">
        <v>2901</v>
      </c>
      <c r="F29" s="134"/>
      <c r="G29" s="134"/>
      <c r="H29" s="139"/>
      <c r="I29" s="134"/>
      <c r="J29" s="139">
        <v>1150000</v>
      </c>
      <c r="K29" s="139"/>
      <c r="L29" s="263"/>
      <c r="M29" s="139"/>
      <c r="N29" s="139"/>
      <c r="O29" s="139">
        <f t="shared" si="0"/>
        <v>1150000</v>
      </c>
      <c r="P29" s="139">
        <v>3500000</v>
      </c>
      <c r="Q29" s="139">
        <f t="shared" si="1"/>
        <v>2350000</v>
      </c>
      <c r="R29" s="143"/>
      <c r="S29" s="128"/>
      <c r="T29" s="128"/>
      <c r="U29" s="128"/>
      <c r="V29" s="128"/>
      <c r="W29" s="128"/>
      <c r="X29" s="128"/>
    </row>
    <row r="30" spans="1:24" s="144" customFormat="1" ht="20.45" customHeight="1" x14ac:dyDescent="0.25">
      <c r="A30" s="211">
        <v>24</v>
      </c>
      <c r="B30" s="328">
        <v>44225</v>
      </c>
      <c r="C30" s="134" t="s">
        <v>3524</v>
      </c>
      <c r="D30" s="211" t="s">
        <v>3554</v>
      </c>
      <c r="E30" s="136" t="s">
        <v>3532</v>
      </c>
      <c r="F30" s="134"/>
      <c r="G30" s="134">
        <v>360</v>
      </c>
      <c r="H30" s="139">
        <f>G30*13040</f>
        <v>4694400</v>
      </c>
      <c r="I30" s="134"/>
      <c r="J30" s="139">
        <v>970000</v>
      </c>
      <c r="K30" s="139"/>
      <c r="L30" s="263"/>
      <c r="M30" s="139"/>
      <c r="N30" s="139"/>
      <c r="O30" s="139">
        <f t="shared" si="0"/>
        <v>5664400</v>
      </c>
      <c r="P30" s="139">
        <v>3700000</v>
      </c>
      <c r="Q30" s="139">
        <f t="shared" si="1"/>
        <v>-1964400</v>
      </c>
      <c r="R30" s="143"/>
      <c r="S30" s="128"/>
      <c r="T30" s="128"/>
      <c r="U30" s="128"/>
      <c r="V30" s="128"/>
      <c r="W30" s="128"/>
      <c r="X30" s="128"/>
    </row>
    <row r="31" spans="1:24" s="144" customFormat="1" ht="20.45" customHeight="1" x14ac:dyDescent="0.25">
      <c r="A31" s="211">
        <v>25</v>
      </c>
      <c r="B31" s="328">
        <v>44226</v>
      </c>
      <c r="C31" s="134" t="s">
        <v>3525</v>
      </c>
      <c r="D31" s="211" t="s">
        <v>3555</v>
      </c>
      <c r="E31" s="136" t="s">
        <v>25</v>
      </c>
      <c r="F31" s="134"/>
      <c r="G31" s="134"/>
      <c r="H31" s="139"/>
      <c r="I31" s="134"/>
      <c r="J31" s="139">
        <v>1890000</v>
      </c>
      <c r="K31" s="139"/>
      <c r="L31" s="263"/>
      <c r="M31" s="139"/>
      <c r="N31" s="139"/>
      <c r="O31" s="139">
        <f t="shared" si="0"/>
        <v>1890000</v>
      </c>
      <c r="P31" s="139">
        <v>8118182</v>
      </c>
      <c r="Q31" s="139">
        <f t="shared" si="1"/>
        <v>6228182</v>
      </c>
      <c r="R31" s="143"/>
      <c r="S31" s="128"/>
      <c r="T31" s="128"/>
      <c r="U31" s="128"/>
      <c r="V31" s="128"/>
      <c r="W31" s="128"/>
      <c r="X31" s="128"/>
    </row>
    <row r="32" spans="1:24" s="144" customFormat="1" ht="20.45" customHeight="1" x14ac:dyDescent="0.25">
      <c r="A32" s="211">
        <v>26</v>
      </c>
      <c r="B32" s="328">
        <v>44226</v>
      </c>
      <c r="C32" s="134" t="s">
        <v>3525</v>
      </c>
      <c r="D32" s="211" t="s">
        <v>3556</v>
      </c>
      <c r="E32" s="136" t="s">
        <v>25</v>
      </c>
      <c r="F32" s="134"/>
      <c r="G32" s="134">
        <v>186</v>
      </c>
      <c r="H32" s="139">
        <f t="shared" ref="H32" si="4">G32*13040</f>
        <v>2425440</v>
      </c>
      <c r="I32" s="134"/>
      <c r="J32" s="139">
        <v>300000</v>
      </c>
      <c r="K32" s="139"/>
      <c r="L32" s="263"/>
      <c r="M32" s="139"/>
      <c r="N32" s="139"/>
      <c r="O32" s="139">
        <f t="shared" si="0"/>
        <v>2725440</v>
      </c>
      <c r="P32" s="139">
        <v>0</v>
      </c>
      <c r="Q32" s="139">
        <f t="shared" si="1"/>
        <v>-2725440</v>
      </c>
      <c r="R32" s="215"/>
    </row>
    <row r="33" spans="1:19" s="144" customFormat="1" ht="20.45" customHeight="1" x14ac:dyDescent="0.25">
      <c r="A33" s="211"/>
      <c r="B33" s="337"/>
      <c r="C33" s="449" t="s">
        <v>1094</v>
      </c>
      <c r="D33" s="449"/>
      <c r="E33" s="449"/>
      <c r="F33" s="449"/>
      <c r="G33" s="195"/>
      <c r="H33" s="155"/>
      <c r="I33" s="195"/>
      <c r="J33" s="155"/>
      <c r="K33" s="219">
        <v>1200000</v>
      </c>
      <c r="L33" s="263"/>
      <c r="M33" s="139"/>
      <c r="N33" s="139"/>
      <c r="O33" s="139">
        <f>SUM(H33:N33)</f>
        <v>1200000</v>
      </c>
      <c r="P33" s="141"/>
      <c r="Q33" s="139"/>
      <c r="R33" s="215"/>
    </row>
    <row r="34" spans="1:19" s="144" customFormat="1" ht="20.45" customHeight="1" x14ac:dyDescent="0.25">
      <c r="A34" s="211"/>
      <c r="B34" s="337"/>
      <c r="C34" s="451" t="s">
        <v>3557</v>
      </c>
      <c r="D34" s="451"/>
      <c r="E34" s="451"/>
      <c r="F34" s="451"/>
      <c r="G34" s="134"/>
      <c r="H34" s="139"/>
      <c r="I34" s="134"/>
      <c r="J34" s="139"/>
      <c r="K34" s="139"/>
      <c r="L34" s="219">
        <v>350000</v>
      </c>
      <c r="M34" s="219"/>
      <c r="N34" s="219"/>
      <c r="O34" s="139">
        <f t="shared" ref="O34:O42" si="5">SUM(H34:N34)</f>
        <v>350000</v>
      </c>
      <c r="P34" s="141"/>
      <c r="Q34" s="139"/>
      <c r="R34" s="215"/>
    </row>
    <row r="35" spans="1:19" s="144" customFormat="1" ht="20.45" customHeight="1" x14ac:dyDescent="0.25">
      <c r="A35" s="211"/>
      <c r="B35" s="337"/>
      <c r="C35" s="336" t="s">
        <v>3558</v>
      </c>
      <c r="D35" s="336"/>
      <c r="E35" s="336"/>
      <c r="F35" s="336"/>
      <c r="G35" s="134"/>
      <c r="H35" s="139"/>
      <c r="I35" s="134"/>
      <c r="J35" s="139"/>
      <c r="K35" s="139"/>
      <c r="L35" s="219">
        <v>170000</v>
      </c>
      <c r="M35" s="219"/>
      <c r="N35" s="219"/>
      <c r="O35" s="139">
        <f t="shared" si="5"/>
        <v>170000</v>
      </c>
      <c r="P35" s="141"/>
      <c r="Q35" s="139"/>
      <c r="R35" s="215"/>
    </row>
    <row r="36" spans="1:19" s="144" customFormat="1" ht="20.45" customHeight="1" x14ac:dyDescent="0.25">
      <c r="A36" s="211"/>
      <c r="B36" s="337"/>
      <c r="C36" s="336" t="s">
        <v>3559</v>
      </c>
      <c r="D36" s="336"/>
      <c r="E36" s="336"/>
      <c r="F36" s="336"/>
      <c r="G36" s="134"/>
      <c r="H36" s="139"/>
      <c r="I36" s="134"/>
      <c r="J36" s="139"/>
      <c r="K36" s="139"/>
      <c r="L36" s="219">
        <v>1400000</v>
      </c>
      <c r="M36" s="219"/>
      <c r="N36" s="219"/>
      <c r="O36" s="139">
        <f t="shared" si="5"/>
        <v>1400000</v>
      </c>
      <c r="P36" s="141"/>
      <c r="Q36" s="139"/>
      <c r="R36" s="215"/>
    </row>
    <row r="37" spans="1:19" s="144" customFormat="1" ht="20.45" customHeight="1" x14ac:dyDescent="0.25">
      <c r="A37" s="211"/>
      <c r="B37" s="337"/>
      <c r="C37" s="336" t="s">
        <v>3560</v>
      </c>
      <c r="D37" s="336"/>
      <c r="E37" s="336"/>
      <c r="F37" s="336"/>
      <c r="G37" s="134"/>
      <c r="H37" s="139"/>
      <c r="I37" s="134"/>
      <c r="J37" s="139"/>
      <c r="K37" s="139"/>
      <c r="L37" s="219">
        <v>3200000</v>
      </c>
      <c r="M37" s="219"/>
      <c r="N37" s="219"/>
      <c r="O37" s="139">
        <f t="shared" si="5"/>
        <v>3200000</v>
      </c>
      <c r="P37" s="141"/>
      <c r="Q37" s="139"/>
      <c r="R37" s="215"/>
    </row>
    <row r="38" spans="1:19" s="144" customFormat="1" ht="20.45" customHeight="1" x14ac:dyDescent="0.25">
      <c r="A38" s="211"/>
      <c r="B38" s="337"/>
      <c r="C38" s="336" t="s">
        <v>3561</v>
      </c>
      <c r="D38" s="336"/>
      <c r="E38" s="336"/>
      <c r="F38" s="336"/>
      <c r="G38" s="134"/>
      <c r="H38" s="139"/>
      <c r="I38" s="134"/>
      <c r="J38" s="139"/>
      <c r="K38" s="139"/>
      <c r="L38" s="219">
        <v>1500000</v>
      </c>
      <c r="M38" s="219"/>
      <c r="N38" s="219"/>
      <c r="O38" s="139">
        <f t="shared" si="5"/>
        <v>1500000</v>
      </c>
      <c r="P38" s="141"/>
      <c r="Q38" s="139"/>
      <c r="R38" s="215"/>
    </row>
    <row r="39" spans="1:19" s="144" customFormat="1" ht="23.25" customHeight="1" x14ac:dyDescent="0.25">
      <c r="A39" s="211"/>
      <c r="B39" s="337"/>
      <c r="C39" s="452" t="s">
        <v>3562</v>
      </c>
      <c r="D39" s="453"/>
      <c r="E39" s="453"/>
      <c r="F39" s="454"/>
      <c r="G39" s="134"/>
      <c r="H39" s="139"/>
      <c r="I39" s="134"/>
      <c r="J39" s="139"/>
      <c r="K39" s="219"/>
      <c r="L39" s="219">
        <v>900000</v>
      </c>
      <c r="M39" s="219"/>
      <c r="N39" s="219"/>
      <c r="O39" s="139">
        <f t="shared" si="5"/>
        <v>900000</v>
      </c>
      <c r="P39" s="141"/>
      <c r="Q39" s="139"/>
      <c r="R39" s="215"/>
    </row>
    <row r="40" spans="1:19" s="144" customFormat="1" ht="23.25" customHeight="1" x14ac:dyDescent="0.25">
      <c r="A40" s="211"/>
      <c r="B40" s="337"/>
      <c r="C40" s="452" t="s">
        <v>3563</v>
      </c>
      <c r="D40" s="453"/>
      <c r="E40" s="453"/>
      <c r="F40" s="454"/>
      <c r="G40" s="134"/>
      <c r="H40" s="139"/>
      <c r="I40" s="134"/>
      <c r="J40" s="139"/>
      <c r="K40" s="219"/>
      <c r="L40" s="219">
        <v>2040000</v>
      </c>
      <c r="M40" s="219"/>
      <c r="N40" s="219"/>
      <c r="O40" s="139">
        <f t="shared" si="5"/>
        <v>2040000</v>
      </c>
      <c r="P40" s="141"/>
      <c r="Q40" s="139"/>
      <c r="R40" s="215"/>
    </row>
    <row r="41" spans="1:19" s="144" customFormat="1" ht="23.25" customHeight="1" x14ac:dyDescent="0.25">
      <c r="A41" s="211"/>
      <c r="B41" s="337"/>
      <c r="C41" s="452" t="s">
        <v>3564</v>
      </c>
      <c r="D41" s="453"/>
      <c r="E41" s="453"/>
      <c r="F41" s="454"/>
      <c r="G41" s="134"/>
      <c r="H41" s="139"/>
      <c r="I41" s="134"/>
      <c r="J41" s="139"/>
      <c r="K41" s="219"/>
      <c r="L41" s="219">
        <v>2430000</v>
      </c>
      <c r="M41" s="219"/>
      <c r="N41" s="219"/>
      <c r="O41" s="139">
        <f t="shared" si="5"/>
        <v>2430000</v>
      </c>
      <c r="P41" s="141"/>
      <c r="Q41" s="139"/>
      <c r="R41" s="215"/>
    </row>
    <row r="42" spans="1:19" s="144" customFormat="1" ht="23.25" customHeight="1" x14ac:dyDescent="0.25">
      <c r="A42" s="211"/>
      <c r="B42" s="337"/>
      <c r="C42" s="455" t="s">
        <v>3565</v>
      </c>
      <c r="D42" s="456"/>
      <c r="E42" s="456"/>
      <c r="F42" s="457"/>
      <c r="G42" s="134"/>
      <c r="H42" s="139"/>
      <c r="I42" s="134"/>
      <c r="J42" s="139"/>
      <c r="K42" s="219"/>
      <c r="L42" s="219">
        <v>1250000</v>
      </c>
      <c r="M42" s="219"/>
      <c r="N42" s="219"/>
      <c r="O42" s="139">
        <f t="shared" si="5"/>
        <v>1250000</v>
      </c>
      <c r="P42" s="141"/>
      <c r="Q42" s="139"/>
      <c r="R42" s="215"/>
    </row>
    <row r="43" spans="1:19" s="159" customFormat="1" ht="20.45" customHeight="1" x14ac:dyDescent="0.25">
      <c r="A43" s="211"/>
      <c r="B43" s="165"/>
      <c r="C43" s="449" t="s">
        <v>1337</v>
      </c>
      <c r="D43" s="449"/>
      <c r="E43" s="449"/>
      <c r="F43" s="449"/>
      <c r="G43" s="195"/>
      <c r="H43" s="155"/>
      <c r="I43" s="195"/>
      <c r="J43" s="155"/>
      <c r="K43" s="219">
        <f>25/26*9000000</f>
        <v>8653846.153846154</v>
      </c>
      <c r="L43" s="155"/>
      <c r="M43" s="155"/>
      <c r="N43" s="155"/>
      <c r="O43" s="139">
        <f>SUM(H43:N43)</f>
        <v>8653846.153846154</v>
      </c>
      <c r="P43" s="139"/>
      <c r="Q43" s="139"/>
      <c r="R43" s="215"/>
    </row>
    <row r="44" spans="1:19" s="159" customFormat="1" ht="20.45" customHeight="1" x14ac:dyDescent="0.25">
      <c r="A44" s="211"/>
      <c r="B44" s="165"/>
      <c r="C44" s="449"/>
      <c r="D44" s="449"/>
      <c r="E44" s="449"/>
      <c r="F44" s="449"/>
      <c r="G44" s="195"/>
      <c r="H44" s="155"/>
      <c r="I44" s="195"/>
      <c r="J44" s="155"/>
      <c r="K44" s="157"/>
      <c r="L44" s="157"/>
      <c r="M44" s="155"/>
      <c r="N44" s="155"/>
      <c r="O44" s="139"/>
      <c r="P44" s="139"/>
      <c r="Q44" s="139"/>
      <c r="R44" s="215"/>
    </row>
    <row r="45" spans="1:19" ht="20.45" customHeight="1" x14ac:dyDescent="0.25">
      <c r="A45" s="450" t="s">
        <v>20</v>
      </c>
      <c r="B45" s="450"/>
      <c r="C45" s="450"/>
      <c r="D45" s="450"/>
      <c r="E45" s="450"/>
      <c r="F45" s="450"/>
      <c r="G45" s="334">
        <f t="shared" ref="G45:N45" si="6">SUM(G7:G44)</f>
        <v>2752</v>
      </c>
      <c r="H45" s="334">
        <f t="shared" si="6"/>
        <v>34781740</v>
      </c>
      <c r="I45" s="334">
        <f t="shared" si="6"/>
        <v>0</v>
      </c>
      <c r="J45" s="334">
        <f t="shared" si="6"/>
        <v>28560000</v>
      </c>
      <c r="K45" s="334">
        <f t="shared" si="6"/>
        <v>9853846.153846154</v>
      </c>
      <c r="L45" s="334">
        <f t="shared" si="6"/>
        <v>13240000</v>
      </c>
      <c r="M45" s="334">
        <f t="shared" si="6"/>
        <v>0</v>
      </c>
      <c r="N45" s="334">
        <f t="shared" si="6"/>
        <v>0</v>
      </c>
      <c r="O45" s="334">
        <f>SUM(O7:O44)</f>
        <v>86435586.15384616</v>
      </c>
      <c r="P45" s="334">
        <f>SUM(P7:P44)</f>
        <v>107654546</v>
      </c>
      <c r="Q45" s="335">
        <f>P45-O45</f>
        <v>21218959.84615384</v>
      </c>
    </row>
    <row r="46" spans="1:19" ht="24.95" customHeight="1" x14ac:dyDescent="0.25">
      <c r="O46" s="158"/>
      <c r="Q46" s="158"/>
    </row>
    <row r="47" spans="1:19" ht="13.9" customHeight="1" x14ac:dyDescent="0.25">
      <c r="P47" s="216" t="s">
        <v>1603</v>
      </c>
      <c r="Q47" s="227">
        <f>Q45</f>
        <v>21218959.84615384</v>
      </c>
      <c r="S47" s="216"/>
    </row>
    <row r="48" spans="1:19" ht="13.9" customHeight="1" x14ac:dyDescent="0.25">
      <c r="B48" s="129"/>
      <c r="J48" s="128"/>
      <c r="K48" s="128"/>
      <c r="L48" s="128"/>
      <c r="N48" s="128"/>
      <c r="O48" s="128"/>
      <c r="P48" s="218"/>
      <c r="Q48" s="216"/>
    </row>
    <row r="49" spans="1:18" ht="13.9" customHeight="1" x14ac:dyDescent="0.25">
      <c r="B49" s="129"/>
      <c r="H49" s="128"/>
      <c r="J49" s="128"/>
      <c r="K49" s="128"/>
      <c r="L49" s="128"/>
      <c r="M49" s="128"/>
      <c r="N49" s="128"/>
      <c r="O49" s="128"/>
      <c r="P49" s="218"/>
      <c r="Q49" s="230"/>
    </row>
    <row r="50" spans="1:18" ht="13.9" customHeight="1" x14ac:dyDescent="0.25">
      <c r="B50" s="129"/>
      <c r="H50" s="128"/>
      <c r="J50" s="128"/>
      <c r="K50" s="128"/>
      <c r="L50" s="128"/>
      <c r="M50" s="128"/>
      <c r="N50" s="128"/>
      <c r="O50" s="128"/>
      <c r="P50" s="218"/>
      <c r="Q50" s="230"/>
      <c r="R50" s="143"/>
    </row>
    <row r="51" spans="1:18" ht="13.9" customHeight="1" x14ac:dyDescent="0.25">
      <c r="B51" s="129"/>
      <c r="H51" s="128"/>
      <c r="J51" s="128"/>
      <c r="K51" s="128"/>
      <c r="L51" s="128"/>
      <c r="M51" s="128"/>
      <c r="N51" s="128"/>
      <c r="O51" s="128"/>
      <c r="P51" s="218"/>
      <c r="Q51" s="216"/>
      <c r="R51" s="143"/>
    </row>
    <row r="52" spans="1:18" x14ac:dyDescent="0.25">
      <c r="B52" s="129"/>
      <c r="H52" s="128"/>
      <c r="J52" s="128"/>
      <c r="K52" s="128"/>
      <c r="L52" s="128"/>
      <c r="M52" s="128"/>
      <c r="N52" s="128"/>
      <c r="O52" s="128"/>
      <c r="P52" s="218"/>
      <c r="Q52" s="216"/>
    </row>
    <row r="53" spans="1:18" x14ac:dyDescent="0.25">
      <c r="A53" s="128"/>
      <c r="B53" s="129"/>
      <c r="H53" s="128"/>
      <c r="J53" s="128"/>
      <c r="K53" s="128"/>
      <c r="L53" s="128"/>
      <c r="M53" s="128"/>
      <c r="N53" s="128"/>
      <c r="O53" s="128"/>
      <c r="P53" s="218"/>
      <c r="Q53" s="216"/>
    </row>
    <row r="54" spans="1:18" x14ac:dyDescent="0.25">
      <c r="A54" s="128"/>
      <c r="B54" s="129"/>
      <c r="H54" s="128"/>
      <c r="J54" s="128"/>
      <c r="K54" s="128"/>
      <c r="L54" s="128"/>
      <c r="M54" s="128"/>
      <c r="N54" s="128"/>
      <c r="O54" s="128"/>
      <c r="P54" s="218"/>
      <c r="Q54" s="216"/>
    </row>
    <row r="55" spans="1:18" x14ac:dyDescent="0.25">
      <c r="A55" s="128"/>
      <c r="B55" s="128"/>
      <c r="H55" s="128"/>
      <c r="J55" s="128"/>
      <c r="K55" s="128"/>
      <c r="L55" s="128"/>
      <c r="M55" s="128"/>
      <c r="N55" s="128"/>
      <c r="O55" s="128"/>
      <c r="P55" s="128"/>
      <c r="Q55" s="216"/>
    </row>
    <row r="56" spans="1:18" x14ac:dyDescent="0.25">
      <c r="A56" s="128"/>
      <c r="B56" s="128"/>
      <c r="H56" s="128"/>
      <c r="J56" s="128"/>
      <c r="K56" s="128"/>
      <c r="L56" s="128"/>
      <c r="M56" s="128"/>
      <c r="N56" s="128"/>
      <c r="O56" s="128"/>
      <c r="P56" s="128"/>
      <c r="Q56" s="216"/>
    </row>
  </sheetData>
  <mergeCells count="22">
    <mergeCell ref="C44:F44"/>
    <mergeCell ref="A45:F45"/>
    <mergeCell ref="O5:O6"/>
    <mergeCell ref="P5:P6"/>
    <mergeCell ref="Q5:Q6"/>
    <mergeCell ref="C33:F33"/>
    <mergeCell ref="C34:F34"/>
    <mergeCell ref="C43:F43"/>
    <mergeCell ref="C39:F39"/>
    <mergeCell ref="C40:F40"/>
    <mergeCell ref="C41:F41"/>
    <mergeCell ref="C42:F42"/>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W29"/>
  <sheetViews>
    <sheetView topLeftCell="A7" workbookViewId="0">
      <selection activeCell="I14" sqref="I14"/>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4"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12.28515625" style="128" bestFit="1" customWidth="1"/>
    <col min="19" max="16384" width="9.140625" style="128"/>
  </cols>
  <sheetData>
    <row r="1" spans="1:23" ht="22.5" x14ac:dyDescent="0.25">
      <c r="A1" s="416" t="s">
        <v>0</v>
      </c>
      <c r="B1" s="416"/>
      <c r="C1" s="416"/>
      <c r="D1" s="416"/>
      <c r="E1" s="416"/>
      <c r="F1" s="416"/>
      <c r="G1" s="416"/>
      <c r="H1" s="416"/>
      <c r="I1" s="416"/>
      <c r="J1" s="416"/>
      <c r="K1" s="416"/>
      <c r="L1" s="416"/>
      <c r="M1" s="416"/>
      <c r="N1" s="416"/>
      <c r="O1" s="416"/>
      <c r="P1" s="416"/>
      <c r="Q1" s="416"/>
    </row>
    <row r="2" spans="1:23" ht="15.75" x14ac:dyDescent="0.25">
      <c r="A2" s="417" t="s">
        <v>19</v>
      </c>
      <c r="B2" s="417"/>
      <c r="C2" s="417"/>
      <c r="D2" s="417"/>
      <c r="E2" s="417"/>
      <c r="F2" s="417"/>
      <c r="G2" s="417"/>
      <c r="H2" s="417"/>
      <c r="I2" s="417"/>
      <c r="J2" s="417"/>
      <c r="K2" s="417"/>
      <c r="L2" s="417"/>
      <c r="M2" s="417"/>
      <c r="N2" s="417"/>
      <c r="O2" s="417"/>
      <c r="P2" s="417"/>
      <c r="Q2" s="417"/>
    </row>
    <row r="3" spans="1:23" ht="15.75" x14ac:dyDescent="0.25">
      <c r="A3" s="130"/>
      <c r="B3" s="417" t="s">
        <v>3566</v>
      </c>
      <c r="C3" s="417"/>
      <c r="D3" s="417"/>
      <c r="E3" s="417"/>
      <c r="F3" s="417"/>
      <c r="G3" s="417"/>
      <c r="H3" s="417"/>
      <c r="I3" s="417"/>
      <c r="J3" s="417"/>
      <c r="K3" s="417"/>
      <c r="L3" s="417"/>
      <c r="M3" s="417"/>
      <c r="N3" s="417"/>
      <c r="O3" s="417"/>
      <c r="P3" s="417"/>
      <c r="Q3" s="417"/>
    </row>
    <row r="5" spans="1:23" s="129" customForma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23" s="129" customFormat="1" ht="13.5" thickBot="1" x14ac:dyDescent="0.3">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23" s="144" customFormat="1" ht="17.25" customHeight="1" x14ac:dyDescent="0.2">
      <c r="A7" s="338">
        <v>1</v>
      </c>
      <c r="B7" s="331">
        <v>44228</v>
      </c>
      <c r="C7" s="332" t="s">
        <v>3567</v>
      </c>
      <c r="D7" s="243" t="s">
        <v>3571</v>
      </c>
      <c r="E7" s="333" t="s">
        <v>25</v>
      </c>
      <c r="F7" s="332"/>
      <c r="G7" s="332"/>
      <c r="H7" s="250"/>
      <c r="I7" s="332"/>
      <c r="J7" s="250">
        <v>1890000</v>
      </c>
      <c r="K7" s="250"/>
      <c r="L7" s="262"/>
      <c r="M7" s="250"/>
      <c r="N7" s="250"/>
      <c r="O7" s="250">
        <f>SUM(H7:N7)</f>
        <v>1890000</v>
      </c>
      <c r="P7" s="340">
        <v>7572727</v>
      </c>
      <c r="Q7" s="250">
        <f>P7-O7</f>
        <v>5682727</v>
      </c>
    </row>
    <row r="8" spans="1:23" s="144" customFormat="1" ht="17.25" customHeight="1" x14ac:dyDescent="0.2">
      <c r="A8" s="339">
        <v>2</v>
      </c>
      <c r="B8" s="328">
        <v>44230</v>
      </c>
      <c r="C8" s="134" t="s">
        <v>3568</v>
      </c>
      <c r="D8" s="211" t="s">
        <v>3572</v>
      </c>
      <c r="E8" s="136" t="s">
        <v>1568</v>
      </c>
      <c r="F8" s="134"/>
      <c r="G8" s="134">
        <v>182</v>
      </c>
      <c r="H8" s="139">
        <f>G8*13040</f>
        <v>2373280</v>
      </c>
      <c r="I8" s="134"/>
      <c r="J8" s="139">
        <v>1150000</v>
      </c>
      <c r="K8" s="139"/>
      <c r="L8" s="263"/>
      <c r="M8" s="139"/>
      <c r="N8" s="139"/>
      <c r="O8" s="139">
        <f t="shared" ref="O8:O12" si="0">SUM(H8:N8)</f>
        <v>3523280</v>
      </c>
      <c r="P8" s="175">
        <v>3600000</v>
      </c>
      <c r="Q8" s="139">
        <f t="shared" ref="Q8:Q17" si="1">P8-O8</f>
        <v>76720</v>
      </c>
    </row>
    <row r="9" spans="1:23" s="144" customFormat="1" ht="17.25" customHeight="1" x14ac:dyDescent="0.2">
      <c r="A9" s="339">
        <v>3</v>
      </c>
      <c r="B9" s="328">
        <v>44231</v>
      </c>
      <c r="C9" s="134" t="s">
        <v>3569</v>
      </c>
      <c r="D9" s="211" t="s">
        <v>3573</v>
      </c>
      <c r="E9" s="136" t="s">
        <v>291</v>
      </c>
      <c r="F9" s="134"/>
      <c r="G9" s="134"/>
      <c r="H9" s="139"/>
      <c r="I9" s="134"/>
      <c r="J9" s="139">
        <v>1060000</v>
      </c>
      <c r="K9" s="139"/>
      <c r="L9" s="263"/>
      <c r="M9" s="139"/>
      <c r="N9" s="139"/>
      <c r="O9" s="139">
        <f t="shared" si="0"/>
        <v>1060000</v>
      </c>
      <c r="P9" s="175">
        <v>3745455</v>
      </c>
      <c r="Q9" s="139">
        <f t="shared" si="1"/>
        <v>2685455</v>
      </c>
    </row>
    <row r="10" spans="1:23" s="144" customFormat="1" ht="17.25" customHeight="1" x14ac:dyDescent="0.2">
      <c r="A10" s="339">
        <v>4</v>
      </c>
      <c r="B10" s="328">
        <v>44232</v>
      </c>
      <c r="C10" s="134" t="s">
        <v>905</v>
      </c>
      <c r="D10" s="211" t="s">
        <v>3574</v>
      </c>
      <c r="E10" s="136" t="s">
        <v>1568</v>
      </c>
      <c r="F10" s="134"/>
      <c r="G10" s="134"/>
      <c r="H10" s="139"/>
      <c r="I10" s="134"/>
      <c r="J10" s="139">
        <v>1150000</v>
      </c>
      <c r="K10" s="139"/>
      <c r="L10" s="263"/>
      <c r="M10" s="139"/>
      <c r="N10" s="139"/>
      <c r="O10" s="139">
        <f t="shared" si="0"/>
        <v>1150000</v>
      </c>
      <c r="P10" s="175">
        <v>3745455</v>
      </c>
      <c r="Q10" s="139">
        <f t="shared" si="1"/>
        <v>2595455</v>
      </c>
    </row>
    <row r="11" spans="1:23" s="144" customFormat="1" ht="17.25" customHeight="1" x14ac:dyDescent="0.2">
      <c r="A11" s="339">
        <v>5</v>
      </c>
      <c r="B11" s="328">
        <v>44233</v>
      </c>
      <c r="C11" s="134" t="s">
        <v>3570</v>
      </c>
      <c r="D11" s="211" t="s">
        <v>3575</v>
      </c>
      <c r="E11" s="136" t="s">
        <v>25</v>
      </c>
      <c r="F11" s="134"/>
      <c r="G11" s="134"/>
      <c r="H11" s="139"/>
      <c r="I11" s="134"/>
      <c r="J11" s="139">
        <v>1890000</v>
      </c>
      <c r="K11" s="139"/>
      <c r="L11" s="263"/>
      <c r="M11" s="139"/>
      <c r="N11" s="139"/>
      <c r="O11" s="139">
        <f t="shared" si="0"/>
        <v>1890000</v>
      </c>
      <c r="P11" s="175">
        <v>8118182</v>
      </c>
      <c r="Q11" s="139">
        <f t="shared" si="1"/>
        <v>6228182</v>
      </c>
    </row>
    <row r="12" spans="1:23" s="144" customFormat="1" ht="17.25" customHeight="1" x14ac:dyDescent="0.2">
      <c r="A12" s="339">
        <v>6</v>
      </c>
      <c r="B12" s="328">
        <v>44233</v>
      </c>
      <c r="C12" s="134" t="s">
        <v>3570</v>
      </c>
      <c r="D12" s="211" t="s">
        <v>3576</v>
      </c>
      <c r="E12" s="136" t="s">
        <v>25</v>
      </c>
      <c r="F12" s="134"/>
      <c r="G12" s="134">
        <v>265</v>
      </c>
      <c r="H12" s="139">
        <f>G12*13040</f>
        <v>3455600</v>
      </c>
      <c r="I12" s="134"/>
      <c r="J12" s="139">
        <v>300000</v>
      </c>
      <c r="K12" s="139"/>
      <c r="L12" s="263"/>
      <c r="M12" s="139"/>
      <c r="N12" s="139"/>
      <c r="O12" s="139">
        <f t="shared" si="0"/>
        <v>3755600</v>
      </c>
      <c r="P12" s="176">
        <v>0</v>
      </c>
      <c r="Q12" s="139">
        <f t="shared" si="1"/>
        <v>-3755600</v>
      </c>
    </row>
    <row r="13" spans="1:23" s="144" customFormat="1" x14ac:dyDescent="0.25">
      <c r="A13" s="339"/>
      <c r="B13" s="328"/>
      <c r="C13" s="134"/>
      <c r="D13" s="211"/>
      <c r="E13" s="136"/>
      <c r="F13" s="134"/>
      <c r="G13" s="134"/>
      <c r="H13" s="139"/>
      <c r="I13" s="134"/>
      <c r="J13" s="139"/>
      <c r="K13" s="139"/>
      <c r="L13" s="263"/>
      <c r="M13" s="139"/>
      <c r="N13" s="139"/>
      <c r="O13" s="139"/>
      <c r="P13" s="139"/>
      <c r="Q13" s="139">
        <f t="shared" si="1"/>
        <v>0</v>
      </c>
      <c r="R13" s="128"/>
      <c r="S13" s="128"/>
      <c r="T13" s="128"/>
      <c r="U13" s="128"/>
      <c r="V13" s="128"/>
      <c r="W13" s="128"/>
    </row>
    <row r="14" spans="1:23" s="144" customFormat="1" x14ac:dyDescent="0.25">
      <c r="A14" s="339"/>
      <c r="B14" s="328"/>
      <c r="C14" s="134"/>
      <c r="D14" s="211"/>
      <c r="E14" s="136"/>
      <c r="F14" s="134"/>
      <c r="G14" s="134"/>
      <c r="H14" s="139"/>
      <c r="I14" s="134"/>
      <c r="J14" s="139"/>
      <c r="K14" s="139"/>
      <c r="L14" s="263"/>
      <c r="M14" s="139"/>
      <c r="N14" s="139"/>
      <c r="O14" s="139"/>
      <c r="P14" s="139"/>
      <c r="Q14" s="139">
        <f t="shared" si="1"/>
        <v>0</v>
      </c>
    </row>
    <row r="15" spans="1:23" s="144" customFormat="1" x14ac:dyDescent="0.25">
      <c r="A15" s="339"/>
      <c r="B15" s="337"/>
      <c r="C15" s="449" t="s">
        <v>1094</v>
      </c>
      <c r="D15" s="449"/>
      <c r="E15" s="449"/>
      <c r="F15" s="449"/>
      <c r="G15" s="195"/>
      <c r="H15" s="155"/>
      <c r="I15" s="195"/>
      <c r="J15" s="155"/>
      <c r="K15" s="219">
        <v>1200000</v>
      </c>
      <c r="L15" s="263"/>
      <c r="M15" s="139"/>
      <c r="N15" s="139"/>
      <c r="O15" s="139">
        <f>SUM(H15:N15)</f>
        <v>1200000</v>
      </c>
      <c r="P15" s="139"/>
      <c r="Q15" s="139"/>
    </row>
    <row r="16" spans="1:23" s="159" customFormat="1" x14ac:dyDescent="0.25">
      <c r="A16" s="339"/>
      <c r="B16" s="165"/>
      <c r="C16" s="449" t="s">
        <v>1337</v>
      </c>
      <c r="D16" s="449"/>
      <c r="E16" s="449"/>
      <c r="F16" s="449"/>
      <c r="G16" s="195"/>
      <c r="H16" s="155"/>
      <c r="I16" s="195"/>
      <c r="J16" s="155"/>
      <c r="K16" s="219">
        <f>7/26*9000000</f>
        <v>2423076.923076923</v>
      </c>
      <c r="L16" s="155"/>
      <c r="M16" s="155"/>
      <c r="N16" s="155"/>
      <c r="O16" s="139">
        <f>SUM(H16:N16)</f>
        <v>2423076.923076923</v>
      </c>
      <c r="P16" s="139"/>
      <c r="Q16" s="139"/>
    </row>
    <row r="17" spans="1:18" s="159" customFormat="1" x14ac:dyDescent="0.25">
      <c r="A17" s="211"/>
      <c r="B17" s="165"/>
      <c r="C17" s="449"/>
      <c r="D17" s="449"/>
      <c r="E17" s="449"/>
      <c r="F17" s="449"/>
      <c r="G17" s="195"/>
      <c r="H17" s="155"/>
      <c r="I17" s="195"/>
      <c r="J17" s="155"/>
      <c r="K17" s="219"/>
      <c r="L17" s="219"/>
      <c r="M17" s="155"/>
      <c r="N17" s="155"/>
      <c r="O17" s="139"/>
      <c r="P17" s="139"/>
      <c r="Q17" s="139">
        <f t="shared" si="1"/>
        <v>0</v>
      </c>
    </row>
    <row r="18" spans="1:18" x14ac:dyDescent="0.25">
      <c r="A18" s="450" t="s">
        <v>20</v>
      </c>
      <c r="B18" s="450"/>
      <c r="C18" s="450"/>
      <c r="D18" s="450"/>
      <c r="E18" s="450"/>
      <c r="F18" s="450"/>
      <c r="G18" s="334">
        <f t="shared" ref="G18:N18" si="2">SUM(G7:G17)</f>
        <v>447</v>
      </c>
      <c r="H18" s="334">
        <f t="shared" si="2"/>
        <v>5828880</v>
      </c>
      <c r="I18" s="334">
        <f t="shared" si="2"/>
        <v>0</v>
      </c>
      <c r="J18" s="334">
        <f t="shared" si="2"/>
        <v>7440000</v>
      </c>
      <c r="K18" s="334">
        <f>SUM(K7:K17)</f>
        <v>3623076.923076923</v>
      </c>
      <c r="L18" s="334">
        <f t="shared" si="2"/>
        <v>0</v>
      </c>
      <c r="M18" s="334">
        <f t="shared" si="2"/>
        <v>0</v>
      </c>
      <c r="N18" s="334">
        <f t="shared" si="2"/>
        <v>0</v>
      </c>
      <c r="O18" s="334">
        <f>SUM(O7:O17)</f>
        <v>16891956.923076924</v>
      </c>
      <c r="P18" s="334">
        <f>SUM(P7:P17)</f>
        <v>26781819</v>
      </c>
      <c r="Q18" s="334">
        <f>P18-O18</f>
        <v>9889862.0769230761</v>
      </c>
    </row>
    <row r="19" spans="1:18" x14ac:dyDescent="0.25">
      <c r="O19" s="158"/>
      <c r="Q19" s="158"/>
    </row>
    <row r="20" spans="1:18" x14ac:dyDescent="0.25">
      <c r="P20" s="216" t="s">
        <v>1603</v>
      </c>
      <c r="Q20" s="227">
        <f>'01.2021'!Q47+'02.2021'!Q18</f>
        <v>31108821.923076916</v>
      </c>
      <c r="R20" s="216"/>
    </row>
    <row r="21" spans="1:18" x14ac:dyDescent="0.25">
      <c r="B21" s="129"/>
      <c r="J21" s="128"/>
      <c r="K21" s="128"/>
      <c r="L21" s="128"/>
      <c r="N21" s="128"/>
      <c r="O21" s="128"/>
      <c r="P21" s="218"/>
      <c r="Q21" s="216"/>
    </row>
    <row r="22" spans="1:18" ht="13.5" x14ac:dyDescent="0.25">
      <c r="B22" s="129"/>
      <c r="H22" s="128"/>
      <c r="J22" s="128"/>
      <c r="K22" s="128"/>
      <c r="L22" s="128"/>
      <c r="M22" s="128"/>
      <c r="N22" s="128"/>
      <c r="O22" s="128"/>
      <c r="P22" s="218"/>
      <c r="Q22" s="230"/>
    </row>
    <row r="23" spans="1:18" ht="13.5" x14ac:dyDescent="0.25">
      <c r="B23" s="129"/>
      <c r="H23" s="128"/>
      <c r="J23" s="128"/>
      <c r="K23" s="128"/>
      <c r="L23" s="128"/>
      <c r="M23" s="128"/>
      <c r="N23" s="128"/>
      <c r="O23" s="128"/>
      <c r="P23" s="218"/>
      <c r="Q23" s="230"/>
    </row>
    <row r="24" spans="1:18" x14ac:dyDescent="0.25">
      <c r="B24" s="129"/>
      <c r="H24" s="128"/>
      <c r="J24" s="128"/>
      <c r="K24" s="128"/>
      <c r="L24" s="128"/>
      <c r="M24" s="128"/>
      <c r="N24" s="128"/>
      <c r="O24" s="128"/>
      <c r="P24" s="218"/>
      <c r="Q24" s="216"/>
    </row>
    <row r="25" spans="1:18" x14ac:dyDescent="0.25">
      <c r="B25" s="129"/>
      <c r="H25" s="128"/>
      <c r="J25" s="128"/>
      <c r="K25" s="128"/>
      <c r="L25" s="128"/>
      <c r="M25" s="128"/>
      <c r="N25" s="128"/>
      <c r="O25" s="128"/>
      <c r="P25" s="218"/>
      <c r="Q25" s="216"/>
    </row>
    <row r="26" spans="1:18" x14ac:dyDescent="0.25">
      <c r="A26" s="128"/>
      <c r="B26" s="129"/>
      <c r="H26" s="128"/>
      <c r="J26" s="128"/>
      <c r="K26" s="128"/>
      <c r="L26" s="128"/>
      <c r="M26" s="128"/>
      <c r="N26" s="128"/>
      <c r="O26" s="128"/>
      <c r="P26" s="218"/>
      <c r="Q26" s="216"/>
    </row>
    <row r="27" spans="1:18" x14ac:dyDescent="0.25">
      <c r="A27" s="128"/>
      <c r="B27" s="129"/>
      <c r="H27" s="128"/>
      <c r="J27" s="128"/>
      <c r="K27" s="128"/>
      <c r="L27" s="128"/>
      <c r="M27" s="128"/>
      <c r="N27" s="128"/>
      <c r="O27" s="128"/>
      <c r="P27" s="218"/>
      <c r="Q27" s="216"/>
    </row>
    <row r="28" spans="1:18" x14ac:dyDescent="0.25">
      <c r="A28" s="128"/>
      <c r="B28" s="128"/>
      <c r="H28" s="128"/>
      <c r="J28" s="128"/>
      <c r="K28" s="128"/>
      <c r="L28" s="128"/>
      <c r="M28" s="128"/>
      <c r="N28" s="128"/>
      <c r="O28" s="128"/>
      <c r="P28" s="128"/>
      <c r="Q28" s="216"/>
    </row>
    <row r="29" spans="1:18" x14ac:dyDescent="0.25">
      <c r="A29" s="128"/>
      <c r="B29" s="128"/>
      <c r="H29" s="128"/>
      <c r="J29" s="128"/>
      <c r="K29" s="128"/>
      <c r="L29" s="128"/>
      <c r="M29" s="128"/>
      <c r="N29" s="128"/>
      <c r="O29" s="128"/>
      <c r="P29" s="128"/>
      <c r="Q29" s="216"/>
    </row>
  </sheetData>
  <mergeCells count="17">
    <mergeCell ref="A1:Q1"/>
    <mergeCell ref="A2:Q2"/>
    <mergeCell ref="B3:Q3"/>
    <mergeCell ref="A5:A6"/>
    <mergeCell ref="B5:B6"/>
    <mergeCell ref="C5:C6"/>
    <mergeCell ref="D5:D6"/>
    <mergeCell ref="E5:E6"/>
    <mergeCell ref="F5:F6"/>
    <mergeCell ref="G5:N5"/>
    <mergeCell ref="A18:F18"/>
    <mergeCell ref="O5:O6"/>
    <mergeCell ref="P5:P6"/>
    <mergeCell ref="Q5:Q6"/>
    <mergeCell ref="C15:F15"/>
    <mergeCell ref="C16:F16"/>
    <mergeCell ref="C17:F17"/>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46"/>
  <sheetViews>
    <sheetView topLeftCell="B18" zoomScaleNormal="100" workbookViewId="0">
      <selection activeCell="I41" sqref="I41"/>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4"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3601</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44" customFormat="1" ht="20.45" customHeight="1" x14ac:dyDescent="0.25">
      <c r="A7" s="243">
        <v>1</v>
      </c>
      <c r="B7" s="331">
        <v>44266</v>
      </c>
      <c r="C7" s="332" t="s">
        <v>3577</v>
      </c>
      <c r="D7" s="243" t="s">
        <v>3583</v>
      </c>
      <c r="E7" s="333" t="s">
        <v>80</v>
      </c>
      <c r="F7" s="332"/>
      <c r="G7" s="332"/>
      <c r="H7" s="250"/>
      <c r="I7" s="332"/>
      <c r="J7" s="250">
        <v>790000</v>
      </c>
      <c r="K7" s="250"/>
      <c r="L7" s="262"/>
      <c r="M7" s="250"/>
      <c r="N7" s="250"/>
      <c r="O7" s="250">
        <f>SUM(H7:N7)</f>
        <v>790000</v>
      </c>
      <c r="P7" s="250">
        <v>3400000</v>
      </c>
      <c r="Q7" s="250">
        <f>P7-O7</f>
        <v>2610000</v>
      </c>
      <c r="R7" s="215" t="s">
        <v>3600</v>
      </c>
    </row>
    <row r="8" spans="1:18" s="144" customFormat="1" ht="20.45" customHeight="1" x14ac:dyDescent="0.25">
      <c r="A8" s="211">
        <v>2</v>
      </c>
      <c r="B8" s="328">
        <v>44273</v>
      </c>
      <c r="C8" s="134" t="s">
        <v>2951</v>
      </c>
      <c r="D8" s="211" t="s">
        <v>3584</v>
      </c>
      <c r="E8" s="136" t="s">
        <v>3596</v>
      </c>
      <c r="F8" s="134"/>
      <c r="G8" s="134">
        <v>332</v>
      </c>
      <c r="H8" s="139">
        <f>G8*14400</f>
        <v>4780800</v>
      </c>
      <c r="I8" s="134"/>
      <c r="J8" s="139">
        <v>790000</v>
      </c>
      <c r="K8" s="139"/>
      <c r="L8" s="263"/>
      <c r="M8" s="139"/>
      <c r="N8" s="139"/>
      <c r="O8" s="139">
        <f t="shared" ref="O8:O15" si="0">SUM(H8:N8)</f>
        <v>5570800</v>
      </c>
      <c r="P8" s="139">
        <v>3850000</v>
      </c>
      <c r="Q8" s="139">
        <f t="shared" ref="Q8:Q17" si="1">P8-O8</f>
        <v>-1720800</v>
      </c>
      <c r="R8" s="215"/>
    </row>
    <row r="9" spans="1:18" s="144" customFormat="1" ht="20.45" customHeight="1" x14ac:dyDescent="0.25">
      <c r="A9" s="211">
        <v>3</v>
      </c>
      <c r="B9" s="328">
        <v>44275</v>
      </c>
      <c r="C9" s="134" t="s">
        <v>2952</v>
      </c>
      <c r="D9" s="211" t="s">
        <v>3585</v>
      </c>
      <c r="E9" s="136" t="s">
        <v>3596</v>
      </c>
      <c r="F9" s="134"/>
      <c r="G9" s="134"/>
      <c r="H9" s="139"/>
      <c r="I9" s="134"/>
      <c r="J9" s="139">
        <v>790000</v>
      </c>
      <c r="K9" s="139"/>
      <c r="L9" s="263"/>
      <c r="M9" s="139"/>
      <c r="N9" s="139"/>
      <c r="O9" s="139">
        <f t="shared" si="0"/>
        <v>790000</v>
      </c>
      <c r="P9" s="139">
        <v>3850000</v>
      </c>
      <c r="Q9" s="139">
        <f t="shared" si="1"/>
        <v>3060000</v>
      </c>
      <c r="R9" s="215"/>
    </row>
    <row r="10" spans="1:18" s="144" customFormat="1" ht="20.45" customHeight="1" x14ac:dyDescent="0.25">
      <c r="A10" s="211">
        <v>4</v>
      </c>
      <c r="B10" s="328">
        <v>44275</v>
      </c>
      <c r="C10" s="134" t="s">
        <v>2953</v>
      </c>
      <c r="D10" s="211" t="s">
        <v>3586</v>
      </c>
      <c r="E10" s="136" t="s">
        <v>3597</v>
      </c>
      <c r="F10" s="134"/>
      <c r="G10" s="134"/>
      <c r="H10" s="139"/>
      <c r="I10" s="134"/>
      <c r="J10" s="139">
        <v>970000</v>
      </c>
      <c r="K10" s="139"/>
      <c r="L10" s="263"/>
      <c r="M10" s="139"/>
      <c r="N10" s="139"/>
      <c r="O10" s="139">
        <f t="shared" si="0"/>
        <v>970000</v>
      </c>
      <c r="P10" s="139">
        <v>3960000</v>
      </c>
      <c r="Q10" s="139">
        <f t="shared" si="1"/>
        <v>2990000</v>
      </c>
      <c r="R10" s="215"/>
    </row>
    <row r="11" spans="1:18" s="144" customFormat="1" ht="20.45" customHeight="1" x14ac:dyDescent="0.25">
      <c r="A11" s="211">
        <v>5</v>
      </c>
      <c r="B11" s="328">
        <v>44277</v>
      </c>
      <c r="C11" s="134" t="s">
        <v>3578</v>
      </c>
      <c r="D11" s="211" t="s">
        <v>3587</v>
      </c>
      <c r="E11" s="136" t="s">
        <v>25</v>
      </c>
      <c r="F11" s="134"/>
      <c r="G11" s="134">
        <v>270</v>
      </c>
      <c r="H11" s="139">
        <f t="shared" ref="H11:H15" si="2">G11*14400</f>
        <v>3888000</v>
      </c>
      <c r="I11" s="134"/>
      <c r="J11" s="139">
        <v>1890000</v>
      </c>
      <c r="K11" s="139"/>
      <c r="L11" s="263"/>
      <c r="M11" s="139"/>
      <c r="N11" s="139"/>
      <c r="O11" s="139">
        <f t="shared" si="0"/>
        <v>5778000</v>
      </c>
      <c r="P11" s="139">
        <v>8118182</v>
      </c>
      <c r="Q11" s="139">
        <f t="shared" si="1"/>
        <v>2340182</v>
      </c>
      <c r="R11" s="215"/>
    </row>
    <row r="12" spans="1:18" s="144" customFormat="1" ht="20.45" customHeight="1" x14ac:dyDescent="0.25">
      <c r="A12" s="211">
        <v>6</v>
      </c>
      <c r="B12" s="328">
        <v>44277</v>
      </c>
      <c r="C12" s="134" t="s">
        <v>3578</v>
      </c>
      <c r="D12" s="211" t="s">
        <v>3588</v>
      </c>
      <c r="E12" s="136" t="s">
        <v>25</v>
      </c>
      <c r="F12" s="134"/>
      <c r="G12" s="134"/>
      <c r="H12" s="139"/>
      <c r="I12" s="134"/>
      <c r="J12" s="139">
        <v>300000</v>
      </c>
      <c r="K12" s="139"/>
      <c r="L12" s="263"/>
      <c r="M12" s="139"/>
      <c r="N12" s="139"/>
      <c r="O12" s="139">
        <f t="shared" si="0"/>
        <v>300000</v>
      </c>
      <c r="P12" s="139">
        <v>0</v>
      </c>
      <c r="Q12" s="139">
        <f t="shared" si="1"/>
        <v>-300000</v>
      </c>
      <c r="R12" s="215"/>
    </row>
    <row r="13" spans="1:18" s="144" customFormat="1" ht="20.45" customHeight="1" x14ac:dyDescent="0.25">
      <c r="A13" s="211">
        <v>7</v>
      </c>
      <c r="B13" s="328">
        <v>44277</v>
      </c>
      <c r="C13" s="134" t="s">
        <v>3579</v>
      </c>
      <c r="D13" s="211" t="s">
        <v>3589</v>
      </c>
      <c r="E13" s="136" t="s">
        <v>80</v>
      </c>
      <c r="F13" s="134"/>
      <c r="G13" s="134">
        <v>182</v>
      </c>
      <c r="H13" s="139">
        <f t="shared" si="2"/>
        <v>2620800</v>
      </c>
      <c r="I13" s="134"/>
      <c r="J13" s="139">
        <v>790000</v>
      </c>
      <c r="K13" s="139"/>
      <c r="L13" s="263"/>
      <c r="M13" s="139"/>
      <c r="N13" s="139"/>
      <c r="O13" s="139">
        <f t="shared" si="0"/>
        <v>3410800</v>
      </c>
      <c r="P13" s="139">
        <v>3400000</v>
      </c>
      <c r="Q13" s="139">
        <f t="shared" si="1"/>
        <v>-10800</v>
      </c>
      <c r="R13" s="215"/>
    </row>
    <row r="14" spans="1:18" s="144" customFormat="1" ht="20.45" customHeight="1" x14ac:dyDescent="0.25">
      <c r="A14" s="211">
        <v>8</v>
      </c>
      <c r="B14" s="328">
        <v>44278</v>
      </c>
      <c r="C14" s="134" t="s">
        <v>2290</v>
      </c>
      <c r="D14" s="211" t="s">
        <v>3590</v>
      </c>
      <c r="E14" s="136" t="s">
        <v>3597</v>
      </c>
      <c r="F14" s="134"/>
      <c r="G14" s="134"/>
      <c r="H14" s="139"/>
      <c r="I14" s="134"/>
      <c r="J14" s="139">
        <v>970000</v>
      </c>
      <c r="K14" s="139"/>
      <c r="L14" s="263"/>
      <c r="M14" s="139"/>
      <c r="N14" s="139"/>
      <c r="O14" s="139">
        <f t="shared" si="0"/>
        <v>970000</v>
      </c>
      <c r="P14" s="139">
        <v>3960000</v>
      </c>
      <c r="Q14" s="139">
        <f t="shared" si="1"/>
        <v>2990000</v>
      </c>
      <c r="R14" s="215"/>
    </row>
    <row r="15" spans="1:18" s="144" customFormat="1" ht="20.45" customHeight="1" x14ac:dyDescent="0.25">
      <c r="A15" s="211">
        <v>9</v>
      </c>
      <c r="B15" s="328">
        <v>44280</v>
      </c>
      <c r="C15" s="134" t="s">
        <v>2956</v>
      </c>
      <c r="D15" s="211" t="s">
        <v>3591</v>
      </c>
      <c r="E15" s="136" t="s">
        <v>3598</v>
      </c>
      <c r="F15" s="134"/>
      <c r="G15" s="134">
        <v>266</v>
      </c>
      <c r="H15" s="139">
        <f t="shared" si="2"/>
        <v>3830400</v>
      </c>
      <c r="I15" s="134"/>
      <c r="J15" s="139">
        <v>790000</v>
      </c>
      <c r="K15" s="139"/>
      <c r="L15" s="263"/>
      <c r="M15" s="139"/>
      <c r="N15" s="139"/>
      <c r="O15" s="139">
        <f t="shared" si="0"/>
        <v>4620400</v>
      </c>
      <c r="P15" s="139">
        <v>2754545</v>
      </c>
      <c r="Q15" s="139">
        <f t="shared" si="1"/>
        <v>-1865855</v>
      </c>
      <c r="R15" s="215"/>
    </row>
    <row r="16" spans="1:18" s="144" customFormat="1" ht="20.45" customHeight="1" x14ac:dyDescent="0.25">
      <c r="A16" s="211">
        <v>10</v>
      </c>
      <c r="B16" s="328">
        <v>44282</v>
      </c>
      <c r="C16" s="134" t="s">
        <v>3580</v>
      </c>
      <c r="D16" s="211" t="s">
        <v>3592</v>
      </c>
      <c r="E16" s="136" t="s">
        <v>3599</v>
      </c>
      <c r="F16" s="134"/>
      <c r="G16" s="134"/>
      <c r="H16" s="139"/>
      <c r="I16" s="134"/>
      <c r="J16" s="139">
        <v>970000</v>
      </c>
      <c r="K16" s="139"/>
      <c r="L16" s="263"/>
      <c r="M16" s="139"/>
      <c r="N16" s="139"/>
      <c r="O16" s="139">
        <f t="shared" ref="O16:O19" si="3">SUM(H16:N16)</f>
        <v>970000</v>
      </c>
      <c r="P16" s="139">
        <v>3600000</v>
      </c>
      <c r="Q16" s="139">
        <f t="shared" si="1"/>
        <v>2630000</v>
      </c>
      <c r="R16" s="215"/>
    </row>
    <row r="17" spans="1:24" s="144" customFormat="1" ht="20.45" customHeight="1" x14ac:dyDescent="0.25">
      <c r="A17" s="211">
        <v>11</v>
      </c>
      <c r="B17" s="328">
        <v>44283</v>
      </c>
      <c r="C17" s="134" t="s">
        <v>979</v>
      </c>
      <c r="D17" s="211" t="s">
        <v>3593</v>
      </c>
      <c r="E17" s="136" t="s">
        <v>3526</v>
      </c>
      <c r="F17" s="134"/>
      <c r="G17" s="134">
        <v>180</v>
      </c>
      <c r="H17" s="139">
        <f>G17*14240</f>
        <v>2563200</v>
      </c>
      <c r="I17" s="134"/>
      <c r="J17" s="139">
        <v>970000</v>
      </c>
      <c r="K17" s="139"/>
      <c r="L17" s="263"/>
      <c r="M17" s="139"/>
      <c r="N17" s="139"/>
      <c r="O17" s="139">
        <f t="shared" si="3"/>
        <v>3533200</v>
      </c>
      <c r="P17" s="139">
        <v>3845455</v>
      </c>
      <c r="Q17" s="139">
        <f t="shared" si="1"/>
        <v>312255</v>
      </c>
      <c r="R17" s="215"/>
    </row>
    <row r="18" spans="1:24" s="144" customFormat="1" ht="20.45" customHeight="1" x14ac:dyDescent="0.25">
      <c r="A18" s="211">
        <v>12</v>
      </c>
      <c r="B18" s="328">
        <v>44284</v>
      </c>
      <c r="C18" s="134" t="s">
        <v>3581</v>
      </c>
      <c r="D18" s="211" t="s">
        <v>3594</v>
      </c>
      <c r="E18" s="136" t="s">
        <v>80</v>
      </c>
      <c r="F18" s="134"/>
      <c r="G18" s="134"/>
      <c r="H18" s="139"/>
      <c r="I18" s="134"/>
      <c r="J18" s="139">
        <v>790000</v>
      </c>
      <c r="K18" s="139"/>
      <c r="L18" s="263"/>
      <c r="M18" s="139"/>
      <c r="N18" s="139"/>
      <c r="O18" s="139">
        <f t="shared" si="3"/>
        <v>790000</v>
      </c>
      <c r="P18" s="139">
        <v>3400000</v>
      </c>
      <c r="Q18" s="139">
        <f t="shared" ref="Q18:Q19" si="4">P18-O18</f>
        <v>2610000</v>
      </c>
      <c r="R18" s="215"/>
    </row>
    <row r="19" spans="1:24" s="144" customFormat="1" ht="20.45" customHeight="1" x14ac:dyDescent="0.2">
      <c r="A19" s="211">
        <v>13</v>
      </c>
      <c r="B19" s="328">
        <v>44285</v>
      </c>
      <c r="C19" s="134" t="s">
        <v>3582</v>
      </c>
      <c r="D19" s="211" t="s">
        <v>3595</v>
      </c>
      <c r="E19" s="136" t="s">
        <v>508</v>
      </c>
      <c r="F19" s="134"/>
      <c r="G19" s="134"/>
      <c r="H19" s="139"/>
      <c r="I19" s="134"/>
      <c r="J19" s="139">
        <v>970000</v>
      </c>
      <c r="K19" s="139"/>
      <c r="L19" s="263"/>
      <c r="M19" s="139"/>
      <c r="N19" s="139"/>
      <c r="O19" s="139">
        <f t="shared" si="3"/>
        <v>970000</v>
      </c>
      <c r="P19" s="139">
        <v>3445455</v>
      </c>
      <c r="Q19" s="139">
        <f t="shared" si="4"/>
        <v>2475455</v>
      </c>
      <c r="R19" s="302"/>
    </row>
    <row r="20" spans="1:24" s="144" customFormat="1" ht="20.45" customHeight="1" x14ac:dyDescent="0.25">
      <c r="A20" s="211"/>
      <c r="B20" s="328"/>
      <c r="C20" s="134"/>
      <c r="D20" s="211"/>
      <c r="E20" s="136"/>
      <c r="F20" s="134"/>
      <c r="G20" s="134"/>
      <c r="H20" s="139"/>
      <c r="I20" s="134"/>
      <c r="J20" s="139"/>
      <c r="K20" s="139"/>
      <c r="L20" s="263"/>
      <c r="M20" s="139"/>
      <c r="N20" s="139"/>
      <c r="O20" s="139"/>
      <c r="P20" s="139"/>
      <c r="Q20" s="139"/>
      <c r="R20" s="143"/>
      <c r="S20" s="128"/>
      <c r="T20" s="128"/>
      <c r="U20" s="128"/>
      <c r="V20" s="128"/>
      <c r="W20" s="128"/>
      <c r="X20" s="128"/>
    </row>
    <row r="21" spans="1:24" s="144" customFormat="1" ht="20.45" customHeight="1" x14ac:dyDescent="0.25">
      <c r="A21" s="211"/>
      <c r="B21" s="328"/>
      <c r="C21" s="134"/>
      <c r="D21" s="211"/>
      <c r="E21" s="136"/>
      <c r="F21" s="134"/>
      <c r="G21" s="134"/>
      <c r="H21" s="139"/>
      <c r="I21" s="134"/>
      <c r="J21" s="139"/>
      <c r="K21" s="139"/>
      <c r="L21" s="263"/>
      <c r="M21" s="139"/>
      <c r="N21" s="139"/>
      <c r="O21" s="139"/>
      <c r="P21" s="139"/>
      <c r="Q21" s="139"/>
      <c r="R21" s="215"/>
    </row>
    <row r="22" spans="1:24" s="144" customFormat="1" ht="20.45" customHeight="1" x14ac:dyDescent="0.25">
      <c r="A22" s="211"/>
      <c r="B22" s="191"/>
      <c r="C22" s="449" t="s">
        <v>1094</v>
      </c>
      <c r="D22" s="449"/>
      <c r="E22" s="449"/>
      <c r="F22" s="449"/>
      <c r="G22" s="195"/>
      <c r="H22" s="155"/>
      <c r="I22" s="195"/>
      <c r="J22" s="155"/>
      <c r="K22" s="219">
        <v>1200000</v>
      </c>
      <c r="L22" s="263"/>
      <c r="M22" s="139"/>
      <c r="N22" s="139"/>
      <c r="O22" s="139">
        <f>SUM(H22:N22)</f>
        <v>1200000</v>
      </c>
      <c r="P22" s="141"/>
      <c r="Q22" s="139"/>
      <c r="R22" s="215"/>
    </row>
    <row r="23" spans="1:24" s="144" customFormat="1" ht="35.25" customHeight="1" x14ac:dyDescent="0.25">
      <c r="A23" s="211"/>
      <c r="B23" s="191"/>
      <c r="C23" s="440" t="s">
        <v>3602</v>
      </c>
      <c r="D23" s="441"/>
      <c r="E23" s="442"/>
      <c r="F23" s="196"/>
      <c r="G23" s="195"/>
      <c r="H23" s="155"/>
      <c r="I23" s="195"/>
      <c r="J23" s="155"/>
      <c r="K23" s="219"/>
      <c r="L23" s="219">
        <v>35900000</v>
      </c>
      <c r="M23" s="139"/>
      <c r="N23" s="139"/>
      <c r="O23" s="139">
        <f>SUM(H23:N23)</f>
        <v>35900000</v>
      </c>
      <c r="P23" s="141"/>
      <c r="Q23" s="139"/>
      <c r="R23" s="215"/>
    </row>
    <row r="24" spans="1:24" s="144" customFormat="1" ht="35.25" customHeight="1" x14ac:dyDescent="0.25">
      <c r="A24" s="211"/>
      <c r="B24" s="191"/>
      <c r="C24" s="440" t="s">
        <v>3603</v>
      </c>
      <c r="D24" s="441"/>
      <c r="E24" s="442"/>
      <c r="F24" s="196"/>
      <c r="G24" s="195"/>
      <c r="H24" s="155"/>
      <c r="I24" s="195"/>
      <c r="J24" s="155"/>
      <c r="K24" s="219"/>
      <c r="L24" s="219">
        <v>3085000</v>
      </c>
      <c r="M24" s="139"/>
      <c r="N24" s="139"/>
      <c r="O24" s="139">
        <f t="shared" ref="O24:O32" si="5">SUM(H24:N24)</f>
        <v>3085000</v>
      </c>
      <c r="P24" s="141"/>
      <c r="Q24" s="139"/>
      <c r="R24" s="215"/>
    </row>
    <row r="25" spans="1:24" s="144" customFormat="1" ht="35.25" customHeight="1" x14ac:dyDescent="0.25">
      <c r="A25" s="211"/>
      <c r="B25" s="191"/>
      <c r="C25" s="440" t="s">
        <v>3604</v>
      </c>
      <c r="D25" s="441"/>
      <c r="E25" s="442"/>
      <c r="F25" s="196"/>
      <c r="G25" s="195"/>
      <c r="H25" s="155"/>
      <c r="I25" s="195"/>
      <c r="J25" s="155"/>
      <c r="K25" s="219"/>
      <c r="L25" s="219">
        <v>1700000</v>
      </c>
      <c r="M25" s="139"/>
      <c r="N25" s="139"/>
      <c r="O25" s="139">
        <f t="shared" si="5"/>
        <v>1700000</v>
      </c>
      <c r="P25" s="141"/>
      <c r="Q25" s="139"/>
      <c r="R25" s="215"/>
    </row>
    <row r="26" spans="1:24" s="144" customFormat="1" ht="35.25" customHeight="1" x14ac:dyDescent="0.25">
      <c r="A26" s="211"/>
      <c r="B26" s="191"/>
      <c r="C26" s="452" t="s">
        <v>3605</v>
      </c>
      <c r="D26" s="453"/>
      <c r="E26" s="454"/>
      <c r="F26" s="196"/>
      <c r="G26" s="195"/>
      <c r="H26" s="155"/>
      <c r="I26" s="195"/>
      <c r="J26" s="155"/>
      <c r="K26" s="219"/>
      <c r="L26" s="219">
        <v>120000</v>
      </c>
      <c r="M26" s="139"/>
      <c r="N26" s="139"/>
      <c r="O26" s="139">
        <f t="shared" si="5"/>
        <v>120000</v>
      </c>
      <c r="P26" s="141"/>
      <c r="Q26" s="139"/>
      <c r="R26" s="215"/>
    </row>
    <row r="27" spans="1:24" s="144" customFormat="1" ht="20.45" customHeight="1" x14ac:dyDescent="0.25">
      <c r="A27" s="211"/>
      <c r="B27" s="191"/>
      <c r="C27" s="452" t="s">
        <v>3606</v>
      </c>
      <c r="D27" s="453"/>
      <c r="E27" s="454"/>
      <c r="F27" s="196"/>
      <c r="G27" s="195"/>
      <c r="H27" s="155"/>
      <c r="I27" s="195"/>
      <c r="J27" s="155"/>
      <c r="K27" s="219"/>
      <c r="L27" s="219">
        <v>3200000</v>
      </c>
      <c r="M27" s="139"/>
      <c r="N27" s="139"/>
      <c r="O27" s="139">
        <f t="shared" si="5"/>
        <v>3200000</v>
      </c>
      <c r="P27" s="141"/>
      <c r="Q27" s="139"/>
      <c r="R27" s="215"/>
    </row>
    <row r="28" spans="1:24" s="144" customFormat="1" ht="20.45" customHeight="1" x14ac:dyDescent="0.25">
      <c r="A28" s="211"/>
      <c r="B28" s="191"/>
      <c r="C28" s="452" t="s">
        <v>3607</v>
      </c>
      <c r="D28" s="453"/>
      <c r="E28" s="454"/>
      <c r="F28" s="196"/>
      <c r="G28" s="195"/>
      <c r="H28" s="155"/>
      <c r="I28" s="195"/>
      <c r="J28" s="155"/>
      <c r="K28" s="219"/>
      <c r="L28" s="219">
        <v>9800000</v>
      </c>
      <c r="M28" s="139"/>
      <c r="N28" s="139"/>
      <c r="O28" s="139">
        <f t="shared" si="5"/>
        <v>9800000</v>
      </c>
      <c r="P28" s="141"/>
      <c r="Q28" s="139"/>
      <c r="R28" s="215"/>
    </row>
    <row r="29" spans="1:24" s="144" customFormat="1" ht="20.45" customHeight="1" x14ac:dyDescent="0.25">
      <c r="A29" s="211"/>
      <c r="B29" s="191"/>
      <c r="C29" s="452" t="s">
        <v>3608</v>
      </c>
      <c r="D29" s="453"/>
      <c r="E29" s="454"/>
      <c r="F29" s="196"/>
      <c r="G29" s="195"/>
      <c r="H29" s="155"/>
      <c r="I29" s="195"/>
      <c r="J29" s="155"/>
      <c r="K29" s="219"/>
      <c r="L29" s="219">
        <v>1700000</v>
      </c>
      <c r="M29" s="139"/>
      <c r="N29" s="139"/>
      <c r="O29" s="139">
        <f t="shared" si="5"/>
        <v>1700000</v>
      </c>
      <c r="P29" s="141"/>
      <c r="Q29" s="139"/>
      <c r="R29" s="215"/>
    </row>
    <row r="30" spans="1:24" s="144" customFormat="1" ht="20.45" customHeight="1" x14ac:dyDescent="0.25">
      <c r="A30" s="211"/>
      <c r="B30" s="191"/>
      <c r="C30" s="452" t="s">
        <v>3609</v>
      </c>
      <c r="D30" s="453"/>
      <c r="E30" s="454"/>
      <c r="F30" s="196"/>
      <c r="G30" s="195"/>
      <c r="H30" s="155"/>
      <c r="I30" s="195"/>
      <c r="J30" s="155"/>
      <c r="K30" s="219"/>
      <c r="L30" s="219">
        <v>400000</v>
      </c>
      <c r="M30" s="139"/>
      <c r="N30" s="139"/>
      <c r="O30" s="139">
        <f t="shared" si="5"/>
        <v>400000</v>
      </c>
      <c r="P30" s="141"/>
      <c r="Q30" s="139"/>
      <c r="R30" s="215"/>
    </row>
    <row r="31" spans="1:24" s="144" customFormat="1" ht="20.45" customHeight="1" x14ac:dyDescent="0.25">
      <c r="A31" s="211"/>
      <c r="B31" s="191"/>
      <c r="C31" s="452" t="s">
        <v>3610</v>
      </c>
      <c r="D31" s="453"/>
      <c r="E31" s="454"/>
      <c r="F31" s="196"/>
      <c r="G31" s="195"/>
      <c r="H31" s="155"/>
      <c r="I31" s="195"/>
      <c r="J31" s="155"/>
      <c r="K31" s="219"/>
      <c r="L31" s="219">
        <v>1100000</v>
      </c>
      <c r="M31" s="139"/>
      <c r="N31" s="139"/>
      <c r="O31" s="139">
        <f t="shared" si="5"/>
        <v>1100000</v>
      </c>
      <c r="P31" s="141"/>
      <c r="Q31" s="139"/>
      <c r="R31" s="215"/>
    </row>
    <row r="32" spans="1:24" s="144" customFormat="1" ht="20.45" customHeight="1" x14ac:dyDescent="0.25">
      <c r="A32" s="211"/>
      <c r="B32" s="191"/>
      <c r="C32" s="452" t="s">
        <v>3611</v>
      </c>
      <c r="D32" s="453"/>
      <c r="E32" s="454"/>
      <c r="F32" s="196"/>
      <c r="G32" s="195"/>
      <c r="H32" s="155"/>
      <c r="I32" s="195"/>
      <c r="J32" s="155"/>
      <c r="K32" s="219"/>
      <c r="L32" s="219">
        <v>2000000</v>
      </c>
      <c r="M32" s="139"/>
      <c r="N32" s="139"/>
      <c r="O32" s="139">
        <f t="shared" si="5"/>
        <v>2000000</v>
      </c>
      <c r="P32" s="141"/>
      <c r="Q32" s="139"/>
      <c r="R32" s="215"/>
    </row>
    <row r="33" spans="1:19" s="159" customFormat="1" ht="20.45" customHeight="1" x14ac:dyDescent="0.25">
      <c r="A33" s="211"/>
      <c r="B33" s="165"/>
      <c r="C33" s="449" t="s">
        <v>1337</v>
      </c>
      <c r="D33" s="449"/>
      <c r="E33" s="449"/>
      <c r="F33" s="449"/>
      <c r="G33" s="195"/>
      <c r="H33" s="155"/>
      <c r="I33" s="195"/>
      <c r="J33" s="155"/>
      <c r="K33" s="219">
        <f>11/26*9000000</f>
        <v>3807692.3076923075</v>
      </c>
      <c r="L33" s="155"/>
      <c r="M33" s="155"/>
      <c r="N33" s="155"/>
      <c r="O33" s="139">
        <f>SUM(H33:N33)</f>
        <v>3807692.3076923075</v>
      </c>
      <c r="P33" s="139"/>
      <c r="Q33" s="139"/>
    </row>
    <row r="34" spans="1:19" s="159" customFormat="1" ht="20.45" customHeight="1" x14ac:dyDescent="0.25">
      <c r="A34" s="211"/>
      <c r="B34" s="165"/>
      <c r="C34" s="449"/>
      <c r="D34" s="449"/>
      <c r="E34" s="449"/>
      <c r="F34" s="449"/>
      <c r="G34" s="195"/>
      <c r="H34" s="155"/>
      <c r="I34" s="195"/>
      <c r="J34" s="155"/>
      <c r="K34" s="157"/>
      <c r="L34" s="157"/>
      <c r="M34" s="155"/>
      <c r="N34" s="155"/>
      <c r="O34" s="139"/>
      <c r="P34" s="139"/>
      <c r="Q34" s="139"/>
      <c r="R34" s="215"/>
    </row>
    <row r="35" spans="1:19" ht="20.45" customHeight="1" x14ac:dyDescent="0.25">
      <c r="A35" s="450" t="s">
        <v>20</v>
      </c>
      <c r="B35" s="450"/>
      <c r="C35" s="450"/>
      <c r="D35" s="450"/>
      <c r="E35" s="450"/>
      <c r="F35" s="450"/>
      <c r="G35" s="334">
        <f>SUM(G7:G34)</f>
        <v>1230</v>
      </c>
      <c r="H35" s="334">
        <f>SUM(H7:H34)</f>
        <v>17683200</v>
      </c>
      <c r="I35" s="334">
        <f t="shared" ref="I35:N35" si="6">SUM(I7:I34)</f>
        <v>0</v>
      </c>
      <c r="J35" s="334">
        <f>SUM(J7:J34)</f>
        <v>11780000</v>
      </c>
      <c r="K35" s="334">
        <f>SUM(K7:K34)</f>
        <v>5007692.307692308</v>
      </c>
      <c r="L35" s="334">
        <f t="shared" si="6"/>
        <v>59005000</v>
      </c>
      <c r="M35" s="334">
        <f t="shared" si="6"/>
        <v>0</v>
      </c>
      <c r="N35" s="334">
        <f t="shared" si="6"/>
        <v>0</v>
      </c>
      <c r="O35" s="334">
        <f>SUM(O7:O34)</f>
        <v>93475892.307692304</v>
      </c>
      <c r="P35" s="334">
        <f>SUM(P7:P34)</f>
        <v>47583637</v>
      </c>
      <c r="Q35" s="335">
        <f>P35-O35</f>
        <v>-45892255.307692304</v>
      </c>
    </row>
    <row r="36" spans="1:19" ht="24.95" customHeight="1" x14ac:dyDescent="0.25">
      <c r="O36" s="158"/>
      <c r="Q36" s="158"/>
    </row>
    <row r="37" spans="1:19" ht="13.9" customHeight="1" x14ac:dyDescent="0.25">
      <c r="P37" s="216" t="s">
        <v>1603</v>
      </c>
      <c r="Q37" s="227">
        <f>'02.2021'!Q20+'03.2021'!Q35</f>
        <v>-14783433.384615388</v>
      </c>
      <c r="S37" s="216"/>
    </row>
    <row r="38" spans="1:19" ht="13.9" customHeight="1" x14ac:dyDescent="0.25">
      <c r="B38" s="129"/>
      <c r="J38" s="128"/>
      <c r="K38" s="128"/>
      <c r="L38" s="128"/>
      <c r="N38" s="128"/>
      <c r="O38" s="128"/>
      <c r="P38" s="218"/>
      <c r="Q38" s="216"/>
    </row>
    <row r="39" spans="1:19" ht="13.9" customHeight="1" x14ac:dyDescent="0.25">
      <c r="B39" s="129"/>
      <c r="H39" s="128"/>
      <c r="J39" s="128"/>
      <c r="K39" s="128"/>
      <c r="L39" s="128"/>
      <c r="M39" s="128"/>
      <c r="N39" s="128"/>
      <c r="O39" s="128"/>
      <c r="P39" s="218"/>
      <c r="Q39" s="230"/>
    </row>
    <row r="40" spans="1:19" ht="13.9" customHeight="1" x14ac:dyDescent="0.25">
      <c r="B40" s="129"/>
      <c r="H40" s="128"/>
      <c r="J40" s="128"/>
      <c r="K40" s="128"/>
      <c r="L40" s="128"/>
      <c r="M40" s="128"/>
      <c r="N40" s="128"/>
      <c r="O40" s="128"/>
      <c r="P40" s="218"/>
      <c r="Q40" s="230"/>
      <c r="R40" s="143"/>
    </row>
    <row r="41" spans="1:19" ht="13.9" customHeight="1" x14ac:dyDescent="0.25">
      <c r="B41" s="129"/>
      <c r="H41" s="128"/>
      <c r="J41" s="128"/>
      <c r="K41" s="128"/>
      <c r="L41" s="128"/>
      <c r="M41" s="128"/>
      <c r="N41" s="128"/>
      <c r="O41" s="128"/>
      <c r="P41" s="218"/>
      <c r="Q41" s="216"/>
      <c r="R41" s="143"/>
    </row>
    <row r="42" spans="1:19" x14ac:dyDescent="0.25">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8"/>
      <c r="H45" s="128"/>
      <c r="J45" s="128"/>
      <c r="K45" s="128"/>
      <c r="L45" s="128"/>
      <c r="M45" s="128"/>
      <c r="N45" s="128"/>
      <c r="O45" s="128"/>
      <c r="P45" s="128"/>
      <c r="Q45" s="216"/>
    </row>
    <row r="46" spans="1:19" x14ac:dyDescent="0.25">
      <c r="A46" s="128"/>
      <c r="B46" s="128"/>
      <c r="H46" s="128"/>
      <c r="J46" s="128"/>
      <c r="K46" s="128"/>
      <c r="L46" s="128"/>
      <c r="M46" s="128"/>
      <c r="N46" s="128"/>
      <c r="O46" s="128"/>
      <c r="P46" s="128"/>
      <c r="Q46" s="216"/>
    </row>
  </sheetData>
  <mergeCells count="27">
    <mergeCell ref="C32:E32"/>
    <mergeCell ref="A35:F35"/>
    <mergeCell ref="O5:O6"/>
    <mergeCell ref="P5:P6"/>
    <mergeCell ref="Q5:Q6"/>
    <mergeCell ref="C22:F22"/>
    <mergeCell ref="C33:F33"/>
    <mergeCell ref="C34:F34"/>
    <mergeCell ref="C23:E23"/>
    <mergeCell ref="C24:E24"/>
    <mergeCell ref="C25:E25"/>
    <mergeCell ref="C26:E26"/>
    <mergeCell ref="C27:E27"/>
    <mergeCell ref="C28:E28"/>
    <mergeCell ref="C29:E29"/>
    <mergeCell ref="C30:E30"/>
    <mergeCell ref="C31:E31"/>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61"/>
  <sheetViews>
    <sheetView topLeftCell="A36" zoomScaleNormal="100" workbookViewId="0">
      <selection activeCell="P49" sqref="P49"/>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3612</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44286</v>
      </c>
      <c r="C8" s="134" t="s">
        <v>3613</v>
      </c>
      <c r="D8" s="211" t="s">
        <v>3636</v>
      </c>
      <c r="E8" s="136" t="s">
        <v>3661</v>
      </c>
      <c r="F8" s="134"/>
      <c r="G8" s="134">
        <v>310</v>
      </c>
      <c r="H8" s="139">
        <f>G8*14240</f>
        <v>4414400</v>
      </c>
      <c r="I8" s="134"/>
      <c r="J8" s="139">
        <v>1250000</v>
      </c>
      <c r="K8" s="139"/>
      <c r="L8" s="263"/>
      <c r="M8" s="139"/>
      <c r="N8" s="139"/>
      <c r="O8" s="139">
        <f>SUM(H8:N8)</f>
        <v>5664400</v>
      </c>
      <c r="P8" s="139">
        <v>4500000</v>
      </c>
      <c r="Q8" s="139">
        <f>P8-O8</f>
        <v>-1164400</v>
      </c>
      <c r="R8" s="215"/>
    </row>
    <row r="9" spans="1:18" s="144" customFormat="1" ht="20.45" customHeight="1" x14ac:dyDescent="0.25">
      <c r="A9" s="211">
        <v>2</v>
      </c>
      <c r="B9" s="328">
        <v>44287</v>
      </c>
      <c r="C9" s="134" t="s">
        <v>3614</v>
      </c>
      <c r="D9" s="211" t="s">
        <v>3636</v>
      </c>
      <c r="E9" s="136" t="s">
        <v>3662</v>
      </c>
      <c r="F9" s="134"/>
      <c r="G9" s="134"/>
      <c r="H9" s="139">
        <f t="shared" ref="H9:H18" si="0">G9*14240</f>
        <v>0</v>
      </c>
      <c r="I9" s="134"/>
      <c r="J9" s="139">
        <v>300000</v>
      </c>
      <c r="K9" s="139"/>
      <c r="L9" s="263"/>
      <c r="M9" s="139"/>
      <c r="N9" s="139"/>
      <c r="O9" s="139">
        <f>SUM(H9:N9)</f>
        <v>300000</v>
      </c>
      <c r="P9" s="139">
        <v>1800000</v>
      </c>
      <c r="Q9" s="139">
        <f t="shared" ref="Q9:Q25" si="1">P9-O9</f>
        <v>1500000</v>
      </c>
      <c r="R9" s="215"/>
    </row>
    <row r="10" spans="1:18" s="144" customFormat="1" ht="20.45" customHeight="1" x14ac:dyDescent="0.25">
      <c r="A10" s="211">
        <v>3</v>
      </c>
      <c r="B10" s="328">
        <v>44287</v>
      </c>
      <c r="C10" s="134" t="s">
        <v>3615</v>
      </c>
      <c r="D10" s="211" t="s">
        <v>3637</v>
      </c>
      <c r="E10" s="136" t="s">
        <v>25</v>
      </c>
      <c r="F10" s="134"/>
      <c r="G10" s="134"/>
      <c r="H10" s="139">
        <f t="shared" si="0"/>
        <v>0</v>
      </c>
      <c r="I10" s="134"/>
      <c r="J10" s="139">
        <v>1890000</v>
      </c>
      <c r="K10" s="139"/>
      <c r="L10" s="263"/>
      <c r="M10" s="139"/>
      <c r="N10" s="139"/>
      <c r="O10" s="139">
        <f t="shared" ref="O10:O25" si="2">SUM(H10:N10)</f>
        <v>1890000</v>
      </c>
      <c r="P10" s="139">
        <v>7663636</v>
      </c>
      <c r="Q10" s="139">
        <f t="shared" si="1"/>
        <v>5773636</v>
      </c>
      <c r="R10" s="215"/>
    </row>
    <row r="11" spans="1:18" s="144" customFormat="1" ht="20.45" customHeight="1" x14ac:dyDescent="0.25">
      <c r="A11" s="211">
        <v>4</v>
      </c>
      <c r="B11" s="328">
        <v>44288</v>
      </c>
      <c r="C11" s="134" t="s">
        <v>3616</v>
      </c>
      <c r="D11" s="211" t="s">
        <v>3638</v>
      </c>
      <c r="E11" s="136" t="s">
        <v>1937</v>
      </c>
      <c r="F11" s="134"/>
      <c r="G11" s="134">
        <v>270</v>
      </c>
      <c r="H11" s="139">
        <f t="shared" si="0"/>
        <v>3844800</v>
      </c>
      <c r="I11" s="134"/>
      <c r="J11" s="139">
        <v>1150000</v>
      </c>
      <c r="K11" s="139"/>
      <c r="L11" s="263"/>
      <c r="M11" s="139"/>
      <c r="N11" s="139"/>
      <c r="O11" s="139">
        <f t="shared" si="2"/>
        <v>4994800</v>
      </c>
      <c r="P11" s="139">
        <v>3760000</v>
      </c>
      <c r="Q11" s="139">
        <f t="shared" si="1"/>
        <v>-1234800</v>
      </c>
      <c r="R11" s="215"/>
    </row>
    <row r="12" spans="1:18" s="144" customFormat="1" ht="20.45" customHeight="1" x14ac:dyDescent="0.25">
      <c r="A12" s="211">
        <v>5</v>
      </c>
      <c r="B12" s="328">
        <v>44290</v>
      </c>
      <c r="C12" s="134" t="s">
        <v>3617</v>
      </c>
      <c r="D12" s="211" t="s">
        <v>3639</v>
      </c>
      <c r="E12" s="136" t="s">
        <v>3663</v>
      </c>
      <c r="F12" s="134"/>
      <c r="G12" s="134"/>
      <c r="H12" s="139">
        <f t="shared" si="0"/>
        <v>0</v>
      </c>
      <c r="I12" s="134"/>
      <c r="J12" s="139">
        <v>3820000</v>
      </c>
      <c r="K12" s="139"/>
      <c r="L12" s="263"/>
      <c r="M12" s="139"/>
      <c r="N12" s="139"/>
      <c r="O12" s="139">
        <f t="shared" si="2"/>
        <v>3820000</v>
      </c>
      <c r="P12" s="139">
        <v>17181818</v>
      </c>
      <c r="Q12" s="139">
        <f t="shared" si="1"/>
        <v>13361818</v>
      </c>
      <c r="R12" s="215"/>
    </row>
    <row r="13" spans="1:18" s="144" customFormat="1" ht="20.45" customHeight="1" x14ac:dyDescent="0.25">
      <c r="A13" s="211">
        <v>6</v>
      </c>
      <c r="B13" s="328">
        <v>44291</v>
      </c>
      <c r="C13" s="134" t="s">
        <v>3618</v>
      </c>
      <c r="D13" s="211" t="s">
        <v>3640</v>
      </c>
      <c r="E13" s="136" t="s">
        <v>3664</v>
      </c>
      <c r="F13" s="134"/>
      <c r="G13" s="134">
        <v>325</v>
      </c>
      <c r="H13" s="139">
        <f t="shared" si="0"/>
        <v>4628000</v>
      </c>
      <c r="I13" s="134"/>
      <c r="J13" s="139">
        <v>1000000</v>
      </c>
      <c r="K13" s="139"/>
      <c r="L13" s="263"/>
      <c r="M13" s="139"/>
      <c r="N13" s="139"/>
      <c r="O13" s="139">
        <f t="shared" si="2"/>
        <v>5628000</v>
      </c>
      <c r="P13" s="139">
        <v>6800000</v>
      </c>
      <c r="Q13" s="139">
        <f t="shared" si="1"/>
        <v>1172000</v>
      </c>
      <c r="R13" s="215"/>
    </row>
    <row r="14" spans="1:18" s="144" customFormat="1" ht="20.45" customHeight="1" x14ac:dyDescent="0.25">
      <c r="A14" s="211">
        <v>7</v>
      </c>
      <c r="B14" s="328">
        <v>44292</v>
      </c>
      <c r="C14" s="134" t="s">
        <v>3619</v>
      </c>
      <c r="D14" s="211" t="s">
        <v>3641</v>
      </c>
      <c r="E14" s="136" t="s">
        <v>3277</v>
      </c>
      <c r="F14" s="134"/>
      <c r="G14" s="134"/>
      <c r="H14" s="139">
        <f t="shared" si="0"/>
        <v>0</v>
      </c>
      <c r="I14" s="134"/>
      <c r="J14" s="139">
        <v>970000</v>
      </c>
      <c r="K14" s="139"/>
      <c r="L14" s="263"/>
      <c r="M14" s="139"/>
      <c r="N14" s="139"/>
      <c r="O14" s="139">
        <f t="shared" si="2"/>
        <v>970000</v>
      </c>
      <c r="P14" s="139">
        <v>3760000</v>
      </c>
      <c r="Q14" s="139">
        <f t="shared" si="1"/>
        <v>2790000</v>
      </c>
      <c r="R14" s="215"/>
    </row>
    <row r="15" spans="1:18" s="144" customFormat="1" ht="20.45" customHeight="1" x14ac:dyDescent="0.25">
      <c r="A15" s="211">
        <v>8</v>
      </c>
      <c r="B15" s="328">
        <v>44292</v>
      </c>
      <c r="C15" s="134" t="s">
        <v>3620</v>
      </c>
      <c r="D15" s="211" t="s">
        <v>3641</v>
      </c>
      <c r="E15" s="136" t="s">
        <v>3665</v>
      </c>
      <c r="F15" s="134"/>
      <c r="G15" s="134"/>
      <c r="H15" s="139">
        <f t="shared" si="0"/>
        <v>0</v>
      </c>
      <c r="I15" s="134"/>
      <c r="J15" s="139">
        <v>390000</v>
      </c>
      <c r="K15" s="139"/>
      <c r="L15" s="263"/>
      <c r="M15" s="139"/>
      <c r="N15" s="139"/>
      <c r="O15" s="139">
        <f t="shared" si="2"/>
        <v>390000</v>
      </c>
      <c r="P15" s="139">
        <v>1800000</v>
      </c>
      <c r="Q15" s="139">
        <f t="shared" si="1"/>
        <v>1410000</v>
      </c>
      <c r="R15" s="215"/>
    </row>
    <row r="16" spans="1:18" s="144" customFormat="1" ht="20.45" customHeight="1" x14ac:dyDescent="0.25">
      <c r="A16" s="211">
        <v>9</v>
      </c>
      <c r="B16" s="328">
        <v>44293</v>
      </c>
      <c r="C16" s="134" t="s">
        <v>3621</v>
      </c>
      <c r="D16" s="211" t="s">
        <v>3642</v>
      </c>
      <c r="E16" s="136" t="s">
        <v>80</v>
      </c>
      <c r="F16" s="134"/>
      <c r="G16" s="134">
        <v>275</v>
      </c>
      <c r="H16" s="139">
        <f t="shared" si="0"/>
        <v>3916000</v>
      </c>
      <c r="I16" s="134"/>
      <c r="J16" s="139">
        <v>790000</v>
      </c>
      <c r="K16" s="139"/>
      <c r="L16" s="263"/>
      <c r="M16" s="139"/>
      <c r="N16" s="139"/>
      <c r="O16" s="139">
        <f t="shared" si="2"/>
        <v>4706000</v>
      </c>
      <c r="P16" s="139">
        <v>3400000</v>
      </c>
      <c r="Q16" s="139">
        <f t="shared" si="1"/>
        <v>-1306000</v>
      </c>
      <c r="R16" s="215"/>
    </row>
    <row r="17" spans="1:18" s="144" customFormat="1" ht="20.45" customHeight="1" x14ac:dyDescent="0.25">
      <c r="A17" s="211">
        <v>10</v>
      </c>
      <c r="B17" s="328">
        <v>44294</v>
      </c>
      <c r="C17" s="134" t="s">
        <v>3622</v>
      </c>
      <c r="D17" s="211" t="s">
        <v>3643</v>
      </c>
      <c r="E17" s="136" t="s">
        <v>2883</v>
      </c>
      <c r="F17" s="134"/>
      <c r="G17" s="134"/>
      <c r="H17" s="139">
        <f t="shared" si="0"/>
        <v>0</v>
      </c>
      <c r="I17" s="134"/>
      <c r="J17" s="139">
        <v>790000</v>
      </c>
      <c r="K17" s="139"/>
      <c r="L17" s="263"/>
      <c r="M17" s="139"/>
      <c r="N17" s="139"/>
      <c r="O17" s="139">
        <f t="shared" si="2"/>
        <v>790000</v>
      </c>
      <c r="P17" s="139">
        <v>2954545</v>
      </c>
      <c r="Q17" s="139">
        <f t="shared" si="1"/>
        <v>2164545</v>
      </c>
      <c r="R17" s="215"/>
    </row>
    <row r="18" spans="1:18" s="144" customFormat="1" ht="20.45" customHeight="1" x14ac:dyDescent="0.25">
      <c r="A18" s="211">
        <v>11</v>
      </c>
      <c r="B18" s="328">
        <v>44298</v>
      </c>
      <c r="C18" s="134" t="s">
        <v>3623</v>
      </c>
      <c r="D18" s="211" t="s">
        <v>3644</v>
      </c>
      <c r="E18" s="136" t="s">
        <v>3666</v>
      </c>
      <c r="F18" s="134"/>
      <c r="G18" s="134">
        <v>312</v>
      </c>
      <c r="H18" s="139">
        <f t="shared" si="0"/>
        <v>4442880</v>
      </c>
      <c r="I18" s="134"/>
      <c r="J18" s="139">
        <v>1150000</v>
      </c>
      <c r="K18" s="139"/>
      <c r="L18" s="263"/>
      <c r="M18" s="139"/>
      <c r="N18" s="139"/>
      <c r="O18" s="139">
        <f t="shared" si="2"/>
        <v>5592880</v>
      </c>
      <c r="P18" s="139">
        <v>5300000</v>
      </c>
      <c r="Q18" s="139">
        <f t="shared" si="1"/>
        <v>-292880</v>
      </c>
      <c r="R18" s="215"/>
    </row>
    <row r="19" spans="1:18" s="144" customFormat="1" ht="20.45" customHeight="1" x14ac:dyDescent="0.25">
      <c r="A19" s="211">
        <v>12</v>
      </c>
      <c r="B19" s="328">
        <v>44298</v>
      </c>
      <c r="C19" s="134" t="s">
        <v>3624</v>
      </c>
      <c r="D19" s="211" t="s">
        <v>3645</v>
      </c>
      <c r="E19" s="136" t="s">
        <v>25</v>
      </c>
      <c r="F19" s="134"/>
      <c r="G19" s="134">
        <v>190</v>
      </c>
      <c r="H19" s="139">
        <f>G19*14140</f>
        <v>2686600</v>
      </c>
      <c r="I19" s="134"/>
      <c r="J19" s="139">
        <v>1890000</v>
      </c>
      <c r="K19" s="139"/>
      <c r="L19" s="263"/>
      <c r="M19" s="139"/>
      <c r="N19" s="139"/>
      <c r="O19" s="139">
        <f t="shared" si="2"/>
        <v>4576600</v>
      </c>
      <c r="P19" s="139">
        <v>7663636</v>
      </c>
      <c r="Q19" s="139">
        <f t="shared" si="1"/>
        <v>3087036</v>
      </c>
      <c r="R19" s="215"/>
    </row>
    <row r="20" spans="1:18" s="144" customFormat="1" ht="20.45" customHeight="1" x14ac:dyDescent="0.25">
      <c r="A20" s="211">
        <v>13</v>
      </c>
      <c r="B20" s="328">
        <v>44298</v>
      </c>
      <c r="C20" s="134" t="s">
        <v>3625</v>
      </c>
      <c r="D20" s="211" t="s">
        <v>3646</v>
      </c>
      <c r="E20" s="136" t="s">
        <v>3667</v>
      </c>
      <c r="F20" s="134"/>
      <c r="G20" s="134"/>
      <c r="H20" s="139">
        <f t="shared" ref="H20:H33" si="3">G20*14140</f>
        <v>0</v>
      </c>
      <c r="I20" s="134"/>
      <c r="J20" s="139">
        <v>790000</v>
      </c>
      <c r="K20" s="139"/>
      <c r="L20" s="263"/>
      <c r="M20" s="139"/>
      <c r="N20" s="139"/>
      <c r="O20" s="139">
        <f t="shared" si="2"/>
        <v>790000</v>
      </c>
      <c r="P20" s="139">
        <v>3800000</v>
      </c>
      <c r="Q20" s="139">
        <f t="shared" si="1"/>
        <v>3010000</v>
      </c>
      <c r="R20" s="215"/>
    </row>
    <row r="21" spans="1:18" s="144" customFormat="1" ht="20.45" customHeight="1" x14ac:dyDescent="0.25">
      <c r="A21" s="211">
        <v>14</v>
      </c>
      <c r="B21" s="328">
        <v>44298</v>
      </c>
      <c r="C21" s="134" t="s">
        <v>3626</v>
      </c>
      <c r="D21" s="211" t="s">
        <v>3647</v>
      </c>
      <c r="E21" s="136" t="s">
        <v>3668</v>
      </c>
      <c r="F21" s="134"/>
      <c r="G21" s="134">
        <v>218</v>
      </c>
      <c r="H21" s="139">
        <f t="shared" si="3"/>
        <v>3082520</v>
      </c>
      <c r="I21" s="134"/>
      <c r="J21" s="139">
        <f>970000+180000</f>
        <v>1150000</v>
      </c>
      <c r="K21" s="139"/>
      <c r="L21" s="263"/>
      <c r="M21" s="139"/>
      <c r="N21" s="139"/>
      <c r="O21" s="139">
        <f t="shared" si="2"/>
        <v>4232520</v>
      </c>
      <c r="P21" s="139">
        <v>3954545</v>
      </c>
      <c r="Q21" s="139">
        <f t="shared" si="1"/>
        <v>-277975</v>
      </c>
      <c r="R21" s="215"/>
    </row>
    <row r="22" spans="1:18" s="144" customFormat="1" ht="20.45" customHeight="1" x14ac:dyDescent="0.25">
      <c r="A22" s="211">
        <v>15</v>
      </c>
      <c r="B22" s="328">
        <v>44300</v>
      </c>
      <c r="C22" s="134" t="s">
        <v>3627</v>
      </c>
      <c r="D22" s="211" t="s">
        <v>3648</v>
      </c>
      <c r="E22" s="136" t="s">
        <v>1170</v>
      </c>
      <c r="F22" s="134"/>
      <c r="G22" s="134"/>
      <c r="H22" s="139">
        <f t="shared" si="3"/>
        <v>0</v>
      </c>
      <c r="I22" s="134"/>
      <c r="J22" s="139">
        <v>2740000</v>
      </c>
      <c r="K22" s="139"/>
      <c r="L22" s="263"/>
      <c r="M22" s="139"/>
      <c r="N22" s="139"/>
      <c r="O22" s="139">
        <f t="shared" si="2"/>
        <v>2740000</v>
      </c>
      <c r="P22" s="139">
        <v>7772727</v>
      </c>
      <c r="Q22" s="139">
        <f t="shared" si="1"/>
        <v>5032727</v>
      </c>
      <c r="R22" s="215"/>
    </row>
    <row r="23" spans="1:18" s="144" customFormat="1" ht="20.45" customHeight="1" x14ac:dyDescent="0.25">
      <c r="A23" s="211">
        <v>16</v>
      </c>
      <c r="B23" s="328">
        <v>44300</v>
      </c>
      <c r="C23" s="134" t="s">
        <v>3628</v>
      </c>
      <c r="D23" s="211" t="s">
        <v>3649</v>
      </c>
      <c r="E23" s="136" t="s">
        <v>23</v>
      </c>
      <c r="F23" s="134"/>
      <c r="G23" s="134"/>
      <c r="H23" s="139">
        <f t="shared" si="3"/>
        <v>0</v>
      </c>
      <c r="I23" s="134"/>
      <c r="J23" s="139">
        <v>300000</v>
      </c>
      <c r="K23" s="139"/>
      <c r="L23" s="263"/>
      <c r="M23" s="139"/>
      <c r="N23" s="139"/>
      <c r="O23" s="139">
        <f t="shared" si="2"/>
        <v>300000</v>
      </c>
      <c r="P23" s="139">
        <v>7500000</v>
      </c>
      <c r="Q23" s="139">
        <f t="shared" si="1"/>
        <v>7200000</v>
      </c>
      <c r="R23" s="215"/>
    </row>
    <row r="24" spans="1:18" s="144" customFormat="1" ht="20.45" customHeight="1" x14ac:dyDescent="0.25">
      <c r="A24" s="211">
        <v>17</v>
      </c>
      <c r="B24" s="328">
        <v>44302</v>
      </c>
      <c r="C24" s="134" t="s">
        <v>3629</v>
      </c>
      <c r="D24" s="211" t="s">
        <v>3650</v>
      </c>
      <c r="E24" s="136" t="s">
        <v>291</v>
      </c>
      <c r="F24" s="134"/>
      <c r="G24" s="134">
        <v>280</v>
      </c>
      <c r="H24" s="139">
        <f t="shared" si="3"/>
        <v>3959200</v>
      </c>
      <c r="I24" s="134"/>
      <c r="J24" s="139">
        <v>1150000</v>
      </c>
      <c r="K24" s="139"/>
      <c r="L24" s="263"/>
      <c r="M24" s="139"/>
      <c r="N24" s="139"/>
      <c r="O24" s="139">
        <f t="shared" si="2"/>
        <v>5109200</v>
      </c>
      <c r="P24" s="139">
        <v>3700000</v>
      </c>
      <c r="Q24" s="139">
        <f t="shared" si="1"/>
        <v>-1409200</v>
      </c>
      <c r="R24" s="215"/>
    </row>
    <row r="25" spans="1:18" s="144" customFormat="1" ht="20.45" customHeight="1" x14ac:dyDescent="0.25">
      <c r="A25" s="211">
        <v>18</v>
      </c>
      <c r="B25" s="328">
        <v>44302</v>
      </c>
      <c r="C25" s="134" t="s">
        <v>3630</v>
      </c>
      <c r="D25" s="211" t="s">
        <v>3651</v>
      </c>
      <c r="E25" s="136" t="s">
        <v>3221</v>
      </c>
      <c r="F25" s="134"/>
      <c r="G25" s="134"/>
      <c r="H25" s="139">
        <f t="shared" si="3"/>
        <v>0</v>
      </c>
      <c r="I25" s="134"/>
      <c r="J25" s="139">
        <v>970000</v>
      </c>
      <c r="K25" s="139"/>
      <c r="L25" s="263"/>
      <c r="M25" s="139"/>
      <c r="N25" s="139"/>
      <c r="O25" s="139">
        <f t="shared" si="2"/>
        <v>970000</v>
      </c>
      <c r="P25" s="139">
        <v>3500000</v>
      </c>
      <c r="Q25" s="139">
        <f t="shared" si="1"/>
        <v>2530000</v>
      </c>
      <c r="R25" s="215"/>
    </row>
    <row r="26" spans="1:18" s="144" customFormat="1" ht="20.45" customHeight="1" x14ac:dyDescent="0.25">
      <c r="A26" s="211">
        <v>19</v>
      </c>
      <c r="B26" s="328">
        <v>44303</v>
      </c>
      <c r="C26" s="134" t="s">
        <v>3631</v>
      </c>
      <c r="D26" s="211" t="s">
        <v>3652</v>
      </c>
      <c r="E26" s="136" t="s">
        <v>80</v>
      </c>
      <c r="F26" s="134"/>
      <c r="G26" s="134">
        <v>294</v>
      </c>
      <c r="H26" s="139">
        <f t="shared" si="3"/>
        <v>4157160</v>
      </c>
      <c r="I26" s="134"/>
      <c r="J26" s="139">
        <v>790000</v>
      </c>
      <c r="K26" s="139"/>
      <c r="L26" s="263"/>
      <c r="M26" s="139"/>
      <c r="N26" s="139"/>
      <c r="O26" s="139">
        <f t="shared" ref="O26:O35" si="4">SUM(H26:N26)</f>
        <v>4947160</v>
      </c>
      <c r="P26" s="139">
        <v>3400000</v>
      </c>
      <c r="Q26" s="139">
        <f t="shared" ref="Q26:Q35" si="5">P26-O26</f>
        <v>-1547160</v>
      </c>
      <c r="R26" s="215"/>
    </row>
    <row r="27" spans="1:18" s="144" customFormat="1" ht="20.45" customHeight="1" x14ac:dyDescent="0.25">
      <c r="A27" s="211">
        <v>20</v>
      </c>
      <c r="B27" s="328">
        <v>44305</v>
      </c>
      <c r="C27" s="134" t="s">
        <v>3632</v>
      </c>
      <c r="D27" s="211" t="s">
        <v>3653</v>
      </c>
      <c r="E27" s="136" t="s">
        <v>291</v>
      </c>
      <c r="F27" s="134"/>
      <c r="G27" s="134"/>
      <c r="H27" s="139">
        <f t="shared" si="3"/>
        <v>0</v>
      </c>
      <c r="I27" s="134"/>
      <c r="J27" s="139">
        <v>1150000</v>
      </c>
      <c r="K27" s="139"/>
      <c r="L27" s="263"/>
      <c r="M27" s="139"/>
      <c r="N27" s="139"/>
      <c r="O27" s="139">
        <f t="shared" si="4"/>
        <v>1150000</v>
      </c>
      <c r="P27" s="139">
        <v>3700000</v>
      </c>
      <c r="Q27" s="139">
        <f t="shared" si="5"/>
        <v>2550000</v>
      </c>
      <c r="R27" s="215"/>
    </row>
    <row r="28" spans="1:18" s="144" customFormat="1" ht="20.45" customHeight="1" x14ac:dyDescent="0.25">
      <c r="A28" s="211">
        <v>21</v>
      </c>
      <c r="B28" s="328">
        <v>44305</v>
      </c>
      <c r="C28" s="134" t="s">
        <v>3633</v>
      </c>
      <c r="D28" s="211" t="s">
        <v>3654</v>
      </c>
      <c r="E28" s="136" t="s">
        <v>3221</v>
      </c>
      <c r="F28" s="134"/>
      <c r="G28" s="134">
        <v>178</v>
      </c>
      <c r="H28" s="139">
        <f t="shared" si="3"/>
        <v>2516920</v>
      </c>
      <c r="I28" s="134"/>
      <c r="J28" s="139">
        <v>970000</v>
      </c>
      <c r="K28" s="139"/>
      <c r="L28" s="263"/>
      <c r="M28" s="139"/>
      <c r="N28" s="139"/>
      <c r="O28" s="139">
        <f t="shared" si="4"/>
        <v>3486920</v>
      </c>
      <c r="P28" s="139">
        <v>3645455</v>
      </c>
      <c r="Q28" s="139">
        <f t="shared" si="5"/>
        <v>158535</v>
      </c>
      <c r="R28" s="215"/>
    </row>
    <row r="29" spans="1:18" s="144" customFormat="1" ht="20.45" customHeight="1" x14ac:dyDescent="0.25">
      <c r="A29" s="211">
        <v>22</v>
      </c>
      <c r="B29" s="328">
        <v>44306</v>
      </c>
      <c r="C29" s="134" t="s">
        <v>3008</v>
      </c>
      <c r="D29" s="211" t="s">
        <v>3655</v>
      </c>
      <c r="E29" s="136" t="s">
        <v>279</v>
      </c>
      <c r="F29" s="134"/>
      <c r="G29" s="134"/>
      <c r="H29" s="139">
        <f t="shared" si="3"/>
        <v>0</v>
      </c>
      <c r="I29" s="134"/>
      <c r="J29" s="139">
        <v>1890000</v>
      </c>
      <c r="K29" s="139"/>
      <c r="L29" s="263"/>
      <c r="M29" s="139"/>
      <c r="N29" s="139"/>
      <c r="O29" s="139">
        <f t="shared" si="4"/>
        <v>1890000</v>
      </c>
      <c r="P29" s="139">
        <v>9727273</v>
      </c>
      <c r="Q29" s="139">
        <f t="shared" si="5"/>
        <v>7837273</v>
      </c>
      <c r="R29" s="215"/>
    </row>
    <row r="30" spans="1:18" s="144" customFormat="1" ht="20.45" customHeight="1" x14ac:dyDescent="0.25">
      <c r="A30" s="211">
        <v>23</v>
      </c>
      <c r="B30" s="328">
        <v>44309</v>
      </c>
      <c r="C30" s="134" t="s">
        <v>3634</v>
      </c>
      <c r="D30" s="211" t="s">
        <v>3656</v>
      </c>
      <c r="E30" s="136" t="s">
        <v>80</v>
      </c>
      <c r="F30" s="134"/>
      <c r="G30" s="134">
        <v>208</v>
      </c>
      <c r="H30" s="139">
        <f t="shared" si="3"/>
        <v>2941120</v>
      </c>
      <c r="I30" s="134"/>
      <c r="J30" s="139">
        <v>790000</v>
      </c>
      <c r="K30" s="139"/>
      <c r="L30" s="263"/>
      <c r="M30" s="139"/>
      <c r="N30" s="139"/>
      <c r="O30" s="139">
        <f t="shared" si="4"/>
        <v>3731120</v>
      </c>
      <c r="P30" s="139">
        <v>3400000</v>
      </c>
      <c r="Q30" s="139">
        <f t="shared" si="5"/>
        <v>-331120</v>
      </c>
      <c r="R30" s="215"/>
    </row>
    <row r="31" spans="1:18" s="144" customFormat="1" ht="20.45" customHeight="1" x14ac:dyDescent="0.25">
      <c r="A31" s="211">
        <v>24</v>
      </c>
      <c r="B31" s="328">
        <v>44309</v>
      </c>
      <c r="C31" s="134" t="s">
        <v>2354</v>
      </c>
      <c r="D31" s="211" t="s">
        <v>3657</v>
      </c>
      <c r="E31" s="136" t="s">
        <v>1221</v>
      </c>
      <c r="F31" s="134"/>
      <c r="G31" s="134"/>
      <c r="H31" s="139">
        <f t="shared" si="3"/>
        <v>0</v>
      </c>
      <c r="I31" s="134"/>
      <c r="J31" s="139">
        <v>970000</v>
      </c>
      <c r="K31" s="139"/>
      <c r="L31" s="263"/>
      <c r="M31" s="139"/>
      <c r="N31" s="139"/>
      <c r="O31" s="139">
        <f t="shared" si="4"/>
        <v>970000</v>
      </c>
      <c r="P31" s="139">
        <v>3700000</v>
      </c>
      <c r="Q31" s="139">
        <f t="shared" si="5"/>
        <v>2730000</v>
      </c>
      <c r="R31" s="215"/>
    </row>
    <row r="32" spans="1:18" s="144" customFormat="1" ht="20.45" customHeight="1" x14ac:dyDescent="0.25">
      <c r="A32" s="211">
        <v>25</v>
      </c>
      <c r="B32" s="328">
        <v>44310</v>
      </c>
      <c r="C32" s="134" t="s">
        <v>2355</v>
      </c>
      <c r="D32" s="211" t="s">
        <v>3658</v>
      </c>
      <c r="E32" s="136" t="s">
        <v>3277</v>
      </c>
      <c r="F32" s="134"/>
      <c r="G32" s="134"/>
      <c r="H32" s="139">
        <f t="shared" si="3"/>
        <v>0</v>
      </c>
      <c r="I32" s="134"/>
      <c r="J32" s="139">
        <v>970000</v>
      </c>
      <c r="K32" s="139"/>
      <c r="L32" s="263"/>
      <c r="M32" s="139"/>
      <c r="N32" s="139"/>
      <c r="O32" s="139">
        <f t="shared" si="4"/>
        <v>970000</v>
      </c>
      <c r="P32" s="139">
        <v>3760000</v>
      </c>
      <c r="Q32" s="139">
        <f t="shared" si="5"/>
        <v>2790000</v>
      </c>
      <c r="R32" s="215"/>
    </row>
    <row r="33" spans="1:24" s="144" customFormat="1" ht="20.45" customHeight="1" x14ac:dyDescent="0.25">
      <c r="A33" s="211">
        <v>26</v>
      </c>
      <c r="B33" s="328">
        <v>44312</v>
      </c>
      <c r="C33" s="134" t="s">
        <v>2356</v>
      </c>
      <c r="D33" s="211" t="s">
        <v>3659</v>
      </c>
      <c r="E33" s="136" t="s">
        <v>2059</v>
      </c>
      <c r="F33" s="134"/>
      <c r="G33" s="134">
        <v>315</v>
      </c>
      <c r="H33" s="139">
        <f t="shared" si="3"/>
        <v>4454100</v>
      </c>
      <c r="I33" s="134"/>
      <c r="J33" s="139">
        <v>1400000</v>
      </c>
      <c r="K33" s="139"/>
      <c r="L33" s="263"/>
      <c r="M33" s="139"/>
      <c r="N33" s="139"/>
      <c r="O33" s="139">
        <f t="shared" si="4"/>
        <v>5854100</v>
      </c>
      <c r="P33" s="139">
        <v>5909091</v>
      </c>
      <c r="Q33" s="139">
        <f t="shared" si="5"/>
        <v>54991</v>
      </c>
      <c r="R33" s="215"/>
    </row>
    <row r="34" spans="1:24" s="144" customFormat="1" ht="20.45" customHeight="1" x14ac:dyDescent="0.25">
      <c r="A34" s="211">
        <v>27</v>
      </c>
      <c r="B34" s="328">
        <v>44314</v>
      </c>
      <c r="C34" s="134" t="s">
        <v>292</v>
      </c>
      <c r="D34" s="211" t="s">
        <v>3660</v>
      </c>
      <c r="E34" s="136" t="s">
        <v>1568</v>
      </c>
      <c r="F34" s="134"/>
      <c r="G34" s="134"/>
      <c r="H34" s="139"/>
      <c r="I34" s="134"/>
      <c r="J34" s="139">
        <v>1150000</v>
      </c>
      <c r="K34" s="139"/>
      <c r="L34" s="263"/>
      <c r="M34" s="139"/>
      <c r="N34" s="139"/>
      <c r="O34" s="139">
        <f t="shared" si="4"/>
        <v>1150000</v>
      </c>
      <c r="P34" s="139">
        <v>3650000</v>
      </c>
      <c r="Q34" s="139">
        <f t="shared" si="5"/>
        <v>2500000</v>
      </c>
      <c r="R34" s="215"/>
    </row>
    <row r="35" spans="1:24" s="144" customFormat="1" ht="20.45" customHeight="1" x14ac:dyDescent="0.25">
      <c r="A35" s="211">
        <v>28</v>
      </c>
      <c r="B35" s="328">
        <v>44314</v>
      </c>
      <c r="C35" s="134" t="s">
        <v>3635</v>
      </c>
      <c r="D35" s="211" t="s">
        <v>3660</v>
      </c>
      <c r="E35" s="136" t="s">
        <v>3669</v>
      </c>
      <c r="F35" s="134"/>
      <c r="G35" s="134">
        <v>264</v>
      </c>
      <c r="H35" s="139">
        <f>G35*14320</f>
        <v>3780480</v>
      </c>
      <c r="I35" s="134"/>
      <c r="J35" s="139">
        <v>650000</v>
      </c>
      <c r="K35" s="139"/>
      <c r="L35" s="263"/>
      <c r="M35" s="139"/>
      <c r="N35" s="139"/>
      <c r="O35" s="139">
        <f t="shared" si="4"/>
        <v>4430480</v>
      </c>
      <c r="P35" s="139">
        <v>3400000</v>
      </c>
      <c r="Q35" s="139">
        <f t="shared" si="5"/>
        <v>-1030480</v>
      </c>
      <c r="R35" s="215"/>
    </row>
    <row r="36" spans="1:24" s="144" customFormat="1" ht="20.45" customHeight="1" x14ac:dyDescent="0.25">
      <c r="A36" s="211"/>
      <c r="B36" s="328"/>
      <c r="C36" s="134"/>
      <c r="D36" s="211"/>
      <c r="E36" s="136"/>
      <c r="F36" s="134"/>
      <c r="G36" s="134"/>
      <c r="H36" s="139"/>
      <c r="I36" s="134"/>
      <c r="J36" s="139"/>
      <c r="K36" s="139"/>
      <c r="L36" s="263"/>
      <c r="M36" s="139"/>
      <c r="N36" s="139"/>
      <c r="O36" s="139"/>
      <c r="P36" s="139"/>
      <c r="Q36" s="139"/>
      <c r="R36" s="143"/>
      <c r="S36" s="128"/>
      <c r="T36" s="128"/>
      <c r="U36" s="128"/>
      <c r="V36" s="128"/>
      <c r="W36" s="128"/>
      <c r="X36" s="128"/>
    </row>
    <row r="37" spans="1:24" s="144" customFormat="1" ht="20.45" customHeight="1" x14ac:dyDescent="0.25">
      <c r="A37" s="211"/>
      <c r="B37" s="328"/>
      <c r="C37" s="134"/>
      <c r="D37" s="211"/>
      <c r="E37" s="136"/>
      <c r="F37" s="134"/>
      <c r="G37" s="134"/>
      <c r="H37" s="139"/>
      <c r="I37" s="134"/>
      <c r="J37" s="139"/>
      <c r="K37" s="139"/>
      <c r="L37" s="263"/>
      <c r="M37" s="139"/>
      <c r="N37" s="139"/>
      <c r="O37" s="139"/>
      <c r="P37" s="139"/>
      <c r="Q37" s="139"/>
      <c r="R37" s="215"/>
    </row>
    <row r="38" spans="1:24" s="144" customFormat="1" ht="20.45" customHeight="1" x14ac:dyDescent="0.25">
      <c r="A38" s="211"/>
      <c r="B38" s="191"/>
      <c r="C38" s="449" t="s">
        <v>1094</v>
      </c>
      <c r="D38" s="449"/>
      <c r="E38" s="449"/>
      <c r="F38" s="449"/>
      <c r="G38" s="195"/>
      <c r="H38" s="155"/>
      <c r="I38" s="195"/>
      <c r="J38" s="155"/>
      <c r="K38" s="219">
        <v>1200000</v>
      </c>
      <c r="L38" s="263"/>
      <c r="M38" s="139"/>
      <c r="N38" s="139"/>
      <c r="O38" s="139">
        <f>SUM(H38:N38)</f>
        <v>1200000</v>
      </c>
      <c r="P38" s="141"/>
      <c r="Q38" s="139"/>
      <c r="R38" s="215"/>
    </row>
    <row r="39" spans="1:24" s="144" customFormat="1" ht="24.95" customHeight="1" x14ac:dyDescent="0.25">
      <c r="A39" s="211"/>
      <c r="B39" s="191"/>
      <c r="C39" s="440" t="s">
        <v>3670</v>
      </c>
      <c r="D39" s="441"/>
      <c r="E39" s="442"/>
      <c r="F39" s="196"/>
      <c r="G39" s="195"/>
      <c r="H39" s="155"/>
      <c r="I39" s="195"/>
      <c r="J39" s="155"/>
      <c r="K39" s="219"/>
      <c r="L39" s="219">
        <v>1700000</v>
      </c>
      <c r="M39" s="139"/>
      <c r="N39" s="139"/>
      <c r="O39" s="139">
        <f>SUM(H39:N39)</f>
        <v>1700000</v>
      </c>
      <c r="P39" s="141"/>
      <c r="Q39" s="139"/>
      <c r="R39" s="215"/>
    </row>
    <row r="40" spans="1:24" s="144" customFormat="1" ht="24.95" customHeight="1" x14ac:dyDescent="0.25">
      <c r="A40" s="211"/>
      <c r="B40" s="191"/>
      <c r="C40" s="440" t="s">
        <v>3671</v>
      </c>
      <c r="D40" s="441"/>
      <c r="E40" s="442"/>
      <c r="F40" s="196"/>
      <c r="G40" s="195"/>
      <c r="H40" s="155"/>
      <c r="I40" s="195"/>
      <c r="J40" s="155"/>
      <c r="K40" s="219"/>
      <c r="L40" s="219">
        <v>500000</v>
      </c>
      <c r="M40" s="139"/>
      <c r="N40" s="139"/>
      <c r="O40" s="139">
        <f t="shared" ref="O40:O48" si="6">SUM(H40:N40)</f>
        <v>500000</v>
      </c>
      <c r="P40" s="141"/>
      <c r="Q40" s="139"/>
      <c r="R40" s="215"/>
    </row>
    <row r="41" spans="1:24" s="144" customFormat="1" ht="24.95" customHeight="1" x14ac:dyDescent="0.25">
      <c r="A41" s="211"/>
      <c r="B41" s="191"/>
      <c r="C41" s="440" t="s">
        <v>3672</v>
      </c>
      <c r="D41" s="441"/>
      <c r="E41" s="442"/>
      <c r="F41" s="196"/>
      <c r="G41" s="195"/>
      <c r="H41" s="155"/>
      <c r="I41" s="195"/>
      <c r="J41" s="155"/>
      <c r="K41" s="219"/>
      <c r="L41" s="219">
        <v>100000</v>
      </c>
      <c r="M41" s="139"/>
      <c r="N41" s="139"/>
      <c r="O41" s="139">
        <f t="shared" si="6"/>
        <v>100000</v>
      </c>
      <c r="P41" s="141"/>
      <c r="Q41" s="139"/>
      <c r="R41" s="215"/>
    </row>
    <row r="42" spans="1:24" s="144" customFormat="1" ht="24.95" customHeight="1" x14ac:dyDescent="0.25">
      <c r="A42" s="211"/>
      <c r="B42" s="191"/>
      <c r="C42" s="452" t="s">
        <v>3673</v>
      </c>
      <c r="D42" s="453"/>
      <c r="E42" s="454"/>
      <c r="F42" s="196"/>
      <c r="G42" s="195"/>
      <c r="H42" s="155"/>
      <c r="I42" s="195"/>
      <c r="J42" s="155"/>
      <c r="K42" s="219"/>
      <c r="L42" s="219"/>
      <c r="M42" s="139"/>
      <c r="N42" s="219">
        <v>2460000</v>
      </c>
      <c r="O42" s="139">
        <f t="shared" si="6"/>
        <v>2460000</v>
      </c>
      <c r="P42" s="141"/>
      <c r="Q42" s="139"/>
      <c r="R42" s="215"/>
    </row>
    <row r="43" spans="1:24" s="144" customFormat="1" ht="24.95" customHeight="1" x14ac:dyDescent="0.25">
      <c r="A43" s="211"/>
      <c r="B43" s="191"/>
      <c r="C43" s="452" t="s">
        <v>1092</v>
      </c>
      <c r="D43" s="453"/>
      <c r="E43" s="454"/>
      <c r="F43" s="196"/>
      <c r="G43" s="195"/>
      <c r="H43" s="155"/>
      <c r="I43" s="195"/>
      <c r="J43" s="155"/>
      <c r="K43" s="219"/>
      <c r="L43" s="219">
        <v>7669000</v>
      </c>
      <c r="M43" s="139"/>
      <c r="N43" s="139"/>
      <c r="O43" s="139">
        <f t="shared" si="6"/>
        <v>7669000</v>
      </c>
      <c r="P43" s="141"/>
      <c r="Q43" s="139"/>
      <c r="R43" s="215"/>
    </row>
    <row r="44" spans="1:24" s="144" customFormat="1" ht="24.95" customHeight="1" x14ac:dyDescent="0.25">
      <c r="A44" s="211"/>
      <c r="B44" s="191"/>
      <c r="C44" s="452" t="s">
        <v>3399</v>
      </c>
      <c r="D44" s="453"/>
      <c r="E44" s="454"/>
      <c r="F44" s="196"/>
      <c r="G44" s="195"/>
      <c r="H44" s="155"/>
      <c r="I44" s="195"/>
      <c r="J44" s="155"/>
      <c r="K44" s="219"/>
      <c r="L44" s="219">
        <v>840000</v>
      </c>
      <c r="M44" s="139"/>
      <c r="N44" s="139"/>
      <c r="O44" s="139">
        <f t="shared" si="6"/>
        <v>840000</v>
      </c>
      <c r="P44" s="141"/>
      <c r="Q44" s="139"/>
      <c r="R44" s="215"/>
    </row>
    <row r="45" spans="1:24" s="144" customFormat="1" ht="24.95" customHeight="1" x14ac:dyDescent="0.25">
      <c r="A45" s="211"/>
      <c r="B45" s="191"/>
      <c r="C45" s="452" t="s">
        <v>3674</v>
      </c>
      <c r="D45" s="453"/>
      <c r="E45" s="454"/>
      <c r="F45" s="196"/>
      <c r="G45" s="195"/>
      <c r="H45" s="155"/>
      <c r="I45" s="195"/>
      <c r="J45" s="155"/>
      <c r="K45" s="219"/>
      <c r="L45" s="219">
        <v>400000</v>
      </c>
      <c r="M45" s="139"/>
      <c r="N45" s="139"/>
      <c r="O45" s="139">
        <f t="shared" si="6"/>
        <v>400000</v>
      </c>
      <c r="P45" s="141"/>
      <c r="Q45" s="139"/>
      <c r="R45" s="215"/>
    </row>
    <row r="46" spans="1:24" s="144" customFormat="1" ht="24.95" customHeight="1" x14ac:dyDescent="0.25">
      <c r="A46" s="211"/>
      <c r="B46" s="191"/>
      <c r="C46" s="452" t="s">
        <v>3558</v>
      </c>
      <c r="D46" s="453"/>
      <c r="E46" s="454"/>
      <c r="F46" s="196"/>
      <c r="G46" s="195"/>
      <c r="H46" s="155"/>
      <c r="I46" s="195"/>
      <c r="J46" s="155"/>
      <c r="K46" s="219"/>
      <c r="L46" s="219">
        <v>175000</v>
      </c>
      <c r="M46" s="139"/>
      <c r="N46" s="139"/>
      <c r="O46" s="139">
        <f t="shared" si="6"/>
        <v>175000</v>
      </c>
      <c r="P46" s="141"/>
      <c r="Q46" s="139"/>
      <c r="R46" s="215"/>
    </row>
    <row r="47" spans="1:24" s="144" customFormat="1" ht="24.95" customHeight="1" x14ac:dyDescent="0.25">
      <c r="A47" s="211"/>
      <c r="B47" s="191"/>
      <c r="C47" s="452" t="s">
        <v>3675</v>
      </c>
      <c r="D47" s="453"/>
      <c r="E47" s="454"/>
      <c r="F47" s="196"/>
      <c r="G47" s="195"/>
      <c r="H47" s="155"/>
      <c r="I47" s="195"/>
      <c r="J47" s="155"/>
      <c r="K47" s="219"/>
      <c r="L47" s="219">
        <v>150000</v>
      </c>
      <c r="M47" s="139"/>
      <c r="N47" s="139"/>
      <c r="O47" s="139">
        <f t="shared" si="6"/>
        <v>150000</v>
      </c>
      <c r="P47" s="141"/>
      <c r="Q47" s="139"/>
      <c r="R47" s="215"/>
    </row>
    <row r="48" spans="1:24" s="144" customFormat="1" ht="24.95" customHeight="1" x14ac:dyDescent="0.25">
      <c r="A48" s="211"/>
      <c r="B48" s="191"/>
      <c r="C48" s="452" t="s">
        <v>3676</v>
      </c>
      <c r="D48" s="453"/>
      <c r="E48" s="454"/>
      <c r="F48" s="196"/>
      <c r="G48" s="195"/>
      <c r="H48" s="155"/>
      <c r="I48" s="195"/>
      <c r="J48" s="155"/>
      <c r="K48" s="219">
        <v>500000</v>
      </c>
      <c r="L48" s="219"/>
      <c r="M48" s="139"/>
      <c r="N48" s="139"/>
      <c r="O48" s="139">
        <f t="shared" si="6"/>
        <v>500000</v>
      </c>
      <c r="P48" s="141"/>
      <c r="Q48" s="139"/>
      <c r="R48" s="215"/>
    </row>
    <row r="49" spans="1:19" s="159" customFormat="1" ht="20.45" customHeight="1" x14ac:dyDescent="0.25">
      <c r="A49" s="211"/>
      <c r="B49" s="165"/>
      <c r="C49" s="449" t="s">
        <v>1337</v>
      </c>
      <c r="D49" s="449"/>
      <c r="E49" s="449"/>
      <c r="F49" s="449"/>
      <c r="G49" s="195"/>
      <c r="H49" s="155"/>
      <c r="I49" s="195"/>
      <c r="J49" s="155"/>
      <c r="K49" s="219">
        <f>27/26*9000000</f>
        <v>9346153.846153846</v>
      </c>
      <c r="L49" s="155"/>
      <c r="M49" s="155"/>
      <c r="N49" s="155"/>
      <c r="O49" s="139">
        <f>SUM(H49:N49)</f>
        <v>9346153.846153846</v>
      </c>
      <c r="P49" s="139"/>
      <c r="Q49" s="139"/>
    </row>
    <row r="50" spans="1:19" ht="20.45" customHeight="1" x14ac:dyDescent="0.25">
      <c r="A50" s="450" t="s">
        <v>20</v>
      </c>
      <c r="B50" s="450"/>
      <c r="C50" s="450"/>
      <c r="D50" s="450"/>
      <c r="E50" s="450"/>
      <c r="F50" s="450"/>
      <c r="G50" s="334">
        <f t="shared" ref="G50:P50" si="7">SUM(G8:G49)</f>
        <v>3439</v>
      </c>
      <c r="H50" s="334">
        <f t="shared" si="7"/>
        <v>48824180</v>
      </c>
      <c r="I50" s="334">
        <f t="shared" si="7"/>
        <v>0</v>
      </c>
      <c r="J50" s="334">
        <f t="shared" si="7"/>
        <v>33220000</v>
      </c>
      <c r="K50" s="334">
        <f t="shared" si="7"/>
        <v>11046153.846153846</v>
      </c>
      <c r="L50" s="334">
        <f t="shared" si="7"/>
        <v>11534000</v>
      </c>
      <c r="M50" s="334">
        <f t="shared" si="7"/>
        <v>0</v>
      </c>
      <c r="N50" s="334">
        <f t="shared" si="7"/>
        <v>2460000</v>
      </c>
      <c r="O50" s="334">
        <f t="shared" si="7"/>
        <v>107084333.84615384</v>
      </c>
      <c r="P50" s="334">
        <f t="shared" si="7"/>
        <v>141102726</v>
      </c>
      <c r="Q50" s="335">
        <f>P50-O50</f>
        <v>34018392.15384616</v>
      </c>
    </row>
    <row r="51" spans="1:19" ht="24.95" customHeight="1" x14ac:dyDescent="0.25">
      <c r="O51" s="158"/>
      <c r="Q51" s="158"/>
    </row>
    <row r="52" spans="1:19" ht="13.9" customHeight="1" x14ac:dyDescent="0.25">
      <c r="P52" s="216" t="s">
        <v>1603</v>
      </c>
      <c r="Q52" s="227">
        <f>'03.2021'!Q37+'04.2021'!Q50</f>
        <v>19234958.769230772</v>
      </c>
      <c r="S52" s="216"/>
    </row>
    <row r="53" spans="1:19" ht="13.9" customHeight="1" x14ac:dyDescent="0.25">
      <c r="B53" s="129"/>
      <c r="J53" s="128"/>
      <c r="K53" s="128"/>
      <c r="L53" s="128"/>
      <c r="N53" s="128"/>
      <c r="O53" s="128"/>
      <c r="P53" s="218"/>
      <c r="Q53" s="216"/>
    </row>
    <row r="54" spans="1:19" ht="13.9" customHeight="1" x14ac:dyDescent="0.25">
      <c r="B54" s="129"/>
      <c r="H54" s="128"/>
      <c r="J54" s="128"/>
      <c r="K54" s="128"/>
      <c r="L54" s="128"/>
      <c r="M54" s="128"/>
      <c r="N54" s="128"/>
      <c r="O54" s="128"/>
      <c r="P54" s="218"/>
      <c r="Q54" s="230"/>
    </row>
    <row r="55" spans="1:19" ht="13.9" customHeight="1" x14ac:dyDescent="0.25">
      <c r="B55" s="129"/>
      <c r="H55" s="128"/>
      <c r="J55" s="128"/>
      <c r="K55" s="128"/>
      <c r="L55" s="128"/>
      <c r="M55" s="128"/>
      <c r="N55" s="128"/>
      <c r="O55" s="128"/>
      <c r="P55" s="218"/>
      <c r="Q55" s="230"/>
      <c r="R55" s="143"/>
    </row>
    <row r="56" spans="1:19" ht="13.9" customHeight="1" x14ac:dyDescent="0.25">
      <c r="B56" s="129"/>
      <c r="H56" s="128"/>
      <c r="J56" s="128"/>
      <c r="K56" s="128"/>
      <c r="L56" s="128"/>
      <c r="M56" s="128"/>
      <c r="N56" s="128"/>
      <c r="O56" s="128"/>
      <c r="P56" s="218"/>
      <c r="Q56" s="216"/>
      <c r="R56" s="143"/>
    </row>
    <row r="57" spans="1:19" x14ac:dyDescent="0.25">
      <c r="B57" s="129"/>
      <c r="H57" s="128"/>
      <c r="J57" s="128"/>
      <c r="K57" s="128"/>
      <c r="L57" s="128"/>
      <c r="M57" s="128"/>
      <c r="N57" s="128"/>
      <c r="O57" s="128"/>
      <c r="P57" s="218"/>
      <c r="Q57" s="216"/>
    </row>
    <row r="58" spans="1:19" x14ac:dyDescent="0.25">
      <c r="A58" s="128"/>
      <c r="B58" s="129"/>
      <c r="H58" s="128"/>
      <c r="J58" s="128"/>
      <c r="K58" s="128"/>
      <c r="L58" s="128"/>
      <c r="M58" s="128"/>
      <c r="N58" s="128"/>
      <c r="O58" s="128"/>
      <c r="P58" s="218"/>
      <c r="Q58" s="216"/>
    </row>
    <row r="59" spans="1:19" x14ac:dyDescent="0.25">
      <c r="A59" s="128"/>
      <c r="B59" s="129"/>
      <c r="H59" s="128"/>
      <c r="J59" s="128"/>
      <c r="K59" s="128"/>
      <c r="L59" s="128"/>
      <c r="M59" s="128"/>
      <c r="N59" s="128"/>
      <c r="O59" s="128"/>
      <c r="P59" s="218"/>
      <c r="Q59" s="216"/>
    </row>
    <row r="60" spans="1:19" x14ac:dyDescent="0.25">
      <c r="A60" s="128"/>
      <c r="B60" s="128"/>
      <c r="H60" s="128"/>
      <c r="J60" s="128"/>
      <c r="K60" s="128"/>
      <c r="L60" s="128"/>
      <c r="M60" s="128"/>
      <c r="N60" s="128"/>
      <c r="O60" s="128"/>
      <c r="P60" s="128"/>
      <c r="Q60" s="216"/>
    </row>
    <row r="61" spans="1:19" x14ac:dyDescent="0.25">
      <c r="A61" s="128"/>
      <c r="B61" s="128"/>
      <c r="H61" s="128"/>
      <c r="J61" s="128"/>
      <c r="K61" s="128"/>
      <c r="L61" s="128"/>
      <c r="M61" s="128"/>
      <c r="N61" s="128"/>
      <c r="O61" s="128"/>
      <c r="P61" s="128"/>
      <c r="Q61" s="216"/>
    </row>
  </sheetData>
  <mergeCells count="26">
    <mergeCell ref="C45:E45"/>
    <mergeCell ref="A1:Q1"/>
    <mergeCell ref="A2:Q2"/>
    <mergeCell ref="B3:Q3"/>
    <mergeCell ref="A5:A6"/>
    <mergeCell ref="B5:B6"/>
    <mergeCell ref="C5:C6"/>
    <mergeCell ref="D5:D6"/>
    <mergeCell ref="E5:E6"/>
    <mergeCell ref="F5:F6"/>
    <mergeCell ref="G5:N5"/>
    <mergeCell ref="C40:E40"/>
    <mergeCell ref="C41:E41"/>
    <mergeCell ref="C42:E42"/>
    <mergeCell ref="C43:E43"/>
    <mergeCell ref="C44:E44"/>
    <mergeCell ref="O5:O6"/>
    <mergeCell ref="P5:P6"/>
    <mergeCell ref="Q5:Q6"/>
    <mergeCell ref="C38:F38"/>
    <mergeCell ref="C39:E39"/>
    <mergeCell ref="C47:E47"/>
    <mergeCell ref="C48:E48"/>
    <mergeCell ref="C49:F49"/>
    <mergeCell ref="A50:F50"/>
    <mergeCell ref="C46:E46"/>
  </mergeCells>
  <pageMargins left="0.7" right="0.7" top="0.75" bottom="0.75" header="0.3" footer="0.3"/>
  <pageSetup paperSize="9" orientation="landscape" horizontalDpi="180" verticalDpi="18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57"/>
  <sheetViews>
    <sheetView topLeftCell="A34" zoomScaleNormal="100" workbookViewId="0">
      <selection activeCell="N17" sqref="N17"/>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3677</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44315</v>
      </c>
      <c r="C8" s="134" t="s">
        <v>3678</v>
      </c>
      <c r="D8" s="211" t="s">
        <v>3700</v>
      </c>
      <c r="E8" s="136" t="s">
        <v>80</v>
      </c>
      <c r="F8" s="134"/>
      <c r="G8" s="134">
        <v>106</v>
      </c>
      <c r="H8" s="139">
        <f>G8*14320</f>
        <v>1517920</v>
      </c>
      <c r="I8" s="134"/>
      <c r="J8" s="226">
        <v>790000</v>
      </c>
      <c r="K8" s="139"/>
      <c r="L8" s="263"/>
      <c r="M8" s="139"/>
      <c r="N8" s="139"/>
      <c r="O8" s="139">
        <f>SUM(H8:N8)</f>
        <v>2307920</v>
      </c>
      <c r="P8" s="139">
        <v>3400000</v>
      </c>
      <c r="Q8" s="139">
        <f>P8-O8</f>
        <v>1092080</v>
      </c>
      <c r="R8" s="215"/>
    </row>
    <row r="9" spans="1:18" s="144" customFormat="1" ht="20.45" customHeight="1" x14ac:dyDescent="0.25">
      <c r="A9" s="211">
        <v>2</v>
      </c>
      <c r="B9" s="328">
        <v>44319</v>
      </c>
      <c r="C9" s="134" t="s">
        <v>3679</v>
      </c>
      <c r="D9" s="211" t="s">
        <v>3701</v>
      </c>
      <c r="E9" s="136" t="s">
        <v>23</v>
      </c>
      <c r="F9" s="134"/>
      <c r="G9" s="134"/>
      <c r="H9" s="139"/>
      <c r="I9" s="134"/>
      <c r="J9" s="226">
        <v>2740000</v>
      </c>
      <c r="K9" s="139"/>
      <c r="L9" s="263"/>
      <c r="M9" s="139"/>
      <c r="N9" s="139"/>
      <c r="O9" s="139">
        <f>SUM(H9:N9)</f>
        <v>2740000</v>
      </c>
      <c r="P9" s="139">
        <v>11909091</v>
      </c>
      <c r="Q9" s="139">
        <f t="shared" ref="Q9:Q35" si="0">P9-O9</f>
        <v>9169091</v>
      </c>
      <c r="R9" s="215"/>
    </row>
    <row r="10" spans="1:18" s="144" customFormat="1" ht="20.45" customHeight="1" x14ac:dyDescent="0.25">
      <c r="A10" s="211">
        <v>3</v>
      </c>
      <c r="B10" s="328">
        <v>44320</v>
      </c>
      <c r="C10" s="134" t="s">
        <v>3042</v>
      </c>
      <c r="D10" s="211" t="s">
        <v>3702</v>
      </c>
      <c r="E10" s="136" t="s">
        <v>291</v>
      </c>
      <c r="F10" s="134"/>
      <c r="G10" s="134"/>
      <c r="H10" s="139"/>
      <c r="I10" s="134"/>
      <c r="J10" s="226">
        <v>970000</v>
      </c>
      <c r="K10" s="139"/>
      <c r="L10" s="263"/>
      <c r="M10" s="139"/>
      <c r="N10" s="139"/>
      <c r="O10" s="139">
        <f t="shared" ref="O10:O25" si="1">SUM(H10:N10)</f>
        <v>970000</v>
      </c>
      <c r="P10" s="139">
        <v>3700000</v>
      </c>
      <c r="Q10" s="139">
        <f t="shared" si="0"/>
        <v>2730000</v>
      </c>
      <c r="R10" s="215"/>
    </row>
    <row r="11" spans="1:18" s="144" customFormat="1" ht="20.45" customHeight="1" x14ac:dyDescent="0.25">
      <c r="A11" s="211">
        <v>4</v>
      </c>
      <c r="B11" s="328">
        <v>44321</v>
      </c>
      <c r="C11" s="134" t="s">
        <v>3680</v>
      </c>
      <c r="D11" s="211" t="s">
        <v>3703</v>
      </c>
      <c r="E11" s="136" t="s">
        <v>2985</v>
      </c>
      <c r="F11" s="134"/>
      <c r="G11" s="134"/>
      <c r="H11" s="139"/>
      <c r="I11" s="134"/>
      <c r="J11" s="229">
        <v>790000</v>
      </c>
      <c r="K11" s="139"/>
      <c r="L11" s="263"/>
      <c r="M11" s="139"/>
      <c r="N11" s="139"/>
      <c r="O11" s="139">
        <f t="shared" si="1"/>
        <v>790000</v>
      </c>
      <c r="P11" s="139">
        <v>2727273</v>
      </c>
      <c r="Q11" s="139">
        <f t="shared" si="0"/>
        <v>1937273</v>
      </c>
      <c r="R11" s="215"/>
    </row>
    <row r="12" spans="1:18" s="144" customFormat="1" ht="20.45" customHeight="1" x14ac:dyDescent="0.25">
      <c r="A12" s="211">
        <v>5</v>
      </c>
      <c r="B12" s="328">
        <v>44322</v>
      </c>
      <c r="C12" s="134" t="s">
        <v>3044</v>
      </c>
      <c r="D12" s="211" t="s">
        <v>3704</v>
      </c>
      <c r="E12" s="136" t="s">
        <v>3395</v>
      </c>
      <c r="F12" s="134"/>
      <c r="G12" s="134">
        <v>263</v>
      </c>
      <c r="H12" s="139">
        <f t="shared" ref="H12:H16" si="2">G12*14320</f>
        <v>3766160</v>
      </c>
      <c r="I12" s="134"/>
      <c r="J12" s="346">
        <v>1720000</v>
      </c>
      <c r="K12" s="139"/>
      <c r="L12" s="263"/>
      <c r="M12" s="139"/>
      <c r="N12" s="139"/>
      <c r="O12" s="139">
        <f t="shared" si="1"/>
        <v>5486160</v>
      </c>
      <c r="P12" s="139">
        <v>8790909</v>
      </c>
      <c r="Q12" s="139">
        <f t="shared" si="0"/>
        <v>3304749</v>
      </c>
      <c r="R12" s="215"/>
    </row>
    <row r="13" spans="1:18" s="144" customFormat="1" ht="20.45" customHeight="1" x14ac:dyDescent="0.25">
      <c r="A13" s="211">
        <v>6</v>
      </c>
      <c r="B13" s="328">
        <v>44322</v>
      </c>
      <c r="C13" s="134" t="s">
        <v>3681</v>
      </c>
      <c r="D13" s="211" t="s">
        <v>3705</v>
      </c>
      <c r="E13" s="136" t="s">
        <v>23</v>
      </c>
      <c r="F13" s="134"/>
      <c r="G13" s="134">
        <v>145</v>
      </c>
      <c r="H13" s="139">
        <f t="shared" si="2"/>
        <v>2076400</v>
      </c>
      <c r="I13" s="134"/>
      <c r="J13" s="226">
        <v>2740000</v>
      </c>
      <c r="K13" s="139"/>
      <c r="L13" s="263"/>
      <c r="M13" s="139"/>
      <c r="N13" s="139"/>
      <c r="O13" s="139">
        <f t="shared" si="1"/>
        <v>4816400</v>
      </c>
      <c r="P13" s="139">
        <v>11909091</v>
      </c>
      <c r="Q13" s="139">
        <f t="shared" si="0"/>
        <v>7092691</v>
      </c>
      <c r="R13" s="215"/>
    </row>
    <row r="14" spans="1:18" s="144" customFormat="1" ht="20.45" customHeight="1" x14ac:dyDescent="0.25">
      <c r="A14" s="211">
        <v>7</v>
      </c>
      <c r="B14" s="328">
        <v>44323</v>
      </c>
      <c r="C14" s="134" t="s">
        <v>3682</v>
      </c>
      <c r="D14" s="211" t="s">
        <v>3706</v>
      </c>
      <c r="E14" s="136" t="s">
        <v>80</v>
      </c>
      <c r="F14" s="134"/>
      <c r="G14" s="134">
        <v>265</v>
      </c>
      <c r="H14" s="139">
        <f t="shared" si="2"/>
        <v>3794800</v>
      </c>
      <c r="I14" s="134"/>
      <c r="J14" s="226">
        <v>790000</v>
      </c>
      <c r="K14" s="139"/>
      <c r="L14" s="263"/>
      <c r="M14" s="139"/>
      <c r="N14" s="139"/>
      <c r="O14" s="139">
        <f t="shared" si="1"/>
        <v>4584800</v>
      </c>
      <c r="P14" s="139">
        <v>3400000</v>
      </c>
      <c r="Q14" s="139">
        <f t="shared" si="0"/>
        <v>-1184800</v>
      </c>
      <c r="R14" s="215"/>
    </row>
    <row r="15" spans="1:18" s="144" customFormat="1" ht="20.45" customHeight="1" x14ac:dyDescent="0.25">
      <c r="A15" s="211">
        <v>8</v>
      </c>
      <c r="B15" s="328">
        <v>44326</v>
      </c>
      <c r="C15" s="134" t="s">
        <v>3683</v>
      </c>
      <c r="D15" s="211" t="s">
        <v>3707</v>
      </c>
      <c r="E15" s="136" t="s">
        <v>80</v>
      </c>
      <c r="F15" s="134"/>
      <c r="G15" s="134">
        <v>265</v>
      </c>
      <c r="H15" s="139">
        <f t="shared" si="2"/>
        <v>3794800</v>
      </c>
      <c r="I15" s="134"/>
      <c r="J15" s="226">
        <v>790000</v>
      </c>
      <c r="K15" s="139"/>
      <c r="L15" s="263"/>
      <c r="M15" s="139"/>
      <c r="N15" s="139"/>
      <c r="O15" s="139">
        <f t="shared" si="1"/>
        <v>4584800</v>
      </c>
      <c r="P15" s="139">
        <v>3400000</v>
      </c>
      <c r="Q15" s="139">
        <f t="shared" si="0"/>
        <v>-1184800</v>
      </c>
      <c r="R15" s="215"/>
    </row>
    <row r="16" spans="1:18" s="144" customFormat="1" ht="20.45" customHeight="1" x14ac:dyDescent="0.25">
      <c r="A16" s="211">
        <v>9</v>
      </c>
      <c r="B16" s="328">
        <v>44327</v>
      </c>
      <c r="C16" s="134" t="s">
        <v>3684</v>
      </c>
      <c r="D16" s="211" t="s">
        <v>3708</v>
      </c>
      <c r="E16" s="136" t="s">
        <v>3724</v>
      </c>
      <c r="F16" s="134"/>
      <c r="G16" s="134">
        <v>210</v>
      </c>
      <c r="H16" s="139">
        <f t="shared" si="2"/>
        <v>3007200</v>
      </c>
      <c r="I16" s="134"/>
      <c r="J16" s="226">
        <v>2690000</v>
      </c>
      <c r="K16" s="139"/>
      <c r="L16" s="263"/>
      <c r="M16" s="139"/>
      <c r="N16" s="139"/>
      <c r="O16" s="139">
        <f t="shared" si="1"/>
        <v>5697200</v>
      </c>
      <c r="P16" s="139">
        <v>3645455</v>
      </c>
      <c r="Q16" s="139">
        <f t="shared" si="0"/>
        <v>-2051745</v>
      </c>
      <c r="R16" s="215"/>
    </row>
    <row r="17" spans="1:18" s="144" customFormat="1" ht="20.45" customHeight="1" x14ac:dyDescent="0.25">
      <c r="A17" s="211">
        <v>10</v>
      </c>
      <c r="B17" s="328">
        <v>44328</v>
      </c>
      <c r="C17" s="134" t="s">
        <v>3685</v>
      </c>
      <c r="D17" s="211" t="s">
        <v>3708</v>
      </c>
      <c r="E17" s="136" t="s">
        <v>2265</v>
      </c>
      <c r="F17" s="134"/>
      <c r="G17" s="134"/>
      <c r="H17" s="139"/>
      <c r="I17" s="134"/>
      <c r="J17" s="226">
        <v>0</v>
      </c>
      <c r="K17" s="139"/>
      <c r="L17" s="263"/>
      <c r="M17" s="139"/>
      <c r="N17" s="139"/>
      <c r="O17" s="139">
        <f t="shared" si="1"/>
        <v>0</v>
      </c>
      <c r="P17" s="139">
        <v>8000000</v>
      </c>
      <c r="Q17" s="139">
        <f t="shared" si="0"/>
        <v>8000000</v>
      </c>
      <c r="R17" s="215"/>
    </row>
    <row r="18" spans="1:18" s="144" customFormat="1" ht="20.45" customHeight="1" x14ac:dyDescent="0.25">
      <c r="A18" s="211">
        <v>11</v>
      </c>
      <c r="B18" s="328">
        <v>44328</v>
      </c>
      <c r="C18" s="134" t="s">
        <v>2402</v>
      </c>
      <c r="D18" s="211" t="s">
        <v>3709</v>
      </c>
      <c r="E18" s="136" t="s">
        <v>3277</v>
      </c>
      <c r="F18" s="134"/>
      <c r="G18" s="134"/>
      <c r="H18" s="139"/>
      <c r="I18" s="134"/>
      <c r="J18" s="226">
        <v>970000</v>
      </c>
      <c r="K18" s="139"/>
      <c r="L18" s="263"/>
      <c r="M18" s="139"/>
      <c r="N18" s="139"/>
      <c r="O18" s="139">
        <f t="shared" si="1"/>
        <v>970000</v>
      </c>
      <c r="P18" s="139">
        <v>3760000</v>
      </c>
      <c r="Q18" s="139">
        <f t="shared" si="0"/>
        <v>2790000</v>
      </c>
      <c r="R18" s="215"/>
    </row>
    <row r="19" spans="1:18" s="144" customFormat="1" ht="20.45" customHeight="1" x14ac:dyDescent="0.25">
      <c r="A19" s="211">
        <v>12</v>
      </c>
      <c r="B19" s="328">
        <v>44328</v>
      </c>
      <c r="C19" s="134" t="s">
        <v>3686</v>
      </c>
      <c r="D19" s="211" t="s">
        <v>3709</v>
      </c>
      <c r="E19" s="136" t="s">
        <v>2795</v>
      </c>
      <c r="F19" s="134"/>
      <c r="G19" s="134"/>
      <c r="H19" s="139"/>
      <c r="I19" s="134"/>
      <c r="J19" s="226">
        <v>300000</v>
      </c>
      <c r="K19" s="139"/>
      <c r="L19" s="263"/>
      <c r="M19" s="139"/>
      <c r="N19" s="139"/>
      <c r="O19" s="139">
        <f t="shared" si="1"/>
        <v>300000</v>
      </c>
      <c r="P19" s="139">
        <v>2000000</v>
      </c>
      <c r="Q19" s="139">
        <f t="shared" si="0"/>
        <v>1700000</v>
      </c>
      <c r="R19" s="215"/>
    </row>
    <row r="20" spans="1:18" s="144" customFormat="1" ht="20.45" customHeight="1" x14ac:dyDescent="0.25">
      <c r="A20" s="211">
        <v>13</v>
      </c>
      <c r="B20" s="328">
        <v>44331</v>
      </c>
      <c r="C20" s="134" t="s">
        <v>3049</v>
      </c>
      <c r="D20" s="211" t="s">
        <v>3710</v>
      </c>
      <c r="E20" s="136" t="s">
        <v>3341</v>
      </c>
      <c r="F20" s="134"/>
      <c r="G20" s="134">
        <v>257</v>
      </c>
      <c r="H20" s="139">
        <f>G20*14770</f>
        <v>3795890</v>
      </c>
      <c r="I20" s="134"/>
      <c r="J20" s="226">
        <v>1150000</v>
      </c>
      <c r="K20" s="139"/>
      <c r="L20" s="263"/>
      <c r="M20" s="139"/>
      <c r="N20" s="139"/>
      <c r="O20" s="139">
        <f t="shared" si="1"/>
        <v>4945890</v>
      </c>
      <c r="P20" s="139">
        <v>4000000</v>
      </c>
      <c r="Q20" s="139">
        <f t="shared" si="0"/>
        <v>-945890</v>
      </c>
      <c r="R20" s="215"/>
    </row>
    <row r="21" spans="1:18" s="144" customFormat="1" ht="20.45" customHeight="1" x14ac:dyDescent="0.25">
      <c r="A21" s="211">
        <v>14</v>
      </c>
      <c r="B21" s="328">
        <v>44335</v>
      </c>
      <c r="C21" s="134" t="s">
        <v>3687</v>
      </c>
      <c r="D21" s="211" t="s">
        <v>3710</v>
      </c>
      <c r="E21" s="136" t="s">
        <v>3725</v>
      </c>
      <c r="F21" s="134"/>
      <c r="G21" s="134"/>
      <c r="H21" s="139"/>
      <c r="I21" s="134"/>
      <c r="J21" s="226">
        <v>300000</v>
      </c>
      <c r="K21" s="139"/>
      <c r="L21" s="263"/>
      <c r="M21" s="139"/>
      <c r="N21" s="139"/>
      <c r="O21" s="139">
        <f t="shared" si="1"/>
        <v>300000</v>
      </c>
      <c r="P21" s="139">
        <v>1945455</v>
      </c>
      <c r="Q21" s="139">
        <f t="shared" si="0"/>
        <v>1645455</v>
      </c>
      <c r="R21" s="215"/>
    </row>
    <row r="22" spans="1:18" s="144" customFormat="1" ht="20.45" customHeight="1" x14ac:dyDescent="0.25">
      <c r="A22" s="211">
        <v>15</v>
      </c>
      <c r="B22" s="328">
        <v>44334</v>
      </c>
      <c r="C22" s="134" t="s">
        <v>3688</v>
      </c>
      <c r="D22" s="211" t="s">
        <v>3711</v>
      </c>
      <c r="E22" s="136" t="s">
        <v>80</v>
      </c>
      <c r="F22" s="134"/>
      <c r="G22" s="134"/>
      <c r="H22" s="139"/>
      <c r="I22" s="134"/>
      <c r="J22" s="226">
        <v>790000</v>
      </c>
      <c r="K22" s="139"/>
      <c r="L22" s="263"/>
      <c r="M22" s="139"/>
      <c r="N22" s="139"/>
      <c r="O22" s="139">
        <f t="shared" si="1"/>
        <v>790000</v>
      </c>
      <c r="P22" s="139">
        <v>3400000</v>
      </c>
      <c r="Q22" s="139">
        <f t="shared" si="0"/>
        <v>2610000</v>
      </c>
      <c r="R22" s="215"/>
    </row>
    <row r="23" spans="1:18" s="144" customFormat="1" ht="20.45" customHeight="1" x14ac:dyDescent="0.25">
      <c r="A23" s="211">
        <v>16</v>
      </c>
      <c r="B23" s="328">
        <v>44335</v>
      </c>
      <c r="C23" s="134" t="s">
        <v>3689</v>
      </c>
      <c r="D23" s="211" t="s">
        <v>3712</v>
      </c>
      <c r="E23" s="136" t="s">
        <v>80</v>
      </c>
      <c r="F23" s="134"/>
      <c r="G23" s="134"/>
      <c r="H23" s="139"/>
      <c r="I23" s="134"/>
      <c r="J23" s="226">
        <v>790000</v>
      </c>
      <c r="K23" s="139"/>
      <c r="L23" s="263"/>
      <c r="M23" s="139"/>
      <c r="N23" s="139"/>
      <c r="O23" s="139">
        <f t="shared" si="1"/>
        <v>790000</v>
      </c>
      <c r="P23" s="139">
        <v>3400000</v>
      </c>
      <c r="Q23" s="139">
        <f t="shared" si="0"/>
        <v>2610000</v>
      </c>
      <c r="R23" s="215"/>
    </row>
    <row r="24" spans="1:18" s="144" customFormat="1" ht="20.45" customHeight="1" x14ac:dyDescent="0.25">
      <c r="A24" s="211">
        <v>17</v>
      </c>
      <c r="B24" s="328">
        <v>44335</v>
      </c>
      <c r="C24" s="134" t="s">
        <v>3690</v>
      </c>
      <c r="D24" s="211" t="s">
        <v>3713</v>
      </c>
      <c r="E24" s="136" t="s">
        <v>3726</v>
      </c>
      <c r="F24" s="134"/>
      <c r="G24" s="134"/>
      <c r="H24" s="139"/>
      <c r="I24" s="134"/>
      <c r="J24" s="226">
        <v>970000</v>
      </c>
      <c r="K24" s="139"/>
      <c r="L24" s="263"/>
      <c r="M24" s="139"/>
      <c r="N24" s="139"/>
      <c r="O24" s="139">
        <f t="shared" si="1"/>
        <v>970000</v>
      </c>
      <c r="P24" s="139">
        <v>4318182</v>
      </c>
      <c r="Q24" s="139">
        <f t="shared" si="0"/>
        <v>3348182</v>
      </c>
      <c r="R24" s="215"/>
    </row>
    <row r="25" spans="1:18" s="144" customFormat="1" ht="20.45" customHeight="1" x14ac:dyDescent="0.25">
      <c r="A25" s="211">
        <v>18</v>
      </c>
      <c r="B25" s="328">
        <v>44336</v>
      </c>
      <c r="C25" s="134" t="s">
        <v>3691</v>
      </c>
      <c r="D25" s="211" t="s">
        <v>3714</v>
      </c>
      <c r="E25" s="136" t="s">
        <v>201</v>
      </c>
      <c r="F25" s="134"/>
      <c r="G25" s="134">
        <v>342</v>
      </c>
      <c r="H25" s="139">
        <f t="shared" ref="H25:H35" si="3">G25*14770</f>
        <v>5051340</v>
      </c>
      <c r="I25" s="134"/>
      <c r="J25" s="226">
        <v>650000</v>
      </c>
      <c r="K25" s="139"/>
      <c r="L25" s="263"/>
      <c r="M25" s="139"/>
      <c r="N25" s="139"/>
      <c r="O25" s="139">
        <f t="shared" si="1"/>
        <v>5701340</v>
      </c>
      <c r="P25" s="139">
        <v>3100000</v>
      </c>
      <c r="Q25" s="139">
        <f t="shared" si="0"/>
        <v>-2601340</v>
      </c>
      <c r="R25" s="215"/>
    </row>
    <row r="26" spans="1:18" s="144" customFormat="1" ht="20.45" customHeight="1" x14ac:dyDescent="0.25">
      <c r="A26" s="211">
        <v>19</v>
      </c>
      <c r="B26" s="328">
        <v>44337</v>
      </c>
      <c r="C26" s="134" t="s">
        <v>3692</v>
      </c>
      <c r="D26" s="211" t="s">
        <v>3715</v>
      </c>
      <c r="E26" s="136" t="s">
        <v>894</v>
      </c>
      <c r="F26" s="134"/>
      <c r="G26" s="134"/>
      <c r="H26" s="139"/>
      <c r="I26" s="134"/>
      <c r="J26" s="226">
        <v>860000</v>
      </c>
      <c r="K26" s="139"/>
      <c r="L26" s="263"/>
      <c r="M26" s="139"/>
      <c r="N26" s="139"/>
      <c r="O26" s="139">
        <f t="shared" ref="O26:O35" si="4">SUM(H26:N26)</f>
        <v>860000</v>
      </c>
      <c r="P26" s="139">
        <v>2450000</v>
      </c>
      <c r="Q26" s="139">
        <f t="shared" si="0"/>
        <v>1590000</v>
      </c>
      <c r="R26" s="215"/>
    </row>
    <row r="27" spans="1:18" s="144" customFormat="1" ht="20.45" customHeight="1" x14ac:dyDescent="0.25">
      <c r="A27" s="211">
        <v>20</v>
      </c>
      <c r="B27" s="328">
        <v>44338</v>
      </c>
      <c r="C27" s="134" t="s">
        <v>3693</v>
      </c>
      <c r="D27" s="211" t="s">
        <v>3715</v>
      </c>
      <c r="E27" s="136" t="s">
        <v>24</v>
      </c>
      <c r="F27" s="134"/>
      <c r="G27" s="134"/>
      <c r="H27" s="139"/>
      <c r="I27" s="134"/>
      <c r="J27" s="226">
        <v>300000</v>
      </c>
      <c r="K27" s="139"/>
      <c r="L27" s="263"/>
      <c r="M27" s="139"/>
      <c r="N27" s="139"/>
      <c r="O27" s="139">
        <f t="shared" si="4"/>
        <v>300000</v>
      </c>
      <c r="P27" s="139">
        <v>2100000</v>
      </c>
      <c r="Q27" s="139">
        <f t="shared" si="0"/>
        <v>1800000</v>
      </c>
      <c r="R27" s="215"/>
    </row>
    <row r="28" spans="1:18" s="144" customFormat="1" ht="20.45" customHeight="1" x14ac:dyDescent="0.25">
      <c r="A28" s="211">
        <v>21</v>
      </c>
      <c r="B28" s="328">
        <v>44340</v>
      </c>
      <c r="C28" s="134" t="s">
        <v>3694</v>
      </c>
      <c r="D28" s="211" t="s">
        <v>3716</v>
      </c>
      <c r="E28" s="136" t="s">
        <v>3727</v>
      </c>
      <c r="F28" s="134"/>
      <c r="G28" s="134">
        <v>270</v>
      </c>
      <c r="H28" s="139">
        <f t="shared" si="3"/>
        <v>3987900</v>
      </c>
      <c r="I28" s="134"/>
      <c r="J28" s="226">
        <v>1150000</v>
      </c>
      <c r="K28" s="139"/>
      <c r="L28" s="263"/>
      <c r="M28" s="139"/>
      <c r="N28" s="139"/>
      <c r="O28" s="139">
        <f t="shared" si="4"/>
        <v>5137900</v>
      </c>
      <c r="P28" s="139">
        <v>4163636</v>
      </c>
      <c r="Q28" s="139">
        <f t="shared" si="0"/>
        <v>-974264</v>
      </c>
      <c r="R28" s="215"/>
    </row>
    <row r="29" spans="1:18" s="144" customFormat="1" ht="20.45" customHeight="1" x14ac:dyDescent="0.25">
      <c r="A29" s="211">
        <v>22</v>
      </c>
      <c r="B29" s="328">
        <v>44340</v>
      </c>
      <c r="C29" s="134" t="s">
        <v>1720</v>
      </c>
      <c r="D29" s="211" t="s">
        <v>3717</v>
      </c>
      <c r="E29" s="136" t="s">
        <v>3728</v>
      </c>
      <c r="F29" s="134"/>
      <c r="G29" s="134"/>
      <c r="H29" s="139"/>
      <c r="I29" s="134"/>
      <c r="J29" s="226">
        <v>650000</v>
      </c>
      <c r="K29" s="139"/>
      <c r="L29" s="263"/>
      <c r="M29" s="139"/>
      <c r="N29" s="139"/>
      <c r="O29" s="139">
        <f t="shared" si="4"/>
        <v>650000</v>
      </c>
      <c r="P29" s="139">
        <v>2363636</v>
      </c>
      <c r="Q29" s="139">
        <f t="shared" si="0"/>
        <v>1713636</v>
      </c>
      <c r="R29" s="215"/>
    </row>
    <row r="30" spans="1:18" s="144" customFormat="1" ht="20.45" customHeight="1" x14ac:dyDescent="0.25">
      <c r="A30" s="211">
        <v>23</v>
      </c>
      <c r="B30" s="328">
        <v>44340</v>
      </c>
      <c r="C30" s="134" t="s">
        <v>3695</v>
      </c>
      <c r="D30" s="211" t="s">
        <v>3718</v>
      </c>
      <c r="E30" s="136" t="s">
        <v>3729</v>
      </c>
      <c r="F30" s="134"/>
      <c r="G30" s="134"/>
      <c r="H30" s="139"/>
      <c r="I30" s="134"/>
      <c r="J30" s="226">
        <v>300000</v>
      </c>
      <c r="K30" s="139"/>
      <c r="L30" s="263"/>
      <c r="M30" s="139"/>
      <c r="N30" s="139"/>
      <c r="O30" s="139">
        <f t="shared" si="4"/>
        <v>300000</v>
      </c>
      <c r="P30" s="139">
        <v>1481818</v>
      </c>
      <c r="Q30" s="139">
        <f t="shared" si="0"/>
        <v>1181818</v>
      </c>
      <c r="R30" s="215"/>
    </row>
    <row r="31" spans="1:18" s="144" customFormat="1" ht="20.45" customHeight="1" x14ac:dyDescent="0.25">
      <c r="A31" s="211">
        <v>24</v>
      </c>
      <c r="B31" s="328">
        <v>44342</v>
      </c>
      <c r="C31" s="134" t="s">
        <v>3696</v>
      </c>
      <c r="D31" s="211" t="s">
        <v>3719</v>
      </c>
      <c r="E31" s="136" t="s">
        <v>2883</v>
      </c>
      <c r="F31" s="134"/>
      <c r="G31" s="134">
        <v>280</v>
      </c>
      <c r="H31" s="139">
        <f t="shared" si="3"/>
        <v>4135600</v>
      </c>
      <c r="I31" s="134"/>
      <c r="J31" s="226">
        <v>790000</v>
      </c>
      <c r="K31" s="139"/>
      <c r="L31" s="263"/>
      <c r="M31" s="139"/>
      <c r="N31" s="139"/>
      <c r="O31" s="139">
        <f t="shared" si="4"/>
        <v>4925600</v>
      </c>
      <c r="P31" s="139">
        <v>2954545</v>
      </c>
      <c r="Q31" s="139">
        <f t="shared" si="0"/>
        <v>-1971055</v>
      </c>
      <c r="R31" s="215"/>
    </row>
    <row r="32" spans="1:18" s="144" customFormat="1" ht="20.45" customHeight="1" x14ac:dyDescent="0.25">
      <c r="A32" s="211">
        <v>25</v>
      </c>
      <c r="B32" s="328">
        <v>44342</v>
      </c>
      <c r="C32" s="134" t="s">
        <v>3697</v>
      </c>
      <c r="D32" s="211" t="s">
        <v>3720</v>
      </c>
      <c r="E32" s="136" t="s">
        <v>2800</v>
      </c>
      <c r="F32" s="134"/>
      <c r="G32" s="134"/>
      <c r="H32" s="139"/>
      <c r="I32" s="134"/>
      <c r="J32" s="226">
        <v>970000</v>
      </c>
      <c r="K32" s="139"/>
      <c r="L32" s="263"/>
      <c r="M32" s="139"/>
      <c r="N32" s="139"/>
      <c r="O32" s="139">
        <f t="shared" si="4"/>
        <v>970000</v>
      </c>
      <c r="P32" s="139">
        <v>3345455</v>
      </c>
      <c r="Q32" s="139">
        <f t="shared" si="0"/>
        <v>2375455</v>
      </c>
      <c r="R32" s="215"/>
    </row>
    <row r="33" spans="1:24" s="144" customFormat="1" ht="20.45" customHeight="1" x14ac:dyDescent="0.25">
      <c r="A33" s="211">
        <v>26</v>
      </c>
      <c r="B33" s="328">
        <v>44344</v>
      </c>
      <c r="C33" s="134" t="s">
        <v>2411</v>
      </c>
      <c r="D33" s="211" t="s">
        <v>3721</v>
      </c>
      <c r="E33" s="136" t="s">
        <v>2059</v>
      </c>
      <c r="F33" s="134"/>
      <c r="G33" s="134"/>
      <c r="H33" s="139"/>
      <c r="I33" s="134"/>
      <c r="J33" s="226">
        <v>1400000</v>
      </c>
      <c r="K33" s="139"/>
      <c r="L33" s="263"/>
      <c r="M33" s="139"/>
      <c r="N33" s="139"/>
      <c r="O33" s="139">
        <f t="shared" si="4"/>
        <v>1400000</v>
      </c>
      <c r="P33" s="139">
        <v>5909091</v>
      </c>
      <c r="Q33" s="139">
        <f t="shared" si="0"/>
        <v>4509091</v>
      </c>
      <c r="R33" s="215"/>
    </row>
    <row r="34" spans="1:24" s="144" customFormat="1" ht="20.45" customHeight="1" x14ac:dyDescent="0.25">
      <c r="A34" s="211">
        <v>27</v>
      </c>
      <c r="B34" s="328">
        <v>44345</v>
      </c>
      <c r="C34" s="134" t="s">
        <v>3698</v>
      </c>
      <c r="D34" s="211" t="s">
        <v>3722</v>
      </c>
      <c r="E34" s="136" t="s">
        <v>3730</v>
      </c>
      <c r="F34" s="134"/>
      <c r="G34" s="134">
        <v>310</v>
      </c>
      <c r="H34" s="139">
        <f t="shared" si="3"/>
        <v>4578700</v>
      </c>
      <c r="I34" s="134"/>
      <c r="J34" s="226">
        <v>1130000</v>
      </c>
      <c r="K34" s="139"/>
      <c r="L34" s="263"/>
      <c r="M34" s="139"/>
      <c r="N34" s="139"/>
      <c r="O34" s="139">
        <f t="shared" si="4"/>
        <v>5708700</v>
      </c>
      <c r="P34" s="139">
        <v>4872727</v>
      </c>
      <c r="Q34" s="139">
        <f t="shared" si="0"/>
        <v>-835973</v>
      </c>
      <c r="R34" s="215"/>
    </row>
    <row r="35" spans="1:24" s="144" customFormat="1" ht="20.45" customHeight="1" x14ac:dyDescent="0.25">
      <c r="A35" s="211">
        <v>28</v>
      </c>
      <c r="B35" s="328">
        <v>44347</v>
      </c>
      <c r="C35" s="134" t="s">
        <v>3699</v>
      </c>
      <c r="D35" s="211" t="s">
        <v>3723</v>
      </c>
      <c r="E35" s="136" t="s">
        <v>1568</v>
      </c>
      <c r="F35" s="134"/>
      <c r="G35" s="134">
        <v>230</v>
      </c>
      <c r="H35" s="139">
        <f t="shared" si="3"/>
        <v>3397100</v>
      </c>
      <c r="I35" s="134"/>
      <c r="J35" s="226">
        <v>1150000</v>
      </c>
      <c r="K35" s="139"/>
      <c r="L35" s="263"/>
      <c r="M35" s="139"/>
      <c r="N35" s="139"/>
      <c r="O35" s="139">
        <f t="shared" si="4"/>
        <v>4547100</v>
      </c>
      <c r="P35" s="139">
        <v>3845455</v>
      </c>
      <c r="Q35" s="139">
        <f t="shared" si="0"/>
        <v>-701645</v>
      </c>
      <c r="R35" s="215" t="s">
        <v>3731</v>
      </c>
    </row>
    <row r="36" spans="1:24" s="144" customFormat="1" ht="20.45" customHeight="1" x14ac:dyDescent="0.25">
      <c r="A36" s="211"/>
      <c r="B36" s="328"/>
      <c r="C36" s="134"/>
      <c r="D36" s="211"/>
      <c r="E36" s="136"/>
      <c r="F36" s="134"/>
      <c r="G36" s="134"/>
      <c r="H36" s="139"/>
      <c r="I36" s="134"/>
      <c r="J36" s="139"/>
      <c r="K36" s="139"/>
      <c r="L36" s="263"/>
      <c r="M36" s="139"/>
      <c r="N36" s="139"/>
      <c r="O36" s="139"/>
      <c r="P36" s="139"/>
      <c r="Q36" s="139"/>
      <c r="R36" s="143"/>
      <c r="S36" s="128"/>
      <c r="T36" s="128"/>
      <c r="U36" s="128"/>
      <c r="V36" s="128"/>
      <c r="W36" s="128"/>
      <c r="X36" s="128"/>
    </row>
    <row r="37" spans="1:24" s="144" customFormat="1" ht="20.45" customHeight="1" x14ac:dyDescent="0.25">
      <c r="A37" s="211"/>
      <c r="B37" s="328"/>
      <c r="C37" s="134"/>
      <c r="D37" s="211"/>
      <c r="E37" s="136"/>
      <c r="F37" s="134"/>
      <c r="G37" s="134"/>
      <c r="H37" s="139"/>
      <c r="I37" s="134"/>
      <c r="J37" s="139"/>
      <c r="K37" s="139"/>
      <c r="L37" s="263"/>
      <c r="M37" s="139"/>
      <c r="N37" s="139"/>
      <c r="O37" s="139"/>
      <c r="P37" s="139"/>
      <c r="Q37" s="139"/>
      <c r="R37" s="215"/>
    </row>
    <row r="38" spans="1:24" s="144" customFormat="1" ht="20.45" customHeight="1" x14ac:dyDescent="0.25">
      <c r="A38" s="211"/>
      <c r="B38" s="191"/>
      <c r="C38" s="449" t="s">
        <v>3732</v>
      </c>
      <c r="D38" s="449"/>
      <c r="E38" s="449"/>
      <c r="F38" s="449"/>
      <c r="G38" s="195"/>
      <c r="H38" s="155"/>
      <c r="I38" s="195"/>
      <c r="J38" s="155"/>
      <c r="K38" s="219"/>
      <c r="L38" s="347">
        <v>133500</v>
      </c>
      <c r="M38" s="139"/>
      <c r="N38" s="139"/>
      <c r="O38" s="139">
        <f>SUM(H38:N38)</f>
        <v>133500</v>
      </c>
      <c r="P38" s="141"/>
      <c r="Q38" s="139"/>
      <c r="R38" s="215"/>
    </row>
    <row r="39" spans="1:24" s="144" customFormat="1" ht="24.95" customHeight="1" x14ac:dyDescent="0.25">
      <c r="A39" s="211"/>
      <c r="B39" s="191"/>
      <c r="C39" s="440" t="s">
        <v>3733</v>
      </c>
      <c r="D39" s="441"/>
      <c r="E39" s="442"/>
      <c r="F39" s="196"/>
      <c r="G39" s="195"/>
      <c r="H39" s="155"/>
      <c r="I39" s="195"/>
      <c r="J39" s="155"/>
      <c r="K39" s="219"/>
      <c r="L39" s="185">
        <v>500000</v>
      </c>
      <c r="M39" s="139"/>
      <c r="N39" s="139"/>
      <c r="O39" s="139">
        <f>SUM(H39:N39)</f>
        <v>500000</v>
      </c>
      <c r="P39" s="141"/>
      <c r="Q39" s="139"/>
      <c r="R39" s="215"/>
    </row>
    <row r="40" spans="1:24" s="144" customFormat="1" ht="24.95" customHeight="1" x14ac:dyDescent="0.25">
      <c r="A40" s="211"/>
      <c r="B40" s="191"/>
      <c r="C40" s="440" t="s">
        <v>3734</v>
      </c>
      <c r="D40" s="441"/>
      <c r="E40" s="442"/>
      <c r="F40" s="196"/>
      <c r="G40" s="195"/>
      <c r="H40" s="155"/>
      <c r="I40" s="195"/>
      <c r="J40" s="155"/>
      <c r="K40" s="219"/>
      <c r="L40" s="185">
        <v>120000</v>
      </c>
      <c r="M40" s="139"/>
      <c r="N40" s="139"/>
      <c r="O40" s="139">
        <f t="shared" ref="O40:O45" si="5">SUM(H40:N40)</f>
        <v>120000</v>
      </c>
      <c r="P40" s="141"/>
      <c r="Q40" s="139"/>
      <c r="R40" s="215"/>
    </row>
    <row r="41" spans="1:24" s="144" customFormat="1" ht="24.95" customHeight="1" x14ac:dyDescent="0.25">
      <c r="A41" s="211"/>
      <c r="B41" s="191"/>
      <c r="C41" s="440" t="s">
        <v>3735</v>
      </c>
      <c r="D41" s="441"/>
      <c r="E41" s="442"/>
      <c r="F41" s="196"/>
      <c r="G41" s="195"/>
      <c r="H41" s="155"/>
      <c r="I41" s="195"/>
      <c r="J41" s="155"/>
      <c r="K41" s="219"/>
      <c r="L41" s="185">
        <v>7150000</v>
      </c>
      <c r="M41" s="139"/>
      <c r="N41" s="139"/>
      <c r="O41" s="139">
        <f t="shared" si="5"/>
        <v>7150000</v>
      </c>
      <c r="P41" s="141"/>
      <c r="Q41" s="139"/>
      <c r="R41" s="215"/>
    </row>
    <row r="42" spans="1:24" s="144" customFormat="1" ht="24.95" customHeight="1" x14ac:dyDescent="0.25">
      <c r="A42" s="211"/>
      <c r="B42" s="191"/>
      <c r="C42" s="452" t="s">
        <v>3736</v>
      </c>
      <c r="D42" s="453"/>
      <c r="E42" s="454"/>
      <c r="F42" s="196"/>
      <c r="G42" s="195"/>
      <c r="H42" s="155"/>
      <c r="I42" s="195"/>
      <c r="J42" s="155"/>
      <c r="K42" s="219"/>
      <c r="L42" s="185">
        <v>20430000</v>
      </c>
      <c r="M42" s="139"/>
      <c r="N42" s="219"/>
      <c r="O42" s="139">
        <f t="shared" si="5"/>
        <v>20430000</v>
      </c>
      <c r="P42" s="141"/>
      <c r="Q42" s="139"/>
      <c r="R42" s="215"/>
    </row>
    <row r="43" spans="1:24" s="144" customFormat="1" ht="24.95" customHeight="1" x14ac:dyDescent="0.25">
      <c r="A43" s="211"/>
      <c r="B43" s="191"/>
      <c r="C43" s="452" t="s">
        <v>3737</v>
      </c>
      <c r="D43" s="453"/>
      <c r="E43" s="454"/>
      <c r="F43" s="196"/>
      <c r="G43" s="195"/>
      <c r="H43" s="155"/>
      <c r="I43" s="195"/>
      <c r="J43" s="155"/>
      <c r="K43" s="219"/>
      <c r="L43" s="185">
        <v>1300000</v>
      </c>
      <c r="M43" s="139"/>
      <c r="N43" s="139"/>
      <c r="O43" s="139">
        <f t="shared" si="5"/>
        <v>1300000</v>
      </c>
      <c r="P43" s="141"/>
      <c r="Q43" s="139"/>
      <c r="R43" s="215"/>
    </row>
    <row r="44" spans="1:24" s="144" customFormat="1" ht="24.95" customHeight="1" x14ac:dyDescent="0.25">
      <c r="A44" s="211"/>
      <c r="B44" s="191"/>
      <c r="C44" s="452" t="s">
        <v>3738</v>
      </c>
      <c r="D44" s="453"/>
      <c r="E44" s="454"/>
      <c r="F44" s="196"/>
      <c r="G44" s="195"/>
      <c r="H44" s="155"/>
      <c r="I44" s="195"/>
      <c r="J44" s="155"/>
      <c r="K44" s="185">
        <f>26/26*9000000</f>
        <v>9000000</v>
      </c>
      <c r="L44" s="219"/>
      <c r="M44" s="139"/>
      <c r="N44" s="139"/>
      <c r="O44" s="139">
        <f t="shared" si="5"/>
        <v>9000000</v>
      </c>
      <c r="P44" s="141"/>
      <c r="Q44" s="139"/>
      <c r="R44" s="215"/>
    </row>
    <row r="45" spans="1:24" s="144" customFormat="1" ht="24.95" customHeight="1" x14ac:dyDescent="0.25">
      <c r="A45" s="211"/>
      <c r="B45" s="191"/>
      <c r="C45" s="452" t="s">
        <v>26</v>
      </c>
      <c r="D45" s="453"/>
      <c r="E45" s="454"/>
      <c r="F45" s="196"/>
      <c r="G45" s="195"/>
      <c r="H45" s="155"/>
      <c r="I45" s="195"/>
      <c r="J45" s="155"/>
      <c r="K45" s="219"/>
      <c r="L45" s="185">
        <v>1200000</v>
      </c>
      <c r="M45" s="139"/>
      <c r="N45" s="139"/>
      <c r="O45" s="139">
        <f t="shared" si="5"/>
        <v>1200000</v>
      </c>
      <c r="P45" s="141"/>
      <c r="Q45" s="139"/>
      <c r="R45" s="215"/>
    </row>
    <row r="46" spans="1:24" ht="20.45" customHeight="1" x14ac:dyDescent="0.25">
      <c r="A46" s="450" t="s">
        <v>20</v>
      </c>
      <c r="B46" s="450"/>
      <c r="C46" s="450"/>
      <c r="D46" s="450"/>
      <c r="E46" s="450"/>
      <c r="F46" s="450"/>
      <c r="G46" s="334">
        <f t="shared" ref="G46:P46" si="6">SUM(G8:G45)</f>
        <v>2943</v>
      </c>
      <c r="H46" s="334">
        <f t="shared" si="6"/>
        <v>42903810</v>
      </c>
      <c r="I46" s="334">
        <f t="shared" si="6"/>
        <v>0</v>
      </c>
      <c r="J46" s="334">
        <f t="shared" si="6"/>
        <v>28640000</v>
      </c>
      <c r="K46" s="334">
        <f t="shared" si="6"/>
        <v>9000000</v>
      </c>
      <c r="L46" s="334">
        <f t="shared" si="6"/>
        <v>30833500</v>
      </c>
      <c r="M46" s="334">
        <f t="shared" si="6"/>
        <v>0</v>
      </c>
      <c r="N46" s="334">
        <f t="shared" si="6"/>
        <v>0</v>
      </c>
      <c r="O46" s="334">
        <f t="shared" si="6"/>
        <v>111377310</v>
      </c>
      <c r="P46" s="334">
        <f t="shared" si="6"/>
        <v>120291819</v>
      </c>
      <c r="Q46" s="334">
        <f>P46-O46</f>
        <v>8914509</v>
      </c>
    </row>
    <row r="47" spans="1:24" ht="24.95" customHeight="1" x14ac:dyDescent="0.25">
      <c r="O47" s="158"/>
      <c r="Q47" s="158"/>
    </row>
    <row r="48" spans="1:24" ht="13.9" customHeight="1" x14ac:dyDescent="0.25">
      <c r="P48" s="216" t="s">
        <v>1603</v>
      </c>
      <c r="Q48" s="227">
        <f>'04.2021'!Q52+'05.2021'!Q46</f>
        <v>28149467.769230772</v>
      </c>
      <c r="S48" s="216"/>
    </row>
    <row r="49" spans="1:18" ht="13.9" customHeight="1" x14ac:dyDescent="0.25">
      <c r="B49" s="129"/>
      <c r="J49" s="128"/>
      <c r="K49" s="128"/>
      <c r="L49" s="128"/>
      <c r="N49" s="128"/>
      <c r="O49" s="128"/>
      <c r="P49" s="218"/>
      <c r="Q49" s="216"/>
    </row>
    <row r="50" spans="1:18" ht="13.9" customHeight="1" x14ac:dyDescent="0.25">
      <c r="B50" s="129"/>
      <c r="H50" s="128"/>
      <c r="J50" s="128"/>
      <c r="K50" s="128"/>
      <c r="L50" s="128"/>
      <c r="M50" s="128"/>
      <c r="N50" s="128"/>
      <c r="O50" s="128"/>
      <c r="P50" s="218"/>
      <c r="Q50" s="230"/>
    </row>
    <row r="51" spans="1:18" ht="13.9" customHeight="1" x14ac:dyDescent="0.25">
      <c r="B51" s="129"/>
      <c r="H51" s="128"/>
      <c r="J51" s="128"/>
      <c r="K51" s="128"/>
      <c r="L51" s="128"/>
      <c r="M51" s="128"/>
      <c r="N51" s="128"/>
      <c r="O51" s="128"/>
      <c r="P51" s="218"/>
      <c r="Q51" s="230"/>
      <c r="R51" s="143"/>
    </row>
    <row r="52" spans="1:18" ht="13.9" customHeight="1" x14ac:dyDescent="0.25">
      <c r="B52" s="129"/>
      <c r="H52" s="128"/>
      <c r="J52" s="128"/>
      <c r="K52" s="128"/>
      <c r="L52" s="128"/>
      <c r="M52" s="128"/>
      <c r="N52" s="128"/>
      <c r="O52" s="128"/>
      <c r="P52" s="218"/>
      <c r="Q52" s="216"/>
      <c r="R52" s="143"/>
    </row>
    <row r="53" spans="1:18" x14ac:dyDescent="0.25">
      <c r="B53" s="129"/>
      <c r="H53" s="128"/>
      <c r="J53" s="128"/>
      <c r="K53" s="128"/>
      <c r="L53" s="128"/>
      <c r="M53" s="128"/>
      <c r="N53" s="128"/>
      <c r="O53" s="128"/>
      <c r="P53" s="218"/>
      <c r="Q53" s="216"/>
    </row>
    <row r="54" spans="1:18" x14ac:dyDescent="0.25">
      <c r="A54" s="128"/>
      <c r="B54" s="129"/>
      <c r="H54" s="128"/>
      <c r="J54" s="128"/>
      <c r="K54" s="128"/>
      <c r="L54" s="128"/>
      <c r="M54" s="128"/>
      <c r="N54" s="128"/>
      <c r="O54" s="128"/>
      <c r="P54" s="218"/>
      <c r="Q54" s="216"/>
    </row>
    <row r="55" spans="1:18" x14ac:dyDescent="0.25">
      <c r="A55" s="128"/>
      <c r="B55" s="129"/>
      <c r="H55" s="128"/>
      <c r="J55" s="128"/>
      <c r="K55" s="128"/>
      <c r="L55" s="128"/>
      <c r="M55" s="128"/>
      <c r="N55" s="128"/>
      <c r="O55" s="128"/>
      <c r="P55" s="218"/>
      <c r="Q55" s="216"/>
    </row>
    <row r="56" spans="1:18" x14ac:dyDescent="0.25">
      <c r="A56" s="128"/>
      <c r="B56" s="128"/>
      <c r="H56" s="128"/>
      <c r="J56" s="128"/>
      <c r="K56" s="128"/>
      <c r="L56" s="128"/>
      <c r="M56" s="128"/>
      <c r="N56" s="128"/>
      <c r="O56" s="128"/>
      <c r="P56" s="128"/>
      <c r="Q56" s="216"/>
    </row>
    <row r="57" spans="1:18" x14ac:dyDescent="0.25">
      <c r="A57" s="128"/>
      <c r="B57" s="128"/>
      <c r="H57" s="128"/>
      <c r="J57" s="128"/>
      <c r="K57" s="128"/>
      <c r="L57" s="128"/>
      <c r="M57" s="128"/>
      <c r="N57" s="128"/>
      <c r="O57" s="128"/>
      <c r="P57" s="128"/>
      <c r="Q57" s="216"/>
    </row>
  </sheetData>
  <mergeCells count="22">
    <mergeCell ref="A46:F46"/>
    <mergeCell ref="C41:E41"/>
    <mergeCell ref="C42:E42"/>
    <mergeCell ref="C43:E43"/>
    <mergeCell ref="C44:E44"/>
    <mergeCell ref="C45:E45"/>
    <mergeCell ref="C40:E40"/>
    <mergeCell ref="A1:Q1"/>
    <mergeCell ref="A2:Q2"/>
    <mergeCell ref="B3:Q3"/>
    <mergeCell ref="A5:A6"/>
    <mergeCell ref="B5:B6"/>
    <mergeCell ref="C5:C6"/>
    <mergeCell ref="D5:D6"/>
    <mergeCell ref="E5:E6"/>
    <mergeCell ref="F5:F6"/>
    <mergeCell ref="G5:N5"/>
    <mergeCell ref="O5:O6"/>
    <mergeCell ref="P5:P6"/>
    <mergeCell ref="Q5:Q6"/>
    <mergeCell ref="C38:F38"/>
    <mergeCell ref="C39:E39"/>
  </mergeCells>
  <pageMargins left="0.7" right="0.7" top="0.75" bottom="0.75" header="0.3" footer="0.3"/>
  <pageSetup paperSize="9" orientation="landscape" horizontalDpi="180" verticalDpi="18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57"/>
  <sheetViews>
    <sheetView topLeftCell="A28" zoomScaleNormal="100" workbookViewId="0">
      <selection activeCell="N43" sqref="N4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3739</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44348</v>
      </c>
      <c r="C8" s="134" t="s">
        <v>3101</v>
      </c>
      <c r="D8" s="211" t="s">
        <v>3756</v>
      </c>
      <c r="E8" s="136" t="s">
        <v>25</v>
      </c>
      <c r="F8" s="134"/>
      <c r="G8" s="134">
        <v>275</v>
      </c>
      <c r="H8" s="139">
        <f>G8*14770</f>
        <v>4061750</v>
      </c>
      <c r="I8" s="134"/>
      <c r="J8" s="226">
        <v>1890000</v>
      </c>
      <c r="K8" s="139"/>
      <c r="L8" s="263"/>
      <c r="M8" s="139"/>
      <c r="N8" s="139"/>
      <c r="O8" s="139">
        <f>SUM(H8:N8)</f>
        <v>5951750</v>
      </c>
      <c r="P8" s="139">
        <v>8572727</v>
      </c>
      <c r="Q8" s="139">
        <f>P8-O8</f>
        <v>2620977</v>
      </c>
      <c r="R8" s="215"/>
    </row>
    <row r="9" spans="1:18" s="144" customFormat="1" ht="20.45" customHeight="1" x14ac:dyDescent="0.25">
      <c r="A9" s="211">
        <v>2</v>
      </c>
      <c r="B9" s="328">
        <v>44348</v>
      </c>
      <c r="C9" s="134" t="s">
        <v>3101</v>
      </c>
      <c r="D9" s="211" t="s">
        <v>3757</v>
      </c>
      <c r="E9" s="136" t="s">
        <v>25</v>
      </c>
      <c r="F9" s="134"/>
      <c r="G9" s="134"/>
      <c r="H9" s="139">
        <f t="shared" ref="H9:H13" si="0">G9*14770</f>
        <v>0</v>
      </c>
      <c r="I9" s="134"/>
      <c r="J9" s="226">
        <v>300000</v>
      </c>
      <c r="K9" s="139"/>
      <c r="L9" s="263"/>
      <c r="M9" s="139"/>
      <c r="N9" s="139"/>
      <c r="O9" s="139">
        <f>SUM(H9:N9)</f>
        <v>300000</v>
      </c>
      <c r="P9" s="139">
        <v>0</v>
      </c>
      <c r="Q9" s="139">
        <f t="shared" ref="Q9:Q34" si="1">P9-O9</f>
        <v>-300000</v>
      </c>
      <c r="R9" s="215"/>
    </row>
    <row r="10" spans="1:18" s="144" customFormat="1" ht="20.45" customHeight="1" x14ac:dyDescent="0.25">
      <c r="A10" s="211">
        <v>3</v>
      </c>
      <c r="B10" s="328">
        <v>44349</v>
      </c>
      <c r="C10" s="134" t="s">
        <v>413</v>
      </c>
      <c r="D10" s="327" t="s">
        <v>3787</v>
      </c>
      <c r="E10" s="289" t="s">
        <v>3778</v>
      </c>
      <c r="F10" s="134"/>
      <c r="G10" s="134">
        <v>260</v>
      </c>
      <c r="H10" s="139">
        <f t="shared" si="0"/>
        <v>3840200</v>
      </c>
      <c r="I10" s="134"/>
      <c r="J10" s="226">
        <v>1150000</v>
      </c>
      <c r="K10" s="139"/>
      <c r="L10" s="263"/>
      <c r="M10" s="139"/>
      <c r="N10" s="139"/>
      <c r="O10" s="139">
        <f t="shared" ref="O10:O34" si="2">SUM(H10:N10)</f>
        <v>4990200</v>
      </c>
      <c r="P10" s="139">
        <v>3600000</v>
      </c>
      <c r="Q10" s="139">
        <f t="shared" si="1"/>
        <v>-1390200</v>
      </c>
      <c r="R10" s="215" t="s">
        <v>3790</v>
      </c>
    </row>
    <row r="11" spans="1:18" s="144" customFormat="1" ht="20.45" customHeight="1" x14ac:dyDescent="0.25">
      <c r="A11" s="211">
        <v>4</v>
      </c>
      <c r="B11" s="328">
        <v>44349</v>
      </c>
      <c r="C11" s="134" t="s">
        <v>3740</v>
      </c>
      <c r="D11" s="211" t="s">
        <v>3758</v>
      </c>
      <c r="E11" s="136" t="s">
        <v>3779</v>
      </c>
      <c r="F11" s="134"/>
      <c r="G11" s="134"/>
      <c r="H11" s="139">
        <f t="shared" si="0"/>
        <v>0</v>
      </c>
      <c r="I11" s="134"/>
      <c r="J11" s="226">
        <f>1500000+200000</f>
        <v>1700000</v>
      </c>
      <c r="K11" s="139"/>
      <c r="L11" s="263"/>
      <c r="M11" s="139"/>
      <c r="N11" s="139"/>
      <c r="O11" s="139">
        <f t="shared" si="2"/>
        <v>1700000</v>
      </c>
      <c r="P11" s="139">
        <v>6881818</v>
      </c>
      <c r="Q11" s="139">
        <f t="shared" si="1"/>
        <v>5181818</v>
      </c>
      <c r="R11" s="215"/>
    </row>
    <row r="12" spans="1:18" s="144" customFormat="1" ht="20.45" customHeight="1" x14ac:dyDescent="0.25">
      <c r="A12" s="211">
        <v>5</v>
      </c>
      <c r="B12" s="328">
        <v>44351</v>
      </c>
      <c r="C12" s="134" t="s">
        <v>3741</v>
      </c>
      <c r="D12" s="211" t="s">
        <v>3759</v>
      </c>
      <c r="E12" s="136" t="s">
        <v>3780</v>
      </c>
      <c r="F12" s="134"/>
      <c r="G12" s="134">
        <v>239</v>
      </c>
      <c r="H12" s="139">
        <f t="shared" si="0"/>
        <v>3530030</v>
      </c>
      <c r="I12" s="134"/>
      <c r="J12" s="226">
        <v>1190000</v>
      </c>
      <c r="K12" s="139"/>
      <c r="L12" s="263"/>
      <c r="M12" s="139"/>
      <c r="N12" s="139"/>
      <c r="O12" s="139">
        <f t="shared" si="2"/>
        <v>4720030</v>
      </c>
      <c r="P12" s="139">
        <v>4800000</v>
      </c>
      <c r="Q12" s="139">
        <f t="shared" si="1"/>
        <v>79970</v>
      </c>
      <c r="R12" s="215"/>
    </row>
    <row r="13" spans="1:18" s="144" customFormat="1" ht="20.45" customHeight="1" x14ac:dyDescent="0.25">
      <c r="A13" s="211">
        <v>6</v>
      </c>
      <c r="B13" s="328">
        <v>44354</v>
      </c>
      <c r="C13" s="134" t="s">
        <v>3107</v>
      </c>
      <c r="D13" s="211" t="s">
        <v>3760</v>
      </c>
      <c r="E13" s="136" t="s">
        <v>1284</v>
      </c>
      <c r="F13" s="134"/>
      <c r="G13" s="134">
        <v>364</v>
      </c>
      <c r="H13" s="139">
        <f t="shared" si="0"/>
        <v>5376280</v>
      </c>
      <c r="I13" s="134"/>
      <c r="J13" s="226">
        <v>2740000</v>
      </c>
      <c r="K13" s="139"/>
      <c r="L13" s="263"/>
      <c r="M13" s="139"/>
      <c r="N13" s="139"/>
      <c r="O13" s="139">
        <f t="shared" si="2"/>
        <v>8116280</v>
      </c>
      <c r="P13" s="139">
        <v>14636364</v>
      </c>
      <c r="Q13" s="139">
        <f t="shared" si="1"/>
        <v>6520084</v>
      </c>
      <c r="R13" s="215"/>
    </row>
    <row r="14" spans="1:18" s="144" customFormat="1" ht="20.45" customHeight="1" x14ac:dyDescent="0.25">
      <c r="A14" s="211">
        <v>7</v>
      </c>
      <c r="B14" s="328">
        <v>44355</v>
      </c>
      <c r="C14" s="134" t="s">
        <v>3742</v>
      </c>
      <c r="D14" s="211" t="s">
        <v>3761</v>
      </c>
      <c r="E14" s="136" t="s">
        <v>3663</v>
      </c>
      <c r="F14" s="134"/>
      <c r="G14" s="134">
        <v>33</v>
      </c>
      <c r="H14" s="139">
        <f>G14*15440</f>
        <v>509520</v>
      </c>
      <c r="I14" s="134"/>
      <c r="J14" s="226">
        <v>3820000</v>
      </c>
      <c r="K14" s="139"/>
      <c r="L14" s="263"/>
      <c r="M14" s="139"/>
      <c r="N14" s="139"/>
      <c r="O14" s="139">
        <f t="shared" si="2"/>
        <v>4329520</v>
      </c>
      <c r="P14" s="139">
        <v>19090909</v>
      </c>
      <c r="Q14" s="139">
        <f t="shared" si="1"/>
        <v>14761389</v>
      </c>
      <c r="R14" s="215"/>
    </row>
    <row r="15" spans="1:18" s="144" customFormat="1" ht="20.45" customHeight="1" x14ac:dyDescent="0.25">
      <c r="A15" s="211">
        <v>8</v>
      </c>
      <c r="B15" s="328">
        <v>44355</v>
      </c>
      <c r="C15" s="134" t="s">
        <v>3742</v>
      </c>
      <c r="D15" s="211" t="s">
        <v>3762</v>
      </c>
      <c r="E15" s="136" t="s">
        <v>3663</v>
      </c>
      <c r="F15" s="134"/>
      <c r="G15" s="134">
        <v>90</v>
      </c>
      <c r="H15" s="139">
        <f t="shared" ref="H15:H31" si="3">G15*15440</f>
        <v>1389600</v>
      </c>
      <c r="I15" s="134"/>
      <c r="J15" s="226">
        <v>300000</v>
      </c>
      <c r="K15" s="139"/>
      <c r="L15" s="263"/>
      <c r="M15" s="139"/>
      <c r="N15" s="139"/>
      <c r="O15" s="139">
        <f t="shared" si="2"/>
        <v>1689600</v>
      </c>
      <c r="P15" s="139">
        <v>0</v>
      </c>
      <c r="Q15" s="139">
        <f t="shared" si="1"/>
        <v>-1689600</v>
      </c>
      <c r="R15" s="215"/>
    </row>
    <row r="16" spans="1:18" s="144" customFormat="1" ht="20.45" customHeight="1" x14ac:dyDescent="0.25">
      <c r="A16" s="211">
        <v>9</v>
      </c>
      <c r="B16" s="328">
        <v>44357</v>
      </c>
      <c r="C16" s="134" t="s">
        <v>3743</v>
      </c>
      <c r="D16" s="211" t="s">
        <v>3763</v>
      </c>
      <c r="E16" s="136" t="s">
        <v>1218</v>
      </c>
      <c r="F16" s="134"/>
      <c r="G16" s="134">
        <v>83</v>
      </c>
      <c r="H16" s="139">
        <f t="shared" si="3"/>
        <v>1281520</v>
      </c>
      <c r="I16" s="134"/>
      <c r="J16" s="226">
        <v>1150000</v>
      </c>
      <c r="K16" s="139"/>
      <c r="L16" s="263"/>
      <c r="M16" s="139"/>
      <c r="N16" s="139"/>
      <c r="O16" s="139">
        <f t="shared" si="2"/>
        <v>2431520</v>
      </c>
      <c r="P16" s="139">
        <v>4000000</v>
      </c>
      <c r="Q16" s="139">
        <f t="shared" si="1"/>
        <v>1568480</v>
      </c>
      <c r="R16" s="215"/>
    </row>
    <row r="17" spans="1:18" s="144" customFormat="1" ht="20.45" customHeight="1" x14ac:dyDescent="0.25">
      <c r="A17" s="211">
        <v>10</v>
      </c>
      <c r="B17" s="328">
        <v>44359</v>
      </c>
      <c r="C17" s="134" t="s">
        <v>3744</v>
      </c>
      <c r="D17" s="211" t="s">
        <v>3764</v>
      </c>
      <c r="E17" s="136" t="s">
        <v>1865</v>
      </c>
      <c r="F17" s="134"/>
      <c r="G17" s="134">
        <v>117</v>
      </c>
      <c r="H17" s="139">
        <f t="shared" si="3"/>
        <v>1806480</v>
      </c>
      <c r="I17" s="134"/>
      <c r="J17" s="226">
        <f>790000</f>
        <v>790000</v>
      </c>
      <c r="K17" s="139"/>
      <c r="L17" s="263"/>
      <c r="M17" s="139"/>
      <c r="N17" s="139"/>
      <c r="O17" s="139">
        <f t="shared" si="2"/>
        <v>2596480</v>
      </c>
      <c r="P17" s="139">
        <v>2909091</v>
      </c>
      <c r="Q17" s="139">
        <f t="shared" si="1"/>
        <v>312611</v>
      </c>
      <c r="R17" s="215"/>
    </row>
    <row r="18" spans="1:18" s="144" customFormat="1" ht="20.45" customHeight="1" x14ac:dyDescent="0.25">
      <c r="A18" s="211">
        <v>11</v>
      </c>
      <c r="B18" s="328">
        <v>44359</v>
      </c>
      <c r="C18" s="134" t="s">
        <v>3745</v>
      </c>
      <c r="D18" s="211" t="s">
        <v>3765</v>
      </c>
      <c r="E18" s="136" t="s">
        <v>3781</v>
      </c>
      <c r="F18" s="134"/>
      <c r="G18" s="214"/>
      <c r="H18" s="208">
        <f t="shared" si="3"/>
        <v>0</v>
      </c>
      <c r="I18" s="134"/>
      <c r="J18" s="226">
        <v>1150000</v>
      </c>
      <c r="K18" s="139"/>
      <c r="L18" s="263"/>
      <c r="M18" s="139"/>
      <c r="N18" s="139"/>
      <c r="O18" s="139">
        <f t="shared" si="2"/>
        <v>1150000</v>
      </c>
      <c r="P18" s="139">
        <v>3860000</v>
      </c>
      <c r="Q18" s="139">
        <f t="shared" si="1"/>
        <v>2710000</v>
      </c>
      <c r="R18" s="215"/>
    </row>
    <row r="19" spans="1:18" s="144" customFormat="1" ht="20.45" customHeight="1" x14ac:dyDescent="0.25">
      <c r="A19" s="211">
        <v>12</v>
      </c>
      <c r="B19" s="328">
        <v>44361</v>
      </c>
      <c r="C19" s="134" t="s">
        <v>3746</v>
      </c>
      <c r="D19" s="211" t="s">
        <v>3765</v>
      </c>
      <c r="E19" s="136" t="s">
        <v>3277</v>
      </c>
      <c r="F19" s="134"/>
      <c r="G19" s="214"/>
      <c r="H19" s="208">
        <f t="shared" si="3"/>
        <v>0</v>
      </c>
      <c r="I19" s="134"/>
      <c r="J19" s="226">
        <v>300000</v>
      </c>
      <c r="K19" s="139"/>
      <c r="L19" s="263"/>
      <c r="M19" s="139"/>
      <c r="N19" s="139"/>
      <c r="O19" s="139">
        <f t="shared" si="2"/>
        <v>300000</v>
      </c>
      <c r="P19" s="139">
        <v>1000000</v>
      </c>
      <c r="Q19" s="139">
        <f t="shared" si="1"/>
        <v>700000</v>
      </c>
      <c r="R19" s="215"/>
    </row>
    <row r="20" spans="1:18" s="144" customFormat="1" ht="20.45" customHeight="1" x14ac:dyDescent="0.25">
      <c r="A20" s="211">
        <v>13</v>
      </c>
      <c r="B20" s="328">
        <v>44361</v>
      </c>
      <c r="C20" s="134" t="s">
        <v>3747</v>
      </c>
      <c r="D20" s="211" t="s">
        <v>3766</v>
      </c>
      <c r="E20" s="136" t="s">
        <v>2798</v>
      </c>
      <c r="F20" s="134"/>
      <c r="G20" s="134">
        <v>180</v>
      </c>
      <c r="H20" s="139">
        <f t="shared" si="3"/>
        <v>2779200</v>
      </c>
      <c r="I20" s="134"/>
      <c r="J20" s="226">
        <v>1150000</v>
      </c>
      <c r="K20" s="139"/>
      <c r="L20" s="263"/>
      <c r="M20" s="139"/>
      <c r="N20" s="139"/>
      <c r="O20" s="139">
        <f t="shared" si="2"/>
        <v>3929200</v>
      </c>
      <c r="P20" s="139">
        <v>5000000</v>
      </c>
      <c r="Q20" s="139">
        <f t="shared" si="1"/>
        <v>1070800</v>
      </c>
      <c r="R20" s="215"/>
    </row>
    <row r="21" spans="1:18" s="144" customFormat="1" ht="20.45" customHeight="1" x14ac:dyDescent="0.25">
      <c r="A21" s="211">
        <v>14</v>
      </c>
      <c r="B21" s="328">
        <v>44362</v>
      </c>
      <c r="C21" s="134" t="s">
        <v>3748</v>
      </c>
      <c r="D21" s="211" t="s">
        <v>3767</v>
      </c>
      <c r="E21" s="136" t="s">
        <v>25</v>
      </c>
      <c r="F21" s="134"/>
      <c r="G21" s="134">
        <v>98</v>
      </c>
      <c r="H21" s="139">
        <f t="shared" si="3"/>
        <v>1513120</v>
      </c>
      <c r="I21" s="134"/>
      <c r="J21" s="226">
        <v>1890000</v>
      </c>
      <c r="K21" s="139"/>
      <c r="L21" s="263"/>
      <c r="M21" s="139"/>
      <c r="N21" s="139"/>
      <c r="O21" s="139">
        <f t="shared" si="2"/>
        <v>3403120</v>
      </c>
      <c r="P21" s="139">
        <v>8572727</v>
      </c>
      <c r="Q21" s="139">
        <f t="shared" si="1"/>
        <v>5169607</v>
      </c>
      <c r="R21" s="215"/>
    </row>
    <row r="22" spans="1:18" s="144" customFormat="1" ht="20.45" customHeight="1" x14ac:dyDescent="0.25">
      <c r="A22" s="211">
        <v>15</v>
      </c>
      <c r="B22" s="328">
        <v>44362</v>
      </c>
      <c r="C22" s="134" t="s">
        <v>3748</v>
      </c>
      <c r="D22" s="211" t="s">
        <v>3768</v>
      </c>
      <c r="E22" s="136" t="s">
        <v>25</v>
      </c>
      <c r="F22" s="134"/>
      <c r="G22" s="134"/>
      <c r="H22" s="139">
        <f t="shared" si="3"/>
        <v>0</v>
      </c>
      <c r="I22" s="134"/>
      <c r="J22" s="226">
        <v>300000</v>
      </c>
      <c r="K22" s="139"/>
      <c r="L22" s="263"/>
      <c r="M22" s="139"/>
      <c r="N22" s="139"/>
      <c r="O22" s="139">
        <f t="shared" si="2"/>
        <v>300000</v>
      </c>
      <c r="P22" s="139">
        <v>0</v>
      </c>
      <c r="Q22" s="139">
        <f t="shared" si="1"/>
        <v>-300000</v>
      </c>
      <c r="R22" s="215"/>
    </row>
    <row r="23" spans="1:18" s="144" customFormat="1" ht="25.5" customHeight="1" x14ac:dyDescent="0.25">
      <c r="A23" s="211">
        <v>16</v>
      </c>
      <c r="B23" s="328">
        <v>44363</v>
      </c>
      <c r="C23" s="134" t="s">
        <v>1132</v>
      </c>
      <c r="D23" s="211" t="s">
        <v>3703</v>
      </c>
      <c r="E23" s="136" t="s">
        <v>3782</v>
      </c>
      <c r="F23" s="134"/>
      <c r="G23" s="134">
        <v>26</v>
      </c>
      <c r="H23" s="139">
        <f t="shared" si="3"/>
        <v>401440</v>
      </c>
      <c r="I23" s="134"/>
      <c r="J23" s="226">
        <v>1350000</v>
      </c>
      <c r="K23" s="139"/>
      <c r="L23" s="263"/>
      <c r="M23" s="139"/>
      <c r="N23" s="139"/>
      <c r="O23" s="139">
        <f t="shared" si="2"/>
        <v>1751440</v>
      </c>
      <c r="P23" s="139">
        <v>4536364</v>
      </c>
      <c r="Q23" s="139">
        <f t="shared" si="1"/>
        <v>2784924</v>
      </c>
      <c r="R23" s="215"/>
    </row>
    <row r="24" spans="1:18" s="144" customFormat="1" ht="20.45" customHeight="1" x14ac:dyDescent="0.25">
      <c r="A24" s="211">
        <v>17</v>
      </c>
      <c r="B24" s="328">
        <v>44365</v>
      </c>
      <c r="C24" s="134" t="s">
        <v>3749</v>
      </c>
      <c r="D24" s="211" t="s">
        <v>3769</v>
      </c>
      <c r="E24" s="136" t="s">
        <v>115</v>
      </c>
      <c r="F24" s="134"/>
      <c r="G24" s="134">
        <v>115</v>
      </c>
      <c r="H24" s="139">
        <f t="shared" si="3"/>
        <v>1775600</v>
      </c>
      <c r="I24" s="134"/>
      <c r="J24" s="226">
        <v>1150000</v>
      </c>
      <c r="K24" s="139"/>
      <c r="L24" s="263"/>
      <c r="M24" s="139"/>
      <c r="N24" s="139"/>
      <c r="O24" s="139">
        <f t="shared" si="2"/>
        <v>2925600</v>
      </c>
      <c r="P24" s="139">
        <v>3300000</v>
      </c>
      <c r="Q24" s="139">
        <f t="shared" si="1"/>
        <v>374400</v>
      </c>
      <c r="R24" s="215"/>
    </row>
    <row r="25" spans="1:18" s="144" customFormat="1" ht="20.45" customHeight="1" x14ac:dyDescent="0.25">
      <c r="A25" s="211">
        <v>18</v>
      </c>
      <c r="B25" s="328">
        <v>44365</v>
      </c>
      <c r="C25" s="134" t="s">
        <v>3114</v>
      </c>
      <c r="D25" s="211" t="s">
        <v>3316</v>
      </c>
      <c r="E25" s="136" t="s">
        <v>3783</v>
      </c>
      <c r="F25" s="134"/>
      <c r="G25" s="134">
        <v>70</v>
      </c>
      <c r="H25" s="139">
        <f t="shared" si="3"/>
        <v>1080800</v>
      </c>
      <c r="I25" s="134"/>
      <c r="J25" s="226">
        <v>300000</v>
      </c>
      <c r="K25" s="139"/>
      <c r="L25" s="263"/>
      <c r="M25" s="139"/>
      <c r="N25" s="139"/>
      <c r="O25" s="139">
        <f t="shared" si="2"/>
        <v>1380800</v>
      </c>
      <c r="P25" s="139">
        <v>1945455</v>
      </c>
      <c r="Q25" s="139">
        <f t="shared" si="1"/>
        <v>564655</v>
      </c>
      <c r="R25" s="215"/>
    </row>
    <row r="26" spans="1:18" s="144" customFormat="1" ht="20.45" customHeight="1" x14ac:dyDescent="0.25">
      <c r="A26" s="211">
        <v>19</v>
      </c>
      <c r="B26" s="328">
        <v>44365</v>
      </c>
      <c r="C26" s="134" t="s">
        <v>3750</v>
      </c>
      <c r="D26" s="211" t="s">
        <v>3770</v>
      </c>
      <c r="E26" s="136" t="s">
        <v>3784</v>
      </c>
      <c r="F26" s="134"/>
      <c r="G26" s="134">
        <v>50</v>
      </c>
      <c r="H26" s="139">
        <f t="shared" si="3"/>
        <v>772000</v>
      </c>
      <c r="I26" s="134"/>
      <c r="J26" s="226">
        <v>200000</v>
      </c>
      <c r="K26" s="139"/>
      <c r="L26" s="263"/>
      <c r="M26" s="139"/>
      <c r="N26" s="139"/>
      <c r="O26" s="139">
        <f t="shared" si="2"/>
        <v>972000</v>
      </c>
      <c r="P26" s="139">
        <v>1172727</v>
      </c>
      <c r="Q26" s="139">
        <f t="shared" si="1"/>
        <v>200727</v>
      </c>
      <c r="R26" s="215"/>
    </row>
    <row r="27" spans="1:18" s="144" customFormat="1" ht="20.45" customHeight="1" x14ac:dyDescent="0.25">
      <c r="A27" s="211">
        <v>20</v>
      </c>
      <c r="B27" s="328">
        <v>44367</v>
      </c>
      <c r="C27" s="134" t="s">
        <v>3751</v>
      </c>
      <c r="D27" s="211" t="s">
        <v>3771</v>
      </c>
      <c r="E27" s="136" t="s">
        <v>3785</v>
      </c>
      <c r="F27" s="134"/>
      <c r="G27" s="134">
        <v>44</v>
      </c>
      <c r="H27" s="139">
        <f t="shared" si="3"/>
        <v>679360</v>
      </c>
      <c r="I27" s="134"/>
      <c r="J27" s="226">
        <v>1550000</v>
      </c>
      <c r="K27" s="139"/>
      <c r="L27" s="263"/>
      <c r="M27" s="139"/>
      <c r="N27" s="139"/>
      <c r="O27" s="139">
        <f t="shared" si="2"/>
        <v>2229360</v>
      </c>
      <c r="P27" s="139">
        <v>5909091</v>
      </c>
      <c r="Q27" s="139">
        <f t="shared" si="1"/>
        <v>3679731</v>
      </c>
      <c r="R27" s="215"/>
    </row>
    <row r="28" spans="1:18" s="144" customFormat="1" ht="20.45" customHeight="1" x14ac:dyDescent="0.25">
      <c r="A28" s="211">
        <v>21</v>
      </c>
      <c r="B28" s="328">
        <v>44368</v>
      </c>
      <c r="C28" s="134" t="s">
        <v>3752</v>
      </c>
      <c r="D28" s="211" t="s">
        <v>3772</v>
      </c>
      <c r="E28" s="136" t="s">
        <v>3342</v>
      </c>
      <c r="F28" s="134"/>
      <c r="G28" s="134">
        <v>247</v>
      </c>
      <c r="H28" s="139">
        <f t="shared" si="3"/>
        <v>3813680</v>
      </c>
      <c r="I28" s="134"/>
      <c r="J28" s="226">
        <v>790000</v>
      </c>
      <c r="K28" s="139"/>
      <c r="L28" s="263"/>
      <c r="M28" s="139"/>
      <c r="N28" s="139"/>
      <c r="O28" s="139">
        <f t="shared" si="2"/>
        <v>4603680</v>
      </c>
      <c r="P28" s="139">
        <v>2700000</v>
      </c>
      <c r="Q28" s="139">
        <f t="shared" si="1"/>
        <v>-1903680</v>
      </c>
      <c r="R28" s="215"/>
    </row>
    <row r="29" spans="1:18" s="144" customFormat="1" ht="20.45" customHeight="1" x14ac:dyDescent="0.25">
      <c r="A29" s="211">
        <v>22</v>
      </c>
      <c r="B29" s="328">
        <v>44368</v>
      </c>
      <c r="C29" s="134" t="s">
        <v>3753</v>
      </c>
      <c r="D29" s="211" t="s">
        <v>3773</v>
      </c>
      <c r="E29" s="136" t="s">
        <v>23</v>
      </c>
      <c r="F29" s="134"/>
      <c r="G29" s="134">
        <v>93</v>
      </c>
      <c r="H29" s="139">
        <f t="shared" si="3"/>
        <v>1435920</v>
      </c>
      <c r="I29" s="134"/>
      <c r="J29" s="226">
        <v>2740000</v>
      </c>
      <c r="K29" s="139"/>
      <c r="L29" s="263"/>
      <c r="M29" s="139"/>
      <c r="N29" s="139"/>
      <c r="O29" s="139">
        <f t="shared" si="2"/>
        <v>4175920</v>
      </c>
      <c r="P29" s="139">
        <v>12363636</v>
      </c>
      <c r="Q29" s="139">
        <f t="shared" si="1"/>
        <v>8187716</v>
      </c>
      <c r="R29" s="215"/>
    </row>
    <row r="30" spans="1:18" s="144" customFormat="1" ht="20.45" customHeight="1" x14ac:dyDescent="0.25">
      <c r="A30" s="211">
        <v>23</v>
      </c>
      <c r="B30" s="328">
        <v>44370</v>
      </c>
      <c r="C30" s="134" t="s">
        <v>1137</v>
      </c>
      <c r="D30" s="211" t="s">
        <v>3774</v>
      </c>
      <c r="E30" s="136" t="s">
        <v>1937</v>
      </c>
      <c r="F30" s="134"/>
      <c r="G30" s="134">
        <v>113</v>
      </c>
      <c r="H30" s="139">
        <f t="shared" si="3"/>
        <v>1744720</v>
      </c>
      <c r="I30" s="134"/>
      <c r="J30" s="226">
        <v>1150000</v>
      </c>
      <c r="K30" s="139"/>
      <c r="L30" s="263"/>
      <c r="M30" s="139"/>
      <c r="N30" s="139"/>
      <c r="O30" s="139">
        <f t="shared" si="2"/>
        <v>2894720</v>
      </c>
      <c r="P30" s="139">
        <v>3760000</v>
      </c>
      <c r="Q30" s="139">
        <f t="shared" si="1"/>
        <v>865280</v>
      </c>
      <c r="R30" s="215"/>
    </row>
    <row r="31" spans="1:18" s="144" customFormat="1" ht="25.5" customHeight="1" x14ac:dyDescent="0.25">
      <c r="A31" s="211">
        <v>24</v>
      </c>
      <c r="B31" s="328">
        <v>44371</v>
      </c>
      <c r="C31" s="134" t="s">
        <v>3118</v>
      </c>
      <c r="D31" s="211" t="s">
        <v>3719</v>
      </c>
      <c r="E31" s="136" t="s">
        <v>3786</v>
      </c>
      <c r="F31" s="134"/>
      <c r="G31" s="134">
        <v>49</v>
      </c>
      <c r="H31" s="139">
        <f t="shared" si="3"/>
        <v>756560</v>
      </c>
      <c r="I31" s="134"/>
      <c r="J31" s="226">
        <v>1350000</v>
      </c>
      <c r="K31" s="139"/>
      <c r="L31" s="263"/>
      <c r="M31" s="139"/>
      <c r="N31" s="139"/>
      <c r="O31" s="139">
        <f t="shared" si="2"/>
        <v>2106560</v>
      </c>
      <c r="P31" s="139">
        <v>4536364</v>
      </c>
      <c r="Q31" s="139">
        <f t="shared" si="1"/>
        <v>2429804</v>
      </c>
      <c r="R31" s="215"/>
    </row>
    <row r="32" spans="1:18" s="144" customFormat="1" ht="20.45" customHeight="1" x14ac:dyDescent="0.25">
      <c r="A32" s="211">
        <v>25</v>
      </c>
      <c r="B32" s="328">
        <v>44372</v>
      </c>
      <c r="C32" s="134" t="s">
        <v>1138</v>
      </c>
      <c r="D32" s="211" t="s">
        <v>3775</v>
      </c>
      <c r="E32" s="136" t="s">
        <v>717</v>
      </c>
      <c r="F32" s="134"/>
      <c r="G32" s="134">
        <v>240</v>
      </c>
      <c r="H32" s="139">
        <f>G32*16110</f>
        <v>3866400</v>
      </c>
      <c r="I32" s="134"/>
      <c r="J32" s="226">
        <v>750000</v>
      </c>
      <c r="K32" s="139"/>
      <c r="L32" s="263"/>
      <c r="M32" s="139"/>
      <c r="N32" s="139"/>
      <c r="O32" s="139">
        <f t="shared" si="2"/>
        <v>4616400</v>
      </c>
      <c r="P32" s="139">
        <v>2500000</v>
      </c>
      <c r="Q32" s="139">
        <f t="shared" si="1"/>
        <v>-2116400</v>
      </c>
      <c r="R32" s="215"/>
    </row>
    <row r="33" spans="1:24" s="144" customFormat="1" ht="20.45" customHeight="1" x14ac:dyDescent="0.25">
      <c r="A33" s="211">
        <v>26</v>
      </c>
      <c r="B33" s="328">
        <v>44372</v>
      </c>
      <c r="C33" s="134" t="s">
        <v>3754</v>
      </c>
      <c r="D33" s="211" t="s">
        <v>3776</v>
      </c>
      <c r="E33" s="136" t="s">
        <v>23</v>
      </c>
      <c r="F33" s="134"/>
      <c r="G33" s="134">
        <v>180</v>
      </c>
      <c r="H33" s="139">
        <f t="shared" ref="H33:H34" si="4">G33*16110</f>
        <v>2899800</v>
      </c>
      <c r="I33" s="134"/>
      <c r="J33" s="226">
        <v>2740000</v>
      </c>
      <c r="K33" s="139"/>
      <c r="L33" s="263"/>
      <c r="M33" s="139"/>
      <c r="N33" s="139"/>
      <c r="O33" s="139">
        <f t="shared" si="2"/>
        <v>5639800</v>
      </c>
      <c r="P33" s="139">
        <v>12818182</v>
      </c>
      <c r="Q33" s="139">
        <f t="shared" si="1"/>
        <v>7178382</v>
      </c>
      <c r="R33" s="215"/>
    </row>
    <row r="34" spans="1:24" s="144" customFormat="1" ht="20.45" customHeight="1" x14ac:dyDescent="0.25">
      <c r="A34" s="211">
        <v>27</v>
      </c>
      <c r="B34" s="328">
        <v>44375</v>
      </c>
      <c r="C34" s="134" t="s">
        <v>3755</v>
      </c>
      <c r="D34" s="211" t="s">
        <v>3777</v>
      </c>
      <c r="E34" s="136" t="s">
        <v>279</v>
      </c>
      <c r="F34" s="134"/>
      <c r="G34" s="134">
        <v>150</v>
      </c>
      <c r="H34" s="139">
        <f t="shared" si="4"/>
        <v>2416500</v>
      </c>
      <c r="I34" s="134"/>
      <c r="J34" s="226">
        <v>1890000</v>
      </c>
      <c r="K34" s="139"/>
      <c r="L34" s="263"/>
      <c r="M34" s="139"/>
      <c r="N34" s="139"/>
      <c r="O34" s="139">
        <f t="shared" si="2"/>
        <v>4306500</v>
      </c>
      <c r="P34" s="139">
        <v>9727273</v>
      </c>
      <c r="Q34" s="139">
        <f t="shared" si="1"/>
        <v>5420773</v>
      </c>
      <c r="R34" s="215"/>
    </row>
    <row r="35" spans="1:24" s="144" customFormat="1" ht="20.45" customHeight="1" x14ac:dyDescent="0.25">
      <c r="A35" s="211"/>
      <c r="B35" s="328"/>
      <c r="C35" s="134"/>
      <c r="D35" s="211"/>
      <c r="E35" s="136"/>
      <c r="F35" s="134"/>
      <c r="G35" s="134"/>
      <c r="H35" s="139"/>
      <c r="I35" s="134"/>
      <c r="J35" s="139"/>
      <c r="K35" s="139"/>
      <c r="L35" s="263"/>
      <c r="M35" s="139"/>
      <c r="N35" s="139"/>
      <c r="O35" s="139"/>
      <c r="P35" s="139"/>
      <c r="Q35" s="139"/>
      <c r="R35" s="143"/>
      <c r="S35" s="128"/>
      <c r="T35" s="128"/>
      <c r="U35" s="128"/>
      <c r="V35" s="128"/>
      <c r="W35" s="128"/>
      <c r="X35" s="128"/>
    </row>
    <row r="36" spans="1:24" s="144" customFormat="1" ht="20.45" customHeight="1" x14ac:dyDescent="0.25">
      <c r="A36" s="211"/>
      <c r="B36" s="328"/>
      <c r="C36" s="134"/>
      <c r="D36" s="211"/>
      <c r="E36" s="136"/>
      <c r="F36" s="134"/>
      <c r="G36" s="134"/>
      <c r="H36" s="139"/>
      <c r="I36" s="134"/>
      <c r="J36" s="139"/>
      <c r="K36" s="139"/>
      <c r="L36" s="263"/>
      <c r="M36" s="139"/>
      <c r="N36" s="139"/>
      <c r="O36" s="139"/>
      <c r="P36" s="139"/>
      <c r="Q36" s="139"/>
      <c r="R36" s="215"/>
    </row>
    <row r="37" spans="1:24" s="144" customFormat="1" ht="20.45" customHeight="1" x14ac:dyDescent="0.25">
      <c r="A37" s="211"/>
      <c r="B37" s="191"/>
      <c r="C37" s="458" t="s">
        <v>3732</v>
      </c>
      <c r="D37" s="458"/>
      <c r="E37" s="458"/>
      <c r="F37" s="458"/>
      <c r="G37" s="195"/>
      <c r="H37" s="155"/>
      <c r="I37" s="195"/>
      <c r="J37" s="155"/>
      <c r="K37" s="219"/>
      <c r="L37" s="219"/>
      <c r="M37" s="139"/>
      <c r="N37" s="139"/>
      <c r="O37" s="139">
        <f>SUM(H37:N37)</f>
        <v>0</v>
      </c>
      <c r="P37" s="141"/>
      <c r="Q37" s="139"/>
      <c r="R37" s="215"/>
    </row>
    <row r="38" spans="1:24" s="144" customFormat="1" ht="24.95" customHeight="1" x14ac:dyDescent="0.25">
      <c r="A38" s="211"/>
      <c r="B38" s="191"/>
      <c r="C38" s="440" t="s">
        <v>3788</v>
      </c>
      <c r="D38" s="441"/>
      <c r="E38" s="442"/>
      <c r="F38" s="196"/>
      <c r="G38" s="195"/>
      <c r="H38" s="155"/>
      <c r="I38" s="195"/>
      <c r="J38" s="155"/>
      <c r="K38" s="219"/>
      <c r="L38" s="185">
        <v>300000</v>
      </c>
      <c r="M38" s="139"/>
      <c r="N38" s="139"/>
      <c r="O38" s="139">
        <f>SUM(H38:N38)</f>
        <v>300000</v>
      </c>
      <c r="P38" s="141"/>
      <c r="Q38" s="139"/>
      <c r="R38" s="215"/>
    </row>
    <row r="39" spans="1:24" s="144" customFormat="1" ht="24.95" customHeight="1" x14ac:dyDescent="0.25">
      <c r="A39" s="211"/>
      <c r="B39" s="191"/>
      <c r="C39" s="440" t="s">
        <v>3791</v>
      </c>
      <c r="D39" s="441"/>
      <c r="E39" s="442"/>
      <c r="F39" s="196"/>
      <c r="G39" s="195"/>
      <c r="H39" s="155"/>
      <c r="I39" s="195"/>
      <c r="J39" s="155"/>
      <c r="K39" s="219"/>
      <c r="L39" s="185">
        <v>1760000</v>
      </c>
      <c r="M39" s="139"/>
      <c r="N39" s="139"/>
      <c r="O39" s="139">
        <f t="shared" ref="O39:O45" si="5">SUM(H39:N39)</f>
        <v>1760000</v>
      </c>
      <c r="P39" s="141"/>
      <c r="Q39" s="139"/>
      <c r="R39" s="215"/>
    </row>
    <row r="40" spans="1:24" s="144" customFormat="1" ht="24.95" customHeight="1" x14ac:dyDescent="0.25">
      <c r="A40" s="211"/>
      <c r="B40" s="191"/>
      <c r="C40" s="440" t="s">
        <v>3789</v>
      </c>
      <c r="D40" s="441"/>
      <c r="E40" s="442"/>
      <c r="F40" s="196"/>
      <c r="G40" s="195"/>
      <c r="H40" s="155"/>
      <c r="I40" s="195"/>
      <c r="J40" s="155"/>
      <c r="K40" s="219"/>
      <c r="L40" s="185">
        <v>650000</v>
      </c>
      <c r="M40" s="139"/>
      <c r="N40" s="139"/>
      <c r="O40" s="139">
        <f t="shared" si="5"/>
        <v>650000</v>
      </c>
      <c r="P40" s="141"/>
      <c r="Q40" s="139"/>
      <c r="R40" s="215"/>
    </row>
    <row r="41" spans="1:24" s="144" customFormat="1" ht="24.95" customHeight="1" x14ac:dyDescent="0.25">
      <c r="A41" s="211"/>
      <c r="B41" s="191"/>
      <c r="C41" s="452" t="s">
        <v>3558</v>
      </c>
      <c r="D41" s="453"/>
      <c r="E41" s="454"/>
      <c r="F41" s="196"/>
      <c r="G41" s="195"/>
      <c r="H41" s="155"/>
      <c r="I41" s="195"/>
      <c r="J41" s="155"/>
      <c r="K41" s="219"/>
      <c r="L41" s="185">
        <v>200000</v>
      </c>
      <c r="M41" s="139"/>
      <c r="N41" s="219"/>
      <c r="O41" s="139">
        <f t="shared" si="5"/>
        <v>200000</v>
      </c>
      <c r="P41" s="141"/>
      <c r="Q41" s="139"/>
      <c r="R41" s="215"/>
    </row>
    <row r="42" spans="1:24" s="144" customFormat="1" ht="24.95" customHeight="1" x14ac:dyDescent="0.25">
      <c r="A42" s="211"/>
      <c r="B42" s="191"/>
      <c r="C42" s="452" t="s">
        <v>3792</v>
      </c>
      <c r="D42" s="453"/>
      <c r="E42" s="454"/>
      <c r="F42" s="196"/>
      <c r="G42" s="195"/>
      <c r="H42" s="155"/>
      <c r="I42" s="195"/>
      <c r="J42" s="155"/>
      <c r="K42" s="219"/>
      <c r="L42" s="185">
        <v>350000</v>
      </c>
      <c r="M42" s="139"/>
      <c r="N42" s="139"/>
      <c r="O42" s="139">
        <f t="shared" si="5"/>
        <v>350000</v>
      </c>
      <c r="P42" s="141"/>
      <c r="Q42" s="139"/>
      <c r="R42" s="215"/>
    </row>
    <row r="43" spans="1:24" s="144" customFormat="1" ht="24.95" customHeight="1" x14ac:dyDescent="0.25">
      <c r="A43" s="211"/>
      <c r="B43" s="191"/>
      <c r="C43" s="452" t="s">
        <v>3793</v>
      </c>
      <c r="D43" s="453"/>
      <c r="E43" s="454"/>
      <c r="F43" s="196"/>
      <c r="G43" s="195"/>
      <c r="H43" s="155"/>
      <c r="I43" s="195"/>
      <c r="J43" s="155"/>
      <c r="K43" s="219"/>
      <c r="L43" s="219"/>
      <c r="M43" s="139"/>
      <c r="N43" s="349">
        <v>3150000</v>
      </c>
      <c r="O43" s="139">
        <f t="shared" si="5"/>
        <v>3150000</v>
      </c>
      <c r="P43" s="141"/>
      <c r="Q43" s="139"/>
      <c r="R43" s="215"/>
    </row>
    <row r="44" spans="1:24" s="144" customFormat="1" ht="24.95" customHeight="1" x14ac:dyDescent="0.25">
      <c r="A44" s="211"/>
      <c r="B44" s="191"/>
      <c r="C44" s="452" t="s">
        <v>3738</v>
      </c>
      <c r="D44" s="453"/>
      <c r="E44" s="454"/>
      <c r="F44" s="196"/>
      <c r="G44" s="195"/>
      <c r="H44" s="155"/>
      <c r="I44" s="195"/>
      <c r="J44" s="155"/>
      <c r="K44" s="185">
        <f>26/26*8000000</f>
        <v>8000000</v>
      </c>
      <c r="L44" s="219"/>
      <c r="M44" s="139"/>
      <c r="N44" s="139"/>
      <c r="O44" s="139">
        <f t="shared" si="5"/>
        <v>8000000</v>
      </c>
      <c r="P44" s="141"/>
      <c r="Q44" s="139"/>
      <c r="R44" s="215"/>
    </row>
    <row r="45" spans="1:24" s="144" customFormat="1" ht="24.95" customHeight="1" x14ac:dyDescent="0.25">
      <c r="A45" s="211"/>
      <c r="B45" s="191"/>
      <c r="C45" s="452" t="s">
        <v>26</v>
      </c>
      <c r="D45" s="453"/>
      <c r="E45" s="454"/>
      <c r="F45" s="196"/>
      <c r="G45" s="195"/>
      <c r="H45" s="155"/>
      <c r="I45" s="195"/>
      <c r="J45" s="155"/>
      <c r="K45" s="219"/>
      <c r="L45" s="185">
        <v>1200000</v>
      </c>
      <c r="M45" s="139"/>
      <c r="N45" s="139"/>
      <c r="O45" s="139">
        <f t="shared" si="5"/>
        <v>1200000</v>
      </c>
      <c r="P45" s="141"/>
      <c r="Q45" s="139"/>
      <c r="R45" s="215"/>
    </row>
    <row r="46" spans="1:24" ht="20.45" customHeight="1" x14ac:dyDescent="0.25">
      <c r="A46" s="450" t="s">
        <v>20</v>
      </c>
      <c r="B46" s="450"/>
      <c r="C46" s="450"/>
      <c r="D46" s="450"/>
      <c r="E46" s="450"/>
      <c r="F46" s="450"/>
      <c r="G46" s="348">
        <f>SUM(G8:G45)</f>
        <v>3116</v>
      </c>
      <c r="H46" s="334">
        <f t="shared" ref="H46:P46" si="6">SUM(H8:H45)</f>
        <v>47730480</v>
      </c>
      <c r="I46" s="334">
        <f t="shared" si="6"/>
        <v>0</v>
      </c>
      <c r="J46" s="334">
        <f t="shared" si="6"/>
        <v>35780000</v>
      </c>
      <c r="K46" s="334">
        <f t="shared" si="6"/>
        <v>8000000</v>
      </c>
      <c r="L46" s="334">
        <f>SUM(L8:L45)</f>
        <v>4460000</v>
      </c>
      <c r="M46" s="334">
        <f t="shared" si="6"/>
        <v>0</v>
      </c>
      <c r="N46" s="334">
        <f t="shared" si="6"/>
        <v>3150000</v>
      </c>
      <c r="O46" s="334">
        <f>SUM(O8:O45)</f>
        <v>99120480</v>
      </c>
      <c r="P46" s="334">
        <f t="shared" si="6"/>
        <v>148192728</v>
      </c>
      <c r="Q46" s="335">
        <f>P46-O46</f>
        <v>49072248</v>
      </c>
    </row>
    <row r="47" spans="1:24" ht="24.95" customHeight="1" x14ac:dyDescent="0.25">
      <c r="O47" s="158"/>
      <c r="Q47" s="158"/>
    </row>
    <row r="48" spans="1:24" ht="13.9" customHeight="1" x14ac:dyDescent="0.25">
      <c r="P48" s="216" t="s">
        <v>1603</v>
      </c>
      <c r="Q48" s="227">
        <f>'05.2021'!Q48+'06.2021'!Q46</f>
        <v>77221715.769230768</v>
      </c>
      <c r="S48" s="216"/>
    </row>
    <row r="49" spans="1:18" ht="13.9" customHeight="1" x14ac:dyDescent="0.25">
      <c r="B49" s="129"/>
      <c r="J49" s="128"/>
      <c r="K49" s="128"/>
      <c r="L49" s="128"/>
      <c r="N49" s="128"/>
      <c r="O49" s="128"/>
      <c r="P49" s="218"/>
      <c r="Q49" s="216"/>
    </row>
    <row r="50" spans="1:18" ht="13.9" customHeight="1" x14ac:dyDescent="0.25">
      <c r="B50" s="129"/>
      <c r="H50" s="128"/>
      <c r="J50" s="128"/>
      <c r="K50" s="128"/>
      <c r="L50" s="128"/>
      <c r="M50" s="128"/>
      <c r="N50" s="128"/>
      <c r="O50" s="128"/>
      <c r="P50" s="218"/>
      <c r="Q50" s="230"/>
    </row>
    <row r="51" spans="1:18" ht="13.9" customHeight="1" x14ac:dyDescent="0.25">
      <c r="B51" s="129"/>
      <c r="H51" s="128"/>
      <c r="J51" s="128"/>
      <c r="K51" s="128"/>
      <c r="L51" s="128"/>
      <c r="M51" s="128"/>
      <c r="N51" s="128"/>
      <c r="O51" s="128"/>
      <c r="P51" s="218"/>
      <c r="Q51" s="230"/>
      <c r="R51" s="143"/>
    </row>
    <row r="52" spans="1:18" ht="13.9" customHeight="1" x14ac:dyDescent="0.25">
      <c r="B52" s="129"/>
      <c r="H52" s="128"/>
      <c r="J52" s="128"/>
      <c r="K52" s="128"/>
      <c r="L52" s="128"/>
      <c r="M52" s="128"/>
      <c r="N52" s="128"/>
      <c r="O52" s="128"/>
      <c r="P52" s="218"/>
      <c r="Q52" s="216"/>
      <c r="R52" s="143"/>
    </row>
    <row r="53" spans="1:18" x14ac:dyDescent="0.25">
      <c r="B53" s="129"/>
      <c r="H53" s="128"/>
      <c r="J53" s="128"/>
      <c r="K53" s="128"/>
      <c r="L53" s="128"/>
      <c r="M53" s="128"/>
      <c r="N53" s="128"/>
      <c r="O53" s="128"/>
      <c r="P53" s="218"/>
      <c r="Q53" s="216"/>
    </row>
    <row r="54" spans="1:18" x14ac:dyDescent="0.25">
      <c r="A54" s="128"/>
      <c r="B54" s="129"/>
      <c r="H54" s="128"/>
      <c r="J54" s="128"/>
      <c r="K54" s="128"/>
      <c r="L54" s="128"/>
      <c r="M54" s="128"/>
      <c r="N54" s="128"/>
      <c r="O54" s="128"/>
      <c r="P54" s="218"/>
      <c r="Q54" s="216"/>
    </row>
    <row r="55" spans="1:18" x14ac:dyDescent="0.25">
      <c r="A55" s="128"/>
      <c r="B55" s="129"/>
      <c r="H55" s="128"/>
      <c r="J55" s="128"/>
      <c r="K55" s="128"/>
      <c r="L55" s="128"/>
      <c r="M55" s="128"/>
      <c r="N55" s="128"/>
      <c r="O55" s="128"/>
      <c r="P55" s="218"/>
      <c r="Q55" s="216"/>
    </row>
    <row r="56" spans="1:18" x14ac:dyDescent="0.25">
      <c r="A56" s="128"/>
      <c r="B56" s="128"/>
      <c r="H56" s="128"/>
      <c r="J56" s="128"/>
      <c r="K56" s="128"/>
      <c r="L56" s="128"/>
      <c r="M56" s="128"/>
      <c r="N56" s="128"/>
      <c r="O56" s="128"/>
      <c r="P56" s="128"/>
      <c r="Q56" s="216"/>
    </row>
    <row r="57" spans="1:18" x14ac:dyDescent="0.25">
      <c r="A57" s="128"/>
      <c r="B57" s="128"/>
      <c r="H57" s="128"/>
      <c r="J57" s="128"/>
      <c r="K57" s="128"/>
      <c r="L57" s="128"/>
      <c r="M57" s="128"/>
      <c r="N57" s="128"/>
      <c r="O57" s="128"/>
      <c r="P57" s="128"/>
      <c r="Q57" s="216"/>
    </row>
  </sheetData>
  <mergeCells count="23">
    <mergeCell ref="A46:F46"/>
    <mergeCell ref="C43:E43"/>
    <mergeCell ref="O5:O6"/>
    <mergeCell ref="P5:P6"/>
    <mergeCell ref="Q5:Q6"/>
    <mergeCell ref="C37:F37"/>
    <mergeCell ref="C38:E38"/>
    <mergeCell ref="C39:E39"/>
    <mergeCell ref="C40:E40"/>
    <mergeCell ref="C41:E41"/>
    <mergeCell ref="C42:E42"/>
    <mergeCell ref="C44:E44"/>
    <mergeCell ref="C45:E45"/>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landscape" horizontalDpi="180" verticalDpi="180"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E95C-8BAE-4B6E-8AF5-80873D6C2502}">
  <dimension ref="A1:X62"/>
  <sheetViews>
    <sheetView topLeftCell="A32" workbookViewId="0">
      <selection activeCell="J54" sqref="J54"/>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3794</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44378</v>
      </c>
      <c r="C8" s="134" t="s">
        <v>3795</v>
      </c>
      <c r="D8" s="211" t="s">
        <v>3796</v>
      </c>
      <c r="E8" s="136" t="s">
        <v>3797</v>
      </c>
      <c r="F8" s="134"/>
      <c r="G8" s="134">
        <v>102</v>
      </c>
      <c r="H8" s="139">
        <f>G8*16110</f>
        <v>1643220</v>
      </c>
      <c r="I8" s="134"/>
      <c r="J8" s="226">
        <v>1150000</v>
      </c>
      <c r="K8" s="139"/>
      <c r="L8" s="263"/>
      <c r="M8" s="139"/>
      <c r="N8" s="139"/>
      <c r="O8" s="139">
        <f>SUM(H8:N8)</f>
        <v>2793220</v>
      </c>
      <c r="P8" s="139">
        <v>3800000</v>
      </c>
      <c r="Q8" s="139">
        <f>P8-O8</f>
        <v>1006780</v>
      </c>
      <c r="R8" s="215"/>
    </row>
    <row r="9" spans="1:18" s="144" customFormat="1" ht="20.45" customHeight="1" x14ac:dyDescent="0.25">
      <c r="A9" s="211">
        <v>2</v>
      </c>
      <c r="B9" s="328">
        <v>44379</v>
      </c>
      <c r="C9" s="134" t="s">
        <v>1819</v>
      </c>
      <c r="D9" s="211" t="s">
        <v>3798</v>
      </c>
      <c r="E9" s="136" t="s">
        <v>3799</v>
      </c>
      <c r="F9" s="134"/>
      <c r="G9" s="134">
        <v>62</v>
      </c>
      <c r="H9" s="139">
        <f t="shared" ref="H9:H13" si="0">G9*16110</f>
        <v>998820</v>
      </c>
      <c r="I9" s="134"/>
      <c r="J9" s="226">
        <v>790000</v>
      </c>
      <c r="K9" s="139"/>
      <c r="L9" s="263"/>
      <c r="M9" s="139"/>
      <c r="N9" s="139"/>
      <c r="O9" s="139">
        <f>SUM(H9:N9)</f>
        <v>1788820</v>
      </c>
      <c r="P9" s="139">
        <v>2954545</v>
      </c>
      <c r="Q9" s="139">
        <f t="shared" ref="Q9:Q36" si="1">P9-O9</f>
        <v>1165725</v>
      </c>
      <c r="R9" s="215"/>
    </row>
    <row r="10" spans="1:18" s="144" customFormat="1" ht="20.45" customHeight="1" x14ac:dyDescent="0.25">
      <c r="A10" s="211">
        <v>3</v>
      </c>
      <c r="B10" s="328">
        <v>44380</v>
      </c>
      <c r="C10" s="134" t="s">
        <v>1822</v>
      </c>
      <c r="D10" s="211" t="s">
        <v>3800</v>
      </c>
      <c r="E10" s="136" t="s">
        <v>25</v>
      </c>
      <c r="F10" s="134"/>
      <c r="G10" s="134">
        <v>180</v>
      </c>
      <c r="H10" s="139">
        <f t="shared" si="0"/>
        <v>2899800</v>
      </c>
      <c r="I10" s="134"/>
      <c r="J10" s="226">
        <v>1890000</v>
      </c>
      <c r="K10" s="139"/>
      <c r="L10" s="263"/>
      <c r="M10" s="139"/>
      <c r="N10" s="139"/>
      <c r="O10" s="139">
        <f t="shared" ref="O10:O36" si="2">SUM(H10:N10)</f>
        <v>4789800</v>
      </c>
      <c r="P10" s="139">
        <v>7663636</v>
      </c>
      <c r="Q10" s="139">
        <f t="shared" si="1"/>
        <v>2873836</v>
      </c>
      <c r="R10" s="215"/>
    </row>
    <row r="11" spans="1:18" s="144" customFormat="1" ht="20.45" customHeight="1" x14ac:dyDescent="0.25">
      <c r="A11" s="211">
        <v>4</v>
      </c>
      <c r="B11" s="328">
        <v>44382</v>
      </c>
      <c r="C11" s="134" t="s">
        <v>2519</v>
      </c>
      <c r="D11" s="211" t="s">
        <v>3801</v>
      </c>
      <c r="E11" s="136" t="s">
        <v>3783</v>
      </c>
      <c r="F11" s="134"/>
      <c r="G11" s="134">
        <v>75</v>
      </c>
      <c r="H11" s="139">
        <f t="shared" si="0"/>
        <v>1208250</v>
      </c>
      <c r="I11" s="134"/>
      <c r="J11" s="226">
        <v>300000</v>
      </c>
      <c r="K11" s="139"/>
      <c r="L11" s="263"/>
      <c r="M11" s="139"/>
      <c r="N11" s="139"/>
      <c r="O11" s="139">
        <f t="shared" si="2"/>
        <v>1508250</v>
      </c>
      <c r="P11" s="139">
        <v>1945455</v>
      </c>
      <c r="Q11" s="139">
        <f t="shared" si="1"/>
        <v>437205</v>
      </c>
      <c r="R11" s="215"/>
    </row>
    <row r="12" spans="1:18" s="144" customFormat="1" ht="20.45" customHeight="1" x14ac:dyDescent="0.25">
      <c r="A12" s="211">
        <v>5</v>
      </c>
      <c r="B12" s="328">
        <v>44383</v>
      </c>
      <c r="C12" s="134" t="s">
        <v>3802</v>
      </c>
      <c r="D12" s="211" t="s">
        <v>3803</v>
      </c>
      <c r="E12" s="136" t="s">
        <v>3029</v>
      </c>
      <c r="F12" s="134"/>
      <c r="G12" s="134"/>
      <c r="H12" s="139">
        <f t="shared" si="0"/>
        <v>0</v>
      </c>
      <c r="I12" s="134"/>
      <c r="J12" s="226">
        <v>790000</v>
      </c>
      <c r="K12" s="139"/>
      <c r="L12" s="263"/>
      <c r="M12" s="139"/>
      <c r="N12" s="139"/>
      <c r="O12" s="139">
        <f t="shared" si="2"/>
        <v>790000</v>
      </c>
      <c r="P12" s="139">
        <v>3300000</v>
      </c>
      <c r="Q12" s="139">
        <f t="shared" si="1"/>
        <v>2510000</v>
      </c>
      <c r="R12" s="215"/>
    </row>
    <row r="13" spans="1:18" s="144" customFormat="1" ht="20.45" customHeight="1" x14ac:dyDescent="0.25">
      <c r="A13" s="211">
        <v>6</v>
      </c>
      <c r="B13" s="328">
        <v>44383</v>
      </c>
      <c r="C13" s="134" t="s">
        <v>3804</v>
      </c>
      <c r="D13" s="211" t="s">
        <v>3805</v>
      </c>
      <c r="E13" s="136" t="s">
        <v>3806</v>
      </c>
      <c r="F13" s="134"/>
      <c r="G13" s="134">
        <v>84</v>
      </c>
      <c r="H13" s="139">
        <f t="shared" si="0"/>
        <v>1353240</v>
      </c>
      <c r="I13" s="134"/>
      <c r="J13" s="226">
        <v>1150000</v>
      </c>
      <c r="K13" s="139"/>
      <c r="L13" s="263"/>
      <c r="M13" s="139"/>
      <c r="N13" s="139"/>
      <c r="O13" s="139">
        <f t="shared" si="2"/>
        <v>2503240</v>
      </c>
      <c r="P13" s="139">
        <v>3800000</v>
      </c>
      <c r="Q13" s="139">
        <f t="shared" si="1"/>
        <v>1296760</v>
      </c>
      <c r="R13" s="215"/>
    </row>
    <row r="14" spans="1:18" s="144" customFormat="1" ht="20.45" customHeight="1" x14ac:dyDescent="0.25">
      <c r="A14" s="211">
        <v>7</v>
      </c>
      <c r="B14" s="328">
        <v>44385</v>
      </c>
      <c r="C14" s="134" t="s">
        <v>3807</v>
      </c>
      <c r="D14" s="211" t="s">
        <v>3808</v>
      </c>
      <c r="E14" s="136" t="s">
        <v>3809</v>
      </c>
      <c r="F14" s="134"/>
      <c r="G14" s="134">
        <v>62</v>
      </c>
      <c r="H14" s="139">
        <f>G14*16530</f>
        <v>1024860</v>
      </c>
      <c r="I14" s="134"/>
      <c r="J14" s="226">
        <v>700000</v>
      </c>
      <c r="K14" s="139"/>
      <c r="L14" s="263"/>
      <c r="M14" s="139"/>
      <c r="N14" s="139"/>
      <c r="O14" s="139">
        <f t="shared" si="2"/>
        <v>1724860</v>
      </c>
      <c r="P14" s="139">
        <v>2600000</v>
      </c>
      <c r="Q14" s="139">
        <f t="shared" si="1"/>
        <v>875140</v>
      </c>
      <c r="R14" s="215"/>
    </row>
    <row r="15" spans="1:18" s="144" customFormat="1" ht="20.45" customHeight="1" x14ac:dyDescent="0.25">
      <c r="A15" s="211">
        <v>8</v>
      </c>
      <c r="B15" s="328">
        <v>44385</v>
      </c>
      <c r="C15" s="134" t="s">
        <v>452</v>
      </c>
      <c r="D15" s="211" t="s">
        <v>3810</v>
      </c>
      <c r="E15" s="136" t="s">
        <v>25</v>
      </c>
      <c r="F15" s="134"/>
      <c r="G15" s="134">
        <v>180</v>
      </c>
      <c r="H15" s="139">
        <f t="shared" ref="H15:H31" si="3">G15*16530</f>
        <v>2975400</v>
      </c>
      <c r="I15" s="134"/>
      <c r="J15" s="226">
        <v>1890000</v>
      </c>
      <c r="K15" s="139"/>
      <c r="L15" s="263"/>
      <c r="M15" s="139"/>
      <c r="N15" s="139"/>
      <c r="O15" s="139">
        <f t="shared" si="2"/>
        <v>4865400</v>
      </c>
      <c r="P15" s="139">
        <v>8572727</v>
      </c>
      <c r="Q15" s="139">
        <f t="shared" si="1"/>
        <v>3707327</v>
      </c>
      <c r="R15" s="215"/>
    </row>
    <row r="16" spans="1:18" s="144" customFormat="1" ht="20.45" customHeight="1" x14ac:dyDescent="0.25">
      <c r="A16" s="211">
        <v>9</v>
      </c>
      <c r="B16" s="328">
        <v>44385</v>
      </c>
      <c r="C16" s="134" t="s">
        <v>452</v>
      </c>
      <c r="D16" s="211" t="s">
        <v>3811</v>
      </c>
      <c r="E16" s="136" t="s">
        <v>25</v>
      </c>
      <c r="F16" s="134"/>
      <c r="G16" s="134"/>
      <c r="H16" s="139">
        <f t="shared" si="3"/>
        <v>0</v>
      </c>
      <c r="I16" s="134"/>
      <c r="J16" s="226">
        <v>300000</v>
      </c>
      <c r="K16" s="139"/>
      <c r="L16" s="263"/>
      <c r="M16" s="139"/>
      <c r="N16" s="139"/>
      <c r="O16" s="139">
        <f t="shared" si="2"/>
        <v>300000</v>
      </c>
      <c r="P16" s="139">
        <v>0</v>
      </c>
      <c r="Q16" s="139">
        <f t="shared" si="1"/>
        <v>-300000</v>
      </c>
      <c r="R16" s="215"/>
    </row>
    <row r="17" spans="1:18" s="144" customFormat="1" ht="20.45" customHeight="1" x14ac:dyDescent="0.25">
      <c r="A17" s="211">
        <v>10</v>
      </c>
      <c r="B17" s="328">
        <v>44386</v>
      </c>
      <c r="C17" s="134" t="s">
        <v>2525</v>
      </c>
      <c r="D17" s="211" t="s">
        <v>3812</v>
      </c>
      <c r="E17" s="136" t="s">
        <v>23</v>
      </c>
      <c r="F17" s="134"/>
      <c r="G17" s="134">
        <f>240+3</f>
        <v>243</v>
      </c>
      <c r="H17" s="139">
        <f t="shared" si="3"/>
        <v>4016790</v>
      </c>
      <c r="I17" s="134"/>
      <c r="J17" s="226">
        <v>2740000</v>
      </c>
      <c r="K17" s="139"/>
      <c r="L17" s="263"/>
      <c r="M17" s="139"/>
      <c r="N17" s="139"/>
      <c r="O17" s="139">
        <f t="shared" si="2"/>
        <v>6756790</v>
      </c>
      <c r="P17" s="139">
        <v>12363636</v>
      </c>
      <c r="Q17" s="139">
        <f t="shared" si="1"/>
        <v>5606846</v>
      </c>
      <c r="R17" s="215"/>
    </row>
    <row r="18" spans="1:18" s="144" customFormat="1" ht="20.45" customHeight="1" x14ac:dyDescent="0.25">
      <c r="A18" s="211">
        <v>11</v>
      </c>
      <c r="B18" s="328">
        <v>44389</v>
      </c>
      <c r="C18" s="134" t="s">
        <v>2529</v>
      </c>
      <c r="D18" s="211" t="s">
        <v>868</v>
      </c>
      <c r="E18" s="136" t="s">
        <v>2883</v>
      </c>
      <c r="F18" s="134"/>
      <c r="G18" s="134">
        <f>59+3</f>
        <v>62</v>
      </c>
      <c r="H18" s="139">
        <f t="shared" si="3"/>
        <v>1024860</v>
      </c>
      <c r="I18" s="134"/>
      <c r="J18" s="226">
        <v>790000</v>
      </c>
      <c r="K18" s="139"/>
      <c r="L18" s="263"/>
      <c r="M18" s="139"/>
      <c r="N18" s="139"/>
      <c r="O18" s="139">
        <f t="shared" si="2"/>
        <v>1814860</v>
      </c>
      <c r="P18" s="139">
        <v>2954545</v>
      </c>
      <c r="Q18" s="139">
        <f t="shared" si="1"/>
        <v>1139685</v>
      </c>
      <c r="R18" s="215"/>
    </row>
    <row r="19" spans="1:18" s="144" customFormat="1" ht="20.45" customHeight="1" x14ac:dyDescent="0.25">
      <c r="A19" s="211">
        <v>12</v>
      </c>
      <c r="B19" s="328">
        <v>44389</v>
      </c>
      <c r="C19" s="134" t="s">
        <v>3813</v>
      </c>
      <c r="D19" s="211" t="s">
        <v>3814</v>
      </c>
      <c r="E19" s="136" t="s">
        <v>1568</v>
      </c>
      <c r="F19" s="134"/>
      <c r="G19" s="134">
        <f>87+3</f>
        <v>90</v>
      </c>
      <c r="H19" s="139">
        <f t="shared" si="3"/>
        <v>1487700</v>
      </c>
      <c r="I19" s="134"/>
      <c r="J19" s="226">
        <v>1150000</v>
      </c>
      <c r="K19" s="139"/>
      <c r="L19" s="263"/>
      <c r="M19" s="139"/>
      <c r="N19" s="139"/>
      <c r="O19" s="139">
        <f t="shared" si="2"/>
        <v>2637700</v>
      </c>
      <c r="P19" s="139">
        <v>4030000</v>
      </c>
      <c r="Q19" s="139">
        <f t="shared" si="1"/>
        <v>1392300</v>
      </c>
      <c r="R19" s="215"/>
    </row>
    <row r="20" spans="1:18" s="144" customFormat="1" ht="20.45" customHeight="1" x14ac:dyDescent="0.25">
      <c r="A20" s="211">
        <v>13</v>
      </c>
      <c r="B20" s="328">
        <v>44390</v>
      </c>
      <c r="C20" s="134" t="s">
        <v>1826</v>
      </c>
      <c r="D20" s="211" t="s">
        <v>3815</v>
      </c>
      <c r="E20" s="136" t="s">
        <v>1568</v>
      </c>
      <c r="F20" s="134"/>
      <c r="G20" s="134">
        <f>87+3</f>
        <v>90</v>
      </c>
      <c r="H20" s="139">
        <f t="shared" si="3"/>
        <v>1487700</v>
      </c>
      <c r="I20" s="134"/>
      <c r="J20" s="226">
        <v>1150000</v>
      </c>
      <c r="K20" s="139"/>
      <c r="L20" s="263"/>
      <c r="M20" s="139"/>
      <c r="N20" s="139"/>
      <c r="O20" s="139">
        <f t="shared" si="2"/>
        <v>2637700</v>
      </c>
      <c r="P20" s="139">
        <v>3800000</v>
      </c>
      <c r="Q20" s="139">
        <f t="shared" si="1"/>
        <v>1162300</v>
      </c>
      <c r="R20" s="215"/>
    </row>
    <row r="21" spans="1:18" s="144" customFormat="1" ht="20.45" customHeight="1" x14ac:dyDescent="0.25">
      <c r="A21" s="211">
        <v>14</v>
      </c>
      <c r="B21" s="328">
        <v>44391</v>
      </c>
      <c r="C21" s="134" t="s">
        <v>3816</v>
      </c>
      <c r="D21" s="211" t="s">
        <v>3817</v>
      </c>
      <c r="E21" s="136" t="s">
        <v>1170</v>
      </c>
      <c r="F21" s="134"/>
      <c r="G21" s="134">
        <f>240+15</f>
        <v>255</v>
      </c>
      <c r="H21" s="139">
        <f t="shared" si="3"/>
        <v>4215150</v>
      </c>
      <c r="I21" s="134"/>
      <c r="J21" s="226">
        <v>2740000</v>
      </c>
      <c r="K21" s="139"/>
      <c r="L21" s="263"/>
      <c r="M21" s="139"/>
      <c r="N21" s="139"/>
      <c r="O21" s="139">
        <f t="shared" si="2"/>
        <v>6955150</v>
      </c>
      <c r="P21" s="139">
        <v>13727273</v>
      </c>
      <c r="Q21" s="139">
        <f t="shared" si="1"/>
        <v>6772123</v>
      </c>
      <c r="R21" s="215"/>
    </row>
    <row r="22" spans="1:18" s="144" customFormat="1" ht="20.45" customHeight="1" x14ac:dyDescent="0.25">
      <c r="A22" s="211">
        <v>15</v>
      </c>
      <c r="B22" s="328">
        <v>44392</v>
      </c>
      <c r="C22" s="134" t="s">
        <v>3818</v>
      </c>
      <c r="D22" s="211" t="s">
        <v>3819</v>
      </c>
      <c r="E22" s="136" t="s">
        <v>2883</v>
      </c>
      <c r="F22" s="134"/>
      <c r="G22" s="134">
        <f>77+3</f>
        <v>80</v>
      </c>
      <c r="H22" s="139">
        <f t="shared" si="3"/>
        <v>1322400</v>
      </c>
      <c r="I22" s="134"/>
      <c r="J22" s="226">
        <v>790000</v>
      </c>
      <c r="K22" s="139"/>
      <c r="L22" s="263"/>
      <c r="M22" s="139"/>
      <c r="N22" s="139"/>
      <c r="O22" s="139">
        <f t="shared" si="2"/>
        <v>2112400</v>
      </c>
      <c r="P22" s="139">
        <v>3227273</v>
      </c>
      <c r="Q22" s="139">
        <f t="shared" si="1"/>
        <v>1114873</v>
      </c>
      <c r="R22" s="215"/>
    </row>
    <row r="23" spans="1:18" s="144" customFormat="1" ht="25.5" customHeight="1" x14ac:dyDescent="0.25">
      <c r="A23" s="211">
        <v>16</v>
      </c>
      <c r="B23" s="328">
        <v>44393</v>
      </c>
      <c r="C23" s="134" t="s">
        <v>1830</v>
      </c>
      <c r="D23" s="211" t="s">
        <v>3820</v>
      </c>
      <c r="E23" s="136" t="s">
        <v>3821</v>
      </c>
      <c r="F23" s="134"/>
      <c r="G23" s="134">
        <f>92+3</f>
        <v>95</v>
      </c>
      <c r="H23" s="139">
        <f t="shared" si="3"/>
        <v>1570350</v>
      </c>
      <c r="I23" s="134"/>
      <c r="J23" s="226">
        <v>1150000</v>
      </c>
      <c r="K23" s="139"/>
      <c r="L23" s="263"/>
      <c r="M23" s="139"/>
      <c r="N23" s="139"/>
      <c r="O23" s="139">
        <f t="shared" si="2"/>
        <v>2720350</v>
      </c>
      <c r="P23" s="139">
        <v>3800000</v>
      </c>
      <c r="Q23" s="139">
        <f t="shared" si="1"/>
        <v>1079650</v>
      </c>
      <c r="R23" s="215"/>
    </row>
    <row r="24" spans="1:18" s="144" customFormat="1" ht="20.45" customHeight="1" x14ac:dyDescent="0.25">
      <c r="A24" s="211">
        <v>17</v>
      </c>
      <c r="B24" s="328">
        <v>44394</v>
      </c>
      <c r="C24" s="134" t="s">
        <v>3822</v>
      </c>
      <c r="D24" s="211" t="s">
        <v>3823</v>
      </c>
      <c r="E24" s="136" t="s">
        <v>2883</v>
      </c>
      <c r="F24" s="134"/>
      <c r="G24" s="134">
        <f>62+3</f>
        <v>65</v>
      </c>
      <c r="H24" s="139">
        <f t="shared" si="3"/>
        <v>1074450</v>
      </c>
      <c r="I24" s="134"/>
      <c r="J24" s="226">
        <v>790000</v>
      </c>
      <c r="K24" s="139"/>
      <c r="L24" s="263"/>
      <c r="M24" s="139"/>
      <c r="N24" s="139"/>
      <c r="O24" s="139">
        <f t="shared" si="2"/>
        <v>1864450</v>
      </c>
      <c r="P24" s="139">
        <v>2954545</v>
      </c>
      <c r="Q24" s="139">
        <f t="shared" si="1"/>
        <v>1090095</v>
      </c>
      <c r="R24" s="215"/>
    </row>
    <row r="25" spans="1:18" s="144" customFormat="1" ht="20.45" customHeight="1" x14ac:dyDescent="0.25">
      <c r="A25" s="211">
        <v>18</v>
      </c>
      <c r="B25" s="328">
        <v>44396</v>
      </c>
      <c r="C25" s="134" t="s">
        <v>464</v>
      </c>
      <c r="D25" s="211" t="s">
        <v>3824</v>
      </c>
      <c r="E25" s="136" t="s">
        <v>25</v>
      </c>
      <c r="F25" s="134"/>
      <c r="G25" s="134">
        <v>180</v>
      </c>
      <c r="H25" s="139">
        <f t="shared" si="3"/>
        <v>2975400</v>
      </c>
      <c r="I25" s="134"/>
      <c r="J25" s="226">
        <v>1890000</v>
      </c>
      <c r="K25" s="139"/>
      <c r="L25" s="263"/>
      <c r="M25" s="139"/>
      <c r="N25" s="139"/>
      <c r="O25" s="139">
        <f t="shared" si="2"/>
        <v>4865400</v>
      </c>
      <c r="P25" s="139">
        <v>8027273</v>
      </c>
      <c r="Q25" s="139">
        <f t="shared" si="1"/>
        <v>3161873</v>
      </c>
      <c r="R25" s="215"/>
    </row>
    <row r="26" spans="1:18" s="144" customFormat="1" ht="20.45" customHeight="1" x14ac:dyDescent="0.25">
      <c r="A26" s="211">
        <v>19</v>
      </c>
      <c r="B26" s="328">
        <v>44396</v>
      </c>
      <c r="C26" s="134" t="s">
        <v>3825</v>
      </c>
      <c r="D26" s="211" t="s">
        <v>3826</v>
      </c>
      <c r="E26" s="136" t="s">
        <v>3277</v>
      </c>
      <c r="F26" s="134"/>
      <c r="G26" s="134">
        <v>97</v>
      </c>
      <c r="H26" s="139">
        <f>G26*16530</f>
        <v>1603410</v>
      </c>
      <c r="I26" s="134"/>
      <c r="J26" s="226">
        <v>1150000</v>
      </c>
      <c r="K26" s="139"/>
      <c r="L26" s="263"/>
      <c r="M26" s="139"/>
      <c r="N26" s="139"/>
      <c r="O26" s="139">
        <f t="shared" si="2"/>
        <v>2753410</v>
      </c>
      <c r="P26" s="139">
        <v>3800000</v>
      </c>
      <c r="Q26" s="139">
        <f t="shared" si="1"/>
        <v>1046590</v>
      </c>
      <c r="R26" s="215"/>
    </row>
    <row r="27" spans="1:18" s="144" customFormat="1" ht="20.45" customHeight="1" x14ac:dyDescent="0.25">
      <c r="A27" s="211">
        <v>20</v>
      </c>
      <c r="B27" s="328">
        <v>44398</v>
      </c>
      <c r="C27" s="134" t="s">
        <v>3827</v>
      </c>
      <c r="D27" s="211" t="s">
        <v>3828</v>
      </c>
      <c r="E27" s="136" t="s">
        <v>2883</v>
      </c>
      <c r="F27" s="134"/>
      <c r="G27" s="134">
        <f>68+3</f>
        <v>71</v>
      </c>
      <c r="H27" s="139">
        <f t="shared" si="3"/>
        <v>1173630</v>
      </c>
      <c r="I27" s="134"/>
      <c r="J27" s="226">
        <v>790000</v>
      </c>
      <c r="K27" s="139"/>
      <c r="L27" s="263"/>
      <c r="M27" s="139"/>
      <c r="N27" s="139"/>
      <c r="O27" s="139">
        <f t="shared" si="2"/>
        <v>1963630</v>
      </c>
      <c r="P27" s="139">
        <v>2954545</v>
      </c>
      <c r="Q27" s="139">
        <f t="shared" si="1"/>
        <v>990915</v>
      </c>
      <c r="R27" s="215"/>
    </row>
    <row r="28" spans="1:18" s="144" customFormat="1" ht="20.45" customHeight="1" x14ac:dyDescent="0.25">
      <c r="A28" s="211">
        <v>21</v>
      </c>
      <c r="B28" s="328">
        <v>44399</v>
      </c>
      <c r="C28" s="134" t="s">
        <v>3829</v>
      </c>
      <c r="D28" s="211" t="s">
        <v>3830</v>
      </c>
      <c r="E28" s="136" t="s">
        <v>25</v>
      </c>
      <c r="F28" s="134"/>
      <c r="G28" s="134">
        <v>180</v>
      </c>
      <c r="H28" s="139">
        <f t="shared" si="3"/>
        <v>2975400</v>
      </c>
      <c r="I28" s="134"/>
      <c r="J28" s="226">
        <v>1890000</v>
      </c>
      <c r="K28" s="139"/>
      <c r="L28" s="263"/>
      <c r="M28" s="139"/>
      <c r="N28" s="139"/>
      <c r="O28" s="139">
        <f t="shared" si="2"/>
        <v>4865400</v>
      </c>
      <c r="P28" s="139">
        <v>8572727</v>
      </c>
      <c r="Q28" s="139">
        <f t="shared" si="1"/>
        <v>3707327</v>
      </c>
      <c r="R28" s="215"/>
    </row>
    <row r="29" spans="1:18" s="144" customFormat="1" ht="20.45" customHeight="1" x14ac:dyDescent="0.25">
      <c r="A29" s="211">
        <v>22</v>
      </c>
      <c r="B29" s="328">
        <v>44399</v>
      </c>
      <c r="C29" s="134" t="s">
        <v>3829</v>
      </c>
      <c r="D29" s="211" t="s">
        <v>3831</v>
      </c>
      <c r="E29" s="136" t="s">
        <v>25</v>
      </c>
      <c r="F29" s="134"/>
      <c r="G29" s="134"/>
      <c r="H29" s="139">
        <f t="shared" si="3"/>
        <v>0</v>
      </c>
      <c r="I29" s="134"/>
      <c r="J29" s="226">
        <v>300000</v>
      </c>
      <c r="K29" s="139"/>
      <c r="L29" s="263"/>
      <c r="M29" s="139"/>
      <c r="N29" s="139"/>
      <c r="O29" s="139">
        <f t="shared" si="2"/>
        <v>300000</v>
      </c>
      <c r="P29" s="139">
        <v>0</v>
      </c>
      <c r="Q29" s="139">
        <f t="shared" si="1"/>
        <v>-300000</v>
      </c>
      <c r="R29" s="215"/>
    </row>
    <row r="30" spans="1:18" s="144" customFormat="1" ht="20.45" customHeight="1" x14ac:dyDescent="0.25">
      <c r="A30" s="211">
        <v>23</v>
      </c>
      <c r="B30" s="328">
        <v>44400</v>
      </c>
      <c r="C30" s="134" t="s">
        <v>3196</v>
      </c>
      <c r="D30" s="211" t="s">
        <v>3832</v>
      </c>
      <c r="E30" s="136" t="s">
        <v>27</v>
      </c>
      <c r="F30" s="134"/>
      <c r="G30" s="134">
        <f>108+3</f>
        <v>111</v>
      </c>
      <c r="H30" s="139">
        <f t="shared" si="3"/>
        <v>1834830</v>
      </c>
      <c r="I30" s="134"/>
      <c r="J30" s="226">
        <v>790000</v>
      </c>
      <c r="K30" s="139"/>
      <c r="L30" s="263"/>
      <c r="M30" s="139"/>
      <c r="N30" s="139"/>
      <c r="O30" s="139">
        <f t="shared" si="2"/>
        <v>2624830</v>
      </c>
      <c r="P30" s="139">
        <v>3800000</v>
      </c>
      <c r="Q30" s="139">
        <f t="shared" si="1"/>
        <v>1175170</v>
      </c>
      <c r="R30" s="215"/>
    </row>
    <row r="31" spans="1:18" s="144" customFormat="1" ht="25.5" customHeight="1" x14ac:dyDescent="0.25">
      <c r="A31" s="211">
        <v>24</v>
      </c>
      <c r="B31" s="328">
        <v>44402</v>
      </c>
      <c r="C31" s="134" t="s">
        <v>3833</v>
      </c>
      <c r="D31" s="211" t="s">
        <v>2707</v>
      </c>
      <c r="E31" s="136" t="s">
        <v>3782</v>
      </c>
      <c r="F31" s="134"/>
      <c r="G31" s="134">
        <v>104</v>
      </c>
      <c r="H31" s="139">
        <f t="shared" si="3"/>
        <v>1719120</v>
      </c>
      <c r="I31" s="134"/>
      <c r="J31" s="226">
        <v>1350000</v>
      </c>
      <c r="K31" s="139"/>
      <c r="L31" s="263"/>
      <c r="M31" s="139"/>
      <c r="N31" s="139"/>
      <c r="O31" s="139">
        <f t="shared" si="2"/>
        <v>3069120</v>
      </c>
      <c r="P31" s="139">
        <v>4536364</v>
      </c>
      <c r="Q31" s="139">
        <f t="shared" si="1"/>
        <v>1467244</v>
      </c>
      <c r="R31" s="215"/>
    </row>
    <row r="32" spans="1:18" s="144" customFormat="1" ht="20.45" customHeight="1" x14ac:dyDescent="0.25">
      <c r="A32" s="211">
        <v>25</v>
      </c>
      <c r="B32" s="328">
        <v>44404</v>
      </c>
      <c r="C32" s="134" t="s">
        <v>3834</v>
      </c>
      <c r="D32" s="211" t="s">
        <v>3835</v>
      </c>
      <c r="E32" s="136" t="s">
        <v>1283</v>
      </c>
      <c r="F32" s="134"/>
      <c r="G32" s="134">
        <v>67</v>
      </c>
      <c r="H32" s="139">
        <f>G32*16370</f>
        <v>1096790</v>
      </c>
      <c r="I32" s="134"/>
      <c r="J32" s="226">
        <v>1150000</v>
      </c>
      <c r="K32" s="139"/>
      <c r="L32" s="263"/>
      <c r="M32" s="139"/>
      <c r="N32" s="139"/>
      <c r="O32" s="139">
        <f t="shared" si="2"/>
        <v>2246790</v>
      </c>
      <c r="P32" s="139">
        <v>3445455</v>
      </c>
      <c r="Q32" s="139">
        <f t="shared" si="1"/>
        <v>1198665</v>
      </c>
      <c r="R32" s="215"/>
    </row>
    <row r="33" spans="1:24" s="144" customFormat="1" ht="20.45" customHeight="1" x14ac:dyDescent="0.25">
      <c r="A33" s="211">
        <v>26</v>
      </c>
      <c r="B33" s="328">
        <v>44404</v>
      </c>
      <c r="C33" s="134" t="s">
        <v>3836</v>
      </c>
      <c r="D33" s="211" t="s">
        <v>3837</v>
      </c>
      <c r="E33" s="136" t="s">
        <v>80</v>
      </c>
      <c r="F33" s="134"/>
      <c r="G33" s="134">
        <v>102</v>
      </c>
      <c r="H33" s="139">
        <f t="shared" ref="H33:H36" si="4">G33*16370</f>
        <v>1669740</v>
      </c>
      <c r="I33" s="134"/>
      <c r="J33" s="226">
        <v>790000</v>
      </c>
      <c r="K33" s="139"/>
      <c r="L33" s="263"/>
      <c r="M33" s="139"/>
      <c r="N33" s="139"/>
      <c r="O33" s="139">
        <f t="shared" si="2"/>
        <v>2459740</v>
      </c>
      <c r="P33" s="139">
        <v>3600000</v>
      </c>
      <c r="Q33" s="139">
        <f t="shared" si="1"/>
        <v>1140260</v>
      </c>
      <c r="R33" s="215"/>
    </row>
    <row r="34" spans="1:24" s="144" customFormat="1" ht="20.45" customHeight="1" x14ac:dyDescent="0.25">
      <c r="A34" s="211">
        <v>27</v>
      </c>
      <c r="B34" s="328">
        <v>44405</v>
      </c>
      <c r="C34" s="134" t="s">
        <v>3838</v>
      </c>
      <c r="D34" s="211" t="s">
        <v>3839</v>
      </c>
      <c r="E34" s="136" t="s">
        <v>1170</v>
      </c>
      <c r="F34" s="134"/>
      <c r="G34" s="134">
        <v>240</v>
      </c>
      <c r="H34" s="139">
        <f t="shared" si="4"/>
        <v>3928800</v>
      </c>
      <c r="I34" s="134"/>
      <c r="J34" s="226">
        <v>2740000</v>
      </c>
      <c r="K34" s="139"/>
      <c r="L34" s="263"/>
      <c r="M34" s="139"/>
      <c r="N34" s="139"/>
      <c r="O34" s="139">
        <f t="shared" si="2"/>
        <v>6668800</v>
      </c>
      <c r="P34" s="139">
        <v>13472727</v>
      </c>
      <c r="Q34" s="139">
        <f t="shared" si="1"/>
        <v>6803927</v>
      </c>
      <c r="R34" s="215"/>
    </row>
    <row r="35" spans="1:24" s="144" customFormat="1" ht="20.45" customHeight="1" x14ac:dyDescent="0.25">
      <c r="A35" s="211">
        <v>28</v>
      </c>
      <c r="B35" s="328">
        <v>44407</v>
      </c>
      <c r="C35" s="134" t="s">
        <v>3840</v>
      </c>
      <c r="D35" s="211" t="s">
        <v>3841</v>
      </c>
      <c r="E35" s="136" t="s">
        <v>2883</v>
      </c>
      <c r="F35" s="134"/>
      <c r="G35" s="134">
        <v>66</v>
      </c>
      <c r="H35" s="139">
        <f t="shared" si="4"/>
        <v>1080420</v>
      </c>
      <c r="I35" s="134"/>
      <c r="J35" s="226">
        <v>790000</v>
      </c>
      <c r="K35" s="139"/>
      <c r="L35" s="263"/>
      <c r="M35" s="139"/>
      <c r="N35" s="139"/>
      <c r="O35" s="139">
        <f t="shared" si="2"/>
        <v>1870420</v>
      </c>
      <c r="P35" s="139">
        <v>3227273</v>
      </c>
      <c r="Q35" s="139">
        <f t="shared" si="1"/>
        <v>1356853</v>
      </c>
      <c r="R35" s="143"/>
      <c r="S35" s="128"/>
      <c r="T35" s="128"/>
      <c r="U35" s="128"/>
      <c r="V35" s="128"/>
      <c r="W35" s="128"/>
      <c r="X35" s="128"/>
    </row>
    <row r="36" spans="1:24" s="144" customFormat="1" ht="20.45" customHeight="1" x14ac:dyDescent="0.25">
      <c r="A36" s="211">
        <v>29</v>
      </c>
      <c r="B36" s="328">
        <v>44407</v>
      </c>
      <c r="C36" s="134" t="s">
        <v>3842</v>
      </c>
      <c r="D36" s="211" t="s">
        <v>3843</v>
      </c>
      <c r="E36" s="136" t="s">
        <v>291</v>
      </c>
      <c r="F36" s="134"/>
      <c r="G36" s="134">
        <v>82</v>
      </c>
      <c r="H36" s="139">
        <f t="shared" si="4"/>
        <v>1342340</v>
      </c>
      <c r="I36" s="134"/>
      <c r="J36" s="226">
        <v>1150000</v>
      </c>
      <c r="K36" s="139"/>
      <c r="L36" s="263"/>
      <c r="M36" s="139"/>
      <c r="N36" s="139"/>
      <c r="O36" s="139">
        <f t="shared" si="2"/>
        <v>2492340</v>
      </c>
      <c r="P36" s="139">
        <v>3500000</v>
      </c>
      <c r="Q36" s="139">
        <f t="shared" si="1"/>
        <v>1007660</v>
      </c>
      <c r="R36" s="215"/>
    </row>
    <row r="37" spans="1:24" s="144" customFormat="1" ht="20.45" customHeight="1" x14ac:dyDescent="0.25">
      <c r="A37" s="211"/>
      <c r="B37" s="191"/>
      <c r="C37" s="449" t="s">
        <v>3844</v>
      </c>
      <c r="D37" s="449"/>
      <c r="E37" s="449"/>
      <c r="F37" s="449"/>
      <c r="G37" s="195"/>
      <c r="H37" s="155"/>
      <c r="I37" s="195"/>
      <c r="J37" s="155"/>
      <c r="K37" s="219"/>
      <c r="L37" s="185">
        <v>2750000</v>
      </c>
      <c r="M37" s="139"/>
      <c r="N37" s="139"/>
      <c r="O37" s="139">
        <f>SUM(H37:N37)</f>
        <v>2750000</v>
      </c>
      <c r="P37" s="141"/>
      <c r="Q37" s="139"/>
      <c r="R37" s="215"/>
    </row>
    <row r="38" spans="1:24" s="144" customFormat="1" ht="24.95" customHeight="1" x14ac:dyDescent="0.25">
      <c r="A38" s="211"/>
      <c r="B38" s="191"/>
      <c r="C38" s="440" t="s">
        <v>3845</v>
      </c>
      <c r="D38" s="441"/>
      <c r="E38" s="442"/>
      <c r="F38" s="196"/>
      <c r="G38" s="195"/>
      <c r="H38" s="155"/>
      <c r="I38" s="195"/>
      <c r="J38" s="155"/>
      <c r="K38" s="219"/>
      <c r="L38" s="185">
        <v>1000000</v>
      </c>
      <c r="M38" s="139"/>
      <c r="N38" s="139"/>
      <c r="O38" s="139">
        <f>SUM(H38:N38)</f>
        <v>1000000</v>
      </c>
      <c r="P38" s="141"/>
      <c r="Q38" s="139"/>
      <c r="R38" s="215"/>
    </row>
    <row r="39" spans="1:24" s="144" customFormat="1" ht="24.95" customHeight="1" x14ac:dyDescent="0.25">
      <c r="A39" s="211"/>
      <c r="B39" s="191"/>
      <c r="C39" s="440" t="s">
        <v>3846</v>
      </c>
      <c r="D39" s="441"/>
      <c r="E39" s="442"/>
      <c r="F39" s="196"/>
      <c r="G39" s="195"/>
      <c r="H39" s="155"/>
      <c r="I39" s="195"/>
      <c r="J39" s="155"/>
      <c r="K39" s="219"/>
      <c r="L39" s="185">
        <v>310000</v>
      </c>
      <c r="M39" s="139"/>
      <c r="N39" s="139"/>
      <c r="O39" s="139">
        <f t="shared" ref="O39:O50" si="5">SUM(H39:N39)</f>
        <v>310000</v>
      </c>
      <c r="P39" s="141"/>
      <c r="Q39" s="139"/>
      <c r="R39" s="215"/>
    </row>
    <row r="40" spans="1:24" s="144" customFormat="1" ht="24.95" customHeight="1" x14ac:dyDescent="0.25">
      <c r="A40" s="211"/>
      <c r="B40" s="191"/>
      <c r="C40" s="440" t="s">
        <v>3847</v>
      </c>
      <c r="D40" s="441"/>
      <c r="E40" s="442"/>
      <c r="F40" s="196"/>
      <c r="G40" s="195"/>
      <c r="H40" s="155"/>
      <c r="I40" s="195"/>
      <c r="J40" s="155"/>
      <c r="K40" s="219"/>
      <c r="L40" s="219"/>
      <c r="M40" s="185">
        <v>11200000</v>
      </c>
      <c r="N40" s="139"/>
      <c r="O40" s="139">
        <f t="shared" si="5"/>
        <v>11200000</v>
      </c>
      <c r="P40" s="141"/>
      <c r="Q40" s="139"/>
      <c r="R40" s="215"/>
    </row>
    <row r="41" spans="1:24" s="144" customFormat="1" ht="24.95" customHeight="1" x14ac:dyDescent="0.25">
      <c r="A41" s="211"/>
      <c r="B41" s="191"/>
      <c r="C41" s="452" t="s">
        <v>3848</v>
      </c>
      <c r="D41" s="453"/>
      <c r="E41" s="454"/>
      <c r="F41" s="196"/>
      <c r="G41" s="195"/>
      <c r="H41" s="155"/>
      <c r="I41" s="195"/>
      <c r="J41" s="155"/>
      <c r="K41" s="219"/>
      <c r="L41" s="185">
        <v>150000</v>
      </c>
      <c r="M41" s="219"/>
      <c r="N41" s="219"/>
      <c r="O41" s="139">
        <f t="shared" si="5"/>
        <v>150000</v>
      </c>
      <c r="P41" s="141"/>
      <c r="Q41" s="139"/>
      <c r="R41" s="215"/>
    </row>
    <row r="42" spans="1:24" s="144" customFormat="1" ht="24.95" customHeight="1" x14ac:dyDescent="0.25">
      <c r="A42" s="211"/>
      <c r="B42" s="191"/>
      <c r="C42" s="452" t="s">
        <v>3849</v>
      </c>
      <c r="D42" s="453"/>
      <c r="E42" s="454"/>
      <c r="F42" s="196"/>
      <c r="G42" s="195"/>
      <c r="H42" s="155"/>
      <c r="I42" s="195"/>
      <c r="J42" s="155"/>
      <c r="K42" s="185">
        <v>230000</v>
      </c>
      <c r="L42" s="219"/>
      <c r="M42" s="219"/>
      <c r="N42" s="219"/>
      <c r="O42" s="139">
        <f t="shared" si="5"/>
        <v>230000</v>
      </c>
      <c r="P42" s="141"/>
      <c r="Q42" s="139"/>
      <c r="R42" s="215"/>
    </row>
    <row r="43" spans="1:24" s="144" customFormat="1" ht="24.95" customHeight="1" x14ac:dyDescent="0.25">
      <c r="A43" s="211"/>
      <c r="B43" s="191"/>
      <c r="C43" s="452" t="s">
        <v>3850</v>
      </c>
      <c r="D43" s="453"/>
      <c r="E43" s="454"/>
      <c r="F43" s="196"/>
      <c r="G43" s="195"/>
      <c r="H43" s="155"/>
      <c r="I43" s="195"/>
      <c r="J43" s="155"/>
      <c r="K43" s="185">
        <v>330000</v>
      </c>
      <c r="L43" s="219"/>
      <c r="M43" s="219"/>
      <c r="N43" s="219"/>
      <c r="O43" s="139">
        <f t="shared" si="5"/>
        <v>330000</v>
      </c>
      <c r="P43" s="141"/>
      <c r="Q43" s="139"/>
      <c r="R43" s="215"/>
    </row>
    <row r="44" spans="1:24" s="144" customFormat="1" ht="24.95" customHeight="1" x14ac:dyDescent="0.25">
      <c r="A44" s="211"/>
      <c r="B44" s="191"/>
      <c r="C44" s="452" t="s">
        <v>3851</v>
      </c>
      <c r="D44" s="453"/>
      <c r="E44" s="454"/>
      <c r="F44" s="196"/>
      <c r="G44" s="195"/>
      <c r="H44" s="155"/>
      <c r="I44" s="195"/>
      <c r="J44" s="155"/>
      <c r="K44" s="185">
        <v>330000</v>
      </c>
      <c r="L44" s="219"/>
      <c r="M44" s="219"/>
      <c r="N44" s="219"/>
      <c r="O44" s="139">
        <f t="shared" si="5"/>
        <v>330000</v>
      </c>
      <c r="P44" s="141"/>
      <c r="Q44" s="139"/>
      <c r="R44" s="215"/>
    </row>
    <row r="45" spans="1:24" s="144" customFormat="1" ht="24.95" customHeight="1" x14ac:dyDescent="0.25">
      <c r="A45" s="211"/>
      <c r="B45" s="191"/>
      <c r="C45" s="452" t="s">
        <v>3852</v>
      </c>
      <c r="D45" s="453"/>
      <c r="E45" s="454"/>
      <c r="F45" s="196"/>
      <c r="G45" s="195"/>
      <c r="H45" s="155"/>
      <c r="I45" s="195"/>
      <c r="J45" s="155"/>
      <c r="K45" s="185">
        <v>390000</v>
      </c>
      <c r="L45" s="219"/>
      <c r="M45" s="219"/>
      <c r="N45" s="219"/>
      <c r="O45" s="139">
        <f t="shared" si="5"/>
        <v>390000</v>
      </c>
      <c r="P45" s="141"/>
      <c r="Q45" s="139"/>
      <c r="R45" s="215"/>
    </row>
    <row r="46" spans="1:24" s="144" customFormat="1" ht="24.95" customHeight="1" x14ac:dyDescent="0.25">
      <c r="A46" s="211"/>
      <c r="B46" s="191"/>
      <c r="C46" s="452" t="s">
        <v>3849</v>
      </c>
      <c r="D46" s="453"/>
      <c r="E46" s="454"/>
      <c r="F46" s="196"/>
      <c r="G46" s="195"/>
      <c r="H46" s="155"/>
      <c r="I46" s="195"/>
      <c r="J46" s="155"/>
      <c r="K46" s="185">
        <v>230000</v>
      </c>
      <c r="L46" s="219"/>
      <c r="M46" s="219"/>
      <c r="N46" s="219"/>
      <c r="O46" s="139">
        <f t="shared" si="5"/>
        <v>230000</v>
      </c>
      <c r="P46" s="141"/>
      <c r="Q46" s="139"/>
      <c r="R46" s="215"/>
    </row>
    <row r="47" spans="1:24" s="144" customFormat="1" ht="24.95" customHeight="1" x14ac:dyDescent="0.25">
      <c r="A47" s="211"/>
      <c r="B47" s="191"/>
      <c r="C47" s="459" t="s">
        <v>3853</v>
      </c>
      <c r="D47" s="460"/>
      <c r="E47" s="461"/>
      <c r="F47" s="196"/>
      <c r="G47" s="195"/>
      <c r="H47" s="155"/>
      <c r="I47" s="195"/>
      <c r="J47" s="155"/>
      <c r="K47" s="233">
        <v>720000</v>
      </c>
      <c r="L47" s="219"/>
      <c r="M47" s="219"/>
      <c r="N47" s="219"/>
      <c r="O47" s="139">
        <f t="shared" si="5"/>
        <v>720000</v>
      </c>
      <c r="P47" s="141"/>
      <c r="Q47" s="139"/>
      <c r="R47" s="215"/>
    </row>
    <row r="48" spans="1:24" s="144" customFormat="1" ht="24.95" customHeight="1" x14ac:dyDescent="0.25">
      <c r="A48" s="211"/>
      <c r="B48" s="191"/>
      <c r="C48" s="452" t="s">
        <v>3854</v>
      </c>
      <c r="D48" s="453"/>
      <c r="E48" s="454"/>
      <c r="F48" s="196"/>
      <c r="G48" s="195"/>
      <c r="H48" s="155"/>
      <c r="I48" s="195"/>
      <c r="J48" s="155"/>
      <c r="K48" s="185">
        <v>230000</v>
      </c>
      <c r="L48" s="219"/>
      <c r="M48" s="219"/>
      <c r="N48" s="219"/>
      <c r="O48" s="139">
        <f t="shared" si="5"/>
        <v>230000</v>
      </c>
      <c r="P48" s="141"/>
      <c r="Q48" s="139"/>
      <c r="R48" s="215"/>
    </row>
    <row r="49" spans="1:19" s="144" customFormat="1" ht="24.95" customHeight="1" x14ac:dyDescent="0.25">
      <c r="A49" s="211"/>
      <c r="B49" s="191"/>
      <c r="C49" s="452" t="s">
        <v>3738</v>
      </c>
      <c r="D49" s="453"/>
      <c r="E49" s="454"/>
      <c r="F49" s="196"/>
      <c r="G49" s="195"/>
      <c r="H49" s="155"/>
      <c r="I49" s="195"/>
      <c r="J49" s="155"/>
      <c r="K49" s="185">
        <f>26/26*8000000</f>
        <v>8000000</v>
      </c>
      <c r="L49" s="219"/>
      <c r="M49" s="139"/>
      <c r="N49" s="139"/>
      <c r="O49" s="139">
        <f t="shared" si="5"/>
        <v>8000000</v>
      </c>
      <c r="P49" s="141"/>
      <c r="Q49" s="139"/>
      <c r="R49" s="215"/>
    </row>
    <row r="50" spans="1:19" s="144" customFormat="1" ht="24.95" customHeight="1" x14ac:dyDescent="0.25">
      <c r="A50" s="211"/>
      <c r="B50" s="191"/>
      <c r="C50" s="452" t="s">
        <v>26</v>
      </c>
      <c r="D50" s="453"/>
      <c r="E50" s="454"/>
      <c r="F50" s="196"/>
      <c r="G50" s="195"/>
      <c r="H50" s="155"/>
      <c r="I50" s="195"/>
      <c r="J50" s="155"/>
      <c r="K50" s="219"/>
      <c r="L50" s="185">
        <v>1200000</v>
      </c>
      <c r="M50" s="139"/>
      <c r="N50" s="139"/>
      <c r="O50" s="139">
        <f t="shared" si="5"/>
        <v>1200000</v>
      </c>
      <c r="P50" s="141"/>
      <c r="Q50" s="139"/>
      <c r="R50" s="215"/>
    </row>
    <row r="51" spans="1:19" ht="20.45" customHeight="1" x14ac:dyDescent="0.25">
      <c r="A51" s="450" t="s">
        <v>20</v>
      </c>
      <c r="B51" s="450"/>
      <c r="C51" s="450"/>
      <c r="D51" s="450"/>
      <c r="E51" s="450"/>
      <c r="F51" s="450"/>
      <c r="G51" s="334">
        <f>SUM(G8:G50)</f>
        <v>3025</v>
      </c>
      <c r="H51" s="334">
        <f>SUM(H8:H50)</f>
        <v>49702870</v>
      </c>
      <c r="I51" s="334">
        <f t="shared" ref="I51:N51" si="6">SUM(I8:I50)</f>
        <v>0</v>
      </c>
      <c r="J51" s="334">
        <f t="shared" si="6"/>
        <v>35040000</v>
      </c>
      <c r="K51" s="334">
        <f t="shared" si="6"/>
        <v>10460000</v>
      </c>
      <c r="L51" s="334">
        <f t="shared" si="6"/>
        <v>5410000</v>
      </c>
      <c r="M51" s="334">
        <f t="shared" si="6"/>
        <v>11200000</v>
      </c>
      <c r="N51" s="334">
        <f t="shared" si="6"/>
        <v>0</v>
      </c>
      <c r="O51" s="334">
        <f>SUM(O8:O50)</f>
        <v>111812870</v>
      </c>
      <c r="P51" s="335">
        <f>SUM(P8:P50)</f>
        <v>140429999</v>
      </c>
      <c r="Q51" s="334">
        <f>P51-O51</f>
        <v>28617129</v>
      </c>
    </row>
    <row r="52" spans="1:19" ht="24.95" customHeight="1" x14ac:dyDescent="0.25">
      <c r="O52" s="158"/>
      <c r="Q52" s="158"/>
    </row>
    <row r="53" spans="1:19" ht="13.9" customHeight="1" x14ac:dyDescent="0.25">
      <c r="P53" s="216" t="s">
        <v>1603</v>
      </c>
      <c r="Q53" s="227">
        <f>Q51+'06.2021'!Q48</f>
        <v>105838844.76923077</v>
      </c>
      <c r="S53" s="216"/>
    </row>
    <row r="54" spans="1:19" ht="13.9" customHeight="1" x14ac:dyDescent="0.25">
      <c r="B54" s="129"/>
      <c r="J54" s="128"/>
      <c r="K54" s="128"/>
      <c r="L54" s="128"/>
      <c r="N54" s="128"/>
      <c r="O54" s="128"/>
      <c r="P54" s="218"/>
      <c r="Q54" s="216"/>
    </row>
    <row r="55" spans="1:19" ht="13.9" customHeight="1" x14ac:dyDescent="0.25">
      <c r="B55" s="129"/>
      <c r="H55" s="128"/>
      <c r="J55" s="128"/>
      <c r="K55" s="128"/>
      <c r="L55" s="128"/>
      <c r="M55" s="128"/>
      <c r="N55" s="128"/>
      <c r="O55" s="128"/>
      <c r="P55" s="218"/>
      <c r="Q55" s="230"/>
    </row>
    <row r="56" spans="1:19" ht="13.9" customHeight="1" x14ac:dyDescent="0.25">
      <c r="B56" s="129"/>
      <c r="H56" s="128"/>
      <c r="J56" s="128"/>
      <c r="K56" s="128"/>
      <c r="L56" s="128"/>
      <c r="M56" s="128"/>
      <c r="N56" s="128"/>
      <c r="O56" s="128"/>
      <c r="P56" s="218"/>
      <c r="Q56" s="230"/>
      <c r="R56" s="143"/>
    </row>
    <row r="57" spans="1:19" ht="13.9" customHeight="1" x14ac:dyDescent="0.25">
      <c r="B57" s="129"/>
      <c r="H57" s="128"/>
      <c r="J57" s="128"/>
      <c r="K57" s="128"/>
      <c r="L57" s="128"/>
      <c r="M57" s="128"/>
      <c r="N57" s="128"/>
      <c r="O57" s="128"/>
      <c r="P57" s="218"/>
      <c r="Q57" s="216"/>
      <c r="R57" s="143"/>
    </row>
    <row r="58" spans="1:19" x14ac:dyDescent="0.25">
      <c r="B58" s="129"/>
      <c r="H58" s="128"/>
      <c r="J58" s="128"/>
      <c r="K58" s="128"/>
      <c r="L58" s="128"/>
      <c r="M58" s="128"/>
      <c r="N58" s="128"/>
      <c r="O58" s="128"/>
      <c r="P58" s="218"/>
      <c r="Q58" s="216"/>
    </row>
    <row r="59" spans="1:19" x14ac:dyDescent="0.25">
      <c r="A59" s="128"/>
      <c r="B59" s="129"/>
      <c r="H59" s="128"/>
      <c r="J59" s="128"/>
      <c r="K59" s="128"/>
      <c r="L59" s="128"/>
      <c r="M59" s="128"/>
      <c r="N59" s="128"/>
      <c r="O59" s="128"/>
      <c r="P59" s="218"/>
      <c r="Q59" s="216"/>
    </row>
    <row r="60" spans="1:19" x14ac:dyDescent="0.25">
      <c r="A60" s="128"/>
      <c r="B60" s="129"/>
      <c r="H60" s="128"/>
      <c r="J60" s="128"/>
      <c r="K60" s="128"/>
      <c r="L60" s="128"/>
      <c r="M60" s="128"/>
      <c r="N60" s="128"/>
      <c r="O60" s="128"/>
      <c r="P60" s="218"/>
      <c r="Q60" s="216"/>
    </row>
    <row r="61" spans="1:19" x14ac:dyDescent="0.25">
      <c r="A61" s="128"/>
      <c r="B61" s="128"/>
      <c r="H61" s="128"/>
      <c r="J61" s="128"/>
      <c r="K61" s="128"/>
      <c r="L61" s="128"/>
      <c r="M61" s="128"/>
      <c r="N61" s="128"/>
      <c r="O61" s="128"/>
      <c r="P61" s="128"/>
      <c r="Q61" s="216"/>
    </row>
    <row r="62" spans="1:19" x14ac:dyDescent="0.25">
      <c r="A62" s="128"/>
      <c r="B62" s="128"/>
      <c r="H62" s="128"/>
      <c r="J62" s="128"/>
      <c r="K62" s="128"/>
      <c r="L62" s="128"/>
      <c r="M62" s="128"/>
      <c r="N62" s="128"/>
      <c r="O62" s="128"/>
      <c r="P62" s="128"/>
      <c r="Q62" s="216"/>
    </row>
  </sheetData>
  <mergeCells count="28">
    <mergeCell ref="C39:E39"/>
    <mergeCell ref="A1:Q1"/>
    <mergeCell ref="A2:Q2"/>
    <mergeCell ref="B3:Q3"/>
    <mergeCell ref="A5:A6"/>
    <mergeCell ref="B5:B6"/>
    <mergeCell ref="C5:C6"/>
    <mergeCell ref="D5:D6"/>
    <mergeCell ref="E5:E6"/>
    <mergeCell ref="F5:F6"/>
    <mergeCell ref="G5:N5"/>
    <mergeCell ref="O5:O6"/>
    <mergeCell ref="P5:P6"/>
    <mergeCell ref="Q5:Q6"/>
    <mergeCell ref="C37:F37"/>
    <mergeCell ref="C38:E38"/>
    <mergeCell ref="C40:E40"/>
    <mergeCell ref="C41:E41"/>
    <mergeCell ref="C49:E49"/>
    <mergeCell ref="C50:E50"/>
    <mergeCell ref="A51:F51"/>
    <mergeCell ref="C42:E42"/>
    <mergeCell ref="C43:E43"/>
    <mergeCell ref="C44:E44"/>
    <mergeCell ref="C45:E45"/>
    <mergeCell ref="C46:E46"/>
    <mergeCell ref="C47:E47"/>
    <mergeCell ref="C48:E48"/>
  </mergeCell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2375-801F-460B-BD35-20B3D492C4FB}">
  <dimension ref="A1:X70"/>
  <sheetViews>
    <sheetView topLeftCell="C49" workbookViewId="0">
      <selection activeCell="J12" sqref="J1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3855</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44410</v>
      </c>
      <c r="C8" s="134" t="s">
        <v>3856</v>
      </c>
      <c r="D8" s="211" t="s">
        <v>3869</v>
      </c>
      <c r="E8" s="136" t="s">
        <v>3896</v>
      </c>
      <c r="F8" s="134"/>
      <c r="G8" s="134">
        <v>64</v>
      </c>
      <c r="H8" s="139">
        <f>G8*16370</f>
        <v>1047680</v>
      </c>
      <c r="I8" s="134"/>
      <c r="J8" s="226">
        <v>790000</v>
      </c>
      <c r="K8" s="139"/>
      <c r="L8" s="263"/>
      <c r="M8" s="139"/>
      <c r="N8" s="139"/>
      <c r="O8" s="139">
        <f>SUM(H8:N8)</f>
        <v>1837680</v>
      </c>
      <c r="P8" s="139">
        <v>2800000</v>
      </c>
      <c r="Q8" s="139">
        <f>P8-O8</f>
        <v>962320</v>
      </c>
      <c r="R8" s="215"/>
    </row>
    <row r="9" spans="1:18" s="144" customFormat="1" ht="20.45" customHeight="1" x14ac:dyDescent="0.25">
      <c r="A9" s="211">
        <v>2</v>
      </c>
      <c r="B9" s="328">
        <v>44410</v>
      </c>
      <c r="C9" s="134" t="s">
        <v>1240</v>
      </c>
      <c r="D9" s="211" t="s">
        <v>3870</v>
      </c>
      <c r="E9" s="136" t="s">
        <v>25</v>
      </c>
      <c r="F9" s="134"/>
      <c r="G9" s="134">
        <v>180</v>
      </c>
      <c r="H9" s="139">
        <f t="shared" ref="H9:H16" si="0">G9*16370</f>
        <v>2946600</v>
      </c>
      <c r="I9" s="134"/>
      <c r="J9" s="226">
        <v>1890000</v>
      </c>
      <c r="K9" s="139"/>
      <c r="L9" s="263"/>
      <c r="M9" s="139"/>
      <c r="N9" s="139"/>
      <c r="O9" s="139">
        <f>SUM(H9:N9)</f>
        <v>4836600</v>
      </c>
      <c r="P9" s="139">
        <v>8572727</v>
      </c>
      <c r="Q9" s="139">
        <f t="shared" ref="Q9:Q35" si="1">P9-O9</f>
        <v>3736127</v>
      </c>
      <c r="R9" s="215"/>
    </row>
    <row r="10" spans="1:18" s="144" customFormat="1" ht="20.45" customHeight="1" x14ac:dyDescent="0.25">
      <c r="A10" s="211">
        <v>3</v>
      </c>
      <c r="B10" s="328">
        <v>44410</v>
      </c>
      <c r="C10" s="134" t="s">
        <v>1240</v>
      </c>
      <c r="D10" s="211" t="s">
        <v>3871</v>
      </c>
      <c r="E10" s="136" t="s">
        <v>25</v>
      </c>
      <c r="F10" s="134"/>
      <c r="G10" s="134"/>
      <c r="H10" s="139"/>
      <c r="I10" s="134"/>
      <c r="J10" s="226">
        <v>300000</v>
      </c>
      <c r="K10" s="139"/>
      <c r="L10" s="263"/>
      <c r="M10" s="139"/>
      <c r="N10" s="139"/>
      <c r="O10" s="139">
        <f t="shared" ref="O10:O35" si="2">SUM(H10:N10)</f>
        <v>300000</v>
      </c>
      <c r="P10" s="139">
        <v>0</v>
      </c>
      <c r="Q10" s="139">
        <f t="shared" si="1"/>
        <v>-300000</v>
      </c>
      <c r="R10" s="215"/>
    </row>
    <row r="11" spans="1:18" s="144" customFormat="1" ht="20.45" customHeight="1" x14ac:dyDescent="0.25">
      <c r="A11" s="211">
        <v>4</v>
      </c>
      <c r="B11" s="328">
        <v>44411</v>
      </c>
      <c r="C11" s="134" t="s">
        <v>3857</v>
      </c>
      <c r="D11" s="211" t="s">
        <v>3872</v>
      </c>
      <c r="E11" s="136" t="s">
        <v>218</v>
      </c>
      <c r="F11" s="134"/>
      <c r="G11" s="134">
        <v>91</v>
      </c>
      <c r="H11" s="139">
        <f t="shared" si="0"/>
        <v>1489670</v>
      </c>
      <c r="I11" s="134"/>
      <c r="J11" s="226">
        <v>1150000</v>
      </c>
      <c r="K11" s="139"/>
      <c r="L11" s="263"/>
      <c r="M11" s="139"/>
      <c r="N11" s="139"/>
      <c r="O11" s="139">
        <f t="shared" si="2"/>
        <v>2639670</v>
      </c>
      <c r="P11" s="139">
        <v>3700000</v>
      </c>
      <c r="Q11" s="139">
        <f t="shared" si="1"/>
        <v>1060330</v>
      </c>
      <c r="R11" s="215"/>
    </row>
    <row r="12" spans="1:18" s="144" customFormat="1" ht="20.45" customHeight="1" x14ac:dyDescent="0.25">
      <c r="A12" s="211">
        <v>5</v>
      </c>
      <c r="B12" s="328">
        <v>44412</v>
      </c>
      <c r="C12" s="134" t="s">
        <v>3858</v>
      </c>
      <c r="D12" s="211" t="s">
        <v>3872</v>
      </c>
      <c r="E12" s="136" t="s">
        <v>3897</v>
      </c>
      <c r="F12" s="134"/>
      <c r="G12" s="134">
        <v>80</v>
      </c>
      <c r="H12" s="139">
        <f t="shared" si="0"/>
        <v>1309600</v>
      </c>
      <c r="I12" s="134"/>
      <c r="J12" s="208">
        <f>300000+200000</f>
        <v>500000</v>
      </c>
      <c r="K12" s="139"/>
      <c r="L12" s="263"/>
      <c r="M12" s="139"/>
      <c r="N12" s="139"/>
      <c r="O12" s="139">
        <f t="shared" si="2"/>
        <v>1809600</v>
      </c>
      <c r="P12" s="139">
        <v>3000000</v>
      </c>
      <c r="Q12" s="139">
        <f t="shared" si="1"/>
        <v>1190400</v>
      </c>
      <c r="R12" s="215"/>
    </row>
    <row r="13" spans="1:18" s="144" customFormat="1" ht="20.45" customHeight="1" x14ac:dyDescent="0.25">
      <c r="A13" s="211">
        <v>6</v>
      </c>
      <c r="B13" s="328">
        <v>44413</v>
      </c>
      <c r="C13" s="134" t="s">
        <v>1885</v>
      </c>
      <c r="D13" s="211" t="s">
        <v>3873</v>
      </c>
      <c r="E13" s="136" t="s">
        <v>3898</v>
      </c>
      <c r="F13" s="134"/>
      <c r="G13" s="134">
        <v>0</v>
      </c>
      <c r="H13" s="139">
        <f t="shared" si="0"/>
        <v>0</v>
      </c>
      <c r="I13" s="134"/>
      <c r="J13" s="226">
        <f>790000+100000</f>
        <v>890000</v>
      </c>
      <c r="K13" s="139"/>
      <c r="L13" s="263"/>
      <c r="M13" s="139"/>
      <c r="N13" s="139"/>
      <c r="O13" s="139">
        <f t="shared" si="2"/>
        <v>890000</v>
      </c>
      <c r="P13" s="139">
        <v>3500000</v>
      </c>
      <c r="Q13" s="139">
        <f t="shared" si="1"/>
        <v>2610000</v>
      </c>
      <c r="R13" s="215"/>
    </row>
    <row r="14" spans="1:18" s="144" customFormat="1" ht="20.45" customHeight="1" x14ac:dyDescent="0.25">
      <c r="A14" s="211">
        <v>7</v>
      </c>
      <c r="B14" s="328">
        <v>44415</v>
      </c>
      <c r="C14" s="134" t="s">
        <v>534</v>
      </c>
      <c r="D14" s="211" t="s">
        <v>3874</v>
      </c>
      <c r="E14" s="136" t="s">
        <v>3899</v>
      </c>
      <c r="F14" s="134"/>
      <c r="G14" s="134">
        <v>108</v>
      </c>
      <c r="H14" s="139">
        <f t="shared" si="0"/>
        <v>1767960</v>
      </c>
      <c r="I14" s="134"/>
      <c r="J14" s="226">
        <v>1150000</v>
      </c>
      <c r="K14" s="139"/>
      <c r="L14" s="263"/>
      <c r="M14" s="139"/>
      <c r="N14" s="139"/>
      <c r="O14" s="139">
        <f t="shared" si="2"/>
        <v>2917960</v>
      </c>
      <c r="P14" s="139">
        <v>3800000</v>
      </c>
      <c r="Q14" s="139">
        <f t="shared" si="1"/>
        <v>882040</v>
      </c>
      <c r="R14" s="215"/>
    </row>
    <row r="15" spans="1:18" s="144" customFormat="1" ht="20.45" customHeight="1" x14ac:dyDescent="0.25">
      <c r="A15" s="211">
        <v>8</v>
      </c>
      <c r="B15" s="328">
        <v>44416</v>
      </c>
      <c r="C15" s="134" t="s">
        <v>537</v>
      </c>
      <c r="D15" s="211" t="s">
        <v>3875</v>
      </c>
      <c r="E15" s="136" t="s">
        <v>116</v>
      </c>
      <c r="F15" s="134"/>
      <c r="G15" s="134">
        <v>93</v>
      </c>
      <c r="H15" s="139">
        <f t="shared" si="0"/>
        <v>1522410</v>
      </c>
      <c r="I15" s="134"/>
      <c r="J15" s="226">
        <v>1150000</v>
      </c>
      <c r="K15" s="139"/>
      <c r="L15" s="263"/>
      <c r="M15" s="139"/>
      <c r="N15" s="139"/>
      <c r="O15" s="139">
        <f t="shared" si="2"/>
        <v>2672410</v>
      </c>
      <c r="P15" s="139">
        <v>3900000</v>
      </c>
      <c r="Q15" s="139">
        <f t="shared" si="1"/>
        <v>1227590</v>
      </c>
      <c r="R15" s="215"/>
    </row>
    <row r="16" spans="1:18" s="144" customFormat="1" ht="20.45" customHeight="1" x14ac:dyDescent="0.25">
      <c r="A16" s="211">
        <v>9</v>
      </c>
      <c r="B16" s="328">
        <v>44417</v>
      </c>
      <c r="C16" s="134" t="s">
        <v>2577</v>
      </c>
      <c r="D16" s="211" t="s">
        <v>3876</v>
      </c>
      <c r="E16" s="136" t="s">
        <v>25</v>
      </c>
      <c r="F16" s="134"/>
      <c r="G16" s="134">
        <v>180</v>
      </c>
      <c r="H16" s="139">
        <f t="shared" si="0"/>
        <v>2946600</v>
      </c>
      <c r="I16" s="134"/>
      <c r="J16" s="226">
        <f>1890000</f>
        <v>1890000</v>
      </c>
      <c r="K16" s="139"/>
      <c r="L16" s="263"/>
      <c r="M16" s="139"/>
      <c r="N16" s="139"/>
      <c r="O16" s="139">
        <f t="shared" si="2"/>
        <v>4836600</v>
      </c>
      <c r="P16" s="139">
        <v>8572727</v>
      </c>
      <c r="Q16" s="139">
        <f t="shared" si="1"/>
        <v>3736127</v>
      </c>
      <c r="R16" s="215"/>
    </row>
    <row r="17" spans="1:18" s="144" customFormat="1" ht="20.45" customHeight="1" x14ac:dyDescent="0.25">
      <c r="A17" s="211">
        <v>10</v>
      </c>
      <c r="B17" s="328">
        <v>44417</v>
      </c>
      <c r="C17" s="134" t="s">
        <v>2577</v>
      </c>
      <c r="D17" s="211" t="s">
        <v>3877</v>
      </c>
      <c r="E17" s="136" t="s">
        <v>25</v>
      </c>
      <c r="F17" s="134"/>
      <c r="G17" s="134"/>
      <c r="H17" s="139"/>
      <c r="I17" s="134"/>
      <c r="J17" s="226">
        <v>300000</v>
      </c>
      <c r="K17" s="139"/>
      <c r="L17" s="263"/>
      <c r="M17" s="139"/>
      <c r="N17" s="139"/>
      <c r="O17" s="139">
        <f t="shared" si="2"/>
        <v>300000</v>
      </c>
      <c r="P17" s="139">
        <v>0</v>
      </c>
      <c r="Q17" s="139">
        <f t="shared" si="1"/>
        <v>-300000</v>
      </c>
      <c r="R17" s="215"/>
    </row>
    <row r="18" spans="1:18" s="144" customFormat="1" ht="20.45" customHeight="1" x14ac:dyDescent="0.25">
      <c r="A18" s="211">
        <v>11</v>
      </c>
      <c r="B18" s="328">
        <v>44418</v>
      </c>
      <c r="C18" s="134" t="s">
        <v>3859</v>
      </c>
      <c r="D18" s="211" t="s">
        <v>3878</v>
      </c>
      <c r="E18" s="136" t="s">
        <v>1170</v>
      </c>
      <c r="F18" s="134"/>
      <c r="G18" s="134">
        <v>240</v>
      </c>
      <c r="H18" s="139">
        <f t="shared" ref="H18:H30" si="3">G18*16170</f>
        <v>3880800</v>
      </c>
      <c r="I18" s="134"/>
      <c r="J18" s="226">
        <v>2740000</v>
      </c>
      <c r="K18" s="139"/>
      <c r="L18" s="263"/>
      <c r="M18" s="139"/>
      <c r="N18" s="139"/>
      <c r="O18" s="139">
        <f t="shared" si="2"/>
        <v>6620800</v>
      </c>
      <c r="P18" s="139">
        <v>14850000</v>
      </c>
      <c r="Q18" s="139">
        <f t="shared" si="1"/>
        <v>8229200</v>
      </c>
      <c r="R18" s="215"/>
    </row>
    <row r="19" spans="1:18" s="144" customFormat="1" ht="20.45" customHeight="1" x14ac:dyDescent="0.25">
      <c r="A19" s="211">
        <v>12</v>
      </c>
      <c r="B19" s="328">
        <v>44418</v>
      </c>
      <c r="C19" s="134" t="s">
        <v>3859</v>
      </c>
      <c r="D19" s="211" t="s">
        <v>3879</v>
      </c>
      <c r="E19" s="136" t="s">
        <v>1170</v>
      </c>
      <c r="F19" s="134"/>
      <c r="G19" s="134"/>
      <c r="H19" s="139">
        <f t="shared" si="3"/>
        <v>0</v>
      </c>
      <c r="I19" s="134"/>
      <c r="J19" s="226">
        <v>300000</v>
      </c>
      <c r="K19" s="139"/>
      <c r="L19" s="263"/>
      <c r="M19" s="139"/>
      <c r="N19" s="139"/>
      <c r="O19" s="139">
        <f t="shared" si="2"/>
        <v>300000</v>
      </c>
      <c r="P19" s="139">
        <v>0</v>
      </c>
      <c r="Q19" s="139">
        <f t="shared" si="1"/>
        <v>-300000</v>
      </c>
      <c r="R19" s="215"/>
    </row>
    <row r="20" spans="1:18" s="144" customFormat="1" ht="20.45" customHeight="1" x14ac:dyDescent="0.25">
      <c r="A20" s="211">
        <v>13</v>
      </c>
      <c r="B20" s="328">
        <v>44419</v>
      </c>
      <c r="C20" s="134" t="s">
        <v>2578</v>
      </c>
      <c r="D20" s="211" t="s">
        <v>3880</v>
      </c>
      <c r="E20" s="136" t="s">
        <v>25</v>
      </c>
      <c r="F20" s="134"/>
      <c r="G20" s="134">
        <v>180</v>
      </c>
      <c r="H20" s="139">
        <f t="shared" si="3"/>
        <v>2910600</v>
      </c>
      <c r="I20" s="134"/>
      <c r="J20" s="226">
        <v>1890000</v>
      </c>
      <c r="K20" s="139"/>
      <c r="L20" s="263"/>
      <c r="M20" s="139"/>
      <c r="N20" s="139"/>
      <c r="O20" s="139">
        <f t="shared" si="2"/>
        <v>4800600</v>
      </c>
      <c r="P20" s="139">
        <v>7663636</v>
      </c>
      <c r="Q20" s="139">
        <f t="shared" si="1"/>
        <v>2863036</v>
      </c>
      <c r="R20" s="215"/>
    </row>
    <row r="21" spans="1:18" s="144" customFormat="1" ht="20.45" customHeight="1" x14ac:dyDescent="0.25">
      <c r="A21" s="211">
        <v>14</v>
      </c>
      <c r="B21" s="328">
        <v>44420</v>
      </c>
      <c r="C21" s="134" t="s">
        <v>1890</v>
      </c>
      <c r="D21" s="211" t="s">
        <v>3881</v>
      </c>
      <c r="E21" s="136" t="s">
        <v>25</v>
      </c>
      <c r="F21" s="134"/>
      <c r="G21" s="134">
        <v>180</v>
      </c>
      <c r="H21" s="139">
        <f t="shared" si="3"/>
        <v>2910600</v>
      </c>
      <c r="I21" s="134"/>
      <c r="J21" s="226">
        <v>1890000</v>
      </c>
      <c r="K21" s="139"/>
      <c r="L21" s="263"/>
      <c r="M21" s="139"/>
      <c r="N21" s="139"/>
      <c r="O21" s="139">
        <f t="shared" si="2"/>
        <v>4800600</v>
      </c>
      <c r="P21" s="139">
        <v>7663636</v>
      </c>
      <c r="Q21" s="139">
        <f t="shared" si="1"/>
        <v>2863036</v>
      </c>
      <c r="R21" s="215"/>
    </row>
    <row r="22" spans="1:18" s="144" customFormat="1" ht="20.45" customHeight="1" x14ac:dyDescent="0.25">
      <c r="A22" s="211">
        <v>15</v>
      </c>
      <c r="B22" s="328">
        <v>44422</v>
      </c>
      <c r="C22" s="134" t="s">
        <v>3860</v>
      </c>
      <c r="D22" s="211" t="s">
        <v>3882</v>
      </c>
      <c r="E22" s="136" t="s">
        <v>2883</v>
      </c>
      <c r="F22" s="134"/>
      <c r="G22" s="134">
        <v>62</v>
      </c>
      <c r="H22" s="139">
        <f t="shared" si="3"/>
        <v>1002540</v>
      </c>
      <c r="I22" s="134"/>
      <c r="J22" s="226">
        <v>790000</v>
      </c>
      <c r="K22" s="139"/>
      <c r="L22" s="263"/>
      <c r="M22" s="139"/>
      <c r="N22" s="139"/>
      <c r="O22" s="139">
        <f t="shared" si="2"/>
        <v>1792540</v>
      </c>
      <c r="P22" s="139">
        <v>3250000</v>
      </c>
      <c r="Q22" s="139">
        <f t="shared" si="1"/>
        <v>1457460</v>
      </c>
      <c r="R22" s="215"/>
    </row>
    <row r="23" spans="1:18" s="144" customFormat="1" ht="25.5" customHeight="1" x14ac:dyDescent="0.25">
      <c r="A23" s="211">
        <v>16</v>
      </c>
      <c r="B23" s="328">
        <v>44422</v>
      </c>
      <c r="C23" s="134" t="s">
        <v>3861</v>
      </c>
      <c r="D23" s="211" t="s">
        <v>3883</v>
      </c>
      <c r="E23" s="136" t="s">
        <v>143</v>
      </c>
      <c r="F23" s="134"/>
      <c r="G23" s="134">
        <v>110</v>
      </c>
      <c r="H23" s="139">
        <f t="shared" si="3"/>
        <v>1778700</v>
      </c>
      <c r="I23" s="134"/>
      <c r="J23" s="226">
        <v>1150000</v>
      </c>
      <c r="K23" s="139"/>
      <c r="L23" s="263"/>
      <c r="M23" s="139"/>
      <c r="N23" s="139"/>
      <c r="O23" s="139">
        <f t="shared" si="2"/>
        <v>2928700</v>
      </c>
      <c r="P23" s="139">
        <v>4781818</v>
      </c>
      <c r="Q23" s="139">
        <f t="shared" si="1"/>
        <v>1853118</v>
      </c>
      <c r="R23" s="215"/>
    </row>
    <row r="24" spans="1:18" s="144" customFormat="1" ht="20.45" customHeight="1" x14ac:dyDescent="0.25">
      <c r="A24" s="211">
        <v>17</v>
      </c>
      <c r="B24" s="328">
        <v>44424</v>
      </c>
      <c r="C24" s="134" t="s">
        <v>1895</v>
      </c>
      <c r="D24" s="211" t="s">
        <v>3884</v>
      </c>
      <c r="E24" s="136" t="s">
        <v>3343</v>
      </c>
      <c r="F24" s="134"/>
      <c r="G24" s="134">
        <v>74</v>
      </c>
      <c r="H24" s="139">
        <f t="shared" si="3"/>
        <v>1196580</v>
      </c>
      <c r="I24" s="134"/>
      <c r="J24" s="226">
        <v>790000</v>
      </c>
      <c r="K24" s="139"/>
      <c r="L24" s="263"/>
      <c r="M24" s="139"/>
      <c r="N24" s="139"/>
      <c r="O24" s="139">
        <f t="shared" si="2"/>
        <v>1986580</v>
      </c>
      <c r="P24" s="139">
        <v>2900000</v>
      </c>
      <c r="Q24" s="139">
        <f t="shared" si="1"/>
        <v>913420</v>
      </c>
      <c r="R24" s="215"/>
    </row>
    <row r="25" spans="1:18" s="144" customFormat="1" ht="20.45" customHeight="1" x14ac:dyDescent="0.25">
      <c r="A25" s="211">
        <v>18</v>
      </c>
      <c r="B25" s="328">
        <v>44425</v>
      </c>
      <c r="C25" s="134" t="s">
        <v>585</v>
      </c>
      <c r="D25" s="211" t="s">
        <v>3885</v>
      </c>
      <c r="E25" s="136" t="s">
        <v>1170</v>
      </c>
      <c r="F25" s="134"/>
      <c r="G25" s="134">
        <v>240</v>
      </c>
      <c r="H25" s="139">
        <f t="shared" si="3"/>
        <v>3880800</v>
      </c>
      <c r="I25" s="134"/>
      <c r="J25" s="226">
        <v>2740000</v>
      </c>
      <c r="K25" s="139"/>
      <c r="L25" s="263"/>
      <c r="M25" s="139"/>
      <c r="N25" s="139"/>
      <c r="O25" s="139">
        <f t="shared" si="2"/>
        <v>6620800</v>
      </c>
      <c r="P25" s="139">
        <v>13936364</v>
      </c>
      <c r="Q25" s="139">
        <f t="shared" si="1"/>
        <v>7315564</v>
      </c>
      <c r="R25" s="215"/>
    </row>
    <row r="26" spans="1:18" s="144" customFormat="1" ht="20.45" customHeight="1" x14ac:dyDescent="0.25">
      <c r="A26" s="211">
        <v>19</v>
      </c>
      <c r="B26" s="328">
        <v>44426</v>
      </c>
      <c r="C26" s="134" t="s">
        <v>546</v>
      </c>
      <c r="D26" s="211" t="s">
        <v>3886</v>
      </c>
      <c r="E26" s="136" t="s">
        <v>2059</v>
      </c>
      <c r="F26" s="134"/>
      <c r="G26" s="134">
        <v>145</v>
      </c>
      <c r="H26" s="139">
        <f t="shared" si="3"/>
        <v>2344650</v>
      </c>
      <c r="I26" s="134"/>
      <c r="J26" s="226">
        <v>1760000</v>
      </c>
      <c r="K26" s="139"/>
      <c r="L26" s="263"/>
      <c r="M26" s="139"/>
      <c r="N26" s="139"/>
      <c r="O26" s="139">
        <f t="shared" si="2"/>
        <v>4104650</v>
      </c>
      <c r="P26" s="139">
        <v>5727273</v>
      </c>
      <c r="Q26" s="139">
        <f t="shared" si="1"/>
        <v>1622623</v>
      </c>
      <c r="R26" s="215"/>
    </row>
    <row r="27" spans="1:18" s="144" customFormat="1" ht="20.45" customHeight="1" x14ac:dyDescent="0.25">
      <c r="A27" s="211">
        <v>20</v>
      </c>
      <c r="B27" s="328">
        <v>44427</v>
      </c>
      <c r="C27" s="134" t="s">
        <v>3862</v>
      </c>
      <c r="D27" s="211" t="s">
        <v>3887</v>
      </c>
      <c r="E27" s="136" t="s">
        <v>3900</v>
      </c>
      <c r="F27" s="134"/>
      <c r="G27" s="134">
        <v>66</v>
      </c>
      <c r="H27" s="139">
        <f t="shared" si="3"/>
        <v>1067220</v>
      </c>
      <c r="I27" s="134"/>
      <c r="J27" s="226">
        <v>790000</v>
      </c>
      <c r="K27" s="139"/>
      <c r="L27" s="263"/>
      <c r="M27" s="139"/>
      <c r="N27" s="139"/>
      <c r="O27" s="139">
        <f t="shared" si="2"/>
        <v>1857220</v>
      </c>
      <c r="P27" s="139">
        <v>3000000</v>
      </c>
      <c r="Q27" s="139">
        <f t="shared" si="1"/>
        <v>1142780</v>
      </c>
      <c r="R27" s="215"/>
    </row>
    <row r="28" spans="1:18" s="144" customFormat="1" ht="20.45" customHeight="1" x14ac:dyDescent="0.25">
      <c r="A28" s="211">
        <v>21</v>
      </c>
      <c r="B28" s="328">
        <v>44428</v>
      </c>
      <c r="C28" s="134" t="s">
        <v>3863</v>
      </c>
      <c r="D28" s="211" t="s">
        <v>3888</v>
      </c>
      <c r="E28" s="136" t="s">
        <v>3901</v>
      </c>
      <c r="F28" s="134"/>
      <c r="G28" s="134">
        <v>205</v>
      </c>
      <c r="H28" s="139">
        <f t="shared" si="3"/>
        <v>3314850</v>
      </c>
      <c r="I28" s="134"/>
      <c r="J28" s="226">
        <v>2190000</v>
      </c>
      <c r="K28" s="139"/>
      <c r="L28" s="263"/>
      <c r="M28" s="139"/>
      <c r="N28" s="139"/>
      <c r="O28" s="139">
        <f t="shared" si="2"/>
        <v>5504850</v>
      </c>
      <c r="P28" s="139">
        <v>9500000</v>
      </c>
      <c r="Q28" s="139">
        <f t="shared" si="1"/>
        <v>3995150</v>
      </c>
      <c r="R28" s="215"/>
    </row>
    <row r="29" spans="1:18" s="144" customFormat="1" ht="20.45" customHeight="1" x14ac:dyDescent="0.25">
      <c r="A29" s="211">
        <v>22</v>
      </c>
      <c r="B29" s="328">
        <v>44431</v>
      </c>
      <c r="C29" s="134" t="s">
        <v>3864</v>
      </c>
      <c r="D29" s="211" t="s">
        <v>3889</v>
      </c>
      <c r="E29" s="136" t="s">
        <v>3900</v>
      </c>
      <c r="F29" s="134"/>
      <c r="G29" s="134">
        <v>69</v>
      </c>
      <c r="H29" s="139">
        <f t="shared" si="3"/>
        <v>1115730</v>
      </c>
      <c r="I29" s="134"/>
      <c r="J29" s="226">
        <v>790000</v>
      </c>
      <c r="K29" s="139"/>
      <c r="L29" s="263"/>
      <c r="M29" s="139"/>
      <c r="N29" s="139"/>
      <c r="O29" s="139">
        <f t="shared" si="2"/>
        <v>1905730</v>
      </c>
      <c r="P29" s="139">
        <v>3000000</v>
      </c>
      <c r="Q29" s="139">
        <f t="shared" si="1"/>
        <v>1094270</v>
      </c>
      <c r="R29" s="215"/>
    </row>
    <row r="30" spans="1:18" s="144" customFormat="1" ht="20.45" customHeight="1" x14ac:dyDescent="0.25">
      <c r="A30" s="211">
        <v>23</v>
      </c>
      <c r="B30" s="328">
        <v>44431</v>
      </c>
      <c r="C30" s="134" t="s">
        <v>2586</v>
      </c>
      <c r="D30" s="211" t="s">
        <v>3890</v>
      </c>
      <c r="E30" s="136" t="s">
        <v>2059</v>
      </c>
      <c r="F30" s="134"/>
      <c r="G30" s="134">
        <v>144</v>
      </c>
      <c r="H30" s="139">
        <f t="shared" si="3"/>
        <v>2328480</v>
      </c>
      <c r="I30" s="134"/>
      <c r="J30" s="226">
        <f>1400000+180000</f>
        <v>1580000</v>
      </c>
      <c r="K30" s="139"/>
      <c r="L30" s="263"/>
      <c r="M30" s="139"/>
      <c r="N30" s="139"/>
      <c r="O30" s="139">
        <f t="shared" si="2"/>
        <v>3908480</v>
      </c>
      <c r="P30" s="139">
        <v>6054545</v>
      </c>
      <c r="Q30" s="139">
        <f t="shared" si="1"/>
        <v>2146065</v>
      </c>
      <c r="R30" s="215"/>
    </row>
    <row r="31" spans="1:18" s="144" customFormat="1" ht="25.5" customHeight="1" x14ac:dyDescent="0.25">
      <c r="A31" s="211">
        <v>24</v>
      </c>
      <c r="B31" s="328">
        <v>44431</v>
      </c>
      <c r="C31" s="134" t="s">
        <v>1252</v>
      </c>
      <c r="D31" s="211" t="s">
        <v>3891</v>
      </c>
      <c r="E31" s="136" t="s">
        <v>23</v>
      </c>
      <c r="F31" s="134"/>
      <c r="G31" s="134">
        <v>247</v>
      </c>
      <c r="H31" s="139">
        <f>G31*15660</f>
        <v>3868020</v>
      </c>
      <c r="I31" s="134"/>
      <c r="J31" s="226">
        <v>2740000</v>
      </c>
      <c r="K31" s="139"/>
      <c r="L31" s="263"/>
      <c r="M31" s="139"/>
      <c r="N31" s="139"/>
      <c r="O31" s="139">
        <f t="shared" si="2"/>
        <v>6608020</v>
      </c>
      <c r="P31" s="139">
        <v>12572727</v>
      </c>
      <c r="Q31" s="139">
        <f t="shared" si="1"/>
        <v>5964707</v>
      </c>
      <c r="R31" s="215"/>
    </row>
    <row r="32" spans="1:18" s="144" customFormat="1" ht="20.45" customHeight="1" x14ac:dyDescent="0.25">
      <c r="A32" s="211">
        <v>25</v>
      </c>
      <c r="B32" s="328">
        <v>44434</v>
      </c>
      <c r="C32" s="134" t="s">
        <v>3865</v>
      </c>
      <c r="D32" s="211" t="s">
        <v>3892</v>
      </c>
      <c r="E32" s="136" t="s">
        <v>291</v>
      </c>
      <c r="F32" s="134"/>
      <c r="G32" s="134">
        <v>87</v>
      </c>
      <c r="H32" s="139">
        <f t="shared" ref="H32:H35" si="4">G32*15660</f>
        <v>1362420</v>
      </c>
      <c r="I32" s="134"/>
      <c r="J32" s="226">
        <v>1150000</v>
      </c>
      <c r="K32" s="139"/>
      <c r="L32" s="263"/>
      <c r="M32" s="139"/>
      <c r="N32" s="139"/>
      <c r="O32" s="139">
        <f t="shared" si="2"/>
        <v>2512420</v>
      </c>
      <c r="P32" s="139">
        <v>4000000</v>
      </c>
      <c r="Q32" s="139">
        <f t="shared" si="1"/>
        <v>1487580</v>
      </c>
      <c r="R32" s="215"/>
    </row>
    <row r="33" spans="1:24" s="144" customFormat="1" ht="20.45" customHeight="1" x14ac:dyDescent="0.25">
      <c r="A33" s="211">
        <v>26</v>
      </c>
      <c r="B33" s="328">
        <v>44435</v>
      </c>
      <c r="C33" s="134" t="s">
        <v>3866</v>
      </c>
      <c r="D33" s="211" t="s">
        <v>3893</v>
      </c>
      <c r="E33" s="136" t="s">
        <v>3902</v>
      </c>
      <c r="F33" s="134"/>
      <c r="G33" s="134">
        <v>80</v>
      </c>
      <c r="H33" s="139">
        <f t="shared" si="4"/>
        <v>1252800</v>
      </c>
      <c r="I33" s="134"/>
      <c r="J33" s="226">
        <v>1150000</v>
      </c>
      <c r="K33" s="139"/>
      <c r="L33" s="263"/>
      <c r="M33" s="139"/>
      <c r="N33" s="139"/>
      <c r="O33" s="139">
        <f t="shared" si="2"/>
        <v>2402800</v>
      </c>
      <c r="P33" s="139">
        <v>4000000</v>
      </c>
      <c r="Q33" s="139">
        <f t="shared" si="1"/>
        <v>1597200</v>
      </c>
      <c r="R33" s="215"/>
    </row>
    <row r="34" spans="1:24" s="144" customFormat="1" ht="20.45" customHeight="1" x14ac:dyDescent="0.25">
      <c r="A34" s="211">
        <v>27</v>
      </c>
      <c r="B34" s="328">
        <v>44438</v>
      </c>
      <c r="C34" s="134" t="s">
        <v>3867</v>
      </c>
      <c r="D34" s="211" t="s">
        <v>3894</v>
      </c>
      <c r="E34" s="136" t="s">
        <v>3903</v>
      </c>
      <c r="F34" s="134"/>
      <c r="G34" s="134">
        <v>11</v>
      </c>
      <c r="H34" s="139">
        <f t="shared" si="4"/>
        <v>172260</v>
      </c>
      <c r="I34" s="134"/>
      <c r="J34" s="226">
        <v>200000</v>
      </c>
      <c r="K34" s="139"/>
      <c r="L34" s="263"/>
      <c r="M34" s="139"/>
      <c r="N34" s="139"/>
      <c r="O34" s="139">
        <f t="shared" si="2"/>
        <v>372260</v>
      </c>
      <c r="P34" s="139">
        <v>1500000</v>
      </c>
      <c r="Q34" s="139">
        <f t="shared" si="1"/>
        <v>1127740</v>
      </c>
      <c r="R34" s="215"/>
    </row>
    <row r="35" spans="1:24" s="144" customFormat="1" ht="20.45" customHeight="1" x14ac:dyDescent="0.25">
      <c r="A35" s="211">
        <v>28</v>
      </c>
      <c r="B35" s="328">
        <v>44438</v>
      </c>
      <c r="C35" s="134" t="s">
        <v>3868</v>
      </c>
      <c r="D35" s="211" t="s">
        <v>3895</v>
      </c>
      <c r="E35" s="136" t="s">
        <v>3663</v>
      </c>
      <c r="F35" s="134"/>
      <c r="G35" s="134">
        <v>365</v>
      </c>
      <c r="H35" s="139">
        <f t="shared" si="4"/>
        <v>5715900</v>
      </c>
      <c r="I35" s="134"/>
      <c r="J35" s="226">
        <v>3820000</v>
      </c>
      <c r="K35" s="139"/>
      <c r="L35" s="263"/>
      <c r="M35" s="139"/>
      <c r="N35" s="139"/>
      <c r="O35" s="139">
        <f t="shared" si="2"/>
        <v>9535900</v>
      </c>
      <c r="P35" s="139">
        <v>18304545</v>
      </c>
      <c r="Q35" s="139">
        <f t="shared" si="1"/>
        <v>8768645</v>
      </c>
      <c r="R35" s="143"/>
      <c r="S35" s="128"/>
      <c r="T35" s="128"/>
      <c r="U35" s="128"/>
      <c r="V35" s="128"/>
      <c r="W35" s="128"/>
      <c r="X35" s="128"/>
    </row>
    <row r="36" spans="1:24" s="144" customFormat="1" ht="20.45" customHeight="1" x14ac:dyDescent="0.25">
      <c r="A36" s="211"/>
      <c r="B36" s="191"/>
      <c r="C36" s="449"/>
      <c r="D36" s="449"/>
      <c r="E36" s="449"/>
      <c r="F36" s="449"/>
      <c r="G36" s="195"/>
      <c r="H36" s="155"/>
      <c r="I36" s="195"/>
      <c r="J36" s="155"/>
      <c r="K36" s="219"/>
      <c r="L36" s="219"/>
      <c r="M36" s="139"/>
      <c r="N36" s="139"/>
      <c r="O36" s="139">
        <f>SUM(H36:N36)</f>
        <v>0</v>
      </c>
      <c r="P36" s="141"/>
      <c r="Q36" s="139"/>
      <c r="R36" s="215"/>
    </row>
    <row r="37" spans="1:24" s="144" customFormat="1" ht="24.95" customHeight="1" x14ac:dyDescent="0.25">
      <c r="A37" s="211"/>
      <c r="B37" s="191"/>
      <c r="C37" s="440" t="s">
        <v>3904</v>
      </c>
      <c r="D37" s="441"/>
      <c r="E37" s="442"/>
      <c r="F37" s="196"/>
      <c r="G37" s="195"/>
      <c r="H37" s="155"/>
      <c r="I37" s="195"/>
      <c r="J37" s="155"/>
      <c r="K37" s="185">
        <v>163000</v>
      </c>
      <c r="L37" s="219"/>
      <c r="M37" s="139"/>
      <c r="N37" s="139"/>
      <c r="O37" s="139">
        <f>SUM(H37:N37)</f>
        <v>163000</v>
      </c>
      <c r="P37" s="141"/>
      <c r="Q37" s="139"/>
      <c r="R37" s="215"/>
    </row>
    <row r="38" spans="1:24" s="144" customFormat="1" ht="24.95" customHeight="1" x14ac:dyDescent="0.25">
      <c r="A38" s="211"/>
      <c r="B38" s="191"/>
      <c r="C38" s="440" t="s">
        <v>3905</v>
      </c>
      <c r="D38" s="441"/>
      <c r="E38" s="442"/>
      <c r="F38" s="196"/>
      <c r="G38" s="195"/>
      <c r="H38" s="155"/>
      <c r="I38" s="195"/>
      <c r="J38" s="155"/>
      <c r="K38" s="219"/>
      <c r="L38" s="185">
        <v>350000</v>
      </c>
      <c r="M38" s="139"/>
      <c r="N38" s="139"/>
      <c r="O38" s="139">
        <f t="shared" ref="O38:O58" si="5">SUM(H38:N38)</f>
        <v>350000</v>
      </c>
      <c r="P38" s="141"/>
      <c r="Q38" s="139"/>
      <c r="R38" s="215"/>
    </row>
    <row r="39" spans="1:24" s="144" customFormat="1" ht="24.95" customHeight="1" x14ac:dyDescent="0.25">
      <c r="A39" s="211"/>
      <c r="B39" s="191"/>
      <c r="C39" s="440" t="s">
        <v>3906</v>
      </c>
      <c r="D39" s="441"/>
      <c r="E39" s="442"/>
      <c r="F39" s="196"/>
      <c r="G39" s="195"/>
      <c r="H39" s="155"/>
      <c r="I39" s="195"/>
      <c r="J39" s="155"/>
      <c r="K39" s="219"/>
      <c r="L39" s="185">
        <v>350000</v>
      </c>
      <c r="M39" s="219"/>
      <c r="N39" s="139"/>
      <c r="O39" s="139">
        <f t="shared" si="5"/>
        <v>350000</v>
      </c>
      <c r="P39" s="141"/>
      <c r="Q39" s="139"/>
      <c r="R39" s="215"/>
    </row>
    <row r="40" spans="1:24" s="144" customFormat="1" ht="24.95" customHeight="1" x14ac:dyDescent="0.25">
      <c r="A40" s="211"/>
      <c r="B40" s="191"/>
      <c r="C40" s="452" t="s">
        <v>3907</v>
      </c>
      <c r="D40" s="453"/>
      <c r="E40" s="454"/>
      <c r="F40" s="196"/>
      <c r="G40" s="195"/>
      <c r="H40" s="155"/>
      <c r="I40" s="195"/>
      <c r="J40" s="155"/>
      <c r="K40" s="185">
        <v>230000</v>
      </c>
      <c r="L40" s="219"/>
      <c r="M40" s="219"/>
      <c r="N40" s="219"/>
      <c r="O40" s="139">
        <f t="shared" si="5"/>
        <v>230000</v>
      </c>
      <c r="P40" s="141"/>
      <c r="Q40" s="139"/>
      <c r="R40" s="215"/>
    </row>
    <row r="41" spans="1:24" s="144" customFormat="1" ht="24.95" customHeight="1" x14ac:dyDescent="0.25">
      <c r="A41" s="211"/>
      <c r="B41" s="191"/>
      <c r="C41" s="452" t="s">
        <v>3558</v>
      </c>
      <c r="D41" s="453"/>
      <c r="E41" s="454"/>
      <c r="F41" s="196"/>
      <c r="G41" s="195"/>
      <c r="H41" s="155"/>
      <c r="I41" s="195"/>
      <c r="J41" s="155"/>
      <c r="K41" s="219"/>
      <c r="L41" s="185">
        <v>200000</v>
      </c>
      <c r="M41" s="219"/>
      <c r="N41" s="219"/>
      <c r="O41" s="139">
        <f t="shared" si="5"/>
        <v>200000</v>
      </c>
      <c r="P41" s="141"/>
      <c r="Q41" s="139"/>
      <c r="R41" s="215"/>
    </row>
    <row r="42" spans="1:24" s="144" customFormat="1" ht="24.95" customHeight="1" x14ac:dyDescent="0.25">
      <c r="A42" s="211"/>
      <c r="B42" s="191"/>
      <c r="C42" s="452" t="s">
        <v>3908</v>
      </c>
      <c r="D42" s="453"/>
      <c r="E42" s="454"/>
      <c r="F42" s="196"/>
      <c r="G42" s="195"/>
      <c r="H42" s="155"/>
      <c r="I42" s="195"/>
      <c r="J42" s="155"/>
      <c r="K42" s="185">
        <f>814000/4</f>
        <v>203500</v>
      </c>
      <c r="L42" s="219"/>
      <c r="M42" s="219"/>
      <c r="N42" s="219"/>
      <c r="O42" s="139">
        <f t="shared" si="5"/>
        <v>203500</v>
      </c>
      <c r="P42" s="141"/>
      <c r="Q42" s="139"/>
      <c r="R42" s="215"/>
    </row>
    <row r="43" spans="1:24" s="144" customFormat="1" ht="24.95" customHeight="1" x14ac:dyDescent="0.25">
      <c r="A43" s="211"/>
      <c r="B43" s="191"/>
      <c r="C43" s="452" t="s">
        <v>3909</v>
      </c>
      <c r="D43" s="453"/>
      <c r="E43" s="454"/>
      <c r="F43" s="196"/>
      <c r="G43" s="195"/>
      <c r="H43" s="155"/>
      <c r="I43" s="195"/>
      <c r="J43" s="155"/>
      <c r="K43" s="185">
        <v>163000</v>
      </c>
      <c r="L43" s="219"/>
      <c r="M43" s="219"/>
      <c r="N43" s="219"/>
      <c r="O43" s="139">
        <f t="shared" si="5"/>
        <v>163000</v>
      </c>
      <c r="P43" s="141"/>
      <c r="Q43" s="139"/>
      <c r="R43" s="215"/>
    </row>
    <row r="44" spans="1:24" s="144" customFormat="1" ht="24.95" customHeight="1" x14ac:dyDescent="0.25">
      <c r="A44" s="211"/>
      <c r="B44" s="191"/>
      <c r="C44" s="452" t="s">
        <v>3910</v>
      </c>
      <c r="D44" s="453"/>
      <c r="E44" s="454"/>
      <c r="F44" s="196"/>
      <c r="G44" s="195"/>
      <c r="H44" s="155"/>
      <c r="I44" s="195"/>
      <c r="J44" s="155"/>
      <c r="K44" s="185">
        <v>230000</v>
      </c>
      <c r="L44" s="219"/>
      <c r="M44" s="219"/>
      <c r="N44" s="219"/>
      <c r="O44" s="139">
        <f t="shared" si="5"/>
        <v>230000</v>
      </c>
      <c r="P44" s="141"/>
      <c r="Q44" s="139"/>
      <c r="R44" s="215"/>
    </row>
    <row r="45" spans="1:24" s="144" customFormat="1" ht="24.95" customHeight="1" x14ac:dyDescent="0.25">
      <c r="A45" s="211"/>
      <c r="B45" s="191"/>
      <c r="C45" s="452" t="s">
        <v>3911</v>
      </c>
      <c r="D45" s="453"/>
      <c r="E45" s="454"/>
      <c r="F45" s="196"/>
      <c r="G45" s="195"/>
      <c r="H45" s="155"/>
      <c r="I45" s="195"/>
      <c r="J45" s="155"/>
      <c r="K45" s="185">
        <v>163000</v>
      </c>
      <c r="L45" s="219"/>
      <c r="M45" s="219"/>
      <c r="N45" s="219"/>
      <c r="O45" s="139">
        <f t="shared" si="5"/>
        <v>163000</v>
      </c>
      <c r="P45" s="141"/>
      <c r="Q45" s="139"/>
      <c r="R45" s="215"/>
    </row>
    <row r="46" spans="1:24" s="144" customFormat="1" ht="24.95" customHeight="1" x14ac:dyDescent="0.25">
      <c r="A46" s="211"/>
      <c r="B46" s="191"/>
      <c r="C46" s="452" t="s">
        <v>3912</v>
      </c>
      <c r="D46" s="453"/>
      <c r="E46" s="454"/>
      <c r="F46" s="196"/>
      <c r="G46" s="195"/>
      <c r="H46" s="155"/>
      <c r="I46" s="195"/>
      <c r="J46" s="155"/>
      <c r="K46" s="185">
        <v>163000</v>
      </c>
      <c r="L46" s="219"/>
      <c r="M46" s="219"/>
      <c r="N46" s="219"/>
      <c r="O46" s="139">
        <f t="shared" si="5"/>
        <v>163000</v>
      </c>
      <c r="P46" s="141"/>
      <c r="Q46" s="139"/>
      <c r="R46" s="215"/>
    </row>
    <row r="47" spans="1:24" s="144" customFormat="1" ht="24.95" customHeight="1" x14ac:dyDescent="0.25">
      <c r="A47" s="211"/>
      <c r="B47" s="191"/>
      <c r="C47" s="452" t="s">
        <v>3913</v>
      </c>
      <c r="D47" s="453"/>
      <c r="E47" s="454"/>
      <c r="F47" s="196"/>
      <c r="G47" s="195"/>
      <c r="H47" s="155"/>
      <c r="I47" s="195"/>
      <c r="J47" s="155"/>
      <c r="K47" s="219"/>
      <c r="L47" s="185">
        <v>2400000</v>
      </c>
      <c r="M47" s="219"/>
      <c r="N47" s="219"/>
      <c r="O47" s="139">
        <f t="shared" si="5"/>
        <v>2400000</v>
      </c>
      <c r="P47" s="141"/>
      <c r="Q47" s="139"/>
      <c r="R47" s="215"/>
    </row>
    <row r="48" spans="1:24" s="144" customFormat="1" ht="24.95" customHeight="1" x14ac:dyDescent="0.25">
      <c r="A48" s="211"/>
      <c r="B48" s="191"/>
      <c r="C48" s="452" t="s">
        <v>3914</v>
      </c>
      <c r="D48" s="453"/>
      <c r="E48" s="454"/>
      <c r="F48" s="196"/>
      <c r="G48" s="195"/>
      <c r="H48" s="155"/>
      <c r="I48" s="195"/>
      <c r="J48" s="155"/>
      <c r="K48" s="185">
        <v>163000</v>
      </c>
      <c r="L48" s="219"/>
      <c r="M48" s="219"/>
      <c r="N48" s="219"/>
      <c r="O48" s="139">
        <f t="shared" si="5"/>
        <v>163000</v>
      </c>
      <c r="P48" s="141"/>
      <c r="Q48" s="139"/>
      <c r="R48" s="215"/>
    </row>
    <row r="49" spans="1:19" s="144" customFormat="1" ht="24.95" customHeight="1" x14ac:dyDescent="0.25">
      <c r="A49" s="211"/>
      <c r="B49" s="191"/>
      <c r="C49" s="452" t="s">
        <v>3915</v>
      </c>
      <c r="D49" s="453"/>
      <c r="E49" s="454"/>
      <c r="F49" s="196"/>
      <c r="G49" s="195"/>
      <c r="H49" s="155"/>
      <c r="I49" s="195"/>
      <c r="J49" s="155"/>
      <c r="K49" s="185">
        <v>230000</v>
      </c>
      <c r="L49" s="219"/>
      <c r="M49" s="219"/>
      <c r="N49" s="219"/>
      <c r="O49" s="139">
        <f t="shared" si="5"/>
        <v>230000</v>
      </c>
      <c r="P49" s="141"/>
      <c r="Q49" s="139"/>
      <c r="R49" s="215"/>
    </row>
    <row r="50" spans="1:19" s="144" customFormat="1" ht="24.95" customHeight="1" x14ac:dyDescent="0.25">
      <c r="A50" s="211"/>
      <c r="B50" s="191"/>
      <c r="C50" s="452" t="s">
        <v>3916</v>
      </c>
      <c r="D50" s="453"/>
      <c r="E50" s="454"/>
      <c r="F50" s="196"/>
      <c r="G50" s="195"/>
      <c r="H50" s="155"/>
      <c r="I50" s="195"/>
      <c r="J50" s="155"/>
      <c r="K50" s="185">
        <v>230000</v>
      </c>
      <c r="L50" s="219"/>
      <c r="M50" s="219"/>
      <c r="N50" s="219"/>
      <c r="O50" s="139">
        <f t="shared" si="5"/>
        <v>230000</v>
      </c>
      <c r="P50" s="141"/>
      <c r="Q50" s="139"/>
      <c r="R50" s="215"/>
    </row>
    <row r="51" spans="1:19" s="144" customFormat="1" ht="24.95" customHeight="1" x14ac:dyDescent="0.25">
      <c r="A51" s="211"/>
      <c r="B51" s="191"/>
      <c r="C51" s="452" t="s">
        <v>3917</v>
      </c>
      <c r="D51" s="453"/>
      <c r="E51" s="454"/>
      <c r="F51" s="196"/>
      <c r="G51" s="195"/>
      <c r="H51" s="155"/>
      <c r="I51" s="195"/>
      <c r="J51" s="155"/>
      <c r="K51" s="185">
        <v>208000</v>
      </c>
      <c r="L51" s="219"/>
      <c r="M51" s="219"/>
      <c r="N51" s="219"/>
      <c r="O51" s="139">
        <f t="shared" si="5"/>
        <v>208000</v>
      </c>
      <c r="P51" s="141"/>
      <c r="Q51" s="139"/>
      <c r="R51" s="215"/>
    </row>
    <row r="52" spans="1:19" s="144" customFormat="1" ht="24.95" customHeight="1" x14ac:dyDescent="0.25">
      <c r="A52" s="211"/>
      <c r="B52" s="191"/>
      <c r="C52" s="452" t="s">
        <v>3918</v>
      </c>
      <c r="D52" s="453"/>
      <c r="E52" s="454"/>
      <c r="F52" s="196"/>
      <c r="G52" s="195"/>
      <c r="H52" s="155"/>
      <c r="I52" s="195"/>
      <c r="J52" s="155"/>
      <c r="K52" s="185">
        <v>163000</v>
      </c>
      <c r="L52" s="219"/>
      <c r="M52" s="219"/>
      <c r="N52" s="219"/>
      <c r="O52" s="139">
        <f t="shared" si="5"/>
        <v>163000</v>
      </c>
      <c r="P52" s="141"/>
      <c r="Q52" s="139"/>
      <c r="R52" s="215"/>
    </row>
    <row r="53" spans="1:19" s="144" customFormat="1" ht="24.95" customHeight="1" x14ac:dyDescent="0.25">
      <c r="A53" s="211"/>
      <c r="B53" s="191"/>
      <c r="C53" s="452" t="s">
        <v>3970</v>
      </c>
      <c r="D53" s="453"/>
      <c r="E53" s="454"/>
      <c r="F53" s="196"/>
      <c r="G53" s="195"/>
      <c r="H53" s="155"/>
      <c r="I53" s="195"/>
      <c r="J53" s="155"/>
      <c r="K53" s="219"/>
      <c r="L53" s="185">
        <v>1000000</v>
      </c>
      <c r="M53" s="219"/>
      <c r="N53" s="219"/>
      <c r="O53" s="208">
        <f t="shared" si="5"/>
        <v>1000000</v>
      </c>
      <c r="P53" s="141"/>
      <c r="Q53" s="139"/>
      <c r="R53" s="215"/>
    </row>
    <row r="54" spans="1:19" s="144" customFormat="1" ht="24.95" customHeight="1" x14ac:dyDescent="0.25">
      <c r="A54" s="211"/>
      <c r="B54" s="191"/>
      <c r="C54" s="452" t="s">
        <v>3971</v>
      </c>
      <c r="D54" s="453"/>
      <c r="E54" s="454"/>
      <c r="F54" s="196"/>
      <c r="G54" s="195"/>
      <c r="H54" s="155"/>
      <c r="I54" s="195"/>
      <c r="J54" s="155"/>
      <c r="K54" s="219"/>
      <c r="L54" s="185">
        <v>1000000</v>
      </c>
      <c r="M54" s="219"/>
      <c r="N54" s="219"/>
      <c r="O54" s="208">
        <f t="shared" si="5"/>
        <v>1000000</v>
      </c>
      <c r="P54" s="141"/>
      <c r="Q54" s="139"/>
      <c r="R54" s="215"/>
    </row>
    <row r="55" spans="1:19" s="144" customFormat="1" ht="24.95" customHeight="1" x14ac:dyDescent="0.25">
      <c r="A55" s="211"/>
      <c r="B55" s="191"/>
      <c r="C55" s="452" t="s">
        <v>3919</v>
      </c>
      <c r="D55" s="453"/>
      <c r="E55" s="454"/>
      <c r="F55" s="196"/>
      <c r="G55" s="195"/>
      <c r="H55" s="155"/>
      <c r="I55" s="195"/>
      <c r="J55" s="155"/>
      <c r="K55" s="219"/>
      <c r="L55" s="185">
        <v>2450000</v>
      </c>
      <c r="M55" s="219"/>
      <c r="N55" s="219"/>
      <c r="O55" s="139">
        <f t="shared" si="5"/>
        <v>2450000</v>
      </c>
      <c r="P55" s="141"/>
      <c r="Q55" s="139"/>
      <c r="R55" s="215"/>
    </row>
    <row r="56" spans="1:19" s="144" customFormat="1" ht="24.95" customHeight="1" x14ac:dyDescent="0.25">
      <c r="A56" s="211"/>
      <c r="B56" s="191"/>
      <c r="C56" s="452" t="s">
        <v>3920</v>
      </c>
      <c r="D56" s="453"/>
      <c r="E56" s="454"/>
      <c r="F56" s="196"/>
      <c r="G56" s="195"/>
      <c r="H56" s="155"/>
      <c r="I56" s="195"/>
      <c r="J56" s="155"/>
      <c r="K56" s="219"/>
      <c r="L56" s="185">
        <v>800000</v>
      </c>
      <c r="M56" s="219"/>
      <c r="N56" s="219"/>
      <c r="O56" s="139">
        <f t="shared" si="5"/>
        <v>800000</v>
      </c>
      <c r="P56" s="141"/>
      <c r="Q56" s="139"/>
      <c r="R56" s="215"/>
    </row>
    <row r="57" spans="1:19" s="144" customFormat="1" ht="24.95" customHeight="1" x14ac:dyDescent="0.25">
      <c r="A57" s="211"/>
      <c r="B57" s="191"/>
      <c r="C57" s="452" t="s">
        <v>3738</v>
      </c>
      <c r="D57" s="453"/>
      <c r="E57" s="454"/>
      <c r="F57" s="196"/>
      <c r="G57" s="195"/>
      <c r="H57" s="155"/>
      <c r="I57" s="195"/>
      <c r="J57" s="155"/>
      <c r="K57" s="185">
        <f>26/26*8000000</f>
        <v>8000000</v>
      </c>
      <c r="L57" s="219"/>
      <c r="M57" s="139"/>
      <c r="N57" s="139"/>
      <c r="O57" s="139">
        <f t="shared" si="5"/>
        <v>8000000</v>
      </c>
      <c r="P57" s="141"/>
      <c r="Q57" s="139"/>
      <c r="R57" s="215"/>
    </row>
    <row r="58" spans="1:19" s="144" customFormat="1" ht="24.95" customHeight="1" x14ac:dyDescent="0.25">
      <c r="A58" s="211"/>
      <c r="B58" s="191"/>
      <c r="C58" s="452" t="s">
        <v>26</v>
      </c>
      <c r="D58" s="453"/>
      <c r="E58" s="454"/>
      <c r="F58" s="196"/>
      <c r="G58" s="195"/>
      <c r="H58" s="155"/>
      <c r="I58" s="195"/>
      <c r="J58" s="155"/>
      <c r="K58" s="219"/>
      <c r="L58" s="185">
        <v>1200000</v>
      </c>
      <c r="M58" s="139"/>
      <c r="N58" s="139"/>
      <c r="O58" s="139">
        <f t="shared" si="5"/>
        <v>1200000</v>
      </c>
      <c r="P58" s="141"/>
      <c r="Q58" s="139"/>
      <c r="R58" s="215"/>
    </row>
    <row r="59" spans="1:19" ht="20.45" customHeight="1" x14ac:dyDescent="0.25">
      <c r="A59" s="450" t="s">
        <v>20</v>
      </c>
      <c r="B59" s="450"/>
      <c r="C59" s="450"/>
      <c r="D59" s="450"/>
      <c r="E59" s="450"/>
      <c r="F59" s="450"/>
      <c r="G59" s="334">
        <f t="shared" ref="G59:P59" si="6">SUM(G8:G58)</f>
        <v>3301</v>
      </c>
      <c r="H59" s="334">
        <f t="shared" si="6"/>
        <v>53133470</v>
      </c>
      <c r="I59" s="334">
        <f t="shared" si="6"/>
        <v>0</v>
      </c>
      <c r="J59" s="334">
        <f t="shared" si="6"/>
        <v>38470000</v>
      </c>
      <c r="K59" s="334">
        <f t="shared" si="6"/>
        <v>10309500</v>
      </c>
      <c r="L59" s="334">
        <f t="shared" si="6"/>
        <v>9750000</v>
      </c>
      <c r="M59" s="334">
        <f t="shared" si="6"/>
        <v>0</v>
      </c>
      <c r="N59" s="334">
        <f t="shared" si="6"/>
        <v>0</v>
      </c>
      <c r="O59" s="334">
        <f t="shared" si="6"/>
        <v>111662970</v>
      </c>
      <c r="P59" s="335">
        <f t="shared" si="6"/>
        <v>160549998</v>
      </c>
      <c r="Q59" s="334">
        <f>P59-O59</f>
        <v>48887028</v>
      </c>
    </row>
    <row r="60" spans="1:19" ht="24.95" customHeight="1" x14ac:dyDescent="0.25">
      <c r="O60" s="158"/>
      <c r="Q60" s="158"/>
    </row>
    <row r="61" spans="1:19" ht="13.9" customHeight="1" x14ac:dyDescent="0.25">
      <c r="P61" s="216" t="s">
        <v>1603</v>
      </c>
      <c r="Q61" s="227">
        <f>Q59+'07.2021'!Q53</f>
        <v>154725872.76923078</v>
      </c>
      <c r="S61" s="216"/>
    </row>
    <row r="62" spans="1:19" ht="13.9" customHeight="1" x14ac:dyDescent="0.25">
      <c r="B62" s="129"/>
      <c r="J62" s="128"/>
      <c r="K62" s="128"/>
      <c r="L62" s="128"/>
      <c r="N62" s="128"/>
      <c r="O62" s="128"/>
      <c r="P62" s="218"/>
      <c r="Q62" s="216"/>
    </row>
    <row r="63" spans="1:19" ht="13.9" customHeight="1" x14ac:dyDescent="0.25">
      <c r="B63" s="129"/>
      <c r="H63" s="128"/>
      <c r="J63" s="128"/>
      <c r="K63" s="128"/>
      <c r="L63" s="128"/>
      <c r="M63" s="128"/>
      <c r="N63" s="128"/>
      <c r="O63" s="128"/>
      <c r="P63" s="218"/>
      <c r="Q63" s="230"/>
    </row>
    <row r="64" spans="1:19" ht="13.9" customHeight="1" x14ac:dyDescent="0.25">
      <c r="B64" s="129"/>
      <c r="H64" s="128"/>
      <c r="J64" s="128"/>
      <c r="K64" s="128"/>
      <c r="L64" s="128"/>
      <c r="M64" s="128"/>
      <c r="N64" s="128"/>
      <c r="O64" s="128"/>
      <c r="P64" s="218"/>
      <c r="Q64" s="230"/>
      <c r="R64" s="143"/>
    </row>
    <row r="65" spans="1:18" ht="13.9" customHeight="1" x14ac:dyDescent="0.25">
      <c r="B65" s="129"/>
      <c r="H65" s="128"/>
      <c r="J65" s="128"/>
      <c r="K65" s="128"/>
      <c r="L65" s="128"/>
      <c r="M65" s="128"/>
      <c r="N65" s="128"/>
      <c r="O65" s="128"/>
      <c r="P65" s="218"/>
      <c r="Q65" s="216"/>
      <c r="R65" s="143"/>
    </row>
    <row r="66" spans="1:18" x14ac:dyDescent="0.25">
      <c r="B66" s="129"/>
      <c r="H66" s="128"/>
      <c r="J66" s="128"/>
      <c r="K66" s="128"/>
      <c r="L66" s="128"/>
      <c r="M66" s="128"/>
      <c r="N66" s="128"/>
      <c r="O66" s="128"/>
      <c r="P66" s="218"/>
      <c r="Q66" s="216"/>
    </row>
    <row r="67" spans="1:18" x14ac:dyDescent="0.25">
      <c r="A67" s="128"/>
      <c r="B67" s="129"/>
      <c r="H67" s="128"/>
      <c r="J67" s="128"/>
      <c r="K67" s="128"/>
      <c r="L67" s="128"/>
      <c r="M67" s="128"/>
      <c r="N67" s="128"/>
      <c r="O67" s="128"/>
      <c r="P67" s="218"/>
      <c r="Q67" s="216"/>
    </row>
    <row r="68" spans="1:18" x14ac:dyDescent="0.25">
      <c r="A68" s="128"/>
      <c r="B68" s="129"/>
      <c r="H68" s="128"/>
      <c r="J68" s="128"/>
      <c r="K68" s="128"/>
      <c r="L68" s="128"/>
      <c r="M68" s="128"/>
      <c r="N68" s="128"/>
      <c r="O68" s="128"/>
      <c r="P68" s="218"/>
      <c r="Q68" s="216"/>
    </row>
    <row r="69" spans="1:18" x14ac:dyDescent="0.25">
      <c r="A69" s="128"/>
      <c r="B69" s="128"/>
      <c r="H69" s="128"/>
      <c r="J69" s="128"/>
      <c r="K69" s="128"/>
      <c r="L69" s="128"/>
      <c r="M69" s="128"/>
      <c r="N69" s="128"/>
      <c r="O69" s="128"/>
      <c r="P69" s="128"/>
      <c r="Q69" s="216"/>
    </row>
    <row r="70" spans="1:18" x14ac:dyDescent="0.25">
      <c r="A70" s="128"/>
      <c r="B70" s="128"/>
      <c r="H70" s="128"/>
      <c r="J70" s="128"/>
      <c r="K70" s="128"/>
      <c r="L70" s="128"/>
      <c r="M70" s="128"/>
      <c r="N70" s="128"/>
      <c r="O70" s="128"/>
      <c r="P70" s="128"/>
      <c r="Q70" s="216"/>
    </row>
  </sheetData>
  <mergeCells count="37">
    <mergeCell ref="C38:E38"/>
    <mergeCell ref="A1:Q1"/>
    <mergeCell ref="A2:Q2"/>
    <mergeCell ref="B3:Q3"/>
    <mergeCell ref="A5:A6"/>
    <mergeCell ref="B5:B6"/>
    <mergeCell ref="C5:C6"/>
    <mergeCell ref="D5:D6"/>
    <mergeCell ref="E5:E6"/>
    <mergeCell ref="F5:F6"/>
    <mergeCell ref="G5:N5"/>
    <mergeCell ref="O5:O6"/>
    <mergeCell ref="P5:P6"/>
    <mergeCell ref="Q5:Q6"/>
    <mergeCell ref="C36:F36"/>
    <mergeCell ref="C37:E37"/>
    <mergeCell ref="A59:F59"/>
    <mergeCell ref="C39:E39"/>
    <mergeCell ref="C40:E40"/>
    <mergeCell ref="C41:E41"/>
    <mergeCell ref="C42:E42"/>
    <mergeCell ref="C43:E43"/>
    <mergeCell ref="C44:E44"/>
    <mergeCell ref="C47:E47"/>
    <mergeCell ref="C48:E48"/>
    <mergeCell ref="C49:E49"/>
    <mergeCell ref="C50:E50"/>
    <mergeCell ref="C51:E51"/>
    <mergeCell ref="C55:E55"/>
    <mergeCell ref="C56:E56"/>
    <mergeCell ref="C53:E53"/>
    <mergeCell ref="C54:E54"/>
    <mergeCell ref="C45:E45"/>
    <mergeCell ref="C46:E46"/>
    <mergeCell ref="C52:E52"/>
    <mergeCell ref="C57:E57"/>
    <mergeCell ref="C58:E58"/>
  </mergeCells>
  <pageMargins left="0.7" right="0.7" top="0.75" bottom="0.75" header="0.3" footer="0.3"/>
  <pageSetup paperSize="9" orientation="portrait" horizontalDpi="0" verticalDpi="0" r:id="rId1"/>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ACC3-DF86-44E0-BC52-4CD7BD3AAFA0}">
  <dimension ref="A1:S68"/>
  <sheetViews>
    <sheetView topLeftCell="A35" workbookViewId="0">
      <selection activeCell="A54" sqref="A54"/>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1" style="143" customWidth="1"/>
    <col min="9" max="9" width="10.7109375" style="128" customWidth="1"/>
    <col min="10" max="10" width="13.7109375" style="143" customWidth="1"/>
    <col min="11" max="11" width="13"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3921</v>
      </c>
      <c r="C3" s="417"/>
      <c r="D3" s="417"/>
      <c r="E3" s="417"/>
      <c r="F3" s="417"/>
      <c r="G3" s="417"/>
      <c r="H3" s="417"/>
      <c r="I3" s="417"/>
      <c r="J3" s="417"/>
      <c r="K3" s="417"/>
      <c r="L3" s="417"/>
      <c r="M3" s="417"/>
      <c r="N3" s="417"/>
      <c r="O3" s="417"/>
      <c r="P3" s="417"/>
      <c r="Q3" s="417"/>
    </row>
    <row r="5" spans="1:18" s="129" customFormat="1" ht="24.95" customHeight="1" x14ac:dyDescent="0.25">
      <c r="A5" s="424" t="s">
        <v>1</v>
      </c>
      <c r="B5" s="427" t="s">
        <v>2</v>
      </c>
      <c r="C5" s="424" t="s">
        <v>3</v>
      </c>
      <c r="D5" s="424" t="s">
        <v>5</v>
      </c>
      <c r="E5" s="428" t="s">
        <v>4</v>
      </c>
      <c r="F5" s="428" t="s">
        <v>17</v>
      </c>
      <c r="G5" s="424" t="s">
        <v>6</v>
      </c>
      <c r="H5" s="424"/>
      <c r="I5" s="424"/>
      <c r="J5" s="424"/>
      <c r="K5" s="424"/>
      <c r="L5" s="424"/>
      <c r="M5" s="424"/>
      <c r="N5" s="424"/>
      <c r="O5" s="425" t="s">
        <v>18</v>
      </c>
      <c r="P5" s="425" t="s">
        <v>13</v>
      </c>
      <c r="Q5" s="425" t="s">
        <v>14</v>
      </c>
    </row>
    <row r="6" spans="1:18" s="129" customFormat="1" ht="24.95" customHeight="1" x14ac:dyDescent="0.25">
      <c r="A6" s="424"/>
      <c r="B6" s="427"/>
      <c r="C6" s="424"/>
      <c r="D6" s="424"/>
      <c r="E6" s="428"/>
      <c r="F6" s="428"/>
      <c r="G6" s="132" t="s">
        <v>7</v>
      </c>
      <c r="H6" s="133" t="s">
        <v>15</v>
      </c>
      <c r="I6" s="132" t="s">
        <v>16</v>
      </c>
      <c r="J6" s="133" t="s">
        <v>8</v>
      </c>
      <c r="K6" s="133" t="s">
        <v>9</v>
      </c>
      <c r="L6" s="133" t="s">
        <v>10</v>
      </c>
      <c r="M6" s="133" t="s">
        <v>11</v>
      </c>
      <c r="N6" s="133" t="s">
        <v>12</v>
      </c>
      <c r="O6" s="425"/>
      <c r="P6" s="425"/>
      <c r="Q6" s="425"/>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s="144" customFormat="1" ht="22.5" customHeight="1" x14ac:dyDescent="0.25">
      <c r="A8" s="211">
        <v>1</v>
      </c>
      <c r="B8" s="328">
        <v>44445</v>
      </c>
      <c r="C8" s="134" t="s">
        <v>3290</v>
      </c>
      <c r="D8" s="211" t="s">
        <v>3943</v>
      </c>
      <c r="E8" s="136" t="s">
        <v>3936</v>
      </c>
      <c r="F8" s="134"/>
      <c r="G8" s="134">
        <v>48</v>
      </c>
      <c r="H8" s="139">
        <f>G8*15660</f>
        <v>751680</v>
      </c>
      <c r="I8" s="134"/>
      <c r="J8" s="208">
        <v>700000</v>
      </c>
      <c r="K8" s="139"/>
      <c r="L8" s="263"/>
      <c r="M8" s="139"/>
      <c r="N8" s="139"/>
      <c r="O8" s="139">
        <f>SUM(H8:N8)</f>
        <v>1451680</v>
      </c>
      <c r="P8" s="139">
        <v>2645455</v>
      </c>
      <c r="Q8" s="139">
        <f>P8-O8</f>
        <v>1193775</v>
      </c>
      <c r="R8" s="215"/>
    </row>
    <row r="9" spans="1:18" s="144" customFormat="1" ht="20.45" customHeight="1" x14ac:dyDescent="0.25">
      <c r="A9" s="211">
        <v>2</v>
      </c>
      <c r="B9" s="328">
        <v>44445</v>
      </c>
      <c r="C9" s="134" t="s">
        <v>3922</v>
      </c>
      <c r="D9" s="211" t="s">
        <v>3944</v>
      </c>
      <c r="E9" s="136" t="s">
        <v>291</v>
      </c>
      <c r="F9" s="134"/>
      <c r="G9" s="134">
        <v>71</v>
      </c>
      <c r="H9" s="139">
        <f t="shared" ref="H9:H10" si="0">G9*15660</f>
        <v>1111860</v>
      </c>
      <c r="I9" s="134"/>
      <c r="J9" s="208">
        <v>1150000</v>
      </c>
      <c r="K9" s="139"/>
      <c r="L9" s="263"/>
      <c r="M9" s="139"/>
      <c r="N9" s="139"/>
      <c r="O9" s="139">
        <f>SUM(H9:N9)</f>
        <v>2261860</v>
      </c>
      <c r="P9" s="139">
        <v>3500000</v>
      </c>
      <c r="Q9" s="139">
        <f t="shared" ref="Q9:Q32" si="1">P9-O9</f>
        <v>1238140</v>
      </c>
      <c r="R9" s="215"/>
    </row>
    <row r="10" spans="1:18" s="144" customFormat="1" ht="20.45" customHeight="1" x14ac:dyDescent="0.25">
      <c r="A10" s="211">
        <v>3</v>
      </c>
      <c r="B10" s="328">
        <v>44446</v>
      </c>
      <c r="C10" s="134" t="s">
        <v>605</v>
      </c>
      <c r="D10" s="211" t="s">
        <v>3945</v>
      </c>
      <c r="E10" s="136" t="s">
        <v>25</v>
      </c>
      <c r="F10" s="134"/>
      <c r="G10" s="134">
        <v>180</v>
      </c>
      <c r="H10" s="139">
        <f t="shared" si="0"/>
        <v>2818800</v>
      </c>
      <c r="I10" s="134"/>
      <c r="J10" s="208">
        <v>1890000</v>
      </c>
      <c r="K10" s="139"/>
      <c r="L10" s="263"/>
      <c r="M10" s="139"/>
      <c r="N10" s="139"/>
      <c r="O10" s="139">
        <f t="shared" ref="O10:O32" si="2">SUM(H10:N10)</f>
        <v>4708800</v>
      </c>
      <c r="P10" s="139">
        <v>7663636</v>
      </c>
      <c r="Q10" s="139">
        <f t="shared" si="1"/>
        <v>2954836</v>
      </c>
      <c r="R10" s="215"/>
    </row>
    <row r="11" spans="1:18" s="144" customFormat="1" ht="20.45" customHeight="1" x14ac:dyDescent="0.25">
      <c r="A11" s="211">
        <v>4</v>
      </c>
      <c r="B11" s="328">
        <v>44446</v>
      </c>
      <c r="C11" s="134" t="s">
        <v>3292</v>
      </c>
      <c r="D11" s="211" t="s">
        <v>3946</v>
      </c>
      <c r="E11" s="136" t="s">
        <v>291</v>
      </c>
      <c r="F11" s="134"/>
      <c r="G11" s="134">
        <v>80</v>
      </c>
      <c r="H11" s="139">
        <f>G11*16020</f>
        <v>1281600</v>
      </c>
      <c r="I11" s="134"/>
      <c r="J11" s="208">
        <v>1150000</v>
      </c>
      <c r="K11" s="139"/>
      <c r="L11" s="263"/>
      <c r="M11" s="139"/>
      <c r="N11" s="139"/>
      <c r="O11" s="139">
        <f t="shared" si="2"/>
        <v>2431600</v>
      </c>
      <c r="P11" s="139">
        <v>3700000</v>
      </c>
      <c r="Q11" s="139">
        <f t="shared" si="1"/>
        <v>1268400</v>
      </c>
      <c r="R11" s="215"/>
    </row>
    <row r="12" spans="1:18" s="144" customFormat="1" ht="20.45" customHeight="1" x14ac:dyDescent="0.25">
      <c r="A12" s="211">
        <v>5</v>
      </c>
      <c r="B12" s="328">
        <v>44447</v>
      </c>
      <c r="C12" s="134" t="s">
        <v>1298</v>
      </c>
      <c r="D12" s="211" t="s">
        <v>3947</v>
      </c>
      <c r="E12" s="136" t="s">
        <v>1568</v>
      </c>
      <c r="F12" s="134"/>
      <c r="G12" s="134">
        <v>96</v>
      </c>
      <c r="H12" s="139">
        <f t="shared" ref="H12:H26" si="3">G12*16020</f>
        <v>1537920</v>
      </c>
      <c r="I12" s="134"/>
      <c r="J12" s="208">
        <v>1150000</v>
      </c>
      <c r="K12" s="139"/>
      <c r="L12" s="263"/>
      <c r="M12" s="139"/>
      <c r="N12" s="139"/>
      <c r="O12" s="139">
        <f t="shared" si="2"/>
        <v>2687920</v>
      </c>
      <c r="P12" s="139">
        <v>4100000</v>
      </c>
      <c r="Q12" s="139">
        <f t="shared" si="1"/>
        <v>1412080</v>
      </c>
      <c r="R12" s="215"/>
    </row>
    <row r="13" spans="1:18" s="144" customFormat="1" ht="20.45" customHeight="1" x14ac:dyDescent="0.25">
      <c r="A13" s="211">
        <v>6</v>
      </c>
      <c r="B13" s="328">
        <v>44448</v>
      </c>
      <c r="C13" s="134" t="s">
        <v>1959</v>
      </c>
      <c r="D13" s="211" t="s">
        <v>3948</v>
      </c>
      <c r="E13" s="136" t="s">
        <v>3937</v>
      </c>
      <c r="F13" s="134"/>
      <c r="G13" s="134">
        <v>132</v>
      </c>
      <c r="H13" s="139">
        <f t="shared" si="3"/>
        <v>2114640</v>
      </c>
      <c r="I13" s="134"/>
      <c r="J13" s="208">
        <v>1330000</v>
      </c>
      <c r="K13" s="139"/>
      <c r="L13" s="263"/>
      <c r="M13" s="139"/>
      <c r="N13" s="139"/>
      <c r="O13" s="139">
        <f t="shared" si="2"/>
        <v>3444640</v>
      </c>
      <c r="P13" s="139">
        <v>6400000</v>
      </c>
      <c r="Q13" s="139">
        <f t="shared" si="1"/>
        <v>2955360</v>
      </c>
      <c r="R13" s="215"/>
    </row>
    <row r="14" spans="1:18" s="144" customFormat="1" ht="20.45" customHeight="1" x14ac:dyDescent="0.25">
      <c r="A14" s="211">
        <v>7</v>
      </c>
      <c r="B14" s="328">
        <v>44448</v>
      </c>
      <c r="C14" s="134" t="s">
        <v>3923</v>
      </c>
      <c r="D14" s="211" t="s">
        <v>3949</v>
      </c>
      <c r="E14" s="136" t="s">
        <v>3938</v>
      </c>
      <c r="F14" s="134"/>
      <c r="G14" s="134"/>
      <c r="H14" s="139">
        <f t="shared" si="3"/>
        <v>0</v>
      </c>
      <c r="I14" s="134"/>
      <c r="J14" s="208">
        <v>350000</v>
      </c>
      <c r="K14" s="139"/>
      <c r="L14" s="263"/>
      <c r="M14" s="139"/>
      <c r="N14" s="139"/>
      <c r="O14" s="139">
        <f t="shared" si="2"/>
        <v>350000</v>
      </c>
      <c r="P14" s="139">
        <v>0</v>
      </c>
      <c r="Q14" s="139">
        <f t="shared" si="1"/>
        <v>-350000</v>
      </c>
      <c r="R14" s="215"/>
    </row>
    <row r="15" spans="1:18" s="144" customFormat="1" ht="20.45" customHeight="1" x14ac:dyDescent="0.25">
      <c r="A15" s="211">
        <v>8</v>
      </c>
      <c r="B15" s="328">
        <v>44449</v>
      </c>
      <c r="C15" s="134" t="s">
        <v>3924</v>
      </c>
      <c r="D15" s="211" t="s">
        <v>3950</v>
      </c>
      <c r="E15" s="136" t="s">
        <v>1876</v>
      </c>
      <c r="F15" s="134"/>
      <c r="G15" s="134">
        <v>107</v>
      </c>
      <c r="H15" s="139">
        <f t="shared" si="3"/>
        <v>1714140</v>
      </c>
      <c r="I15" s="134"/>
      <c r="J15" s="208">
        <v>1150000</v>
      </c>
      <c r="K15" s="139"/>
      <c r="L15" s="263"/>
      <c r="M15" s="139"/>
      <c r="N15" s="139"/>
      <c r="O15" s="139">
        <f t="shared" si="2"/>
        <v>2864140</v>
      </c>
      <c r="P15" s="139">
        <v>4000000</v>
      </c>
      <c r="Q15" s="139">
        <f t="shared" si="1"/>
        <v>1135860</v>
      </c>
      <c r="R15" s="215"/>
    </row>
    <row r="16" spans="1:18" s="144" customFormat="1" ht="20.45" customHeight="1" x14ac:dyDescent="0.25">
      <c r="A16" s="211">
        <v>9</v>
      </c>
      <c r="B16" s="328">
        <v>44452</v>
      </c>
      <c r="C16" s="134" t="s">
        <v>3925</v>
      </c>
      <c r="D16" s="211" t="s">
        <v>3951</v>
      </c>
      <c r="E16" s="136" t="s">
        <v>291</v>
      </c>
      <c r="F16" s="134"/>
      <c r="G16" s="134">
        <v>69</v>
      </c>
      <c r="H16" s="139">
        <f t="shared" si="3"/>
        <v>1105380</v>
      </c>
      <c r="I16" s="134"/>
      <c r="J16" s="208">
        <v>1150000</v>
      </c>
      <c r="K16" s="139"/>
      <c r="L16" s="263"/>
      <c r="M16" s="139"/>
      <c r="N16" s="139"/>
      <c r="O16" s="139">
        <f t="shared" si="2"/>
        <v>2255380</v>
      </c>
      <c r="P16" s="139">
        <v>3700000</v>
      </c>
      <c r="Q16" s="139">
        <f t="shared" si="1"/>
        <v>1444620</v>
      </c>
      <c r="R16" s="215"/>
    </row>
    <row r="17" spans="1:18" s="144" customFormat="1" ht="20.45" customHeight="1" x14ac:dyDescent="0.25">
      <c r="A17" s="211">
        <v>10</v>
      </c>
      <c r="B17" s="328">
        <v>44452</v>
      </c>
      <c r="C17" s="134" t="s">
        <v>1962</v>
      </c>
      <c r="D17" s="211" t="s">
        <v>3952</v>
      </c>
      <c r="E17" s="136" t="s">
        <v>23</v>
      </c>
      <c r="F17" s="134"/>
      <c r="G17" s="134">
        <v>248</v>
      </c>
      <c r="H17" s="139">
        <f t="shared" si="3"/>
        <v>3972960</v>
      </c>
      <c r="I17" s="134"/>
      <c r="J17" s="208">
        <v>2740000</v>
      </c>
      <c r="K17" s="139"/>
      <c r="L17" s="263"/>
      <c r="M17" s="139"/>
      <c r="N17" s="139"/>
      <c r="O17" s="139">
        <f t="shared" si="2"/>
        <v>6712960</v>
      </c>
      <c r="P17" s="139">
        <v>12727273</v>
      </c>
      <c r="Q17" s="139">
        <f t="shared" si="1"/>
        <v>6014313</v>
      </c>
      <c r="R17" s="215"/>
    </row>
    <row r="18" spans="1:18" s="144" customFormat="1" ht="20.45" customHeight="1" x14ac:dyDescent="0.25">
      <c r="A18" s="211">
        <v>11</v>
      </c>
      <c r="B18" s="328">
        <v>44453</v>
      </c>
      <c r="C18" s="134" t="s">
        <v>3926</v>
      </c>
      <c r="D18" s="211" t="s">
        <v>3953</v>
      </c>
      <c r="E18" s="136" t="s">
        <v>3526</v>
      </c>
      <c r="F18" s="134"/>
      <c r="G18" s="134">
        <v>82</v>
      </c>
      <c r="H18" s="139">
        <f t="shared" si="3"/>
        <v>1313640</v>
      </c>
      <c r="I18" s="134"/>
      <c r="J18" s="208">
        <v>1150000</v>
      </c>
      <c r="K18" s="139"/>
      <c r="L18" s="263"/>
      <c r="M18" s="139"/>
      <c r="N18" s="139"/>
      <c r="O18" s="139">
        <f t="shared" si="2"/>
        <v>2463640</v>
      </c>
      <c r="P18" s="139">
        <v>3954545</v>
      </c>
      <c r="Q18" s="139">
        <f t="shared" si="1"/>
        <v>1490905</v>
      </c>
      <c r="R18" s="215"/>
    </row>
    <row r="19" spans="1:18" s="144" customFormat="1" ht="20.45" customHeight="1" x14ac:dyDescent="0.25">
      <c r="A19" s="211">
        <v>12</v>
      </c>
      <c r="B19" s="328">
        <v>44455</v>
      </c>
      <c r="C19" s="134" t="s">
        <v>3927</v>
      </c>
      <c r="D19" s="211" t="s">
        <v>3954</v>
      </c>
      <c r="E19" s="136" t="s">
        <v>23</v>
      </c>
      <c r="F19" s="134"/>
      <c r="G19" s="134">
        <v>248</v>
      </c>
      <c r="H19" s="139">
        <f t="shared" si="3"/>
        <v>3972960</v>
      </c>
      <c r="I19" s="134"/>
      <c r="J19" s="208">
        <v>2740000</v>
      </c>
      <c r="K19" s="139"/>
      <c r="L19" s="263"/>
      <c r="M19" s="139"/>
      <c r="N19" s="139"/>
      <c r="O19" s="139">
        <f t="shared" si="2"/>
        <v>6712960</v>
      </c>
      <c r="P19" s="139">
        <v>12727273</v>
      </c>
      <c r="Q19" s="139">
        <f t="shared" si="1"/>
        <v>6014313</v>
      </c>
      <c r="R19" s="215"/>
    </row>
    <row r="20" spans="1:18" s="144" customFormat="1" ht="20.45" customHeight="1" x14ac:dyDescent="0.25">
      <c r="A20" s="211">
        <v>13</v>
      </c>
      <c r="B20" s="328">
        <v>44455</v>
      </c>
      <c r="C20" s="134" t="s">
        <v>3928</v>
      </c>
      <c r="D20" s="211" t="s">
        <v>3955</v>
      </c>
      <c r="E20" s="136" t="s">
        <v>3939</v>
      </c>
      <c r="F20" s="134"/>
      <c r="G20" s="134">
        <v>62</v>
      </c>
      <c r="H20" s="139">
        <f t="shared" si="3"/>
        <v>993240</v>
      </c>
      <c r="I20" s="134"/>
      <c r="J20" s="208">
        <v>800000</v>
      </c>
      <c r="K20" s="139"/>
      <c r="L20" s="263"/>
      <c r="M20" s="139"/>
      <c r="N20" s="139"/>
      <c r="O20" s="139">
        <f t="shared" si="2"/>
        <v>1793240</v>
      </c>
      <c r="P20" s="139">
        <v>3145455</v>
      </c>
      <c r="Q20" s="139">
        <f t="shared" si="1"/>
        <v>1352215</v>
      </c>
      <c r="R20" s="215"/>
    </row>
    <row r="21" spans="1:18" s="144" customFormat="1" ht="20.45" customHeight="1" x14ac:dyDescent="0.25">
      <c r="A21" s="211">
        <v>14</v>
      </c>
      <c r="B21" s="328">
        <v>44459</v>
      </c>
      <c r="C21" s="134" t="s">
        <v>3929</v>
      </c>
      <c r="D21" s="211" t="s">
        <v>3956</v>
      </c>
      <c r="E21" s="136" t="s">
        <v>3940</v>
      </c>
      <c r="F21" s="134"/>
      <c r="G21" s="134">
        <v>7</v>
      </c>
      <c r="H21" s="139">
        <f t="shared" si="3"/>
        <v>112140</v>
      </c>
      <c r="I21" s="134"/>
      <c r="J21" s="208">
        <v>200000</v>
      </c>
      <c r="K21" s="139"/>
      <c r="L21" s="263"/>
      <c r="M21" s="139"/>
      <c r="N21" s="139"/>
      <c r="O21" s="139">
        <f t="shared" si="2"/>
        <v>312140</v>
      </c>
      <c r="P21" s="139">
        <v>1272727</v>
      </c>
      <c r="Q21" s="139">
        <f t="shared" si="1"/>
        <v>960587</v>
      </c>
      <c r="R21" s="215"/>
    </row>
    <row r="22" spans="1:18" s="144" customFormat="1" ht="20.45" customHeight="1" x14ac:dyDescent="0.25">
      <c r="A22" s="211">
        <v>15</v>
      </c>
      <c r="B22" s="328">
        <v>44459</v>
      </c>
      <c r="C22" s="134" t="s">
        <v>1315</v>
      </c>
      <c r="D22" s="211" t="s">
        <v>3957</v>
      </c>
      <c r="E22" s="136" t="s">
        <v>1568</v>
      </c>
      <c r="F22" s="134"/>
      <c r="G22" s="134">
        <v>86</v>
      </c>
      <c r="H22" s="139">
        <f t="shared" si="3"/>
        <v>1377720</v>
      </c>
      <c r="I22" s="134"/>
      <c r="J22" s="208">
        <v>1150000</v>
      </c>
      <c r="K22" s="139"/>
      <c r="L22" s="263"/>
      <c r="M22" s="139"/>
      <c r="N22" s="139"/>
      <c r="O22" s="139">
        <f t="shared" si="2"/>
        <v>2527720</v>
      </c>
      <c r="P22" s="139">
        <v>3800000</v>
      </c>
      <c r="Q22" s="139">
        <f t="shared" si="1"/>
        <v>1272280</v>
      </c>
      <c r="R22" s="215"/>
    </row>
    <row r="23" spans="1:18" s="144" customFormat="1" ht="25.5" customHeight="1" x14ac:dyDescent="0.25">
      <c r="A23" s="211">
        <v>16</v>
      </c>
      <c r="B23" s="328">
        <v>44461</v>
      </c>
      <c r="C23" s="134" t="s">
        <v>3930</v>
      </c>
      <c r="D23" s="211" t="s">
        <v>3958</v>
      </c>
      <c r="E23" s="136" t="s">
        <v>3941</v>
      </c>
      <c r="F23" s="134"/>
      <c r="G23" s="134">
        <v>35</v>
      </c>
      <c r="H23" s="139">
        <f t="shared" si="3"/>
        <v>560700</v>
      </c>
      <c r="I23" s="134"/>
      <c r="J23" s="208">
        <v>300000</v>
      </c>
      <c r="K23" s="139"/>
      <c r="L23" s="263"/>
      <c r="M23" s="139"/>
      <c r="N23" s="139"/>
      <c r="O23" s="139">
        <f t="shared" si="2"/>
        <v>860700</v>
      </c>
      <c r="P23" s="139">
        <v>2445455</v>
      </c>
      <c r="Q23" s="139">
        <f t="shared" si="1"/>
        <v>1584755</v>
      </c>
      <c r="R23" s="215"/>
    </row>
    <row r="24" spans="1:18" s="144" customFormat="1" ht="20.45" customHeight="1" x14ac:dyDescent="0.25">
      <c r="A24" s="211">
        <v>17</v>
      </c>
      <c r="B24" s="328">
        <v>44461</v>
      </c>
      <c r="C24" s="134" t="s">
        <v>3931</v>
      </c>
      <c r="D24" s="211" t="s">
        <v>3959</v>
      </c>
      <c r="E24" s="136" t="s">
        <v>3942</v>
      </c>
      <c r="F24" s="134"/>
      <c r="G24" s="134"/>
      <c r="H24" s="139">
        <f t="shared" si="3"/>
        <v>0</v>
      </c>
      <c r="I24" s="134"/>
      <c r="J24" s="208">
        <v>200000</v>
      </c>
      <c r="K24" s="139"/>
      <c r="L24" s="263"/>
      <c r="M24" s="139"/>
      <c r="N24" s="139"/>
      <c r="O24" s="139">
        <f t="shared" si="2"/>
        <v>200000</v>
      </c>
      <c r="P24" s="139">
        <v>1600000</v>
      </c>
      <c r="Q24" s="139">
        <f t="shared" si="1"/>
        <v>1400000</v>
      </c>
      <c r="R24" s="215"/>
    </row>
    <row r="25" spans="1:18" s="144" customFormat="1" ht="20.45" customHeight="1" x14ac:dyDescent="0.25">
      <c r="A25" s="211">
        <v>18</v>
      </c>
      <c r="B25" s="328">
        <v>44461</v>
      </c>
      <c r="C25" s="134" t="s">
        <v>2642</v>
      </c>
      <c r="D25" s="211" t="s">
        <v>3960</v>
      </c>
      <c r="E25" s="136" t="s">
        <v>894</v>
      </c>
      <c r="F25" s="134"/>
      <c r="G25" s="134">
        <v>76</v>
      </c>
      <c r="H25" s="139">
        <f t="shared" si="3"/>
        <v>1217520</v>
      </c>
      <c r="I25" s="134"/>
      <c r="J25" s="208">
        <v>790000</v>
      </c>
      <c r="K25" s="139"/>
      <c r="L25" s="263"/>
      <c r="M25" s="139"/>
      <c r="N25" s="139"/>
      <c r="O25" s="139">
        <f t="shared" si="2"/>
        <v>2007520</v>
      </c>
      <c r="P25" s="139">
        <v>3300000</v>
      </c>
      <c r="Q25" s="139">
        <f t="shared" si="1"/>
        <v>1292480</v>
      </c>
      <c r="R25" s="215"/>
    </row>
    <row r="26" spans="1:18" s="144" customFormat="1" ht="20.45" customHeight="1" x14ac:dyDescent="0.25">
      <c r="A26" s="211">
        <v>19</v>
      </c>
      <c r="B26" s="328">
        <v>44462</v>
      </c>
      <c r="C26" s="134" t="s">
        <v>2643</v>
      </c>
      <c r="D26" s="211" t="s">
        <v>3961</v>
      </c>
      <c r="E26" s="136" t="s">
        <v>25</v>
      </c>
      <c r="F26" s="134"/>
      <c r="G26" s="134">
        <v>180</v>
      </c>
      <c r="H26" s="139">
        <f t="shared" si="3"/>
        <v>2883600</v>
      </c>
      <c r="I26" s="134"/>
      <c r="J26" s="208">
        <v>1890000</v>
      </c>
      <c r="K26" s="139"/>
      <c r="L26" s="263"/>
      <c r="M26" s="139"/>
      <c r="N26" s="139"/>
      <c r="O26" s="139">
        <f t="shared" si="2"/>
        <v>4773600</v>
      </c>
      <c r="P26" s="139">
        <v>7663636</v>
      </c>
      <c r="Q26" s="139">
        <f t="shared" si="1"/>
        <v>2890036</v>
      </c>
      <c r="R26" s="215"/>
    </row>
    <row r="27" spans="1:18" s="144" customFormat="1" ht="20.45" customHeight="1" x14ac:dyDescent="0.25">
      <c r="A27" s="211">
        <v>20</v>
      </c>
      <c r="B27" s="328">
        <v>44463</v>
      </c>
      <c r="C27" s="134" t="s">
        <v>1318</v>
      </c>
      <c r="D27" s="211" t="s">
        <v>3962</v>
      </c>
      <c r="E27" s="136" t="s">
        <v>894</v>
      </c>
      <c r="F27" s="134"/>
      <c r="G27" s="134">
        <v>78</v>
      </c>
      <c r="H27" s="139">
        <f>G27*16580</f>
        <v>1293240</v>
      </c>
      <c r="I27" s="134"/>
      <c r="J27" s="208">
        <v>790000</v>
      </c>
      <c r="K27" s="139"/>
      <c r="L27" s="263"/>
      <c r="M27" s="139"/>
      <c r="N27" s="139"/>
      <c r="O27" s="139">
        <f t="shared" si="2"/>
        <v>2083240</v>
      </c>
      <c r="P27" s="139">
        <v>3300000</v>
      </c>
      <c r="Q27" s="139">
        <f t="shared" si="1"/>
        <v>1216760</v>
      </c>
      <c r="R27" s="215"/>
    </row>
    <row r="28" spans="1:18" s="144" customFormat="1" ht="20.45" customHeight="1" x14ac:dyDescent="0.25">
      <c r="A28" s="211">
        <v>21</v>
      </c>
      <c r="B28" s="328">
        <v>44467</v>
      </c>
      <c r="C28" s="134" t="s">
        <v>1320</v>
      </c>
      <c r="D28" s="211" t="s">
        <v>3963</v>
      </c>
      <c r="E28" s="136" t="s">
        <v>25</v>
      </c>
      <c r="F28" s="134"/>
      <c r="G28" s="134">
        <v>180</v>
      </c>
      <c r="H28" s="139">
        <f t="shared" ref="H28:H32" si="4">G28*16580</f>
        <v>2984400</v>
      </c>
      <c r="I28" s="134"/>
      <c r="J28" s="208">
        <v>1890000</v>
      </c>
      <c r="K28" s="139"/>
      <c r="L28" s="263"/>
      <c r="M28" s="139"/>
      <c r="N28" s="139"/>
      <c r="O28" s="139">
        <f t="shared" si="2"/>
        <v>4874400</v>
      </c>
      <c r="P28" s="139">
        <v>7663636</v>
      </c>
      <c r="Q28" s="139">
        <f t="shared" si="1"/>
        <v>2789236</v>
      </c>
      <c r="R28" s="215"/>
    </row>
    <row r="29" spans="1:18" s="144" customFormat="1" ht="20.45" customHeight="1" x14ac:dyDescent="0.25">
      <c r="A29" s="211">
        <v>22</v>
      </c>
      <c r="B29" s="328">
        <v>44467</v>
      </c>
      <c r="C29" s="134" t="s">
        <v>3932</v>
      </c>
      <c r="D29" s="211" t="s">
        <v>3964</v>
      </c>
      <c r="E29" s="136" t="s">
        <v>80</v>
      </c>
      <c r="F29" s="134"/>
      <c r="G29" s="134">
        <v>102</v>
      </c>
      <c r="H29" s="139">
        <f t="shared" si="4"/>
        <v>1691160</v>
      </c>
      <c r="I29" s="134"/>
      <c r="J29" s="208">
        <v>790000</v>
      </c>
      <c r="K29" s="139"/>
      <c r="L29" s="263"/>
      <c r="M29" s="139"/>
      <c r="N29" s="139"/>
      <c r="O29" s="139">
        <f t="shared" si="2"/>
        <v>2481160</v>
      </c>
      <c r="P29" s="139">
        <v>3600000</v>
      </c>
      <c r="Q29" s="139">
        <f t="shared" si="1"/>
        <v>1118840</v>
      </c>
      <c r="R29" s="215"/>
    </row>
    <row r="30" spans="1:18" s="144" customFormat="1" ht="20.45" customHeight="1" x14ac:dyDescent="0.25">
      <c r="A30" s="211">
        <v>23</v>
      </c>
      <c r="B30" s="328">
        <v>44467</v>
      </c>
      <c r="C30" s="134" t="s">
        <v>3933</v>
      </c>
      <c r="D30" s="211" t="s">
        <v>3965</v>
      </c>
      <c r="E30" s="136" t="s">
        <v>79</v>
      </c>
      <c r="F30" s="134"/>
      <c r="G30" s="134">
        <v>99</v>
      </c>
      <c r="H30" s="139">
        <f t="shared" si="4"/>
        <v>1641420</v>
      </c>
      <c r="I30" s="134"/>
      <c r="J30" s="208">
        <v>1150000</v>
      </c>
      <c r="K30" s="139"/>
      <c r="L30" s="263"/>
      <c r="M30" s="139"/>
      <c r="N30" s="139"/>
      <c r="O30" s="139">
        <f t="shared" si="2"/>
        <v>2791420</v>
      </c>
      <c r="P30" s="139">
        <v>3681818</v>
      </c>
      <c r="Q30" s="139">
        <f t="shared" si="1"/>
        <v>890398</v>
      </c>
      <c r="R30" s="215"/>
    </row>
    <row r="31" spans="1:18" s="144" customFormat="1" ht="25.5" customHeight="1" x14ac:dyDescent="0.25">
      <c r="A31" s="211">
        <v>24</v>
      </c>
      <c r="B31" s="328">
        <v>44468</v>
      </c>
      <c r="C31" s="134" t="s">
        <v>3934</v>
      </c>
      <c r="D31" s="211" t="s">
        <v>3965</v>
      </c>
      <c r="E31" s="136" t="s">
        <v>3343</v>
      </c>
      <c r="F31" s="134"/>
      <c r="G31" s="134"/>
      <c r="H31" s="139">
        <f t="shared" si="4"/>
        <v>0</v>
      </c>
      <c r="I31" s="134"/>
      <c r="J31" s="208">
        <v>1150000</v>
      </c>
      <c r="K31" s="139"/>
      <c r="L31" s="263"/>
      <c r="M31" s="139"/>
      <c r="N31" s="139"/>
      <c r="O31" s="139">
        <f t="shared" si="2"/>
        <v>1150000</v>
      </c>
      <c r="P31" s="139">
        <v>1800000</v>
      </c>
      <c r="Q31" s="139">
        <f t="shared" si="1"/>
        <v>650000</v>
      </c>
      <c r="R31" s="215"/>
    </row>
    <row r="32" spans="1:18" s="144" customFormat="1" ht="20.45" customHeight="1" x14ac:dyDescent="0.25">
      <c r="A32" s="211">
        <v>25</v>
      </c>
      <c r="B32" s="328">
        <v>44468</v>
      </c>
      <c r="C32" s="134" t="s">
        <v>3935</v>
      </c>
      <c r="D32" s="211" t="s">
        <v>3966</v>
      </c>
      <c r="E32" s="136" t="s">
        <v>2059</v>
      </c>
      <c r="F32" s="134"/>
      <c r="G32" s="134">
        <v>145</v>
      </c>
      <c r="H32" s="139">
        <f t="shared" si="4"/>
        <v>2404100</v>
      </c>
      <c r="I32" s="134"/>
      <c r="J32" s="208">
        <v>1400000</v>
      </c>
      <c r="K32" s="139"/>
      <c r="L32" s="263"/>
      <c r="M32" s="139"/>
      <c r="N32" s="139"/>
      <c r="O32" s="139">
        <f t="shared" si="2"/>
        <v>3804100</v>
      </c>
      <c r="P32" s="139">
        <v>6054545</v>
      </c>
      <c r="Q32" s="139">
        <f t="shared" si="1"/>
        <v>2250445</v>
      </c>
      <c r="R32" s="215"/>
    </row>
    <row r="33" spans="1:18" s="144" customFormat="1" ht="20.45" customHeight="1" x14ac:dyDescent="0.25">
      <c r="A33" s="211"/>
      <c r="B33" s="191"/>
      <c r="C33" s="449"/>
      <c r="D33" s="449"/>
      <c r="E33" s="449"/>
      <c r="F33" s="449"/>
      <c r="G33" s="195"/>
      <c r="H33" s="155"/>
      <c r="I33" s="195"/>
      <c r="J33" s="155"/>
      <c r="K33" s="219"/>
      <c r="L33" s="219"/>
      <c r="M33" s="139"/>
      <c r="N33" s="139"/>
      <c r="O33" s="139">
        <f>SUM(H33:N33)</f>
        <v>0</v>
      </c>
      <c r="P33" s="141"/>
      <c r="Q33" s="139"/>
      <c r="R33" s="215"/>
    </row>
    <row r="34" spans="1:18" s="144" customFormat="1" ht="24.95" customHeight="1" x14ac:dyDescent="0.25">
      <c r="A34" s="211"/>
      <c r="B34" s="191"/>
      <c r="C34" s="440" t="s">
        <v>3967</v>
      </c>
      <c r="D34" s="441"/>
      <c r="E34" s="442"/>
      <c r="F34" s="196"/>
      <c r="G34" s="195"/>
      <c r="H34" s="155"/>
      <c r="I34" s="195"/>
      <c r="J34" s="155"/>
      <c r="K34" s="185">
        <v>300000</v>
      </c>
      <c r="L34" s="219"/>
      <c r="M34" s="139"/>
      <c r="N34" s="139"/>
      <c r="O34" s="139">
        <f>SUM(H34:N34)</f>
        <v>300000</v>
      </c>
      <c r="P34" s="141"/>
      <c r="Q34" s="139"/>
      <c r="R34" s="215"/>
    </row>
    <row r="35" spans="1:18" s="144" customFormat="1" ht="24.95" customHeight="1" x14ac:dyDescent="0.25">
      <c r="A35" s="211"/>
      <c r="B35" s="191"/>
      <c r="C35" s="440" t="s">
        <v>3968</v>
      </c>
      <c r="D35" s="441"/>
      <c r="E35" s="442"/>
      <c r="F35" s="196"/>
      <c r="G35" s="195"/>
      <c r="H35" s="155"/>
      <c r="I35" s="195"/>
      <c r="J35" s="155"/>
      <c r="K35" s="219"/>
      <c r="L35" s="185">
        <v>300000</v>
      </c>
      <c r="M35" s="139"/>
      <c r="N35" s="139"/>
      <c r="O35" s="139">
        <f t="shared" ref="O35:O56" si="5">SUM(H35:N35)</f>
        <v>300000</v>
      </c>
      <c r="P35" s="141"/>
      <c r="Q35" s="139"/>
      <c r="R35" s="215"/>
    </row>
    <row r="36" spans="1:18" s="144" customFormat="1" ht="24.95" customHeight="1" x14ac:dyDescent="0.25">
      <c r="A36" s="211"/>
      <c r="B36" s="191"/>
      <c r="C36" s="440" t="s">
        <v>3969</v>
      </c>
      <c r="D36" s="441"/>
      <c r="E36" s="442"/>
      <c r="F36" s="196"/>
      <c r="G36" s="195"/>
      <c r="H36" s="155"/>
      <c r="I36" s="195"/>
      <c r="J36" s="155"/>
      <c r="K36" s="185">
        <v>208000</v>
      </c>
      <c r="L36" s="219"/>
      <c r="M36" s="219"/>
      <c r="N36" s="139"/>
      <c r="O36" s="139">
        <f t="shared" si="5"/>
        <v>208000</v>
      </c>
      <c r="P36" s="141"/>
      <c r="Q36" s="139"/>
      <c r="R36" s="215"/>
    </row>
    <row r="37" spans="1:18" s="144" customFormat="1" ht="24.95" customHeight="1" x14ac:dyDescent="0.25">
      <c r="A37" s="211"/>
      <c r="B37" s="191"/>
      <c r="C37" s="452" t="s">
        <v>3972</v>
      </c>
      <c r="D37" s="453"/>
      <c r="E37" s="454"/>
      <c r="F37" s="196"/>
      <c r="G37" s="195"/>
      <c r="H37" s="155"/>
      <c r="I37" s="195"/>
      <c r="J37" s="155"/>
      <c r="K37" s="185">
        <v>208000</v>
      </c>
      <c r="L37" s="219"/>
      <c r="M37" s="219"/>
      <c r="N37" s="219"/>
      <c r="O37" s="139">
        <f t="shared" si="5"/>
        <v>208000</v>
      </c>
      <c r="P37" s="141"/>
      <c r="Q37" s="139"/>
      <c r="R37" s="215"/>
    </row>
    <row r="38" spans="1:18" s="144" customFormat="1" ht="24.95" customHeight="1" x14ac:dyDescent="0.25">
      <c r="A38" s="211"/>
      <c r="B38" s="191"/>
      <c r="C38" s="452" t="s">
        <v>3973</v>
      </c>
      <c r="D38" s="453"/>
      <c r="E38" s="454"/>
      <c r="F38" s="196"/>
      <c r="G38" s="195"/>
      <c r="H38" s="155"/>
      <c r="I38" s="195"/>
      <c r="J38" s="155"/>
      <c r="K38" s="185">
        <v>208000</v>
      </c>
      <c r="L38" s="219"/>
      <c r="M38" s="219"/>
      <c r="N38" s="219"/>
      <c r="O38" s="139">
        <f t="shared" si="5"/>
        <v>208000</v>
      </c>
      <c r="P38" s="141"/>
      <c r="Q38" s="139"/>
      <c r="R38" s="215"/>
    </row>
    <row r="39" spans="1:18" s="144" customFormat="1" ht="24.95" customHeight="1" x14ac:dyDescent="0.25">
      <c r="A39" s="211"/>
      <c r="B39" s="191"/>
      <c r="C39" s="452" t="s">
        <v>3974</v>
      </c>
      <c r="D39" s="453"/>
      <c r="E39" s="454"/>
      <c r="F39" s="196"/>
      <c r="G39" s="195"/>
      <c r="H39" s="155"/>
      <c r="I39" s="195"/>
      <c r="J39" s="155"/>
      <c r="K39" s="185">
        <v>208000</v>
      </c>
      <c r="L39" s="219"/>
      <c r="M39" s="219"/>
      <c r="N39" s="219"/>
      <c r="O39" s="139">
        <f t="shared" si="5"/>
        <v>208000</v>
      </c>
      <c r="P39" s="141"/>
      <c r="Q39" s="139"/>
      <c r="R39" s="215"/>
    </row>
    <row r="40" spans="1:18" s="144" customFormat="1" ht="24.95" customHeight="1" x14ac:dyDescent="0.25">
      <c r="A40" s="211"/>
      <c r="B40" s="191"/>
      <c r="C40" s="459" t="s">
        <v>3988</v>
      </c>
      <c r="D40" s="460"/>
      <c r="E40" s="461"/>
      <c r="F40" s="196"/>
      <c r="G40" s="195"/>
      <c r="H40" s="155"/>
      <c r="I40" s="195"/>
      <c r="J40" s="155"/>
      <c r="K40" s="219"/>
      <c r="L40" s="219"/>
      <c r="M40" s="185">
        <v>11200000</v>
      </c>
      <c r="N40" s="219"/>
      <c r="O40" s="139">
        <f t="shared" si="5"/>
        <v>11200000</v>
      </c>
      <c r="P40" s="141"/>
      <c r="Q40" s="139"/>
      <c r="R40" s="215"/>
    </row>
    <row r="41" spans="1:18" s="144" customFormat="1" ht="24.95" customHeight="1" x14ac:dyDescent="0.25">
      <c r="A41" s="211"/>
      <c r="B41" s="191"/>
      <c r="C41" s="452" t="s">
        <v>3975</v>
      </c>
      <c r="D41" s="453"/>
      <c r="E41" s="454"/>
      <c r="F41" s="196"/>
      <c r="G41" s="195"/>
      <c r="H41" s="155"/>
      <c r="I41" s="195"/>
      <c r="J41" s="155"/>
      <c r="K41" s="185">
        <v>163000</v>
      </c>
      <c r="L41" s="219"/>
      <c r="M41" s="219"/>
      <c r="N41" s="219"/>
      <c r="O41" s="139">
        <f t="shared" si="5"/>
        <v>163000</v>
      </c>
      <c r="P41" s="141"/>
      <c r="Q41" s="139"/>
      <c r="R41" s="215"/>
    </row>
    <row r="42" spans="1:18" s="144" customFormat="1" ht="24.95" customHeight="1" x14ac:dyDescent="0.25">
      <c r="A42" s="211"/>
      <c r="B42" s="191"/>
      <c r="C42" s="452" t="s">
        <v>3976</v>
      </c>
      <c r="D42" s="453"/>
      <c r="E42" s="454"/>
      <c r="F42" s="196"/>
      <c r="G42" s="195"/>
      <c r="H42" s="155"/>
      <c r="I42" s="195"/>
      <c r="J42" s="155"/>
      <c r="K42" s="185">
        <v>163000</v>
      </c>
      <c r="L42" s="219"/>
      <c r="M42" s="219"/>
      <c r="N42" s="219"/>
      <c r="O42" s="139">
        <f t="shared" si="5"/>
        <v>163000</v>
      </c>
      <c r="P42" s="141"/>
      <c r="Q42" s="139"/>
      <c r="R42" s="215"/>
    </row>
    <row r="43" spans="1:18" s="144" customFormat="1" ht="24.95" customHeight="1" x14ac:dyDescent="0.25">
      <c r="A43" s="211"/>
      <c r="B43" s="191"/>
      <c r="C43" s="452" t="s">
        <v>3977</v>
      </c>
      <c r="D43" s="453"/>
      <c r="E43" s="454"/>
      <c r="F43" s="196"/>
      <c r="G43" s="195"/>
      <c r="H43" s="155"/>
      <c r="I43" s="195"/>
      <c r="J43" s="155"/>
      <c r="K43" s="219"/>
      <c r="L43" s="219"/>
      <c r="M43" s="185">
        <v>300000</v>
      </c>
      <c r="N43" s="219"/>
      <c r="O43" s="139">
        <f t="shared" si="5"/>
        <v>300000</v>
      </c>
      <c r="P43" s="141"/>
      <c r="Q43" s="139"/>
      <c r="R43" s="215"/>
    </row>
    <row r="44" spans="1:18" s="144" customFormat="1" ht="24.95" customHeight="1" x14ac:dyDescent="0.25">
      <c r="A44" s="211"/>
      <c r="B44" s="191"/>
      <c r="C44" s="452" t="s">
        <v>3978</v>
      </c>
      <c r="D44" s="453"/>
      <c r="E44" s="454"/>
      <c r="F44" s="196"/>
      <c r="G44" s="195"/>
      <c r="H44" s="155"/>
      <c r="I44" s="195"/>
      <c r="J44" s="155"/>
      <c r="K44" s="219"/>
      <c r="L44" s="219"/>
      <c r="M44" s="185">
        <v>12600000</v>
      </c>
      <c r="N44" s="219"/>
      <c r="O44" s="139">
        <f t="shared" si="5"/>
        <v>12600000</v>
      </c>
      <c r="P44" s="141"/>
      <c r="Q44" s="139"/>
      <c r="R44" s="215"/>
    </row>
    <row r="45" spans="1:18" s="144" customFormat="1" ht="24.95" customHeight="1" x14ac:dyDescent="0.25">
      <c r="A45" s="211"/>
      <c r="B45" s="191"/>
      <c r="C45" s="452" t="s">
        <v>3979</v>
      </c>
      <c r="D45" s="453"/>
      <c r="E45" s="454"/>
      <c r="F45" s="196"/>
      <c r="G45" s="195"/>
      <c r="H45" s="155"/>
      <c r="I45" s="195"/>
      <c r="J45" s="155"/>
      <c r="K45" s="219"/>
      <c r="L45" s="219"/>
      <c r="M45" s="185">
        <v>1650000</v>
      </c>
      <c r="N45" s="219"/>
      <c r="O45" s="139">
        <f t="shared" si="5"/>
        <v>1650000</v>
      </c>
      <c r="P45" s="141"/>
      <c r="Q45" s="139"/>
      <c r="R45" s="215"/>
    </row>
    <row r="46" spans="1:18" s="144" customFormat="1" ht="24.95" customHeight="1" x14ac:dyDescent="0.25">
      <c r="A46" s="211"/>
      <c r="B46" s="191"/>
      <c r="C46" s="350" t="s">
        <v>3989</v>
      </c>
      <c r="D46" s="351"/>
      <c r="E46" s="352"/>
      <c r="F46" s="239"/>
      <c r="G46" s="353"/>
      <c r="H46" s="207"/>
      <c r="I46" s="353"/>
      <c r="J46" s="207"/>
      <c r="K46" s="233"/>
      <c r="L46" s="233"/>
      <c r="M46" s="233"/>
      <c r="N46" s="233">
        <f>13000000/4</f>
        <v>3250000</v>
      </c>
      <c r="O46" s="139">
        <f t="shared" si="5"/>
        <v>3250000</v>
      </c>
      <c r="P46" s="141"/>
      <c r="Q46" s="139"/>
      <c r="R46" s="215"/>
    </row>
    <row r="47" spans="1:18" s="144" customFormat="1" ht="24.95" customHeight="1" x14ac:dyDescent="0.25">
      <c r="A47" s="211"/>
      <c r="B47" s="191"/>
      <c r="C47" s="452" t="s">
        <v>3980</v>
      </c>
      <c r="D47" s="453"/>
      <c r="E47" s="454"/>
      <c r="F47" s="196"/>
      <c r="G47" s="195"/>
      <c r="H47" s="155"/>
      <c r="I47" s="195"/>
      <c r="J47" s="155"/>
      <c r="K47" s="185">
        <v>163000</v>
      </c>
      <c r="L47" s="219"/>
      <c r="M47" s="219"/>
      <c r="N47" s="219"/>
      <c r="O47" s="139">
        <f t="shared" si="5"/>
        <v>163000</v>
      </c>
      <c r="P47" s="141"/>
      <c r="Q47" s="139"/>
      <c r="R47" s="215"/>
    </row>
    <row r="48" spans="1:18" s="144" customFormat="1" ht="24.95" customHeight="1" x14ac:dyDescent="0.25">
      <c r="A48" s="211"/>
      <c r="B48" s="191"/>
      <c r="C48" s="452" t="s">
        <v>3981</v>
      </c>
      <c r="D48" s="453"/>
      <c r="E48" s="454"/>
      <c r="F48" s="196"/>
      <c r="G48" s="195"/>
      <c r="H48" s="155"/>
      <c r="I48" s="195"/>
      <c r="J48" s="155"/>
      <c r="K48" s="219"/>
      <c r="L48" s="185">
        <v>70000</v>
      </c>
      <c r="M48" s="219"/>
      <c r="N48" s="219"/>
      <c r="O48" s="139">
        <f t="shared" si="5"/>
        <v>70000</v>
      </c>
      <c r="P48" s="141"/>
      <c r="Q48" s="139"/>
      <c r="R48" s="215"/>
    </row>
    <row r="49" spans="1:19" s="144" customFormat="1" ht="24.95" customHeight="1" x14ac:dyDescent="0.25">
      <c r="A49" s="211"/>
      <c r="B49" s="191"/>
      <c r="C49" s="452" t="s">
        <v>3982</v>
      </c>
      <c r="D49" s="453"/>
      <c r="E49" s="454"/>
      <c r="F49" s="196"/>
      <c r="G49" s="195"/>
      <c r="H49" s="155"/>
      <c r="I49" s="195"/>
      <c r="J49" s="155"/>
      <c r="K49" s="185">
        <v>163000</v>
      </c>
      <c r="L49" s="219"/>
      <c r="M49" s="219"/>
      <c r="N49" s="219"/>
      <c r="O49" s="139">
        <f t="shared" si="5"/>
        <v>163000</v>
      </c>
      <c r="P49" s="141"/>
      <c r="Q49" s="139"/>
      <c r="R49" s="215"/>
    </row>
    <row r="50" spans="1:19" s="144" customFormat="1" ht="24.95" customHeight="1" x14ac:dyDescent="0.25">
      <c r="A50" s="211"/>
      <c r="B50" s="191"/>
      <c r="C50" s="452" t="s">
        <v>3983</v>
      </c>
      <c r="D50" s="453"/>
      <c r="E50" s="454"/>
      <c r="F50" s="196"/>
      <c r="G50" s="195"/>
      <c r="H50" s="155"/>
      <c r="I50" s="195"/>
      <c r="J50" s="155"/>
      <c r="K50" s="185">
        <v>200000</v>
      </c>
      <c r="L50" s="219"/>
      <c r="M50" s="219"/>
      <c r="N50" s="219"/>
      <c r="O50" s="139">
        <f t="shared" si="5"/>
        <v>200000</v>
      </c>
      <c r="P50" s="141"/>
      <c r="Q50" s="139"/>
      <c r="R50" s="215"/>
    </row>
    <row r="51" spans="1:19" s="144" customFormat="1" ht="24.95" customHeight="1" x14ac:dyDescent="0.25">
      <c r="A51" s="211"/>
      <c r="B51" s="191"/>
      <c r="C51" s="452" t="s">
        <v>3984</v>
      </c>
      <c r="D51" s="453"/>
      <c r="E51" s="454"/>
      <c r="F51" s="196"/>
      <c r="G51" s="195"/>
      <c r="H51" s="155"/>
      <c r="I51" s="195"/>
      <c r="J51" s="155"/>
      <c r="K51" s="185">
        <v>140000</v>
      </c>
      <c r="L51" s="219"/>
      <c r="M51" s="219"/>
      <c r="N51" s="219"/>
      <c r="O51" s="139">
        <f t="shared" si="5"/>
        <v>140000</v>
      </c>
      <c r="P51" s="141"/>
      <c r="Q51" s="139"/>
      <c r="R51" s="215"/>
    </row>
    <row r="52" spans="1:19" s="144" customFormat="1" ht="24.95" customHeight="1" x14ac:dyDescent="0.25">
      <c r="A52" s="211"/>
      <c r="B52" s="191"/>
      <c r="C52" s="452" t="s">
        <v>3985</v>
      </c>
      <c r="D52" s="453"/>
      <c r="E52" s="454"/>
      <c r="F52" s="196"/>
      <c r="G52" s="195"/>
      <c r="H52" s="155"/>
      <c r="I52" s="195"/>
      <c r="J52" s="155"/>
      <c r="K52" s="185">
        <v>150000</v>
      </c>
      <c r="L52" s="219"/>
      <c r="M52" s="219"/>
      <c r="N52" s="219"/>
      <c r="O52" s="139">
        <f t="shared" si="5"/>
        <v>150000</v>
      </c>
      <c r="P52" s="141"/>
      <c r="Q52" s="139"/>
      <c r="R52" s="215"/>
    </row>
    <row r="53" spans="1:19" s="144" customFormat="1" ht="24.95" customHeight="1" x14ac:dyDescent="0.25">
      <c r="A53" s="211"/>
      <c r="B53" s="191"/>
      <c r="C53" s="452" t="s">
        <v>3986</v>
      </c>
      <c r="D53" s="453"/>
      <c r="E53" s="454"/>
      <c r="F53" s="196"/>
      <c r="G53" s="195"/>
      <c r="H53" s="155"/>
      <c r="I53" s="195"/>
      <c r="J53" s="155"/>
      <c r="K53" s="185">
        <v>163000</v>
      </c>
      <c r="L53" s="219"/>
      <c r="M53" s="219"/>
      <c r="N53" s="219"/>
      <c r="O53" s="139">
        <f t="shared" si="5"/>
        <v>163000</v>
      </c>
      <c r="P53" s="141"/>
      <c r="Q53" s="139"/>
      <c r="R53" s="215"/>
    </row>
    <row r="54" spans="1:19" s="144" customFormat="1" ht="24.95" customHeight="1" x14ac:dyDescent="0.25">
      <c r="A54" s="211"/>
      <c r="B54" s="191"/>
      <c r="C54" s="452" t="s">
        <v>3987</v>
      </c>
      <c r="D54" s="453"/>
      <c r="E54" s="454"/>
      <c r="F54" s="196"/>
      <c r="G54" s="195"/>
      <c r="H54" s="155"/>
      <c r="I54" s="195"/>
      <c r="J54" s="155"/>
      <c r="K54" s="219"/>
      <c r="L54" s="185">
        <v>200000</v>
      </c>
      <c r="M54" s="219"/>
      <c r="N54" s="219"/>
      <c r="O54" s="139">
        <f t="shared" si="5"/>
        <v>200000</v>
      </c>
      <c r="P54" s="141"/>
      <c r="Q54" s="139"/>
      <c r="R54" s="215"/>
    </row>
    <row r="55" spans="1:19" s="144" customFormat="1" ht="24.95" customHeight="1" x14ac:dyDescent="0.25">
      <c r="A55" s="211"/>
      <c r="B55" s="191"/>
      <c r="C55" s="452" t="s">
        <v>3738</v>
      </c>
      <c r="D55" s="453"/>
      <c r="E55" s="454"/>
      <c r="F55" s="196"/>
      <c r="G55" s="195"/>
      <c r="H55" s="155"/>
      <c r="I55" s="195"/>
      <c r="J55" s="155"/>
      <c r="K55" s="185">
        <f>26/26*8000000</f>
        <v>8000000</v>
      </c>
      <c r="L55" s="219"/>
      <c r="M55" s="139"/>
      <c r="N55" s="139"/>
      <c r="O55" s="139">
        <f t="shared" si="5"/>
        <v>8000000</v>
      </c>
      <c r="P55" s="141"/>
      <c r="Q55" s="139"/>
      <c r="R55" s="215"/>
    </row>
    <row r="56" spans="1:19" s="144" customFormat="1" ht="24.95" customHeight="1" x14ac:dyDescent="0.25">
      <c r="A56" s="211"/>
      <c r="B56" s="191"/>
      <c r="C56" s="452" t="s">
        <v>26</v>
      </c>
      <c r="D56" s="453"/>
      <c r="E56" s="454"/>
      <c r="F56" s="196"/>
      <c r="G56" s="195"/>
      <c r="H56" s="155"/>
      <c r="I56" s="195"/>
      <c r="J56" s="155"/>
      <c r="K56" s="219"/>
      <c r="L56" s="185">
        <v>1200000</v>
      </c>
      <c r="M56" s="139"/>
      <c r="N56" s="139"/>
      <c r="O56" s="139">
        <f t="shared" si="5"/>
        <v>1200000</v>
      </c>
      <c r="P56" s="141"/>
      <c r="Q56" s="139"/>
      <c r="R56" s="215"/>
    </row>
    <row r="57" spans="1:19" ht="20.45" customHeight="1" x14ac:dyDescent="0.25">
      <c r="A57" s="450" t="s">
        <v>20</v>
      </c>
      <c r="B57" s="450"/>
      <c r="C57" s="450"/>
      <c r="D57" s="450"/>
      <c r="E57" s="450"/>
      <c r="F57" s="450"/>
      <c r="G57" s="334">
        <f t="shared" ref="G57:P57" si="6">SUM(G8:G56)</f>
        <v>2411</v>
      </c>
      <c r="H57" s="334">
        <f t="shared" si="6"/>
        <v>38854820</v>
      </c>
      <c r="I57" s="334">
        <f t="shared" si="6"/>
        <v>0</v>
      </c>
      <c r="J57" s="334">
        <f t="shared" si="6"/>
        <v>29150000</v>
      </c>
      <c r="K57" s="334">
        <f t="shared" si="6"/>
        <v>10437000</v>
      </c>
      <c r="L57" s="334">
        <f t="shared" si="6"/>
        <v>1770000</v>
      </c>
      <c r="M57" s="334">
        <f t="shared" si="6"/>
        <v>25750000</v>
      </c>
      <c r="N57" s="334">
        <f t="shared" si="6"/>
        <v>3250000</v>
      </c>
      <c r="O57" s="334">
        <f t="shared" si="6"/>
        <v>109211820</v>
      </c>
      <c r="P57" s="335">
        <f t="shared" si="6"/>
        <v>114445454</v>
      </c>
      <c r="Q57" s="334">
        <f>P57-O57</f>
        <v>5233634</v>
      </c>
    </row>
    <row r="58" spans="1:19" ht="24.95" customHeight="1" x14ac:dyDescent="0.25">
      <c r="O58" s="158"/>
      <c r="Q58" s="158"/>
    </row>
    <row r="59" spans="1:19" ht="13.9" customHeight="1" x14ac:dyDescent="0.25">
      <c r="P59" s="216" t="s">
        <v>1603</v>
      </c>
      <c r="Q59" s="227">
        <f>'08.2021'!Q61+'09.2021'!Q57</f>
        <v>159959506.76923078</v>
      </c>
      <c r="S59" s="216"/>
    </row>
    <row r="60" spans="1:19" ht="13.9" customHeight="1" x14ac:dyDescent="0.25">
      <c r="B60" s="129"/>
      <c r="J60" s="128"/>
      <c r="K60" s="128"/>
      <c r="L60" s="128"/>
      <c r="N60" s="128"/>
      <c r="O60" s="128"/>
      <c r="P60" s="218"/>
      <c r="Q60" s="216"/>
    </row>
    <row r="61" spans="1:19" ht="13.9" customHeight="1" x14ac:dyDescent="0.25">
      <c r="B61" s="129"/>
      <c r="H61" s="128"/>
      <c r="J61" s="128"/>
      <c r="K61" s="128"/>
      <c r="L61" s="128"/>
      <c r="M61" s="128"/>
      <c r="N61" s="128"/>
      <c r="O61" s="128"/>
      <c r="P61" s="218"/>
      <c r="Q61" s="230"/>
    </row>
    <row r="62" spans="1:19" ht="13.9" customHeight="1" x14ac:dyDescent="0.25">
      <c r="B62" s="129"/>
      <c r="H62" s="128"/>
      <c r="J62" s="128"/>
      <c r="K62" s="128"/>
      <c r="L62" s="128"/>
      <c r="M62" s="128"/>
      <c r="N62" s="128"/>
      <c r="O62" s="128"/>
      <c r="P62" s="218"/>
      <c r="Q62" s="230"/>
      <c r="R62" s="143"/>
    </row>
    <row r="63" spans="1:19" ht="13.9" customHeight="1" x14ac:dyDescent="0.25">
      <c r="B63" s="129"/>
      <c r="H63" s="128"/>
      <c r="J63" s="128"/>
      <c r="K63" s="128"/>
      <c r="L63" s="128"/>
      <c r="M63" s="128"/>
      <c r="N63" s="128"/>
      <c r="O63" s="128"/>
      <c r="P63" s="218"/>
      <c r="Q63" s="216"/>
      <c r="R63" s="143"/>
    </row>
    <row r="64" spans="1:19" x14ac:dyDescent="0.25">
      <c r="B64" s="129"/>
      <c r="H64" s="128"/>
      <c r="J64" s="128"/>
      <c r="K64" s="128"/>
      <c r="L64" s="128"/>
      <c r="M64" s="128"/>
      <c r="N64" s="128"/>
      <c r="O64" s="128"/>
      <c r="P64" s="218"/>
      <c r="Q64" s="216"/>
    </row>
    <row r="65" spans="1:17" x14ac:dyDescent="0.25">
      <c r="A65" s="128"/>
      <c r="B65" s="129"/>
      <c r="H65" s="128"/>
      <c r="J65" s="128"/>
      <c r="K65" s="128"/>
      <c r="L65" s="128"/>
      <c r="M65" s="128"/>
      <c r="N65" s="128"/>
      <c r="O65" s="128"/>
      <c r="P65" s="218"/>
      <c r="Q65" s="216"/>
    </row>
    <row r="66" spans="1:17" x14ac:dyDescent="0.25">
      <c r="A66" s="128"/>
      <c r="B66" s="129"/>
      <c r="H66" s="128"/>
      <c r="J66" s="128"/>
      <c r="K66" s="128"/>
      <c r="L66" s="128"/>
      <c r="M66" s="128"/>
      <c r="N66" s="128"/>
      <c r="O66" s="128"/>
      <c r="P66" s="218"/>
      <c r="Q66" s="216"/>
    </row>
    <row r="67" spans="1:17" x14ac:dyDescent="0.25">
      <c r="A67" s="128"/>
      <c r="B67" s="128"/>
      <c r="H67" s="128"/>
      <c r="J67" s="128"/>
      <c r="K67" s="128"/>
      <c r="L67" s="128"/>
      <c r="M67" s="128"/>
      <c r="N67" s="128"/>
      <c r="O67" s="128"/>
      <c r="P67" s="128"/>
      <c r="Q67" s="216"/>
    </row>
    <row r="68" spans="1:17" x14ac:dyDescent="0.25">
      <c r="A68" s="128"/>
      <c r="B68" s="128"/>
      <c r="H68" s="128"/>
      <c r="J68" s="128"/>
      <c r="K68" s="128"/>
      <c r="L68" s="128"/>
      <c r="M68" s="128"/>
      <c r="N68" s="128"/>
      <c r="O68" s="128"/>
      <c r="P68" s="128"/>
      <c r="Q68" s="216"/>
    </row>
  </sheetData>
  <mergeCells count="37">
    <mergeCell ref="A57:F57"/>
    <mergeCell ref="C53:E53"/>
    <mergeCell ref="C54:E54"/>
    <mergeCell ref="C49:E49"/>
    <mergeCell ref="C50:E50"/>
    <mergeCell ref="C51:E51"/>
    <mergeCell ref="C52:E52"/>
    <mergeCell ref="C55:E55"/>
    <mergeCell ref="C56:E56"/>
    <mergeCell ref="C48:E48"/>
    <mergeCell ref="C36:E36"/>
    <mergeCell ref="C37:E37"/>
    <mergeCell ref="C38:E38"/>
    <mergeCell ref="C39:E39"/>
    <mergeCell ref="C40:E40"/>
    <mergeCell ref="C41:E41"/>
    <mergeCell ref="C42:E42"/>
    <mergeCell ref="C43:E43"/>
    <mergeCell ref="C44:E44"/>
    <mergeCell ref="C45:E45"/>
    <mergeCell ref="C47:E47"/>
    <mergeCell ref="C35:E35"/>
    <mergeCell ref="A1:Q1"/>
    <mergeCell ref="A2:Q2"/>
    <mergeCell ref="B3:Q3"/>
    <mergeCell ref="A5:A6"/>
    <mergeCell ref="B5:B6"/>
    <mergeCell ref="C5:C6"/>
    <mergeCell ref="D5:D6"/>
    <mergeCell ref="E5:E6"/>
    <mergeCell ref="F5:F6"/>
    <mergeCell ref="G5:N5"/>
    <mergeCell ref="O5:O6"/>
    <mergeCell ref="P5:P6"/>
    <mergeCell ref="Q5:Q6"/>
    <mergeCell ref="C33:F33"/>
    <mergeCell ref="C34:E34"/>
  </mergeCells>
  <pageMargins left="0.7" right="0.7" top="0.75" bottom="0.75" header="0.3" footer="0.3"/>
  <pageSetup paperSize="9" orientation="portrait" horizontalDpi="0" verticalDpi="0" r:id="rId1"/>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8325-7FFF-493F-8BF1-ADC66D6CCA3B}">
  <dimension ref="A1:S64"/>
  <sheetViews>
    <sheetView topLeftCell="A31" workbookViewId="0">
      <selection activeCell="Q56" sqref="Q5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3990</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44469</v>
      </c>
      <c r="C8" s="134" t="s">
        <v>668</v>
      </c>
      <c r="D8" s="211" t="s">
        <v>4007</v>
      </c>
      <c r="E8" s="136" t="s">
        <v>2059</v>
      </c>
      <c r="F8" s="134"/>
      <c r="G8" s="134">
        <v>145</v>
      </c>
      <c r="H8" s="139">
        <f>G8*16580</f>
        <v>2404100</v>
      </c>
      <c r="I8" s="134"/>
      <c r="J8" s="226">
        <v>1400000</v>
      </c>
      <c r="K8" s="139"/>
      <c r="L8" s="263"/>
      <c r="M8" s="139"/>
      <c r="N8" s="139"/>
      <c r="O8" s="139">
        <f>SUM(H8:N8)</f>
        <v>3804100</v>
      </c>
      <c r="P8" s="139">
        <v>6054545</v>
      </c>
      <c r="Q8" s="139">
        <f>P8-O8</f>
        <v>2250445</v>
      </c>
      <c r="R8" s="143"/>
    </row>
    <row r="9" spans="1:18" ht="20.45" customHeight="1" x14ac:dyDescent="0.25">
      <c r="A9" s="211">
        <v>2</v>
      </c>
      <c r="B9" s="328">
        <v>44470</v>
      </c>
      <c r="C9" s="134" t="s">
        <v>3350</v>
      </c>
      <c r="D9" s="211" t="s">
        <v>4008</v>
      </c>
      <c r="E9" s="136" t="s">
        <v>508</v>
      </c>
      <c r="F9" s="134"/>
      <c r="G9" s="134">
        <v>83</v>
      </c>
      <c r="H9" s="139">
        <f t="shared" ref="H9:H16" si="0">G9*16580</f>
        <v>1376140</v>
      </c>
      <c r="I9" s="134"/>
      <c r="J9" s="226">
        <v>1150000</v>
      </c>
      <c r="K9" s="139"/>
      <c r="L9" s="263"/>
      <c r="M9" s="139"/>
      <c r="N9" s="139"/>
      <c r="O9" s="139">
        <f>SUM(H9:N9)</f>
        <v>2526140</v>
      </c>
      <c r="P9" s="139">
        <v>3809091</v>
      </c>
      <c r="Q9" s="139">
        <f t="shared" ref="Q9:Q34" si="1">P9-O9</f>
        <v>1282951</v>
      </c>
      <c r="R9" s="143"/>
    </row>
    <row r="10" spans="1:18" ht="20.45" customHeight="1" x14ac:dyDescent="0.25">
      <c r="A10" s="211">
        <v>3</v>
      </c>
      <c r="B10" s="328">
        <v>44472</v>
      </c>
      <c r="C10" s="134" t="s">
        <v>3991</v>
      </c>
      <c r="D10" s="211" t="s">
        <v>4009</v>
      </c>
      <c r="E10" s="136" t="s">
        <v>1219</v>
      </c>
      <c r="F10" s="134"/>
      <c r="G10" s="134">
        <v>62</v>
      </c>
      <c r="H10" s="139">
        <f t="shared" si="0"/>
        <v>1027960</v>
      </c>
      <c r="I10" s="134"/>
      <c r="J10" s="226">
        <v>790000</v>
      </c>
      <c r="K10" s="139"/>
      <c r="L10" s="263"/>
      <c r="M10" s="139"/>
      <c r="N10" s="139"/>
      <c r="O10" s="139">
        <f t="shared" ref="O10:O34" si="2">SUM(H10:N10)</f>
        <v>1817960</v>
      </c>
      <c r="P10" s="139">
        <v>3100000</v>
      </c>
      <c r="Q10" s="139">
        <f t="shared" si="1"/>
        <v>1282040</v>
      </c>
      <c r="R10" s="143"/>
    </row>
    <row r="11" spans="1:18" ht="20.45" customHeight="1" x14ac:dyDescent="0.25">
      <c r="A11" s="211">
        <v>4</v>
      </c>
      <c r="B11" s="328">
        <v>44474</v>
      </c>
      <c r="C11" s="134" t="s">
        <v>1344</v>
      </c>
      <c r="D11" s="211" t="s">
        <v>4010</v>
      </c>
      <c r="E11" s="136" t="s">
        <v>4032</v>
      </c>
      <c r="F11" s="134"/>
      <c r="G11" s="134">
        <v>211</v>
      </c>
      <c r="H11" s="139">
        <f t="shared" si="0"/>
        <v>3498380</v>
      </c>
      <c r="I11" s="134"/>
      <c r="J11" s="226">
        <v>2090000</v>
      </c>
      <c r="K11" s="139"/>
      <c r="L11" s="263"/>
      <c r="M11" s="139"/>
      <c r="N11" s="139"/>
      <c r="O11" s="139">
        <f t="shared" si="2"/>
        <v>5588380</v>
      </c>
      <c r="P11" s="139">
        <v>11363636</v>
      </c>
      <c r="Q11" s="139">
        <f t="shared" si="1"/>
        <v>5775256</v>
      </c>
      <c r="R11" s="143"/>
    </row>
    <row r="12" spans="1:18" ht="20.45" customHeight="1" x14ac:dyDescent="0.25">
      <c r="A12" s="211">
        <v>5</v>
      </c>
      <c r="B12" s="328">
        <v>44475</v>
      </c>
      <c r="C12" s="134" t="s">
        <v>3992</v>
      </c>
      <c r="D12" s="211" t="s">
        <v>4011</v>
      </c>
      <c r="E12" s="136" t="s">
        <v>3900</v>
      </c>
      <c r="F12" s="134"/>
      <c r="G12" s="134">
        <v>66</v>
      </c>
      <c r="H12" s="139">
        <f t="shared" si="0"/>
        <v>1094280</v>
      </c>
      <c r="I12" s="134"/>
      <c r="J12" s="226">
        <v>790000</v>
      </c>
      <c r="K12" s="139"/>
      <c r="L12" s="263"/>
      <c r="M12" s="139"/>
      <c r="N12" s="139"/>
      <c r="O12" s="139">
        <f t="shared" si="2"/>
        <v>1884280</v>
      </c>
      <c r="P12" s="139">
        <v>3000000</v>
      </c>
      <c r="Q12" s="139">
        <f t="shared" si="1"/>
        <v>1115720</v>
      </c>
      <c r="R12" s="143"/>
    </row>
    <row r="13" spans="1:18" ht="20.45" customHeight="1" x14ac:dyDescent="0.25">
      <c r="A13" s="211">
        <v>6</v>
      </c>
      <c r="B13" s="328">
        <v>44476</v>
      </c>
      <c r="C13" s="134" t="s">
        <v>3993</v>
      </c>
      <c r="D13" s="211" t="s">
        <v>4012</v>
      </c>
      <c r="E13" s="136" t="s">
        <v>4033</v>
      </c>
      <c r="F13" s="134"/>
      <c r="G13" s="134"/>
      <c r="H13" s="139">
        <f t="shared" si="0"/>
        <v>0</v>
      </c>
      <c r="I13" s="134"/>
      <c r="J13" s="139"/>
      <c r="K13" s="139"/>
      <c r="L13" s="263"/>
      <c r="M13" s="139"/>
      <c r="N13" s="139"/>
      <c r="O13" s="139">
        <f t="shared" si="2"/>
        <v>0</v>
      </c>
      <c r="P13" s="139">
        <v>600000</v>
      </c>
      <c r="Q13" s="139">
        <f t="shared" si="1"/>
        <v>600000</v>
      </c>
      <c r="R13" s="143"/>
    </row>
    <row r="14" spans="1:18" ht="20.45" customHeight="1" x14ac:dyDescent="0.25">
      <c r="A14" s="211">
        <v>7</v>
      </c>
      <c r="B14" s="328">
        <v>44476</v>
      </c>
      <c r="C14" s="134" t="s">
        <v>3993</v>
      </c>
      <c r="D14" s="211" t="s">
        <v>4013</v>
      </c>
      <c r="E14" s="136" t="s">
        <v>4033</v>
      </c>
      <c r="F14" s="134"/>
      <c r="G14" s="134"/>
      <c r="H14" s="139">
        <f t="shared" si="0"/>
        <v>0</v>
      </c>
      <c r="I14" s="134"/>
      <c r="J14" s="139"/>
      <c r="K14" s="139"/>
      <c r="L14" s="263"/>
      <c r="M14" s="139"/>
      <c r="N14" s="139"/>
      <c r="O14" s="139">
        <f t="shared" si="2"/>
        <v>0</v>
      </c>
      <c r="P14" s="139">
        <v>0</v>
      </c>
      <c r="Q14" s="139">
        <f t="shared" si="1"/>
        <v>0</v>
      </c>
      <c r="R14" s="143"/>
    </row>
    <row r="15" spans="1:18" ht="20.45" customHeight="1" x14ac:dyDescent="0.25">
      <c r="A15" s="211">
        <v>8</v>
      </c>
      <c r="B15" s="328">
        <v>44476</v>
      </c>
      <c r="C15" s="134" t="s">
        <v>2012</v>
      </c>
      <c r="D15" s="211" t="s">
        <v>4014</v>
      </c>
      <c r="E15" s="136" t="s">
        <v>2059</v>
      </c>
      <c r="F15" s="134"/>
      <c r="G15" s="134">
        <v>145</v>
      </c>
      <c r="H15" s="139">
        <f t="shared" si="0"/>
        <v>2404100</v>
      </c>
      <c r="I15" s="134"/>
      <c r="J15" s="226">
        <v>1400000</v>
      </c>
      <c r="K15" s="139"/>
      <c r="L15" s="263"/>
      <c r="M15" s="139"/>
      <c r="N15" s="139"/>
      <c r="O15" s="139">
        <f t="shared" si="2"/>
        <v>3804100</v>
      </c>
      <c r="P15" s="139">
        <v>6054545</v>
      </c>
      <c r="Q15" s="139">
        <f t="shared" si="1"/>
        <v>2250445</v>
      </c>
      <c r="R15" s="143"/>
    </row>
    <row r="16" spans="1:18" ht="20.45" customHeight="1" x14ac:dyDescent="0.25">
      <c r="A16" s="211">
        <v>9</v>
      </c>
      <c r="B16" s="328">
        <v>44477</v>
      </c>
      <c r="C16" s="134" t="s">
        <v>3994</v>
      </c>
      <c r="D16" s="211" t="s">
        <v>4012</v>
      </c>
      <c r="E16" s="136" t="s">
        <v>25</v>
      </c>
      <c r="F16" s="134"/>
      <c r="G16" s="134">
        <v>180</v>
      </c>
      <c r="H16" s="139">
        <f t="shared" si="0"/>
        <v>2984400</v>
      </c>
      <c r="I16" s="134"/>
      <c r="J16" s="226">
        <v>1890000</v>
      </c>
      <c r="K16" s="139"/>
      <c r="L16" s="263"/>
      <c r="M16" s="139"/>
      <c r="N16" s="139"/>
      <c r="O16" s="139">
        <f t="shared" si="2"/>
        <v>4874400</v>
      </c>
      <c r="P16" s="139">
        <v>8572727</v>
      </c>
      <c r="Q16" s="139">
        <f t="shared" si="1"/>
        <v>3698327</v>
      </c>
      <c r="R16" s="143"/>
    </row>
    <row r="17" spans="1:18" ht="20.45" customHeight="1" x14ac:dyDescent="0.25">
      <c r="A17" s="211">
        <v>10</v>
      </c>
      <c r="B17" s="328">
        <v>44477</v>
      </c>
      <c r="C17" s="134" t="s">
        <v>3994</v>
      </c>
      <c r="D17" s="211" t="s">
        <v>4013</v>
      </c>
      <c r="E17" s="136" t="s">
        <v>25</v>
      </c>
      <c r="F17" s="134"/>
      <c r="G17" s="134"/>
      <c r="H17" s="139"/>
      <c r="I17" s="134"/>
      <c r="J17" s="226">
        <v>300000</v>
      </c>
      <c r="K17" s="139"/>
      <c r="L17" s="263"/>
      <c r="M17" s="139"/>
      <c r="N17" s="139"/>
      <c r="O17" s="139">
        <f t="shared" si="2"/>
        <v>300000</v>
      </c>
      <c r="P17" s="139">
        <v>0</v>
      </c>
      <c r="Q17" s="139">
        <f t="shared" si="1"/>
        <v>-300000</v>
      </c>
      <c r="R17" s="143"/>
    </row>
    <row r="18" spans="1:18" ht="20.45" customHeight="1" x14ac:dyDescent="0.25">
      <c r="A18" s="211">
        <v>11</v>
      </c>
      <c r="B18" s="328">
        <v>44480</v>
      </c>
      <c r="C18" s="134" t="s">
        <v>2015</v>
      </c>
      <c r="D18" s="211" t="s">
        <v>4015</v>
      </c>
      <c r="E18" s="136" t="s">
        <v>4034</v>
      </c>
      <c r="F18" s="134"/>
      <c r="G18" s="134">
        <v>118</v>
      </c>
      <c r="H18" s="139">
        <f>G18*17540</f>
        <v>2069720</v>
      </c>
      <c r="I18" s="134"/>
      <c r="J18" s="226">
        <v>1150000</v>
      </c>
      <c r="K18" s="139"/>
      <c r="L18" s="263"/>
      <c r="M18" s="139"/>
      <c r="N18" s="139"/>
      <c r="O18" s="139">
        <f t="shared" si="2"/>
        <v>3219720</v>
      </c>
      <c r="P18" s="139">
        <v>5500000</v>
      </c>
      <c r="Q18" s="139">
        <f t="shared" si="1"/>
        <v>2280280</v>
      </c>
      <c r="R18" s="143"/>
    </row>
    <row r="19" spans="1:18" ht="20.45" customHeight="1" x14ac:dyDescent="0.25">
      <c r="A19" s="211">
        <v>12</v>
      </c>
      <c r="B19" s="328">
        <v>44480</v>
      </c>
      <c r="C19" s="134" t="s">
        <v>2016</v>
      </c>
      <c r="D19" s="211" t="s">
        <v>4016</v>
      </c>
      <c r="E19" s="136" t="s">
        <v>23</v>
      </c>
      <c r="F19" s="134"/>
      <c r="G19" s="134">
        <v>240</v>
      </c>
      <c r="H19" s="139">
        <f t="shared" ref="H19:H30" si="3">G19*17540</f>
        <v>4209600</v>
      </c>
      <c r="I19" s="134"/>
      <c r="J19" s="226">
        <v>2740000</v>
      </c>
      <c r="K19" s="139"/>
      <c r="L19" s="263"/>
      <c r="M19" s="139"/>
      <c r="N19" s="139"/>
      <c r="O19" s="139">
        <f t="shared" si="2"/>
        <v>6949600</v>
      </c>
      <c r="P19" s="139">
        <v>12118182</v>
      </c>
      <c r="Q19" s="139">
        <f t="shared" si="1"/>
        <v>5168582</v>
      </c>
      <c r="R19" s="143"/>
    </row>
    <row r="20" spans="1:18" ht="20.45" customHeight="1" x14ac:dyDescent="0.25">
      <c r="A20" s="211">
        <v>13</v>
      </c>
      <c r="B20" s="328">
        <v>44482</v>
      </c>
      <c r="C20" s="134" t="s">
        <v>3995</v>
      </c>
      <c r="D20" s="211" t="s">
        <v>4017</v>
      </c>
      <c r="E20" s="136" t="s">
        <v>721</v>
      </c>
      <c r="F20" s="134"/>
      <c r="G20" s="134">
        <v>88</v>
      </c>
      <c r="H20" s="139">
        <f t="shared" si="3"/>
        <v>1543520</v>
      </c>
      <c r="I20" s="134"/>
      <c r="J20" s="226">
        <v>1150000</v>
      </c>
      <c r="K20" s="139"/>
      <c r="L20" s="263"/>
      <c r="M20" s="139"/>
      <c r="N20" s="139"/>
      <c r="O20" s="139">
        <f t="shared" si="2"/>
        <v>2693520</v>
      </c>
      <c r="P20" s="139">
        <v>4000000</v>
      </c>
      <c r="Q20" s="139">
        <f t="shared" si="1"/>
        <v>1306480</v>
      </c>
      <c r="R20" s="143"/>
    </row>
    <row r="21" spans="1:18" ht="20.45" customHeight="1" x14ac:dyDescent="0.25">
      <c r="A21" s="211">
        <v>14</v>
      </c>
      <c r="B21" s="328">
        <v>44483</v>
      </c>
      <c r="C21" s="134" t="s">
        <v>3996</v>
      </c>
      <c r="D21" s="211" t="s">
        <v>4018</v>
      </c>
      <c r="E21" s="136" t="s">
        <v>4035</v>
      </c>
      <c r="F21" s="134"/>
      <c r="G21" s="134">
        <v>103</v>
      </c>
      <c r="H21" s="139">
        <f t="shared" si="3"/>
        <v>1806620</v>
      </c>
      <c r="I21" s="134"/>
      <c r="J21" s="226">
        <v>1150000</v>
      </c>
      <c r="K21" s="139"/>
      <c r="L21" s="263"/>
      <c r="M21" s="139"/>
      <c r="N21" s="139"/>
      <c r="O21" s="139">
        <f t="shared" si="2"/>
        <v>2956620</v>
      </c>
      <c r="P21" s="139">
        <v>4559091</v>
      </c>
      <c r="Q21" s="139">
        <f t="shared" si="1"/>
        <v>1602471</v>
      </c>
      <c r="R21" s="143"/>
    </row>
    <row r="22" spans="1:18" ht="20.45" customHeight="1" x14ac:dyDescent="0.25">
      <c r="A22" s="211">
        <v>15</v>
      </c>
      <c r="B22" s="328">
        <v>44483</v>
      </c>
      <c r="C22" s="134" t="s">
        <v>3997</v>
      </c>
      <c r="D22" s="211" t="s">
        <v>4019</v>
      </c>
      <c r="E22" s="136" t="s">
        <v>25</v>
      </c>
      <c r="F22" s="134"/>
      <c r="G22" s="134">
        <v>180</v>
      </c>
      <c r="H22" s="139">
        <f t="shared" si="3"/>
        <v>3157200</v>
      </c>
      <c r="I22" s="134"/>
      <c r="J22" s="226">
        <v>1890000</v>
      </c>
      <c r="K22" s="139"/>
      <c r="L22" s="263"/>
      <c r="M22" s="139"/>
      <c r="N22" s="139"/>
      <c r="O22" s="139">
        <f t="shared" si="2"/>
        <v>5047200</v>
      </c>
      <c r="P22" s="139">
        <v>7663636</v>
      </c>
      <c r="Q22" s="139">
        <f t="shared" si="1"/>
        <v>2616436</v>
      </c>
      <c r="R22" s="143"/>
    </row>
    <row r="23" spans="1:18" ht="25.5" customHeight="1" x14ac:dyDescent="0.25">
      <c r="A23" s="211">
        <v>16</v>
      </c>
      <c r="B23" s="328">
        <v>44484</v>
      </c>
      <c r="C23" s="134" t="s">
        <v>3358</v>
      </c>
      <c r="D23" s="211" t="s">
        <v>4020</v>
      </c>
      <c r="E23" s="136" t="s">
        <v>4036</v>
      </c>
      <c r="F23" s="134"/>
      <c r="G23" s="134">
        <v>92</v>
      </c>
      <c r="H23" s="139">
        <f t="shared" si="3"/>
        <v>1613680</v>
      </c>
      <c r="I23" s="134"/>
      <c r="J23" s="226">
        <v>1150000</v>
      </c>
      <c r="K23" s="139"/>
      <c r="L23" s="263"/>
      <c r="M23" s="139"/>
      <c r="N23" s="139"/>
      <c r="O23" s="139">
        <f t="shared" si="2"/>
        <v>2763680</v>
      </c>
      <c r="P23" s="139">
        <v>4000000</v>
      </c>
      <c r="Q23" s="139">
        <f t="shared" si="1"/>
        <v>1236320</v>
      </c>
      <c r="R23" s="143"/>
    </row>
    <row r="24" spans="1:18" ht="20.45" customHeight="1" x14ac:dyDescent="0.25">
      <c r="A24" s="211">
        <v>17</v>
      </c>
      <c r="B24" s="328">
        <v>44487</v>
      </c>
      <c r="C24" s="134" t="s">
        <v>3998</v>
      </c>
      <c r="D24" s="211" t="s">
        <v>4021</v>
      </c>
      <c r="E24" s="136" t="s">
        <v>25</v>
      </c>
      <c r="F24" s="134"/>
      <c r="G24" s="134">
        <v>180</v>
      </c>
      <c r="H24" s="139">
        <f t="shared" si="3"/>
        <v>3157200</v>
      </c>
      <c r="I24" s="134"/>
      <c r="J24" s="226">
        <v>1890000</v>
      </c>
      <c r="K24" s="139"/>
      <c r="L24" s="263"/>
      <c r="M24" s="139"/>
      <c r="N24" s="139"/>
      <c r="O24" s="139">
        <f t="shared" si="2"/>
        <v>5047200</v>
      </c>
      <c r="P24" s="139">
        <v>7390909</v>
      </c>
      <c r="Q24" s="139">
        <f t="shared" si="1"/>
        <v>2343709</v>
      </c>
      <c r="R24" s="143"/>
    </row>
    <row r="25" spans="1:18" ht="20.45" customHeight="1" x14ac:dyDescent="0.25">
      <c r="A25" s="211">
        <v>18</v>
      </c>
      <c r="B25" s="328">
        <v>44487</v>
      </c>
      <c r="C25" s="134" t="s">
        <v>3999</v>
      </c>
      <c r="D25" s="211" t="s">
        <v>4022</v>
      </c>
      <c r="E25" s="136" t="s">
        <v>291</v>
      </c>
      <c r="F25" s="134"/>
      <c r="G25" s="134">
        <v>80</v>
      </c>
      <c r="H25" s="139">
        <f t="shared" si="3"/>
        <v>1403200</v>
      </c>
      <c r="I25" s="134"/>
      <c r="J25" s="226">
        <v>1150000</v>
      </c>
      <c r="K25" s="139"/>
      <c r="L25" s="263"/>
      <c r="M25" s="139"/>
      <c r="N25" s="139"/>
      <c r="O25" s="139">
        <f t="shared" si="2"/>
        <v>2553200</v>
      </c>
      <c r="P25" s="139">
        <v>3500000</v>
      </c>
      <c r="Q25" s="139">
        <f t="shared" si="1"/>
        <v>946800</v>
      </c>
      <c r="R25" s="143"/>
    </row>
    <row r="26" spans="1:18" ht="20.45" customHeight="1" x14ac:dyDescent="0.25">
      <c r="A26" s="211">
        <v>19</v>
      </c>
      <c r="B26" s="328">
        <v>44488</v>
      </c>
      <c r="C26" s="134" t="s">
        <v>4000</v>
      </c>
      <c r="D26" s="211" t="s">
        <v>4023</v>
      </c>
      <c r="E26" s="136" t="s">
        <v>4034</v>
      </c>
      <c r="F26" s="134"/>
      <c r="G26" s="134">
        <v>120</v>
      </c>
      <c r="H26" s="139">
        <f t="shared" si="3"/>
        <v>2104800</v>
      </c>
      <c r="I26" s="134"/>
      <c r="J26" s="226">
        <v>1150000</v>
      </c>
      <c r="K26" s="139"/>
      <c r="L26" s="263"/>
      <c r="M26" s="139"/>
      <c r="N26" s="139"/>
      <c r="O26" s="139">
        <f t="shared" si="2"/>
        <v>3254800</v>
      </c>
      <c r="P26" s="139">
        <v>5600000</v>
      </c>
      <c r="Q26" s="139">
        <f t="shared" si="1"/>
        <v>2345200</v>
      </c>
      <c r="R26" s="143"/>
    </row>
    <row r="27" spans="1:18" ht="20.45" customHeight="1" x14ac:dyDescent="0.25">
      <c r="A27" s="211">
        <v>20</v>
      </c>
      <c r="B27" s="328">
        <v>44489</v>
      </c>
      <c r="C27" s="134" t="s">
        <v>3361</v>
      </c>
      <c r="D27" s="211" t="s">
        <v>4024</v>
      </c>
      <c r="E27" s="136" t="s">
        <v>279</v>
      </c>
      <c r="F27" s="134"/>
      <c r="G27" s="134">
        <v>180</v>
      </c>
      <c r="H27" s="139">
        <f t="shared" si="3"/>
        <v>3157200</v>
      </c>
      <c r="I27" s="134"/>
      <c r="J27" s="226">
        <v>1890000</v>
      </c>
      <c r="K27" s="139"/>
      <c r="L27" s="263"/>
      <c r="M27" s="139"/>
      <c r="N27" s="139"/>
      <c r="O27" s="139">
        <f t="shared" si="2"/>
        <v>5047200</v>
      </c>
      <c r="P27" s="139">
        <v>9727273</v>
      </c>
      <c r="Q27" s="139">
        <f t="shared" si="1"/>
        <v>4680073</v>
      </c>
      <c r="R27" s="143"/>
    </row>
    <row r="28" spans="1:18" ht="20.45" customHeight="1" x14ac:dyDescent="0.25">
      <c r="A28" s="211">
        <v>21</v>
      </c>
      <c r="B28" s="328">
        <v>44490</v>
      </c>
      <c r="C28" s="134" t="s">
        <v>4001</v>
      </c>
      <c r="D28" s="211" t="s">
        <v>4025</v>
      </c>
      <c r="E28" s="136" t="s">
        <v>2988</v>
      </c>
      <c r="F28" s="134"/>
      <c r="G28" s="134">
        <v>71</v>
      </c>
      <c r="H28" s="139">
        <f t="shared" si="3"/>
        <v>1245340</v>
      </c>
      <c r="I28" s="134"/>
      <c r="J28" s="226">
        <v>1150000</v>
      </c>
      <c r="K28" s="139"/>
      <c r="L28" s="263"/>
      <c r="M28" s="139"/>
      <c r="N28" s="139"/>
      <c r="O28" s="139">
        <f t="shared" si="2"/>
        <v>2395340</v>
      </c>
      <c r="P28" s="139">
        <v>3700000</v>
      </c>
      <c r="Q28" s="139">
        <f t="shared" si="1"/>
        <v>1304660</v>
      </c>
      <c r="R28" s="143"/>
    </row>
    <row r="29" spans="1:18" ht="20.45" customHeight="1" x14ac:dyDescent="0.25">
      <c r="A29" s="211">
        <v>22</v>
      </c>
      <c r="B29" s="328">
        <v>44491</v>
      </c>
      <c r="C29" s="134" t="s">
        <v>4002</v>
      </c>
      <c r="D29" s="211" t="s">
        <v>4026</v>
      </c>
      <c r="E29" s="136" t="s">
        <v>2883</v>
      </c>
      <c r="F29" s="134"/>
      <c r="G29" s="214">
        <v>62</v>
      </c>
      <c r="H29" s="208">
        <f t="shared" si="3"/>
        <v>1087480</v>
      </c>
      <c r="I29" s="134"/>
      <c r="J29" s="226">
        <v>790000</v>
      </c>
      <c r="K29" s="139"/>
      <c r="L29" s="263"/>
      <c r="M29" s="139"/>
      <c r="N29" s="139"/>
      <c r="O29" s="139">
        <f t="shared" si="2"/>
        <v>1877480</v>
      </c>
      <c r="P29" s="139">
        <v>3090909</v>
      </c>
      <c r="Q29" s="139">
        <f t="shared" si="1"/>
        <v>1213429</v>
      </c>
      <c r="R29" s="143"/>
    </row>
    <row r="30" spans="1:18" ht="20.45" customHeight="1" x14ac:dyDescent="0.25">
      <c r="A30" s="211">
        <v>23</v>
      </c>
      <c r="B30" s="328">
        <v>44494</v>
      </c>
      <c r="C30" s="134" t="s">
        <v>4003</v>
      </c>
      <c r="D30" s="211" t="s">
        <v>4027</v>
      </c>
      <c r="E30" s="136" t="s">
        <v>25</v>
      </c>
      <c r="F30" s="134"/>
      <c r="G30" s="134">
        <v>180</v>
      </c>
      <c r="H30" s="139">
        <f t="shared" si="3"/>
        <v>3157200</v>
      </c>
      <c r="I30" s="134"/>
      <c r="J30" s="226">
        <v>1890000</v>
      </c>
      <c r="K30" s="139"/>
      <c r="L30" s="263"/>
      <c r="M30" s="139"/>
      <c r="N30" s="139"/>
      <c r="O30" s="139">
        <f t="shared" si="2"/>
        <v>5047200</v>
      </c>
      <c r="P30" s="139">
        <v>7663636</v>
      </c>
      <c r="Q30" s="139">
        <f t="shared" si="1"/>
        <v>2616436</v>
      </c>
      <c r="R30" s="143"/>
    </row>
    <row r="31" spans="1:18" ht="25.5" customHeight="1" x14ac:dyDescent="0.25">
      <c r="A31" s="211">
        <v>24</v>
      </c>
      <c r="B31" s="328">
        <v>44494</v>
      </c>
      <c r="C31" s="134" t="s">
        <v>4004</v>
      </c>
      <c r="D31" s="211" t="s">
        <v>4028</v>
      </c>
      <c r="E31" s="136" t="s">
        <v>4034</v>
      </c>
      <c r="F31" s="134"/>
      <c r="G31" s="134">
        <v>120</v>
      </c>
      <c r="H31" s="139">
        <f>G31*18710</f>
        <v>2245200</v>
      </c>
      <c r="I31" s="134"/>
      <c r="J31" s="226">
        <v>1150000</v>
      </c>
      <c r="K31" s="139"/>
      <c r="L31" s="263"/>
      <c r="M31" s="139"/>
      <c r="N31" s="139"/>
      <c r="O31" s="139">
        <f t="shared" si="2"/>
        <v>3395200</v>
      </c>
      <c r="P31" s="139">
        <v>5600000</v>
      </c>
      <c r="Q31" s="139">
        <f t="shared" si="1"/>
        <v>2204800</v>
      </c>
      <c r="R31" s="143"/>
    </row>
    <row r="32" spans="1:18" ht="20.45" customHeight="1" x14ac:dyDescent="0.25">
      <c r="A32" s="211">
        <v>25</v>
      </c>
      <c r="B32" s="328">
        <v>44495</v>
      </c>
      <c r="C32" s="134" t="s">
        <v>2029</v>
      </c>
      <c r="D32" s="211" t="s">
        <v>4029</v>
      </c>
      <c r="E32" s="136" t="s">
        <v>4034</v>
      </c>
      <c r="F32" s="134"/>
      <c r="G32" s="134">
        <v>120</v>
      </c>
      <c r="H32" s="139">
        <f t="shared" ref="H32:H34" si="4">G32*18710</f>
        <v>2245200</v>
      </c>
      <c r="I32" s="134"/>
      <c r="J32" s="226">
        <v>1150000</v>
      </c>
      <c r="K32" s="139"/>
      <c r="L32" s="263"/>
      <c r="M32" s="139"/>
      <c r="N32" s="139"/>
      <c r="O32" s="139">
        <f t="shared" si="2"/>
        <v>3395200</v>
      </c>
      <c r="P32" s="139">
        <v>5736364</v>
      </c>
      <c r="Q32" s="139">
        <f t="shared" si="1"/>
        <v>2341164</v>
      </c>
      <c r="R32" s="143"/>
    </row>
    <row r="33" spans="1:18" ht="20.45" customHeight="1" x14ac:dyDescent="0.25">
      <c r="A33" s="211">
        <v>26</v>
      </c>
      <c r="B33" s="328">
        <v>44496</v>
      </c>
      <c r="C33" s="134" t="s">
        <v>4005</v>
      </c>
      <c r="D33" s="211" t="s">
        <v>4030</v>
      </c>
      <c r="E33" s="136" t="s">
        <v>4034</v>
      </c>
      <c r="F33" s="134"/>
      <c r="G33" s="134">
        <v>120</v>
      </c>
      <c r="H33" s="139">
        <f t="shared" si="4"/>
        <v>2245200</v>
      </c>
      <c r="I33" s="134"/>
      <c r="J33" s="226">
        <v>1150000</v>
      </c>
      <c r="K33" s="139"/>
      <c r="L33" s="263"/>
      <c r="M33" s="139"/>
      <c r="N33" s="139"/>
      <c r="O33" s="139">
        <f t="shared" si="2"/>
        <v>3395200</v>
      </c>
      <c r="P33" s="139">
        <v>5736364</v>
      </c>
      <c r="Q33" s="139">
        <f t="shared" si="1"/>
        <v>2341164</v>
      </c>
      <c r="R33" s="143"/>
    </row>
    <row r="34" spans="1:18" ht="20.45" customHeight="1" x14ac:dyDescent="0.25">
      <c r="A34" s="211">
        <v>27</v>
      </c>
      <c r="B34" s="328">
        <v>44497</v>
      </c>
      <c r="C34" s="134" t="s">
        <v>4006</v>
      </c>
      <c r="D34" s="211" t="s">
        <v>4031</v>
      </c>
      <c r="E34" s="136" t="s">
        <v>4037</v>
      </c>
      <c r="F34" s="134"/>
      <c r="G34" s="134">
        <v>62</v>
      </c>
      <c r="H34" s="139">
        <f t="shared" si="4"/>
        <v>1160020</v>
      </c>
      <c r="I34" s="134"/>
      <c r="J34" s="226">
        <v>790000</v>
      </c>
      <c r="K34" s="139"/>
      <c r="L34" s="263"/>
      <c r="M34" s="139"/>
      <c r="N34" s="139"/>
      <c r="O34" s="139">
        <f t="shared" si="2"/>
        <v>1950020</v>
      </c>
      <c r="P34" s="139">
        <v>2881818</v>
      </c>
      <c r="Q34" s="139">
        <f t="shared" si="1"/>
        <v>931798</v>
      </c>
      <c r="R34" s="143"/>
    </row>
    <row r="35" spans="1:18" ht="20.45" customHeight="1" x14ac:dyDescent="0.25">
      <c r="A35" s="211"/>
      <c r="B35" s="328"/>
      <c r="C35" s="134"/>
      <c r="D35" s="211"/>
      <c r="E35" s="136"/>
      <c r="F35" s="134"/>
      <c r="G35" s="134"/>
      <c r="H35" s="139"/>
      <c r="I35" s="134"/>
      <c r="J35" s="139"/>
      <c r="K35" s="139"/>
      <c r="L35" s="263"/>
      <c r="M35" s="139"/>
      <c r="N35" s="139"/>
      <c r="O35" s="139"/>
      <c r="P35" s="139"/>
      <c r="Q35" s="139"/>
      <c r="R35" s="143"/>
    </row>
    <row r="36" spans="1:18" ht="20.45" customHeight="1" x14ac:dyDescent="0.25">
      <c r="A36" s="211"/>
      <c r="B36" s="337"/>
      <c r="C36" s="449"/>
      <c r="D36" s="449"/>
      <c r="E36" s="449"/>
      <c r="F36" s="449"/>
      <c r="G36" s="195"/>
      <c r="H36" s="155"/>
      <c r="I36" s="195"/>
      <c r="J36" s="155"/>
      <c r="K36" s="219"/>
      <c r="L36" s="219"/>
      <c r="M36" s="139"/>
      <c r="N36" s="139"/>
      <c r="O36" s="139">
        <f>SUM(H36:N36)</f>
        <v>0</v>
      </c>
      <c r="P36" s="139"/>
      <c r="Q36" s="139"/>
      <c r="R36" s="143"/>
    </row>
    <row r="37" spans="1:18" ht="24.95" customHeight="1" x14ac:dyDescent="0.25">
      <c r="A37" s="211"/>
      <c r="B37" s="337"/>
      <c r="C37" s="440" t="s">
        <v>4038</v>
      </c>
      <c r="D37" s="441"/>
      <c r="E37" s="442"/>
      <c r="F37" s="196"/>
      <c r="G37" s="195"/>
      <c r="H37" s="155"/>
      <c r="I37" s="195"/>
      <c r="J37" s="155"/>
      <c r="K37" s="219"/>
      <c r="L37" s="185">
        <v>2000000</v>
      </c>
      <c r="M37" s="139"/>
      <c r="N37" s="139"/>
      <c r="O37" s="139">
        <f>SUM(H37:N37)</f>
        <v>2000000</v>
      </c>
      <c r="P37" s="139"/>
      <c r="Q37" s="139"/>
      <c r="R37" s="143"/>
    </row>
    <row r="38" spans="1:18" ht="24.95" customHeight="1" x14ac:dyDescent="0.25">
      <c r="A38" s="211"/>
      <c r="B38" s="337"/>
      <c r="C38" s="440" t="s">
        <v>3968</v>
      </c>
      <c r="D38" s="441"/>
      <c r="E38" s="442"/>
      <c r="F38" s="196"/>
      <c r="G38" s="195"/>
      <c r="H38" s="155"/>
      <c r="I38" s="195"/>
      <c r="J38" s="155"/>
      <c r="K38" s="219"/>
      <c r="L38" s="185">
        <v>120000</v>
      </c>
      <c r="M38" s="139"/>
      <c r="N38" s="139"/>
      <c r="O38" s="139">
        <f t="shared" ref="O38:O52" si="5">SUM(H38:N38)</f>
        <v>120000</v>
      </c>
      <c r="P38" s="139"/>
      <c r="Q38" s="139"/>
      <c r="R38" s="143"/>
    </row>
    <row r="39" spans="1:18" ht="24.95" customHeight="1" x14ac:dyDescent="0.25">
      <c r="A39" s="211"/>
      <c r="B39" s="337"/>
      <c r="C39" s="440" t="s">
        <v>4042</v>
      </c>
      <c r="D39" s="441"/>
      <c r="E39" s="442"/>
      <c r="F39" s="196"/>
      <c r="G39" s="195"/>
      <c r="H39" s="155"/>
      <c r="I39" s="195"/>
      <c r="J39" s="155"/>
      <c r="K39" s="185">
        <v>7703000</v>
      </c>
      <c r="L39" s="219"/>
      <c r="M39" s="219"/>
      <c r="N39" s="139"/>
      <c r="O39" s="139">
        <f t="shared" si="5"/>
        <v>7703000</v>
      </c>
      <c r="P39" s="139"/>
      <c r="Q39" s="139"/>
      <c r="R39" s="143"/>
    </row>
    <row r="40" spans="1:18" ht="24.95" customHeight="1" x14ac:dyDescent="0.25">
      <c r="A40" s="211"/>
      <c r="B40" s="337"/>
      <c r="C40" s="452" t="s">
        <v>4043</v>
      </c>
      <c r="D40" s="453"/>
      <c r="E40" s="454"/>
      <c r="F40" s="196"/>
      <c r="G40" s="195"/>
      <c r="H40" s="155"/>
      <c r="I40" s="195"/>
      <c r="J40" s="155"/>
      <c r="K40" s="185">
        <v>610000</v>
      </c>
      <c r="L40" s="219"/>
      <c r="M40" s="219"/>
      <c r="N40" s="219"/>
      <c r="O40" s="139">
        <f t="shared" si="5"/>
        <v>610000</v>
      </c>
      <c r="P40" s="139"/>
      <c r="Q40" s="139"/>
      <c r="R40" s="143"/>
    </row>
    <row r="41" spans="1:18" ht="24.95" customHeight="1" x14ac:dyDescent="0.25">
      <c r="A41" s="211"/>
      <c r="B41" s="337"/>
      <c r="C41" s="452" t="s">
        <v>4044</v>
      </c>
      <c r="D41" s="453"/>
      <c r="E41" s="454"/>
      <c r="F41" s="196"/>
      <c r="G41" s="195"/>
      <c r="H41" s="155"/>
      <c r="I41" s="195"/>
      <c r="J41" s="155"/>
      <c r="K41" s="185">
        <v>300000</v>
      </c>
      <c r="L41" s="219"/>
      <c r="M41" s="219"/>
      <c r="N41" s="219"/>
      <c r="O41" s="139">
        <f t="shared" si="5"/>
        <v>300000</v>
      </c>
      <c r="P41" s="139"/>
      <c r="Q41" s="139"/>
      <c r="R41" s="143"/>
    </row>
    <row r="42" spans="1:18" ht="24.95" customHeight="1" x14ac:dyDescent="0.25">
      <c r="A42" s="211"/>
      <c r="B42" s="337"/>
      <c r="C42" s="452" t="s">
        <v>4045</v>
      </c>
      <c r="D42" s="453"/>
      <c r="E42" s="454"/>
      <c r="F42" s="196"/>
      <c r="G42" s="195"/>
      <c r="H42" s="155"/>
      <c r="I42" s="195"/>
      <c r="J42" s="155"/>
      <c r="K42" s="219"/>
      <c r="L42" s="185">
        <v>300000</v>
      </c>
      <c r="M42" s="219"/>
      <c r="N42" s="219"/>
      <c r="O42" s="139">
        <f t="shared" si="5"/>
        <v>300000</v>
      </c>
      <c r="P42" s="139"/>
      <c r="Q42" s="139"/>
      <c r="R42" s="143"/>
    </row>
    <row r="43" spans="1:18" ht="24.95" customHeight="1" x14ac:dyDescent="0.25">
      <c r="A43" s="211"/>
      <c r="B43" s="337"/>
      <c r="C43" s="452" t="s">
        <v>4145</v>
      </c>
      <c r="D43" s="453"/>
      <c r="E43" s="454"/>
      <c r="F43" s="196"/>
      <c r="G43" s="195"/>
      <c r="H43" s="155"/>
      <c r="I43" s="195"/>
      <c r="J43" s="155"/>
      <c r="K43" s="185">
        <v>150000</v>
      </c>
      <c r="L43" s="219"/>
      <c r="M43" s="219"/>
      <c r="N43" s="219"/>
      <c r="O43" s="139">
        <f t="shared" si="5"/>
        <v>150000</v>
      </c>
      <c r="P43" s="139"/>
      <c r="Q43" s="139"/>
      <c r="R43" s="143"/>
    </row>
    <row r="44" spans="1:18" ht="24.95" customHeight="1" x14ac:dyDescent="0.25">
      <c r="A44" s="211"/>
      <c r="B44" s="337"/>
      <c r="C44" s="452" t="s">
        <v>4146</v>
      </c>
      <c r="D44" s="453"/>
      <c r="E44" s="454"/>
      <c r="F44" s="196"/>
      <c r="G44" s="195"/>
      <c r="H44" s="155"/>
      <c r="I44" s="195"/>
      <c r="J44" s="155"/>
      <c r="K44" s="185">
        <v>150000</v>
      </c>
      <c r="L44" s="219"/>
      <c r="M44" s="219"/>
      <c r="N44" s="219"/>
      <c r="O44" s="139">
        <f t="shared" si="5"/>
        <v>150000</v>
      </c>
      <c r="P44" s="139"/>
      <c r="Q44" s="139"/>
      <c r="R44" s="143"/>
    </row>
    <row r="45" spans="1:18" ht="24.95" customHeight="1" x14ac:dyDescent="0.25">
      <c r="A45" s="211"/>
      <c r="B45" s="337"/>
      <c r="C45" s="452" t="s">
        <v>4039</v>
      </c>
      <c r="D45" s="453"/>
      <c r="E45" s="454"/>
      <c r="F45" s="196"/>
      <c r="G45" s="195"/>
      <c r="H45" s="155"/>
      <c r="I45" s="195"/>
      <c r="J45" s="155"/>
      <c r="K45" s="185">
        <v>150000</v>
      </c>
      <c r="L45" s="219"/>
      <c r="M45" s="219"/>
      <c r="N45" s="219"/>
      <c r="O45" s="139">
        <f t="shared" si="5"/>
        <v>150000</v>
      </c>
      <c r="P45" s="139"/>
      <c r="Q45" s="139"/>
      <c r="R45" s="143"/>
    </row>
    <row r="46" spans="1:18" ht="24.95" customHeight="1" x14ac:dyDescent="0.25">
      <c r="A46" s="211"/>
      <c r="B46" s="337"/>
      <c r="C46" s="452" t="s">
        <v>4040</v>
      </c>
      <c r="D46" s="453"/>
      <c r="E46" s="454"/>
      <c r="F46" s="196"/>
      <c r="G46" s="195"/>
      <c r="H46" s="155"/>
      <c r="I46" s="195"/>
      <c r="J46" s="155"/>
      <c r="K46" s="185">
        <v>150000</v>
      </c>
      <c r="L46" s="219"/>
      <c r="M46" s="219"/>
      <c r="N46" s="219"/>
      <c r="O46" s="139">
        <f t="shared" si="5"/>
        <v>150000</v>
      </c>
      <c r="P46" s="139"/>
      <c r="Q46" s="139"/>
      <c r="R46" s="143"/>
    </row>
    <row r="47" spans="1:18" ht="24.95" customHeight="1" x14ac:dyDescent="0.25">
      <c r="A47" s="211"/>
      <c r="B47" s="337"/>
      <c r="C47" s="452" t="s">
        <v>4041</v>
      </c>
      <c r="D47" s="453"/>
      <c r="E47" s="454"/>
      <c r="F47" s="196"/>
      <c r="G47" s="195"/>
      <c r="H47" s="155"/>
      <c r="I47" s="195"/>
      <c r="J47" s="155"/>
      <c r="K47" s="185">
        <v>150000</v>
      </c>
      <c r="L47" s="219"/>
      <c r="M47" s="219"/>
      <c r="N47" s="219"/>
      <c r="O47" s="139">
        <f t="shared" si="5"/>
        <v>150000</v>
      </c>
      <c r="P47" s="139"/>
      <c r="Q47" s="139"/>
      <c r="R47" s="143"/>
    </row>
    <row r="48" spans="1:18" ht="24.95" customHeight="1" x14ac:dyDescent="0.25">
      <c r="A48" s="211"/>
      <c r="B48" s="337"/>
      <c r="C48" s="452" t="s">
        <v>4046</v>
      </c>
      <c r="D48" s="453"/>
      <c r="E48" s="454"/>
      <c r="F48" s="196"/>
      <c r="G48" s="195"/>
      <c r="H48" s="155"/>
      <c r="I48" s="195"/>
      <c r="J48" s="155"/>
      <c r="K48" s="185">
        <v>150000</v>
      </c>
      <c r="L48" s="219"/>
      <c r="M48" s="219"/>
      <c r="N48" s="219"/>
      <c r="O48" s="139">
        <f t="shared" si="5"/>
        <v>150000</v>
      </c>
      <c r="P48" s="139"/>
      <c r="Q48" s="139"/>
      <c r="R48" s="143"/>
    </row>
    <row r="49" spans="1:19" ht="24.95" customHeight="1" x14ac:dyDescent="0.25">
      <c r="A49" s="211"/>
      <c r="B49" s="337"/>
      <c r="C49" s="452" t="s">
        <v>4047</v>
      </c>
      <c r="D49" s="453"/>
      <c r="E49" s="454"/>
      <c r="F49" s="196"/>
      <c r="G49" s="195"/>
      <c r="H49" s="155"/>
      <c r="I49" s="195"/>
      <c r="J49" s="155"/>
      <c r="K49" s="185">
        <v>163000</v>
      </c>
      <c r="L49" s="219"/>
      <c r="M49" s="219"/>
      <c r="N49" s="219"/>
      <c r="O49" s="139">
        <f t="shared" si="5"/>
        <v>163000</v>
      </c>
      <c r="P49" s="139"/>
      <c r="Q49" s="139"/>
      <c r="R49" s="143"/>
    </row>
    <row r="50" spans="1:19" ht="24.95" customHeight="1" x14ac:dyDescent="0.25">
      <c r="A50" s="211"/>
      <c r="B50" s="337"/>
      <c r="C50" s="452" t="s">
        <v>4147</v>
      </c>
      <c r="D50" s="453"/>
      <c r="E50" s="454"/>
      <c r="F50" s="196"/>
      <c r="G50" s="195"/>
      <c r="H50" s="155"/>
      <c r="I50" s="195"/>
      <c r="J50" s="155"/>
      <c r="K50" s="185">
        <v>140000</v>
      </c>
      <c r="L50" s="219"/>
      <c r="M50" s="219"/>
      <c r="N50" s="219"/>
      <c r="O50" s="139">
        <f t="shared" si="5"/>
        <v>140000</v>
      </c>
      <c r="P50" s="139"/>
      <c r="Q50" s="139"/>
      <c r="R50" s="143"/>
    </row>
    <row r="51" spans="1:19" ht="24.95" customHeight="1" x14ac:dyDescent="0.25">
      <c r="A51" s="211"/>
      <c r="B51" s="337"/>
      <c r="C51" s="452" t="s">
        <v>3738</v>
      </c>
      <c r="D51" s="453"/>
      <c r="E51" s="454"/>
      <c r="F51" s="196"/>
      <c r="G51" s="195"/>
      <c r="H51" s="155"/>
      <c r="I51" s="195"/>
      <c r="J51" s="155"/>
      <c r="K51" s="185">
        <f>26/26*8000000</f>
        <v>8000000</v>
      </c>
      <c r="L51" s="219"/>
      <c r="M51" s="139"/>
      <c r="N51" s="139"/>
      <c r="O51" s="139">
        <f t="shared" si="5"/>
        <v>8000000</v>
      </c>
      <c r="P51" s="139"/>
      <c r="Q51" s="139"/>
      <c r="R51" s="143"/>
    </row>
    <row r="52" spans="1:19" ht="24.95" customHeight="1" x14ac:dyDescent="0.25">
      <c r="A52" s="211"/>
      <c r="B52" s="337"/>
      <c r="C52" s="452" t="s">
        <v>26</v>
      </c>
      <c r="D52" s="453"/>
      <c r="E52" s="454"/>
      <c r="F52" s="196"/>
      <c r="G52" s="195"/>
      <c r="H52" s="155"/>
      <c r="I52" s="195"/>
      <c r="J52" s="155"/>
      <c r="K52" s="219"/>
      <c r="L52" s="185">
        <v>1200000</v>
      </c>
      <c r="M52" s="139"/>
      <c r="N52" s="139"/>
      <c r="O52" s="139">
        <f t="shared" si="5"/>
        <v>1200000</v>
      </c>
      <c r="P52" s="139"/>
      <c r="Q52" s="139"/>
      <c r="R52" s="143"/>
    </row>
    <row r="53" spans="1:19" ht="20.45" customHeight="1" x14ac:dyDescent="0.25">
      <c r="A53" s="450" t="s">
        <v>20</v>
      </c>
      <c r="B53" s="450"/>
      <c r="C53" s="450"/>
      <c r="D53" s="450"/>
      <c r="E53" s="450"/>
      <c r="F53" s="450"/>
      <c r="G53" s="334">
        <f t="shared" ref="G53:O53" si="6">SUM(G8:G52)</f>
        <v>3008</v>
      </c>
      <c r="H53" s="334">
        <f t="shared" si="6"/>
        <v>52397740</v>
      </c>
      <c r="I53" s="334">
        <f t="shared" si="6"/>
        <v>0</v>
      </c>
      <c r="J53" s="334">
        <f t="shared" si="6"/>
        <v>33190000</v>
      </c>
      <c r="K53" s="334">
        <f t="shared" si="6"/>
        <v>17816000</v>
      </c>
      <c r="L53" s="334">
        <f t="shared" si="6"/>
        <v>3620000</v>
      </c>
      <c r="M53" s="334">
        <f t="shared" si="6"/>
        <v>0</v>
      </c>
      <c r="N53" s="334">
        <f t="shared" si="6"/>
        <v>0</v>
      </c>
      <c r="O53" s="334">
        <f t="shared" si="6"/>
        <v>107023740</v>
      </c>
      <c r="P53" s="334">
        <f>SUM(P8:P52)</f>
        <v>141022726</v>
      </c>
      <c r="Q53" s="334">
        <f>P53-O53</f>
        <v>33998986</v>
      </c>
    </row>
    <row r="54" spans="1:19" ht="24.95" customHeight="1" x14ac:dyDescent="0.25">
      <c r="O54" s="158"/>
      <c r="Q54" s="158"/>
    </row>
    <row r="55" spans="1:19" ht="13.9" customHeight="1" x14ac:dyDescent="0.25">
      <c r="P55" s="216" t="s">
        <v>1603</v>
      </c>
      <c r="Q55" s="227">
        <f>'09.2021'!Q59+'10.2021'!Q53</f>
        <v>193958492.76923078</v>
      </c>
      <c r="S55" s="216"/>
    </row>
    <row r="56" spans="1:19" ht="13.9" customHeight="1" x14ac:dyDescent="0.25">
      <c r="B56" s="129"/>
      <c r="J56" s="128"/>
      <c r="K56" s="128"/>
      <c r="L56" s="128"/>
      <c r="N56" s="128"/>
      <c r="O56" s="128"/>
      <c r="P56" s="218"/>
      <c r="Q56" s="216"/>
    </row>
    <row r="57" spans="1:19" ht="13.9" customHeight="1" x14ac:dyDescent="0.25">
      <c r="B57" s="129"/>
      <c r="H57" s="128"/>
      <c r="J57" s="128"/>
      <c r="K57" s="128"/>
      <c r="L57" s="128"/>
      <c r="M57" s="128"/>
      <c r="N57" s="128"/>
      <c r="O57" s="128"/>
      <c r="P57" s="218"/>
      <c r="Q57" s="230"/>
    </row>
    <row r="58" spans="1:19" ht="13.9" customHeight="1" x14ac:dyDescent="0.25">
      <c r="B58" s="129"/>
      <c r="H58" s="128"/>
      <c r="J58" s="128"/>
      <c r="K58" s="128"/>
      <c r="L58" s="128"/>
      <c r="M58" s="128"/>
      <c r="N58" s="128"/>
      <c r="O58" s="128"/>
      <c r="P58" s="218"/>
      <c r="Q58" s="230"/>
      <c r="R58" s="143"/>
    </row>
    <row r="59" spans="1:19" ht="13.9" customHeight="1" x14ac:dyDescent="0.25">
      <c r="B59" s="129"/>
      <c r="H59" s="128"/>
      <c r="J59" s="128"/>
      <c r="K59" s="128"/>
      <c r="L59" s="128"/>
      <c r="M59" s="128"/>
      <c r="N59" s="128"/>
      <c r="O59" s="128"/>
      <c r="P59" s="218"/>
      <c r="Q59" s="216"/>
      <c r="R59" s="143"/>
    </row>
    <row r="60" spans="1:19" x14ac:dyDescent="0.25">
      <c r="B60" s="129"/>
      <c r="H60" s="128"/>
      <c r="J60" s="128"/>
      <c r="K60" s="128"/>
      <c r="L60" s="128"/>
      <c r="M60" s="128"/>
      <c r="N60" s="128"/>
      <c r="O60" s="128"/>
      <c r="P60" s="218"/>
      <c r="Q60" s="216"/>
    </row>
    <row r="61" spans="1:19" x14ac:dyDescent="0.25">
      <c r="A61" s="128"/>
      <c r="B61" s="129"/>
      <c r="H61" s="128"/>
      <c r="J61" s="128"/>
      <c r="K61" s="128"/>
      <c r="L61" s="128"/>
      <c r="M61" s="128"/>
      <c r="N61" s="128"/>
      <c r="O61" s="128"/>
      <c r="P61" s="218"/>
      <c r="Q61" s="216"/>
    </row>
    <row r="62" spans="1:19" x14ac:dyDescent="0.25">
      <c r="A62" s="128"/>
      <c r="B62" s="129"/>
      <c r="H62" s="128"/>
      <c r="J62" s="128"/>
      <c r="K62" s="128"/>
      <c r="L62" s="128"/>
      <c r="M62" s="128"/>
      <c r="N62" s="128"/>
      <c r="O62" s="128"/>
      <c r="P62" s="218"/>
      <c r="Q62" s="216"/>
    </row>
    <row r="63" spans="1:19" x14ac:dyDescent="0.25">
      <c r="A63" s="128"/>
      <c r="B63" s="128"/>
      <c r="H63" s="128"/>
      <c r="J63" s="128"/>
      <c r="K63" s="128"/>
      <c r="L63" s="128"/>
      <c r="M63" s="128"/>
      <c r="N63" s="128"/>
      <c r="O63" s="128"/>
      <c r="P63" s="128"/>
      <c r="Q63" s="216"/>
    </row>
    <row r="64" spans="1:19" x14ac:dyDescent="0.25">
      <c r="A64" s="128"/>
      <c r="B64" s="128"/>
      <c r="H64" s="128"/>
      <c r="J64" s="128"/>
      <c r="K64" s="128"/>
      <c r="L64" s="128"/>
      <c r="M64" s="128"/>
      <c r="N64" s="128"/>
      <c r="O64" s="128"/>
      <c r="P64" s="128"/>
      <c r="Q64" s="216"/>
    </row>
  </sheetData>
  <mergeCells count="31">
    <mergeCell ref="C43:E43"/>
    <mergeCell ref="C44:E44"/>
    <mergeCell ref="C37:E37"/>
    <mergeCell ref="C38:E38"/>
    <mergeCell ref="C39:E39"/>
    <mergeCell ref="C40:E40"/>
    <mergeCell ref="C41:E41"/>
    <mergeCell ref="C51:E51"/>
    <mergeCell ref="C52:E52"/>
    <mergeCell ref="A53:F53"/>
    <mergeCell ref="C48:E48"/>
    <mergeCell ref="C45:E45"/>
    <mergeCell ref="C46:E46"/>
    <mergeCell ref="C47:E47"/>
    <mergeCell ref="C49:E49"/>
    <mergeCell ref="C50:E50"/>
    <mergeCell ref="C36:F36"/>
    <mergeCell ref="C42:E42"/>
    <mergeCell ref="O5:O6"/>
    <mergeCell ref="A1:Q1"/>
    <mergeCell ref="A2:Q2"/>
    <mergeCell ref="B3:Q3"/>
    <mergeCell ref="A5:A6"/>
    <mergeCell ref="B5:B6"/>
    <mergeCell ref="C5:C6"/>
    <mergeCell ref="D5:D6"/>
    <mergeCell ref="E5:E6"/>
    <mergeCell ref="F5:F6"/>
    <mergeCell ref="G5:N5"/>
    <mergeCell ref="P5:P6"/>
    <mergeCell ref="Q5:Q6"/>
  </mergeCells>
  <pageMargins left="0.7" right="0.7" top="0.75" bottom="0.75" header="0.3" footer="0.3"/>
  <pageSetup paperSize="9" orientation="portrait" horizontalDpi="0"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9BCEA-267F-4A3A-BB50-51670CDDF1E8}">
  <dimension ref="A1:S52"/>
  <sheetViews>
    <sheetView topLeftCell="A18" workbookViewId="0">
      <selection activeCell="E32" sqref="E3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4048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44498</v>
      </c>
      <c r="C8" s="134" t="s">
        <v>2068</v>
      </c>
      <c r="D8" s="211" t="s">
        <v>4063</v>
      </c>
      <c r="E8" s="136" t="s">
        <v>25</v>
      </c>
      <c r="F8" s="134"/>
      <c r="G8" s="134">
        <v>180</v>
      </c>
      <c r="H8" s="139">
        <f>G8*18710</f>
        <v>3367800</v>
      </c>
      <c r="I8" s="134"/>
      <c r="J8" s="226">
        <v>1890000</v>
      </c>
      <c r="K8" s="139"/>
      <c r="L8" s="263"/>
      <c r="M8" s="139"/>
      <c r="N8" s="139"/>
      <c r="O8" s="139">
        <f>SUM(H8:N8)</f>
        <v>5257800</v>
      </c>
      <c r="P8" s="139">
        <v>8027273</v>
      </c>
      <c r="Q8" s="139">
        <f>P8-O8</f>
        <v>2769473</v>
      </c>
      <c r="R8" s="143"/>
    </row>
    <row r="9" spans="1:18" ht="20.45" customHeight="1" x14ac:dyDescent="0.25">
      <c r="A9" s="211">
        <v>2</v>
      </c>
      <c r="B9" s="328">
        <v>44501</v>
      </c>
      <c r="C9" s="134" t="s">
        <v>4049</v>
      </c>
      <c r="D9" s="211" t="s">
        <v>4064</v>
      </c>
      <c r="E9" s="136" t="s">
        <v>3938</v>
      </c>
      <c r="F9" s="134"/>
      <c r="G9" s="134">
        <v>84</v>
      </c>
      <c r="H9" s="139">
        <f t="shared" ref="H9:H12" si="0">G9*18710</f>
        <v>1571640</v>
      </c>
      <c r="I9" s="134"/>
      <c r="J9" s="226">
        <v>1150000</v>
      </c>
      <c r="K9" s="139"/>
      <c r="L9" s="263"/>
      <c r="M9" s="139"/>
      <c r="N9" s="139"/>
      <c r="O9" s="139">
        <f>SUM(H9:N9)</f>
        <v>2721640</v>
      </c>
      <c r="P9" s="139">
        <v>3750000</v>
      </c>
      <c r="Q9" s="139">
        <f t="shared" ref="Q9:Q32" si="1">P9-O9</f>
        <v>1028360</v>
      </c>
      <c r="R9" s="143"/>
    </row>
    <row r="10" spans="1:18" ht="20.45" customHeight="1" x14ac:dyDescent="0.25">
      <c r="A10" s="211">
        <v>3</v>
      </c>
      <c r="B10" s="328">
        <v>44502</v>
      </c>
      <c r="C10" s="134" t="s">
        <v>730</v>
      </c>
      <c r="D10" s="211" t="s">
        <v>4065</v>
      </c>
      <c r="E10" s="136" t="s">
        <v>4081</v>
      </c>
      <c r="F10" s="134"/>
      <c r="G10" s="134">
        <v>92</v>
      </c>
      <c r="H10" s="139">
        <f t="shared" si="0"/>
        <v>1721320</v>
      </c>
      <c r="I10" s="134"/>
      <c r="J10" s="226">
        <v>1150000</v>
      </c>
      <c r="K10" s="139"/>
      <c r="L10" s="263"/>
      <c r="M10" s="139"/>
      <c r="N10" s="139"/>
      <c r="O10" s="139">
        <f t="shared" ref="O10:O32" si="2">SUM(H10:N10)</f>
        <v>2871320</v>
      </c>
      <c r="P10" s="139">
        <v>4000000</v>
      </c>
      <c r="Q10" s="139">
        <f t="shared" si="1"/>
        <v>1128680</v>
      </c>
      <c r="R10" s="143"/>
    </row>
    <row r="11" spans="1:18" ht="20.45" customHeight="1" x14ac:dyDescent="0.25">
      <c r="A11" s="211">
        <v>4</v>
      </c>
      <c r="B11" s="328">
        <v>44503</v>
      </c>
      <c r="C11" s="134" t="s">
        <v>4050</v>
      </c>
      <c r="D11" s="211" t="s">
        <v>4066</v>
      </c>
      <c r="E11" s="136" t="s">
        <v>4082</v>
      </c>
      <c r="F11" s="134"/>
      <c r="G11" s="134">
        <v>106</v>
      </c>
      <c r="H11" s="139">
        <f t="shared" si="0"/>
        <v>1983260</v>
      </c>
      <c r="I11" s="134"/>
      <c r="J11" s="226">
        <v>790000</v>
      </c>
      <c r="K11" s="139"/>
      <c r="L11" s="263"/>
      <c r="M11" s="139"/>
      <c r="N11" s="139"/>
      <c r="O11" s="139">
        <f t="shared" si="2"/>
        <v>2773260</v>
      </c>
      <c r="P11" s="139">
        <v>3300000</v>
      </c>
      <c r="Q11" s="139">
        <f t="shared" si="1"/>
        <v>526740</v>
      </c>
      <c r="R11" s="143"/>
    </row>
    <row r="12" spans="1:18" ht="20.45" customHeight="1" x14ac:dyDescent="0.25">
      <c r="A12" s="211">
        <v>5</v>
      </c>
      <c r="B12" s="328">
        <v>44504</v>
      </c>
      <c r="C12" s="134" t="s">
        <v>4051</v>
      </c>
      <c r="D12" s="211" t="s">
        <v>4066</v>
      </c>
      <c r="E12" s="136" t="s">
        <v>4083</v>
      </c>
      <c r="F12" s="134"/>
      <c r="G12" s="134"/>
      <c r="H12" s="139">
        <f t="shared" si="0"/>
        <v>0</v>
      </c>
      <c r="I12" s="134"/>
      <c r="J12" s="226">
        <v>660000</v>
      </c>
      <c r="K12" s="139"/>
      <c r="L12" s="263"/>
      <c r="M12" s="139"/>
      <c r="N12" s="139"/>
      <c r="O12" s="139">
        <f t="shared" si="2"/>
        <v>660000</v>
      </c>
      <c r="P12" s="139">
        <v>2900000</v>
      </c>
      <c r="Q12" s="139">
        <f t="shared" si="1"/>
        <v>2240000</v>
      </c>
      <c r="R12" s="143"/>
    </row>
    <row r="13" spans="1:18" ht="20.45" customHeight="1" x14ac:dyDescent="0.25">
      <c r="A13" s="211">
        <v>6</v>
      </c>
      <c r="B13" s="328">
        <v>44508</v>
      </c>
      <c r="C13" s="134" t="s">
        <v>2073</v>
      </c>
      <c r="D13" s="211" t="s">
        <v>4067</v>
      </c>
      <c r="E13" s="136" t="s">
        <v>1013</v>
      </c>
      <c r="F13" s="134"/>
      <c r="G13" s="134">
        <v>82</v>
      </c>
      <c r="H13" s="139">
        <f>G13*18710</f>
        <v>1534220</v>
      </c>
      <c r="I13" s="134"/>
      <c r="J13" s="226">
        <v>1150000</v>
      </c>
      <c r="K13" s="139"/>
      <c r="L13" s="263"/>
      <c r="M13" s="139"/>
      <c r="N13" s="139"/>
      <c r="O13" s="139">
        <f t="shared" si="2"/>
        <v>2684220</v>
      </c>
      <c r="P13" s="139">
        <v>3850000</v>
      </c>
      <c r="Q13" s="139">
        <f t="shared" si="1"/>
        <v>1165780</v>
      </c>
      <c r="R13" s="143"/>
    </row>
    <row r="14" spans="1:18" ht="20.45" customHeight="1" x14ac:dyDescent="0.25">
      <c r="A14" s="211">
        <v>7</v>
      </c>
      <c r="B14" s="328">
        <v>44509</v>
      </c>
      <c r="C14" s="134" t="s">
        <v>4052</v>
      </c>
      <c r="D14" s="211" t="s">
        <v>4068</v>
      </c>
      <c r="E14" s="136" t="s">
        <v>23</v>
      </c>
      <c r="F14" s="134"/>
      <c r="G14" s="134">
        <v>243</v>
      </c>
      <c r="H14" s="139">
        <f t="shared" ref="H14:H25" si="3">G14*18710</f>
        <v>4546530</v>
      </c>
      <c r="I14" s="134"/>
      <c r="J14" s="226">
        <v>2740000</v>
      </c>
      <c r="K14" s="139"/>
      <c r="L14" s="263"/>
      <c r="M14" s="139"/>
      <c r="N14" s="139"/>
      <c r="O14" s="139">
        <f t="shared" si="2"/>
        <v>7286530</v>
      </c>
      <c r="P14" s="139">
        <v>12727273</v>
      </c>
      <c r="Q14" s="139">
        <f t="shared" si="1"/>
        <v>5440743</v>
      </c>
      <c r="R14" s="143"/>
    </row>
    <row r="15" spans="1:18" ht="20.45" customHeight="1" x14ac:dyDescent="0.25">
      <c r="A15" s="211">
        <v>8</v>
      </c>
      <c r="B15" s="328">
        <v>44510</v>
      </c>
      <c r="C15" s="134" t="s">
        <v>4053</v>
      </c>
      <c r="D15" s="211" t="s">
        <v>4069</v>
      </c>
      <c r="E15" s="136" t="s">
        <v>4084</v>
      </c>
      <c r="F15" s="134"/>
      <c r="G15" s="134">
        <v>59</v>
      </c>
      <c r="H15" s="139">
        <f t="shared" si="3"/>
        <v>1103890</v>
      </c>
      <c r="I15" s="134"/>
      <c r="J15" s="226">
        <v>790000</v>
      </c>
      <c r="K15" s="139"/>
      <c r="L15" s="263"/>
      <c r="M15" s="139"/>
      <c r="N15" s="139"/>
      <c r="O15" s="139">
        <f t="shared" si="2"/>
        <v>1893890</v>
      </c>
      <c r="P15" s="139">
        <v>3518182</v>
      </c>
      <c r="Q15" s="139">
        <f t="shared" si="1"/>
        <v>1624292</v>
      </c>
      <c r="R15" s="143"/>
    </row>
    <row r="16" spans="1:18" ht="20.45" customHeight="1" x14ac:dyDescent="0.25">
      <c r="A16" s="211">
        <v>9</v>
      </c>
      <c r="B16" s="328">
        <v>44512</v>
      </c>
      <c r="C16" s="134" t="s">
        <v>2755</v>
      </c>
      <c r="D16" s="211" t="s">
        <v>4070</v>
      </c>
      <c r="E16" s="136" t="s">
        <v>2059</v>
      </c>
      <c r="F16" s="134"/>
      <c r="G16" s="134">
        <v>145</v>
      </c>
      <c r="H16" s="139">
        <f t="shared" si="3"/>
        <v>2712950</v>
      </c>
      <c r="I16" s="134"/>
      <c r="J16" s="226">
        <v>1400000</v>
      </c>
      <c r="K16" s="139"/>
      <c r="L16" s="263"/>
      <c r="M16" s="139"/>
      <c r="N16" s="139"/>
      <c r="O16" s="139">
        <f t="shared" si="2"/>
        <v>4112950</v>
      </c>
      <c r="P16" s="139">
        <v>6027273</v>
      </c>
      <c r="Q16" s="139">
        <f t="shared" si="1"/>
        <v>1914323</v>
      </c>
      <c r="R16" s="143"/>
    </row>
    <row r="17" spans="1:18" ht="20.45" customHeight="1" x14ac:dyDescent="0.25">
      <c r="A17" s="211">
        <v>10</v>
      </c>
      <c r="B17" s="328">
        <v>44512</v>
      </c>
      <c r="C17" s="134" t="s">
        <v>2076</v>
      </c>
      <c r="D17" s="211" t="s">
        <v>4071</v>
      </c>
      <c r="E17" s="136" t="s">
        <v>4085</v>
      </c>
      <c r="F17" s="134"/>
      <c r="G17" s="134">
        <v>84</v>
      </c>
      <c r="H17" s="139">
        <f t="shared" si="3"/>
        <v>1571640</v>
      </c>
      <c r="I17" s="134"/>
      <c r="J17" s="226">
        <v>1150000</v>
      </c>
      <c r="K17" s="139"/>
      <c r="L17" s="263"/>
      <c r="M17" s="139"/>
      <c r="N17" s="139"/>
      <c r="O17" s="139">
        <f t="shared" si="2"/>
        <v>2721640</v>
      </c>
      <c r="P17" s="139">
        <v>3409091</v>
      </c>
      <c r="Q17" s="139">
        <f t="shared" si="1"/>
        <v>687451</v>
      </c>
      <c r="R17" s="143"/>
    </row>
    <row r="18" spans="1:18" ht="20.45" customHeight="1" x14ac:dyDescent="0.25">
      <c r="A18" s="211">
        <v>11</v>
      </c>
      <c r="B18" s="328">
        <v>44515</v>
      </c>
      <c r="C18" s="134" t="s">
        <v>4054</v>
      </c>
      <c r="D18" s="211" t="s">
        <v>4071</v>
      </c>
      <c r="E18" s="136" t="s">
        <v>4086</v>
      </c>
      <c r="F18" s="134"/>
      <c r="G18" s="134">
        <v>91</v>
      </c>
      <c r="H18" s="139">
        <f t="shared" si="3"/>
        <v>1702610</v>
      </c>
      <c r="I18" s="134"/>
      <c r="J18" s="226">
        <v>300000</v>
      </c>
      <c r="K18" s="139"/>
      <c r="L18" s="263"/>
      <c r="M18" s="139"/>
      <c r="N18" s="139"/>
      <c r="O18" s="139">
        <f t="shared" si="2"/>
        <v>2002610</v>
      </c>
      <c r="P18" s="139">
        <v>2163636</v>
      </c>
      <c r="Q18" s="139">
        <f t="shared" si="1"/>
        <v>161026</v>
      </c>
      <c r="R18" s="143"/>
    </row>
    <row r="19" spans="1:18" ht="20.45" customHeight="1" x14ac:dyDescent="0.25">
      <c r="A19" s="211">
        <v>12</v>
      </c>
      <c r="B19" s="328">
        <v>44515</v>
      </c>
      <c r="C19" s="134" t="s">
        <v>2079</v>
      </c>
      <c r="D19" s="211" t="s">
        <v>4072</v>
      </c>
      <c r="E19" s="136" t="s">
        <v>763</v>
      </c>
      <c r="F19" s="134"/>
      <c r="G19" s="134">
        <v>108</v>
      </c>
      <c r="H19" s="139">
        <f t="shared" si="3"/>
        <v>2020680</v>
      </c>
      <c r="I19" s="134"/>
      <c r="J19" s="226">
        <v>1150000</v>
      </c>
      <c r="K19" s="139"/>
      <c r="L19" s="263"/>
      <c r="M19" s="139"/>
      <c r="N19" s="139"/>
      <c r="O19" s="139">
        <f t="shared" si="2"/>
        <v>3170680</v>
      </c>
      <c r="P19" s="139">
        <v>3900000</v>
      </c>
      <c r="Q19" s="139">
        <f t="shared" si="1"/>
        <v>729320</v>
      </c>
      <c r="R19" s="143"/>
    </row>
    <row r="20" spans="1:18" ht="20.45" customHeight="1" x14ac:dyDescent="0.25">
      <c r="A20" s="211">
        <v>13</v>
      </c>
      <c r="B20" s="328">
        <v>44516</v>
      </c>
      <c r="C20" s="134" t="s">
        <v>4055</v>
      </c>
      <c r="D20" s="211" t="s">
        <v>4072</v>
      </c>
      <c r="E20" s="136" t="s">
        <v>4083</v>
      </c>
      <c r="F20" s="134"/>
      <c r="G20" s="134"/>
      <c r="H20" s="139">
        <f t="shared" si="3"/>
        <v>0</v>
      </c>
      <c r="I20" s="134"/>
      <c r="J20" s="226">
        <f>480000+200000</f>
        <v>680000</v>
      </c>
      <c r="K20" s="139"/>
      <c r="L20" s="263"/>
      <c r="M20" s="139"/>
      <c r="N20" s="139"/>
      <c r="O20" s="139">
        <f t="shared" si="2"/>
        <v>680000</v>
      </c>
      <c r="P20" s="139">
        <v>2900000</v>
      </c>
      <c r="Q20" s="139">
        <f t="shared" si="1"/>
        <v>2220000</v>
      </c>
      <c r="R20" s="143"/>
    </row>
    <row r="21" spans="1:18" ht="20.45" customHeight="1" x14ac:dyDescent="0.25">
      <c r="A21" s="211">
        <v>14</v>
      </c>
      <c r="B21" s="328">
        <v>44517</v>
      </c>
      <c r="C21" s="134" t="s">
        <v>4056</v>
      </c>
      <c r="D21" s="211" t="s">
        <v>4073</v>
      </c>
      <c r="E21" s="136" t="s">
        <v>1495</v>
      </c>
      <c r="F21" s="134"/>
      <c r="G21" s="134">
        <v>240</v>
      </c>
      <c r="H21" s="139">
        <f t="shared" si="3"/>
        <v>4490400</v>
      </c>
      <c r="I21" s="134"/>
      <c r="J21" s="226">
        <v>2740000</v>
      </c>
      <c r="K21" s="139"/>
      <c r="L21" s="263"/>
      <c r="M21" s="139"/>
      <c r="N21" s="139"/>
      <c r="O21" s="139">
        <f t="shared" si="2"/>
        <v>7230400</v>
      </c>
      <c r="P21" s="139">
        <v>13390909</v>
      </c>
      <c r="Q21" s="139">
        <f t="shared" si="1"/>
        <v>6160509</v>
      </c>
      <c r="R21" s="143"/>
    </row>
    <row r="22" spans="1:18" ht="20.45" customHeight="1" x14ac:dyDescent="0.25">
      <c r="A22" s="211">
        <v>15</v>
      </c>
      <c r="B22" s="328">
        <v>44518</v>
      </c>
      <c r="C22" s="134" t="s">
        <v>4057</v>
      </c>
      <c r="D22" s="211" t="s">
        <v>3549</v>
      </c>
      <c r="E22" s="136" t="s">
        <v>4087</v>
      </c>
      <c r="F22" s="134"/>
      <c r="G22" s="134">
        <v>81</v>
      </c>
      <c r="H22" s="139">
        <f t="shared" si="3"/>
        <v>1515510</v>
      </c>
      <c r="I22" s="134"/>
      <c r="J22" s="226">
        <v>790000</v>
      </c>
      <c r="K22" s="139"/>
      <c r="L22" s="263"/>
      <c r="M22" s="139"/>
      <c r="N22" s="139"/>
      <c r="O22" s="139">
        <f t="shared" si="2"/>
        <v>2305510</v>
      </c>
      <c r="P22" s="139">
        <v>2963636</v>
      </c>
      <c r="Q22" s="139">
        <f t="shared" si="1"/>
        <v>658126</v>
      </c>
      <c r="R22" s="143"/>
    </row>
    <row r="23" spans="1:18" ht="25.5" customHeight="1" x14ac:dyDescent="0.25">
      <c r="A23" s="211">
        <v>16</v>
      </c>
      <c r="B23" s="328">
        <v>44519</v>
      </c>
      <c r="C23" s="134" t="s">
        <v>4058</v>
      </c>
      <c r="D23" s="211" t="s">
        <v>3549</v>
      </c>
      <c r="E23" s="136" t="s">
        <v>4086</v>
      </c>
      <c r="F23" s="134"/>
      <c r="G23" s="134"/>
      <c r="H23" s="139">
        <f t="shared" si="3"/>
        <v>0</v>
      </c>
      <c r="I23" s="134"/>
      <c r="J23" s="226">
        <v>300000</v>
      </c>
      <c r="K23" s="139"/>
      <c r="L23" s="263"/>
      <c r="M23" s="139"/>
      <c r="N23" s="139"/>
      <c r="O23" s="139">
        <f t="shared" si="2"/>
        <v>300000</v>
      </c>
      <c r="P23" s="139">
        <v>2163636</v>
      </c>
      <c r="Q23" s="139">
        <f t="shared" si="1"/>
        <v>1863636</v>
      </c>
      <c r="R23" s="143"/>
    </row>
    <row r="24" spans="1:18" ht="20.45" customHeight="1" x14ac:dyDescent="0.25">
      <c r="A24" s="211">
        <v>17</v>
      </c>
      <c r="B24" s="328">
        <v>44520</v>
      </c>
      <c r="C24" s="134" t="s">
        <v>2082</v>
      </c>
      <c r="D24" s="211" t="s">
        <v>4074</v>
      </c>
      <c r="E24" s="136" t="s">
        <v>4088</v>
      </c>
      <c r="F24" s="134"/>
      <c r="G24" s="134">
        <v>101</v>
      </c>
      <c r="H24" s="139">
        <f t="shared" si="3"/>
        <v>1889710</v>
      </c>
      <c r="I24" s="134"/>
      <c r="J24" s="226">
        <v>1150000</v>
      </c>
      <c r="K24" s="139"/>
      <c r="L24" s="263"/>
      <c r="M24" s="139"/>
      <c r="N24" s="139"/>
      <c r="O24" s="139">
        <f t="shared" si="2"/>
        <v>3039710</v>
      </c>
      <c r="P24" s="139">
        <v>3700000</v>
      </c>
      <c r="Q24" s="139">
        <f t="shared" si="1"/>
        <v>660290</v>
      </c>
      <c r="R24" s="143"/>
    </row>
    <row r="25" spans="1:18" ht="20.45" customHeight="1" x14ac:dyDescent="0.25">
      <c r="A25" s="211">
        <v>18</v>
      </c>
      <c r="B25" s="328">
        <v>44522</v>
      </c>
      <c r="C25" s="134" t="s">
        <v>4059</v>
      </c>
      <c r="D25" s="211" t="s">
        <v>4075</v>
      </c>
      <c r="E25" s="136" t="s">
        <v>27</v>
      </c>
      <c r="F25" s="134"/>
      <c r="G25" s="134">
        <v>109</v>
      </c>
      <c r="H25" s="139">
        <f t="shared" si="3"/>
        <v>2039390</v>
      </c>
      <c r="I25" s="134"/>
      <c r="J25" s="226">
        <v>790000</v>
      </c>
      <c r="K25" s="139"/>
      <c r="L25" s="263"/>
      <c r="M25" s="139"/>
      <c r="N25" s="139"/>
      <c r="O25" s="139">
        <f t="shared" si="2"/>
        <v>2829390</v>
      </c>
      <c r="P25" s="139">
        <v>4000000</v>
      </c>
      <c r="Q25" s="139">
        <f t="shared" si="1"/>
        <v>1170610</v>
      </c>
      <c r="R25" s="143"/>
    </row>
    <row r="26" spans="1:18" ht="20.45" customHeight="1" x14ac:dyDescent="0.25">
      <c r="A26" s="211">
        <v>19</v>
      </c>
      <c r="B26" s="328">
        <v>44523</v>
      </c>
      <c r="C26" s="134" t="s">
        <v>3415</v>
      </c>
      <c r="D26" s="211" t="s">
        <v>4076</v>
      </c>
      <c r="E26" s="136" t="s">
        <v>248</v>
      </c>
      <c r="F26" s="134"/>
      <c r="G26" s="134">
        <v>93</v>
      </c>
      <c r="H26" s="139">
        <f>G26*18380</f>
        <v>1709340</v>
      </c>
      <c r="I26" s="134"/>
      <c r="J26" s="226">
        <v>1150000</v>
      </c>
      <c r="K26" s="139"/>
      <c r="L26" s="263"/>
      <c r="M26" s="139"/>
      <c r="N26" s="139"/>
      <c r="O26" s="139">
        <f t="shared" si="2"/>
        <v>2859340</v>
      </c>
      <c r="P26" s="139">
        <v>4500000</v>
      </c>
      <c r="Q26" s="139">
        <f t="shared" si="1"/>
        <v>1640660</v>
      </c>
      <c r="R26" s="143"/>
    </row>
    <row r="27" spans="1:18" ht="20.45" customHeight="1" x14ac:dyDescent="0.25">
      <c r="A27" s="211">
        <v>20</v>
      </c>
      <c r="B27" s="328">
        <v>44523</v>
      </c>
      <c r="C27" s="134" t="s">
        <v>739</v>
      </c>
      <c r="D27" s="211" t="s">
        <v>3390</v>
      </c>
      <c r="E27" s="136" t="s">
        <v>1568</v>
      </c>
      <c r="F27" s="134"/>
      <c r="G27" s="134">
        <v>81</v>
      </c>
      <c r="H27" s="139">
        <f t="shared" ref="H27:H31" si="4">G27*18380</f>
        <v>1488780</v>
      </c>
      <c r="I27" s="134"/>
      <c r="J27" s="226">
        <v>1150000</v>
      </c>
      <c r="K27" s="139"/>
      <c r="L27" s="263"/>
      <c r="M27" s="139"/>
      <c r="N27" s="139"/>
      <c r="O27" s="139">
        <f t="shared" si="2"/>
        <v>2638780</v>
      </c>
      <c r="P27" s="139">
        <v>4490909</v>
      </c>
      <c r="Q27" s="139">
        <f t="shared" si="1"/>
        <v>1852129</v>
      </c>
      <c r="R27" s="143"/>
    </row>
    <row r="28" spans="1:18" ht="20.45" customHeight="1" x14ac:dyDescent="0.25">
      <c r="A28" s="211">
        <v>21</v>
      </c>
      <c r="B28" s="328">
        <v>44524</v>
      </c>
      <c r="C28" s="134" t="s">
        <v>4060</v>
      </c>
      <c r="D28" s="211" t="s">
        <v>4077</v>
      </c>
      <c r="E28" s="136" t="s">
        <v>25</v>
      </c>
      <c r="F28" s="134"/>
      <c r="G28" s="134">
        <v>180</v>
      </c>
      <c r="H28" s="139">
        <f t="shared" si="4"/>
        <v>3308400</v>
      </c>
      <c r="I28" s="134"/>
      <c r="J28" s="226">
        <v>1890000</v>
      </c>
      <c r="K28" s="139"/>
      <c r="L28" s="263"/>
      <c r="M28" s="139"/>
      <c r="N28" s="139"/>
      <c r="O28" s="139">
        <f t="shared" si="2"/>
        <v>5198400</v>
      </c>
      <c r="P28" s="139">
        <v>8027273</v>
      </c>
      <c r="Q28" s="139">
        <f t="shared" si="1"/>
        <v>2828873</v>
      </c>
      <c r="R28" s="143"/>
    </row>
    <row r="29" spans="1:18" ht="20.45" customHeight="1" x14ac:dyDescent="0.25">
      <c r="A29" s="211">
        <v>22</v>
      </c>
      <c r="B29" s="328">
        <v>44525</v>
      </c>
      <c r="C29" s="134" t="s">
        <v>4061</v>
      </c>
      <c r="D29" s="211" t="s">
        <v>4078</v>
      </c>
      <c r="E29" s="136" t="s">
        <v>4089</v>
      </c>
      <c r="F29" s="134"/>
      <c r="G29" s="134">
        <v>86</v>
      </c>
      <c r="H29" s="139">
        <f t="shared" si="4"/>
        <v>1580680</v>
      </c>
      <c r="I29" s="134"/>
      <c r="J29" s="226">
        <v>790000</v>
      </c>
      <c r="K29" s="139"/>
      <c r="L29" s="263"/>
      <c r="M29" s="139"/>
      <c r="N29" s="139"/>
      <c r="O29" s="139">
        <f t="shared" si="2"/>
        <v>2370680</v>
      </c>
      <c r="P29" s="139">
        <v>3800000</v>
      </c>
      <c r="Q29" s="139">
        <f t="shared" si="1"/>
        <v>1429320</v>
      </c>
      <c r="R29" s="143"/>
    </row>
    <row r="30" spans="1:18" ht="20.45" customHeight="1" x14ac:dyDescent="0.25">
      <c r="A30" s="211">
        <v>23</v>
      </c>
      <c r="B30" s="328">
        <v>44526</v>
      </c>
      <c r="C30" s="134" t="s">
        <v>3419</v>
      </c>
      <c r="D30" s="211" t="s">
        <v>4079</v>
      </c>
      <c r="E30" s="136" t="s">
        <v>3341</v>
      </c>
      <c r="F30" s="134"/>
      <c r="G30" s="134">
        <v>88</v>
      </c>
      <c r="H30" s="139">
        <f t="shared" si="4"/>
        <v>1617440</v>
      </c>
      <c r="I30" s="134"/>
      <c r="J30" s="226">
        <v>1150000</v>
      </c>
      <c r="K30" s="139"/>
      <c r="L30" s="263"/>
      <c r="M30" s="139"/>
      <c r="N30" s="139"/>
      <c r="O30" s="139">
        <f t="shared" si="2"/>
        <v>2767440</v>
      </c>
      <c r="P30" s="139">
        <v>4490909</v>
      </c>
      <c r="Q30" s="139">
        <f t="shared" si="1"/>
        <v>1723469</v>
      </c>
      <c r="R30" s="143"/>
    </row>
    <row r="31" spans="1:18" ht="25.5" customHeight="1" x14ac:dyDescent="0.25">
      <c r="A31" s="211">
        <v>24</v>
      </c>
      <c r="B31" s="328">
        <v>44527</v>
      </c>
      <c r="C31" s="134" t="s">
        <v>1401</v>
      </c>
      <c r="D31" s="211" t="s">
        <v>4080</v>
      </c>
      <c r="E31" s="136" t="s">
        <v>127</v>
      </c>
      <c r="F31" s="134"/>
      <c r="G31" s="134">
        <v>139</v>
      </c>
      <c r="H31" s="139">
        <f t="shared" si="4"/>
        <v>2554820</v>
      </c>
      <c r="I31" s="134"/>
      <c r="J31" s="226">
        <v>700000</v>
      </c>
      <c r="K31" s="139"/>
      <c r="L31" s="263"/>
      <c r="M31" s="139"/>
      <c r="N31" s="139"/>
      <c r="O31" s="139">
        <f t="shared" si="2"/>
        <v>3254820</v>
      </c>
      <c r="P31" s="139">
        <v>2572727</v>
      </c>
      <c r="Q31" s="139">
        <f t="shared" si="1"/>
        <v>-682093</v>
      </c>
      <c r="R31" s="143"/>
    </row>
    <row r="32" spans="1:18" ht="20.45" customHeight="1" x14ac:dyDescent="0.25">
      <c r="A32" s="211">
        <v>25</v>
      </c>
      <c r="B32" s="328">
        <v>44529</v>
      </c>
      <c r="C32" s="134" t="s">
        <v>4062</v>
      </c>
      <c r="D32" s="211" t="s">
        <v>4080</v>
      </c>
      <c r="E32" s="136" t="s">
        <v>4083</v>
      </c>
      <c r="F32" s="134"/>
      <c r="G32" s="134"/>
      <c r="H32" s="139"/>
      <c r="I32" s="134"/>
      <c r="J32" s="226">
        <v>860000</v>
      </c>
      <c r="K32" s="139"/>
      <c r="L32" s="263"/>
      <c r="M32" s="139"/>
      <c r="N32" s="139"/>
      <c r="O32" s="139">
        <f t="shared" si="2"/>
        <v>860000</v>
      </c>
      <c r="P32" s="139">
        <v>2900000</v>
      </c>
      <c r="Q32" s="139">
        <f t="shared" si="1"/>
        <v>2040000</v>
      </c>
      <c r="R32" s="143"/>
    </row>
    <row r="33" spans="1:19" ht="20.45" customHeight="1" x14ac:dyDescent="0.25">
      <c r="A33" s="211"/>
      <c r="B33" s="328"/>
      <c r="C33" s="134"/>
      <c r="D33" s="211"/>
      <c r="E33" s="136"/>
      <c r="F33" s="134"/>
      <c r="G33" s="134"/>
      <c r="H33" s="139"/>
      <c r="I33" s="134"/>
      <c r="J33" s="139"/>
      <c r="K33" s="139"/>
      <c r="L33" s="263"/>
      <c r="M33" s="139"/>
      <c r="N33" s="139"/>
      <c r="O33" s="139"/>
      <c r="P33" s="139"/>
      <c r="Q33" s="139"/>
      <c r="R33" s="143"/>
    </row>
    <row r="34" spans="1:19" ht="20.45" customHeight="1" x14ac:dyDescent="0.25">
      <c r="A34" s="211"/>
      <c r="B34" s="337"/>
      <c r="C34" s="449"/>
      <c r="D34" s="449"/>
      <c r="E34" s="449"/>
      <c r="F34" s="449"/>
      <c r="G34" s="195"/>
      <c r="H34" s="155"/>
      <c r="I34" s="195"/>
      <c r="J34" s="155"/>
      <c r="K34" s="219"/>
      <c r="L34" s="219"/>
      <c r="M34" s="139"/>
      <c r="N34" s="139"/>
      <c r="O34" s="139">
        <f>SUM(H34:N34)</f>
        <v>0</v>
      </c>
      <c r="P34" s="139"/>
      <c r="Q34" s="139"/>
      <c r="R34" s="143"/>
    </row>
    <row r="35" spans="1:19" ht="24.95" customHeight="1" x14ac:dyDescent="0.25">
      <c r="A35" s="211"/>
      <c r="B35" s="337"/>
      <c r="C35" s="440" t="s">
        <v>4090</v>
      </c>
      <c r="D35" s="441"/>
      <c r="E35" s="442"/>
      <c r="F35" s="196"/>
      <c r="G35" s="195"/>
      <c r="H35" s="155"/>
      <c r="I35" s="195"/>
      <c r="J35" s="155"/>
      <c r="K35" s="219"/>
      <c r="L35" s="219"/>
      <c r="M35" s="226">
        <v>11000000</v>
      </c>
      <c r="N35" s="139"/>
      <c r="O35" s="139">
        <f>SUM(H35:N35)</f>
        <v>11000000</v>
      </c>
      <c r="P35" s="139"/>
      <c r="Q35" s="139"/>
      <c r="R35" s="143"/>
    </row>
    <row r="36" spans="1:19" ht="24.95" customHeight="1" x14ac:dyDescent="0.25">
      <c r="A36" s="211"/>
      <c r="B36" s="337"/>
      <c r="C36" s="452" t="s">
        <v>4091</v>
      </c>
      <c r="D36" s="453"/>
      <c r="E36" s="454"/>
      <c r="F36" s="196"/>
      <c r="G36" s="195"/>
      <c r="H36" s="155"/>
      <c r="I36" s="195"/>
      <c r="J36" s="155"/>
      <c r="K36" s="185">
        <v>150000</v>
      </c>
      <c r="L36" s="219"/>
      <c r="M36" s="219"/>
      <c r="N36" s="219"/>
      <c r="O36" s="139">
        <f t="shared" ref="O36:O40" si="5">SUM(H36:N36)</f>
        <v>150000</v>
      </c>
      <c r="P36" s="139"/>
      <c r="Q36" s="139"/>
      <c r="R36" s="143"/>
    </row>
    <row r="37" spans="1:19" ht="24.95" customHeight="1" x14ac:dyDescent="0.25">
      <c r="A37" s="211"/>
      <c r="B37" s="337"/>
      <c r="C37" s="452" t="s">
        <v>4092</v>
      </c>
      <c r="D37" s="453"/>
      <c r="E37" s="454"/>
      <c r="F37" s="196"/>
      <c r="G37" s="195"/>
      <c r="H37" s="155"/>
      <c r="I37" s="195"/>
      <c r="J37" s="155"/>
      <c r="K37" s="185">
        <v>150000</v>
      </c>
      <c r="L37" s="219"/>
      <c r="M37" s="219"/>
      <c r="N37" s="219"/>
      <c r="O37" s="139">
        <f t="shared" si="5"/>
        <v>150000</v>
      </c>
      <c r="P37" s="139"/>
      <c r="Q37" s="139"/>
      <c r="R37" s="143"/>
    </row>
    <row r="38" spans="1:19" ht="24.95" customHeight="1" x14ac:dyDescent="0.25">
      <c r="A38" s="211"/>
      <c r="B38" s="337"/>
      <c r="C38" s="452" t="s">
        <v>4093</v>
      </c>
      <c r="D38" s="453"/>
      <c r="E38" s="454"/>
      <c r="F38" s="196"/>
      <c r="G38" s="195"/>
      <c r="H38" s="155"/>
      <c r="I38" s="195"/>
      <c r="J38" s="155"/>
      <c r="K38" s="185">
        <v>130000</v>
      </c>
      <c r="L38" s="219"/>
      <c r="M38" s="219"/>
      <c r="N38" s="219"/>
      <c r="O38" s="139">
        <f t="shared" si="5"/>
        <v>130000</v>
      </c>
      <c r="P38" s="139"/>
      <c r="Q38" s="139"/>
      <c r="R38" s="143"/>
    </row>
    <row r="39" spans="1:19" ht="24.95" customHeight="1" x14ac:dyDescent="0.25">
      <c r="A39" s="211"/>
      <c r="B39" s="337"/>
      <c r="C39" s="452" t="s">
        <v>3738</v>
      </c>
      <c r="D39" s="453"/>
      <c r="E39" s="454"/>
      <c r="F39" s="196"/>
      <c r="G39" s="195"/>
      <c r="H39" s="155"/>
      <c r="I39" s="195"/>
      <c r="J39" s="155"/>
      <c r="K39" s="185">
        <f>26/26*8000000</f>
        <v>8000000</v>
      </c>
      <c r="L39" s="219"/>
      <c r="M39" s="139"/>
      <c r="N39" s="139"/>
      <c r="O39" s="139">
        <f t="shared" si="5"/>
        <v>8000000</v>
      </c>
      <c r="P39" s="139"/>
      <c r="Q39" s="139"/>
      <c r="R39" s="143"/>
    </row>
    <row r="40" spans="1:19" ht="24.95" customHeight="1" x14ac:dyDescent="0.25">
      <c r="A40" s="211"/>
      <c r="B40" s="337"/>
      <c r="C40" s="452" t="s">
        <v>26</v>
      </c>
      <c r="D40" s="453"/>
      <c r="E40" s="454"/>
      <c r="F40" s="196"/>
      <c r="G40" s="195"/>
      <c r="H40" s="155"/>
      <c r="I40" s="195"/>
      <c r="J40" s="155"/>
      <c r="K40" s="219"/>
      <c r="L40" s="185">
        <v>1200000</v>
      </c>
      <c r="M40" s="139"/>
      <c r="N40" s="139"/>
      <c r="O40" s="139">
        <f t="shared" si="5"/>
        <v>1200000</v>
      </c>
      <c r="P40" s="139"/>
      <c r="Q40" s="139"/>
      <c r="R40" s="143"/>
    </row>
    <row r="41" spans="1:19" ht="20.45" customHeight="1" x14ac:dyDescent="0.25">
      <c r="A41" s="450" t="s">
        <v>20</v>
      </c>
      <c r="B41" s="450"/>
      <c r="C41" s="450"/>
      <c r="D41" s="450"/>
      <c r="E41" s="450"/>
      <c r="F41" s="450"/>
      <c r="G41" s="334">
        <f t="shared" ref="G41:N41" si="6">SUM(G8:G40)</f>
        <v>2472</v>
      </c>
      <c r="H41" s="334">
        <f t="shared" si="6"/>
        <v>46031010</v>
      </c>
      <c r="I41" s="334">
        <f t="shared" si="6"/>
        <v>0</v>
      </c>
      <c r="J41" s="334">
        <f t="shared" si="6"/>
        <v>28460000</v>
      </c>
      <c r="K41" s="334">
        <f t="shared" si="6"/>
        <v>8430000</v>
      </c>
      <c r="L41" s="334">
        <f t="shared" si="6"/>
        <v>1200000</v>
      </c>
      <c r="M41" s="334">
        <f t="shared" si="6"/>
        <v>11000000</v>
      </c>
      <c r="N41" s="334">
        <f t="shared" si="6"/>
        <v>0</v>
      </c>
      <c r="O41" s="334">
        <f>SUM(O8:O40)</f>
        <v>95121010</v>
      </c>
      <c r="P41" s="334">
        <f>SUM(P8:P40)</f>
        <v>117472727</v>
      </c>
      <c r="Q41" s="334">
        <f>P41-O41</f>
        <v>22351717</v>
      </c>
    </row>
    <row r="42" spans="1:19" ht="24.95" customHeight="1" x14ac:dyDescent="0.25">
      <c r="O42" s="158"/>
      <c r="Q42" s="158"/>
    </row>
    <row r="43" spans="1:19" ht="13.9" customHeight="1" x14ac:dyDescent="0.25">
      <c r="P43" s="216" t="s">
        <v>1603</v>
      </c>
      <c r="Q43" s="227">
        <f>'10.2021'!Q55+'11.2021'!Q41</f>
        <v>216310209.76923078</v>
      </c>
      <c r="S43" s="216"/>
    </row>
    <row r="44" spans="1:19" ht="13.9" customHeight="1" x14ac:dyDescent="0.25">
      <c r="B44" s="129"/>
      <c r="J44" s="128"/>
      <c r="K44" s="128"/>
      <c r="L44" s="128"/>
      <c r="N44" s="128"/>
      <c r="O44" s="128"/>
      <c r="P44" s="218"/>
      <c r="Q44" s="216"/>
    </row>
    <row r="45" spans="1:19" ht="13.9" customHeight="1" x14ac:dyDescent="0.25">
      <c r="B45" s="129"/>
      <c r="H45" s="128"/>
      <c r="J45" s="128"/>
      <c r="K45" s="128"/>
      <c r="L45" s="128"/>
      <c r="M45" s="128"/>
      <c r="N45" s="128"/>
      <c r="O45" s="128"/>
      <c r="P45" s="218"/>
      <c r="Q45" s="230"/>
    </row>
    <row r="46" spans="1:19" ht="13.9" customHeight="1" x14ac:dyDescent="0.25">
      <c r="B46" s="129"/>
      <c r="H46" s="128"/>
      <c r="J46" s="128"/>
      <c r="K46" s="128"/>
      <c r="L46" s="128"/>
      <c r="M46" s="128"/>
      <c r="N46" s="128"/>
      <c r="O46" s="128"/>
      <c r="P46" s="218"/>
      <c r="Q46" s="230"/>
      <c r="R46" s="143"/>
    </row>
    <row r="47" spans="1:19" ht="13.9" customHeight="1" x14ac:dyDescent="0.25">
      <c r="B47" s="129"/>
      <c r="H47" s="128"/>
      <c r="J47" s="128"/>
      <c r="K47" s="128"/>
      <c r="L47" s="128"/>
      <c r="M47" s="128"/>
      <c r="N47" s="128"/>
      <c r="O47" s="128"/>
      <c r="P47" s="218"/>
      <c r="Q47" s="216"/>
      <c r="R47" s="143"/>
    </row>
    <row r="48" spans="1:19" x14ac:dyDescent="0.25">
      <c r="B48" s="129"/>
      <c r="H48" s="128"/>
      <c r="J48" s="128"/>
      <c r="K48" s="128"/>
      <c r="L48" s="128"/>
      <c r="M48" s="128"/>
      <c r="N48" s="128"/>
      <c r="O48" s="128"/>
      <c r="P48" s="218"/>
      <c r="Q48" s="216"/>
    </row>
    <row r="49" spans="1:17" x14ac:dyDescent="0.25">
      <c r="A49" s="128"/>
      <c r="B49" s="129"/>
      <c r="H49" s="128"/>
      <c r="J49" s="128"/>
      <c r="K49" s="128"/>
      <c r="L49" s="128"/>
      <c r="M49" s="128"/>
      <c r="N49" s="128"/>
      <c r="O49" s="128"/>
      <c r="P49" s="218"/>
      <c r="Q49" s="216"/>
    </row>
    <row r="50" spans="1:17" x14ac:dyDescent="0.25">
      <c r="A50" s="128"/>
      <c r="B50" s="129"/>
      <c r="H50" s="128"/>
      <c r="J50" s="128"/>
      <c r="K50" s="128"/>
      <c r="L50" s="128"/>
      <c r="M50" s="128"/>
      <c r="N50" s="128"/>
      <c r="O50" s="128"/>
      <c r="P50" s="218"/>
      <c r="Q50" s="216"/>
    </row>
    <row r="51" spans="1:17" x14ac:dyDescent="0.25">
      <c r="A51" s="128"/>
      <c r="B51" s="128"/>
      <c r="H51" s="128"/>
      <c r="J51" s="128"/>
      <c r="K51" s="128"/>
      <c r="L51" s="128"/>
      <c r="M51" s="128"/>
      <c r="N51" s="128"/>
      <c r="O51" s="128"/>
      <c r="P51" s="128"/>
      <c r="Q51" s="216"/>
    </row>
    <row r="52" spans="1:17" x14ac:dyDescent="0.25">
      <c r="A52" s="128"/>
      <c r="B52" s="128"/>
      <c r="H52" s="128"/>
      <c r="J52" s="128"/>
      <c r="K52" s="128"/>
      <c r="L52" s="128"/>
      <c r="M52" s="128"/>
      <c r="N52" s="128"/>
      <c r="O52" s="128"/>
      <c r="P52" s="128"/>
      <c r="Q52" s="216"/>
    </row>
  </sheetData>
  <autoFilter ref="A5:Q32" xr:uid="{52D9BCEA-267F-4A3A-BB50-51670CDDF1E8}">
    <filterColumn colId="6" showButton="0"/>
    <filterColumn colId="7" showButton="0"/>
    <filterColumn colId="8" showButton="0"/>
    <filterColumn colId="9" showButton="0"/>
    <filterColumn colId="10" showButton="0"/>
    <filterColumn colId="11" showButton="0"/>
    <filterColumn colId="12" showButton="0"/>
  </autoFilter>
  <mergeCells count="21">
    <mergeCell ref="C34:F34"/>
    <mergeCell ref="C35:E35"/>
    <mergeCell ref="A41:F41"/>
    <mergeCell ref="C36:E36"/>
    <mergeCell ref="C37:E37"/>
    <mergeCell ref="C38:E38"/>
    <mergeCell ref="C39:E39"/>
    <mergeCell ref="C40:E40"/>
    <mergeCell ref="A1:Q1"/>
    <mergeCell ref="A2:Q2"/>
    <mergeCell ref="B3:Q3"/>
    <mergeCell ref="A5:A6"/>
    <mergeCell ref="B5:B6"/>
    <mergeCell ref="C5:C6"/>
    <mergeCell ref="D5:D6"/>
    <mergeCell ref="E5:E6"/>
    <mergeCell ref="F5:F6"/>
    <mergeCell ref="G5:N5"/>
    <mergeCell ref="O5:O6"/>
    <mergeCell ref="P5:P6"/>
    <mergeCell ref="Q5:Q6"/>
  </mergeCells>
  <pageMargins left="0.7" right="0.7" top="0.75" bottom="0.75" header="0.3" footer="0.3"/>
  <pageSetup paperSize="9" orientation="portrait" horizontalDpi="0"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51B0-CFFB-4D02-AF0B-20ECCD8D8EEC}">
  <dimension ref="A1:S56"/>
  <sheetViews>
    <sheetView topLeftCell="A27" workbookViewId="0">
      <selection activeCell="Q47" sqref="Q47"/>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4149</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44531</v>
      </c>
      <c r="C8" s="134" t="s">
        <v>4098</v>
      </c>
      <c r="D8" s="211" t="s">
        <v>4080</v>
      </c>
      <c r="E8" s="136" t="s">
        <v>721</v>
      </c>
      <c r="F8" s="134"/>
      <c r="G8" s="134"/>
      <c r="H8" s="139"/>
      <c r="I8" s="134"/>
      <c r="J8" s="226">
        <v>660000</v>
      </c>
      <c r="K8" s="139"/>
      <c r="L8" s="263"/>
      <c r="M8" s="139"/>
      <c r="N8" s="139"/>
      <c r="O8" s="139">
        <f>SUM(H8:N8)</f>
        <v>660000</v>
      </c>
      <c r="P8" s="139">
        <v>4345455</v>
      </c>
      <c r="Q8" s="139">
        <f>P8-O8</f>
        <v>3685455</v>
      </c>
      <c r="R8" s="143"/>
    </row>
    <row r="9" spans="1:18" ht="20.45" customHeight="1" x14ac:dyDescent="0.25">
      <c r="A9" s="211">
        <v>2</v>
      </c>
      <c r="B9" s="328">
        <v>44531</v>
      </c>
      <c r="C9" s="134" t="s">
        <v>778</v>
      </c>
      <c r="D9" s="211" t="s">
        <v>4111</v>
      </c>
      <c r="E9" s="136" t="s">
        <v>3169</v>
      </c>
      <c r="F9" s="134"/>
      <c r="G9" s="134">
        <v>88</v>
      </c>
      <c r="H9" s="139">
        <f>G9*18380</f>
        <v>1617440</v>
      </c>
      <c r="I9" s="134"/>
      <c r="J9" s="226">
        <v>1150000</v>
      </c>
      <c r="K9" s="139"/>
      <c r="L9" s="263"/>
      <c r="M9" s="139"/>
      <c r="N9" s="139"/>
      <c r="O9" s="139">
        <f>SUM(H9:N9)</f>
        <v>2767440</v>
      </c>
      <c r="P9" s="139">
        <v>3563636</v>
      </c>
      <c r="Q9" s="139">
        <f t="shared" ref="Q9:Q36" si="0">P9-O9</f>
        <v>796196</v>
      </c>
      <c r="R9" s="143"/>
    </row>
    <row r="10" spans="1:18" ht="20.45" customHeight="1" x14ac:dyDescent="0.25">
      <c r="A10" s="211">
        <v>3</v>
      </c>
      <c r="B10" s="328">
        <v>44532</v>
      </c>
      <c r="C10" s="134" t="s">
        <v>28</v>
      </c>
      <c r="D10" s="211" t="s">
        <v>4112</v>
      </c>
      <c r="E10" s="136" t="s">
        <v>406</v>
      </c>
      <c r="F10" s="134"/>
      <c r="G10" s="134">
        <v>88</v>
      </c>
      <c r="H10" s="139">
        <f t="shared" ref="H10:H15" si="1">G10*18380</f>
        <v>1617440</v>
      </c>
      <c r="I10" s="134"/>
      <c r="J10" s="226">
        <v>1150000</v>
      </c>
      <c r="K10" s="139"/>
      <c r="L10" s="263"/>
      <c r="M10" s="139"/>
      <c r="N10" s="139"/>
      <c r="O10" s="139">
        <f t="shared" ref="O10:O35" si="2">SUM(H10:N10)</f>
        <v>2767440</v>
      </c>
      <c r="P10" s="139">
        <v>4100000</v>
      </c>
      <c r="Q10" s="139">
        <f t="shared" si="0"/>
        <v>1332560</v>
      </c>
      <c r="R10" s="143"/>
    </row>
    <row r="11" spans="1:18" ht="20.45" customHeight="1" x14ac:dyDescent="0.25">
      <c r="A11" s="211">
        <v>4</v>
      </c>
      <c r="B11" s="328">
        <v>44536</v>
      </c>
      <c r="C11" s="134" t="s">
        <v>4099</v>
      </c>
      <c r="D11" s="211" t="s">
        <v>4113</v>
      </c>
      <c r="E11" s="136" t="s">
        <v>3938</v>
      </c>
      <c r="F11" s="134"/>
      <c r="G11" s="134">
        <v>83</v>
      </c>
      <c r="H11" s="139">
        <f t="shared" si="1"/>
        <v>1525540</v>
      </c>
      <c r="I11" s="134"/>
      <c r="J11" s="226">
        <v>1150000</v>
      </c>
      <c r="K11" s="139"/>
      <c r="L11" s="263"/>
      <c r="M11" s="139"/>
      <c r="N11" s="139"/>
      <c r="O11" s="139">
        <f t="shared" si="2"/>
        <v>2675540</v>
      </c>
      <c r="P11" s="139">
        <v>4581818</v>
      </c>
      <c r="Q11" s="139">
        <f t="shared" si="0"/>
        <v>1906278</v>
      </c>
      <c r="R11" s="143"/>
    </row>
    <row r="12" spans="1:18" ht="20.45" customHeight="1" x14ac:dyDescent="0.25">
      <c r="A12" s="211">
        <v>5</v>
      </c>
      <c r="B12" s="328">
        <v>44536</v>
      </c>
      <c r="C12" s="134" t="s">
        <v>4100</v>
      </c>
      <c r="D12" s="211" t="s">
        <v>4114</v>
      </c>
      <c r="E12" s="136" t="s">
        <v>23</v>
      </c>
      <c r="F12" s="134"/>
      <c r="G12" s="134">
        <v>240</v>
      </c>
      <c r="H12" s="139">
        <f t="shared" si="1"/>
        <v>4411200</v>
      </c>
      <c r="I12" s="134"/>
      <c r="J12" s="226">
        <v>2740000</v>
      </c>
      <c r="K12" s="139"/>
      <c r="L12" s="263"/>
      <c r="M12" s="139"/>
      <c r="N12" s="139"/>
      <c r="O12" s="139">
        <f t="shared" si="2"/>
        <v>7151200</v>
      </c>
      <c r="P12" s="139">
        <v>12454545</v>
      </c>
      <c r="Q12" s="139">
        <f t="shared" si="0"/>
        <v>5303345</v>
      </c>
      <c r="R12" s="143"/>
    </row>
    <row r="13" spans="1:18" ht="20.45" customHeight="1" x14ac:dyDescent="0.25">
      <c r="A13" s="211">
        <v>6</v>
      </c>
      <c r="B13" s="328">
        <v>44536</v>
      </c>
      <c r="C13" s="134" t="s">
        <v>3453</v>
      </c>
      <c r="D13" s="211" t="s">
        <v>4115</v>
      </c>
      <c r="E13" s="136" t="s">
        <v>27</v>
      </c>
      <c r="F13" s="134"/>
      <c r="G13" s="134">
        <v>109</v>
      </c>
      <c r="H13" s="139">
        <f t="shared" si="1"/>
        <v>2003420</v>
      </c>
      <c r="I13" s="134"/>
      <c r="J13" s="226">
        <v>790000</v>
      </c>
      <c r="K13" s="139"/>
      <c r="L13" s="263"/>
      <c r="M13" s="139"/>
      <c r="N13" s="139"/>
      <c r="O13" s="139">
        <f t="shared" si="2"/>
        <v>2793420</v>
      </c>
      <c r="P13" s="139">
        <v>4000000</v>
      </c>
      <c r="Q13" s="139">
        <f t="shared" si="0"/>
        <v>1206580</v>
      </c>
      <c r="R13" s="143"/>
    </row>
    <row r="14" spans="1:18" ht="20.45" customHeight="1" x14ac:dyDescent="0.25">
      <c r="A14" s="211">
        <v>7</v>
      </c>
      <c r="B14" s="328">
        <v>44537</v>
      </c>
      <c r="C14" s="134" t="s">
        <v>783</v>
      </c>
      <c r="D14" s="211" t="s">
        <v>4116</v>
      </c>
      <c r="E14" s="136" t="s">
        <v>291</v>
      </c>
      <c r="F14" s="134"/>
      <c r="G14" s="134">
        <v>77</v>
      </c>
      <c r="H14" s="139">
        <f t="shared" si="1"/>
        <v>1415260</v>
      </c>
      <c r="I14" s="134"/>
      <c r="J14" s="226">
        <v>1150000</v>
      </c>
      <c r="K14" s="139"/>
      <c r="L14" s="263"/>
      <c r="M14" s="139"/>
      <c r="N14" s="139"/>
      <c r="O14" s="139">
        <f t="shared" si="2"/>
        <v>2565260</v>
      </c>
      <c r="P14" s="139">
        <v>4018182</v>
      </c>
      <c r="Q14" s="139">
        <f t="shared" si="0"/>
        <v>1452922</v>
      </c>
      <c r="R14" s="143"/>
    </row>
    <row r="15" spans="1:18" ht="20.45" customHeight="1" x14ac:dyDescent="0.25">
      <c r="A15" s="211">
        <v>8</v>
      </c>
      <c r="B15" s="328">
        <v>44538</v>
      </c>
      <c r="C15" s="134" t="s">
        <v>4101</v>
      </c>
      <c r="D15" s="211" t="s">
        <v>4117</v>
      </c>
      <c r="E15" s="136" t="s">
        <v>4138</v>
      </c>
      <c r="F15" s="134"/>
      <c r="G15" s="134">
        <v>89</v>
      </c>
      <c r="H15" s="139">
        <f t="shared" si="1"/>
        <v>1635820</v>
      </c>
      <c r="I15" s="134"/>
      <c r="J15" s="226">
        <v>1150000</v>
      </c>
      <c r="K15" s="139"/>
      <c r="L15" s="263"/>
      <c r="M15" s="139"/>
      <c r="N15" s="139"/>
      <c r="O15" s="139">
        <f t="shared" si="2"/>
        <v>2785820</v>
      </c>
      <c r="P15" s="139">
        <v>4000000</v>
      </c>
      <c r="Q15" s="139">
        <f t="shared" si="0"/>
        <v>1214180</v>
      </c>
      <c r="R15" s="143"/>
    </row>
    <row r="16" spans="1:18" ht="20.45" customHeight="1" x14ac:dyDescent="0.25">
      <c r="A16" s="211">
        <v>9</v>
      </c>
      <c r="B16" s="328">
        <v>44539</v>
      </c>
      <c r="C16" s="134" t="s">
        <v>4102</v>
      </c>
      <c r="D16" s="211" t="s">
        <v>4118</v>
      </c>
      <c r="E16" s="136" t="s">
        <v>4139</v>
      </c>
      <c r="F16" s="134"/>
      <c r="G16" s="134">
        <v>110</v>
      </c>
      <c r="H16" s="139">
        <f>G16*17330</f>
        <v>1906300</v>
      </c>
      <c r="I16" s="134"/>
      <c r="J16" s="226">
        <v>1150000</v>
      </c>
      <c r="K16" s="139"/>
      <c r="L16" s="263"/>
      <c r="M16" s="139"/>
      <c r="N16" s="139"/>
      <c r="O16" s="139">
        <f t="shared" si="2"/>
        <v>3056300</v>
      </c>
      <c r="P16" s="139">
        <v>4500000</v>
      </c>
      <c r="Q16" s="139">
        <f t="shared" si="0"/>
        <v>1443700</v>
      </c>
      <c r="R16" s="143"/>
    </row>
    <row r="17" spans="1:18" ht="20.45" customHeight="1" x14ac:dyDescent="0.25">
      <c r="A17" s="211">
        <v>10</v>
      </c>
      <c r="B17" s="328">
        <v>44540</v>
      </c>
      <c r="C17" s="134" t="s">
        <v>4103</v>
      </c>
      <c r="D17" s="211" t="s">
        <v>4119</v>
      </c>
      <c r="E17" s="136" t="s">
        <v>2883</v>
      </c>
      <c r="F17" s="134"/>
      <c r="G17" s="134">
        <v>66</v>
      </c>
      <c r="H17" s="139">
        <f t="shared" ref="H17:H29" si="3">G17*17330</f>
        <v>1143780</v>
      </c>
      <c r="I17" s="134"/>
      <c r="J17" s="226">
        <v>790000</v>
      </c>
      <c r="K17" s="139"/>
      <c r="L17" s="263"/>
      <c r="M17" s="139"/>
      <c r="N17" s="139"/>
      <c r="O17" s="139">
        <f t="shared" si="2"/>
        <v>1933780</v>
      </c>
      <c r="P17" s="139">
        <v>3090909</v>
      </c>
      <c r="Q17" s="139">
        <f t="shared" si="0"/>
        <v>1157129</v>
      </c>
      <c r="R17" s="143"/>
    </row>
    <row r="18" spans="1:18" ht="20.45" customHeight="1" x14ac:dyDescent="0.25">
      <c r="A18" s="211">
        <v>11</v>
      </c>
      <c r="B18" s="328">
        <v>44543</v>
      </c>
      <c r="C18" s="134" t="s">
        <v>788</v>
      </c>
      <c r="D18" s="211" t="s">
        <v>4120</v>
      </c>
      <c r="E18" s="136" t="s">
        <v>1876</v>
      </c>
      <c r="F18" s="134"/>
      <c r="G18" s="134">
        <v>112</v>
      </c>
      <c r="H18" s="139">
        <f t="shared" si="3"/>
        <v>1940960</v>
      </c>
      <c r="I18" s="134"/>
      <c r="J18" s="226">
        <v>1150000</v>
      </c>
      <c r="K18" s="139"/>
      <c r="L18" s="263"/>
      <c r="M18" s="139"/>
      <c r="N18" s="139"/>
      <c r="O18" s="139">
        <f t="shared" si="2"/>
        <v>3090960</v>
      </c>
      <c r="P18" s="139">
        <v>3800000</v>
      </c>
      <c r="Q18" s="139">
        <f t="shared" si="0"/>
        <v>709040</v>
      </c>
      <c r="R18" s="143"/>
    </row>
    <row r="19" spans="1:18" ht="20.45" customHeight="1" x14ac:dyDescent="0.25">
      <c r="A19" s="211">
        <v>12</v>
      </c>
      <c r="B19" s="328">
        <v>44543</v>
      </c>
      <c r="C19" s="134" t="s">
        <v>4104</v>
      </c>
      <c r="D19" s="211" t="s">
        <v>4120</v>
      </c>
      <c r="E19" s="136" t="s">
        <v>4083</v>
      </c>
      <c r="F19" s="134"/>
      <c r="G19" s="134"/>
      <c r="H19" s="139">
        <f t="shared" si="3"/>
        <v>0</v>
      </c>
      <c r="I19" s="134"/>
      <c r="J19" s="226">
        <v>680000</v>
      </c>
      <c r="K19" s="139"/>
      <c r="L19" s="263"/>
      <c r="M19" s="139"/>
      <c r="N19" s="139"/>
      <c r="O19" s="139">
        <f t="shared" si="2"/>
        <v>680000</v>
      </c>
      <c r="P19" s="139">
        <v>2900000</v>
      </c>
      <c r="Q19" s="139">
        <f t="shared" si="0"/>
        <v>2220000</v>
      </c>
      <c r="R19" s="143"/>
    </row>
    <row r="20" spans="1:18" ht="20.45" customHeight="1" x14ac:dyDescent="0.25">
      <c r="A20" s="211">
        <v>13</v>
      </c>
      <c r="B20" s="328">
        <v>44544</v>
      </c>
      <c r="C20" s="134" t="s">
        <v>790</v>
      </c>
      <c r="D20" s="211" t="s">
        <v>4121</v>
      </c>
      <c r="E20" s="136" t="s">
        <v>25</v>
      </c>
      <c r="F20" s="134"/>
      <c r="G20" s="134">
        <v>180</v>
      </c>
      <c r="H20" s="139">
        <f t="shared" si="3"/>
        <v>3119400</v>
      </c>
      <c r="I20" s="134"/>
      <c r="J20" s="226">
        <v>1890000</v>
      </c>
      <c r="K20" s="139"/>
      <c r="L20" s="263"/>
      <c r="M20" s="139"/>
      <c r="N20" s="139"/>
      <c r="O20" s="139">
        <f t="shared" si="2"/>
        <v>5009400</v>
      </c>
      <c r="P20" s="139">
        <v>8936364</v>
      </c>
      <c r="Q20" s="139">
        <f t="shared" si="0"/>
        <v>3926964</v>
      </c>
      <c r="R20" s="143"/>
    </row>
    <row r="21" spans="1:18" ht="20.45" customHeight="1" x14ac:dyDescent="0.25">
      <c r="A21" s="211">
        <v>14</v>
      </c>
      <c r="B21" s="328">
        <v>44544</v>
      </c>
      <c r="C21" s="134" t="s">
        <v>790</v>
      </c>
      <c r="D21" s="211" t="s">
        <v>4122</v>
      </c>
      <c r="E21" s="136" t="s">
        <v>25</v>
      </c>
      <c r="F21" s="134"/>
      <c r="G21" s="134"/>
      <c r="H21" s="139">
        <f t="shared" si="3"/>
        <v>0</v>
      </c>
      <c r="I21" s="134"/>
      <c r="J21" s="226">
        <v>300000</v>
      </c>
      <c r="K21" s="139"/>
      <c r="L21" s="263"/>
      <c r="M21" s="139"/>
      <c r="N21" s="139"/>
      <c r="O21" s="139">
        <f t="shared" si="2"/>
        <v>300000</v>
      </c>
      <c r="P21" s="139">
        <v>0</v>
      </c>
      <c r="Q21" s="139">
        <f t="shared" si="0"/>
        <v>-300000</v>
      </c>
      <c r="R21" s="143"/>
    </row>
    <row r="22" spans="1:18" ht="20.45" customHeight="1" x14ac:dyDescent="0.25">
      <c r="A22" s="211">
        <v>15</v>
      </c>
      <c r="B22" s="328">
        <v>44545</v>
      </c>
      <c r="C22" s="134" t="s">
        <v>4105</v>
      </c>
      <c r="D22" s="211" t="s">
        <v>4123</v>
      </c>
      <c r="E22" s="136" t="s">
        <v>4140</v>
      </c>
      <c r="F22" s="134"/>
      <c r="G22" s="134">
        <v>84</v>
      </c>
      <c r="H22" s="139">
        <f t="shared" si="3"/>
        <v>1455720</v>
      </c>
      <c r="I22" s="134"/>
      <c r="J22" s="226">
        <v>1150000</v>
      </c>
      <c r="K22" s="139"/>
      <c r="L22" s="263"/>
      <c r="M22" s="139"/>
      <c r="N22" s="139"/>
      <c r="O22" s="139">
        <f t="shared" si="2"/>
        <v>2605720</v>
      </c>
      <c r="P22" s="139">
        <v>3900000</v>
      </c>
      <c r="Q22" s="139">
        <f t="shared" si="0"/>
        <v>1294280</v>
      </c>
      <c r="R22" s="143"/>
    </row>
    <row r="23" spans="1:18" ht="25.5" customHeight="1" x14ac:dyDescent="0.25">
      <c r="A23" s="211">
        <v>16</v>
      </c>
      <c r="B23" s="328">
        <v>44546</v>
      </c>
      <c r="C23" s="134" t="s">
        <v>2134</v>
      </c>
      <c r="D23" s="211" t="s">
        <v>4124</v>
      </c>
      <c r="E23" s="136" t="s">
        <v>259</v>
      </c>
      <c r="F23" s="134"/>
      <c r="G23" s="134">
        <v>103</v>
      </c>
      <c r="H23" s="139">
        <f t="shared" si="3"/>
        <v>1784990</v>
      </c>
      <c r="I23" s="134"/>
      <c r="J23" s="226">
        <v>1150000</v>
      </c>
      <c r="K23" s="139"/>
      <c r="L23" s="263"/>
      <c r="M23" s="139"/>
      <c r="N23" s="139"/>
      <c r="O23" s="139">
        <f t="shared" si="2"/>
        <v>2934990</v>
      </c>
      <c r="P23" s="139">
        <v>4000000</v>
      </c>
      <c r="Q23" s="139">
        <f t="shared" si="0"/>
        <v>1065010</v>
      </c>
      <c r="R23" s="143"/>
    </row>
    <row r="24" spans="1:18" ht="20.45" customHeight="1" x14ac:dyDescent="0.25">
      <c r="A24" s="211">
        <v>17</v>
      </c>
      <c r="B24" s="328">
        <v>44548</v>
      </c>
      <c r="C24" s="134" t="s">
        <v>4106</v>
      </c>
      <c r="D24" s="211" t="s">
        <v>4125</v>
      </c>
      <c r="E24" s="136" t="s">
        <v>4141</v>
      </c>
      <c r="F24" s="134"/>
      <c r="G24" s="134">
        <v>48</v>
      </c>
      <c r="H24" s="139">
        <f t="shared" si="3"/>
        <v>831840</v>
      </c>
      <c r="I24" s="134"/>
      <c r="J24" s="226">
        <v>700000</v>
      </c>
      <c r="K24" s="139"/>
      <c r="L24" s="263"/>
      <c r="M24" s="139"/>
      <c r="N24" s="139"/>
      <c r="O24" s="139">
        <f t="shared" si="2"/>
        <v>1531840</v>
      </c>
      <c r="P24" s="139">
        <v>2863636</v>
      </c>
      <c r="Q24" s="139">
        <f t="shared" si="0"/>
        <v>1331796</v>
      </c>
      <c r="R24" s="143"/>
    </row>
    <row r="25" spans="1:18" ht="20.45" customHeight="1" x14ac:dyDescent="0.25">
      <c r="A25" s="211">
        <v>18</v>
      </c>
      <c r="B25" s="328">
        <v>44550</v>
      </c>
      <c r="C25" s="134" t="s">
        <v>1459</v>
      </c>
      <c r="D25" s="211" t="s">
        <v>4126</v>
      </c>
      <c r="E25" s="136" t="s">
        <v>4142</v>
      </c>
      <c r="F25" s="134"/>
      <c r="G25" s="134">
        <v>88</v>
      </c>
      <c r="H25" s="139">
        <f t="shared" si="3"/>
        <v>1525040</v>
      </c>
      <c r="I25" s="134"/>
      <c r="J25" s="226">
        <v>1150000</v>
      </c>
      <c r="K25" s="139"/>
      <c r="L25" s="263"/>
      <c r="M25" s="139"/>
      <c r="N25" s="139"/>
      <c r="O25" s="139">
        <f t="shared" si="2"/>
        <v>2675040</v>
      </c>
      <c r="P25" s="139">
        <v>3954545</v>
      </c>
      <c r="Q25" s="139">
        <f t="shared" si="0"/>
        <v>1279505</v>
      </c>
      <c r="R25" s="143"/>
    </row>
    <row r="26" spans="1:18" ht="20.45" customHeight="1" x14ac:dyDescent="0.25">
      <c r="A26" s="211">
        <v>19</v>
      </c>
      <c r="B26" s="328">
        <v>44550</v>
      </c>
      <c r="C26" s="134" t="s">
        <v>3459</v>
      </c>
      <c r="D26" s="211" t="s">
        <v>4127</v>
      </c>
      <c r="E26" s="136" t="s">
        <v>1876</v>
      </c>
      <c r="F26" s="134"/>
      <c r="G26" s="134">
        <v>93</v>
      </c>
      <c r="H26" s="139">
        <f t="shared" si="3"/>
        <v>1611690</v>
      </c>
      <c r="I26" s="134"/>
      <c r="J26" s="226">
        <v>1150000</v>
      </c>
      <c r="K26" s="139"/>
      <c r="L26" s="263"/>
      <c r="M26" s="139"/>
      <c r="N26" s="139"/>
      <c r="O26" s="139">
        <f t="shared" si="2"/>
        <v>2761690</v>
      </c>
      <c r="P26" s="139">
        <v>3800000</v>
      </c>
      <c r="Q26" s="139">
        <f t="shared" si="0"/>
        <v>1038310</v>
      </c>
      <c r="R26" s="143"/>
    </row>
    <row r="27" spans="1:18" ht="20.45" customHeight="1" x14ac:dyDescent="0.25">
      <c r="A27" s="211">
        <v>20</v>
      </c>
      <c r="B27" s="328">
        <v>44551</v>
      </c>
      <c r="C27" s="134" t="s">
        <v>796</v>
      </c>
      <c r="D27" s="211" t="s">
        <v>4128</v>
      </c>
      <c r="E27" s="136" t="s">
        <v>279</v>
      </c>
      <c r="F27" s="134"/>
      <c r="G27" s="134">
        <v>180</v>
      </c>
      <c r="H27" s="139">
        <f t="shared" si="3"/>
        <v>3119400</v>
      </c>
      <c r="I27" s="134"/>
      <c r="J27" s="226">
        <v>1890000</v>
      </c>
      <c r="K27" s="139"/>
      <c r="L27" s="263"/>
      <c r="M27" s="139"/>
      <c r="N27" s="139"/>
      <c r="O27" s="139">
        <f t="shared" si="2"/>
        <v>5009400</v>
      </c>
      <c r="P27" s="139">
        <v>10181818</v>
      </c>
      <c r="Q27" s="139">
        <f t="shared" si="0"/>
        <v>5172418</v>
      </c>
      <c r="R27" s="143"/>
    </row>
    <row r="28" spans="1:18" ht="20.45" customHeight="1" x14ac:dyDescent="0.25">
      <c r="A28" s="211">
        <v>21</v>
      </c>
      <c r="B28" s="328">
        <v>44552</v>
      </c>
      <c r="C28" s="134" t="s">
        <v>4107</v>
      </c>
      <c r="D28" s="211" t="s">
        <v>4129</v>
      </c>
      <c r="E28" s="136" t="s">
        <v>27</v>
      </c>
      <c r="F28" s="134"/>
      <c r="G28" s="134">
        <v>109</v>
      </c>
      <c r="H28" s="139">
        <f t="shared" si="3"/>
        <v>1888970</v>
      </c>
      <c r="I28" s="134"/>
      <c r="J28" s="226">
        <v>790000</v>
      </c>
      <c r="K28" s="139"/>
      <c r="L28" s="263"/>
      <c r="M28" s="139"/>
      <c r="N28" s="139"/>
      <c r="O28" s="139">
        <f t="shared" si="2"/>
        <v>2678970</v>
      </c>
      <c r="P28" s="139">
        <v>4000000</v>
      </c>
      <c r="Q28" s="139">
        <f t="shared" si="0"/>
        <v>1321030</v>
      </c>
      <c r="R28" s="143"/>
    </row>
    <row r="29" spans="1:18" ht="20.45" customHeight="1" x14ac:dyDescent="0.25">
      <c r="A29" s="211">
        <v>22</v>
      </c>
      <c r="B29" s="328">
        <v>44553</v>
      </c>
      <c r="C29" s="134" t="s">
        <v>48</v>
      </c>
      <c r="D29" s="211" t="s">
        <v>4130</v>
      </c>
      <c r="E29" s="136" t="s">
        <v>1078</v>
      </c>
      <c r="F29" s="134"/>
      <c r="G29" s="134">
        <v>43</v>
      </c>
      <c r="H29" s="139">
        <f t="shared" si="3"/>
        <v>745190</v>
      </c>
      <c r="I29" s="134"/>
      <c r="J29" s="226">
        <v>790000</v>
      </c>
      <c r="K29" s="139"/>
      <c r="L29" s="263"/>
      <c r="M29" s="139"/>
      <c r="N29" s="139"/>
      <c r="O29" s="139">
        <f t="shared" si="2"/>
        <v>1535190</v>
      </c>
      <c r="P29" s="139">
        <v>3500000</v>
      </c>
      <c r="Q29" s="139">
        <f t="shared" si="0"/>
        <v>1964810</v>
      </c>
      <c r="R29" s="143"/>
    </row>
    <row r="30" spans="1:18" ht="20.45" customHeight="1" x14ac:dyDescent="0.25">
      <c r="A30" s="211">
        <v>23</v>
      </c>
      <c r="B30" s="328">
        <v>44555</v>
      </c>
      <c r="C30" s="134" t="s">
        <v>1463</v>
      </c>
      <c r="D30" s="211" t="s">
        <v>4131</v>
      </c>
      <c r="E30" s="136" t="s">
        <v>4143</v>
      </c>
      <c r="F30" s="134"/>
      <c r="G30" s="134">
        <v>81</v>
      </c>
      <c r="H30" s="139">
        <f>G30*17570</f>
        <v>1423170</v>
      </c>
      <c r="I30" s="134"/>
      <c r="J30" s="226">
        <v>1150000</v>
      </c>
      <c r="K30" s="139"/>
      <c r="L30" s="263"/>
      <c r="M30" s="139"/>
      <c r="N30" s="139"/>
      <c r="O30" s="139">
        <f t="shared" si="2"/>
        <v>2573170</v>
      </c>
      <c r="P30" s="139">
        <v>3900000</v>
      </c>
      <c r="Q30" s="139">
        <f t="shared" si="0"/>
        <v>1326830</v>
      </c>
      <c r="R30" s="143"/>
    </row>
    <row r="31" spans="1:18" ht="25.5" customHeight="1" x14ac:dyDescent="0.25">
      <c r="A31" s="211">
        <v>24</v>
      </c>
      <c r="B31" s="328">
        <v>44557</v>
      </c>
      <c r="C31" s="134" t="s">
        <v>4108</v>
      </c>
      <c r="D31" s="211" t="s">
        <v>4132</v>
      </c>
      <c r="E31" s="136" t="s">
        <v>4144</v>
      </c>
      <c r="F31" s="134"/>
      <c r="G31" s="134">
        <v>6</v>
      </c>
      <c r="H31" s="139">
        <f t="shared" ref="H31:H36" si="4">G31*17570</f>
        <v>105420</v>
      </c>
      <c r="I31" s="134"/>
      <c r="J31" s="226">
        <v>300000</v>
      </c>
      <c r="K31" s="139"/>
      <c r="L31" s="263"/>
      <c r="M31" s="139"/>
      <c r="N31" s="139"/>
      <c r="O31" s="139">
        <f t="shared" si="2"/>
        <v>405420</v>
      </c>
      <c r="P31" s="139">
        <v>1500000</v>
      </c>
      <c r="Q31" s="139">
        <f t="shared" si="0"/>
        <v>1094580</v>
      </c>
      <c r="R31" s="143"/>
    </row>
    <row r="32" spans="1:18" ht="20.45" customHeight="1" x14ac:dyDescent="0.25">
      <c r="A32" s="211">
        <v>25</v>
      </c>
      <c r="B32" s="328">
        <v>44557</v>
      </c>
      <c r="C32" s="134" t="s">
        <v>4108</v>
      </c>
      <c r="D32" s="211" t="s">
        <v>4133</v>
      </c>
      <c r="E32" s="136" t="s">
        <v>4144</v>
      </c>
      <c r="F32" s="134"/>
      <c r="G32" s="134">
        <v>6</v>
      </c>
      <c r="H32" s="139">
        <f t="shared" si="4"/>
        <v>105420</v>
      </c>
      <c r="I32" s="134"/>
      <c r="J32" s="226">
        <v>300000</v>
      </c>
      <c r="K32" s="139"/>
      <c r="L32" s="263"/>
      <c r="M32" s="139"/>
      <c r="N32" s="139"/>
      <c r="O32" s="139">
        <f t="shared" si="2"/>
        <v>405420</v>
      </c>
      <c r="P32" s="139">
        <v>1500000</v>
      </c>
      <c r="Q32" s="139">
        <f t="shared" si="0"/>
        <v>1094580</v>
      </c>
      <c r="R32" s="143"/>
    </row>
    <row r="33" spans="1:19" ht="20.45" customHeight="1" x14ac:dyDescent="0.25">
      <c r="A33" s="211">
        <v>26</v>
      </c>
      <c r="B33" s="328">
        <v>44557</v>
      </c>
      <c r="C33" s="134" t="s">
        <v>3461</v>
      </c>
      <c r="D33" s="211" t="s">
        <v>4134</v>
      </c>
      <c r="E33" s="136" t="s">
        <v>4087</v>
      </c>
      <c r="F33" s="134"/>
      <c r="G33" s="134">
        <v>59</v>
      </c>
      <c r="H33" s="139">
        <f t="shared" si="4"/>
        <v>1036630</v>
      </c>
      <c r="I33" s="134"/>
      <c r="J33" s="226">
        <v>790000</v>
      </c>
      <c r="K33" s="139"/>
      <c r="L33" s="263"/>
      <c r="M33" s="139"/>
      <c r="N33" s="139"/>
      <c r="O33" s="139">
        <f t="shared" si="2"/>
        <v>1826630</v>
      </c>
      <c r="P33" s="139">
        <v>2963636</v>
      </c>
      <c r="Q33" s="139">
        <f t="shared" si="0"/>
        <v>1137006</v>
      </c>
      <c r="R33" s="143"/>
    </row>
    <row r="34" spans="1:19" ht="20.45" customHeight="1" x14ac:dyDescent="0.25">
      <c r="A34" s="211">
        <v>27</v>
      </c>
      <c r="B34" s="328">
        <v>44559</v>
      </c>
      <c r="C34" s="134" t="s">
        <v>802</v>
      </c>
      <c r="D34" s="211" t="s">
        <v>4135</v>
      </c>
      <c r="E34" s="136" t="s">
        <v>4087</v>
      </c>
      <c r="F34" s="134"/>
      <c r="G34" s="134">
        <v>59</v>
      </c>
      <c r="H34" s="139">
        <f t="shared" si="4"/>
        <v>1036630</v>
      </c>
      <c r="I34" s="134"/>
      <c r="J34" s="226">
        <v>790000</v>
      </c>
      <c r="K34" s="139"/>
      <c r="L34" s="263"/>
      <c r="M34" s="139"/>
      <c r="N34" s="139"/>
      <c r="O34" s="139">
        <f t="shared" si="2"/>
        <v>1826630</v>
      </c>
      <c r="P34" s="139">
        <v>2963636</v>
      </c>
      <c r="Q34" s="139">
        <f t="shared" si="0"/>
        <v>1137006</v>
      </c>
      <c r="R34" s="143"/>
    </row>
    <row r="35" spans="1:19" ht="20.45" customHeight="1" x14ac:dyDescent="0.25">
      <c r="A35" s="211">
        <v>28</v>
      </c>
      <c r="B35" s="328">
        <v>44559</v>
      </c>
      <c r="C35" s="134" t="s">
        <v>4109</v>
      </c>
      <c r="D35" s="211" t="s">
        <v>4136</v>
      </c>
      <c r="E35" s="136" t="s">
        <v>1568</v>
      </c>
      <c r="F35" s="134"/>
      <c r="G35" s="134">
        <v>84</v>
      </c>
      <c r="H35" s="139">
        <f t="shared" si="4"/>
        <v>1475880</v>
      </c>
      <c r="I35" s="134"/>
      <c r="J35" s="226">
        <v>1150000</v>
      </c>
      <c r="K35" s="139"/>
      <c r="L35" s="263"/>
      <c r="M35" s="139"/>
      <c r="N35" s="139"/>
      <c r="O35" s="139">
        <f t="shared" si="2"/>
        <v>2625880</v>
      </c>
      <c r="P35" s="139">
        <v>3950000</v>
      </c>
      <c r="Q35" s="139">
        <f t="shared" si="0"/>
        <v>1324120</v>
      </c>
      <c r="R35" s="143"/>
    </row>
    <row r="36" spans="1:19" ht="20.45" customHeight="1" x14ac:dyDescent="0.25">
      <c r="A36" s="211">
        <v>29</v>
      </c>
      <c r="B36" s="328">
        <v>44560</v>
      </c>
      <c r="C36" s="134" t="s">
        <v>4110</v>
      </c>
      <c r="D36" s="211" t="s">
        <v>4137</v>
      </c>
      <c r="E36" s="136" t="s">
        <v>4141</v>
      </c>
      <c r="F36" s="134"/>
      <c r="G36" s="134">
        <v>62</v>
      </c>
      <c r="H36" s="139">
        <f t="shared" si="4"/>
        <v>1089340</v>
      </c>
      <c r="I36" s="134"/>
      <c r="J36" s="226">
        <v>700000</v>
      </c>
      <c r="K36" s="139"/>
      <c r="L36" s="263"/>
      <c r="M36" s="139"/>
      <c r="N36" s="139"/>
      <c r="O36" s="139">
        <f>SUM(H36:N36)</f>
        <v>1789340</v>
      </c>
      <c r="P36" s="139">
        <v>3000000</v>
      </c>
      <c r="Q36" s="139">
        <f t="shared" si="0"/>
        <v>1210660</v>
      </c>
      <c r="R36" s="143"/>
    </row>
    <row r="37" spans="1:19" ht="20.45" customHeight="1" x14ac:dyDescent="0.25">
      <c r="A37" s="211"/>
      <c r="B37" s="328"/>
      <c r="C37" s="134"/>
      <c r="D37" s="211"/>
      <c r="E37" s="136"/>
      <c r="F37" s="134"/>
      <c r="G37" s="134"/>
      <c r="H37" s="139"/>
      <c r="I37" s="134"/>
      <c r="J37" s="139"/>
      <c r="K37" s="139"/>
      <c r="L37" s="263"/>
      <c r="M37" s="139"/>
      <c r="N37" s="139"/>
      <c r="O37" s="139"/>
      <c r="P37" s="139"/>
      <c r="Q37" s="139"/>
      <c r="R37" s="143"/>
    </row>
    <row r="38" spans="1:19" ht="20.45" customHeight="1" x14ac:dyDescent="0.25">
      <c r="A38" s="211"/>
      <c r="B38" s="337"/>
      <c r="C38" s="449"/>
      <c r="D38" s="449"/>
      <c r="E38" s="449"/>
      <c r="F38" s="449"/>
      <c r="G38" s="195"/>
      <c r="H38" s="155"/>
      <c r="I38" s="195"/>
      <c r="J38" s="155"/>
      <c r="K38" s="219"/>
      <c r="L38" s="219"/>
      <c r="M38" s="139"/>
      <c r="N38" s="139"/>
      <c r="O38" s="139">
        <f>SUM(H38:N38)</f>
        <v>0</v>
      </c>
      <c r="P38" s="139"/>
      <c r="Q38" s="139"/>
      <c r="R38" s="143"/>
    </row>
    <row r="39" spans="1:19" ht="24.95" customHeight="1" x14ac:dyDescent="0.25">
      <c r="A39" s="211"/>
      <c r="B39" s="337"/>
      <c r="C39" s="440" t="s">
        <v>4095</v>
      </c>
      <c r="D39" s="441"/>
      <c r="E39" s="442"/>
      <c r="F39" s="196"/>
      <c r="G39" s="195"/>
      <c r="H39" s="155"/>
      <c r="I39" s="195"/>
      <c r="J39" s="155"/>
      <c r="K39" s="219"/>
      <c r="L39" s="185">
        <v>1000000</v>
      </c>
      <c r="M39" s="139"/>
      <c r="N39" s="139"/>
      <c r="O39" s="139">
        <f>SUM(H39:N39)</f>
        <v>1000000</v>
      </c>
      <c r="P39" s="139"/>
      <c r="Q39" s="139"/>
      <c r="R39" s="143"/>
    </row>
    <row r="40" spans="1:19" ht="24.95" customHeight="1" x14ac:dyDescent="0.25">
      <c r="A40" s="211"/>
      <c r="B40" s="337"/>
      <c r="C40" s="440" t="s">
        <v>4096</v>
      </c>
      <c r="D40" s="441"/>
      <c r="E40" s="442"/>
      <c r="F40" s="196"/>
      <c r="G40" s="195"/>
      <c r="H40" s="155"/>
      <c r="I40" s="195"/>
      <c r="J40" s="155"/>
      <c r="K40" s="219"/>
      <c r="L40" s="185">
        <v>1875000</v>
      </c>
      <c r="M40" s="139"/>
      <c r="N40" s="139"/>
      <c r="O40" s="139">
        <f t="shared" ref="O40:O44" si="5">SUM(H40:N40)</f>
        <v>1875000</v>
      </c>
      <c r="P40" s="139"/>
      <c r="Q40" s="139"/>
      <c r="R40" s="143"/>
    </row>
    <row r="41" spans="1:19" ht="24.95" customHeight="1" x14ac:dyDescent="0.25">
      <c r="A41" s="211"/>
      <c r="B41" s="337"/>
      <c r="C41" s="452" t="s">
        <v>4094</v>
      </c>
      <c r="D41" s="453"/>
      <c r="E41" s="454"/>
      <c r="F41" s="196"/>
      <c r="G41" s="195"/>
      <c r="H41" s="155"/>
      <c r="I41" s="195"/>
      <c r="J41" s="155"/>
      <c r="K41" s="185">
        <v>120000</v>
      </c>
      <c r="L41" s="219"/>
      <c r="M41" s="219"/>
      <c r="N41" s="219"/>
      <c r="O41" s="139">
        <f t="shared" si="5"/>
        <v>120000</v>
      </c>
      <c r="P41" s="139"/>
      <c r="Q41" s="139"/>
      <c r="R41" s="143"/>
    </row>
    <row r="42" spans="1:19" ht="24.95" customHeight="1" x14ac:dyDescent="0.25">
      <c r="A42" s="211"/>
      <c r="B42" s="337"/>
      <c r="C42" s="452" t="s">
        <v>4097</v>
      </c>
      <c r="D42" s="453"/>
      <c r="E42" s="454"/>
      <c r="F42" s="196"/>
      <c r="G42" s="195"/>
      <c r="H42" s="155"/>
      <c r="I42" s="195"/>
      <c r="J42" s="155"/>
      <c r="K42" s="185">
        <v>80000</v>
      </c>
      <c r="L42" s="219"/>
      <c r="M42" s="219"/>
      <c r="N42" s="219"/>
      <c r="O42" s="139">
        <f t="shared" si="5"/>
        <v>80000</v>
      </c>
      <c r="P42" s="139"/>
      <c r="Q42" s="139"/>
      <c r="R42" s="143"/>
    </row>
    <row r="43" spans="1:19" ht="24.95" customHeight="1" x14ac:dyDescent="0.25">
      <c r="A43" s="211"/>
      <c r="B43" s="337"/>
      <c r="C43" s="452" t="s">
        <v>4148</v>
      </c>
      <c r="D43" s="453"/>
      <c r="E43" s="454"/>
      <c r="F43" s="196"/>
      <c r="G43" s="195"/>
      <c r="H43" s="155"/>
      <c r="I43" s="195"/>
      <c r="J43" s="155"/>
      <c r="K43" s="185">
        <f>26/26*8000000+300000</f>
        <v>8300000</v>
      </c>
      <c r="L43" s="219"/>
      <c r="M43" s="139"/>
      <c r="N43" s="139"/>
      <c r="O43" s="139">
        <f t="shared" si="5"/>
        <v>8300000</v>
      </c>
      <c r="P43" s="139"/>
      <c r="Q43" s="139"/>
      <c r="R43" s="143"/>
    </row>
    <row r="44" spans="1:19" ht="24.95" customHeight="1" x14ac:dyDescent="0.25">
      <c r="A44" s="211"/>
      <c r="B44" s="337"/>
      <c r="C44" s="452" t="s">
        <v>26</v>
      </c>
      <c r="D44" s="453"/>
      <c r="E44" s="454"/>
      <c r="F44" s="196"/>
      <c r="G44" s="195"/>
      <c r="H44" s="155"/>
      <c r="I44" s="195"/>
      <c r="J44" s="155"/>
      <c r="K44" s="219"/>
      <c r="L44" s="185">
        <v>1200000</v>
      </c>
      <c r="M44" s="139"/>
      <c r="N44" s="139"/>
      <c r="O44" s="139">
        <f t="shared" si="5"/>
        <v>1200000</v>
      </c>
      <c r="P44" s="139"/>
      <c r="Q44" s="139"/>
      <c r="R44" s="143"/>
    </row>
    <row r="45" spans="1:19" ht="20.45" customHeight="1" x14ac:dyDescent="0.25">
      <c r="A45" s="450" t="s">
        <v>20</v>
      </c>
      <c r="B45" s="450"/>
      <c r="C45" s="450"/>
      <c r="D45" s="450"/>
      <c r="E45" s="450"/>
      <c r="F45" s="450"/>
      <c r="G45" s="334">
        <f t="shared" ref="G45:N45" si="6">SUM(G8:G44)</f>
        <v>2347</v>
      </c>
      <c r="H45" s="334">
        <f t="shared" si="6"/>
        <v>41571890</v>
      </c>
      <c r="I45" s="334">
        <f t="shared" si="6"/>
        <v>0</v>
      </c>
      <c r="J45" s="334">
        <f t="shared" si="6"/>
        <v>29850000</v>
      </c>
      <c r="K45" s="334">
        <f t="shared" si="6"/>
        <v>8500000</v>
      </c>
      <c r="L45" s="334">
        <f>SUM(L8:L44)</f>
        <v>4075000</v>
      </c>
      <c r="M45" s="334">
        <f t="shared" si="6"/>
        <v>0</v>
      </c>
      <c r="N45" s="334">
        <f t="shared" si="6"/>
        <v>0</v>
      </c>
      <c r="O45" s="334">
        <f>SUM(O8:O44)</f>
        <v>83996890</v>
      </c>
      <c r="P45" s="334">
        <f>SUM(P8:P44)</f>
        <v>120268180</v>
      </c>
      <c r="Q45" s="334">
        <f>P45-O45</f>
        <v>36271290</v>
      </c>
    </row>
    <row r="46" spans="1:19" ht="24.95" customHeight="1" x14ac:dyDescent="0.25">
      <c r="O46" s="158"/>
      <c r="Q46" s="158"/>
    </row>
    <row r="47" spans="1:19" ht="13.9" customHeight="1" x14ac:dyDescent="0.25">
      <c r="P47" s="216" t="s">
        <v>1603</v>
      </c>
      <c r="Q47" s="227">
        <f>'11.2021'!Q43+'12.2021'!Q45</f>
        <v>252581499.76923078</v>
      </c>
      <c r="S47" s="216"/>
    </row>
    <row r="48" spans="1:19" ht="13.9" customHeight="1" x14ac:dyDescent="0.25">
      <c r="B48" s="129"/>
      <c r="J48" s="128"/>
      <c r="K48" s="128"/>
      <c r="L48" s="128"/>
      <c r="N48" s="128"/>
      <c r="O48" s="128"/>
      <c r="P48" s="218"/>
      <c r="Q48" s="216"/>
    </row>
    <row r="49" spans="1:18" ht="13.9" customHeight="1" x14ac:dyDescent="0.25">
      <c r="B49" s="129"/>
      <c r="H49" s="128"/>
      <c r="J49" s="128"/>
      <c r="K49" s="128"/>
      <c r="L49" s="128"/>
      <c r="M49" s="128"/>
      <c r="N49" s="128"/>
      <c r="O49" s="128"/>
      <c r="P49" s="218"/>
      <c r="Q49" s="230"/>
    </row>
    <row r="50" spans="1:18" ht="13.9" customHeight="1" x14ac:dyDescent="0.25">
      <c r="B50" s="129"/>
      <c r="H50" s="128"/>
      <c r="J50" s="128"/>
      <c r="K50" s="128"/>
      <c r="L50" s="128"/>
      <c r="M50" s="128"/>
      <c r="N50" s="128"/>
      <c r="O50" s="128"/>
      <c r="P50" s="218"/>
      <c r="Q50" s="230"/>
      <c r="R50" s="143"/>
    </row>
    <row r="51" spans="1:18" ht="13.9" customHeight="1" x14ac:dyDescent="0.25">
      <c r="B51" s="129"/>
      <c r="H51" s="128"/>
      <c r="J51" s="128"/>
      <c r="K51" s="128"/>
      <c r="L51" s="128"/>
      <c r="M51" s="128"/>
      <c r="N51" s="128"/>
      <c r="O51" s="128"/>
      <c r="P51" s="218"/>
      <c r="Q51" s="216"/>
      <c r="R51" s="143"/>
    </row>
    <row r="52" spans="1:18" x14ac:dyDescent="0.25">
      <c r="B52" s="129"/>
      <c r="H52" s="128"/>
      <c r="J52" s="128"/>
      <c r="K52" s="128"/>
      <c r="L52" s="128"/>
      <c r="M52" s="128"/>
      <c r="N52" s="128"/>
      <c r="O52" s="128"/>
      <c r="P52" s="218"/>
      <c r="Q52" s="216"/>
    </row>
    <row r="53" spans="1:18" x14ac:dyDescent="0.25">
      <c r="A53" s="128"/>
      <c r="B53" s="129"/>
      <c r="H53" s="128"/>
      <c r="J53" s="128"/>
      <c r="K53" s="128"/>
      <c r="L53" s="128"/>
      <c r="M53" s="128"/>
      <c r="N53" s="128"/>
      <c r="O53" s="128"/>
      <c r="P53" s="218"/>
      <c r="Q53" s="216"/>
    </row>
    <row r="54" spans="1:18" x14ac:dyDescent="0.25">
      <c r="A54" s="128"/>
      <c r="B54" s="129"/>
      <c r="H54" s="128"/>
      <c r="J54" s="128"/>
      <c r="K54" s="128"/>
      <c r="L54" s="128"/>
      <c r="M54" s="128"/>
      <c r="N54" s="128"/>
      <c r="O54" s="128"/>
      <c r="P54" s="218"/>
      <c r="Q54" s="216"/>
    </row>
    <row r="55" spans="1:18" x14ac:dyDescent="0.25">
      <c r="A55" s="128"/>
      <c r="B55" s="128"/>
      <c r="H55" s="128"/>
      <c r="J55" s="128"/>
      <c r="K55" s="128"/>
      <c r="L55" s="128"/>
      <c r="M55" s="128"/>
      <c r="N55" s="128"/>
      <c r="O55" s="128"/>
      <c r="P55" s="128"/>
      <c r="Q55" s="216"/>
    </row>
    <row r="56" spans="1:18" x14ac:dyDescent="0.25">
      <c r="A56" s="128"/>
      <c r="B56" s="128"/>
      <c r="H56" s="128"/>
      <c r="J56" s="128"/>
      <c r="K56" s="128"/>
      <c r="L56" s="128"/>
      <c r="M56" s="128"/>
      <c r="N56" s="128"/>
      <c r="O56" s="128"/>
      <c r="P56" s="128"/>
      <c r="Q56" s="216"/>
    </row>
  </sheetData>
  <autoFilter ref="A5:Q36" xr:uid="{130D51B0-CFFB-4D02-AF0B-20ECCD8D8EEC}">
    <filterColumn colId="6" showButton="0"/>
    <filterColumn colId="7" showButton="0"/>
    <filterColumn colId="8" showButton="0"/>
    <filterColumn colId="9" showButton="0"/>
    <filterColumn colId="10" showButton="0"/>
    <filterColumn colId="11" showButton="0"/>
    <filterColumn colId="12" showButton="0"/>
  </autoFilter>
  <mergeCells count="21">
    <mergeCell ref="C42:E42"/>
    <mergeCell ref="C43:E43"/>
    <mergeCell ref="C44:E44"/>
    <mergeCell ref="A45:F45"/>
    <mergeCell ref="C41:E41"/>
    <mergeCell ref="C40:E40"/>
    <mergeCell ref="A1:Q1"/>
    <mergeCell ref="A2:Q2"/>
    <mergeCell ref="B3:Q3"/>
    <mergeCell ref="A5:A6"/>
    <mergeCell ref="B5:B6"/>
    <mergeCell ref="C5:C6"/>
    <mergeCell ref="D5:D6"/>
    <mergeCell ref="E5:E6"/>
    <mergeCell ref="F5:F6"/>
    <mergeCell ref="G5:N5"/>
    <mergeCell ref="O5:O6"/>
    <mergeCell ref="P5:P6"/>
    <mergeCell ref="Q5:Q6"/>
    <mergeCell ref="C38:F38"/>
    <mergeCell ref="C39:E39"/>
  </mergeCells>
  <pageMargins left="0.7" right="0.7" top="0.75" bottom="0.75" header="0.3" footer="0.3"/>
  <pageSetup paperSize="9" orientation="portrait" horizontalDpi="0" verticalDpi="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6E53-356B-4134-AE85-EF98D8921E2C}">
  <dimension ref="A1:S53"/>
  <sheetViews>
    <sheetView topLeftCell="A29" workbookViewId="0">
      <selection activeCell="Q42" sqref="Q4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4150</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44564</v>
      </c>
      <c r="C8" s="134" t="s">
        <v>2180</v>
      </c>
      <c r="D8" s="211" t="s">
        <v>4165</v>
      </c>
      <c r="E8" s="136" t="s">
        <v>25</v>
      </c>
      <c r="F8" s="134"/>
      <c r="G8" s="134">
        <v>180</v>
      </c>
      <c r="H8" s="139">
        <f>G8*17570</f>
        <v>3162600</v>
      </c>
      <c r="I8" s="134"/>
      <c r="J8" s="139">
        <v>1890000</v>
      </c>
      <c r="K8" s="139"/>
      <c r="L8" s="263"/>
      <c r="M8" s="139"/>
      <c r="N8" s="139"/>
      <c r="O8" s="139">
        <f>SUM(H8:N8)</f>
        <v>5052600</v>
      </c>
      <c r="P8" s="139">
        <v>8188889</v>
      </c>
      <c r="Q8" s="139">
        <f>P8-O8</f>
        <v>3136289</v>
      </c>
      <c r="R8" s="143"/>
    </row>
    <row r="9" spans="1:18" ht="20.45" customHeight="1" x14ac:dyDescent="0.25">
      <c r="A9" s="211">
        <v>2</v>
      </c>
      <c r="B9" s="328">
        <v>44564</v>
      </c>
      <c r="C9" s="134" t="s">
        <v>842</v>
      </c>
      <c r="D9" s="211" t="s">
        <v>4166</v>
      </c>
      <c r="E9" s="136" t="s">
        <v>291</v>
      </c>
      <c r="F9" s="134"/>
      <c r="G9" s="134">
        <v>77</v>
      </c>
      <c r="H9" s="139">
        <f t="shared" ref="H9:H12" si="0">G9*17570</f>
        <v>1352890</v>
      </c>
      <c r="I9" s="134"/>
      <c r="J9" s="139">
        <v>1150000</v>
      </c>
      <c r="K9" s="139"/>
      <c r="L9" s="263"/>
      <c r="M9" s="139"/>
      <c r="N9" s="139"/>
      <c r="O9" s="139">
        <f>SUM(H9:N9)</f>
        <v>2502890</v>
      </c>
      <c r="P9" s="139">
        <v>4018182</v>
      </c>
      <c r="Q9" s="139">
        <f t="shared" ref="Q9:Q30" si="1">P9-O9</f>
        <v>1515292</v>
      </c>
      <c r="R9" s="143"/>
    </row>
    <row r="10" spans="1:18" ht="20.45" customHeight="1" x14ac:dyDescent="0.25">
      <c r="A10" s="211">
        <v>3</v>
      </c>
      <c r="B10" s="328">
        <v>44565</v>
      </c>
      <c r="C10" s="134" t="s">
        <v>3511</v>
      </c>
      <c r="D10" s="211" t="s">
        <v>4167</v>
      </c>
      <c r="E10" s="136" t="s">
        <v>4186</v>
      </c>
      <c r="F10" s="134"/>
      <c r="G10" s="134">
        <v>83</v>
      </c>
      <c r="H10" s="139">
        <f t="shared" si="0"/>
        <v>1458310</v>
      </c>
      <c r="I10" s="134"/>
      <c r="J10" s="139">
        <v>1250000</v>
      </c>
      <c r="K10" s="139"/>
      <c r="L10" s="263"/>
      <c r="M10" s="139"/>
      <c r="N10" s="139"/>
      <c r="O10" s="139">
        <f t="shared" ref="O10:O30" si="2">SUM(H10:N10)</f>
        <v>2708310</v>
      </c>
      <c r="P10" s="139">
        <v>4236364</v>
      </c>
      <c r="Q10" s="139">
        <f t="shared" si="1"/>
        <v>1528054</v>
      </c>
      <c r="R10" s="143"/>
    </row>
    <row r="11" spans="1:18" ht="20.45" customHeight="1" x14ac:dyDescent="0.25">
      <c r="A11" s="211">
        <v>4</v>
      </c>
      <c r="B11" s="328">
        <v>44566</v>
      </c>
      <c r="C11" s="134" t="s">
        <v>2866</v>
      </c>
      <c r="D11" s="211" t="s">
        <v>4168</v>
      </c>
      <c r="E11" s="136" t="s">
        <v>1568</v>
      </c>
      <c r="F11" s="134"/>
      <c r="G11" s="134">
        <v>88</v>
      </c>
      <c r="H11" s="139">
        <f t="shared" si="0"/>
        <v>1546160</v>
      </c>
      <c r="I11" s="134"/>
      <c r="J11" s="139">
        <v>1150000</v>
      </c>
      <c r="K11" s="139"/>
      <c r="L11" s="263"/>
      <c r="M11" s="139"/>
      <c r="N11" s="139"/>
      <c r="O11" s="139">
        <f t="shared" si="2"/>
        <v>2696160</v>
      </c>
      <c r="P11" s="139">
        <v>3950000</v>
      </c>
      <c r="Q11" s="139">
        <f t="shared" si="1"/>
        <v>1253840</v>
      </c>
      <c r="R11" s="143"/>
    </row>
    <row r="12" spans="1:18" ht="20.45" customHeight="1" x14ac:dyDescent="0.25">
      <c r="A12" s="211">
        <v>5</v>
      </c>
      <c r="B12" s="328">
        <v>44568</v>
      </c>
      <c r="C12" s="134" t="s">
        <v>2867</v>
      </c>
      <c r="D12" s="211" t="s">
        <v>4169</v>
      </c>
      <c r="E12" s="136" t="s">
        <v>4187</v>
      </c>
      <c r="F12" s="134"/>
      <c r="G12" s="134">
        <v>67</v>
      </c>
      <c r="H12" s="139">
        <f t="shared" si="0"/>
        <v>1177190</v>
      </c>
      <c r="I12" s="134"/>
      <c r="J12" s="139">
        <v>790000</v>
      </c>
      <c r="K12" s="139"/>
      <c r="L12" s="263"/>
      <c r="M12" s="139"/>
      <c r="N12" s="139"/>
      <c r="O12" s="139">
        <f t="shared" si="2"/>
        <v>1967190</v>
      </c>
      <c r="P12" s="139">
        <v>4327273</v>
      </c>
      <c r="Q12" s="139">
        <f t="shared" si="1"/>
        <v>2360083</v>
      </c>
      <c r="R12" s="143"/>
    </row>
    <row r="13" spans="1:18" ht="20.45" customHeight="1" x14ac:dyDescent="0.25">
      <c r="A13" s="211">
        <v>6</v>
      </c>
      <c r="B13" s="328">
        <v>44571</v>
      </c>
      <c r="C13" s="134" t="s">
        <v>4151</v>
      </c>
      <c r="D13" s="211" t="s">
        <v>4170</v>
      </c>
      <c r="E13" s="136" t="s">
        <v>4188</v>
      </c>
      <c r="F13" s="134"/>
      <c r="G13" s="134">
        <v>81</v>
      </c>
      <c r="H13" s="139">
        <f>G13*18230</f>
        <v>1476630</v>
      </c>
      <c r="I13" s="134"/>
      <c r="J13" s="139">
        <v>1150000</v>
      </c>
      <c r="K13" s="139"/>
      <c r="L13" s="263"/>
      <c r="M13" s="139"/>
      <c r="N13" s="139"/>
      <c r="O13" s="139">
        <f t="shared" si="2"/>
        <v>2626630</v>
      </c>
      <c r="P13" s="139">
        <v>4145455</v>
      </c>
      <c r="Q13" s="139">
        <f t="shared" si="1"/>
        <v>1518825</v>
      </c>
      <c r="R13" s="143"/>
    </row>
    <row r="14" spans="1:18" ht="20.45" customHeight="1" x14ac:dyDescent="0.25">
      <c r="A14" s="211">
        <v>7</v>
      </c>
      <c r="B14" s="328">
        <v>44571</v>
      </c>
      <c r="C14" s="134" t="s">
        <v>4152</v>
      </c>
      <c r="D14" s="211" t="s">
        <v>4171</v>
      </c>
      <c r="E14" s="136" t="s">
        <v>25</v>
      </c>
      <c r="F14" s="134"/>
      <c r="G14" s="134">
        <v>180</v>
      </c>
      <c r="H14" s="139">
        <f t="shared" ref="H14:H20" si="3">G14*18230</f>
        <v>3281400</v>
      </c>
      <c r="I14" s="134"/>
      <c r="J14" s="139">
        <v>1890000</v>
      </c>
      <c r="K14" s="139"/>
      <c r="L14" s="263"/>
      <c r="M14" s="139"/>
      <c r="N14" s="139"/>
      <c r="O14" s="139">
        <f t="shared" si="2"/>
        <v>5171400</v>
      </c>
      <c r="P14" s="139">
        <v>8188889</v>
      </c>
      <c r="Q14" s="139">
        <f t="shared" si="1"/>
        <v>3017489</v>
      </c>
      <c r="R14" s="143"/>
    </row>
    <row r="15" spans="1:18" ht="20.45" customHeight="1" x14ac:dyDescent="0.25">
      <c r="A15" s="211">
        <v>8</v>
      </c>
      <c r="B15" s="328">
        <v>44572</v>
      </c>
      <c r="C15" s="134" t="s">
        <v>4153</v>
      </c>
      <c r="D15" s="211" t="s">
        <v>4172</v>
      </c>
      <c r="E15" s="136" t="s">
        <v>1283</v>
      </c>
      <c r="F15" s="134"/>
      <c r="G15" s="134">
        <v>70</v>
      </c>
      <c r="H15" s="139">
        <f t="shared" si="3"/>
        <v>1276100</v>
      </c>
      <c r="I15" s="134"/>
      <c r="J15" s="139">
        <v>1150000</v>
      </c>
      <c r="K15" s="139"/>
      <c r="L15" s="263"/>
      <c r="M15" s="139"/>
      <c r="N15" s="139"/>
      <c r="O15" s="139">
        <f t="shared" si="2"/>
        <v>2426100</v>
      </c>
      <c r="P15" s="139">
        <v>3600000</v>
      </c>
      <c r="Q15" s="139">
        <f t="shared" si="1"/>
        <v>1173900</v>
      </c>
      <c r="R15" s="143"/>
    </row>
    <row r="16" spans="1:18" ht="20.45" customHeight="1" x14ac:dyDescent="0.25">
      <c r="A16" s="211">
        <v>9</v>
      </c>
      <c r="B16" s="328">
        <v>44573</v>
      </c>
      <c r="C16" s="134" t="s">
        <v>3515</v>
      </c>
      <c r="D16" s="211" t="s">
        <v>4173</v>
      </c>
      <c r="E16" s="136" t="s">
        <v>894</v>
      </c>
      <c r="F16" s="134"/>
      <c r="G16" s="134">
        <v>65</v>
      </c>
      <c r="H16" s="139">
        <f t="shared" si="3"/>
        <v>1184950</v>
      </c>
      <c r="I16" s="134"/>
      <c r="J16" s="139">
        <v>790000</v>
      </c>
      <c r="K16" s="139"/>
      <c r="L16" s="263"/>
      <c r="M16" s="139"/>
      <c r="N16" s="139"/>
      <c r="O16" s="139">
        <f t="shared" si="2"/>
        <v>1974950</v>
      </c>
      <c r="P16" s="139">
        <v>3200000</v>
      </c>
      <c r="Q16" s="139">
        <f t="shared" si="1"/>
        <v>1225050</v>
      </c>
      <c r="R16" s="143"/>
    </row>
    <row r="17" spans="1:18" ht="20.45" customHeight="1" x14ac:dyDescent="0.25">
      <c r="A17" s="211">
        <v>10</v>
      </c>
      <c r="B17" s="328">
        <v>44574</v>
      </c>
      <c r="C17" s="134" t="s">
        <v>857</v>
      </c>
      <c r="D17" s="211" t="s">
        <v>4174</v>
      </c>
      <c r="E17" s="136" t="s">
        <v>894</v>
      </c>
      <c r="F17" s="134"/>
      <c r="G17" s="134">
        <v>72</v>
      </c>
      <c r="H17" s="139">
        <f t="shared" si="3"/>
        <v>1312560</v>
      </c>
      <c r="I17" s="134"/>
      <c r="J17" s="139">
        <v>790000</v>
      </c>
      <c r="K17" s="139"/>
      <c r="L17" s="263"/>
      <c r="M17" s="139"/>
      <c r="N17" s="139"/>
      <c r="O17" s="139">
        <f t="shared" si="2"/>
        <v>2102560</v>
      </c>
      <c r="P17" s="139">
        <v>3200000</v>
      </c>
      <c r="Q17" s="139">
        <f t="shared" si="1"/>
        <v>1097440</v>
      </c>
      <c r="R17" s="143"/>
    </row>
    <row r="18" spans="1:18" ht="20.45" customHeight="1" x14ac:dyDescent="0.25">
      <c r="A18" s="211">
        <v>11</v>
      </c>
      <c r="B18" s="328">
        <v>44575</v>
      </c>
      <c r="C18" s="134" t="s">
        <v>3516</v>
      </c>
      <c r="D18" s="211" t="s">
        <v>3951</v>
      </c>
      <c r="E18" s="136" t="s">
        <v>291</v>
      </c>
      <c r="F18" s="134"/>
      <c r="G18" s="134">
        <v>77</v>
      </c>
      <c r="H18" s="139">
        <f t="shared" si="3"/>
        <v>1403710</v>
      </c>
      <c r="I18" s="134"/>
      <c r="J18" s="139">
        <v>1150000</v>
      </c>
      <c r="K18" s="139"/>
      <c r="L18" s="263"/>
      <c r="M18" s="139"/>
      <c r="N18" s="139"/>
      <c r="O18" s="139">
        <f t="shared" si="2"/>
        <v>2553710</v>
      </c>
      <c r="P18" s="139">
        <v>4018182</v>
      </c>
      <c r="Q18" s="139">
        <f t="shared" si="1"/>
        <v>1464472</v>
      </c>
      <c r="R18" s="143"/>
    </row>
    <row r="19" spans="1:18" ht="20.45" customHeight="1" x14ac:dyDescent="0.25">
      <c r="A19" s="211">
        <v>12</v>
      </c>
      <c r="B19" s="328">
        <v>44578</v>
      </c>
      <c r="C19" s="134" t="s">
        <v>4154</v>
      </c>
      <c r="D19" s="211" t="s">
        <v>4175</v>
      </c>
      <c r="E19" s="136" t="s">
        <v>27</v>
      </c>
      <c r="F19" s="134"/>
      <c r="G19" s="134">
        <v>109</v>
      </c>
      <c r="H19" s="139">
        <f t="shared" si="3"/>
        <v>1987070</v>
      </c>
      <c r="I19" s="134"/>
      <c r="J19" s="139">
        <v>790000</v>
      </c>
      <c r="K19" s="139"/>
      <c r="L19" s="263"/>
      <c r="M19" s="139"/>
      <c r="N19" s="139"/>
      <c r="O19" s="139">
        <f t="shared" si="2"/>
        <v>2777070</v>
      </c>
      <c r="P19" s="139">
        <v>4000000</v>
      </c>
      <c r="Q19" s="139">
        <f t="shared" si="1"/>
        <v>1222930</v>
      </c>
      <c r="R19" s="143"/>
    </row>
    <row r="20" spans="1:18" ht="20.45" customHeight="1" x14ac:dyDescent="0.25">
      <c r="A20" s="211">
        <v>13</v>
      </c>
      <c r="B20" s="328">
        <v>44578</v>
      </c>
      <c r="C20" s="134" t="s">
        <v>2893</v>
      </c>
      <c r="D20" s="211" t="s">
        <v>4176</v>
      </c>
      <c r="E20" s="136" t="s">
        <v>25</v>
      </c>
      <c r="F20" s="134"/>
      <c r="G20" s="134">
        <v>180</v>
      </c>
      <c r="H20" s="139">
        <f t="shared" si="3"/>
        <v>3281400</v>
      </c>
      <c r="I20" s="134"/>
      <c r="J20" s="139">
        <v>1890000</v>
      </c>
      <c r="K20" s="139"/>
      <c r="L20" s="263"/>
      <c r="M20" s="139"/>
      <c r="N20" s="139"/>
      <c r="O20" s="139">
        <f t="shared" si="2"/>
        <v>5171400</v>
      </c>
      <c r="P20" s="139">
        <v>8559259</v>
      </c>
      <c r="Q20" s="139">
        <f t="shared" si="1"/>
        <v>3387859</v>
      </c>
      <c r="R20" s="143"/>
    </row>
    <row r="21" spans="1:18" ht="20.45" customHeight="1" x14ac:dyDescent="0.25">
      <c r="A21" s="211">
        <v>14</v>
      </c>
      <c r="B21" s="328">
        <v>44579</v>
      </c>
      <c r="C21" s="134" t="s">
        <v>4155</v>
      </c>
      <c r="D21" s="211" t="s">
        <v>4177</v>
      </c>
      <c r="E21" s="136" t="s">
        <v>721</v>
      </c>
      <c r="F21" s="134"/>
      <c r="G21" s="134">
        <v>90</v>
      </c>
      <c r="H21" s="139">
        <f>G21*18900</f>
        <v>1701000</v>
      </c>
      <c r="I21" s="134"/>
      <c r="J21" s="139">
        <v>1150000</v>
      </c>
      <c r="K21" s="139"/>
      <c r="L21" s="263"/>
      <c r="M21" s="139"/>
      <c r="N21" s="139"/>
      <c r="O21" s="139">
        <f t="shared" si="2"/>
        <v>2851000</v>
      </c>
      <c r="P21" s="139">
        <v>4100000</v>
      </c>
      <c r="Q21" s="139">
        <f t="shared" si="1"/>
        <v>1249000</v>
      </c>
      <c r="R21" s="143"/>
    </row>
    <row r="22" spans="1:18" ht="20.45" customHeight="1" x14ac:dyDescent="0.25">
      <c r="A22" s="211">
        <v>15</v>
      </c>
      <c r="B22" s="328">
        <v>44580</v>
      </c>
      <c r="C22" s="134" t="s">
        <v>4156</v>
      </c>
      <c r="D22" s="211" t="s">
        <v>4178</v>
      </c>
      <c r="E22" s="136" t="s">
        <v>1568</v>
      </c>
      <c r="F22" s="134"/>
      <c r="G22" s="134">
        <v>170</v>
      </c>
      <c r="H22" s="139">
        <f t="shared" ref="H22:H30" si="4">G22*18900</f>
        <v>3213000</v>
      </c>
      <c r="I22" s="134"/>
      <c r="J22" s="139">
        <v>1150000</v>
      </c>
      <c r="K22" s="139"/>
      <c r="L22" s="263"/>
      <c r="M22" s="139"/>
      <c r="N22" s="139"/>
      <c r="O22" s="139">
        <f t="shared" si="2"/>
        <v>4363000</v>
      </c>
      <c r="P22" s="139">
        <v>7300000</v>
      </c>
      <c r="Q22" s="139">
        <f t="shared" si="1"/>
        <v>2937000</v>
      </c>
      <c r="R22" s="143"/>
    </row>
    <row r="23" spans="1:18" ht="25.5" customHeight="1" x14ac:dyDescent="0.25">
      <c r="A23" s="211">
        <v>16</v>
      </c>
      <c r="B23" s="328">
        <v>44581</v>
      </c>
      <c r="C23" s="134" t="s">
        <v>4157</v>
      </c>
      <c r="D23" s="211" t="s">
        <v>4178</v>
      </c>
      <c r="E23" s="136" t="s">
        <v>4189</v>
      </c>
      <c r="F23" s="134"/>
      <c r="G23" s="134">
        <v>0</v>
      </c>
      <c r="H23" s="139">
        <f t="shared" si="4"/>
        <v>0</v>
      </c>
      <c r="I23" s="134"/>
      <c r="J23" s="139">
        <v>400000</v>
      </c>
      <c r="K23" s="139"/>
      <c r="L23" s="263"/>
      <c r="M23" s="139"/>
      <c r="N23" s="139"/>
      <c r="O23" s="139">
        <f t="shared" si="2"/>
        <v>400000</v>
      </c>
      <c r="P23" s="139">
        <v>0</v>
      </c>
      <c r="Q23" s="139">
        <f t="shared" si="1"/>
        <v>-400000</v>
      </c>
      <c r="R23" s="143"/>
    </row>
    <row r="24" spans="1:18" ht="20.45" customHeight="1" x14ac:dyDescent="0.25">
      <c r="A24" s="211">
        <v>17</v>
      </c>
      <c r="B24" s="328">
        <v>44581</v>
      </c>
      <c r="C24" s="134" t="s">
        <v>4158</v>
      </c>
      <c r="D24" s="211" t="s">
        <v>4179</v>
      </c>
      <c r="E24" s="136" t="s">
        <v>3938</v>
      </c>
      <c r="F24" s="134"/>
      <c r="G24" s="134">
        <v>85</v>
      </c>
      <c r="H24" s="139">
        <f t="shared" si="4"/>
        <v>1606500</v>
      </c>
      <c r="I24" s="134"/>
      <c r="J24" s="139">
        <v>1150000</v>
      </c>
      <c r="K24" s="139"/>
      <c r="L24" s="263"/>
      <c r="M24" s="139"/>
      <c r="N24" s="139"/>
      <c r="O24" s="139">
        <f t="shared" si="2"/>
        <v>2756500</v>
      </c>
      <c r="P24" s="139">
        <v>4000000</v>
      </c>
      <c r="Q24" s="139">
        <f t="shared" si="1"/>
        <v>1243500</v>
      </c>
      <c r="R24" s="143"/>
    </row>
    <row r="25" spans="1:18" ht="20.45" customHeight="1" x14ac:dyDescent="0.25">
      <c r="A25" s="211">
        <v>18</v>
      </c>
      <c r="B25" s="328">
        <v>44582</v>
      </c>
      <c r="C25" s="134" t="s">
        <v>4159</v>
      </c>
      <c r="D25" s="211" t="s">
        <v>4180</v>
      </c>
      <c r="E25" s="136" t="s">
        <v>1876</v>
      </c>
      <c r="F25" s="134"/>
      <c r="G25" s="134">
        <v>93</v>
      </c>
      <c r="H25" s="139">
        <f t="shared" si="4"/>
        <v>1757700</v>
      </c>
      <c r="I25" s="134"/>
      <c r="J25" s="139">
        <v>1150000</v>
      </c>
      <c r="K25" s="139"/>
      <c r="L25" s="263"/>
      <c r="M25" s="139"/>
      <c r="N25" s="139"/>
      <c r="O25" s="139">
        <f t="shared" si="2"/>
        <v>2907700</v>
      </c>
      <c r="P25" s="139">
        <v>3800000</v>
      </c>
      <c r="Q25" s="139">
        <f t="shared" si="1"/>
        <v>892300</v>
      </c>
      <c r="R25" s="143"/>
    </row>
    <row r="26" spans="1:18" ht="20.45" customHeight="1" x14ac:dyDescent="0.25">
      <c r="A26" s="211">
        <v>19</v>
      </c>
      <c r="B26" s="328">
        <v>44585</v>
      </c>
      <c r="C26" s="134" t="s">
        <v>4160</v>
      </c>
      <c r="D26" s="211" t="s">
        <v>4181</v>
      </c>
      <c r="E26" s="136" t="s">
        <v>291</v>
      </c>
      <c r="F26" s="134"/>
      <c r="G26" s="134">
        <v>77</v>
      </c>
      <c r="H26" s="139">
        <f t="shared" si="4"/>
        <v>1455300</v>
      </c>
      <c r="I26" s="134"/>
      <c r="J26" s="139">
        <v>1150000</v>
      </c>
      <c r="K26" s="139"/>
      <c r="L26" s="263"/>
      <c r="M26" s="139"/>
      <c r="N26" s="139"/>
      <c r="O26" s="139">
        <f t="shared" si="2"/>
        <v>2605300</v>
      </c>
      <c r="P26" s="139">
        <v>4000000</v>
      </c>
      <c r="Q26" s="139">
        <f t="shared" si="1"/>
        <v>1394700</v>
      </c>
      <c r="R26" s="143"/>
    </row>
    <row r="27" spans="1:18" ht="20.45" customHeight="1" x14ac:dyDescent="0.25">
      <c r="A27" s="211">
        <v>20</v>
      </c>
      <c r="B27" s="328">
        <v>44585</v>
      </c>
      <c r="C27" s="134" t="s">
        <v>4161</v>
      </c>
      <c r="D27" s="211" t="s">
        <v>4182</v>
      </c>
      <c r="E27" s="136" t="s">
        <v>3937</v>
      </c>
      <c r="F27" s="134"/>
      <c r="G27" s="134">
        <v>76</v>
      </c>
      <c r="H27" s="139">
        <f t="shared" si="4"/>
        <v>1436400</v>
      </c>
      <c r="I27" s="134"/>
      <c r="J27" s="139">
        <v>1150000</v>
      </c>
      <c r="K27" s="139"/>
      <c r="L27" s="263"/>
      <c r="M27" s="139"/>
      <c r="N27" s="139"/>
      <c r="O27" s="139">
        <f t="shared" si="2"/>
        <v>2586400</v>
      </c>
      <c r="P27" s="139">
        <v>4000000</v>
      </c>
      <c r="Q27" s="139">
        <f t="shared" si="1"/>
        <v>1413600</v>
      </c>
      <c r="R27" s="143"/>
    </row>
    <row r="28" spans="1:18" ht="20.45" customHeight="1" x14ac:dyDescent="0.25">
      <c r="A28" s="211">
        <v>21</v>
      </c>
      <c r="B28" s="328">
        <v>44586</v>
      </c>
      <c r="C28" s="134" t="s">
        <v>4162</v>
      </c>
      <c r="D28" s="211" t="s">
        <v>4183</v>
      </c>
      <c r="E28" s="136" t="s">
        <v>25</v>
      </c>
      <c r="F28" s="134"/>
      <c r="G28" s="134">
        <v>180</v>
      </c>
      <c r="H28" s="139">
        <f t="shared" si="4"/>
        <v>3402000</v>
      </c>
      <c r="I28" s="134"/>
      <c r="J28" s="139">
        <v>1890000</v>
      </c>
      <c r="K28" s="139"/>
      <c r="L28" s="263"/>
      <c r="M28" s="139"/>
      <c r="N28" s="139"/>
      <c r="O28" s="139">
        <f t="shared" si="2"/>
        <v>5292000</v>
      </c>
      <c r="P28" s="139">
        <v>8188889</v>
      </c>
      <c r="Q28" s="139">
        <f t="shared" si="1"/>
        <v>2896889</v>
      </c>
      <c r="R28" s="143"/>
    </row>
    <row r="29" spans="1:18" ht="20.45" customHeight="1" x14ac:dyDescent="0.25">
      <c r="A29" s="211">
        <v>22</v>
      </c>
      <c r="B29" s="328">
        <v>44587</v>
      </c>
      <c r="C29" s="134" t="s">
        <v>4163</v>
      </c>
      <c r="D29" s="211" t="s">
        <v>4184</v>
      </c>
      <c r="E29" s="136" t="s">
        <v>2384</v>
      </c>
      <c r="F29" s="134"/>
      <c r="G29" s="134">
        <v>122</v>
      </c>
      <c r="H29" s="139">
        <f t="shared" si="4"/>
        <v>2305800</v>
      </c>
      <c r="I29" s="134"/>
      <c r="J29" s="139">
        <v>1150000</v>
      </c>
      <c r="K29" s="139"/>
      <c r="L29" s="263"/>
      <c r="M29" s="139"/>
      <c r="N29" s="139"/>
      <c r="O29" s="139">
        <f t="shared" si="2"/>
        <v>3455800</v>
      </c>
      <c r="P29" s="139">
        <v>5018182</v>
      </c>
      <c r="Q29" s="139">
        <f t="shared" si="1"/>
        <v>1562382</v>
      </c>
      <c r="R29" s="143"/>
    </row>
    <row r="30" spans="1:18" ht="20.45" customHeight="1" x14ac:dyDescent="0.25">
      <c r="A30" s="211">
        <v>23</v>
      </c>
      <c r="B30" s="328">
        <v>44588</v>
      </c>
      <c r="C30" s="134" t="s">
        <v>4164</v>
      </c>
      <c r="D30" s="211" t="s">
        <v>4185</v>
      </c>
      <c r="E30" s="136" t="s">
        <v>4190</v>
      </c>
      <c r="F30" s="134"/>
      <c r="G30" s="134">
        <v>102</v>
      </c>
      <c r="H30" s="139">
        <f t="shared" si="4"/>
        <v>1927800</v>
      </c>
      <c r="I30" s="134"/>
      <c r="J30" s="139">
        <v>1150000</v>
      </c>
      <c r="K30" s="139"/>
      <c r="L30" s="263"/>
      <c r="M30" s="139"/>
      <c r="N30" s="139"/>
      <c r="O30" s="139">
        <f t="shared" si="2"/>
        <v>3077800</v>
      </c>
      <c r="P30" s="139">
        <v>4302149</v>
      </c>
      <c r="Q30" s="139">
        <f t="shared" si="1"/>
        <v>1224349</v>
      </c>
      <c r="R30" s="143"/>
    </row>
    <row r="31" spans="1:18" ht="20.45" customHeight="1" x14ac:dyDescent="0.25">
      <c r="A31" s="211"/>
      <c r="B31" s="328"/>
      <c r="C31" s="134"/>
      <c r="D31" s="211"/>
      <c r="E31" s="136"/>
      <c r="F31" s="134"/>
      <c r="G31" s="134"/>
      <c r="H31" s="139"/>
      <c r="I31" s="134"/>
      <c r="J31" s="139"/>
      <c r="K31" s="139"/>
      <c r="L31" s="263"/>
      <c r="M31" s="139"/>
      <c r="N31" s="139"/>
      <c r="O31" s="139"/>
      <c r="P31" s="139"/>
      <c r="Q31" s="139"/>
      <c r="R31" s="143"/>
    </row>
    <row r="32" spans="1:18" ht="20.45" customHeight="1" x14ac:dyDescent="0.25">
      <c r="A32" s="211"/>
      <c r="B32" s="337"/>
      <c r="C32" s="449"/>
      <c r="D32" s="449"/>
      <c r="E32" s="449"/>
      <c r="F32" s="449"/>
      <c r="G32" s="195"/>
      <c r="H32" s="155"/>
      <c r="I32" s="195"/>
      <c r="J32" s="155"/>
      <c r="K32" s="219"/>
      <c r="L32" s="219"/>
      <c r="M32" s="139"/>
      <c r="N32" s="139"/>
      <c r="O32" s="139">
        <f>SUM(H32:N32)</f>
        <v>0</v>
      </c>
      <c r="P32" s="139"/>
      <c r="Q32" s="139"/>
      <c r="R32" s="143"/>
    </row>
    <row r="33" spans="1:19" ht="24.95" customHeight="1" x14ac:dyDescent="0.25">
      <c r="A33" s="211"/>
      <c r="B33" s="337"/>
      <c r="C33" s="440" t="s">
        <v>4191</v>
      </c>
      <c r="D33" s="441"/>
      <c r="E33" s="442"/>
      <c r="F33" s="196"/>
      <c r="G33" s="195"/>
      <c r="H33" s="155"/>
      <c r="I33" s="195"/>
      <c r="J33" s="155"/>
      <c r="K33" s="219"/>
      <c r="L33" s="185">
        <v>6000000</v>
      </c>
      <c r="M33" s="139"/>
      <c r="N33" s="139"/>
      <c r="O33" s="139">
        <f t="shared" ref="O33:O41" si="5">SUM(H33:N33)</f>
        <v>6000000</v>
      </c>
      <c r="P33" s="139"/>
      <c r="Q33" s="139"/>
      <c r="R33" s="143"/>
    </row>
    <row r="34" spans="1:19" ht="24.95" customHeight="1" x14ac:dyDescent="0.25">
      <c r="A34" s="211"/>
      <c r="B34" s="337"/>
      <c r="C34" s="440" t="s">
        <v>4234</v>
      </c>
      <c r="D34" s="441"/>
      <c r="E34" s="442"/>
      <c r="F34" s="196"/>
      <c r="G34" s="195"/>
      <c r="H34" s="155"/>
      <c r="I34" s="195"/>
      <c r="J34" s="155"/>
      <c r="K34" s="219"/>
      <c r="L34" s="233">
        <v>1000000</v>
      </c>
      <c r="M34" s="139"/>
      <c r="N34" s="139"/>
      <c r="O34" s="139">
        <f t="shared" si="5"/>
        <v>1000000</v>
      </c>
      <c r="P34" s="139"/>
      <c r="Q34" s="139"/>
      <c r="R34" s="143"/>
    </row>
    <row r="35" spans="1:19" ht="24.95" customHeight="1" x14ac:dyDescent="0.25">
      <c r="A35" s="211"/>
      <c r="B35" s="337"/>
      <c r="C35" s="452" t="s">
        <v>4192</v>
      </c>
      <c r="D35" s="453"/>
      <c r="E35" s="454"/>
      <c r="F35" s="196"/>
      <c r="G35" s="195"/>
      <c r="H35" s="155"/>
      <c r="I35" s="195"/>
      <c r="J35" s="155"/>
      <c r="K35" s="219"/>
      <c r="L35" s="185">
        <v>850000</v>
      </c>
      <c r="M35" s="219"/>
      <c r="N35" s="219"/>
      <c r="O35" s="139">
        <f t="shared" si="5"/>
        <v>850000</v>
      </c>
      <c r="P35" s="139"/>
      <c r="Q35" s="139"/>
      <c r="R35" s="143"/>
    </row>
    <row r="36" spans="1:19" ht="24.95" customHeight="1" x14ac:dyDescent="0.25">
      <c r="A36" s="211"/>
      <c r="B36" s="337"/>
      <c r="C36" s="452" t="s">
        <v>4193</v>
      </c>
      <c r="D36" s="453"/>
      <c r="E36" s="454"/>
      <c r="F36" s="196"/>
      <c r="G36" s="195"/>
      <c r="H36" s="155"/>
      <c r="I36" s="195"/>
      <c r="J36" s="155"/>
      <c r="K36" s="219"/>
      <c r="L36" s="219"/>
      <c r="M36" s="185">
        <v>11540000</v>
      </c>
      <c r="N36" s="219"/>
      <c r="O36" s="139">
        <f t="shared" si="5"/>
        <v>11540000</v>
      </c>
      <c r="P36" s="139"/>
      <c r="Q36" s="139"/>
      <c r="R36" s="143"/>
    </row>
    <row r="37" spans="1:19" ht="24.95" customHeight="1" x14ac:dyDescent="0.25">
      <c r="A37" s="211"/>
      <c r="B37" s="337"/>
      <c r="C37" s="452" t="s">
        <v>4194</v>
      </c>
      <c r="D37" s="453"/>
      <c r="E37" s="454"/>
      <c r="F37" s="196"/>
      <c r="G37" s="195"/>
      <c r="H37" s="155"/>
      <c r="I37" s="195"/>
      <c r="J37" s="155"/>
      <c r="K37" s="219"/>
      <c r="L37" s="185">
        <v>2400000</v>
      </c>
      <c r="M37" s="219"/>
      <c r="N37" s="219"/>
      <c r="O37" s="139">
        <f t="shared" si="5"/>
        <v>2400000</v>
      </c>
      <c r="P37" s="139"/>
      <c r="Q37" s="139"/>
      <c r="R37" s="143"/>
    </row>
    <row r="38" spans="1:19" ht="24.95" customHeight="1" x14ac:dyDescent="0.25">
      <c r="A38" s="211"/>
      <c r="B38" s="337"/>
      <c r="C38" s="452" t="s">
        <v>4195</v>
      </c>
      <c r="D38" s="453"/>
      <c r="E38" s="454"/>
      <c r="F38" s="196"/>
      <c r="G38" s="195"/>
      <c r="H38" s="155"/>
      <c r="I38" s="195"/>
      <c r="J38" s="155"/>
      <c r="K38" s="219"/>
      <c r="L38" s="185">
        <v>2000000</v>
      </c>
      <c r="M38" s="219"/>
      <c r="N38" s="219"/>
      <c r="O38" s="139">
        <f t="shared" si="5"/>
        <v>2000000</v>
      </c>
      <c r="P38" s="139"/>
      <c r="Q38" s="139"/>
      <c r="R38" s="143"/>
    </row>
    <row r="39" spans="1:19" ht="24.95" customHeight="1" x14ac:dyDescent="0.25">
      <c r="A39" s="211"/>
      <c r="B39" s="337"/>
      <c r="C39" s="452" t="s">
        <v>4197</v>
      </c>
      <c r="D39" s="453"/>
      <c r="E39" s="454"/>
      <c r="F39" s="196"/>
      <c r="G39" s="195"/>
      <c r="H39" s="155"/>
      <c r="I39" s="195"/>
      <c r="J39" s="155"/>
      <c r="K39" s="219"/>
      <c r="L39" s="185">
        <v>180000</v>
      </c>
      <c r="M39" s="219"/>
      <c r="N39" s="219"/>
      <c r="O39" s="139">
        <f t="shared" si="5"/>
        <v>180000</v>
      </c>
      <c r="P39" s="139"/>
      <c r="Q39" s="139"/>
      <c r="R39" s="143"/>
    </row>
    <row r="40" spans="1:19" ht="24.95" customHeight="1" x14ac:dyDescent="0.25">
      <c r="A40" s="211"/>
      <c r="B40" s="337"/>
      <c r="C40" s="452" t="s">
        <v>4196</v>
      </c>
      <c r="D40" s="453"/>
      <c r="E40" s="454"/>
      <c r="F40" s="196"/>
      <c r="G40" s="195"/>
      <c r="H40" s="155"/>
      <c r="I40" s="195"/>
      <c r="J40" s="155"/>
      <c r="K40" s="185">
        <v>8000000</v>
      </c>
      <c r="L40" s="219"/>
      <c r="M40" s="139"/>
      <c r="N40" s="139"/>
      <c r="O40" s="139">
        <f t="shared" si="5"/>
        <v>8000000</v>
      </c>
      <c r="P40" s="139"/>
      <c r="Q40" s="139"/>
      <c r="R40" s="143"/>
    </row>
    <row r="41" spans="1:19" ht="24.95" customHeight="1" x14ac:dyDescent="0.25">
      <c r="A41" s="211"/>
      <c r="B41" s="337"/>
      <c r="C41" s="452" t="s">
        <v>26</v>
      </c>
      <c r="D41" s="453"/>
      <c r="E41" s="454"/>
      <c r="F41" s="196"/>
      <c r="G41" s="195"/>
      <c r="H41" s="155"/>
      <c r="I41" s="195"/>
      <c r="J41" s="155"/>
      <c r="K41" s="219"/>
      <c r="L41" s="185">
        <v>1200000</v>
      </c>
      <c r="M41" s="139"/>
      <c r="N41" s="139"/>
      <c r="O41" s="139">
        <f t="shared" si="5"/>
        <v>1200000</v>
      </c>
      <c r="P41" s="139"/>
      <c r="Q41" s="139"/>
      <c r="R41" s="143"/>
    </row>
    <row r="42" spans="1:19" ht="20.45" customHeight="1" x14ac:dyDescent="0.25">
      <c r="A42" s="450" t="s">
        <v>20</v>
      </c>
      <c r="B42" s="450"/>
      <c r="C42" s="450"/>
      <c r="D42" s="450"/>
      <c r="E42" s="450"/>
      <c r="F42" s="450"/>
      <c r="G42" s="334">
        <f t="shared" ref="G42:N42" si="6">SUM(G8:G41)</f>
        <v>2324</v>
      </c>
      <c r="H42" s="334">
        <f t="shared" si="6"/>
        <v>42706470</v>
      </c>
      <c r="I42" s="334">
        <f t="shared" si="6"/>
        <v>0</v>
      </c>
      <c r="J42" s="334">
        <f t="shared" si="6"/>
        <v>27320000</v>
      </c>
      <c r="K42" s="334">
        <f t="shared" si="6"/>
        <v>8000000</v>
      </c>
      <c r="L42" s="334">
        <f>SUM(L8:L41)</f>
        <v>13630000</v>
      </c>
      <c r="M42" s="334">
        <f t="shared" si="6"/>
        <v>11540000</v>
      </c>
      <c r="N42" s="334">
        <f t="shared" si="6"/>
        <v>0</v>
      </c>
      <c r="O42" s="348">
        <f>SUM(O8:O41)</f>
        <v>103196470</v>
      </c>
      <c r="P42" s="335">
        <f>SUM(P8:P41)</f>
        <v>108341713</v>
      </c>
      <c r="Q42" s="334">
        <f>P42-O42</f>
        <v>5145243</v>
      </c>
    </row>
    <row r="43" spans="1:19" ht="24.95" customHeight="1" x14ac:dyDescent="0.25">
      <c r="O43" s="158"/>
      <c r="Q43" s="158"/>
    </row>
    <row r="44" spans="1:19" ht="13.9" customHeight="1" x14ac:dyDescent="0.25">
      <c r="P44" s="216" t="s">
        <v>1603</v>
      </c>
      <c r="Q44" s="227">
        <f>Q42</f>
        <v>5145243</v>
      </c>
      <c r="S44" s="216"/>
    </row>
    <row r="45" spans="1:19" ht="13.9" customHeight="1" x14ac:dyDescent="0.25">
      <c r="B45" s="129"/>
      <c r="J45" s="128"/>
      <c r="K45" s="128"/>
      <c r="L45" s="128"/>
      <c r="N45" s="128"/>
      <c r="O45" s="128"/>
      <c r="P45" s="218"/>
      <c r="Q45" s="216"/>
    </row>
    <row r="46" spans="1:19" ht="13.9" customHeight="1" x14ac:dyDescent="0.25">
      <c r="B46" s="129"/>
      <c r="H46" s="128"/>
      <c r="J46" s="128"/>
      <c r="K46" s="128"/>
      <c r="L46" s="128"/>
      <c r="M46" s="128"/>
      <c r="N46" s="128"/>
      <c r="O46" s="128"/>
      <c r="P46" s="218"/>
      <c r="Q46" s="230"/>
    </row>
    <row r="47" spans="1:19" ht="13.9" customHeight="1" x14ac:dyDescent="0.25">
      <c r="B47" s="129"/>
      <c r="H47" s="128"/>
      <c r="J47" s="128"/>
      <c r="K47" s="128"/>
      <c r="L47" s="128"/>
      <c r="M47" s="128"/>
      <c r="N47" s="128"/>
      <c r="O47" s="128"/>
      <c r="P47" s="218"/>
      <c r="Q47" s="230"/>
      <c r="R47" s="143"/>
    </row>
    <row r="48" spans="1:19" ht="13.9" customHeight="1" x14ac:dyDescent="0.25">
      <c r="B48" s="129"/>
      <c r="H48" s="128"/>
      <c r="J48" s="128"/>
      <c r="K48" s="128"/>
      <c r="L48" s="128"/>
      <c r="M48" s="128"/>
      <c r="N48" s="128"/>
      <c r="O48" s="128"/>
      <c r="P48" s="218"/>
      <c r="Q48" s="216"/>
      <c r="R48" s="143"/>
    </row>
    <row r="49" spans="1:17" x14ac:dyDescent="0.25">
      <c r="B49" s="129"/>
      <c r="H49" s="128"/>
      <c r="J49" s="128"/>
      <c r="K49" s="128"/>
      <c r="L49" s="128"/>
      <c r="M49" s="128"/>
      <c r="N49" s="128"/>
      <c r="O49" s="128"/>
      <c r="P49" s="218"/>
      <c r="Q49" s="216"/>
    </row>
    <row r="50" spans="1:17" x14ac:dyDescent="0.25">
      <c r="A50" s="128"/>
      <c r="B50" s="129"/>
      <c r="H50" s="128"/>
      <c r="J50" s="128"/>
      <c r="K50" s="128"/>
      <c r="L50" s="128"/>
      <c r="M50" s="128"/>
      <c r="N50" s="128"/>
      <c r="O50" s="128"/>
      <c r="P50" s="218"/>
      <c r="Q50" s="216"/>
    </row>
    <row r="51" spans="1:17" x14ac:dyDescent="0.25">
      <c r="A51" s="128"/>
      <c r="B51" s="129"/>
      <c r="H51" s="128"/>
      <c r="J51" s="128"/>
      <c r="K51" s="128"/>
      <c r="L51" s="128"/>
      <c r="M51" s="128"/>
      <c r="N51" s="128"/>
      <c r="O51" s="128"/>
      <c r="P51" s="218"/>
      <c r="Q51" s="216"/>
    </row>
    <row r="52" spans="1:17" x14ac:dyDescent="0.25">
      <c r="A52" s="128"/>
      <c r="B52" s="128"/>
      <c r="H52" s="128"/>
      <c r="J52" s="128"/>
      <c r="K52" s="128"/>
      <c r="L52" s="128"/>
      <c r="M52" s="128"/>
      <c r="N52" s="128"/>
      <c r="O52" s="128"/>
      <c r="P52" s="128"/>
      <c r="Q52" s="216"/>
    </row>
    <row r="53" spans="1:17" x14ac:dyDescent="0.25">
      <c r="A53" s="128"/>
      <c r="B53" s="128"/>
      <c r="H53" s="128"/>
      <c r="J53" s="128"/>
      <c r="K53" s="128"/>
      <c r="L53" s="128"/>
      <c r="M53" s="128"/>
      <c r="N53" s="128"/>
      <c r="O53" s="128"/>
      <c r="P53" s="128"/>
      <c r="Q53" s="216"/>
    </row>
  </sheetData>
  <autoFilter ref="A5:Q30" xr:uid="{130D51B0-CFFB-4D02-AF0B-20ECCD8D8EEC}">
    <filterColumn colId="6" showButton="0"/>
    <filterColumn colId="7" showButton="0"/>
    <filterColumn colId="8" showButton="0"/>
    <filterColumn colId="9" showButton="0"/>
    <filterColumn colId="10" showButton="0"/>
    <filterColumn colId="11" showButton="0"/>
    <filterColumn colId="12" showButton="0"/>
  </autoFilter>
  <mergeCells count="24">
    <mergeCell ref="C34:E34"/>
    <mergeCell ref="C33:E33"/>
    <mergeCell ref="A1:Q1"/>
    <mergeCell ref="A2:Q2"/>
    <mergeCell ref="B3:Q3"/>
    <mergeCell ref="A5:A6"/>
    <mergeCell ref="B5:B6"/>
    <mergeCell ref="C5:C6"/>
    <mergeCell ref="D5:D6"/>
    <mergeCell ref="E5:E6"/>
    <mergeCell ref="F5:F6"/>
    <mergeCell ref="G5:N5"/>
    <mergeCell ref="O5:O6"/>
    <mergeCell ref="P5:P6"/>
    <mergeCell ref="Q5:Q6"/>
    <mergeCell ref="C32:F32"/>
    <mergeCell ref="C35:E35"/>
    <mergeCell ref="C36:E36"/>
    <mergeCell ref="C40:E40"/>
    <mergeCell ref="C41:E41"/>
    <mergeCell ref="A42:F42"/>
    <mergeCell ref="C37:E37"/>
    <mergeCell ref="C38:E38"/>
    <mergeCell ref="C39:E39"/>
  </mergeCells>
  <pageMargins left="0.7" right="0.7" top="0.75" bottom="0.75" header="0.3" footer="0.3"/>
  <pageSetup paperSize="9" orientation="portrait" horizontalDpi="0" verticalDpi="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4021-9B04-455D-A293-19179704ED23}">
  <dimension ref="A1:S43"/>
  <sheetViews>
    <sheetView topLeftCell="A23" workbookViewId="0">
      <selection activeCell="O29" sqref="O29"/>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4198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44599</v>
      </c>
      <c r="C8" s="134" t="s">
        <v>4199</v>
      </c>
      <c r="D8" s="211" t="s">
        <v>4211</v>
      </c>
      <c r="E8" s="136" t="s">
        <v>4225</v>
      </c>
      <c r="F8" s="134"/>
      <c r="G8" s="134">
        <v>62</v>
      </c>
      <c r="H8" s="139">
        <f>G8*18900</f>
        <v>1171800</v>
      </c>
      <c r="I8" s="134"/>
      <c r="J8" s="139">
        <v>790000</v>
      </c>
      <c r="K8" s="139"/>
      <c r="L8" s="263"/>
      <c r="M8" s="139"/>
      <c r="N8" s="139"/>
      <c r="O8" s="139">
        <f>SUM(H8:N8)</f>
        <v>1961800</v>
      </c>
      <c r="P8" s="139">
        <v>3209091</v>
      </c>
      <c r="Q8" s="139">
        <f>P8-O8</f>
        <v>1247291</v>
      </c>
      <c r="R8" s="143"/>
    </row>
    <row r="9" spans="1:18" ht="20.45" customHeight="1" x14ac:dyDescent="0.25">
      <c r="A9" s="211">
        <v>2</v>
      </c>
      <c r="B9" s="328">
        <v>44600</v>
      </c>
      <c r="C9" s="134" t="s">
        <v>4200</v>
      </c>
      <c r="D9" s="211" t="s">
        <v>995</v>
      </c>
      <c r="E9" s="136" t="s">
        <v>4188</v>
      </c>
      <c r="F9" s="134"/>
      <c r="G9" s="134">
        <v>81</v>
      </c>
      <c r="H9" s="139">
        <f t="shared" ref="H9:H10" si="0">G9*18900</f>
        <v>1530900</v>
      </c>
      <c r="I9" s="134"/>
      <c r="J9" s="139">
        <v>1150000</v>
      </c>
      <c r="K9" s="139"/>
      <c r="L9" s="263"/>
      <c r="M9" s="139"/>
      <c r="N9" s="139"/>
      <c r="O9" s="139">
        <f>SUM(H9:N9)</f>
        <v>2680900</v>
      </c>
      <c r="P9" s="139">
        <v>4145455</v>
      </c>
      <c r="Q9" s="139">
        <f t="shared" ref="Q9:Q24" si="1">P9-O9</f>
        <v>1464555</v>
      </c>
      <c r="R9" s="143"/>
    </row>
    <row r="10" spans="1:18" ht="20.45" customHeight="1" x14ac:dyDescent="0.25">
      <c r="A10" s="211">
        <v>3</v>
      </c>
      <c r="B10" s="328">
        <v>44601</v>
      </c>
      <c r="C10" s="134" t="s">
        <v>4201</v>
      </c>
      <c r="D10" s="211" t="s">
        <v>4212</v>
      </c>
      <c r="E10" s="136" t="s">
        <v>4226</v>
      </c>
      <c r="F10" s="134"/>
      <c r="G10" s="134">
        <v>100</v>
      </c>
      <c r="H10" s="139">
        <f t="shared" si="0"/>
        <v>1890000</v>
      </c>
      <c r="I10" s="134"/>
      <c r="J10" s="139">
        <v>1150000</v>
      </c>
      <c r="K10" s="139"/>
      <c r="L10" s="263"/>
      <c r="M10" s="139"/>
      <c r="N10" s="139"/>
      <c r="O10" s="139">
        <f t="shared" ref="O10:O24" si="2">SUM(H10:N10)</f>
        <v>3040000</v>
      </c>
      <c r="P10" s="139">
        <v>6000000</v>
      </c>
      <c r="Q10" s="139">
        <f t="shared" si="1"/>
        <v>2960000</v>
      </c>
      <c r="R10" s="143"/>
    </row>
    <row r="11" spans="1:18" ht="20.45" customHeight="1" x14ac:dyDescent="0.25">
      <c r="A11" s="211">
        <v>4</v>
      </c>
      <c r="B11" s="328">
        <v>44601</v>
      </c>
      <c r="C11" s="134" t="s">
        <v>4202</v>
      </c>
      <c r="D11" s="211" t="s">
        <v>4212</v>
      </c>
      <c r="E11" s="136" t="s">
        <v>218</v>
      </c>
      <c r="F11" s="134"/>
      <c r="G11" s="134">
        <v>0</v>
      </c>
      <c r="H11" s="139"/>
      <c r="I11" s="134"/>
      <c r="J11" s="139">
        <v>480000</v>
      </c>
      <c r="K11" s="139"/>
      <c r="L11" s="263"/>
      <c r="M11" s="139"/>
      <c r="N11" s="139"/>
      <c r="O11" s="139">
        <f t="shared" si="2"/>
        <v>480000</v>
      </c>
      <c r="P11" s="139">
        <v>0</v>
      </c>
      <c r="Q11" s="139">
        <f t="shared" si="1"/>
        <v>-480000</v>
      </c>
      <c r="R11" s="143"/>
    </row>
    <row r="12" spans="1:18" ht="20.45" customHeight="1" x14ac:dyDescent="0.25">
      <c r="A12" s="211">
        <v>5</v>
      </c>
      <c r="B12" s="328">
        <v>44602</v>
      </c>
      <c r="C12" s="134" t="s">
        <v>2908</v>
      </c>
      <c r="D12" s="211" t="s">
        <v>4213</v>
      </c>
      <c r="E12" s="136" t="s">
        <v>143</v>
      </c>
      <c r="F12" s="134"/>
      <c r="G12" s="134">
        <v>110</v>
      </c>
      <c r="H12" s="139">
        <f>G12*19860</f>
        <v>2184600</v>
      </c>
      <c r="I12" s="134"/>
      <c r="J12" s="139">
        <v>1150000</v>
      </c>
      <c r="K12" s="139"/>
      <c r="L12" s="263"/>
      <c r="M12" s="139"/>
      <c r="N12" s="139"/>
      <c r="O12" s="139">
        <f t="shared" si="2"/>
        <v>3334600</v>
      </c>
      <c r="P12" s="139">
        <v>4500000</v>
      </c>
      <c r="Q12" s="139">
        <f t="shared" si="1"/>
        <v>1165400</v>
      </c>
      <c r="R12" s="143"/>
    </row>
    <row r="13" spans="1:18" ht="20.45" customHeight="1" x14ac:dyDescent="0.25">
      <c r="A13" s="211">
        <v>6</v>
      </c>
      <c r="B13" s="328">
        <v>44603</v>
      </c>
      <c r="C13" s="134" t="s">
        <v>2910</v>
      </c>
      <c r="D13" s="211" t="s">
        <v>4214</v>
      </c>
      <c r="E13" s="136" t="s">
        <v>4227</v>
      </c>
      <c r="F13" s="134"/>
      <c r="G13" s="134">
        <v>62</v>
      </c>
      <c r="H13" s="139">
        <f t="shared" ref="H13:H14" si="3">G13*19860</f>
        <v>1231320</v>
      </c>
      <c r="I13" s="134"/>
      <c r="J13" s="139">
        <v>790000</v>
      </c>
      <c r="K13" s="139"/>
      <c r="L13" s="263"/>
      <c r="M13" s="139"/>
      <c r="N13" s="139"/>
      <c r="O13" s="139">
        <f t="shared" si="2"/>
        <v>2021320</v>
      </c>
      <c r="P13" s="139">
        <v>4000000</v>
      </c>
      <c r="Q13" s="139">
        <f t="shared" si="1"/>
        <v>1978680</v>
      </c>
      <c r="R13" s="143"/>
    </row>
    <row r="14" spans="1:18" ht="20.45" customHeight="1" x14ac:dyDescent="0.25">
      <c r="A14" s="211">
        <v>7</v>
      </c>
      <c r="B14" s="328">
        <v>44605</v>
      </c>
      <c r="C14" s="134" t="s">
        <v>4203</v>
      </c>
      <c r="D14" s="211" t="s">
        <v>4215</v>
      </c>
      <c r="E14" s="136" t="s">
        <v>3938</v>
      </c>
      <c r="F14" s="134"/>
      <c r="G14" s="134">
        <v>83</v>
      </c>
      <c r="H14" s="139">
        <f t="shared" si="3"/>
        <v>1648380</v>
      </c>
      <c r="I14" s="134"/>
      <c r="J14" s="139">
        <v>1150000</v>
      </c>
      <c r="K14" s="139"/>
      <c r="L14" s="263"/>
      <c r="M14" s="139"/>
      <c r="N14" s="139"/>
      <c r="O14" s="139">
        <f t="shared" si="2"/>
        <v>2798380</v>
      </c>
      <c r="P14" s="139">
        <v>4000000</v>
      </c>
      <c r="Q14" s="139">
        <f t="shared" si="1"/>
        <v>1201620</v>
      </c>
      <c r="R14" s="143"/>
    </row>
    <row r="15" spans="1:18" ht="20.45" customHeight="1" x14ac:dyDescent="0.25">
      <c r="A15" s="211">
        <v>8</v>
      </c>
      <c r="B15" s="328">
        <v>44607</v>
      </c>
      <c r="C15" s="134" t="s">
        <v>4204</v>
      </c>
      <c r="D15" s="211" t="s">
        <v>4216</v>
      </c>
      <c r="E15" s="136" t="s">
        <v>291</v>
      </c>
      <c r="F15" s="134"/>
      <c r="G15" s="134">
        <v>83</v>
      </c>
      <c r="H15" s="139">
        <f>G15*20800</f>
        <v>1726400</v>
      </c>
      <c r="I15" s="134"/>
      <c r="J15" s="139">
        <v>1150000</v>
      </c>
      <c r="K15" s="139"/>
      <c r="L15" s="263"/>
      <c r="M15" s="139"/>
      <c r="N15" s="139"/>
      <c r="O15" s="139">
        <f t="shared" si="2"/>
        <v>2876400</v>
      </c>
      <c r="P15" s="139">
        <v>3800000</v>
      </c>
      <c r="Q15" s="139">
        <f t="shared" si="1"/>
        <v>923600</v>
      </c>
      <c r="R15" s="143"/>
    </row>
    <row r="16" spans="1:18" ht="20.45" customHeight="1" x14ac:dyDescent="0.25">
      <c r="A16" s="211">
        <v>9</v>
      </c>
      <c r="B16" s="328">
        <v>44608</v>
      </c>
      <c r="C16" s="134" t="s">
        <v>4205</v>
      </c>
      <c r="D16" s="211" t="s">
        <v>4217</v>
      </c>
      <c r="E16" s="136" t="s">
        <v>4188</v>
      </c>
      <c r="F16" s="134"/>
      <c r="G16" s="134">
        <v>84</v>
      </c>
      <c r="H16" s="139">
        <f t="shared" ref="H16:H24" si="4">G16*20800</f>
        <v>1747200</v>
      </c>
      <c r="I16" s="134"/>
      <c r="J16" s="139">
        <v>1150000</v>
      </c>
      <c r="K16" s="139"/>
      <c r="L16" s="263"/>
      <c r="M16" s="139"/>
      <c r="N16" s="139"/>
      <c r="O16" s="139">
        <f t="shared" si="2"/>
        <v>2897200</v>
      </c>
      <c r="P16" s="139">
        <v>4145455</v>
      </c>
      <c r="Q16" s="139">
        <f t="shared" si="1"/>
        <v>1248255</v>
      </c>
      <c r="R16" s="143"/>
    </row>
    <row r="17" spans="1:18" ht="20.45" customHeight="1" x14ac:dyDescent="0.25">
      <c r="A17" s="211">
        <v>10</v>
      </c>
      <c r="B17" s="328">
        <v>44609</v>
      </c>
      <c r="C17" s="134" t="s">
        <v>4206</v>
      </c>
      <c r="D17" s="211" t="s">
        <v>4218</v>
      </c>
      <c r="E17" s="136" t="s">
        <v>27</v>
      </c>
      <c r="F17" s="134"/>
      <c r="G17" s="134">
        <v>109</v>
      </c>
      <c r="H17" s="139">
        <f t="shared" si="4"/>
        <v>2267200</v>
      </c>
      <c r="I17" s="134"/>
      <c r="J17" s="139">
        <v>790000</v>
      </c>
      <c r="K17" s="139"/>
      <c r="L17" s="263"/>
      <c r="M17" s="139"/>
      <c r="N17" s="139"/>
      <c r="O17" s="139">
        <f t="shared" si="2"/>
        <v>3057200</v>
      </c>
      <c r="P17" s="139">
        <v>4400000</v>
      </c>
      <c r="Q17" s="139">
        <f t="shared" si="1"/>
        <v>1342800</v>
      </c>
      <c r="R17" s="143"/>
    </row>
    <row r="18" spans="1:18" ht="20.45" customHeight="1" x14ac:dyDescent="0.25">
      <c r="A18" s="211">
        <v>11</v>
      </c>
      <c r="B18" s="328">
        <v>44610</v>
      </c>
      <c r="C18" s="134" t="s">
        <v>2243</v>
      </c>
      <c r="D18" s="211" t="s">
        <v>4219</v>
      </c>
      <c r="E18" s="136" t="s">
        <v>2883</v>
      </c>
      <c r="F18" s="134"/>
      <c r="G18" s="134">
        <v>66</v>
      </c>
      <c r="H18" s="139">
        <f t="shared" si="4"/>
        <v>1372800</v>
      </c>
      <c r="I18" s="134"/>
      <c r="J18" s="139">
        <v>790000</v>
      </c>
      <c r="K18" s="139"/>
      <c r="L18" s="263"/>
      <c r="M18" s="139"/>
      <c r="N18" s="139"/>
      <c r="O18" s="139">
        <f t="shared" si="2"/>
        <v>2162800</v>
      </c>
      <c r="P18" s="139">
        <v>3200000</v>
      </c>
      <c r="Q18" s="139">
        <f t="shared" si="1"/>
        <v>1037200</v>
      </c>
      <c r="R18" s="143"/>
    </row>
    <row r="19" spans="1:18" ht="20.45" customHeight="1" x14ac:dyDescent="0.25">
      <c r="A19" s="211">
        <v>12</v>
      </c>
      <c r="B19" s="328">
        <v>44613</v>
      </c>
      <c r="C19" s="134" t="s">
        <v>4207</v>
      </c>
      <c r="D19" s="211" t="s">
        <v>4220</v>
      </c>
      <c r="E19" s="136" t="s">
        <v>4228</v>
      </c>
      <c r="F19" s="134"/>
      <c r="G19" s="134">
        <v>3</v>
      </c>
      <c r="H19" s="139">
        <f t="shared" si="4"/>
        <v>62400</v>
      </c>
      <c r="I19" s="134"/>
      <c r="J19" s="139">
        <v>600000</v>
      </c>
      <c r="K19" s="139"/>
      <c r="L19" s="263"/>
      <c r="M19" s="139"/>
      <c r="N19" s="139"/>
      <c r="O19" s="139">
        <f t="shared" si="2"/>
        <v>662400</v>
      </c>
      <c r="P19" s="139">
        <v>1500000</v>
      </c>
      <c r="Q19" s="139">
        <f t="shared" si="1"/>
        <v>837600</v>
      </c>
      <c r="R19" s="143"/>
    </row>
    <row r="20" spans="1:18" ht="20.45" customHeight="1" x14ac:dyDescent="0.25">
      <c r="A20" s="211">
        <v>13</v>
      </c>
      <c r="B20" s="328">
        <v>44614</v>
      </c>
      <c r="C20" s="134" t="s">
        <v>4208</v>
      </c>
      <c r="D20" s="211" t="s">
        <v>4220</v>
      </c>
      <c r="E20" s="136" t="s">
        <v>3498</v>
      </c>
      <c r="F20" s="134"/>
      <c r="G20" s="134">
        <v>15</v>
      </c>
      <c r="H20" s="139">
        <f t="shared" si="4"/>
        <v>312000</v>
      </c>
      <c r="I20" s="134"/>
      <c r="J20" s="139">
        <v>0</v>
      </c>
      <c r="K20" s="139"/>
      <c r="L20" s="263"/>
      <c r="M20" s="139"/>
      <c r="N20" s="139"/>
      <c r="O20" s="139">
        <f t="shared" si="2"/>
        <v>312000</v>
      </c>
      <c r="P20" s="139">
        <v>1550000</v>
      </c>
      <c r="Q20" s="139">
        <f t="shared" si="1"/>
        <v>1238000</v>
      </c>
      <c r="R20" s="143"/>
    </row>
    <row r="21" spans="1:18" ht="20.45" customHeight="1" x14ac:dyDescent="0.25">
      <c r="A21" s="211">
        <v>14</v>
      </c>
      <c r="B21" s="328">
        <v>44614</v>
      </c>
      <c r="C21" s="134" t="s">
        <v>4209</v>
      </c>
      <c r="D21" s="211" t="s">
        <v>4221</v>
      </c>
      <c r="E21" s="136" t="s">
        <v>4229</v>
      </c>
      <c r="F21" s="134"/>
      <c r="G21" s="134">
        <v>86</v>
      </c>
      <c r="H21" s="139">
        <f t="shared" si="4"/>
        <v>1788800</v>
      </c>
      <c r="I21" s="134"/>
      <c r="J21" s="139">
        <v>1150000</v>
      </c>
      <c r="K21" s="139"/>
      <c r="L21" s="263"/>
      <c r="M21" s="139"/>
      <c r="N21" s="139"/>
      <c r="O21" s="139">
        <f t="shared" si="2"/>
        <v>2938800</v>
      </c>
      <c r="P21" s="139">
        <v>4300000</v>
      </c>
      <c r="Q21" s="139">
        <f t="shared" si="1"/>
        <v>1361200</v>
      </c>
      <c r="R21" s="143"/>
    </row>
    <row r="22" spans="1:18" ht="20.45" customHeight="1" x14ac:dyDescent="0.25">
      <c r="A22" s="211">
        <v>15</v>
      </c>
      <c r="B22" s="328">
        <v>44616</v>
      </c>
      <c r="C22" s="134" t="s">
        <v>1585</v>
      </c>
      <c r="D22" s="211" t="s">
        <v>4222</v>
      </c>
      <c r="E22" s="136" t="s">
        <v>143</v>
      </c>
      <c r="F22" s="134"/>
      <c r="G22" s="134">
        <v>111</v>
      </c>
      <c r="H22" s="139">
        <f>G22*20800</f>
        <v>2308800</v>
      </c>
      <c r="I22" s="134"/>
      <c r="J22" s="139">
        <v>1150000</v>
      </c>
      <c r="K22" s="139"/>
      <c r="L22" s="263"/>
      <c r="M22" s="139"/>
      <c r="N22" s="139"/>
      <c r="O22" s="139">
        <f t="shared" si="2"/>
        <v>3458800</v>
      </c>
      <c r="P22" s="139">
        <v>5350000</v>
      </c>
      <c r="Q22" s="139">
        <f t="shared" si="1"/>
        <v>1891200</v>
      </c>
      <c r="R22" s="143"/>
    </row>
    <row r="23" spans="1:18" ht="25.5" customHeight="1" x14ac:dyDescent="0.25">
      <c r="A23" s="211">
        <v>16</v>
      </c>
      <c r="B23" s="328">
        <v>44617</v>
      </c>
      <c r="C23" s="134" t="s">
        <v>2247</v>
      </c>
      <c r="D23" s="211" t="s">
        <v>4223</v>
      </c>
      <c r="E23" s="136" t="s">
        <v>25</v>
      </c>
      <c r="F23" s="134"/>
      <c r="G23" s="134">
        <v>180</v>
      </c>
      <c r="H23" s="139">
        <f t="shared" si="4"/>
        <v>3744000</v>
      </c>
      <c r="I23" s="134"/>
      <c r="J23" s="139">
        <v>1890000</v>
      </c>
      <c r="K23" s="139"/>
      <c r="L23" s="263"/>
      <c r="M23" s="139"/>
      <c r="N23" s="139"/>
      <c r="O23" s="139">
        <f t="shared" si="2"/>
        <v>5634000</v>
      </c>
      <c r="P23" s="139">
        <v>8188889</v>
      </c>
      <c r="Q23" s="139">
        <f t="shared" si="1"/>
        <v>2554889</v>
      </c>
      <c r="R23" s="143"/>
    </row>
    <row r="24" spans="1:18" ht="20.45" customHeight="1" x14ac:dyDescent="0.25">
      <c r="A24" s="211">
        <v>17</v>
      </c>
      <c r="B24" s="328">
        <v>44620</v>
      </c>
      <c r="C24" s="134" t="s">
        <v>4210</v>
      </c>
      <c r="D24" s="211" t="s">
        <v>4224</v>
      </c>
      <c r="E24" s="136" t="s">
        <v>143</v>
      </c>
      <c r="F24" s="134"/>
      <c r="G24" s="134">
        <v>111</v>
      </c>
      <c r="H24" s="139">
        <f t="shared" si="4"/>
        <v>2308800</v>
      </c>
      <c r="I24" s="134"/>
      <c r="J24" s="139">
        <v>1150000</v>
      </c>
      <c r="K24" s="139"/>
      <c r="L24" s="263"/>
      <c r="M24" s="139"/>
      <c r="N24" s="139"/>
      <c r="O24" s="139">
        <f t="shared" si="2"/>
        <v>3458800</v>
      </c>
      <c r="P24" s="139">
        <v>5350000</v>
      </c>
      <c r="Q24" s="139">
        <f t="shared" si="1"/>
        <v>1891200</v>
      </c>
      <c r="R24" s="143"/>
    </row>
    <row r="25" spans="1:18" ht="20.45" customHeight="1" x14ac:dyDescent="0.25">
      <c r="A25" s="211"/>
      <c r="B25" s="328"/>
      <c r="C25" s="134"/>
      <c r="D25" s="211"/>
      <c r="E25" s="136"/>
      <c r="F25" s="134"/>
      <c r="G25" s="134"/>
      <c r="H25" s="139"/>
      <c r="I25" s="134"/>
      <c r="J25" s="139"/>
      <c r="K25" s="139"/>
      <c r="L25" s="263"/>
      <c r="M25" s="139"/>
      <c r="N25" s="139"/>
      <c r="O25" s="139"/>
      <c r="P25" s="139"/>
      <c r="Q25" s="139"/>
      <c r="R25" s="143"/>
    </row>
    <row r="26" spans="1:18" ht="20.45" customHeight="1" x14ac:dyDescent="0.25">
      <c r="A26" s="211"/>
      <c r="B26" s="337"/>
      <c r="C26" s="449"/>
      <c r="D26" s="449"/>
      <c r="E26" s="449"/>
      <c r="F26" s="449"/>
      <c r="G26" s="195"/>
      <c r="H26" s="155"/>
      <c r="I26" s="195"/>
      <c r="J26" s="155"/>
      <c r="K26" s="219"/>
      <c r="L26" s="219"/>
      <c r="M26" s="139"/>
      <c r="N26" s="139"/>
      <c r="O26" s="139"/>
      <c r="P26" s="139"/>
      <c r="Q26" s="139"/>
      <c r="R26" s="143"/>
    </row>
    <row r="27" spans="1:18" ht="20.45" customHeight="1" x14ac:dyDescent="0.25">
      <c r="A27" s="211"/>
      <c r="B27" s="337"/>
      <c r="C27" s="440" t="s">
        <v>4233</v>
      </c>
      <c r="D27" s="441"/>
      <c r="E27" s="442"/>
      <c r="F27" s="196"/>
      <c r="G27" s="195"/>
      <c r="H27" s="155"/>
      <c r="I27" s="195"/>
      <c r="J27" s="155"/>
      <c r="K27" s="185">
        <v>300000</v>
      </c>
      <c r="L27" s="219"/>
      <c r="M27" s="139"/>
      <c r="N27" s="139"/>
      <c r="O27" s="139">
        <f>SUM(H27:N27)</f>
        <v>300000</v>
      </c>
      <c r="P27" s="139"/>
      <c r="Q27" s="139"/>
      <c r="R27" s="143"/>
    </row>
    <row r="28" spans="1:18" ht="24.95" customHeight="1" x14ac:dyDescent="0.25">
      <c r="A28" s="211"/>
      <c r="B28" s="337"/>
      <c r="C28" s="440" t="s">
        <v>4230</v>
      </c>
      <c r="D28" s="441"/>
      <c r="E28" s="442"/>
      <c r="F28" s="196"/>
      <c r="G28" s="195"/>
      <c r="H28" s="155"/>
      <c r="I28" s="195"/>
      <c r="J28" s="155"/>
      <c r="K28" s="219"/>
      <c r="L28" s="185">
        <v>350000</v>
      </c>
      <c r="M28" s="139"/>
      <c r="N28" s="139"/>
      <c r="O28" s="139">
        <f t="shared" ref="O28:O31" si="5">SUM(H28:N28)</f>
        <v>350000</v>
      </c>
      <c r="P28" s="139"/>
      <c r="Q28" s="139"/>
      <c r="R28" s="143"/>
    </row>
    <row r="29" spans="1:18" ht="24.95" customHeight="1" x14ac:dyDescent="0.25">
      <c r="A29" s="211"/>
      <c r="B29" s="337"/>
      <c r="C29" s="452" t="s">
        <v>4231</v>
      </c>
      <c r="D29" s="453"/>
      <c r="E29" s="454"/>
      <c r="F29" s="196"/>
      <c r="G29" s="195"/>
      <c r="H29" s="155"/>
      <c r="I29" s="195"/>
      <c r="J29" s="155"/>
      <c r="K29" s="219"/>
      <c r="L29" s="219"/>
      <c r="M29" s="219"/>
      <c r="N29" s="185">
        <v>3250000</v>
      </c>
      <c r="O29" s="139">
        <f t="shared" si="5"/>
        <v>3250000</v>
      </c>
      <c r="P29" s="139"/>
      <c r="Q29" s="139"/>
      <c r="R29" s="143"/>
    </row>
    <row r="30" spans="1:18" ht="24.95" customHeight="1" x14ac:dyDescent="0.25">
      <c r="A30" s="211"/>
      <c r="B30" s="337"/>
      <c r="C30" s="452" t="s">
        <v>4232</v>
      </c>
      <c r="D30" s="453"/>
      <c r="E30" s="454"/>
      <c r="F30" s="196"/>
      <c r="G30" s="195"/>
      <c r="H30" s="155"/>
      <c r="I30" s="195"/>
      <c r="J30" s="155"/>
      <c r="K30" s="185">
        <v>7100000</v>
      </c>
      <c r="L30" s="219"/>
      <c r="M30" s="139"/>
      <c r="N30" s="139"/>
      <c r="O30" s="139">
        <f t="shared" si="5"/>
        <v>7100000</v>
      </c>
      <c r="P30" s="139"/>
      <c r="Q30" s="139"/>
      <c r="R30" s="143"/>
    </row>
    <row r="31" spans="1:18" ht="24.95" customHeight="1" x14ac:dyDescent="0.25">
      <c r="A31" s="211"/>
      <c r="B31" s="337"/>
      <c r="C31" s="452" t="s">
        <v>26</v>
      </c>
      <c r="D31" s="453"/>
      <c r="E31" s="454"/>
      <c r="F31" s="196"/>
      <c r="G31" s="195"/>
      <c r="H31" s="155"/>
      <c r="I31" s="195"/>
      <c r="J31" s="155"/>
      <c r="K31" s="219"/>
      <c r="L31" s="185">
        <v>1200000</v>
      </c>
      <c r="M31" s="139"/>
      <c r="N31" s="139"/>
      <c r="O31" s="139">
        <f t="shared" si="5"/>
        <v>1200000</v>
      </c>
      <c r="P31" s="139"/>
      <c r="Q31" s="139"/>
      <c r="R31" s="143"/>
    </row>
    <row r="32" spans="1:18" ht="20.45" customHeight="1" x14ac:dyDescent="0.25">
      <c r="A32" s="450" t="s">
        <v>20</v>
      </c>
      <c r="B32" s="450"/>
      <c r="C32" s="450"/>
      <c r="D32" s="450"/>
      <c r="E32" s="450"/>
      <c r="F32" s="450"/>
      <c r="G32" s="334">
        <f t="shared" ref="G32:P32" si="6">SUM(G8:G31)</f>
        <v>1346</v>
      </c>
      <c r="H32" s="334">
        <f t="shared" si="6"/>
        <v>27295400</v>
      </c>
      <c r="I32" s="334">
        <f t="shared" si="6"/>
        <v>0</v>
      </c>
      <c r="J32" s="334">
        <f t="shared" si="6"/>
        <v>16480000</v>
      </c>
      <c r="K32" s="334">
        <f t="shared" si="6"/>
        <v>7400000</v>
      </c>
      <c r="L32" s="334">
        <f t="shared" si="6"/>
        <v>1550000</v>
      </c>
      <c r="M32" s="334">
        <f t="shared" si="6"/>
        <v>0</v>
      </c>
      <c r="N32" s="334">
        <f t="shared" si="6"/>
        <v>3250000</v>
      </c>
      <c r="O32" s="334">
        <f t="shared" si="6"/>
        <v>55975400</v>
      </c>
      <c r="P32" s="335">
        <f t="shared" si="6"/>
        <v>67638890</v>
      </c>
      <c r="Q32" s="334">
        <f>P32-O32</f>
        <v>11663490</v>
      </c>
    </row>
    <row r="33" spans="1:19" ht="24.95" customHeight="1" x14ac:dyDescent="0.25">
      <c r="O33" s="158"/>
      <c r="Q33" s="158"/>
    </row>
    <row r="34" spans="1:19" ht="13.9" customHeight="1" x14ac:dyDescent="0.25">
      <c r="P34" s="216" t="s">
        <v>1603</v>
      </c>
      <c r="Q34" s="227">
        <f>Q32+'01.2022'!Q44</f>
        <v>16808733</v>
      </c>
      <c r="S34" s="216"/>
    </row>
    <row r="35" spans="1:19" ht="13.9" customHeight="1" x14ac:dyDescent="0.25">
      <c r="B35" s="129"/>
      <c r="J35" s="128"/>
      <c r="K35" s="128"/>
      <c r="L35" s="128"/>
      <c r="N35" s="128"/>
      <c r="O35" s="128"/>
      <c r="P35" s="218"/>
      <c r="Q35" s="216"/>
    </row>
    <row r="36" spans="1:19" ht="13.9" customHeight="1" x14ac:dyDescent="0.25">
      <c r="B36" s="129"/>
      <c r="H36" s="128"/>
      <c r="J36" s="128"/>
      <c r="K36" s="128"/>
      <c r="L36" s="128"/>
      <c r="M36" s="128"/>
      <c r="N36" s="128"/>
      <c r="O36" s="128"/>
      <c r="P36" s="218"/>
      <c r="Q36" s="230"/>
    </row>
    <row r="37" spans="1:19" ht="13.9" customHeight="1" x14ac:dyDescent="0.25">
      <c r="B37" s="129"/>
      <c r="H37" s="128"/>
      <c r="J37" s="128"/>
      <c r="K37" s="128"/>
      <c r="L37" s="128"/>
      <c r="M37" s="128"/>
      <c r="N37" s="128"/>
      <c r="O37" s="128"/>
      <c r="P37" s="218"/>
      <c r="Q37" s="230"/>
      <c r="R37" s="143"/>
    </row>
    <row r="38" spans="1:19" ht="13.9" customHeight="1" x14ac:dyDescent="0.25">
      <c r="B38" s="129"/>
      <c r="H38" s="128"/>
      <c r="J38" s="128"/>
      <c r="K38" s="128"/>
      <c r="L38" s="128"/>
      <c r="M38" s="128"/>
      <c r="N38" s="128"/>
      <c r="O38" s="128"/>
      <c r="P38" s="218"/>
      <c r="Q38" s="216"/>
      <c r="R38" s="143"/>
    </row>
    <row r="39" spans="1:19" x14ac:dyDescent="0.25">
      <c r="B39" s="129"/>
      <c r="H39" s="128"/>
      <c r="J39" s="128"/>
      <c r="K39" s="128"/>
      <c r="L39" s="128"/>
      <c r="M39" s="128"/>
      <c r="N39" s="128"/>
      <c r="O39" s="128"/>
      <c r="P39" s="218"/>
      <c r="Q39" s="216"/>
    </row>
    <row r="40" spans="1:19" x14ac:dyDescent="0.25">
      <c r="A40" s="128"/>
      <c r="B40" s="129"/>
      <c r="H40" s="128"/>
      <c r="J40" s="128"/>
      <c r="K40" s="128"/>
      <c r="L40" s="128"/>
      <c r="M40" s="128"/>
      <c r="N40" s="128"/>
      <c r="O40" s="128"/>
      <c r="P40" s="218"/>
      <c r="Q40" s="216"/>
    </row>
    <row r="41" spans="1:19" x14ac:dyDescent="0.25">
      <c r="A41" s="128"/>
      <c r="B41" s="129"/>
      <c r="H41" s="128"/>
      <c r="J41" s="128"/>
      <c r="K41" s="128"/>
      <c r="L41" s="128"/>
      <c r="M41" s="128"/>
      <c r="N41" s="128"/>
      <c r="O41" s="128"/>
      <c r="P41" s="218"/>
      <c r="Q41" s="216"/>
    </row>
    <row r="42" spans="1:19" x14ac:dyDescent="0.25">
      <c r="A42" s="128"/>
      <c r="B42" s="128"/>
      <c r="H42" s="128"/>
      <c r="J42" s="128"/>
      <c r="K42" s="128"/>
      <c r="L42" s="128"/>
      <c r="M42" s="128"/>
      <c r="N42" s="128"/>
      <c r="O42" s="128"/>
      <c r="P42" s="128"/>
      <c r="Q42" s="216"/>
    </row>
    <row r="43" spans="1:19" x14ac:dyDescent="0.25">
      <c r="A43" s="128"/>
      <c r="B43" s="128"/>
      <c r="H43" s="128"/>
      <c r="J43" s="128"/>
      <c r="K43" s="128"/>
      <c r="L43" s="128"/>
      <c r="M43" s="128"/>
      <c r="N43" s="128"/>
      <c r="O43" s="128"/>
      <c r="P43" s="128"/>
      <c r="Q43" s="216"/>
    </row>
  </sheetData>
  <autoFilter ref="A5:Q24" xr:uid="{130D51B0-CFFB-4D02-AF0B-20ECCD8D8EEC}">
    <filterColumn colId="6" showButton="0"/>
    <filterColumn colId="7" showButton="0"/>
    <filterColumn colId="8" showButton="0"/>
    <filterColumn colId="9" showButton="0"/>
    <filterColumn colId="10" showButton="0"/>
    <filterColumn colId="11" showButton="0"/>
    <filterColumn colId="12" showButton="0"/>
  </autoFilter>
  <mergeCells count="20">
    <mergeCell ref="C26:F26"/>
    <mergeCell ref="A1:Q1"/>
    <mergeCell ref="A2:Q2"/>
    <mergeCell ref="B3:Q3"/>
    <mergeCell ref="A5:A6"/>
    <mergeCell ref="B5:B6"/>
    <mergeCell ref="C5:C6"/>
    <mergeCell ref="D5:D6"/>
    <mergeCell ref="E5:E6"/>
    <mergeCell ref="F5:F6"/>
    <mergeCell ref="G5:N5"/>
    <mergeCell ref="O5:O6"/>
    <mergeCell ref="P5:P6"/>
    <mergeCell ref="Q5:Q6"/>
    <mergeCell ref="C31:E31"/>
    <mergeCell ref="A32:F32"/>
    <mergeCell ref="C29:E29"/>
    <mergeCell ref="C30:E30"/>
    <mergeCell ref="C27:E27"/>
    <mergeCell ref="C28:E28"/>
  </mergeCells>
  <pageMargins left="0.7" right="0.7" top="0.75" bottom="0.75" header="0.3" footer="0.3"/>
  <pageSetup paperSize="9" orientation="portrait" horizontalDpi="0"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7A01-9747-4FB5-AB0F-F689A269D908}">
  <dimension ref="A1:S54"/>
  <sheetViews>
    <sheetView topLeftCell="A29" workbookViewId="0">
      <selection activeCell="Q46" sqref="Q4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4235</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44620</v>
      </c>
      <c r="C8" s="134" t="s">
        <v>2276</v>
      </c>
      <c r="D8" s="211" t="s">
        <v>4236</v>
      </c>
      <c r="E8" s="136" t="s">
        <v>4237</v>
      </c>
      <c r="F8" s="134"/>
      <c r="G8" s="134">
        <v>264</v>
      </c>
      <c r="H8" s="139">
        <f>G8*21310</f>
        <v>5625840</v>
      </c>
      <c r="I8" s="134"/>
      <c r="J8" s="226">
        <v>1720000</v>
      </c>
      <c r="K8" s="139"/>
      <c r="L8" s="263"/>
      <c r="M8" s="139"/>
      <c r="N8" s="139"/>
      <c r="O8" s="139">
        <f>SUM(H8:N8)</f>
        <v>7345840</v>
      </c>
      <c r="P8" s="139">
        <v>10000000</v>
      </c>
      <c r="Q8" s="139">
        <f>P8-O8</f>
        <v>2654160</v>
      </c>
      <c r="R8" s="143"/>
    </row>
    <row r="9" spans="1:18" ht="20.45" customHeight="1" x14ac:dyDescent="0.25">
      <c r="A9" s="211">
        <v>2</v>
      </c>
      <c r="B9" s="328">
        <v>44621</v>
      </c>
      <c r="C9" s="134" t="s">
        <v>4238</v>
      </c>
      <c r="D9" s="211" t="s">
        <v>4239</v>
      </c>
      <c r="E9" s="136" t="s">
        <v>4240</v>
      </c>
      <c r="F9" s="134"/>
      <c r="G9" s="134">
        <v>10</v>
      </c>
      <c r="H9" s="139">
        <f t="shared" ref="H9:H12" si="0">G9*21310</f>
        <v>213100</v>
      </c>
      <c r="I9" s="134"/>
      <c r="J9" s="226">
        <v>300000</v>
      </c>
      <c r="K9" s="139"/>
      <c r="L9" s="263"/>
      <c r="M9" s="139"/>
      <c r="N9" s="139"/>
      <c r="O9" s="139">
        <f>SUM(H9:N9)</f>
        <v>513100</v>
      </c>
      <c r="P9" s="139">
        <v>2000000</v>
      </c>
      <c r="Q9" s="139">
        <f t="shared" ref="Q9:Q31" si="1">P9-O9</f>
        <v>1486900</v>
      </c>
      <c r="R9" s="143"/>
    </row>
    <row r="10" spans="1:18" ht="20.45" customHeight="1" x14ac:dyDescent="0.25">
      <c r="A10" s="211">
        <v>3</v>
      </c>
      <c r="B10" s="328">
        <v>44622</v>
      </c>
      <c r="C10" s="134" t="s">
        <v>2942</v>
      </c>
      <c r="D10" s="211" t="s">
        <v>4241</v>
      </c>
      <c r="E10" s="136" t="s">
        <v>1219</v>
      </c>
      <c r="F10" s="134"/>
      <c r="G10" s="134">
        <v>84</v>
      </c>
      <c r="H10" s="139">
        <f t="shared" si="0"/>
        <v>1790040</v>
      </c>
      <c r="I10" s="134"/>
      <c r="J10" s="226">
        <v>790000</v>
      </c>
      <c r="K10" s="139"/>
      <c r="L10" s="263"/>
      <c r="M10" s="139"/>
      <c r="N10" s="139"/>
      <c r="O10" s="139">
        <f t="shared" ref="O10:O25" si="2">SUM(H10:N10)</f>
        <v>2580040</v>
      </c>
      <c r="P10" s="139">
        <v>3800000</v>
      </c>
      <c r="Q10" s="139">
        <f t="shared" si="1"/>
        <v>1219960</v>
      </c>
      <c r="R10" s="143"/>
    </row>
    <row r="11" spans="1:18" ht="20.45" customHeight="1" x14ac:dyDescent="0.25">
      <c r="A11" s="211">
        <v>4</v>
      </c>
      <c r="B11" s="328">
        <v>44623</v>
      </c>
      <c r="C11" s="134" t="s">
        <v>4242</v>
      </c>
      <c r="D11" s="211" t="s">
        <v>4243</v>
      </c>
      <c r="E11" s="136" t="s">
        <v>291</v>
      </c>
      <c r="F11" s="134"/>
      <c r="G11" s="134">
        <v>68</v>
      </c>
      <c r="H11" s="139">
        <f t="shared" si="0"/>
        <v>1449080</v>
      </c>
      <c r="I11" s="134"/>
      <c r="J11" s="226">
        <v>1150000</v>
      </c>
      <c r="K11" s="139"/>
      <c r="L11" s="263"/>
      <c r="M11" s="139"/>
      <c r="N11" s="139"/>
      <c r="O11" s="139">
        <f t="shared" si="2"/>
        <v>2599080</v>
      </c>
      <c r="P11" s="139">
        <v>4150000</v>
      </c>
      <c r="Q11" s="139">
        <f t="shared" si="1"/>
        <v>1550920</v>
      </c>
      <c r="R11" s="143"/>
    </row>
    <row r="12" spans="1:18" ht="20.45" customHeight="1" x14ac:dyDescent="0.25">
      <c r="A12" s="211">
        <v>5</v>
      </c>
      <c r="B12" s="328">
        <v>44625</v>
      </c>
      <c r="C12" s="134" t="s">
        <v>4244</v>
      </c>
      <c r="D12" s="211" t="s">
        <v>4245</v>
      </c>
      <c r="E12" s="136" t="s">
        <v>2883</v>
      </c>
      <c r="F12" s="134"/>
      <c r="G12" s="134">
        <v>62</v>
      </c>
      <c r="H12" s="139">
        <f t="shared" si="0"/>
        <v>1321220</v>
      </c>
      <c r="I12" s="134"/>
      <c r="J12" s="226">
        <v>790000</v>
      </c>
      <c r="K12" s="139"/>
      <c r="L12" s="263"/>
      <c r="M12" s="139"/>
      <c r="N12" s="139"/>
      <c r="O12" s="139">
        <f t="shared" si="2"/>
        <v>2111220</v>
      </c>
      <c r="P12" s="139">
        <v>3310000</v>
      </c>
      <c r="Q12" s="139">
        <f t="shared" si="1"/>
        <v>1198780</v>
      </c>
      <c r="R12" s="143"/>
    </row>
    <row r="13" spans="1:18" ht="20.45" customHeight="1" x14ac:dyDescent="0.25">
      <c r="A13" s="211">
        <v>6</v>
      </c>
      <c r="B13" s="328">
        <v>44627</v>
      </c>
      <c r="C13" s="134" t="s">
        <v>4246</v>
      </c>
      <c r="D13" s="211" t="s">
        <v>4247</v>
      </c>
      <c r="E13" s="136" t="s">
        <v>4240</v>
      </c>
      <c r="F13" s="134"/>
      <c r="G13" s="134">
        <v>13</v>
      </c>
      <c r="H13" s="139">
        <f>G13*25260</f>
        <v>328380</v>
      </c>
      <c r="I13" s="134"/>
      <c r="J13" s="226">
        <v>300000</v>
      </c>
      <c r="K13" s="139"/>
      <c r="L13" s="263"/>
      <c r="M13" s="139"/>
      <c r="N13" s="139"/>
      <c r="O13" s="139">
        <f t="shared" si="2"/>
        <v>628380</v>
      </c>
      <c r="P13" s="139">
        <v>2000000</v>
      </c>
      <c r="Q13" s="139">
        <f t="shared" si="1"/>
        <v>1371620</v>
      </c>
      <c r="R13" s="143"/>
    </row>
    <row r="14" spans="1:18" ht="20.45" customHeight="1" x14ac:dyDescent="0.25">
      <c r="A14" s="211">
        <v>7</v>
      </c>
      <c r="B14" s="328">
        <v>44627</v>
      </c>
      <c r="C14" s="134" t="s">
        <v>4248</v>
      </c>
      <c r="D14" s="211" t="s">
        <v>4249</v>
      </c>
      <c r="E14" s="136" t="s">
        <v>4250</v>
      </c>
      <c r="F14" s="134"/>
      <c r="G14" s="134">
        <v>115</v>
      </c>
      <c r="H14" s="139">
        <f t="shared" ref="H14:H22" si="3">G14*25260</f>
        <v>2904900</v>
      </c>
      <c r="I14" s="134"/>
      <c r="J14" s="226">
        <v>1150000</v>
      </c>
      <c r="K14" s="139"/>
      <c r="L14" s="263"/>
      <c r="M14" s="139"/>
      <c r="N14" s="139"/>
      <c r="O14" s="139">
        <f t="shared" si="2"/>
        <v>4054900</v>
      </c>
      <c r="P14" s="139">
        <v>4000000</v>
      </c>
      <c r="Q14" s="139">
        <f t="shared" si="1"/>
        <v>-54900</v>
      </c>
      <c r="R14" s="143"/>
    </row>
    <row r="15" spans="1:18" ht="20.45" customHeight="1" x14ac:dyDescent="0.25">
      <c r="A15" s="211">
        <v>8</v>
      </c>
      <c r="B15" s="328">
        <v>44628</v>
      </c>
      <c r="C15" s="134" t="s">
        <v>4251</v>
      </c>
      <c r="D15" s="211" t="s">
        <v>4249</v>
      </c>
      <c r="E15" s="136" t="s">
        <v>243</v>
      </c>
      <c r="F15" s="134"/>
      <c r="G15" s="134"/>
      <c r="H15" s="139">
        <f t="shared" si="3"/>
        <v>0</v>
      </c>
      <c r="I15" s="134"/>
      <c r="J15" s="226">
        <v>860000</v>
      </c>
      <c r="K15" s="139"/>
      <c r="L15" s="263"/>
      <c r="M15" s="139"/>
      <c r="N15" s="139"/>
      <c r="O15" s="139">
        <f t="shared" si="2"/>
        <v>860000</v>
      </c>
      <c r="P15" s="139">
        <v>2800000</v>
      </c>
      <c r="Q15" s="139">
        <f t="shared" si="1"/>
        <v>1940000</v>
      </c>
      <c r="R15" s="143"/>
    </row>
    <row r="16" spans="1:18" ht="20.45" customHeight="1" x14ac:dyDescent="0.25">
      <c r="A16" s="211">
        <v>9</v>
      </c>
      <c r="B16" s="328">
        <v>44630</v>
      </c>
      <c r="C16" s="134" t="s">
        <v>4252</v>
      </c>
      <c r="D16" s="211" t="s">
        <v>4253</v>
      </c>
      <c r="E16" s="136" t="s">
        <v>25</v>
      </c>
      <c r="F16" s="134"/>
      <c r="G16" s="134">
        <v>180</v>
      </c>
      <c r="H16" s="139">
        <f t="shared" si="3"/>
        <v>4546800</v>
      </c>
      <c r="I16" s="134"/>
      <c r="J16" s="226">
        <v>1890000</v>
      </c>
      <c r="K16" s="139"/>
      <c r="L16" s="263"/>
      <c r="M16" s="139"/>
      <c r="N16" s="139"/>
      <c r="O16" s="139">
        <f t="shared" si="2"/>
        <v>6436800</v>
      </c>
      <c r="P16" s="139">
        <v>8744444</v>
      </c>
      <c r="Q16" s="139">
        <f t="shared" si="1"/>
        <v>2307644</v>
      </c>
      <c r="R16" s="143"/>
    </row>
    <row r="17" spans="1:18" ht="20.45" customHeight="1" x14ac:dyDescent="0.25">
      <c r="A17" s="211">
        <v>10</v>
      </c>
      <c r="B17" s="328">
        <v>44631</v>
      </c>
      <c r="C17" s="134" t="s">
        <v>4254</v>
      </c>
      <c r="D17" s="211" t="s">
        <v>4255</v>
      </c>
      <c r="E17" s="136" t="s">
        <v>291</v>
      </c>
      <c r="F17" s="134"/>
      <c r="G17" s="134">
        <v>71</v>
      </c>
      <c r="H17" s="139">
        <f t="shared" si="3"/>
        <v>1793460</v>
      </c>
      <c r="I17" s="134"/>
      <c r="J17" s="208">
        <f>1150000</f>
        <v>1150000</v>
      </c>
      <c r="K17" s="139"/>
      <c r="L17" s="263"/>
      <c r="M17" s="139"/>
      <c r="N17" s="139"/>
      <c r="O17" s="139">
        <f t="shared" si="2"/>
        <v>2943460</v>
      </c>
      <c r="P17" s="139">
        <v>4150000</v>
      </c>
      <c r="Q17" s="139">
        <f t="shared" si="1"/>
        <v>1206540</v>
      </c>
      <c r="R17" s="143"/>
    </row>
    <row r="18" spans="1:18" ht="20.45" customHeight="1" x14ac:dyDescent="0.25">
      <c r="A18" s="211">
        <v>11</v>
      </c>
      <c r="B18" s="328">
        <v>44634</v>
      </c>
      <c r="C18" s="134" t="s">
        <v>4256</v>
      </c>
      <c r="D18" s="211" t="s">
        <v>4257</v>
      </c>
      <c r="E18" s="136" t="s">
        <v>4240</v>
      </c>
      <c r="F18" s="134"/>
      <c r="G18" s="134">
        <v>11</v>
      </c>
      <c r="H18" s="139">
        <f t="shared" si="3"/>
        <v>277860</v>
      </c>
      <c r="I18" s="134"/>
      <c r="J18" s="226">
        <v>300000</v>
      </c>
      <c r="K18" s="139"/>
      <c r="L18" s="263"/>
      <c r="M18" s="139"/>
      <c r="N18" s="139"/>
      <c r="O18" s="139">
        <f t="shared" si="2"/>
        <v>577860</v>
      </c>
      <c r="P18" s="139">
        <v>2000000</v>
      </c>
      <c r="Q18" s="139">
        <f t="shared" si="1"/>
        <v>1422140</v>
      </c>
      <c r="R18" s="143"/>
    </row>
    <row r="19" spans="1:18" ht="20.45" customHeight="1" x14ac:dyDescent="0.25">
      <c r="A19" s="211">
        <v>12</v>
      </c>
      <c r="B19" s="328">
        <v>44634</v>
      </c>
      <c r="C19" s="134" t="s">
        <v>4258</v>
      </c>
      <c r="D19" s="211" t="s">
        <v>4259</v>
      </c>
      <c r="E19" s="136" t="s">
        <v>4240</v>
      </c>
      <c r="F19" s="134"/>
      <c r="G19" s="134">
        <v>11</v>
      </c>
      <c r="H19" s="139">
        <f t="shared" si="3"/>
        <v>277860</v>
      </c>
      <c r="I19" s="134"/>
      <c r="J19" s="226">
        <v>300000</v>
      </c>
      <c r="K19" s="139"/>
      <c r="L19" s="263"/>
      <c r="M19" s="139"/>
      <c r="N19" s="139"/>
      <c r="O19" s="139">
        <f t="shared" si="2"/>
        <v>577860</v>
      </c>
      <c r="P19" s="139">
        <v>2000000</v>
      </c>
      <c r="Q19" s="139">
        <f t="shared" si="1"/>
        <v>1422140</v>
      </c>
      <c r="R19" s="143"/>
    </row>
    <row r="20" spans="1:18" ht="20.45" customHeight="1" x14ac:dyDescent="0.25">
      <c r="A20" s="211">
        <v>13</v>
      </c>
      <c r="B20" s="328">
        <v>44635</v>
      </c>
      <c r="C20" s="134" t="s">
        <v>4260</v>
      </c>
      <c r="D20" s="211" t="s">
        <v>4261</v>
      </c>
      <c r="E20" s="136" t="s">
        <v>4262</v>
      </c>
      <c r="F20" s="134"/>
      <c r="G20" s="134">
        <v>180</v>
      </c>
      <c r="H20" s="139">
        <f t="shared" si="3"/>
        <v>4546800</v>
      </c>
      <c r="I20" s="134"/>
      <c r="J20" s="226">
        <v>2200000</v>
      </c>
      <c r="K20" s="139"/>
      <c r="L20" s="263"/>
      <c r="M20" s="139"/>
      <c r="N20" s="139"/>
      <c r="O20" s="139">
        <f t="shared" si="2"/>
        <v>6746800</v>
      </c>
      <c r="P20" s="139">
        <v>10300000</v>
      </c>
      <c r="Q20" s="139">
        <f t="shared" si="1"/>
        <v>3553200</v>
      </c>
      <c r="R20" s="143"/>
    </row>
    <row r="21" spans="1:18" ht="20.45" customHeight="1" x14ac:dyDescent="0.25">
      <c r="A21" s="211">
        <v>14</v>
      </c>
      <c r="B21" s="328">
        <v>44636</v>
      </c>
      <c r="C21" s="134" t="s">
        <v>4263</v>
      </c>
      <c r="D21" s="211" t="s">
        <v>4264</v>
      </c>
      <c r="E21" s="136" t="s">
        <v>4262</v>
      </c>
      <c r="F21" s="134"/>
      <c r="G21" s="134">
        <v>180</v>
      </c>
      <c r="H21" s="139">
        <f t="shared" si="3"/>
        <v>4546800</v>
      </c>
      <c r="I21" s="134"/>
      <c r="J21" s="226">
        <v>2200000</v>
      </c>
      <c r="K21" s="139"/>
      <c r="L21" s="263"/>
      <c r="M21" s="139"/>
      <c r="N21" s="139"/>
      <c r="O21" s="139">
        <f t="shared" si="2"/>
        <v>6746800</v>
      </c>
      <c r="P21" s="139">
        <v>10300000</v>
      </c>
      <c r="Q21" s="139">
        <f t="shared" si="1"/>
        <v>3553200</v>
      </c>
      <c r="R21" s="143"/>
    </row>
    <row r="22" spans="1:18" ht="20.45" customHeight="1" x14ac:dyDescent="0.25">
      <c r="A22" s="211">
        <v>15</v>
      </c>
      <c r="B22" s="328">
        <v>44638</v>
      </c>
      <c r="C22" s="134" t="s">
        <v>968</v>
      </c>
      <c r="D22" s="211" t="s">
        <v>4265</v>
      </c>
      <c r="E22" s="136" t="s">
        <v>513</v>
      </c>
      <c r="F22" s="134"/>
      <c r="G22" s="134">
        <v>109</v>
      </c>
      <c r="H22" s="139">
        <f t="shared" si="3"/>
        <v>2753340</v>
      </c>
      <c r="I22" s="134"/>
      <c r="J22" s="226">
        <v>1150000</v>
      </c>
      <c r="K22" s="139"/>
      <c r="L22" s="263"/>
      <c r="M22" s="139"/>
      <c r="N22" s="139"/>
      <c r="O22" s="139">
        <f t="shared" si="2"/>
        <v>3903340</v>
      </c>
      <c r="P22" s="139">
        <v>4900000</v>
      </c>
      <c r="Q22" s="139">
        <f t="shared" si="1"/>
        <v>996660</v>
      </c>
      <c r="R22" s="143"/>
    </row>
    <row r="23" spans="1:18" ht="25.5" customHeight="1" x14ac:dyDescent="0.25">
      <c r="A23" s="211">
        <v>16</v>
      </c>
      <c r="B23" s="328">
        <v>44641</v>
      </c>
      <c r="C23" s="134" t="s">
        <v>4266</v>
      </c>
      <c r="D23" s="211" t="s">
        <v>4267</v>
      </c>
      <c r="E23" s="136" t="s">
        <v>4240</v>
      </c>
      <c r="F23" s="134"/>
      <c r="G23" s="134">
        <v>11</v>
      </c>
      <c r="H23" s="139">
        <f>G23*23630</f>
        <v>259930</v>
      </c>
      <c r="I23" s="134"/>
      <c r="J23" s="226">
        <v>300000</v>
      </c>
      <c r="K23" s="139"/>
      <c r="L23" s="263"/>
      <c r="M23" s="139"/>
      <c r="N23" s="139"/>
      <c r="O23" s="139">
        <f t="shared" si="2"/>
        <v>559930</v>
      </c>
      <c r="P23" s="139">
        <v>2000000</v>
      </c>
      <c r="Q23" s="139">
        <f t="shared" si="1"/>
        <v>1440070</v>
      </c>
      <c r="R23" s="143"/>
    </row>
    <row r="24" spans="1:18" ht="25.5" customHeight="1" x14ac:dyDescent="0.25">
      <c r="A24" s="211">
        <v>17</v>
      </c>
      <c r="B24" s="326">
        <v>44641</v>
      </c>
      <c r="C24" s="214" t="s">
        <v>4268</v>
      </c>
      <c r="D24" s="327" t="s">
        <v>4269</v>
      </c>
      <c r="E24" s="289" t="s">
        <v>4035</v>
      </c>
      <c r="F24" s="214"/>
      <c r="G24" s="214">
        <v>102</v>
      </c>
      <c r="H24" s="208">
        <f t="shared" ref="H24:H29" si="4">G24*23630</f>
        <v>2410260</v>
      </c>
      <c r="I24" s="214"/>
      <c r="J24" s="226">
        <v>1150000</v>
      </c>
      <c r="K24" s="208"/>
      <c r="L24" s="290"/>
      <c r="M24" s="208"/>
      <c r="N24" s="208"/>
      <c r="O24" s="208">
        <f t="shared" si="2"/>
        <v>3560260</v>
      </c>
      <c r="P24" s="208">
        <v>5000000</v>
      </c>
      <c r="Q24" s="208">
        <f t="shared" si="1"/>
        <v>1439740</v>
      </c>
      <c r="R24" s="143" t="s">
        <v>4335</v>
      </c>
    </row>
    <row r="25" spans="1:18" ht="30" customHeight="1" x14ac:dyDescent="0.25">
      <c r="A25" s="211">
        <v>18</v>
      </c>
      <c r="B25" s="328">
        <v>44642</v>
      </c>
      <c r="C25" s="134" t="s">
        <v>2954</v>
      </c>
      <c r="D25" s="211" t="s">
        <v>4270</v>
      </c>
      <c r="E25" s="136" t="s">
        <v>4271</v>
      </c>
      <c r="F25" s="134"/>
      <c r="G25" s="134">
        <v>100</v>
      </c>
      <c r="H25" s="139">
        <f t="shared" si="4"/>
        <v>2363000</v>
      </c>
      <c r="I25" s="134"/>
      <c r="J25" s="226">
        <v>1350000</v>
      </c>
      <c r="K25" s="139"/>
      <c r="L25" s="263"/>
      <c r="M25" s="139"/>
      <c r="N25" s="139"/>
      <c r="O25" s="139">
        <f t="shared" si="2"/>
        <v>3713000</v>
      </c>
      <c r="P25" s="139">
        <v>5317778</v>
      </c>
      <c r="Q25" s="139">
        <f t="shared" si="1"/>
        <v>1604778</v>
      </c>
      <c r="R25" s="143"/>
    </row>
    <row r="26" spans="1:18" ht="20.45" customHeight="1" x14ac:dyDescent="0.25">
      <c r="A26" s="211">
        <v>19</v>
      </c>
      <c r="B26" s="328">
        <v>44644</v>
      </c>
      <c r="C26" s="134" t="s">
        <v>4272</v>
      </c>
      <c r="D26" s="211" t="s">
        <v>4273</v>
      </c>
      <c r="E26" s="136" t="s">
        <v>143</v>
      </c>
      <c r="F26" s="134"/>
      <c r="G26" s="134">
        <v>111</v>
      </c>
      <c r="H26" s="139">
        <f t="shared" si="4"/>
        <v>2622930</v>
      </c>
      <c r="I26" s="134"/>
      <c r="J26" s="226">
        <v>1150000</v>
      </c>
      <c r="K26" s="139"/>
      <c r="L26" s="263"/>
      <c r="M26" s="139"/>
      <c r="N26" s="139"/>
      <c r="O26" s="139">
        <f>SUM(H26:N26)</f>
        <v>3772930</v>
      </c>
      <c r="P26" s="139">
        <v>5650000</v>
      </c>
      <c r="Q26" s="139">
        <f t="shared" si="1"/>
        <v>1877070</v>
      </c>
      <c r="R26" s="143"/>
    </row>
    <row r="27" spans="1:18" ht="20.45" customHeight="1" x14ac:dyDescent="0.25">
      <c r="A27" s="211">
        <v>20</v>
      </c>
      <c r="B27" s="328">
        <v>44644</v>
      </c>
      <c r="C27" s="134" t="s">
        <v>4274</v>
      </c>
      <c r="D27" s="211" t="s">
        <v>4275</v>
      </c>
      <c r="E27" s="136" t="s">
        <v>1170</v>
      </c>
      <c r="F27" s="134"/>
      <c r="G27" s="134">
        <v>253</v>
      </c>
      <c r="H27" s="139">
        <f t="shared" si="4"/>
        <v>5978390</v>
      </c>
      <c r="I27" s="134"/>
      <c r="J27" s="226">
        <v>2740000</v>
      </c>
      <c r="K27" s="139"/>
      <c r="L27" s="263"/>
      <c r="M27" s="139"/>
      <c r="N27" s="139"/>
      <c r="O27" s="139">
        <f>SUM(H27:N27)</f>
        <v>8718390</v>
      </c>
      <c r="P27" s="139">
        <v>14907407</v>
      </c>
      <c r="Q27" s="139">
        <f t="shared" si="1"/>
        <v>6189017</v>
      </c>
      <c r="R27" s="143"/>
    </row>
    <row r="28" spans="1:18" ht="20.45" customHeight="1" x14ac:dyDescent="0.25">
      <c r="A28" s="211">
        <v>21</v>
      </c>
      <c r="B28" s="328">
        <v>44645</v>
      </c>
      <c r="C28" s="134" t="s">
        <v>4276</v>
      </c>
      <c r="D28" s="211" t="s">
        <v>4277</v>
      </c>
      <c r="E28" s="136" t="s">
        <v>1937</v>
      </c>
      <c r="F28" s="134"/>
      <c r="G28" s="134">
        <v>84</v>
      </c>
      <c r="H28" s="139">
        <f t="shared" si="4"/>
        <v>1984920</v>
      </c>
      <c r="I28" s="134"/>
      <c r="J28" s="226">
        <v>1150000</v>
      </c>
      <c r="K28" s="139"/>
      <c r="L28" s="263"/>
      <c r="M28" s="139"/>
      <c r="N28" s="139"/>
      <c r="O28" s="139">
        <f t="shared" ref="O28:O31" si="5">SUM(H28:N28)</f>
        <v>3134920</v>
      </c>
      <c r="P28" s="139">
        <v>4600000</v>
      </c>
      <c r="Q28" s="139">
        <f t="shared" si="1"/>
        <v>1465080</v>
      </c>
      <c r="R28" s="143"/>
    </row>
    <row r="29" spans="1:18" ht="20.45" customHeight="1" x14ac:dyDescent="0.25">
      <c r="A29" s="211">
        <v>22</v>
      </c>
      <c r="B29" s="328">
        <v>44648</v>
      </c>
      <c r="C29" s="134" t="s">
        <v>4278</v>
      </c>
      <c r="D29" s="211" t="s">
        <v>4279</v>
      </c>
      <c r="E29" s="136" t="s">
        <v>143</v>
      </c>
      <c r="F29" s="134"/>
      <c r="G29" s="134">
        <v>111</v>
      </c>
      <c r="H29" s="139">
        <f t="shared" si="4"/>
        <v>2622930</v>
      </c>
      <c r="I29" s="134"/>
      <c r="J29" s="226">
        <v>1150000</v>
      </c>
      <c r="K29" s="139"/>
      <c r="L29" s="263"/>
      <c r="M29" s="139"/>
      <c r="N29" s="139"/>
      <c r="O29" s="139">
        <f t="shared" si="5"/>
        <v>3772930</v>
      </c>
      <c r="P29" s="139">
        <v>5650000</v>
      </c>
      <c r="Q29" s="139">
        <f t="shared" si="1"/>
        <v>1877070</v>
      </c>
      <c r="R29" s="143"/>
    </row>
    <row r="30" spans="1:18" ht="20.45" customHeight="1" x14ac:dyDescent="0.25">
      <c r="A30" s="211">
        <v>23</v>
      </c>
      <c r="B30" s="328">
        <v>44648</v>
      </c>
      <c r="C30" s="134" t="s">
        <v>4280</v>
      </c>
      <c r="D30" s="211" t="s">
        <v>4281</v>
      </c>
      <c r="E30" s="136" t="s">
        <v>4240</v>
      </c>
      <c r="F30" s="134"/>
      <c r="G30" s="134">
        <v>10</v>
      </c>
      <c r="H30" s="139">
        <f>G30*25080</f>
        <v>250800</v>
      </c>
      <c r="I30" s="134"/>
      <c r="J30" s="226">
        <v>300000</v>
      </c>
      <c r="K30" s="139"/>
      <c r="L30" s="263"/>
      <c r="M30" s="139"/>
      <c r="N30" s="139"/>
      <c r="O30" s="139">
        <f t="shared" si="5"/>
        <v>550800</v>
      </c>
      <c r="P30" s="139">
        <v>2000000</v>
      </c>
      <c r="Q30" s="139">
        <f t="shared" si="1"/>
        <v>1449200</v>
      </c>
      <c r="R30" s="143"/>
    </row>
    <row r="31" spans="1:18" ht="20.25" customHeight="1" x14ac:dyDescent="0.25">
      <c r="A31" s="211">
        <v>24</v>
      </c>
      <c r="B31" s="328">
        <v>44649</v>
      </c>
      <c r="C31" s="134" t="s">
        <v>2959</v>
      </c>
      <c r="D31" s="211" t="s">
        <v>4282</v>
      </c>
      <c r="E31" s="136" t="s">
        <v>4283</v>
      </c>
      <c r="F31" s="134"/>
      <c r="G31" s="134">
        <v>106</v>
      </c>
      <c r="H31" s="139">
        <f>G31*25080</f>
        <v>2658480</v>
      </c>
      <c r="I31" s="134"/>
      <c r="J31" s="226">
        <v>1150000</v>
      </c>
      <c r="K31" s="139"/>
      <c r="L31" s="263"/>
      <c r="M31" s="139"/>
      <c r="N31" s="139"/>
      <c r="O31" s="139">
        <f t="shared" si="5"/>
        <v>3808480</v>
      </c>
      <c r="P31" s="139">
        <v>4800000</v>
      </c>
      <c r="Q31" s="139">
        <f t="shared" si="1"/>
        <v>991520</v>
      </c>
      <c r="R31" s="143"/>
    </row>
    <row r="32" spans="1:18" ht="20.45" customHeight="1" x14ac:dyDescent="0.25">
      <c r="A32" s="211"/>
      <c r="B32" s="337"/>
      <c r="C32" s="449"/>
      <c r="D32" s="449"/>
      <c r="E32" s="449"/>
      <c r="F32" s="449"/>
      <c r="G32" s="195"/>
      <c r="H32" s="139"/>
      <c r="I32" s="195"/>
      <c r="J32" s="155"/>
      <c r="K32" s="219"/>
      <c r="L32" s="219"/>
      <c r="M32" s="139"/>
      <c r="N32" s="139"/>
      <c r="O32" s="139"/>
      <c r="P32" s="139"/>
      <c r="Q32" s="139"/>
      <c r="R32" s="143"/>
    </row>
    <row r="33" spans="1:19" ht="24.95" customHeight="1" x14ac:dyDescent="0.25">
      <c r="A33" s="211"/>
      <c r="B33" s="337"/>
      <c r="C33" s="440" t="s">
        <v>4284</v>
      </c>
      <c r="D33" s="441"/>
      <c r="E33" s="442"/>
      <c r="F33" s="196"/>
      <c r="G33" s="195"/>
      <c r="H33" s="155"/>
      <c r="I33" s="195"/>
      <c r="J33" s="155"/>
      <c r="K33" s="219"/>
      <c r="L33" s="219"/>
      <c r="M33" s="185">
        <v>1000000</v>
      </c>
      <c r="N33" s="139"/>
      <c r="O33" s="139">
        <f t="shared" ref="O33:O42" si="6">SUM(H33:N33)</f>
        <v>1000000</v>
      </c>
      <c r="P33" s="139"/>
      <c r="Q33" s="139"/>
      <c r="R33" s="143"/>
    </row>
    <row r="34" spans="1:19" ht="24.95" customHeight="1" x14ac:dyDescent="0.25">
      <c r="A34" s="211"/>
      <c r="B34" s="337"/>
      <c r="C34" s="452" t="s">
        <v>4285</v>
      </c>
      <c r="D34" s="453"/>
      <c r="E34" s="454"/>
      <c r="F34" s="196"/>
      <c r="G34" s="195"/>
      <c r="H34" s="155"/>
      <c r="I34" s="195"/>
      <c r="J34" s="155"/>
      <c r="K34" s="219"/>
      <c r="L34" s="219"/>
      <c r="M34" s="185">
        <v>4180000</v>
      </c>
      <c r="N34" s="219"/>
      <c r="O34" s="139">
        <f t="shared" si="6"/>
        <v>4180000</v>
      </c>
      <c r="P34" s="139"/>
      <c r="Q34" s="139"/>
      <c r="R34" s="143"/>
    </row>
    <row r="35" spans="1:19" ht="24.95" customHeight="1" x14ac:dyDescent="0.25">
      <c r="A35" s="211"/>
      <c r="B35" s="337"/>
      <c r="C35" s="452" t="s">
        <v>4334</v>
      </c>
      <c r="D35" s="453"/>
      <c r="E35" s="454"/>
      <c r="F35" s="196"/>
      <c r="G35" s="195"/>
      <c r="H35" s="155"/>
      <c r="I35" s="195"/>
      <c r="J35" s="155"/>
      <c r="K35" s="219"/>
      <c r="L35" s="219"/>
      <c r="M35" s="219"/>
      <c r="N35" s="185">
        <v>1205000</v>
      </c>
      <c r="O35" s="139">
        <f t="shared" si="6"/>
        <v>1205000</v>
      </c>
      <c r="P35" s="139"/>
      <c r="Q35" s="139"/>
      <c r="R35" s="143"/>
    </row>
    <row r="36" spans="1:19" ht="24.95" customHeight="1" x14ac:dyDescent="0.25">
      <c r="A36" s="211"/>
      <c r="B36" s="337"/>
      <c r="C36" s="452" t="s">
        <v>4286</v>
      </c>
      <c r="D36" s="453"/>
      <c r="E36" s="454"/>
      <c r="F36" s="196"/>
      <c r="G36" s="195"/>
      <c r="H36" s="155"/>
      <c r="I36" s="195"/>
      <c r="J36" s="155"/>
      <c r="K36" s="219"/>
      <c r="L36" s="185">
        <v>220000</v>
      </c>
      <c r="M36" s="219"/>
      <c r="N36" s="219"/>
      <c r="O36" s="139">
        <f t="shared" si="6"/>
        <v>220000</v>
      </c>
      <c r="P36" s="139"/>
      <c r="Q36" s="139"/>
      <c r="R36" s="143"/>
    </row>
    <row r="37" spans="1:19" ht="24.95" customHeight="1" x14ac:dyDescent="0.25">
      <c r="A37" s="211"/>
      <c r="B37" s="337"/>
      <c r="C37" s="452" t="s">
        <v>3558</v>
      </c>
      <c r="D37" s="453"/>
      <c r="E37" s="454"/>
      <c r="F37" s="196"/>
      <c r="G37" s="195"/>
      <c r="H37" s="155"/>
      <c r="I37" s="195"/>
      <c r="J37" s="155"/>
      <c r="K37" s="219"/>
      <c r="L37" s="185">
        <v>200000</v>
      </c>
      <c r="M37" s="219"/>
      <c r="N37" s="219"/>
      <c r="O37" s="139">
        <f t="shared" si="6"/>
        <v>200000</v>
      </c>
      <c r="P37" s="139"/>
      <c r="Q37" s="139"/>
      <c r="R37" s="143"/>
    </row>
    <row r="38" spans="1:19" ht="24.95" customHeight="1" x14ac:dyDescent="0.25">
      <c r="A38" s="211"/>
      <c r="B38" s="337"/>
      <c r="C38" s="452" t="s">
        <v>4287</v>
      </c>
      <c r="D38" s="453"/>
      <c r="E38" s="454"/>
      <c r="F38" s="196"/>
      <c r="G38" s="195"/>
      <c r="H38" s="155"/>
      <c r="I38" s="195"/>
      <c r="J38" s="155"/>
      <c r="K38" s="219"/>
      <c r="L38" s="185">
        <v>450000</v>
      </c>
      <c r="M38" s="219"/>
      <c r="N38" s="219"/>
      <c r="O38" s="139">
        <f t="shared" si="6"/>
        <v>450000</v>
      </c>
      <c r="P38" s="139"/>
      <c r="Q38" s="139"/>
      <c r="R38" s="143"/>
    </row>
    <row r="39" spans="1:19" ht="24.95" customHeight="1" x14ac:dyDescent="0.25">
      <c r="A39" s="211"/>
      <c r="B39" s="337"/>
      <c r="C39" s="452" t="s">
        <v>4288</v>
      </c>
      <c r="D39" s="453"/>
      <c r="E39" s="454"/>
      <c r="F39" s="196"/>
      <c r="G39" s="195"/>
      <c r="H39" s="155"/>
      <c r="I39" s="195"/>
      <c r="J39" s="155"/>
      <c r="K39" s="219"/>
      <c r="L39" s="185">
        <v>1500000</v>
      </c>
      <c r="M39" s="219"/>
      <c r="N39" s="219"/>
      <c r="O39" s="139">
        <f t="shared" si="6"/>
        <v>1500000</v>
      </c>
      <c r="P39" s="139"/>
      <c r="Q39" s="139"/>
      <c r="R39" s="143"/>
    </row>
    <row r="40" spans="1:19" ht="24.95" customHeight="1" x14ac:dyDescent="0.25">
      <c r="A40" s="211"/>
      <c r="B40" s="337"/>
      <c r="C40" s="452" t="s">
        <v>4289</v>
      </c>
      <c r="D40" s="453"/>
      <c r="E40" s="454"/>
      <c r="F40" s="196"/>
      <c r="G40" s="195"/>
      <c r="H40" s="155"/>
      <c r="I40" s="195"/>
      <c r="J40" s="155"/>
      <c r="K40" s="219"/>
      <c r="L40" s="185">
        <v>6405000</v>
      </c>
      <c r="M40" s="219"/>
      <c r="N40" s="219"/>
      <c r="O40" s="139">
        <f t="shared" si="6"/>
        <v>6405000</v>
      </c>
      <c r="P40" s="139"/>
      <c r="Q40" s="139"/>
      <c r="R40" s="143"/>
    </row>
    <row r="41" spans="1:19" ht="24.95" customHeight="1" x14ac:dyDescent="0.25">
      <c r="A41" s="211"/>
      <c r="B41" s="337"/>
      <c r="C41" s="452" t="s">
        <v>4290</v>
      </c>
      <c r="D41" s="453"/>
      <c r="E41" s="454"/>
      <c r="F41" s="196"/>
      <c r="G41" s="195"/>
      <c r="H41" s="155"/>
      <c r="I41" s="195"/>
      <c r="J41" s="155"/>
      <c r="K41" s="185">
        <v>8000000</v>
      </c>
      <c r="L41" s="219"/>
      <c r="M41" s="139"/>
      <c r="N41" s="139"/>
      <c r="O41" s="139">
        <f t="shared" si="6"/>
        <v>8000000</v>
      </c>
      <c r="P41" s="139"/>
      <c r="Q41" s="139"/>
      <c r="R41" s="143"/>
    </row>
    <row r="42" spans="1:19" ht="24.95" customHeight="1" x14ac:dyDescent="0.25">
      <c r="A42" s="211"/>
      <c r="B42" s="337"/>
      <c r="C42" s="452" t="s">
        <v>26</v>
      </c>
      <c r="D42" s="453"/>
      <c r="E42" s="454"/>
      <c r="F42" s="196"/>
      <c r="G42" s="195"/>
      <c r="H42" s="155"/>
      <c r="I42" s="195"/>
      <c r="J42" s="155"/>
      <c r="K42" s="219"/>
      <c r="L42" s="185">
        <v>1200000</v>
      </c>
      <c r="M42" s="139"/>
      <c r="N42" s="139"/>
      <c r="O42" s="139">
        <f t="shared" si="6"/>
        <v>1200000</v>
      </c>
      <c r="P42" s="139"/>
      <c r="Q42" s="139"/>
      <c r="R42" s="143"/>
    </row>
    <row r="43" spans="1:19" ht="20.45" customHeight="1" x14ac:dyDescent="0.25">
      <c r="A43" s="450" t="s">
        <v>20</v>
      </c>
      <c r="B43" s="450"/>
      <c r="C43" s="450"/>
      <c r="D43" s="450"/>
      <c r="E43" s="450"/>
      <c r="F43" s="450"/>
      <c r="G43" s="334">
        <f t="shared" ref="G43:P43" si="7">SUM(G8:G42)</f>
        <v>2246</v>
      </c>
      <c r="H43" s="334">
        <f t="shared" si="7"/>
        <v>53527120</v>
      </c>
      <c r="I43" s="334">
        <f t="shared" si="7"/>
        <v>0</v>
      </c>
      <c r="J43" s="334">
        <f t="shared" si="7"/>
        <v>26690000</v>
      </c>
      <c r="K43" s="334">
        <f t="shared" si="7"/>
        <v>8000000</v>
      </c>
      <c r="L43" s="334">
        <f t="shared" si="7"/>
        <v>9975000</v>
      </c>
      <c r="M43" s="334">
        <f t="shared" si="7"/>
        <v>5180000</v>
      </c>
      <c r="N43" s="334">
        <f t="shared" si="7"/>
        <v>1205000</v>
      </c>
      <c r="O43" s="334">
        <f t="shared" si="7"/>
        <v>104577120</v>
      </c>
      <c r="P43" s="335">
        <f t="shared" si="7"/>
        <v>124379629</v>
      </c>
      <c r="Q43" s="334">
        <f>P43-O43</f>
        <v>19802509</v>
      </c>
    </row>
    <row r="44" spans="1:19" ht="24.95" customHeight="1" x14ac:dyDescent="0.25">
      <c r="O44" s="158"/>
      <c r="Q44" s="158"/>
    </row>
    <row r="45" spans="1:19" ht="13.9" customHeight="1" x14ac:dyDescent="0.25">
      <c r="P45" s="216" t="s">
        <v>1603</v>
      </c>
      <c r="Q45" s="227">
        <f>'02.2022'!Q34+'03.2022'!Q43</f>
        <v>36611242</v>
      </c>
      <c r="S45" s="216"/>
    </row>
    <row r="46" spans="1:19" ht="13.9" customHeight="1" x14ac:dyDescent="0.25">
      <c r="B46" s="129"/>
      <c r="J46" s="128"/>
      <c r="K46" s="128"/>
      <c r="L46" s="128"/>
      <c r="N46" s="128"/>
      <c r="O46" s="128"/>
      <c r="P46" s="218"/>
      <c r="Q46" s="216"/>
    </row>
    <row r="47" spans="1:19" ht="13.9" customHeight="1" x14ac:dyDescent="0.25">
      <c r="B47" s="129"/>
      <c r="H47" s="128"/>
      <c r="J47" s="128"/>
      <c r="K47" s="128"/>
      <c r="L47" s="128"/>
      <c r="M47" s="128"/>
      <c r="N47" s="128"/>
      <c r="O47" s="128"/>
      <c r="P47" s="218"/>
      <c r="Q47" s="230"/>
    </row>
    <row r="48" spans="1:19" ht="13.9" customHeight="1" x14ac:dyDescent="0.25">
      <c r="B48" s="129"/>
      <c r="H48" s="128"/>
      <c r="J48" s="128"/>
      <c r="K48" s="128"/>
      <c r="L48" s="128"/>
      <c r="M48" s="128"/>
      <c r="N48" s="128"/>
      <c r="O48" s="128"/>
      <c r="P48" s="218"/>
      <c r="Q48" s="230"/>
      <c r="R48" s="143"/>
    </row>
    <row r="49" spans="1:18" ht="13.9" customHeight="1" x14ac:dyDescent="0.25">
      <c r="B49" s="129"/>
      <c r="H49" s="128"/>
      <c r="J49" s="128"/>
      <c r="K49" s="128"/>
      <c r="L49" s="128"/>
      <c r="M49" s="128"/>
      <c r="N49" s="128"/>
      <c r="O49" s="128"/>
      <c r="P49" s="218"/>
      <c r="Q49" s="216"/>
      <c r="R49" s="143"/>
    </row>
    <row r="50" spans="1:18" x14ac:dyDescent="0.25">
      <c r="B50" s="129"/>
      <c r="H50" s="128"/>
      <c r="J50" s="128"/>
      <c r="K50" s="128"/>
      <c r="L50" s="128"/>
      <c r="M50" s="128"/>
      <c r="N50" s="128"/>
      <c r="O50" s="128"/>
      <c r="P50" s="218"/>
      <c r="Q50" s="216"/>
    </row>
    <row r="51" spans="1:18" x14ac:dyDescent="0.25">
      <c r="A51" s="128"/>
      <c r="B51" s="129"/>
      <c r="H51" s="128"/>
      <c r="J51" s="128"/>
      <c r="K51" s="128"/>
      <c r="L51" s="128"/>
      <c r="M51" s="128"/>
      <c r="N51" s="128"/>
      <c r="O51" s="128"/>
      <c r="P51" s="218"/>
      <c r="Q51" s="216"/>
    </row>
    <row r="52" spans="1:18" x14ac:dyDescent="0.25">
      <c r="A52" s="128"/>
      <c r="B52" s="129"/>
      <c r="H52" s="128"/>
      <c r="J52" s="128"/>
      <c r="K52" s="128"/>
      <c r="L52" s="128"/>
      <c r="M52" s="128"/>
      <c r="N52" s="128"/>
      <c r="O52" s="128"/>
      <c r="P52" s="218"/>
      <c r="Q52" s="216"/>
    </row>
    <row r="53" spans="1:18" x14ac:dyDescent="0.25">
      <c r="A53" s="128"/>
      <c r="B53" s="128"/>
      <c r="H53" s="128"/>
      <c r="J53" s="128"/>
      <c r="K53" s="128"/>
      <c r="L53" s="128"/>
      <c r="M53" s="128"/>
      <c r="N53" s="128"/>
      <c r="O53" s="128"/>
      <c r="P53" s="128"/>
      <c r="Q53" s="216"/>
    </row>
    <row r="54" spans="1:18" x14ac:dyDescent="0.25">
      <c r="A54" s="128"/>
      <c r="B54" s="128"/>
      <c r="H54" s="128"/>
      <c r="J54" s="128"/>
      <c r="K54" s="128"/>
      <c r="L54" s="128"/>
      <c r="M54" s="128"/>
      <c r="N54" s="128"/>
      <c r="O54" s="128"/>
      <c r="P54" s="128"/>
      <c r="Q54" s="216"/>
    </row>
  </sheetData>
  <mergeCells count="25">
    <mergeCell ref="C34:E34"/>
    <mergeCell ref="A1:Q1"/>
    <mergeCell ref="A2:Q2"/>
    <mergeCell ref="B3:Q3"/>
    <mergeCell ref="A5:A6"/>
    <mergeCell ref="B5:B6"/>
    <mergeCell ref="C5:C6"/>
    <mergeCell ref="D5:D6"/>
    <mergeCell ref="E5:E6"/>
    <mergeCell ref="F5:F6"/>
    <mergeCell ref="G5:N5"/>
    <mergeCell ref="O5:O6"/>
    <mergeCell ref="P5:P6"/>
    <mergeCell ref="Q5:Q6"/>
    <mergeCell ref="C32:F32"/>
    <mergeCell ref="C33:E33"/>
    <mergeCell ref="C42:E42"/>
    <mergeCell ref="A43:F43"/>
    <mergeCell ref="C35:E35"/>
    <mergeCell ref="C36:E36"/>
    <mergeCell ref="C37:E37"/>
    <mergeCell ref="C38:E38"/>
    <mergeCell ref="C39:E39"/>
    <mergeCell ref="C40:E40"/>
    <mergeCell ref="C41:E41"/>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B9DE-C142-4152-8486-62017C80C86D}">
  <dimension ref="A1:S51"/>
  <sheetViews>
    <sheetView topLeftCell="A26" workbookViewId="0">
      <selection activeCell="Q40" sqref="Q40"/>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4291</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44652</v>
      </c>
      <c r="C8" s="134" t="s">
        <v>3615</v>
      </c>
      <c r="D8" s="211" t="s">
        <v>4292</v>
      </c>
      <c r="E8" s="136" t="s">
        <v>143</v>
      </c>
      <c r="F8" s="134"/>
      <c r="G8" s="134">
        <v>111</v>
      </c>
      <c r="H8" s="139">
        <f>G8*25080</f>
        <v>2783880</v>
      </c>
      <c r="I8" s="134"/>
      <c r="J8" s="226">
        <v>1150000</v>
      </c>
      <c r="K8" s="139"/>
      <c r="L8" s="263"/>
      <c r="M8" s="139"/>
      <c r="N8" s="139"/>
      <c r="O8" s="139">
        <f>SUM(H8:N8)</f>
        <v>3933880</v>
      </c>
      <c r="P8" s="139">
        <v>5650000</v>
      </c>
      <c r="Q8" s="139">
        <f>P8-O8</f>
        <v>1716120</v>
      </c>
      <c r="R8" s="143"/>
    </row>
    <row r="9" spans="1:18" ht="20.45" customHeight="1" x14ac:dyDescent="0.25">
      <c r="A9" s="211">
        <v>2</v>
      </c>
      <c r="B9" s="328">
        <v>44655</v>
      </c>
      <c r="C9" s="134" t="s">
        <v>4293</v>
      </c>
      <c r="D9" s="211" t="s">
        <v>4294</v>
      </c>
      <c r="E9" s="136" t="s">
        <v>177</v>
      </c>
      <c r="F9" s="134"/>
      <c r="G9" s="134">
        <v>84</v>
      </c>
      <c r="H9" s="139">
        <f t="shared" ref="H9:H13" si="0">G9*25080</f>
        <v>2106720</v>
      </c>
      <c r="I9" s="134"/>
      <c r="J9" s="226">
        <v>1150000</v>
      </c>
      <c r="K9" s="139"/>
      <c r="L9" s="263"/>
      <c r="M9" s="139"/>
      <c r="N9" s="139"/>
      <c r="O9" s="139">
        <f>SUM(H9:N9)</f>
        <v>3256720</v>
      </c>
      <c r="P9" s="139">
        <v>4600000</v>
      </c>
      <c r="Q9" s="139">
        <f t="shared" ref="Q9:Q31" si="1">P9-O9</f>
        <v>1343280</v>
      </c>
      <c r="R9" s="143"/>
    </row>
    <row r="10" spans="1:18" ht="20.45" customHeight="1" x14ac:dyDescent="0.25">
      <c r="A10" s="211">
        <v>3</v>
      </c>
      <c r="B10" s="328">
        <v>44656</v>
      </c>
      <c r="C10" s="134" t="s">
        <v>2348</v>
      </c>
      <c r="D10" s="211" t="s">
        <v>4295</v>
      </c>
      <c r="E10" s="136" t="s">
        <v>717</v>
      </c>
      <c r="F10" s="134"/>
      <c r="G10" s="134">
        <v>48</v>
      </c>
      <c r="H10" s="139">
        <f t="shared" si="0"/>
        <v>1203840</v>
      </c>
      <c r="I10" s="134"/>
      <c r="J10" s="226">
        <v>700000</v>
      </c>
      <c r="K10" s="139"/>
      <c r="L10" s="263"/>
      <c r="M10" s="139"/>
      <c r="N10" s="139"/>
      <c r="O10" s="139">
        <f t="shared" ref="O10:O25" si="2">SUM(H10:N10)</f>
        <v>1903840</v>
      </c>
      <c r="P10" s="139">
        <v>3400000</v>
      </c>
      <c r="Q10" s="139">
        <f t="shared" si="1"/>
        <v>1496160</v>
      </c>
      <c r="R10" s="143"/>
    </row>
    <row r="11" spans="1:18" ht="20.45" customHeight="1" x14ac:dyDescent="0.25">
      <c r="A11" s="211">
        <v>4</v>
      </c>
      <c r="B11" s="328">
        <v>44658</v>
      </c>
      <c r="C11" s="134" t="s">
        <v>4296</v>
      </c>
      <c r="D11" s="211" t="s">
        <v>4297</v>
      </c>
      <c r="E11" s="136" t="s">
        <v>4240</v>
      </c>
      <c r="F11" s="134"/>
      <c r="G11" s="134">
        <v>17</v>
      </c>
      <c r="H11" s="139">
        <f t="shared" si="0"/>
        <v>426360</v>
      </c>
      <c r="I11" s="134"/>
      <c r="J11" s="226">
        <v>300000</v>
      </c>
      <c r="K11" s="139"/>
      <c r="L11" s="263"/>
      <c r="M11" s="139"/>
      <c r="N11" s="139"/>
      <c r="O11" s="139">
        <f t="shared" si="2"/>
        <v>726360</v>
      </c>
      <c r="P11" s="139">
        <v>2000000</v>
      </c>
      <c r="Q11" s="139">
        <f t="shared" si="1"/>
        <v>1273640</v>
      </c>
      <c r="R11" s="143"/>
    </row>
    <row r="12" spans="1:18" ht="20.45" customHeight="1" x14ac:dyDescent="0.25">
      <c r="A12" s="211">
        <v>5</v>
      </c>
      <c r="B12" s="328">
        <v>44658</v>
      </c>
      <c r="C12" s="134" t="s">
        <v>4296</v>
      </c>
      <c r="D12" s="211" t="s">
        <v>4298</v>
      </c>
      <c r="E12" s="136" t="s">
        <v>4240</v>
      </c>
      <c r="F12" s="134"/>
      <c r="G12" s="134"/>
      <c r="H12" s="139">
        <f t="shared" si="0"/>
        <v>0</v>
      </c>
      <c r="I12" s="134"/>
      <c r="J12" s="226">
        <v>300000</v>
      </c>
      <c r="K12" s="139"/>
      <c r="L12" s="263"/>
      <c r="M12" s="139"/>
      <c r="N12" s="139"/>
      <c r="O12" s="139">
        <f t="shared" si="2"/>
        <v>300000</v>
      </c>
      <c r="P12" s="139">
        <v>2000000</v>
      </c>
      <c r="Q12" s="139">
        <f t="shared" si="1"/>
        <v>1700000</v>
      </c>
      <c r="R12" s="143"/>
    </row>
    <row r="13" spans="1:18" ht="20.45" customHeight="1" x14ac:dyDescent="0.25">
      <c r="A13" s="211">
        <v>6</v>
      </c>
      <c r="B13" s="328">
        <v>44658</v>
      </c>
      <c r="C13" s="134" t="s">
        <v>4299</v>
      </c>
      <c r="D13" s="211" t="s">
        <v>4300</v>
      </c>
      <c r="E13" s="136" t="s">
        <v>4271</v>
      </c>
      <c r="F13" s="134"/>
      <c r="G13" s="134">
        <v>97</v>
      </c>
      <c r="H13" s="139">
        <f t="shared" si="0"/>
        <v>2432760</v>
      </c>
      <c r="I13" s="134"/>
      <c r="J13" s="226">
        <v>1350000</v>
      </c>
      <c r="K13" s="139"/>
      <c r="L13" s="263"/>
      <c r="M13" s="139"/>
      <c r="N13" s="139"/>
      <c r="O13" s="139">
        <f t="shared" si="2"/>
        <v>3782760</v>
      </c>
      <c r="P13" s="139">
        <v>5317778</v>
      </c>
      <c r="Q13" s="139">
        <f t="shared" si="1"/>
        <v>1535018</v>
      </c>
      <c r="R13" s="143"/>
    </row>
    <row r="14" spans="1:18" ht="20.45" customHeight="1" x14ac:dyDescent="0.25">
      <c r="A14" s="211">
        <v>7</v>
      </c>
      <c r="B14" s="328">
        <v>44659</v>
      </c>
      <c r="C14" s="134" t="s">
        <v>4301</v>
      </c>
      <c r="D14" s="211" t="s">
        <v>4302</v>
      </c>
      <c r="E14" s="136" t="s">
        <v>4303</v>
      </c>
      <c r="F14" s="134"/>
      <c r="G14" s="134">
        <v>75</v>
      </c>
      <c r="H14" s="139">
        <f>G14*24380</f>
        <v>1828500</v>
      </c>
      <c r="I14" s="134"/>
      <c r="J14" s="226">
        <v>1150000</v>
      </c>
      <c r="K14" s="139"/>
      <c r="L14" s="263"/>
      <c r="M14" s="139"/>
      <c r="N14" s="139"/>
      <c r="O14" s="139">
        <f t="shared" si="2"/>
        <v>2978500</v>
      </c>
      <c r="P14" s="139">
        <v>4500000</v>
      </c>
      <c r="Q14" s="139">
        <f t="shared" si="1"/>
        <v>1521500</v>
      </c>
      <c r="R14" s="143"/>
    </row>
    <row r="15" spans="1:18" ht="20.45" customHeight="1" x14ac:dyDescent="0.25">
      <c r="A15" s="211">
        <v>8</v>
      </c>
      <c r="B15" s="328">
        <v>44663</v>
      </c>
      <c r="C15" s="134" t="s">
        <v>4304</v>
      </c>
      <c r="D15" s="211" t="s">
        <v>4305</v>
      </c>
      <c r="E15" s="136" t="s">
        <v>2883</v>
      </c>
      <c r="F15" s="134"/>
      <c r="G15" s="134">
        <v>62</v>
      </c>
      <c r="H15" s="139">
        <f t="shared" ref="H15:H19" si="3">G15*24380</f>
        <v>1511560</v>
      </c>
      <c r="I15" s="134"/>
      <c r="J15" s="226">
        <v>790000</v>
      </c>
      <c r="K15" s="139"/>
      <c r="L15" s="263"/>
      <c r="M15" s="139"/>
      <c r="N15" s="139"/>
      <c r="O15" s="139">
        <f t="shared" si="2"/>
        <v>2301560</v>
      </c>
      <c r="P15" s="139">
        <v>3520000</v>
      </c>
      <c r="Q15" s="139">
        <f t="shared" si="1"/>
        <v>1218440</v>
      </c>
      <c r="R15" s="143"/>
    </row>
    <row r="16" spans="1:18" ht="20.45" customHeight="1" x14ac:dyDescent="0.25">
      <c r="A16" s="211">
        <v>9</v>
      </c>
      <c r="B16" s="328">
        <v>44663</v>
      </c>
      <c r="C16" s="134" t="s">
        <v>4306</v>
      </c>
      <c r="D16" s="211" t="s">
        <v>4307</v>
      </c>
      <c r="E16" s="136" t="s">
        <v>4035</v>
      </c>
      <c r="F16" s="134"/>
      <c r="G16" s="134">
        <v>102</v>
      </c>
      <c r="H16" s="139">
        <f t="shared" si="3"/>
        <v>2486760</v>
      </c>
      <c r="I16" s="134"/>
      <c r="J16" s="226">
        <v>1150000</v>
      </c>
      <c r="K16" s="139"/>
      <c r="L16" s="263"/>
      <c r="M16" s="139"/>
      <c r="N16" s="139"/>
      <c r="O16" s="139">
        <f t="shared" si="2"/>
        <v>3636760</v>
      </c>
      <c r="P16" s="139">
        <v>5050000</v>
      </c>
      <c r="Q16" s="139">
        <f t="shared" si="1"/>
        <v>1413240</v>
      </c>
      <c r="R16" s="143"/>
    </row>
    <row r="17" spans="1:18" ht="20.45" customHeight="1" x14ac:dyDescent="0.25">
      <c r="A17" s="211">
        <v>10</v>
      </c>
      <c r="B17" s="328">
        <v>44664</v>
      </c>
      <c r="C17" s="134" t="s">
        <v>1038</v>
      </c>
      <c r="D17" s="211" t="s">
        <v>4308</v>
      </c>
      <c r="E17" s="136" t="s">
        <v>4309</v>
      </c>
      <c r="F17" s="134"/>
      <c r="G17" s="134">
        <v>50</v>
      </c>
      <c r="H17" s="139">
        <f t="shared" si="3"/>
        <v>1219000</v>
      </c>
      <c r="I17" s="134"/>
      <c r="J17" s="226">
        <v>700000</v>
      </c>
      <c r="K17" s="139"/>
      <c r="L17" s="263"/>
      <c r="M17" s="139"/>
      <c r="N17" s="139"/>
      <c r="O17" s="139">
        <f t="shared" si="2"/>
        <v>1919000</v>
      </c>
      <c r="P17" s="139">
        <v>3200000</v>
      </c>
      <c r="Q17" s="139">
        <f t="shared" si="1"/>
        <v>1281000</v>
      </c>
      <c r="R17" s="143"/>
    </row>
    <row r="18" spans="1:18" ht="20.45" customHeight="1" x14ac:dyDescent="0.25">
      <c r="A18" s="211">
        <v>11</v>
      </c>
      <c r="B18" s="328">
        <v>44665</v>
      </c>
      <c r="C18" s="134" t="s">
        <v>3627</v>
      </c>
      <c r="D18" s="211" t="s">
        <v>4310</v>
      </c>
      <c r="E18" s="136" t="s">
        <v>143</v>
      </c>
      <c r="F18" s="134"/>
      <c r="G18" s="134">
        <v>82</v>
      </c>
      <c r="H18" s="139">
        <f t="shared" si="3"/>
        <v>1999160</v>
      </c>
      <c r="I18" s="134"/>
      <c r="J18" s="226">
        <v>1150000</v>
      </c>
      <c r="K18" s="139"/>
      <c r="L18" s="263"/>
      <c r="M18" s="139"/>
      <c r="N18" s="139"/>
      <c r="O18" s="139">
        <f>SUM(H18:N18)</f>
        <v>3149160</v>
      </c>
      <c r="P18" s="139">
        <v>5645455</v>
      </c>
      <c r="Q18" s="139">
        <f t="shared" si="1"/>
        <v>2496295</v>
      </c>
      <c r="R18" s="143"/>
    </row>
    <row r="19" spans="1:18" ht="20.45" customHeight="1" x14ac:dyDescent="0.25">
      <c r="A19" s="211">
        <v>12</v>
      </c>
      <c r="B19" s="328">
        <v>44667</v>
      </c>
      <c r="C19" s="134" t="s">
        <v>1040</v>
      </c>
      <c r="D19" s="211" t="s">
        <v>4311</v>
      </c>
      <c r="E19" s="136" t="s">
        <v>2497</v>
      </c>
      <c r="F19" s="134"/>
      <c r="G19" s="134">
        <v>92</v>
      </c>
      <c r="H19" s="208">
        <f t="shared" si="3"/>
        <v>2242960</v>
      </c>
      <c r="I19" s="134"/>
      <c r="J19" s="226">
        <v>1150000</v>
      </c>
      <c r="K19" s="139"/>
      <c r="L19" s="263"/>
      <c r="M19" s="139"/>
      <c r="N19" s="139"/>
      <c r="O19" s="208">
        <f>SUM(H19:N19)</f>
        <v>3392960</v>
      </c>
      <c r="P19" s="139">
        <v>4800000</v>
      </c>
      <c r="Q19" s="139">
        <f t="shared" si="1"/>
        <v>1407040</v>
      </c>
      <c r="R19" s="143"/>
    </row>
    <row r="20" spans="1:18" ht="20.45" customHeight="1" x14ac:dyDescent="0.25">
      <c r="A20" s="211">
        <v>13</v>
      </c>
      <c r="B20" s="328">
        <v>44669</v>
      </c>
      <c r="C20" s="134" t="s">
        <v>4312</v>
      </c>
      <c r="D20" s="211" t="s">
        <v>4313</v>
      </c>
      <c r="E20" s="136" t="s">
        <v>3530</v>
      </c>
      <c r="F20" s="134"/>
      <c r="G20" s="134">
        <v>96</v>
      </c>
      <c r="H20" s="139">
        <f>G20*24380</f>
        <v>2340480</v>
      </c>
      <c r="I20" s="134"/>
      <c r="J20" s="226">
        <v>1150000</v>
      </c>
      <c r="K20" s="139"/>
      <c r="L20" s="263"/>
      <c r="M20" s="139"/>
      <c r="N20" s="139"/>
      <c r="O20" s="139">
        <f t="shared" si="2"/>
        <v>3490480</v>
      </c>
      <c r="P20" s="139">
        <v>4517778</v>
      </c>
      <c r="Q20" s="139">
        <f t="shared" si="1"/>
        <v>1027298</v>
      </c>
      <c r="R20" s="143"/>
    </row>
    <row r="21" spans="1:18" ht="20.45" customHeight="1" x14ac:dyDescent="0.25">
      <c r="A21" s="211">
        <v>14</v>
      </c>
      <c r="B21" s="328">
        <v>44670</v>
      </c>
      <c r="C21" s="134" t="s">
        <v>4314</v>
      </c>
      <c r="D21" s="211" t="s">
        <v>4313</v>
      </c>
      <c r="E21" s="136" t="s">
        <v>243</v>
      </c>
      <c r="F21" s="134"/>
      <c r="G21" s="134"/>
      <c r="H21" s="139">
        <f t="shared" ref="H21:H22" si="4">G21*24380</f>
        <v>0</v>
      </c>
      <c r="I21" s="134"/>
      <c r="J21" s="226">
        <v>680000</v>
      </c>
      <c r="K21" s="139"/>
      <c r="L21" s="263"/>
      <c r="M21" s="139"/>
      <c r="N21" s="139"/>
      <c r="O21" s="139">
        <f t="shared" si="2"/>
        <v>680000</v>
      </c>
      <c r="P21" s="139">
        <v>3100000</v>
      </c>
      <c r="Q21" s="139">
        <f t="shared" si="1"/>
        <v>2420000</v>
      </c>
      <c r="R21" s="143"/>
    </row>
    <row r="22" spans="1:18" ht="20.45" customHeight="1" x14ac:dyDescent="0.25">
      <c r="A22" s="211">
        <v>15</v>
      </c>
      <c r="B22" s="328">
        <v>44670</v>
      </c>
      <c r="C22" s="134" t="s">
        <v>1657</v>
      </c>
      <c r="D22" s="211" t="s">
        <v>4315</v>
      </c>
      <c r="E22" s="136" t="s">
        <v>23</v>
      </c>
      <c r="F22" s="134"/>
      <c r="G22" s="134">
        <v>247</v>
      </c>
      <c r="H22" s="139">
        <f t="shared" si="4"/>
        <v>6021860</v>
      </c>
      <c r="I22" s="134"/>
      <c r="J22" s="226">
        <v>2740000</v>
      </c>
      <c r="K22" s="139"/>
      <c r="L22" s="263"/>
      <c r="M22" s="139"/>
      <c r="N22" s="139"/>
      <c r="O22" s="139">
        <f t="shared" si="2"/>
        <v>8761860</v>
      </c>
      <c r="P22" s="139">
        <v>14907407</v>
      </c>
      <c r="Q22" s="139">
        <f t="shared" si="1"/>
        <v>6145547</v>
      </c>
      <c r="R22" s="143"/>
    </row>
    <row r="23" spans="1:18" ht="25.5" customHeight="1" x14ac:dyDescent="0.25">
      <c r="A23" s="211">
        <v>16</v>
      </c>
      <c r="B23" s="328">
        <v>44671</v>
      </c>
      <c r="C23" s="134" t="s">
        <v>4316</v>
      </c>
      <c r="D23" s="211" t="s">
        <v>4317</v>
      </c>
      <c r="E23" s="136" t="s">
        <v>4240</v>
      </c>
      <c r="F23" s="134"/>
      <c r="G23" s="134">
        <v>10</v>
      </c>
      <c r="H23" s="139">
        <f>G23*25350</f>
        <v>253500</v>
      </c>
      <c r="I23" s="134"/>
      <c r="J23" s="226">
        <v>300000</v>
      </c>
      <c r="K23" s="139"/>
      <c r="L23" s="263"/>
      <c r="M23" s="139"/>
      <c r="N23" s="139"/>
      <c r="O23" s="139">
        <f t="shared" si="2"/>
        <v>553500</v>
      </c>
      <c r="P23" s="139">
        <v>2000000</v>
      </c>
      <c r="Q23" s="139">
        <f t="shared" si="1"/>
        <v>1446500</v>
      </c>
      <c r="R23" s="143"/>
    </row>
    <row r="24" spans="1:18" ht="25.5" customHeight="1" x14ac:dyDescent="0.25">
      <c r="A24" s="211">
        <v>17</v>
      </c>
      <c r="B24" s="328">
        <v>44672</v>
      </c>
      <c r="C24" s="134" t="s">
        <v>4318</v>
      </c>
      <c r="D24" s="211" t="s">
        <v>4319</v>
      </c>
      <c r="E24" s="136" t="s">
        <v>1865</v>
      </c>
      <c r="F24" s="134"/>
      <c r="G24" s="134">
        <v>32</v>
      </c>
      <c r="H24" s="139">
        <f t="shared" ref="H24:H31" si="5">G24*25350</f>
        <v>811200</v>
      </c>
      <c r="I24" s="134"/>
      <c r="J24" s="226">
        <v>790000</v>
      </c>
      <c r="K24" s="139"/>
      <c r="L24" s="263"/>
      <c r="M24" s="139"/>
      <c r="N24" s="139"/>
      <c r="O24" s="139">
        <f t="shared" si="2"/>
        <v>1601200</v>
      </c>
      <c r="P24" s="139">
        <v>3650000</v>
      </c>
      <c r="Q24" s="139">
        <f t="shared" si="1"/>
        <v>2048800</v>
      </c>
      <c r="R24" s="143"/>
    </row>
    <row r="25" spans="1:18" ht="30" customHeight="1" x14ac:dyDescent="0.25">
      <c r="A25" s="211">
        <v>18</v>
      </c>
      <c r="B25" s="328">
        <v>44673</v>
      </c>
      <c r="C25" s="134" t="s">
        <v>3008</v>
      </c>
      <c r="D25" s="211" t="s">
        <v>4320</v>
      </c>
      <c r="E25" s="136" t="s">
        <v>2059</v>
      </c>
      <c r="F25" s="134"/>
      <c r="G25" s="134">
        <v>155</v>
      </c>
      <c r="H25" s="139">
        <f t="shared" si="5"/>
        <v>3929250</v>
      </c>
      <c r="I25" s="134"/>
      <c r="J25" s="226">
        <v>1400000</v>
      </c>
      <c r="K25" s="139"/>
      <c r="L25" s="263"/>
      <c r="M25" s="139"/>
      <c r="N25" s="139"/>
      <c r="O25" s="139">
        <f t="shared" si="2"/>
        <v>5329250</v>
      </c>
      <c r="P25" s="139">
        <v>6650000</v>
      </c>
      <c r="Q25" s="139">
        <f t="shared" si="1"/>
        <v>1320750</v>
      </c>
      <c r="R25" s="143"/>
    </row>
    <row r="26" spans="1:18" ht="20.45" customHeight="1" x14ac:dyDescent="0.25">
      <c r="A26" s="211">
        <v>19</v>
      </c>
      <c r="B26" s="328">
        <v>44673</v>
      </c>
      <c r="C26" s="134" t="s">
        <v>3009</v>
      </c>
      <c r="D26" s="211" t="s">
        <v>4321</v>
      </c>
      <c r="E26" s="136" t="s">
        <v>4322</v>
      </c>
      <c r="F26" s="134"/>
      <c r="G26" s="134">
        <v>117</v>
      </c>
      <c r="H26" s="139">
        <f t="shared" si="5"/>
        <v>2965950</v>
      </c>
      <c r="I26" s="134"/>
      <c r="J26" s="226">
        <v>1150000</v>
      </c>
      <c r="K26" s="139"/>
      <c r="L26" s="263"/>
      <c r="M26" s="139"/>
      <c r="N26" s="139"/>
      <c r="O26" s="139">
        <f>SUM(H26:N26)</f>
        <v>4115950</v>
      </c>
      <c r="P26" s="139">
        <v>5200000</v>
      </c>
      <c r="Q26" s="139">
        <f t="shared" si="1"/>
        <v>1084050</v>
      </c>
      <c r="R26" s="143"/>
    </row>
    <row r="27" spans="1:18" ht="20.45" customHeight="1" x14ac:dyDescent="0.25">
      <c r="A27" s="211">
        <v>20</v>
      </c>
      <c r="B27" s="328">
        <v>44676</v>
      </c>
      <c r="C27" s="134" t="s">
        <v>4323</v>
      </c>
      <c r="D27" s="211" t="s">
        <v>4324</v>
      </c>
      <c r="E27" s="136" t="s">
        <v>3663</v>
      </c>
      <c r="F27" s="134"/>
      <c r="G27" s="134">
        <v>340</v>
      </c>
      <c r="H27" s="139">
        <f t="shared" si="5"/>
        <v>8619000</v>
      </c>
      <c r="I27" s="134"/>
      <c r="J27" s="226">
        <v>3820000</v>
      </c>
      <c r="K27" s="139"/>
      <c r="L27" s="263"/>
      <c r="M27" s="139"/>
      <c r="N27" s="139"/>
      <c r="O27" s="139">
        <f>SUM(H27:N27)</f>
        <v>12439000</v>
      </c>
      <c r="P27" s="139">
        <v>20370370</v>
      </c>
      <c r="Q27" s="139">
        <f t="shared" si="1"/>
        <v>7931370</v>
      </c>
      <c r="R27" s="143"/>
    </row>
    <row r="28" spans="1:18" ht="20.45" customHeight="1" x14ac:dyDescent="0.25">
      <c r="A28" s="211">
        <v>21</v>
      </c>
      <c r="B28" s="328">
        <v>44678</v>
      </c>
      <c r="C28" s="134" t="s">
        <v>1050</v>
      </c>
      <c r="D28" s="211" t="s">
        <v>4325</v>
      </c>
      <c r="E28" s="136" t="s">
        <v>3938</v>
      </c>
      <c r="F28" s="134"/>
      <c r="G28" s="134">
        <v>82</v>
      </c>
      <c r="H28" s="139">
        <f t="shared" si="5"/>
        <v>2078700</v>
      </c>
      <c r="I28" s="134"/>
      <c r="J28" s="226">
        <v>1150000</v>
      </c>
      <c r="K28" s="139"/>
      <c r="L28" s="263"/>
      <c r="M28" s="139"/>
      <c r="N28" s="139"/>
      <c r="O28" s="139">
        <f t="shared" ref="O28:O37" si="6">SUM(H28:N28)</f>
        <v>3228700</v>
      </c>
      <c r="P28" s="139">
        <v>4800000</v>
      </c>
      <c r="Q28" s="139">
        <f t="shared" si="1"/>
        <v>1571300</v>
      </c>
      <c r="R28" s="143"/>
    </row>
    <row r="29" spans="1:18" ht="20.45" customHeight="1" x14ac:dyDescent="0.25">
      <c r="A29" s="211">
        <v>22</v>
      </c>
      <c r="B29" s="328">
        <v>44678</v>
      </c>
      <c r="C29" s="134" t="s">
        <v>292</v>
      </c>
      <c r="D29" s="211" t="s">
        <v>4326</v>
      </c>
      <c r="E29" s="136" t="s">
        <v>4327</v>
      </c>
      <c r="F29" s="134"/>
      <c r="G29" s="134">
        <v>90</v>
      </c>
      <c r="H29" s="139">
        <f t="shared" si="5"/>
        <v>2281500</v>
      </c>
      <c r="I29" s="134"/>
      <c r="J29" s="226">
        <v>1150000</v>
      </c>
      <c r="K29" s="139"/>
      <c r="L29" s="263"/>
      <c r="M29" s="139"/>
      <c r="N29" s="139"/>
      <c r="O29" s="139">
        <f t="shared" si="6"/>
        <v>3431500</v>
      </c>
      <c r="P29" s="139">
        <v>4700000</v>
      </c>
      <c r="Q29" s="139">
        <f t="shared" si="1"/>
        <v>1268500</v>
      </c>
      <c r="R29" s="143"/>
    </row>
    <row r="30" spans="1:18" ht="20.45" customHeight="1" x14ac:dyDescent="0.25">
      <c r="A30" s="211">
        <v>23</v>
      </c>
      <c r="B30" s="328">
        <v>44679</v>
      </c>
      <c r="C30" s="134" t="s">
        <v>4328</v>
      </c>
      <c r="D30" s="211" t="s">
        <v>4329</v>
      </c>
      <c r="E30" s="136" t="s">
        <v>4327</v>
      </c>
      <c r="F30" s="134"/>
      <c r="G30" s="359"/>
      <c r="H30" s="229"/>
      <c r="I30" s="134"/>
      <c r="J30" s="226">
        <v>1150000</v>
      </c>
      <c r="K30" s="139"/>
      <c r="L30" s="263"/>
      <c r="M30" s="139"/>
      <c r="N30" s="139"/>
      <c r="O30" s="139">
        <f t="shared" si="6"/>
        <v>1150000</v>
      </c>
      <c r="P30" s="139">
        <v>4700000</v>
      </c>
      <c r="Q30" s="139">
        <f t="shared" si="1"/>
        <v>3550000</v>
      </c>
      <c r="R30" s="143"/>
    </row>
    <row r="31" spans="1:18" ht="20.25" customHeight="1" x14ac:dyDescent="0.25">
      <c r="A31" s="211">
        <v>24</v>
      </c>
      <c r="B31" s="328">
        <v>44680</v>
      </c>
      <c r="C31" s="134" t="s">
        <v>4330</v>
      </c>
      <c r="D31" s="211" t="s">
        <v>4329</v>
      </c>
      <c r="E31" s="136" t="s">
        <v>1283</v>
      </c>
      <c r="F31" s="134"/>
      <c r="G31" s="194">
        <v>99</v>
      </c>
      <c r="H31" s="139">
        <f t="shared" si="5"/>
        <v>2509650</v>
      </c>
      <c r="I31" s="134"/>
      <c r="J31" s="226">
        <v>480000</v>
      </c>
      <c r="K31" s="139"/>
      <c r="L31" s="263"/>
      <c r="M31" s="139"/>
      <c r="N31" s="139"/>
      <c r="O31" s="139">
        <f t="shared" si="6"/>
        <v>2989650</v>
      </c>
      <c r="P31" s="139">
        <v>2500000</v>
      </c>
      <c r="Q31" s="139">
        <f t="shared" si="1"/>
        <v>-489650</v>
      </c>
      <c r="R31" s="143"/>
    </row>
    <row r="32" spans="1:18" ht="20.45" customHeight="1" x14ac:dyDescent="0.25">
      <c r="A32" s="211"/>
      <c r="B32" s="337"/>
      <c r="C32" s="449"/>
      <c r="D32" s="449"/>
      <c r="E32" s="449"/>
      <c r="F32" s="449"/>
      <c r="G32" s="195"/>
      <c r="H32" s="139"/>
      <c r="I32" s="195"/>
      <c r="J32" s="155"/>
      <c r="K32" s="219"/>
      <c r="L32" s="219"/>
      <c r="M32" s="139"/>
      <c r="N32" s="139"/>
      <c r="O32" s="139"/>
      <c r="P32" s="139"/>
      <c r="Q32" s="139"/>
      <c r="R32" s="143"/>
    </row>
    <row r="33" spans="1:19" ht="24.95" customHeight="1" x14ac:dyDescent="0.25">
      <c r="A33" s="211"/>
      <c r="B33" s="337"/>
      <c r="C33" s="440" t="s">
        <v>4331</v>
      </c>
      <c r="D33" s="441"/>
      <c r="E33" s="442"/>
      <c r="F33" s="196"/>
      <c r="G33" s="195"/>
      <c r="H33" s="155"/>
      <c r="I33" s="195"/>
      <c r="J33" s="155"/>
      <c r="K33" s="219"/>
      <c r="L33" s="185">
        <v>7722000</v>
      </c>
      <c r="M33" s="219"/>
      <c r="N33" s="139"/>
      <c r="O33" s="139">
        <f t="shared" si="6"/>
        <v>7722000</v>
      </c>
      <c r="P33" s="139"/>
      <c r="Q33" s="139"/>
      <c r="R33" s="143"/>
    </row>
    <row r="34" spans="1:19" ht="24.95" customHeight="1" x14ac:dyDescent="0.25">
      <c r="A34" s="211"/>
      <c r="B34" s="337"/>
      <c r="C34" s="452" t="s">
        <v>4332</v>
      </c>
      <c r="D34" s="453"/>
      <c r="E34" s="454"/>
      <c r="F34" s="196"/>
      <c r="G34" s="195"/>
      <c r="H34" s="155"/>
      <c r="I34" s="195"/>
      <c r="J34" s="155"/>
      <c r="K34" s="219"/>
      <c r="L34" s="185">
        <v>777000</v>
      </c>
      <c r="M34" s="219"/>
      <c r="N34" s="219"/>
      <c r="O34" s="139">
        <f t="shared" si="6"/>
        <v>777000</v>
      </c>
      <c r="P34" s="139"/>
      <c r="Q34" s="139"/>
      <c r="R34" s="143"/>
    </row>
    <row r="35" spans="1:19" ht="24.95" customHeight="1" x14ac:dyDescent="0.25">
      <c r="A35" s="211"/>
      <c r="B35" s="337"/>
      <c r="C35" s="452" t="s">
        <v>4333</v>
      </c>
      <c r="D35" s="453"/>
      <c r="E35" s="454"/>
      <c r="F35" s="196"/>
      <c r="G35" s="195"/>
      <c r="H35" s="155"/>
      <c r="I35" s="195"/>
      <c r="J35" s="155"/>
      <c r="K35" s="219"/>
      <c r="L35" s="185">
        <v>500000</v>
      </c>
      <c r="M35" s="219"/>
      <c r="N35" s="219"/>
      <c r="O35" s="139">
        <f t="shared" si="6"/>
        <v>500000</v>
      </c>
      <c r="P35" s="139"/>
      <c r="Q35" s="139"/>
      <c r="R35" s="143"/>
    </row>
    <row r="36" spans="1:19" ht="24.95" customHeight="1" x14ac:dyDescent="0.25">
      <c r="A36" s="211"/>
      <c r="B36" s="337"/>
      <c r="C36" s="452" t="s">
        <v>4290</v>
      </c>
      <c r="D36" s="453"/>
      <c r="E36" s="454"/>
      <c r="F36" s="196"/>
      <c r="G36" s="195"/>
      <c r="H36" s="155"/>
      <c r="I36" s="195"/>
      <c r="J36" s="155"/>
      <c r="K36" s="185">
        <v>8000000</v>
      </c>
      <c r="L36" s="219"/>
      <c r="M36" s="139"/>
      <c r="N36" s="139"/>
      <c r="O36" s="139">
        <f t="shared" si="6"/>
        <v>8000000</v>
      </c>
      <c r="P36" s="139"/>
      <c r="Q36" s="139"/>
      <c r="R36" s="143"/>
    </row>
    <row r="37" spans="1:19" ht="24.95" customHeight="1" x14ac:dyDescent="0.25">
      <c r="A37" s="211"/>
      <c r="B37" s="337"/>
      <c r="C37" s="452" t="s">
        <v>26</v>
      </c>
      <c r="D37" s="453"/>
      <c r="E37" s="454"/>
      <c r="F37" s="196"/>
      <c r="G37" s="195"/>
      <c r="H37" s="155"/>
      <c r="I37" s="195"/>
      <c r="J37" s="155"/>
      <c r="K37" s="219"/>
      <c r="L37" s="185">
        <v>1200000</v>
      </c>
      <c r="M37" s="139"/>
      <c r="N37" s="139"/>
      <c r="O37" s="139">
        <f t="shared" si="6"/>
        <v>1200000</v>
      </c>
      <c r="P37" s="139"/>
      <c r="Q37" s="139"/>
      <c r="R37" s="143"/>
    </row>
    <row r="38" spans="1:19" ht="20.45" customHeight="1" x14ac:dyDescent="0.25">
      <c r="A38" s="450" t="s">
        <v>20</v>
      </c>
      <c r="B38" s="450"/>
      <c r="C38" s="450"/>
      <c r="D38" s="450"/>
      <c r="E38" s="450"/>
      <c r="F38" s="450"/>
      <c r="G38" s="334">
        <f t="shared" ref="G38:P38" si="7">SUM(G8:G37)</f>
        <v>2088</v>
      </c>
      <c r="H38" s="334">
        <f t="shared" si="7"/>
        <v>52052590</v>
      </c>
      <c r="I38" s="334">
        <f t="shared" si="7"/>
        <v>0</v>
      </c>
      <c r="J38" s="334">
        <f t="shared" si="7"/>
        <v>27000000</v>
      </c>
      <c r="K38" s="334">
        <f t="shared" si="7"/>
        <v>8000000</v>
      </c>
      <c r="L38" s="334">
        <f t="shared" si="7"/>
        <v>10199000</v>
      </c>
      <c r="M38" s="334">
        <f t="shared" si="7"/>
        <v>0</v>
      </c>
      <c r="N38" s="334">
        <f t="shared" si="7"/>
        <v>0</v>
      </c>
      <c r="O38" s="334">
        <f t="shared" si="7"/>
        <v>97251590</v>
      </c>
      <c r="P38" s="335">
        <f t="shared" si="7"/>
        <v>126778788</v>
      </c>
      <c r="Q38" s="334">
        <f>P38-O38</f>
        <v>29527198</v>
      </c>
    </row>
    <row r="39" spans="1:19" ht="24.95" customHeight="1" x14ac:dyDescent="0.25">
      <c r="O39" s="158"/>
      <c r="Q39" s="158"/>
    </row>
    <row r="40" spans="1:19" ht="13.9" customHeight="1" x14ac:dyDescent="0.25">
      <c r="P40" s="216" t="s">
        <v>1603</v>
      </c>
      <c r="Q40" s="227">
        <f>'03.2022'!Q45+'04.2022'!Q38</f>
        <v>66138440</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G43" s="143">
        <f>G38-G28-G13-G11</f>
        <v>1892</v>
      </c>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G48" s="143"/>
      <c r="H48" s="128"/>
      <c r="J48" s="128"/>
      <c r="K48" s="128"/>
      <c r="L48" s="128"/>
      <c r="M48" s="128"/>
      <c r="N48" s="128"/>
      <c r="O48" s="128"/>
      <c r="P48" s="128"/>
      <c r="Q48" s="216"/>
    </row>
    <row r="49" spans="1:17" x14ac:dyDescent="0.25">
      <c r="A49" s="128"/>
      <c r="B49" s="128"/>
      <c r="H49" s="128"/>
      <c r="J49" s="128"/>
      <c r="K49" s="128"/>
      <c r="L49" s="128"/>
      <c r="M49" s="128"/>
      <c r="N49" s="128"/>
      <c r="O49" s="128"/>
      <c r="P49" s="128"/>
      <c r="Q49" s="216"/>
    </row>
    <row r="51" spans="1:17" x14ac:dyDescent="0.25">
      <c r="G51" s="143"/>
    </row>
  </sheetData>
  <mergeCells count="20">
    <mergeCell ref="A1:Q1"/>
    <mergeCell ref="A2:Q2"/>
    <mergeCell ref="B3:Q3"/>
    <mergeCell ref="A5:A6"/>
    <mergeCell ref="B5:B6"/>
    <mergeCell ref="C5:C6"/>
    <mergeCell ref="D5:D6"/>
    <mergeCell ref="E5:E6"/>
    <mergeCell ref="F5:F6"/>
    <mergeCell ref="G5:N5"/>
    <mergeCell ref="P5:P6"/>
    <mergeCell ref="Q5:Q6"/>
    <mergeCell ref="C37:E37"/>
    <mergeCell ref="A38:F38"/>
    <mergeCell ref="O5:O6"/>
    <mergeCell ref="C32:F32"/>
    <mergeCell ref="C33:E33"/>
    <mergeCell ref="C34:E34"/>
    <mergeCell ref="C35:E35"/>
    <mergeCell ref="C36:E3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0F5B-1500-440C-967A-B6C350A81226}">
  <dimension ref="A1:S48"/>
  <sheetViews>
    <sheetView topLeftCell="A25" workbookViewId="0">
      <selection activeCell="L25" sqref="L25"/>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4336</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44684</v>
      </c>
      <c r="C8" s="134" t="s">
        <v>1701</v>
      </c>
      <c r="D8" s="211" t="s">
        <v>4347</v>
      </c>
      <c r="E8" s="136" t="s">
        <v>143</v>
      </c>
      <c r="F8" s="134"/>
      <c r="G8" s="134">
        <v>111</v>
      </c>
      <c r="H8" s="139">
        <f>G8*25530</f>
        <v>2833830</v>
      </c>
      <c r="I8" s="134"/>
      <c r="J8" s="139">
        <v>1150000</v>
      </c>
      <c r="K8" s="139"/>
      <c r="L8" s="263"/>
      <c r="M8" s="139"/>
      <c r="N8" s="139"/>
      <c r="O8" s="139">
        <f>SUM(H8:N8)</f>
        <v>3983830</v>
      </c>
      <c r="P8" s="139">
        <v>5750000</v>
      </c>
      <c r="Q8" s="139">
        <f>P8-O8</f>
        <v>1766170</v>
      </c>
      <c r="R8" s="143"/>
    </row>
    <row r="9" spans="1:18" ht="20.45" customHeight="1" x14ac:dyDescent="0.25">
      <c r="A9" s="211">
        <v>2</v>
      </c>
      <c r="B9" s="328">
        <v>44685</v>
      </c>
      <c r="C9" s="134" t="s">
        <v>1703</v>
      </c>
      <c r="D9" s="211" t="s">
        <v>4348</v>
      </c>
      <c r="E9" s="136" t="s">
        <v>4368</v>
      </c>
      <c r="F9" s="134"/>
      <c r="G9" s="134">
        <v>87</v>
      </c>
      <c r="H9" s="139">
        <f t="shared" ref="H9:H13" si="0">G9*25530</f>
        <v>2221110</v>
      </c>
      <c r="I9" s="134"/>
      <c r="J9" s="139">
        <v>1150000</v>
      </c>
      <c r="K9" s="139"/>
      <c r="L9" s="263"/>
      <c r="M9" s="139"/>
      <c r="N9" s="139"/>
      <c r="O9" s="139">
        <f>SUM(H9:N9)</f>
        <v>3371110</v>
      </c>
      <c r="P9" s="139">
        <v>4700000</v>
      </c>
      <c r="Q9" s="139">
        <f t="shared" ref="Q9:Q28" si="1">P9-O9</f>
        <v>1328890</v>
      </c>
      <c r="R9" s="143"/>
    </row>
    <row r="10" spans="1:18" ht="20.45" customHeight="1" x14ac:dyDescent="0.25">
      <c r="A10" s="211">
        <v>3</v>
      </c>
      <c r="B10" s="328">
        <v>44686</v>
      </c>
      <c r="C10" s="134" t="s">
        <v>3043</v>
      </c>
      <c r="D10" s="211" t="s">
        <v>4349</v>
      </c>
      <c r="E10" s="136" t="s">
        <v>947</v>
      </c>
      <c r="F10" s="134"/>
      <c r="G10" s="134">
        <v>71</v>
      </c>
      <c r="H10" s="139">
        <f t="shared" si="0"/>
        <v>1812630</v>
      </c>
      <c r="I10" s="134"/>
      <c r="J10" s="139">
        <v>790000</v>
      </c>
      <c r="K10" s="139"/>
      <c r="L10" s="263"/>
      <c r="M10" s="139"/>
      <c r="N10" s="139"/>
      <c r="O10" s="139">
        <f t="shared" ref="O10:O25" si="2">SUM(H10:N10)</f>
        <v>2602630</v>
      </c>
      <c r="P10" s="139">
        <v>3700000</v>
      </c>
      <c r="Q10" s="139">
        <f t="shared" si="1"/>
        <v>1097370</v>
      </c>
      <c r="R10" s="143"/>
    </row>
    <row r="11" spans="1:18" ht="20.45" customHeight="1" x14ac:dyDescent="0.25">
      <c r="A11" s="211">
        <v>4</v>
      </c>
      <c r="B11" s="328">
        <v>44688</v>
      </c>
      <c r="C11" s="134" t="s">
        <v>1704</v>
      </c>
      <c r="D11" s="211" t="s">
        <v>4350</v>
      </c>
      <c r="E11" s="136" t="s">
        <v>944</v>
      </c>
      <c r="F11" s="134"/>
      <c r="G11" s="134">
        <v>59</v>
      </c>
      <c r="H11" s="139">
        <f t="shared" si="0"/>
        <v>1506270</v>
      </c>
      <c r="I11" s="134"/>
      <c r="J11" s="139">
        <v>790000</v>
      </c>
      <c r="K11" s="139"/>
      <c r="L11" s="263"/>
      <c r="M11" s="139"/>
      <c r="N11" s="139"/>
      <c r="O11" s="139">
        <f t="shared" si="2"/>
        <v>2296270</v>
      </c>
      <c r="P11" s="139">
        <v>3700000</v>
      </c>
      <c r="Q11" s="139">
        <f t="shared" si="1"/>
        <v>1403730</v>
      </c>
      <c r="R11" s="143"/>
    </row>
    <row r="12" spans="1:18" ht="20.45" customHeight="1" x14ac:dyDescent="0.25">
      <c r="A12" s="211">
        <v>5</v>
      </c>
      <c r="B12" s="328">
        <v>44690</v>
      </c>
      <c r="C12" s="134" t="s">
        <v>2398</v>
      </c>
      <c r="D12" s="211" t="s">
        <v>4351</v>
      </c>
      <c r="E12" s="136" t="s">
        <v>4086</v>
      </c>
      <c r="F12" s="134"/>
      <c r="G12" s="134">
        <v>63</v>
      </c>
      <c r="H12" s="139">
        <f t="shared" si="0"/>
        <v>1608390</v>
      </c>
      <c r="I12" s="134"/>
      <c r="J12" s="139">
        <v>890000</v>
      </c>
      <c r="K12" s="139"/>
      <c r="L12" s="263"/>
      <c r="M12" s="139"/>
      <c r="N12" s="139"/>
      <c r="O12" s="139">
        <f t="shared" si="2"/>
        <v>2498390</v>
      </c>
      <c r="P12" s="139">
        <v>3900000</v>
      </c>
      <c r="Q12" s="139">
        <f t="shared" si="1"/>
        <v>1401610</v>
      </c>
      <c r="R12" s="143"/>
    </row>
    <row r="13" spans="1:18" ht="20.45" customHeight="1" x14ac:dyDescent="0.25">
      <c r="A13" s="211">
        <v>6</v>
      </c>
      <c r="B13" s="328">
        <v>44690</v>
      </c>
      <c r="C13" s="134" t="s">
        <v>4337</v>
      </c>
      <c r="D13" s="211" t="s">
        <v>4352</v>
      </c>
      <c r="E13" s="136" t="s">
        <v>4369</v>
      </c>
      <c r="F13" s="134"/>
      <c r="G13" s="134">
        <v>149</v>
      </c>
      <c r="H13" s="139">
        <f t="shared" si="0"/>
        <v>3803970</v>
      </c>
      <c r="I13" s="134"/>
      <c r="J13" s="139">
        <v>1000000</v>
      </c>
      <c r="K13" s="139"/>
      <c r="L13" s="263"/>
      <c r="M13" s="139"/>
      <c r="N13" s="139"/>
      <c r="O13" s="139">
        <f t="shared" si="2"/>
        <v>4803970</v>
      </c>
      <c r="P13" s="139">
        <v>6900000</v>
      </c>
      <c r="Q13" s="139">
        <f t="shared" si="1"/>
        <v>2096030</v>
      </c>
      <c r="R13" s="143"/>
    </row>
    <row r="14" spans="1:18" ht="20.45" customHeight="1" x14ac:dyDescent="0.25">
      <c r="A14" s="211">
        <v>7</v>
      </c>
      <c r="B14" s="328">
        <v>44691</v>
      </c>
      <c r="C14" s="134" t="s">
        <v>4338</v>
      </c>
      <c r="D14" s="211" t="s">
        <v>4353</v>
      </c>
      <c r="E14" s="136" t="s">
        <v>1283</v>
      </c>
      <c r="F14" s="134"/>
      <c r="G14" s="134">
        <v>82</v>
      </c>
      <c r="H14" s="139">
        <f>G14*26650</f>
        <v>2185300</v>
      </c>
      <c r="I14" s="134"/>
      <c r="J14" s="139">
        <v>1150000</v>
      </c>
      <c r="K14" s="139"/>
      <c r="L14" s="263"/>
      <c r="M14" s="139"/>
      <c r="N14" s="139"/>
      <c r="O14" s="139">
        <f t="shared" si="2"/>
        <v>3335300</v>
      </c>
      <c r="P14" s="139">
        <v>4400000</v>
      </c>
      <c r="Q14" s="139">
        <f t="shared" si="1"/>
        <v>1064700</v>
      </c>
      <c r="R14" s="143"/>
    </row>
    <row r="15" spans="1:18" ht="20.45" customHeight="1" x14ac:dyDescent="0.25">
      <c r="A15" s="211">
        <v>8</v>
      </c>
      <c r="B15" s="328">
        <v>44692</v>
      </c>
      <c r="C15" s="134" t="s">
        <v>3046</v>
      </c>
      <c r="D15" s="211" t="s">
        <v>4354</v>
      </c>
      <c r="E15" s="136" t="s">
        <v>827</v>
      </c>
      <c r="F15" s="134"/>
      <c r="G15" s="134">
        <v>88</v>
      </c>
      <c r="H15" s="139">
        <f t="shared" ref="H15:H19" si="3">G15*26650</f>
        <v>2345200</v>
      </c>
      <c r="I15" s="134"/>
      <c r="J15" s="139">
        <v>1150000</v>
      </c>
      <c r="K15" s="139"/>
      <c r="L15" s="263"/>
      <c r="M15" s="139"/>
      <c r="N15" s="139"/>
      <c r="O15" s="139">
        <f t="shared" si="2"/>
        <v>3495200</v>
      </c>
      <c r="P15" s="139">
        <v>4700000</v>
      </c>
      <c r="Q15" s="139">
        <f t="shared" si="1"/>
        <v>1204800</v>
      </c>
      <c r="R15" s="143"/>
    </row>
    <row r="16" spans="1:18" ht="20.45" customHeight="1" x14ac:dyDescent="0.25">
      <c r="A16" s="211">
        <v>9</v>
      </c>
      <c r="B16" s="328">
        <v>44693</v>
      </c>
      <c r="C16" s="134" t="s">
        <v>4339</v>
      </c>
      <c r="D16" s="211" t="s">
        <v>4355</v>
      </c>
      <c r="E16" s="136" t="s">
        <v>827</v>
      </c>
      <c r="F16" s="134"/>
      <c r="G16" s="134">
        <v>76</v>
      </c>
      <c r="H16" s="139">
        <f t="shared" si="3"/>
        <v>2025400</v>
      </c>
      <c r="I16" s="134"/>
      <c r="J16" s="139">
        <v>1150000</v>
      </c>
      <c r="K16" s="139"/>
      <c r="L16" s="263"/>
      <c r="M16" s="139"/>
      <c r="N16" s="139"/>
      <c r="O16" s="139">
        <f t="shared" si="2"/>
        <v>3175400</v>
      </c>
      <c r="P16" s="139">
        <v>4400000</v>
      </c>
      <c r="Q16" s="139">
        <f t="shared" si="1"/>
        <v>1224600</v>
      </c>
      <c r="R16" s="143"/>
    </row>
    <row r="17" spans="1:18" ht="20.45" customHeight="1" x14ac:dyDescent="0.25">
      <c r="A17" s="211">
        <v>10</v>
      </c>
      <c r="B17" s="328">
        <v>44695</v>
      </c>
      <c r="C17" s="134" t="s">
        <v>1710</v>
      </c>
      <c r="D17" s="211" t="s">
        <v>4356</v>
      </c>
      <c r="E17" s="136" t="s">
        <v>291</v>
      </c>
      <c r="F17" s="134"/>
      <c r="G17" s="134">
        <v>68</v>
      </c>
      <c r="H17" s="139">
        <f t="shared" si="3"/>
        <v>1812200</v>
      </c>
      <c r="I17" s="134"/>
      <c r="J17" s="139">
        <v>1150000</v>
      </c>
      <c r="K17" s="139"/>
      <c r="L17" s="263"/>
      <c r="M17" s="139"/>
      <c r="N17" s="139"/>
      <c r="O17" s="139">
        <f t="shared" si="2"/>
        <v>2962200</v>
      </c>
      <c r="P17" s="139">
        <v>4420000</v>
      </c>
      <c r="Q17" s="139">
        <f t="shared" si="1"/>
        <v>1457800</v>
      </c>
      <c r="R17" s="143"/>
    </row>
    <row r="18" spans="1:18" ht="20.45" customHeight="1" x14ac:dyDescent="0.25">
      <c r="A18" s="211">
        <v>11</v>
      </c>
      <c r="B18" s="328">
        <v>44698</v>
      </c>
      <c r="C18" s="134" t="s">
        <v>4340</v>
      </c>
      <c r="D18" s="211" t="s">
        <v>4357</v>
      </c>
      <c r="E18" s="136" t="s">
        <v>25</v>
      </c>
      <c r="F18" s="134"/>
      <c r="G18" s="134">
        <v>180</v>
      </c>
      <c r="H18" s="139">
        <f t="shared" si="3"/>
        <v>4797000</v>
      </c>
      <c r="I18" s="134"/>
      <c r="J18" s="139">
        <v>1890000</v>
      </c>
      <c r="K18" s="139"/>
      <c r="L18" s="263"/>
      <c r="M18" s="139"/>
      <c r="N18" s="139"/>
      <c r="O18" s="139">
        <f>SUM(H18:N18)</f>
        <v>6687000</v>
      </c>
      <c r="P18" s="139">
        <v>9716667</v>
      </c>
      <c r="Q18" s="139">
        <f t="shared" si="1"/>
        <v>3029667</v>
      </c>
      <c r="R18" s="143"/>
    </row>
    <row r="19" spans="1:18" ht="20.45" customHeight="1" x14ac:dyDescent="0.25">
      <c r="A19" s="211">
        <v>12</v>
      </c>
      <c r="B19" s="328">
        <v>44700</v>
      </c>
      <c r="C19" s="134" t="s">
        <v>1097</v>
      </c>
      <c r="D19" s="211" t="s">
        <v>4358</v>
      </c>
      <c r="E19" s="136" t="s">
        <v>2883</v>
      </c>
      <c r="F19" s="134"/>
      <c r="G19" s="134">
        <v>77</v>
      </c>
      <c r="H19" s="139">
        <f t="shared" si="3"/>
        <v>2052050</v>
      </c>
      <c r="I19" s="134"/>
      <c r="J19" s="139">
        <v>790000</v>
      </c>
      <c r="K19" s="139"/>
      <c r="L19" s="263"/>
      <c r="M19" s="139"/>
      <c r="N19" s="139"/>
      <c r="O19" s="139">
        <f>SUM(H19:N19)</f>
        <v>2842050</v>
      </c>
      <c r="P19" s="139">
        <v>3800000</v>
      </c>
      <c r="Q19" s="139">
        <f t="shared" si="1"/>
        <v>957950</v>
      </c>
      <c r="R19" s="143"/>
    </row>
    <row r="20" spans="1:18" ht="20.45" customHeight="1" x14ac:dyDescent="0.25">
      <c r="A20" s="211">
        <v>13</v>
      </c>
      <c r="B20" s="328">
        <v>44700</v>
      </c>
      <c r="C20" s="134" t="s">
        <v>4341</v>
      </c>
      <c r="D20" s="211" t="s">
        <v>4359</v>
      </c>
      <c r="E20" s="136" t="s">
        <v>2059</v>
      </c>
      <c r="F20" s="134"/>
      <c r="G20" s="134">
        <v>155</v>
      </c>
      <c r="H20" s="139">
        <f>G20*26650</f>
        <v>4130750</v>
      </c>
      <c r="I20" s="134"/>
      <c r="J20" s="139">
        <v>1400000</v>
      </c>
      <c r="K20" s="139"/>
      <c r="L20" s="263"/>
      <c r="M20" s="139"/>
      <c r="N20" s="139"/>
      <c r="O20" s="139">
        <f t="shared" si="2"/>
        <v>5530750</v>
      </c>
      <c r="P20" s="139">
        <v>7200000</v>
      </c>
      <c r="Q20" s="139">
        <f t="shared" si="1"/>
        <v>1669250</v>
      </c>
      <c r="R20" s="143"/>
    </row>
    <row r="21" spans="1:18" ht="20.45" customHeight="1" x14ac:dyDescent="0.25">
      <c r="A21" s="211">
        <v>14</v>
      </c>
      <c r="B21" s="328">
        <v>44701</v>
      </c>
      <c r="C21" s="134" t="s">
        <v>4342</v>
      </c>
      <c r="D21" s="211" t="s">
        <v>4360</v>
      </c>
      <c r="E21" s="136" t="s">
        <v>4370</v>
      </c>
      <c r="F21" s="134"/>
      <c r="G21" s="134">
        <v>83</v>
      </c>
      <c r="H21" s="139">
        <f>G21*26650</f>
        <v>2211950</v>
      </c>
      <c r="I21" s="134"/>
      <c r="J21" s="139">
        <v>790000</v>
      </c>
      <c r="K21" s="139"/>
      <c r="L21" s="263"/>
      <c r="M21" s="139"/>
      <c r="N21" s="139"/>
      <c r="O21" s="139">
        <f t="shared" si="2"/>
        <v>3001950</v>
      </c>
      <c r="P21" s="139">
        <v>3800000</v>
      </c>
      <c r="Q21" s="139">
        <f t="shared" si="1"/>
        <v>798050</v>
      </c>
      <c r="R21" s="143"/>
    </row>
    <row r="22" spans="1:18" ht="20.45" customHeight="1" x14ac:dyDescent="0.25">
      <c r="A22" s="211">
        <v>15</v>
      </c>
      <c r="B22" s="328">
        <v>44704</v>
      </c>
      <c r="C22" s="134" t="s">
        <v>4343</v>
      </c>
      <c r="D22" s="211" t="s">
        <v>4361</v>
      </c>
      <c r="E22" s="136" t="s">
        <v>291</v>
      </c>
      <c r="F22" s="134"/>
      <c r="G22" s="134">
        <v>72</v>
      </c>
      <c r="H22" s="139">
        <f>G22*25550</f>
        <v>1839600</v>
      </c>
      <c r="I22" s="134"/>
      <c r="J22" s="139">
        <v>1150000</v>
      </c>
      <c r="K22" s="139"/>
      <c r="L22" s="263"/>
      <c r="M22" s="139"/>
      <c r="N22" s="139"/>
      <c r="O22" s="139">
        <f t="shared" si="2"/>
        <v>2989600</v>
      </c>
      <c r="P22" s="139">
        <v>4420000</v>
      </c>
      <c r="Q22" s="139">
        <f t="shared" si="1"/>
        <v>1430400</v>
      </c>
      <c r="R22" s="143"/>
    </row>
    <row r="23" spans="1:18" ht="25.5" customHeight="1" x14ac:dyDescent="0.25">
      <c r="A23" s="211">
        <v>16</v>
      </c>
      <c r="B23" s="328">
        <v>44704</v>
      </c>
      <c r="C23" s="134" t="s">
        <v>1719</v>
      </c>
      <c r="D23" s="211" t="s">
        <v>4362</v>
      </c>
      <c r="E23" s="136" t="s">
        <v>3663</v>
      </c>
      <c r="F23" s="134"/>
      <c r="G23" s="134">
        <v>340</v>
      </c>
      <c r="H23" s="139">
        <f t="shared" ref="H23:H28" si="4">G23*25550</f>
        <v>8687000</v>
      </c>
      <c r="I23" s="134"/>
      <c r="J23" s="139">
        <v>3820000</v>
      </c>
      <c r="K23" s="139"/>
      <c r="L23" s="263"/>
      <c r="M23" s="139"/>
      <c r="N23" s="139"/>
      <c r="O23" s="139">
        <f t="shared" si="2"/>
        <v>12507000</v>
      </c>
      <c r="P23" s="139">
        <v>20370370</v>
      </c>
      <c r="Q23" s="139">
        <f t="shared" si="1"/>
        <v>7863370</v>
      </c>
      <c r="R23" s="143"/>
    </row>
    <row r="24" spans="1:18" ht="25.5" customHeight="1" x14ac:dyDescent="0.25">
      <c r="A24" s="211">
        <v>17</v>
      </c>
      <c r="B24" s="328">
        <v>44706</v>
      </c>
      <c r="C24" s="134" t="s">
        <v>3054</v>
      </c>
      <c r="D24" s="211" t="s">
        <v>4363</v>
      </c>
      <c r="E24" s="136" t="s">
        <v>4371</v>
      </c>
      <c r="F24" s="134"/>
      <c r="G24" s="134">
        <v>80</v>
      </c>
      <c r="H24" s="139">
        <f t="shared" si="4"/>
        <v>2044000</v>
      </c>
      <c r="I24" s="134"/>
      <c r="J24" s="139">
        <v>790000</v>
      </c>
      <c r="K24" s="139"/>
      <c r="L24" s="263"/>
      <c r="M24" s="139"/>
      <c r="N24" s="139"/>
      <c r="O24" s="139">
        <f t="shared" si="2"/>
        <v>2834000</v>
      </c>
      <c r="P24" s="139">
        <v>4100000</v>
      </c>
      <c r="Q24" s="139">
        <f t="shared" si="1"/>
        <v>1266000</v>
      </c>
      <c r="R24" s="143"/>
    </row>
    <row r="25" spans="1:18" ht="30" customHeight="1" x14ac:dyDescent="0.25">
      <c r="A25" s="211">
        <v>18</v>
      </c>
      <c r="B25" s="328">
        <v>44707</v>
      </c>
      <c r="C25" s="134" t="s">
        <v>4344</v>
      </c>
      <c r="D25" s="211" t="s">
        <v>4364</v>
      </c>
      <c r="E25" s="136" t="s">
        <v>4372</v>
      </c>
      <c r="F25" s="134"/>
      <c r="G25" s="134">
        <v>129</v>
      </c>
      <c r="H25" s="139">
        <f t="shared" si="4"/>
        <v>3295950</v>
      </c>
      <c r="I25" s="134"/>
      <c r="J25" s="139">
        <v>1610000</v>
      </c>
      <c r="K25" s="139"/>
      <c r="L25" s="263"/>
      <c r="M25" s="139"/>
      <c r="N25" s="139"/>
      <c r="O25" s="139">
        <f t="shared" si="2"/>
        <v>4905950</v>
      </c>
      <c r="P25" s="139">
        <v>6250000</v>
      </c>
      <c r="Q25" s="139">
        <f t="shared" si="1"/>
        <v>1344050</v>
      </c>
      <c r="R25" s="143"/>
    </row>
    <row r="26" spans="1:18" ht="20.45" customHeight="1" x14ac:dyDescent="0.25">
      <c r="A26" s="211">
        <v>19</v>
      </c>
      <c r="B26" s="328">
        <v>44708</v>
      </c>
      <c r="C26" s="134" t="s">
        <v>4345</v>
      </c>
      <c r="D26" s="211" t="s">
        <v>4365</v>
      </c>
      <c r="E26" s="136" t="s">
        <v>4373</v>
      </c>
      <c r="F26" s="134"/>
      <c r="G26" s="134">
        <v>72</v>
      </c>
      <c r="H26" s="139">
        <f t="shared" si="4"/>
        <v>1839600</v>
      </c>
      <c r="I26" s="134"/>
      <c r="J26" s="139">
        <v>790000</v>
      </c>
      <c r="K26" s="139"/>
      <c r="L26" s="263"/>
      <c r="M26" s="139"/>
      <c r="N26" s="139"/>
      <c r="O26" s="139">
        <f>SUM(H26:N26)</f>
        <v>2629600</v>
      </c>
      <c r="P26" s="139">
        <v>3830000</v>
      </c>
      <c r="Q26" s="139">
        <f t="shared" si="1"/>
        <v>1200400</v>
      </c>
      <c r="R26" s="143"/>
    </row>
    <row r="27" spans="1:18" ht="20.45" customHeight="1" x14ac:dyDescent="0.25">
      <c r="A27" s="211">
        <v>20</v>
      </c>
      <c r="B27" s="328">
        <v>44711</v>
      </c>
      <c r="C27" s="134" t="s">
        <v>346</v>
      </c>
      <c r="D27" s="211" t="s">
        <v>4366</v>
      </c>
      <c r="E27" s="136" t="s">
        <v>25</v>
      </c>
      <c r="F27" s="134"/>
      <c r="G27" s="134">
        <v>182</v>
      </c>
      <c r="H27" s="139">
        <f t="shared" si="4"/>
        <v>4650100</v>
      </c>
      <c r="I27" s="134"/>
      <c r="J27" s="139">
        <v>1890000</v>
      </c>
      <c r="K27" s="139"/>
      <c r="L27" s="263"/>
      <c r="M27" s="139"/>
      <c r="N27" s="139"/>
      <c r="O27" s="139">
        <f>SUM(H27:N27)</f>
        <v>6540100</v>
      </c>
      <c r="P27" s="139">
        <v>9716667</v>
      </c>
      <c r="Q27" s="139">
        <f t="shared" si="1"/>
        <v>3176567</v>
      </c>
      <c r="R27" s="143"/>
    </row>
    <row r="28" spans="1:18" ht="20.45" customHeight="1" x14ac:dyDescent="0.25">
      <c r="A28" s="211">
        <v>21</v>
      </c>
      <c r="B28" s="328">
        <v>44711</v>
      </c>
      <c r="C28" s="134" t="s">
        <v>4346</v>
      </c>
      <c r="D28" s="211" t="s">
        <v>4367</v>
      </c>
      <c r="E28" s="136" t="s">
        <v>4374</v>
      </c>
      <c r="F28" s="134"/>
      <c r="G28" s="134">
        <v>81</v>
      </c>
      <c r="H28" s="139">
        <f t="shared" si="4"/>
        <v>2069550</v>
      </c>
      <c r="I28" s="134"/>
      <c r="J28" s="139">
        <v>1150000</v>
      </c>
      <c r="K28" s="139"/>
      <c r="L28" s="263"/>
      <c r="M28" s="139"/>
      <c r="N28" s="139"/>
      <c r="O28" s="139">
        <f t="shared" ref="O28:O34" si="5">SUM(H28:N28)</f>
        <v>3219550</v>
      </c>
      <c r="P28" s="139">
        <v>4517778</v>
      </c>
      <c r="Q28" s="139">
        <f t="shared" si="1"/>
        <v>1298228</v>
      </c>
      <c r="R28" s="143"/>
    </row>
    <row r="29" spans="1:18" ht="20.45" customHeight="1" x14ac:dyDescent="0.25">
      <c r="A29" s="211"/>
      <c r="B29" s="337"/>
      <c r="C29" s="449"/>
      <c r="D29" s="449"/>
      <c r="E29" s="449"/>
      <c r="F29" s="449"/>
      <c r="G29" s="195"/>
      <c r="H29" s="139"/>
      <c r="I29" s="195"/>
      <c r="J29" s="155"/>
      <c r="K29" s="219"/>
      <c r="L29" s="219"/>
      <c r="M29" s="139"/>
      <c r="N29" s="139"/>
      <c r="O29" s="139"/>
      <c r="P29" s="139"/>
      <c r="Q29" s="139"/>
      <c r="R29" s="143"/>
    </row>
    <row r="30" spans="1:18" ht="24.95" customHeight="1" x14ac:dyDescent="0.25">
      <c r="A30" s="211"/>
      <c r="B30" s="337"/>
      <c r="C30" s="465" t="s">
        <v>4375</v>
      </c>
      <c r="D30" s="466"/>
      <c r="E30" s="467"/>
      <c r="F30" s="196"/>
      <c r="G30" s="195"/>
      <c r="H30" s="155"/>
      <c r="I30" s="195"/>
      <c r="J30" s="155"/>
      <c r="K30" s="219"/>
      <c r="L30" s="219">
        <v>19340000</v>
      </c>
      <c r="M30" s="219"/>
      <c r="N30" s="139"/>
      <c r="O30" s="139">
        <f t="shared" si="5"/>
        <v>19340000</v>
      </c>
      <c r="P30" s="139"/>
      <c r="Q30" s="139"/>
      <c r="R30" s="143"/>
    </row>
    <row r="31" spans="1:18" ht="24.95" customHeight="1" x14ac:dyDescent="0.25">
      <c r="A31" s="211"/>
      <c r="B31" s="337"/>
      <c r="C31" s="459" t="s">
        <v>4515</v>
      </c>
      <c r="D31" s="460"/>
      <c r="E31" s="461"/>
      <c r="F31" s="196"/>
      <c r="G31" s="195"/>
      <c r="H31" s="155"/>
      <c r="I31" s="195"/>
      <c r="J31" s="155"/>
      <c r="K31" s="219"/>
      <c r="L31" s="219">
        <v>2610000</v>
      </c>
      <c r="M31" s="219"/>
      <c r="N31" s="139"/>
      <c r="O31" s="139">
        <f t="shared" si="5"/>
        <v>2610000</v>
      </c>
      <c r="P31" s="139"/>
      <c r="Q31" s="139"/>
      <c r="R31" s="143"/>
    </row>
    <row r="32" spans="1:18" ht="24.95" customHeight="1" x14ac:dyDescent="0.25">
      <c r="A32" s="211"/>
      <c r="B32" s="337"/>
      <c r="C32" s="459" t="s">
        <v>4514</v>
      </c>
      <c r="D32" s="460"/>
      <c r="E32" s="461"/>
      <c r="F32" s="196"/>
      <c r="G32" s="195"/>
      <c r="H32" s="155"/>
      <c r="I32" s="195"/>
      <c r="J32" s="155"/>
      <c r="K32" s="219">
        <v>354000</v>
      </c>
      <c r="L32" s="219"/>
      <c r="M32" s="219"/>
      <c r="N32" s="139"/>
      <c r="O32" s="139">
        <f t="shared" si="5"/>
        <v>354000</v>
      </c>
      <c r="P32" s="139"/>
      <c r="Q32" s="139"/>
      <c r="R32" s="143"/>
    </row>
    <row r="33" spans="1:19" ht="24.95" customHeight="1" x14ac:dyDescent="0.25">
      <c r="A33" s="211"/>
      <c r="B33" s="337"/>
      <c r="C33" s="459" t="s">
        <v>4519</v>
      </c>
      <c r="D33" s="460"/>
      <c r="E33" s="461"/>
      <c r="F33" s="196"/>
      <c r="G33" s="195"/>
      <c r="H33" s="155"/>
      <c r="I33" s="195"/>
      <c r="J33" s="155"/>
      <c r="K33" s="219">
        <v>8500000</v>
      </c>
      <c r="L33" s="219"/>
      <c r="M33" s="139"/>
      <c r="N33" s="139"/>
      <c r="O33" s="139">
        <f t="shared" si="5"/>
        <v>8500000</v>
      </c>
      <c r="P33" s="139"/>
      <c r="Q33" s="139"/>
      <c r="R33" s="143"/>
    </row>
    <row r="34" spans="1:19" ht="24.95" customHeight="1" x14ac:dyDescent="0.25">
      <c r="A34" s="211"/>
      <c r="B34" s="337"/>
      <c r="C34" s="452" t="s">
        <v>26</v>
      </c>
      <c r="D34" s="453"/>
      <c r="E34" s="454"/>
      <c r="F34" s="196"/>
      <c r="G34" s="195"/>
      <c r="H34" s="155"/>
      <c r="I34" s="195"/>
      <c r="J34" s="155"/>
      <c r="K34" s="219"/>
      <c r="L34" s="219">
        <v>1200000</v>
      </c>
      <c r="M34" s="139"/>
      <c r="N34" s="139"/>
      <c r="O34" s="139">
        <f t="shared" si="5"/>
        <v>1200000</v>
      </c>
      <c r="P34" s="139"/>
      <c r="Q34" s="139"/>
      <c r="R34" s="143"/>
    </row>
    <row r="35" spans="1:19" ht="20.45" customHeight="1" x14ac:dyDescent="0.25">
      <c r="A35" s="450" t="s">
        <v>20</v>
      </c>
      <c r="B35" s="450"/>
      <c r="C35" s="450"/>
      <c r="D35" s="450"/>
      <c r="E35" s="450"/>
      <c r="F35" s="450"/>
      <c r="G35" s="334">
        <f t="shared" ref="G35:O35" si="6">SUM(G8:G34)</f>
        <v>2305</v>
      </c>
      <c r="H35" s="334">
        <f>SUM(H8:H34)</f>
        <v>59771850</v>
      </c>
      <c r="I35" s="334">
        <f t="shared" si="6"/>
        <v>0</v>
      </c>
      <c r="J35" s="334">
        <f t="shared" si="6"/>
        <v>26440000</v>
      </c>
      <c r="K35" s="334">
        <f t="shared" si="6"/>
        <v>8854000</v>
      </c>
      <c r="L35" s="334">
        <f t="shared" si="6"/>
        <v>23150000</v>
      </c>
      <c r="M35" s="334">
        <f t="shared" si="6"/>
        <v>0</v>
      </c>
      <c r="N35" s="334">
        <f t="shared" si="6"/>
        <v>0</v>
      </c>
      <c r="O35" s="334">
        <f t="shared" si="6"/>
        <v>118215850</v>
      </c>
      <c r="P35" s="334">
        <f>SUM(P8:P34)</f>
        <v>124291482</v>
      </c>
      <c r="Q35" s="334">
        <f>P35-O35</f>
        <v>6075632</v>
      </c>
    </row>
    <row r="36" spans="1:19" ht="24.95" customHeight="1" x14ac:dyDescent="0.25">
      <c r="O36" s="158"/>
      <c r="Q36" s="158"/>
    </row>
    <row r="37" spans="1:19" ht="13.9" customHeight="1" x14ac:dyDescent="0.25">
      <c r="P37" s="216" t="s">
        <v>1603</v>
      </c>
      <c r="Q37" s="227">
        <f>'04.2022'!Q40+'05.2022'!Q35</f>
        <v>72214072</v>
      </c>
      <c r="S37" s="216"/>
    </row>
    <row r="38" spans="1:19" ht="13.9" customHeight="1" x14ac:dyDescent="0.25">
      <c r="B38" s="129"/>
      <c r="J38" s="128"/>
      <c r="K38" s="128"/>
      <c r="L38" s="128"/>
      <c r="N38" s="128"/>
      <c r="O38" s="128"/>
      <c r="P38" s="218"/>
      <c r="Q38" s="216"/>
    </row>
    <row r="39" spans="1:19" ht="13.9" customHeight="1" x14ac:dyDescent="0.25">
      <c r="B39" s="129"/>
      <c r="H39" s="128"/>
      <c r="J39" s="128"/>
      <c r="K39" s="128"/>
      <c r="L39" s="128"/>
      <c r="M39" s="128"/>
      <c r="N39" s="128"/>
      <c r="O39" s="128"/>
      <c r="P39" s="218"/>
      <c r="Q39" s="230"/>
    </row>
    <row r="40" spans="1:19" ht="13.9" customHeight="1" x14ac:dyDescent="0.25">
      <c r="B40" s="129"/>
      <c r="G40" s="143">
        <f>G35-G28-G13-G11</f>
        <v>2016</v>
      </c>
      <c r="H40" s="128"/>
      <c r="J40" s="128"/>
      <c r="K40" s="128"/>
      <c r="L40" s="128"/>
      <c r="M40" s="128"/>
      <c r="N40" s="128"/>
      <c r="O40" s="128"/>
      <c r="P40" s="218"/>
      <c r="Q40" s="230"/>
      <c r="R40" s="143"/>
    </row>
    <row r="41" spans="1:19" ht="13.9" customHeight="1" x14ac:dyDescent="0.25">
      <c r="B41" s="129"/>
      <c r="H41" s="128"/>
      <c r="J41" s="128"/>
      <c r="K41" s="128"/>
      <c r="L41" s="128"/>
      <c r="M41" s="128"/>
      <c r="N41" s="128"/>
      <c r="O41" s="128"/>
      <c r="P41" s="218"/>
      <c r="Q41" s="216"/>
      <c r="R41" s="143"/>
    </row>
    <row r="42" spans="1:19" x14ac:dyDescent="0.25">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8"/>
      <c r="G45" s="143"/>
      <c r="H45" s="128"/>
      <c r="J45" s="128"/>
      <c r="K45" s="128"/>
      <c r="L45" s="128"/>
      <c r="M45" s="128"/>
      <c r="N45" s="128"/>
      <c r="O45" s="128"/>
      <c r="P45" s="128"/>
      <c r="Q45" s="216"/>
    </row>
    <row r="46" spans="1:19" x14ac:dyDescent="0.25">
      <c r="A46" s="128"/>
      <c r="B46" s="128"/>
      <c r="H46" s="128"/>
      <c r="J46" s="128"/>
      <c r="K46" s="128"/>
      <c r="L46" s="128"/>
      <c r="M46" s="128"/>
      <c r="N46" s="128"/>
      <c r="O46" s="128"/>
      <c r="P46" s="128"/>
      <c r="Q46" s="216"/>
    </row>
    <row r="48" spans="1:19" x14ac:dyDescent="0.25">
      <c r="G48" s="143"/>
    </row>
  </sheetData>
  <mergeCells count="20">
    <mergeCell ref="Q5:Q6"/>
    <mergeCell ref="C29:F29"/>
    <mergeCell ref="C30:E30"/>
    <mergeCell ref="A1:Q1"/>
    <mergeCell ref="A2:Q2"/>
    <mergeCell ref="B3:Q3"/>
    <mergeCell ref="A5:A6"/>
    <mergeCell ref="B5:B6"/>
    <mergeCell ref="C5:C6"/>
    <mergeCell ref="D5:D6"/>
    <mergeCell ref="E5:E6"/>
    <mergeCell ref="F5:F6"/>
    <mergeCell ref="G5:N5"/>
    <mergeCell ref="C33:E33"/>
    <mergeCell ref="C34:E34"/>
    <mergeCell ref="A35:F35"/>
    <mergeCell ref="O5:O6"/>
    <mergeCell ref="P5:P6"/>
    <mergeCell ref="C32:E32"/>
    <mergeCell ref="C31:E31"/>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43A9-A8D8-465F-9FE3-987D4290A867}">
  <dimension ref="A1:S53"/>
  <sheetViews>
    <sheetView topLeftCell="A30" workbookViewId="0">
      <selection activeCell="J33" sqref="J3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4465</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44712</v>
      </c>
      <c r="C8" s="134" t="s">
        <v>4376</v>
      </c>
      <c r="D8" s="211" t="s">
        <v>4386</v>
      </c>
      <c r="E8" s="136" t="s">
        <v>1865</v>
      </c>
      <c r="F8" s="134"/>
      <c r="G8" s="134">
        <v>32</v>
      </c>
      <c r="H8" s="139">
        <f>G8*25550</f>
        <v>817600</v>
      </c>
      <c r="I8" s="134"/>
      <c r="J8" s="139">
        <v>430000</v>
      </c>
      <c r="K8" s="139"/>
      <c r="L8" s="263"/>
      <c r="M8" s="139"/>
      <c r="N8" s="139"/>
      <c r="O8" s="139">
        <f>SUM(H8:N8)</f>
        <v>1247600</v>
      </c>
      <c r="P8" s="139">
        <v>3650000</v>
      </c>
      <c r="Q8" s="139">
        <f>P8-O8</f>
        <v>2402400</v>
      </c>
      <c r="R8" s="143"/>
    </row>
    <row r="9" spans="1:18" ht="20.45" customHeight="1" x14ac:dyDescent="0.25">
      <c r="A9" s="211">
        <v>2</v>
      </c>
      <c r="B9" s="328">
        <v>44713</v>
      </c>
      <c r="C9" s="134" t="s">
        <v>1768</v>
      </c>
      <c r="D9" s="211" t="s">
        <v>4387</v>
      </c>
      <c r="E9" s="136" t="s">
        <v>1170</v>
      </c>
      <c r="F9" s="134"/>
      <c r="G9" s="134">
        <v>263</v>
      </c>
      <c r="H9" s="139">
        <f>G9*26390</f>
        <v>6940570</v>
      </c>
      <c r="I9" s="134"/>
      <c r="J9" s="139">
        <v>2380000</v>
      </c>
      <c r="K9" s="139"/>
      <c r="L9" s="263"/>
      <c r="M9" s="139"/>
      <c r="N9" s="139"/>
      <c r="O9" s="139">
        <f>SUM(H9:N9)</f>
        <v>9320570</v>
      </c>
      <c r="P9" s="139">
        <v>15409091</v>
      </c>
      <c r="Q9" s="139">
        <f t="shared" ref="Q9:Q32" si="0">P9-O9</f>
        <v>6088521</v>
      </c>
      <c r="R9" s="143"/>
    </row>
    <row r="10" spans="1:18" ht="20.45" customHeight="1" x14ac:dyDescent="0.25">
      <c r="A10" s="211">
        <v>3</v>
      </c>
      <c r="B10" s="328">
        <v>44714</v>
      </c>
      <c r="C10" s="134" t="s">
        <v>4377</v>
      </c>
      <c r="D10" s="211" t="s">
        <v>4388</v>
      </c>
      <c r="E10" s="136" t="s">
        <v>4411</v>
      </c>
      <c r="F10" s="134"/>
      <c r="G10" s="134">
        <v>106</v>
      </c>
      <c r="H10" s="139">
        <f t="shared" ref="H10:H15" si="1">G10*26390</f>
        <v>2797340</v>
      </c>
      <c r="I10" s="134"/>
      <c r="J10" s="139">
        <v>430000</v>
      </c>
      <c r="K10" s="139"/>
      <c r="L10" s="263"/>
      <c r="M10" s="139"/>
      <c r="N10" s="139"/>
      <c r="O10" s="139">
        <f t="shared" ref="O10:O25" si="2">SUM(H10:N10)</f>
        <v>3227340</v>
      </c>
      <c r="P10" s="139">
        <v>5000000</v>
      </c>
      <c r="Q10" s="139">
        <f t="shared" si="0"/>
        <v>1772660</v>
      </c>
      <c r="R10" s="143"/>
    </row>
    <row r="11" spans="1:18" ht="20.45" customHeight="1" x14ac:dyDescent="0.25">
      <c r="A11" s="211">
        <v>4</v>
      </c>
      <c r="B11" s="328">
        <v>44716</v>
      </c>
      <c r="C11" s="134" t="s">
        <v>4378</v>
      </c>
      <c r="D11" s="211" t="s">
        <v>4389</v>
      </c>
      <c r="E11" s="136" t="s">
        <v>218</v>
      </c>
      <c r="F11" s="134"/>
      <c r="G11" s="134">
        <v>94</v>
      </c>
      <c r="H11" s="139">
        <f t="shared" si="1"/>
        <v>2480660</v>
      </c>
      <c r="I11" s="134"/>
      <c r="J11" s="139">
        <v>790000</v>
      </c>
      <c r="K11" s="139"/>
      <c r="L11" s="263"/>
      <c r="M11" s="139"/>
      <c r="N11" s="139"/>
      <c r="O11" s="139">
        <f t="shared" si="2"/>
        <v>3270660</v>
      </c>
      <c r="P11" s="139">
        <v>4800000</v>
      </c>
      <c r="Q11" s="139">
        <f t="shared" si="0"/>
        <v>1529340</v>
      </c>
      <c r="R11" s="143"/>
    </row>
    <row r="12" spans="1:18" ht="20.45" customHeight="1" x14ac:dyDescent="0.25">
      <c r="A12" s="211">
        <v>5</v>
      </c>
      <c r="B12" s="328">
        <v>44718</v>
      </c>
      <c r="C12" s="134" t="s">
        <v>4379</v>
      </c>
      <c r="D12" s="211" t="s">
        <v>4390</v>
      </c>
      <c r="E12" s="136" t="s">
        <v>2798</v>
      </c>
      <c r="F12" s="134"/>
      <c r="G12" s="134">
        <v>112</v>
      </c>
      <c r="H12" s="139">
        <f t="shared" si="1"/>
        <v>2955680</v>
      </c>
      <c r="I12" s="134"/>
      <c r="J12" s="139">
        <v>790000</v>
      </c>
      <c r="K12" s="139"/>
      <c r="L12" s="263"/>
      <c r="M12" s="139"/>
      <c r="N12" s="139"/>
      <c r="O12" s="139">
        <f t="shared" si="2"/>
        <v>3745680</v>
      </c>
      <c r="P12" s="139">
        <v>5574074</v>
      </c>
      <c r="Q12" s="139">
        <f t="shared" si="0"/>
        <v>1828394</v>
      </c>
      <c r="R12" s="143"/>
    </row>
    <row r="13" spans="1:18" ht="20.45" customHeight="1" x14ac:dyDescent="0.25">
      <c r="A13" s="211">
        <v>6</v>
      </c>
      <c r="B13" s="328">
        <v>44719</v>
      </c>
      <c r="C13" s="134" t="s">
        <v>4380</v>
      </c>
      <c r="D13" s="211" t="s">
        <v>4391</v>
      </c>
      <c r="E13" s="136" t="s">
        <v>4412</v>
      </c>
      <c r="F13" s="134"/>
      <c r="G13" s="134">
        <v>96</v>
      </c>
      <c r="H13" s="139">
        <f t="shared" si="1"/>
        <v>2533440</v>
      </c>
      <c r="I13" s="134"/>
      <c r="J13" s="139">
        <v>790000</v>
      </c>
      <c r="K13" s="139"/>
      <c r="L13" s="263"/>
      <c r="M13" s="139"/>
      <c r="N13" s="139"/>
      <c r="O13" s="139">
        <f t="shared" si="2"/>
        <v>3323440</v>
      </c>
      <c r="P13" s="139">
        <v>4800000</v>
      </c>
      <c r="Q13" s="139">
        <f t="shared" si="0"/>
        <v>1476560</v>
      </c>
      <c r="R13" s="143"/>
    </row>
    <row r="14" spans="1:18" ht="20.45" customHeight="1" x14ac:dyDescent="0.25">
      <c r="A14" s="211">
        <v>7</v>
      </c>
      <c r="B14" s="328">
        <v>44720</v>
      </c>
      <c r="C14" s="134" t="s">
        <v>1780</v>
      </c>
      <c r="D14" s="211" t="s">
        <v>4392</v>
      </c>
      <c r="E14" s="136" t="s">
        <v>4413</v>
      </c>
      <c r="F14" s="134"/>
      <c r="G14" s="134">
        <v>60</v>
      </c>
      <c r="H14" s="139">
        <f t="shared" si="1"/>
        <v>1583400</v>
      </c>
      <c r="I14" s="134"/>
      <c r="J14" s="139">
        <v>340000</v>
      </c>
      <c r="K14" s="139"/>
      <c r="L14" s="263"/>
      <c r="M14" s="139"/>
      <c r="N14" s="139"/>
      <c r="O14" s="139">
        <f t="shared" si="2"/>
        <v>1923400</v>
      </c>
      <c r="P14" s="139">
        <v>3700000</v>
      </c>
      <c r="Q14" s="139">
        <f t="shared" si="0"/>
        <v>1776600</v>
      </c>
      <c r="R14" s="143"/>
    </row>
    <row r="15" spans="1:18" ht="20.45" customHeight="1" x14ac:dyDescent="0.25">
      <c r="A15" s="211">
        <v>8</v>
      </c>
      <c r="B15" s="328">
        <v>44722</v>
      </c>
      <c r="C15" s="134" t="s">
        <v>2458</v>
      </c>
      <c r="D15" s="211" t="s">
        <v>4393</v>
      </c>
      <c r="E15" s="136" t="s">
        <v>4141</v>
      </c>
      <c r="F15" s="134"/>
      <c r="G15" s="134">
        <v>55</v>
      </c>
      <c r="H15" s="139">
        <f t="shared" si="1"/>
        <v>1451450</v>
      </c>
      <c r="I15" s="134"/>
      <c r="J15" s="139">
        <v>340000</v>
      </c>
      <c r="K15" s="139"/>
      <c r="L15" s="263"/>
      <c r="M15" s="139"/>
      <c r="N15" s="139"/>
      <c r="O15" s="139">
        <f t="shared" si="2"/>
        <v>1791450</v>
      </c>
      <c r="P15" s="139">
        <v>3300000</v>
      </c>
      <c r="Q15" s="139">
        <f t="shared" si="0"/>
        <v>1508550</v>
      </c>
      <c r="R15" s="143"/>
    </row>
    <row r="16" spans="1:18" ht="20.45" customHeight="1" x14ac:dyDescent="0.25">
      <c r="A16" s="211">
        <v>9</v>
      </c>
      <c r="B16" s="328">
        <v>44722</v>
      </c>
      <c r="C16" s="134" t="s">
        <v>2459</v>
      </c>
      <c r="D16" s="211" t="s">
        <v>4394</v>
      </c>
      <c r="E16" s="136" t="s">
        <v>279</v>
      </c>
      <c r="F16" s="134"/>
      <c r="G16" s="134">
        <v>180</v>
      </c>
      <c r="H16" s="139">
        <f>G16*29020</f>
        <v>5223600</v>
      </c>
      <c r="I16" s="134"/>
      <c r="J16" s="139">
        <v>1530000</v>
      </c>
      <c r="K16" s="139"/>
      <c r="L16" s="263"/>
      <c r="M16" s="139"/>
      <c r="N16" s="139"/>
      <c r="O16" s="139">
        <f t="shared" si="2"/>
        <v>6753600</v>
      </c>
      <c r="P16" s="139">
        <v>11666667</v>
      </c>
      <c r="Q16" s="139">
        <f t="shared" si="0"/>
        <v>4913067</v>
      </c>
      <c r="R16" s="143"/>
    </row>
    <row r="17" spans="1:18" ht="20.45" customHeight="1" x14ac:dyDescent="0.25">
      <c r="A17" s="211">
        <v>10</v>
      </c>
      <c r="B17" s="328">
        <v>44723</v>
      </c>
      <c r="C17" s="134" t="s">
        <v>1785</v>
      </c>
      <c r="D17" s="211" t="s">
        <v>4395</v>
      </c>
      <c r="E17" s="136" t="s">
        <v>4414</v>
      </c>
      <c r="F17" s="134"/>
      <c r="G17" s="134">
        <v>176</v>
      </c>
      <c r="H17" s="139">
        <f t="shared" ref="H17:H22" si="3">G17*29020</f>
        <v>5107520</v>
      </c>
      <c r="I17" s="134"/>
      <c r="J17" s="139">
        <v>1110000</v>
      </c>
      <c r="K17" s="139"/>
      <c r="L17" s="263"/>
      <c r="M17" s="139"/>
      <c r="N17" s="139"/>
      <c r="O17" s="139">
        <f t="shared" si="2"/>
        <v>6217520</v>
      </c>
      <c r="P17" s="139">
        <v>7950000</v>
      </c>
      <c r="Q17" s="139">
        <f t="shared" si="0"/>
        <v>1732480</v>
      </c>
      <c r="R17" s="143"/>
    </row>
    <row r="18" spans="1:18" ht="20.45" customHeight="1" x14ac:dyDescent="0.25">
      <c r="A18" s="211">
        <v>11</v>
      </c>
      <c r="B18" s="328">
        <v>44725</v>
      </c>
      <c r="C18" s="134" t="s">
        <v>2461</v>
      </c>
      <c r="D18" s="211" t="s">
        <v>4396</v>
      </c>
      <c r="E18" s="136" t="s">
        <v>23</v>
      </c>
      <c r="F18" s="134"/>
      <c r="G18" s="134">
        <v>247</v>
      </c>
      <c r="H18" s="139">
        <f t="shared" si="3"/>
        <v>7167940</v>
      </c>
      <c r="I18" s="134"/>
      <c r="J18" s="139">
        <v>2380000</v>
      </c>
      <c r="K18" s="139"/>
      <c r="L18" s="263"/>
      <c r="M18" s="139"/>
      <c r="N18" s="139"/>
      <c r="O18" s="139">
        <f>SUM(H18:N18)</f>
        <v>9547940</v>
      </c>
      <c r="P18" s="139">
        <v>15416667</v>
      </c>
      <c r="Q18" s="139">
        <f t="shared" si="0"/>
        <v>5868727</v>
      </c>
      <c r="R18" s="143"/>
    </row>
    <row r="19" spans="1:18" ht="20.45" customHeight="1" x14ac:dyDescent="0.25">
      <c r="A19" s="211">
        <v>12</v>
      </c>
      <c r="B19" s="328">
        <v>44726</v>
      </c>
      <c r="C19" s="134" t="s">
        <v>2462</v>
      </c>
      <c r="D19" s="211" t="s">
        <v>4397</v>
      </c>
      <c r="E19" s="136" t="s">
        <v>4415</v>
      </c>
      <c r="F19" s="134"/>
      <c r="G19" s="134">
        <v>75</v>
      </c>
      <c r="H19" s="139">
        <f t="shared" si="3"/>
        <v>2176500</v>
      </c>
      <c r="I19" s="134"/>
      <c r="J19" s="139">
        <v>790000</v>
      </c>
      <c r="K19" s="139"/>
      <c r="L19" s="263"/>
      <c r="M19" s="139"/>
      <c r="N19" s="139"/>
      <c r="O19" s="139">
        <f>SUM(H19:N19)</f>
        <v>2966500</v>
      </c>
      <c r="P19" s="139">
        <v>4000000</v>
      </c>
      <c r="Q19" s="139">
        <f t="shared" si="0"/>
        <v>1033500</v>
      </c>
      <c r="R19" s="143"/>
    </row>
    <row r="20" spans="1:18" ht="20.45" customHeight="1" x14ac:dyDescent="0.25">
      <c r="A20" s="211">
        <v>13</v>
      </c>
      <c r="B20" s="328">
        <v>44727</v>
      </c>
      <c r="C20" s="134" t="s">
        <v>3748</v>
      </c>
      <c r="D20" s="211" t="s">
        <v>4398</v>
      </c>
      <c r="E20" s="136" t="s">
        <v>143</v>
      </c>
      <c r="F20" s="134"/>
      <c r="G20" s="134">
        <v>111</v>
      </c>
      <c r="H20" s="139">
        <f t="shared" si="3"/>
        <v>3221220</v>
      </c>
      <c r="I20" s="134"/>
      <c r="J20" s="139">
        <v>790000</v>
      </c>
      <c r="K20" s="139"/>
      <c r="L20" s="263"/>
      <c r="M20" s="139"/>
      <c r="N20" s="139"/>
      <c r="O20" s="139">
        <f t="shared" si="2"/>
        <v>4011220</v>
      </c>
      <c r="P20" s="139">
        <v>6200000</v>
      </c>
      <c r="Q20" s="139">
        <f t="shared" si="0"/>
        <v>2188780</v>
      </c>
      <c r="R20" s="143"/>
    </row>
    <row r="21" spans="1:18" ht="20.45" customHeight="1" x14ac:dyDescent="0.25">
      <c r="A21" s="211">
        <v>14</v>
      </c>
      <c r="B21" s="328">
        <v>44728</v>
      </c>
      <c r="C21" s="134" t="s">
        <v>4381</v>
      </c>
      <c r="D21" s="211" t="s">
        <v>4399</v>
      </c>
      <c r="E21" s="136" t="s">
        <v>1336</v>
      </c>
      <c r="F21" s="134"/>
      <c r="G21" s="134">
        <v>83</v>
      </c>
      <c r="H21" s="139">
        <f t="shared" si="3"/>
        <v>2408660</v>
      </c>
      <c r="I21" s="134"/>
      <c r="J21" s="139">
        <v>790000</v>
      </c>
      <c r="K21" s="139"/>
      <c r="L21" s="263"/>
      <c r="M21" s="139"/>
      <c r="N21" s="139"/>
      <c r="O21" s="139">
        <f t="shared" si="2"/>
        <v>3198660</v>
      </c>
      <c r="P21" s="139">
        <v>4700000</v>
      </c>
      <c r="Q21" s="139">
        <f t="shared" si="0"/>
        <v>1501340</v>
      </c>
      <c r="R21" s="143"/>
    </row>
    <row r="22" spans="1:18" ht="20.45" customHeight="1" x14ac:dyDescent="0.25">
      <c r="A22" s="211">
        <v>15</v>
      </c>
      <c r="B22" s="328">
        <v>44729</v>
      </c>
      <c r="C22" s="134" t="s">
        <v>4382</v>
      </c>
      <c r="D22" s="211" t="s">
        <v>4400</v>
      </c>
      <c r="E22" s="136" t="s">
        <v>406</v>
      </c>
      <c r="F22" s="134"/>
      <c r="G22" s="134">
        <v>88</v>
      </c>
      <c r="H22" s="139">
        <f t="shared" si="3"/>
        <v>2553760</v>
      </c>
      <c r="I22" s="134"/>
      <c r="J22" s="139">
        <v>610000</v>
      </c>
      <c r="K22" s="139"/>
      <c r="L22" s="263"/>
      <c r="M22" s="139"/>
      <c r="N22" s="139"/>
      <c r="O22" s="139">
        <f t="shared" si="2"/>
        <v>3163760</v>
      </c>
      <c r="P22" s="139">
        <v>4700000</v>
      </c>
      <c r="Q22" s="139">
        <f t="shared" si="0"/>
        <v>1536240</v>
      </c>
      <c r="R22" s="143"/>
    </row>
    <row r="23" spans="1:18" ht="25.5" customHeight="1" x14ac:dyDescent="0.25">
      <c r="A23" s="211">
        <v>16</v>
      </c>
      <c r="B23" s="328">
        <v>44732</v>
      </c>
      <c r="C23" s="134" t="s">
        <v>2464</v>
      </c>
      <c r="D23" s="211" t="s">
        <v>4401</v>
      </c>
      <c r="E23" s="136" t="s">
        <v>23</v>
      </c>
      <c r="F23" s="134"/>
      <c r="G23" s="134">
        <v>240</v>
      </c>
      <c r="H23" s="139">
        <f>G23*30010</f>
        <v>7202400</v>
      </c>
      <c r="I23" s="134"/>
      <c r="J23" s="139">
        <v>2380000</v>
      </c>
      <c r="K23" s="139"/>
      <c r="L23" s="263"/>
      <c r="M23" s="139"/>
      <c r="N23" s="139"/>
      <c r="O23" s="139">
        <f t="shared" si="2"/>
        <v>9582400</v>
      </c>
      <c r="P23" s="139">
        <v>15694444</v>
      </c>
      <c r="Q23" s="139">
        <f t="shared" si="0"/>
        <v>6112044</v>
      </c>
      <c r="R23" s="143"/>
    </row>
    <row r="24" spans="1:18" ht="25.5" customHeight="1" x14ac:dyDescent="0.25">
      <c r="A24" s="211">
        <v>17</v>
      </c>
      <c r="B24" s="328">
        <v>44733</v>
      </c>
      <c r="C24" s="134" t="s">
        <v>4383</v>
      </c>
      <c r="D24" s="211" t="s">
        <v>4402</v>
      </c>
      <c r="E24" s="136" t="s">
        <v>4416</v>
      </c>
      <c r="F24" s="134"/>
      <c r="G24" s="134">
        <v>86</v>
      </c>
      <c r="H24" s="139">
        <f t="shared" ref="H24:H32" si="4">G24*30010</f>
        <v>2580860</v>
      </c>
      <c r="I24" s="134"/>
      <c r="J24" s="139">
        <v>610000</v>
      </c>
      <c r="K24" s="139"/>
      <c r="L24" s="263"/>
      <c r="M24" s="139"/>
      <c r="N24" s="139"/>
      <c r="O24" s="139">
        <f t="shared" si="2"/>
        <v>3190860</v>
      </c>
      <c r="P24" s="139">
        <v>4490000</v>
      </c>
      <c r="Q24" s="139">
        <f t="shared" si="0"/>
        <v>1299140</v>
      </c>
      <c r="R24" s="143"/>
    </row>
    <row r="25" spans="1:18" ht="30" customHeight="1" x14ac:dyDescent="0.25">
      <c r="A25" s="211">
        <v>18</v>
      </c>
      <c r="B25" s="328">
        <v>44733</v>
      </c>
      <c r="C25" s="134" t="s">
        <v>2466</v>
      </c>
      <c r="D25" s="211" t="s">
        <v>4403</v>
      </c>
      <c r="E25" s="136" t="s">
        <v>1336</v>
      </c>
      <c r="F25" s="134"/>
      <c r="G25" s="134">
        <v>82</v>
      </c>
      <c r="H25" s="139">
        <f t="shared" si="4"/>
        <v>2460820</v>
      </c>
      <c r="I25" s="134"/>
      <c r="J25" s="139">
        <v>790000</v>
      </c>
      <c r="K25" s="139"/>
      <c r="L25" s="263"/>
      <c r="M25" s="139"/>
      <c r="N25" s="139"/>
      <c r="O25" s="139">
        <f t="shared" si="2"/>
        <v>3250820</v>
      </c>
      <c r="P25" s="208">
        <v>4700000</v>
      </c>
      <c r="Q25" s="139">
        <f t="shared" si="0"/>
        <v>1449180</v>
      </c>
      <c r="R25" s="143"/>
    </row>
    <row r="26" spans="1:18" ht="20.45" customHeight="1" x14ac:dyDescent="0.25">
      <c r="A26" s="211">
        <v>19</v>
      </c>
      <c r="B26" s="328">
        <v>44734</v>
      </c>
      <c r="C26" s="134" t="s">
        <v>3753</v>
      </c>
      <c r="D26" s="211" t="s">
        <v>4404</v>
      </c>
      <c r="E26" s="136" t="s">
        <v>143</v>
      </c>
      <c r="F26" s="134"/>
      <c r="G26" s="134">
        <v>111</v>
      </c>
      <c r="H26" s="139">
        <f t="shared" si="4"/>
        <v>3331110</v>
      </c>
      <c r="I26" s="134"/>
      <c r="J26" s="139">
        <v>790000</v>
      </c>
      <c r="K26" s="139"/>
      <c r="L26" s="263"/>
      <c r="M26" s="139"/>
      <c r="N26" s="139"/>
      <c r="O26" s="139">
        <f>SUM(H26:N26)</f>
        <v>4121110</v>
      </c>
      <c r="P26" s="139">
        <v>6300000</v>
      </c>
      <c r="Q26" s="139">
        <f t="shared" si="0"/>
        <v>2178890</v>
      </c>
      <c r="R26" s="143"/>
    </row>
    <row r="27" spans="1:18" ht="20.45" customHeight="1" x14ac:dyDescent="0.25">
      <c r="A27" s="211">
        <v>20</v>
      </c>
      <c r="B27" s="328">
        <v>44735</v>
      </c>
      <c r="C27" s="134" t="s">
        <v>1137</v>
      </c>
      <c r="D27" s="211" t="s">
        <v>4405</v>
      </c>
      <c r="E27" s="136" t="s">
        <v>1336</v>
      </c>
      <c r="F27" s="134"/>
      <c r="G27" s="134">
        <v>83</v>
      </c>
      <c r="H27" s="139">
        <f t="shared" si="4"/>
        <v>2490830</v>
      </c>
      <c r="I27" s="134"/>
      <c r="J27" s="139">
        <v>610000</v>
      </c>
      <c r="K27" s="139"/>
      <c r="L27" s="263"/>
      <c r="M27" s="139"/>
      <c r="N27" s="139"/>
      <c r="O27" s="139">
        <f>SUM(H27:N27)</f>
        <v>3100830</v>
      </c>
      <c r="P27" s="139">
        <v>4800000</v>
      </c>
      <c r="Q27" s="139">
        <f t="shared" si="0"/>
        <v>1699170</v>
      </c>
      <c r="R27" s="143"/>
    </row>
    <row r="28" spans="1:18" ht="20.45" customHeight="1" x14ac:dyDescent="0.25">
      <c r="A28" s="211">
        <v>21</v>
      </c>
      <c r="B28" s="328">
        <v>44736</v>
      </c>
      <c r="C28" s="134" t="s">
        <v>4384</v>
      </c>
      <c r="D28" s="211" t="s">
        <v>4406</v>
      </c>
      <c r="E28" s="136" t="s">
        <v>4417</v>
      </c>
      <c r="F28" s="134"/>
      <c r="G28" s="134">
        <v>68</v>
      </c>
      <c r="H28" s="139">
        <f t="shared" si="4"/>
        <v>2040680</v>
      </c>
      <c r="I28" s="134"/>
      <c r="J28" s="208">
        <v>430000</v>
      </c>
      <c r="K28" s="139"/>
      <c r="L28" s="263"/>
      <c r="M28" s="139"/>
      <c r="N28" s="139"/>
      <c r="O28" s="139">
        <f t="shared" ref="O28:O39" si="5">SUM(H28:N28)</f>
        <v>2470680</v>
      </c>
      <c r="P28" s="139">
        <v>4000000</v>
      </c>
      <c r="Q28" s="139">
        <f t="shared" si="0"/>
        <v>1529320</v>
      </c>
      <c r="R28" s="143"/>
    </row>
    <row r="29" spans="1:18" ht="20.45" customHeight="1" x14ac:dyDescent="0.25">
      <c r="A29" s="211">
        <v>22</v>
      </c>
      <c r="B29" s="328">
        <v>44737</v>
      </c>
      <c r="C29" s="134" t="s">
        <v>3754</v>
      </c>
      <c r="D29" s="211" t="s">
        <v>4407</v>
      </c>
      <c r="E29" s="136" t="s">
        <v>23</v>
      </c>
      <c r="F29" s="134"/>
      <c r="G29" s="134">
        <v>240</v>
      </c>
      <c r="H29" s="139">
        <f t="shared" si="4"/>
        <v>7202400</v>
      </c>
      <c r="I29" s="134"/>
      <c r="J29" s="139">
        <v>2380000</v>
      </c>
      <c r="K29" s="139"/>
      <c r="L29" s="263"/>
      <c r="M29" s="139"/>
      <c r="N29" s="139"/>
      <c r="O29" s="139">
        <f t="shared" si="5"/>
        <v>9582400</v>
      </c>
      <c r="P29" s="139">
        <v>17200000</v>
      </c>
      <c r="Q29" s="139">
        <f t="shared" si="0"/>
        <v>7617600</v>
      </c>
      <c r="R29" s="143"/>
    </row>
    <row r="30" spans="1:18" ht="20.45" customHeight="1" x14ac:dyDescent="0.25">
      <c r="A30" s="211">
        <v>23</v>
      </c>
      <c r="B30" s="328">
        <v>44740</v>
      </c>
      <c r="C30" s="134" t="s">
        <v>4385</v>
      </c>
      <c r="D30" s="211" t="s">
        <v>4408</v>
      </c>
      <c r="E30" s="136" t="s">
        <v>143</v>
      </c>
      <c r="F30" s="134"/>
      <c r="G30" s="134">
        <v>111</v>
      </c>
      <c r="H30" s="139">
        <f t="shared" si="4"/>
        <v>3331110</v>
      </c>
      <c r="I30" s="134"/>
      <c r="J30" s="139">
        <v>790000</v>
      </c>
      <c r="K30" s="139"/>
      <c r="L30" s="263"/>
      <c r="M30" s="139"/>
      <c r="N30" s="139"/>
      <c r="O30" s="139">
        <f t="shared" si="5"/>
        <v>4121110</v>
      </c>
      <c r="P30" s="139">
        <v>6300000</v>
      </c>
      <c r="Q30" s="139">
        <f t="shared" si="0"/>
        <v>2178890</v>
      </c>
      <c r="R30" s="143"/>
    </row>
    <row r="31" spans="1:18" ht="20.45" customHeight="1" x14ac:dyDescent="0.25">
      <c r="A31" s="211">
        <v>24</v>
      </c>
      <c r="B31" s="328">
        <v>44740</v>
      </c>
      <c r="C31" s="134" t="s">
        <v>377</v>
      </c>
      <c r="D31" s="211" t="s">
        <v>4409</v>
      </c>
      <c r="E31" s="136" t="s">
        <v>4418</v>
      </c>
      <c r="F31" s="134"/>
      <c r="G31" s="134">
        <v>98</v>
      </c>
      <c r="H31" s="139">
        <f t="shared" si="4"/>
        <v>2940980</v>
      </c>
      <c r="I31" s="134"/>
      <c r="J31" s="139">
        <v>790000</v>
      </c>
      <c r="K31" s="139"/>
      <c r="L31" s="263"/>
      <c r="M31" s="139"/>
      <c r="N31" s="139"/>
      <c r="O31" s="139">
        <f t="shared" si="5"/>
        <v>3730980</v>
      </c>
      <c r="P31" s="139">
        <v>4370000</v>
      </c>
      <c r="Q31" s="139">
        <f t="shared" si="0"/>
        <v>639020</v>
      </c>
      <c r="R31" s="143"/>
    </row>
    <row r="32" spans="1:18" ht="20.45" customHeight="1" x14ac:dyDescent="0.25">
      <c r="A32" s="211">
        <v>25</v>
      </c>
      <c r="B32" s="328">
        <v>44741</v>
      </c>
      <c r="C32" s="134" t="s">
        <v>3122</v>
      </c>
      <c r="D32" s="211" t="s">
        <v>4410</v>
      </c>
      <c r="E32" s="136" t="s">
        <v>23</v>
      </c>
      <c r="F32" s="134"/>
      <c r="G32" s="134">
        <v>248</v>
      </c>
      <c r="H32" s="139">
        <f t="shared" si="4"/>
        <v>7442480</v>
      </c>
      <c r="I32" s="134"/>
      <c r="J32" s="139">
        <v>2380000</v>
      </c>
      <c r="K32" s="139"/>
      <c r="L32" s="263"/>
      <c r="M32" s="139"/>
      <c r="N32" s="139"/>
      <c r="O32" s="139">
        <f t="shared" si="5"/>
        <v>9822480</v>
      </c>
      <c r="P32" s="139">
        <v>16203704</v>
      </c>
      <c r="Q32" s="139">
        <f t="shared" si="0"/>
        <v>6381224</v>
      </c>
      <c r="R32" s="143"/>
    </row>
    <row r="33" spans="1:19" ht="20.45" customHeight="1" x14ac:dyDescent="0.25">
      <c r="A33" s="211"/>
      <c r="B33" s="337"/>
      <c r="C33" s="449"/>
      <c r="D33" s="449"/>
      <c r="E33" s="449"/>
      <c r="F33" s="449"/>
      <c r="G33" s="195"/>
      <c r="H33" s="139"/>
      <c r="I33" s="195"/>
      <c r="J33" s="155"/>
      <c r="K33" s="219"/>
      <c r="L33" s="219"/>
      <c r="M33" s="139"/>
      <c r="N33" s="139"/>
      <c r="O33" s="139"/>
      <c r="P33" s="139"/>
      <c r="Q33" s="139"/>
      <c r="R33" s="143"/>
    </row>
    <row r="34" spans="1:19" ht="20.45" customHeight="1" x14ac:dyDescent="0.25">
      <c r="A34" s="211"/>
      <c r="B34" s="337"/>
      <c r="C34" s="459" t="s">
        <v>4514</v>
      </c>
      <c r="D34" s="460"/>
      <c r="E34" s="461"/>
      <c r="F34" s="196"/>
      <c r="G34" s="195"/>
      <c r="H34" s="139"/>
      <c r="I34" s="195"/>
      <c r="J34" s="155"/>
      <c r="K34" s="219">
        <v>6501000</v>
      </c>
      <c r="L34" s="219"/>
      <c r="M34" s="139"/>
      <c r="N34" s="139"/>
      <c r="O34" s="139">
        <f t="shared" si="5"/>
        <v>6501000</v>
      </c>
      <c r="P34" s="139"/>
      <c r="Q34" s="139"/>
      <c r="R34" s="143"/>
    </row>
    <row r="35" spans="1:19" ht="33" customHeight="1" x14ac:dyDescent="0.25">
      <c r="A35" s="211"/>
      <c r="B35" s="337"/>
      <c r="C35" s="459" t="s">
        <v>4457</v>
      </c>
      <c r="D35" s="460"/>
      <c r="E35" s="461"/>
      <c r="F35" s="196"/>
      <c r="G35" s="195"/>
      <c r="H35" s="155"/>
      <c r="I35" s="195"/>
      <c r="J35" s="155"/>
      <c r="K35" s="219"/>
      <c r="L35" s="219"/>
      <c r="M35" s="219"/>
      <c r="N35" s="219">
        <v>3250000</v>
      </c>
      <c r="O35" s="139">
        <f t="shared" si="5"/>
        <v>3250000</v>
      </c>
      <c r="P35" s="139"/>
      <c r="Q35" s="139"/>
      <c r="R35" s="143"/>
    </row>
    <row r="36" spans="1:19" ht="24.95" customHeight="1" x14ac:dyDescent="0.25">
      <c r="A36" s="211"/>
      <c r="B36" s="337"/>
      <c r="C36" s="459" t="s">
        <v>4458</v>
      </c>
      <c r="D36" s="460"/>
      <c r="E36" s="461"/>
      <c r="F36" s="196"/>
      <c r="G36" s="195"/>
      <c r="H36" s="155"/>
      <c r="I36" s="195"/>
      <c r="J36" s="155"/>
      <c r="K36" s="219"/>
      <c r="L36" s="219">
        <v>6800000</v>
      </c>
      <c r="M36" s="219"/>
      <c r="N36" s="139"/>
      <c r="O36" s="139">
        <f t="shared" si="5"/>
        <v>6800000</v>
      </c>
      <c r="P36" s="139"/>
      <c r="Q36" s="139"/>
      <c r="R36" s="143"/>
    </row>
    <row r="37" spans="1:19" ht="24.95" customHeight="1" x14ac:dyDescent="0.25">
      <c r="A37" s="211"/>
      <c r="B37" s="337"/>
      <c r="C37" s="459" t="s">
        <v>4462</v>
      </c>
      <c r="D37" s="460"/>
      <c r="E37" s="461"/>
      <c r="F37" s="196"/>
      <c r="G37" s="195"/>
      <c r="H37" s="155"/>
      <c r="I37" s="195"/>
      <c r="J37" s="155"/>
      <c r="K37" s="219"/>
      <c r="L37" s="219">
        <v>1782000</v>
      </c>
      <c r="M37" s="219"/>
      <c r="N37" s="139"/>
      <c r="O37" s="139">
        <f t="shared" si="5"/>
        <v>1782000</v>
      </c>
      <c r="P37" s="139"/>
      <c r="Q37" s="139"/>
      <c r="R37" s="143"/>
    </row>
    <row r="38" spans="1:19" ht="24.95" customHeight="1" x14ac:dyDescent="0.25">
      <c r="A38" s="211"/>
      <c r="B38" s="337"/>
      <c r="C38" s="459" t="s">
        <v>4290</v>
      </c>
      <c r="D38" s="460"/>
      <c r="E38" s="461"/>
      <c r="F38" s="196"/>
      <c r="G38" s="195"/>
      <c r="H38" s="155"/>
      <c r="I38" s="195"/>
      <c r="J38" s="155"/>
      <c r="K38" s="219">
        <v>8000000</v>
      </c>
      <c r="L38" s="219"/>
      <c r="M38" s="139"/>
      <c r="N38" s="139"/>
      <c r="O38" s="139">
        <f t="shared" si="5"/>
        <v>8000000</v>
      </c>
      <c r="P38" s="139"/>
      <c r="Q38" s="139"/>
      <c r="R38" s="143"/>
    </row>
    <row r="39" spans="1:19" ht="24.95" customHeight="1" x14ac:dyDescent="0.25">
      <c r="A39" s="211"/>
      <c r="B39" s="337"/>
      <c r="C39" s="452" t="s">
        <v>26</v>
      </c>
      <c r="D39" s="453"/>
      <c r="E39" s="454"/>
      <c r="F39" s="196"/>
      <c r="G39" s="195"/>
      <c r="H39" s="155"/>
      <c r="I39" s="195"/>
      <c r="J39" s="155"/>
      <c r="K39" s="219"/>
      <c r="L39" s="219">
        <v>1200000</v>
      </c>
      <c r="M39" s="139"/>
      <c r="N39" s="139"/>
      <c r="O39" s="139">
        <f t="shared" si="5"/>
        <v>1200000</v>
      </c>
      <c r="P39" s="139"/>
      <c r="Q39" s="139"/>
      <c r="R39" s="143"/>
    </row>
    <row r="40" spans="1:19" ht="20.45" customHeight="1" x14ac:dyDescent="0.25">
      <c r="A40" s="450" t="s">
        <v>20</v>
      </c>
      <c r="B40" s="450"/>
      <c r="C40" s="450"/>
      <c r="D40" s="450"/>
      <c r="E40" s="450"/>
      <c r="F40" s="450"/>
      <c r="G40" s="334">
        <f t="shared" ref="G40:P40" si="6">SUM(G8:G39)</f>
        <v>3145</v>
      </c>
      <c r="H40" s="334">
        <f t="shared" si="6"/>
        <v>90443010</v>
      </c>
      <c r="I40" s="334">
        <f t="shared" si="6"/>
        <v>0</v>
      </c>
      <c r="J40" s="334">
        <f t="shared" si="6"/>
        <v>26240000</v>
      </c>
      <c r="K40" s="334">
        <f t="shared" si="6"/>
        <v>14501000</v>
      </c>
      <c r="L40" s="334">
        <f t="shared" si="6"/>
        <v>9782000</v>
      </c>
      <c r="M40" s="334">
        <f t="shared" si="6"/>
        <v>0</v>
      </c>
      <c r="N40" s="334">
        <f t="shared" si="6"/>
        <v>3250000</v>
      </c>
      <c r="O40" s="334">
        <f t="shared" si="6"/>
        <v>144216010</v>
      </c>
      <c r="P40" s="334">
        <f t="shared" si="6"/>
        <v>184924647</v>
      </c>
      <c r="Q40" s="334">
        <f>P40-O40</f>
        <v>40708637</v>
      </c>
    </row>
    <row r="41" spans="1:19" ht="24.95" customHeight="1" x14ac:dyDescent="0.25">
      <c r="O41" s="158"/>
      <c r="Q41" s="158"/>
    </row>
    <row r="42" spans="1:19" ht="13.9" customHeight="1" x14ac:dyDescent="0.25">
      <c r="P42" s="216" t="s">
        <v>1603</v>
      </c>
      <c r="Q42" s="227">
        <f>'05.2022'!Q37+'06.2022'!Q40</f>
        <v>112922709</v>
      </c>
      <c r="S42" s="216"/>
    </row>
    <row r="43" spans="1:19" ht="13.9" customHeight="1" x14ac:dyDescent="0.25">
      <c r="B43" s="129"/>
      <c r="J43" s="128"/>
      <c r="K43" s="128"/>
      <c r="L43" s="128"/>
      <c r="N43" s="128"/>
      <c r="O43" s="128"/>
      <c r="P43" s="218"/>
      <c r="Q43" s="216"/>
    </row>
    <row r="44" spans="1:19" ht="13.9" customHeight="1" x14ac:dyDescent="0.25">
      <c r="B44" s="129"/>
      <c r="H44" s="128"/>
      <c r="J44" s="128"/>
      <c r="K44" s="128"/>
      <c r="L44" s="128"/>
      <c r="M44" s="128"/>
      <c r="N44" s="128"/>
      <c r="O44" s="128"/>
      <c r="P44" s="218"/>
      <c r="Q44" s="230"/>
    </row>
    <row r="45" spans="1:19" ht="13.9" customHeight="1" x14ac:dyDescent="0.25">
      <c r="B45" s="129"/>
      <c r="G45" s="143">
        <f>G40-G28-G13-G11</f>
        <v>2887</v>
      </c>
      <c r="H45" s="128"/>
      <c r="J45" s="128"/>
      <c r="K45" s="128"/>
      <c r="L45" s="128"/>
      <c r="M45" s="128"/>
      <c r="N45" s="128"/>
      <c r="O45" s="128"/>
      <c r="P45" s="218"/>
      <c r="Q45" s="230"/>
      <c r="R45" s="143"/>
    </row>
    <row r="46" spans="1:19" ht="13.9" customHeight="1" x14ac:dyDescent="0.25">
      <c r="B46" s="129"/>
      <c r="H46" s="128"/>
      <c r="J46" s="128"/>
      <c r="K46" s="128"/>
      <c r="L46" s="128"/>
      <c r="M46" s="128"/>
      <c r="N46" s="128"/>
      <c r="O46" s="128"/>
      <c r="P46" s="218"/>
      <c r="Q46" s="216"/>
      <c r="R46" s="143"/>
    </row>
    <row r="47" spans="1:19" x14ac:dyDescent="0.25">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9"/>
      <c r="H49" s="128"/>
      <c r="J49" s="128"/>
      <c r="K49" s="128"/>
      <c r="L49" s="128"/>
      <c r="M49" s="128"/>
      <c r="N49" s="128"/>
      <c r="O49" s="128"/>
      <c r="P49" s="218"/>
      <c r="Q49" s="216"/>
    </row>
    <row r="50" spans="1:17" x14ac:dyDescent="0.25">
      <c r="A50" s="128"/>
      <c r="B50" s="128"/>
      <c r="G50" s="143"/>
      <c r="H50" s="128"/>
      <c r="J50" s="128"/>
      <c r="K50" s="128"/>
      <c r="L50" s="128"/>
      <c r="M50" s="128"/>
      <c r="N50" s="128"/>
      <c r="O50" s="128"/>
      <c r="P50" s="128"/>
      <c r="Q50" s="216"/>
    </row>
    <row r="51" spans="1:17" x14ac:dyDescent="0.25">
      <c r="A51" s="128"/>
      <c r="B51" s="128"/>
      <c r="H51" s="128"/>
      <c r="J51" s="128"/>
      <c r="K51" s="128"/>
      <c r="L51" s="128"/>
      <c r="M51" s="128"/>
      <c r="N51" s="128"/>
      <c r="O51" s="128"/>
      <c r="P51" s="128"/>
      <c r="Q51" s="216"/>
    </row>
    <row r="53" spans="1:17" x14ac:dyDescent="0.25">
      <c r="G53" s="143"/>
    </row>
  </sheetData>
  <mergeCells count="21">
    <mergeCell ref="A1:Q1"/>
    <mergeCell ref="A2:Q2"/>
    <mergeCell ref="B3:Q3"/>
    <mergeCell ref="A5:A6"/>
    <mergeCell ref="B5:B6"/>
    <mergeCell ref="C5:C6"/>
    <mergeCell ref="D5:D6"/>
    <mergeCell ref="E5:E6"/>
    <mergeCell ref="F5:F6"/>
    <mergeCell ref="G5:N5"/>
    <mergeCell ref="O5:O6"/>
    <mergeCell ref="P5:P6"/>
    <mergeCell ref="Q5:Q6"/>
    <mergeCell ref="C33:F33"/>
    <mergeCell ref="C39:E39"/>
    <mergeCell ref="A40:F40"/>
    <mergeCell ref="C35:E35"/>
    <mergeCell ref="C36:E36"/>
    <mergeCell ref="C37:E37"/>
    <mergeCell ref="C38:E38"/>
    <mergeCell ref="C34:E3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DF9-54EE-487F-80D7-970AF0DB26C9}">
  <dimension ref="A1:S52"/>
  <sheetViews>
    <sheetView topLeftCell="A27" workbookViewId="0">
      <selection activeCell="K35" sqref="K35"/>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4464</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7" customHeight="1" x14ac:dyDescent="0.25">
      <c r="A8" s="211">
        <v>1</v>
      </c>
      <c r="B8" s="328">
        <v>44742</v>
      </c>
      <c r="C8" s="134" t="s">
        <v>4419</v>
      </c>
      <c r="D8" s="211" t="s">
        <v>4429</v>
      </c>
      <c r="E8" s="136" t="s">
        <v>4448</v>
      </c>
      <c r="F8" s="134"/>
      <c r="G8" s="134">
        <v>82</v>
      </c>
      <c r="H8" s="139">
        <f>G8*29610</f>
        <v>2428020</v>
      </c>
      <c r="I8" s="134"/>
      <c r="J8" s="208">
        <v>890000</v>
      </c>
      <c r="K8" s="139"/>
      <c r="L8" s="263"/>
      <c r="M8" s="139"/>
      <c r="N8" s="139"/>
      <c r="O8" s="139">
        <f>SUM(H8:N8)</f>
        <v>3318020</v>
      </c>
      <c r="P8" s="139">
        <v>4700000</v>
      </c>
      <c r="Q8" s="139">
        <f>P8-O8</f>
        <v>1381980</v>
      </c>
      <c r="R8" s="143"/>
    </row>
    <row r="9" spans="1:18" ht="27" customHeight="1" x14ac:dyDescent="0.25">
      <c r="A9" s="211">
        <v>2</v>
      </c>
      <c r="B9" s="328">
        <v>44748</v>
      </c>
      <c r="C9" s="134" t="s">
        <v>447</v>
      </c>
      <c r="D9" s="211" t="s">
        <v>4430</v>
      </c>
      <c r="E9" s="136" t="s">
        <v>4449</v>
      </c>
      <c r="F9" s="134"/>
      <c r="G9" s="134">
        <v>90</v>
      </c>
      <c r="H9" s="139">
        <f t="shared" ref="H9:H12" si="0">G9*29610</f>
        <v>2664900</v>
      </c>
      <c r="I9" s="134"/>
      <c r="J9" s="139">
        <v>1090000</v>
      </c>
      <c r="K9" s="139"/>
      <c r="L9" s="263"/>
      <c r="M9" s="139"/>
      <c r="N9" s="139"/>
      <c r="O9" s="139">
        <f>SUM(H9:N9)</f>
        <v>3754900</v>
      </c>
      <c r="P9" s="139">
        <v>6000000</v>
      </c>
      <c r="Q9" s="139">
        <f t="shared" ref="Q9:Q28" si="1">P9-O9</f>
        <v>2245100</v>
      </c>
      <c r="R9" s="143"/>
    </row>
    <row r="10" spans="1:18" ht="27" customHeight="1" x14ac:dyDescent="0.25">
      <c r="A10" s="211">
        <v>3</v>
      </c>
      <c r="B10" s="328">
        <v>44748</v>
      </c>
      <c r="C10" s="134" t="s">
        <v>4420</v>
      </c>
      <c r="D10" s="211" t="s">
        <v>4431</v>
      </c>
      <c r="E10" s="136" t="s">
        <v>2798</v>
      </c>
      <c r="F10" s="134"/>
      <c r="G10" s="134">
        <v>119</v>
      </c>
      <c r="H10" s="139">
        <f t="shared" si="0"/>
        <v>3523590</v>
      </c>
      <c r="I10" s="134"/>
      <c r="J10" s="208">
        <v>790000</v>
      </c>
      <c r="K10" s="139"/>
      <c r="L10" s="263"/>
      <c r="M10" s="139"/>
      <c r="N10" s="139"/>
      <c r="O10" s="139">
        <f t="shared" ref="O10:O25" si="2">SUM(H10:N10)</f>
        <v>4313590</v>
      </c>
      <c r="P10" s="139">
        <v>6268519</v>
      </c>
      <c r="Q10" s="139">
        <f t="shared" si="1"/>
        <v>1954929</v>
      </c>
      <c r="R10" s="143"/>
    </row>
    <row r="11" spans="1:18" ht="27" customHeight="1" x14ac:dyDescent="0.25">
      <c r="A11" s="211">
        <v>4</v>
      </c>
      <c r="B11" s="328">
        <v>44748</v>
      </c>
      <c r="C11" s="134" t="s">
        <v>450</v>
      </c>
      <c r="D11" s="211" t="s">
        <v>4432</v>
      </c>
      <c r="E11" s="136" t="s">
        <v>1170</v>
      </c>
      <c r="F11" s="134"/>
      <c r="G11" s="134">
        <v>253</v>
      </c>
      <c r="H11" s="139">
        <f>G11*29610</f>
        <v>7491330</v>
      </c>
      <c r="I11" s="134"/>
      <c r="J11" s="139">
        <v>2380000</v>
      </c>
      <c r="K11" s="139"/>
      <c r="L11" s="263"/>
      <c r="M11" s="139"/>
      <c r="N11" s="139"/>
      <c r="O11" s="139">
        <f t="shared" si="2"/>
        <v>9871330</v>
      </c>
      <c r="P11" s="139">
        <v>16111111</v>
      </c>
      <c r="Q11" s="139">
        <f t="shared" si="1"/>
        <v>6239781</v>
      </c>
      <c r="R11" s="143"/>
    </row>
    <row r="12" spans="1:18" ht="27" customHeight="1" x14ac:dyDescent="0.25">
      <c r="A12" s="211">
        <v>5</v>
      </c>
      <c r="B12" s="328">
        <v>44749</v>
      </c>
      <c r="C12" s="134" t="s">
        <v>2521</v>
      </c>
      <c r="D12" s="211" t="s">
        <v>4433</v>
      </c>
      <c r="E12" s="136" t="s">
        <v>4450</v>
      </c>
      <c r="F12" s="134"/>
      <c r="G12" s="134">
        <v>57</v>
      </c>
      <c r="H12" s="139">
        <f t="shared" si="0"/>
        <v>1687770</v>
      </c>
      <c r="I12" s="134"/>
      <c r="J12" s="139">
        <v>340000</v>
      </c>
      <c r="K12" s="139"/>
      <c r="L12" s="263"/>
      <c r="M12" s="139"/>
      <c r="N12" s="139"/>
      <c r="O12" s="139">
        <f t="shared" si="2"/>
        <v>2027770</v>
      </c>
      <c r="P12" s="139">
        <v>3400000</v>
      </c>
      <c r="Q12" s="139">
        <f t="shared" si="1"/>
        <v>1372230</v>
      </c>
      <c r="R12" s="143"/>
    </row>
    <row r="13" spans="1:18" ht="27" customHeight="1" x14ac:dyDescent="0.25">
      <c r="A13" s="211">
        <v>6</v>
      </c>
      <c r="B13" s="328">
        <v>44750</v>
      </c>
      <c r="C13" s="134" t="s">
        <v>4421</v>
      </c>
      <c r="D13" s="211" t="s">
        <v>4434</v>
      </c>
      <c r="E13" s="136" t="s">
        <v>143</v>
      </c>
      <c r="F13" s="134"/>
      <c r="G13" s="134">
        <v>111</v>
      </c>
      <c r="H13" s="139">
        <f>G13*26590</f>
        <v>2951490</v>
      </c>
      <c r="I13" s="134"/>
      <c r="J13" s="139">
        <v>790000</v>
      </c>
      <c r="K13" s="139"/>
      <c r="L13" s="263"/>
      <c r="M13" s="139"/>
      <c r="N13" s="139"/>
      <c r="O13" s="139">
        <f t="shared" si="2"/>
        <v>3741490</v>
      </c>
      <c r="P13" s="139">
        <v>6250000</v>
      </c>
      <c r="Q13" s="139">
        <f t="shared" si="1"/>
        <v>2508510</v>
      </c>
      <c r="R13" s="143"/>
    </row>
    <row r="14" spans="1:18" ht="27" customHeight="1" x14ac:dyDescent="0.25">
      <c r="A14" s="211">
        <v>7</v>
      </c>
      <c r="B14" s="328">
        <v>44751</v>
      </c>
      <c r="C14" s="134" t="s">
        <v>4422</v>
      </c>
      <c r="D14" s="211" t="s">
        <v>4435</v>
      </c>
      <c r="E14" s="136" t="s">
        <v>2518</v>
      </c>
      <c r="F14" s="134"/>
      <c r="G14" s="134">
        <v>110</v>
      </c>
      <c r="H14" s="139">
        <f t="shared" ref="H14:H21" si="3">G14*26590</f>
        <v>2924900</v>
      </c>
      <c r="I14" s="134"/>
      <c r="J14" s="139">
        <v>790000</v>
      </c>
      <c r="K14" s="139"/>
      <c r="L14" s="263"/>
      <c r="M14" s="139"/>
      <c r="N14" s="139"/>
      <c r="O14" s="139">
        <f t="shared" si="2"/>
        <v>3714900</v>
      </c>
      <c r="P14" s="139">
        <v>4953889</v>
      </c>
      <c r="Q14" s="139">
        <f t="shared" si="1"/>
        <v>1238989</v>
      </c>
      <c r="R14" s="143"/>
    </row>
    <row r="15" spans="1:18" ht="27" customHeight="1" x14ac:dyDescent="0.25">
      <c r="A15" s="211">
        <v>8</v>
      </c>
      <c r="B15" s="328">
        <v>44753</v>
      </c>
      <c r="C15" s="134" t="s">
        <v>4423</v>
      </c>
      <c r="D15" s="211" t="s">
        <v>4435</v>
      </c>
      <c r="E15" s="136" t="s">
        <v>4451</v>
      </c>
      <c r="F15" s="134"/>
      <c r="G15" s="134"/>
      <c r="H15" s="139">
        <f t="shared" si="3"/>
        <v>0</v>
      </c>
      <c r="I15" s="134"/>
      <c r="J15" s="139">
        <v>300000</v>
      </c>
      <c r="K15" s="139"/>
      <c r="L15" s="263"/>
      <c r="M15" s="139"/>
      <c r="N15" s="139"/>
      <c r="O15" s="139">
        <f t="shared" si="2"/>
        <v>300000</v>
      </c>
      <c r="P15" s="139">
        <v>3907889</v>
      </c>
      <c r="Q15" s="139">
        <f t="shared" si="1"/>
        <v>3607889</v>
      </c>
      <c r="R15" s="143"/>
    </row>
    <row r="16" spans="1:18" ht="27" customHeight="1" x14ac:dyDescent="0.25">
      <c r="A16" s="211">
        <v>9</v>
      </c>
      <c r="B16" s="328">
        <v>44753</v>
      </c>
      <c r="C16" s="134" t="s">
        <v>4424</v>
      </c>
      <c r="D16" s="211" t="s">
        <v>4436</v>
      </c>
      <c r="E16" s="136" t="s">
        <v>4452</v>
      </c>
      <c r="F16" s="134"/>
      <c r="G16" s="134">
        <v>89</v>
      </c>
      <c r="H16" s="139">
        <f t="shared" si="3"/>
        <v>2366510</v>
      </c>
      <c r="I16" s="134"/>
      <c r="J16" s="139">
        <v>990000</v>
      </c>
      <c r="K16" s="139"/>
      <c r="L16" s="263"/>
      <c r="M16" s="139"/>
      <c r="N16" s="139"/>
      <c r="O16" s="139">
        <f t="shared" si="2"/>
        <v>3356510</v>
      </c>
      <c r="P16" s="139">
        <v>5800000</v>
      </c>
      <c r="Q16" s="139">
        <f t="shared" si="1"/>
        <v>2443490</v>
      </c>
      <c r="R16" s="143"/>
    </row>
    <row r="17" spans="1:18" ht="27" customHeight="1" x14ac:dyDescent="0.25">
      <c r="A17" s="211">
        <v>10</v>
      </c>
      <c r="B17" s="328">
        <v>44754</v>
      </c>
      <c r="C17" s="134" t="s">
        <v>3813</v>
      </c>
      <c r="D17" s="211" t="s">
        <v>4437</v>
      </c>
      <c r="E17" s="136" t="s">
        <v>1336</v>
      </c>
      <c r="F17" s="134"/>
      <c r="G17" s="134">
        <v>97</v>
      </c>
      <c r="H17" s="139">
        <f t="shared" si="3"/>
        <v>2579230</v>
      </c>
      <c r="I17" s="134"/>
      <c r="J17" s="139">
        <v>610000</v>
      </c>
      <c r="K17" s="139"/>
      <c r="L17" s="263"/>
      <c r="M17" s="139"/>
      <c r="N17" s="139"/>
      <c r="O17" s="139">
        <f t="shared" si="2"/>
        <v>3189230</v>
      </c>
      <c r="P17" s="139">
        <v>5100000</v>
      </c>
      <c r="Q17" s="139">
        <f t="shared" si="1"/>
        <v>1910770</v>
      </c>
      <c r="R17" s="143"/>
    </row>
    <row r="18" spans="1:18" ht="27" customHeight="1" x14ac:dyDescent="0.25">
      <c r="A18" s="211">
        <v>11</v>
      </c>
      <c r="B18" s="328">
        <v>44755</v>
      </c>
      <c r="C18" s="134" t="s">
        <v>4425</v>
      </c>
      <c r="D18" s="211" t="s">
        <v>2980</v>
      </c>
      <c r="E18" s="136" t="s">
        <v>4453</v>
      </c>
      <c r="F18" s="134"/>
      <c r="G18" s="134">
        <v>120</v>
      </c>
      <c r="H18" s="139">
        <f t="shared" si="3"/>
        <v>3190800</v>
      </c>
      <c r="I18" s="134"/>
      <c r="J18" s="139">
        <v>930000</v>
      </c>
      <c r="K18" s="139"/>
      <c r="L18" s="263"/>
      <c r="M18" s="139"/>
      <c r="N18" s="139"/>
      <c r="O18" s="139">
        <f>SUM(H18:N18)</f>
        <v>4120800</v>
      </c>
      <c r="P18" s="139">
        <v>8077778</v>
      </c>
      <c r="Q18" s="139">
        <f t="shared" si="1"/>
        <v>3956978</v>
      </c>
      <c r="R18" s="143"/>
    </row>
    <row r="19" spans="1:18" ht="27" customHeight="1" x14ac:dyDescent="0.25">
      <c r="A19" s="211">
        <v>12</v>
      </c>
      <c r="B19" s="328">
        <v>44756</v>
      </c>
      <c r="C19" s="134" t="s">
        <v>3189</v>
      </c>
      <c r="D19" s="211" t="s">
        <v>4438</v>
      </c>
      <c r="E19" s="136" t="s">
        <v>1336</v>
      </c>
      <c r="F19" s="134"/>
      <c r="G19" s="134">
        <v>84</v>
      </c>
      <c r="H19" s="139">
        <f t="shared" si="3"/>
        <v>2233560</v>
      </c>
      <c r="I19" s="134"/>
      <c r="J19" s="139">
        <v>790000</v>
      </c>
      <c r="K19" s="139"/>
      <c r="L19" s="263"/>
      <c r="M19" s="139"/>
      <c r="N19" s="139"/>
      <c r="O19" s="139">
        <f>SUM(H19:N19)</f>
        <v>3023560</v>
      </c>
      <c r="P19" s="139">
        <v>4600000</v>
      </c>
      <c r="Q19" s="139">
        <f t="shared" si="1"/>
        <v>1576440</v>
      </c>
      <c r="R19" s="143"/>
    </row>
    <row r="20" spans="1:18" ht="27" customHeight="1" x14ac:dyDescent="0.25">
      <c r="A20" s="211">
        <v>13</v>
      </c>
      <c r="B20" s="328">
        <v>44757</v>
      </c>
      <c r="C20" s="134" t="s">
        <v>1829</v>
      </c>
      <c r="D20" s="211" t="s">
        <v>4439</v>
      </c>
      <c r="E20" s="136" t="s">
        <v>23</v>
      </c>
      <c r="F20" s="134"/>
      <c r="G20" s="134">
        <v>240</v>
      </c>
      <c r="H20" s="139">
        <f t="shared" si="3"/>
        <v>6381600</v>
      </c>
      <c r="I20" s="134"/>
      <c r="J20" s="139">
        <v>2380000</v>
      </c>
      <c r="K20" s="139"/>
      <c r="L20" s="263"/>
      <c r="M20" s="139"/>
      <c r="N20" s="139"/>
      <c r="O20" s="139">
        <f t="shared" si="2"/>
        <v>8761600</v>
      </c>
      <c r="P20" s="139">
        <v>15185185</v>
      </c>
      <c r="Q20" s="139">
        <f t="shared" si="1"/>
        <v>6423585</v>
      </c>
      <c r="R20" s="143"/>
    </row>
    <row r="21" spans="1:18" ht="27" customHeight="1" x14ac:dyDescent="0.25">
      <c r="A21" s="211">
        <v>14</v>
      </c>
      <c r="B21" s="328">
        <v>44760</v>
      </c>
      <c r="C21" s="134" t="s">
        <v>3193</v>
      </c>
      <c r="D21" s="211" t="s">
        <v>4440</v>
      </c>
      <c r="E21" s="136" t="s">
        <v>25</v>
      </c>
      <c r="F21" s="134"/>
      <c r="G21" s="134">
        <v>180</v>
      </c>
      <c r="H21" s="139">
        <f t="shared" si="3"/>
        <v>4786200</v>
      </c>
      <c r="I21" s="134"/>
      <c r="J21" s="139">
        <v>1530000</v>
      </c>
      <c r="K21" s="139"/>
      <c r="L21" s="263"/>
      <c r="M21" s="139"/>
      <c r="N21" s="139"/>
      <c r="O21" s="139">
        <f t="shared" si="2"/>
        <v>6316200</v>
      </c>
      <c r="P21" s="139">
        <v>9716667</v>
      </c>
      <c r="Q21" s="139">
        <f t="shared" si="1"/>
        <v>3400467</v>
      </c>
      <c r="R21" s="143"/>
    </row>
    <row r="22" spans="1:18" ht="27" customHeight="1" x14ac:dyDescent="0.25">
      <c r="A22" s="211">
        <v>15</v>
      </c>
      <c r="B22" s="328">
        <v>44761</v>
      </c>
      <c r="C22" s="134" t="s">
        <v>3822</v>
      </c>
      <c r="D22" s="211" t="s">
        <v>4441</v>
      </c>
      <c r="E22" s="136" t="s">
        <v>291</v>
      </c>
      <c r="F22" s="134"/>
      <c r="G22" s="134">
        <v>68</v>
      </c>
      <c r="H22" s="139">
        <f>G22*24850</f>
        <v>1689800</v>
      </c>
      <c r="I22" s="134"/>
      <c r="J22" s="139">
        <v>790000</v>
      </c>
      <c r="K22" s="139"/>
      <c r="L22" s="263"/>
      <c r="M22" s="139"/>
      <c r="N22" s="139"/>
      <c r="O22" s="139">
        <f t="shared" si="2"/>
        <v>2479800</v>
      </c>
      <c r="P22" s="139">
        <v>4390000</v>
      </c>
      <c r="Q22" s="139">
        <f t="shared" si="1"/>
        <v>1910200</v>
      </c>
      <c r="R22" s="143"/>
    </row>
    <row r="23" spans="1:18" ht="27" customHeight="1" x14ac:dyDescent="0.25">
      <c r="A23" s="211">
        <v>16</v>
      </c>
      <c r="B23" s="328">
        <v>44762</v>
      </c>
      <c r="C23" s="134" t="s">
        <v>1832</v>
      </c>
      <c r="D23" s="211" t="s">
        <v>4442</v>
      </c>
      <c r="E23" s="136" t="s">
        <v>177</v>
      </c>
      <c r="F23" s="134"/>
      <c r="G23" s="134">
        <v>88</v>
      </c>
      <c r="H23" s="139">
        <f t="shared" ref="H23:H28" si="4">G23*24850</f>
        <v>2186800</v>
      </c>
      <c r="I23" s="134"/>
      <c r="J23" s="139">
        <v>790000</v>
      </c>
      <c r="K23" s="139"/>
      <c r="L23" s="263"/>
      <c r="M23" s="139"/>
      <c r="N23" s="139"/>
      <c r="O23" s="139">
        <f t="shared" si="2"/>
        <v>2976800</v>
      </c>
      <c r="P23" s="139">
        <v>4500000</v>
      </c>
      <c r="Q23" s="139">
        <f t="shared" si="1"/>
        <v>1523200</v>
      </c>
      <c r="R23" s="143"/>
    </row>
    <row r="24" spans="1:18" ht="27" customHeight="1" x14ac:dyDescent="0.25">
      <c r="A24" s="211">
        <v>17</v>
      </c>
      <c r="B24" s="328">
        <v>44762</v>
      </c>
      <c r="C24" s="134" t="s">
        <v>3825</v>
      </c>
      <c r="D24" s="211" t="s">
        <v>4443</v>
      </c>
      <c r="E24" s="136" t="s">
        <v>4454</v>
      </c>
      <c r="F24" s="134"/>
      <c r="G24" s="134">
        <v>140</v>
      </c>
      <c r="H24" s="139">
        <f t="shared" si="4"/>
        <v>3479000</v>
      </c>
      <c r="I24" s="134"/>
      <c r="J24" s="139">
        <v>790000</v>
      </c>
      <c r="K24" s="139"/>
      <c r="L24" s="263"/>
      <c r="M24" s="139"/>
      <c r="N24" s="139"/>
      <c r="O24" s="139">
        <f t="shared" si="2"/>
        <v>4269000</v>
      </c>
      <c r="P24" s="139">
        <v>5900000</v>
      </c>
      <c r="Q24" s="139">
        <f t="shared" si="1"/>
        <v>1631000</v>
      </c>
      <c r="R24" s="143"/>
    </row>
    <row r="25" spans="1:18" ht="27" customHeight="1" x14ac:dyDescent="0.25">
      <c r="A25" s="211">
        <v>18</v>
      </c>
      <c r="B25" s="328">
        <v>44764</v>
      </c>
      <c r="C25" s="134" t="s">
        <v>4426</v>
      </c>
      <c r="D25" s="211" t="s">
        <v>4444</v>
      </c>
      <c r="E25" s="136" t="s">
        <v>2799</v>
      </c>
      <c r="F25" s="134"/>
      <c r="G25" s="134">
        <v>113</v>
      </c>
      <c r="H25" s="139">
        <f t="shared" si="4"/>
        <v>2808050</v>
      </c>
      <c r="I25" s="134"/>
      <c r="J25" s="139">
        <v>830000</v>
      </c>
      <c r="K25" s="139"/>
      <c r="L25" s="263"/>
      <c r="M25" s="139"/>
      <c r="N25" s="139"/>
      <c r="O25" s="139">
        <f t="shared" si="2"/>
        <v>3638050</v>
      </c>
      <c r="P25" s="139">
        <v>5400000</v>
      </c>
      <c r="Q25" s="139">
        <f t="shared" si="1"/>
        <v>1761950</v>
      </c>
      <c r="R25" s="143"/>
    </row>
    <row r="26" spans="1:18" ht="27" customHeight="1" x14ac:dyDescent="0.25">
      <c r="A26" s="211">
        <v>19</v>
      </c>
      <c r="B26" s="328">
        <v>44764</v>
      </c>
      <c r="C26" s="134" t="s">
        <v>467</v>
      </c>
      <c r="D26" s="211" t="s">
        <v>4445</v>
      </c>
      <c r="E26" s="136" t="s">
        <v>206</v>
      </c>
      <c r="F26" s="134"/>
      <c r="G26" s="134">
        <v>98</v>
      </c>
      <c r="H26" s="139">
        <f t="shared" si="4"/>
        <v>2435300</v>
      </c>
      <c r="I26" s="134"/>
      <c r="J26" s="139">
        <v>790000</v>
      </c>
      <c r="K26" s="139"/>
      <c r="L26" s="263"/>
      <c r="M26" s="139"/>
      <c r="N26" s="139"/>
      <c r="O26" s="139">
        <f>SUM(H26:N26)</f>
        <v>3225300</v>
      </c>
      <c r="P26" s="139">
        <v>4700000</v>
      </c>
      <c r="Q26" s="139">
        <f t="shared" si="1"/>
        <v>1474700</v>
      </c>
      <c r="R26" s="143"/>
    </row>
    <row r="27" spans="1:18" ht="27" customHeight="1" x14ac:dyDescent="0.25">
      <c r="A27" s="211">
        <v>20</v>
      </c>
      <c r="B27" s="328">
        <v>44766</v>
      </c>
      <c r="C27" s="134" t="s">
        <v>4427</v>
      </c>
      <c r="D27" s="211" t="s">
        <v>4446</v>
      </c>
      <c r="E27" s="136" t="s">
        <v>4455</v>
      </c>
      <c r="G27" s="134">
        <v>373</v>
      </c>
      <c r="H27" s="139">
        <f t="shared" si="4"/>
        <v>9269050</v>
      </c>
      <c r="I27" s="134"/>
      <c r="J27" s="139">
        <v>4940000</v>
      </c>
      <c r="K27" s="139"/>
      <c r="L27" s="263"/>
      <c r="M27" s="139"/>
      <c r="N27" s="139"/>
      <c r="O27" s="139">
        <f>SUM(H27:N27)</f>
        <v>14209050</v>
      </c>
      <c r="P27" s="139">
        <v>22250000</v>
      </c>
      <c r="Q27" s="139">
        <f t="shared" si="1"/>
        <v>8040950</v>
      </c>
      <c r="R27" s="143"/>
    </row>
    <row r="28" spans="1:18" ht="27" customHeight="1" x14ac:dyDescent="0.25">
      <c r="A28" s="211">
        <v>21</v>
      </c>
      <c r="B28" s="328">
        <v>44768</v>
      </c>
      <c r="C28" s="134" t="s">
        <v>4428</v>
      </c>
      <c r="D28" s="211" t="s">
        <v>4447</v>
      </c>
      <c r="E28" s="136" t="s">
        <v>4456</v>
      </c>
      <c r="F28" s="134"/>
      <c r="G28" s="134">
        <v>340</v>
      </c>
      <c r="H28" s="139">
        <f t="shared" si="4"/>
        <v>8449000</v>
      </c>
      <c r="I28" s="134"/>
      <c r="J28" s="139">
        <f>3460000+200000</f>
        <v>3660000</v>
      </c>
      <c r="K28" s="139"/>
      <c r="L28" s="263"/>
      <c r="M28" s="139"/>
      <c r="N28" s="139"/>
      <c r="O28" s="139">
        <f t="shared" ref="O28:O38" si="5">SUM(H28:N28)</f>
        <v>12109000</v>
      </c>
      <c r="P28" s="139">
        <v>21250000</v>
      </c>
      <c r="Q28" s="139">
        <f t="shared" si="1"/>
        <v>9141000</v>
      </c>
      <c r="R28" s="143"/>
    </row>
    <row r="29" spans="1:18" ht="20.45" customHeight="1" x14ac:dyDescent="0.25">
      <c r="A29" s="211"/>
      <c r="B29" s="337"/>
      <c r="C29" s="449"/>
      <c r="D29" s="449"/>
      <c r="E29" s="449"/>
      <c r="F29" s="449"/>
      <c r="G29" s="195"/>
      <c r="H29" s="139"/>
      <c r="I29" s="195"/>
      <c r="J29" s="155"/>
      <c r="K29" s="219"/>
      <c r="L29" s="219"/>
      <c r="M29" s="139"/>
      <c r="N29" s="139"/>
      <c r="O29" s="139"/>
      <c r="P29" s="139"/>
      <c r="Q29" s="139"/>
      <c r="R29" s="143"/>
    </row>
    <row r="30" spans="1:18" ht="20.45" customHeight="1" x14ac:dyDescent="0.25">
      <c r="A30" s="211"/>
      <c r="B30" s="337"/>
      <c r="C30" s="459" t="s">
        <v>4514</v>
      </c>
      <c r="D30" s="460"/>
      <c r="E30" s="461"/>
      <c r="F30" s="196"/>
      <c r="G30" s="195"/>
      <c r="H30" s="139"/>
      <c r="I30" s="195"/>
      <c r="J30" s="155"/>
      <c r="K30" s="219">
        <v>7925000</v>
      </c>
      <c r="L30" s="219"/>
      <c r="M30" s="139"/>
      <c r="N30" s="139"/>
      <c r="O30" s="139">
        <f t="shared" si="5"/>
        <v>7925000</v>
      </c>
      <c r="P30" s="139"/>
      <c r="Q30" s="139"/>
      <c r="R30" s="143"/>
    </row>
    <row r="31" spans="1:18" ht="20.45" customHeight="1" x14ac:dyDescent="0.25">
      <c r="A31" s="211"/>
      <c r="B31" s="337"/>
      <c r="C31" s="350" t="s">
        <v>4520</v>
      </c>
      <c r="D31" s="351"/>
      <c r="E31" s="352"/>
      <c r="F31" s="239"/>
      <c r="G31" s="353"/>
      <c r="H31" s="208"/>
      <c r="I31" s="353"/>
      <c r="J31" s="207"/>
      <c r="K31" s="233"/>
      <c r="L31" s="233">
        <v>1600000</v>
      </c>
      <c r="M31" s="139"/>
      <c r="N31" s="139"/>
      <c r="O31" s="139">
        <f t="shared" si="5"/>
        <v>1600000</v>
      </c>
      <c r="P31" s="139"/>
      <c r="Q31" s="139"/>
      <c r="R31" s="143"/>
    </row>
    <row r="32" spans="1:18" ht="24.95" customHeight="1" x14ac:dyDescent="0.25">
      <c r="A32" s="211"/>
      <c r="B32" s="337"/>
      <c r="C32" s="459" t="s">
        <v>4459</v>
      </c>
      <c r="D32" s="460"/>
      <c r="E32" s="461"/>
      <c r="F32" s="196"/>
      <c r="G32" s="195"/>
      <c r="H32" s="155"/>
      <c r="I32" s="195"/>
      <c r="J32" s="155"/>
      <c r="K32" s="219"/>
      <c r="L32" s="219">
        <v>500000</v>
      </c>
      <c r="M32" s="219"/>
      <c r="N32" s="139"/>
      <c r="O32" s="139">
        <f t="shared" si="5"/>
        <v>500000</v>
      </c>
      <c r="P32" s="139"/>
      <c r="Q32" s="139"/>
      <c r="R32" s="143"/>
    </row>
    <row r="33" spans="1:19" ht="24.95" customHeight="1" x14ac:dyDescent="0.25">
      <c r="A33" s="211"/>
      <c r="B33" s="337"/>
      <c r="C33" s="459" t="s">
        <v>4460</v>
      </c>
      <c r="D33" s="460"/>
      <c r="E33" s="461"/>
      <c r="F33" s="196"/>
      <c r="G33" s="195"/>
      <c r="H33" s="155"/>
      <c r="I33" s="195"/>
      <c r="J33" s="155"/>
      <c r="K33" s="219"/>
      <c r="L33" s="219">
        <v>200000</v>
      </c>
      <c r="M33" s="219"/>
      <c r="N33" s="139"/>
      <c r="O33" s="139">
        <f t="shared" si="5"/>
        <v>200000</v>
      </c>
      <c r="P33" s="139"/>
      <c r="Q33" s="139"/>
      <c r="R33" s="143"/>
    </row>
    <row r="34" spans="1:19" ht="24.95" customHeight="1" x14ac:dyDescent="0.25">
      <c r="A34" s="211"/>
      <c r="B34" s="337"/>
      <c r="C34" s="459" t="s">
        <v>4461</v>
      </c>
      <c r="D34" s="460"/>
      <c r="E34" s="461"/>
      <c r="F34" s="196"/>
      <c r="G34" s="195"/>
      <c r="H34" s="155"/>
      <c r="I34" s="195"/>
      <c r="J34" s="155"/>
      <c r="K34" s="219"/>
      <c r="L34" s="219">
        <v>870000</v>
      </c>
      <c r="M34" s="219"/>
      <c r="N34" s="139"/>
      <c r="O34" s="139">
        <f t="shared" si="5"/>
        <v>870000</v>
      </c>
      <c r="P34" s="139"/>
      <c r="Q34" s="139"/>
      <c r="R34" s="143"/>
    </row>
    <row r="35" spans="1:19" ht="48.75" customHeight="1" x14ac:dyDescent="0.25">
      <c r="A35" s="211"/>
      <c r="B35" s="337"/>
      <c r="C35" s="459" t="s">
        <v>4516</v>
      </c>
      <c r="D35" s="460"/>
      <c r="E35" s="461"/>
      <c r="F35" s="196"/>
      <c r="G35" s="195"/>
      <c r="H35" s="155"/>
      <c r="I35" s="195"/>
      <c r="J35" s="155"/>
      <c r="K35" s="219"/>
      <c r="L35" s="219">
        <v>6000000</v>
      </c>
      <c r="M35" s="219"/>
      <c r="N35" s="139"/>
      <c r="O35" s="139">
        <f t="shared" si="5"/>
        <v>6000000</v>
      </c>
      <c r="P35" s="139"/>
      <c r="Q35" s="139"/>
      <c r="R35" s="143"/>
    </row>
    <row r="36" spans="1:19" ht="33.75" customHeight="1" x14ac:dyDescent="0.25">
      <c r="A36" s="211"/>
      <c r="B36" s="337"/>
      <c r="C36" s="459" t="s">
        <v>4517</v>
      </c>
      <c r="D36" s="460"/>
      <c r="E36" s="461"/>
      <c r="F36" s="196"/>
      <c r="G36" s="195"/>
      <c r="H36" s="155"/>
      <c r="I36" s="195"/>
      <c r="J36" s="155"/>
      <c r="K36" s="219"/>
      <c r="L36" s="219">
        <v>700000</v>
      </c>
      <c r="M36" s="219"/>
      <c r="N36" s="139"/>
      <c r="O36" s="139">
        <f t="shared" si="5"/>
        <v>700000</v>
      </c>
      <c r="P36" s="139"/>
      <c r="Q36" s="139"/>
      <c r="R36" s="143"/>
    </row>
    <row r="37" spans="1:19" ht="24.95" customHeight="1" x14ac:dyDescent="0.25">
      <c r="A37" s="211"/>
      <c r="B37" s="337"/>
      <c r="C37" s="459" t="s">
        <v>4290</v>
      </c>
      <c r="D37" s="460"/>
      <c r="E37" s="461"/>
      <c r="F37" s="196"/>
      <c r="G37" s="195"/>
      <c r="H37" s="155"/>
      <c r="I37" s="195"/>
      <c r="J37" s="155"/>
      <c r="K37" s="219">
        <v>8000000</v>
      </c>
      <c r="L37" s="219"/>
      <c r="M37" s="139"/>
      <c r="N37" s="139"/>
      <c r="O37" s="139">
        <f t="shared" si="5"/>
        <v>8000000</v>
      </c>
      <c r="P37" s="139"/>
      <c r="Q37" s="139"/>
      <c r="R37" s="143"/>
    </row>
    <row r="38" spans="1:19" ht="24.95" customHeight="1" x14ac:dyDescent="0.25">
      <c r="A38" s="211"/>
      <c r="B38" s="337"/>
      <c r="C38" s="452" t="s">
        <v>26</v>
      </c>
      <c r="D38" s="453"/>
      <c r="E38" s="454"/>
      <c r="F38" s="196"/>
      <c r="G38" s="195"/>
      <c r="H38" s="155"/>
      <c r="I38" s="195"/>
      <c r="J38" s="155"/>
      <c r="K38" s="219"/>
      <c r="L38" s="219">
        <v>1200000</v>
      </c>
      <c r="M38" s="139"/>
      <c r="N38" s="139"/>
      <c r="O38" s="139">
        <f t="shared" si="5"/>
        <v>1200000</v>
      </c>
      <c r="P38" s="139"/>
      <c r="Q38" s="139"/>
      <c r="R38" s="143"/>
    </row>
    <row r="39" spans="1:19" ht="20.45" customHeight="1" x14ac:dyDescent="0.25">
      <c r="A39" s="450" t="s">
        <v>20</v>
      </c>
      <c r="B39" s="450"/>
      <c r="C39" s="450"/>
      <c r="D39" s="450"/>
      <c r="E39" s="450"/>
      <c r="F39" s="450"/>
      <c r="G39" s="334">
        <f t="shared" ref="G39:P39" si="6">SUM(G8:G38)</f>
        <v>2852</v>
      </c>
      <c r="H39" s="334">
        <f t="shared" si="6"/>
        <v>75526900</v>
      </c>
      <c r="I39" s="334">
        <f t="shared" si="6"/>
        <v>0</v>
      </c>
      <c r="J39" s="334">
        <f t="shared" si="6"/>
        <v>27190000</v>
      </c>
      <c r="K39" s="334">
        <f t="shared" si="6"/>
        <v>15925000</v>
      </c>
      <c r="L39" s="334">
        <f t="shared" si="6"/>
        <v>11070000</v>
      </c>
      <c r="M39" s="334">
        <f t="shared" si="6"/>
        <v>0</v>
      </c>
      <c r="N39" s="334">
        <f t="shared" si="6"/>
        <v>0</v>
      </c>
      <c r="O39" s="334">
        <f t="shared" si="6"/>
        <v>129711900</v>
      </c>
      <c r="P39" s="334">
        <f t="shared" si="6"/>
        <v>168461038</v>
      </c>
      <c r="Q39" s="334">
        <f>P39-O39</f>
        <v>38749138</v>
      </c>
    </row>
    <row r="40" spans="1:19" ht="24.95" customHeight="1" x14ac:dyDescent="0.25">
      <c r="O40" s="158"/>
      <c r="Q40" s="158"/>
    </row>
    <row r="41" spans="1:19" ht="13.9" customHeight="1" x14ac:dyDescent="0.25">
      <c r="P41" s="216" t="s">
        <v>1603</v>
      </c>
      <c r="Q41" s="227">
        <f>'06.2022'!Q42+'07.2022'!Q39</f>
        <v>151671847</v>
      </c>
      <c r="S41" s="216"/>
    </row>
    <row r="42" spans="1:19" ht="13.9" customHeight="1" x14ac:dyDescent="0.25">
      <c r="B42" s="129"/>
      <c r="J42" s="128"/>
      <c r="K42" s="128"/>
      <c r="L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G44" s="143">
        <f>G39-G28-G13-G11</f>
        <v>2148</v>
      </c>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8"/>
      <c r="G49" s="143"/>
      <c r="H49" s="128"/>
      <c r="J49" s="128"/>
      <c r="K49" s="128"/>
      <c r="L49" s="128"/>
      <c r="M49" s="128"/>
      <c r="N49" s="128"/>
      <c r="O49" s="128"/>
      <c r="P49" s="128"/>
      <c r="Q49" s="216"/>
    </row>
    <row r="50" spans="1:17" x14ac:dyDescent="0.25">
      <c r="A50" s="128"/>
      <c r="B50" s="128"/>
      <c r="H50" s="128"/>
      <c r="J50" s="128"/>
      <c r="K50" s="128"/>
      <c r="L50" s="128"/>
      <c r="M50" s="128"/>
      <c r="N50" s="128"/>
      <c r="O50" s="128"/>
      <c r="P50" s="128"/>
      <c r="Q50" s="216"/>
    </row>
    <row r="52" spans="1:17" x14ac:dyDescent="0.25">
      <c r="G52" s="143"/>
    </row>
  </sheetData>
  <mergeCells count="23">
    <mergeCell ref="A1:Q1"/>
    <mergeCell ref="A2:Q2"/>
    <mergeCell ref="B3:Q3"/>
    <mergeCell ref="A5:A6"/>
    <mergeCell ref="B5:B6"/>
    <mergeCell ref="C5:C6"/>
    <mergeCell ref="D5:D6"/>
    <mergeCell ref="E5:E6"/>
    <mergeCell ref="F5:F6"/>
    <mergeCell ref="G5:N5"/>
    <mergeCell ref="O5:O6"/>
    <mergeCell ref="P5:P6"/>
    <mergeCell ref="Q5:Q6"/>
    <mergeCell ref="C29:F29"/>
    <mergeCell ref="C38:E38"/>
    <mergeCell ref="A39:F39"/>
    <mergeCell ref="C32:E32"/>
    <mergeCell ref="C33:E33"/>
    <mergeCell ref="C34:E34"/>
    <mergeCell ref="C35:E35"/>
    <mergeCell ref="C37:E37"/>
    <mergeCell ref="C30:E30"/>
    <mergeCell ref="C36:E36"/>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5B7E-012C-472C-B46E-963D6B2946E5}">
  <dimension ref="A1:S52"/>
  <sheetViews>
    <sheetView topLeftCell="A27" workbookViewId="0">
      <selection activeCell="F40" sqref="F40"/>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4463</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44772</v>
      </c>
      <c r="C8" s="134" t="s">
        <v>4466</v>
      </c>
      <c r="D8" s="211" t="s">
        <v>4477</v>
      </c>
      <c r="E8" s="136" t="s">
        <v>143</v>
      </c>
      <c r="F8" s="134"/>
      <c r="G8" s="134">
        <v>111</v>
      </c>
      <c r="H8" s="139">
        <f>G8*23900</f>
        <v>2652900</v>
      </c>
      <c r="I8" s="134"/>
      <c r="J8" s="139">
        <v>990000</v>
      </c>
      <c r="K8" s="139"/>
      <c r="L8" s="263"/>
      <c r="M8" s="139"/>
      <c r="N8" s="139"/>
      <c r="O8" s="139">
        <f>SUM(H8:N8)</f>
        <v>3642900</v>
      </c>
      <c r="P8" s="139">
        <v>6718519</v>
      </c>
      <c r="Q8" s="139">
        <f>P8-O8</f>
        <v>3075619</v>
      </c>
      <c r="R8" s="143"/>
    </row>
    <row r="9" spans="1:18" ht="20.45" customHeight="1" x14ac:dyDescent="0.25">
      <c r="A9" s="211">
        <v>2</v>
      </c>
      <c r="B9" s="328">
        <v>44777</v>
      </c>
      <c r="C9" s="134" t="s">
        <v>4467</v>
      </c>
      <c r="D9" s="211" t="s">
        <v>4478</v>
      </c>
      <c r="E9" s="136" t="s">
        <v>4500</v>
      </c>
      <c r="F9" s="134"/>
      <c r="G9" s="134">
        <v>98</v>
      </c>
      <c r="H9" s="139">
        <f t="shared" ref="H9:H13" si="0">G9*23900</f>
        <v>2342200</v>
      </c>
      <c r="I9" s="134"/>
      <c r="J9" s="139">
        <v>990000</v>
      </c>
      <c r="K9" s="139"/>
      <c r="L9" s="263"/>
      <c r="M9" s="139"/>
      <c r="N9" s="139"/>
      <c r="O9" s="139">
        <f>SUM(H9:N9)</f>
        <v>3332200</v>
      </c>
      <c r="P9" s="139">
        <v>6000000</v>
      </c>
      <c r="Q9" s="139">
        <f t="shared" ref="Q9:Q30" si="1">P9-O9</f>
        <v>2667800</v>
      </c>
      <c r="R9" s="143"/>
    </row>
    <row r="10" spans="1:18" ht="20.45" customHeight="1" x14ac:dyDescent="0.25">
      <c r="A10" s="211">
        <v>3</v>
      </c>
      <c r="B10" s="328">
        <v>44780</v>
      </c>
      <c r="C10" s="134" t="s">
        <v>2573</v>
      </c>
      <c r="D10" s="211" t="s">
        <v>4479</v>
      </c>
      <c r="E10" s="136" t="s">
        <v>143</v>
      </c>
      <c r="F10" s="134"/>
      <c r="G10" s="134">
        <v>111</v>
      </c>
      <c r="H10" s="139">
        <f t="shared" si="0"/>
        <v>2652900</v>
      </c>
      <c r="I10" s="134"/>
      <c r="J10" s="139">
        <v>790000</v>
      </c>
      <c r="K10" s="139"/>
      <c r="L10" s="263"/>
      <c r="M10" s="139"/>
      <c r="N10" s="139"/>
      <c r="O10" s="139">
        <f t="shared" ref="O10:O25" si="2">SUM(H10:N10)</f>
        <v>3442900</v>
      </c>
      <c r="P10" s="139">
        <v>5600000</v>
      </c>
      <c r="Q10" s="139">
        <f t="shared" si="1"/>
        <v>2157100</v>
      </c>
      <c r="R10" s="143"/>
    </row>
    <row r="11" spans="1:18" ht="20.45" customHeight="1" x14ac:dyDescent="0.25">
      <c r="A11" s="211">
        <v>4</v>
      </c>
      <c r="B11" s="328">
        <v>44780</v>
      </c>
      <c r="C11" s="134" t="s">
        <v>2574</v>
      </c>
      <c r="D11" s="211" t="s">
        <v>4480</v>
      </c>
      <c r="E11" s="136" t="s">
        <v>4501</v>
      </c>
      <c r="F11" s="134"/>
      <c r="G11" s="134">
        <v>91</v>
      </c>
      <c r="H11" s="139">
        <f t="shared" si="0"/>
        <v>2174900</v>
      </c>
      <c r="I11" s="134"/>
      <c r="J11" s="139">
        <v>790000</v>
      </c>
      <c r="K11" s="139"/>
      <c r="L11" s="263"/>
      <c r="M11" s="139"/>
      <c r="N11" s="139"/>
      <c r="O11" s="139">
        <f t="shared" si="2"/>
        <v>2964900</v>
      </c>
      <c r="P11" s="139">
        <v>4790000</v>
      </c>
      <c r="Q11" s="139">
        <f t="shared" si="1"/>
        <v>1825100</v>
      </c>
      <c r="R11" s="143"/>
    </row>
    <row r="12" spans="1:18" ht="20.45" customHeight="1" x14ac:dyDescent="0.25">
      <c r="A12" s="211">
        <v>5</v>
      </c>
      <c r="B12" s="328">
        <v>44781</v>
      </c>
      <c r="C12" s="134" t="s">
        <v>4468</v>
      </c>
      <c r="D12" s="211" t="s">
        <v>4481</v>
      </c>
      <c r="E12" s="136" t="s">
        <v>279</v>
      </c>
      <c r="F12" s="134"/>
      <c r="G12" s="134">
        <v>180</v>
      </c>
      <c r="H12" s="139">
        <f t="shared" si="0"/>
        <v>4302000</v>
      </c>
      <c r="I12" s="134"/>
      <c r="J12" s="139">
        <v>1710000</v>
      </c>
      <c r="K12" s="139"/>
      <c r="L12" s="263"/>
      <c r="M12" s="139"/>
      <c r="N12" s="139"/>
      <c r="O12" s="139">
        <f t="shared" si="2"/>
        <v>6012000</v>
      </c>
      <c r="P12" s="139">
        <v>10648148</v>
      </c>
      <c r="Q12" s="139">
        <f t="shared" si="1"/>
        <v>4636148</v>
      </c>
      <c r="R12" s="143"/>
    </row>
    <row r="13" spans="1:18" ht="20.45" customHeight="1" x14ac:dyDescent="0.25">
      <c r="A13" s="211">
        <v>6</v>
      </c>
      <c r="B13" s="328">
        <v>44782</v>
      </c>
      <c r="C13" s="134" t="s">
        <v>4469</v>
      </c>
      <c r="D13" s="211" t="s">
        <v>4482</v>
      </c>
      <c r="E13" s="136" t="s">
        <v>4142</v>
      </c>
      <c r="F13" s="134"/>
      <c r="G13" s="134">
        <v>102</v>
      </c>
      <c r="H13" s="139">
        <f t="shared" si="0"/>
        <v>2437800</v>
      </c>
      <c r="I13" s="134"/>
      <c r="J13" s="139">
        <v>790000</v>
      </c>
      <c r="K13" s="139"/>
      <c r="L13" s="263"/>
      <c r="M13" s="139"/>
      <c r="N13" s="139"/>
      <c r="O13" s="139">
        <f t="shared" si="2"/>
        <v>3227800</v>
      </c>
      <c r="P13" s="208"/>
      <c r="Q13" s="139">
        <f t="shared" si="1"/>
        <v>-3227800</v>
      </c>
      <c r="R13" s="143" t="s">
        <v>4513</v>
      </c>
    </row>
    <row r="14" spans="1:18" ht="20.45" customHeight="1" x14ac:dyDescent="0.25">
      <c r="A14" s="211">
        <v>7</v>
      </c>
      <c r="B14" s="328">
        <v>44783</v>
      </c>
      <c r="C14" s="134" t="s">
        <v>3859</v>
      </c>
      <c r="D14" s="211" t="s">
        <v>4483</v>
      </c>
      <c r="E14" s="136" t="s">
        <v>3663</v>
      </c>
      <c r="F14" s="134"/>
      <c r="G14" s="134">
        <v>350</v>
      </c>
      <c r="H14" s="139">
        <f>G14*22900</f>
        <v>8015000</v>
      </c>
      <c r="I14" s="134"/>
      <c r="J14" s="139">
        <v>4060000</v>
      </c>
      <c r="K14" s="139"/>
      <c r="L14" s="263"/>
      <c r="M14" s="139"/>
      <c r="N14" s="139"/>
      <c r="O14" s="139">
        <f t="shared" si="2"/>
        <v>12075000</v>
      </c>
      <c r="P14" s="139">
        <v>18981481</v>
      </c>
      <c r="Q14" s="139">
        <f t="shared" si="1"/>
        <v>6906481</v>
      </c>
      <c r="R14" s="143"/>
    </row>
    <row r="15" spans="1:18" ht="20.45" customHeight="1" x14ac:dyDescent="0.25">
      <c r="A15" s="211">
        <v>8</v>
      </c>
      <c r="B15" s="328">
        <v>44783</v>
      </c>
      <c r="C15" s="134" t="s">
        <v>2578</v>
      </c>
      <c r="D15" s="211" t="s">
        <v>4484</v>
      </c>
      <c r="E15" s="136" t="s">
        <v>23</v>
      </c>
      <c r="F15" s="134"/>
      <c r="G15" s="134"/>
      <c r="H15" s="139">
        <f t="shared" ref="H15:H22" si="3">G15*22900</f>
        <v>0</v>
      </c>
      <c r="I15" s="134"/>
      <c r="J15" s="139"/>
      <c r="K15" s="139"/>
      <c r="L15" s="263"/>
      <c r="M15" s="139"/>
      <c r="N15" s="139"/>
      <c r="O15" s="139">
        <f t="shared" si="2"/>
        <v>0</v>
      </c>
      <c r="P15" s="139">
        <v>13703704</v>
      </c>
      <c r="Q15" s="139">
        <f t="shared" si="1"/>
        <v>13703704</v>
      </c>
      <c r="R15" s="143"/>
    </row>
    <row r="16" spans="1:18" ht="20.45" customHeight="1" x14ac:dyDescent="0.25">
      <c r="A16" s="211">
        <v>9</v>
      </c>
      <c r="B16" s="328">
        <v>44785</v>
      </c>
      <c r="C16" s="134" t="s">
        <v>3241</v>
      </c>
      <c r="D16" s="211" t="s">
        <v>4485</v>
      </c>
      <c r="E16" s="136" t="s">
        <v>2985</v>
      </c>
      <c r="F16" s="134"/>
      <c r="G16" s="134">
        <v>58</v>
      </c>
      <c r="H16" s="139">
        <f t="shared" si="3"/>
        <v>1328200</v>
      </c>
      <c r="I16" s="134"/>
      <c r="J16" s="139">
        <v>430000</v>
      </c>
      <c r="K16" s="139"/>
      <c r="L16" s="263"/>
      <c r="M16" s="139"/>
      <c r="N16" s="139"/>
      <c r="O16" s="139">
        <f t="shared" si="2"/>
        <v>1758200</v>
      </c>
      <c r="P16" s="139">
        <v>3260000</v>
      </c>
      <c r="Q16" s="139">
        <f t="shared" si="1"/>
        <v>1501800</v>
      </c>
      <c r="R16" s="143"/>
    </row>
    <row r="17" spans="1:18" ht="20.45" customHeight="1" x14ac:dyDescent="0.25">
      <c r="A17" s="211">
        <v>10</v>
      </c>
      <c r="B17" s="328">
        <v>44787</v>
      </c>
      <c r="C17" s="134" t="s">
        <v>2580</v>
      </c>
      <c r="D17" s="211" t="s">
        <v>4486</v>
      </c>
      <c r="E17" s="136" t="s">
        <v>4502</v>
      </c>
      <c r="F17" s="134"/>
      <c r="G17" s="134">
        <v>62</v>
      </c>
      <c r="H17" s="139">
        <f t="shared" si="3"/>
        <v>1419800</v>
      </c>
      <c r="I17" s="134"/>
      <c r="J17" s="139">
        <v>430000</v>
      </c>
      <c r="K17" s="139"/>
      <c r="L17" s="263"/>
      <c r="M17" s="139"/>
      <c r="N17" s="139"/>
      <c r="O17" s="139">
        <f t="shared" si="2"/>
        <v>1849800</v>
      </c>
      <c r="P17" s="139">
        <v>3520000</v>
      </c>
      <c r="Q17" s="139">
        <f t="shared" si="1"/>
        <v>1670200</v>
      </c>
      <c r="R17" s="143"/>
    </row>
    <row r="18" spans="1:18" ht="20.45" customHeight="1" x14ac:dyDescent="0.25">
      <c r="A18" s="211">
        <v>11</v>
      </c>
      <c r="B18" s="328">
        <v>44789</v>
      </c>
      <c r="C18" s="134" t="s">
        <v>4470</v>
      </c>
      <c r="D18" s="211" t="s">
        <v>4487</v>
      </c>
      <c r="E18" s="136" t="s">
        <v>4503</v>
      </c>
      <c r="F18" s="134"/>
      <c r="G18" s="134">
        <v>70</v>
      </c>
      <c r="H18" s="139">
        <f t="shared" si="3"/>
        <v>1603000</v>
      </c>
      <c r="I18" s="134"/>
      <c r="J18" s="139">
        <v>610000</v>
      </c>
      <c r="K18" s="139"/>
      <c r="L18" s="263"/>
      <c r="M18" s="139"/>
      <c r="N18" s="139"/>
      <c r="O18" s="139">
        <f>SUM(H18:N18)</f>
        <v>2213000</v>
      </c>
      <c r="P18" s="139">
        <v>3900000</v>
      </c>
      <c r="Q18" s="139">
        <f t="shared" si="1"/>
        <v>1687000</v>
      </c>
      <c r="R18" s="143"/>
    </row>
    <row r="19" spans="1:18" ht="20.45" customHeight="1" x14ac:dyDescent="0.25">
      <c r="A19" s="211">
        <v>12</v>
      </c>
      <c r="B19" s="328">
        <v>44789</v>
      </c>
      <c r="C19" s="134" t="s">
        <v>1895</v>
      </c>
      <c r="D19" s="211" t="s">
        <v>4488</v>
      </c>
      <c r="E19" s="136" t="s">
        <v>407</v>
      </c>
      <c r="F19" s="134"/>
      <c r="G19" s="134">
        <v>89</v>
      </c>
      <c r="H19" s="139">
        <f t="shared" si="3"/>
        <v>2038100</v>
      </c>
      <c r="I19" s="134"/>
      <c r="J19" s="139">
        <v>790000</v>
      </c>
      <c r="K19" s="139"/>
      <c r="L19" s="263"/>
      <c r="M19" s="139"/>
      <c r="N19" s="139"/>
      <c r="O19" s="139">
        <f>SUM(H19:N19)</f>
        <v>2828100</v>
      </c>
      <c r="P19" s="139">
        <v>4300000</v>
      </c>
      <c r="Q19" s="139">
        <f t="shared" si="1"/>
        <v>1471900</v>
      </c>
      <c r="R19" s="143"/>
    </row>
    <row r="20" spans="1:18" ht="20.45" customHeight="1" x14ac:dyDescent="0.25">
      <c r="A20" s="211">
        <v>13</v>
      </c>
      <c r="B20" s="328">
        <v>44790</v>
      </c>
      <c r="C20" s="134" t="s">
        <v>4471</v>
      </c>
      <c r="D20" s="211" t="s">
        <v>4489</v>
      </c>
      <c r="E20" s="136" t="s">
        <v>4504</v>
      </c>
      <c r="F20" s="134"/>
      <c r="G20" s="134">
        <v>81</v>
      </c>
      <c r="H20" s="139">
        <f t="shared" si="3"/>
        <v>1854900</v>
      </c>
      <c r="I20" s="134"/>
      <c r="J20" s="139">
        <v>530000</v>
      </c>
      <c r="K20" s="139"/>
      <c r="L20" s="263"/>
      <c r="M20" s="139"/>
      <c r="N20" s="139"/>
      <c r="O20" s="139">
        <f t="shared" si="2"/>
        <v>2384900</v>
      </c>
      <c r="P20" s="139">
        <v>4400000</v>
      </c>
      <c r="Q20" s="139">
        <f t="shared" si="1"/>
        <v>2015100</v>
      </c>
      <c r="R20" s="143"/>
    </row>
    <row r="21" spans="1:18" ht="20.45" customHeight="1" x14ac:dyDescent="0.25">
      <c r="A21" s="211">
        <v>14</v>
      </c>
      <c r="B21" s="328">
        <v>44791</v>
      </c>
      <c r="C21" s="134" t="s">
        <v>546</v>
      </c>
      <c r="D21" s="211" t="s">
        <v>4490</v>
      </c>
      <c r="E21" s="136" t="s">
        <v>25</v>
      </c>
      <c r="F21" s="134"/>
      <c r="G21" s="134">
        <v>193</v>
      </c>
      <c r="H21" s="139">
        <f t="shared" si="3"/>
        <v>4419700</v>
      </c>
      <c r="I21" s="134"/>
      <c r="J21" s="139">
        <v>1530000</v>
      </c>
      <c r="K21" s="139"/>
      <c r="L21" s="263"/>
      <c r="M21" s="139"/>
      <c r="N21" s="139"/>
      <c r="O21" s="139">
        <f t="shared" si="2"/>
        <v>5949700</v>
      </c>
      <c r="P21" s="139">
        <v>9522222</v>
      </c>
      <c r="Q21" s="139">
        <f t="shared" si="1"/>
        <v>3572522</v>
      </c>
      <c r="R21" s="143"/>
    </row>
    <row r="22" spans="1:18" ht="20.45" customHeight="1" x14ac:dyDescent="0.25">
      <c r="A22" s="211">
        <v>15</v>
      </c>
      <c r="B22" s="328">
        <v>44792</v>
      </c>
      <c r="C22" s="134" t="s">
        <v>4472</v>
      </c>
      <c r="D22" s="211" t="s">
        <v>4491</v>
      </c>
      <c r="E22" s="136" t="s">
        <v>4505</v>
      </c>
      <c r="F22" s="134"/>
      <c r="G22" s="134">
        <v>365</v>
      </c>
      <c r="H22" s="139">
        <f t="shared" si="3"/>
        <v>8358500</v>
      </c>
      <c r="I22" s="134"/>
      <c r="J22" s="139">
        <v>3190000</v>
      </c>
      <c r="K22" s="139"/>
      <c r="L22" s="263"/>
      <c r="M22" s="139"/>
      <c r="N22" s="139"/>
      <c r="O22" s="139">
        <f t="shared" si="2"/>
        <v>11548500</v>
      </c>
      <c r="P22" s="139">
        <v>21550000</v>
      </c>
      <c r="Q22" s="139">
        <f t="shared" si="1"/>
        <v>10001500</v>
      </c>
      <c r="R22" s="143"/>
    </row>
    <row r="23" spans="1:18" ht="25.5" customHeight="1" x14ac:dyDescent="0.25">
      <c r="A23" s="211">
        <v>16</v>
      </c>
      <c r="B23" s="328">
        <v>44795</v>
      </c>
      <c r="C23" s="134" t="s">
        <v>4473</v>
      </c>
      <c r="D23" s="211" t="s">
        <v>4492</v>
      </c>
      <c r="E23" s="136" t="s">
        <v>4502</v>
      </c>
      <c r="F23" s="134"/>
      <c r="G23" s="134">
        <v>62</v>
      </c>
      <c r="H23" s="139">
        <f>G23*23750</f>
        <v>1472500</v>
      </c>
      <c r="I23" s="134"/>
      <c r="J23" s="139">
        <v>430000</v>
      </c>
      <c r="K23" s="139"/>
      <c r="L23" s="263"/>
      <c r="M23" s="139"/>
      <c r="N23" s="139"/>
      <c r="O23" s="139">
        <f t="shared" si="2"/>
        <v>1902500</v>
      </c>
      <c r="P23" s="139">
        <v>3520000</v>
      </c>
      <c r="Q23" s="139">
        <f t="shared" si="1"/>
        <v>1617500</v>
      </c>
      <c r="R23" s="143"/>
    </row>
    <row r="24" spans="1:18" ht="25.5" customHeight="1" x14ac:dyDescent="0.25">
      <c r="A24" s="211">
        <v>17</v>
      </c>
      <c r="B24" s="328">
        <v>44797</v>
      </c>
      <c r="C24" s="134" t="s">
        <v>4474</v>
      </c>
      <c r="D24" s="211" t="s">
        <v>4493</v>
      </c>
      <c r="E24" s="136" t="s">
        <v>4506</v>
      </c>
      <c r="F24" s="134"/>
      <c r="G24" s="134">
        <v>154</v>
      </c>
      <c r="H24" s="139">
        <f t="shared" ref="H24:H30" si="4">G24*23750</f>
        <v>3657500</v>
      </c>
      <c r="I24" s="134"/>
      <c r="J24" s="139">
        <f>880000+500000</f>
        <v>1380000</v>
      </c>
      <c r="K24" s="139"/>
      <c r="L24" s="263"/>
      <c r="M24" s="139"/>
      <c r="N24" s="139"/>
      <c r="O24" s="139">
        <f t="shared" si="2"/>
        <v>5037500</v>
      </c>
      <c r="P24" s="139">
        <v>9000000</v>
      </c>
      <c r="Q24" s="139">
        <f t="shared" si="1"/>
        <v>3962500</v>
      </c>
      <c r="R24" s="143"/>
    </row>
    <row r="25" spans="1:18" ht="30" customHeight="1" x14ac:dyDescent="0.25">
      <c r="A25" s="211">
        <v>18</v>
      </c>
      <c r="B25" s="328">
        <v>44798</v>
      </c>
      <c r="C25" s="134" t="s">
        <v>1252</v>
      </c>
      <c r="D25" s="211" t="s">
        <v>4494</v>
      </c>
      <c r="E25" s="136" t="s">
        <v>23</v>
      </c>
      <c r="F25" s="134"/>
      <c r="G25" s="134">
        <v>243</v>
      </c>
      <c r="H25" s="139">
        <f t="shared" si="4"/>
        <v>5771250</v>
      </c>
      <c r="I25" s="134"/>
      <c r="J25" s="139">
        <v>2380000</v>
      </c>
      <c r="K25" s="139"/>
      <c r="L25" s="263"/>
      <c r="M25" s="139"/>
      <c r="N25" s="139"/>
      <c r="O25" s="139">
        <f t="shared" si="2"/>
        <v>8151250</v>
      </c>
      <c r="P25" s="139">
        <v>14629630</v>
      </c>
      <c r="Q25" s="139">
        <f t="shared" si="1"/>
        <v>6478380</v>
      </c>
      <c r="R25" s="143"/>
    </row>
    <row r="26" spans="1:18" ht="20.45" customHeight="1" x14ac:dyDescent="0.25">
      <c r="A26" s="211">
        <v>19</v>
      </c>
      <c r="B26" s="328">
        <v>44798</v>
      </c>
      <c r="C26" s="134" t="s">
        <v>4475</v>
      </c>
      <c r="D26" s="211" t="s">
        <v>4495</v>
      </c>
      <c r="E26" s="136" t="s">
        <v>4507</v>
      </c>
      <c r="F26" s="134"/>
      <c r="G26" s="134">
        <v>153</v>
      </c>
      <c r="H26" s="139">
        <f t="shared" si="4"/>
        <v>3633750</v>
      </c>
      <c r="I26" s="134"/>
      <c r="J26" s="139">
        <v>880000</v>
      </c>
      <c r="K26" s="139"/>
      <c r="L26" s="263"/>
      <c r="M26" s="139"/>
      <c r="N26" s="139"/>
      <c r="O26" s="139">
        <f>SUM(H26:N26)</f>
        <v>4513750</v>
      </c>
      <c r="P26" s="139">
        <v>7500000</v>
      </c>
      <c r="Q26" s="139">
        <f t="shared" si="1"/>
        <v>2986250</v>
      </c>
      <c r="R26" s="143"/>
    </row>
    <row r="27" spans="1:18" ht="20.45" customHeight="1" x14ac:dyDescent="0.25">
      <c r="A27" s="211">
        <v>20</v>
      </c>
      <c r="B27" s="328">
        <v>44799</v>
      </c>
      <c r="C27" s="134" t="s">
        <v>2588</v>
      </c>
      <c r="D27" s="211" t="s">
        <v>4496</v>
      </c>
      <c r="E27" s="136" t="s">
        <v>4508</v>
      </c>
      <c r="F27" s="134"/>
      <c r="G27" s="134">
        <v>150</v>
      </c>
      <c r="H27" s="139">
        <f t="shared" si="4"/>
        <v>3562500</v>
      </c>
      <c r="I27" s="134"/>
      <c r="J27" s="139">
        <v>1140000</v>
      </c>
      <c r="K27" s="139"/>
      <c r="L27" s="263"/>
      <c r="M27" s="139"/>
      <c r="N27" s="139"/>
      <c r="O27" s="139">
        <f>SUM(H27:N27)</f>
        <v>4702500</v>
      </c>
      <c r="P27" s="139">
        <v>7000000</v>
      </c>
      <c r="Q27" s="139">
        <f t="shared" si="1"/>
        <v>2297500</v>
      </c>
      <c r="R27" s="143"/>
    </row>
    <row r="28" spans="1:18" ht="20.45" customHeight="1" x14ac:dyDescent="0.25">
      <c r="A28" s="211">
        <v>21</v>
      </c>
      <c r="B28" s="328">
        <v>44799</v>
      </c>
      <c r="C28" s="134" t="s">
        <v>1256</v>
      </c>
      <c r="D28" s="211" t="s">
        <v>4497</v>
      </c>
      <c r="E28" s="136" t="s">
        <v>1170</v>
      </c>
      <c r="F28" s="134"/>
      <c r="G28" s="134">
        <v>253</v>
      </c>
      <c r="H28" s="139">
        <f t="shared" si="4"/>
        <v>6008750</v>
      </c>
      <c r="I28" s="134"/>
      <c r="J28" s="139">
        <v>2380000</v>
      </c>
      <c r="K28" s="139"/>
      <c r="L28" s="263"/>
      <c r="M28" s="139"/>
      <c r="N28" s="139"/>
      <c r="O28" s="139">
        <f t="shared" ref="O28:O38" si="5">SUM(H28:N28)</f>
        <v>8388750</v>
      </c>
      <c r="P28" s="139">
        <v>14814815</v>
      </c>
      <c r="Q28" s="139">
        <f t="shared" si="1"/>
        <v>6426065</v>
      </c>
      <c r="R28" s="143"/>
    </row>
    <row r="29" spans="1:18" ht="20.45" customHeight="1" x14ac:dyDescent="0.25">
      <c r="A29" s="211">
        <v>22</v>
      </c>
      <c r="B29" s="328">
        <v>44803</v>
      </c>
      <c r="C29" s="134" t="s">
        <v>4476</v>
      </c>
      <c r="D29" s="211" t="s">
        <v>4498</v>
      </c>
      <c r="E29" s="136" t="s">
        <v>143</v>
      </c>
      <c r="F29" s="134"/>
      <c r="G29" s="134">
        <v>111</v>
      </c>
      <c r="H29" s="139">
        <f t="shared" si="4"/>
        <v>2636250</v>
      </c>
      <c r="I29" s="134"/>
      <c r="J29" s="139">
        <v>790000</v>
      </c>
      <c r="K29" s="139"/>
      <c r="L29" s="263"/>
      <c r="M29" s="139"/>
      <c r="N29" s="139"/>
      <c r="O29" s="139">
        <f t="shared" si="5"/>
        <v>3426250</v>
      </c>
      <c r="P29" s="139">
        <v>5600000</v>
      </c>
      <c r="Q29" s="139">
        <f t="shared" si="1"/>
        <v>2173750</v>
      </c>
      <c r="R29" s="143"/>
    </row>
    <row r="30" spans="1:18" ht="20.45" customHeight="1" x14ac:dyDescent="0.25">
      <c r="A30" s="211">
        <v>23</v>
      </c>
      <c r="B30" s="328">
        <v>44803</v>
      </c>
      <c r="C30" s="134" t="s">
        <v>3868</v>
      </c>
      <c r="D30" s="211" t="s">
        <v>4499</v>
      </c>
      <c r="E30" s="136" t="s">
        <v>4509</v>
      </c>
      <c r="F30" s="134"/>
      <c r="G30" s="134">
        <v>373</v>
      </c>
      <c r="H30" s="139">
        <f t="shared" si="4"/>
        <v>8858750</v>
      </c>
      <c r="I30" s="134"/>
      <c r="J30" s="139">
        <v>3190000</v>
      </c>
      <c r="K30" s="139"/>
      <c r="L30" s="263"/>
      <c r="M30" s="139"/>
      <c r="N30" s="139"/>
      <c r="O30" s="139">
        <f t="shared" si="5"/>
        <v>12048750</v>
      </c>
      <c r="P30" s="139">
        <v>21950000</v>
      </c>
      <c r="Q30" s="139">
        <f t="shared" si="1"/>
        <v>9901250</v>
      </c>
      <c r="R30" s="143"/>
    </row>
    <row r="31" spans="1:18" ht="20.45" customHeight="1" x14ac:dyDescent="0.25">
      <c r="A31" s="211"/>
      <c r="B31" s="337"/>
      <c r="C31" s="356"/>
      <c r="D31" s="357"/>
      <c r="E31" s="358"/>
      <c r="F31" s="196"/>
      <c r="G31" s="195"/>
      <c r="H31" s="139"/>
      <c r="I31" s="195"/>
      <c r="J31" s="155"/>
      <c r="K31" s="219"/>
      <c r="L31" s="219"/>
      <c r="M31" s="139"/>
      <c r="N31" s="139"/>
      <c r="O31" s="139"/>
      <c r="P31" s="139"/>
      <c r="Q31" s="139"/>
      <c r="R31" s="143"/>
    </row>
    <row r="32" spans="1:18" ht="24.95" customHeight="1" x14ac:dyDescent="0.25">
      <c r="A32" s="211"/>
      <c r="B32" s="337"/>
      <c r="C32" s="440" t="s">
        <v>4510</v>
      </c>
      <c r="D32" s="441"/>
      <c r="E32" s="442"/>
      <c r="F32" s="196"/>
      <c r="G32" s="195"/>
      <c r="H32" s="155"/>
      <c r="I32" s="195"/>
      <c r="J32" s="155"/>
      <c r="K32" s="219"/>
      <c r="L32" s="219">
        <v>200000</v>
      </c>
      <c r="M32" s="219"/>
      <c r="N32" s="139"/>
      <c r="O32" s="139">
        <f t="shared" si="5"/>
        <v>200000</v>
      </c>
      <c r="P32" s="139"/>
      <c r="Q32" s="139"/>
      <c r="R32" s="143"/>
    </row>
    <row r="33" spans="1:19" ht="24.95" customHeight="1" x14ac:dyDescent="0.25">
      <c r="A33" s="211"/>
      <c r="B33" s="337"/>
      <c r="C33" s="452" t="s">
        <v>4511</v>
      </c>
      <c r="D33" s="453"/>
      <c r="E33" s="454"/>
      <c r="F33" s="196"/>
      <c r="G33" s="195"/>
      <c r="H33" s="155"/>
      <c r="I33" s="195"/>
      <c r="J33" s="155"/>
      <c r="K33" s="219"/>
      <c r="L33" s="219">
        <v>95000</v>
      </c>
      <c r="M33" s="219"/>
      <c r="N33" s="139"/>
      <c r="O33" s="139">
        <f t="shared" si="5"/>
        <v>95000</v>
      </c>
      <c r="P33" s="139"/>
      <c r="Q33" s="139"/>
      <c r="R33" s="143"/>
    </row>
    <row r="34" spans="1:19" ht="24.95" customHeight="1" x14ac:dyDescent="0.25">
      <c r="A34" s="211"/>
      <c r="B34" s="337"/>
      <c r="C34" s="452" t="s">
        <v>4512</v>
      </c>
      <c r="D34" s="453"/>
      <c r="E34" s="454"/>
      <c r="F34" s="196"/>
      <c r="G34" s="195"/>
      <c r="H34" s="155"/>
      <c r="I34" s="195"/>
      <c r="J34" s="155"/>
      <c r="K34" s="219"/>
      <c r="L34" s="219">
        <v>70000</v>
      </c>
      <c r="M34" s="219"/>
      <c r="N34" s="139"/>
      <c r="O34" s="139">
        <f t="shared" si="5"/>
        <v>70000</v>
      </c>
      <c r="P34" s="139"/>
      <c r="Q34" s="139"/>
      <c r="R34" s="143"/>
    </row>
    <row r="35" spans="1:19" ht="24.95" customHeight="1" x14ac:dyDescent="0.25">
      <c r="A35" s="211"/>
      <c r="B35" s="337"/>
      <c r="C35" s="452" t="s">
        <v>4518</v>
      </c>
      <c r="D35" s="453"/>
      <c r="E35" s="454"/>
      <c r="F35" s="196"/>
      <c r="G35" s="195"/>
      <c r="H35" s="155"/>
      <c r="I35" s="195"/>
      <c r="J35" s="155"/>
      <c r="K35" s="219"/>
      <c r="L35" s="219">
        <v>700000</v>
      </c>
      <c r="M35" s="219"/>
      <c r="N35" s="139"/>
      <c r="O35" s="139">
        <f t="shared" si="5"/>
        <v>700000</v>
      </c>
      <c r="P35" s="139"/>
      <c r="Q35" s="139"/>
      <c r="R35" s="143"/>
    </row>
    <row r="36" spans="1:19" ht="36.75" customHeight="1" x14ac:dyDescent="0.25">
      <c r="A36" s="211"/>
      <c r="B36" s="337"/>
      <c r="C36" s="452" t="s">
        <v>4514</v>
      </c>
      <c r="D36" s="453"/>
      <c r="E36" s="454"/>
      <c r="F36" s="196"/>
      <c r="G36" s="195"/>
      <c r="H36" s="155"/>
      <c r="I36" s="195"/>
      <c r="J36" s="155"/>
      <c r="K36" s="219">
        <v>11304000</v>
      </c>
      <c r="L36" s="219"/>
      <c r="M36" s="219"/>
      <c r="N36" s="139"/>
      <c r="O36" s="139">
        <f t="shared" si="5"/>
        <v>11304000</v>
      </c>
      <c r="P36" s="139"/>
      <c r="Q36" s="139"/>
      <c r="R36" s="143"/>
    </row>
    <row r="37" spans="1:19" ht="24.95" customHeight="1" x14ac:dyDescent="0.25">
      <c r="A37" s="211"/>
      <c r="B37" s="337"/>
      <c r="C37" s="452" t="s">
        <v>4290</v>
      </c>
      <c r="D37" s="453"/>
      <c r="E37" s="454"/>
      <c r="F37" s="196"/>
      <c r="G37" s="195"/>
      <c r="H37" s="155"/>
      <c r="I37" s="195"/>
      <c r="J37" s="155"/>
      <c r="K37" s="219">
        <v>8000000</v>
      </c>
      <c r="L37" s="219"/>
      <c r="M37" s="139"/>
      <c r="N37" s="139"/>
      <c r="O37" s="139">
        <f t="shared" si="5"/>
        <v>8000000</v>
      </c>
      <c r="P37" s="139"/>
      <c r="Q37" s="139"/>
      <c r="R37" s="143"/>
    </row>
    <row r="38" spans="1:19" ht="24.95" customHeight="1" x14ac:dyDescent="0.25">
      <c r="A38" s="211"/>
      <c r="B38" s="337"/>
      <c r="C38" s="452" t="s">
        <v>26</v>
      </c>
      <c r="D38" s="453"/>
      <c r="E38" s="454"/>
      <c r="F38" s="196"/>
      <c r="G38" s="195"/>
      <c r="H38" s="155"/>
      <c r="I38" s="195"/>
      <c r="J38" s="155"/>
      <c r="K38" s="219"/>
      <c r="L38" s="219">
        <v>1200000</v>
      </c>
      <c r="M38" s="139"/>
      <c r="N38" s="139"/>
      <c r="O38" s="139">
        <f t="shared" si="5"/>
        <v>1200000</v>
      </c>
      <c r="P38" s="139"/>
      <c r="Q38" s="139"/>
      <c r="R38" s="143"/>
    </row>
    <row r="39" spans="1:19" ht="20.45" customHeight="1" x14ac:dyDescent="0.25">
      <c r="A39" s="450" t="s">
        <v>20</v>
      </c>
      <c r="B39" s="450"/>
      <c r="C39" s="450"/>
      <c r="D39" s="450"/>
      <c r="E39" s="450"/>
      <c r="F39" s="450"/>
      <c r="G39" s="334">
        <f t="shared" ref="G39:O39" si="6">SUM(G8:G38)</f>
        <v>3460</v>
      </c>
      <c r="H39" s="334">
        <f>SUM(H8:H38)</f>
        <v>81201150</v>
      </c>
      <c r="I39" s="334">
        <f t="shared" si="6"/>
        <v>0</v>
      </c>
      <c r="J39" s="334">
        <f t="shared" si="6"/>
        <v>30200000</v>
      </c>
      <c r="K39" s="334">
        <f t="shared" si="6"/>
        <v>19304000</v>
      </c>
      <c r="L39" s="334">
        <f t="shared" si="6"/>
        <v>2265000</v>
      </c>
      <c r="M39" s="334">
        <f t="shared" si="6"/>
        <v>0</v>
      </c>
      <c r="N39" s="334">
        <f t="shared" si="6"/>
        <v>0</v>
      </c>
      <c r="O39" s="334">
        <f t="shared" si="6"/>
        <v>132970150</v>
      </c>
      <c r="P39" s="334">
        <f>SUM(P8:P38)</f>
        <v>200908519</v>
      </c>
      <c r="Q39" s="334">
        <f>P39-O39</f>
        <v>67938369</v>
      </c>
    </row>
    <row r="40" spans="1:19" ht="24.95" customHeight="1" x14ac:dyDescent="0.25">
      <c r="O40" s="158"/>
      <c r="Q40" s="158"/>
    </row>
    <row r="41" spans="1:19" ht="13.9" customHeight="1" x14ac:dyDescent="0.25">
      <c r="P41" s="216" t="s">
        <v>1603</v>
      </c>
      <c r="Q41" s="227">
        <f>'07.2022'!Q41+'08.2022'!Q39</f>
        <v>219610216</v>
      </c>
      <c r="S41" s="216"/>
    </row>
    <row r="42" spans="1:19" ht="13.9" customHeight="1" x14ac:dyDescent="0.25">
      <c r="B42" s="129"/>
      <c r="J42" s="128"/>
      <c r="K42" s="128"/>
      <c r="L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G44" s="143"/>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8"/>
      <c r="G49" s="143"/>
      <c r="H49" s="128"/>
      <c r="J49" s="128"/>
      <c r="K49" s="128"/>
      <c r="L49" s="128"/>
      <c r="M49" s="128"/>
      <c r="N49" s="128"/>
      <c r="O49" s="128"/>
      <c r="P49" s="128"/>
      <c r="Q49" s="216"/>
    </row>
    <row r="50" spans="1:17" x14ac:dyDescent="0.25">
      <c r="A50" s="128"/>
      <c r="B50" s="128"/>
      <c r="H50" s="128"/>
      <c r="J50" s="128"/>
      <c r="K50" s="128"/>
      <c r="L50" s="128"/>
      <c r="M50" s="128"/>
      <c r="N50" s="128"/>
      <c r="O50" s="128"/>
      <c r="P50" s="128"/>
      <c r="Q50" s="216"/>
    </row>
    <row r="52" spans="1:17" x14ac:dyDescent="0.25">
      <c r="G52" s="143"/>
    </row>
  </sheetData>
  <mergeCells count="21">
    <mergeCell ref="A1:Q1"/>
    <mergeCell ref="A2:Q2"/>
    <mergeCell ref="B3:Q3"/>
    <mergeCell ref="A5:A6"/>
    <mergeCell ref="B5:B6"/>
    <mergeCell ref="C5:C6"/>
    <mergeCell ref="D5:D6"/>
    <mergeCell ref="E5:E6"/>
    <mergeCell ref="F5:F6"/>
    <mergeCell ref="G5:N5"/>
    <mergeCell ref="A39:F39"/>
    <mergeCell ref="O5:O6"/>
    <mergeCell ref="P5:P6"/>
    <mergeCell ref="Q5:Q6"/>
    <mergeCell ref="C32:E32"/>
    <mergeCell ref="C33:E33"/>
    <mergeCell ref="C34:E34"/>
    <mergeCell ref="C35:E35"/>
    <mergeCell ref="C36:E36"/>
    <mergeCell ref="C37:E37"/>
    <mergeCell ref="C38:E38"/>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DE34-57EC-4454-8751-194A6B164C28}">
  <dimension ref="A1:S51"/>
  <sheetViews>
    <sheetView topLeftCell="A23" workbookViewId="0">
      <selection activeCell="C36" sqref="C36:N3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4521</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2.5" customHeight="1" x14ac:dyDescent="0.25">
      <c r="A8" s="211">
        <v>1</v>
      </c>
      <c r="B8" s="328">
        <v>44807</v>
      </c>
      <c r="C8" s="134" t="s">
        <v>4522</v>
      </c>
      <c r="D8" s="211" t="s">
        <v>4527</v>
      </c>
      <c r="E8" s="136" t="s">
        <v>4543</v>
      </c>
      <c r="F8" s="134"/>
      <c r="G8" s="134">
        <v>390</v>
      </c>
      <c r="H8" s="139">
        <f>G8*25180</f>
        <v>9820200</v>
      </c>
      <c r="I8" s="134"/>
      <c r="J8" s="139">
        <f>3020000+1600000</f>
        <v>4620000</v>
      </c>
      <c r="K8" s="139"/>
      <c r="L8" s="263"/>
      <c r="M8" s="139"/>
      <c r="N8" s="139"/>
      <c r="O8" s="139">
        <f>SUM(H8:N8)</f>
        <v>14440200</v>
      </c>
      <c r="P8" s="139">
        <v>26374074</v>
      </c>
      <c r="Q8" s="139">
        <f>P8-O8</f>
        <v>11933874</v>
      </c>
      <c r="R8" s="143"/>
    </row>
    <row r="9" spans="1:18" ht="20.45" customHeight="1" x14ac:dyDescent="0.25">
      <c r="A9" s="211">
        <v>2</v>
      </c>
      <c r="B9" s="328">
        <v>44811</v>
      </c>
      <c r="C9" s="134" t="s">
        <v>1298</v>
      </c>
      <c r="D9" s="211" t="s">
        <v>4528</v>
      </c>
      <c r="E9" s="136" t="s">
        <v>894</v>
      </c>
      <c r="F9" s="134"/>
      <c r="G9" s="134">
        <v>79</v>
      </c>
      <c r="H9" s="139">
        <f>G9*25180</f>
        <v>1989220</v>
      </c>
      <c r="I9" s="134"/>
      <c r="J9" s="139">
        <v>430000</v>
      </c>
      <c r="K9" s="139"/>
      <c r="L9" s="263"/>
      <c r="M9" s="139"/>
      <c r="N9" s="139"/>
      <c r="O9" s="139">
        <f>SUM(H9:N9)</f>
        <v>2419220</v>
      </c>
      <c r="P9" s="139">
        <v>4050000</v>
      </c>
      <c r="Q9" s="139">
        <f t="shared" ref="Q9:Q24" si="0">P9-O9</f>
        <v>1630780</v>
      </c>
      <c r="R9" s="143"/>
    </row>
    <row r="10" spans="1:18" ht="20.45" customHeight="1" x14ac:dyDescent="0.25">
      <c r="A10" s="211">
        <v>3</v>
      </c>
      <c r="B10" s="328">
        <v>44813</v>
      </c>
      <c r="C10" s="134" t="s">
        <v>3295</v>
      </c>
      <c r="D10" s="211" t="s">
        <v>4529</v>
      </c>
      <c r="E10" s="136" t="s">
        <v>4509</v>
      </c>
      <c r="F10" s="134"/>
      <c r="G10" s="134">
        <v>373</v>
      </c>
      <c r="H10" s="139">
        <f>G10*24180</f>
        <v>9019140</v>
      </c>
      <c r="I10" s="134"/>
      <c r="J10" s="139">
        <v>3020000</v>
      </c>
      <c r="K10" s="139"/>
      <c r="L10" s="263"/>
      <c r="M10" s="139"/>
      <c r="N10" s="139"/>
      <c r="O10" s="139">
        <f t="shared" ref="O10:O24" si="1">SUM(H10:N10)</f>
        <v>12039140</v>
      </c>
      <c r="P10" s="139">
        <v>22500000</v>
      </c>
      <c r="Q10" s="139">
        <f t="shared" si="0"/>
        <v>10460860</v>
      </c>
      <c r="R10" s="143"/>
    </row>
    <row r="11" spans="1:18" ht="20.45" customHeight="1" x14ac:dyDescent="0.25">
      <c r="A11" s="211">
        <v>4</v>
      </c>
      <c r="B11" s="328">
        <v>44816</v>
      </c>
      <c r="C11" s="134" t="s">
        <v>3925</v>
      </c>
      <c r="D11" s="211" t="s">
        <v>3477</v>
      </c>
      <c r="E11" s="136" t="s">
        <v>2985</v>
      </c>
      <c r="F11" s="134"/>
      <c r="G11" s="134">
        <v>58</v>
      </c>
      <c r="H11" s="139">
        <f t="shared" ref="H11:H16" si="2">G11*24180</f>
        <v>1402440</v>
      </c>
      <c r="I11" s="134"/>
      <c r="J11" s="139">
        <v>430000</v>
      </c>
      <c r="K11" s="139"/>
      <c r="L11" s="263"/>
      <c r="M11" s="139"/>
      <c r="N11" s="139"/>
      <c r="O11" s="139">
        <f t="shared" si="1"/>
        <v>1832440</v>
      </c>
      <c r="P11" s="139">
        <v>3260000</v>
      </c>
      <c r="Q11" s="139">
        <f t="shared" si="0"/>
        <v>1427560</v>
      </c>
      <c r="R11" s="143"/>
    </row>
    <row r="12" spans="1:18" ht="20.45" customHeight="1" x14ac:dyDescent="0.25">
      <c r="A12" s="211">
        <v>5</v>
      </c>
      <c r="B12" s="328">
        <v>44817</v>
      </c>
      <c r="C12" s="134" t="s">
        <v>1962</v>
      </c>
      <c r="D12" s="211" t="s">
        <v>4530</v>
      </c>
      <c r="E12" s="136" t="s">
        <v>23</v>
      </c>
      <c r="F12" s="134"/>
      <c r="G12" s="134">
        <v>240</v>
      </c>
      <c r="H12" s="139">
        <f t="shared" si="2"/>
        <v>5803200</v>
      </c>
      <c r="I12" s="134"/>
      <c r="J12" s="139">
        <v>2380000</v>
      </c>
      <c r="K12" s="139"/>
      <c r="L12" s="263"/>
      <c r="M12" s="139"/>
      <c r="N12" s="139"/>
      <c r="O12" s="139">
        <f t="shared" si="1"/>
        <v>8183200</v>
      </c>
      <c r="P12" s="139">
        <v>14722222</v>
      </c>
      <c r="Q12" s="139">
        <f t="shared" si="0"/>
        <v>6539022</v>
      </c>
      <c r="R12" s="143"/>
    </row>
    <row r="13" spans="1:18" ht="20.45" customHeight="1" x14ac:dyDescent="0.25">
      <c r="A13" s="211">
        <v>6</v>
      </c>
      <c r="B13" s="328">
        <v>44818</v>
      </c>
      <c r="C13" s="134" t="s">
        <v>4523</v>
      </c>
      <c r="D13" s="211" t="s">
        <v>4531</v>
      </c>
      <c r="E13" s="136" t="s">
        <v>4544</v>
      </c>
      <c r="F13" s="134"/>
      <c r="G13" s="134">
        <v>269</v>
      </c>
      <c r="H13" s="139">
        <f t="shared" si="2"/>
        <v>6504420</v>
      </c>
      <c r="I13" s="134"/>
      <c r="J13" s="139">
        <v>2170000</v>
      </c>
      <c r="K13" s="139"/>
      <c r="L13" s="263"/>
      <c r="M13" s="139"/>
      <c r="N13" s="139"/>
      <c r="O13" s="139">
        <f t="shared" si="1"/>
        <v>8674420</v>
      </c>
      <c r="P13" s="139">
        <v>15370370</v>
      </c>
      <c r="Q13" s="139">
        <f t="shared" si="0"/>
        <v>6695950</v>
      </c>
      <c r="R13" s="143"/>
    </row>
    <row r="14" spans="1:18" ht="20.45" customHeight="1" x14ac:dyDescent="0.25">
      <c r="A14" s="211">
        <v>7</v>
      </c>
      <c r="B14" s="328">
        <v>44820</v>
      </c>
      <c r="C14" s="134" t="s">
        <v>4524</v>
      </c>
      <c r="D14" s="211" t="s">
        <v>4532</v>
      </c>
      <c r="E14" s="136" t="s">
        <v>2850</v>
      </c>
      <c r="F14" s="134"/>
      <c r="G14" s="134">
        <v>87</v>
      </c>
      <c r="H14" s="139">
        <f t="shared" si="2"/>
        <v>2103660</v>
      </c>
      <c r="I14" s="134"/>
      <c r="J14" s="139">
        <v>790000</v>
      </c>
      <c r="K14" s="139"/>
      <c r="L14" s="263"/>
      <c r="M14" s="139"/>
      <c r="N14" s="139"/>
      <c r="O14" s="139">
        <f t="shared" si="1"/>
        <v>2893660</v>
      </c>
      <c r="P14" s="139">
        <v>4350000</v>
      </c>
      <c r="Q14" s="139">
        <f t="shared" si="0"/>
        <v>1456340</v>
      </c>
      <c r="R14" s="143"/>
    </row>
    <row r="15" spans="1:18" ht="20.45" customHeight="1" x14ac:dyDescent="0.25">
      <c r="A15" s="211">
        <v>8</v>
      </c>
      <c r="B15" s="328">
        <v>44821</v>
      </c>
      <c r="C15" s="134" t="s">
        <v>4525</v>
      </c>
      <c r="D15" s="211" t="s">
        <v>4533</v>
      </c>
      <c r="E15" s="136" t="s">
        <v>2798</v>
      </c>
      <c r="F15" s="134"/>
      <c r="G15" s="134">
        <v>120</v>
      </c>
      <c r="H15" s="139">
        <f t="shared" si="2"/>
        <v>2901600</v>
      </c>
      <c r="I15" s="134"/>
      <c r="J15" s="139">
        <v>790000</v>
      </c>
      <c r="K15" s="139"/>
      <c r="L15" s="263"/>
      <c r="M15" s="139"/>
      <c r="N15" s="139"/>
      <c r="O15" s="139">
        <f t="shared" si="1"/>
        <v>3691600</v>
      </c>
      <c r="P15" s="139">
        <v>5694444</v>
      </c>
      <c r="Q15" s="139">
        <f t="shared" si="0"/>
        <v>2002844</v>
      </c>
      <c r="R15" s="143"/>
    </row>
    <row r="16" spans="1:18" ht="20.45" customHeight="1" x14ac:dyDescent="0.25">
      <c r="A16" s="211">
        <v>9</v>
      </c>
      <c r="B16" s="328">
        <v>44823</v>
      </c>
      <c r="C16" s="134" t="s">
        <v>3302</v>
      </c>
      <c r="D16" s="211" t="s">
        <v>4534</v>
      </c>
      <c r="E16" s="136" t="s">
        <v>4509</v>
      </c>
      <c r="F16" s="134"/>
      <c r="G16" s="134">
        <v>379</v>
      </c>
      <c r="H16" s="139">
        <f t="shared" si="2"/>
        <v>9164220</v>
      </c>
      <c r="I16" s="134"/>
      <c r="J16" s="139">
        <v>3020000</v>
      </c>
      <c r="K16" s="139"/>
      <c r="L16" s="263"/>
      <c r="M16" s="139"/>
      <c r="N16" s="139"/>
      <c r="O16" s="139">
        <f t="shared" si="1"/>
        <v>12184220</v>
      </c>
      <c r="P16" s="139">
        <v>22100000</v>
      </c>
      <c r="Q16" s="139">
        <f t="shared" si="0"/>
        <v>9915780</v>
      </c>
      <c r="R16" s="143"/>
    </row>
    <row r="17" spans="1:18" ht="20.45" customHeight="1" x14ac:dyDescent="0.25">
      <c r="A17" s="211">
        <v>10</v>
      </c>
      <c r="B17" s="328">
        <v>44824</v>
      </c>
      <c r="C17" s="134" t="s">
        <v>1315</v>
      </c>
      <c r="D17" s="211" t="s">
        <v>4535</v>
      </c>
      <c r="E17" s="136" t="s">
        <v>4545</v>
      </c>
      <c r="F17" s="134"/>
      <c r="G17" s="134">
        <v>129</v>
      </c>
      <c r="H17" s="139">
        <f>G17*22530</f>
        <v>2906370</v>
      </c>
      <c r="I17" s="134"/>
      <c r="J17" s="139">
        <v>830000</v>
      </c>
      <c r="K17" s="139"/>
      <c r="L17" s="263"/>
      <c r="M17" s="139"/>
      <c r="N17" s="139"/>
      <c r="O17" s="139">
        <f t="shared" si="1"/>
        <v>3736370</v>
      </c>
      <c r="P17" s="139">
        <v>5200000</v>
      </c>
      <c r="Q17" s="139">
        <f t="shared" si="0"/>
        <v>1463630</v>
      </c>
      <c r="R17" s="143"/>
    </row>
    <row r="18" spans="1:18" ht="20.45" customHeight="1" x14ac:dyDescent="0.25">
      <c r="A18" s="211">
        <v>11</v>
      </c>
      <c r="B18" s="328">
        <v>44825</v>
      </c>
      <c r="C18" s="134" t="s">
        <v>1316</v>
      </c>
      <c r="D18" s="211" t="s">
        <v>4536</v>
      </c>
      <c r="E18" s="136" t="s">
        <v>23</v>
      </c>
      <c r="F18" s="134"/>
      <c r="G18" s="134">
        <v>240</v>
      </c>
      <c r="H18" s="139">
        <f t="shared" ref="H18:H24" si="3">G18*22530</f>
        <v>5407200</v>
      </c>
      <c r="I18" s="134"/>
      <c r="J18" s="139">
        <v>2380000</v>
      </c>
      <c r="K18" s="139"/>
      <c r="L18" s="263"/>
      <c r="M18" s="139"/>
      <c r="N18" s="139"/>
      <c r="O18" s="139">
        <f>SUM(H18:N18)</f>
        <v>7787200</v>
      </c>
      <c r="P18" s="139">
        <v>14351852</v>
      </c>
      <c r="Q18" s="139">
        <f t="shared" si="0"/>
        <v>6564652</v>
      </c>
      <c r="R18" s="143"/>
    </row>
    <row r="19" spans="1:18" ht="20.45" customHeight="1" x14ac:dyDescent="0.25">
      <c r="A19" s="211">
        <v>12</v>
      </c>
      <c r="B19" s="328">
        <v>44826</v>
      </c>
      <c r="C19" s="134" t="s">
        <v>2642</v>
      </c>
      <c r="D19" s="211" t="s">
        <v>4537</v>
      </c>
      <c r="E19" s="136" t="s">
        <v>763</v>
      </c>
      <c r="F19" s="134"/>
      <c r="G19" s="134">
        <v>90</v>
      </c>
      <c r="H19" s="139">
        <f t="shared" si="3"/>
        <v>2027700</v>
      </c>
      <c r="I19" s="134"/>
      <c r="J19" s="139">
        <v>790000</v>
      </c>
      <c r="K19" s="139"/>
      <c r="L19" s="263"/>
      <c r="M19" s="139"/>
      <c r="N19" s="139"/>
      <c r="O19" s="139">
        <f>SUM(H19:N19)</f>
        <v>2817700</v>
      </c>
      <c r="P19" s="139">
        <v>4300000</v>
      </c>
      <c r="Q19" s="139">
        <f t="shared" si="0"/>
        <v>1482300</v>
      </c>
      <c r="R19" s="143"/>
    </row>
    <row r="20" spans="1:18" ht="20.45" customHeight="1" x14ac:dyDescent="0.25">
      <c r="A20" s="211">
        <v>13</v>
      </c>
      <c r="B20" s="328">
        <v>44827</v>
      </c>
      <c r="C20" s="134" t="s">
        <v>3305</v>
      </c>
      <c r="D20" s="211" t="s">
        <v>4538</v>
      </c>
      <c r="E20" s="136" t="s">
        <v>4546</v>
      </c>
      <c r="F20" s="134"/>
      <c r="G20" s="134">
        <v>102</v>
      </c>
      <c r="H20" s="139">
        <f t="shared" si="3"/>
        <v>2298060</v>
      </c>
      <c r="I20" s="134"/>
      <c r="J20" s="139">
        <v>790000</v>
      </c>
      <c r="K20" s="139"/>
      <c r="L20" s="263"/>
      <c r="M20" s="139"/>
      <c r="N20" s="139"/>
      <c r="O20" s="139">
        <f t="shared" si="1"/>
        <v>3088060</v>
      </c>
      <c r="P20" s="139">
        <v>4300000</v>
      </c>
      <c r="Q20" s="139">
        <f t="shared" si="0"/>
        <v>1211940</v>
      </c>
      <c r="R20" s="143"/>
    </row>
    <row r="21" spans="1:18" ht="20.45" customHeight="1" x14ac:dyDescent="0.25">
      <c r="A21" s="211">
        <v>14</v>
      </c>
      <c r="B21" s="328">
        <v>44829</v>
      </c>
      <c r="C21" s="134" t="s">
        <v>3306</v>
      </c>
      <c r="D21" s="211" t="s">
        <v>4539</v>
      </c>
      <c r="E21" s="136" t="s">
        <v>2798</v>
      </c>
      <c r="F21" s="134"/>
      <c r="G21" s="134">
        <v>122</v>
      </c>
      <c r="H21" s="139">
        <f t="shared" si="3"/>
        <v>2748660</v>
      </c>
      <c r="I21" s="134"/>
      <c r="J21" s="139">
        <v>790000</v>
      </c>
      <c r="K21" s="139"/>
      <c r="L21" s="263"/>
      <c r="M21" s="139"/>
      <c r="N21" s="139"/>
      <c r="O21" s="139">
        <f t="shared" si="1"/>
        <v>3538660</v>
      </c>
      <c r="P21" s="139">
        <v>5527778</v>
      </c>
      <c r="Q21" s="139">
        <f t="shared" si="0"/>
        <v>1989118</v>
      </c>
      <c r="R21" s="143"/>
    </row>
    <row r="22" spans="1:18" ht="20.45" customHeight="1" x14ac:dyDescent="0.25">
      <c r="A22" s="211">
        <v>15</v>
      </c>
      <c r="B22" s="328">
        <v>44830</v>
      </c>
      <c r="C22" s="134" t="s">
        <v>1320</v>
      </c>
      <c r="D22" s="211" t="s">
        <v>4540</v>
      </c>
      <c r="E22" s="136" t="s">
        <v>4544</v>
      </c>
      <c r="F22" s="134"/>
      <c r="G22" s="134">
        <v>272</v>
      </c>
      <c r="H22" s="139">
        <f t="shared" si="3"/>
        <v>6128160</v>
      </c>
      <c r="I22" s="134"/>
      <c r="J22" s="139">
        <v>2170000</v>
      </c>
      <c r="K22" s="139"/>
      <c r="L22" s="263"/>
      <c r="M22" s="139"/>
      <c r="N22" s="139"/>
      <c r="O22" s="139">
        <f t="shared" si="1"/>
        <v>8298160</v>
      </c>
      <c r="P22" s="139">
        <v>15150000</v>
      </c>
      <c r="Q22" s="139">
        <f t="shared" si="0"/>
        <v>6851840</v>
      </c>
      <c r="R22" s="143"/>
    </row>
    <row r="23" spans="1:18" ht="25.5" customHeight="1" x14ac:dyDescent="0.25">
      <c r="A23" s="211">
        <v>16</v>
      </c>
      <c r="B23" s="328">
        <v>44831</v>
      </c>
      <c r="C23" s="134" t="s">
        <v>4526</v>
      </c>
      <c r="D23" s="211" t="s">
        <v>4541</v>
      </c>
      <c r="E23" s="136" t="s">
        <v>4547</v>
      </c>
      <c r="F23" s="134"/>
      <c r="G23" s="134">
        <v>61</v>
      </c>
      <c r="H23" s="139">
        <f>G23*22530</f>
        <v>1374330</v>
      </c>
      <c r="I23" s="134"/>
      <c r="J23" s="139">
        <v>430000</v>
      </c>
      <c r="K23" s="139"/>
      <c r="L23" s="263"/>
      <c r="M23" s="139"/>
      <c r="N23" s="139"/>
      <c r="O23" s="139">
        <f t="shared" si="1"/>
        <v>1804330</v>
      </c>
      <c r="P23" s="139">
        <v>3798519</v>
      </c>
      <c r="Q23" s="139">
        <f t="shared" si="0"/>
        <v>1994189</v>
      </c>
      <c r="R23" s="143"/>
    </row>
    <row r="24" spans="1:18" ht="25.5" customHeight="1" x14ac:dyDescent="0.25">
      <c r="A24" s="211">
        <v>17</v>
      </c>
      <c r="B24" s="328">
        <v>44832</v>
      </c>
      <c r="C24" s="134" t="s">
        <v>3308</v>
      </c>
      <c r="D24" s="211" t="s">
        <v>4542</v>
      </c>
      <c r="E24" s="136" t="s">
        <v>23</v>
      </c>
      <c r="F24" s="134"/>
      <c r="G24" s="134">
        <v>240</v>
      </c>
      <c r="H24" s="139">
        <f t="shared" si="3"/>
        <v>5407200</v>
      </c>
      <c r="I24" s="134"/>
      <c r="J24" s="139">
        <v>2380000</v>
      </c>
      <c r="K24" s="139"/>
      <c r="L24" s="263"/>
      <c r="M24" s="139"/>
      <c r="N24" s="139"/>
      <c r="O24" s="139">
        <f t="shared" si="1"/>
        <v>7787200</v>
      </c>
      <c r="P24" s="139">
        <v>14351852</v>
      </c>
      <c r="Q24" s="139">
        <f t="shared" si="0"/>
        <v>6564652</v>
      </c>
      <c r="R24" s="143"/>
    </row>
    <row r="25" spans="1:18" ht="20.45" customHeight="1" x14ac:dyDescent="0.25">
      <c r="A25" s="211"/>
      <c r="B25" s="337"/>
      <c r="C25" s="356"/>
      <c r="D25" s="357"/>
      <c r="E25" s="358"/>
      <c r="F25" s="196"/>
      <c r="G25" s="195"/>
      <c r="H25" s="139"/>
      <c r="I25" s="195"/>
      <c r="J25" s="155"/>
      <c r="K25" s="219"/>
      <c r="L25" s="219"/>
      <c r="M25" s="139"/>
      <c r="N25" s="139"/>
      <c r="O25" s="139"/>
      <c r="P25" s="139"/>
      <c r="Q25" s="139"/>
      <c r="R25" s="143"/>
    </row>
    <row r="26" spans="1:18" ht="24.95" customHeight="1" x14ac:dyDescent="0.25">
      <c r="A26" s="211"/>
      <c r="B26" s="337"/>
      <c r="C26" s="440" t="s">
        <v>4549</v>
      </c>
      <c r="D26" s="441"/>
      <c r="E26" s="442"/>
      <c r="F26" s="196"/>
      <c r="G26" s="195"/>
      <c r="H26" s="155"/>
      <c r="I26" s="195"/>
      <c r="J26" s="155"/>
      <c r="K26" s="219"/>
      <c r="L26" s="219"/>
      <c r="M26" s="219"/>
      <c r="N26" s="185">
        <v>1792800</v>
      </c>
      <c r="O26" s="139">
        <f t="shared" ref="O26:O37" si="4">SUM(H26:N26)</f>
        <v>1792800</v>
      </c>
      <c r="P26" s="139"/>
      <c r="Q26" s="139"/>
      <c r="R26" s="143"/>
    </row>
    <row r="27" spans="1:18" ht="24.95" customHeight="1" x14ac:dyDescent="0.25">
      <c r="A27" s="211"/>
      <c r="B27" s="337"/>
      <c r="C27" s="452" t="s">
        <v>4550</v>
      </c>
      <c r="D27" s="453"/>
      <c r="E27" s="454"/>
      <c r="F27" s="196"/>
      <c r="G27" s="195"/>
      <c r="H27" s="155"/>
      <c r="I27" s="195"/>
      <c r="J27" s="155"/>
      <c r="K27" s="219"/>
      <c r="L27" s="185">
        <v>200000</v>
      </c>
      <c r="M27" s="219"/>
      <c r="N27" s="219"/>
      <c r="O27" s="139">
        <f t="shared" si="4"/>
        <v>200000</v>
      </c>
      <c r="P27" s="139"/>
      <c r="Q27" s="139"/>
      <c r="R27" s="143"/>
    </row>
    <row r="28" spans="1:18" ht="24.95" customHeight="1" x14ac:dyDescent="0.25">
      <c r="A28" s="211"/>
      <c r="B28" s="337"/>
      <c r="C28" s="452" t="s">
        <v>4551</v>
      </c>
      <c r="D28" s="453"/>
      <c r="E28" s="454"/>
      <c r="F28" s="196"/>
      <c r="G28" s="195"/>
      <c r="H28" s="155"/>
      <c r="I28" s="195"/>
      <c r="J28" s="155"/>
      <c r="K28" s="219"/>
      <c r="L28" s="185">
        <v>800000</v>
      </c>
      <c r="M28" s="219"/>
      <c r="N28" s="219"/>
      <c r="O28" s="139">
        <f t="shared" si="4"/>
        <v>800000</v>
      </c>
      <c r="P28" s="139"/>
      <c r="Q28" s="139"/>
      <c r="R28" s="143"/>
    </row>
    <row r="29" spans="1:18" ht="24.95" customHeight="1" x14ac:dyDescent="0.25">
      <c r="A29" s="211"/>
      <c r="B29" s="337"/>
      <c r="C29" s="452" t="s">
        <v>4552</v>
      </c>
      <c r="D29" s="453"/>
      <c r="E29" s="454"/>
      <c r="F29" s="196"/>
      <c r="G29" s="195"/>
      <c r="H29" s="155"/>
      <c r="I29" s="195"/>
      <c r="J29" s="155"/>
      <c r="K29" s="219"/>
      <c r="L29" s="185">
        <v>13000000</v>
      </c>
      <c r="M29" s="219"/>
      <c r="N29" s="219"/>
      <c r="O29" s="139">
        <f t="shared" si="4"/>
        <v>13000000</v>
      </c>
      <c r="P29" s="139"/>
      <c r="Q29" s="139"/>
      <c r="R29" s="143"/>
    </row>
    <row r="30" spans="1:18" ht="24.95" customHeight="1" x14ac:dyDescent="0.25">
      <c r="A30" s="211"/>
      <c r="B30" s="337"/>
      <c r="C30" s="452" t="s">
        <v>4553</v>
      </c>
      <c r="D30" s="453"/>
      <c r="E30" s="454"/>
      <c r="F30" s="196"/>
      <c r="G30" s="195"/>
      <c r="H30" s="155"/>
      <c r="I30" s="195"/>
      <c r="J30" s="155"/>
      <c r="K30" s="219"/>
      <c r="L30" s="185">
        <v>1500000</v>
      </c>
      <c r="M30" s="219"/>
      <c r="N30" s="219"/>
      <c r="O30" s="139">
        <f t="shared" si="4"/>
        <v>1500000</v>
      </c>
      <c r="P30" s="139"/>
      <c r="Q30" s="139"/>
      <c r="R30" s="143"/>
    </row>
    <row r="31" spans="1:18" ht="24.95" customHeight="1" x14ac:dyDescent="0.25">
      <c r="A31" s="211"/>
      <c r="B31" s="337"/>
      <c r="C31" s="452" t="s">
        <v>4554</v>
      </c>
      <c r="D31" s="453"/>
      <c r="E31" s="454"/>
      <c r="F31" s="196"/>
      <c r="G31" s="195"/>
      <c r="H31" s="155"/>
      <c r="I31" s="195"/>
      <c r="J31" s="155"/>
      <c r="K31" s="219"/>
      <c r="L31" s="185">
        <v>1100000</v>
      </c>
      <c r="M31" s="219"/>
      <c r="N31" s="219"/>
      <c r="O31" s="139">
        <f t="shared" si="4"/>
        <v>1100000</v>
      </c>
      <c r="P31" s="139"/>
      <c r="Q31" s="139"/>
      <c r="R31" s="143"/>
    </row>
    <row r="32" spans="1:18" ht="24.95" customHeight="1" x14ac:dyDescent="0.25">
      <c r="A32" s="211"/>
      <c r="B32" s="337"/>
      <c r="C32" s="452" t="s">
        <v>4588</v>
      </c>
      <c r="D32" s="453"/>
      <c r="E32" s="454"/>
      <c r="F32" s="196"/>
      <c r="G32" s="195"/>
      <c r="H32" s="155"/>
      <c r="I32" s="195"/>
      <c r="J32" s="155"/>
      <c r="K32" s="219"/>
      <c r="L32" s="219"/>
      <c r="M32" s="185">
        <v>9800000</v>
      </c>
      <c r="N32" s="219"/>
      <c r="O32" s="139">
        <f t="shared" si="4"/>
        <v>9800000</v>
      </c>
      <c r="P32" s="139"/>
      <c r="Q32" s="139"/>
      <c r="R32" s="143"/>
    </row>
    <row r="33" spans="1:19" ht="24.95" customHeight="1" x14ac:dyDescent="0.25">
      <c r="A33" s="211"/>
      <c r="B33" s="337"/>
      <c r="C33" s="452" t="s">
        <v>4590</v>
      </c>
      <c r="D33" s="453"/>
      <c r="E33" s="454"/>
      <c r="F33" s="196"/>
      <c r="G33" s="195"/>
      <c r="H33" s="155"/>
      <c r="I33" s="195"/>
      <c r="J33" s="155"/>
      <c r="K33" s="219"/>
      <c r="L33" s="219"/>
      <c r="M33" s="219"/>
      <c r="N33" s="185">
        <v>3375000</v>
      </c>
      <c r="O33" s="139">
        <f t="shared" si="4"/>
        <v>3375000</v>
      </c>
      <c r="P33" s="139"/>
      <c r="Q33" s="139"/>
      <c r="R33" s="143"/>
    </row>
    <row r="34" spans="1:19" ht="26.25" customHeight="1" x14ac:dyDescent="0.25">
      <c r="A34" s="211"/>
      <c r="B34" s="337"/>
      <c r="C34" s="452" t="s">
        <v>4514</v>
      </c>
      <c r="D34" s="453"/>
      <c r="E34" s="454"/>
      <c r="F34" s="196"/>
      <c r="G34" s="195"/>
      <c r="H34" s="155"/>
      <c r="I34" s="195"/>
      <c r="J34" s="155"/>
      <c r="K34" s="185">
        <v>16296000</v>
      </c>
      <c r="L34" s="219"/>
      <c r="M34" s="219"/>
      <c r="N34" s="219"/>
      <c r="O34" s="139">
        <f t="shared" si="4"/>
        <v>16296000</v>
      </c>
      <c r="P34" s="139"/>
      <c r="Q34" s="139"/>
      <c r="R34" s="143"/>
    </row>
    <row r="35" spans="1:19" ht="24.95" customHeight="1" x14ac:dyDescent="0.25">
      <c r="A35" s="211"/>
      <c r="B35" s="337"/>
      <c r="C35" s="452" t="s">
        <v>4548</v>
      </c>
      <c r="D35" s="453"/>
      <c r="E35" s="454"/>
      <c r="F35" s="196"/>
      <c r="G35" s="195"/>
      <c r="H35" s="155"/>
      <c r="I35" s="195"/>
      <c r="J35" s="155"/>
      <c r="K35" s="185">
        <v>8300000</v>
      </c>
      <c r="L35" s="219"/>
      <c r="M35" s="139"/>
      <c r="N35" s="139"/>
      <c r="O35" s="139">
        <f t="shared" si="4"/>
        <v>8300000</v>
      </c>
      <c r="P35" s="139"/>
      <c r="Q35" s="139"/>
      <c r="R35" s="143"/>
    </row>
    <row r="36" spans="1:19" ht="24.95" customHeight="1" x14ac:dyDescent="0.25">
      <c r="A36" s="211"/>
      <c r="B36" s="337"/>
      <c r="C36" s="350" t="s">
        <v>4669</v>
      </c>
      <c r="D36" s="365"/>
      <c r="E36" s="366"/>
      <c r="F36" s="196"/>
      <c r="G36" s="195"/>
      <c r="H36" s="155"/>
      <c r="I36" s="195"/>
      <c r="J36" s="155"/>
      <c r="K36" s="219"/>
      <c r="L36" s="219"/>
      <c r="M36" s="139"/>
      <c r="N36" s="208">
        <v>320000</v>
      </c>
      <c r="O36" s="139">
        <f t="shared" si="4"/>
        <v>320000</v>
      </c>
      <c r="P36" s="139"/>
      <c r="Q36" s="139"/>
      <c r="R36" s="143"/>
    </row>
    <row r="37" spans="1:19" ht="24.95" customHeight="1" x14ac:dyDescent="0.25">
      <c r="A37" s="211"/>
      <c r="B37" s="337"/>
      <c r="C37" s="452" t="s">
        <v>26</v>
      </c>
      <c r="D37" s="453"/>
      <c r="E37" s="454"/>
      <c r="F37" s="196"/>
      <c r="G37" s="195"/>
      <c r="H37" s="155"/>
      <c r="I37" s="195"/>
      <c r="J37" s="155"/>
      <c r="K37" s="219"/>
      <c r="L37" s="185">
        <v>1200000</v>
      </c>
      <c r="M37" s="139"/>
      <c r="N37" s="139"/>
      <c r="O37" s="139">
        <f t="shared" si="4"/>
        <v>1200000</v>
      </c>
      <c r="P37" s="139"/>
      <c r="Q37" s="139"/>
      <c r="R37" s="143"/>
    </row>
    <row r="38" spans="1:19" ht="20.45" customHeight="1" x14ac:dyDescent="0.25">
      <c r="A38" s="450" t="s">
        <v>20</v>
      </c>
      <c r="B38" s="450"/>
      <c r="C38" s="450"/>
      <c r="D38" s="450"/>
      <c r="E38" s="450"/>
      <c r="F38" s="450"/>
      <c r="G38" s="334">
        <f t="shared" ref="G38:O38" si="5">SUM(G8:G37)</f>
        <v>3251</v>
      </c>
      <c r="H38" s="334">
        <f>SUM(H8:H37)</f>
        <v>77005780</v>
      </c>
      <c r="I38" s="334">
        <f t="shared" si="5"/>
        <v>0</v>
      </c>
      <c r="J38" s="334">
        <f t="shared" si="5"/>
        <v>28210000</v>
      </c>
      <c r="K38" s="334">
        <f t="shared" si="5"/>
        <v>24596000</v>
      </c>
      <c r="L38" s="334">
        <f t="shared" si="5"/>
        <v>17800000</v>
      </c>
      <c r="M38" s="334">
        <f t="shared" si="5"/>
        <v>9800000</v>
      </c>
      <c r="N38" s="334">
        <f t="shared" si="5"/>
        <v>5487800</v>
      </c>
      <c r="O38" s="334">
        <f t="shared" si="5"/>
        <v>162899580</v>
      </c>
      <c r="P38" s="335">
        <f>SUM(P8:P37)</f>
        <v>185401111</v>
      </c>
      <c r="Q38" s="334">
        <f>P38-O38</f>
        <v>22501531</v>
      </c>
    </row>
    <row r="39" spans="1:19" ht="24.95" customHeight="1" x14ac:dyDescent="0.25">
      <c r="O39" s="158"/>
      <c r="Q39" s="158"/>
    </row>
    <row r="40" spans="1:19" ht="13.9" customHeight="1" x14ac:dyDescent="0.25">
      <c r="P40" s="216" t="s">
        <v>1603</v>
      </c>
      <c r="Q40" s="227">
        <f>'08.2022'!Q41+'09.2022'!Q38</f>
        <v>242111747</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G43" s="143"/>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G48" s="143"/>
      <c r="H48" s="128"/>
      <c r="J48" s="128"/>
      <c r="K48" s="128"/>
      <c r="L48" s="128"/>
      <c r="M48" s="128"/>
      <c r="N48" s="128"/>
      <c r="O48" s="128"/>
      <c r="P48" s="128"/>
      <c r="Q48" s="216"/>
    </row>
    <row r="49" spans="1:17" x14ac:dyDescent="0.25">
      <c r="A49" s="128"/>
      <c r="B49" s="128"/>
      <c r="H49" s="128"/>
      <c r="J49" s="128"/>
      <c r="K49" s="128"/>
      <c r="L49" s="128"/>
      <c r="M49" s="128"/>
      <c r="N49" s="128"/>
      <c r="O49" s="128"/>
      <c r="P49" s="128"/>
      <c r="Q49" s="216"/>
    </row>
    <row r="51" spans="1:17" x14ac:dyDescent="0.25">
      <c r="G51" s="143"/>
    </row>
  </sheetData>
  <mergeCells count="25">
    <mergeCell ref="C29:E29"/>
    <mergeCell ref="C34:E34"/>
    <mergeCell ref="C35:E35"/>
    <mergeCell ref="C37:E37"/>
    <mergeCell ref="A38:F38"/>
    <mergeCell ref="C30:E30"/>
    <mergeCell ref="C31:E31"/>
    <mergeCell ref="C32:E32"/>
    <mergeCell ref="C33:E33"/>
    <mergeCell ref="C28:E28"/>
    <mergeCell ref="A1:Q1"/>
    <mergeCell ref="A2:Q2"/>
    <mergeCell ref="B3:Q3"/>
    <mergeCell ref="A5:A6"/>
    <mergeCell ref="B5:B6"/>
    <mergeCell ref="C5:C6"/>
    <mergeCell ref="D5:D6"/>
    <mergeCell ref="E5:E6"/>
    <mergeCell ref="F5:F6"/>
    <mergeCell ref="G5:N5"/>
    <mergeCell ref="O5:O6"/>
    <mergeCell ref="P5:P6"/>
    <mergeCell ref="Q5:Q6"/>
    <mergeCell ref="C26:E26"/>
    <mergeCell ref="C27:E27"/>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B243-9E65-4231-A0E9-D743B4D675F3}">
  <dimension ref="A1:S52"/>
  <sheetViews>
    <sheetView topLeftCell="A19" workbookViewId="0">
      <selection activeCell="Q41" sqref="Q41"/>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4555</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2.5" customHeight="1" x14ac:dyDescent="0.25">
      <c r="A8" s="308">
        <v>1</v>
      </c>
      <c r="B8" s="303">
        <v>44836</v>
      </c>
      <c r="C8" s="138" t="s">
        <v>4556</v>
      </c>
      <c r="D8" s="308" t="s">
        <v>4564</v>
      </c>
      <c r="E8" s="146" t="s">
        <v>25</v>
      </c>
      <c r="F8" s="138"/>
      <c r="G8" s="138">
        <v>83</v>
      </c>
      <c r="H8" s="141">
        <f>G8*22200</f>
        <v>1842600</v>
      </c>
      <c r="I8" s="138"/>
      <c r="J8" s="141">
        <v>1020000</v>
      </c>
      <c r="K8" s="141"/>
      <c r="L8" s="150"/>
      <c r="M8" s="141"/>
      <c r="N8" s="141"/>
      <c r="O8" s="141">
        <f>SUM(H8:N8)</f>
        <v>2862600</v>
      </c>
      <c r="P8" s="208">
        <f>8975926/2</f>
        <v>4487963</v>
      </c>
      <c r="Q8" s="141">
        <f>P8-O8</f>
        <v>1625363</v>
      </c>
      <c r="R8" s="367" t="s">
        <v>4671</v>
      </c>
    </row>
    <row r="9" spans="1:18" ht="20.45" customHeight="1" x14ac:dyDescent="0.25">
      <c r="A9" s="308">
        <v>2</v>
      </c>
      <c r="B9" s="303">
        <v>44838</v>
      </c>
      <c r="C9" s="138" t="s">
        <v>2011</v>
      </c>
      <c r="D9" s="308" t="s">
        <v>4565</v>
      </c>
      <c r="E9" s="146" t="s">
        <v>4580</v>
      </c>
      <c r="F9" s="138"/>
      <c r="G9" s="138">
        <v>91</v>
      </c>
      <c r="H9" s="141">
        <f t="shared" ref="H9:H15" si="0">G9*22200</f>
        <v>2020200</v>
      </c>
      <c r="I9" s="138"/>
      <c r="J9" s="141">
        <v>790000</v>
      </c>
      <c r="K9" s="141"/>
      <c r="L9" s="150"/>
      <c r="M9" s="141"/>
      <c r="N9" s="141"/>
      <c r="O9" s="141">
        <f>SUM(H9:N9)</f>
        <v>2810200</v>
      </c>
      <c r="P9" s="141">
        <v>4750000</v>
      </c>
      <c r="Q9" s="141">
        <f t="shared" ref="Q9:Q24" si="1">P9-O9</f>
        <v>1939800</v>
      </c>
      <c r="R9" s="143"/>
    </row>
    <row r="10" spans="1:18" ht="20.45" customHeight="1" x14ac:dyDescent="0.25">
      <c r="A10" s="308">
        <v>3</v>
      </c>
      <c r="B10" s="303">
        <v>44839</v>
      </c>
      <c r="C10" s="138" t="s">
        <v>1344</v>
      </c>
      <c r="D10" s="308" t="s">
        <v>4566</v>
      </c>
      <c r="E10" s="146" t="s">
        <v>23</v>
      </c>
      <c r="F10" s="138"/>
      <c r="G10" s="138">
        <v>251</v>
      </c>
      <c r="H10" s="141">
        <f t="shared" si="0"/>
        <v>5572200</v>
      </c>
      <c r="I10" s="138"/>
      <c r="J10" s="141">
        <f>2380000+500000</f>
        <v>2880000</v>
      </c>
      <c r="K10" s="141"/>
      <c r="L10" s="150"/>
      <c r="M10" s="141"/>
      <c r="N10" s="141"/>
      <c r="O10" s="141">
        <f t="shared" ref="O10:O24" si="2">SUM(H10:N10)</f>
        <v>8452200</v>
      </c>
      <c r="P10" s="141">
        <v>13333333</v>
      </c>
      <c r="Q10" s="141">
        <f t="shared" si="1"/>
        <v>4881133</v>
      </c>
      <c r="R10" s="143"/>
    </row>
    <row r="11" spans="1:18" ht="20.45" customHeight="1" x14ac:dyDescent="0.25">
      <c r="A11" s="308">
        <v>4</v>
      </c>
      <c r="B11" s="303">
        <v>44839</v>
      </c>
      <c r="C11" s="138" t="s">
        <v>4557</v>
      </c>
      <c r="D11" s="308" t="s">
        <v>4567</v>
      </c>
      <c r="E11" s="146" t="s">
        <v>23</v>
      </c>
      <c r="F11" s="138"/>
      <c r="G11" s="138"/>
      <c r="H11" s="141">
        <f t="shared" si="0"/>
        <v>0</v>
      </c>
      <c r="I11" s="138"/>
      <c r="J11" s="141">
        <v>0</v>
      </c>
      <c r="K11" s="141"/>
      <c r="L11" s="150"/>
      <c r="M11" s="141"/>
      <c r="N11" s="141"/>
      <c r="O11" s="141">
        <f t="shared" si="2"/>
        <v>0</v>
      </c>
      <c r="P11" s="141">
        <v>13333333</v>
      </c>
      <c r="Q11" s="141">
        <f t="shared" si="1"/>
        <v>13333333</v>
      </c>
      <c r="R11" s="143"/>
    </row>
    <row r="12" spans="1:18" ht="20.45" customHeight="1" x14ac:dyDescent="0.25">
      <c r="A12" s="308">
        <v>5</v>
      </c>
      <c r="B12" s="303">
        <v>44840</v>
      </c>
      <c r="C12" s="138" t="s">
        <v>2692</v>
      </c>
      <c r="D12" s="308" t="s">
        <v>4568</v>
      </c>
      <c r="E12" s="146" t="s">
        <v>3724</v>
      </c>
      <c r="F12" s="138"/>
      <c r="G12" s="138">
        <v>128</v>
      </c>
      <c r="H12" s="141">
        <f t="shared" si="0"/>
        <v>2841600</v>
      </c>
      <c r="I12" s="138"/>
      <c r="J12" s="141">
        <v>610000</v>
      </c>
      <c r="K12" s="141"/>
      <c r="L12" s="150"/>
      <c r="M12" s="141"/>
      <c r="N12" s="141"/>
      <c r="O12" s="141">
        <f t="shared" si="2"/>
        <v>3451600</v>
      </c>
      <c r="P12" s="141">
        <v>4350000</v>
      </c>
      <c r="Q12" s="141">
        <f t="shared" si="1"/>
        <v>898400</v>
      </c>
      <c r="R12" s="143"/>
    </row>
    <row r="13" spans="1:18" ht="20.45" customHeight="1" x14ac:dyDescent="0.25">
      <c r="A13" s="308">
        <v>6</v>
      </c>
      <c r="B13" s="303">
        <v>44841</v>
      </c>
      <c r="C13" s="138" t="s">
        <v>4558</v>
      </c>
      <c r="D13" s="308" t="s">
        <v>4568</v>
      </c>
      <c r="E13" s="146" t="s">
        <v>1015</v>
      </c>
      <c r="F13" s="138"/>
      <c r="G13" s="138"/>
      <c r="H13" s="141">
        <f t="shared" si="0"/>
        <v>0</v>
      </c>
      <c r="I13" s="138"/>
      <c r="J13" s="141">
        <v>500000</v>
      </c>
      <c r="K13" s="141"/>
      <c r="L13" s="150"/>
      <c r="M13" s="141"/>
      <c r="N13" s="141"/>
      <c r="O13" s="141">
        <f t="shared" si="2"/>
        <v>500000</v>
      </c>
      <c r="P13" s="141">
        <v>3480000</v>
      </c>
      <c r="Q13" s="141">
        <f t="shared" si="1"/>
        <v>2980000</v>
      </c>
      <c r="R13" s="143"/>
    </row>
    <row r="14" spans="1:18" ht="20.45" customHeight="1" x14ac:dyDescent="0.25">
      <c r="A14" s="308">
        <v>7</v>
      </c>
      <c r="B14" s="303">
        <v>44844</v>
      </c>
      <c r="C14" s="138" t="s">
        <v>2694</v>
      </c>
      <c r="D14" s="308" t="s">
        <v>4569</v>
      </c>
      <c r="E14" s="146" t="s">
        <v>25</v>
      </c>
      <c r="F14" s="138"/>
      <c r="G14" s="138">
        <v>188</v>
      </c>
      <c r="H14" s="141">
        <f t="shared" si="0"/>
        <v>4173600</v>
      </c>
      <c r="I14" s="138"/>
      <c r="J14" s="141">
        <v>1530000</v>
      </c>
      <c r="K14" s="141"/>
      <c r="L14" s="150"/>
      <c r="M14" s="141"/>
      <c r="N14" s="141"/>
      <c r="O14" s="141">
        <f t="shared" si="2"/>
        <v>5703600</v>
      </c>
      <c r="P14" s="141">
        <v>8975926</v>
      </c>
      <c r="Q14" s="141">
        <f t="shared" si="1"/>
        <v>3272326</v>
      </c>
      <c r="R14" s="143"/>
    </row>
    <row r="15" spans="1:18" ht="20.45" customHeight="1" x14ac:dyDescent="0.25">
      <c r="A15" s="308">
        <v>8</v>
      </c>
      <c r="B15" s="303">
        <v>44844</v>
      </c>
      <c r="C15" s="138" t="s">
        <v>4559</v>
      </c>
      <c r="D15" s="308" t="s">
        <v>4570</v>
      </c>
      <c r="E15" s="146" t="s">
        <v>2985</v>
      </c>
      <c r="F15" s="138"/>
      <c r="G15" s="138">
        <v>61</v>
      </c>
      <c r="H15" s="141">
        <f t="shared" si="0"/>
        <v>1354200</v>
      </c>
      <c r="I15" s="138"/>
      <c r="J15" s="141">
        <v>430000</v>
      </c>
      <c r="K15" s="141"/>
      <c r="L15" s="150"/>
      <c r="M15" s="141"/>
      <c r="N15" s="141"/>
      <c r="O15" s="141">
        <f t="shared" si="2"/>
        <v>1784200</v>
      </c>
      <c r="P15" s="141">
        <v>3160000</v>
      </c>
      <c r="Q15" s="141">
        <f t="shared" si="1"/>
        <v>1375800</v>
      </c>
      <c r="R15" s="143"/>
    </row>
    <row r="16" spans="1:18" ht="20.45" customHeight="1" x14ac:dyDescent="0.25">
      <c r="A16" s="308">
        <v>9</v>
      </c>
      <c r="B16" s="303">
        <v>44846</v>
      </c>
      <c r="C16" s="138" t="s">
        <v>4560</v>
      </c>
      <c r="D16" s="308" t="s">
        <v>4571</v>
      </c>
      <c r="E16" s="146" t="s">
        <v>4543</v>
      </c>
      <c r="F16" s="138"/>
      <c r="G16" s="138">
        <v>393</v>
      </c>
      <c r="H16" s="141">
        <f>G16*24180</f>
        <v>9502740</v>
      </c>
      <c r="I16" s="138"/>
      <c r="J16" s="141">
        <f>3020000+400000</f>
        <v>3420000</v>
      </c>
      <c r="K16" s="141"/>
      <c r="L16" s="150"/>
      <c r="M16" s="141"/>
      <c r="N16" s="141"/>
      <c r="O16" s="141">
        <f t="shared" si="2"/>
        <v>12922740</v>
      </c>
      <c r="P16" s="141">
        <v>22950000</v>
      </c>
      <c r="Q16" s="141">
        <f t="shared" si="1"/>
        <v>10027260</v>
      </c>
      <c r="R16" s="143"/>
    </row>
    <row r="17" spans="1:18" ht="20.45" customHeight="1" x14ac:dyDescent="0.25">
      <c r="A17" s="308">
        <v>10</v>
      </c>
      <c r="B17" s="303">
        <v>44847</v>
      </c>
      <c r="C17" s="138" t="s">
        <v>3357</v>
      </c>
      <c r="D17" s="308" t="s">
        <v>4572</v>
      </c>
      <c r="E17" s="146" t="s">
        <v>25</v>
      </c>
      <c r="F17" s="138"/>
      <c r="G17" s="138">
        <v>180</v>
      </c>
      <c r="H17" s="141">
        <f t="shared" ref="H17:H18" si="3">G17*24180</f>
        <v>4352400</v>
      </c>
      <c r="I17" s="138"/>
      <c r="J17" s="141">
        <v>1530000</v>
      </c>
      <c r="K17" s="141"/>
      <c r="L17" s="150"/>
      <c r="M17" s="141"/>
      <c r="N17" s="141"/>
      <c r="O17" s="141">
        <f t="shared" si="2"/>
        <v>5882400</v>
      </c>
      <c r="P17" s="141">
        <v>9300000</v>
      </c>
      <c r="Q17" s="141">
        <f t="shared" si="1"/>
        <v>3417600</v>
      </c>
      <c r="R17" s="143"/>
    </row>
    <row r="18" spans="1:18" ht="20.45" customHeight="1" x14ac:dyDescent="0.25">
      <c r="A18" s="308">
        <v>11</v>
      </c>
      <c r="B18" s="303">
        <v>44848</v>
      </c>
      <c r="C18" s="138" t="s">
        <v>4561</v>
      </c>
      <c r="D18" s="308" t="s">
        <v>4573</v>
      </c>
      <c r="E18" s="146" t="s">
        <v>4509</v>
      </c>
      <c r="F18" s="138"/>
      <c r="G18" s="138">
        <v>373</v>
      </c>
      <c r="H18" s="141">
        <f t="shared" si="3"/>
        <v>9019140</v>
      </c>
      <c r="I18" s="138"/>
      <c r="J18" s="141">
        <v>3020000</v>
      </c>
      <c r="K18" s="141"/>
      <c r="L18" s="150"/>
      <c r="M18" s="141"/>
      <c r="N18" s="141"/>
      <c r="O18" s="141">
        <f>SUM(H18:N18)</f>
        <v>12039140</v>
      </c>
      <c r="P18" s="141">
        <v>22150000</v>
      </c>
      <c r="Q18" s="141">
        <f t="shared" si="1"/>
        <v>10110860</v>
      </c>
      <c r="R18" s="143"/>
    </row>
    <row r="19" spans="1:18" ht="20.45" customHeight="1" x14ac:dyDescent="0.25">
      <c r="A19" s="308">
        <v>12</v>
      </c>
      <c r="B19" s="303">
        <v>44851</v>
      </c>
      <c r="C19" s="138" t="s">
        <v>4562</v>
      </c>
      <c r="D19" s="308" t="s">
        <v>4574</v>
      </c>
      <c r="E19" s="146" t="s">
        <v>4581</v>
      </c>
      <c r="F19" s="138"/>
      <c r="G19" s="138">
        <v>402</v>
      </c>
      <c r="H19" s="141">
        <f>(G19-13)*24180 +13*24780</f>
        <v>9728160</v>
      </c>
      <c r="I19" s="138"/>
      <c r="J19" s="141">
        <v>3020000</v>
      </c>
      <c r="K19" s="141"/>
      <c r="L19" s="150"/>
      <c r="M19" s="141"/>
      <c r="N19" s="141"/>
      <c r="O19" s="141">
        <f>SUM(H19:N19)</f>
        <v>12748160</v>
      </c>
      <c r="P19" s="141">
        <v>22850000</v>
      </c>
      <c r="Q19" s="141">
        <f t="shared" si="1"/>
        <v>10101840</v>
      </c>
      <c r="R19" s="143"/>
    </row>
    <row r="20" spans="1:18" ht="20.45" customHeight="1" x14ac:dyDescent="0.25">
      <c r="A20" s="308">
        <v>13</v>
      </c>
      <c r="B20" s="303">
        <v>44854</v>
      </c>
      <c r="C20" s="138" t="s">
        <v>3361</v>
      </c>
      <c r="D20" s="308" t="s">
        <v>4575</v>
      </c>
      <c r="E20" s="146" t="s">
        <v>4509</v>
      </c>
      <c r="F20" s="138"/>
      <c r="G20" s="138">
        <v>373</v>
      </c>
      <c r="H20" s="141">
        <f>G20*24780</f>
        <v>9242940</v>
      </c>
      <c r="I20" s="138"/>
      <c r="J20" s="141">
        <v>3167000</v>
      </c>
      <c r="K20" s="141"/>
      <c r="L20" s="150"/>
      <c r="M20" s="141"/>
      <c r="N20" s="141"/>
      <c r="O20" s="141">
        <f t="shared" si="2"/>
        <v>12409940</v>
      </c>
      <c r="P20" s="141">
        <v>22150000</v>
      </c>
      <c r="Q20" s="141">
        <f t="shared" si="1"/>
        <v>9740060</v>
      </c>
      <c r="R20" s="143"/>
    </row>
    <row r="21" spans="1:18" ht="20.45" customHeight="1" x14ac:dyDescent="0.25">
      <c r="A21" s="308">
        <v>14</v>
      </c>
      <c r="B21" s="303">
        <v>44860</v>
      </c>
      <c r="C21" s="138" t="s">
        <v>4563</v>
      </c>
      <c r="D21" s="308" t="s">
        <v>4576</v>
      </c>
      <c r="E21" s="146" t="s">
        <v>201</v>
      </c>
      <c r="F21" s="138"/>
      <c r="G21" s="138">
        <v>57</v>
      </c>
      <c r="H21" s="141">
        <f t="shared" ref="H21:H24" si="4">G21*24780</f>
        <v>1412460</v>
      </c>
      <c r="I21" s="138"/>
      <c r="J21" s="141">
        <v>440000</v>
      </c>
      <c r="K21" s="141"/>
      <c r="L21" s="150"/>
      <c r="M21" s="141"/>
      <c r="N21" s="141"/>
      <c r="O21" s="141">
        <f t="shared" si="2"/>
        <v>1852460</v>
      </c>
      <c r="P21" s="141">
        <v>3700000</v>
      </c>
      <c r="Q21" s="141">
        <f t="shared" si="1"/>
        <v>1847540</v>
      </c>
      <c r="R21" s="143"/>
    </row>
    <row r="22" spans="1:18" ht="20.45" customHeight="1" x14ac:dyDescent="0.25">
      <c r="A22" s="308">
        <v>15</v>
      </c>
      <c r="B22" s="303">
        <v>44861</v>
      </c>
      <c r="C22" s="138" t="s">
        <v>1352</v>
      </c>
      <c r="D22" s="308" t="s">
        <v>4577</v>
      </c>
      <c r="E22" s="146" t="s">
        <v>1012</v>
      </c>
      <c r="F22" s="138"/>
      <c r="G22" s="138">
        <v>93</v>
      </c>
      <c r="H22" s="141">
        <f t="shared" si="4"/>
        <v>2304540</v>
      </c>
      <c r="I22" s="138"/>
      <c r="J22" s="141">
        <v>790000</v>
      </c>
      <c r="K22" s="141"/>
      <c r="L22" s="150"/>
      <c r="M22" s="141"/>
      <c r="N22" s="141"/>
      <c r="O22" s="141">
        <f t="shared" si="2"/>
        <v>3094540</v>
      </c>
      <c r="P22" s="141">
        <v>4500000</v>
      </c>
      <c r="Q22" s="141">
        <f t="shared" si="1"/>
        <v>1405460</v>
      </c>
      <c r="R22" s="143"/>
    </row>
    <row r="23" spans="1:18" ht="25.5" customHeight="1" x14ac:dyDescent="0.25">
      <c r="A23" s="308">
        <v>16</v>
      </c>
      <c r="B23" s="303">
        <v>44861</v>
      </c>
      <c r="C23" s="138" t="s">
        <v>4005</v>
      </c>
      <c r="D23" s="308" t="s">
        <v>4578</v>
      </c>
      <c r="E23" s="146" t="s">
        <v>4509</v>
      </c>
      <c r="F23" s="138"/>
      <c r="G23" s="138">
        <v>373</v>
      </c>
      <c r="H23" s="141">
        <f t="shared" si="4"/>
        <v>9242940</v>
      </c>
      <c r="I23" s="138"/>
      <c r="J23" s="141">
        <v>3020000</v>
      </c>
      <c r="K23" s="141"/>
      <c r="L23" s="150"/>
      <c r="M23" s="141"/>
      <c r="N23" s="141"/>
      <c r="O23" s="141">
        <f t="shared" si="2"/>
        <v>12262940</v>
      </c>
      <c r="P23" s="141">
        <v>22250000</v>
      </c>
      <c r="Q23" s="141">
        <f t="shared" si="1"/>
        <v>9987060</v>
      </c>
      <c r="R23" s="143"/>
    </row>
    <row r="24" spans="1:18" ht="25.5" customHeight="1" x14ac:dyDescent="0.25">
      <c r="A24" s="308">
        <v>17</v>
      </c>
      <c r="B24" s="303">
        <v>44864</v>
      </c>
      <c r="C24" s="138" t="s">
        <v>691</v>
      </c>
      <c r="D24" s="308" t="s">
        <v>4579</v>
      </c>
      <c r="E24" s="146" t="s">
        <v>291</v>
      </c>
      <c r="F24" s="138"/>
      <c r="G24" s="138">
        <v>71</v>
      </c>
      <c r="H24" s="141">
        <f t="shared" si="4"/>
        <v>1759380</v>
      </c>
      <c r="I24" s="138"/>
      <c r="J24" s="141">
        <v>790000</v>
      </c>
      <c r="K24" s="141"/>
      <c r="L24" s="150"/>
      <c r="M24" s="141"/>
      <c r="N24" s="141"/>
      <c r="O24" s="141">
        <f t="shared" si="2"/>
        <v>2549380</v>
      </c>
      <c r="P24" s="141">
        <v>4210000</v>
      </c>
      <c r="Q24" s="141">
        <f t="shared" si="1"/>
        <v>1660620</v>
      </c>
      <c r="R24" s="143"/>
    </row>
    <row r="25" spans="1:18" ht="20.45" customHeight="1" x14ac:dyDescent="0.25">
      <c r="A25" s="211"/>
      <c r="B25" s="337"/>
      <c r="C25" s="356"/>
      <c r="D25" s="357"/>
      <c r="E25" s="358"/>
      <c r="F25" s="196"/>
      <c r="G25" s="195"/>
      <c r="H25" s="139"/>
      <c r="I25" s="195"/>
      <c r="J25" s="155"/>
      <c r="K25" s="219"/>
      <c r="L25" s="219"/>
      <c r="M25" s="139"/>
      <c r="N25" s="139"/>
      <c r="O25" s="139"/>
      <c r="P25" s="139"/>
      <c r="Q25" s="139"/>
      <c r="R25" s="143"/>
    </row>
    <row r="26" spans="1:18" ht="24.95" customHeight="1" x14ac:dyDescent="0.25">
      <c r="A26" s="211"/>
      <c r="B26" s="337"/>
      <c r="C26" s="440" t="s">
        <v>4582</v>
      </c>
      <c r="D26" s="441"/>
      <c r="E26" s="442"/>
      <c r="F26" s="196"/>
      <c r="G26" s="195"/>
      <c r="H26" s="155"/>
      <c r="I26" s="195"/>
      <c r="J26" s="155"/>
      <c r="K26" s="219"/>
      <c r="L26" s="185">
        <v>120000</v>
      </c>
      <c r="M26" s="219"/>
      <c r="N26" s="139"/>
      <c r="O26" s="139">
        <f t="shared" ref="O26:O38" si="5">SUM(H26:N26)</f>
        <v>120000</v>
      </c>
      <c r="P26" s="139"/>
      <c r="Q26" s="139"/>
      <c r="R26" s="143"/>
    </row>
    <row r="27" spans="1:18" ht="24.95" customHeight="1" x14ac:dyDescent="0.25">
      <c r="A27" s="211"/>
      <c r="B27" s="337"/>
      <c r="C27" s="452" t="s">
        <v>4583</v>
      </c>
      <c r="D27" s="453"/>
      <c r="E27" s="454"/>
      <c r="F27" s="196"/>
      <c r="G27" s="195"/>
      <c r="H27" s="155"/>
      <c r="I27" s="195"/>
      <c r="J27" s="155"/>
      <c r="K27" s="219"/>
      <c r="L27" s="185">
        <v>4900000</v>
      </c>
      <c r="M27" s="219"/>
      <c r="N27" s="139"/>
      <c r="O27" s="139">
        <f t="shared" si="5"/>
        <v>4900000</v>
      </c>
      <c r="P27" s="139"/>
      <c r="Q27" s="139"/>
      <c r="R27" s="143"/>
    </row>
    <row r="28" spans="1:18" ht="24.95" customHeight="1" x14ac:dyDescent="0.25">
      <c r="A28" s="211"/>
      <c r="B28" s="337"/>
      <c r="C28" s="452" t="s">
        <v>4584</v>
      </c>
      <c r="D28" s="453"/>
      <c r="E28" s="454"/>
      <c r="F28" s="196"/>
      <c r="G28" s="195"/>
      <c r="H28" s="155"/>
      <c r="I28" s="195"/>
      <c r="J28" s="155"/>
      <c r="K28" s="219"/>
      <c r="L28" s="185">
        <v>800000</v>
      </c>
      <c r="M28" s="219"/>
      <c r="N28" s="139"/>
      <c r="O28" s="139">
        <f t="shared" si="5"/>
        <v>800000</v>
      </c>
      <c r="P28" s="139"/>
      <c r="Q28" s="139"/>
      <c r="R28" s="143"/>
    </row>
    <row r="29" spans="1:18" ht="24.95" customHeight="1" x14ac:dyDescent="0.25">
      <c r="A29" s="211"/>
      <c r="B29" s="337"/>
      <c r="C29" s="452" t="s">
        <v>4585</v>
      </c>
      <c r="D29" s="453"/>
      <c r="E29" s="454"/>
      <c r="F29" s="196"/>
      <c r="G29" s="195"/>
      <c r="H29" s="155"/>
      <c r="I29" s="195"/>
      <c r="J29" s="155"/>
      <c r="K29" s="219"/>
      <c r="L29" s="185">
        <v>9132000</v>
      </c>
      <c r="M29" s="219"/>
      <c r="N29" s="139"/>
      <c r="O29" s="139">
        <f t="shared" si="5"/>
        <v>9132000</v>
      </c>
      <c r="P29" s="139"/>
      <c r="Q29" s="139"/>
      <c r="R29" s="143"/>
    </row>
    <row r="30" spans="1:18" ht="24.95" customHeight="1" x14ac:dyDescent="0.25">
      <c r="A30" s="211"/>
      <c r="B30" s="337"/>
      <c r="C30" s="452" t="s">
        <v>4586</v>
      </c>
      <c r="D30" s="453"/>
      <c r="E30" s="454"/>
      <c r="F30" s="196"/>
      <c r="G30" s="195"/>
      <c r="H30" s="155"/>
      <c r="I30" s="195"/>
      <c r="J30" s="155"/>
      <c r="K30" s="219"/>
      <c r="L30" s="185">
        <v>80000</v>
      </c>
      <c r="M30" s="219"/>
      <c r="N30" s="139"/>
      <c r="O30" s="139">
        <f t="shared" si="5"/>
        <v>80000</v>
      </c>
      <c r="P30" s="139"/>
      <c r="Q30" s="139"/>
      <c r="R30" s="143"/>
    </row>
    <row r="31" spans="1:18" ht="24.95" customHeight="1" x14ac:dyDescent="0.25">
      <c r="A31" s="211"/>
      <c r="B31" s="337"/>
      <c r="C31" s="452" t="s">
        <v>4587</v>
      </c>
      <c r="D31" s="453"/>
      <c r="E31" s="454"/>
      <c r="F31" s="196"/>
      <c r="G31" s="195"/>
      <c r="H31" s="155"/>
      <c r="I31" s="195"/>
      <c r="J31" s="155"/>
      <c r="K31" s="219"/>
      <c r="L31" s="185">
        <v>300000</v>
      </c>
      <c r="M31" s="219"/>
      <c r="N31" s="139"/>
      <c r="O31" s="139">
        <f t="shared" si="5"/>
        <v>300000</v>
      </c>
      <c r="P31" s="139"/>
      <c r="Q31" s="139"/>
      <c r="R31" s="143"/>
    </row>
    <row r="32" spans="1:18" ht="24.95" customHeight="1" x14ac:dyDescent="0.25">
      <c r="A32" s="211"/>
      <c r="B32" s="337"/>
      <c r="C32" s="452" t="s">
        <v>4589</v>
      </c>
      <c r="D32" s="453"/>
      <c r="E32" s="454"/>
      <c r="F32" s="196"/>
      <c r="G32" s="195"/>
      <c r="H32" s="155"/>
      <c r="I32" s="195"/>
      <c r="J32" s="155"/>
      <c r="K32" s="219"/>
      <c r="L32" s="185">
        <v>1800000</v>
      </c>
      <c r="M32" s="219"/>
      <c r="N32" s="139"/>
      <c r="O32" s="139">
        <f t="shared" si="5"/>
        <v>1800000</v>
      </c>
      <c r="P32" s="139"/>
      <c r="Q32" s="139"/>
      <c r="R32" s="143"/>
    </row>
    <row r="33" spans="1:19" ht="24.95" customHeight="1" x14ac:dyDescent="0.25">
      <c r="A33" s="211"/>
      <c r="B33" s="337"/>
      <c r="C33" s="452" t="s">
        <v>4591</v>
      </c>
      <c r="D33" s="453"/>
      <c r="E33" s="454"/>
      <c r="F33" s="196"/>
      <c r="G33" s="195"/>
      <c r="H33" s="155"/>
      <c r="I33" s="195"/>
      <c r="J33" s="155"/>
      <c r="K33" s="219"/>
      <c r="L33" s="185">
        <v>200000</v>
      </c>
      <c r="M33" s="219"/>
      <c r="N33" s="139"/>
      <c r="O33" s="139">
        <f t="shared" si="5"/>
        <v>200000</v>
      </c>
      <c r="P33" s="139"/>
      <c r="Q33" s="139"/>
      <c r="R33" s="143"/>
    </row>
    <row r="34" spans="1:19" ht="24.95" customHeight="1" x14ac:dyDescent="0.25">
      <c r="A34" s="211"/>
      <c r="B34" s="337"/>
      <c r="C34" s="452" t="s">
        <v>4592</v>
      </c>
      <c r="D34" s="453"/>
      <c r="E34" s="454"/>
      <c r="F34" s="196"/>
      <c r="G34" s="195"/>
      <c r="H34" s="155"/>
      <c r="I34" s="195"/>
      <c r="J34" s="155"/>
      <c r="K34" s="219"/>
      <c r="L34" s="185">
        <v>200000</v>
      </c>
      <c r="M34" s="219"/>
      <c r="N34" s="139"/>
      <c r="O34" s="139">
        <f t="shared" si="5"/>
        <v>200000</v>
      </c>
      <c r="P34" s="139"/>
      <c r="Q34" s="139"/>
      <c r="R34" s="143"/>
    </row>
    <row r="35" spans="1:19" ht="26.25" customHeight="1" x14ac:dyDescent="0.25">
      <c r="A35" s="211"/>
      <c r="B35" s="337"/>
      <c r="C35" s="452" t="s">
        <v>4514</v>
      </c>
      <c r="D35" s="453"/>
      <c r="E35" s="454"/>
      <c r="F35" s="196"/>
      <c r="G35" s="195"/>
      <c r="H35" s="155"/>
      <c r="I35" s="195"/>
      <c r="J35" s="155"/>
      <c r="K35" s="219">
        <v>15668000</v>
      </c>
      <c r="L35" s="219"/>
      <c r="M35" s="219"/>
      <c r="N35" s="139"/>
      <c r="O35" s="139">
        <f t="shared" si="5"/>
        <v>15668000</v>
      </c>
      <c r="P35" s="139"/>
      <c r="Q35" s="139"/>
      <c r="R35" s="143"/>
    </row>
    <row r="36" spans="1:19" ht="24.95" customHeight="1" x14ac:dyDescent="0.25">
      <c r="A36" s="211"/>
      <c r="B36" s="337"/>
      <c r="C36" s="452" t="s">
        <v>4626</v>
      </c>
      <c r="D36" s="453"/>
      <c r="E36" s="454"/>
      <c r="F36" s="196"/>
      <c r="G36" s="195"/>
      <c r="H36" s="155"/>
      <c r="I36" s="195"/>
      <c r="J36" s="155"/>
      <c r="K36" s="185">
        <v>7700000</v>
      </c>
      <c r="L36" s="219"/>
      <c r="M36" s="139"/>
      <c r="N36" s="139"/>
      <c r="O36" s="139">
        <f t="shared" si="5"/>
        <v>7700000</v>
      </c>
      <c r="P36" s="139"/>
      <c r="Q36" s="139"/>
      <c r="R36" s="143"/>
    </row>
    <row r="37" spans="1:19" ht="24.95" customHeight="1" x14ac:dyDescent="0.25">
      <c r="A37" s="211"/>
      <c r="B37" s="337"/>
      <c r="C37" s="459" t="s">
        <v>4670</v>
      </c>
      <c r="D37" s="460"/>
      <c r="E37" s="461"/>
      <c r="F37" s="196"/>
      <c r="G37" s="195"/>
      <c r="H37" s="155"/>
      <c r="I37" s="195"/>
      <c r="J37" s="155"/>
      <c r="K37" s="219"/>
      <c r="L37" s="233">
        <v>6500000</v>
      </c>
      <c r="M37" s="139"/>
      <c r="N37" s="139"/>
      <c r="O37" s="139">
        <f t="shared" si="5"/>
        <v>6500000</v>
      </c>
      <c r="P37" s="139"/>
      <c r="Q37" s="139"/>
      <c r="R37" s="143"/>
    </row>
    <row r="38" spans="1:19" ht="24.95" customHeight="1" x14ac:dyDescent="0.25">
      <c r="A38" s="211"/>
      <c r="B38" s="337"/>
      <c r="C38" s="452" t="s">
        <v>26</v>
      </c>
      <c r="D38" s="453"/>
      <c r="E38" s="454"/>
      <c r="F38" s="196"/>
      <c r="G38" s="195"/>
      <c r="H38" s="155"/>
      <c r="I38" s="195"/>
      <c r="J38" s="155"/>
      <c r="K38" s="219"/>
      <c r="L38" s="185">
        <v>1200000</v>
      </c>
      <c r="M38" s="139"/>
      <c r="N38" s="139"/>
      <c r="O38" s="139">
        <f t="shared" si="5"/>
        <v>1200000</v>
      </c>
      <c r="P38" s="139"/>
      <c r="Q38" s="139"/>
      <c r="R38" s="143"/>
    </row>
    <row r="39" spans="1:19" ht="20.45" customHeight="1" x14ac:dyDescent="0.25">
      <c r="A39" s="450" t="s">
        <v>20</v>
      </c>
      <c r="B39" s="450"/>
      <c r="C39" s="450"/>
      <c r="D39" s="450"/>
      <c r="E39" s="450"/>
      <c r="F39" s="450"/>
      <c r="G39" s="334">
        <f t="shared" ref="G39:N39" si="6">SUM(G8:G38)</f>
        <v>3117</v>
      </c>
      <c r="H39" s="334">
        <f>SUM(H8:H38)</f>
        <v>74369100</v>
      </c>
      <c r="I39" s="334">
        <f t="shared" si="6"/>
        <v>0</v>
      </c>
      <c r="J39" s="334">
        <f t="shared" si="6"/>
        <v>26957000</v>
      </c>
      <c r="K39" s="334">
        <f t="shared" si="6"/>
        <v>23368000</v>
      </c>
      <c r="L39" s="334">
        <f t="shared" si="6"/>
        <v>25232000</v>
      </c>
      <c r="M39" s="334">
        <f t="shared" si="6"/>
        <v>0</v>
      </c>
      <c r="N39" s="334">
        <f t="shared" si="6"/>
        <v>0</v>
      </c>
      <c r="O39" s="334">
        <f>SUM(O8:O38)</f>
        <v>149926100</v>
      </c>
      <c r="P39" s="335">
        <f>SUM(P8:P38)</f>
        <v>189930555</v>
      </c>
      <c r="Q39" s="334">
        <f>P39-O39</f>
        <v>40004455</v>
      </c>
    </row>
    <row r="40" spans="1:19" ht="24.95" customHeight="1" x14ac:dyDescent="0.25">
      <c r="O40" s="158"/>
      <c r="Q40" s="158"/>
    </row>
    <row r="41" spans="1:19" ht="13.9" customHeight="1" x14ac:dyDescent="0.25">
      <c r="P41" s="216" t="s">
        <v>1603</v>
      </c>
      <c r="Q41" s="227">
        <f>'09.2022'!Q40+'10.2022'!Q39</f>
        <v>282116202</v>
      </c>
      <c r="S41" s="216"/>
    </row>
    <row r="42" spans="1:19" ht="13.9" customHeight="1" x14ac:dyDescent="0.25">
      <c r="B42" s="129"/>
      <c r="J42" s="128"/>
      <c r="K42" s="128"/>
      <c r="L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G44" s="143"/>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8"/>
      <c r="G49" s="143"/>
      <c r="J49" s="128"/>
      <c r="K49" s="128"/>
      <c r="L49" s="128"/>
      <c r="M49" s="128"/>
      <c r="N49" s="128"/>
      <c r="O49" s="128"/>
      <c r="P49" s="128"/>
      <c r="Q49" s="216"/>
    </row>
    <row r="50" spans="1:17" x14ac:dyDescent="0.25">
      <c r="A50" s="128"/>
      <c r="B50" s="128"/>
      <c r="H50" s="128"/>
      <c r="J50" s="128"/>
      <c r="K50" s="128"/>
      <c r="L50" s="128"/>
      <c r="M50" s="128"/>
      <c r="N50" s="128"/>
      <c r="O50" s="128"/>
      <c r="P50" s="128"/>
      <c r="Q50" s="216"/>
    </row>
    <row r="52" spans="1:17" x14ac:dyDescent="0.25">
      <c r="G52" s="143"/>
    </row>
  </sheetData>
  <mergeCells count="27">
    <mergeCell ref="A39:F39"/>
    <mergeCell ref="C29:E29"/>
    <mergeCell ref="C30:E30"/>
    <mergeCell ref="C31:E31"/>
    <mergeCell ref="C35:E35"/>
    <mergeCell ref="C36:E36"/>
    <mergeCell ref="C38:E38"/>
    <mergeCell ref="C32:E32"/>
    <mergeCell ref="C33:E33"/>
    <mergeCell ref="C34:E34"/>
    <mergeCell ref="C37:E37"/>
    <mergeCell ref="C28:E28"/>
    <mergeCell ref="A1:Q1"/>
    <mergeCell ref="A2:Q2"/>
    <mergeCell ref="B3:Q3"/>
    <mergeCell ref="A5:A6"/>
    <mergeCell ref="B5:B6"/>
    <mergeCell ref="C5:C6"/>
    <mergeCell ref="D5:D6"/>
    <mergeCell ref="E5:E6"/>
    <mergeCell ref="F5:F6"/>
    <mergeCell ref="G5:N5"/>
    <mergeCell ref="O5:O6"/>
    <mergeCell ref="P5:P6"/>
    <mergeCell ref="Q5:Q6"/>
    <mergeCell ref="C26:E26"/>
    <mergeCell ref="C27:E27"/>
  </mergeCells>
  <pageMargins left="0.7" right="0.7" top="0.75" bottom="0.75" header="0.3" footer="0.3"/>
  <pageSetup paperSize="9" orientation="portrait" horizontalDpi="0"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9B90-4B1A-4C4C-A36D-56698EAD380A}">
  <dimension ref="A1:S52"/>
  <sheetViews>
    <sheetView topLeftCell="A18" workbookViewId="0">
      <selection activeCell="O40" sqref="O40"/>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9.5703125"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4593</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2.5" customHeight="1" x14ac:dyDescent="0.25">
      <c r="A8" s="308">
        <v>1</v>
      </c>
      <c r="B8" s="303">
        <v>44866</v>
      </c>
      <c r="C8" s="138" t="s">
        <v>2068</v>
      </c>
      <c r="D8" s="308" t="s">
        <v>4603</v>
      </c>
      <c r="E8" s="146" t="s">
        <v>4505</v>
      </c>
      <c r="F8" s="138"/>
      <c r="G8" s="138">
        <v>367</v>
      </c>
      <c r="H8" s="141">
        <f>G8*25070</f>
        <v>9200690</v>
      </c>
      <c r="I8" s="138"/>
      <c r="J8" s="141">
        <v>3232000</v>
      </c>
      <c r="K8" s="141"/>
      <c r="L8" s="150"/>
      <c r="M8" s="141"/>
      <c r="N8" s="141"/>
      <c r="O8" s="141">
        <f>SUM(H8:N8)</f>
        <v>12432690</v>
      </c>
      <c r="P8" s="141">
        <v>22350000</v>
      </c>
      <c r="Q8" s="141">
        <f>P8-O8</f>
        <v>9917310</v>
      </c>
      <c r="R8" s="143"/>
    </row>
    <row r="9" spans="1:18" ht="20.45" customHeight="1" x14ac:dyDescent="0.25">
      <c r="A9" s="308">
        <v>2</v>
      </c>
      <c r="B9" s="303">
        <v>44868</v>
      </c>
      <c r="C9" s="138" t="s">
        <v>730</v>
      </c>
      <c r="D9" s="308" t="s">
        <v>4604</v>
      </c>
      <c r="E9" s="146" t="s">
        <v>218</v>
      </c>
      <c r="F9" s="138"/>
      <c r="G9" s="138">
        <v>80</v>
      </c>
      <c r="H9" s="141">
        <f t="shared" ref="H9:H13" si="0">G9*25070</f>
        <v>2005600</v>
      </c>
      <c r="I9" s="138"/>
      <c r="J9" s="141">
        <v>790000</v>
      </c>
      <c r="K9" s="141"/>
      <c r="L9" s="150"/>
      <c r="M9" s="141"/>
      <c r="N9" s="141"/>
      <c r="O9" s="141">
        <f>SUM(H9:N9)</f>
        <v>2795600</v>
      </c>
      <c r="P9" s="141">
        <v>4200000</v>
      </c>
      <c r="Q9" s="141">
        <f t="shared" ref="Q9:Q23" si="1">P9-O9</f>
        <v>1404400</v>
      </c>
      <c r="R9" s="143"/>
    </row>
    <row r="10" spans="1:18" ht="20.45" customHeight="1" x14ac:dyDescent="0.25">
      <c r="A10" s="308">
        <v>3</v>
      </c>
      <c r="B10" s="303">
        <v>44868</v>
      </c>
      <c r="C10" s="138" t="s">
        <v>3406</v>
      </c>
      <c r="D10" s="308" t="s">
        <v>4605</v>
      </c>
      <c r="E10" s="146" t="s">
        <v>25</v>
      </c>
      <c r="F10" s="138"/>
      <c r="G10" s="138">
        <v>180</v>
      </c>
      <c r="H10" s="141">
        <f t="shared" si="0"/>
        <v>4512600</v>
      </c>
      <c r="I10" s="138"/>
      <c r="J10" s="141">
        <v>1530000</v>
      </c>
      <c r="K10" s="141"/>
      <c r="L10" s="150"/>
      <c r="M10" s="141"/>
      <c r="N10" s="141"/>
      <c r="O10" s="141">
        <f t="shared" ref="O10:O23" si="2">SUM(H10:N10)</f>
        <v>6042600</v>
      </c>
      <c r="P10" s="141">
        <v>9300000</v>
      </c>
      <c r="Q10" s="141">
        <f t="shared" si="1"/>
        <v>3257400</v>
      </c>
      <c r="R10" s="143"/>
    </row>
    <row r="11" spans="1:18" ht="20.45" customHeight="1" x14ac:dyDescent="0.25">
      <c r="A11" s="308">
        <v>4</v>
      </c>
      <c r="B11" s="303">
        <v>44869</v>
      </c>
      <c r="C11" s="138" t="s">
        <v>2750</v>
      </c>
      <c r="D11" s="308" t="s">
        <v>4606</v>
      </c>
      <c r="E11" s="146" t="s">
        <v>4597</v>
      </c>
      <c r="F11" s="138"/>
      <c r="G11" s="138">
        <v>390</v>
      </c>
      <c r="H11" s="141">
        <f t="shared" si="0"/>
        <v>9777300</v>
      </c>
      <c r="I11" s="138"/>
      <c r="J11" s="141">
        <v>3232000</v>
      </c>
      <c r="K11" s="141"/>
      <c r="L11" s="150"/>
      <c r="M11" s="141"/>
      <c r="N11" s="141"/>
      <c r="O11" s="141">
        <f t="shared" si="2"/>
        <v>13009300</v>
      </c>
      <c r="P11" s="141">
        <v>23000000</v>
      </c>
      <c r="Q11" s="141">
        <f t="shared" si="1"/>
        <v>9990700</v>
      </c>
      <c r="R11" s="143"/>
    </row>
    <row r="12" spans="1:18" ht="20.45" customHeight="1" x14ac:dyDescent="0.25">
      <c r="A12" s="308">
        <v>5</v>
      </c>
      <c r="B12" s="303">
        <v>44872</v>
      </c>
      <c r="C12" s="138" t="s">
        <v>4594</v>
      </c>
      <c r="D12" s="308" t="s">
        <v>4607</v>
      </c>
      <c r="E12" s="146" t="s">
        <v>4598</v>
      </c>
      <c r="F12" s="138"/>
      <c r="G12" s="138">
        <v>103</v>
      </c>
      <c r="H12" s="141">
        <f t="shared" si="0"/>
        <v>2582210</v>
      </c>
      <c r="I12" s="138"/>
      <c r="J12" s="141">
        <v>790000</v>
      </c>
      <c r="K12" s="141"/>
      <c r="L12" s="150"/>
      <c r="M12" s="141"/>
      <c r="N12" s="141"/>
      <c r="O12" s="141">
        <f t="shared" si="2"/>
        <v>3372210</v>
      </c>
      <c r="P12" s="141">
        <v>5250000</v>
      </c>
      <c r="Q12" s="141">
        <f t="shared" si="1"/>
        <v>1877790</v>
      </c>
      <c r="R12" s="143"/>
    </row>
    <row r="13" spans="1:18" ht="20.45" customHeight="1" x14ac:dyDescent="0.25">
      <c r="A13" s="308">
        <v>6</v>
      </c>
      <c r="B13" s="303">
        <v>44873</v>
      </c>
      <c r="C13" s="138" t="s">
        <v>2073</v>
      </c>
      <c r="D13" s="308" t="s">
        <v>4608</v>
      </c>
      <c r="E13" s="146" t="s">
        <v>894</v>
      </c>
      <c r="F13" s="138"/>
      <c r="G13" s="138">
        <v>77</v>
      </c>
      <c r="H13" s="141">
        <f t="shared" si="0"/>
        <v>1930390</v>
      </c>
      <c r="I13" s="138"/>
      <c r="J13" s="141">
        <v>430000</v>
      </c>
      <c r="K13" s="141"/>
      <c r="L13" s="150"/>
      <c r="M13" s="141"/>
      <c r="N13" s="141"/>
      <c r="O13" s="141">
        <f t="shared" si="2"/>
        <v>2360390</v>
      </c>
      <c r="P13" s="141">
        <v>4050000</v>
      </c>
      <c r="Q13" s="141">
        <f t="shared" si="1"/>
        <v>1689610</v>
      </c>
      <c r="R13" s="143"/>
    </row>
    <row r="14" spans="1:18" ht="20.45" customHeight="1" x14ac:dyDescent="0.25">
      <c r="A14" s="308">
        <v>7</v>
      </c>
      <c r="B14" s="303">
        <v>44875</v>
      </c>
      <c r="C14" s="138" t="s">
        <v>4052</v>
      </c>
      <c r="D14" s="308" t="s">
        <v>4609</v>
      </c>
      <c r="E14" s="146" t="s">
        <v>4597</v>
      </c>
      <c r="F14" s="138"/>
      <c r="G14" s="138">
        <v>390</v>
      </c>
      <c r="H14" s="141">
        <f>G14*24980</f>
        <v>9742200</v>
      </c>
      <c r="I14" s="138"/>
      <c r="J14" s="141">
        <v>3448000</v>
      </c>
      <c r="K14" s="141"/>
      <c r="L14" s="150"/>
      <c r="M14" s="141"/>
      <c r="N14" s="141"/>
      <c r="O14" s="141">
        <f t="shared" si="2"/>
        <v>13190200</v>
      </c>
      <c r="P14" s="141">
        <v>23000000</v>
      </c>
      <c r="Q14" s="141">
        <f t="shared" si="1"/>
        <v>9809800</v>
      </c>
      <c r="R14" s="143"/>
    </row>
    <row r="15" spans="1:18" ht="20.45" customHeight="1" x14ac:dyDescent="0.25">
      <c r="A15" s="308">
        <v>8</v>
      </c>
      <c r="B15" s="303">
        <v>44879</v>
      </c>
      <c r="C15" s="138" t="s">
        <v>3408</v>
      </c>
      <c r="D15" s="308" t="s">
        <v>4610</v>
      </c>
      <c r="E15" s="146" t="s">
        <v>4599</v>
      </c>
      <c r="F15" s="138"/>
      <c r="G15" s="138">
        <v>107</v>
      </c>
      <c r="H15" s="141">
        <f t="shared" ref="H15:H19" si="3">G15*24980</f>
        <v>2672860</v>
      </c>
      <c r="I15" s="138"/>
      <c r="J15" s="141">
        <v>790000</v>
      </c>
      <c r="K15" s="141"/>
      <c r="L15" s="150"/>
      <c r="M15" s="141"/>
      <c r="N15" s="141"/>
      <c r="O15" s="141">
        <f t="shared" si="2"/>
        <v>3462860</v>
      </c>
      <c r="P15" s="141">
        <v>5300000</v>
      </c>
      <c r="Q15" s="141">
        <f t="shared" si="1"/>
        <v>1837140</v>
      </c>
      <c r="R15" s="143"/>
    </row>
    <row r="16" spans="1:18" ht="20.45" customHeight="1" x14ac:dyDescent="0.25">
      <c r="A16" s="308">
        <v>9</v>
      </c>
      <c r="B16" s="303">
        <v>44879</v>
      </c>
      <c r="C16" s="138" t="s">
        <v>4595</v>
      </c>
      <c r="D16" s="308" t="s">
        <v>4611</v>
      </c>
      <c r="E16" s="146" t="s">
        <v>4597</v>
      </c>
      <c r="F16" s="138"/>
      <c r="G16" s="138">
        <v>400</v>
      </c>
      <c r="H16" s="141">
        <f t="shared" si="3"/>
        <v>9992000</v>
      </c>
      <c r="I16" s="138"/>
      <c r="J16" s="141">
        <v>3450000</v>
      </c>
      <c r="K16" s="141"/>
      <c r="L16" s="150"/>
      <c r="M16" s="141"/>
      <c r="N16" s="141"/>
      <c r="O16" s="141">
        <f t="shared" si="2"/>
        <v>13442000</v>
      </c>
      <c r="P16" s="141">
        <v>23370370</v>
      </c>
      <c r="Q16" s="141">
        <f t="shared" si="1"/>
        <v>9928370</v>
      </c>
      <c r="R16" s="143"/>
    </row>
    <row r="17" spans="1:18" ht="20.45" customHeight="1" x14ac:dyDescent="0.25">
      <c r="A17" s="308">
        <v>10</v>
      </c>
      <c r="B17" s="303">
        <v>44881</v>
      </c>
      <c r="C17" s="138" t="s">
        <v>2080</v>
      </c>
      <c r="D17" s="308" t="s">
        <v>4612</v>
      </c>
      <c r="E17" s="146" t="s">
        <v>3797</v>
      </c>
      <c r="F17" s="138"/>
      <c r="G17" s="138">
        <v>106</v>
      </c>
      <c r="H17" s="141">
        <f t="shared" si="3"/>
        <v>2647880</v>
      </c>
      <c r="I17" s="138"/>
      <c r="J17" s="141">
        <v>540000</v>
      </c>
      <c r="K17" s="141"/>
      <c r="L17" s="150"/>
      <c r="M17" s="141"/>
      <c r="N17" s="141"/>
      <c r="O17" s="141">
        <f t="shared" si="2"/>
        <v>3187880</v>
      </c>
      <c r="P17" s="141">
        <v>4400000</v>
      </c>
      <c r="Q17" s="141">
        <f t="shared" si="1"/>
        <v>1212120</v>
      </c>
      <c r="R17" s="143"/>
    </row>
    <row r="18" spans="1:18" ht="20.45" customHeight="1" x14ac:dyDescent="0.25">
      <c r="A18" s="308">
        <v>11</v>
      </c>
      <c r="B18" s="303">
        <v>44883</v>
      </c>
      <c r="C18" s="138" t="s">
        <v>1393</v>
      </c>
      <c r="D18" s="308" t="s">
        <v>4613</v>
      </c>
      <c r="E18" s="146" t="s">
        <v>4600</v>
      </c>
      <c r="F18" s="138"/>
      <c r="G18" s="138">
        <v>81</v>
      </c>
      <c r="H18" s="141">
        <f t="shared" si="3"/>
        <v>2023380</v>
      </c>
      <c r="I18" s="138"/>
      <c r="J18" s="141">
        <v>790000</v>
      </c>
      <c r="K18" s="141"/>
      <c r="L18" s="150"/>
      <c r="M18" s="141"/>
      <c r="N18" s="141"/>
      <c r="O18" s="141">
        <f>SUM(H18:N18)</f>
        <v>2813380</v>
      </c>
      <c r="P18" s="141">
        <v>4527778</v>
      </c>
      <c r="Q18" s="141">
        <f t="shared" si="1"/>
        <v>1714398</v>
      </c>
      <c r="R18" s="143"/>
    </row>
    <row r="19" spans="1:18" ht="20.45" customHeight="1" x14ac:dyDescent="0.25">
      <c r="A19" s="308">
        <v>12</v>
      </c>
      <c r="B19" s="303">
        <v>44883</v>
      </c>
      <c r="C19" s="138" t="s">
        <v>4057</v>
      </c>
      <c r="D19" s="308" t="s">
        <v>4614</v>
      </c>
      <c r="E19" s="146" t="s">
        <v>4601</v>
      </c>
      <c r="F19" s="138"/>
      <c r="G19" s="138">
        <v>81</v>
      </c>
      <c r="H19" s="141">
        <f t="shared" si="3"/>
        <v>2023380</v>
      </c>
      <c r="I19" s="138"/>
      <c r="J19" s="141">
        <v>476000</v>
      </c>
      <c r="K19" s="141"/>
      <c r="L19" s="150"/>
      <c r="M19" s="141"/>
      <c r="N19" s="141"/>
      <c r="O19" s="141">
        <f>SUM(H19:N19)</f>
        <v>2499380</v>
      </c>
      <c r="P19" s="141">
        <v>4310000</v>
      </c>
      <c r="Q19" s="141">
        <f t="shared" si="1"/>
        <v>1810620</v>
      </c>
      <c r="R19" s="143"/>
    </row>
    <row r="20" spans="1:18" ht="20.45" customHeight="1" x14ac:dyDescent="0.25">
      <c r="A20" s="308">
        <v>13</v>
      </c>
      <c r="B20" s="303">
        <v>44889</v>
      </c>
      <c r="C20" s="138" t="s">
        <v>3417</v>
      </c>
      <c r="D20" s="308" t="s">
        <v>4615</v>
      </c>
      <c r="E20" s="146" t="s">
        <v>513</v>
      </c>
      <c r="F20" s="138"/>
      <c r="G20" s="138">
        <v>111</v>
      </c>
      <c r="H20" s="141">
        <f>G20*24800</f>
        <v>2752800</v>
      </c>
      <c r="I20" s="138"/>
      <c r="J20" s="141">
        <v>790000</v>
      </c>
      <c r="K20" s="141"/>
      <c r="L20" s="150"/>
      <c r="M20" s="141"/>
      <c r="N20" s="141"/>
      <c r="O20" s="141">
        <f t="shared" si="2"/>
        <v>3542800</v>
      </c>
      <c r="P20" s="141">
        <v>4500000</v>
      </c>
      <c r="Q20" s="141">
        <f t="shared" si="1"/>
        <v>957200</v>
      </c>
      <c r="R20" s="143"/>
    </row>
    <row r="21" spans="1:18" ht="20.45" customHeight="1" x14ac:dyDescent="0.25">
      <c r="A21" s="308">
        <v>14</v>
      </c>
      <c r="B21" s="303">
        <v>44890</v>
      </c>
      <c r="C21" s="138" t="s">
        <v>2764</v>
      </c>
      <c r="D21" s="308" t="s">
        <v>4616</v>
      </c>
      <c r="E21" s="146" t="s">
        <v>3340</v>
      </c>
      <c r="F21" s="138"/>
      <c r="G21" s="138">
        <v>38</v>
      </c>
      <c r="H21" s="141">
        <f t="shared" ref="H21:H23" si="4">G21*24800</f>
        <v>942400</v>
      </c>
      <c r="I21" s="138"/>
      <c r="J21" s="141">
        <v>300000</v>
      </c>
      <c r="K21" s="141"/>
      <c r="L21" s="150"/>
      <c r="M21" s="141"/>
      <c r="N21" s="141"/>
      <c r="O21" s="141">
        <f t="shared" si="2"/>
        <v>1242400</v>
      </c>
      <c r="P21" s="141">
        <v>2600000</v>
      </c>
      <c r="Q21" s="141">
        <f t="shared" si="1"/>
        <v>1357600</v>
      </c>
      <c r="R21" s="143"/>
    </row>
    <row r="22" spans="1:18" ht="20.45" customHeight="1" x14ac:dyDescent="0.25">
      <c r="A22" s="308">
        <v>15</v>
      </c>
      <c r="B22" s="303">
        <v>44891</v>
      </c>
      <c r="C22" s="138" t="s">
        <v>3420</v>
      </c>
      <c r="D22" s="308" t="s">
        <v>4617</v>
      </c>
      <c r="E22" s="146" t="s">
        <v>4597</v>
      </c>
      <c r="F22" s="138"/>
      <c r="G22" s="138">
        <v>390</v>
      </c>
      <c r="H22" s="141">
        <f t="shared" si="4"/>
        <v>9672000</v>
      </c>
      <c r="I22" s="138"/>
      <c r="J22" s="141">
        <v>3450000</v>
      </c>
      <c r="K22" s="141"/>
      <c r="L22" s="150"/>
      <c r="M22" s="141"/>
      <c r="N22" s="141"/>
      <c r="O22" s="141">
        <f t="shared" si="2"/>
        <v>13122000</v>
      </c>
      <c r="P22" s="141">
        <v>23000000</v>
      </c>
      <c r="Q22" s="141">
        <f t="shared" si="1"/>
        <v>9878000</v>
      </c>
      <c r="R22" s="143"/>
    </row>
    <row r="23" spans="1:18" ht="25.5" customHeight="1" x14ac:dyDescent="0.25">
      <c r="A23" s="308">
        <v>16</v>
      </c>
      <c r="B23" s="303">
        <v>44895</v>
      </c>
      <c r="C23" s="138" t="s">
        <v>4596</v>
      </c>
      <c r="D23" s="308" t="s">
        <v>4618</v>
      </c>
      <c r="E23" s="146" t="s">
        <v>4602</v>
      </c>
      <c r="F23" s="138"/>
      <c r="G23" s="138">
        <v>57</v>
      </c>
      <c r="H23" s="141">
        <f t="shared" si="4"/>
        <v>1413600</v>
      </c>
      <c r="I23" s="138"/>
      <c r="J23" s="141">
        <v>430000</v>
      </c>
      <c r="K23" s="141"/>
      <c r="L23" s="150"/>
      <c r="M23" s="141"/>
      <c r="N23" s="141"/>
      <c r="O23" s="141">
        <f t="shared" si="2"/>
        <v>1843600</v>
      </c>
      <c r="P23" s="141">
        <v>3826296</v>
      </c>
      <c r="Q23" s="141">
        <f t="shared" si="1"/>
        <v>1982696</v>
      </c>
      <c r="R23" s="143"/>
    </row>
    <row r="24" spans="1:18" ht="20.45" customHeight="1" x14ac:dyDescent="0.25">
      <c r="A24" s="211"/>
      <c r="B24" s="337"/>
      <c r="C24" s="356"/>
      <c r="D24" s="357"/>
      <c r="E24" s="358"/>
      <c r="F24" s="196"/>
      <c r="G24" s="195"/>
      <c r="H24" s="139"/>
      <c r="I24" s="195"/>
      <c r="J24" s="155"/>
      <c r="K24" s="219"/>
      <c r="L24" s="219"/>
      <c r="M24" s="139"/>
      <c r="N24" s="139"/>
      <c r="O24" s="139"/>
      <c r="P24" s="139"/>
      <c r="Q24" s="139"/>
      <c r="R24" s="143"/>
    </row>
    <row r="25" spans="1:18" ht="24.95" customHeight="1" x14ac:dyDescent="0.25">
      <c r="A25" s="211"/>
      <c r="B25" s="337"/>
      <c r="C25" s="440" t="s">
        <v>4619</v>
      </c>
      <c r="D25" s="441"/>
      <c r="E25" s="442"/>
      <c r="F25" s="196"/>
      <c r="G25" s="195"/>
      <c r="H25" s="155"/>
      <c r="I25" s="195"/>
      <c r="J25" s="155"/>
      <c r="K25" s="219"/>
      <c r="L25" s="185">
        <v>300000</v>
      </c>
      <c r="M25" s="219"/>
      <c r="N25" s="139"/>
      <c r="O25" s="139">
        <f t="shared" ref="O25:O38" si="5">SUM(H25:N25)</f>
        <v>300000</v>
      </c>
      <c r="P25" s="139"/>
      <c r="Q25" s="139"/>
      <c r="R25" s="143"/>
    </row>
    <row r="26" spans="1:18" ht="24.95" customHeight="1" x14ac:dyDescent="0.25">
      <c r="A26" s="211"/>
      <c r="B26" s="337"/>
      <c r="C26" s="452" t="s">
        <v>4620</v>
      </c>
      <c r="D26" s="453"/>
      <c r="E26" s="454"/>
      <c r="F26" s="196"/>
      <c r="G26" s="195"/>
      <c r="H26" s="155"/>
      <c r="I26" s="195"/>
      <c r="J26" s="155"/>
      <c r="K26" s="219"/>
      <c r="L26" s="185">
        <v>100000</v>
      </c>
      <c r="M26" s="219"/>
      <c r="N26" s="139"/>
      <c r="O26" s="139">
        <f t="shared" si="5"/>
        <v>100000</v>
      </c>
      <c r="P26" s="139"/>
      <c r="Q26" s="139"/>
      <c r="R26" s="143"/>
    </row>
    <row r="27" spans="1:18" ht="24.95" customHeight="1" x14ac:dyDescent="0.25">
      <c r="A27" s="211"/>
      <c r="B27" s="337"/>
      <c r="C27" s="452" t="s">
        <v>4621</v>
      </c>
      <c r="D27" s="453"/>
      <c r="E27" s="454"/>
      <c r="F27" s="196"/>
      <c r="G27" s="195"/>
      <c r="H27" s="155"/>
      <c r="I27" s="195"/>
      <c r="J27" s="155"/>
      <c r="K27" s="219"/>
      <c r="L27" s="185">
        <v>400000</v>
      </c>
      <c r="M27" s="219"/>
      <c r="N27" s="139"/>
      <c r="O27" s="139">
        <f t="shared" si="5"/>
        <v>400000</v>
      </c>
      <c r="P27" s="139"/>
      <c r="Q27" s="139"/>
      <c r="R27" s="143"/>
    </row>
    <row r="28" spans="1:18" ht="24.95" customHeight="1" x14ac:dyDescent="0.25">
      <c r="A28" s="211"/>
      <c r="B28" s="337"/>
      <c r="C28" s="452" t="s">
        <v>4622</v>
      </c>
      <c r="D28" s="453"/>
      <c r="E28" s="454"/>
      <c r="F28" s="196"/>
      <c r="G28" s="195"/>
      <c r="H28" s="155"/>
      <c r="I28" s="195"/>
      <c r="J28" s="155"/>
      <c r="K28" s="219"/>
      <c r="L28" s="185">
        <v>550000</v>
      </c>
      <c r="M28" s="219"/>
      <c r="N28" s="139"/>
      <c r="O28" s="139">
        <f t="shared" si="5"/>
        <v>550000</v>
      </c>
      <c r="P28" s="139"/>
      <c r="Q28" s="139"/>
      <c r="R28" s="143"/>
    </row>
    <row r="29" spans="1:18" ht="24.95" customHeight="1" x14ac:dyDescent="0.25">
      <c r="A29" s="211"/>
      <c r="B29" s="337"/>
      <c r="C29" s="452" t="s">
        <v>4623</v>
      </c>
      <c r="D29" s="453"/>
      <c r="E29" s="454"/>
      <c r="F29" s="196"/>
      <c r="G29" s="195"/>
      <c r="H29" s="155"/>
      <c r="I29" s="195"/>
      <c r="J29" s="155"/>
      <c r="K29" s="219"/>
      <c r="L29" s="185">
        <v>300000</v>
      </c>
      <c r="M29" s="219"/>
      <c r="N29" s="139"/>
      <c r="O29" s="139">
        <f t="shared" si="5"/>
        <v>300000</v>
      </c>
      <c r="P29" s="139"/>
      <c r="Q29" s="139"/>
      <c r="R29" s="143"/>
    </row>
    <row r="30" spans="1:18" ht="31.5" customHeight="1" x14ac:dyDescent="0.25">
      <c r="A30" s="211"/>
      <c r="B30" s="337"/>
      <c r="C30" s="452" t="s">
        <v>4624</v>
      </c>
      <c r="D30" s="453"/>
      <c r="E30" s="454"/>
      <c r="F30" s="196"/>
      <c r="G30" s="195"/>
      <c r="H30" s="155"/>
      <c r="I30" s="195"/>
      <c r="J30" s="155"/>
      <c r="K30" s="219"/>
      <c r="L30" s="185">
        <v>1700000</v>
      </c>
      <c r="M30" s="219"/>
      <c r="N30" s="139"/>
      <c r="O30" s="139">
        <f t="shared" si="5"/>
        <v>1700000</v>
      </c>
      <c r="P30" s="139"/>
      <c r="Q30" s="139"/>
      <c r="R30" s="143"/>
    </row>
    <row r="31" spans="1:18" ht="30.75" customHeight="1" x14ac:dyDescent="0.25">
      <c r="A31" s="211"/>
      <c r="B31" s="337"/>
      <c r="C31" s="452" t="s">
        <v>4625</v>
      </c>
      <c r="D31" s="453"/>
      <c r="E31" s="454"/>
      <c r="F31" s="196"/>
      <c r="G31" s="195"/>
      <c r="H31" s="155"/>
      <c r="I31" s="195"/>
      <c r="J31" s="155"/>
      <c r="K31" s="219"/>
      <c r="L31" s="219"/>
      <c r="M31" s="219"/>
      <c r="N31" s="185">
        <v>1782000</v>
      </c>
      <c r="O31" s="139">
        <f t="shared" si="5"/>
        <v>1782000</v>
      </c>
      <c r="P31" s="139"/>
      <c r="Q31" s="139"/>
      <c r="R31" s="143"/>
    </row>
    <row r="32" spans="1:18" ht="30.75" customHeight="1" x14ac:dyDescent="0.25">
      <c r="A32" s="211"/>
      <c r="B32" s="337"/>
      <c r="C32" s="452" t="s">
        <v>4672</v>
      </c>
      <c r="D32" s="453"/>
      <c r="E32" s="454"/>
      <c r="F32" s="196"/>
      <c r="G32" s="195"/>
      <c r="H32" s="155"/>
      <c r="I32" s="195"/>
      <c r="J32" s="155"/>
      <c r="K32" s="219"/>
      <c r="L32" s="219"/>
      <c r="M32" s="185">
        <v>10150000</v>
      </c>
      <c r="N32" s="219"/>
      <c r="O32" s="139">
        <f t="shared" si="5"/>
        <v>10150000</v>
      </c>
      <c r="P32" s="139"/>
      <c r="Q32" s="139"/>
      <c r="R32" s="143"/>
    </row>
    <row r="33" spans="1:19" ht="26.25" customHeight="1" x14ac:dyDescent="0.25">
      <c r="A33" s="211"/>
      <c r="B33" s="337"/>
      <c r="C33" s="452" t="s">
        <v>4514</v>
      </c>
      <c r="D33" s="453"/>
      <c r="E33" s="454"/>
      <c r="F33" s="196"/>
      <c r="G33" s="195"/>
      <c r="H33" s="155"/>
      <c r="I33" s="195"/>
      <c r="J33" s="155"/>
      <c r="K33" s="219">
        <v>13384000</v>
      </c>
      <c r="L33" s="219"/>
      <c r="M33" s="219"/>
      <c r="N33" s="139"/>
      <c r="O33" s="139">
        <f t="shared" si="5"/>
        <v>13384000</v>
      </c>
      <c r="P33" s="139"/>
      <c r="Q33" s="139"/>
      <c r="R33" s="143"/>
    </row>
    <row r="34" spans="1:19" ht="26.25" customHeight="1" x14ac:dyDescent="0.25">
      <c r="A34" s="211"/>
      <c r="B34" s="337"/>
      <c r="C34" s="452" t="s">
        <v>4666</v>
      </c>
      <c r="D34" s="453"/>
      <c r="E34" s="454"/>
      <c r="F34" s="196"/>
      <c r="G34" s="195"/>
      <c r="H34" s="155"/>
      <c r="I34" s="195"/>
      <c r="J34" s="155"/>
      <c r="K34" s="219"/>
      <c r="L34" s="219"/>
      <c r="M34" s="219"/>
      <c r="N34" s="185">
        <v>3375000</v>
      </c>
      <c r="O34" s="139">
        <f t="shared" si="5"/>
        <v>3375000</v>
      </c>
      <c r="P34" s="139"/>
      <c r="Q34" s="139"/>
      <c r="R34" s="143"/>
    </row>
    <row r="35" spans="1:19" ht="26.25" customHeight="1" x14ac:dyDescent="0.25">
      <c r="A35" s="211"/>
      <c r="B35" s="337"/>
      <c r="C35" s="468" t="s">
        <v>4620</v>
      </c>
      <c r="D35" s="469"/>
      <c r="E35" s="470"/>
      <c r="F35" s="368"/>
      <c r="G35" s="369"/>
      <c r="H35" s="370"/>
      <c r="I35" s="369"/>
      <c r="J35" s="370"/>
      <c r="K35" s="371"/>
      <c r="L35" s="371">
        <v>100000</v>
      </c>
      <c r="M35" s="219"/>
      <c r="N35" s="139"/>
      <c r="O35" s="139"/>
      <c r="P35" s="139"/>
      <c r="Q35" s="139"/>
      <c r="R35" s="143"/>
    </row>
    <row r="36" spans="1:19" ht="26.25" customHeight="1" x14ac:dyDescent="0.25">
      <c r="A36" s="211"/>
      <c r="B36" s="337"/>
      <c r="C36" s="468" t="s">
        <v>4621</v>
      </c>
      <c r="D36" s="469"/>
      <c r="E36" s="470"/>
      <c r="F36" s="368"/>
      <c r="G36" s="369"/>
      <c r="H36" s="370"/>
      <c r="I36" s="369"/>
      <c r="J36" s="370"/>
      <c r="K36" s="371"/>
      <c r="L36" s="371">
        <v>400000</v>
      </c>
      <c r="M36" s="219"/>
      <c r="N36" s="139"/>
      <c r="O36" s="139"/>
      <c r="P36" s="139"/>
      <c r="Q36" s="139"/>
      <c r="R36" s="143"/>
    </row>
    <row r="37" spans="1:19" ht="24.95" customHeight="1" x14ac:dyDescent="0.25">
      <c r="A37" s="211"/>
      <c r="B37" s="337"/>
      <c r="C37" s="452" t="s">
        <v>4627</v>
      </c>
      <c r="D37" s="453"/>
      <c r="E37" s="454"/>
      <c r="F37" s="196"/>
      <c r="G37" s="195"/>
      <c r="H37" s="155"/>
      <c r="I37" s="195"/>
      <c r="J37" s="155"/>
      <c r="K37" s="185">
        <v>6800000</v>
      </c>
      <c r="L37" s="219"/>
      <c r="M37" s="139"/>
      <c r="N37" s="139"/>
      <c r="O37" s="139">
        <f t="shared" si="5"/>
        <v>6800000</v>
      </c>
      <c r="P37" s="139"/>
      <c r="Q37" s="139"/>
      <c r="R37" s="143"/>
    </row>
    <row r="38" spans="1:19" ht="24.95" customHeight="1" x14ac:dyDescent="0.25">
      <c r="A38" s="211"/>
      <c r="B38" s="337"/>
      <c r="C38" s="452" t="s">
        <v>26</v>
      </c>
      <c r="D38" s="453"/>
      <c r="E38" s="454"/>
      <c r="F38" s="196"/>
      <c r="G38" s="195"/>
      <c r="H38" s="155"/>
      <c r="I38" s="195"/>
      <c r="J38" s="155"/>
      <c r="K38" s="219"/>
      <c r="L38" s="185">
        <v>1200000</v>
      </c>
      <c r="M38" s="139"/>
      <c r="N38" s="139"/>
      <c r="O38" s="139">
        <f t="shared" si="5"/>
        <v>1200000</v>
      </c>
      <c r="P38" s="139"/>
      <c r="Q38" s="139"/>
      <c r="R38" s="143"/>
    </row>
    <row r="39" spans="1:19" ht="20.45" customHeight="1" x14ac:dyDescent="0.25">
      <c r="A39" s="450" t="s">
        <v>20</v>
      </c>
      <c r="B39" s="450"/>
      <c r="C39" s="450"/>
      <c r="D39" s="450"/>
      <c r="E39" s="450"/>
      <c r="F39" s="450"/>
      <c r="G39" s="334">
        <f t="shared" ref="G39:P39" si="6">SUM(G8:G38)</f>
        <v>2958</v>
      </c>
      <c r="H39" s="334">
        <f t="shared" si="6"/>
        <v>73891290</v>
      </c>
      <c r="I39" s="334">
        <f t="shared" si="6"/>
        <v>0</v>
      </c>
      <c r="J39" s="334">
        <f t="shared" si="6"/>
        <v>24468000</v>
      </c>
      <c r="K39" s="334">
        <f t="shared" si="6"/>
        <v>20184000</v>
      </c>
      <c r="L39" s="334">
        <f t="shared" si="6"/>
        <v>5050000</v>
      </c>
      <c r="M39" s="334">
        <f t="shared" si="6"/>
        <v>10150000</v>
      </c>
      <c r="N39" s="334">
        <f t="shared" si="6"/>
        <v>5157000</v>
      </c>
      <c r="O39" s="334">
        <f>SUM(O8:O38)</f>
        <v>138400290</v>
      </c>
      <c r="P39" s="335">
        <f t="shared" si="6"/>
        <v>166984444</v>
      </c>
      <c r="Q39" s="334">
        <f>P39-O39</f>
        <v>28584154</v>
      </c>
    </row>
    <row r="40" spans="1:19" ht="24.95" customHeight="1" x14ac:dyDescent="0.25">
      <c r="O40" s="158"/>
      <c r="Q40" s="158"/>
    </row>
    <row r="41" spans="1:19" ht="13.9" customHeight="1" x14ac:dyDescent="0.25">
      <c r="P41" s="216" t="s">
        <v>1603</v>
      </c>
      <c r="Q41" s="227">
        <f>'10.2022'!Q41+'11.2022'!Q39</f>
        <v>310700356</v>
      </c>
      <c r="S41" s="216"/>
    </row>
    <row r="42" spans="1:19" ht="13.9" customHeight="1" x14ac:dyDescent="0.25">
      <c r="B42" s="129"/>
      <c r="J42" s="128"/>
      <c r="K42" s="128"/>
      <c r="L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G44" s="143"/>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7" x14ac:dyDescent="0.25">
      <c r="A49" s="128"/>
      <c r="B49" s="128"/>
      <c r="G49" s="143"/>
      <c r="J49" s="128"/>
      <c r="K49" s="128"/>
      <c r="L49" s="128"/>
      <c r="M49" s="128"/>
      <c r="N49" s="128"/>
      <c r="O49" s="128"/>
      <c r="P49" s="128"/>
      <c r="Q49" s="216"/>
    </row>
    <row r="50" spans="1:17" x14ac:dyDescent="0.25">
      <c r="A50" s="128"/>
      <c r="B50" s="128"/>
      <c r="H50" s="128"/>
      <c r="J50" s="128"/>
      <c r="K50" s="128"/>
      <c r="L50" s="128"/>
      <c r="M50" s="128"/>
      <c r="N50" s="128"/>
      <c r="O50" s="128"/>
      <c r="P50" s="128"/>
      <c r="Q50" s="216"/>
    </row>
    <row r="52" spans="1:17" x14ac:dyDescent="0.25">
      <c r="G52" s="143"/>
    </row>
  </sheetData>
  <mergeCells count="28">
    <mergeCell ref="C27:E27"/>
    <mergeCell ref="A1:Q1"/>
    <mergeCell ref="A2:Q2"/>
    <mergeCell ref="B3:Q3"/>
    <mergeCell ref="A5:A6"/>
    <mergeCell ref="B5:B6"/>
    <mergeCell ref="C5:C6"/>
    <mergeCell ref="D5:D6"/>
    <mergeCell ref="E5:E6"/>
    <mergeCell ref="F5:F6"/>
    <mergeCell ref="G5:N5"/>
    <mergeCell ref="O5:O6"/>
    <mergeCell ref="P5:P6"/>
    <mergeCell ref="Q5:Q6"/>
    <mergeCell ref="C25:E25"/>
    <mergeCell ref="C26:E26"/>
    <mergeCell ref="C33:E33"/>
    <mergeCell ref="C37:E37"/>
    <mergeCell ref="C38:E38"/>
    <mergeCell ref="A39:F39"/>
    <mergeCell ref="C28:E28"/>
    <mergeCell ref="C29:E29"/>
    <mergeCell ref="C30:E30"/>
    <mergeCell ref="C31:E31"/>
    <mergeCell ref="C32:E32"/>
    <mergeCell ref="C34:E34"/>
    <mergeCell ref="C35:E35"/>
    <mergeCell ref="C36:E36"/>
  </mergeCells>
  <pageMargins left="0.7" right="0.7" top="0.75" bottom="0.75" header="0.3" footer="0.3"/>
  <pageSetup paperSize="9" orientation="portrait"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2BB2-EFD1-4842-A88F-D52259C4A02F}">
  <dimension ref="A1:S50"/>
  <sheetViews>
    <sheetView topLeftCell="A23" workbookViewId="0">
      <selection activeCell="I38" sqref="I3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4661</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2.5" customHeight="1" x14ac:dyDescent="0.25">
      <c r="A8" s="308">
        <v>1</v>
      </c>
      <c r="B8" s="303">
        <v>44895</v>
      </c>
      <c r="C8" s="138" t="s">
        <v>100</v>
      </c>
      <c r="D8" s="308" t="s">
        <v>4642</v>
      </c>
      <c r="E8" s="146" t="s">
        <v>4544</v>
      </c>
      <c r="F8" s="138"/>
      <c r="G8" s="138">
        <v>269</v>
      </c>
      <c r="H8" s="141">
        <f>G8*23210</f>
        <v>6243490</v>
      </c>
      <c r="I8" s="138"/>
      <c r="J8" s="141">
        <v>2383000</v>
      </c>
      <c r="K8" s="141"/>
      <c r="L8" s="150"/>
      <c r="M8" s="141"/>
      <c r="N8" s="141"/>
      <c r="O8" s="141">
        <f>SUM(H8:N8)</f>
        <v>8626490</v>
      </c>
      <c r="P8" s="141">
        <v>15500000</v>
      </c>
      <c r="Q8" s="141">
        <f>P8-O8</f>
        <v>6873510</v>
      </c>
      <c r="R8" s="143"/>
    </row>
    <row r="9" spans="1:18" ht="20.45" customHeight="1" x14ac:dyDescent="0.25">
      <c r="A9" s="308">
        <v>2</v>
      </c>
      <c r="B9" s="303">
        <v>44897</v>
      </c>
      <c r="C9" s="138" t="s">
        <v>4628</v>
      </c>
      <c r="D9" s="308" t="s">
        <v>4643</v>
      </c>
      <c r="E9" s="146" t="s">
        <v>23</v>
      </c>
      <c r="F9" s="138"/>
      <c r="G9" s="138">
        <v>240</v>
      </c>
      <c r="H9" s="141">
        <f t="shared" ref="H9:H15" si="0">G9*23210</f>
        <v>5570400</v>
      </c>
      <c r="I9" s="138"/>
      <c r="J9" s="141">
        <v>2380000</v>
      </c>
      <c r="K9" s="141"/>
      <c r="L9" s="150"/>
      <c r="M9" s="141"/>
      <c r="N9" s="141"/>
      <c r="O9" s="141">
        <f>SUM(H9:N9)</f>
        <v>7950400</v>
      </c>
      <c r="P9" s="141">
        <v>14509259</v>
      </c>
      <c r="Q9" s="141">
        <f t="shared" ref="Q9:Q27" si="1">P9-O9</f>
        <v>6558859</v>
      </c>
      <c r="R9" s="143"/>
    </row>
    <row r="10" spans="1:18" ht="20.45" customHeight="1" x14ac:dyDescent="0.25">
      <c r="A10" s="308">
        <v>3</v>
      </c>
      <c r="B10" s="303">
        <v>44897</v>
      </c>
      <c r="C10" s="138" t="s">
        <v>4629</v>
      </c>
      <c r="D10" s="308" t="s">
        <v>4644</v>
      </c>
      <c r="E10" s="146" t="s">
        <v>143</v>
      </c>
      <c r="F10" s="138"/>
      <c r="G10" s="138">
        <v>111</v>
      </c>
      <c r="H10" s="141">
        <f t="shared" si="0"/>
        <v>2576310</v>
      </c>
      <c r="I10" s="138"/>
      <c r="J10" s="141">
        <v>790000</v>
      </c>
      <c r="K10" s="141"/>
      <c r="L10" s="150"/>
      <c r="M10" s="141"/>
      <c r="N10" s="141"/>
      <c r="O10" s="141">
        <f t="shared" ref="O10:O27" si="2">SUM(H10:N10)</f>
        <v>3366310</v>
      </c>
      <c r="P10" s="141">
        <v>5575000</v>
      </c>
      <c r="Q10" s="141">
        <f t="shared" si="1"/>
        <v>2208690</v>
      </c>
      <c r="R10" s="143"/>
    </row>
    <row r="11" spans="1:18" ht="20.45" customHeight="1" x14ac:dyDescent="0.25">
      <c r="A11" s="308">
        <v>4</v>
      </c>
      <c r="B11" s="303">
        <v>44899</v>
      </c>
      <c r="C11" s="138" t="s">
        <v>3452</v>
      </c>
      <c r="D11" s="308" t="s">
        <v>4645</v>
      </c>
      <c r="E11" s="146" t="s">
        <v>1865</v>
      </c>
      <c r="F11" s="138"/>
      <c r="G11" s="138">
        <v>32</v>
      </c>
      <c r="H11" s="141">
        <f t="shared" si="0"/>
        <v>742720</v>
      </c>
      <c r="I11" s="138"/>
      <c r="J11" s="141">
        <v>430000</v>
      </c>
      <c r="K11" s="141"/>
      <c r="L11" s="150"/>
      <c r="M11" s="141"/>
      <c r="N11" s="141"/>
      <c r="O11" s="141">
        <f t="shared" si="2"/>
        <v>1172720</v>
      </c>
      <c r="P11" s="141">
        <v>3650000</v>
      </c>
      <c r="Q11" s="141">
        <f t="shared" si="1"/>
        <v>2477280</v>
      </c>
      <c r="R11" s="143"/>
    </row>
    <row r="12" spans="1:18" ht="20.45" customHeight="1" x14ac:dyDescent="0.25">
      <c r="A12" s="308">
        <v>5</v>
      </c>
      <c r="B12" s="303">
        <v>44900</v>
      </c>
      <c r="C12" s="138" t="s">
        <v>4630</v>
      </c>
      <c r="D12" s="308" t="s">
        <v>4646</v>
      </c>
      <c r="E12" s="146" t="s">
        <v>4639</v>
      </c>
      <c r="F12" s="138"/>
      <c r="G12" s="138">
        <v>386</v>
      </c>
      <c r="H12" s="141">
        <f t="shared" si="0"/>
        <v>8959060</v>
      </c>
      <c r="I12" s="138"/>
      <c r="J12" s="141">
        <v>3020000</v>
      </c>
      <c r="K12" s="141"/>
      <c r="L12" s="150"/>
      <c r="M12" s="141"/>
      <c r="N12" s="141"/>
      <c r="O12" s="141">
        <f t="shared" si="2"/>
        <v>11979060</v>
      </c>
      <c r="P12" s="141">
        <v>22420000</v>
      </c>
      <c r="Q12" s="141">
        <f t="shared" si="1"/>
        <v>10440940</v>
      </c>
      <c r="R12" s="143"/>
    </row>
    <row r="13" spans="1:18" ht="20.45" customHeight="1" x14ac:dyDescent="0.25">
      <c r="A13" s="308">
        <v>6</v>
      </c>
      <c r="B13" s="303">
        <v>44902</v>
      </c>
      <c r="C13" s="138" t="s">
        <v>4631</v>
      </c>
      <c r="D13" s="308" t="s">
        <v>4647</v>
      </c>
      <c r="E13" s="146" t="s">
        <v>23</v>
      </c>
      <c r="F13" s="138"/>
      <c r="G13" s="138">
        <v>240</v>
      </c>
      <c r="H13" s="141">
        <f t="shared" si="0"/>
        <v>5570400</v>
      </c>
      <c r="I13" s="138"/>
      <c r="J13" s="141">
        <v>2380000</v>
      </c>
      <c r="K13" s="141"/>
      <c r="L13" s="150"/>
      <c r="M13" s="141"/>
      <c r="N13" s="141"/>
      <c r="O13" s="141">
        <f t="shared" si="2"/>
        <v>7950400</v>
      </c>
      <c r="P13" s="141">
        <v>14509259</v>
      </c>
      <c r="Q13" s="141">
        <f t="shared" si="1"/>
        <v>6558859</v>
      </c>
      <c r="R13" s="143"/>
    </row>
    <row r="14" spans="1:18" ht="20.45" customHeight="1" x14ac:dyDescent="0.25">
      <c r="A14" s="308">
        <v>7</v>
      </c>
      <c r="B14" s="303">
        <v>44903</v>
      </c>
      <c r="C14" s="138" t="s">
        <v>3455</v>
      </c>
      <c r="D14" s="308" t="s">
        <v>4069</v>
      </c>
      <c r="E14" s="146" t="s">
        <v>4640</v>
      </c>
      <c r="F14" s="138"/>
      <c r="G14" s="138">
        <v>60</v>
      </c>
      <c r="H14" s="141">
        <f t="shared" si="0"/>
        <v>1392600</v>
      </c>
      <c r="I14" s="138"/>
      <c r="J14" s="141">
        <v>430000</v>
      </c>
      <c r="K14" s="141"/>
      <c r="L14" s="150"/>
      <c r="M14" s="141"/>
      <c r="N14" s="141"/>
      <c r="O14" s="141">
        <f t="shared" si="2"/>
        <v>1822600</v>
      </c>
      <c r="P14" s="141">
        <v>3390000</v>
      </c>
      <c r="Q14" s="141">
        <f t="shared" si="1"/>
        <v>1567400</v>
      </c>
      <c r="R14" s="143"/>
    </row>
    <row r="15" spans="1:18" ht="20.45" customHeight="1" x14ac:dyDescent="0.25">
      <c r="A15" s="308">
        <v>8</v>
      </c>
      <c r="B15" s="303">
        <v>44904</v>
      </c>
      <c r="C15" s="138" t="s">
        <v>4632</v>
      </c>
      <c r="D15" s="308" t="s">
        <v>4648</v>
      </c>
      <c r="E15" s="146" t="s">
        <v>2990</v>
      </c>
      <c r="F15" s="138"/>
      <c r="G15" s="138">
        <v>84</v>
      </c>
      <c r="H15" s="141">
        <f t="shared" si="0"/>
        <v>1949640</v>
      </c>
      <c r="I15" s="138"/>
      <c r="J15" s="141">
        <v>610000</v>
      </c>
      <c r="K15" s="141"/>
      <c r="L15" s="150"/>
      <c r="M15" s="141"/>
      <c r="N15" s="141"/>
      <c r="O15" s="141">
        <f t="shared" si="2"/>
        <v>2559640</v>
      </c>
      <c r="P15" s="141">
        <v>4200000</v>
      </c>
      <c r="Q15" s="141">
        <f t="shared" si="1"/>
        <v>1640360</v>
      </c>
      <c r="R15" s="143"/>
    </row>
    <row r="16" spans="1:18" ht="20.45" customHeight="1" x14ac:dyDescent="0.25">
      <c r="A16" s="308">
        <v>9</v>
      </c>
      <c r="B16" s="303">
        <v>44907</v>
      </c>
      <c r="C16" s="138" t="s">
        <v>4633</v>
      </c>
      <c r="D16" s="308" t="s">
        <v>4649</v>
      </c>
      <c r="E16" s="146" t="s">
        <v>4509</v>
      </c>
      <c r="F16" s="138"/>
      <c r="G16" s="138">
        <v>373</v>
      </c>
      <c r="H16" s="141">
        <f>G16*21670</f>
        <v>8082910</v>
      </c>
      <c r="I16" s="138"/>
      <c r="J16" s="141">
        <v>3016000</v>
      </c>
      <c r="K16" s="141"/>
      <c r="L16" s="150"/>
      <c r="M16" s="141"/>
      <c r="N16" s="141"/>
      <c r="O16" s="141">
        <f t="shared" si="2"/>
        <v>11098910</v>
      </c>
      <c r="P16" s="141">
        <v>21770000</v>
      </c>
      <c r="Q16" s="141">
        <f t="shared" si="1"/>
        <v>10671090</v>
      </c>
      <c r="R16" s="143"/>
    </row>
    <row r="17" spans="1:18" ht="20.45" customHeight="1" x14ac:dyDescent="0.25">
      <c r="A17" s="308">
        <v>10</v>
      </c>
      <c r="B17" s="303">
        <v>44907</v>
      </c>
      <c r="C17" s="138" t="s">
        <v>35</v>
      </c>
      <c r="D17" s="308" t="s">
        <v>4650</v>
      </c>
      <c r="E17" s="146" t="s">
        <v>23</v>
      </c>
      <c r="F17" s="138"/>
      <c r="G17" s="138">
        <v>240</v>
      </c>
      <c r="H17" s="141">
        <f t="shared" ref="H17:H19" si="3">G17*21670</f>
        <v>5200800</v>
      </c>
      <c r="I17" s="138"/>
      <c r="J17" s="141">
        <v>2380000</v>
      </c>
      <c r="K17" s="141"/>
      <c r="L17" s="150"/>
      <c r="M17" s="141"/>
      <c r="N17" s="141"/>
      <c r="O17" s="141">
        <f t="shared" si="2"/>
        <v>7580800</v>
      </c>
      <c r="P17" s="141">
        <v>14166667</v>
      </c>
      <c r="Q17" s="141">
        <f t="shared" si="1"/>
        <v>6585867</v>
      </c>
      <c r="R17" s="143"/>
    </row>
    <row r="18" spans="1:18" ht="20.45" customHeight="1" x14ac:dyDescent="0.25">
      <c r="A18" s="308">
        <v>11</v>
      </c>
      <c r="B18" s="303">
        <v>44910</v>
      </c>
      <c r="C18" s="138" t="s">
        <v>1455</v>
      </c>
      <c r="D18" s="308" t="s">
        <v>4651</v>
      </c>
      <c r="E18" s="146" t="s">
        <v>25</v>
      </c>
      <c r="F18" s="138"/>
      <c r="G18" s="138">
        <v>180</v>
      </c>
      <c r="H18" s="141">
        <f t="shared" si="3"/>
        <v>3900600</v>
      </c>
      <c r="I18" s="138"/>
      <c r="J18" s="141">
        <v>1530000</v>
      </c>
      <c r="K18" s="141"/>
      <c r="L18" s="150"/>
      <c r="M18" s="141"/>
      <c r="N18" s="141"/>
      <c r="O18" s="141">
        <f>SUM(H18:N18)</f>
        <v>5430600</v>
      </c>
      <c r="P18" s="141">
        <v>8883333</v>
      </c>
      <c r="Q18" s="141">
        <f t="shared" si="1"/>
        <v>3452733</v>
      </c>
      <c r="R18" s="143"/>
    </row>
    <row r="19" spans="1:18" ht="20.45" customHeight="1" x14ac:dyDescent="0.25">
      <c r="A19" s="308">
        <v>12</v>
      </c>
      <c r="B19" s="303">
        <v>44910</v>
      </c>
      <c r="C19" s="138" t="s">
        <v>2136</v>
      </c>
      <c r="D19" s="308" t="s">
        <v>4652</v>
      </c>
      <c r="E19" s="146" t="s">
        <v>25</v>
      </c>
      <c r="F19" s="138"/>
      <c r="G19" s="138">
        <v>184</v>
      </c>
      <c r="H19" s="141">
        <f t="shared" si="3"/>
        <v>3987280</v>
      </c>
      <c r="I19" s="138"/>
      <c r="J19" s="141">
        <v>1530000</v>
      </c>
      <c r="K19" s="141"/>
      <c r="L19" s="150"/>
      <c r="M19" s="141"/>
      <c r="N19" s="141"/>
      <c r="O19" s="141">
        <f>SUM(H19:N19)</f>
        <v>5517280</v>
      </c>
      <c r="P19" s="141">
        <v>8883333</v>
      </c>
      <c r="Q19" s="141">
        <f t="shared" si="1"/>
        <v>3366053</v>
      </c>
      <c r="R19" s="143"/>
    </row>
    <row r="20" spans="1:18" ht="20.45" customHeight="1" x14ac:dyDescent="0.25">
      <c r="A20" s="308">
        <v>13</v>
      </c>
      <c r="B20" s="303">
        <v>44915</v>
      </c>
      <c r="C20" s="138" t="s">
        <v>4634</v>
      </c>
      <c r="D20" s="308" t="s">
        <v>4653</v>
      </c>
      <c r="E20" s="146" t="s">
        <v>2883</v>
      </c>
      <c r="F20" s="138"/>
      <c r="G20" s="138">
        <v>62</v>
      </c>
      <c r="H20" s="141">
        <f>G20*21670</f>
        <v>1343540</v>
      </c>
      <c r="I20" s="138"/>
      <c r="J20" s="141">
        <v>430000</v>
      </c>
      <c r="K20" s="141"/>
      <c r="L20" s="150"/>
      <c r="M20" s="141"/>
      <c r="N20" s="141"/>
      <c r="O20" s="141">
        <f t="shared" si="2"/>
        <v>1773540</v>
      </c>
      <c r="P20" s="141">
        <v>3400000</v>
      </c>
      <c r="Q20" s="141">
        <f t="shared" si="1"/>
        <v>1626460</v>
      </c>
      <c r="R20" s="143"/>
    </row>
    <row r="21" spans="1:18" ht="20.45" customHeight="1" x14ac:dyDescent="0.25">
      <c r="A21" s="308">
        <v>14</v>
      </c>
      <c r="B21" s="303">
        <v>44915</v>
      </c>
      <c r="C21" s="138" t="s">
        <v>4635</v>
      </c>
      <c r="D21" s="308" t="s">
        <v>4654</v>
      </c>
      <c r="E21" s="146" t="s">
        <v>23</v>
      </c>
      <c r="F21" s="138"/>
      <c r="G21" s="138">
        <v>240</v>
      </c>
      <c r="H21" s="141">
        <f>G21*21600</f>
        <v>5184000</v>
      </c>
      <c r="I21" s="138"/>
      <c r="J21" s="141">
        <v>2380000</v>
      </c>
      <c r="K21" s="141"/>
      <c r="L21" s="150"/>
      <c r="M21" s="141"/>
      <c r="N21" s="141"/>
      <c r="O21" s="141">
        <f t="shared" si="2"/>
        <v>7564000</v>
      </c>
      <c r="P21" s="141">
        <v>14166667</v>
      </c>
      <c r="Q21" s="141">
        <f t="shared" si="1"/>
        <v>6602667</v>
      </c>
      <c r="R21" s="143"/>
    </row>
    <row r="22" spans="1:18" ht="20.45" customHeight="1" x14ac:dyDescent="0.25">
      <c r="A22" s="308">
        <v>15</v>
      </c>
      <c r="B22" s="303">
        <v>44916</v>
      </c>
      <c r="C22" s="138" t="s">
        <v>796</v>
      </c>
      <c r="D22" s="308" t="s">
        <v>4655</v>
      </c>
      <c r="E22" s="146" t="s">
        <v>25</v>
      </c>
      <c r="F22" s="138"/>
      <c r="G22" s="138">
        <v>183</v>
      </c>
      <c r="H22" s="141">
        <f t="shared" ref="H22:H26" si="4">G22*21600</f>
        <v>3952800</v>
      </c>
      <c r="I22" s="138"/>
      <c r="J22" s="141">
        <v>1530000</v>
      </c>
      <c r="K22" s="141"/>
      <c r="L22" s="150"/>
      <c r="M22" s="141"/>
      <c r="N22" s="141"/>
      <c r="O22" s="141">
        <f t="shared" si="2"/>
        <v>5482800</v>
      </c>
      <c r="P22" s="141">
        <v>8883333</v>
      </c>
      <c r="Q22" s="141">
        <f t="shared" si="1"/>
        <v>3400533</v>
      </c>
      <c r="R22" s="143"/>
    </row>
    <row r="23" spans="1:18" ht="25.5" customHeight="1" x14ac:dyDescent="0.25">
      <c r="A23" s="308">
        <v>16</v>
      </c>
      <c r="B23" s="303">
        <v>44917</v>
      </c>
      <c r="C23" s="138" t="s">
        <v>3460</v>
      </c>
      <c r="D23" s="308" t="s">
        <v>4656</v>
      </c>
      <c r="E23" s="146" t="s">
        <v>4597</v>
      </c>
      <c r="F23" s="138"/>
      <c r="G23" s="138">
        <v>390</v>
      </c>
      <c r="H23" s="141">
        <f t="shared" si="4"/>
        <v>8424000</v>
      </c>
      <c r="I23" s="138"/>
      <c r="J23" s="141">
        <v>3016000</v>
      </c>
      <c r="K23" s="141"/>
      <c r="L23" s="150"/>
      <c r="M23" s="141"/>
      <c r="N23" s="141"/>
      <c r="O23" s="141">
        <f t="shared" si="2"/>
        <v>11440000</v>
      </c>
      <c r="P23" s="141">
        <v>21870000</v>
      </c>
      <c r="Q23" s="141">
        <f t="shared" si="1"/>
        <v>10430000</v>
      </c>
      <c r="R23" s="143"/>
    </row>
    <row r="24" spans="1:18" ht="25.5" customHeight="1" x14ac:dyDescent="0.25">
      <c r="A24" s="308">
        <v>17</v>
      </c>
      <c r="B24" s="303">
        <v>44921</v>
      </c>
      <c r="C24" s="138" t="s">
        <v>4636</v>
      </c>
      <c r="D24" s="308" t="s">
        <v>4657</v>
      </c>
      <c r="E24" s="146" t="s">
        <v>25</v>
      </c>
      <c r="F24" s="138"/>
      <c r="G24" s="138">
        <v>184</v>
      </c>
      <c r="H24" s="141">
        <f t="shared" si="4"/>
        <v>3974400</v>
      </c>
      <c r="I24" s="138"/>
      <c r="J24" s="141">
        <v>1530000</v>
      </c>
      <c r="K24" s="141"/>
      <c r="L24" s="150"/>
      <c r="M24" s="141"/>
      <c r="N24" s="141"/>
      <c r="O24" s="141">
        <f t="shared" si="2"/>
        <v>5504400</v>
      </c>
      <c r="P24" s="141">
        <v>8883333</v>
      </c>
      <c r="Q24" s="141">
        <f t="shared" si="1"/>
        <v>3378933</v>
      </c>
      <c r="R24" s="143"/>
    </row>
    <row r="25" spans="1:18" ht="25.5" customHeight="1" x14ac:dyDescent="0.25">
      <c r="A25" s="308">
        <v>18</v>
      </c>
      <c r="B25" s="303">
        <v>44921</v>
      </c>
      <c r="C25" s="138" t="s">
        <v>4637</v>
      </c>
      <c r="D25" s="308" t="s">
        <v>4658</v>
      </c>
      <c r="E25" s="146" t="s">
        <v>2798</v>
      </c>
      <c r="F25" s="138"/>
      <c r="G25" s="138">
        <v>110</v>
      </c>
      <c r="H25" s="141">
        <f t="shared" si="4"/>
        <v>2376000</v>
      </c>
      <c r="I25" s="138"/>
      <c r="J25" s="141">
        <v>790000</v>
      </c>
      <c r="K25" s="141"/>
      <c r="L25" s="150"/>
      <c r="M25" s="141"/>
      <c r="N25" s="141"/>
      <c r="O25" s="141">
        <f t="shared" si="2"/>
        <v>3166000</v>
      </c>
      <c r="P25" s="141">
        <v>5185185</v>
      </c>
      <c r="Q25" s="141">
        <f t="shared" si="1"/>
        <v>2019185</v>
      </c>
      <c r="R25" s="143"/>
    </row>
    <row r="26" spans="1:18" ht="25.5" customHeight="1" x14ac:dyDescent="0.25">
      <c r="A26" s="308">
        <v>19</v>
      </c>
      <c r="B26" s="303">
        <v>44923</v>
      </c>
      <c r="C26" s="138" t="s">
        <v>3463</v>
      </c>
      <c r="D26" s="308" t="s">
        <v>4659</v>
      </c>
      <c r="E26" s="146" t="s">
        <v>4641</v>
      </c>
      <c r="F26" s="138"/>
      <c r="G26" s="138">
        <v>386</v>
      </c>
      <c r="H26" s="141">
        <f t="shared" si="4"/>
        <v>8337600</v>
      </c>
      <c r="I26" s="138"/>
      <c r="J26" s="141">
        <v>3020000</v>
      </c>
      <c r="K26" s="141"/>
      <c r="L26" s="150"/>
      <c r="M26" s="141"/>
      <c r="N26" s="141"/>
      <c r="O26" s="141">
        <f t="shared" si="2"/>
        <v>11357600</v>
      </c>
      <c r="P26" s="141">
        <v>21870000</v>
      </c>
      <c r="Q26" s="141">
        <f t="shared" si="1"/>
        <v>10512400</v>
      </c>
      <c r="R26" s="143"/>
    </row>
    <row r="27" spans="1:18" ht="25.5" customHeight="1" x14ac:dyDescent="0.25">
      <c r="A27" s="308">
        <v>20</v>
      </c>
      <c r="B27" s="303">
        <v>44926</v>
      </c>
      <c r="C27" s="138" t="s">
        <v>4638</v>
      </c>
      <c r="D27" s="308" t="s">
        <v>4660</v>
      </c>
      <c r="E27" s="146" t="s">
        <v>4641</v>
      </c>
      <c r="F27" s="138"/>
      <c r="G27" s="138">
        <v>386</v>
      </c>
      <c r="H27" s="141">
        <f>G27*22150</f>
        <v>8549900</v>
      </c>
      <c r="I27" s="138"/>
      <c r="J27" s="141">
        <v>3232000</v>
      </c>
      <c r="K27" s="141"/>
      <c r="L27" s="150"/>
      <c r="M27" s="141"/>
      <c r="N27" s="141"/>
      <c r="O27" s="141">
        <f t="shared" si="2"/>
        <v>11781900</v>
      </c>
      <c r="P27" s="141">
        <v>22275000</v>
      </c>
      <c r="Q27" s="141">
        <f t="shared" si="1"/>
        <v>10493100</v>
      </c>
      <c r="R27" s="143"/>
    </row>
    <row r="28" spans="1:18" ht="25.5" customHeight="1" x14ac:dyDescent="0.25">
      <c r="A28" s="308"/>
      <c r="B28" s="303"/>
      <c r="C28" s="138"/>
      <c r="D28" s="308"/>
      <c r="E28" s="146"/>
      <c r="F28" s="138"/>
      <c r="G28" s="138"/>
      <c r="H28" s="141"/>
      <c r="I28" s="138"/>
      <c r="J28" s="141"/>
      <c r="K28" s="141"/>
      <c r="L28" s="150"/>
      <c r="M28" s="141"/>
      <c r="N28" s="141"/>
      <c r="O28" s="141"/>
      <c r="P28" s="141"/>
      <c r="Q28" s="141"/>
      <c r="R28" s="143"/>
    </row>
    <row r="29" spans="1:18" ht="24.95" customHeight="1" x14ac:dyDescent="0.25">
      <c r="A29" s="211"/>
      <c r="B29" s="337"/>
      <c r="C29" s="440" t="s">
        <v>4662</v>
      </c>
      <c r="D29" s="441"/>
      <c r="E29" s="442"/>
      <c r="F29" s="196"/>
      <c r="G29" s="195"/>
      <c r="H29" s="155"/>
      <c r="I29" s="195"/>
      <c r="J29" s="155"/>
      <c r="K29" s="219"/>
      <c r="L29" s="185">
        <v>8750000</v>
      </c>
      <c r="M29" s="219"/>
      <c r="N29" s="139"/>
      <c r="O29" s="139">
        <f t="shared" ref="O29:O37" si="5">SUM(H29:N29)</f>
        <v>8750000</v>
      </c>
      <c r="P29" s="139"/>
      <c r="Q29" s="139"/>
      <c r="R29" s="143"/>
    </row>
    <row r="30" spans="1:18" ht="24.95" customHeight="1" x14ac:dyDescent="0.25">
      <c r="A30" s="211"/>
      <c r="B30" s="337"/>
      <c r="C30" s="452" t="s">
        <v>4663</v>
      </c>
      <c r="D30" s="453"/>
      <c r="E30" s="454"/>
      <c r="F30" s="196"/>
      <c r="G30" s="195"/>
      <c r="H30" s="155"/>
      <c r="I30" s="195"/>
      <c r="J30" s="155"/>
      <c r="K30" s="219"/>
      <c r="L30" s="219"/>
      <c r="M30" s="219"/>
      <c r="N30" s="185">
        <v>11800000</v>
      </c>
      <c r="O30" s="139">
        <f t="shared" si="5"/>
        <v>11800000</v>
      </c>
      <c r="P30" s="139"/>
      <c r="Q30" s="139"/>
      <c r="R30" s="143"/>
    </row>
    <row r="31" spans="1:18" ht="24.95" customHeight="1" x14ac:dyDescent="0.25">
      <c r="A31" s="211"/>
      <c r="B31" s="337"/>
      <c r="C31" s="452" t="s">
        <v>4664</v>
      </c>
      <c r="D31" s="453"/>
      <c r="E31" s="454"/>
      <c r="F31" s="196"/>
      <c r="G31" s="195"/>
      <c r="H31" s="155"/>
      <c r="I31" s="195"/>
      <c r="J31" s="155"/>
      <c r="K31" s="219"/>
      <c r="L31" s="185">
        <v>1296000</v>
      </c>
      <c r="M31" s="219"/>
      <c r="N31" s="139"/>
      <c r="O31" s="139">
        <f t="shared" si="5"/>
        <v>1296000</v>
      </c>
      <c r="P31" s="139"/>
      <c r="Q31" s="139"/>
      <c r="R31" s="143"/>
    </row>
    <row r="32" spans="1:18" ht="24.95" customHeight="1" x14ac:dyDescent="0.25">
      <c r="A32" s="211"/>
      <c r="B32" s="337"/>
      <c r="C32" s="452" t="s">
        <v>4668</v>
      </c>
      <c r="D32" s="453"/>
      <c r="E32" s="454"/>
      <c r="F32" s="196"/>
      <c r="G32" s="195"/>
      <c r="H32" s="155"/>
      <c r="I32" s="195"/>
      <c r="J32" s="155"/>
      <c r="K32" s="219"/>
      <c r="L32" s="185">
        <v>1000000</v>
      </c>
      <c r="M32" s="219"/>
      <c r="N32" s="139"/>
      <c r="O32" s="139">
        <f t="shared" si="5"/>
        <v>1000000</v>
      </c>
      <c r="P32" s="139"/>
      <c r="Q32" s="139"/>
      <c r="R32" s="143"/>
    </row>
    <row r="33" spans="1:19" ht="24.95" customHeight="1" x14ac:dyDescent="0.25">
      <c r="A33" s="211"/>
      <c r="B33" s="337"/>
      <c r="C33" s="452" t="s">
        <v>4667</v>
      </c>
      <c r="D33" s="453"/>
      <c r="E33" s="454"/>
      <c r="F33" s="196"/>
      <c r="G33" s="195"/>
      <c r="H33" s="155"/>
      <c r="I33" s="195"/>
      <c r="J33" s="155"/>
      <c r="K33" s="219"/>
      <c r="L33" s="185">
        <v>1000000</v>
      </c>
      <c r="M33" s="219"/>
      <c r="N33" s="139"/>
      <c r="O33" s="139">
        <f t="shared" si="5"/>
        <v>1000000</v>
      </c>
      <c r="P33" s="139"/>
      <c r="Q33" s="139"/>
      <c r="R33" s="143"/>
    </row>
    <row r="34" spans="1:19" ht="26.25" customHeight="1" x14ac:dyDescent="0.25">
      <c r="A34" s="211"/>
      <c r="B34" s="337"/>
      <c r="C34" s="452" t="s">
        <v>4514</v>
      </c>
      <c r="D34" s="453"/>
      <c r="E34" s="454"/>
      <c r="F34" s="196"/>
      <c r="G34" s="195"/>
      <c r="H34" s="155"/>
      <c r="I34" s="195"/>
      <c r="J34" s="155"/>
      <c r="K34" s="219">
        <v>16892000</v>
      </c>
      <c r="L34" s="219"/>
      <c r="M34" s="219"/>
      <c r="N34" s="139"/>
      <c r="O34" s="139">
        <f t="shared" si="5"/>
        <v>16892000</v>
      </c>
      <c r="P34" s="139"/>
      <c r="Q34" s="139"/>
      <c r="R34" s="143"/>
    </row>
    <row r="35" spans="1:19" ht="24.95" customHeight="1" x14ac:dyDescent="0.25">
      <c r="A35" s="211"/>
      <c r="B35" s="337"/>
      <c r="C35" s="452" t="s">
        <v>4665</v>
      </c>
      <c r="D35" s="453"/>
      <c r="E35" s="454"/>
      <c r="F35" s="196"/>
      <c r="G35" s="195"/>
      <c r="H35" s="155"/>
      <c r="I35" s="195"/>
      <c r="J35" s="155"/>
      <c r="K35" s="185">
        <v>8600000</v>
      </c>
      <c r="L35" s="219"/>
      <c r="M35" s="139"/>
      <c r="N35" s="139"/>
      <c r="O35" s="139">
        <f t="shared" si="5"/>
        <v>8600000</v>
      </c>
      <c r="P35" s="139"/>
      <c r="Q35" s="139"/>
      <c r="R35" s="143"/>
    </row>
    <row r="36" spans="1:19" ht="24.95" customHeight="1" x14ac:dyDescent="0.25">
      <c r="A36" s="211"/>
      <c r="B36" s="337"/>
      <c r="C36" s="350" t="s">
        <v>4673</v>
      </c>
      <c r="D36" s="351"/>
      <c r="E36" s="352"/>
      <c r="F36" s="239"/>
      <c r="G36" s="353"/>
      <c r="H36" s="207"/>
      <c r="I36" s="353"/>
      <c r="J36" s="207"/>
      <c r="K36" s="233">
        <v>4000000</v>
      </c>
      <c r="L36" s="219"/>
      <c r="M36" s="139"/>
      <c r="N36" s="139"/>
      <c r="O36" s="139">
        <f t="shared" si="5"/>
        <v>4000000</v>
      </c>
      <c r="P36" s="139"/>
      <c r="Q36" s="139"/>
      <c r="R36" s="143"/>
    </row>
    <row r="37" spans="1:19" ht="24.95" customHeight="1" x14ac:dyDescent="0.25">
      <c r="A37" s="211"/>
      <c r="B37" s="337"/>
      <c r="C37" s="452" t="s">
        <v>26</v>
      </c>
      <c r="D37" s="453"/>
      <c r="E37" s="454"/>
      <c r="F37" s="196"/>
      <c r="G37" s="195"/>
      <c r="H37" s="155"/>
      <c r="I37" s="195"/>
      <c r="J37" s="155"/>
      <c r="K37" s="219"/>
      <c r="L37" s="219">
        <v>1200000</v>
      </c>
      <c r="M37" s="139"/>
      <c r="N37" s="139"/>
      <c r="O37" s="139">
        <f t="shared" si="5"/>
        <v>1200000</v>
      </c>
      <c r="P37" s="139"/>
      <c r="Q37" s="139"/>
      <c r="R37" s="143"/>
    </row>
    <row r="38" spans="1:19" ht="20.45" customHeight="1" x14ac:dyDescent="0.25">
      <c r="A38" s="450" t="s">
        <v>20</v>
      </c>
      <c r="B38" s="450"/>
      <c r="C38" s="450"/>
      <c r="D38" s="450"/>
      <c r="E38" s="450"/>
      <c r="F38" s="450"/>
      <c r="G38" s="334">
        <f t="shared" ref="G38:O38" si="6">SUM(G8:G37)</f>
        <v>4340</v>
      </c>
      <c r="H38" s="334">
        <f t="shared" si="6"/>
        <v>96318450</v>
      </c>
      <c r="I38" s="334">
        <f t="shared" si="6"/>
        <v>0</v>
      </c>
      <c r="J38" s="334">
        <f t="shared" si="6"/>
        <v>36807000</v>
      </c>
      <c r="K38" s="334">
        <f t="shared" si="6"/>
        <v>29492000</v>
      </c>
      <c r="L38" s="334">
        <f t="shared" si="6"/>
        <v>13246000</v>
      </c>
      <c r="M38" s="334">
        <f t="shared" si="6"/>
        <v>0</v>
      </c>
      <c r="N38" s="334">
        <f t="shared" si="6"/>
        <v>11800000</v>
      </c>
      <c r="O38" s="334">
        <f t="shared" si="6"/>
        <v>187663450</v>
      </c>
      <c r="P38" s="335">
        <f>SUM(P8:P37)</f>
        <v>243990369</v>
      </c>
      <c r="Q38" s="334">
        <f>P38-O38</f>
        <v>56326919</v>
      </c>
    </row>
    <row r="39" spans="1:19" ht="24.95" customHeight="1" x14ac:dyDescent="0.25">
      <c r="O39" s="158"/>
      <c r="Q39" s="158"/>
    </row>
    <row r="40" spans="1:19" ht="13.9" customHeight="1" x14ac:dyDescent="0.25">
      <c r="P40" s="216" t="s">
        <v>1603</v>
      </c>
      <c r="Q40" s="298">
        <f>'11.2022'!Q41+'12.2022'!Q38</f>
        <v>367027275</v>
      </c>
      <c r="S40" s="216"/>
    </row>
    <row r="41" spans="1:19" ht="13.9" customHeight="1" x14ac:dyDescent="0.25">
      <c r="B41" s="129"/>
      <c r="J41" s="128"/>
      <c r="K41" s="128"/>
      <c r="L41" s="128"/>
      <c r="N41" s="128"/>
      <c r="O41" s="128"/>
      <c r="P41" s="218" t="s">
        <v>106</v>
      </c>
      <c r="Q41" s="216">
        <v>24000000</v>
      </c>
    </row>
    <row r="42" spans="1:19" ht="13.9" customHeight="1" x14ac:dyDescent="0.25">
      <c r="B42" s="129"/>
      <c r="H42" s="128"/>
      <c r="J42" s="128"/>
      <c r="K42" s="128"/>
      <c r="L42" s="128"/>
      <c r="M42" s="128"/>
      <c r="N42" s="128"/>
      <c r="O42" s="128"/>
      <c r="P42" s="218" t="s">
        <v>2805</v>
      </c>
      <c r="Q42" s="230">
        <f>Q40-Q41</f>
        <v>343027275</v>
      </c>
    </row>
    <row r="43" spans="1:19" ht="13.9" customHeight="1" x14ac:dyDescent="0.25">
      <c r="B43" s="129"/>
      <c r="H43" s="128"/>
      <c r="J43" s="128"/>
      <c r="K43" s="128"/>
      <c r="L43" s="128"/>
      <c r="M43" s="128"/>
      <c r="N43" s="128"/>
      <c r="O43" s="128"/>
      <c r="P43" s="218" t="s">
        <v>2861</v>
      </c>
      <c r="Q43" s="372">
        <f>Q42*11.7%</f>
        <v>40134191.174999997</v>
      </c>
      <c r="R43" s="143"/>
    </row>
    <row r="44" spans="1:19" x14ac:dyDescent="0.25">
      <c r="B44" s="129"/>
      <c r="H44" s="128"/>
      <c r="J44" s="128"/>
      <c r="K44" s="128"/>
      <c r="L44" s="128"/>
      <c r="M44" s="128"/>
      <c r="N44" s="128"/>
      <c r="O44" s="128"/>
      <c r="P44" s="218"/>
      <c r="Q44" s="216"/>
    </row>
    <row r="45" spans="1:19" x14ac:dyDescent="0.25">
      <c r="A45" s="128"/>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8"/>
      <c r="G47" s="143"/>
      <c r="J47" s="128"/>
      <c r="K47" s="128"/>
      <c r="L47" s="128"/>
      <c r="M47" s="128"/>
      <c r="N47" s="128"/>
      <c r="O47" s="128"/>
      <c r="P47" s="128"/>
      <c r="Q47" s="216"/>
    </row>
    <row r="48" spans="1:19" x14ac:dyDescent="0.25">
      <c r="A48" s="128"/>
      <c r="B48" s="128"/>
      <c r="H48" s="128"/>
      <c r="J48" s="128"/>
      <c r="K48" s="128"/>
      <c r="L48" s="128"/>
      <c r="M48" s="128"/>
      <c r="N48" s="128"/>
      <c r="O48" s="128"/>
      <c r="P48" s="128"/>
      <c r="Q48" s="216"/>
    </row>
    <row r="50" spans="1:19" s="143" customFormat="1" x14ac:dyDescent="0.25">
      <c r="A50" s="129"/>
      <c r="B50" s="163"/>
      <c r="C50" s="128"/>
      <c r="D50" s="128"/>
      <c r="E50" s="128"/>
      <c r="F50" s="128"/>
      <c r="I50" s="128"/>
      <c r="R50" s="128"/>
      <c r="S50" s="128"/>
    </row>
  </sheetData>
  <mergeCells count="22">
    <mergeCell ref="C31:E31"/>
    <mergeCell ref="A1:Q1"/>
    <mergeCell ref="A2:Q2"/>
    <mergeCell ref="B3:Q3"/>
    <mergeCell ref="A5:A6"/>
    <mergeCell ref="B5:B6"/>
    <mergeCell ref="C5:C6"/>
    <mergeCell ref="D5:D6"/>
    <mergeCell ref="E5:E6"/>
    <mergeCell ref="F5:F6"/>
    <mergeCell ref="G5:N5"/>
    <mergeCell ref="O5:O6"/>
    <mergeCell ref="P5:P6"/>
    <mergeCell ref="Q5:Q6"/>
    <mergeCell ref="C29:E29"/>
    <mergeCell ref="C30:E30"/>
    <mergeCell ref="C32:E32"/>
    <mergeCell ref="C35:E35"/>
    <mergeCell ref="C37:E37"/>
    <mergeCell ref="A38:F38"/>
    <mergeCell ref="C34:E34"/>
    <mergeCell ref="C33:E33"/>
  </mergeCells>
  <pageMargins left="0.7" right="0.7" top="0.75" bottom="0.75" header="0.3" footer="0.3"/>
  <pageSetup paperSize="9" orientation="portrait" horizontalDpi="0"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08DE8-4F8C-42B1-AC36-D6E19182E929}">
  <dimension ref="A1:S40"/>
  <sheetViews>
    <sheetView topLeftCell="E16" workbookViewId="0">
      <selection activeCell="O24" sqref="O24"/>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4674</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2.5" customHeight="1" x14ac:dyDescent="0.25">
      <c r="A8" s="308">
        <v>1</v>
      </c>
      <c r="B8" s="303">
        <v>44930</v>
      </c>
      <c r="C8" s="138" t="s">
        <v>4675</v>
      </c>
      <c r="D8" s="308" t="s">
        <v>4676</v>
      </c>
      <c r="E8" s="146" t="s">
        <v>4677</v>
      </c>
      <c r="F8" s="138"/>
      <c r="G8" s="138">
        <v>155</v>
      </c>
      <c r="H8" s="141">
        <f>G8*22150</f>
        <v>3433250</v>
      </c>
      <c r="I8" s="138"/>
      <c r="J8" s="226">
        <v>1080000</v>
      </c>
      <c r="K8" s="141"/>
      <c r="L8" s="150"/>
      <c r="M8" s="141"/>
      <c r="N8" s="141"/>
      <c r="O8" s="141">
        <f>SUM(H8:N8)</f>
        <v>4513250</v>
      </c>
      <c r="P8" s="141">
        <v>7200000</v>
      </c>
      <c r="Q8" s="141">
        <f>P8-O8</f>
        <v>2686750</v>
      </c>
      <c r="R8" s="143"/>
    </row>
    <row r="9" spans="1:18" ht="20.45" customHeight="1" x14ac:dyDescent="0.25">
      <c r="A9" s="308">
        <v>2</v>
      </c>
      <c r="B9" s="303">
        <v>44930</v>
      </c>
      <c r="C9" s="138" t="s">
        <v>3511</v>
      </c>
      <c r="D9" s="308" t="s">
        <v>4678</v>
      </c>
      <c r="E9" s="146" t="s">
        <v>2985</v>
      </c>
      <c r="F9" s="138"/>
      <c r="G9" s="138">
        <v>60</v>
      </c>
      <c r="H9" s="141">
        <f t="shared" ref="H9:H11" si="0">G9*22150</f>
        <v>1329000</v>
      </c>
      <c r="I9" s="138"/>
      <c r="J9" s="226">
        <v>430000</v>
      </c>
      <c r="K9" s="141"/>
      <c r="L9" s="150"/>
      <c r="M9" s="141"/>
      <c r="N9" s="141"/>
      <c r="O9" s="141">
        <f>SUM(H9:N9)</f>
        <v>1759000</v>
      </c>
      <c r="P9" s="141">
        <v>3150000</v>
      </c>
      <c r="Q9" s="141">
        <f t="shared" ref="Q9:Q19" si="1">P9-O9</f>
        <v>1391000</v>
      </c>
      <c r="R9" s="143"/>
    </row>
    <row r="10" spans="1:18" ht="20.45" customHeight="1" x14ac:dyDescent="0.25">
      <c r="A10" s="308">
        <v>3</v>
      </c>
      <c r="B10" s="303">
        <v>44931</v>
      </c>
      <c r="C10" s="138" t="s">
        <v>2864</v>
      </c>
      <c r="D10" s="308" t="s">
        <v>4679</v>
      </c>
      <c r="E10" s="146" t="s">
        <v>4680</v>
      </c>
      <c r="F10" s="138"/>
      <c r="G10" s="138">
        <v>59</v>
      </c>
      <c r="H10" s="141">
        <f t="shared" si="0"/>
        <v>1306850</v>
      </c>
      <c r="I10" s="138"/>
      <c r="J10" s="226">
        <v>430000</v>
      </c>
      <c r="K10" s="141"/>
      <c r="L10" s="150"/>
      <c r="M10" s="141"/>
      <c r="N10" s="141"/>
      <c r="O10" s="141">
        <f t="shared" ref="O10:O17" si="2">SUM(H10:N10)</f>
        <v>1736850</v>
      </c>
      <c r="P10" s="141">
        <v>3200000</v>
      </c>
      <c r="Q10" s="141">
        <f t="shared" si="1"/>
        <v>1463150</v>
      </c>
      <c r="R10" s="143"/>
    </row>
    <row r="11" spans="1:18" ht="20.45" customHeight="1" x14ac:dyDescent="0.25">
      <c r="A11" s="308">
        <v>4</v>
      </c>
      <c r="B11" s="303">
        <v>44932</v>
      </c>
      <c r="C11" s="138" t="s">
        <v>4681</v>
      </c>
      <c r="D11" s="308" t="s">
        <v>4682</v>
      </c>
      <c r="E11" s="146" t="s">
        <v>25</v>
      </c>
      <c r="F11" s="138"/>
      <c r="G11" s="138">
        <v>180</v>
      </c>
      <c r="H11" s="141">
        <f t="shared" si="0"/>
        <v>3987000</v>
      </c>
      <c r="I11" s="138"/>
      <c r="J11" s="226">
        <v>1530000</v>
      </c>
      <c r="K11" s="141"/>
      <c r="L11" s="150"/>
      <c r="M11" s="141"/>
      <c r="N11" s="141"/>
      <c r="O11" s="141">
        <f t="shared" si="2"/>
        <v>5517000</v>
      </c>
      <c r="P11" s="141">
        <v>8883333</v>
      </c>
      <c r="Q11" s="141">
        <f t="shared" si="1"/>
        <v>3366333</v>
      </c>
      <c r="R11" s="143"/>
    </row>
    <row r="12" spans="1:18" ht="20.45" customHeight="1" x14ac:dyDescent="0.25">
      <c r="A12" s="308">
        <v>5</v>
      </c>
      <c r="B12" s="303">
        <v>44933</v>
      </c>
      <c r="C12" s="138" t="s">
        <v>4683</v>
      </c>
      <c r="D12" s="308" t="s">
        <v>4684</v>
      </c>
      <c r="E12" s="146" t="s">
        <v>23</v>
      </c>
      <c r="F12" s="138"/>
      <c r="G12" s="138">
        <v>243</v>
      </c>
      <c r="H12" s="141">
        <f>(G12-3)*22150+3*21630</f>
        <v>5380890</v>
      </c>
      <c r="I12" s="138"/>
      <c r="J12" s="226">
        <v>2380000</v>
      </c>
      <c r="K12" s="141"/>
      <c r="L12" s="150"/>
      <c r="M12" s="141"/>
      <c r="N12" s="141"/>
      <c r="O12" s="141">
        <f t="shared" si="2"/>
        <v>7760890</v>
      </c>
      <c r="P12" s="141">
        <v>14166364</v>
      </c>
      <c r="Q12" s="141">
        <f t="shared" si="1"/>
        <v>6405474</v>
      </c>
      <c r="R12" s="143"/>
    </row>
    <row r="13" spans="1:18" ht="20.45" customHeight="1" x14ac:dyDescent="0.25">
      <c r="A13" s="308">
        <v>6</v>
      </c>
      <c r="B13" s="303">
        <v>44935</v>
      </c>
      <c r="C13" s="138" t="s">
        <v>4685</v>
      </c>
      <c r="D13" s="308" t="s">
        <v>4686</v>
      </c>
      <c r="E13" s="146" t="s">
        <v>4597</v>
      </c>
      <c r="F13" s="138"/>
      <c r="G13" s="138">
        <v>390</v>
      </c>
      <c r="H13" s="141">
        <f>390*21630</f>
        <v>8435700</v>
      </c>
      <c r="I13" s="138"/>
      <c r="J13" s="226">
        <v>2970000</v>
      </c>
      <c r="K13" s="141"/>
      <c r="L13" s="150"/>
      <c r="M13" s="141"/>
      <c r="N13" s="141"/>
      <c r="O13" s="141">
        <f t="shared" si="2"/>
        <v>11405700</v>
      </c>
      <c r="P13" s="141">
        <v>21870000</v>
      </c>
      <c r="Q13" s="141">
        <f t="shared" si="1"/>
        <v>10464300</v>
      </c>
      <c r="R13" s="143"/>
    </row>
    <row r="14" spans="1:18" ht="20.45" customHeight="1" x14ac:dyDescent="0.25">
      <c r="A14" s="308">
        <v>7</v>
      </c>
      <c r="B14" s="303">
        <v>44935</v>
      </c>
      <c r="C14" s="138" t="s">
        <v>2185</v>
      </c>
      <c r="D14" s="308" t="s">
        <v>4687</v>
      </c>
      <c r="E14" s="146" t="s">
        <v>248</v>
      </c>
      <c r="F14" s="138"/>
      <c r="G14" s="138">
        <v>93</v>
      </c>
      <c r="H14" s="141">
        <f>G14*21630</f>
        <v>2011590</v>
      </c>
      <c r="I14" s="138"/>
      <c r="J14" s="226">
        <v>790000</v>
      </c>
      <c r="K14" s="141"/>
      <c r="L14" s="150"/>
      <c r="M14" s="141"/>
      <c r="N14" s="141"/>
      <c r="O14" s="141">
        <f t="shared" si="2"/>
        <v>2801590</v>
      </c>
      <c r="P14" s="141">
        <v>4818182</v>
      </c>
      <c r="Q14" s="141">
        <f t="shared" si="1"/>
        <v>2016592</v>
      </c>
      <c r="R14" s="143"/>
    </row>
    <row r="15" spans="1:18" ht="20.45" customHeight="1" x14ac:dyDescent="0.25">
      <c r="A15" s="308">
        <v>8</v>
      </c>
      <c r="B15" s="303">
        <v>44940</v>
      </c>
      <c r="C15" s="138" t="s">
        <v>4688</v>
      </c>
      <c r="D15" s="308" t="s">
        <v>4689</v>
      </c>
      <c r="E15" s="146" t="s">
        <v>4597</v>
      </c>
      <c r="F15" s="138"/>
      <c r="G15" s="138">
        <v>392</v>
      </c>
      <c r="H15" s="141">
        <f t="shared" ref="H15:H16" si="3">G15*21630</f>
        <v>8478960</v>
      </c>
      <c r="I15" s="138"/>
      <c r="J15" s="226">
        <v>2970000</v>
      </c>
      <c r="K15" s="141"/>
      <c r="L15" s="150"/>
      <c r="M15" s="141"/>
      <c r="N15" s="141"/>
      <c r="O15" s="141">
        <f t="shared" si="2"/>
        <v>11448960</v>
      </c>
      <c r="P15" s="141">
        <v>21870000</v>
      </c>
      <c r="Q15" s="141">
        <f t="shared" si="1"/>
        <v>10421040</v>
      </c>
      <c r="R15" s="143"/>
    </row>
    <row r="16" spans="1:18" ht="20.45" customHeight="1" x14ac:dyDescent="0.25">
      <c r="A16" s="308">
        <v>9</v>
      </c>
      <c r="B16" s="303">
        <v>44940</v>
      </c>
      <c r="C16" s="138" t="s">
        <v>4690</v>
      </c>
      <c r="D16" s="308" t="s">
        <v>4691</v>
      </c>
      <c r="E16" s="146" t="s">
        <v>4597</v>
      </c>
      <c r="F16" s="138"/>
      <c r="G16" s="138">
        <v>393</v>
      </c>
      <c r="H16" s="141">
        <f t="shared" si="3"/>
        <v>8500590</v>
      </c>
      <c r="I16" s="138"/>
      <c r="J16" s="226">
        <v>2970000</v>
      </c>
      <c r="K16" s="141"/>
      <c r="L16" s="150"/>
      <c r="M16" s="141"/>
      <c r="N16" s="141"/>
      <c r="O16" s="141">
        <f t="shared" si="2"/>
        <v>11470590</v>
      </c>
      <c r="P16" s="141">
        <v>21870000</v>
      </c>
      <c r="Q16" s="141">
        <f t="shared" si="1"/>
        <v>10399410</v>
      </c>
      <c r="R16" s="143"/>
    </row>
    <row r="17" spans="1:19" ht="20.45" customHeight="1" x14ac:dyDescent="0.25">
      <c r="A17" s="308">
        <v>10</v>
      </c>
      <c r="B17" s="303">
        <v>44953</v>
      </c>
      <c r="C17" s="138" t="s">
        <v>2194</v>
      </c>
      <c r="D17" s="308" t="s">
        <v>4692</v>
      </c>
      <c r="E17" s="146" t="s">
        <v>25</v>
      </c>
      <c r="F17" s="138"/>
      <c r="G17" s="138">
        <v>180</v>
      </c>
      <c r="H17" s="141">
        <f>G17*22520</f>
        <v>4053600</v>
      </c>
      <c r="I17" s="138"/>
      <c r="J17" s="226">
        <v>1530000</v>
      </c>
      <c r="K17" s="141"/>
      <c r="L17" s="150"/>
      <c r="M17" s="141"/>
      <c r="N17" s="141"/>
      <c r="O17" s="141">
        <f t="shared" si="2"/>
        <v>5583600</v>
      </c>
      <c r="P17" s="141">
        <v>8883333</v>
      </c>
      <c r="Q17" s="141">
        <f t="shared" si="1"/>
        <v>3299733</v>
      </c>
      <c r="R17" s="143"/>
    </row>
    <row r="18" spans="1:19" ht="20.45" customHeight="1" x14ac:dyDescent="0.25">
      <c r="A18" s="308">
        <v>11</v>
      </c>
      <c r="B18" s="303">
        <v>44956</v>
      </c>
      <c r="C18" s="138" t="s">
        <v>2894</v>
      </c>
      <c r="D18" s="308" t="s">
        <v>4693</v>
      </c>
      <c r="E18" s="146" t="s">
        <v>4694</v>
      </c>
      <c r="F18" s="138"/>
      <c r="G18" s="138">
        <v>68</v>
      </c>
      <c r="H18" s="141">
        <f t="shared" ref="H18:H19" si="4">G18*22520</f>
        <v>1531360</v>
      </c>
      <c r="I18" s="138"/>
      <c r="J18" s="226">
        <v>790000</v>
      </c>
      <c r="K18" s="141"/>
      <c r="L18" s="150"/>
      <c r="M18" s="141"/>
      <c r="N18" s="141"/>
      <c r="O18" s="141">
        <f>SUM(H18:N18)</f>
        <v>2321360</v>
      </c>
      <c r="P18" s="208">
        <v>3620000</v>
      </c>
      <c r="Q18" s="141">
        <f t="shared" si="1"/>
        <v>1298640</v>
      </c>
      <c r="R18" s="143"/>
    </row>
    <row r="19" spans="1:19" ht="20.45" customHeight="1" x14ac:dyDescent="0.25">
      <c r="A19" s="308">
        <v>12</v>
      </c>
      <c r="B19" s="303">
        <v>44956</v>
      </c>
      <c r="C19" s="138" t="s">
        <v>2895</v>
      </c>
      <c r="D19" s="308" t="s">
        <v>4695</v>
      </c>
      <c r="E19" s="146" t="s">
        <v>2985</v>
      </c>
      <c r="F19" s="138"/>
      <c r="G19" s="138">
        <v>58</v>
      </c>
      <c r="H19" s="141">
        <f t="shared" si="4"/>
        <v>1306160</v>
      </c>
      <c r="I19" s="138"/>
      <c r="J19" s="226">
        <v>430000</v>
      </c>
      <c r="K19" s="141"/>
      <c r="L19" s="150"/>
      <c r="M19" s="141"/>
      <c r="N19" s="141"/>
      <c r="O19" s="141">
        <f>SUM(H19:N19)</f>
        <v>1736160</v>
      </c>
      <c r="P19" s="141">
        <v>3150000</v>
      </c>
      <c r="Q19" s="141">
        <f t="shared" si="1"/>
        <v>1413840</v>
      </c>
      <c r="R19" s="143"/>
    </row>
    <row r="20" spans="1:19" ht="25.5" customHeight="1" x14ac:dyDescent="0.25">
      <c r="A20" s="308"/>
      <c r="B20" s="303"/>
      <c r="C20" s="138"/>
      <c r="D20" s="308"/>
      <c r="E20" s="146"/>
      <c r="F20" s="138"/>
      <c r="G20" s="138"/>
      <c r="H20" s="141"/>
      <c r="I20" s="138"/>
      <c r="J20" s="141"/>
      <c r="K20" s="141"/>
      <c r="L20" s="150"/>
      <c r="M20" s="141"/>
      <c r="N20" s="141"/>
      <c r="O20" s="141"/>
      <c r="P20" s="141"/>
      <c r="Q20" s="141"/>
      <c r="R20" s="143"/>
    </row>
    <row r="21" spans="1:19" ht="24.95" customHeight="1" x14ac:dyDescent="0.25">
      <c r="A21" s="211"/>
      <c r="B21" s="337"/>
      <c r="C21" s="440" t="s">
        <v>4696</v>
      </c>
      <c r="D21" s="441"/>
      <c r="E21" s="442"/>
      <c r="F21" s="196"/>
      <c r="G21" s="195"/>
      <c r="H21" s="155"/>
      <c r="I21" s="195"/>
      <c r="J21" s="155"/>
      <c r="K21" s="219">
        <v>300000</v>
      </c>
      <c r="L21" s="219"/>
      <c r="M21" s="219"/>
      <c r="N21" s="139"/>
      <c r="O21" s="139">
        <f t="shared" ref="O21:O26" si="5">SUM(H21:N21)</f>
        <v>300000</v>
      </c>
      <c r="P21" s="139"/>
      <c r="Q21" s="139"/>
      <c r="R21" s="143"/>
    </row>
    <row r="22" spans="1:19" ht="24.95" customHeight="1" x14ac:dyDescent="0.25">
      <c r="A22" s="211"/>
      <c r="B22" s="337"/>
      <c r="C22" s="452" t="s">
        <v>4697</v>
      </c>
      <c r="D22" s="453"/>
      <c r="E22" s="454"/>
      <c r="F22" s="196"/>
      <c r="G22" s="195"/>
      <c r="H22" s="155"/>
      <c r="I22" s="195"/>
      <c r="J22" s="155"/>
      <c r="K22" s="219"/>
      <c r="L22" s="219">
        <v>4510000</v>
      </c>
      <c r="M22" s="219"/>
      <c r="N22" s="219"/>
      <c r="O22" s="139">
        <f t="shared" si="5"/>
        <v>4510000</v>
      </c>
      <c r="P22" s="139"/>
      <c r="Q22" s="139"/>
      <c r="R22" s="143"/>
    </row>
    <row r="23" spans="1:19" ht="24.95" customHeight="1" x14ac:dyDescent="0.25">
      <c r="A23" s="211"/>
      <c r="B23" s="337"/>
      <c r="C23" s="452" t="s">
        <v>4698</v>
      </c>
      <c r="D23" s="453"/>
      <c r="E23" s="454"/>
      <c r="F23" s="196"/>
      <c r="G23" s="195"/>
      <c r="H23" s="155"/>
      <c r="I23" s="195"/>
      <c r="J23" s="155"/>
      <c r="K23" s="219"/>
      <c r="L23" s="219">
        <v>100000</v>
      </c>
      <c r="M23" s="219"/>
      <c r="N23" s="219"/>
      <c r="O23" s="139">
        <f t="shared" si="5"/>
        <v>100000</v>
      </c>
      <c r="P23" s="139"/>
      <c r="Q23" s="139"/>
      <c r="R23" s="143"/>
    </row>
    <row r="24" spans="1:19" ht="26.25" customHeight="1" x14ac:dyDescent="0.25">
      <c r="A24" s="211"/>
      <c r="B24" s="337"/>
      <c r="C24" s="452" t="s">
        <v>4514</v>
      </c>
      <c r="D24" s="453"/>
      <c r="E24" s="454"/>
      <c r="F24" s="196"/>
      <c r="G24" s="195"/>
      <c r="H24" s="155"/>
      <c r="I24" s="195"/>
      <c r="J24" s="155"/>
      <c r="K24" s="219">
        <v>11503000</v>
      </c>
      <c r="L24" s="219"/>
      <c r="M24" s="219"/>
      <c r="N24" s="139"/>
      <c r="O24" s="139">
        <f t="shared" si="5"/>
        <v>11503000</v>
      </c>
      <c r="P24" s="139"/>
      <c r="Q24" s="139"/>
      <c r="R24" s="143"/>
    </row>
    <row r="25" spans="1:19" ht="24.95" customHeight="1" x14ac:dyDescent="0.25">
      <c r="A25" s="211"/>
      <c r="B25" s="337"/>
      <c r="C25" s="452" t="s">
        <v>4626</v>
      </c>
      <c r="D25" s="453"/>
      <c r="E25" s="454"/>
      <c r="F25" s="196"/>
      <c r="G25" s="195"/>
      <c r="H25" s="155"/>
      <c r="I25" s="195"/>
      <c r="J25" s="155"/>
      <c r="K25" s="219">
        <v>7700000</v>
      </c>
      <c r="L25" s="219"/>
      <c r="M25" s="139"/>
      <c r="N25" s="139"/>
      <c r="O25" s="139">
        <f t="shared" si="5"/>
        <v>7700000</v>
      </c>
      <c r="P25" s="139"/>
      <c r="Q25" s="139"/>
      <c r="R25" s="143"/>
    </row>
    <row r="26" spans="1:19" ht="24.95" customHeight="1" x14ac:dyDescent="0.25">
      <c r="A26" s="211"/>
      <c r="B26" s="337"/>
      <c r="C26" s="452" t="s">
        <v>26</v>
      </c>
      <c r="D26" s="453"/>
      <c r="E26" s="454"/>
      <c r="F26" s="196"/>
      <c r="G26" s="195"/>
      <c r="H26" s="155"/>
      <c r="I26" s="195"/>
      <c r="J26" s="155"/>
      <c r="K26" s="219"/>
      <c r="L26" s="219">
        <v>1200000</v>
      </c>
      <c r="M26" s="139"/>
      <c r="N26" s="139"/>
      <c r="O26" s="139">
        <f t="shared" si="5"/>
        <v>1200000</v>
      </c>
      <c r="P26" s="139"/>
      <c r="Q26" s="139"/>
      <c r="R26" s="143"/>
    </row>
    <row r="27" spans="1:19" ht="20.45" customHeight="1" x14ac:dyDescent="0.25">
      <c r="A27" s="450" t="s">
        <v>20</v>
      </c>
      <c r="B27" s="450"/>
      <c r="C27" s="450"/>
      <c r="D27" s="450"/>
      <c r="E27" s="450"/>
      <c r="F27" s="450"/>
      <c r="G27" s="334">
        <f t="shared" ref="G27:P27" si="6">SUM(G8:G26)</f>
        <v>2271</v>
      </c>
      <c r="H27" s="334">
        <f t="shared" si="6"/>
        <v>49754950</v>
      </c>
      <c r="I27" s="334">
        <f t="shared" si="6"/>
        <v>0</v>
      </c>
      <c r="J27" s="334">
        <f t="shared" si="6"/>
        <v>18300000</v>
      </c>
      <c r="K27" s="334">
        <f t="shared" si="6"/>
        <v>19503000</v>
      </c>
      <c r="L27" s="334">
        <f t="shared" si="6"/>
        <v>5810000</v>
      </c>
      <c r="M27" s="334">
        <f t="shared" si="6"/>
        <v>0</v>
      </c>
      <c r="N27" s="334">
        <f t="shared" si="6"/>
        <v>0</v>
      </c>
      <c r="O27" s="334">
        <f t="shared" si="6"/>
        <v>93367950</v>
      </c>
      <c r="P27" s="335">
        <f t="shared" si="6"/>
        <v>122681212</v>
      </c>
      <c r="Q27" s="334">
        <f>P27-O27</f>
        <v>29313262</v>
      </c>
    </row>
    <row r="28" spans="1:19" ht="24.95" customHeight="1" x14ac:dyDescent="0.25">
      <c r="O28" s="158"/>
      <c r="Q28" s="158"/>
    </row>
    <row r="29" spans="1:19" ht="13.9" customHeight="1" x14ac:dyDescent="0.25">
      <c r="P29" s="216" t="s">
        <v>1603</v>
      </c>
      <c r="Q29" s="227">
        <f>Q27</f>
        <v>29313262</v>
      </c>
      <c r="S29" s="216"/>
    </row>
    <row r="30" spans="1:19" ht="13.9" customHeight="1" x14ac:dyDescent="0.25">
      <c r="B30" s="129"/>
      <c r="J30" s="128"/>
      <c r="K30" s="128"/>
      <c r="L30" s="128"/>
      <c r="N30" s="128"/>
      <c r="O30" s="128"/>
      <c r="P30" s="218"/>
      <c r="Q30" s="216"/>
    </row>
    <row r="31" spans="1:19" ht="13.9" customHeight="1" x14ac:dyDescent="0.25">
      <c r="B31" s="129"/>
      <c r="H31" s="128"/>
      <c r="J31" s="128"/>
      <c r="K31" s="128"/>
      <c r="L31" s="128"/>
      <c r="M31" s="128"/>
      <c r="N31" s="128"/>
      <c r="O31" s="128"/>
      <c r="P31" s="218"/>
      <c r="Q31" s="230"/>
    </row>
    <row r="32" spans="1:19" ht="13.9" customHeight="1" x14ac:dyDescent="0.25">
      <c r="B32" s="129"/>
      <c r="G32" s="143"/>
      <c r="H32" s="128"/>
      <c r="J32" s="128"/>
      <c r="K32" s="128"/>
      <c r="L32" s="128"/>
      <c r="M32" s="128"/>
      <c r="N32" s="128"/>
      <c r="O32" s="128"/>
      <c r="P32" s="218"/>
      <c r="Q32" s="230"/>
      <c r="R32" s="143"/>
    </row>
    <row r="33" spans="1:19" ht="13.9" customHeight="1" x14ac:dyDescent="0.25">
      <c r="B33" s="129"/>
      <c r="H33" s="128"/>
      <c r="J33" s="128"/>
      <c r="K33" s="128"/>
      <c r="L33" s="128"/>
      <c r="M33" s="128"/>
      <c r="N33" s="128"/>
      <c r="O33" s="128"/>
      <c r="P33" s="218"/>
      <c r="Q33" s="216"/>
      <c r="R33" s="143"/>
    </row>
    <row r="34" spans="1:19" x14ac:dyDescent="0.25">
      <c r="B34" s="129"/>
      <c r="H34" s="128"/>
      <c r="J34" s="128"/>
      <c r="K34" s="128"/>
      <c r="L34" s="128"/>
      <c r="M34" s="128"/>
      <c r="N34" s="128"/>
      <c r="O34" s="128"/>
      <c r="P34" s="218"/>
      <c r="Q34" s="216"/>
    </row>
    <row r="35" spans="1:19" x14ac:dyDescent="0.25">
      <c r="A35" s="128"/>
      <c r="B35" s="129"/>
      <c r="H35" s="128"/>
      <c r="J35" s="128"/>
      <c r="K35" s="128"/>
      <c r="L35" s="128"/>
      <c r="M35" s="128"/>
      <c r="N35" s="128"/>
      <c r="O35" s="128"/>
      <c r="P35" s="218"/>
      <c r="Q35" s="216"/>
    </row>
    <row r="36" spans="1:19" x14ac:dyDescent="0.25">
      <c r="A36" s="128"/>
      <c r="B36" s="129"/>
      <c r="H36" s="128"/>
      <c r="J36" s="128"/>
      <c r="K36" s="128"/>
      <c r="L36" s="128"/>
      <c r="M36" s="128"/>
      <c r="N36" s="128"/>
      <c r="O36" s="128"/>
      <c r="P36" s="218"/>
      <c r="Q36" s="216"/>
    </row>
    <row r="37" spans="1:19" x14ac:dyDescent="0.25">
      <c r="A37" s="128"/>
      <c r="B37" s="128"/>
      <c r="G37" s="143"/>
      <c r="J37" s="128"/>
      <c r="K37" s="128"/>
      <c r="L37" s="128"/>
      <c r="M37" s="128"/>
      <c r="N37" s="128"/>
      <c r="O37" s="128"/>
      <c r="P37" s="128"/>
      <c r="Q37" s="216"/>
    </row>
    <row r="38" spans="1:19" x14ac:dyDescent="0.25">
      <c r="A38" s="128"/>
      <c r="B38" s="128"/>
      <c r="H38" s="128"/>
      <c r="J38" s="128"/>
      <c r="K38" s="128"/>
      <c r="L38" s="128"/>
      <c r="M38" s="128"/>
      <c r="N38" s="128"/>
      <c r="O38" s="128"/>
      <c r="P38" s="128"/>
      <c r="Q38" s="216"/>
    </row>
    <row r="40" spans="1:19" s="143" customFormat="1" x14ac:dyDescent="0.25">
      <c r="A40" s="129"/>
      <c r="B40" s="163"/>
      <c r="C40" s="128"/>
      <c r="D40" s="128"/>
      <c r="E40" s="128"/>
      <c r="F40" s="128"/>
      <c r="I40" s="128"/>
      <c r="R40" s="128"/>
      <c r="S40" s="128"/>
    </row>
  </sheetData>
  <mergeCells count="20">
    <mergeCell ref="C21:E21"/>
    <mergeCell ref="C22:E22"/>
    <mergeCell ref="A1:Q1"/>
    <mergeCell ref="A2:Q2"/>
    <mergeCell ref="B3:Q3"/>
    <mergeCell ref="A5:A6"/>
    <mergeCell ref="B5:B6"/>
    <mergeCell ref="C5:C6"/>
    <mergeCell ref="D5:D6"/>
    <mergeCell ref="E5:E6"/>
    <mergeCell ref="F5:F6"/>
    <mergeCell ref="G5:N5"/>
    <mergeCell ref="O5:O6"/>
    <mergeCell ref="P5:P6"/>
    <mergeCell ref="Q5:Q6"/>
    <mergeCell ref="C24:E24"/>
    <mergeCell ref="C25:E25"/>
    <mergeCell ref="C26:E26"/>
    <mergeCell ref="A27:F27"/>
    <mergeCell ref="C23:E23"/>
  </mergeCells>
  <pageMargins left="0.7" right="0.7" top="0.75" bottom="0.75" header="0.3" footer="0.3"/>
  <pageSetup paperSize="9" orientation="portrait" horizontalDpi="0"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3855-8CCC-4A9A-9EF7-DE2ABC776D18}">
  <dimension ref="A1:S51"/>
  <sheetViews>
    <sheetView topLeftCell="E31" zoomScale="90" zoomScaleNormal="90" workbookViewId="0">
      <selection activeCell="Q38" sqref="Q3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4742</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2.5" customHeight="1" x14ac:dyDescent="0.25">
      <c r="A8" s="308">
        <v>1</v>
      </c>
      <c r="B8" s="303">
        <v>44957</v>
      </c>
      <c r="C8" s="138" t="s">
        <v>4699</v>
      </c>
      <c r="D8" s="308" t="s">
        <v>4715</v>
      </c>
      <c r="E8" s="146" t="s">
        <v>25</v>
      </c>
      <c r="F8" s="138"/>
      <c r="G8" s="138">
        <v>180</v>
      </c>
      <c r="H8" s="141">
        <f>G8*22520</f>
        <v>4053600</v>
      </c>
      <c r="I8" s="138"/>
      <c r="J8" s="226">
        <v>1530000</v>
      </c>
      <c r="K8" s="141"/>
      <c r="L8" s="150"/>
      <c r="M8" s="141"/>
      <c r="N8" s="141"/>
      <c r="O8" s="141">
        <f>SUM(H8:N8)</f>
        <v>5583600</v>
      </c>
      <c r="P8" s="141">
        <v>9022222</v>
      </c>
      <c r="Q8" s="141">
        <f>P8-O8</f>
        <v>3438622</v>
      </c>
      <c r="R8" s="143"/>
    </row>
    <row r="9" spans="1:18" ht="20.45" customHeight="1" x14ac:dyDescent="0.25">
      <c r="A9" s="308">
        <v>2</v>
      </c>
      <c r="B9" s="303">
        <v>44958</v>
      </c>
      <c r="C9" s="138" t="s">
        <v>4700</v>
      </c>
      <c r="D9" s="308" t="s">
        <v>4716</v>
      </c>
      <c r="E9" s="146" t="s">
        <v>279</v>
      </c>
      <c r="F9" s="138"/>
      <c r="G9" s="138">
        <v>183</v>
      </c>
      <c r="H9" s="141">
        <f t="shared" ref="H9:H14" si="0">G9*22520</f>
        <v>4121160</v>
      </c>
      <c r="I9" s="138"/>
      <c r="J9" s="208">
        <v>1890000</v>
      </c>
      <c r="K9" s="141"/>
      <c r="L9" s="150"/>
      <c r="M9" s="141"/>
      <c r="N9" s="141"/>
      <c r="O9" s="141">
        <f>SUM(H9:N9)</f>
        <v>6011160</v>
      </c>
      <c r="P9" s="141">
        <v>11000000</v>
      </c>
      <c r="Q9" s="141">
        <f t="shared" ref="Q9:Q28" si="1">P9-O9</f>
        <v>4988840</v>
      </c>
      <c r="R9" s="143"/>
    </row>
    <row r="10" spans="1:18" ht="20.45" customHeight="1" x14ac:dyDescent="0.25">
      <c r="A10" s="308">
        <v>3</v>
      </c>
      <c r="B10" s="303">
        <v>44959</v>
      </c>
      <c r="C10" s="138" t="s">
        <v>4701</v>
      </c>
      <c r="D10" s="308" t="s">
        <v>4717</v>
      </c>
      <c r="E10" s="146" t="s">
        <v>1336</v>
      </c>
      <c r="F10" s="138"/>
      <c r="G10" s="138">
        <v>85</v>
      </c>
      <c r="H10" s="141">
        <f t="shared" si="0"/>
        <v>1914200</v>
      </c>
      <c r="I10" s="138"/>
      <c r="J10" s="226">
        <v>790000</v>
      </c>
      <c r="K10" s="141"/>
      <c r="L10" s="150"/>
      <c r="M10" s="141"/>
      <c r="N10" s="141"/>
      <c r="O10" s="141">
        <f t="shared" ref="O10:O17" si="2">SUM(H10:N10)</f>
        <v>2704200</v>
      </c>
      <c r="P10" s="141">
        <v>4300000</v>
      </c>
      <c r="Q10" s="141">
        <f t="shared" si="1"/>
        <v>1595800</v>
      </c>
      <c r="R10" s="143"/>
    </row>
    <row r="11" spans="1:18" ht="20.45" customHeight="1" x14ac:dyDescent="0.25">
      <c r="A11" s="308">
        <v>4</v>
      </c>
      <c r="B11" s="303">
        <v>44963</v>
      </c>
      <c r="C11" s="138" t="s">
        <v>4702</v>
      </c>
      <c r="D11" s="308" t="s">
        <v>4718</v>
      </c>
      <c r="E11" s="146" t="s">
        <v>25</v>
      </c>
      <c r="F11" s="138"/>
      <c r="G11" s="138">
        <v>180</v>
      </c>
      <c r="H11" s="141">
        <f t="shared" si="0"/>
        <v>4053600</v>
      </c>
      <c r="I11" s="138"/>
      <c r="J11" s="226">
        <v>1530000</v>
      </c>
      <c r="K11" s="141"/>
      <c r="L11" s="150"/>
      <c r="M11" s="141"/>
      <c r="N11" s="141"/>
      <c r="O11" s="141">
        <f t="shared" si="2"/>
        <v>5583600</v>
      </c>
      <c r="P11" s="141">
        <v>9022222</v>
      </c>
      <c r="Q11" s="141">
        <f t="shared" si="1"/>
        <v>3438622</v>
      </c>
      <c r="R11" s="143"/>
    </row>
    <row r="12" spans="1:18" ht="20.45" customHeight="1" x14ac:dyDescent="0.25">
      <c r="A12" s="308">
        <v>5</v>
      </c>
      <c r="B12" s="303">
        <v>44963</v>
      </c>
      <c r="C12" s="138" t="s">
        <v>4703</v>
      </c>
      <c r="D12" s="308" t="s">
        <v>4719</v>
      </c>
      <c r="E12" s="146" t="s">
        <v>4598</v>
      </c>
      <c r="F12" s="138"/>
      <c r="G12" s="138">
        <v>118</v>
      </c>
      <c r="H12" s="141">
        <f t="shared" si="0"/>
        <v>2657360</v>
      </c>
      <c r="I12" s="138"/>
      <c r="J12" s="226">
        <v>790000</v>
      </c>
      <c r="K12" s="141"/>
      <c r="L12" s="150"/>
      <c r="M12" s="141"/>
      <c r="N12" s="141"/>
      <c r="O12" s="141">
        <f t="shared" si="2"/>
        <v>3447360</v>
      </c>
      <c r="P12" s="141">
        <v>5390000</v>
      </c>
      <c r="Q12" s="141">
        <f t="shared" si="1"/>
        <v>1942640</v>
      </c>
      <c r="R12" s="143"/>
    </row>
    <row r="13" spans="1:18" ht="20.45" customHeight="1" x14ac:dyDescent="0.25">
      <c r="A13" s="308">
        <v>6</v>
      </c>
      <c r="B13" s="303">
        <v>44964</v>
      </c>
      <c r="C13" s="138" t="s">
        <v>4704</v>
      </c>
      <c r="D13" s="308" t="s">
        <v>4720</v>
      </c>
      <c r="E13" s="146" t="s">
        <v>4598</v>
      </c>
      <c r="F13" s="138"/>
      <c r="G13" s="138">
        <v>118</v>
      </c>
      <c r="H13" s="141">
        <f t="shared" si="0"/>
        <v>2657360</v>
      </c>
      <c r="I13" s="138"/>
      <c r="J13" s="226">
        <v>790000</v>
      </c>
      <c r="K13" s="141"/>
      <c r="L13" s="150"/>
      <c r="M13" s="141"/>
      <c r="N13" s="141"/>
      <c r="O13" s="141">
        <f t="shared" si="2"/>
        <v>3447360</v>
      </c>
      <c r="P13" s="141">
        <v>5390000</v>
      </c>
      <c r="Q13" s="141">
        <f t="shared" si="1"/>
        <v>1942640</v>
      </c>
      <c r="R13" s="143"/>
    </row>
    <row r="14" spans="1:18" ht="20.45" customHeight="1" x14ac:dyDescent="0.25">
      <c r="A14" s="308">
        <v>7</v>
      </c>
      <c r="B14" s="303">
        <v>44965</v>
      </c>
      <c r="C14" s="138" t="s">
        <v>4705</v>
      </c>
      <c r="D14" s="308" t="s">
        <v>4721</v>
      </c>
      <c r="E14" s="146" t="s">
        <v>23</v>
      </c>
      <c r="F14" s="138"/>
      <c r="G14" s="138">
        <v>240</v>
      </c>
      <c r="H14" s="141">
        <f t="shared" si="0"/>
        <v>5404800</v>
      </c>
      <c r="I14" s="138"/>
      <c r="J14" s="226">
        <v>2380000</v>
      </c>
      <c r="K14" s="141"/>
      <c r="L14" s="150"/>
      <c r="M14" s="141"/>
      <c r="N14" s="141"/>
      <c r="O14" s="141">
        <f t="shared" si="2"/>
        <v>7784800</v>
      </c>
      <c r="P14" s="141">
        <v>14000000</v>
      </c>
      <c r="Q14" s="141">
        <f t="shared" si="1"/>
        <v>6215200</v>
      </c>
      <c r="R14" s="143"/>
    </row>
    <row r="15" spans="1:18" ht="20.45" customHeight="1" x14ac:dyDescent="0.25">
      <c r="A15" s="308">
        <v>8</v>
      </c>
      <c r="B15" s="303">
        <v>44967</v>
      </c>
      <c r="C15" s="138" t="s">
        <v>4706</v>
      </c>
      <c r="D15" s="308" t="s">
        <v>4722</v>
      </c>
      <c r="E15" s="146" t="s">
        <v>4735</v>
      </c>
      <c r="F15" s="138"/>
      <c r="G15" s="138">
        <v>6</v>
      </c>
      <c r="H15" s="141">
        <f>G15*21560</f>
        <v>129360</v>
      </c>
      <c r="I15" s="138"/>
      <c r="J15" s="226">
        <v>200000</v>
      </c>
      <c r="K15" s="141"/>
      <c r="L15" s="150"/>
      <c r="M15" s="141"/>
      <c r="N15" s="141"/>
      <c r="O15" s="141">
        <f t="shared" si="2"/>
        <v>329360</v>
      </c>
      <c r="P15" s="141">
        <v>1500000</v>
      </c>
      <c r="Q15" s="141">
        <f t="shared" si="1"/>
        <v>1170640</v>
      </c>
      <c r="R15" s="143"/>
    </row>
    <row r="16" spans="1:18" ht="20.45" customHeight="1" x14ac:dyDescent="0.25">
      <c r="A16" s="308">
        <v>9</v>
      </c>
      <c r="B16" s="303">
        <v>44967</v>
      </c>
      <c r="C16" s="138" t="s">
        <v>4707</v>
      </c>
      <c r="D16" s="308" t="s">
        <v>4723</v>
      </c>
      <c r="E16" s="146" t="s">
        <v>23</v>
      </c>
      <c r="F16" s="138"/>
      <c r="G16" s="138">
        <v>240</v>
      </c>
      <c r="H16" s="141">
        <f>(G16*22520)</f>
        <v>5404800</v>
      </c>
      <c r="I16" s="138"/>
      <c r="J16" s="226">
        <v>2380000</v>
      </c>
      <c r="K16" s="141"/>
      <c r="L16" s="150"/>
      <c r="M16" s="141"/>
      <c r="N16" s="141"/>
      <c r="O16" s="141">
        <f t="shared" si="2"/>
        <v>7784800</v>
      </c>
      <c r="P16" s="141">
        <v>14000000</v>
      </c>
      <c r="Q16" s="141">
        <f t="shared" si="1"/>
        <v>6215200</v>
      </c>
      <c r="R16" s="143"/>
    </row>
    <row r="17" spans="1:18" ht="20.45" customHeight="1" x14ac:dyDescent="0.25">
      <c r="A17" s="308">
        <v>10</v>
      </c>
      <c r="B17" s="303">
        <v>44968</v>
      </c>
      <c r="C17" s="138" t="s">
        <v>4708</v>
      </c>
      <c r="D17" s="308" t="s">
        <v>4724</v>
      </c>
      <c r="E17" s="146" t="s">
        <v>4677</v>
      </c>
      <c r="F17" s="138"/>
      <c r="G17" s="138">
        <v>155</v>
      </c>
      <c r="H17" s="141">
        <f>G17*21560</f>
        <v>3341800</v>
      </c>
      <c r="I17" s="138"/>
      <c r="J17" s="226">
        <v>1132000</v>
      </c>
      <c r="K17" s="141"/>
      <c r="L17" s="150"/>
      <c r="M17" s="141"/>
      <c r="N17" s="141"/>
      <c r="O17" s="141">
        <f t="shared" si="2"/>
        <v>4473800</v>
      </c>
      <c r="P17" s="141">
        <v>7350000</v>
      </c>
      <c r="Q17" s="141">
        <f t="shared" si="1"/>
        <v>2876200</v>
      </c>
      <c r="R17" s="143"/>
    </row>
    <row r="18" spans="1:18" ht="20.45" customHeight="1" x14ac:dyDescent="0.25">
      <c r="A18" s="308">
        <v>11</v>
      </c>
      <c r="B18" s="303">
        <v>44971</v>
      </c>
      <c r="C18" s="138" t="s">
        <v>4709</v>
      </c>
      <c r="D18" s="308" t="s">
        <v>4725</v>
      </c>
      <c r="E18" s="146" t="s">
        <v>2799</v>
      </c>
      <c r="F18" s="138"/>
      <c r="G18" s="138">
        <v>111</v>
      </c>
      <c r="H18" s="141">
        <f t="shared" ref="H18:H21" si="3">G18*21560</f>
        <v>2393160</v>
      </c>
      <c r="I18" s="138"/>
      <c r="J18" s="226">
        <v>830000</v>
      </c>
      <c r="K18" s="141"/>
      <c r="L18" s="150"/>
      <c r="M18" s="141"/>
      <c r="N18" s="141"/>
      <c r="O18" s="141">
        <f>SUM(H18:N18)</f>
        <v>3223160</v>
      </c>
      <c r="P18" s="141">
        <v>5100000</v>
      </c>
      <c r="Q18" s="141">
        <f t="shared" si="1"/>
        <v>1876840</v>
      </c>
      <c r="R18" s="143"/>
    </row>
    <row r="19" spans="1:18" ht="20.45" customHeight="1" x14ac:dyDescent="0.25">
      <c r="A19" s="308">
        <v>12</v>
      </c>
      <c r="B19" s="303">
        <v>44971</v>
      </c>
      <c r="C19" s="138" t="s">
        <v>2240</v>
      </c>
      <c r="D19" s="308" t="s">
        <v>4726</v>
      </c>
      <c r="E19" s="146" t="s">
        <v>1876</v>
      </c>
      <c r="F19" s="138"/>
      <c r="G19" s="138">
        <v>130</v>
      </c>
      <c r="H19" s="141">
        <f t="shared" si="3"/>
        <v>2802800</v>
      </c>
      <c r="I19" s="138"/>
      <c r="J19" s="226">
        <v>1590000</v>
      </c>
      <c r="K19" s="141"/>
      <c r="L19" s="150"/>
      <c r="M19" s="141"/>
      <c r="N19" s="141"/>
      <c r="O19" s="141">
        <f>SUM(H19:N19)</f>
        <v>4392800</v>
      </c>
      <c r="P19" s="141">
        <v>4800000</v>
      </c>
      <c r="Q19" s="141">
        <f t="shared" si="1"/>
        <v>407200</v>
      </c>
      <c r="R19" s="143"/>
    </row>
    <row r="20" spans="1:18" ht="20.45" customHeight="1" x14ac:dyDescent="0.25">
      <c r="A20" s="308">
        <v>13</v>
      </c>
      <c r="B20" s="303">
        <v>44972</v>
      </c>
      <c r="C20" s="138" t="s">
        <v>4710</v>
      </c>
      <c r="D20" s="308" t="s">
        <v>4726</v>
      </c>
      <c r="E20" s="146" t="s">
        <v>1336</v>
      </c>
      <c r="F20" s="138"/>
      <c r="G20" s="138"/>
      <c r="H20" s="141">
        <f t="shared" si="3"/>
        <v>0</v>
      </c>
      <c r="I20" s="138"/>
      <c r="J20" s="226">
        <v>0</v>
      </c>
      <c r="K20" s="141"/>
      <c r="L20" s="150"/>
      <c r="M20" s="141"/>
      <c r="N20" s="141"/>
      <c r="O20" s="141">
        <f>SUM(H20:N20)</f>
        <v>0</v>
      </c>
      <c r="P20" s="141">
        <v>2500000</v>
      </c>
      <c r="Q20" s="141">
        <f t="shared" si="1"/>
        <v>2500000</v>
      </c>
      <c r="R20" s="143"/>
    </row>
    <row r="21" spans="1:18" ht="20.45" customHeight="1" x14ac:dyDescent="0.25">
      <c r="A21" s="308">
        <v>14</v>
      </c>
      <c r="B21" s="303">
        <v>44974</v>
      </c>
      <c r="C21" s="138" t="s">
        <v>4205</v>
      </c>
      <c r="D21" s="308" t="s">
        <v>4727</v>
      </c>
      <c r="E21" s="146" t="s">
        <v>2883</v>
      </c>
      <c r="F21" s="138"/>
      <c r="G21" s="138">
        <v>62</v>
      </c>
      <c r="H21" s="141">
        <f t="shared" si="3"/>
        <v>1336720</v>
      </c>
      <c r="I21" s="138"/>
      <c r="J21" s="226">
        <v>430000</v>
      </c>
      <c r="K21" s="141"/>
      <c r="L21" s="150"/>
      <c r="M21" s="141"/>
      <c r="N21" s="141"/>
      <c r="O21" s="141">
        <f t="shared" ref="O21:O28" si="4">SUM(H21:N21)</f>
        <v>1766720</v>
      </c>
      <c r="P21" s="141">
        <v>3400000</v>
      </c>
      <c r="Q21" s="141">
        <f t="shared" si="1"/>
        <v>1633280</v>
      </c>
      <c r="R21" s="143"/>
    </row>
    <row r="22" spans="1:18" ht="20.45" customHeight="1" x14ac:dyDescent="0.25">
      <c r="A22" s="308">
        <v>15</v>
      </c>
      <c r="B22" s="303">
        <v>44975</v>
      </c>
      <c r="C22" s="138" t="s">
        <v>4206</v>
      </c>
      <c r="D22" s="308" t="s">
        <v>4728</v>
      </c>
      <c r="E22" s="146" t="s">
        <v>259</v>
      </c>
      <c r="F22" s="138"/>
      <c r="G22" s="138">
        <v>109</v>
      </c>
      <c r="H22" s="141">
        <f>G22*20800</f>
        <v>2267200</v>
      </c>
      <c r="I22" s="138"/>
      <c r="J22" s="226">
        <v>790000</v>
      </c>
      <c r="K22" s="141"/>
      <c r="L22" s="150"/>
      <c r="M22" s="141"/>
      <c r="N22" s="141"/>
      <c r="O22" s="141">
        <f t="shared" si="4"/>
        <v>3057200</v>
      </c>
      <c r="P22" s="141">
        <v>4400000</v>
      </c>
      <c r="Q22" s="141">
        <f t="shared" si="1"/>
        <v>1342800</v>
      </c>
      <c r="R22" s="143"/>
    </row>
    <row r="23" spans="1:18" ht="20.45" customHeight="1" x14ac:dyDescent="0.25">
      <c r="A23" s="308">
        <v>16</v>
      </c>
      <c r="B23" s="303">
        <v>44977</v>
      </c>
      <c r="C23" s="138" t="s">
        <v>917</v>
      </c>
      <c r="D23" s="308" t="s">
        <v>4729</v>
      </c>
      <c r="E23" s="146" t="s">
        <v>2883</v>
      </c>
      <c r="F23" s="138"/>
      <c r="G23" s="138">
        <v>63</v>
      </c>
      <c r="H23" s="141">
        <f t="shared" ref="H23:H25" si="5">G23*20800</f>
        <v>1310400</v>
      </c>
      <c r="I23" s="138"/>
      <c r="J23" s="226">
        <v>430000</v>
      </c>
      <c r="K23" s="141"/>
      <c r="L23" s="150"/>
      <c r="M23" s="141"/>
      <c r="N23" s="141"/>
      <c r="O23" s="141">
        <f t="shared" si="4"/>
        <v>1740400</v>
      </c>
      <c r="P23" s="141">
        <v>3400000</v>
      </c>
      <c r="Q23" s="141">
        <f t="shared" si="1"/>
        <v>1659600</v>
      </c>
      <c r="R23" s="143"/>
    </row>
    <row r="24" spans="1:18" ht="20.45" customHeight="1" x14ac:dyDescent="0.25">
      <c r="A24" s="308">
        <v>17</v>
      </c>
      <c r="B24" s="303">
        <v>44978</v>
      </c>
      <c r="C24" s="138" t="s">
        <v>4208</v>
      </c>
      <c r="D24" s="308" t="s">
        <v>4730</v>
      </c>
      <c r="E24" s="146" t="s">
        <v>1336</v>
      </c>
      <c r="F24" s="138"/>
      <c r="G24" s="138">
        <v>89</v>
      </c>
      <c r="H24" s="141">
        <f t="shared" si="5"/>
        <v>1851200</v>
      </c>
      <c r="I24" s="138"/>
      <c r="J24" s="226">
        <v>610000</v>
      </c>
      <c r="K24" s="141"/>
      <c r="L24" s="150"/>
      <c r="M24" s="141"/>
      <c r="N24" s="141"/>
      <c r="O24" s="141">
        <f t="shared" si="4"/>
        <v>2461200</v>
      </c>
      <c r="P24" s="141">
        <v>4200000</v>
      </c>
      <c r="Q24" s="141">
        <f t="shared" si="1"/>
        <v>1738800</v>
      </c>
      <c r="R24" s="143"/>
    </row>
    <row r="25" spans="1:18" ht="33.75" customHeight="1" x14ac:dyDescent="0.25">
      <c r="A25" s="308">
        <v>18</v>
      </c>
      <c r="B25" s="303">
        <v>44979</v>
      </c>
      <c r="C25" s="138" t="s">
        <v>4711</v>
      </c>
      <c r="D25" s="308" t="s">
        <v>4731</v>
      </c>
      <c r="E25" s="146" t="s">
        <v>4736</v>
      </c>
      <c r="F25" s="138"/>
      <c r="G25" s="138">
        <v>114</v>
      </c>
      <c r="H25" s="141">
        <f t="shared" si="5"/>
        <v>2371200</v>
      </c>
      <c r="I25" s="138"/>
      <c r="J25" s="226">
        <v>800000</v>
      </c>
      <c r="K25" s="141"/>
      <c r="L25" s="150"/>
      <c r="M25" s="141"/>
      <c r="N25" s="141"/>
      <c r="O25" s="141">
        <f t="shared" si="4"/>
        <v>3171200</v>
      </c>
      <c r="P25" s="141">
        <v>5400000</v>
      </c>
      <c r="Q25" s="141">
        <f t="shared" si="1"/>
        <v>2228800</v>
      </c>
      <c r="R25" s="143"/>
    </row>
    <row r="26" spans="1:18" ht="20.45" customHeight="1" x14ac:dyDescent="0.25">
      <c r="A26" s="308">
        <v>19</v>
      </c>
      <c r="B26" s="303">
        <v>44980</v>
      </c>
      <c r="C26" s="138" t="s">
        <v>4712</v>
      </c>
      <c r="D26" s="308" t="s">
        <v>4732</v>
      </c>
      <c r="E26" s="146" t="s">
        <v>2883</v>
      </c>
      <c r="F26" s="138"/>
      <c r="G26" s="138">
        <v>62</v>
      </c>
      <c r="H26" s="141">
        <f>G26*20250</f>
        <v>1255500</v>
      </c>
      <c r="I26" s="138"/>
      <c r="J26" s="226">
        <v>430000</v>
      </c>
      <c r="K26" s="141"/>
      <c r="L26" s="150"/>
      <c r="M26" s="141"/>
      <c r="N26" s="141"/>
      <c r="O26" s="141">
        <f t="shared" si="4"/>
        <v>1685500</v>
      </c>
      <c r="P26" s="141">
        <v>3400000</v>
      </c>
      <c r="Q26" s="141">
        <f t="shared" si="1"/>
        <v>1714500</v>
      </c>
      <c r="R26" s="143"/>
    </row>
    <row r="27" spans="1:18" ht="20.45" customHeight="1" x14ac:dyDescent="0.25">
      <c r="A27" s="308">
        <v>20</v>
      </c>
      <c r="B27" s="303">
        <v>44982</v>
      </c>
      <c r="C27" s="138" t="s">
        <v>4713</v>
      </c>
      <c r="D27" s="308" t="s">
        <v>4733</v>
      </c>
      <c r="E27" s="146" t="s">
        <v>201</v>
      </c>
      <c r="F27" s="138"/>
      <c r="G27" s="138">
        <v>57</v>
      </c>
      <c r="H27" s="141">
        <f t="shared" ref="H27:H28" si="6">G27*20250</f>
        <v>1154250</v>
      </c>
      <c r="I27" s="138"/>
      <c r="J27" s="226">
        <v>440000</v>
      </c>
      <c r="K27" s="141"/>
      <c r="L27" s="150"/>
      <c r="M27" s="141"/>
      <c r="N27" s="141"/>
      <c r="O27" s="141">
        <f t="shared" si="4"/>
        <v>1594250</v>
      </c>
      <c r="P27" s="141">
        <v>3400000</v>
      </c>
      <c r="Q27" s="141">
        <f t="shared" si="1"/>
        <v>1805750</v>
      </c>
      <c r="R27" s="143"/>
    </row>
    <row r="28" spans="1:18" ht="20.45" customHeight="1" x14ac:dyDescent="0.25">
      <c r="A28" s="308">
        <v>21</v>
      </c>
      <c r="B28" s="303">
        <v>44984</v>
      </c>
      <c r="C28" s="138" t="s">
        <v>4714</v>
      </c>
      <c r="D28" s="308" t="s">
        <v>4734</v>
      </c>
      <c r="E28" s="146" t="s">
        <v>2985</v>
      </c>
      <c r="F28" s="138"/>
      <c r="G28" s="138">
        <v>58</v>
      </c>
      <c r="H28" s="141">
        <f t="shared" si="6"/>
        <v>1174500</v>
      </c>
      <c r="I28" s="138"/>
      <c r="J28" s="226">
        <v>430000</v>
      </c>
      <c r="K28" s="141"/>
      <c r="L28" s="150"/>
      <c r="M28" s="141"/>
      <c r="N28" s="141"/>
      <c r="O28" s="141">
        <f t="shared" si="4"/>
        <v>1604500</v>
      </c>
      <c r="P28" s="141">
        <v>3150000</v>
      </c>
      <c r="Q28" s="141">
        <f t="shared" si="1"/>
        <v>1545500</v>
      </c>
      <c r="R28" s="143"/>
    </row>
    <row r="29" spans="1:18" ht="25.5" customHeight="1" x14ac:dyDescent="0.25">
      <c r="A29" s="308"/>
      <c r="B29" s="303"/>
      <c r="C29" s="138"/>
      <c r="D29" s="308"/>
      <c r="E29" s="146"/>
      <c r="F29" s="138"/>
      <c r="G29" s="138"/>
      <c r="H29" s="141"/>
      <c r="I29" s="138"/>
      <c r="J29" s="141"/>
      <c r="K29" s="141"/>
      <c r="L29" s="150"/>
      <c r="M29" s="141"/>
      <c r="N29" s="141"/>
      <c r="O29" s="141"/>
      <c r="P29" s="141"/>
      <c r="Q29" s="141"/>
      <c r="R29" s="143"/>
    </row>
    <row r="30" spans="1:18" ht="24.95" customHeight="1" x14ac:dyDescent="0.25">
      <c r="A30" s="211"/>
      <c r="B30" s="337"/>
      <c r="C30" s="440" t="s">
        <v>4737</v>
      </c>
      <c r="D30" s="441"/>
      <c r="E30" s="442"/>
      <c r="F30" s="196"/>
      <c r="G30" s="195"/>
      <c r="H30" s="155"/>
      <c r="I30" s="195"/>
      <c r="J30" s="155"/>
      <c r="K30" s="219"/>
      <c r="L30" s="219">
        <v>300000</v>
      </c>
      <c r="M30" s="219"/>
      <c r="N30" s="139"/>
      <c r="O30" s="139">
        <f t="shared" ref="O30:O37" si="7">SUM(H30:N30)</f>
        <v>300000</v>
      </c>
      <c r="P30" s="139"/>
      <c r="Q30" s="139"/>
      <c r="R30" s="143"/>
    </row>
    <row r="31" spans="1:18" ht="30.75" customHeight="1" x14ac:dyDescent="0.25">
      <c r="A31" s="211"/>
      <c r="B31" s="337"/>
      <c r="C31" s="452" t="s">
        <v>4738</v>
      </c>
      <c r="D31" s="453"/>
      <c r="E31" s="454"/>
      <c r="F31" s="196"/>
      <c r="G31" s="195"/>
      <c r="H31" s="155"/>
      <c r="I31" s="195"/>
      <c r="J31" s="155"/>
      <c r="K31" s="219">
        <f>4424000/4</f>
        <v>1106000</v>
      </c>
      <c r="L31" s="219"/>
      <c r="M31" s="219"/>
      <c r="N31" s="219"/>
      <c r="O31" s="139">
        <f t="shared" si="7"/>
        <v>1106000</v>
      </c>
      <c r="P31" s="139"/>
      <c r="Q31" s="139"/>
      <c r="R31" s="143"/>
    </row>
    <row r="32" spans="1:18" ht="24.95" customHeight="1" x14ac:dyDescent="0.25">
      <c r="A32" s="211"/>
      <c r="B32" s="337"/>
      <c r="C32" s="452" t="s">
        <v>4739</v>
      </c>
      <c r="D32" s="453"/>
      <c r="E32" s="454"/>
      <c r="F32" s="196"/>
      <c r="G32" s="195"/>
      <c r="H32" s="155"/>
      <c r="I32" s="195"/>
      <c r="J32" s="155"/>
      <c r="K32" s="219"/>
      <c r="L32" s="219">
        <v>100000</v>
      </c>
      <c r="M32" s="219"/>
      <c r="N32" s="219"/>
      <c r="O32" s="139">
        <f t="shared" si="7"/>
        <v>100000</v>
      </c>
      <c r="P32" s="139"/>
      <c r="Q32" s="139"/>
      <c r="R32" s="143"/>
    </row>
    <row r="33" spans="1:19" ht="30" customHeight="1" x14ac:dyDescent="0.25">
      <c r="A33" s="211"/>
      <c r="B33" s="337"/>
      <c r="C33" s="452" t="s">
        <v>4740</v>
      </c>
      <c r="D33" s="453"/>
      <c r="E33" s="454"/>
      <c r="F33" s="196"/>
      <c r="G33" s="195"/>
      <c r="H33" s="155"/>
      <c r="I33" s="195"/>
      <c r="J33" s="155"/>
      <c r="K33" s="219"/>
      <c r="L33" s="219"/>
      <c r="M33" s="219"/>
      <c r="N33" s="219">
        <f>13500000/4</f>
        <v>3375000</v>
      </c>
      <c r="O33" s="139">
        <f t="shared" si="7"/>
        <v>3375000</v>
      </c>
      <c r="P33" s="139"/>
      <c r="Q33" s="139"/>
      <c r="R33" s="143"/>
    </row>
    <row r="34" spans="1:19" ht="30.75" customHeight="1" x14ac:dyDescent="0.25">
      <c r="A34" s="211"/>
      <c r="B34" s="337"/>
      <c r="C34" s="452" t="s">
        <v>4741</v>
      </c>
      <c r="D34" s="453"/>
      <c r="E34" s="454"/>
      <c r="F34" s="196"/>
      <c r="G34" s="195"/>
      <c r="H34" s="155"/>
      <c r="I34" s="195"/>
      <c r="J34" s="155"/>
      <c r="K34" s="219"/>
      <c r="L34" s="219">
        <v>200000</v>
      </c>
      <c r="M34" s="219"/>
      <c r="N34" s="219"/>
      <c r="O34" s="139">
        <f t="shared" si="7"/>
        <v>200000</v>
      </c>
      <c r="P34" s="139"/>
      <c r="Q34" s="139"/>
      <c r="R34" s="143"/>
    </row>
    <row r="35" spans="1:19" ht="26.25" customHeight="1" x14ac:dyDescent="0.25">
      <c r="A35" s="211"/>
      <c r="B35" s="337"/>
      <c r="C35" s="452" t="s">
        <v>4514</v>
      </c>
      <c r="D35" s="453"/>
      <c r="E35" s="454"/>
      <c r="F35" s="196"/>
      <c r="G35" s="195"/>
      <c r="H35" s="155"/>
      <c r="I35" s="195"/>
      <c r="J35" s="155"/>
      <c r="K35" s="219">
        <v>7308000</v>
      </c>
      <c r="L35" s="219"/>
      <c r="M35" s="219"/>
      <c r="N35" s="139"/>
      <c r="O35" s="139">
        <f t="shared" si="7"/>
        <v>7308000</v>
      </c>
      <c r="P35" s="139"/>
      <c r="Q35" s="139"/>
      <c r="R35" s="143"/>
    </row>
    <row r="36" spans="1:19" ht="24.95" customHeight="1" x14ac:dyDescent="0.25">
      <c r="A36" s="211"/>
      <c r="B36" s="337"/>
      <c r="C36" s="452" t="s">
        <v>4626</v>
      </c>
      <c r="D36" s="453"/>
      <c r="E36" s="454"/>
      <c r="F36" s="196"/>
      <c r="G36" s="195"/>
      <c r="H36" s="155"/>
      <c r="I36" s="195"/>
      <c r="J36" s="155"/>
      <c r="K36" s="219">
        <v>7700000</v>
      </c>
      <c r="L36" s="219"/>
      <c r="M36" s="139"/>
      <c r="N36" s="139"/>
      <c r="O36" s="139">
        <f t="shared" si="7"/>
        <v>7700000</v>
      </c>
      <c r="P36" s="139"/>
      <c r="Q36" s="139"/>
      <c r="R36" s="143"/>
    </row>
    <row r="37" spans="1:19" ht="24.95" customHeight="1" x14ac:dyDescent="0.25">
      <c r="A37" s="211"/>
      <c r="B37" s="337"/>
      <c r="C37" s="452" t="s">
        <v>26</v>
      </c>
      <c r="D37" s="453"/>
      <c r="E37" s="454"/>
      <c r="F37" s="196"/>
      <c r="G37" s="195"/>
      <c r="H37" s="155"/>
      <c r="I37" s="195"/>
      <c r="J37" s="155"/>
      <c r="K37" s="219"/>
      <c r="L37" s="219">
        <v>1200000</v>
      </c>
      <c r="M37" s="139"/>
      <c r="N37" s="139"/>
      <c r="O37" s="139">
        <f t="shared" si="7"/>
        <v>1200000</v>
      </c>
      <c r="P37" s="139"/>
      <c r="Q37" s="139"/>
      <c r="R37" s="143"/>
    </row>
    <row r="38" spans="1:19" ht="20.45" customHeight="1" x14ac:dyDescent="0.25">
      <c r="A38" s="450" t="s">
        <v>20</v>
      </c>
      <c r="B38" s="450"/>
      <c r="C38" s="450"/>
      <c r="D38" s="450"/>
      <c r="E38" s="450"/>
      <c r="F38" s="450"/>
      <c r="G38" s="334">
        <f t="shared" ref="G38:N38" si="8">SUM(G8:G37)</f>
        <v>2360</v>
      </c>
      <c r="H38" s="334">
        <f t="shared" si="8"/>
        <v>51654970</v>
      </c>
      <c r="I38" s="334">
        <f t="shared" si="8"/>
        <v>0</v>
      </c>
      <c r="J38" s="334">
        <f t="shared" si="8"/>
        <v>20192000</v>
      </c>
      <c r="K38" s="334">
        <f t="shared" si="8"/>
        <v>16114000</v>
      </c>
      <c r="L38" s="334">
        <f t="shared" si="8"/>
        <v>1800000</v>
      </c>
      <c r="M38" s="334">
        <f t="shared" si="8"/>
        <v>0</v>
      </c>
      <c r="N38" s="334">
        <f t="shared" si="8"/>
        <v>3375000</v>
      </c>
      <c r="O38" s="334">
        <f>SUM(O8:O37)</f>
        <v>93135970</v>
      </c>
      <c r="P38" s="335">
        <f>SUM(P8:P37)</f>
        <v>124124444</v>
      </c>
      <c r="Q38" s="334">
        <f>P38-O38</f>
        <v>30988474</v>
      </c>
    </row>
    <row r="39" spans="1:19" ht="24.95" customHeight="1" x14ac:dyDescent="0.25">
      <c r="O39" s="158"/>
      <c r="Q39" s="158"/>
    </row>
    <row r="40" spans="1:19" ht="13.9" customHeight="1" x14ac:dyDescent="0.25">
      <c r="P40" s="216" t="s">
        <v>1603</v>
      </c>
      <c r="Q40" s="227">
        <f>'01.2023'!Q29+'02.2023'!Q38</f>
        <v>60301736</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G43" s="143"/>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G48" s="143"/>
      <c r="J48" s="128"/>
      <c r="K48" s="128"/>
      <c r="L48" s="128"/>
      <c r="M48" s="128"/>
      <c r="N48" s="128"/>
      <c r="O48" s="128"/>
      <c r="P48" s="128"/>
      <c r="Q48" s="216"/>
    </row>
    <row r="49" spans="1:19" x14ac:dyDescent="0.25">
      <c r="A49" s="128"/>
      <c r="B49" s="128"/>
      <c r="H49" s="128"/>
      <c r="J49" s="128"/>
      <c r="K49" s="128"/>
      <c r="L49" s="128"/>
      <c r="M49" s="128"/>
      <c r="N49" s="128"/>
      <c r="O49" s="128"/>
      <c r="P49" s="128"/>
      <c r="Q49" s="216"/>
    </row>
    <row r="51" spans="1:19" s="143" customFormat="1" x14ac:dyDescent="0.25">
      <c r="A51" s="129"/>
      <c r="B51" s="163"/>
      <c r="C51" s="128"/>
      <c r="D51" s="128"/>
      <c r="E51" s="128"/>
      <c r="F51" s="128"/>
      <c r="I51" s="128"/>
      <c r="R51" s="128"/>
      <c r="S51" s="128"/>
    </row>
  </sheetData>
  <mergeCells count="22">
    <mergeCell ref="C32:E32"/>
    <mergeCell ref="A1:Q1"/>
    <mergeCell ref="A2:Q2"/>
    <mergeCell ref="B3:Q3"/>
    <mergeCell ref="A5:A6"/>
    <mergeCell ref="B5:B6"/>
    <mergeCell ref="C5:C6"/>
    <mergeCell ref="D5:D6"/>
    <mergeCell ref="E5:E6"/>
    <mergeCell ref="F5:F6"/>
    <mergeCell ref="G5:N5"/>
    <mergeCell ref="O5:O6"/>
    <mergeCell ref="P5:P6"/>
    <mergeCell ref="Q5:Q6"/>
    <mergeCell ref="C30:E30"/>
    <mergeCell ref="C31:E31"/>
    <mergeCell ref="C35:E35"/>
    <mergeCell ref="C36:E36"/>
    <mergeCell ref="C37:E37"/>
    <mergeCell ref="A38:F38"/>
    <mergeCell ref="C33:E33"/>
    <mergeCell ref="C34:E34"/>
  </mergeCells>
  <pageMargins left="0.7" right="0.7" top="0.75" bottom="0.75" header="0.3" footer="0.3"/>
  <pageSetup paperSize="9" orientation="portrait" horizontalDpi="0"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1F9C-E3BA-4719-8A24-D71B73C50250}">
  <dimension ref="A1:S52"/>
  <sheetViews>
    <sheetView topLeftCell="E31" zoomScale="90" zoomScaleNormal="90" workbookViewId="0">
      <selection activeCell="Q39" sqref="Q39"/>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4743</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44985</v>
      </c>
      <c r="C8" s="138" t="s">
        <v>4744</v>
      </c>
      <c r="D8" s="308" t="s">
        <v>4772</v>
      </c>
      <c r="E8" s="146" t="s">
        <v>4760</v>
      </c>
      <c r="F8" s="138"/>
      <c r="G8" s="138">
        <v>147</v>
      </c>
      <c r="H8" s="141">
        <f>20250*G8</f>
        <v>2976750</v>
      </c>
      <c r="I8" s="138"/>
      <c r="J8" s="226">
        <v>1080000</v>
      </c>
      <c r="K8" s="141"/>
      <c r="L8" s="150"/>
      <c r="M8" s="141"/>
      <c r="N8" s="141"/>
      <c r="O8" s="141">
        <f>SUM(H8:N8)</f>
        <v>4056750</v>
      </c>
      <c r="P8" s="141">
        <v>6800000</v>
      </c>
      <c r="Q8" s="141">
        <f>P8-O8</f>
        <v>2743250</v>
      </c>
      <c r="R8" s="143"/>
    </row>
    <row r="9" spans="1:18" ht="24.95" customHeight="1" x14ac:dyDescent="0.25">
      <c r="A9" s="308">
        <v>2</v>
      </c>
      <c r="B9" s="303">
        <v>44986</v>
      </c>
      <c r="C9" s="138" t="s">
        <v>4745</v>
      </c>
      <c r="D9" s="308" t="s">
        <v>4773</v>
      </c>
      <c r="E9" s="146" t="s">
        <v>4598</v>
      </c>
      <c r="F9" s="138"/>
      <c r="G9" s="138">
        <v>101</v>
      </c>
      <c r="H9" s="141">
        <f t="shared" ref="H9:H16" si="0">20250*G9</f>
        <v>2045250</v>
      </c>
      <c r="I9" s="138"/>
      <c r="J9" s="226">
        <f>790000+200000</f>
        <v>990000</v>
      </c>
      <c r="K9" s="141"/>
      <c r="L9" s="150"/>
      <c r="M9" s="141"/>
      <c r="N9" s="141"/>
      <c r="O9" s="141">
        <f>SUM(H9:N9)</f>
        <v>3035250</v>
      </c>
      <c r="P9" s="141">
        <v>5900000</v>
      </c>
      <c r="Q9" s="141">
        <f t="shared" ref="Q9:Q32" si="1">P9-O9</f>
        <v>2864750</v>
      </c>
      <c r="R9" s="143"/>
    </row>
    <row r="10" spans="1:18" ht="24.95" customHeight="1" x14ac:dyDescent="0.25">
      <c r="A10" s="308">
        <v>3</v>
      </c>
      <c r="B10" s="303">
        <v>44987</v>
      </c>
      <c r="C10" s="138" t="s">
        <v>4746</v>
      </c>
      <c r="D10" s="308" t="s">
        <v>4774</v>
      </c>
      <c r="E10" s="146" t="s">
        <v>4761</v>
      </c>
      <c r="F10" s="138"/>
      <c r="G10" s="138">
        <v>79</v>
      </c>
      <c r="H10" s="141">
        <f t="shared" si="0"/>
        <v>1599750</v>
      </c>
      <c r="I10" s="138"/>
      <c r="J10" s="226">
        <v>430000</v>
      </c>
      <c r="K10" s="141"/>
      <c r="L10" s="150"/>
      <c r="M10" s="141"/>
      <c r="N10" s="141"/>
      <c r="O10" s="141">
        <f t="shared" ref="O10:O17" si="2">SUM(H10:N10)</f>
        <v>2029750</v>
      </c>
      <c r="P10" s="141">
        <v>3700000</v>
      </c>
      <c r="Q10" s="141">
        <f t="shared" si="1"/>
        <v>1670250</v>
      </c>
      <c r="R10" s="143"/>
    </row>
    <row r="11" spans="1:18" ht="24.95" customHeight="1" x14ac:dyDescent="0.25">
      <c r="A11" s="308">
        <v>4</v>
      </c>
      <c r="B11" s="303">
        <v>44988</v>
      </c>
      <c r="C11" s="138" t="s">
        <v>4747</v>
      </c>
      <c r="D11" s="308" t="s">
        <v>4775</v>
      </c>
      <c r="E11" s="146" t="s">
        <v>4762</v>
      </c>
      <c r="F11" s="138"/>
      <c r="G11" s="138">
        <v>113</v>
      </c>
      <c r="H11" s="141">
        <f t="shared" si="0"/>
        <v>2288250</v>
      </c>
      <c r="I11" s="138"/>
      <c r="J11" s="226">
        <v>790000</v>
      </c>
      <c r="K11" s="141"/>
      <c r="L11" s="150"/>
      <c r="M11" s="141"/>
      <c r="N11" s="141"/>
      <c r="O11" s="141">
        <f t="shared" si="2"/>
        <v>3078250</v>
      </c>
      <c r="P11" s="141">
        <v>4600000</v>
      </c>
      <c r="Q11" s="141">
        <f t="shared" si="1"/>
        <v>1521750</v>
      </c>
      <c r="R11" s="143"/>
    </row>
    <row r="12" spans="1:18" ht="24.95" customHeight="1" x14ac:dyDescent="0.25">
      <c r="A12" s="308">
        <v>5</v>
      </c>
      <c r="B12" s="303">
        <v>44991</v>
      </c>
      <c r="C12" s="138" t="s">
        <v>4748</v>
      </c>
      <c r="D12" s="308" t="s">
        <v>4776</v>
      </c>
      <c r="E12" s="146" t="s">
        <v>4763</v>
      </c>
      <c r="F12" s="138"/>
      <c r="G12" s="138">
        <v>158</v>
      </c>
      <c r="H12" s="141">
        <f t="shared" si="0"/>
        <v>3199500</v>
      </c>
      <c r="I12" s="138"/>
      <c r="J12" s="226">
        <v>1080000</v>
      </c>
      <c r="K12" s="141"/>
      <c r="L12" s="150"/>
      <c r="M12" s="141"/>
      <c r="N12" s="141"/>
      <c r="O12" s="141">
        <f t="shared" si="2"/>
        <v>4279500</v>
      </c>
      <c r="P12" s="141">
        <v>7000000</v>
      </c>
      <c r="Q12" s="141">
        <f t="shared" si="1"/>
        <v>2720500</v>
      </c>
      <c r="R12" s="143"/>
    </row>
    <row r="13" spans="1:18" ht="24.95" customHeight="1" x14ac:dyDescent="0.25">
      <c r="A13" s="308">
        <v>6</v>
      </c>
      <c r="B13" s="303">
        <v>44992</v>
      </c>
      <c r="C13" s="138" t="s">
        <v>178</v>
      </c>
      <c r="D13" s="308" t="s">
        <v>4777</v>
      </c>
      <c r="E13" s="146" t="s">
        <v>4764</v>
      </c>
      <c r="F13" s="138"/>
      <c r="G13" s="138">
        <v>144</v>
      </c>
      <c r="H13" s="141">
        <f t="shared" si="0"/>
        <v>2916000</v>
      </c>
      <c r="I13" s="138"/>
      <c r="J13" s="226">
        <v>740000</v>
      </c>
      <c r="K13" s="141"/>
      <c r="L13" s="150"/>
      <c r="M13" s="141"/>
      <c r="N13" s="141"/>
      <c r="O13" s="141">
        <f t="shared" si="2"/>
        <v>3656000</v>
      </c>
      <c r="P13" s="141">
        <v>5800000</v>
      </c>
      <c r="Q13" s="141">
        <f t="shared" si="1"/>
        <v>2144000</v>
      </c>
      <c r="R13" s="143"/>
    </row>
    <row r="14" spans="1:18" ht="24.95" customHeight="1" x14ac:dyDescent="0.25">
      <c r="A14" s="308">
        <v>7</v>
      </c>
      <c r="B14" s="303">
        <v>44993</v>
      </c>
      <c r="C14" s="138" t="s">
        <v>4749</v>
      </c>
      <c r="D14" s="308" t="s">
        <v>4778</v>
      </c>
      <c r="E14" s="146" t="s">
        <v>4765</v>
      </c>
      <c r="F14" s="138"/>
      <c r="G14" s="134">
        <v>81</v>
      </c>
      <c r="H14" s="141">
        <f t="shared" si="0"/>
        <v>1640250</v>
      </c>
      <c r="I14" s="138"/>
      <c r="J14" s="226">
        <v>790000</v>
      </c>
      <c r="K14" s="141"/>
      <c r="L14" s="150"/>
      <c r="M14" s="141"/>
      <c r="N14" s="141"/>
      <c r="O14" s="141">
        <f t="shared" si="2"/>
        <v>2430250</v>
      </c>
      <c r="P14" s="141">
        <v>4367273</v>
      </c>
      <c r="Q14" s="141">
        <f t="shared" si="1"/>
        <v>1937023</v>
      </c>
      <c r="R14" s="143"/>
    </row>
    <row r="15" spans="1:18" ht="24.95" customHeight="1" x14ac:dyDescent="0.25">
      <c r="A15" s="308">
        <v>8</v>
      </c>
      <c r="B15" s="303">
        <v>44993</v>
      </c>
      <c r="C15" s="138" t="s">
        <v>182</v>
      </c>
      <c r="D15" s="308" t="s">
        <v>4779</v>
      </c>
      <c r="E15" s="146" t="s">
        <v>2798</v>
      </c>
      <c r="F15" s="138"/>
      <c r="G15" s="134">
        <v>124</v>
      </c>
      <c r="H15" s="141">
        <f t="shared" si="0"/>
        <v>2511000</v>
      </c>
      <c r="I15" s="138"/>
      <c r="J15" s="226">
        <v>790000</v>
      </c>
      <c r="K15" s="141"/>
      <c r="L15" s="150"/>
      <c r="M15" s="141"/>
      <c r="N15" s="141"/>
      <c r="O15" s="141">
        <f t="shared" si="2"/>
        <v>3301000</v>
      </c>
      <c r="P15" s="141">
        <v>5363636</v>
      </c>
      <c r="Q15" s="141">
        <f t="shared" si="1"/>
        <v>2062636</v>
      </c>
      <c r="R15" s="143"/>
    </row>
    <row r="16" spans="1:18" ht="24.95" customHeight="1" x14ac:dyDescent="0.25">
      <c r="A16" s="308">
        <v>9</v>
      </c>
      <c r="B16" s="303">
        <v>44994</v>
      </c>
      <c r="C16" s="138" t="s">
        <v>4750</v>
      </c>
      <c r="D16" s="308" t="s">
        <v>2880</v>
      </c>
      <c r="E16" s="146" t="s">
        <v>2985</v>
      </c>
      <c r="F16" s="138"/>
      <c r="G16" s="134">
        <v>58</v>
      </c>
      <c r="H16" s="141">
        <f t="shared" si="0"/>
        <v>1174500</v>
      </c>
      <c r="I16" s="138"/>
      <c r="J16" s="226">
        <v>430000</v>
      </c>
      <c r="K16" s="141"/>
      <c r="L16" s="150"/>
      <c r="M16" s="141"/>
      <c r="N16" s="141"/>
      <c r="O16" s="141">
        <f t="shared" si="2"/>
        <v>1604500</v>
      </c>
      <c r="P16" s="141">
        <v>3150000</v>
      </c>
      <c r="Q16" s="141">
        <f t="shared" si="1"/>
        <v>1545500</v>
      </c>
      <c r="R16" s="143"/>
    </row>
    <row r="17" spans="1:18" ht="24.95" customHeight="1" x14ac:dyDescent="0.25">
      <c r="A17" s="308">
        <v>10</v>
      </c>
      <c r="B17" s="303">
        <v>44996</v>
      </c>
      <c r="C17" s="138" t="s">
        <v>4751</v>
      </c>
      <c r="D17" s="308" t="s">
        <v>4780</v>
      </c>
      <c r="E17" s="146" t="s">
        <v>4766</v>
      </c>
      <c r="F17" s="138"/>
      <c r="G17" s="138">
        <v>127</v>
      </c>
      <c r="H17" s="141">
        <f>G17*20500</f>
        <v>2603500</v>
      </c>
      <c r="I17" s="138"/>
      <c r="J17" s="226">
        <v>830000</v>
      </c>
      <c r="K17" s="141"/>
      <c r="L17" s="150"/>
      <c r="M17" s="141"/>
      <c r="N17" s="141"/>
      <c r="O17" s="141">
        <f t="shared" si="2"/>
        <v>3433500</v>
      </c>
      <c r="P17" s="141">
        <v>4800000</v>
      </c>
      <c r="Q17" s="141">
        <f t="shared" si="1"/>
        <v>1366500</v>
      </c>
      <c r="R17" s="143"/>
    </row>
    <row r="18" spans="1:18" ht="24.95" customHeight="1" x14ac:dyDescent="0.25">
      <c r="A18" s="308">
        <v>11</v>
      </c>
      <c r="B18" s="303">
        <v>44997</v>
      </c>
      <c r="C18" s="138" t="s">
        <v>4752</v>
      </c>
      <c r="D18" s="308" t="s">
        <v>4781</v>
      </c>
      <c r="E18" s="146" t="s">
        <v>4598</v>
      </c>
      <c r="F18" s="138"/>
      <c r="G18" s="138">
        <v>106</v>
      </c>
      <c r="H18" s="141">
        <f t="shared" ref="H18:H24" si="3">G18*20500</f>
        <v>2173000</v>
      </c>
      <c r="I18" s="138"/>
      <c r="J18" s="226">
        <v>790000</v>
      </c>
      <c r="K18" s="141"/>
      <c r="L18" s="150"/>
      <c r="M18" s="141"/>
      <c r="N18" s="141"/>
      <c r="O18" s="141">
        <f>SUM(H18:N18)</f>
        <v>2963000</v>
      </c>
      <c r="P18" s="141">
        <v>4900000</v>
      </c>
      <c r="Q18" s="141">
        <f t="shared" si="1"/>
        <v>1937000</v>
      </c>
      <c r="R18" s="143"/>
    </row>
    <row r="19" spans="1:18" ht="24.95" customHeight="1" x14ac:dyDescent="0.25">
      <c r="A19" s="308">
        <v>12</v>
      </c>
      <c r="B19" s="303">
        <v>44999</v>
      </c>
      <c r="C19" s="138" t="s">
        <v>2949</v>
      </c>
      <c r="D19" s="308" t="s">
        <v>4782</v>
      </c>
      <c r="E19" s="146" t="s">
        <v>218</v>
      </c>
      <c r="F19" s="138"/>
      <c r="G19" s="138">
        <v>82</v>
      </c>
      <c r="H19" s="141">
        <f t="shared" si="3"/>
        <v>1681000</v>
      </c>
      <c r="I19" s="138"/>
      <c r="J19" s="226">
        <v>790000</v>
      </c>
      <c r="K19" s="141"/>
      <c r="L19" s="150"/>
      <c r="M19" s="141"/>
      <c r="N19" s="141"/>
      <c r="O19" s="141">
        <f>SUM(H19:N19)</f>
        <v>2471000</v>
      </c>
      <c r="P19" s="141">
        <v>4747272</v>
      </c>
      <c r="Q19" s="141">
        <f t="shared" si="1"/>
        <v>2276272</v>
      </c>
      <c r="R19" s="143"/>
    </row>
    <row r="20" spans="1:18" ht="24.95" customHeight="1" x14ac:dyDescent="0.25">
      <c r="A20" s="308">
        <v>13</v>
      </c>
      <c r="B20" s="303">
        <v>44999</v>
      </c>
      <c r="C20" s="138" t="s">
        <v>4753</v>
      </c>
      <c r="D20" s="308" t="s">
        <v>4783</v>
      </c>
      <c r="E20" s="146" t="s">
        <v>3528</v>
      </c>
      <c r="F20" s="138"/>
      <c r="G20" s="138">
        <v>87</v>
      </c>
      <c r="H20" s="141">
        <f t="shared" si="3"/>
        <v>1783500</v>
      </c>
      <c r="I20" s="138"/>
      <c r="J20" s="226">
        <v>430000</v>
      </c>
      <c r="K20" s="141"/>
      <c r="L20" s="150"/>
      <c r="M20" s="141"/>
      <c r="N20" s="141"/>
      <c r="O20" s="141">
        <f>SUM(H20:N20)</f>
        <v>2213500</v>
      </c>
      <c r="P20" s="141">
        <v>4150000</v>
      </c>
      <c r="Q20" s="141">
        <f t="shared" si="1"/>
        <v>1936500</v>
      </c>
      <c r="R20" s="143"/>
    </row>
    <row r="21" spans="1:18" ht="24.95" customHeight="1" x14ac:dyDescent="0.25">
      <c r="A21" s="308">
        <v>14</v>
      </c>
      <c r="B21" s="303">
        <v>45000</v>
      </c>
      <c r="C21" s="138" t="s">
        <v>966</v>
      </c>
      <c r="D21" s="308" t="s">
        <v>4784</v>
      </c>
      <c r="E21" s="146" t="s">
        <v>4767</v>
      </c>
      <c r="F21" s="138"/>
      <c r="G21" s="138">
        <v>30</v>
      </c>
      <c r="H21" s="141">
        <f t="shared" si="3"/>
        <v>615000</v>
      </c>
      <c r="I21" s="138"/>
      <c r="J21" s="226">
        <v>640000</v>
      </c>
      <c r="K21" s="141"/>
      <c r="L21" s="150"/>
      <c r="M21" s="141"/>
      <c r="N21" s="141"/>
      <c r="O21" s="141">
        <f t="shared" ref="O21:O32" si="4">SUM(H21:N21)</f>
        <v>1255000</v>
      </c>
      <c r="P21" s="141">
        <v>3050000</v>
      </c>
      <c r="Q21" s="141">
        <f t="shared" si="1"/>
        <v>1795000</v>
      </c>
      <c r="R21" s="143"/>
    </row>
    <row r="22" spans="1:18" ht="24.95" customHeight="1" x14ac:dyDescent="0.25">
      <c r="A22" s="308">
        <v>15</v>
      </c>
      <c r="B22" s="303">
        <v>45000</v>
      </c>
      <c r="C22" s="138" t="s">
        <v>4754</v>
      </c>
      <c r="D22" s="308" t="s">
        <v>4785</v>
      </c>
      <c r="E22" s="146" t="s">
        <v>2798</v>
      </c>
      <c r="F22" s="138"/>
      <c r="G22" s="138">
        <v>124</v>
      </c>
      <c r="H22" s="141">
        <f t="shared" si="3"/>
        <v>2542000</v>
      </c>
      <c r="I22" s="138"/>
      <c r="J22" s="226">
        <v>790000</v>
      </c>
      <c r="K22" s="141"/>
      <c r="L22" s="150"/>
      <c r="M22" s="141"/>
      <c r="N22" s="141"/>
      <c r="O22" s="141">
        <f t="shared" si="4"/>
        <v>3332000</v>
      </c>
      <c r="P22" s="141">
        <v>5363636</v>
      </c>
      <c r="Q22" s="141">
        <f t="shared" si="1"/>
        <v>2031636</v>
      </c>
      <c r="R22" s="143"/>
    </row>
    <row r="23" spans="1:18" ht="24.95" customHeight="1" x14ac:dyDescent="0.25">
      <c r="A23" s="308">
        <v>16</v>
      </c>
      <c r="B23" s="303">
        <v>45002</v>
      </c>
      <c r="C23" s="138" t="s">
        <v>4755</v>
      </c>
      <c r="D23" s="308" t="s">
        <v>4786</v>
      </c>
      <c r="E23" s="146" t="s">
        <v>2798</v>
      </c>
      <c r="F23" s="138"/>
      <c r="G23" s="138">
        <v>124</v>
      </c>
      <c r="H23" s="141">
        <f t="shared" si="3"/>
        <v>2542000</v>
      </c>
      <c r="I23" s="138"/>
      <c r="J23" s="226">
        <v>790000</v>
      </c>
      <c r="K23" s="141"/>
      <c r="L23" s="150"/>
      <c r="M23" s="141"/>
      <c r="N23" s="141"/>
      <c r="O23" s="141">
        <f t="shared" si="4"/>
        <v>3332000</v>
      </c>
      <c r="P23" s="141">
        <v>5893636</v>
      </c>
      <c r="Q23" s="141">
        <f t="shared" si="1"/>
        <v>2561636</v>
      </c>
      <c r="R23" s="143"/>
    </row>
    <row r="24" spans="1:18" ht="24.95" customHeight="1" x14ac:dyDescent="0.25">
      <c r="A24" s="308">
        <v>17</v>
      </c>
      <c r="B24" s="303">
        <v>45003</v>
      </c>
      <c r="C24" s="138" t="s">
        <v>4756</v>
      </c>
      <c r="D24" s="308" t="s">
        <v>4787</v>
      </c>
      <c r="E24" s="146" t="s">
        <v>4768</v>
      </c>
      <c r="F24" s="138"/>
      <c r="G24" s="138">
        <v>63</v>
      </c>
      <c r="H24" s="141">
        <f t="shared" si="3"/>
        <v>1291500</v>
      </c>
      <c r="I24" s="138"/>
      <c r="J24" s="226">
        <v>430000</v>
      </c>
      <c r="K24" s="141"/>
      <c r="L24" s="150"/>
      <c r="M24" s="141"/>
      <c r="N24" s="141"/>
      <c r="O24" s="141">
        <f t="shared" si="4"/>
        <v>1721500</v>
      </c>
      <c r="P24" s="141">
        <v>3160000</v>
      </c>
      <c r="Q24" s="141">
        <f t="shared" si="1"/>
        <v>1438500</v>
      </c>
      <c r="R24" s="143"/>
    </row>
    <row r="25" spans="1:18" ht="24.95" customHeight="1" x14ac:dyDescent="0.25">
      <c r="A25" s="308">
        <v>18</v>
      </c>
      <c r="B25" s="303">
        <v>45006</v>
      </c>
      <c r="C25" s="138" t="s">
        <v>4757</v>
      </c>
      <c r="D25" s="308" t="s">
        <v>4788</v>
      </c>
      <c r="E25" s="146" t="s">
        <v>4769</v>
      </c>
      <c r="F25" s="138"/>
      <c r="G25" s="138">
        <v>100</v>
      </c>
      <c r="H25" s="141">
        <f>G25*19300</f>
        <v>1930000</v>
      </c>
      <c r="I25" s="138"/>
      <c r="J25" s="226">
        <v>430000</v>
      </c>
      <c r="K25" s="141"/>
      <c r="L25" s="150"/>
      <c r="M25" s="141"/>
      <c r="N25" s="141"/>
      <c r="O25" s="141">
        <f t="shared" si="4"/>
        <v>2360000</v>
      </c>
      <c r="P25" s="141">
        <v>4200000</v>
      </c>
      <c r="Q25" s="141">
        <f t="shared" si="1"/>
        <v>1840000</v>
      </c>
      <c r="R25" s="143"/>
    </row>
    <row r="26" spans="1:18" ht="24.95" customHeight="1" x14ac:dyDescent="0.25">
      <c r="A26" s="308">
        <v>19</v>
      </c>
      <c r="B26" s="303">
        <v>45006</v>
      </c>
      <c r="C26" s="138" t="s">
        <v>4268</v>
      </c>
      <c r="D26" s="308" t="s">
        <v>4789</v>
      </c>
      <c r="E26" s="146" t="s">
        <v>4509</v>
      </c>
      <c r="F26" s="138"/>
      <c r="G26" s="138">
        <v>375</v>
      </c>
      <c r="H26" s="141">
        <f t="shared" ref="H26:H32" si="5">G26*19300</f>
        <v>7237500</v>
      </c>
      <c r="I26" s="138"/>
      <c r="J26" s="226">
        <v>3420000</v>
      </c>
      <c r="K26" s="141"/>
      <c r="L26" s="150"/>
      <c r="M26" s="141"/>
      <c r="N26" s="141"/>
      <c r="O26" s="141">
        <f t="shared" si="4"/>
        <v>10657500</v>
      </c>
      <c r="P26" s="141">
        <v>20250000</v>
      </c>
      <c r="Q26" s="141">
        <f t="shared" si="1"/>
        <v>9592500</v>
      </c>
      <c r="R26" s="143"/>
    </row>
    <row r="27" spans="1:18" ht="24.95" customHeight="1" x14ac:dyDescent="0.25">
      <c r="A27" s="308">
        <v>20</v>
      </c>
      <c r="B27" s="303">
        <v>45007</v>
      </c>
      <c r="C27" s="138" t="s">
        <v>2955</v>
      </c>
      <c r="D27" s="308" t="s">
        <v>4790</v>
      </c>
      <c r="E27" s="146" t="s">
        <v>2798</v>
      </c>
      <c r="F27" s="138"/>
      <c r="G27" s="138">
        <v>111</v>
      </c>
      <c r="H27" s="141">
        <f t="shared" si="5"/>
        <v>2142300</v>
      </c>
      <c r="I27" s="138"/>
      <c r="J27" s="226">
        <v>790000</v>
      </c>
      <c r="K27" s="141"/>
      <c r="L27" s="150"/>
      <c r="M27" s="141"/>
      <c r="N27" s="141"/>
      <c r="O27" s="141">
        <f t="shared" si="4"/>
        <v>2932300</v>
      </c>
      <c r="P27" s="141">
        <v>4870000</v>
      </c>
      <c r="Q27" s="141">
        <f t="shared" si="1"/>
        <v>1937700</v>
      </c>
      <c r="R27" s="143"/>
    </row>
    <row r="28" spans="1:18" ht="24.95" customHeight="1" x14ac:dyDescent="0.25">
      <c r="A28" s="308">
        <v>21</v>
      </c>
      <c r="B28" s="303">
        <v>45010</v>
      </c>
      <c r="C28" s="138" t="s">
        <v>2290</v>
      </c>
      <c r="D28" s="308" t="s">
        <v>4791</v>
      </c>
      <c r="E28" s="146" t="s">
        <v>4770</v>
      </c>
      <c r="F28" s="138"/>
      <c r="G28" s="138">
        <v>147</v>
      </c>
      <c r="H28" s="141">
        <f t="shared" si="5"/>
        <v>2837100</v>
      </c>
      <c r="I28" s="138"/>
      <c r="J28" s="226">
        <v>880000</v>
      </c>
      <c r="K28" s="141"/>
      <c r="L28" s="150"/>
      <c r="M28" s="141"/>
      <c r="N28" s="141"/>
      <c r="O28" s="141">
        <f t="shared" si="4"/>
        <v>3717100</v>
      </c>
      <c r="P28" s="141">
        <v>6600000</v>
      </c>
      <c r="Q28" s="141">
        <f t="shared" si="1"/>
        <v>2882900</v>
      </c>
      <c r="R28" s="143"/>
    </row>
    <row r="29" spans="1:18" ht="24.95" customHeight="1" x14ac:dyDescent="0.25">
      <c r="A29" s="308">
        <v>22</v>
      </c>
      <c r="B29" s="303">
        <v>45012</v>
      </c>
      <c r="C29" s="138" t="s">
        <v>4758</v>
      </c>
      <c r="D29" s="308" t="s">
        <v>4792</v>
      </c>
      <c r="E29" s="146" t="s">
        <v>4598</v>
      </c>
      <c r="F29" s="138"/>
      <c r="G29" s="138">
        <v>106</v>
      </c>
      <c r="H29" s="141">
        <f t="shared" si="5"/>
        <v>2045800</v>
      </c>
      <c r="I29" s="138"/>
      <c r="J29" s="226">
        <f>790000+200000</f>
        <v>990000</v>
      </c>
      <c r="K29" s="141"/>
      <c r="L29" s="150"/>
      <c r="M29" s="141"/>
      <c r="N29" s="141"/>
      <c r="O29" s="141">
        <f t="shared" si="4"/>
        <v>3035800</v>
      </c>
      <c r="P29" s="141">
        <v>6000000</v>
      </c>
      <c r="Q29" s="141">
        <f t="shared" si="1"/>
        <v>2964200</v>
      </c>
      <c r="R29" s="143"/>
    </row>
    <row r="30" spans="1:18" ht="24.95" customHeight="1" x14ac:dyDescent="0.25">
      <c r="A30" s="308">
        <v>23</v>
      </c>
      <c r="B30" s="303">
        <v>45013</v>
      </c>
      <c r="C30" s="138" t="s">
        <v>1618</v>
      </c>
      <c r="D30" s="308" t="s">
        <v>4793</v>
      </c>
      <c r="E30" s="146" t="s">
        <v>4771</v>
      </c>
      <c r="F30" s="138"/>
      <c r="G30" s="138">
        <v>39</v>
      </c>
      <c r="H30" s="141">
        <f t="shared" si="5"/>
        <v>752700</v>
      </c>
      <c r="I30" s="138"/>
      <c r="J30" s="226">
        <v>340000</v>
      </c>
      <c r="K30" s="141"/>
      <c r="L30" s="150"/>
      <c r="M30" s="141"/>
      <c r="N30" s="141"/>
      <c r="O30" s="141">
        <f t="shared" si="4"/>
        <v>1092700</v>
      </c>
      <c r="P30" s="141">
        <v>2700000</v>
      </c>
      <c r="Q30" s="141">
        <f t="shared" si="1"/>
        <v>1607300</v>
      </c>
      <c r="R30" s="143"/>
    </row>
    <row r="31" spans="1:18" ht="24.95" customHeight="1" x14ac:dyDescent="0.25">
      <c r="A31" s="308">
        <v>24</v>
      </c>
      <c r="B31" s="303">
        <v>45014</v>
      </c>
      <c r="C31" s="138" t="s">
        <v>2959</v>
      </c>
      <c r="D31" s="308" t="s">
        <v>4794</v>
      </c>
      <c r="E31" s="146" t="s">
        <v>2499</v>
      </c>
      <c r="F31" s="138"/>
      <c r="G31" s="138">
        <v>76</v>
      </c>
      <c r="H31" s="141">
        <f t="shared" si="5"/>
        <v>1466800</v>
      </c>
      <c r="I31" s="138"/>
      <c r="J31" s="226">
        <v>430000</v>
      </c>
      <c r="K31" s="141"/>
      <c r="L31" s="150"/>
      <c r="M31" s="141"/>
      <c r="N31" s="141"/>
      <c r="O31" s="141">
        <f t="shared" si="4"/>
        <v>1896800</v>
      </c>
      <c r="P31" s="141">
        <v>3700000</v>
      </c>
      <c r="Q31" s="141">
        <f t="shared" si="1"/>
        <v>1803200</v>
      </c>
      <c r="R31" s="143"/>
    </row>
    <row r="32" spans="1:18" ht="24.95" customHeight="1" x14ac:dyDescent="0.25">
      <c r="A32" s="308">
        <v>25</v>
      </c>
      <c r="B32" s="303">
        <v>45016</v>
      </c>
      <c r="C32" s="138" t="s">
        <v>4759</v>
      </c>
      <c r="D32" s="308" t="s">
        <v>4795</v>
      </c>
      <c r="E32" s="146" t="s">
        <v>1876</v>
      </c>
      <c r="F32" s="138"/>
      <c r="G32" s="138">
        <v>99</v>
      </c>
      <c r="H32" s="141">
        <f t="shared" si="5"/>
        <v>1910700</v>
      </c>
      <c r="I32" s="138"/>
      <c r="J32" s="226">
        <v>890000</v>
      </c>
      <c r="K32" s="141"/>
      <c r="L32" s="150"/>
      <c r="M32" s="141"/>
      <c r="N32" s="141"/>
      <c r="O32" s="141">
        <f t="shared" si="4"/>
        <v>2800700</v>
      </c>
      <c r="P32" s="141">
        <v>4800000</v>
      </c>
      <c r="Q32" s="141">
        <f t="shared" si="1"/>
        <v>1999300</v>
      </c>
      <c r="R32" s="143"/>
    </row>
    <row r="33" spans="1:19" ht="24.95" customHeight="1" x14ac:dyDescent="0.25">
      <c r="A33" s="308"/>
      <c r="B33" s="303"/>
      <c r="C33" s="138"/>
      <c r="D33" s="308"/>
      <c r="E33" s="146"/>
      <c r="F33" s="138"/>
      <c r="G33" s="138"/>
      <c r="H33" s="141"/>
      <c r="I33" s="138"/>
      <c r="J33" s="141"/>
      <c r="K33" s="141"/>
      <c r="L33" s="150"/>
      <c r="M33" s="141"/>
      <c r="N33" s="141"/>
      <c r="O33" s="141"/>
      <c r="P33" s="141"/>
      <c r="Q33" s="141"/>
      <c r="R33" s="143"/>
    </row>
    <row r="34" spans="1:19" ht="24.95" customHeight="1" x14ac:dyDescent="0.25">
      <c r="A34" s="308"/>
      <c r="B34" s="303"/>
      <c r="C34" s="452" t="s">
        <v>26</v>
      </c>
      <c r="D34" s="453"/>
      <c r="E34" s="454"/>
      <c r="F34" s="196"/>
      <c r="G34" s="195"/>
      <c r="H34" s="155"/>
      <c r="I34" s="195"/>
      <c r="J34" s="155"/>
      <c r="K34" s="219">
        <v>1200000</v>
      </c>
      <c r="L34" s="219"/>
      <c r="M34" s="141"/>
      <c r="N34" s="141"/>
      <c r="O34" s="139">
        <f t="shared" ref="O34:O38" si="6">SUM(H34:N34)</f>
        <v>1200000</v>
      </c>
      <c r="P34" s="141"/>
      <c r="Q34" s="141"/>
      <c r="R34" s="143"/>
    </row>
    <row r="35" spans="1:19" ht="24.95" customHeight="1" x14ac:dyDescent="0.25">
      <c r="A35" s="308"/>
      <c r="B35" s="303"/>
      <c r="C35" s="452" t="s">
        <v>4798</v>
      </c>
      <c r="D35" s="453"/>
      <c r="E35" s="454"/>
      <c r="F35" s="196"/>
      <c r="G35" s="195"/>
      <c r="H35" s="155"/>
      <c r="I35" s="195"/>
      <c r="J35" s="155"/>
      <c r="K35" s="219">
        <v>10957000</v>
      </c>
      <c r="L35" s="150"/>
      <c r="M35" s="141"/>
      <c r="N35" s="141"/>
      <c r="O35" s="139">
        <f t="shared" si="6"/>
        <v>10957000</v>
      </c>
      <c r="P35" s="141"/>
      <c r="Q35" s="141"/>
      <c r="R35" s="143"/>
    </row>
    <row r="36" spans="1:19" ht="24.95" customHeight="1" x14ac:dyDescent="0.25">
      <c r="A36" s="211"/>
      <c r="B36" s="337"/>
      <c r="C36" s="440" t="s">
        <v>4796</v>
      </c>
      <c r="D36" s="441"/>
      <c r="E36" s="442"/>
      <c r="F36" s="196"/>
      <c r="G36" s="195"/>
      <c r="H36" s="155"/>
      <c r="I36" s="195"/>
      <c r="J36" s="155"/>
      <c r="K36" s="219"/>
      <c r="L36" s="219">
        <v>1815000</v>
      </c>
      <c r="M36" s="219"/>
      <c r="N36" s="139"/>
      <c r="O36" s="139">
        <f t="shared" si="6"/>
        <v>1815000</v>
      </c>
      <c r="P36" s="139"/>
      <c r="Q36" s="139"/>
      <c r="R36" s="143"/>
    </row>
    <row r="37" spans="1:19" ht="24.95" customHeight="1" x14ac:dyDescent="0.25">
      <c r="A37" s="211"/>
      <c r="B37" s="337"/>
      <c r="C37" s="452" t="s">
        <v>4797</v>
      </c>
      <c r="D37" s="453"/>
      <c r="E37" s="454"/>
      <c r="F37" s="196"/>
      <c r="G37" s="195"/>
      <c r="H37" s="155"/>
      <c r="I37" s="195"/>
      <c r="J37" s="155"/>
      <c r="K37" s="219"/>
      <c r="L37" s="219">
        <v>250000</v>
      </c>
      <c r="M37" s="219"/>
      <c r="N37" s="219"/>
      <c r="O37" s="139">
        <f t="shared" si="6"/>
        <v>250000</v>
      </c>
      <c r="P37" s="139"/>
      <c r="Q37" s="139"/>
      <c r="R37" s="143"/>
    </row>
    <row r="38" spans="1:19" ht="24.95" customHeight="1" x14ac:dyDescent="0.25">
      <c r="A38" s="211"/>
      <c r="B38" s="337"/>
      <c r="C38" s="452" t="s">
        <v>4626</v>
      </c>
      <c r="D38" s="453"/>
      <c r="E38" s="454"/>
      <c r="F38" s="196"/>
      <c r="G38" s="195"/>
      <c r="H38" s="155"/>
      <c r="I38" s="195"/>
      <c r="J38" s="155"/>
      <c r="K38" s="219">
        <v>7700000</v>
      </c>
      <c r="L38" s="219"/>
      <c r="M38" s="139"/>
      <c r="N38" s="139"/>
      <c r="O38" s="139">
        <f t="shared" si="6"/>
        <v>7700000</v>
      </c>
      <c r="P38" s="139"/>
      <c r="Q38" s="139"/>
      <c r="R38" s="143"/>
    </row>
    <row r="39" spans="1:19" ht="24.95" customHeight="1" x14ac:dyDescent="0.25">
      <c r="A39" s="450" t="s">
        <v>20</v>
      </c>
      <c r="B39" s="450"/>
      <c r="C39" s="450"/>
      <c r="D39" s="450"/>
      <c r="E39" s="450"/>
      <c r="F39" s="450"/>
      <c r="G39" s="334">
        <f t="shared" ref="G39:P39" si="7">SUM(G8:G38)</f>
        <v>2801</v>
      </c>
      <c r="H39" s="334">
        <f t="shared" si="7"/>
        <v>55905650</v>
      </c>
      <c r="I39" s="334">
        <f t="shared" si="7"/>
        <v>0</v>
      </c>
      <c r="J39" s="334">
        <f t="shared" si="7"/>
        <v>20780000</v>
      </c>
      <c r="K39" s="334">
        <f t="shared" si="7"/>
        <v>19857000</v>
      </c>
      <c r="L39" s="334">
        <f t="shared" si="7"/>
        <v>2065000</v>
      </c>
      <c r="M39" s="334">
        <f t="shared" si="7"/>
        <v>0</v>
      </c>
      <c r="N39" s="334">
        <f t="shared" si="7"/>
        <v>0</v>
      </c>
      <c r="O39" s="334">
        <f t="shared" si="7"/>
        <v>98607650</v>
      </c>
      <c r="P39" s="335">
        <f t="shared" si="7"/>
        <v>135865453</v>
      </c>
      <c r="Q39" s="334">
        <f>P39-O39</f>
        <v>37257803</v>
      </c>
    </row>
    <row r="40" spans="1:19" ht="24.95" customHeight="1" x14ac:dyDescent="0.25">
      <c r="O40" s="158"/>
      <c r="Q40" s="158"/>
    </row>
    <row r="41" spans="1:19" ht="13.9" customHeight="1" x14ac:dyDescent="0.25">
      <c r="P41" s="216" t="s">
        <v>1603</v>
      </c>
      <c r="Q41" s="227">
        <f>'02.2023'!Q40+'03.2023'!Q39</f>
        <v>97559539</v>
      </c>
      <c r="S41" s="216"/>
    </row>
    <row r="42" spans="1:19" ht="13.9" customHeight="1" x14ac:dyDescent="0.25">
      <c r="B42" s="129"/>
      <c r="J42" s="128"/>
      <c r="K42" s="128"/>
      <c r="L42" s="128"/>
      <c r="N42" s="128"/>
      <c r="O42" s="128"/>
      <c r="P42" s="218"/>
      <c r="Q42" s="216"/>
    </row>
    <row r="43" spans="1:19" ht="13.9" customHeight="1" x14ac:dyDescent="0.25">
      <c r="B43" s="129"/>
      <c r="H43" s="128"/>
      <c r="J43" s="128"/>
      <c r="K43" s="128"/>
      <c r="L43" s="128"/>
      <c r="M43" s="128"/>
      <c r="N43" s="128"/>
      <c r="O43" s="128"/>
      <c r="P43" s="218"/>
      <c r="Q43" s="230"/>
    </row>
    <row r="44" spans="1:19" ht="13.9" customHeight="1" x14ac:dyDescent="0.25">
      <c r="B44" s="129"/>
      <c r="G44" s="143"/>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9" x14ac:dyDescent="0.25">
      <c r="A49" s="128"/>
      <c r="B49" s="128"/>
      <c r="G49" s="143"/>
      <c r="J49" s="128"/>
      <c r="K49" s="128"/>
      <c r="L49" s="128"/>
      <c r="M49" s="128"/>
      <c r="N49" s="128"/>
      <c r="O49" s="128"/>
      <c r="P49" s="128"/>
      <c r="Q49" s="216"/>
    </row>
    <row r="50" spans="1:19" x14ac:dyDescent="0.25">
      <c r="A50" s="128"/>
      <c r="B50" s="128"/>
      <c r="H50" s="128"/>
      <c r="J50" s="128"/>
      <c r="K50" s="128"/>
      <c r="L50" s="128"/>
      <c r="M50" s="128"/>
      <c r="N50" s="128"/>
      <c r="O50" s="128"/>
      <c r="P50" s="128"/>
      <c r="Q50" s="216"/>
    </row>
    <row r="52" spans="1:19" s="143" customFormat="1" x14ac:dyDescent="0.25">
      <c r="A52" s="129"/>
      <c r="B52" s="163"/>
      <c r="C52" s="128"/>
      <c r="D52" s="128"/>
      <c r="E52" s="128"/>
      <c r="F52" s="128"/>
      <c r="I52" s="128"/>
      <c r="R52" s="128"/>
      <c r="S52" s="128"/>
    </row>
  </sheetData>
  <mergeCells count="19">
    <mergeCell ref="A1:Q1"/>
    <mergeCell ref="A2:Q2"/>
    <mergeCell ref="B3:Q3"/>
    <mergeCell ref="A5:A6"/>
    <mergeCell ref="B5:B6"/>
    <mergeCell ref="C5:C6"/>
    <mergeCell ref="D5:D6"/>
    <mergeCell ref="E5:E6"/>
    <mergeCell ref="F5:F6"/>
    <mergeCell ref="G5:N5"/>
    <mergeCell ref="C38:E38"/>
    <mergeCell ref="A39:F39"/>
    <mergeCell ref="O5:O6"/>
    <mergeCell ref="P5:P6"/>
    <mergeCell ref="Q5:Q6"/>
    <mergeCell ref="C36:E36"/>
    <mergeCell ref="C37:E37"/>
    <mergeCell ref="C35:E35"/>
    <mergeCell ref="C34:E34"/>
  </mergeCells>
  <pageMargins left="0.7" right="0.7" top="0.75" bottom="0.75" header="0.3" footer="0.3"/>
  <pageSetup paperSize="9" orientation="portrait" horizontalDpi="0" verticalDpi="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335C-BFF6-401B-AAD1-B9E468774413}">
  <dimension ref="A1:S61"/>
  <sheetViews>
    <sheetView topLeftCell="F41" zoomScale="90" zoomScaleNormal="90" workbookViewId="0">
      <selection activeCell="Q48" sqref="Q4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4799</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45019</v>
      </c>
      <c r="C8" s="138" t="s">
        <v>2347</v>
      </c>
      <c r="D8" s="308" t="s">
        <v>4819</v>
      </c>
      <c r="E8" s="146" t="s">
        <v>4544</v>
      </c>
      <c r="F8" s="138"/>
      <c r="G8" s="138">
        <v>269</v>
      </c>
      <c r="H8" s="141">
        <f>G8*19430</f>
        <v>5226670</v>
      </c>
      <c r="I8" s="138"/>
      <c r="J8" s="226">
        <v>2583000</v>
      </c>
      <c r="K8" s="141"/>
      <c r="L8" s="150"/>
      <c r="M8" s="141"/>
      <c r="N8" s="141"/>
      <c r="O8" s="141">
        <f>SUM(H8:N8)</f>
        <v>7809670</v>
      </c>
      <c r="P8" s="141">
        <v>14150000</v>
      </c>
      <c r="Q8" s="141">
        <f>P8-O8</f>
        <v>6340330</v>
      </c>
      <c r="R8" s="143"/>
    </row>
    <row r="9" spans="1:18" ht="24.95" customHeight="1" x14ac:dyDescent="0.25">
      <c r="A9" s="308">
        <v>2</v>
      </c>
      <c r="B9" s="303">
        <v>45019</v>
      </c>
      <c r="C9" s="138" t="s">
        <v>3004</v>
      </c>
      <c r="D9" s="308" t="s">
        <v>4820</v>
      </c>
      <c r="E9" s="146" t="s">
        <v>23</v>
      </c>
      <c r="F9" s="138"/>
      <c r="G9" s="138">
        <v>248</v>
      </c>
      <c r="H9" s="141">
        <f t="shared" ref="H9:H12" si="0">G9*19430</f>
        <v>4818640</v>
      </c>
      <c r="I9" s="138"/>
      <c r="J9" s="226">
        <v>2380000</v>
      </c>
      <c r="K9" s="141"/>
      <c r="L9" s="150"/>
      <c r="M9" s="141"/>
      <c r="N9" s="141"/>
      <c r="O9" s="141">
        <f>SUM(H9:N9)</f>
        <v>7198640</v>
      </c>
      <c r="P9" s="141">
        <v>13318182</v>
      </c>
      <c r="Q9" s="141">
        <f t="shared" ref="Q9:Q27" si="1">P9-O9</f>
        <v>6119542</v>
      </c>
      <c r="R9" s="143"/>
    </row>
    <row r="10" spans="1:18" ht="24.95" customHeight="1" x14ac:dyDescent="0.25">
      <c r="A10" s="308">
        <v>3</v>
      </c>
      <c r="B10" s="303">
        <v>45020</v>
      </c>
      <c r="C10" s="138" t="s">
        <v>4800</v>
      </c>
      <c r="D10" s="308" t="s">
        <v>4821</v>
      </c>
      <c r="E10" s="146" t="s">
        <v>3098</v>
      </c>
      <c r="F10" s="138"/>
      <c r="G10" s="138">
        <v>54</v>
      </c>
      <c r="H10" s="141">
        <f t="shared" si="0"/>
        <v>1049220</v>
      </c>
      <c r="I10" s="138"/>
      <c r="J10" s="226">
        <v>340000</v>
      </c>
      <c r="K10" s="141"/>
      <c r="L10" s="150"/>
      <c r="M10" s="141"/>
      <c r="N10" s="141"/>
      <c r="O10" s="141">
        <f t="shared" ref="O10:O17" si="2">SUM(H10:N10)</f>
        <v>1389220</v>
      </c>
      <c r="P10" s="141">
        <v>3100000</v>
      </c>
      <c r="Q10" s="141">
        <f t="shared" si="1"/>
        <v>1710780</v>
      </c>
      <c r="R10" s="143"/>
    </row>
    <row r="11" spans="1:18" ht="24.95" customHeight="1" x14ac:dyDescent="0.25">
      <c r="A11" s="308">
        <v>4</v>
      </c>
      <c r="B11" s="303">
        <v>45021</v>
      </c>
      <c r="C11" s="138" t="s">
        <v>4801</v>
      </c>
      <c r="D11" s="308" t="s">
        <v>4822</v>
      </c>
      <c r="E11" s="146" t="s">
        <v>4814</v>
      </c>
      <c r="F11" s="138"/>
      <c r="G11" s="134">
        <v>70</v>
      </c>
      <c r="H11" s="139">
        <f t="shared" si="0"/>
        <v>1360100</v>
      </c>
      <c r="I11" s="134"/>
      <c r="J11" s="226">
        <f>790000+200000</f>
        <v>990000</v>
      </c>
      <c r="K11" s="141"/>
      <c r="L11" s="150"/>
      <c r="M11" s="141"/>
      <c r="N11" s="141"/>
      <c r="O11" s="141">
        <f t="shared" si="2"/>
        <v>2350100</v>
      </c>
      <c r="P11" s="141">
        <v>4400000</v>
      </c>
      <c r="Q11" s="141">
        <f t="shared" si="1"/>
        <v>2049900</v>
      </c>
      <c r="R11" s="143"/>
    </row>
    <row r="12" spans="1:18" ht="24.95" customHeight="1" x14ac:dyDescent="0.25">
      <c r="A12" s="308">
        <v>5</v>
      </c>
      <c r="B12" s="303">
        <v>45022</v>
      </c>
      <c r="C12" s="138" t="s">
        <v>4802</v>
      </c>
      <c r="D12" s="308" t="s">
        <v>4823</v>
      </c>
      <c r="E12" s="146" t="s">
        <v>3098</v>
      </c>
      <c r="F12" s="138"/>
      <c r="G12" s="134">
        <v>54</v>
      </c>
      <c r="H12" s="139">
        <f t="shared" si="0"/>
        <v>1049220</v>
      </c>
      <c r="I12" s="134"/>
      <c r="J12" s="226">
        <v>340000</v>
      </c>
      <c r="K12" s="141"/>
      <c r="L12" s="150"/>
      <c r="M12" s="141"/>
      <c r="N12" s="141"/>
      <c r="O12" s="141">
        <f t="shared" si="2"/>
        <v>1389220</v>
      </c>
      <c r="P12" s="141">
        <v>3100000</v>
      </c>
      <c r="Q12" s="141">
        <f t="shared" si="1"/>
        <v>1710780</v>
      </c>
      <c r="R12" s="143"/>
    </row>
    <row r="13" spans="1:18" ht="24.95" customHeight="1" x14ac:dyDescent="0.25">
      <c r="A13" s="308">
        <v>6</v>
      </c>
      <c r="B13" s="303">
        <v>45024</v>
      </c>
      <c r="C13" s="138" t="s">
        <v>4803</v>
      </c>
      <c r="D13" s="308" t="s">
        <v>4824</v>
      </c>
      <c r="E13" s="146" t="s">
        <v>3098</v>
      </c>
      <c r="F13" s="138"/>
      <c r="G13" s="134">
        <v>54</v>
      </c>
      <c r="H13" s="139">
        <f>G13*20140</f>
        <v>1087560</v>
      </c>
      <c r="I13" s="134"/>
      <c r="J13" s="226">
        <v>340000</v>
      </c>
      <c r="K13" s="141"/>
      <c r="L13" s="150"/>
      <c r="M13" s="141"/>
      <c r="N13" s="141"/>
      <c r="O13" s="141">
        <f t="shared" si="2"/>
        <v>1427560</v>
      </c>
      <c r="P13" s="141">
        <v>3100000</v>
      </c>
      <c r="Q13" s="141">
        <f t="shared" si="1"/>
        <v>1672440</v>
      </c>
      <c r="R13" s="143"/>
    </row>
    <row r="14" spans="1:18" ht="24.95" customHeight="1" x14ac:dyDescent="0.25">
      <c r="A14" s="308">
        <v>7</v>
      </c>
      <c r="B14" s="303">
        <v>45024</v>
      </c>
      <c r="C14" s="138" t="s">
        <v>3623</v>
      </c>
      <c r="D14" s="308" t="s">
        <v>4825</v>
      </c>
      <c r="E14" s="146" t="s">
        <v>3098</v>
      </c>
      <c r="F14" s="138"/>
      <c r="G14" s="134">
        <v>58</v>
      </c>
      <c r="H14" s="139">
        <f t="shared" ref="H14:H20" si="3">G14*20140</f>
        <v>1168120</v>
      </c>
      <c r="I14" s="134"/>
      <c r="J14" s="226">
        <v>340000</v>
      </c>
      <c r="K14" s="141"/>
      <c r="L14" s="150"/>
      <c r="M14" s="141"/>
      <c r="N14" s="141"/>
      <c r="O14" s="141">
        <f t="shared" si="2"/>
        <v>1508120</v>
      </c>
      <c r="P14" s="141">
        <v>3100000</v>
      </c>
      <c r="Q14" s="141">
        <f t="shared" si="1"/>
        <v>1591880</v>
      </c>
      <c r="R14" s="143"/>
    </row>
    <row r="15" spans="1:18" ht="24.95" customHeight="1" x14ac:dyDescent="0.25">
      <c r="A15" s="308">
        <v>8</v>
      </c>
      <c r="B15" s="303">
        <v>45028</v>
      </c>
      <c r="C15" s="138" t="s">
        <v>1652</v>
      </c>
      <c r="D15" s="308" t="s">
        <v>4826</v>
      </c>
      <c r="E15" s="146" t="s">
        <v>4763</v>
      </c>
      <c r="F15" s="138"/>
      <c r="G15" s="134">
        <v>151</v>
      </c>
      <c r="H15" s="139">
        <f t="shared" si="3"/>
        <v>3041140</v>
      </c>
      <c r="I15" s="134"/>
      <c r="J15" s="226">
        <v>1240000</v>
      </c>
      <c r="K15" s="141"/>
      <c r="L15" s="150"/>
      <c r="M15" s="141"/>
      <c r="N15" s="141"/>
      <c r="O15" s="141">
        <f t="shared" si="2"/>
        <v>4281140</v>
      </c>
      <c r="P15" s="141">
        <v>6850000</v>
      </c>
      <c r="Q15" s="141">
        <f t="shared" si="1"/>
        <v>2568860</v>
      </c>
      <c r="R15" s="143"/>
    </row>
    <row r="16" spans="1:18" ht="24.95" customHeight="1" x14ac:dyDescent="0.25">
      <c r="A16" s="308">
        <v>9</v>
      </c>
      <c r="B16" s="303">
        <v>45030</v>
      </c>
      <c r="C16" s="138" t="s">
        <v>4804</v>
      </c>
      <c r="D16" s="308" t="s">
        <v>4827</v>
      </c>
      <c r="E16" s="146" t="s">
        <v>23</v>
      </c>
      <c r="F16" s="138"/>
      <c r="G16" s="134">
        <v>240</v>
      </c>
      <c r="H16" s="139">
        <f t="shared" si="3"/>
        <v>4833600</v>
      </c>
      <c r="I16" s="134"/>
      <c r="J16" s="226">
        <v>2380000</v>
      </c>
      <c r="K16" s="141"/>
      <c r="L16" s="150"/>
      <c r="M16" s="141"/>
      <c r="N16" s="141"/>
      <c r="O16" s="141">
        <f t="shared" si="2"/>
        <v>7213600</v>
      </c>
      <c r="P16" s="141">
        <v>12500000</v>
      </c>
      <c r="Q16" s="141">
        <f t="shared" si="1"/>
        <v>5286400</v>
      </c>
      <c r="R16" s="143"/>
    </row>
    <row r="17" spans="1:18" ht="24.95" customHeight="1" x14ac:dyDescent="0.25">
      <c r="A17" s="308">
        <v>10</v>
      </c>
      <c r="B17" s="303">
        <v>45031</v>
      </c>
      <c r="C17" s="138" t="s">
        <v>4805</v>
      </c>
      <c r="D17" s="308" t="s">
        <v>4828</v>
      </c>
      <c r="E17" s="146" t="s">
        <v>4815</v>
      </c>
      <c r="F17" s="138"/>
      <c r="G17" s="134">
        <v>45</v>
      </c>
      <c r="H17" s="139">
        <f t="shared" si="3"/>
        <v>906300</v>
      </c>
      <c r="I17" s="134"/>
      <c r="J17" s="226">
        <v>430000</v>
      </c>
      <c r="K17" s="141"/>
      <c r="L17" s="150"/>
      <c r="M17" s="141"/>
      <c r="N17" s="141"/>
      <c r="O17" s="141">
        <f t="shared" si="2"/>
        <v>1336300</v>
      </c>
      <c r="P17" s="141">
        <v>2600000</v>
      </c>
      <c r="Q17" s="141">
        <f t="shared" si="1"/>
        <v>1263700</v>
      </c>
      <c r="R17" s="143"/>
    </row>
    <row r="18" spans="1:18" ht="24.95" customHeight="1" x14ac:dyDescent="0.25">
      <c r="A18" s="308">
        <v>11</v>
      </c>
      <c r="B18" s="303">
        <v>45031</v>
      </c>
      <c r="C18" s="138" t="s">
        <v>4806</v>
      </c>
      <c r="D18" s="308" t="s">
        <v>4829</v>
      </c>
      <c r="E18" s="146" t="s">
        <v>25</v>
      </c>
      <c r="F18" s="138"/>
      <c r="G18" s="134">
        <v>186</v>
      </c>
      <c r="H18" s="139">
        <f t="shared" si="3"/>
        <v>3746040</v>
      </c>
      <c r="I18" s="134"/>
      <c r="J18" s="226">
        <v>1530000</v>
      </c>
      <c r="K18" s="141"/>
      <c r="L18" s="150"/>
      <c r="M18" s="141"/>
      <c r="N18" s="141"/>
      <c r="O18" s="141">
        <f>SUM(H18:N18)</f>
        <v>5276040</v>
      </c>
      <c r="P18" s="141">
        <v>8427273</v>
      </c>
      <c r="Q18" s="141">
        <f t="shared" si="1"/>
        <v>3151233</v>
      </c>
      <c r="R18" s="143"/>
    </row>
    <row r="19" spans="1:18" ht="24.95" customHeight="1" x14ac:dyDescent="0.25">
      <c r="A19" s="308">
        <v>12</v>
      </c>
      <c r="B19" s="303">
        <v>45034</v>
      </c>
      <c r="C19" s="138" t="s">
        <v>2351</v>
      </c>
      <c r="D19" s="308" t="s">
        <v>4830</v>
      </c>
      <c r="E19" s="146" t="s">
        <v>4816</v>
      </c>
      <c r="F19" s="138"/>
      <c r="G19" s="134">
        <v>267</v>
      </c>
      <c r="H19" s="139">
        <f t="shared" si="3"/>
        <v>5377380</v>
      </c>
      <c r="I19" s="134"/>
      <c r="J19" s="226">
        <v>1360000</v>
      </c>
      <c r="K19" s="141"/>
      <c r="L19" s="150"/>
      <c r="M19" s="141"/>
      <c r="N19" s="141"/>
      <c r="O19" s="141">
        <f>SUM(H19:N19)</f>
        <v>6737380</v>
      </c>
      <c r="P19" s="141">
        <v>10850000</v>
      </c>
      <c r="Q19" s="141">
        <f t="shared" si="1"/>
        <v>4112620</v>
      </c>
      <c r="R19" s="143"/>
    </row>
    <row r="20" spans="1:18" ht="24.95" customHeight="1" x14ac:dyDescent="0.25">
      <c r="A20" s="308">
        <v>13</v>
      </c>
      <c r="B20" s="303">
        <v>45035</v>
      </c>
      <c r="C20" s="138" t="s">
        <v>4807</v>
      </c>
      <c r="D20" s="308" t="s">
        <v>4831</v>
      </c>
      <c r="E20" s="146" t="s">
        <v>4598</v>
      </c>
      <c r="F20" s="138"/>
      <c r="G20" s="134">
        <v>103</v>
      </c>
      <c r="H20" s="139">
        <f t="shared" si="3"/>
        <v>2074420</v>
      </c>
      <c r="I20" s="134"/>
      <c r="J20" s="226">
        <v>790000</v>
      </c>
      <c r="K20" s="141"/>
      <c r="L20" s="150"/>
      <c r="M20" s="141"/>
      <c r="N20" s="141"/>
      <c r="O20" s="141">
        <f>SUM(H20:N20)</f>
        <v>2864420</v>
      </c>
      <c r="P20" s="141">
        <v>5200000</v>
      </c>
      <c r="Q20" s="141">
        <f t="shared" si="1"/>
        <v>2335580</v>
      </c>
      <c r="R20" s="143"/>
    </row>
    <row r="21" spans="1:18" ht="24.95" customHeight="1" x14ac:dyDescent="0.25">
      <c r="A21" s="308">
        <v>14</v>
      </c>
      <c r="B21" s="303">
        <v>45036</v>
      </c>
      <c r="C21" s="138" t="s">
        <v>4808</v>
      </c>
      <c r="D21" s="308" t="s">
        <v>4832</v>
      </c>
      <c r="E21" s="146" t="s">
        <v>4815</v>
      </c>
      <c r="F21" s="138"/>
      <c r="G21" s="134">
        <v>58</v>
      </c>
      <c r="H21" s="139">
        <f>G21*19390</f>
        <v>1124620</v>
      </c>
      <c r="I21" s="134"/>
      <c r="J21" s="226">
        <v>430000</v>
      </c>
      <c r="K21" s="141"/>
      <c r="L21" s="150"/>
      <c r="M21" s="141"/>
      <c r="N21" s="141"/>
      <c r="O21" s="141">
        <f t="shared" ref="O21:O27" si="4">SUM(H21:N21)</f>
        <v>1554620</v>
      </c>
      <c r="P21" s="141">
        <v>2900000</v>
      </c>
      <c r="Q21" s="141">
        <f t="shared" si="1"/>
        <v>1345380</v>
      </c>
      <c r="R21" s="143"/>
    </row>
    <row r="22" spans="1:18" ht="24.95" customHeight="1" x14ac:dyDescent="0.25">
      <c r="A22" s="308">
        <v>15</v>
      </c>
      <c r="B22" s="303">
        <v>45037</v>
      </c>
      <c r="C22" s="138" t="s">
        <v>3008</v>
      </c>
      <c r="D22" s="308" t="s">
        <v>4833</v>
      </c>
      <c r="E22" s="146" t="s">
        <v>23</v>
      </c>
      <c r="F22" s="138"/>
      <c r="G22" s="138">
        <v>253</v>
      </c>
      <c r="H22" s="141">
        <f>G22*19390</f>
        <v>4905670</v>
      </c>
      <c r="I22" s="138"/>
      <c r="J22" s="226">
        <v>2380000</v>
      </c>
      <c r="K22" s="141"/>
      <c r="L22" s="150"/>
      <c r="M22" s="141"/>
      <c r="N22" s="141"/>
      <c r="O22" s="141">
        <f t="shared" si="4"/>
        <v>7285670</v>
      </c>
      <c r="P22" s="141">
        <v>12863636</v>
      </c>
      <c r="Q22" s="141">
        <f t="shared" si="1"/>
        <v>5577966</v>
      </c>
      <c r="R22" s="143"/>
    </row>
    <row r="23" spans="1:18" ht="24.95" customHeight="1" x14ac:dyDescent="0.25">
      <c r="A23" s="308">
        <v>16</v>
      </c>
      <c r="B23" s="303">
        <v>45037</v>
      </c>
      <c r="C23" s="138" t="s">
        <v>4809</v>
      </c>
      <c r="D23" s="308" t="s">
        <v>4834</v>
      </c>
      <c r="E23" s="146" t="s">
        <v>4817</v>
      </c>
      <c r="F23" s="138"/>
      <c r="G23" s="138">
        <v>85</v>
      </c>
      <c r="H23" s="141">
        <f t="shared" ref="H23:H27" si="5">G23*19390</f>
        <v>1648150</v>
      </c>
      <c r="I23" s="138"/>
      <c r="J23" s="226">
        <v>790000</v>
      </c>
      <c r="K23" s="141"/>
      <c r="L23" s="150"/>
      <c r="M23" s="141"/>
      <c r="N23" s="141"/>
      <c r="O23" s="141">
        <f t="shared" si="4"/>
        <v>2438150</v>
      </c>
      <c r="P23" s="141">
        <v>4050000</v>
      </c>
      <c r="Q23" s="141">
        <f t="shared" si="1"/>
        <v>1611850</v>
      </c>
      <c r="R23" s="143"/>
    </row>
    <row r="24" spans="1:18" ht="24.95" customHeight="1" x14ac:dyDescent="0.25">
      <c r="A24" s="308">
        <v>17</v>
      </c>
      <c r="B24" s="303">
        <v>45040</v>
      </c>
      <c r="C24" s="138" t="s">
        <v>4810</v>
      </c>
      <c r="D24" s="308" t="s">
        <v>4835</v>
      </c>
      <c r="E24" s="146" t="s">
        <v>4815</v>
      </c>
      <c r="F24" s="138"/>
      <c r="G24" s="138">
        <v>58</v>
      </c>
      <c r="H24" s="141">
        <f t="shared" si="5"/>
        <v>1124620</v>
      </c>
      <c r="I24" s="138"/>
      <c r="J24" s="226">
        <v>430000</v>
      </c>
      <c r="K24" s="141"/>
      <c r="L24" s="150"/>
      <c r="M24" s="141"/>
      <c r="N24" s="141"/>
      <c r="O24" s="141">
        <f t="shared" si="4"/>
        <v>1554620</v>
      </c>
      <c r="P24" s="141">
        <v>2900000</v>
      </c>
      <c r="Q24" s="141">
        <f t="shared" si="1"/>
        <v>1345380</v>
      </c>
      <c r="R24" s="143"/>
    </row>
    <row r="25" spans="1:18" ht="24.95" customHeight="1" x14ac:dyDescent="0.25">
      <c r="A25" s="308">
        <v>18</v>
      </c>
      <c r="B25" s="303">
        <v>45041</v>
      </c>
      <c r="C25" s="138" t="s">
        <v>4811</v>
      </c>
      <c r="D25" s="308" t="s">
        <v>4836</v>
      </c>
      <c r="E25" s="146" t="s">
        <v>1170</v>
      </c>
      <c r="F25" s="138"/>
      <c r="G25" s="138">
        <v>253</v>
      </c>
      <c r="H25" s="141">
        <f t="shared" si="5"/>
        <v>4905670</v>
      </c>
      <c r="I25" s="138"/>
      <c r="J25" s="226">
        <v>2380000</v>
      </c>
      <c r="K25" s="141"/>
      <c r="L25" s="150"/>
      <c r="M25" s="141"/>
      <c r="N25" s="141"/>
      <c r="O25" s="141">
        <f t="shared" si="4"/>
        <v>7285670</v>
      </c>
      <c r="P25" s="141">
        <v>12727273</v>
      </c>
      <c r="Q25" s="141">
        <f t="shared" si="1"/>
        <v>5441603</v>
      </c>
      <c r="R25" s="143"/>
    </row>
    <row r="26" spans="1:18" ht="24.95" customHeight="1" x14ac:dyDescent="0.25">
      <c r="A26" s="308">
        <v>19</v>
      </c>
      <c r="B26" s="303">
        <v>45043</v>
      </c>
      <c r="C26" s="138" t="s">
        <v>4812</v>
      </c>
      <c r="D26" s="308" t="s">
        <v>4837</v>
      </c>
      <c r="E26" s="146" t="s">
        <v>4818</v>
      </c>
      <c r="F26" s="138"/>
      <c r="G26" s="138">
        <v>104</v>
      </c>
      <c r="H26" s="141">
        <f t="shared" si="5"/>
        <v>2016560</v>
      </c>
      <c r="I26" s="138"/>
      <c r="J26" s="226">
        <v>790000</v>
      </c>
      <c r="K26" s="141"/>
      <c r="L26" s="150"/>
      <c r="M26" s="141"/>
      <c r="N26" s="141"/>
      <c r="O26" s="141">
        <f t="shared" si="4"/>
        <v>2806560</v>
      </c>
      <c r="P26" s="141">
        <v>5100000</v>
      </c>
      <c r="Q26" s="141">
        <f t="shared" si="1"/>
        <v>2293440</v>
      </c>
      <c r="R26" s="143"/>
    </row>
    <row r="27" spans="1:18" ht="24.95" customHeight="1" x14ac:dyDescent="0.25">
      <c r="A27" s="308">
        <v>20</v>
      </c>
      <c r="B27" s="303">
        <v>45043</v>
      </c>
      <c r="C27" s="138" t="s">
        <v>4813</v>
      </c>
      <c r="D27" s="308" t="s">
        <v>4838</v>
      </c>
      <c r="E27" s="146" t="s">
        <v>2799</v>
      </c>
      <c r="F27" s="138"/>
      <c r="G27" s="138">
        <v>112</v>
      </c>
      <c r="H27" s="141">
        <f t="shared" si="5"/>
        <v>2171680</v>
      </c>
      <c r="I27" s="138"/>
      <c r="J27" s="226">
        <v>830000</v>
      </c>
      <c r="K27" s="141"/>
      <c r="L27" s="150"/>
      <c r="M27" s="141"/>
      <c r="N27" s="141"/>
      <c r="O27" s="141">
        <f t="shared" si="4"/>
        <v>3001680</v>
      </c>
      <c r="P27" s="141">
        <v>5000000</v>
      </c>
      <c r="Q27" s="141">
        <f t="shared" si="1"/>
        <v>1998320</v>
      </c>
      <c r="R27" s="143"/>
    </row>
    <row r="28" spans="1:18" ht="24.95" customHeight="1" x14ac:dyDescent="0.25">
      <c r="A28" s="308"/>
      <c r="B28" s="303"/>
      <c r="C28" s="138"/>
      <c r="D28" s="308"/>
      <c r="E28" s="146"/>
      <c r="F28" s="138"/>
      <c r="G28" s="138"/>
      <c r="H28" s="141"/>
      <c r="I28" s="138"/>
      <c r="J28" s="141"/>
      <c r="K28" s="141"/>
      <c r="L28" s="150"/>
      <c r="M28" s="141"/>
      <c r="N28" s="141"/>
      <c r="O28" s="141"/>
      <c r="P28" s="141"/>
      <c r="Q28" s="141"/>
      <c r="R28" s="143"/>
    </row>
    <row r="29" spans="1:18" ht="24.95" customHeight="1" x14ac:dyDescent="0.25">
      <c r="A29" s="308"/>
      <c r="B29" s="303"/>
      <c r="C29" s="452" t="s">
        <v>26</v>
      </c>
      <c r="D29" s="453"/>
      <c r="E29" s="454"/>
      <c r="F29" s="196"/>
      <c r="G29" s="195"/>
      <c r="H29" s="155"/>
      <c r="I29" s="195"/>
      <c r="J29" s="155"/>
      <c r="K29" s="219">
        <v>1200000</v>
      </c>
      <c r="L29" s="219"/>
      <c r="M29" s="141"/>
      <c r="N29" s="141"/>
      <c r="O29" s="139">
        <f t="shared" ref="O29:O47" si="6">SUM(H29:N29)</f>
        <v>1200000</v>
      </c>
      <c r="P29" s="141"/>
      <c r="Q29" s="141"/>
      <c r="R29" s="143"/>
    </row>
    <row r="30" spans="1:18" ht="24.95" customHeight="1" x14ac:dyDescent="0.25">
      <c r="A30" s="308"/>
      <c r="B30" s="303"/>
      <c r="C30" s="452" t="s">
        <v>4798</v>
      </c>
      <c r="D30" s="453"/>
      <c r="E30" s="454"/>
      <c r="F30" s="196"/>
      <c r="G30" s="195"/>
      <c r="H30" s="155"/>
      <c r="I30" s="195"/>
      <c r="J30" s="155"/>
      <c r="K30" s="219">
        <v>7657000</v>
      </c>
      <c r="L30" s="150"/>
      <c r="M30" s="141"/>
      <c r="N30" s="141"/>
      <c r="O30" s="139">
        <f t="shared" si="6"/>
        <v>7657000</v>
      </c>
      <c r="P30" s="141"/>
      <c r="Q30" s="141"/>
      <c r="R30" s="143"/>
    </row>
    <row r="31" spans="1:18" ht="24.95" customHeight="1" x14ac:dyDescent="0.25">
      <c r="A31" s="308"/>
      <c r="B31" s="303"/>
      <c r="C31" s="452" t="s">
        <v>4839</v>
      </c>
      <c r="D31" s="453"/>
      <c r="E31" s="454"/>
      <c r="F31" s="196"/>
      <c r="G31" s="195"/>
      <c r="H31" s="155"/>
      <c r="I31" s="195"/>
      <c r="J31" s="155"/>
      <c r="K31" s="219"/>
      <c r="L31" s="219">
        <v>2900000</v>
      </c>
      <c r="M31" s="141"/>
      <c r="N31" s="141"/>
      <c r="O31" s="139">
        <f t="shared" si="6"/>
        <v>2900000</v>
      </c>
      <c r="P31" s="141"/>
      <c r="Q31" s="141"/>
      <c r="R31" s="143"/>
    </row>
    <row r="32" spans="1:18" ht="24.95" customHeight="1" x14ac:dyDescent="0.25">
      <c r="A32" s="308"/>
      <c r="B32" s="303"/>
      <c r="C32" s="452" t="s">
        <v>4840</v>
      </c>
      <c r="D32" s="453"/>
      <c r="E32" s="454"/>
      <c r="F32" s="196"/>
      <c r="G32" s="195"/>
      <c r="H32" s="155"/>
      <c r="I32" s="195"/>
      <c r="J32" s="155"/>
      <c r="K32" s="219"/>
      <c r="L32" s="219">
        <v>600000</v>
      </c>
      <c r="M32" s="141"/>
      <c r="N32" s="141"/>
      <c r="O32" s="139">
        <f t="shared" si="6"/>
        <v>600000</v>
      </c>
      <c r="P32" s="141"/>
      <c r="Q32" s="141"/>
      <c r="R32" s="143"/>
    </row>
    <row r="33" spans="1:18" ht="24.95" customHeight="1" x14ac:dyDescent="0.25">
      <c r="A33" s="308"/>
      <c r="B33" s="303"/>
      <c r="C33" s="452" t="s">
        <v>4841</v>
      </c>
      <c r="D33" s="453"/>
      <c r="E33" s="454"/>
      <c r="F33" s="196"/>
      <c r="G33" s="195"/>
      <c r="H33" s="155"/>
      <c r="I33" s="195"/>
      <c r="J33" s="155"/>
      <c r="K33" s="219"/>
      <c r="L33" s="219">
        <v>2600000</v>
      </c>
      <c r="M33" s="141"/>
      <c r="N33" s="141"/>
      <c r="O33" s="139">
        <f t="shared" si="6"/>
        <v>2600000</v>
      </c>
      <c r="P33" s="141"/>
      <c r="Q33" s="141"/>
      <c r="R33" s="143"/>
    </row>
    <row r="34" spans="1:18" ht="24.95" customHeight="1" x14ac:dyDescent="0.25">
      <c r="A34" s="308"/>
      <c r="B34" s="303"/>
      <c r="C34" s="452" t="s">
        <v>4842</v>
      </c>
      <c r="D34" s="453"/>
      <c r="E34" s="454"/>
      <c r="F34" s="196"/>
      <c r="G34" s="195"/>
      <c r="H34" s="155"/>
      <c r="I34" s="195"/>
      <c r="J34" s="155"/>
      <c r="K34" s="219"/>
      <c r="L34" s="219">
        <v>840000</v>
      </c>
      <c r="M34" s="141"/>
      <c r="N34" s="141"/>
      <c r="O34" s="139">
        <f t="shared" si="6"/>
        <v>840000</v>
      </c>
      <c r="P34" s="141"/>
      <c r="Q34" s="141"/>
      <c r="R34" s="143"/>
    </row>
    <row r="35" spans="1:18" ht="24.95" customHeight="1" x14ac:dyDescent="0.25">
      <c r="A35" s="308"/>
      <c r="B35" s="303"/>
      <c r="C35" s="452" t="s">
        <v>4843</v>
      </c>
      <c r="D35" s="453"/>
      <c r="E35" s="454"/>
      <c r="F35" s="196"/>
      <c r="G35" s="195"/>
      <c r="H35" s="155"/>
      <c r="I35" s="195"/>
      <c r="J35" s="155"/>
      <c r="K35" s="219"/>
      <c r="L35" s="219">
        <v>8628000</v>
      </c>
      <c r="M35" s="141"/>
      <c r="N35" s="141"/>
      <c r="O35" s="139">
        <f t="shared" si="6"/>
        <v>8628000</v>
      </c>
      <c r="P35" s="141"/>
      <c r="Q35" s="141"/>
      <c r="R35" s="143"/>
    </row>
    <row r="36" spans="1:18" ht="24.95" customHeight="1" x14ac:dyDescent="0.25">
      <c r="A36" s="308"/>
      <c r="B36" s="303"/>
      <c r="C36" s="452" t="s">
        <v>4844</v>
      </c>
      <c r="D36" s="453"/>
      <c r="E36" s="454"/>
      <c r="F36" s="196"/>
      <c r="G36" s="195"/>
      <c r="H36" s="155"/>
      <c r="I36" s="195"/>
      <c r="J36" s="155"/>
      <c r="K36" s="219"/>
      <c r="L36" s="219">
        <v>120000</v>
      </c>
      <c r="M36" s="141"/>
      <c r="N36" s="141"/>
      <c r="O36" s="139">
        <f t="shared" si="6"/>
        <v>120000</v>
      </c>
      <c r="P36" s="141"/>
      <c r="Q36" s="141"/>
      <c r="R36" s="143"/>
    </row>
    <row r="37" spans="1:18" ht="24.95" customHeight="1" x14ac:dyDescent="0.25">
      <c r="A37" s="308"/>
      <c r="B37" s="303"/>
      <c r="C37" s="452" t="s">
        <v>4845</v>
      </c>
      <c r="D37" s="453"/>
      <c r="E37" s="454"/>
      <c r="F37" s="196"/>
      <c r="G37" s="195"/>
      <c r="H37" s="155"/>
      <c r="I37" s="195"/>
      <c r="J37" s="155"/>
      <c r="K37" s="219"/>
      <c r="L37" s="219">
        <v>200000</v>
      </c>
      <c r="M37" s="141"/>
      <c r="N37" s="141"/>
      <c r="O37" s="139">
        <f t="shared" si="6"/>
        <v>200000</v>
      </c>
      <c r="P37" s="141"/>
      <c r="Q37" s="141"/>
      <c r="R37" s="143"/>
    </row>
    <row r="38" spans="1:18" ht="24.95" customHeight="1" x14ac:dyDescent="0.25">
      <c r="A38" s="211"/>
      <c r="B38" s="337"/>
      <c r="C38" s="452" t="s">
        <v>4846</v>
      </c>
      <c r="D38" s="453"/>
      <c r="E38" s="454"/>
      <c r="F38" s="196"/>
      <c r="G38" s="195"/>
      <c r="H38" s="155"/>
      <c r="I38" s="195"/>
      <c r="J38" s="155"/>
      <c r="K38" s="219"/>
      <c r="L38" s="219">
        <v>790000</v>
      </c>
      <c r="M38" s="219"/>
      <c r="N38" s="139"/>
      <c r="O38" s="139">
        <f t="shared" si="6"/>
        <v>790000</v>
      </c>
      <c r="P38" s="139"/>
      <c r="Q38" s="139"/>
      <c r="R38" s="143"/>
    </row>
    <row r="39" spans="1:18" ht="24.95" customHeight="1" x14ac:dyDescent="0.25">
      <c r="A39" s="211"/>
      <c r="B39" s="337"/>
      <c r="C39" s="452" t="s">
        <v>4847</v>
      </c>
      <c r="D39" s="453"/>
      <c r="E39" s="454"/>
      <c r="F39" s="196"/>
      <c r="G39" s="195"/>
      <c r="H39" s="155"/>
      <c r="I39" s="195"/>
      <c r="J39" s="155"/>
      <c r="K39" s="219"/>
      <c r="L39" s="219">
        <f>1280000/4</f>
        <v>320000</v>
      </c>
      <c r="M39" s="219"/>
      <c r="N39" s="219"/>
      <c r="O39" s="139">
        <f t="shared" si="6"/>
        <v>320000</v>
      </c>
      <c r="P39" s="139"/>
      <c r="Q39" s="139"/>
      <c r="R39" s="143"/>
    </row>
    <row r="40" spans="1:18" ht="24.95" customHeight="1" x14ac:dyDescent="0.25">
      <c r="A40" s="211"/>
      <c r="B40" s="337"/>
      <c r="C40" s="452" t="s">
        <v>4848</v>
      </c>
      <c r="D40" s="453"/>
      <c r="E40" s="454"/>
      <c r="F40" s="196"/>
      <c r="G40" s="195"/>
      <c r="H40" s="155"/>
      <c r="I40" s="195"/>
      <c r="J40" s="155"/>
      <c r="K40" s="219"/>
      <c r="L40" s="219">
        <v>100000</v>
      </c>
      <c r="M40" s="219"/>
      <c r="N40" s="219"/>
      <c r="O40" s="139">
        <f t="shared" si="6"/>
        <v>100000</v>
      </c>
      <c r="P40" s="139"/>
      <c r="Q40" s="139"/>
      <c r="R40" s="143"/>
    </row>
    <row r="41" spans="1:18" ht="24.95" customHeight="1" x14ac:dyDescent="0.25">
      <c r="A41" s="211"/>
      <c r="B41" s="337"/>
      <c r="C41" s="373" t="s">
        <v>4849</v>
      </c>
      <c r="D41" s="365"/>
      <c r="E41" s="366"/>
      <c r="F41" s="196"/>
      <c r="G41" s="195"/>
      <c r="H41" s="155"/>
      <c r="I41" s="195"/>
      <c r="J41" s="155"/>
      <c r="K41" s="219"/>
      <c r="L41" s="219">
        <v>300000</v>
      </c>
      <c r="M41" s="219"/>
      <c r="N41" s="219"/>
      <c r="O41" s="139">
        <f t="shared" si="6"/>
        <v>300000</v>
      </c>
      <c r="P41" s="139"/>
      <c r="Q41" s="139"/>
      <c r="R41" s="143"/>
    </row>
    <row r="42" spans="1:18" ht="24.95" customHeight="1" x14ac:dyDescent="0.25">
      <c r="A42" s="211"/>
      <c r="B42" s="337"/>
      <c r="C42" s="452" t="s">
        <v>4850</v>
      </c>
      <c r="D42" s="453"/>
      <c r="E42" s="454"/>
      <c r="F42" s="196"/>
      <c r="G42" s="195"/>
      <c r="H42" s="155"/>
      <c r="I42" s="195"/>
      <c r="J42" s="155"/>
      <c r="K42" s="219"/>
      <c r="L42" s="219">
        <v>950000</v>
      </c>
      <c r="M42" s="219"/>
      <c r="N42" s="219"/>
      <c r="O42" s="139">
        <f t="shared" si="6"/>
        <v>950000</v>
      </c>
      <c r="P42" s="139"/>
      <c r="Q42" s="139"/>
      <c r="R42" s="143"/>
    </row>
    <row r="43" spans="1:18" ht="24.95" customHeight="1" x14ac:dyDescent="0.25">
      <c r="A43" s="211"/>
      <c r="B43" s="337"/>
      <c r="C43" s="452" t="s">
        <v>4851</v>
      </c>
      <c r="D43" s="453"/>
      <c r="E43" s="454"/>
      <c r="F43" s="196"/>
      <c r="G43" s="195"/>
      <c r="H43" s="155"/>
      <c r="I43" s="195"/>
      <c r="J43" s="155"/>
      <c r="K43" s="219"/>
      <c r="L43" s="219">
        <v>2450000</v>
      </c>
      <c r="M43" s="219"/>
      <c r="N43" s="219"/>
      <c r="O43" s="139">
        <f t="shared" si="6"/>
        <v>2450000</v>
      </c>
      <c r="P43" s="139"/>
      <c r="Q43" s="139"/>
      <c r="R43" s="143"/>
    </row>
    <row r="44" spans="1:18" ht="24.95" customHeight="1" x14ac:dyDescent="0.25">
      <c r="A44" s="211"/>
      <c r="B44" s="337"/>
      <c r="C44" s="452" t="s">
        <v>4852</v>
      </c>
      <c r="D44" s="453"/>
      <c r="E44" s="454"/>
      <c r="F44" s="196"/>
      <c r="G44" s="195"/>
      <c r="H44" s="155"/>
      <c r="I44" s="195"/>
      <c r="J44" s="155"/>
      <c r="K44" s="219"/>
      <c r="L44" s="219">
        <v>500000</v>
      </c>
      <c r="M44" s="219"/>
      <c r="N44" s="219"/>
      <c r="O44" s="139">
        <f t="shared" si="6"/>
        <v>500000</v>
      </c>
      <c r="P44" s="139"/>
      <c r="Q44" s="139"/>
      <c r="R44" s="143"/>
    </row>
    <row r="45" spans="1:18" ht="24.95" customHeight="1" x14ac:dyDescent="0.25">
      <c r="A45" s="211"/>
      <c r="B45" s="337"/>
      <c r="C45" s="452" t="s">
        <v>4853</v>
      </c>
      <c r="D45" s="453"/>
      <c r="E45" s="454"/>
      <c r="F45" s="196"/>
      <c r="G45" s="195"/>
      <c r="H45" s="155"/>
      <c r="I45" s="195"/>
      <c r="J45" s="155"/>
      <c r="K45" s="219"/>
      <c r="L45" s="219">
        <v>750000</v>
      </c>
      <c r="M45" s="219"/>
      <c r="N45" s="219"/>
      <c r="O45" s="139">
        <f t="shared" si="6"/>
        <v>750000</v>
      </c>
      <c r="P45" s="139"/>
      <c r="Q45" s="139"/>
      <c r="R45" s="143"/>
    </row>
    <row r="46" spans="1:18" ht="24.95" customHeight="1" x14ac:dyDescent="0.25">
      <c r="A46" s="211"/>
      <c r="B46" s="337"/>
      <c r="C46" s="452" t="s">
        <v>4854</v>
      </c>
      <c r="D46" s="453"/>
      <c r="E46" s="454"/>
      <c r="F46" s="196"/>
      <c r="G46" s="195"/>
      <c r="H46" s="155"/>
      <c r="I46" s="195"/>
      <c r="J46" s="155"/>
      <c r="K46" s="219"/>
      <c r="L46" s="219">
        <v>6300000</v>
      </c>
      <c r="M46" s="219"/>
      <c r="N46" s="219"/>
      <c r="O46" s="139">
        <f t="shared" si="6"/>
        <v>6300000</v>
      </c>
      <c r="P46" s="139"/>
      <c r="Q46" s="139"/>
      <c r="R46" s="143"/>
    </row>
    <row r="47" spans="1:18" ht="24.95" customHeight="1" x14ac:dyDescent="0.25">
      <c r="A47" s="379"/>
      <c r="B47" s="380"/>
      <c r="C47" s="471" t="s">
        <v>5016</v>
      </c>
      <c r="D47" s="472"/>
      <c r="E47" s="473"/>
      <c r="F47" s="152"/>
      <c r="G47" s="153"/>
      <c r="H47" s="156"/>
      <c r="I47" s="153"/>
      <c r="J47" s="156"/>
      <c r="K47" s="288">
        <v>7700000</v>
      </c>
      <c r="L47" s="288"/>
      <c r="M47" s="206"/>
      <c r="N47" s="206"/>
      <c r="O47" s="206">
        <f t="shared" si="6"/>
        <v>7700000</v>
      </c>
      <c r="P47" s="206"/>
      <c r="Q47" s="206"/>
      <c r="R47" s="143"/>
    </row>
    <row r="48" spans="1:18" ht="24.95" customHeight="1" x14ac:dyDescent="0.25">
      <c r="A48" s="426" t="s">
        <v>20</v>
      </c>
      <c r="B48" s="426"/>
      <c r="C48" s="426"/>
      <c r="D48" s="426"/>
      <c r="E48" s="426"/>
      <c r="F48" s="426"/>
      <c r="G48" s="161">
        <f t="shared" ref="G48:P48" si="7">SUM(G8:G47)</f>
        <v>2722</v>
      </c>
      <c r="H48" s="161">
        <f t="shared" si="7"/>
        <v>53635380</v>
      </c>
      <c r="I48" s="161">
        <f t="shared" si="7"/>
        <v>0</v>
      </c>
      <c r="J48" s="161">
        <f t="shared" si="7"/>
        <v>23073000</v>
      </c>
      <c r="K48" s="161">
        <f t="shared" si="7"/>
        <v>16557000</v>
      </c>
      <c r="L48" s="161">
        <f t="shared" si="7"/>
        <v>28348000</v>
      </c>
      <c r="M48" s="161">
        <f t="shared" si="7"/>
        <v>0</v>
      </c>
      <c r="N48" s="161">
        <f t="shared" si="7"/>
        <v>0</v>
      </c>
      <c r="O48" s="161">
        <f t="shared" si="7"/>
        <v>121613380</v>
      </c>
      <c r="P48" s="234">
        <f t="shared" si="7"/>
        <v>136236364</v>
      </c>
      <c r="Q48" s="161">
        <f>P48-O48</f>
        <v>14622984</v>
      </c>
    </row>
    <row r="49" spans="1:19" ht="24.95" customHeight="1" x14ac:dyDescent="0.25">
      <c r="O49" s="158"/>
      <c r="Q49" s="158"/>
    </row>
    <row r="50" spans="1:19" ht="13.9" customHeight="1" x14ac:dyDescent="0.25">
      <c r="P50" s="216" t="s">
        <v>1603</v>
      </c>
      <c r="Q50" s="227">
        <f>'03.2023'!Q41+'04.2023'!Q48</f>
        <v>112182523</v>
      </c>
      <c r="S50" s="216"/>
    </row>
    <row r="51" spans="1:19" ht="13.9" customHeight="1" x14ac:dyDescent="0.25">
      <c r="B51" s="129"/>
      <c r="J51" s="128"/>
      <c r="K51" s="128"/>
      <c r="L51" s="128"/>
      <c r="N51" s="128"/>
      <c r="O51" s="128"/>
      <c r="P51" s="218"/>
      <c r="Q51" s="216"/>
    </row>
    <row r="52" spans="1:19" ht="13.9" customHeight="1" x14ac:dyDescent="0.25">
      <c r="B52" s="129"/>
      <c r="H52" s="128"/>
      <c r="J52" s="128"/>
      <c r="K52" s="128"/>
      <c r="L52" s="128"/>
      <c r="M52" s="128"/>
      <c r="N52" s="128"/>
      <c r="O52" s="128"/>
      <c r="P52" s="218"/>
      <c r="Q52" s="230"/>
    </row>
    <row r="53" spans="1:19" ht="13.9" customHeight="1" x14ac:dyDescent="0.25">
      <c r="B53" s="129"/>
      <c r="G53" s="143"/>
      <c r="H53" s="128"/>
      <c r="J53" s="128"/>
      <c r="K53" s="128"/>
      <c r="L53" s="128"/>
      <c r="M53" s="128"/>
      <c r="N53" s="128"/>
      <c r="O53" s="128"/>
      <c r="P53" s="218"/>
      <c r="Q53" s="230"/>
      <c r="R53" s="143"/>
    </row>
    <row r="54" spans="1:19" ht="13.9" customHeight="1" x14ac:dyDescent="0.25">
      <c r="B54" s="129"/>
      <c r="H54" s="128"/>
      <c r="J54" s="128"/>
      <c r="K54" s="128"/>
      <c r="L54" s="128"/>
      <c r="M54" s="128"/>
      <c r="N54" s="128"/>
      <c r="O54" s="128"/>
      <c r="P54" s="218"/>
      <c r="Q54" s="216"/>
      <c r="R54" s="143"/>
    </row>
    <row r="55" spans="1:19" x14ac:dyDescent="0.25">
      <c r="B55" s="129"/>
      <c r="H55" s="128"/>
      <c r="J55" s="128"/>
      <c r="K55" s="128"/>
      <c r="L55" s="128"/>
      <c r="M55" s="128"/>
      <c r="N55" s="128"/>
      <c r="O55" s="128"/>
      <c r="P55" s="218"/>
      <c r="Q55" s="216"/>
    </row>
    <row r="56" spans="1:19" x14ac:dyDescent="0.25">
      <c r="A56" s="128"/>
      <c r="B56" s="129"/>
      <c r="H56" s="128"/>
      <c r="J56" s="128"/>
      <c r="K56" s="128"/>
      <c r="L56" s="128"/>
      <c r="M56" s="128"/>
      <c r="N56" s="128"/>
      <c r="O56" s="128"/>
      <c r="P56" s="218"/>
      <c r="Q56" s="216"/>
    </row>
    <row r="57" spans="1:19" x14ac:dyDescent="0.25">
      <c r="A57" s="128"/>
      <c r="B57" s="129"/>
      <c r="H57" s="128"/>
      <c r="J57" s="128"/>
      <c r="K57" s="128"/>
      <c r="L57" s="128"/>
      <c r="M57" s="128"/>
      <c r="N57" s="128"/>
      <c r="O57" s="128"/>
      <c r="P57" s="218"/>
      <c r="Q57" s="216"/>
    </row>
    <row r="58" spans="1:19" x14ac:dyDescent="0.25">
      <c r="A58" s="128"/>
      <c r="B58" s="128"/>
      <c r="G58" s="143"/>
      <c r="J58" s="128"/>
      <c r="K58" s="128"/>
      <c r="L58" s="128"/>
      <c r="M58" s="128"/>
      <c r="N58" s="128"/>
      <c r="O58" s="128"/>
      <c r="P58" s="128"/>
      <c r="Q58" s="216"/>
    </row>
    <row r="59" spans="1:19" x14ac:dyDescent="0.25">
      <c r="A59" s="128"/>
      <c r="B59" s="128"/>
      <c r="H59" s="128"/>
      <c r="J59" s="128"/>
      <c r="K59" s="128"/>
      <c r="L59" s="128"/>
      <c r="M59" s="128"/>
      <c r="N59" s="128"/>
      <c r="O59" s="128"/>
      <c r="P59" s="128"/>
      <c r="Q59" s="216"/>
    </row>
    <row r="61" spans="1:19" s="143" customFormat="1" x14ac:dyDescent="0.25">
      <c r="A61" s="129"/>
      <c r="B61" s="163"/>
      <c r="C61" s="128"/>
      <c r="D61" s="128"/>
      <c r="E61" s="128"/>
      <c r="F61" s="128"/>
      <c r="I61" s="128"/>
      <c r="R61" s="128"/>
      <c r="S61" s="128"/>
    </row>
  </sheetData>
  <mergeCells count="32">
    <mergeCell ref="A48:F48"/>
    <mergeCell ref="C31:E31"/>
    <mergeCell ref="C32:E32"/>
    <mergeCell ref="C33:E33"/>
    <mergeCell ref="C34:E34"/>
    <mergeCell ref="C35:E35"/>
    <mergeCell ref="C36:E36"/>
    <mergeCell ref="C37:E37"/>
    <mergeCell ref="C38:E38"/>
    <mergeCell ref="C40:E40"/>
    <mergeCell ref="C42:E42"/>
    <mergeCell ref="C43:E43"/>
    <mergeCell ref="C44:E44"/>
    <mergeCell ref="C45:E45"/>
    <mergeCell ref="C29:E29"/>
    <mergeCell ref="C30:E30"/>
    <mergeCell ref="C46:E46"/>
    <mergeCell ref="C39:E39"/>
    <mergeCell ref="C47:E47"/>
    <mergeCell ref="A1:Q1"/>
    <mergeCell ref="A2:Q2"/>
    <mergeCell ref="B3:Q3"/>
    <mergeCell ref="A5:A6"/>
    <mergeCell ref="B5:B6"/>
    <mergeCell ref="C5:C6"/>
    <mergeCell ref="D5:D6"/>
    <mergeCell ref="E5:E6"/>
    <mergeCell ref="F5:F6"/>
    <mergeCell ref="G5:N5"/>
    <mergeCell ref="O5:O6"/>
    <mergeCell ref="P5:P6"/>
    <mergeCell ref="Q5:Q6"/>
  </mergeCells>
  <pageMargins left="0.7" right="0.7" top="0.75" bottom="0.75" header="0.3" footer="0.3"/>
  <pageSetup paperSize="9" orientation="portrait" horizontalDpi="0"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AA53-1000-4AF1-B35A-DE243E70C6BD}">
  <dimension ref="A1:S48"/>
  <sheetViews>
    <sheetView topLeftCell="E27" zoomScale="90" zoomScaleNormal="90" workbookViewId="0">
      <selection activeCell="Q35" sqref="Q35"/>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4855</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45050</v>
      </c>
      <c r="C8" s="138" t="s">
        <v>2395</v>
      </c>
      <c r="D8" s="308" t="s">
        <v>4863</v>
      </c>
      <c r="E8" s="146" t="s">
        <v>2988</v>
      </c>
      <c r="F8" s="138"/>
      <c r="G8" s="138">
        <v>66</v>
      </c>
      <c r="H8" s="141">
        <f>G8*18250</f>
        <v>1204500</v>
      </c>
      <c r="I8" s="138"/>
      <c r="J8" s="226">
        <v>790000</v>
      </c>
      <c r="K8" s="141"/>
      <c r="L8" s="150"/>
      <c r="M8" s="141"/>
      <c r="N8" s="141"/>
      <c r="O8" s="141">
        <f>SUM(H8:N8)</f>
        <v>1994500</v>
      </c>
      <c r="P8" s="141">
        <v>3500000</v>
      </c>
      <c r="Q8" s="141">
        <f>P8-O8</f>
        <v>1505500</v>
      </c>
      <c r="R8" s="143"/>
    </row>
    <row r="9" spans="1:18" ht="24.95" customHeight="1" x14ac:dyDescent="0.25">
      <c r="A9" s="308">
        <v>2</v>
      </c>
      <c r="B9" s="303">
        <v>45050</v>
      </c>
      <c r="C9" s="138" t="s">
        <v>4883</v>
      </c>
      <c r="D9" s="308" t="s">
        <v>4864</v>
      </c>
      <c r="E9" s="146" t="s">
        <v>4763</v>
      </c>
      <c r="F9" s="138"/>
      <c r="G9" s="138">
        <v>157</v>
      </c>
      <c r="H9" s="141">
        <f t="shared" ref="H9:H13" si="0">G9*18250</f>
        <v>2865250</v>
      </c>
      <c r="I9" s="138"/>
      <c r="J9" s="226">
        <v>1130000</v>
      </c>
      <c r="K9" s="141"/>
      <c r="L9" s="150"/>
      <c r="M9" s="141"/>
      <c r="N9" s="141"/>
      <c r="O9" s="141">
        <f>SUM(H9:N9)</f>
        <v>3995250</v>
      </c>
      <c r="P9" s="141">
        <v>6700000</v>
      </c>
      <c r="Q9" s="141">
        <f t="shared" ref="Q9:Q27" si="1">P9-O9</f>
        <v>2704750</v>
      </c>
      <c r="R9" s="143"/>
    </row>
    <row r="10" spans="1:18" ht="24.95" customHeight="1" x14ac:dyDescent="0.25">
      <c r="A10" s="308">
        <v>3</v>
      </c>
      <c r="B10" s="303">
        <v>45051</v>
      </c>
      <c r="C10" s="138" t="s">
        <v>4884</v>
      </c>
      <c r="D10" s="308" t="s">
        <v>4865</v>
      </c>
      <c r="E10" s="146" t="s">
        <v>4859</v>
      </c>
      <c r="F10" s="138"/>
      <c r="G10" s="138">
        <v>368</v>
      </c>
      <c r="H10" s="141">
        <f t="shared" si="0"/>
        <v>6716000</v>
      </c>
      <c r="I10" s="138"/>
      <c r="J10" s="226">
        <f>3868000+400000</f>
        <v>4268000</v>
      </c>
      <c r="K10" s="141"/>
      <c r="L10" s="150"/>
      <c r="M10" s="141"/>
      <c r="N10" s="141"/>
      <c r="O10" s="141">
        <f t="shared" ref="O10:O17" si="2">SUM(H10:N10)</f>
        <v>10984000</v>
      </c>
      <c r="P10" s="141">
        <v>21450000</v>
      </c>
      <c r="Q10" s="141">
        <f t="shared" si="1"/>
        <v>10466000</v>
      </c>
      <c r="R10" s="143"/>
    </row>
    <row r="11" spans="1:18" ht="24.95" customHeight="1" x14ac:dyDescent="0.25">
      <c r="A11" s="308">
        <v>4</v>
      </c>
      <c r="B11" s="303">
        <v>45055</v>
      </c>
      <c r="C11" s="138" t="s">
        <v>2399</v>
      </c>
      <c r="D11" s="308" t="s">
        <v>4866</v>
      </c>
      <c r="E11" s="146" t="s">
        <v>23</v>
      </c>
      <c r="F11" s="138"/>
      <c r="G11" s="134">
        <v>242</v>
      </c>
      <c r="H11" s="141">
        <f t="shared" si="0"/>
        <v>4416500</v>
      </c>
      <c r="I11" s="134"/>
      <c r="J11" s="226">
        <v>2380000</v>
      </c>
      <c r="K11" s="141"/>
      <c r="L11" s="150"/>
      <c r="M11" s="141"/>
      <c r="N11" s="141"/>
      <c r="O11" s="141">
        <f t="shared" si="2"/>
        <v>6796500</v>
      </c>
      <c r="P11" s="141">
        <v>13227273</v>
      </c>
      <c r="Q11" s="141">
        <f t="shared" si="1"/>
        <v>6430773</v>
      </c>
      <c r="R11" s="143"/>
    </row>
    <row r="12" spans="1:18" ht="24.95" customHeight="1" x14ac:dyDescent="0.25">
      <c r="A12" s="308">
        <v>5</v>
      </c>
      <c r="B12" s="303">
        <v>45056</v>
      </c>
      <c r="C12" s="138" t="s">
        <v>4885</v>
      </c>
      <c r="D12" s="308" t="s">
        <v>4867</v>
      </c>
      <c r="E12" s="146" t="s">
        <v>4860</v>
      </c>
      <c r="F12" s="138"/>
      <c r="G12" s="134">
        <v>60</v>
      </c>
      <c r="H12" s="141">
        <f t="shared" si="0"/>
        <v>1095000</v>
      </c>
      <c r="I12" s="134"/>
      <c r="J12" s="226">
        <v>340000</v>
      </c>
      <c r="K12" s="141"/>
      <c r="L12" s="150"/>
      <c r="M12" s="141"/>
      <c r="N12" s="141"/>
      <c r="O12" s="141">
        <f t="shared" si="2"/>
        <v>1435000</v>
      </c>
      <c r="P12" s="208">
        <v>2900000</v>
      </c>
      <c r="Q12" s="141">
        <f t="shared" si="1"/>
        <v>1465000</v>
      </c>
      <c r="R12" s="143"/>
    </row>
    <row r="13" spans="1:18" ht="24.95" customHeight="1" x14ac:dyDescent="0.25">
      <c r="A13" s="308">
        <v>6</v>
      </c>
      <c r="B13" s="303">
        <v>45058</v>
      </c>
      <c r="C13" s="138" t="s">
        <v>4886</v>
      </c>
      <c r="D13" s="308" t="s">
        <v>4868</v>
      </c>
      <c r="E13" s="146" t="s">
        <v>4816</v>
      </c>
      <c r="F13" s="138"/>
      <c r="G13" s="134">
        <v>264</v>
      </c>
      <c r="H13" s="141">
        <f t="shared" si="0"/>
        <v>4818000</v>
      </c>
      <c r="I13" s="134"/>
      <c r="J13" s="226">
        <v>1360000</v>
      </c>
      <c r="K13" s="141"/>
      <c r="L13" s="150"/>
      <c r="M13" s="141"/>
      <c r="N13" s="141"/>
      <c r="O13" s="141">
        <f t="shared" si="2"/>
        <v>6178000</v>
      </c>
      <c r="P13" s="141">
        <v>10300000</v>
      </c>
      <c r="Q13" s="141">
        <f t="shared" si="1"/>
        <v>4122000</v>
      </c>
      <c r="R13" s="143"/>
    </row>
    <row r="14" spans="1:18" ht="24.95" customHeight="1" x14ac:dyDescent="0.25">
      <c r="A14" s="308">
        <v>7</v>
      </c>
      <c r="B14" s="303">
        <v>45058</v>
      </c>
      <c r="C14" s="138" t="s">
        <v>4887</v>
      </c>
      <c r="D14" s="308" t="s">
        <v>4869</v>
      </c>
      <c r="E14" s="146" t="s">
        <v>4859</v>
      </c>
      <c r="F14" s="138"/>
      <c r="G14" s="134">
        <v>369</v>
      </c>
      <c r="H14" s="139">
        <f>G14*17650</f>
        <v>6512850</v>
      </c>
      <c r="I14" s="134"/>
      <c r="J14" s="226">
        <v>3868000</v>
      </c>
      <c r="K14" s="141"/>
      <c r="L14" s="150"/>
      <c r="M14" s="141"/>
      <c r="N14" s="141"/>
      <c r="O14" s="141">
        <f t="shared" si="2"/>
        <v>10380850</v>
      </c>
      <c r="P14" s="141">
        <v>19650000</v>
      </c>
      <c r="Q14" s="141">
        <f t="shared" si="1"/>
        <v>9269150</v>
      </c>
      <c r="R14" s="143"/>
    </row>
    <row r="15" spans="1:18" ht="24.95" customHeight="1" x14ac:dyDescent="0.25">
      <c r="A15" s="308">
        <v>8</v>
      </c>
      <c r="B15" s="303">
        <v>45061</v>
      </c>
      <c r="C15" s="138" t="s">
        <v>4888</v>
      </c>
      <c r="D15" s="308" t="s">
        <v>4870</v>
      </c>
      <c r="E15" s="146" t="s">
        <v>23</v>
      </c>
      <c r="F15" s="138"/>
      <c r="G15" s="134">
        <v>245</v>
      </c>
      <c r="H15" s="139">
        <f t="shared" ref="H15:H18" si="3">G15*17650</f>
        <v>4324250</v>
      </c>
      <c r="I15" s="134"/>
      <c r="J15" s="226">
        <v>2380000</v>
      </c>
      <c r="K15" s="141"/>
      <c r="L15" s="150"/>
      <c r="M15" s="141"/>
      <c r="N15" s="141"/>
      <c r="O15" s="141">
        <f t="shared" si="2"/>
        <v>6704250</v>
      </c>
      <c r="P15" s="141">
        <v>13090909</v>
      </c>
      <c r="Q15" s="141">
        <f t="shared" si="1"/>
        <v>6386659</v>
      </c>
      <c r="R15" s="143"/>
    </row>
    <row r="16" spans="1:18" ht="24.95" customHeight="1" x14ac:dyDescent="0.25">
      <c r="A16" s="308">
        <v>9</v>
      </c>
      <c r="B16" s="303">
        <v>45062</v>
      </c>
      <c r="C16" s="138" t="s">
        <v>4889</v>
      </c>
      <c r="D16" s="308" t="s">
        <v>4871</v>
      </c>
      <c r="E16" s="146" t="s">
        <v>4815</v>
      </c>
      <c r="F16" s="138"/>
      <c r="G16" s="134">
        <v>57</v>
      </c>
      <c r="H16" s="139">
        <f t="shared" si="3"/>
        <v>1006050</v>
      </c>
      <c r="I16" s="134"/>
      <c r="J16" s="226">
        <v>430000</v>
      </c>
      <c r="K16" s="141"/>
      <c r="L16" s="150"/>
      <c r="M16" s="141"/>
      <c r="N16" s="141"/>
      <c r="O16" s="141">
        <f t="shared" si="2"/>
        <v>1436050</v>
      </c>
      <c r="P16" s="141">
        <v>2700000</v>
      </c>
      <c r="Q16" s="141">
        <f t="shared" si="1"/>
        <v>1263950</v>
      </c>
      <c r="R16" s="143"/>
    </row>
    <row r="17" spans="1:18" ht="24.95" customHeight="1" x14ac:dyDescent="0.25">
      <c r="A17" s="308">
        <v>10</v>
      </c>
      <c r="B17" s="303">
        <v>45063</v>
      </c>
      <c r="C17" s="138" t="s">
        <v>4340</v>
      </c>
      <c r="D17" s="308" t="s">
        <v>4872</v>
      </c>
      <c r="E17" s="146" t="s">
        <v>23</v>
      </c>
      <c r="F17" s="138"/>
      <c r="G17" s="134">
        <v>243</v>
      </c>
      <c r="H17" s="139">
        <f t="shared" si="3"/>
        <v>4288950</v>
      </c>
      <c r="I17" s="134"/>
      <c r="J17" s="226">
        <v>2380000</v>
      </c>
      <c r="K17" s="141"/>
      <c r="L17" s="150"/>
      <c r="M17" s="141"/>
      <c r="N17" s="141"/>
      <c r="O17" s="141">
        <f t="shared" si="2"/>
        <v>6668950</v>
      </c>
      <c r="P17" s="141">
        <v>13090909</v>
      </c>
      <c r="Q17" s="141">
        <f t="shared" si="1"/>
        <v>6421959</v>
      </c>
      <c r="R17" s="143"/>
    </row>
    <row r="18" spans="1:18" ht="24.95" customHeight="1" x14ac:dyDescent="0.25">
      <c r="A18" s="308">
        <v>11</v>
      </c>
      <c r="B18" s="303">
        <v>45065</v>
      </c>
      <c r="C18" s="138" t="s">
        <v>4890</v>
      </c>
      <c r="D18" s="308" t="s">
        <v>4873</v>
      </c>
      <c r="E18" s="146" t="s">
        <v>4544</v>
      </c>
      <c r="F18" s="138"/>
      <c r="G18" s="134">
        <v>269</v>
      </c>
      <c r="H18" s="139">
        <f t="shared" si="3"/>
        <v>4747850</v>
      </c>
      <c r="I18" s="134"/>
      <c r="J18" s="226">
        <v>3030000</v>
      </c>
      <c r="K18" s="141"/>
      <c r="L18" s="150"/>
      <c r="M18" s="141"/>
      <c r="N18" s="141"/>
      <c r="O18" s="141">
        <f>SUM(H18:N18)</f>
        <v>7777850</v>
      </c>
      <c r="P18" s="141">
        <v>13500000</v>
      </c>
      <c r="Q18" s="141">
        <f t="shared" si="1"/>
        <v>5722150</v>
      </c>
      <c r="R18" s="143"/>
    </row>
    <row r="19" spans="1:18" ht="24.95" customHeight="1" x14ac:dyDescent="0.25">
      <c r="A19" s="308">
        <v>12</v>
      </c>
      <c r="B19" s="303">
        <v>45066</v>
      </c>
      <c r="C19" s="138" t="s">
        <v>4891</v>
      </c>
      <c r="D19" s="308" t="s">
        <v>4874</v>
      </c>
      <c r="E19" s="146" t="s">
        <v>3276</v>
      </c>
      <c r="F19" s="138"/>
      <c r="G19" s="134">
        <v>99</v>
      </c>
      <c r="H19" s="139">
        <f>G19*17950</f>
        <v>1777050</v>
      </c>
      <c r="I19" s="134"/>
      <c r="J19" s="226">
        <v>790000</v>
      </c>
      <c r="K19" s="141"/>
      <c r="L19" s="150"/>
      <c r="M19" s="141"/>
      <c r="N19" s="141"/>
      <c r="O19" s="141">
        <f>SUM(H19:N19)</f>
        <v>2567050</v>
      </c>
      <c r="P19" s="141">
        <v>4500000</v>
      </c>
      <c r="Q19" s="141">
        <f t="shared" si="1"/>
        <v>1932950</v>
      </c>
      <c r="R19" s="143"/>
    </row>
    <row r="20" spans="1:18" ht="24.95" customHeight="1" x14ac:dyDescent="0.25">
      <c r="A20" s="308">
        <v>13</v>
      </c>
      <c r="B20" s="303">
        <v>45066</v>
      </c>
      <c r="C20" s="138" t="s">
        <v>4892</v>
      </c>
      <c r="D20" s="308" t="s">
        <v>4875</v>
      </c>
      <c r="E20" s="146" t="s">
        <v>4815</v>
      </c>
      <c r="F20" s="138"/>
      <c r="G20" s="134">
        <v>44</v>
      </c>
      <c r="H20" s="139">
        <f t="shared" ref="H20:H27" si="4">G20*17950</f>
        <v>789800</v>
      </c>
      <c r="I20" s="134"/>
      <c r="J20" s="226">
        <v>430000</v>
      </c>
      <c r="K20" s="141"/>
      <c r="L20" s="150"/>
      <c r="M20" s="141"/>
      <c r="N20" s="141"/>
      <c r="O20" s="141">
        <f>SUM(H20:N20)</f>
        <v>1219800</v>
      </c>
      <c r="P20" s="141">
        <v>2400000</v>
      </c>
      <c r="Q20" s="141">
        <f t="shared" si="1"/>
        <v>1180200</v>
      </c>
      <c r="R20" s="143"/>
    </row>
    <row r="21" spans="1:18" ht="24.95" customHeight="1" x14ac:dyDescent="0.25">
      <c r="A21" s="308">
        <v>14</v>
      </c>
      <c r="B21" s="303">
        <v>45068</v>
      </c>
      <c r="C21" s="138" t="s">
        <v>4893</v>
      </c>
      <c r="D21" s="308" t="s">
        <v>4876</v>
      </c>
      <c r="E21" s="146" t="s">
        <v>1568</v>
      </c>
      <c r="F21" s="138"/>
      <c r="G21" s="134">
        <v>85</v>
      </c>
      <c r="H21" s="139">
        <f t="shared" si="4"/>
        <v>1525750</v>
      </c>
      <c r="I21" s="134"/>
      <c r="J21" s="226">
        <v>790000</v>
      </c>
      <c r="K21" s="141"/>
      <c r="L21" s="150"/>
      <c r="M21" s="141"/>
      <c r="N21" s="141"/>
      <c r="O21" s="141">
        <f t="shared" ref="O21:O27" si="5">SUM(H21:N21)</f>
        <v>2315750</v>
      </c>
      <c r="P21" s="141">
        <v>4000000</v>
      </c>
      <c r="Q21" s="141">
        <f t="shared" si="1"/>
        <v>1684250</v>
      </c>
      <c r="R21" s="143"/>
    </row>
    <row r="22" spans="1:18" ht="24.95" customHeight="1" x14ac:dyDescent="0.25">
      <c r="A22" s="308">
        <v>15</v>
      </c>
      <c r="B22" s="303">
        <v>45070</v>
      </c>
      <c r="C22" s="138" t="s">
        <v>4894</v>
      </c>
      <c r="D22" s="308" t="s">
        <v>4877</v>
      </c>
      <c r="E22" s="146" t="s">
        <v>4509</v>
      </c>
      <c r="F22" s="138"/>
      <c r="G22" s="138">
        <v>378</v>
      </c>
      <c r="H22" s="139">
        <f t="shared" si="4"/>
        <v>6785100</v>
      </c>
      <c r="I22" s="138"/>
      <c r="J22" s="226">
        <v>3868000</v>
      </c>
      <c r="K22" s="141"/>
      <c r="L22" s="150"/>
      <c r="M22" s="141"/>
      <c r="N22" s="141"/>
      <c r="O22" s="141">
        <f t="shared" si="5"/>
        <v>10653100</v>
      </c>
      <c r="P22" s="141">
        <v>19650000</v>
      </c>
      <c r="Q22" s="141">
        <f t="shared" si="1"/>
        <v>8996900</v>
      </c>
      <c r="R22" s="143"/>
    </row>
    <row r="23" spans="1:18" ht="24.95" customHeight="1" x14ac:dyDescent="0.25">
      <c r="A23" s="308">
        <v>16</v>
      </c>
      <c r="B23" s="303">
        <v>45072</v>
      </c>
      <c r="C23" s="138" t="s">
        <v>3054</v>
      </c>
      <c r="D23" s="308" t="s">
        <v>4878</v>
      </c>
      <c r="E23" s="146" t="s">
        <v>259</v>
      </c>
      <c r="F23" s="138"/>
      <c r="G23" s="138">
        <v>115</v>
      </c>
      <c r="H23" s="139">
        <f t="shared" si="4"/>
        <v>2064250</v>
      </c>
      <c r="I23" s="138"/>
      <c r="J23" s="226">
        <v>790000</v>
      </c>
      <c r="K23" s="141"/>
      <c r="L23" s="150"/>
      <c r="M23" s="141"/>
      <c r="N23" s="141"/>
      <c r="O23" s="141">
        <f t="shared" si="5"/>
        <v>2854250</v>
      </c>
      <c r="P23" s="141">
        <v>4500000</v>
      </c>
      <c r="Q23" s="141">
        <f t="shared" si="1"/>
        <v>1645750</v>
      </c>
      <c r="R23" s="143"/>
    </row>
    <row r="24" spans="1:18" ht="24.95" customHeight="1" x14ac:dyDescent="0.25">
      <c r="A24" s="308">
        <v>17</v>
      </c>
      <c r="B24" s="303">
        <v>45072</v>
      </c>
      <c r="C24" s="138" t="s">
        <v>4344</v>
      </c>
      <c r="D24" s="308" t="s">
        <v>4879</v>
      </c>
      <c r="E24" s="146" t="s">
        <v>4861</v>
      </c>
      <c r="F24" s="138"/>
      <c r="G24" s="138">
        <v>103</v>
      </c>
      <c r="H24" s="139">
        <f t="shared" si="4"/>
        <v>1848850</v>
      </c>
      <c r="I24" s="138"/>
      <c r="J24" s="226">
        <v>430000</v>
      </c>
      <c r="K24" s="141"/>
      <c r="L24" s="150"/>
      <c r="M24" s="141"/>
      <c r="N24" s="141"/>
      <c r="O24" s="141">
        <f t="shared" si="5"/>
        <v>2278850</v>
      </c>
      <c r="P24" s="141">
        <v>4200000</v>
      </c>
      <c r="Q24" s="141">
        <f t="shared" si="1"/>
        <v>1921150</v>
      </c>
      <c r="R24" s="143"/>
    </row>
    <row r="25" spans="1:18" ht="24.95" customHeight="1" x14ac:dyDescent="0.25">
      <c r="A25" s="308">
        <v>18</v>
      </c>
      <c r="B25" s="303">
        <v>45075</v>
      </c>
      <c r="C25" s="138" t="s">
        <v>4895</v>
      </c>
      <c r="D25" s="308" t="s">
        <v>4880</v>
      </c>
      <c r="E25" s="146" t="s">
        <v>177</v>
      </c>
      <c r="F25" s="138"/>
      <c r="G25" s="138">
        <v>83</v>
      </c>
      <c r="H25" s="139">
        <f t="shared" si="4"/>
        <v>1489850</v>
      </c>
      <c r="I25" s="138"/>
      <c r="J25" s="226">
        <v>790000</v>
      </c>
      <c r="K25" s="141"/>
      <c r="L25" s="150"/>
      <c r="M25" s="141"/>
      <c r="N25" s="141"/>
      <c r="O25" s="141">
        <f t="shared" si="5"/>
        <v>2279850</v>
      </c>
      <c r="P25" s="141">
        <v>4000000</v>
      </c>
      <c r="Q25" s="141">
        <f t="shared" si="1"/>
        <v>1720150</v>
      </c>
      <c r="R25" s="143"/>
    </row>
    <row r="26" spans="1:18" ht="24.95" customHeight="1" x14ac:dyDescent="0.25">
      <c r="A26" s="308">
        <v>19</v>
      </c>
      <c r="B26" s="303">
        <v>45075</v>
      </c>
      <c r="C26" s="138" t="s">
        <v>3058</v>
      </c>
      <c r="D26" s="308" t="s">
        <v>4881</v>
      </c>
      <c r="E26" s="146" t="s">
        <v>508</v>
      </c>
      <c r="F26" s="138"/>
      <c r="G26" s="138">
        <v>83</v>
      </c>
      <c r="H26" s="139">
        <f t="shared" si="4"/>
        <v>1489850</v>
      </c>
      <c r="I26" s="138"/>
      <c r="J26" s="226">
        <v>790000</v>
      </c>
      <c r="K26" s="141"/>
      <c r="L26" s="150"/>
      <c r="M26" s="141"/>
      <c r="N26" s="141"/>
      <c r="O26" s="141">
        <f t="shared" si="5"/>
        <v>2279850</v>
      </c>
      <c r="P26" s="141">
        <v>4050000</v>
      </c>
      <c r="Q26" s="141">
        <f t="shared" si="1"/>
        <v>1770150</v>
      </c>
      <c r="R26" s="143"/>
    </row>
    <row r="27" spans="1:18" ht="24.95" customHeight="1" x14ac:dyDescent="0.25">
      <c r="A27" s="308">
        <v>20</v>
      </c>
      <c r="B27" s="303">
        <v>45076</v>
      </c>
      <c r="C27" s="138" t="s">
        <v>2412</v>
      </c>
      <c r="D27" s="308" t="s">
        <v>4882</v>
      </c>
      <c r="E27" s="146" t="s">
        <v>4862</v>
      </c>
      <c r="F27" s="138"/>
      <c r="G27" s="138">
        <v>66</v>
      </c>
      <c r="H27" s="139">
        <f t="shared" si="4"/>
        <v>1184700</v>
      </c>
      <c r="I27" s="138"/>
      <c r="J27" s="226">
        <v>430000</v>
      </c>
      <c r="K27" s="141"/>
      <c r="L27" s="150"/>
      <c r="M27" s="141"/>
      <c r="N27" s="141"/>
      <c r="O27" s="141">
        <f t="shared" si="5"/>
        <v>1614700</v>
      </c>
      <c r="P27" s="141">
        <v>3200000</v>
      </c>
      <c r="Q27" s="141">
        <f t="shared" si="1"/>
        <v>1585300</v>
      </c>
      <c r="R27" s="143"/>
    </row>
    <row r="28" spans="1:18" ht="24.95" customHeight="1" x14ac:dyDescent="0.25">
      <c r="A28" s="308"/>
      <c r="B28" s="303"/>
      <c r="C28" s="138"/>
      <c r="D28" s="308"/>
      <c r="E28" s="146"/>
      <c r="F28" s="138"/>
      <c r="G28" s="138"/>
      <c r="H28" s="141"/>
      <c r="I28" s="138"/>
      <c r="J28" s="141"/>
      <c r="K28" s="141"/>
      <c r="L28" s="150"/>
      <c r="M28" s="141"/>
      <c r="N28" s="141"/>
      <c r="O28" s="141"/>
      <c r="P28" s="141"/>
      <c r="Q28" s="141"/>
      <c r="R28" s="143"/>
    </row>
    <row r="29" spans="1:18" ht="24.95" customHeight="1" x14ac:dyDescent="0.25">
      <c r="A29" s="308"/>
      <c r="B29" s="303"/>
      <c r="C29" s="452" t="s">
        <v>26</v>
      </c>
      <c r="D29" s="453"/>
      <c r="E29" s="454"/>
      <c r="F29" s="196"/>
      <c r="G29" s="195"/>
      <c r="H29" s="155"/>
      <c r="I29" s="195"/>
      <c r="J29" s="155"/>
      <c r="K29" s="219">
        <v>1200000</v>
      </c>
      <c r="L29" s="219"/>
      <c r="M29" s="141"/>
      <c r="N29" s="141"/>
      <c r="O29" s="139">
        <f t="shared" ref="O29:O34" si="6">SUM(H29:N29)</f>
        <v>1200000</v>
      </c>
      <c r="P29" s="141"/>
      <c r="Q29" s="141"/>
      <c r="R29" s="143"/>
    </row>
    <row r="30" spans="1:18" ht="24.95" customHeight="1" x14ac:dyDescent="0.25">
      <c r="A30" s="308"/>
      <c r="B30" s="303"/>
      <c r="C30" s="452" t="s">
        <v>4798</v>
      </c>
      <c r="D30" s="453"/>
      <c r="E30" s="454"/>
      <c r="F30" s="196"/>
      <c r="G30" s="195"/>
      <c r="H30" s="155"/>
      <c r="I30" s="195"/>
      <c r="J30" s="155"/>
      <c r="K30" s="219">
        <v>10852000</v>
      </c>
      <c r="L30" s="263"/>
      <c r="M30" s="141"/>
      <c r="N30" s="141"/>
      <c r="O30" s="139">
        <f t="shared" si="6"/>
        <v>10852000</v>
      </c>
      <c r="P30" s="141"/>
      <c r="Q30" s="141"/>
      <c r="R30" s="143"/>
    </row>
    <row r="31" spans="1:18" ht="24.95" customHeight="1" x14ac:dyDescent="0.25">
      <c r="A31" s="308"/>
      <c r="B31" s="303"/>
      <c r="C31" s="452" t="s">
        <v>4856</v>
      </c>
      <c r="D31" s="453"/>
      <c r="E31" s="454"/>
      <c r="F31" s="196"/>
      <c r="G31" s="195"/>
      <c r="H31" s="155"/>
      <c r="I31" s="195"/>
      <c r="J31" s="155"/>
      <c r="K31" s="219"/>
      <c r="L31" s="219">
        <f>2600000/4</f>
        <v>650000</v>
      </c>
      <c r="M31" s="141"/>
      <c r="N31" s="141"/>
      <c r="O31" s="139">
        <f t="shared" si="6"/>
        <v>650000</v>
      </c>
      <c r="P31" s="141"/>
      <c r="Q31" s="141"/>
      <c r="R31" s="143"/>
    </row>
    <row r="32" spans="1:18" ht="24.95" customHeight="1" x14ac:dyDescent="0.25">
      <c r="A32" s="308"/>
      <c r="B32" s="303"/>
      <c r="C32" s="452" t="s">
        <v>4857</v>
      </c>
      <c r="D32" s="453"/>
      <c r="E32" s="454"/>
      <c r="F32" s="196"/>
      <c r="G32" s="195"/>
      <c r="H32" s="155"/>
      <c r="I32" s="195"/>
      <c r="J32" s="155"/>
      <c r="K32" s="219"/>
      <c r="L32" s="219">
        <v>2500000</v>
      </c>
      <c r="M32" s="141"/>
      <c r="N32" s="141"/>
      <c r="O32" s="139">
        <f t="shared" si="6"/>
        <v>2500000</v>
      </c>
      <c r="P32" s="141"/>
      <c r="Q32" s="141"/>
      <c r="R32" s="143"/>
    </row>
    <row r="33" spans="1:19" ht="24.95" customHeight="1" x14ac:dyDescent="0.25">
      <c r="A33" s="308"/>
      <c r="B33" s="303"/>
      <c r="C33" s="452" t="s">
        <v>4858</v>
      </c>
      <c r="D33" s="453"/>
      <c r="E33" s="454"/>
      <c r="F33" s="196"/>
      <c r="G33" s="195"/>
      <c r="H33" s="155"/>
      <c r="I33" s="195"/>
      <c r="J33" s="155"/>
      <c r="K33" s="219">
        <v>17940000</v>
      </c>
      <c r="L33" s="219"/>
      <c r="M33" s="141"/>
      <c r="N33" s="141"/>
      <c r="O33" s="139">
        <f t="shared" si="6"/>
        <v>17940000</v>
      </c>
      <c r="P33" s="141"/>
      <c r="Q33" s="141"/>
      <c r="R33" s="143"/>
    </row>
    <row r="34" spans="1:19" ht="24.95" customHeight="1" x14ac:dyDescent="0.25">
      <c r="A34" s="211"/>
      <c r="B34" s="337"/>
      <c r="C34" s="452" t="s">
        <v>4665</v>
      </c>
      <c r="D34" s="453"/>
      <c r="E34" s="454"/>
      <c r="F34" s="196"/>
      <c r="G34" s="195"/>
      <c r="H34" s="155"/>
      <c r="I34" s="195"/>
      <c r="J34" s="155"/>
      <c r="K34" s="219">
        <v>8600000</v>
      </c>
      <c r="L34" s="219"/>
      <c r="M34" s="139"/>
      <c r="N34" s="139"/>
      <c r="O34" s="139">
        <f t="shared" si="6"/>
        <v>8600000</v>
      </c>
      <c r="P34" s="139"/>
      <c r="Q34" s="139"/>
      <c r="R34" s="143"/>
    </row>
    <row r="35" spans="1:19" ht="24.95" customHeight="1" x14ac:dyDescent="0.25">
      <c r="A35" s="450" t="s">
        <v>20</v>
      </c>
      <c r="B35" s="450"/>
      <c r="C35" s="450"/>
      <c r="D35" s="450"/>
      <c r="E35" s="450"/>
      <c r="F35" s="450"/>
      <c r="G35" s="334">
        <f t="shared" ref="G35:P35" si="7">SUM(G8:G34)</f>
        <v>3396</v>
      </c>
      <c r="H35" s="334">
        <f t="shared" si="7"/>
        <v>60950400</v>
      </c>
      <c r="I35" s="334">
        <f t="shared" si="7"/>
        <v>0</v>
      </c>
      <c r="J35" s="334">
        <f t="shared" si="7"/>
        <v>31464000</v>
      </c>
      <c r="K35" s="334">
        <f t="shared" si="7"/>
        <v>38592000</v>
      </c>
      <c r="L35" s="334">
        <f t="shared" si="7"/>
        <v>3150000</v>
      </c>
      <c r="M35" s="334">
        <f t="shared" si="7"/>
        <v>0</v>
      </c>
      <c r="N35" s="334">
        <f t="shared" si="7"/>
        <v>0</v>
      </c>
      <c r="O35" s="334">
        <f t="shared" si="7"/>
        <v>134156400</v>
      </c>
      <c r="P35" s="335">
        <f t="shared" si="7"/>
        <v>170609091</v>
      </c>
      <c r="Q35" s="334">
        <f>P35-O35</f>
        <v>36452691</v>
      </c>
    </row>
    <row r="36" spans="1:19" ht="24.95" customHeight="1" x14ac:dyDescent="0.25">
      <c r="O36" s="158"/>
      <c r="Q36" s="158"/>
    </row>
    <row r="37" spans="1:19" ht="13.9" customHeight="1" x14ac:dyDescent="0.25">
      <c r="P37" s="216" t="s">
        <v>1603</v>
      </c>
      <c r="Q37" s="227">
        <f>'04.2023'!Q50+'05.2023'!Q35</f>
        <v>148635214</v>
      </c>
      <c r="S37" s="216"/>
    </row>
    <row r="38" spans="1:19" ht="13.9" customHeight="1" x14ac:dyDescent="0.25">
      <c r="B38" s="129"/>
      <c r="J38" s="128"/>
      <c r="K38" s="128"/>
      <c r="L38" s="128"/>
      <c r="N38" s="128"/>
      <c r="O38" s="128"/>
      <c r="P38" s="218"/>
      <c r="Q38" s="216"/>
    </row>
    <row r="39" spans="1:19" ht="13.9" customHeight="1" x14ac:dyDescent="0.25">
      <c r="B39" s="129"/>
      <c r="H39" s="128"/>
      <c r="J39" s="128"/>
      <c r="K39" s="128"/>
      <c r="L39" s="128"/>
      <c r="M39" s="128"/>
      <c r="N39" s="128"/>
      <c r="O39" s="128"/>
      <c r="P39" s="218"/>
      <c r="Q39" s="230"/>
    </row>
    <row r="40" spans="1:19" ht="13.9" customHeight="1" x14ac:dyDescent="0.25">
      <c r="B40" s="129"/>
      <c r="G40" s="143"/>
      <c r="H40" s="128"/>
      <c r="J40" s="128"/>
      <c r="K40" s="128"/>
      <c r="L40" s="128"/>
      <c r="M40" s="128"/>
      <c r="N40" s="128"/>
      <c r="O40" s="128"/>
      <c r="P40" s="218"/>
      <c r="Q40" s="230"/>
      <c r="R40" s="143"/>
    </row>
    <row r="41" spans="1:19" ht="13.9" customHeight="1" x14ac:dyDescent="0.25">
      <c r="B41" s="129"/>
      <c r="H41" s="128"/>
      <c r="J41" s="128"/>
      <c r="K41" s="128"/>
      <c r="L41" s="128"/>
      <c r="M41" s="128"/>
      <c r="N41" s="128"/>
      <c r="O41" s="128"/>
      <c r="P41" s="218"/>
      <c r="Q41" s="216"/>
      <c r="R41" s="143"/>
    </row>
    <row r="42" spans="1:19" x14ac:dyDescent="0.25">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8"/>
      <c r="G45" s="143"/>
      <c r="J45" s="128"/>
      <c r="K45" s="128"/>
      <c r="L45" s="128"/>
      <c r="M45" s="128"/>
      <c r="N45" s="128"/>
      <c r="O45" s="128"/>
      <c r="P45" s="128"/>
      <c r="Q45" s="216"/>
    </row>
    <row r="46" spans="1:19" x14ac:dyDescent="0.25">
      <c r="A46" s="128"/>
      <c r="B46" s="128"/>
      <c r="H46" s="128"/>
      <c r="J46" s="128"/>
      <c r="K46" s="128"/>
      <c r="L46" s="128"/>
      <c r="M46" s="128"/>
      <c r="N46" s="128"/>
      <c r="O46" s="128"/>
      <c r="P46" s="128"/>
      <c r="Q46" s="216"/>
    </row>
    <row r="48" spans="1:19" s="143" customFormat="1" x14ac:dyDescent="0.25">
      <c r="A48" s="129"/>
      <c r="B48" s="163"/>
      <c r="C48" s="128"/>
      <c r="D48" s="128"/>
      <c r="E48" s="128"/>
      <c r="F48" s="128"/>
      <c r="I48" s="128"/>
      <c r="R48" s="128"/>
      <c r="S48" s="128"/>
    </row>
  </sheetData>
  <mergeCells count="20">
    <mergeCell ref="A1:Q1"/>
    <mergeCell ref="A2:Q2"/>
    <mergeCell ref="B3:Q3"/>
    <mergeCell ref="A5:A6"/>
    <mergeCell ref="B5:B6"/>
    <mergeCell ref="C5:C6"/>
    <mergeCell ref="D5:D6"/>
    <mergeCell ref="E5:E6"/>
    <mergeCell ref="F5:F6"/>
    <mergeCell ref="G5:N5"/>
    <mergeCell ref="O5:O6"/>
    <mergeCell ref="P5:P6"/>
    <mergeCell ref="Q5:Q6"/>
    <mergeCell ref="C34:E34"/>
    <mergeCell ref="A35:F35"/>
    <mergeCell ref="C29:E29"/>
    <mergeCell ref="C30:E30"/>
    <mergeCell ref="C31:E31"/>
    <mergeCell ref="C32:E32"/>
    <mergeCell ref="C33:E33"/>
  </mergeCells>
  <pageMargins left="0.7" right="0.7" top="0.75" bottom="0.75" header="0.3" footer="0.3"/>
  <pageSetup paperSize="9" orientation="portrait" horizontalDpi="0"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C7A7-F65F-41B6-9017-86B5C937AEF1}">
  <dimension ref="A1:S51"/>
  <sheetViews>
    <sheetView topLeftCell="F30" zoomScale="90" zoomScaleNormal="90" workbookViewId="0">
      <selection activeCell="O32" sqref="O3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4896</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45077</v>
      </c>
      <c r="C8" s="138" t="s">
        <v>4897</v>
      </c>
      <c r="D8" s="308" t="s">
        <v>4911</v>
      </c>
      <c r="E8" s="146" t="s">
        <v>1568</v>
      </c>
      <c r="F8" s="138"/>
      <c r="G8" s="138">
        <v>123</v>
      </c>
      <c r="H8" s="141">
        <f>G8*17940</f>
        <v>2206620</v>
      </c>
      <c r="I8" s="138"/>
      <c r="J8" s="226">
        <v>790000</v>
      </c>
      <c r="K8" s="141"/>
      <c r="L8" s="150"/>
      <c r="M8" s="141"/>
      <c r="N8" s="141"/>
      <c r="O8" s="141">
        <f>SUM(H8:N8)</f>
        <v>2996620</v>
      </c>
      <c r="P8" s="141">
        <v>4200000</v>
      </c>
      <c r="Q8" s="141">
        <f>P8-O8</f>
        <v>1203380</v>
      </c>
      <c r="R8" s="143"/>
    </row>
    <row r="9" spans="1:18" ht="24.95" customHeight="1" x14ac:dyDescent="0.25">
      <c r="A9" s="308">
        <v>2</v>
      </c>
      <c r="B9" s="303">
        <v>45078</v>
      </c>
      <c r="C9" s="138" t="s">
        <v>4898</v>
      </c>
      <c r="D9" s="308" t="s">
        <v>4911</v>
      </c>
      <c r="E9" s="146" t="s">
        <v>2934</v>
      </c>
      <c r="F9" s="138"/>
      <c r="G9" s="138"/>
      <c r="H9" s="141">
        <f t="shared" ref="H9:H14" si="0">G9*17940</f>
        <v>0</v>
      </c>
      <c r="I9" s="138"/>
      <c r="J9" s="226">
        <v>860000</v>
      </c>
      <c r="K9" s="141"/>
      <c r="L9" s="150"/>
      <c r="M9" s="141"/>
      <c r="N9" s="141"/>
      <c r="O9" s="141">
        <f>SUM(H9:N9)</f>
        <v>860000</v>
      </c>
      <c r="P9" s="141">
        <v>2600000</v>
      </c>
      <c r="Q9" s="141">
        <f t="shared" ref="Q9:Q27" si="1">P9-O9</f>
        <v>1740000</v>
      </c>
      <c r="R9" s="143"/>
    </row>
    <row r="10" spans="1:18" ht="24.95" customHeight="1" x14ac:dyDescent="0.25">
      <c r="A10" s="308">
        <v>3</v>
      </c>
      <c r="B10" s="303">
        <v>45081</v>
      </c>
      <c r="C10" s="138" t="s">
        <v>4899</v>
      </c>
      <c r="D10" s="308" t="s">
        <v>4912</v>
      </c>
      <c r="E10" s="146" t="s">
        <v>4509</v>
      </c>
      <c r="F10" s="138"/>
      <c r="G10" s="138">
        <v>373</v>
      </c>
      <c r="H10" s="141">
        <f t="shared" si="0"/>
        <v>6691620</v>
      </c>
      <c r="I10" s="138"/>
      <c r="J10" s="226">
        <v>3868000</v>
      </c>
      <c r="K10" s="141"/>
      <c r="L10" s="150"/>
      <c r="M10" s="141"/>
      <c r="N10" s="141"/>
      <c r="O10" s="141">
        <f t="shared" ref="O10:O17" si="2">SUM(H10:N10)</f>
        <v>10559620</v>
      </c>
      <c r="P10" s="141">
        <v>19650000</v>
      </c>
      <c r="Q10" s="141">
        <f t="shared" si="1"/>
        <v>9090380</v>
      </c>
      <c r="R10" s="143"/>
    </row>
    <row r="11" spans="1:18" ht="24.95" customHeight="1" x14ac:dyDescent="0.25">
      <c r="A11" s="308">
        <v>4</v>
      </c>
      <c r="B11" s="303">
        <v>45082</v>
      </c>
      <c r="C11" s="138" t="s">
        <v>4900</v>
      </c>
      <c r="D11" s="308" t="s">
        <v>4913</v>
      </c>
      <c r="E11" s="146" t="s">
        <v>4929</v>
      </c>
      <c r="F11" s="138"/>
      <c r="G11" s="134">
        <v>83</v>
      </c>
      <c r="H11" s="141">
        <f t="shared" si="0"/>
        <v>1489020</v>
      </c>
      <c r="I11" s="134"/>
      <c r="J11" s="226">
        <v>790000</v>
      </c>
      <c r="K11" s="141"/>
      <c r="L11" s="150"/>
      <c r="M11" s="141"/>
      <c r="N11" s="141"/>
      <c r="O11" s="141">
        <f t="shared" si="2"/>
        <v>2279020</v>
      </c>
      <c r="P11" s="141">
        <v>4050000</v>
      </c>
      <c r="Q11" s="141">
        <f t="shared" si="1"/>
        <v>1770980</v>
      </c>
      <c r="R11" s="143"/>
    </row>
    <row r="12" spans="1:18" ht="24.95" customHeight="1" x14ac:dyDescent="0.25">
      <c r="A12" s="308">
        <v>5</v>
      </c>
      <c r="B12" s="303">
        <v>45083</v>
      </c>
      <c r="C12" s="138" t="s">
        <v>4901</v>
      </c>
      <c r="D12" s="308" t="s">
        <v>4914</v>
      </c>
      <c r="E12" s="146" t="s">
        <v>1568</v>
      </c>
      <c r="F12" s="138"/>
      <c r="G12" s="134">
        <v>111</v>
      </c>
      <c r="H12" s="141">
        <f t="shared" si="0"/>
        <v>1991340</v>
      </c>
      <c r="I12" s="134"/>
      <c r="J12" s="226">
        <v>1650000</v>
      </c>
      <c r="K12" s="141"/>
      <c r="L12" s="150"/>
      <c r="M12" s="141"/>
      <c r="N12" s="141"/>
      <c r="O12" s="141">
        <f t="shared" si="2"/>
        <v>3641340</v>
      </c>
      <c r="P12" s="139">
        <v>4200000</v>
      </c>
      <c r="Q12" s="141">
        <f t="shared" si="1"/>
        <v>558660</v>
      </c>
      <c r="R12" s="143"/>
    </row>
    <row r="13" spans="1:18" ht="24.95" customHeight="1" x14ac:dyDescent="0.25">
      <c r="A13" s="308">
        <v>6</v>
      </c>
      <c r="B13" s="303">
        <v>45084</v>
      </c>
      <c r="C13" s="138" t="s">
        <v>4902</v>
      </c>
      <c r="D13" s="308" t="s">
        <v>4914</v>
      </c>
      <c r="E13" s="146" t="s">
        <v>2934</v>
      </c>
      <c r="F13" s="138"/>
      <c r="G13" s="134"/>
      <c r="H13" s="141">
        <f t="shared" si="0"/>
        <v>0</v>
      </c>
      <c r="I13" s="134"/>
      <c r="J13" s="229">
        <v>0</v>
      </c>
      <c r="K13" s="141"/>
      <c r="L13" s="150"/>
      <c r="M13" s="141"/>
      <c r="N13" s="141"/>
      <c r="O13" s="141">
        <f t="shared" si="2"/>
        <v>0</v>
      </c>
      <c r="P13" s="141">
        <v>2600000</v>
      </c>
      <c r="Q13" s="141">
        <f t="shared" si="1"/>
        <v>2600000</v>
      </c>
      <c r="R13" s="143"/>
    </row>
    <row r="14" spans="1:18" ht="24.95" customHeight="1" x14ac:dyDescent="0.25">
      <c r="A14" s="308">
        <v>7</v>
      </c>
      <c r="B14" s="303">
        <v>45086</v>
      </c>
      <c r="C14" s="138" t="s">
        <v>4903</v>
      </c>
      <c r="D14" s="308" t="s">
        <v>4915</v>
      </c>
      <c r="E14" s="146" t="s">
        <v>2985</v>
      </c>
      <c r="F14" s="138"/>
      <c r="G14" s="134">
        <v>61</v>
      </c>
      <c r="H14" s="141">
        <f t="shared" si="0"/>
        <v>1094340</v>
      </c>
      <c r="I14" s="134"/>
      <c r="J14" s="226">
        <v>430000</v>
      </c>
      <c r="K14" s="141"/>
      <c r="L14" s="150"/>
      <c r="M14" s="141"/>
      <c r="N14" s="141"/>
      <c r="O14" s="141">
        <f t="shared" si="2"/>
        <v>1524340</v>
      </c>
      <c r="P14" s="141">
        <v>3050000</v>
      </c>
      <c r="Q14" s="141">
        <f t="shared" si="1"/>
        <v>1525660</v>
      </c>
      <c r="R14" s="143"/>
    </row>
    <row r="15" spans="1:18" ht="24.95" customHeight="1" x14ac:dyDescent="0.25">
      <c r="A15" s="308">
        <v>8</v>
      </c>
      <c r="B15" s="303">
        <v>45087</v>
      </c>
      <c r="C15" s="138" t="s">
        <v>4904</v>
      </c>
      <c r="D15" s="308" t="s">
        <v>4916</v>
      </c>
      <c r="E15" s="146" t="s">
        <v>4859</v>
      </c>
      <c r="F15" s="138"/>
      <c r="G15" s="134">
        <v>369</v>
      </c>
      <c r="H15" s="139">
        <f>G15*18020</f>
        <v>6649380</v>
      </c>
      <c r="I15" s="134"/>
      <c r="J15" s="226">
        <v>3868000</v>
      </c>
      <c r="K15" s="141"/>
      <c r="L15" s="150"/>
      <c r="M15" s="141"/>
      <c r="N15" s="141"/>
      <c r="O15" s="141">
        <f t="shared" si="2"/>
        <v>10517380</v>
      </c>
      <c r="P15" s="141">
        <v>19650000</v>
      </c>
      <c r="Q15" s="141">
        <f t="shared" si="1"/>
        <v>9132620</v>
      </c>
      <c r="R15" s="143"/>
    </row>
    <row r="16" spans="1:18" ht="24.95" customHeight="1" x14ac:dyDescent="0.25">
      <c r="A16" s="308">
        <v>9</v>
      </c>
      <c r="B16" s="303">
        <v>45091</v>
      </c>
      <c r="C16" s="138" t="s">
        <v>1128</v>
      </c>
      <c r="D16" s="308" t="s">
        <v>4917</v>
      </c>
      <c r="E16" s="146" t="s">
        <v>2985</v>
      </c>
      <c r="F16" s="138"/>
      <c r="G16" s="134">
        <v>64</v>
      </c>
      <c r="H16" s="139">
        <f t="shared" ref="H16:H17" si="3">G16*18020</f>
        <v>1153280</v>
      </c>
      <c r="I16" s="134"/>
      <c r="J16" s="226">
        <v>430000</v>
      </c>
      <c r="K16" s="141"/>
      <c r="L16" s="150"/>
      <c r="M16" s="141"/>
      <c r="N16" s="141"/>
      <c r="O16" s="141">
        <f t="shared" si="2"/>
        <v>1583280</v>
      </c>
      <c r="P16" s="141">
        <v>3050000</v>
      </c>
      <c r="Q16" s="141">
        <f t="shared" si="1"/>
        <v>1466720</v>
      </c>
      <c r="R16" s="143"/>
    </row>
    <row r="17" spans="1:18" ht="24.95" customHeight="1" x14ac:dyDescent="0.25">
      <c r="A17" s="308">
        <v>10</v>
      </c>
      <c r="B17" s="303">
        <v>45092</v>
      </c>
      <c r="C17" s="138" t="s">
        <v>4905</v>
      </c>
      <c r="D17" s="308" t="s">
        <v>4918</v>
      </c>
      <c r="E17" s="146" t="s">
        <v>4930</v>
      </c>
      <c r="F17" s="138"/>
      <c r="G17" s="134">
        <v>106</v>
      </c>
      <c r="H17" s="139">
        <f t="shared" si="3"/>
        <v>1910120</v>
      </c>
      <c r="I17" s="134"/>
      <c r="J17" s="226">
        <v>790000</v>
      </c>
      <c r="K17" s="141"/>
      <c r="L17" s="150"/>
      <c r="M17" s="141"/>
      <c r="N17" s="141"/>
      <c r="O17" s="141">
        <f t="shared" si="2"/>
        <v>2700120</v>
      </c>
      <c r="P17" s="141">
        <v>4400000</v>
      </c>
      <c r="Q17" s="141">
        <f t="shared" si="1"/>
        <v>1699880</v>
      </c>
      <c r="R17" s="143"/>
    </row>
    <row r="18" spans="1:18" ht="24.95" customHeight="1" x14ac:dyDescent="0.25">
      <c r="A18" s="308">
        <v>11</v>
      </c>
      <c r="B18" s="303">
        <v>45093</v>
      </c>
      <c r="C18" s="138" t="s">
        <v>3748</v>
      </c>
      <c r="D18" s="308" t="s">
        <v>4919</v>
      </c>
      <c r="E18" s="146" t="s">
        <v>4509</v>
      </c>
      <c r="F18" s="138"/>
      <c r="G18" s="134">
        <v>382</v>
      </c>
      <c r="H18" s="139">
        <f>G18*18170</f>
        <v>6940940</v>
      </c>
      <c r="I18" s="134"/>
      <c r="J18" s="226">
        <v>3870000</v>
      </c>
      <c r="K18" s="141"/>
      <c r="L18" s="150"/>
      <c r="M18" s="141"/>
      <c r="N18" s="141"/>
      <c r="O18" s="141">
        <f>SUM(H18:N18)</f>
        <v>10810940</v>
      </c>
      <c r="P18" s="141">
        <v>17863636</v>
      </c>
      <c r="Q18" s="141">
        <f t="shared" si="1"/>
        <v>7052696</v>
      </c>
      <c r="R18" s="143"/>
    </row>
    <row r="19" spans="1:18" ht="24.95" customHeight="1" x14ac:dyDescent="0.25">
      <c r="A19" s="308">
        <v>12</v>
      </c>
      <c r="B19" s="303">
        <v>45096</v>
      </c>
      <c r="C19" s="138" t="s">
        <v>4906</v>
      </c>
      <c r="D19" s="308" t="s">
        <v>4920</v>
      </c>
      <c r="E19" s="146" t="s">
        <v>4544</v>
      </c>
      <c r="F19" s="138"/>
      <c r="G19" s="134">
        <v>273</v>
      </c>
      <c r="H19" s="139">
        <f t="shared" ref="H19:H27" si="4">G19*18170</f>
        <v>4960410</v>
      </c>
      <c r="I19" s="134"/>
      <c r="J19" s="226">
        <v>3030000</v>
      </c>
      <c r="K19" s="141"/>
      <c r="L19" s="150"/>
      <c r="M19" s="141"/>
      <c r="N19" s="141"/>
      <c r="O19" s="141">
        <f>SUM(H19:N19)</f>
        <v>7990410</v>
      </c>
      <c r="P19" s="141">
        <v>13500000</v>
      </c>
      <c r="Q19" s="141">
        <f t="shared" si="1"/>
        <v>5509590</v>
      </c>
      <c r="R19" s="143"/>
    </row>
    <row r="20" spans="1:18" ht="24.95" customHeight="1" x14ac:dyDescent="0.25">
      <c r="A20" s="308">
        <v>13</v>
      </c>
      <c r="B20" s="303">
        <v>45096</v>
      </c>
      <c r="C20" s="138" t="s">
        <v>4907</v>
      </c>
      <c r="D20" s="308" t="s">
        <v>4921</v>
      </c>
      <c r="E20" s="146" t="s">
        <v>4815</v>
      </c>
      <c r="F20" s="138"/>
      <c r="G20" s="134">
        <v>45</v>
      </c>
      <c r="H20" s="139">
        <f t="shared" si="4"/>
        <v>817650</v>
      </c>
      <c r="I20" s="134"/>
      <c r="J20" s="226">
        <v>430000</v>
      </c>
      <c r="K20" s="141"/>
      <c r="L20" s="150"/>
      <c r="M20" s="141"/>
      <c r="N20" s="141"/>
      <c r="O20" s="141">
        <f>SUM(H20:N20)</f>
        <v>1247650</v>
      </c>
      <c r="P20" s="141">
        <v>2400000</v>
      </c>
      <c r="Q20" s="141">
        <f t="shared" si="1"/>
        <v>1152350</v>
      </c>
      <c r="R20" s="143"/>
    </row>
    <row r="21" spans="1:18" ht="24.95" customHeight="1" x14ac:dyDescent="0.25">
      <c r="A21" s="308">
        <v>14</v>
      </c>
      <c r="B21" s="303">
        <v>45097</v>
      </c>
      <c r="C21" s="138" t="s">
        <v>4908</v>
      </c>
      <c r="D21" s="308" t="s">
        <v>4922</v>
      </c>
      <c r="E21" s="146" t="s">
        <v>4931</v>
      </c>
      <c r="F21" s="138"/>
      <c r="G21" s="134">
        <v>36</v>
      </c>
      <c r="H21" s="139">
        <f t="shared" si="4"/>
        <v>654120</v>
      </c>
      <c r="I21" s="134"/>
      <c r="J21" s="226">
        <v>400000</v>
      </c>
      <c r="K21" s="141"/>
      <c r="L21" s="150"/>
      <c r="M21" s="141"/>
      <c r="N21" s="141"/>
      <c r="O21" s="141">
        <f t="shared" ref="O21:O27" si="5">SUM(H21:N21)</f>
        <v>1054120</v>
      </c>
      <c r="P21" s="141">
        <v>2300000</v>
      </c>
      <c r="Q21" s="141">
        <f t="shared" si="1"/>
        <v>1245880</v>
      </c>
      <c r="R21" s="143"/>
    </row>
    <row r="22" spans="1:18" ht="24.95" customHeight="1" x14ac:dyDescent="0.25">
      <c r="A22" s="308">
        <v>15</v>
      </c>
      <c r="B22" s="303">
        <v>45098</v>
      </c>
      <c r="C22" s="138" t="s">
        <v>4909</v>
      </c>
      <c r="D22" s="308" t="s">
        <v>4923</v>
      </c>
      <c r="E22" s="146" t="s">
        <v>4932</v>
      </c>
      <c r="F22" s="138"/>
      <c r="G22" s="138">
        <v>234</v>
      </c>
      <c r="H22" s="139">
        <f t="shared" si="4"/>
        <v>4251780</v>
      </c>
      <c r="I22" s="138"/>
      <c r="J22" s="226">
        <v>1960000</v>
      </c>
      <c r="K22" s="141"/>
      <c r="L22" s="150"/>
      <c r="M22" s="141"/>
      <c r="N22" s="141"/>
      <c r="O22" s="141">
        <f t="shared" si="5"/>
        <v>6211780</v>
      </c>
      <c r="P22" s="141">
        <v>11500000</v>
      </c>
      <c r="Q22" s="141">
        <f t="shared" si="1"/>
        <v>5288220</v>
      </c>
      <c r="R22" s="143"/>
    </row>
    <row r="23" spans="1:18" ht="24.95" customHeight="1" x14ac:dyDescent="0.25">
      <c r="A23" s="308">
        <v>16</v>
      </c>
      <c r="B23" s="303">
        <v>45099</v>
      </c>
      <c r="C23" s="138" t="s">
        <v>3753</v>
      </c>
      <c r="D23" s="308" t="s">
        <v>4924</v>
      </c>
      <c r="E23" s="146" t="s">
        <v>25</v>
      </c>
      <c r="F23" s="138"/>
      <c r="G23" s="138">
        <v>184</v>
      </c>
      <c r="H23" s="139">
        <f t="shared" si="4"/>
        <v>3343280</v>
      </c>
      <c r="I23" s="138"/>
      <c r="J23" s="226">
        <v>1530000</v>
      </c>
      <c r="K23" s="141"/>
      <c r="L23" s="150"/>
      <c r="M23" s="141"/>
      <c r="N23" s="141"/>
      <c r="O23" s="141">
        <f t="shared" si="5"/>
        <v>4873280</v>
      </c>
      <c r="P23" s="141">
        <v>8045455</v>
      </c>
      <c r="Q23" s="141">
        <f t="shared" si="1"/>
        <v>3172175</v>
      </c>
      <c r="R23" s="143"/>
    </row>
    <row r="24" spans="1:18" ht="24.95" customHeight="1" x14ac:dyDescent="0.25">
      <c r="A24" s="308">
        <v>17</v>
      </c>
      <c r="B24" s="303">
        <v>45101</v>
      </c>
      <c r="C24" s="138" t="s">
        <v>4910</v>
      </c>
      <c r="D24" s="308" t="s">
        <v>4925</v>
      </c>
      <c r="E24" s="146" t="s">
        <v>4035</v>
      </c>
      <c r="F24" s="138"/>
      <c r="G24" s="138">
        <v>107</v>
      </c>
      <c r="H24" s="139">
        <f t="shared" si="4"/>
        <v>1944190</v>
      </c>
      <c r="I24" s="138"/>
      <c r="J24" s="226">
        <v>790000</v>
      </c>
      <c r="K24" s="141"/>
      <c r="L24" s="150"/>
      <c r="M24" s="141"/>
      <c r="N24" s="141"/>
      <c r="O24" s="141">
        <f t="shared" si="5"/>
        <v>2734190</v>
      </c>
      <c r="P24" s="141">
        <v>4400000</v>
      </c>
      <c r="Q24" s="141">
        <f t="shared" si="1"/>
        <v>1665810</v>
      </c>
      <c r="R24" s="143"/>
    </row>
    <row r="25" spans="1:18" ht="24.95" customHeight="1" x14ac:dyDescent="0.25">
      <c r="A25" s="308">
        <v>18</v>
      </c>
      <c r="B25" s="303">
        <v>45103</v>
      </c>
      <c r="C25" s="138" t="s">
        <v>3754</v>
      </c>
      <c r="D25" s="308" t="s">
        <v>4926</v>
      </c>
      <c r="E25" s="146" t="s">
        <v>4509</v>
      </c>
      <c r="F25" s="138"/>
      <c r="G25" s="138">
        <v>373</v>
      </c>
      <c r="H25" s="139">
        <f t="shared" si="4"/>
        <v>6777410</v>
      </c>
      <c r="I25" s="138"/>
      <c r="J25" s="226">
        <v>3870000</v>
      </c>
      <c r="K25" s="141"/>
      <c r="L25" s="150"/>
      <c r="M25" s="141"/>
      <c r="N25" s="141"/>
      <c r="O25" s="141">
        <f t="shared" si="5"/>
        <v>10647410</v>
      </c>
      <c r="P25" s="141">
        <v>19650000</v>
      </c>
      <c r="Q25" s="141">
        <f t="shared" si="1"/>
        <v>9002590</v>
      </c>
      <c r="R25" s="143"/>
    </row>
    <row r="26" spans="1:18" ht="24.95" customHeight="1" x14ac:dyDescent="0.25">
      <c r="A26" s="308">
        <v>19</v>
      </c>
      <c r="B26" s="303">
        <v>45105</v>
      </c>
      <c r="C26" s="138" t="s">
        <v>2471</v>
      </c>
      <c r="D26" s="308" t="s">
        <v>4927</v>
      </c>
      <c r="E26" s="146" t="s">
        <v>4933</v>
      </c>
      <c r="F26" s="138"/>
      <c r="G26" s="138">
        <v>78</v>
      </c>
      <c r="H26" s="139">
        <f t="shared" si="4"/>
        <v>1417260</v>
      </c>
      <c r="I26" s="138"/>
      <c r="J26" s="226">
        <v>790000</v>
      </c>
      <c r="K26" s="141"/>
      <c r="L26" s="150"/>
      <c r="M26" s="141"/>
      <c r="N26" s="141"/>
      <c r="O26" s="141">
        <f t="shared" si="5"/>
        <v>2207260</v>
      </c>
      <c r="P26" s="141">
        <v>3800000</v>
      </c>
      <c r="Q26" s="141">
        <f t="shared" si="1"/>
        <v>1592740</v>
      </c>
      <c r="R26" s="143"/>
    </row>
    <row r="27" spans="1:18" ht="24.95" customHeight="1" x14ac:dyDescent="0.25">
      <c r="A27" s="308">
        <v>20</v>
      </c>
      <c r="B27" s="303">
        <v>45106</v>
      </c>
      <c r="C27" s="138" t="s">
        <v>378</v>
      </c>
      <c r="D27" s="308" t="s">
        <v>4928</v>
      </c>
      <c r="E27" s="146" t="s">
        <v>4371</v>
      </c>
      <c r="F27" s="138"/>
      <c r="G27" s="138">
        <v>69</v>
      </c>
      <c r="H27" s="139">
        <f t="shared" si="4"/>
        <v>1253730</v>
      </c>
      <c r="I27" s="138"/>
      <c r="J27" s="226">
        <v>530000</v>
      </c>
      <c r="K27" s="141"/>
      <c r="L27" s="150"/>
      <c r="M27" s="141"/>
      <c r="N27" s="141"/>
      <c r="O27" s="141">
        <f t="shared" si="5"/>
        <v>1783730</v>
      </c>
      <c r="P27" s="141">
        <v>3200000</v>
      </c>
      <c r="Q27" s="141">
        <f t="shared" si="1"/>
        <v>1416270</v>
      </c>
      <c r="R27" s="143"/>
    </row>
    <row r="28" spans="1:18" ht="24.95" customHeight="1" x14ac:dyDescent="0.25">
      <c r="A28" s="308"/>
      <c r="B28" s="303"/>
      <c r="C28" s="138"/>
      <c r="D28" s="308"/>
      <c r="E28" s="146"/>
      <c r="F28" s="138"/>
      <c r="G28" s="138"/>
      <c r="H28" s="141"/>
      <c r="I28" s="138"/>
      <c r="J28" s="141"/>
      <c r="K28" s="141"/>
      <c r="L28" s="150"/>
      <c r="M28" s="141"/>
      <c r="N28" s="141"/>
      <c r="O28" s="141"/>
      <c r="P28" s="141"/>
      <c r="Q28" s="141"/>
      <c r="R28" s="143"/>
    </row>
    <row r="29" spans="1:18" ht="24.95" customHeight="1" x14ac:dyDescent="0.25">
      <c r="A29" s="308"/>
      <c r="B29" s="303"/>
      <c r="C29" s="452" t="s">
        <v>26</v>
      </c>
      <c r="D29" s="453"/>
      <c r="E29" s="454"/>
      <c r="F29" s="196"/>
      <c r="G29" s="195"/>
      <c r="H29" s="155"/>
      <c r="I29" s="195"/>
      <c r="J29" s="155"/>
      <c r="K29" s="219">
        <v>1200000</v>
      </c>
      <c r="L29" s="219"/>
      <c r="M29" s="141"/>
      <c r="N29" s="141"/>
      <c r="O29" s="139">
        <f t="shared" ref="O29:O37" si="6">SUM(H29:N29)</f>
        <v>1200000</v>
      </c>
      <c r="P29" s="141"/>
      <c r="Q29" s="141"/>
      <c r="R29" s="143"/>
    </row>
    <row r="30" spans="1:18" ht="24.95" customHeight="1" x14ac:dyDescent="0.25">
      <c r="A30" s="308"/>
      <c r="B30" s="303"/>
      <c r="C30" s="452" t="s">
        <v>4798</v>
      </c>
      <c r="D30" s="453"/>
      <c r="E30" s="454"/>
      <c r="F30" s="196"/>
      <c r="G30" s="195"/>
      <c r="H30" s="155"/>
      <c r="I30" s="195"/>
      <c r="J30" s="155"/>
      <c r="K30" s="219">
        <v>10956000</v>
      </c>
      <c r="L30" s="150"/>
      <c r="M30" s="141"/>
      <c r="N30" s="141"/>
      <c r="O30" s="139">
        <f t="shared" si="6"/>
        <v>10956000</v>
      </c>
      <c r="P30" s="141"/>
      <c r="Q30" s="141"/>
      <c r="R30" s="143"/>
    </row>
    <row r="31" spans="1:18" ht="24.95" customHeight="1" x14ac:dyDescent="0.25">
      <c r="A31" s="308"/>
      <c r="B31" s="303"/>
      <c r="C31" s="452" t="s">
        <v>5017</v>
      </c>
      <c r="D31" s="453"/>
      <c r="E31" s="454"/>
      <c r="F31" s="196"/>
      <c r="G31" s="195"/>
      <c r="H31" s="155"/>
      <c r="I31" s="195"/>
      <c r="J31" s="155"/>
      <c r="K31" s="219"/>
      <c r="L31" s="233">
        <v>979000</v>
      </c>
      <c r="M31" s="141"/>
      <c r="N31" s="141"/>
      <c r="O31" s="139">
        <f t="shared" si="6"/>
        <v>979000</v>
      </c>
      <c r="P31" s="141"/>
      <c r="Q31" s="141"/>
      <c r="R31" s="143"/>
    </row>
    <row r="32" spans="1:18" ht="24.95" customHeight="1" x14ac:dyDescent="0.25">
      <c r="A32" s="308"/>
      <c r="B32" s="303"/>
      <c r="C32" s="452" t="s">
        <v>4934</v>
      </c>
      <c r="D32" s="453"/>
      <c r="E32" s="454"/>
      <c r="F32" s="196"/>
      <c r="G32" s="195"/>
      <c r="H32" s="155"/>
      <c r="I32" s="195"/>
      <c r="J32" s="155"/>
      <c r="K32" s="219"/>
      <c r="L32" s="219"/>
      <c r="M32" s="219"/>
      <c r="N32" s="219">
        <f>1550000/3</f>
        <v>516666.66666666669</v>
      </c>
      <c r="O32" s="139">
        <f t="shared" si="6"/>
        <v>516666.66666666669</v>
      </c>
      <c r="P32" s="141"/>
      <c r="Q32" s="141"/>
      <c r="R32" s="143"/>
    </row>
    <row r="33" spans="1:19" ht="24.95" customHeight="1" x14ac:dyDescent="0.25">
      <c r="A33" s="308"/>
      <c r="B33" s="303"/>
      <c r="C33" s="452" t="s">
        <v>5018</v>
      </c>
      <c r="D33" s="453"/>
      <c r="E33" s="454"/>
      <c r="F33" s="196"/>
      <c r="G33" s="195"/>
      <c r="H33" s="155"/>
      <c r="I33" s="195"/>
      <c r="J33" s="155"/>
      <c r="K33" s="219"/>
      <c r="L33" s="219">
        <v>150000</v>
      </c>
      <c r="M33" s="219"/>
      <c r="N33" s="219"/>
      <c r="O33" s="139">
        <f t="shared" si="6"/>
        <v>150000</v>
      </c>
      <c r="P33" s="141"/>
      <c r="Q33" s="141"/>
      <c r="R33" s="143"/>
    </row>
    <row r="34" spans="1:19" ht="24.95" customHeight="1" x14ac:dyDescent="0.25">
      <c r="A34" s="308"/>
      <c r="B34" s="303"/>
      <c r="C34" s="452" t="s">
        <v>4935</v>
      </c>
      <c r="D34" s="453"/>
      <c r="E34" s="454"/>
      <c r="F34" s="196"/>
      <c r="G34" s="195"/>
      <c r="H34" s="155"/>
      <c r="I34" s="195"/>
      <c r="J34" s="155"/>
      <c r="K34" s="219"/>
      <c r="L34" s="219"/>
      <c r="M34" s="219">
        <v>9800000</v>
      </c>
      <c r="N34" s="219"/>
      <c r="O34" s="139">
        <f t="shared" si="6"/>
        <v>9800000</v>
      </c>
      <c r="P34" s="141"/>
      <c r="Q34" s="141"/>
      <c r="R34" s="143"/>
    </row>
    <row r="35" spans="1:19" ht="24.95" customHeight="1" x14ac:dyDescent="0.25">
      <c r="A35" s="308"/>
      <c r="B35" s="303"/>
      <c r="C35" s="452" t="s">
        <v>4936</v>
      </c>
      <c r="D35" s="453"/>
      <c r="E35" s="454"/>
      <c r="F35" s="196"/>
      <c r="G35" s="195"/>
      <c r="H35" s="155"/>
      <c r="I35" s="195"/>
      <c r="J35" s="155"/>
      <c r="K35" s="219"/>
      <c r="L35" s="219">
        <v>1800000</v>
      </c>
      <c r="M35" s="219"/>
      <c r="N35" s="219"/>
      <c r="O35" s="139">
        <f t="shared" si="6"/>
        <v>1800000</v>
      </c>
      <c r="P35" s="141"/>
      <c r="Q35" s="141"/>
      <c r="R35" s="143"/>
    </row>
    <row r="36" spans="1:19" ht="24.95" customHeight="1" x14ac:dyDescent="0.25">
      <c r="A36" s="308"/>
      <c r="B36" s="303"/>
      <c r="C36" s="452" t="s">
        <v>4937</v>
      </c>
      <c r="D36" s="453"/>
      <c r="E36" s="454"/>
      <c r="F36" s="196"/>
      <c r="G36" s="195"/>
      <c r="H36" s="155"/>
      <c r="I36" s="195"/>
      <c r="J36" s="155"/>
      <c r="K36" s="219"/>
      <c r="L36" s="219"/>
      <c r="M36" s="219">
        <v>11800000</v>
      </c>
      <c r="N36" s="219"/>
      <c r="O36" s="139">
        <f t="shared" si="6"/>
        <v>11800000</v>
      </c>
      <c r="P36" s="141"/>
      <c r="Q36" s="141"/>
      <c r="R36" s="143"/>
    </row>
    <row r="37" spans="1:19" ht="24.95" customHeight="1" x14ac:dyDescent="0.25">
      <c r="A37" s="211"/>
      <c r="B37" s="337"/>
      <c r="C37" s="452" t="s">
        <v>4290</v>
      </c>
      <c r="D37" s="453"/>
      <c r="E37" s="454"/>
      <c r="F37" s="196"/>
      <c r="G37" s="195"/>
      <c r="H37" s="155"/>
      <c r="I37" s="195"/>
      <c r="J37" s="155"/>
      <c r="K37" s="219">
        <v>8000000</v>
      </c>
      <c r="L37" s="219"/>
      <c r="M37" s="139"/>
      <c r="N37" s="139"/>
      <c r="O37" s="139">
        <f t="shared" si="6"/>
        <v>8000000</v>
      </c>
      <c r="P37" s="139"/>
      <c r="Q37" s="139"/>
      <c r="R37" s="143"/>
    </row>
    <row r="38" spans="1:19" ht="24.95" customHeight="1" x14ac:dyDescent="0.25">
      <c r="A38" s="450" t="s">
        <v>20</v>
      </c>
      <c r="B38" s="450"/>
      <c r="C38" s="450"/>
      <c r="D38" s="450"/>
      <c r="E38" s="450"/>
      <c r="F38" s="450"/>
      <c r="G38" s="334">
        <f t="shared" ref="G38:P38" si="7">SUM(G8:G37)</f>
        <v>3071</v>
      </c>
      <c r="H38" s="334">
        <f t="shared" si="7"/>
        <v>55546490</v>
      </c>
      <c r="I38" s="334">
        <f t="shared" si="7"/>
        <v>0</v>
      </c>
      <c r="J38" s="334">
        <f t="shared" si="7"/>
        <v>30676000</v>
      </c>
      <c r="K38" s="334">
        <f t="shared" si="7"/>
        <v>20156000</v>
      </c>
      <c r="L38" s="334">
        <f t="shared" si="7"/>
        <v>2929000</v>
      </c>
      <c r="M38" s="334">
        <f t="shared" si="7"/>
        <v>21600000</v>
      </c>
      <c r="N38" s="334">
        <f t="shared" si="7"/>
        <v>516666.66666666669</v>
      </c>
      <c r="O38" s="334">
        <f t="shared" si="7"/>
        <v>131424156.66666667</v>
      </c>
      <c r="P38" s="335">
        <f t="shared" si="7"/>
        <v>154109091</v>
      </c>
      <c r="Q38" s="334">
        <f>P38-O38</f>
        <v>22684934.333333328</v>
      </c>
    </row>
    <row r="39" spans="1:19" ht="24.95" customHeight="1" x14ac:dyDescent="0.25">
      <c r="O39" s="158"/>
      <c r="Q39" s="158"/>
    </row>
    <row r="40" spans="1:19" ht="13.9" customHeight="1" x14ac:dyDescent="0.25">
      <c r="P40" s="216" t="s">
        <v>1603</v>
      </c>
      <c r="Q40" s="227">
        <f>'05.2023'!Q37+'06.2023'!Q38</f>
        <v>171320148.33333331</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G43" s="143"/>
      <c r="H43" s="128"/>
      <c r="J43" s="128"/>
      <c r="K43" s="128"/>
      <c r="L43" s="128"/>
      <c r="M43" s="128"/>
      <c r="N43" s="128"/>
      <c r="O43" s="128"/>
      <c r="P43" s="218"/>
      <c r="Q43" s="230"/>
      <c r="R43" s="143"/>
    </row>
    <row r="44" spans="1:19" ht="13.9" customHeight="1" x14ac:dyDescent="0.25">
      <c r="B44" s="129"/>
      <c r="H44" s="128"/>
      <c r="J44" s="128"/>
      <c r="K44" s="128"/>
      <c r="L44" s="128"/>
      <c r="M44" s="128"/>
      <c r="N44" s="128"/>
      <c r="O44" s="128"/>
      <c r="P44" s="218"/>
      <c r="Q44" s="216"/>
      <c r="R44" s="143"/>
    </row>
    <row r="45" spans="1:19" x14ac:dyDescent="0.25">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8"/>
      <c r="G48" s="143"/>
      <c r="J48" s="128"/>
      <c r="K48" s="128"/>
      <c r="L48" s="128"/>
      <c r="M48" s="128"/>
      <c r="N48" s="128"/>
      <c r="O48" s="128"/>
      <c r="P48" s="128"/>
      <c r="Q48" s="216"/>
    </row>
    <row r="49" spans="1:19" x14ac:dyDescent="0.25">
      <c r="A49" s="128"/>
      <c r="B49" s="128"/>
      <c r="H49" s="128"/>
      <c r="J49" s="128"/>
      <c r="K49" s="128"/>
      <c r="L49" s="128"/>
      <c r="M49" s="128"/>
      <c r="N49" s="128"/>
      <c r="O49" s="128"/>
      <c r="P49" s="128"/>
      <c r="Q49" s="216"/>
    </row>
    <row r="51" spans="1:19" s="143" customFormat="1" x14ac:dyDescent="0.25">
      <c r="A51" s="129"/>
      <c r="B51" s="163"/>
      <c r="C51" s="128"/>
      <c r="D51" s="128"/>
      <c r="E51" s="128"/>
      <c r="F51" s="128"/>
      <c r="I51" s="128"/>
      <c r="R51" s="128"/>
      <c r="S51" s="128"/>
    </row>
  </sheetData>
  <mergeCells count="23">
    <mergeCell ref="C31:E31"/>
    <mergeCell ref="C33:E33"/>
    <mergeCell ref="C34:E34"/>
    <mergeCell ref="C37:E37"/>
    <mergeCell ref="A38:F38"/>
    <mergeCell ref="C35:E35"/>
    <mergeCell ref="C36:E36"/>
    <mergeCell ref="C32:E32"/>
    <mergeCell ref="C29:E29"/>
    <mergeCell ref="C30:E30"/>
    <mergeCell ref="A1:Q1"/>
    <mergeCell ref="A2:Q2"/>
    <mergeCell ref="B3:Q3"/>
    <mergeCell ref="A5:A6"/>
    <mergeCell ref="B5:B6"/>
    <mergeCell ref="C5:C6"/>
    <mergeCell ref="D5:D6"/>
    <mergeCell ref="E5:E6"/>
    <mergeCell ref="F5:F6"/>
    <mergeCell ref="G5:N5"/>
    <mergeCell ref="O5:O6"/>
    <mergeCell ref="P5:P6"/>
    <mergeCell ref="Q5:Q6"/>
  </mergeCells>
  <pageMargins left="0.7" right="0.7" top="0.75" bottom="0.75" header="0.3" footer="0.3"/>
  <pageSetup paperSize="9" orientation="portrait" horizontalDpi="0"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D20A-E3CA-48C3-933E-7D4A6AD725B2}">
  <dimension ref="A1:S47"/>
  <sheetViews>
    <sheetView topLeftCell="E24" zoomScale="90" zoomScaleNormal="90" workbookViewId="0">
      <selection activeCell="H28" sqref="H2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4938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45108</v>
      </c>
      <c r="C8" s="138" t="s">
        <v>4419</v>
      </c>
      <c r="D8" s="308" t="s">
        <v>4950</v>
      </c>
      <c r="E8" s="146" t="s">
        <v>4815</v>
      </c>
      <c r="F8" s="138"/>
      <c r="G8" s="138">
        <v>45</v>
      </c>
      <c r="H8" s="141">
        <f>G8*18170</f>
        <v>817650</v>
      </c>
      <c r="I8" s="138"/>
      <c r="J8" s="226">
        <v>430000</v>
      </c>
      <c r="K8" s="141"/>
      <c r="L8" s="150"/>
      <c r="M8" s="141"/>
      <c r="N8" s="141"/>
      <c r="O8" s="141">
        <f>SUM(H8:N8)</f>
        <v>1247650</v>
      </c>
      <c r="P8" s="141">
        <v>2700000</v>
      </c>
      <c r="Q8" s="141">
        <f>P8-O8</f>
        <v>1452350</v>
      </c>
      <c r="R8" s="143"/>
    </row>
    <row r="9" spans="1:18" ht="24.95" customHeight="1" x14ac:dyDescent="0.25">
      <c r="A9" s="308">
        <v>2</v>
      </c>
      <c r="B9" s="303">
        <v>45110</v>
      </c>
      <c r="C9" s="138" t="s">
        <v>4939</v>
      </c>
      <c r="D9" s="308" t="s">
        <v>5013</v>
      </c>
      <c r="E9" s="146" t="s">
        <v>4509</v>
      </c>
      <c r="F9" s="138"/>
      <c r="G9" s="138">
        <v>381</v>
      </c>
      <c r="H9" s="141">
        <f>G9*18160</f>
        <v>6918960</v>
      </c>
      <c r="I9" s="138"/>
      <c r="J9" s="226">
        <v>3870000</v>
      </c>
      <c r="K9" s="141"/>
      <c r="L9" s="150"/>
      <c r="M9" s="141"/>
      <c r="N9" s="141"/>
      <c r="O9" s="141">
        <f>SUM(H9:N9)</f>
        <v>10788960</v>
      </c>
      <c r="P9" s="141">
        <v>19650000</v>
      </c>
      <c r="Q9" s="141">
        <f t="shared" ref="Q9:Q28" si="0">P9-O9</f>
        <v>8861040</v>
      </c>
      <c r="R9" s="143"/>
    </row>
    <row r="10" spans="1:18" ht="24.95" customHeight="1" x14ac:dyDescent="0.25">
      <c r="A10" s="308">
        <v>3</v>
      </c>
      <c r="B10" s="303">
        <v>45111</v>
      </c>
      <c r="C10" s="138" t="s">
        <v>4940</v>
      </c>
      <c r="D10" s="308" t="s">
        <v>4951</v>
      </c>
      <c r="E10" s="146" t="s">
        <v>2934</v>
      </c>
      <c r="F10" s="138"/>
      <c r="G10" s="138">
        <v>67</v>
      </c>
      <c r="H10" s="141">
        <f t="shared" ref="H10:H12" si="1">G10*18160</f>
        <v>1216720</v>
      </c>
      <c r="I10" s="138"/>
      <c r="J10" s="226">
        <v>790000</v>
      </c>
      <c r="K10" s="141"/>
      <c r="L10" s="150"/>
      <c r="M10" s="141"/>
      <c r="N10" s="141"/>
      <c r="O10" s="141">
        <f t="shared" ref="O10:O17" si="2">SUM(H10:N10)</f>
        <v>2006720</v>
      </c>
      <c r="P10" s="141">
        <v>3500000</v>
      </c>
      <c r="Q10" s="141">
        <f t="shared" si="0"/>
        <v>1493280</v>
      </c>
      <c r="R10" s="143"/>
    </row>
    <row r="11" spans="1:18" ht="24.95" customHeight="1" x14ac:dyDescent="0.25">
      <c r="A11" s="308">
        <v>4</v>
      </c>
      <c r="B11" s="303">
        <v>45112</v>
      </c>
      <c r="C11" s="138" t="s">
        <v>4941</v>
      </c>
      <c r="D11" s="308" t="s">
        <v>4952</v>
      </c>
      <c r="E11" s="146" t="s">
        <v>23</v>
      </c>
      <c r="F11" s="138"/>
      <c r="G11" s="134">
        <v>245</v>
      </c>
      <c r="H11" s="141">
        <f t="shared" si="1"/>
        <v>4449200</v>
      </c>
      <c r="I11" s="134"/>
      <c r="J11" s="226">
        <v>2380000</v>
      </c>
      <c r="K11" s="141"/>
      <c r="L11" s="150"/>
      <c r="M11" s="141"/>
      <c r="N11" s="141"/>
      <c r="O11" s="141">
        <f t="shared" si="2"/>
        <v>6829200</v>
      </c>
      <c r="P11" s="141">
        <v>13101852</v>
      </c>
      <c r="Q11" s="141">
        <f t="shared" si="0"/>
        <v>6272652</v>
      </c>
      <c r="R11" s="143"/>
    </row>
    <row r="12" spans="1:18" ht="24.95" customHeight="1" x14ac:dyDescent="0.25">
      <c r="A12" s="308">
        <v>5</v>
      </c>
      <c r="B12" s="303">
        <v>45113</v>
      </c>
      <c r="C12" s="138" t="s">
        <v>1176</v>
      </c>
      <c r="D12" s="308" t="s">
        <v>4953</v>
      </c>
      <c r="E12" s="146" t="s">
        <v>1568</v>
      </c>
      <c r="F12" s="138"/>
      <c r="G12" s="134">
        <v>85</v>
      </c>
      <c r="H12" s="141">
        <f t="shared" si="1"/>
        <v>1543600</v>
      </c>
      <c r="I12" s="134"/>
      <c r="J12" s="226">
        <v>790000</v>
      </c>
      <c r="K12" s="141"/>
      <c r="L12" s="150"/>
      <c r="M12" s="141"/>
      <c r="N12" s="141"/>
      <c r="O12" s="141">
        <f t="shared" si="2"/>
        <v>2333600</v>
      </c>
      <c r="P12" s="139">
        <v>3900000</v>
      </c>
      <c r="Q12" s="141">
        <f t="shared" si="0"/>
        <v>1566400</v>
      </c>
      <c r="R12" s="143"/>
    </row>
    <row r="13" spans="1:18" ht="24.95" customHeight="1" x14ac:dyDescent="0.25">
      <c r="A13" s="308">
        <v>6</v>
      </c>
      <c r="B13" s="303">
        <v>45114</v>
      </c>
      <c r="C13" s="138" t="s">
        <v>452</v>
      </c>
      <c r="D13" s="308" t="s">
        <v>4954</v>
      </c>
      <c r="E13" s="146" t="s">
        <v>4509</v>
      </c>
      <c r="F13" s="138"/>
      <c r="G13" s="134">
        <v>382</v>
      </c>
      <c r="H13" s="141">
        <f>G13*18610</f>
        <v>7109020</v>
      </c>
      <c r="I13" s="134"/>
      <c r="J13" s="226">
        <v>3870000</v>
      </c>
      <c r="K13" s="141"/>
      <c r="L13" s="150"/>
      <c r="M13" s="141"/>
      <c r="N13" s="141"/>
      <c r="O13" s="141">
        <f t="shared" si="2"/>
        <v>10979020</v>
      </c>
      <c r="P13" s="141">
        <v>19650000</v>
      </c>
      <c r="Q13" s="141">
        <f t="shared" si="0"/>
        <v>8670980</v>
      </c>
      <c r="R13" s="143"/>
    </row>
    <row r="14" spans="1:18" ht="24.95" customHeight="1" x14ac:dyDescent="0.25">
      <c r="A14" s="308">
        <v>7</v>
      </c>
      <c r="B14" s="303">
        <v>45117</v>
      </c>
      <c r="C14" s="138" t="s">
        <v>4422</v>
      </c>
      <c r="D14" s="308" t="s">
        <v>4955</v>
      </c>
      <c r="E14" s="146" t="s">
        <v>4969</v>
      </c>
      <c r="F14" s="138"/>
      <c r="G14" s="134">
        <v>63</v>
      </c>
      <c r="H14" s="141">
        <f t="shared" ref="H14:H16" si="3">G14*18610</f>
        <v>1172430</v>
      </c>
      <c r="I14" s="134"/>
      <c r="J14" s="226">
        <v>430000</v>
      </c>
      <c r="K14" s="141"/>
      <c r="L14" s="150"/>
      <c r="M14" s="141"/>
      <c r="N14" s="141"/>
      <c r="O14" s="141">
        <f t="shared" si="2"/>
        <v>1602430</v>
      </c>
      <c r="P14" s="141">
        <v>3060000</v>
      </c>
      <c r="Q14" s="141">
        <f t="shared" si="0"/>
        <v>1457570</v>
      </c>
      <c r="R14" s="143"/>
    </row>
    <row r="15" spans="1:18" ht="24.95" customHeight="1" x14ac:dyDescent="0.25">
      <c r="A15" s="308">
        <v>8</v>
      </c>
      <c r="B15" s="303">
        <v>45118</v>
      </c>
      <c r="C15" s="138" t="s">
        <v>1181</v>
      </c>
      <c r="D15" s="308" t="s">
        <v>4956</v>
      </c>
      <c r="E15" s="146" t="s">
        <v>4371</v>
      </c>
      <c r="F15" s="138"/>
      <c r="G15" s="134">
        <v>73</v>
      </c>
      <c r="H15" s="141">
        <f t="shared" si="3"/>
        <v>1358530</v>
      </c>
      <c r="I15" s="134"/>
      <c r="J15" s="226">
        <v>530000</v>
      </c>
      <c r="K15" s="141"/>
      <c r="L15" s="150"/>
      <c r="M15" s="141"/>
      <c r="N15" s="141"/>
      <c r="O15" s="141">
        <f t="shared" si="2"/>
        <v>1888530</v>
      </c>
      <c r="P15" s="141">
        <v>3400000</v>
      </c>
      <c r="Q15" s="141">
        <f t="shared" si="0"/>
        <v>1511470</v>
      </c>
      <c r="R15" s="143"/>
    </row>
    <row r="16" spans="1:18" ht="24.95" customHeight="1" x14ac:dyDescent="0.25">
      <c r="A16" s="308">
        <v>9</v>
      </c>
      <c r="B16" s="303">
        <v>45119</v>
      </c>
      <c r="C16" s="138" t="s">
        <v>3813</v>
      </c>
      <c r="D16" s="308" t="s">
        <v>4957</v>
      </c>
      <c r="E16" s="146" t="s">
        <v>4970</v>
      </c>
      <c r="F16" s="138"/>
      <c r="G16" s="134">
        <v>90</v>
      </c>
      <c r="H16" s="141">
        <f t="shared" si="3"/>
        <v>1674900</v>
      </c>
      <c r="I16" s="134"/>
      <c r="J16" s="226">
        <v>430000</v>
      </c>
      <c r="K16" s="141"/>
      <c r="L16" s="150"/>
      <c r="M16" s="141"/>
      <c r="N16" s="141"/>
      <c r="O16" s="141">
        <f t="shared" si="2"/>
        <v>2104900</v>
      </c>
      <c r="P16" s="141">
        <v>3950000</v>
      </c>
      <c r="Q16" s="141">
        <f t="shared" si="0"/>
        <v>1845100</v>
      </c>
      <c r="R16" s="143"/>
    </row>
    <row r="17" spans="1:18" ht="24.95" customHeight="1" x14ac:dyDescent="0.25">
      <c r="A17" s="308">
        <v>10</v>
      </c>
      <c r="B17" s="303">
        <v>45121</v>
      </c>
      <c r="C17" s="138" t="s">
        <v>4942</v>
      </c>
      <c r="D17" s="308" t="s">
        <v>4958</v>
      </c>
      <c r="E17" s="146" t="s">
        <v>4971</v>
      </c>
      <c r="F17" s="138"/>
      <c r="G17" s="134">
        <v>9</v>
      </c>
      <c r="H17" s="141">
        <f>G17*18610</f>
        <v>167490</v>
      </c>
      <c r="I17" s="134"/>
      <c r="J17" s="226">
        <v>200000</v>
      </c>
      <c r="K17" s="141"/>
      <c r="L17" s="150"/>
      <c r="M17" s="141"/>
      <c r="N17" s="141"/>
      <c r="O17" s="141">
        <f t="shared" si="2"/>
        <v>367490</v>
      </c>
      <c r="P17" s="141">
        <v>1100000</v>
      </c>
      <c r="Q17" s="141">
        <f t="shared" si="0"/>
        <v>732510</v>
      </c>
      <c r="R17" s="143"/>
    </row>
    <row r="18" spans="1:18" ht="24.95" customHeight="1" x14ac:dyDescent="0.25">
      <c r="A18" s="308">
        <v>11</v>
      </c>
      <c r="B18" s="303">
        <v>45121</v>
      </c>
      <c r="C18" s="138" t="s">
        <v>1829</v>
      </c>
      <c r="D18" s="308" t="s">
        <v>4959</v>
      </c>
      <c r="E18" s="146" t="s">
        <v>4544</v>
      </c>
      <c r="F18" s="138"/>
      <c r="G18" s="134">
        <v>273</v>
      </c>
      <c r="H18" s="139">
        <f>G18*19500</f>
        <v>5323500</v>
      </c>
      <c r="I18" s="134"/>
      <c r="J18" s="226">
        <v>3032000</v>
      </c>
      <c r="K18" s="141"/>
      <c r="L18" s="150"/>
      <c r="M18" s="141"/>
      <c r="N18" s="141"/>
      <c r="O18" s="141">
        <f>SUM(H18:N18)</f>
        <v>8355500</v>
      </c>
      <c r="P18" s="141">
        <v>13500000</v>
      </c>
      <c r="Q18" s="141">
        <f t="shared" si="0"/>
        <v>5144500</v>
      </c>
      <c r="R18" s="143"/>
    </row>
    <row r="19" spans="1:18" ht="24.95" customHeight="1" x14ac:dyDescent="0.25">
      <c r="A19" s="308">
        <v>12</v>
      </c>
      <c r="B19" s="303">
        <v>45122</v>
      </c>
      <c r="C19" s="138" t="s">
        <v>3192</v>
      </c>
      <c r="D19" s="308" t="s">
        <v>4960</v>
      </c>
      <c r="E19" s="146" t="s">
        <v>1568</v>
      </c>
      <c r="F19" s="138"/>
      <c r="G19" s="134">
        <v>84</v>
      </c>
      <c r="H19" s="139">
        <f t="shared" ref="H19:H28" si="4">G19*19500</f>
        <v>1638000</v>
      </c>
      <c r="I19" s="134"/>
      <c r="J19" s="226">
        <v>790000</v>
      </c>
      <c r="K19" s="141"/>
      <c r="L19" s="150"/>
      <c r="M19" s="141"/>
      <c r="N19" s="141"/>
      <c r="O19" s="141">
        <f>SUM(H19:N19)</f>
        <v>2428000</v>
      </c>
      <c r="P19" s="141">
        <v>4200000</v>
      </c>
      <c r="Q19" s="141">
        <f t="shared" si="0"/>
        <v>1772000</v>
      </c>
      <c r="R19" s="143"/>
    </row>
    <row r="20" spans="1:18" ht="24.95" customHeight="1" x14ac:dyDescent="0.25">
      <c r="A20" s="308">
        <v>13</v>
      </c>
      <c r="B20" s="303">
        <v>45124</v>
      </c>
      <c r="C20" s="138" t="s">
        <v>4943</v>
      </c>
      <c r="D20" s="308" t="s">
        <v>5019</v>
      </c>
      <c r="E20" s="289" t="s">
        <v>2799</v>
      </c>
      <c r="F20" s="138"/>
      <c r="G20" s="134">
        <v>110</v>
      </c>
      <c r="H20" s="139">
        <f t="shared" si="4"/>
        <v>2145000</v>
      </c>
      <c r="I20" s="134"/>
      <c r="J20" s="208">
        <v>830000</v>
      </c>
      <c r="K20" s="141"/>
      <c r="L20" s="150"/>
      <c r="M20" s="141"/>
      <c r="N20" s="141"/>
      <c r="O20" s="141">
        <f>SUM(H20:N20)</f>
        <v>2975000</v>
      </c>
      <c r="P20" s="208">
        <v>4800000</v>
      </c>
      <c r="Q20" s="141">
        <f t="shared" si="0"/>
        <v>1825000</v>
      </c>
      <c r="R20" s="143"/>
    </row>
    <row r="21" spans="1:18" ht="24.95" customHeight="1" x14ac:dyDescent="0.25">
      <c r="A21" s="308">
        <v>14</v>
      </c>
      <c r="B21" s="303">
        <v>45125</v>
      </c>
      <c r="C21" s="138" t="s">
        <v>4944</v>
      </c>
      <c r="D21" s="308" t="s">
        <v>4961</v>
      </c>
      <c r="E21" s="146" t="s">
        <v>25</v>
      </c>
      <c r="F21" s="138"/>
      <c r="G21" s="134">
        <v>184</v>
      </c>
      <c r="H21" s="139">
        <f t="shared" si="4"/>
        <v>3588000</v>
      </c>
      <c r="I21" s="134"/>
      <c r="J21" s="226">
        <v>1530000</v>
      </c>
      <c r="K21" s="141"/>
      <c r="L21" s="150"/>
      <c r="M21" s="141"/>
      <c r="N21" s="141"/>
      <c r="O21" s="141">
        <f t="shared" ref="O21:O28" si="5">SUM(H21:N21)</f>
        <v>5118000</v>
      </c>
      <c r="P21" s="141">
        <v>8045455</v>
      </c>
      <c r="Q21" s="141">
        <f t="shared" si="0"/>
        <v>2927455</v>
      </c>
      <c r="R21" s="143"/>
    </row>
    <row r="22" spans="1:18" ht="24.95" customHeight="1" x14ac:dyDescent="0.25">
      <c r="A22" s="308">
        <v>15</v>
      </c>
      <c r="B22" s="303">
        <v>45126</v>
      </c>
      <c r="C22" s="138" t="s">
        <v>4945</v>
      </c>
      <c r="D22" s="308" t="s">
        <v>4962</v>
      </c>
      <c r="E22" s="146" t="s">
        <v>3662</v>
      </c>
      <c r="F22" s="138"/>
      <c r="G22" s="138">
        <v>81</v>
      </c>
      <c r="H22" s="139">
        <f t="shared" si="4"/>
        <v>1579500</v>
      </c>
      <c r="I22" s="138"/>
      <c r="J22" s="226">
        <v>790000</v>
      </c>
      <c r="K22" s="141"/>
      <c r="L22" s="150"/>
      <c r="M22" s="141"/>
      <c r="N22" s="141"/>
      <c r="O22" s="141">
        <f t="shared" si="5"/>
        <v>2369500</v>
      </c>
      <c r="P22" s="141">
        <v>4000000</v>
      </c>
      <c r="Q22" s="141">
        <f t="shared" si="0"/>
        <v>1630500</v>
      </c>
      <c r="R22" s="143"/>
    </row>
    <row r="23" spans="1:18" ht="24.95" customHeight="1" x14ac:dyDescent="0.25">
      <c r="A23" s="308">
        <v>16</v>
      </c>
      <c r="B23" s="303">
        <v>45127</v>
      </c>
      <c r="C23" s="138" t="s">
        <v>4946</v>
      </c>
      <c r="D23" s="308" t="s">
        <v>4963</v>
      </c>
      <c r="E23" s="146" t="s">
        <v>4815</v>
      </c>
      <c r="F23" s="138"/>
      <c r="G23" s="138">
        <v>47</v>
      </c>
      <c r="H23" s="139">
        <f t="shared" si="4"/>
        <v>916500</v>
      </c>
      <c r="I23" s="138"/>
      <c r="J23" s="226">
        <v>430000</v>
      </c>
      <c r="K23" s="141"/>
      <c r="L23" s="150"/>
      <c r="M23" s="141"/>
      <c r="N23" s="141"/>
      <c r="O23" s="141">
        <f t="shared" si="5"/>
        <v>1346500</v>
      </c>
      <c r="P23" s="141">
        <v>2400000</v>
      </c>
      <c r="Q23" s="141">
        <f t="shared" si="0"/>
        <v>1053500</v>
      </c>
      <c r="R23" s="143"/>
    </row>
    <row r="24" spans="1:18" ht="24.95" customHeight="1" x14ac:dyDescent="0.25">
      <c r="A24" s="308">
        <v>17</v>
      </c>
      <c r="B24" s="303">
        <v>45131</v>
      </c>
      <c r="C24" s="138" t="s">
        <v>4947</v>
      </c>
      <c r="D24" s="308" t="s">
        <v>4964</v>
      </c>
      <c r="E24" s="146" t="s">
        <v>4815</v>
      </c>
      <c r="F24" s="138"/>
      <c r="G24" s="138">
        <v>45</v>
      </c>
      <c r="H24" s="139">
        <f t="shared" si="4"/>
        <v>877500</v>
      </c>
      <c r="I24" s="138"/>
      <c r="J24" s="226">
        <v>430000</v>
      </c>
      <c r="K24" s="141"/>
      <c r="L24" s="150"/>
      <c r="M24" s="141"/>
      <c r="N24" s="141"/>
      <c r="O24" s="141">
        <f t="shared" si="5"/>
        <v>1307500</v>
      </c>
      <c r="P24" s="141">
        <v>2400000</v>
      </c>
      <c r="Q24" s="141">
        <f t="shared" si="0"/>
        <v>1092500</v>
      </c>
      <c r="R24" s="143"/>
    </row>
    <row r="25" spans="1:18" ht="24.95" customHeight="1" x14ac:dyDescent="0.25">
      <c r="A25" s="308">
        <v>18</v>
      </c>
      <c r="B25" s="303">
        <v>45131</v>
      </c>
      <c r="C25" s="138" t="s">
        <v>4427</v>
      </c>
      <c r="D25" s="308" t="s">
        <v>4965</v>
      </c>
      <c r="E25" s="146" t="s">
        <v>4972</v>
      </c>
      <c r="F25" s="138"/>
      <c r="G25" s="138">
        <v>137</v>
      </c>
      <c r="H25" s="139">
        <f t="shared" si="4"/>
        <v>2671500</v>
      </c>
      <c r="I25" s="138"/>
      <c r="J25" s="226">
        <v>830000</v>
      </c>
      <c r="K25" s="141"/>
      <c r="L25" s="150"/>
      <c r="M25" s="141"/>
      <c r="N25" s="141"/>
      <c r="O25" s="141">
        <f t="shared" si="5"/>
        <v>3501500</v>
      </c>
      <c r="P25" s="141">
        <v>5800000</v>
      </c>
      <c r="Q25" s="141">
        <f t="shared" si="0"/>
        <v>2298500</v>
      </c>
      <c r="R25" s="143"/>
    </row>
    <row r="26" spans="1:18" ht="24.95" customHeight="1" x14ac:dyDescent="0.25">
      <c r="A26" s="308">
        <v>19</v>
      </c>
      <c r="B26" s="303">
        <v>45133</v>
      </c>
      <c r="C26" s="138" t="s">
        <v>4948</v>
      </c>
      <c r="D26" s="308" t="s">
        <v>4966</v>
      </c>
      <c r="E26" s="146" t="s">
        <v>4597</v>
      </c>
      <c r="F26" s="138"/>
      <c r="G26" s="138">
        <v>394</v>
      </c>
      <c r="H26" s="139">
        <f t="shared" si="4"/>
        <v>7683000</v>
      </c>
      <c r="I26" s="138"/>
      <c r="J26" s="226">
        <v>3870000</v>
      </c>
      <c r="K26" s="141"/>
      <c r="L26" s="150"/>
      <c r="M26" s="141"/>
      <c r="N26" s="141"/>
      <c r="O26" s="141">
        <f t="shared" si="5"/>
        <v>11553000</v>
      </c>
      <c r="P26" s="141">
        <v>20300000</v>
      </c>
      <c r="Q26" s="141">
        <f t="shared" si="0"/>
        <v>8747000</v>
      </c>
      <c r="R26" s="143"/>
    </row>
    <row r="27" spans="1:18" ht="24.95" customHeight="1" x14ac:dyDescent="0.25">
      <c r="A27" s="308">
        <v>20</v>
      </c>
      <c r="B27" s="303">
        <v>45134</v>
      </c>
      <c r="C27" s="138" t="s">
        <v>1837</v>
      </c>
      <c r="D27" s="308" t="s">
        <v>4967</v>
      </c>
      <c r="E27" s="146" t="s">
        <v>25</v>
      </c>
      <c r="F27" s="138"/>
      <c r="G27" s="138">
        <v>180</v>
      </c>
      <c r="H27" s="139">
        <f t="shared" si="4"/>
        <v>3510000</v>
      </c>
      <c r="I27" s="138"/>
      <c r="J27" s="226">
        <v>1530000</v>
      </c>
      <c r="K27" s="141"/>
      <c r="L27" s="150"/>
      <c r="M27" s="141"/>
      <c r="N27" s="141"/>
      <c r="O27" s="141">
        <f t="shared" si="5"/>
        <v>5040000</v>
      </c>
      <c r="P27" s="141">
        <v>8180556</v>
      </c>
      <c r="Q27" s="141">
        <f t="shared" si="0"/>
        <v>3140556</v>
      </c>
      <c r="R27" s="143"/>
    </row>
    <row r="28" spans="1:18" ht="24.95" customHeight="1" x14ac:dyDescent="0.25">
      <c r="A28" s="308">
        <v>20</v>
      </c>
      <c r="B28" s="303">
        <v>45135</v>
      </c>
      <c r="C28" s="138" t="s">
        <v>4949</v>
      </c>
      <c r="D28" s="308" t="s">
        <v>4968</v>
      </c>
      <c r="E28" s="146" t="s">
        <v>4973</v>
      </c>
      <c r="F28" s="138"/>
      <c r="G28" s="138">
        <v>17</v>
      </c>
      <c r="H28" s="139">
        <f t="shared" si="4"/>
        <v>331500</v>
      </c>
      <c r="I28" s="138"/>
      <c r="J28" s="226">
        <v>400000</v>
      </c>
      <c r="K28" s="141"/>
      <c r="L28" s="150"/>
      <c r="M28" s="141"/>
      <c r="N28" s="141"/>
      <c r="O28" s="141">
        <f t="shared" si="5"/>
        <v>731500</v>
      </c>
      <c r="P28" s="141">
        <v>2000000</v>
      </c>
      <c r="Q28" s="141">
        <f t="shared" si="0"/>
        <v>1268500</v>
      </c>
      <c r="R28" s="143"/>
    </row>
    <row r="29" spans="1:18" ht="24.95" customHeight="1" x14ac:dyDescent="0.25">
      <c r="A29" s="308"/>
      <c r="B29" s="303"/>
      <c r="C29" s="452" t="s">
        <v>26</v>
      </c>
      <c r="D29" s="453"/>
      <c r="E29" s="454"/>
      <c r="F29" s="196"/>
      <c r="G29" s="195"/>
      <c r="H29" s="155"/>
      <c r="I29" s="195"/>
      <c r="J29" s="155"/>
      <c r="K29" s="219">
        <v>1200000</v>
      </c>
      <c r="L29" s="219"/>
      <c r="M29" s="141"/>
      <c r="N29" s="141"/>
      <c r="O29" s="139">
        <f t="shared" ref="O29:O33" si="6">SUM(H29:N29)</f>
        <v>1200000</v>
      </c>
      <c r="P29" s="141"/>
      <c r="Q29" s="141"/>
      <c r="R29" s="143"/>
    </row>
    <row r="30" spans="1:18" ht="24.95" customHeight="1" x14ac:dyDescent="0.25">
      <c r="A30" s="308"/>
      <c r="B30" s="303"/>
      <c r="C30" s="452" t="s">
        <v>4798</v>
      </c>
      <c r="D30" s="453"/>
      <c r="E30" s="454"/>
      <c r="F30" s="196"/>
      <c r="G30" s="195"/>
      <c r="H30" s="155"/>
      <c r="I30" s="195"/>
      <c r="J30" s="155"/>
      <c r="K30" s="219">
        <v>10203000</v>
      </c>
      <c r="L30" s="263"/>
      <c r="M30" s="141"/>
      <c r="N30" s="141"/>
      <c r="O30" s="139">
        <f t="shared" si="6"/>
        <v>10203000</v>
      </c>
      <c r="P30" s="141"/>
      <c r="Q30" s="141"/>
      <c r="R30" s="143"/>
    </row>
    <row r="31" spans="1:18" ht="24.95" customHeight="1" x14ac:dyDescent="0.25">
      <c r="A31" s="308"/>
      <c r="B31" s="303"/>
      <c r="C31" s="452" t="s">
        <v>5014</v>
      </c>
      <c r="D31" s="453"/>
      <c r="E31" s="454"/>
      <c r="F31" s="196"/>
      <c r="G31" s="195"/>
      <c r="H31" s="155"/>
      <c r="I31" s="195"/>
      <c r="J31" s="155"/>
      <c r="K31" s="219"/>
      <c r="L31" s="219">
        <v>120000</v>
      </c>
      <c r="M31" s="219"/>
      <c r="N31" s="219"/>
      <c r="O31" s="139">
        <f t="shared" si="6"/>
        <v>120000</v>
      </c>
      <c r="P31" s="141"/>
      <c r="Q31" s="141"/>
      <c r="R31" s="143"/>
    </row>
    <row r="32" spans="1:18" ht="24.95" customHeight="1" x14ac:dyDescent="0.25">
      <c r="A32" s="308"/>
      <c r="B32" s="303"/>
      <c r="C32" s="452" t="s">
        <v>5015</v>
      </c>
      <c r="D32" s="453"/>
      <c r="E32" s="454"/>
      <c r="F32" s="196"/>
      <c r="G32" s="195"/>
      <c r="H32" s="155"/>
      <c r="I32" s="195"/>
      <c r="J32" s="155"/>
      <c r="K32" s="219"/>
      <c r="L32" s="219">
        <v>200000</v>
      </c>
      <c r="M32" s="219"/>
      <c r="N32" s="219"/>
      <c r="O32" s="139">
        <f t="shared" si="6"/>
        <v>200000</v>
      </c>
      <c r="P32" s="141"/>
      <c r="Q32" s="141"/>
      <c r="R32" s="143"/>
    </row>
    <row r="33" spans="1:19" ht="24.95" customHeight="1" x14ac:dyDescent="0.25">
      <c r="A33" s="211"/>
      <c r="B33" s="337"/>
      <c r="C33" s="452" t="s">
        <v>4290</v>
      </c>
      <c r="D33" s="453"/>
      <c r="E33" s="454"/>
      <c r="F33" s="196"/>
      <c r="G33" s="195"/>
      <c r="H33" s="155"/>
      <c r="I33" s="195"/>
      <c r="J33" s="155"/>
      <c r="K33" s="219">
        <v>8000000</v>
      </c>
      <c r="L33" s="219"/>
      <c r="M33" s="139"/>
      <c r="N33" s="139"/>
      <c r="O33" s="139">
        <f t="shared" si="6"/>
        <v>8000000</v>
      </c>
      <c r="P33" s="139"/>
      <c r="Q33" s="139"/>
      <c r="R33" s="143"/>
    </row>
    <row r="34" spans="1:19" ht="24.95" customHeight="1" x14ac:dyDescent="0.25">
      <c r="A34" s="450" t="s">
        <v>20</v>
      </c>
      <c r="B34" s="450"/>
      <c r="C34" s="450"/>
      <c r="D34" s="450"/>
      <c r="E34" s="450"/>
      <c r="F34" s="450"/>
      <c r="G34" s="334">
        <f t="shared" ref="G34:O34" si="7">SUM(G8:G33)</f>
        <v>2992</v>
      </c>
      <c r="H34" s="334">
        <f t="shared" si="7"/>
        <v>56692500</v>
      </c>
      <c r="I34" s="334">
        <f t="shared" si="7"/>
        <v>0</v>
      </c>
      <c r="J34" s="334">
        <f t="shared" si="7"/>
        <v>28182000</v>
      </c>
      <c r="K34" s="334">
        <f t="shared" si="7"/>
        <v>19403000</v>
      </c>
      <c r="L34" s="334">
        <f t="shared" si="7"/>
        <v>320000</v>
      </c>
      <c r="M34" s="334">
        <f t="shared" si="7"/>
        <v>0</v>
      </c>
      <c r="N34" s="334">
        <f t="shared" si="7"/>
        <v>0</v>
      </c>
      <c r="O34" s="334">
        <f t="shared" si="7"/>
        <v>104597500</v>
      </c>
      <c r="P34" s="335">
        <f>SUM(P8:P33)</f>
        <v>149637863</v>
      </c>
      <c r="Q34" s="334">
        <f>P34-O34</f>
        <v>45040363</v>
      </c>
    </row>
    <row r="35" spans="1:19" ht="24.95" customHeight="1" x14ac:dyDescent="0.25">
      <c r="O35" s="158"/>
      <c r="Q35" s="158"/>
    </row>
    <row r="36" spans="1:19" ht="13.9" customHeight="1" x14ac:dyDescent="0.25">
      <c r="P36" s="216" t="s">
        <v>1603</v>
      </c>
      <c r="Q36" s="227">
        <f>'06.2023'!Q40+'07.2023'!Q34</f>
        <v>216360511.33333331</v>
      </c>
      <c r="S36" s="216"/>
    </row>
    <row r="37" spans="1:19" ht="13.9" customHeight="1" x14ac:dyDescent="0.25">
      <c r="B37" s="129"/>
      <c r="J37" s="128"/>
      <c r="K37" s="128"/>
      <c r="L37" s="128"/>
      <c r="N37" s="128"/>
      <c r="O37" s="128"/>
      <c r="P37" s="218"/>
      <c r="Q37" s="216"/>
    </row>
    <row r="38" spans="1:19" ht="13.9" customHeight="1" x14ac:dyDescent="0.25">
      <c r="B38" s="129"/>
      <c r="H38" s="128"/>
      <c r="J38" s="128"/>
      <c r="K38" s="128"/>
      <c r="L38" s="128"/>
      <c r="M38" s="128"/>
      <c r="N38" s="128"/>
      <c r="O38" s="128"/>
      <c r="P38" s="218"/>
      <c r="Q38" s="230"/>
    </row>
    <row r="39" spans="1:19" ht="13.9" customHeight="1" x14ac:dyDescent="0.25">
      <c r="B39" s="129"/>
      <c r="G39" s="143"/>
      <c r="H39" s="128"/>
      <c r="J39" s="128"/>
      <c r="K39" s="128"/>
      <c r="L39" s="128"/>
      <c r="M39" s="128"/>
      <c r="N39" s="128"/>
      <c r="O39" s="128"/>
      <c r="P39" s="218"/>
      <c r="Q39" s="230"/>
      <c r="R39" s="143"/>
    </row>
    <row r="40" spans="1:19" ht="13.9" customHeight="1" x14ac:dyDescent="0.25">
      <c r="B40" s="129"/>
      <c r="H40" s="128"/>
      <c r="J40" s="128"/>
      <c r="K40" s="128"/>
      <c r="L40" s="128"/>
      <c r="M40" s="128"/>
      <c r="N40" s="128"/>
      <c r="O40" s="128"/>
      <c r="P40" s="218"/>
      <c r="Q40" s="216"/>
      <c r="R40" s="143"/>
    </row>
    <row r="41" spans="1:19" x14ac:dyDescent="0.25">
      <c r="B41" s="129"/>
      <c r="H41" s="128"/>
      <c r="J41" s="128"/>
      <c r="K41" s="128"/>
      <c r="L41" s="128"/>
      <c r="M41" s="128"/>
      <c r="N41" s="128"/>
      <c r="O41" s="128"/>
      <c r="P41" s="218"/>
      <c r="Q41" s="216"/>
    </row>
    <row r="42" spans="1:19" x14ac:dyDescent="0.25">
      <c r="A42" s="128"/>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8"/>
      <c r="G44" s="143"/>
      <c r="J44" s="128"/>
      <c r="K44" s="128"/>
      <c r="L44" s="128"/>
      <c r="M44" s="128"/>
      <c r="N44" s="128"/>
      <c r="O44" s="128"/>
      <c r="P44" s="128"/>
      <c r="Q44" s="216"/>
    </row>
    <row r="45" spans="1:19" x14ac:dyDescent="0.25">
      <c r="A45" s="128"/>
      <c r="B45" s="128"/>
      <c r="H45" s="128"/>
      <c r="J45" s="128"/>
      <c r="K45" s="128"/>
      <c r="L45" s="128"/>
      <c r="M45" s="128"/>
      <c r="N45" s="128"/>
      <c r="O45" s="128"/>
      <c r="P45" s="128"/>
      <c r="Q45" s="216"/>
    </row>
    <row r="47" spans="1:19" s="143" customFormat="1" x14ac:dyDescent="0.25">
      <c r="A47" s="129"/>
      <c r="B47" s="163"/>
      <c r="C47" s="128"/>
      <c r="D47" s="128"/>
      <c r="E47" s="128"/>
      <c r="F47" s="128"/>
      <c r="I47" s="128"/>
      <c r="R47" s="128"/>
      <c r="S47" s="128"/>
    </row>
  </sheetData>
  <mergeCells count="19">
    <mergeCell ref="C29:E29"/>
    <mergeCell ref="A1:Q1"/>
    <mergeCell ref="A2:Q2"/>
    <mergeCell ref="B3:Q3"/>
    <mergeCell ref="A5:A6"/>
    <mergeCell ref="B5:B6"/>
    <mergeCell ref="C5:C6"/>
    <mergeCell ref="D5:D6"/>
    <mergeCell ref="E5:E6"/>
    <mergeCell ref="F5:F6"/>
    <mergeCell ref="G5:N5"/>
    <mergeCell ref="O5:O6"/>
    <mergeCell ref="P5:P6"/>
    <mergeCell ref="Q5:Q6"/>
    <mergeCell ref="C30:E30"/>
    <mergeCell ref="C32:E32"/>
    <mergeCell ref="C33:E33"/>
    <mergeCell ref="A34:F34"/>
    <mergeCell ref="C31:E31"/>
  </mergeCells>
  <pageMargins left="0.7" right="0.7" top="0.75" bottom="0.75" header="0.3" footer="0.3"/>
  <pageSetup paperSize="9" orientation="portrait" horizontalDpi="0" verticalDpi="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F7C2-009D-44D8-81F6-1572388C870A}">
  <dimension ref="A1:S49"/>
  <sheetViews>
    <sheetView topLeftCell="E28" zoomScale="90" zoomScaleNormal="90" workbookViewId="0">
      <selection activeCell="N36" sqref="N3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4974</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60"/>
      <c r="B7" s="361"/>
      <c r="C7" s="360"/>
      <c r="D7" s="360"/>
      <c r="E7" s="362"/>
      <c r="F7" s="362"/>
      <c r="G7" s="360"/>
      <c r="H7" s="363"/>
      <c r="I7" s="360"/>
      <c r="J7" s="363"/>
      <c r="K7" s="363"/>
      <c r="L7" s="363"/>
      <c r="M7" s="363"/>
      <c r="N7" s="363"/>
      <c r="O7" s="364"/>
      <c r="P7" s="364"/>
      <c r="Q7" s="364"/>
    </row>
    <row r="8" spans="1:18" ht="24.95" customHeight="1" x14ac:dyDescent="0.25">
      <c r="A8" s="308">
        <v>1</v>
      </c>
      <c r="B8" s="303">
        <v>45139</v>
      </c>
      <c r="C8" s="138" t="s">
        <v>3236</v>
      </c>
      <c r="D8" s="308" t="s">
        <v>4988</v>
      </c>
      <c r="E8" s="146" t="s">
        <v>1283</v>
      </c>
      <c r="F8" s="138"/>
      <c r="G8" s="138">
        <v>69</v>
      </c>
      <c r="H8" s="208">
        <f>20160*G8</f>
        <v>1391040</v>
      </c>
      <c r="I8" s="138"/>
      <c r="J8" s="226">
        <v>610000</v>
      </c>
      <c r="K8" s="141"/>
      <c r="L8" s="150"/>
      <c r="M8" s="141"/>
      <c r="N8" s="141"/>
      <c r="O8" s="141">
        <f>SUM(H8:N8)</f>
        <v>2001040</v>
      </c>
      <c r="P8" s="141">
        <v>3700000</v>
      </c>
      <c r="Q8" s="141">
        <f>P8-O8</f>
        <v>1698960</v>
      </c>
      <c r="R8" s="143"/>
    </row>
    <row r="9" spans="1:18" ht="24.95" customHeight="1" x14ac:dyDescent="0.25">
      <c r="A9" s="308">
        <v>2</v>
      </c>
      <c r="B9" s="303">
        <v>45140</v>
      </c>
      <c r="C9" s="138" t="s">
        <v>1240</v>
      </c>
      <c r="D9" s="308" t="s">
        <v>4989</v>
      </c>
      <c r="E9" s="146" t="s">
        <v>4509</v>
      </c>
      <c r="F9" s="138"/>
      <c r="G9" s="138">
        <v>378</v>
      </c>
      <c r="H9" s="208">
        <f t="shared" ref="H9:H11" si="0">20160*G9</f>
        <v>7620480</v>
      </c>
      <c r="I9" s="138"/>
      <c r="J9" s="226">
        <v>3870000</v>
      </c>
      <c r="K9" s="141"/>
      <c r="L9" s="150"/>
      <c r="M9" s="141"/>
      <c r="N9" s="141"/>
      <c r="O9" s="141">
        <f>SUM(H9:N9)</f>
        <v>11490480</v>
      </c>
      <c r="P9" s="141">
        <v>20150000</v>
      </c>
      <c r="Q9" s="141">
        <f t="shared" ref="Q9:Q31" si="1">P9-O9</f>
        <v>8659520</v>
      </c>
      <c r="R9" s="143"/>
    </row>
    <row r="10" spans="1:18" ht="24.95" customHeight="1" x14ac:dyDescent="0.25">
      <c r="A10" s="308">
        <v>3</v>
      </c>
      <c r="B10" s="303">
        <v>45142</v>
      </c>
      <c r="C10" s="138" t="s">
        <v>532</v>
      </c>
      <c r="D10" s="308" t="s">
        <v>4990</v>
      </c>
      <c r="E10" s="146" t="s">
        <v>25</v>
      </c>
      <c r="F10" s="138"/>
      <c r="G10" s="138">
        <v>180</v>
      </c>
      <c r="H10" s="208">
        <f t="shared" si="0"/>
        <v>3628800</v>
      </c>
      <c r="I10" s="138"/>
      <c r="J10" s="226">
        <v>1530000</v>
      </c>
      <c r="K10" s="141"/>
      <c r="L10" s="150"/>
      <c r="M10" s="141"/>
      <c r="N10" s="141"/>
      <c r="O10" s="141">
        <f t="shared" ref="O10:O17" si="2">SUM(H10:N10)</f>
        <v>5158800</v>
      </c>
      <c r="P10" s="141">
        <v>8365741</v>
      </c>
      <c r="Q10" s="141">
        <f t="shared" si="1"/>
        <v>3206941</v>
      </c>
      <c r="R10" s="143"/>
    </row>
    <row r="11" spans="1:18" ht="24.95" customHeight="1" x14ac:dyDescent="0.25">
      <c r="A11" s="308">
        <v>4</v>
      </c>
      <c r="B11" s="303">
        <v>45144</v>
      </c>
      <c r="C11" s="138" t="s">
        <v>4975</v>
      </c>
      <c r="D11" s="308" t="s">
        <v>4991</v>
      </c>
      <c r="E11" s="146" t="s">
        <v>291</v>
      </c>
      <c r="F11" s="138"/>
      <c r="G11" s="134">
        <v>109</v>
      </c>
      <c r="H11" s="208">
        <f t="shared" si="0"/>
        <v>2197440</v>
      </c>
      <c r="I11" s="134"/>
      <c r="J11" s="226">
        <v>1110000</v>
      </c>
      <c r="K11" s="141"/>
      <c r="L11" s="150"/>
      <c r="M11" s="141"/>
      <c r="N11" s="141"/>
      <c r="O11" s="141">
        <f t="shared" si="2"/>
        <v>3307440</v>
      </c>
      <c r="P11" s="141">
        <v>3670000</v>
      </c>
      <c r="Q11" s="141">
        <f t="shared" si="1"/>
        <v>362560</v>
      </c>
      <c r="R11" s="143"/>
    </row>
    <row r="12" spans="1:18" ht="24.95" customHeight="1" x14ac:dyDescent="0.25">
      <c r="A12" s="308">
        <v>5</v>
      </c>
      <c r="B12" s="303">
        <v>45145</v>
      </c>
      <c r="C12" s="138" t="s">
        <v>4976</v>
      </c>
      <c r="D12" s="308" t="s">
        <v>4991</v>
      </c>
      <c r="E12" s="146" t="s">
        <v>5010</v>
      </c>
      <c r="F12" s="138"/>
      <c r="G12" s="134"/>
      <c r="H12" s="141"/>
      <c r="I12" s="134"/>
      <c r="J12" s="208">
        <v>0</v>
      </c>
      <c r="K12" s="141"/>
      <c r="L12" s="150"/>
      <c r="M12" s="141"/>
      <c r="N12" s="141"/>
      <c r="O12" s="141">
        <f t="shared" si="2"/>
        <v>0</v>
      </c>
      <c r="P12" s="139">
        <v>3400000</v>
      </c>
      <c r="Q12" s="141">
        <f t="shared" si="1"/>
        <v>3400000</v>
      </c>
      <c r="R12" s="143"/>
    </row>
    <row r="13" spans="1:18" ht="24.95" customHeight="1" x14ac:dyDescent="0.25">
      <c r="A13" s="308">
        <v>6</v>
      </c>
      <c r="B13" s="303">
        <v>45145</v>
      </c>
      <c r="C13" s="138" t="s">
        <v>4468</v>
      </c>
      <c r="D13" s="308" t="s">
        <v>4992</v>
      </c>
      <c r="E13" s="146" t="s">
        <v>4509</v>
      </c>
      <c r="F13" s="138"/>
      <c r="G13" s="134">
        <v>382</v>
      </c>
      <c r="H13" s="141">
        <f>G13*22420</f>
        <v>8564440</v>
      </c>
      <c r="I13" s="134"/>
      <c r="J13" s="226">
        <v>3870000</v>
      </c>
      <c r="K13" s="141"/>
      <c r="L13" s="150"/>
      <c r="M13" s="141"/>
      <c r="N13" s="141"/>
      <c r="O13" s="141">
        <f t="shared" si="2"/>
        <v>12434440</v>
      </c>
      <c r="P13" s="141">
        <v>20150000</v>
      </c>
      <c r="Q13" s="141">
        <f t="shared" si="1"/>
        <v>7715560</v>
      </c>
      <c r="R13" s="143"/>
    </row>
    <row r="14" spans="1:18" ht="24.95" customHeight="1" x14ac:dyDescent="0.25">
      <c r="A14" s="308">
        <v>7</v>
      </c>
      <c r="B14" s="303">
        <v>45148</v>
      </c>
      <c r="C14" s="138" t="s">
        <v>3240</v>
      </c>
      <c r="D14" s="308" t="s">
        <v>4993</v>
      </c>
      <c r="E14" s="146" t="s">
        <v>5011</v>
      </c>
      <c r="F14" s="138"/>
      <c r="G14" s="134">
        <v>63</v>
      </c>
      <c r="H14" s="141">
        <f t="shared" ref="H14:H21" si="3">G14*22420</f>
        <v>1412460</v>
      </c>
      <c r="I14" s="134"/>
      <c r="J14" s="226">
        <v>430000</v>
      </c>
      <c r="K14" s="141"/>
      <c r="L14" s="150"/>
      <c r="M14" s="141"/>
      <c r="N14" s="141"/>
      <c r="O14" s="141">
        <f t="shared" si="2"/>
        <v>1842460</v>
      </c>
      <c r="P14" s="141">
        <v>3060000</v>
      </c>
      <c r="Q14" s="141">
        <f t="shared" si="1"/>
        <v>1217540</v>
      </c>
      <c r="R14" s="143"/>
    </row>
    <row r="15" spans="1:18" ht="24.95" customHeight="1" x14ac:dyDescent="0.25">
      <c r="A15" s="308">
        <v>8</v>
      </c>
      <c r="B15" s="303">
        <v>45149</v>
      </c>
      <c r="C15" s="138" t="s">
        <v>4977</v>
      </c>
      <c r="D15" s="308" t="s">
        <v>4994</v>
      </c>
      <c r="E15" s="146" t="s">
        <v>4971</v>
      </c>
      <c r="F15" s="138"/>
      <c r="G15" s="134">
        <v>10</v>
      </c>
      <c r="H15" s="141">
        <f t="shared" si="3"/>
        <v>224200</v>
      </c>
      <c r="I15" s="134"/>
      <c r="J15" s="226">
        <v>200000</v>
      </c>
      <c r="K15" s="141"/>
      <c r="L15" s="150"/>
      <c r="M15" s="141"/>
      <c r="N15" s="141"/>
      <c r="O15" s="141">
        <f t="shared" si="2"/>
        <v>424200</v>
      </c>
      <c r="P15" s="141">
        <v>1100000</v>
      </c>
      <c r="Q15" s="141">
        <f t="shared" si="1"/>
        <v>675800</v>
      </c>
      <c r="R15" s="143"/>
    </row>
    <row r="16" spans="1:18" ht="24.95" customHeight="1" x14ac:dyDescent="0.25">
      <c r="A16" s="308">
        <v>9</v>
      </c>
      <c r="B16" s="303">
        <v>45152</v>
      </c>
      <c r="C16" s="138" t="s">
        <v>4978</v>
      </c>
      <c r="D16" s="308" t="s">
        <v>4995</v>
      </c>
      <c r="E16" s="146" t="s">
        <v>25</v>
      </c>
      <c r="F16" s="138"/>
      <c r="G16" s="134">
        <v>180</v>
      </c>
      <c r="H16" s="141">
        <f t="shared" si="3"/>
        <v>4035600</v>
      </c>
      <c r="I16" s="134"/>
      <c r="J16" s="226">
        <v>1530000</v>
      </c>
      <c r="K16" s="141"/>
      <c r="L16" s="150"/>
      <c r="M16" s="141"/>
      <c r="N16" s="141"/>
      <c r="O16" s="141">
        <f t="shared" si="2"/>
        <v>5565600</v>
      </c>
      <c r="P16" s="141">
        <v>8666667</v>
      </c>
      <c r="Q16" s="141">
        <f t="shared" si="1"/>
        <v>3101067</v>
      </c>
      <c r="R16" s="143"/>
    </row>
    <row r="17" spans="1:18" ht="24.95" customHeight="1" x14ac:dyDescent="0.25">
      <c r="A17" s="308">
        <v>10</v>
      </c>
      <c r="B17" s="303">
        <v>45153</v>
      </c>
      <c r="C17" s="138" t="s">
        <v>1247</v>
      </c>
      <c r="D17" s="308" t="s">
        <v>4996</v>
      </c>
      <c r="E17" s="146" t="s">
        <v>4932</v>
      </c>
      <c r="F17" s="138"/>
      <c r="G17" s="134">
        <v>240</v>
      </c>
      <c r="H17" s="141">
        <f t="shared" si="3"/>
        <v>5380800</v>
      </c>
      <c r="I17" s="134"/>
      <c r="J17" s="226">
        <v>1960000</v>
      </c>
      <c r="K17" s="141"/>
      <c r="L17" s="150"/>
      <c r="M17" s="141"/>
      <c r="N17" s="141"/>
      <c r="O17" s="141">
        <f t="shared" si="2"/>
        <v>7340800</v>
      </c>
      <c r="P17" s="141">
        <v>12500000</v>
      </c>
      <c r="Q17" s="141">
        <f t="shared" si="1"/>
        <v>5159200</v>
      </c>
      <c r="R17" s="143"/>
    </row>
    <row r="18" spans="1:18" ht="24.95" customHeight="1" x14ac:dyDescent="0.25">
      <c r="A18" s="308">
        <v>11</v>
      </c>
      <c r="B18" s="303">
        <v>45153</v>
      </c>
      <c r="C18" s="138" t="s">
        <v>3861</v>
      </c>
      <c r="D18" s="308" t="s">
        <v>4997</v>
      </c>
      <c r="E18" s="146" t="s">
        <v>25</v>
      </c>
      <c r="F18" s="138"/>
      <c r="G18" s="134">
        <v>180</v>
      </c>
      <c r="H18" s="141">
        <f t="shared" si="3"/>
        <v>4035600</v>
      </c>
      <c r="I18" s="134"/>
      <c r="J18" s="208">
        <v>1530000</v>
      </c>
      <c r="K18" s="141"/>
      <c r="L18" s="150"/>
      <c r="M18" s="141"/>
      <c r="N18" s="141"/>
      <c r="O18" s="141">
        <f>SUM(H18:N18)</f>
        <v>5565600</v>
      </c>
      <c r="P18" s="141">
        <v>8666667</v>
      </c>
      <c r="Q18" s="141">
        <f t="shared" si="1"/>
        <v>3101067</v>
      </c>
      <c r="R18" s="143"/>
    </row>
    <row r="19" spans="1:18" ht="24.95" customHeight="1" x14ac:dyDescent="0.25">
      <c r="A19" s="308">
        <v>12</v>
      </c>
      <c r="B19" s="328">
        <v>45154</v>
      </c>
      <c r="C19" s="134" t="s">
        <v>1895</v>
      </c>
      <c r="D19" s="211" t="s">
        <v>4998</v>
      </c>
      <c r="E19" s="136" t="s">
        <v>4036</v>
      </c>
      <c r="F19" s="134"/>
      <c r="G19" s="134">
        <v>91</v>
      </c>
      <c r="H19" s="141">
        <f t="shared" si="3"/>
        <v>2040220</v>
      </c>
      <c r="I19" s="134"/>
      <c r="J19" s="226">
        <v>790000</v>
      </c>
      <c r="K19" s="139"/>
      <c r="L19" s="263"/>
      <c r="M19" s="139"/>
      <c r="N19" s="139"/>
      <c r="O19" s="139">
        <f>SUM(H19:N19)</f>
        <v>2830220</v>
      </c>
      <c r="P19" s="139">
        <v>4150000</v>
      </c>
      <c r="Q19" s="139">
        <f t="shared" si="1"/>
        <v>1319780</v>
      </c>
      <c r="R19" s="143"/>
    </row>
    <row r="20" spans="1:18" ht="24.95" customHeight="1" x14ac:dyDescent="0.25">
      <c r="A20" s="308">
        <v>13</v>
      </c>
      <c r="B20" s="303">
        <v>45155</v>
      </c>
      <c r="C20" s="138" t="s">
        <v>585</v>
      </c>
      <c r="D20" s="308" t="s">
        <v>4999</v>
      </c>
      <c r="E20" s="146" t="s">
        <v>248</v>
      </c>
      <c r="F20" s="138"/>
      <c r="G20" s="134">
        <v>91</v>
      </c>
      <c r="H20" s="141">
        <f t="shared" si="3"/>
        <v>2040220</v>
      </c>
      <c r="I20" s="134"/>
      <c r="J20" s="226">
        <v>790000</v>
      </c>
      <c r="K20" s="141"/>
      <c r="L20" s="150"/>
      <c r="M20" s="141"/>
      <c r="N20" s="141"/>
      <c r="O20" s="141">
        <f>SUM(H20:N20)</f>
        <v>2830220</v>
      </c>
      <c r="P20" s="141">
        <v>4814815</v>
      </c>
      <c r="Q20" s="141">
        <f t="shared" si="1"/>
        <v>1984595</v>
      </c>
      <c r="R20" s="143"/>
    </row>
    <row r="21" spans="1:18" ht="24.95" customHeight="1" x14ac:dyDescent="0.25">
      <c r="A21" s="308">
        <v>14</v>
      </c>
      <c r="B21" s="303">
        <v>45156</v>
      </c>
      <c r="C21" s="138" t="s">
        <v>4979</v>
      </c>
      <c r="D21" s="308" t="s">
        <v>5000</v>
      </c>
      <c r="E21" s="146" t="s">
        <v>3098</v>
      </c>
      <c r="F21" s="138"/>
      <c r="G21" s="134">
        <v>55</v>
      </c>
      <c r="H21" s="141">
        <f t="shared" si="3"/>
        <v>1233100</v>
      </c>
      <c r="I21" s="134"/>
      <c r="J21" s="226">
        <v>340000</v>
      </c>
      <c r="K21" s="141"/>
      <c r="L21" s="150"/>
      <c r="M21" s="141"/>
      <c r="N21" s="141"/>
      <c r="O21" s="141">
        <f t="shared" ref="O21:O35" si="4">SUM(H21:N21)</f>
        <v>1573100</v>
      </c>
      <c r="P21" s="141">
        <v>3100000</v>
      </c>
      <c r="Q21" s="141">
        <f t="shared" si="1"/>
        <v>1526900</v>
      </c>
      <c r="R21" s="143"/>
    </row>
    <row r="22" spans="1:18" ht="24.95" customHeight="1" x14ac:dyDescent="0.25">
      <c r="A22" s="308">
        <v>15</v>
      </c>
      <c r="B22" s="303">
        <v>45159</v>
      </c>
      <c r="C22" s="138" t="s">
        <v>4980</v>
      </c>
      <c r="D22" s="308" t="s">
        <v>5001</v>
      </c>
      <c r="E22" s="146" t="s">
        <v>4544</v>
      </c>
      <c r="F22" s="138"/>
      <c r="G22" s="138">
        <v>276</v>
      </c>
      <c r="H22" s="139">
        <f>G22*22350</f>
        <v>6168600</v>
      </c>
      <c r="I22" s="138"/>
      <c r="J22" s="226">
        <v>3020000</v>
      </c>
      <c r="K22" s="141"/>
      <c r="L22" s="150"/>
      <c r="M22" s="141"/>
      <c r="N22" s="141"/>
      <c r="O22" s="141">
        <f t="shared" si="4"/>
        <v>9188600</v>
      </c>
      <c r="P22" s="141">
        <v>14400000</v>
      </c>
      <c r="Q22" s="141">
        <f t="shared" si="1"/>
        <v>5211400</v>
      </c>
      <c r="R22" s="143"/>
    </row>
    <row r="23" spans="1:18" ht="24.95" customHeight="1" x14ac:dyDescent="0.25">
      <c r="A23" s="308">
        <v>16</v>
      </c>
      <c r="B23" s="303">
        <v>45159</v>
      </c>
      <c r="C23" s="138" t="s">
        <v>4981</v>
      </c>
      <c r="D23" s="308" t="s">
        <v>5002</v>
      </c>
      <c r="E23" s="146" t="s">
        <v>4598</v>
      </c>
      <c r="F23" s="138"/>
      <c r="G23" s="138">
        <v>103</v>
      </c>
      <c r="H23" s="139">
        <f t="shared" ref="H23:H30" si="5">G23*22350</f>
        <v>2302050</v>
      </c>
      <c r="I23" s="138"/>
      <c r="J23" s="226">
        <v>790000</v>
      </c>
      <c r="K23" s="141"/>
      <c r="L23" s="150"/>
      <c r="M23" s="141"/>
      <c r="N23" s="141"/>
      <c r="O23" s="141">
        <f t="shared" si="4"/>
        <v>3092050</v>
      </c>
      <c r="P23" s="141">
        <v>5200000</v>
      </c>
      <c r="Q23" s="141">
        <f t="shared" si="1"/>
        <v>2107950</v>
      </c>
      <c r="R23" s="143"/>
    </row>
    <row r="24" spans="1:18" ht="24.95" customHeight="1" x14ac:dyDescent="0.25">
      <c r="A24" s="308">
        <v>17</v>
      </c>
      <c r="B24" s="326">
        <v>45160</v>
      </c>
      <c r="C24" s="214" t="s">
        <v>4982</v>
      </c>
      <c r="D24" s="327" t="s">
        <v>5003</v>
      </c>
      <c r="E24" s="289" t="s">
        <v>4544</v>
      </c>
      <c r="F24" s="214"/>
      <c r="G24" s="214">
        <v>276</v>
      </c>
      <c r="H24" s="139">
        <f t="shared" si="5"/>
        <v>6168600</v>
      </c>
      <c r="I24" s="214"/>
      <c r="J24" s="226">
        <v>3032000</v>
      </c>
      <c r="K24" s="208"/>
      <c r="L24" s="290"/>
      <c r="M24" s="208"/>
      <c r="N24" s="208"/>
      <c r="O24" s="208">
        <f t="shared" si="4"/>
        <v>9200600</v>
      </c>
      <c r="P24" s="208">
        <v>14400000</v>
      </c>
      <c r="Q24" s="208">
        <f t="shared" si="1"/>
        <v>5199400</v>
      </c>
      <c r="R24" s="143"/>
    </row>
    <row r="25" spans="1:18" ht="24.95" customHeight="1" x14ac:dyDescent="0.25">
      <c r="A25" s="308">
        <v>18</v>
      </c>
      <c r="B25" s="303">
        <v>45161</v>
      </c>
      <c r="C25" s="138" t="s">
        <v>2586</v>
      </c>
      <c r="D25" s="308" t="s">
        <v>5004</v>
      </c>
      <c r="E25" s="146" t="s">
        <v>25</v>
      </c>
      <c r="F25" s="138"/>
      <c r="G25" s="138">
        <v>193</v>
      </c>
      <c r="H25" s="139">
        <f t="shared" si="5"/>
        <v>4313550</v>
      </c>
      <c r="I25" s="138"/>
      <c r="J25" s="226">
        <v>1530000</v>
      </c>
      <c r="K25" s="141"/>
      <c r="L25" s="150"/>
      <c r="M25" s="141"/>
      <c r="N25" s="141"/>
      <c r="O25" s="141">
        <f t="shared" si="4"/>
        <v>5843550</v>
      </c>
      <c r="P25" s="141">
        <v>9074074</v>
      </c>
      <c r="Q25" s="141">
        <f t="shared" si="1"/>
        <v>3230524</v>
      </c>
      <c r="R25" s="143"/>
    </row>
    <row r="26" spans="1:18" ht="24.95" customHeight="1" x14ac:dyDescent="0.25">
      <c r="A26" s="308">
        <v>19</v>
      </c>
      <c r="B26" s="303">
        <v>45162</v>
      </c>
      <c r="C26" s="138" t="s">
        <v>1252</v>
      </c>
      <c r="D26" s="308" t="s">
        <v>5005</v>
      </c>
      <c r="E26" s="146" t="s">
        <v>23</v>
      </c>
      <c r="F26" s="138"/>
      <c r="G26" s="138">
        <v>244</v>
      </c>
      <c r="H26" s="139">
        <f t="shared" si="5"/>
        <v>5453400</v>
      </c>
      <c r="I26" s="138"/>
      <c r="J26" s="226">
        <v>2380000</v>
      </c>
      <c r="K26" s="141"/>
      <c r="L26" s="150"/>
      <c r="M26" s="141"/>
      <c r="N26" s="141"/>
      <c r="O26" s="141">
        <f t="shared" si="4"/>
        <v>7833400</v>
      </c>
      <c r="P26" s="141">
        <v>13564815</v>
      </c>
      <c r="Q26" s="141">
        <f t="shared" si="1"/>
        <v>5731415</v>
      </c>
      <c r="R26" s="143"/>
    </row>
    <row r="27" spans="1:18" ht="24.95" customHeight="1" x14ac:dyDescent="0.25">
      <c r="A27" s="308">
        <v>20</v>
      </c>
      <c r="B27" s="303">
        <v>45163</v>
      </c>
      <c r="C27" s="138" t="s">
        <v>4983</v>
      </c>
      <c r="D27" s="308" t="s">
        <v>5006</v>
      </c>
      <c r="E27" s="146" t="s">
        <v>2798</v>
      </c>
      <c r="F27" s="138"/>
      <c r="G27" s="138">
        <v>123</v>
      </c>
      <c r="H27" s="139">
        <f t="shared" si="5"/>
        <v>2749050</v>
      </c>
      <c r="I27" s="138"/>
      <c r="J27" s="226">
        <v>790000</v>
      </c>
      <c r="K27" s="141"/>
      <c r="L27" s="150"/>
      <c r="M27" s="141"/>
      <c r="N27" s="141"/>
      <c r="O27" s="141">
        <f t="shared" si="4"/>
        <v>3539050</v>
      </c>
      <c r="P27" s="141">
        <v>5670370</v>
      </c>
      <c r="Q27" s="141">
        <f t="shared" si="1"/>
        <v>2131320</v>
      </c>
      <c r="R27" s="143"/>
    </row>
    <row r="28" spans="1:18" ht="24.95" customHeight="1" x14ac:dyDescent="0.25">
      <c r="A28" s="308">
        <v>21</v>
      </c>
      <c r="B28" s="328">
        <v>45164</v>
      </c>
      <c r="C28" s="134" t="s">
        <v>4984</v>
      </c>
      <c r="D28" s="211" t="s">
        <v>5007</v>
      </c>
      <c r="E28" s="136" t="s">
        <v>291</v>
      </c>
      <c r="F28" s="134"/>
      <c r="G28" s="134">
        <v>68</v>
      </c>
      <c r="H28" s="139">
        <f t="shared" si="5"/>
        <v>1519800</v>
      </c>
      <c r="I28" s="134"/>
      <c r="J28" s="226">
        <v>610000</v>
      </c>
      <c r="K28" s="139"/>
      <c r="L28" s="263"/>
      <c r="M28" s="139"/>
      <c r="N28" s="139"/>
      <c r="O28" s="139">
        <f t="shared" si="4"/>
        <v>2129800</v>
      </c>
      <c r="P28" s="139">
        <v>3850000</v>
      </c>
      <c r="Q28" s="139">
        <f t="shared" si="1"/>
        <v>1720200</v>
      </c>
      <c r="R28" s="143"/>
    </row>
    <row r="29" spans="1:18" ht="24.95" customHeight="1" x14ac:dyDescent="0.25">
      <c r="A29" s="308">
        <v>22</v>
      </c>
      <c r="B29" s="303">
        <v>45167</v>
      </c>
      <c r="C29" s="138" t="s">
        <v>4985</v>
      </c>
      <c r="D29" s="308" t="s">
        <v>5008</v>
      </c>
      <c r="E29" s="146" t="s">
        <v>5012</v>
      </c>
      <c r="F29" s="138"/>
      <c r="G29" s="138">
        <v>63</v>
      </c>
      <c r="H29" s="139">
        <f t="shared" si="5"/>
        <v>1408050</v>
      </c>
      <c r="I29" s="138"/>
      <c r="J29" s="226">
        <v>430000</v>
      </c>
      <c r="K29" s="141"/>
      <c r="L29" s="150"/>
      <c r="M29" s="141"/>
      <c r="N29" s="141"/>
      <c r="O29" s="141">
        <f t="shared" si="4"/>
        <v>1838050</v>
      </c>
      <c r="P29" s="141">
        <v>3210000</v>
      </c>
      <c r="Q29" s="141">
        <f t="shared" si="1"/>
        <v>1371950</v>
      </c>
      <c r="R29" s="143"/>
    </row>
    <row r="30" spans="1:18" ht="24.95" customHeight="1" x14ac:dyDescent="0.25">
      <c r="A30" s="308">
        <v>23</v>
      </c>
      <c r="B30" s="303">
        <v>45167</v>
      </c>
      <c r="C30" s="138" t="s">
        <v>4986</v>
      </c>
      <c r="D30" s="308" t="s">
        <v>5009</v>
      </c>
      <c r="E30" s="146" t="s">
        <v>1568</v>
      </c>
      <c r="F30" s="138"/>
      <c r="G30" s="138">
        <v>96</v>
      </c>
      <c r="H30" s="139">
        <f t="shared" si="5"/>
        <v>2145600</v>
      </c>
      <c r="I30" s="138"/>
      <c r="J30" s="226">
        <v>1290000</v>
      </c>
      <c r="K30" s="141"/>
      <c r="L30" s="150"/>
      <c r="M30" s="141"/>
      <c r="N30" s="141"/>
      <c r="O30" s="141">
        <f t="shared" si="4"/>
        <v>3435600</v>
      </c>
      <c r="P30" s="141">
        <v>4000000</v>
      </c>
      <c r="Q30" s="141">
        <f t="shared" si="1"/>
        <v>564400</v>
      </c>
      <c r="R30" s="143"/>
    </row>
    <row r="31" spans="1:18" ht="24.95" customHeight="1" x14ac:dyDescent="0.25">
      <c r="A31" s="308">
        <v>24</v>
      </c>
      <c r="B31" s="303">
        <v>45167</v>
      </c>
      <c r="C31" s="138" t="s">
        <v>4987</v>
      </c>
      <c r="D31" s="308" t="s">
        <v>5009</v>
      </c>
      <c r="E31" s="146" t="s">
        <v>4083</v>
      </c>
      <c r="F31" s="138"/>
      <c r="G31" s="138"/>
      <c r="H31" s="141"/>
      <c r="I31" s="138"/>
      <c r="J31" s="226">
        <v>0</v>
      </c>
      <c r="K31" s="141"/>
      <c r="L31" s="150"/>
      <c r="M31" s="141"/>
      <c r="N31" s="141"/>
      <c r="O31" s="141">
        <f t="shared" si="4"/>
        <v>0</v>
      </c>
      <c r="P31" s="141">
        <v>2600000</v>
      </c>
      <c r="Q31" s="141">
        <f t="shared" si="1"/>
        <v>2600000</v>
      </c>
      <c r="R31" s="143"/>
    </row>
    <row r="32" spans="1:18" ht="24.95" customHeight="1" x14ac:dyDescent="0.25">
      <c r="A32" s="308"/>
      <c r="B32" s="303"/>
      <c r="C32" s="138"/>
      <c r="D32" s="308"/>
      <c r="E32" s="146"/>
      <c r="F32" s="138"/>
      <c r="G32" s="138"/>
      <c r="H32" s="141"/>
      <c r="I32" s="138"/>
      <c r="J32" s="141"/>
      <c r="K32" s="139"/>
      <c r="L32" s="150"/>
      <c r="M32" s="141"/>
      <c r="N32" s="141"/>
      <c r="O32" s="141"/>
      <c r="P32" s="141"/>
      <c r="Q32" s="141"/>
      <c r="R32" s="143"/>
    </row>
    <row r="33" spans="1:19" ht="24.95" customHeight="1" x14ac:dyDescent="0.25">
      <c r="A33" s="374"/>
      <c r="B33" s="375"/>
      <c r="C33" s="474" t="s">
        <v>26</v>
      </c>
      <c r="D33" s="475"/>
      <c r="E33" s="476"/>
      <c r="F33" s="376"/>
      <c r="G33" s="151"/>
      <c r="H33" s="377"/>
      <c r="I33" s="151"/>
      <c r="J33" s="377"/>
      <c r="K33" s="378">
        <v>1200000</v>
      </c>
      <c r="L33" s="378"/>
      <c r="M33" s="202"/>
      <c r="N33" s="202"/>
      <c r="O33" s="142">
        <f t="shared" si="4"/>
        <v>1200000</v>
      </c>
      <c r="P33" s="202"/>
      <c r="Q33" s="202"/>
      <c r="R33" s="143"/>
    </row>
    <row r="34" spans="1:19" ht="24.95" customHeight="1" x14ac:dyDescent="0.25">
      <c r="A34" s="308"/>
      <c r="B34" s="303"/>
      <c r="C34" s="452" t="s">
        <v>4798</v>
      </c>
      <c r="D34" s="453"/>
      <c r="E34" s="454"/>
      <c r="F34" s="196"/>
      <c r="G34" s="195"/>
      <c r="H34" s="155"/>
      <c r="I34" s="195"/>
      <c r="J34" s="155"/>
      <c r="K34" s="219">
        <v>11990000</v>
      </c>
      <c r="L34" s="150"/>
      <c r="M34" s="141"/>
      <c r="N34" s="141"/>
      <c r="O34" s="139">
        <f t="shared" si="4"/>
        <v>11990000</v>
      </c>
      <c r="P34" s="141"/>
      <c r="Q34" s="141"/>
      <c r="R34" s="143"/>
    </row>
    <row r="35" spans="1:19" ht="24.95" customHeight="1" x14ac:dyDescent="0.25">
      <c r="A35" s="211"/>
      <c r="B35" s="337"/>
      <c r="C35" s="452" t="s">
        <v>4548</v>
      </c>
      <c r="D35" s="453"/>
      <c r="E35" s="454"/>
      <c r="F35" s="196"/>
      <c r="G35" s="195"/>
      <c r="H35" s="155"/>
      <c r="I35" s="195"/>
      <c r="J35" s="155"/>
      <c r="K35" s="219">
        <v>8300000</v>
      </c>
      <c r="L35" s="219"/>
      <c r="M35" s="139"/>
      <c r="N35" s="139"/>
      <c r="O35" s="139">
        <f t="shared" si="4"/>
        <v>8300000</v>
      </c>
      <c r="P35" s="139"/>
      <c r="Q35" s="139"/>
      <c r="R35" s="143"/>
    </row>
    <row r="36" spans="1:19" ht="24.95" customHeight="1" x14ac:dyDescent="0.25">
      <c r="A36" s="450" t="s">
        <v>20</v>
      </c>
      <c r="B36" s="450"/>
      <c r="C36" s="450"/>
      <c r="D36" s="450"/>
      <c r="E36" s="450"/>
      <c r="F36" s="450"/>
      <c r="G36" s="334">
        <f t="shared" ref="G36:P36" si="6">SUM(G8:G35)</f>
        <v>3470</v>
      </c>
      <c r="H36" s="334">
        <f t="shared" si="6"/>
        <v>76033100</v>
      </c>
      <c r="I36" s="334">
        <f t="shared" si="6"/>
        <v>0</v>
      </c>
      <c r="J36" s="334">
        <f t="shared" si="6"/>
        <v>32432000</v>
      </c>
      <c r="K36" s="334">
        <f t="shared" si="6"/>
        <v>21490000</v>
      </c>
      <c r="L36" s="334">
        <f t="shared" si="6"/>
        <v>0</v>
      </c>
      <c r="M36" s="334">
        <f t="shared" si="6"/>
        <v>0</v>
      </c>
      <c r="N36" s="334">
        <f t="shared" si="6"/>
        <v>0</v>
      </c>
      <c r="O36" s="348">
        <f t="shared" si="6"/>
        <v>129955100</v>
      </c>
      <c r="P36" s="335">
        <f t="shared" si="6"/>
        <v>181463149</v>
      </c>
      <c r="Q36" s="334">
        <f>P36-O36</f>
        <v>51508049</v>
      </c>
    </row>
    <row r="37" spans="1:19" ht="24.95" customHeight="1" x14ac:dyDescent="0.25">
      <c r="O37" s="158"/>
      <c r="Q37" s="158"/>
    </row>
    <row r="38" spans="1:19" ht="13.9" customHeight="1" x14ac:dyDescent="0.25">
      <c r="P38" s="216" t="s">
        <v>1603</v>
      </c>
      <c r="Q38" s="227">
        <f>'07.2023'!Q36+'08.2023'!Q36</f>
        <v>267868560.33333331</v>
      </c>
      <c r="S38" s="216"/>
    </row>
    <row r="39" spans="1:19" ht="13.9" customHeight="1" x14ac:dyDescent="0.25">
      <c r="B39" s="129"/>
      <c r="J39" s="128"/>
      <c r="K39" s="128"/>
      <c r="L39" s="128"/>
      <c r="N39" s="128"/>
      <c r="O39" s="128"/>
      <c r="P39" s="218"/>
      <c r="Q39" s="216"/>
    </row>
    <row r="40" spans="1:19" ht="13.9" customHeight="1" x14ac:dyDescent="0.25">
      <c r="B40" s="129"/>
      <c r="H40" s="128"/>
      <c r="J40" s="128"/>
      <c r="K40" s="128"/>
      <c r="L40" s="128"/>
      <c r="M40" s="128"/>
      <c r="N40" s="128"/>
      <c r="O40" s="128"/>
      <c r="P40" s="218"/>
      <c r="Q40" s="230"/>
    </row>
    <row r="41" spans="1:19" ht="13.9" customHeight="1" x14ac:dyDescent="0.25">
      <c r="B41" s="129"/>
      <c r="G41" s="143"/>
      <c r="H41" s="128"/>
      <c r="J41" s="128"/>
      <c r="K41" s="128"/>
      <c r="L41" s="128"/>
      <c r="M41" s="128"/>
      <c r="N41" s="128"/>
      <c r="O41" s="128"/>
      <c r="P41" s="218"/>
      <c r="Q41" s="230"/>
      <c r="R41" s="143"/>
    </row>
    <row r="42" spans="1:19" ht="13.9" customHeight="1" x14ac:dyDescent="0.25">
      <c r="B42" s="129"/>
      <c r="H42" s="128"/>
      <c r="J42" s="128"/>
      <c r="K42" s="128"/>
      <c r="L42" s="128"/>
      <c r="M42" s="128"/>
      <c r="N42" s="128"/>
      <c r="O42" s="128"/>
      <c r="P42" s="218"/>
      <c r="Q42" s="216"/>
      <c r="R42" s="143"/>
    </row>
    <row r="43" spans="1:19" x14ac:dyDescent="0.25">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9"/>
      <c r="H45" s="128"/>
      <c r="J45" s="128"/>
      <c r="K45" s="128"/>
      <c r="L45" s="128"/>
      <c r="M45" s="128"/>
      <c r="N45" s="128"/>
      <c r="O45" s="128"/>
      <c r="P45" s="218"/>
      <c r="Q45" s="216"/>
    </row>
    <row r="46" spans="1:19" x14ac:dyDescent="0.25">
      <c r="A46" s="128"/>
      <c r="B46" s="128"/>
      <c r="G46" s="143"/>
      <c r="J46" s="128"/>
      <c r="K46" s="128"/>
      <c r="L46" s="128"/>
      <c r="M46" s="128"/>
      <c r="N46" s="128"/>
      <c r="O46" s="128"/>
      <c r="P46" s="128"/>
      <c r="Q46" s="216"/>
    </row>
    <row r="47" spans="1:19" x14ac:dyDescent="0.25">
      <c r="A47" s="128"/>
      <c r="B47" s="128"/>
      <c r="H47" s="128"/>
      <c r="J47" s="128"/>
      <c r="K47" s="128"/>
      <c r="L47" s="128"/>
      <c r="M47" s="128"/>
      <c r="N47" s="128"/>
      <c r="O47" s="128"/>
      <c r="P47" s="128"/>
      <c r="Q47" s="216"/>
    </row>
    <row r="49" spans="1:19" s="143" customFormat="1" x14ac:dyDescent="0.25">
      <c r="A49" s="129"/>
      <c r="B49" s="163"/>
      <c r="C49" s="128"/>
      <c r="D49" s="128"/>
      <c r="E49" s="128"/>
      <c r="F49" s="128"/>
      <c r="I49" s="128"/>
      <c r="R49" s="128"/>
      <c r="S49" s="128"/>
    </row>
  </sheetData>
  <mergeCells count="17">
    <mergeCell ref="A1:Q1"/>
    <mergeCell ref="A2:Q2"/>
    <mergeCell ref="B3:Q3"/>
    <mergeCell ref="A5:A6"/>
    <mergeCell ref="B5:B6"/>
    <mergeCell ref="C5:C6"/>
    <mergeCell ref="D5:D6"/>
    <mergeCell ref="E5:E6"/>
    <mergeCell ref="F5:F6"/>
    <mergeCell ref="G5:N5"/>
    <mergeCell ref="O5:O6"/>
    <mergeCell ref="P5:P6"/>
    <mergeCell ref="Q5:Q6"/>
    <mergeCell ref="C33:E33"/>
    <mergeCell ref="C34:E34"/>
    <mergeCell ref="C35:E35"/>
    <mergeCell ref="A36:F36"/>
  </mergeCells>
  <pageMargins left="0.7" right="0.7" top="0.75" bottom="0.75" header="0.3" footer="0.3"/>
  <pageSetup paperSize="9" orientation="portrait" horizontalDpi="0" verticalDpi="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E715-FEBF-43F7-B933-44B54D58F4F3}">
  <dimension ref="A1:S47"/>
  <sheetViews>
    <sheetView topLeftCell="F27" zoomScale="90" zoomScaleNormal="90" workbookViewId="0">
      <selection activeCell="P33" sqref="P3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5047</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45173</v>
      </c>
      <c r="C8" s="134" t="s">
        <v>5020</v>
      </c>
      <c r="D8" s="211" t="s">
        <v>5026</v>
      </c>
      <c r="E8" s="136" t="s">
        <v>25</v>
      </c>
      <c r="F8" s="134"/>
      <c r="G8" s="134">
        <v>180</v>
      </c>
      <c r="H8" s="139">
        <f>G8*22640</f>
        <v>4075200</v>
      </c>
      <c r="I8" s="134"/>
      <c r="J8" s="226">
        <v>1530000</v>
      </c>
      <c r="K8" s="139"/>
      <c r="L8" s="263"/>
      <c r="M8" s="139"/>
      <c r="N8" s="139"/>
      <c r="O8" s="139">
        <f>SUM(H8:N8)</f>
        <v>5605200</v>
      </c>
      <c r="P8" s="139">
        <v>8666667</v>
      </c>
      <c r="Q8" s="139">
        <f>P8-O8</f>
        <v>3061467</v>
      </c>
      <c r="R8" s="143"/>
    </row>
    <row r="9" spans="1:18" ht="24.95" customHeight="1" x14ac:dyDescent="0.25">
      <c r="A9" s="211">
        <v>2</v>
      </c>
      <c r="B9" s="328">
        <v>45175</v>
      </c>
      <c r="C9" s="134" t="s">
        <v>1295</v>
      </c>
      <c r="D9" s="211" t="s">
        <v>5027</v>
      </c>
      <c r="E9" s="136" t="s">
        <v>279</v>
      </c>
      <c r="F9" s="134"/>
      <c r="G9" s="134">
        <v>180</v>
      </c>
      <c r="H9" s="139">
        <f>G9*22640</f>
        <v>4075200</v>
      </c>
      <c r="I9" s="134"/>
      <c r="J9" s="226">
        <v>1530000</v>
      </c>
      <c r="K9" s="139"/>
      <c r="L9" s="263"/>
      <c r="M9" s="139"/>
      <c r="N9" s="139"/>
      <c r="O9" s="139">
        <f>SUM(H9:N9)</f>
        <v>5605200</v>
      </c>
      <c r="P9" s="139">
        <v>10231481</v>
      </c>
      <c r="Q9" s="139">
        <f t="shared" ref="Q9:Q25" si="0">P9-O9</f>
        <v>4626281</v>
      </c>
      <c r="R9" s="143"/>
    </row>
    <row r="10" spans="1:18" ht="24.95" customHeight="1" x14ac:dyDescent="0.25">
      <c r="A10" s="211">
        <v>3</v>
      </c>
      <c r="B10" s="328">
        <v>45175</v>
      </c>
      <c r="C10" s="134" t="s">
        <v>605</v>
      </c>
      <c r="D10" s="211" t="s">
        <v>5028</v>
      </c>
      <c r="E10" s="136" t="s">
        <v>1170</v>
      </c>
      <c r="F10" s="134"/>
      <c r="G10" s="134">
        <v>253</v>
      </c>
      <c r="H10" s="139">
        <f>G10*22640</f>
        <v>5727920</v>
      </c>
      <c r="I10" s="134"/>
      <c r="J10" s="226">
        <v>2380000</v>
      </c>
      <c r="K10" s="139"/>
      <c r="L10" s="263"/>
      <c r="M10" s="139"/>
      <c r="N10" s="139"/>
      <c r="O10" s="139">
        <f t="shared" ref="O10:O17" si="1">SUM(H10:N10)</f>
        <v>8107920</v>
      </c>
      <c r="P10" s="139">
        <v>14074074</v>
      </c>
      <c r="Q10" s="139">
        <f t="shared" si="0"/>
        <v>5966154</v>
      </c>
      <c r="R10" s="143"/>
    </row>
    <row r="11" spans="1:18" ht="24.95" customHeight="1" x14ac:dyDescent="0.25">
      <c r="A11" s="211">
        <v>4</v>
      </c>
      <c r="B11" s="328">
        <v>45176</v>
      </c>
      <c r="C11" s="134" t="s">
        <v>1297</v>
      </c>
      <c r="D11" s="211" t="s">
        <v>5029</v>
      </c>
      <c r="E11" s="136" t="s">
        <v>5041</v>
      </c>
      <c r="F11" s="134"/>
      <c r="G11" s="134">
        <v>88</v>
      </c>
      <c r="H11" s="139">
        <f>G11*23050</f>
        <v>2028400</v>
      </c>
      <c r="I11" s="134"/>
      <c r="J11" s="226">
        <v>790000</v>
      </c>
      <c r="K11" s="139"/>
      <c r="L11" s="263"/>
      <c r="M11" s="139"/>
      <c r="N11" s="139"/>
      <c r="O11" s="139">
        <f t="shared" si="1"/>
        <v>2818400</v>
      </c>
      <c r="P11" s="139">
        <v>4500000</v>
      </c>
      <c r="Q11" s="139">
        <f t="shared" si="0"/>
        <v>1681600</v>
      </c>
      <c r="R11" s="143"/>
    </row>
    <row r="12" spans="1:18" ht="24.95" customHeight="1" x14ac:dyDescent="0.25">
      <c r="A12" s="211">
        <v>5</v>
      </c>
      <c r="B12" s="328">
        <v>45177</v>
      </c>
      <c r="C12" s="134" t="s">
        <v>1298</v>
      </c>
      <c r="D12" s="211" t="s">
        <v>5030</v>
      </c>
      <c r="E12" s="136" t="s">
        <v>5042</v>
      </c>
      <c r="F12" s="134"/>
      <c r="G12" s="134">
        <v>125</v>
      </c>
      <c r="H12" s="139">
        <f t="shared" ref="H12:H20" si="2">G12*23050</f>
        <v>2881250</v>
      </c>
      <c r="I12" s="134"/>
      <c r="J12" s="226">
        <v>790000</v>
      </c>
      <c r="K12" s="139"/>
      <c r="L12" s="263"/>
      <c r="M12" s="139"/>
      <c r="N12" s="139"/>
      <c r="O12" s="139">
        <f t="shared" si="1"/>
        <v>3671250</v>
      </c>
      <c r="P12" s="139">
        <v>4600000</v>
      </c>
      <c r="Q12" s="139">
        <f t="shared" si="0"/>
        <v>928750</v>
      </c>
      <c r="R12" s="143"/>
    </row>
    <row r="13" spans="1:18" ht="24.95" customHeight="1" x14ac:dyDescent="0.25">
      <c r="A13" s="211">
        <v>6</v>
      </c>
      <c r="B13" s="328">
        <v>45180</v>
      </c>
      <c r="C13" s="134" t="s">
        <v>1300</v>
      </c>
      <c r="D13" s="211" t="s">
        <v>5031</v>
      </c>
      <c r="E13" s="136" t="s">
        <v>5043</v>
      </c>
      <c r="F13" s="134"/>
      <c r="G13" s="134">
        <v>78</v>
      </c>
      <c r="H13" s="139">
        <f t="shared" si="2"/>
        <v>1797900</v>
      </c>
      <c r="I13" s="134"/>
      <c r="J13" s="226">
        <v>790000</v>
      </c>
      <c r="K13" s="139"/>
      <c r="L13" s="263"/>
      <c r="M13" s="139"/>
      <c r="N13" s="139"/>
      <c r="O13" s="139">
        <f t="shared" si="1"/>
        <v>2587900</v>
      </c>
      <c r="P13" s="139">
        <v>4010000</v>
      </c>
      <c r="Q13" s="139">
        <f t="shared" si="0"/>
        <v>1422100</v>
      </c>
      <c r="R13" s="143"/>
    </row>
    <row r="14" spans="1:18" ht="24.95" customHeight="1" x14ac:dyDescent="0.25">
      <c r="A14" s="211">
        <v>7</v>
      </c>
      <c r="B14" s="328">
        <v>45181</v>
      </c>
      <c r="C14" s="134" t="s">
        <v>1961</v>
      </c>
      <c r="D14" s="211" t="s">
        <v>5032</v>
      </c>
      <c r="E14" s="136" t="s">
        <v>5044</v>
      </c>
      <c r="F14" s="134"/>
      <c r="G14" s="134">
        <v>189</v>
      </c>
      <c r="H14" s="139">
        <f t="shared" si="2"/>
        <v>4356450</v>
      </c>
      <c r="I14" s="134"/>
      <c r="J14" s="226">
        <v>1130000</v>
      </c>
      <c r="K14" s="139"/>
      <c r="L14" s="263"/>
      <c r="M14" s="139"/>
      <c r="N14" s="139"/>
      <c r="O14" s="139">
        <f t="shared" si="1"/>
        <v>5486450</v>
      </c>
      <c r="P14" s="139">
        <v>7900000</v>
      </c>
      <c r="Q14" s="139">
        <f t="shared" si="0"/>
        <v>2413550</v>
      </c>
      <c r="R14" s="143"/>
    </row>
    <row r="15" spans="1:18" ht="24.95" customHeight="1" x14ac:dyDescent="0.25">
      <c r="A15" s="211">
        <v>8</v>
      </c>
      <c r="B15" s="328">
        <v>45181</v>
      </c>
      <c r="C15" s="134" t="s">
        <v>5021</v>
      </c>
      <c r="D15" s="211" t="s">
        <v>5032</v>
      </c>
      <c r="E15" s="136" t="s">
        <v>5045</v>
      </c>
      <c r="F15" s="134"/>
      <c r="G15" s="134"/>
      <c r="H15" s="139">
        <f t="shared" si="2"/>
        <v>0</v>
      </c>
      <c r="I15" s="134"/>
      <c r="J15" s="226">
        <v>0</v>
      </c>
      <c r="K15" s="139"/>
      <c r="L15" s="263"/>
      <c r="M15" s="139"/>
      <c r="N15" s="139"/>
      <c r="O15" s="139">
        <f t="shared" si="1"/>
        <v>0</v>
      </c>
      <c r="P15" s="139">
        <v>0</v>
      </c>
      <c r="Q15" s="139">
        <f t="shared" si="0"/>
        <v>0</v>
      </c>
      <c r="R15" s="143"/>
    </row>
    <row r="16" spans="1:18" ht="24.95" customHeight="1" x14ac:dyDescent="0.25">
      <c r="A16" s="211">
        <v>9</v>
      </c>
      <c r="B16" s="328">
        <v>45182</v>
      </c>
      <c r="C16" s="134" t="s">
        <v>5022</v>
      </c>
      <c r="D16" s="211" t="s">
        <v>5033</v>
      </c>
      <c r="E16" s="136" t="s">
        <v>1283</v>
      </c>
      <c r="F16" s="134"/>
      <c r="G16" s="134">
        <v>72</v>
      </c>
      <c r="H16" s="139">
        <f t="shared" si="2"/>
        <v>1659600</v>
      </c>
      <c r="I16" s="134"/>
      <c r="J16" s="226">
        <v>790000</v>
      </c>
      <c r="K16" s="139"/>
      <c r="L16" s="263"/>
      <c r="M16" s="139"/>
      <c r="N16" s="139"/>
      <c r="O16" s="139">
        <f t="shared" si="1"/>
        <v>2449600</v>
      </c>
      <c r="P16" s="139">
        <v>3950000</v>
      </c>
      <c r="Q16" s="139">
        <f t="shared" si="0"/>
        <v>1500400</v>
      </c>
      <c r="R16" s="143"/>
    </row>
    <row r="17" spans="1:18" ht="24.95" customHeight="1" x14ac:dyDescent="0.25">
      <c r="A17" s="211">
        <v>10</v>
      </c>
      <c r="B17" s="328">
        <v>45183</v>
      </c>
      <c r="C17" s="134" t="s">
        <v>3926</v>
      </c>
      <c r="D17" s="211" t="s">
        <v>5007</v>
      </c>
      <c r="E17" s="136" t="s">
        <v>4970</v>
      </c>
      <c r="F17" s="134"/>
      <c r="G17" s="134">
        <v>115</v>
      </c>
      <c r="H17" s="139">
        <f t="shared" si="2"/>
        <v>2650750</v>
      </c>
      <c r="I17" s="134"/>
      <c r="J17" s="226">
        <v>730000</v>
      </c>
      <c r="K17" s="139"/>
      <c r="L17" s="263"/>
      <c r="M17" s="139"/>
      <c r="N17" s="139"/>
      <c r="O17" s="139">
        <f t="shared" si="1"/>
        <v>3380750</v>
      </c>
      <c r="P17" s="139">
        <v>4537037</v>
      </c>
      <c r="Q17" s="139">
        <f t="shared" si="0"/>
        <v>1156287</v>
      </c>
      <c r="R17" s="143"/>
    </row>
    <row r="18" spans="1:18" ht="24.95" customHeight="1" x14ac:dyDescent="0.25">
      <c r="A18" s="211">
        <v>11</v>
      </c>
      <c r="B18" s="328">
        <v>45184</v>
      </c>
      <c r="C18" s="134" t="s">
        <v>5023</v>
      </c>
      <c r="D18" s="211" t="s">
        <v>5007</v>
      </c>
      <c r="E18" s="136" t="s">
        <v>2593</v>
      </c>
      <c r="F18" s="134"/>
      <c r="G18" s="134"/>
      <c r="H18" s="139">
        <f t="shared" si="2"/>
        <v>0</v>
      </c>
      <c r="I18" s="134"/>
      <c r="J18" s="226">
        <v>0</v>
      </c>
      <c r="K18" s="139"/>
      <c r="L18" s="263"/>
      <c r="M18" s="139"/>
      <c r="N18" s="139"/>
      <c r="O18" s="139">
        <f>SUM(H18:N18)</f>
        <v>0</v>
      </c>
      <c r="P18" s="139">
        <v>2800000</v>
      </c>
      <c r="Q18" s="139">
        <f t="shared" si="0"/>
        <v>2800000</v>
      </c>
      <c r="R18" s="143"/>
    </row>
    <row r="19" spans="1:18" ht="24.95" customHeight="1" x14ac:dyDescent="0.25">
      <c r="A19" s="211">
        <v>12</v>
      </c>
      <c r="B19" s="328">
        <v>45184</v>
      </c>
      <c r="C19" s="134" t="s">
        <v>3300</v>
      </c>
      <c r="D19" s="211" t="s">
        <v>5034</v>
      </c>
      <c r="E19" s="136" t="s">
        <v>4509</v>
      </c>
      <c r="F19" s="134"/>
      <c r="G19" s="134">
        <v>381</v>
      </c>
      <c r="H19" s="139">
        <f t="shared" si="2"/>
        <v>8782050</v>
      </c>
      <c r="I19" s="134"/>
      <c r="J19" s="226">
        <v>3870000</v>
      </c>
      <c r="K19" s="139"/>
      <c r="L19" s="263"/>
      <c r="M19" s="139"/>
      <c r="N19" s="139"/>
      <c r="O19" s="139">
        <f>SUM(H19:N19)</f>
        <v>12652050</v>
      </c>
      <c r="P19" s="139">
        <v>20900000</v>
      </c>
      <c r="Q19" s="139">
        <f t="shared" si="0"/>
        <v>8247950</v>
      </c>
      <c r="R19" s="143"/>
    </row>
    <row r="20" spans="1:18" ht="24.95" customHeight="1" x14ac:dyDescent="0.25">
      <c r="A20" s="211">
        <v>13</v>
      </c>
      <c r="B20" s="328">
        <v>45187</v>
      </c>
      <c r="C20" s="134" t="s">
        <v>5024</v>
      </c>
      <c r="D20" s="211" t="s">
        <v>5035</v>
      </c>
      <c r="E20" s="136" t="s">
        <v>4509</v>
      </c>
      <c r="F20" s="134"/>
      <c r="G20" s="134">
        <v>381</v>
      </c>
      <c r="H20" s="139">
        <f t="shared" si="2"/>
        <v>8782050</v>
      </c>
      <c r="I20" s="134"/>
      <c r="J20" s="226">
        <f>3870000+400000</f>
        <v>4270000</v>
      </c>
      <c r="K20" s="139"/>
      <c r="L20" s="263"/>
      <c r="M20" s="139"/>
      <c r="N20" s="139"/>
      <c r="O20" s="139">
        <f>SUM(H20:N20)</f>
        <v>13052050</v>
      </c>
      <c r="P20" s="139">
        <v>22100000</v>
      </c>
      <c r="Q20" s="139">
        <f t="shared" si="0"/>
        <v>9047950</v>
      </c>
      <c r="R20" s="143"/>
    </row>
    <row r="21" spans="1:18" ht="24.95" customHeight="1" x14ac:dyDescent="0.25">
      <c r="A21" s="211">
        <v>14</v>
      </c>
      <c r="B21" s="328">
        <v>45190</v>
      </c>
      <c r="C21" s="134" t="s">
        <v>1316</v>
      </c>
      <c r="D21" s="211" t="s">
        <v>5036</v>
      </c>
      <c r="E21" s="136" t="s">
        <v>4509</v>
      </c>
      <c r="F21" s="134"/>
      <c r="G21" s="134">
        <v>381</v>
      </c>
      <c r="H21" s="139">
        <f>G21*23590</f>
        <v>8987790</v>
      </c>
      <c r="I21" s="134"/>
      <c r="J21" s="226">
        <v>3870000</v>
      </c>
      <c r="K21" s="139"/>
      <c r="L21" s="263"/>
      <c r="M21" s="139"/>
      <c r="N21" s="139"/>
      <c r="O21" s="139">
        <f t="shared" ref="O21:O33" si="3">SUM(H21:N21)</f>
        <v>12857790</v>
      </c>
      <c r="P21" s="139">
        <v>20900000</v>
      </c>
      <c r="Q21" s="139">
        <f t="shared" si="0"/>
        <v>8042210</v>
      </c>
      <c r="R21" s="143"/>
    </row>
    <row r="22" spans="1:18" ht="24.95" customHeight="1" x14ac:dyDescent="0.25">
      <c r="A22" s="211">
        <v>15</v>
      </c>
      <c r="B22" s="328">
        <v>45194</v>
      </c>
      <c r="C22" s="134" t="s">
        <v>3306</v>
      </c>
      <c r="D22" s="211" t="s">
        <v>5037</v>
      </c>
      <c r="E22" s="136" t="s">
        <v>2798</v>
      </c>
      <c r="F22" s="134"/>
      <c r="G22" s="134">
        <v>123</v>
      </c>
      <c r="H22" s="139">
        <f t="shared" ref="H22:H25" si="4">G22*23590</f>
        <v>2901570</v>
      </c>
      <c r="I22" s="134"/>
      <c r="J22" s="226">
        <v>790000</v>
      </c>
      <c r="K22" s="139"/>
      <c r="L22" s="263"/>
      <c r="M22" s="139"/>
      <c r="N22" s="139"/>
      <c r="O22" s="139">
        <f t="shared" si="3"/>
        <v>3691570</v>
      </c>
      <c r="P22" s="139">
        <v>5820370</v>
      </c>
      <c r="Q22" s="139">
        <f t="shared" si="0"/>
        <v>2128800</v>
      </c>
      <c r="R22" s="143"/>
    </row>
    <row r="23" spans="1:18" ht="24.95" customHeight="1" x14ac:dyDescent="0.25">
      <c r="A23" s="211">
        <v>16</v>
      </c>
      <c r="B23" s="328">
        <v>45195</v>
      </c>
      <c r="C23" s="134" t="s">
        <v>5025</v>
      </c>
      <c r="D23" s="211" t="s">
        <v>5038</v>
      </c>
      <c r="E23" s="136" t="s">
        <v>2798</v>
      </c>
      <c r="F23" s="134"/>
      <c r="G23" s="134">
        <v>123</v>
      </c>
      <c r="H23" s="139">
        <f t="shared" si="4"/>
        <v>2901570</v>
      </c>
      <c r="I23" s="134"/>
      <c r="J23" s="226">
        <v>790000</v>
      </c>
      <c r="K23" s="139"/>
      <c r="L23" s="263"/>
      <c r="M23" s="139"/>
      <c r="N23" s="139"/>
      <c r="O23" s="139">
        <f t="shared" si="3"/>
        <v>3691570</v>
      </c>
      <c r="P23" s="139">
        <v>5820370</v>
      </c>
      <c r="Q23" s="139">
        <f t="shared" si="0"/>
        <v>2128800</v>
      </c>
      <c r="R23" s="143"/>
    </row>
    <row r="24" spans="1:18" ht="24.95" customHeight="1" x14ac:dyDescent="0.25">
      <c r="A24" s="211">
        <v>17</v>
      </c>
      <c r="B24" s="328">
        <v>45196</v>
      </c>
      <c r="C24" s="134" t="s">
        <v>1321</v>
      </c>
      <c r="D24" s="211" t="s">
        <v>5039</v>
      </c>
      <c r="E24" s="136" t="s">
        <v>4411</v>
      </c>
      <c r="F24" s="134"/>
      <c r="G24" s="134">
        <v>90</v>
      </c>
      <c r="H24" s="139">
        <f t="shared" si="4"/>
        <v>2123100</v>
      </c>
      <c r="I24" s="134"/>
      <c r="J24" s="226">
        <v>430000</v>
      </c>
      <c r="K24" s="139"/>
      <c r="L24" s="263"/>
      <c r="M24" s="139"/>
      <c r="N24" s="139"/>
      <c r="O24" s="139">
        <f t="shared" si="3"/>
        <v>2553100</v>
      </c>
      <c r="P24" s="139">
        <v>4200000</v>
      </c>
      <c r="Q24" s="139">
        <f t="shared" si="0"/>
        <v>1646900</v>
      </c>
      <c r="R24" s="143"/>
    </row>
    <row r="25" spans="1:18" ht="24.95" customHeight="1" x14ac:dyDescent="0.25">
      <c r="A25" s="211">
        <v>18</v>
      </c>
      <c r="B25" s="328">
        <v>45198</v>
      </c>
      <c r="C25" s="134" t="s">
        <v>3935</v>
      </c>
      <c r="D25" s="211" t="s">
        <v>5040</v>
      </c>
      <c r="E25" s="136" t="s">
        <v>5046</v>
      </c>
      <c r="F25" s="134"/>
      <c r="G25" s="134">
        <v>227</v>
      </c>
      <c r="H25" s="139">
        <f t="shared" si="4"/>
        <v>5354930</v>
      </c>
      <c r="I25" s="134"/>
      <c r="J25" s="226">
        <v>2260000</v>
      </c>
      <c r="K25" s="139"/>
      <c r="L25" s="263"/>
      <c r="M25" s="139"/>
      <c r="N25" s="139"/>
      <c r="O25" s="139">
        <f t="shared" si="3"/>
        <v>7614930</v>
      </c>
      <c r="P25" s="139">
        <v>13500000</v>
      </c>
      <c r="Q25" s="139">
        <f t="shared" si="0"/>
        <v>5885070</v>
      </c>
      <c r="R25" s="143"/>
    </row>
    <row r="26" spans="1:18" ht="24.95" customHeight="1" x14ac:dyDescent="0.25">
      <c r="A26" s="211"/>
      <c r="B26" s="328"/>
      <c r="C26" s="134"/>
      <c r="D26" s="211"/>
      <c r="E26" s="136"/>
      <c r="F26" s="134"/>
      <c r="G26" s="134"/>
      <c r="H26" s="139"/>
      <c r="I26" s="134"/>
      <c r="J26" s="139"/>
      <c r="K26" s="139"/>
      <c r="L26" s="263"/>
      <c r="M26" s="139"/>
      <c r="N26" s="139"/>
      <c r="O26" s="139"/>
      <c r="P26" s="139"/>
      <c r="Q26" s="139"/>
      <c r="R26" s="143"/>
    </row>
    <row r="27" spans="1:18" ht="24.95" customHeight="1" x14ac:dyDescent="0.25">
      <c r="A27" s="210"/>
      <c r="B27" s="381"/>
      <c r="C27" s="474" t="s">
        <v>26</v>
      </c>
      <c r="D27" s="475"/>
      <c r="E27" s="476"/>
      <c r="F27" s="376"/>
      <c r="G27" s="151"/>
      <c r="H27" s="377"/>
      <c r="I27" s="151"/>
      <c r="J27" s="377"/>
      <c r="K27" s="382">
        <v>1200000</v>
      </c>
      <c r="L27" s="378"/>
      <c r="M27" s="142"/>
      <c r="N27" s="142"/>
      <c r="O27" s="142">
        <f t="shared" si="3"/>
        <v>1200000</v>
      </c>
      <c r="P27" s="142"/>
      <c r="Q27" s="142"/>
      <c r="R27" s="143"/>
    </row>
    <row r="28" spans="1:18" ht="24.95" customHeight="1" x14ac:dyDescent="0.25">
      <c r="A28" s="211"/>
      <c r="B28" s="328"/>
      <c r="C28" s="452" t="s">
        <v>4798</v>
      </c>
      <c r="D28" s="453"/>
      <c r="E28" s="454"/>
      <c r="F28" s="196"/>
      <c r="G28" s="195"/>
      <c r="H28" s="155"/>
      <c r="I28" s="195"/>
      <c r="J28" s="155"/>
      <c r="K28" s="185">
        <v>9165000</v>
      </c>
      <c r="L28" s="263"/>
      <c r="M28" s="139"/>
      <c r="N28" s="139"/>
      <c r="O28" s="139">
        <f t="shared" si="3"/>
        <v>9165000</v>
      </c>
      <c r="P28" s="139"/>
      <c r="Q28" s="139"/>
      <c r="R28" s="143"/>
    </row>
    <row r="29" spans="1:18" ht="34.5" customHeight="1" x14ac:dyDescent="0.25">
      <c r="A29" s="211"/>
      <c r="B29" s="328"/>
      <c r="C29" s="452" t="s">
        <v>5145</v>
      </c>
      <c r="D29" s="453"/>
      <c r="E29" s="454"/>
      <c r="F29" s="196"/>
      <c r="G29" s="195"/>
      <c r="H29" s="155"/>
      <c r="I29" s="195"/>
      <c r="J29" s="155"/>
      <c r="K29" s="219"/>
      <c r="L29" s="263"/>
      <c r="M29" s="139"/>
      <c r="N29" s="185">
        <v>2106000</v>
      </c>
      <c r="O29" s="139">
        <f t="shared" si="3"/>
        <v>2106000</v>
      </c>
      <c r="P29" s="139"/>
      <c r="Q29" s="139"/>
      <c r="R29" s="143"/>
    </row>
    <row r="30" spans="1:18" ht="34.5" customHeight="1" x14ac:dyDescent="0.25">
      <c r="A30" s="211"/>
      <c r="B30" s="328"/>
      <c r="C30" s="452" t="s">
        <v>5146</v>
      </c>
      <c r="D30" s="453"/>
      <c r="E30" s="454"/>
      <c r="F30" s="196"/>
      <c r="G30" s="195"/>
      <c r="H30" s="155"/>
      <c r="I30" s="195"/>
      <c r="J30" s="155"/>
      <c r="K30" s="219"/>
      <c r="L30" s="219"/>
      <c r="M30" s="139"/>
      <c r="N30" s="185">
        <f>13500000/4</f>
        <v>3375000</v>
      </c>
      <c r="O30" s="139">
        <f t="shared" si="3"/>
        <v>3375000</v>
      </c>
      <c r="P30" s="139"/>
      <c r="Q30" s="139"/>
      <c r="R30" s="143"/>
    </row>
    <row r="31" spans="1:18" ht="34.5" customHeight="1" x14ac:dyDescent="0.25">
      <c r="A31" s="211"/>
      <c r="B31" s="328"/>
      <c r="C31" s="452" t="s">
        <v>5147</v>
      </c>
      <c r="D31" s="453"/>
      <c r="E31" s="454"/>
      <c r="F31" s="196"/>
      <c r="G31" s="195"/>
      <c r="H31" s="155"/>
      <c r="I31" s="195"/>
      <c r="J31" s="155"/>
      <c r="K31" s="219"/>
      <c r="L31" s="185">
        <v>200000</v>
      </c>
      <c r="M31" s="139"/>
      <c r="N31" s="219"/>
      <c r="O31" s="139">
        <f t="shared" si="3"/>
        <v>200000</v>
      </c>
      <c r="P31" s="139"/>
      <c r="Q31" s="139"/>
      <c r="R31" s="143"/>
    </row>
    <row r="32" spans="1:18" ht="34.5" customHeight="1" x14ac:dyDescent="0.25">
      <c r="A32" s="211"/>
      <c r="B32" s="328"/>
      <c r="C32" s="452" t="s">
        <v>5148</v>
      </c>
      <c r="D32" s="453"/>
      <c r="E32" s="454"/>
      <c r="F32" s="196"/>
      <c r="G32" s="195"/>
      <c r="H32" s="155"/>
      <c r="I32" s="195"/>
      <c r="J32" s="155"/>
      <c r="K32" s="219"/>
      <c r="L32" s="185">
        <v>6400000</v>
      </c>
      <c r="M32" s="139"/>
      <c r="N32" s="219"/>
      <c r="O32" s="139">
        <f t="shared" si="3"/>
        <v>6400000</v>
      </c>
      <c r="P32" s="139"/>
      <c r="Q32" s="139"/>
      <c r="R32" s="143"/>
    </row>
    <row r="33" spans="1:19" ht="24.95" customHeight="1" x14ac:dyDescent="0.25">
      <c r="A33" s="211"/>
      <c r="B33" s="337"/>
      <c r="C33" s="452" t="s">
        <v>4290</v>
      </c>
      <c r="D33" s="453"/>
      <c r="E33" s="454"/>
      <c r="F33" s="196"/>
      <c r="G33" s="195"/>
      <c r="H33" s="155"/>
      <c r="I33" s="195"/>
      <c r="J33" s="155"/>
      <c r="K33" s="185">
        <v>8000000</v>
      </c>
      <c r="L33" s="219"/>
      <c r="M33" s="139"/>
      <c r="N33" s="139"/>
      <c r="O33" s="139">
        <f t="shared" si="3"/>
        <v>8000000</v>
      </c>
      <c r="P33" s="139"/>
      <c r="Q33" s="139"/>
      <c r="R33" s="143"/>
    </row>
    <row r="34" spans="1:19" ht="24.95" customHeight="1" x14ac:dyDescent="0.25">
      <c r="A34" s="450" t="s">
        <v>20</v>
      </c>
      <c r="B34" s="450"/>
      <c r="C34" s="450"/>
      <c r="D34" s="450"/>
      <c r="E34" s="450"/>
      <c r="F34" s="450"/>
      <c r="G34" s="334">
        <f t="shared" ref="G34:P34" si="5">SUM(G8:G33)</f>
        <v>2986</v>
      </c>
      <c r="H34" s="334">
        <f t="shared" si="5"/>
        <v>69085730</v>
      </c>
      <c r="I34" s="334">
        <f t="shared" si="5"/>
        <v>0</v>
      </c>
      <c r="J34" s="334">
        <f t="shared" si="5"/>
        <v>26740000</v>
      </c>
      <c r="K34" s="334">
        <f t="shared" si="5"/>
        <v>18365000</v>
      </c>
      <c r="L34" s="334">
        <f t="shared" si="5"/>
        <v>6600000</v>
      </c>
      <c r="M34" s="334">
        <f t="shared" si="5"/>
        <v>0</v>
      </c>
      <c r="N34" s="334">
        <f t="shared" si="5"/>
        <v>5481000</v>
      </c>
      <c r="O34" s="334">
        <f t="shared" si="5"/>
        <v>126271730</v>
      </c>
      <c r="P34" s="335">
        <f t="shared" si="5"/>
        <v>158509999</v>
      </c>
      <c r="Q34" s="334">
        <f>P34-O34</f>
        <v>32238269</v>
      </c>
    </row>
    <row r="35" spans="1:19" ht="24.95" customHeight="1" x14ac:dyDescent="0.25">
      <c r="O35" s="158"/>
      <c r="Q35" s="158"/>
    </row>
    <row r="36" spans="1:19" ht="13.9" customHeight="1" x14ac:dyDescent="0.25">
      <c r="P36" s="216" t="s">
        <v>1603</v>
      </c>
      <c r="Q36" s="227">
        <f>'08.2023'!Q38+'09.2023'!Q34</f>
        <v>300106829.33333331</v>
      </c>
      <c r="S36" s="216"/>
    </row>
    <row r="37" spans="1:19" ht="13.9" customHeight="1" x14ac:dyDescent="0.25">
      <c r="B37" s="129"/>
      <c r="J37" s="128"/>
      <c r="K37" s="128"/>
      <c r="L37" s="128"/>
      <c r="N37" s="128"/>
      <c r="O37" s="128"/>
      <c r="P37" s="218"/>
      <c r="Q37" s="216"/>
    </row>
    <row r="38" spans="1:19" ht="13.9" customHeight="1" x14ac:dyDescent="0.25">
      <c r="B38" s="129"/>
      <c r="H38" s="128"/>
      <c r="J38" s="128"/>
      <c r="K38" s="128"/>
      <c r="L38" s="128"/>
      <c r="M38" s="128"/>
      <c r="N38" s="128"/>
      <c r="O38" s="128"/>
      <c r="P38" s="218"/>
      <c r="Q38" s="230"/>
    </row>
    <row r="39" spans="1:19" ht="13.9" customHeight="1" x14ac:dyDescent="0.25">
      <c r="B39" s="129"/>
      <c r="G39" s="143"/>
      <c r="H39" s="128"/>
      <c r="J39" s="128"/>
      <c r="K39" s="128"/>
      <c r="L39" s="128"/>
      <c r="M39" s="128"/>
      <c r="N39" s="128"/>
      <c r="O39" s="128"/>
      <c r="P39" s="218"/>
      <c r="Q39" s="230"/>
      <c r="R39" s="143"/>
    </row>
    <row r="40" spans="1:19" ht="13.9" customHeight="1" x14ac:dyDescent="0.25">
      <c r="B40" s="129"/>
      <c r="H40" s="128"/>
      <c r="J40" s="128"/>
      <c r="K40" s="128"/>
      <c r="L40" s="128"/>
      <c r="M40" s="128"/>
      <c r="N40" s="128"/>
      <c r="O40" s="128"/>
      <c r="P40" s="218"/>
      <c r="Q40" s="216"/>
      <c r="R40" s="143"/>
    </row>
    <row r="41" spans="1:19" x14ac:dyDescent="0.25">
      <c r="B41" s="129"/>
      <c r="H41" s="128"/>
      <c r="J41" s="128"/>
      <c r="K41" s="128"/>
      <c r="L41" s="128"/>
      <c r="M41" s="128"/>
      <c r="N41" s="128"/>
      <c r="O41" s="128"/>
      <c r="P41" s="218"/>
      <c r="Q41" s="216"/>
    </row>
    <row r="42" spans="1:19" x14ac:dyDescent="0.25">
      <c r="A42" s="128"/>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8"/>
      <c r="G44" s="143"/>
      <c r="J44" s="128"/>
      <c r="K44" s="128"/>
      <c r="L44" s="128"/>
      <c r="M44" s="128"/>
      <c r="N44" s="128"/>
      <c r="O44" s="128"/>
      <c r="P44" s="128"/>
      <c r="Q44" s="216"/>
    </row>
    <row r="45" spans="1:19" x14ac:dyDescent="0.25">
      <c r="A45" s="128"/>
      <c r="B45" s="128"/>
      <c r="H45" s="128"/>
      <c r="J45" s="128"/>
      <c r="K45" s="128"/>
      <c r="L45" s="128"/>
      <c r="M45" s="128"/>
      <c r="N45" s="128"/>
      <c r="O45" s="128"/>
      <c r="P45" s="128"/>
      <c r="Q45" s="216"/>
    </row>
    <row r="47" spans="1:19" s="143" customFormat="1" x14ac:dyDescent="0.25">
      <c r="A47" s="129"/>
      <c r="B47" s="163"/>
      <c r="C47" s="128"/>
      <c r="D47" s="128"/>
      <c r="E47" s="128"/>
      <c r="F47" s="128"/>
      <c r="I47" s="128"/>
      <c r="R47" s="128"/>
      <c r="S47" s="128"/>
    </row>
  </sheetData>
  <mergeCells count="21">
    <mergeCell ref="A34:F34"/>
    <mergeCell ref="O5:O6"/>
    <mergeCell ref="P5:P6"/>
    <mergeCell ref="Q5:Q6"/>
    <mergeCell ref="C27:E27"/>
    <mergeCell ref="C28:E28"/>
    <mergeCell ref="C33:E33"/>
    <mergeCell ref="C29:E29"/>
    <mergeCell ref="C30:E30"/>
    <mergeCell ref="C31:E31"/>
    <mergeCell ref="C32:E32"/>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CBFD-E5B3-4BA8-AFDA-49EE013EE4D1}">
  <dimension ref="A1:S57"/>
  <sheetViews>
    <sheetView topLeftCell="E1" zoomScale="90" zoomScaleNormal="90" workbookViewId="0">
      <selection activeCell="R33" sqref="R3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5048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45199</v>
      </c>
      <c r="C8" s="134" t="s">
        <v>3350</v>
      </c>
      <c r="D8" s="211" t="s">
        <v>5055</v>
      </c>
      <c r="E8" s="136" t="s">
        <v>291</v>
      </c>
      <c r="F8" s="134"/>
      <c r="G8" s="134">
        <v>136</v>
      </c>
      <c r="H8" s="139">
        <f>G8*23590</f>
        <v>3208240</v>
      </c>
      <c r="I8" s="134"/>
      <c r="J8" s="208">
        <v>910000</v>
      </c>
      <c r="K8" s="139"/>
      <c r="L8" s="263"/>
      <c r="M8" s="139"/>
      <c r="N8" s="139"/>
      <c r="O8" s="139">
        <f>SUM(H8:N8)</f>
        <v>4118240</v>
      </c>
      <c r="P8" s="139">
        <v>3850000</v>
      </c>
      <c r="Q8" s="139">
        <f>P8-O8</f>
        <v>-268240</v>
      </c>
      <c r="R8" s="143"/>
    </row>
    <row r="9" spans="1:18" ht="24.95" customHeight="1" x14ac:dyDescent="0.25">
      <c r="A9" s="211">
        <v>2</v>
      </c>
      <c r="B9" s="328">
        <v>45201</v>
      </c>
      <c r="C9" s="134" t="s">
        <v>5049</v>
      </c>
      <c r="D9" s="211" t="s">
        <v>5055</v>
      </c>
      <c r="E9" s="136" t="s">
        <v>3730</v>
      </c>
      <c r="F9" s="134"/>
      <c r="G9" s="134"/>
      <c r="H9" s="139">
        <f t="shared" ref="H9:H13" si="0">G9*23590</f>
        <v>0</v>
      </c>
      <c r="I9" s="134"/>
      <c r="J9" s="139">
        <v>0</v>
      </c>
      <c r="K9" s="139"/>
      <c r="L9" s="263"/>
      <c r="M9" s="139"/>
      <c r="N9" s="139"/>
      <c r="O9" s="139">
        <f>SUM(H9:N9)</f>
        <v>0</v>
      </c>
      <c r="P9" s="139">
        <v>3720000</v>
      </c>
      <c r="Q9" s="139">
        <f t="shared" ref="Q9:Q26" si="1">P9-O9</f>
        <v>3720000</v>
      </c>
      <c r="R9" s="143"/>
    </row>
    <row r="10" spans="1:18" ht="24.95" customHeight="1" x14ac:dyDescent="0.25">
      <c r="A10" s="211">
        <v>3</v>
      </c>
      <c r="B10" s="328">
        <v>45204</v>
      </c>
      <c r="C10" s="134" t="s">
        <v>1344</v>
      </c>
      <c r="D10" s="211" t="s">
        <v>5056</v>
      </c>
      <c r="E10" s="136" t="s">
        <v>4509</v>
      </c>
      <c r="F10" s="134"/>
      <c r="G10" s="134">
        <v>380</v>
      </c>
      <c r="H10" s="139">
        <f t="shared" si="0"/>
        <v>8964200</v>
      </c>
      <c r="I10" s="134"/>
      <c r="J10" s="226">
        <v>3870000</v>
      </c>
      <c r="K10" s="139"/>
      <c r="L10" s="263"/>
      <c r="M10" s="139"/>
      <c r="N10" s="139"/>
      <c r="O10" s="139">
        <f t="shared" ref="O10:O17" si="2">SUM(H10:N10)</f>
        <v>12834200</v>
      </c>
      <c r="P10" s="139">
        <v>21600000</v>
      </c>
      <c r="Q10" s="139">
        <f t="shared" si="1"/>
        <v>8765800</v>
      </c>
      <c r="R10" s="143"/>
    </row>
    <row r="11" spans="1:18" ht="24.95" customHeight="1" x14ac:dyDescent="0.25">
      <c r="A11" s="211">
        <v>4</v>
      </c>
      <c r="B11" s="328">
        <v>45205</v>
      </c>
      <c r="C11" s="134" t="s">
        <v>5050</v>
      </c>
      <c r="D11" s="211" t="s">
        <v>5057</v>
      </c>
      <c r="E11" s="136" t="s">
        <v>25</v>
      </c>
      <c r="F11" s="134"/>
      <c r="G11" s="134">
        <v>180</v>
      </c>
      <c r="H11" s="139">
        <f t="shared" si="0"/>
        <v>4246200</v>
      </c>
      <c r="I11" s="134"/>
      <c r="J11" s="226">
        <v>1530000</v>
      </c>
      <c r="K11" s="139"/>
      <c r="L11" s="263"/>
      <c r="M11" s="139"/>
      <c r="N11" s="139"/>
      <c r="O11" s="139">
        <f t="shared" si="2"/>
        <v>5776200</v>
      </c>
      <c r="P11" s="139">
        <v>8851852</v>
      </c>
      <c r="Q11" s="139">
        <f t="shared" si="1"/>
        <v>3075652</v>
      </c>
      <c r="R11" s="143"/>
    </row>
    <row r="12" spans="1:18" ht="24.95" customHeight="1" x14ac:dyDescent="0.25">
      <c r="A12" s="211">
        <v>5</v>
      </c>
      <c r="B12" s="328">
        <v>45208</v>
      </c>
      <c r="C12" s="134" t="s">
        <v>3355</v>
      </c>
      <c r="D12" s="211" t="s">
        <v>5058</v>
      </c>
      <c r="E12" s="136" t="s">
        <v>4969</v>
      </c>
      <c r="F12" s="134"/>
      <c r="G12" s="134">
        <v>63</v>
      </c>
      <c r="H12" s="139">
        <f t="shared" si="0"/>
        <v>1486170</v>
      </c>
      <c r="I12" s="134"/>
      <c r="J12" s="226">
        <v>430000</v>
      </c>
      <c r="K12" s="139"/>
      <c r="L12" s="263"/>
      <c r="M12" s="139"/>
      <c r="N12" s="139"/>
      <c r="O12" s="139">
        <f t="shared" si="2"/>
        <v>1916170</v>
      </c>
      <c r="P12" s="139">
        <v>3210000</v>
      </c>
      <c r="Q12" s="139">
        <f t="shared" si="1"/>
        <v>1293830</v>
      </c>
      <c r="R12" s="143"/>
    </row>
    <row r="13" spans="1:18" ht="24.95" customHeight="1" x14ac:dyDescent="0.25">
      <c r="A13" s="211">
        <v>6</v>
      </c>
      <c r="B13" s="328">
        <v>45208</v>
      </c>
      <c r="C13" s="134" t="s">
        <v>2694</v>
      </c>
      <c r="D13" s="211" t="s">
        <v>5059</v>
      </c>
      <c r="E13" s="136" t="s">
        <v>4932</v>
      </c>
      <c r="F13" s="134"/>
      <c r="G13" s="134">
        <v>241</v>
      </c>
      <c r="H13" s="139">
        <f t="shared" si="0"/>
        <v>5685190</v>
      </c>
      <c r="I13" s="134"/>
      <c r="J13" s="226">
        <v>1960000</v>
      </c>
      <c r="K13" s="139"/>
      <c r="L13" s="263"/>
      <c r="M13" s="139"/>
      <c r="N13" s="139"/>
      <c r="O13" s="139">
        <f t="shared" si="2"/>
        <v>7645190</v>
      </c>
      <c r="P13" s="139">
        <v>12950000</v>
      </c>
      <c r="Q13" s="139">
        <f t="shared" si="1"/>
        <v>5304810</v>
      </c>
      <c r="R13" s="143"/>
    </row>
    <row r="14" spans="1:18" ht="24.95" customHeight="1" x14ac:dyDescent="0.25">
      <c r="A14" s="211">
        <v>7</v>
      </c>
      <c r="B14" s="328">
        <v>45211</v>
      </c>
      <c r="C14" s="134" t="s">
        <v>5051</v>
      </c>
      <c r="D14" s="211" t="s">
        <v>5060</v>
      </c>
      <c r="E14" s="136" t="s">
        <v>4544</v>
      </c>
      <c r="F14" s="134"/>
      <c r="G14" s="134">
        <v>273</v>
      </c>
      <c r="H14" s="139">
        <f>G14*22410</f>
        <v>6117930</v>
      </c>
      <c r="I14" s="134"/>
      <c r="J14" s="226">
        <v>2980000</v>
      </c>
      <c r="K14" s="139"/>
      <c r="L14" s="263"/>
      <c r="M14" s="139"/>
      <c r="N14" s="139"/>
      <c r="O14" s="139">
        <f t="shared" si="2"/>
        <v>9097930</v>
      </c>
      <c r="P14" s="139">
        <v>14629630</v>
      </c>
      <c r="Q14" s="139">
        <f t="shared" si="1"/>
        <v>5531700</v>
      </c>
      <c r="R14" s="143"/>
    </row>
    <row r="15" spans="1:18" ht="24.95" customHeight="1" x14ac:dyDescent="0.25">
      <c r="A15" s="211">
        <v>8</v>
      </c>
      <c r="B15" s="328">
        <v>45212</v>
      </c>
      <c r="C15" s="134" t="s">
        <v>3996</v>
      </c>
      <c r="D15" s="211" t="s">
        <v>5061</v>
      </c>
      <c r="E15" s="136" t="s">
        <v>4509</v>
      </c>
      <c r="F15" s="134"/>
      <c r="G15" s="134">
        <v>373</v>
      </c>
      <c r="H15" s="139">
        <f t="shared" ref="H15:H17" si="3">G15*22410</f>
        <v>8358930</v>
      </c>
      <c r="I15" s="134"/>
      <c r="J15" s="226">
        <v>3870000</v>
      </c>
      <c r="K15" s="139"/>
      <c r="L15" s="263"/>
      <c r="M15" s="139"/>
      <c r="N15" s="139"/>
      <c r="O15" s="139">
        <f t="shared" si="2"/>
        <v>12228930</v>
      </c>
      <c r="P15" s="139">
        <v>21200000</v>
      </c>
      <c r="Q15" s="139">
        <f t="shared" si="1"/>
        <v>8971070</v>
      </c>
      <c r="R15" s="143"/>
    </row>
    <row r="16" spans="1:18" ht="24.95" customHeight="1" x14ac:dyDescent="0.25">
      <c r="A16" s="211">
        <v>9</v>
      </c>
      <c r="B16" s="328">
        <v>45215</v>
      </c>
      <c r="C16" s="134" t="s">
        <v>3358</v>
      </c>
      <c r="D16" s="211" t="s">
        <v>5062</v>
      </c>
      <c r="E16" s="136" t="s">
        <v>23</v>
      </c>
      <c r="F16" s="134"/>
      <c r="G16" s="134">
        <v>246</v>
      </c>
      <c r="H16" s="139">
        <f t="shared" si="3"/>
        <v>5512860</v>
      </c>
      <c r="I16" s="134"/>
      <c r="J16" s="226">
        <v>2380000</v>
      </c>
      <c r="K16" s="139"/>
      <c r="L16" s="263"/>
      <c r="M16" s="139"/>
      <c r="N16" s="139"/>
      <c r="O16" s="139">
        <f t="shared" si="2"/>
        <v>7892860</v>
      </c>
      <c r="P16" s="139">
        <v>13900000</v>
      </c>
      <c r="Q16" s="139">
        <f t="shared" si="1"/>
        <v>6007140</v>
      </c>
      <c r="R16" s="143"/>
    </row>
    <row r="17" spans="1:18" ht="24.95" customHeight="1" x14ac:dyDescent="0.25">
      <c r="A17" s="211">
        <v>10</v>
      </c>
      <c r="B17" s="328">
        <v>45216</v>
      </c>
      <c r="C17" s="134" t="s">
        <v>2020</v>
      </c>
      <c r="D17" s="211" t="s">
        <v>5063</v>
      </c>
      <c r="E17" s="136" t="s">
        <v>23</v>
      </c>
      <c r="F17" s="134"/>
      <c r="G17" s="134">
        <v>249</v>
      </c>
      <c r="H17" s="139">
        <f t="shared" si="3"/>
        <v>5580090</v>
      </c>
      <c r="I17" s="134"/>
      <c r="J17" s="226">
        <v>2380000</v>
      </c>
      <c r="K17" s="139"/>
      <c r="L17" s="263"/>
      <c r="M17" s="139"/>
      <c r="N17" s="139"/>
      <c r="O17" s="139">
        <f t="shared" si="2"/>
        <v>7960090</v>
      </c>
      <c r="P17" s="139">
        <v>13900000</v>
      </c>
      <c r="Q17" s="139">
        <f t="shared" si="1"/>
        <v>5939910</v>
      </c>
      <c r="R17" s="143"/>
    </row>
    <row r="18" spans="1:18" ht="24.95" customHeight="1" x14ac:dyDescent="0.25">
      <c r="A18" s="211">
        <v>11</v>
      </c>
      <c r="B18" s="328">
        <v>45217</v>
      </c>
      <c r="C18" s="134" t="s">
        <v>5052</v>
      </c>
      <c r="D18" s="211" t="s">
        <v>5064</v>
      </c>
      <c r="E18" s="136" t="s">
        <v>5073</v>
      </c>
      <c r="F18" s="134"/>
      <c r="G18" s="134">
        <v>58</v>
      </c>
      <c r="H18" s="139">
        <f>G18*22410</f>
        <v>1299780</v>
      </c>
      <c r="I18" s="134"/>
      <c r="J18" s="226">
        <v>340000</v>
      </c>
      <c r="K18" s="139"/>
      <c r="L18" s="263"/>
      <c r="M18" s="139"/>
      <c r="N18" s="139"/>
      <c r="O18" s="139">
        <f>SUM(H18:N18)</f>
        <v>1639780</v>
      </c>
      <c r="P18" s="139">
        <v>2770000</v>
      </c>
      <c r="Q18" s="139">
        <f t="shared" si="1"/>
        <v>1130220</v>
      </c>
      <c r="R18" s="143"/>
    </row>
    <row r="19" spans="1:18" ht="24.95" customHeight="1" x14ac:dyDescent="0.25">
      <c r="A19" s="211">
        <v>12</v>
      </c>
      <c r="B19" s="328">
        <v>45219</v>
      </c>
      <c r="C19" s="134" t="s">
        <v>4000</v>
      </c>
      <c r="D19" s="211" t="s">
        <v>5065</v>
      </c>
      <c r="E19" s="136" t="s">
        <v>23</v>
      </c>
      <c r="F19" s="134"/>
      <c r="G19" s="134">
        <v>243</v>
      </c>
      <c r="H19" s="139">
        <f>G19*22410</f>
        <v>5445630</v>
      </c>
      <c r="I19" s="134"/>
      <c r="J19" s="226">
        <v>2380000</v>
      </c>
      <c r="K19" s="139"/>
      <c r="L19" s="263"/>
      <c r="M19" s="139"/>
      <c r="N19" s="139"/>
      <c r="O19" s="139">
        <f>SUM(H19:N19)</f>
        <v>7825630</v>
      </c>
      <c r="P19" s="139">
        <v>13518519</v>
      </c>
      <c r="Q19" s="139">
        <f t="shared" si="1"/>
        <v>5692889</v>
      </c>
      <c r="R19" s="143"/>
    </row>
    <row r="20" spans="1:18" ht="24.95" customHeight="1" x14ac:dyDescent="0.25">
      <c r="A20" s="211">
        <v>13</v>
      </c>
      <c r="B20" s="328">
        <v>45219</v>
      </c>
      <c r="C20" s="134" t="s">
        <v>3361</v>
      </c>
      <c r="D20" s="211" t="s">
        <v>5066</v>
      </c>
      <c r="E20" s="136" t="s">
        <v>25</v>
      </c>
      <c r="F20" s="134"/>
      <c r="G20" s="134">
        <v>180</v>
      </c>
      <c r="H20" s="139">
        <f>G20*22410</f>
        <v>4033800</v>
      </c>
      <c r="I20" s="134"/>
      <c r="J20" s="226">
        <v>1530000</v>
      </c>
      <c r="K20" s="139"/>
      <c r="L20" s="263"/>
      <c r="M20" s="139"/>
      <c r="N20" s="139"/>
      <c r="O20" s="139">
        <f>SUM(H20:N20)</f>
        <v>5563800</v>
      </c>
      <c r="P20" s="139">
        <v>8851852</v>
      </c>
      <c r="Q20" s="139">
        <f t="shared" si="1"/>
        <v>3288052</v>
      </c>
      <c r="R20" s="143"/>
    </row>
    <row r="21" spans="1:18" ht="24.95" customHeight="1" x14ac:dyDescent="0.25">
      <c r="A21" s="211">
        <v>14</v>
      </c>
      <c r="B21" s="328">
        <v>45222</v>
      </c>
      <c r="C21" s="134" t="s">
        <v>1349</v>
      </c>
      <c r="D21" s="211" t="s">
        <v>5067</v>
      </c>
      <c r="E21" s="136" t="s">
        <v>4509</v>
      </c>
      <c r="F21" s="134"/>
      <c r="G21" s="134">
        <v>373</v>
      </c>
      <c r="H21" s="139">
        <f>G21*22480</f>
        <v>8385040</v>
      </c>
      <c r="I21" s="134"/>
      <c r="J21" s="226">
        <v>3870000</v>
      </c>
      <c r="K21" s="139"/>
      <c r="L21" s="263"/>
      <c r="M21" s="139"/>
      <c r="N21" s="139"/>
      <c r="O21" s="139">
        <f t="shared" ref="O21:O43" si="4">SUM(H21:N21)</f>
        <v>12255040</v>
      </c>
      <c r="P21" s="139">
        <v>21200000</v>
      </c>
      <c r="Q21" s="139">
        <f t="shared" si="1"/>
        <v>8944960</v>
      </c>
      <c r="R21" s="143"/>
    </row>
    <row r="22" spans="1:18" ht="24.95" customHeight="1" x14ac:dyDescent="0.25">
      <c r="A22" s="211">
        <v>15</v>
      </c>
      <c r="B22" s="328">
        <v>45223</v>
      </c>
      <c r="C22" s="134" t="s">
        <v>5053</v>
      </c>
      <c r="D22" s="211" t="s">
        <v>5068</v>
      </c>
      <c r="E22" s="136" t="s">
        <v>5074</v>
      </c>
      <c r="F22" s="134"/>
      <c r="G22" s="134">
        <v>103</v>
      </c>
      <c r="H22" s="139">
        <f t="shared" ref="H22:H26" si="5">G22*22480</f>
        <v>2315440</v>
      </c>
      <c r="I22" s="134"/>
      <c r="J22" s="226">
        <v>1270000</v>
      </c>
      <c r="K22" s="139"/>
      <c r="L22" s="263"/>
      <c r="M22" s="139"/>
      <c r="N22" s="139"/>
      <c r="O22" s="139">
        <f t="shared" si="4"/>
        <v>3585440</v>
      </c>
      <c r="P22" s="139">
        <v>6000000</v>
      </c>
      <c r="Q22" s="139">
        <f t="shared" si="1"/>
        <v>2414560</v>
      </c>
      <c r="R22" s="143"/>
    </row>
    <row r="23" spans="1:18" ht="24.95" customHeight="1" x14ac:dyDescent="0.25">
      <c r="A23" s="211">
        <v>16</v>
      </c>
      <c r="B23" s="328">
        <v>45224</v>
      </c>
      <c r="C23" s="134" t="s">
        <v>4004</v>
      </c>
      <c r="D23" s="211" t="s">
        <v>5069</v>
      </c>
      <c r="E23" s="136" t="s">
        <v>25</v>
      </c>
      <c r="F23" s="134"/>
      <c r="G23" s="134">
        <v>183</v>
      </c>
      <c r="H23" s="139">
        <f t="shared" si="5"/>
        <v>4113840</v>
      </c>
      <c r="I23" s="134"/>
      <c r="J23" s="226">
        <v>1530000</v>
      </c>
      <c r="K23" s="139"/>
      <c r="L23" s="263"/>
      <c r="M23" s="139"/>
      <c r="N23" s="139"/>
      <c r="O23" s="139">
        <f t="shared" si="4"/>
        <v>5643840</v>
      </c>
      <c r="P23" s="139">
        <v>8851852</v>
      </c>
      <c r="Q23" s="139">
        <f t="shared" si="1"/>
        <v>3208012</v>
      </c>
      <c r="R23" s="143"/>
    </row>
    <row r="24" spans="1:18" ht="24.95" customHeight="1" x14ac:dyDescent="0.25">
      <c r="A24" s="211">
        <v>17</v>
      </c>
      <c r="B24" s="328">
        <v>45226</v>
      </c>
      <c r="C24" s="134" t="s">
        <v>687</v>
      </c>
      <c r="D24" s="211" t="s">
        <v>5070</v>
      </c>
      <c r="E24" s="136" t="s">
        <v>291</v>
      </c>
      <c r="F24" s="134"/>
      <c r="G24" s="134">
        <v>68</v>
      </c>
      <c r="H24" s="139">
        <f t="shared" si="5"/>
        <v>1528640</v>
      </c>
      <c r="I24" s="134"/>
      <c r="J24" s="226">
        <v>610000</v>
      </c>
      <c r="K24" s="139"/>
      <c r="L24" s="263"/>
      <c r="M24" s="139"/>
      <c r="N24" s="139"/>
      <c r="O24" s="139">
        <f t="shared" si="4"/>
        <v>2138640</v>
      </c>
      <c r="P24" s="139">
        <v>3850000</v>
      </c>
      <c r="Q24" s="139">
        <f t="shared" si="1"/>
        <v>1711360</v>
      </c>
      <c r="R24" s="143"/>
    </row>
    <row r="25" spans="1:18" ht="24.95" customHeight="1" x14ac:dyDescent="0.25">
      <c r="A25" s="211">
        <v>18</v>
      </c>
      <c r="B25" s="328">
        <v>45227</v>
      </c>
      <c r="C25" s="134" t="s">
        <v>5054</v>
      </c>
      <c r="D25" s="211" t="s">
        <v>5071</v>
      </c>
      <c r="E25" s="136" t="s">
        <v>5075</v>
      </c>
      <c r="F25" s="134"/>
      <c r="G25" s="134">
        <v>92</v>
      </c>
      <c r="H25" s="139">
        <f t="shared" si="5"/>
        <v>2068160</v>
      </c>
      <c r="I25" s="134"/>
      <c r="J25" s="226">
        <v>790000</v>
      </c>
      <c r="K25" s="139"/>
      <c r="L25" s="263"/>
      <c r="M25" s="139"/>
      <c r="N25" s="139"/>
      <c r="O25" s="139">
        <f t="shared" si="4"/>
        <v>2858160</v>
      </c>
      <c r="P25" s="139">
        <v>4500000</v>
      </c>
      <c r="Q25" s="139">
        <f t="shared" si="1"/>
        <v>1641840</v>
      </c>
      <c r="R25" s="143"/>
    </row>
    <row r="26" spans="1:18" ht="24.95" customHeight="1" x14ac:dyDescent="0.25">
      <c r="A26" s="211">
        <v>19</v>
      </c>
      <c r="B26" s="328">
        <v>45229</v>
      </c>
      <c r="C26" s="134" t="s">
        <v>690</v>
      </c>
      <c r="D26" s="211" t="s">
        <v>5072</v>
      </c>
      <c r="E26" s="136" t="s">
        <v>5076</v>
      </c>
      <c r="F26" s="134"/>
      <c r="G26" s="134">
        <v>61</v>
      </c>
      <c r="H26" s="139">
        <f t="shared" si="5"/>
        <v>1371280</v>
      </c>
      <c r="I26" s="134"/>
      <c r="J26" s="226">
        <v>430000</v>
      </c>
      <c r="K26" s="139"/>
      <c r="L26" s="263"/>
      <c r="M26" s="139"/>
      <c r="N26" s="139"/>
      <c r="O26" s="139">
        <f t="shared" si="4"/>
        <v>1801280</v>
      </c>
      <c r="P26" s="139">
        <v>2930000</v>
      </c>
      <c r="Q26" s="139">
        <f t="shared" si="1"/>
        <v>1128720</v>
      </c>
      <c r="R26" s="143"/>
    </row>
    <row r="27" spans="1:18" ht="24.95" customHeight="1" x14ac:dyDescent="0.25">
      <c r="A27" s="210"/>
      <c r="B27" s="381"/>
      <c r="C27" s="474" t="s">
        <v>26</v>
      </c>
      <c r="D27" s="475"/>
      <c r="E27" s="476"/>
      <c r="F27" s="376"/>
      <c r="G27" s="151"/>
      <c r="H27" s="377"/>
      <c r="I27" s="151"/>
      <c r="J27" s="377"/>
      <c r="K27" s="382">
        <v>1200000</v>
      </c>
      <c r="L27" s="378"/>
      <c r="M27" s="142"/>
      <c r="N27" s="142"/>
      <c r="O27" s="142">
        <f t="shared" si="4"/>
        <v>1200000</v>
      </c>
      <c r="P27" s="142"/>
      <c r="Q27" s="142"/>
      <c r="R27" s="143"/>
    </row>
    <row r="28" spans="1:18" ht="24.95" customHeight="1" x14ac:dyDescent="0.25">
      <c r="A28" s="211"/>
      <c r="B28" s="328"/>
      <c r="C28" s="452" t="s">
        <v>4798</v>
      </c>
      <c r="D28" s="453"/>
      <c r="E28" s="454"/>
      <c r="F28" s="196"/>
      <c r="G28" s="195"/>
      <c r="H28" s="155"/>
      <c r="I28" s="195"/>
      <c r="J28" s="155"/>
      <c r="K28" s="185">
        <v>11004000</v>
      </c>
      <c r="L28" s="263"/>
      <c r="M28" s="139"/>
      <c r="N28" s="139"/>
      <c r="O28" s="139">
        <f t="shared" si="4"/>
        <v>11004000</v>
      </c>
      <c r="P28" s="139"/>
      <c r="Q28" s="139"/>
      <c r="R28" s="143"/>
    </row>
    <row r="29" spans="1:18" ht="24.95" customHeight="1" x14ac:dyDescent="0.25">
      <c r="A29" s="211"/>
      <c r="B29" s="328"/>
      <c r="C29" s="452" t="s">
        <v>5149</v>
      </c>
      <c r="D29" s="453"/>
      <c r="E29" s="454"/>
      <c r="F29" s="196"/>
      <c r="G29" s="195"/>
      <c r="H29" s="155"/>
      <c r="I29" s="195"/>
      <c r="J29" s="155"/>
      <c r="K29" s="185">
        <v>8580000</v>
      </c>
      <c r="L29" s="263"/>
      <c r="M29" s="139"/>
      <c r="N29" s="139"/>
      <c r="O29" s="139">
        <f t="shared" si="4"/>
        <v>8580000</v>
      </c>
      <c r="P29" s="139"/>
      <c r="Q29" s="139"/>
      <c r="R29" s="143"/>
    </row>
    <row r="30" spans="1:18" ht="24.95" customHeight="1" x14ac:dyDescent="0.25">
      <c r="A30" s="211"/>
      <c r="B30" s="328"/>
      <c r="C30" s="452" t="s">
        <v>5150</v>
      </c>
      <c r="D30" s="453"/>
      <c r="E30" s="454"/>
      <c r="F30" s="196"/>
      <c r="G30" s="195"/>
      <c r="H30" s="155"/>
      <c r="I30" s="195"/>
      <c r="J30" s="155"/>
      <c r="K30" s="185">
        <v>585000</v>
      </c>
      <c r="L30" s="263"/>
      <c r="M30" s="139"/>
      <c r="N30" s="139"/>
      <c r="O30" s="139">
        <f t="shared" si="4"/>
        <v>585000</v>
      </c>
      <c r="P30" s="139"/>
      <c r="Q30" s="139"/>
      <c r="R30" s="143"/>
    </row>
    <row r="31" spans="1:18" ht="24.95" customHeight="1" x14ac:dyDescent="0.25">
      <c r="A31" s="211"/>
      <c r="B31" s="328"/>
      <c r="C31" s="452" t="s">
        <v>5151</v>
      </c>
      <c r="D31" s="453"/>
      <c r="E31" s="454"/>
      <c r="F31" s="196"/>
      <c r="G31" s="195"/>
      <c r="H31" s="155"/>
      <c r="I31" s="195"/>
      <c r="J31" s="155"/>
      <c r="K31" s="185">
        <v>120000</v>
      </c>
      <c r="L31" s="378"/>
      <c r="M31" s="378"/>
      <c r="N31" s="139"/>
      <c r="O31" s="139">
        <f t="shared" si="4"/>
        <v>120000</v>
      </c>
      <c r="P31" s="139"/>
      <c r="Q31" s="139"/>
      <c r="R31" s="143"/>
    </row>
    <row r="32" spans="1:18" ht="24.95" customHeight="1" x14ac:dyDescent="0.25">
      <c r="A32" s="211"/>
      <c r="B32" s="328"/>
      <c r="C32" s="452" t="s">
        <v>5179</v>
      </c>
      <c r="D32" s="453"/>
      <c r="E32" s="454"/>
      <c r="F32" s="196"/>
      <c r="G32" s="195"/>
      <c r="H32" s="155"/>
      <c r="I32" s="195"/>
      <c r="J32" s="155"/>
      <c r="K32" s="219"/>
      <c r="L32" s="382">
        <v>800000</v>
      </c>
      <c r="M32" s="378"/>
      <c r="N32" s="139"/>
      <c r="O32" s="139">
        <f t="shared" si="4"/>
        <v>800000</v>
      </c>
      <c r="P32" s="139"/>
      <c r="Q32" s="139"/>
      <c r="R32" s="143"/>
    </row>
    <row r="33" spans="1:19" ht="24.95" customHeight="1" x14ac:dyDescent="0.25">
      <c r="A33" s="211"/>
      <c r="B33" s="328"/>
      <c r="C33" s="452" t="s">
        <v>5152</v>
      </c>
      <c r="D33" s="453"/>
      <c r="E33" s="454"/>
      <c r="F33" s="196"/>
      <c r="G33" s="195"/>
      <c r="H33" s="155"/>
      <c r="I33" s="195"/>
      <c r="J33" s="155"/>
      <c r="K33" s="219"/>
      <c r="L33" s="382">
        <v>1000000</v>
      </c>
      <c r="M33" s="378"/>
      <c r="N33" s="139"/>
      <c r="O33" s="139">
        <f t="shared" si="4"/>
        <v>1000000</v>
      </c>
      <c r="P33" s="139"/>
      <c r="Q33" s="139"/>
      <c r="R33" s="143"/>
    </row>
    <row r="34" spans="1:19" ht="24.95" customHeight="1" x14ac:dyDescent="0.25">
      <c r="A34" s="211"/>
      <c r="B34" s="328"/>
      <c r="C34" s="452" t="s">
        <v>5153</v>
      </c>
      <c r="D34" s="453"/>
      <c r="E34" s="454"/>
      <c r="F34" s="196"/>
      <c r="G34" s="195"/>
      <c r="H34" s="155"/>
      <c r="I34" s="195"/>
      <c r="J34" s="155"/>
      <c r="K34" s="219"/>
      <c r="L34" s="382">
        <v>90000</v>
      </c>
      <c r="M34" s="378"/>
      <c r="N34" s="139"/>
      <c r="O34" s="139">
        <f t="shared" si="4"/>
        <v>90000</v>
      </c>
      <c r="P34" s="139"/>
      <c r="Q34" s="139"/>
      <c r="R34" s="143"/>
    </row>
    <row r="35" spans="1:19" ht="24.95" customHeight="1" x14ac:dyDescent="0.25">
      <c r="A35" s="211"/>
      <c r="B35" s="328"/>
      <c r="C35" s="452" t="s">
        <v>5154</v>
      </c>
      <c r="D35" s="453"/>
      <c r="E35" s="454"/>
      <c r="F35" s="196"/>
      <c r="G35" s="195"/>
      <c r="H35" s="155"/>
      <c r="I35" s="195"/>
      <c r="J35" s="155"/>
      <c r="K35" s="219"/>
      <c r="L35" s="382">
        <v>800000</v>
      </c>
      <c r="M35" s="378"/>
      <c r="N35" s="139"/>
      <c r="O35" s="139">
        <f t="shared" si="4"/>
        <v>800000</v>
      </c>
      <c r="P35" s="139"/>
      <c r="Q35" s="139"/>
      <c r="R35" s="143"/>
    </row>
    <row r="36" spans="1:19" ht="24.95" customHeight="1" x14ac:dyDescent="0.25">
      <c r="A36" s="211"/>
      <c r="B36" s="328"/>
      <c r="C36" s="452" t="s">
        <v>5155</v>
      </c>
      <c r="D36" s="453"/>
      <c r="E36" s="454"/>
      <c r="F36" s="196"/>
      <c r="G36" s="195"/>
      <c r="H36" s="155"/>
      <c r="I36" s="195"/>
      <c r="J36" s="155"/>
      <c r="K36" s="219"/>
      <c r="L36" s="378"/>
      <c r="M36" s="382">
        <v>11800000</v>
      </c>
      <c r="N36" s="139"/>
      <c r="O36" s="139">
        <f t="shared" si="4"/>
        <v>11800000</v>
      </c>
      <c r="P36" s="139"/>
      <c r="Q36" s="139"/>
      <c r="R36" s="143"/>
    </row>
    <row r="37" spans="1:19" ht="24.95" customHeight="1" x14ac:dyDescent="0.25">
      <c r="A37" s="211"/>
      <c r="B37" s="328"/>
      <c r="C37" s="452" t="s">
        <v>5156</v>
      </c>
      <c r="D37" s="453"/>
      <c r="E37" s="454"/>
      <c r="F37" s="196"/>
      <c r="G37" s="195"/>
      <c r="H37" s="155"/>
      <c r="I37" s="195"/>
      <c r="J37" s="155"/>
      <c r="K37" s="219"/>
      <c r="L37" s="382">
        <v>400000</v>
      </c>
      <c r="M37" s="378"/>
      <c r="N37" s="139"/>
      <c r="O37" s="139">
        <f t="shared" si="4"/>
        <v>400000</v>
      </c>
      <c r="P37" s="139"/>
      <c r="Q37" s="139"/>
      <c r="R37" s="143"/>
    </row>
    <row r="38" spans="1:19" ht="24.95" customHeight="1" x14ac:dyDescent="0.25">
      <c r="A38" s="211"/>
      <c r="B38" s="328"/>
      <c r="C38" s="452" t="s">
        <v>5157</v>
      </c>
      <c r="D38" s="453"/>
      <c r="E38" s="454"/>
      <c r="F38" s="196"/>
      <c r="G38" s="195"/>
      <c r="H38" s="155"/>
      <c r="I38" s="195"/>
      <c r="J38" s="155"/>
      <c r="K38" s="219"/>
      <c r="L38" s="382">
        <v>1950000</v>
      </c>
      <c r="M38" s="378"/>
      <c r="N38" s="378"/>
      <c r="O38" s="139">
        <f t="shared" si="4"/>
        <v>1950000</v>
      </c>
      <c r="P38" s="139"/>
      <c r="Q38" s="139"/>
      <c r="R38" s="143"/>
    </row>
    <row r="39" spans="1:19" ht="24.95" customHeight="1" x14ac:dyDescent="0.25">
      <c r="A39" s="211"/>
      <c r="B39" s="328"/>
      <c r="C39" s="452" t="s">
        <v>5158</v>
      </c>
      <c r="D39" s="453"/>
      <c r="E39" s="454"/>
      <c r="F39" s="196"/>
      <c r="G39" s="195"/>
      <c r="H39" s="155"/>
      <c r="I39" s="195"/>
      <c r="J39" s="155"/>
      <c r="K39" s="219"/>
      <c r="L39" s="382">
        <v>150000</v>
      </c>
      <c r="M39" s="378"/>
      <c r="N39" s="378"/>
      <c r="O39" s="139">
        <f t="shared" si="4"/>
        <v>150000</v>
      </c>
      <c r="P39" s="139"/>
      <c r="Q39" s="139"/>
      <c r="R39" s="143"/>
    </row>
    <row r="40" spans="1:19" ht="24.95" customHeight="1" x14ac:dyDescent="0.25">
      <c r="A40" s="211"/>
      <c r="B40" s="328"/>
      <c r="C40" s="452" t="s">
        <v>5159</v>
      </c>
      <c r="D40" s="453"/>
      <c r="E40" s="454"/>
      <c r="F40" s="196"/>
      <c r="G40" s="195"/>
      <c r="H40" s="155"/>
      <c r="I40" s="195"/>
      <c r="J40" s="155"/>
      <c r="K40" s="219"/>
      <c r="L40" s="378"/>
      <c r="M40" s="378"/>
      <c r="N40" s="382">
        <f>2300400/3</f>
        <v>766800</v>
      </c>
      <c r="O40" s="139">
        <f t="shared" si="4"/>
        <v>766800</v>
      </c>
      <c r="P40" s="139"/>
      <c r="Q40" s="139"/>
      <c r="R40" s="143"/>
    </row>
    <row r="41" spans="1:19" ht="24.95" customHeight="1" x14ac:dyDescent="0.25">
      <c r="A41" s="211"/>
      <c r="B41" s="328"/>
      <c r="C41" s="452" t="s">
        <v>5160</v>
      </c>
      <c r="D41" s="453"/>
      <c r="E41" s="454"/>
      <c r="F41" s="196"/>
      <c r="G41" s="195"/>
      <c r="H41" s="155"/>
      <c r="I41" s="195"/>
      <c r="J41" s="155"/>
      <c r="K41" s="219"/>
      <c r="L41" s="382">
        <v>1880000</v>
      </c>
      <c r="M41" s="378"/>
      <c r="N41" s="378"/>
      <c r="O41" s="139">
        <f t="shared" si="4"/>
        <v>1880000</v>
      </c>
      <c r="P41" s="139"/>
      <c r="Q41" s="139"/>
      <c r="R41" s="143"/>
    </row>
    <row r="42" spans="1:19" ht="24.95" customHeight="1" x14ac:dyDescent="0.25">
      <c r="A42" s="211"/>
      <c r="B42" s="328"/>
      <c r="C42" s="440" t="s">
        <v>5161</v>
      </c>
      <c r="D42" s="441"/>
      <c r="E42" s="442"/>
      <c r="F42" s="196"/>
      <c r="G42" s="195"/>
      <c r="H42" s="155"/>
      <c r="I42" s="195"/>
      <c r="J42" s="155"/>
      <c r="K42" s="219"/>
      <c r="L42" s="382">
        <v>2900000</v>
      </c>
      <c r="M42" s="378"/>
      <c r="N42" s="378"/>
      <c r="O42" s="139">
        <f t="shared" si="4"/>
        <v>2900000</v>
      </c>
      <c r="P42" s="139"/>
      <c r="Q42" s="139"/>
      <c r="R42" s="143"/>
    </row>
    <row r="43" spans="1:19" ht="24.95" customHeight="1" x14ac:dyDescent="0.25">
      <c r="A43" s="211"/>
      <c r="B43" s="337"/>
      <c r="C43" s="452" t="s">
        <v>4626</v>
      </c>
      <c r="D43" s="453"/>
      <c r="E43" s="454"/>
      <c r="F43" s="196"/>
      <c r="G43" s="195"/>
      <c r="H43" s="155"/>
      <c r="I43" s="195"/>
      <c r="J43" s="155"/>
      <c r="K43" s="185">
        <v>7700000</v>
      </c>
      <c r="L43" s="378"/>
      <c r="M43" s="378"/>
      <c r="N43" s="139"/>
      <c r="O43" s="139">
        <f t="shared" si="4"/>
        <v>7700000</v>
      </c>
      <c r="P43" s="139"/>
      <c r="Q43" s="139"/>
      <c r="R43" s="143"/>
    </row>
    <row r="44" spans="1:19" ht="24.95" customHeight="1" x14ac:dyDescent="0.25">
      <c r="A44" s="450" t="s">
        <v>20</v>
      </c>
      <c r="B44" s="450"/>
      <c r="C44" s="450"/>
      <c r="D44" s="450"/>
      <c r="E44" s="450"/>
      <c r="F44" s="450"/>
      <c r="G44" s="334">
        <f t="shared" ref="G44:P44" si="6">SUM(G8:G43)</f>
        <v>3502</v>
      </c>
      <c r="H44" s="334">
        <f t="shared" si="6"/>
        <v>79721420</v>
      </c>
      <c r="I44" s="334">
        <f t="shared" si="6"/>
        <v>0</v>
      </c>
      <c r="J44" s="334">
        <f t="shared" si="6"/>
        <v>33060000</v>
      </c>
      <c r="K44" s="334">
        <f t="shared" si="6"/>
        <v>29189000</v>
      </c>
      <c r="L44" s="334">
        <f t="shared" si="6"/>
        <v>9970000</v>
      </c>
      <c r="M44" s="334">
        <f t="shared" si="6"/>
        <v>11800000</v>
      </c>
      <c r="N44" s="334">
        <f t="shared" si="6"/>
        <v>766800</v>
      </c>
      <c r="O44" s="334">
        <f t="shared" si="6"/>
        <v>164507220</v>
      </c>
      <c r="P44" s="335">
        <f t="shared" si="6"/>
        <v>190283705</v>
      </c>
      <c r="Q44" s="334">
        <f>P44-O44</f>
        <v>25776485</v>
      </c>
    </row>
    <row r="45" spans="1:19" ht="24.95" customHeight="1" x14ac:dyDescent="0.25">
      <c r="O45" s="158"/>
      <c r="Q45" s="158"/>
    </row>
    <row r="46" spans="1:19" ht="13.9" customHeight="1" x14ac:dyDescent="0.25">
      <c r="P46" s="216" t="s">
        <v>1603</v>
      </c>
      <c r="Q46" s="227">
        <f>'09.2023'!Q36+'10.2023'!Q44</f>
        <v>325883314.33333331</v>
      </c>
      <c r="S46" s="216"/>
    </row>
    <row r="47" spans="1:19" ht="13.9" customHeight="1" x14ac:dyDescent="0.25">
      <c r="B47" s="129"/>
      <c r="J47" s="128"/>
      <c r="K47" s="128"/>
      <c r="L47" s="128"/>
      <c r="N47" s="128"/>
      <c r="O47" s="128"/>
      <c r="P47" s="218"/>
      <c r="Q47" s="216"/>
    </row>
    <row r="48" spans="1:19" ht="13.9" customHeight="1" x14ac:dyDescent="0.25">
      <c r="B48" s="129"/>
      <c r="H48" s="128"/>
      <c r="J48" s="128"/>
      <c r="K48" s="128"/>
      <c r="L48" s="128"/>
      <c r="M48" s="128"/>
      <c r="N48" s="128"/>
      <c r="O48" s="128"/>
      <c r="P48" s="218"/>
      <c r="Q48" s="230"/>
    </row>
    <row r="49" spans="1:19" ht="13.9" customHeight="1" x14ac:dyDescent="0.25">
      <c r="B49" s="129"/>
      <c r="G49" s="143"/>
      <c r="H49" s="128"/>
      <c r="J49" s="128"/>
      <c r="K49" s="128"/>
      <c r="L49" s="128"/>
      <c r="M49" s="128"/>
      <c r="N49" s="128"/>
      <c r="O49" s="128"/>
      <c r="P49" s="218"/>
      <c r="Q49" s="230"/>
      <c r="R49" s="143"/>
    </row>
    <row r="50" spans="1:19" ht="13.9" customHeight="1" x14ac:dyDescent="0.25">
      <c r="B50" s="129"/>
      <c r="H50" s="128"/>
      <c r="J50" s="128"/>
      <c r="K50" s="128"/>
      <c r="L50" s="128"/>
      <c r="M50" s="128"/>
      <c r="N50" s="128"/>
      <c r="O50" s="128"/>
      <c r="P50" s="218"/>
      <c r="Q50" s="216"/>
      <c r="R50" s="143"/>
    </row>
    <row r="51" spans="1:19" x14ac:dyDescent="0.25">
      <c r="B51" s="129"/>
      <c r="H51" s="128"/>
      <c r="J51" s="128"/>
      <c r="K51" s="128"/>
      <c r="L51" s="128"/>
      <c r="M51" s="128"/>
      <c r="N51" s="128"/>
      <c r="O51" s="128"/>
      <c r="P51" s="218"/>
      <c r="Q51" s="216"/>
    </row>
    <row r="52" spans="1:19" x14ac:dyDescent="0.25">
      <c r="A52" s="128"/>
      <c r="B52" s="129"/>
      <c r="H52" s="128"/>
      <c r="J52" s="128"/>
      <c r="K52" s="128"/>
      <c r="L52" s="128"/>
      <c r="M52" s="128"/>
      <c r="N52" s="128"/>
      <c r="O52" s="128"/>
      <c r="P52" s="218"/>
      <c r="Q52" s="216"/>
    </row>
    <row r="53" spans="1:19" x14ac:dyDescent="0.25">
      <c r="A53" s="128"/>
      <c r="B53" s="129"/>
      <c r="H53" s="128"/>
      <c r="J53" s="128"/>
      <c r="K53" s="128"/>
      <c r="L53" s="128"/>
      <c r="M53" s="128"/>
      <c r="N53" s="128"/>
      <c r="O53" s="128"/>
      <c r="P53" s="218"/>
      <c r="Q53" s="216"/>
    </row>
    <row r="54" spans="1:19" x14ac:dyDescent="0.25">
      <c r="A54" s="128"/>
      <c r="B54" s="128"/>
      <c r="G54" s="143"/>
      <c r="J54" s="128"/>
      <c r="K54" s="128"/>
      <c r="L54" s="128"/>
      <c r="M54" s="128"/>
      <c r="N54" s="128"/>
      <c r="O54" s="128"/>
      <c r="P54" s="128"/>
      <c r="Q54" s="216"/>
    </row>
    <row r="55" spans="1:19" x14ac:dyDescent="0.25">
      <c r="A55" s="128"/>
      <c r="B55" s="128"/>
      <c r="H55" s="128"/>
      <c r="J55" s="128"/>
      <c r="K55" s="128"/>
      <c r="L55" s="128"/>
      <c r="M55" s="128"/>
      <c r="N55" s="128"/>
      <c r="O55" s="128"/>
      <c r="P55" s="128"/>
      <c r="Q55" s="216"/>
    </row>
    <row r="57" spans="1:19" s="143" customFormat="1" x14ac:dyDescent="0.25">
      <c r="A57" s="129"/>
      <c r="B57" s="163"/>
      <c r="C57" s="128"/>
      <c r="D57" s="128"/>
      <c r="E57" s="128"/>
      <c r="F57" s="128"/>
      <c r="I57" s="128"/>
      <c r="R57" s="128"/>
      <c r="S57" s="128"/>
    </row>
  </sheetData>
  <mergeCells count="31">
    <mergeCell ref="C38:E38"/>
    <mergeCell ref="C39:E39"/>
    <mergeCell ref="C40:E40"/>
    <mergeCell ref="C41:E41"/>
    <mergeCell ref="C42:E42"/>
    <mergeCell ref="A44:F44"/>
    <mergeCell ref="O5:O6"/>
    <mergeCell ref="P5:P6"/>
    <mergeCell ref="Q5:Q6"/>
    <mergeCell ref="C27:E27"/>
    <mergeCell ref="C28:E28"/>
    <mergeCell ref="C43:E43"/>
    <mergeCell ref="C29:E29"/>
    <mergeCell ref="C30:E30"/>
    <mergeCell ref="C31:E31"/>
    <mergeCell ref="C32:E32"/>
    <mergeCell ref="C33:E33"/>
    <mergeCell ref="C34:E34"/>
    <mergeCell ref="C35:E35"/>
    <mergeCell ref="C36:E36"/>
    <mergeCell ref="C37:E37"/>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20B0-C0C0-4A5A-BD80-FE930EDA4038}">
  <dimension ref="A1:S52"/>
  <sheetViews>
    <sheetView zoomScale="90" zoomScaleNormal="90" workbookViewId="0">
      <selection activeCell="Q37" sqref="Q37"/>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5162</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45231</v>
      </c>
      <c r="C8" s="134" t="s">
        <v>1382</v>
      </c>
      <c r="D8" s="211" t="s">
        <v>5082</v>
      </c>
      <c r="E8" s="136" t="s">
        <v>4597</v>
      </c>
      <c r="F8" s="134"/>
      <c r="G8" s="134">
        <v>390</v>
      </c>
      <c r="H8" s="208">
        <f>21940*G8</f>
        <v>8556600</v>
      </c>
      <c r="I8" s="134"/>
      <c r="J8" s="226">
        <v>3868000</v>
      </c>
      <c r="K8" s="139"/>
      <c r="L8" s="263"/>
      <c r="M8" s="139"/>
      <c r="N8" s="139"/>
      <c r="O8" s="139">
        <f>SUM(H8:N8)</f>
        <v>12424600</v>
      </c>
      <c r="P8" s="139">
        <v>21650000</v>
      </c>
      <c r="Q8" s="139">
        <f>P8-O8</f>
        <v>9225400</v>
      </c>
      <c r="R8" s="143"/>
    </row>
    <row r="9" spans="1:18" ht="24.95" customHeight="1" x14ac:dyDescent="0.25">
      <c r="A9" s="211">
        <v>2</v>
      </c>
      <c r="B9" s="328">
        <v>45233</v>
      </c>
      <c r="C9" s="134" t="s">
        <v>3406</v>
      </c>
      <c r="D9" s="211" t="s">
        <v>5083</v>
      </c>
      <c r="E9" s="136" t="s">
        <v>25</v>
      </c>
      <c r="F9" s="134"/>
      <c r="G9" s="134">
        <v>180</v>
      </c>
      <c r="H9" s="208">
        <f t="shared" ref="H9:H15" si="0">21940*G9</f>
        <v>3949200</v>
      </c>
      <c r="I9" s="134"/>
      <c r="J9" s="226">
        <v>1530000</v>
      </c>
      <c r="K9" s="139"/>
      <c r="L9" s="263"/>
      <c r="M9" s="139"/>
      <c r="N9" s="139"/>
      <c r="O9" s="139">
        <f>SUM(H9:N9)</f>
        <v>5479200</v>
      </c>
      <c r="P9" s="139">
        <v>8851852</v>
      </c>
      <c r="Q9" s="139">
        <f t="shared" ref="Q9:Q31" si="1">P9-O9</f>
        <v>3372652</v>
      </c>
      <c r="R9" s="143"/>
    </row>
    <row r="10" spans="1:18" ht="24.95" customHeight="1" x14ac:dyDescent="0.25">
      <c r="A10" s="211">
        <v>3</v>
      </c>
      <c r="B10" s="328">
        <v>45236</v>
      </c>
      <c r="C10" s="134" t="s">
        <v>2750</v>
      </c>
      <c r="D10" s="211" t="s">
        <v>5084</v>
      </c>
      <c r="E10" s="136" t="s">
        <v>4763</v>
      </c>
      <c r="F10" s="134"/>
      <c r="G10" s="134">
        <v>160</v>
      </c>
      <c r="H10" s="208">
        <f t="shared" si="0"/>
        <v>3510400</v>
      </c>
      <c r="I10" s="134"/>
      <c r="J10" s="226">
        <v>1136000</v>
      </c>
      <c r="K10" s="139"/>
      <c r="L10" s="263"/>
      <c r="M10" s="139"/>
      <c r="N10" s="139"/>
      <c r="O10" s="139">
        <f t="shared" ref="O10:O17" si="2">SUM(H10:N10)</f>
        <v>4646400</v>
      </c>
      <c r="P10" s="139">
        <v>7200000</v>
      </c>
      <c r="Q10" s="139">
        <f t="shared" si="1"/>
        <v>2553600</v>
      </c>
      <c r="R10" s="143"/>
    </row>
    <row r="11" spans="1:18" ht="24.95" customHeight="1" x14ac:dyDescent="0.25">
      <c r="A11" s="211">
        <v>4</v>
      </c>
      <c r="B11" s="328">
        <v>45236</v>
      </c>
      <c r="C11" s="134" t="s">
        <v>733</v>
      </c>
      <c r="D11" s="211" t="s">
        <v>5085</v>
      </c>
      <c r="E11" s="136" t="s">
        <v>4141</v>
      </c>
      <c r="F11" s="134"/>
      <c r="G11" s="134">
        <v>51</v>
      </c>
      <c r="H11" s="208">
        <f t="shared" si="0"/>
        <v>1118940</v>
      </c>
      <c r="I11" s="134"/>
      <c r="J11" s="226">
        <v>340000</v>
      </c>
      <c r="K11" s="139"/>
      <c r="L11" s="263"/>
      <c r="M11" s="139"/>
      <c r="N11" s="139"/>
      <c r="O11" s="139">
        <f t="shared" si="2"/>
        <v>1458940</v>
      </c>
      <c r="P11" s="139">
        <v>3049259</v>
      </c>
      <c r="Q11" s="139">
        <f t="shared" si="1"/>
        <v>1590319</v>
      </c>
      <c r="R11" s="143"/>
    </row>
    <row r="12" spans="1:18" ht="24.95" customHeight="1" x14ac:dyDescent="0.25">
      <c r="A12" s="211">
        <v>5</v>
      </c>
      <c r="B12" s="328">
        <v>45237</v>
      </c>
      <c r="C12" s="134" t="s">
        <v>2752</v>
      </c>
      <c r="D12" s="211" t="s">
        <v>5086</v>
      </c>
      <c r="E12" s="136" t="s">
        <v>5077</v>
      </c>
      <c r="F12" s="134"/>
      <c r="G12" s="134">
        <v>95</v>
      </c>
      <c r="H12" s="208">
        <f t="shared" si="0"/>
        <v>2084300</v>
      </c>
      <c r="I12" s="134"/>
      <c r="J12" s="226">
        <v>890000</v>
      </c>
      <c r="K12" s="139"/>
      <c r="L12" s="263"/>
      <c r="M12" s="139"/>
      <c r="N12" s="139"/>
      <c r="O12" s="139">
        <f t="shared" si="2"/>
        <v>2974300</v>
      </c>
      <c r="P12" s="139">
        <v>4700000</v>
      </c>
      <c r="Q12" s="139">
        <f t="shared" si="1"/>
        <v>1725700</v>
      </c>
      <c r="R12" s="143"/>
    </row>
    <row r="13" spans="1:18" ht="24.95" customHeight="1" x14ac:dyDescent="0.25">
      <c r="A13" s="211">
        <v>6</v>
      </c>
      <c r="B13" s="328">
        <v>45238</v>
      </c>
      <c r="C13" s="134" t="s">
        <v>5106</v>
      </c>
      <c r="D13" s="211" t="s">
        <v>5087</v>
      </c>
      <c r="E13" s="136" t="s">
        <v>248</v>
      </c>
      <c r="F13" s="134"/>
      <c r="G13" s="134">
        <v>90</v>
      </c>
      <c r="H13" s="208">
        <f t="shared" si="0"/>
        <v>1974600</v>
      </c>
      <c r="I13" s="134"/>
      <c r="J13" s="226">
        <v>790000</v>
      </c>
      <c r="K13" s="139"/>
      <c r="L13" s="263"/>
      <c r="M13" s="139"/>
      <c r="N13" s="139"/>
      <c r="O13" s="139">
        <f t="shared" si="2"/>
        <v>2764600</v>
      </c>
      <c r="P13" s="139">
        <v>4722222</v>
      </c>
      <c r="Q13" s="139">
        <f t="shared" si="1"/>
        <v>1957622</v>
      </c>
      <c r="R13" s="143"/>
    </row>
    <row r="14" spans="1:18" ht="24.95" customHeight="1" x14ac:dyDescent="0.25">
      <c r="A14" s="211">
        <v>7</v>
      </c>
      <c r="B14" s="328">
        <v>45238</v>
      </c>
      <c r="C14" s="134" t="s">
        <v>4052</v>
      </c>
      <c r="D14" s="211" t="s">
        <v>5088</v>
      </c>
      <c r="E14" s="136" t="s">
        <v>4544</v>
      </c>
      <c r="F14" s="134"/>
      <c r="G14" s="134">
        <v>269</v>
      </c>
      <c r="H14" s="208">
        <f t="shared" si="0"/>
        <v>5901860</v>
      </c>
      <c r="I14" s="134"/>
      <c r="J14" s="226">
        <v>3032000</v>
      </c>
      <c r="K14" s="139"/>
      <c r="L14" s="263"/>
      <c r="M14" s="139"/>
      <c r="N14" s="139"/>
      <c r="O14" s="139">
        <f t="shared" si="2"/>
        <v>8933860</v>
      </c>
      <c r="P14" s="139">
        <v>14629630</v>
      </c>
      <c r="Q14" s="139">
        <f t="shared" si="1"/>
        <v>5695770</v>
      </c>
      <c r="R14" s="143"/>
    </row>
    <row r="15" spans="1:18" ht="24.95" customHeight="1" x14ac:dyDescent="0.25">
      <c r="A15" s="211">
        <v>8</v>
      </c>
      <c r="B15" s="328">
        <v>45240</v>
      </c>
      <c r="C15" s="134" t="s">
        <v>5107</v>
      </c>
      <c r="D15" s="211" t="s">
        <v>5089</v>
      </c>
      <c r="E15" s="136" t="s">
        <v>5078</v>
      </c>
      <c r="F15" s="134"/>
      <c r="G15" s="134">
        <v>87</v>
      </c>
      <c r="H15" s="208">
        <f t="shared" si="0"/>
        <v>1908780</v>
      </c>
      <c r="I15" s="134"/>
      <c r="J15" s="226">
        <v>790000</v>
      </c>
      <c r="K15" s="139"/>
      <c r="L15" s="263"/>
      <c r="M15" s="139"/>
      <c r="N15" s="139"/>
      <c r="O15" s="139">
        <f t="shared" si="2"/>
        <v>2698780</v>
      </c>
      <c r="P15" s="139">
        <v>4100000</v>
      </c>
      <c r="Q15" s="139">
        <f t="shared" si="1"/>
        <v>1401220</v>
      </c>
      <c r="R15" s="143"/>
    </row>
    <row r="16" spans="1:18" ht="24.95" customHeight="1" x14ac:dyDescent="0.25">
      <c r="A16" s="211">
        <v>9</v>
      </c>
      <c r="B16" s="328">
        <v>45243</v>
      </c>
      <c r="C16" s="134" t="s">
        <v>5108</v>
      </c>
      <c r="D16" s="211" t="s">
        <v>5090</v>
      </c>
      <c r="E16" s="136" t="s">
        <v>4763</v>
      </c>
      <c r="F16" s="134"/>
      <c r="G16" s="134">
        <v>164</v>
      </c>
      <c r="H16" s="139">
        <f>G16*20880</f>
        <v>3424320</v>
      </c>
      <c r="I16" s="134"/>
      <c r="J16" s="226">
        <v>1190000</v>
      </c>
      <c r="K16" s="139"/>
      <c r="L16" s="263"/>
      <c r="M16" s="139"/>
      <c r="N16" s="139"/>
      <c r="O16" s="139">
        <f t="shared" si="2"/>
        <v>4614320</v>
      </c>
      <c r="P16" s="139">
        <v>7200000</v>
      </c>
      <c r="Q16" s="139">
        <f t="shared" si="1"/>
        <v>2585680</v>
      </c>
      <c r="R16" s="143"/>
    </row>
    <row r="17" spans="1:18" ht="24.95" customHeight="1" x14ac:dyDescent="0.25">
      <c r="A17" s="211">
        <v>10</v>
      </c>
      <c r="B17" s="328">
        <v>45244</v>
      </c>
      <c r="C17" s="134" t="s">
        <v>5109</v>
      </c>
      <c r="D17" s="211" t="s">
        <v>5091</v>
      </c>
      <c r="E17" s="136" t="s">
        <v>5079</v>
      </c>
      <c r="F17" s="134"/>
      <c r="G17" s="134">
        <v>61</v>
      </c>
      <c r="H17" s="139">
        <f t="shared" ref="H17:H23" si="3">G17*20880</f>
        <v>1273680</v>
      </c>
      <c r="I17" s="134"/>
      <c r="J17" s="226">
        <v>430000</v>
      </c>
      <c r="K17" s="139"/>
      <c r="L17" s="263"/>
      <c r="M17" s="139"/>
      <c r="N17" s="139"/>
      <c r="O17" s="139">
        <f t="shared" si="2"/>
        <v>1703680</v>
      </c>
      <c r="P17" s="139">
        <v>3210000</v>
      </c>
      <c r="Q17" s="139">
        <f t="shared" si="1"/>
        <v>1506320</v>
      </c>
      <c r="R17" s="143"/>
    </row>
    <row r="18" spans="1:18" ht="24.95" customHeight="1" x14ac:dyDescent="0.25">
      <c r="A18" s="211">
        <v>11</v>
      </c>
      <c r="B18" s="328">
        <v>45244</v>
      </c>
      <c r="C18" s="134" t="s">
        <v>2757</v>
      </c>
      <c r="D18" s="211" t="s">
        <v>5092</v>
      </c>
      <c r="E18" s="136" t="s">
        <v>21</v>
      </c>
      <c r="F18" s="134"/>
      <c r="G18" s="134">
        <v>67</v>
      </c>
      <c r="H18" s="139">
        <f t="shared" si="3"/>
        <v>1398960</v>
      </c>
      <c r="I18" s="134"/>
      <c r="J18" s="226">
        <v>430000</v>
      </c>
      <c r="K18" s="139"/>
      <c r="L18" s="263"/>
      <c r="M18" s="139"/>
      <c r="N18" s="139"/>
      <c r="O18" s="139">
        <f>SUM(H18:N18)</f>
        <v>1828960</v>
      </c>
      <c r="P18" s="139">
        <v>3100000</v>
      </c>
      <c r="Q18" s="139">
        <f t="shared" si="1"/>
        <v>1271040</v>
      </c>
      <c r="R18" s="143"/>
    </row>
    <row r="19" spans="1:18" ht="24.95" customHeight="1" x14ac:dyDescent="0.25">
      <c r="A19" s="211">
        <v>12</v>
      </c>
      <c r="B19" s="328">
        <v>45245</v>
      </c>
      <c r="C19" s="134" t="s">
        <v>5110</v>
      </c>
      <c r="D19" s="211" t="s">
        <v>5093</v>
      </c>
      <c r="E19" s="136" t="s">
        <v>5080</v>
      </c>
      <c r="F19" s="134"/>
      <c r="G19" s="134">
        <v>61</v>
      </c>
      <c r="H19" s="139">
        <f t="shared" si="3"/>
        <v>1273680</v>
      </c>
      <c r="I19" s="134"/>
      <c r="J19" s="226">
        <v>430000</v>
      </c>
      <c r="K19" s="139"/>
      <c r="L19" s="263"/>
      <c r="M19" s="139"/>
      <c r="N19" s="139"/>
      <c r="O19" s="139">
        <f>SUM(H19:N19)</f>
        <v>1703680</v>
      </c>
      <c r="P19" s="139">
        <v>3450000</v>
      </c>
      <c r="Q19" s="139">
        <f t="shared" si="1"/>
        <v>1746320</v>
      </c>
      <c r="R19" s="143"/>
    </row>
    <row r="20" spans="1:18" ht="24.95" customHeight="1" x14ac:dyDescent="0.25">
      <c r="A20" s="211">
        <v>13</v>
      </c>
      <c r="B20" s="328">
        <v>45246</v>
      </c>
      <c r="C20" s="134" t="s">
        <v>5111</v>
      </c>
      <c r="D20" s="211" t="s">
        <v>5094</v>
      </c>
      <c r="E20" s="136" t="s">
        <v>25</v>
      </c>
      <c r="F20" s="134"/>
      <c r="G20" s="134">
        <v>180</v>
      </c>
      <c r="H20" s="139">
        <f t="shared" si="3"/>
        <v>3758400</v>
      </c>
      <c r="I20" s="134"/>
      <c r="J20" s="226">
        <v>1530000</v>
      </c>
      <c r="K20" s="139"/>
      <c r="L20" s="263"/>
      <c r="M20" s="139"/>
      <c r="N20" s="139"/>
      <c r="O20" s="139">
        <f>SUM(H20:N20)</f>
        <v>5288400</v>
      </c>
      <c r="P20" s="139">
        <v>8851852</v>
      </c>
      <c r="Q20" s="139">
        <f t="shared" si="1"/>
        <v>3563452</v>
      </c>
      <c r="R20" s="143"/>
    </row>
    <row r="21" spans="1:18" ht="24.95" customHeight="1" x14ac:dyDescent="0.25">
      <c r="A21" s="211">
        <v>14</v>
      </c>
      <c r="B21" s="328">
        <v>45247</v>
      </c>
      <c r="C21" s="134" t="s">
        <v>4056</v>
      </c>
      <c r="D21" s="211" t="s">
        <v>5095</v>
      </c>
      <c r="E21" s="136" t="s">
        <v>4509</v>
      </c>
      <c r="F21" s="134"/>
      <c r="G21" s="134">
        <v>377</v>
      </c>
      <c r="H21" s="139">
        <f t="shared" si="3"/>
        <v>7871760</v>
      </c>
      <c r="I21" s="134"/>
      <c r="J21" s="226">
        <v>3868000</v>
      </c>
      <c r="K21" s="139"/>
      <c r="L21" s="263"/>
      <c r="M21" s="139"/>
      <c r="N21" s="139"/>
      <c r="O21" s="139">
        <f t="shared" ref="O21:O37" si="4">SUM(H21:N21)</f>
        <v>11739760</v>
      </c>
      <c r="P21" s="139">
        <v>20800000</v>
      </c>
      <c r="Q21" s="139">
        <f t="shared" si="1"/>
        <v>9060240</v>
      </c>
      <c r="R21" s="143"/>
    </row>
    <row r="22" spans="1:18" ht="24.95" customHeight="1" x14ac:dyDescent="0.25">
      <c r="A22" s="211">
        <v>15</v>
      </c>
      <c r="B22" s="328">
        <v>45250</v>
      </c>
      <c r="C22" s="134" t="s">
        <v>2760</v>
      </c>
      <c r="D22" s="211" t="s">
        <v>5096</v>
      </c>
      <c r="E22" s="136" t="s">
        <v>21</v>
      </c>
      <c r="F22" s="134"/>
      <c r="G22" s="134">
        <v>65</v>
      </c>
      <c r="H22" s="139">
        <f>G22*20880</f>
        <v>1357200</v>
      </c>
      <c r="I22" s="134"/>
      <c r="J22" s="226">
        <v>430000</v>
      </c>
      <c r="K22" s="139"/>
      <c r="L22" s="263"/>
      <c r="M22" s="139"/>
      <c r="N22" s="139"/>
      <c r="O22" s="139">
        <f t="shared" si="4"/>
        <v>1787200</v>
      </c>
      <c r="P22" s="139">
        <v>3210000</v>
      </c>
      <c r="Q22" s="139">
        <f t="shared" si="1"/>
        <v>1422800</v>
      </c>
      <c r="R22" s="143"/>
    </row>
    <row r="23" spans="1:18" ht="24.95" customHeight="1" x14ac:dyDescent="0.25">
      <c r="A23" s="211">
        <v>16</v>
      </c>
      <c r="B23" s="328">
        <v>45251</v>
      </c>
      <c r="C23" s="134" t="s">
        <v>5112</v>
      </c>
      <c r="D23" s="211" t="s">
        <v>5097</v>
      </c>
      <c r="E23" s="136" t="s">
        <v>291</v>
      </c>
      <c r="F23" s="134"/>
      <c r="G23" s="134">
        <v>68</v>
      </c>
      <c r="H23" s="139">
        <f t="shared" si="3"/>
        <v>1419840</v>
      </c>
      <c r="I23" s="134"/>
      <c r="J23" s="226">
        <v>610000</v>
      </c>
      <c r="K23" s="139"/>
      <c r="L23" s="263"/>
      <c r="M23" s="139"/>
      <c r="N23" s="139"/>
      <c r="O23" s="139">
        <f t="shared" si="4"/>
        <v>2029840</v>
      </c>
      <c r="P23" s="139">
        <v>3850000</v>
      </c>
      <c r="Q23" s="139">
        <f t="shared" si="1"/>
        <v>1820160</v>
      </c>
      <c r="R23" s="143"/>
    </row>
    <row r="24" spans="1:18" ht="24.95" customHeight="1" x14ac:dyDescent="0.25">
      <c r="A24" s="211">
        <v>17</v>
      </c>
      <c r="B24" s="328">
        <v>45251</v>
      </c>
      <c r="C24" s="134" t="s">
        <v>1395</v>
      </c>
      <c r="D24" s="211" t="s">
        <v>5098</v>
      </c>
      <c r="E24" s="136" t="s">
        <v>2883</v>
      </c>
      <c r="F24" s="134"/>
      <c r="G24" s="134">
        <v>62</v>
      </c>
      <c r="H24" s="139">
        <f>G24*20280</f>
        <v>1257360</v>
      </c>
      <c r="I24" s="134"/>
      <c r="J24" s="226">
        <v>430000</v>
      </c>
      <c r="K24" s="139"/>
      <c r="L24" s="263"/>
      <c r="M24" s="139"/>
      <c r="N24" s="139"/>
      <c r="O24" s="139">
        <f t="shared" si="4"/>
        <v>1687360</v>
      </c>
      <c r="P24" s="139">
        <v>3450000</v>
      </c>
      <c r="Q24" s="139">
        <f t="shared" si="1"/>
        <v>1762640</v>
      </c>
      <c r="R24" s="143"/>
    </row>
    <row r="25" spans="1:18" ht="24.95" customHeight="1" x14ac:dyDescent="0.25">
      <c r="A25" s="211">
        <v>18</v>
      </c>
      <c r="B25" s="328">
        <v>45252</v>
      </c>
      <c r="C25" s="134" t="s">
        <v>3415</v>
      </c>
      <c r="D25" s="211" t="s">
        <v>5099</v>
      </c>
      <c r="E25" s="136" t="s">
        <v>4763</v>
      </c>
      <c r="F25" s="134"/>
      <c r="G25" s="134">
        <v>154</v>
      </c>
      <c r="H25" s="139">
        <f t="shared" ref="H25:H31" si="5">G25*20280</f>
        <v>3123120</v>
      </c>
      <c r="I25" s="134"/>
      <c r="J25" s="226">
        <v>1190000</v>
      </c>
      <c r="K25" s="139"/>
      <c r="L25" s="263"/>
      <c r="M25" s="139"/>
      <c r="N25" s="139"/>
      <c r="O25" s="139">
        <f t="shared" si="4"/>
        <v>4313120</v>
      </c>
      <c r="P25" s="139">
        <v>7050000</v>
      </c>
      <c r="Q25" s="139">
        <f t="shared" si="1"/>
        <v>2736880</v>
      </c>
      <c r="R25" s="143"/>
    </row>
    <row r="26" spans="1:18" ht="24.95" customHeight="1" x14ac:dyDescent="0.25">
      <c r="A26" s="211">
        <v>19</v>
      </c>
      <c r="B26" s="328">
        <v>45254</v>
      </c>
      <c r="C26" s="134" t="s">
        <v>3416</v>
      </c>
      <c r="D26" s="211" t="s">
        <v>5100</v>
      </c>
      <c r="E26" s="136" t="s">
        <v>4763</v>
      </c>
      <c r="F26" s="134"/>
      <c r="G26" s="134">
        <v>164</v>
      </c>
      <c r="H26" s="139">
        <f t="shared" si="5"/>
        <v>3325920</v>
      </c>
      <c r="I26" s="134"/>
      <c r="J26" s="226">
        <v>1190000</v>
      </c>
      <c r="K26" s="139"/>
      <c r="L26" s="263"/>
      <c r="M26" s="139"/>
      <c r="N26" s="139"/>
      <c r="O26" s="139">
        <f t="shared" si="4"/>
        <v>4515920</v>
      </c>
      <c r="P26" s="139">
        <v>7050000</v>
      </c>
      <c r="Q26" s="139">
        <f t="shared" si="1"/>
        <v>2534080</v>
      </c>
      <c r="R26" s="143"/>
    </row>
    <row r="27" spans="1:18" ht="24.95" customHeight="1" x14ac:dyDescent="0.25">
      <c r="A27" s="211">
        <v>20</v>
      </c>
      <c r="B27" s="328">
        <v>45254</v>
      </c>
      <c r="C27" s="134" t="s">
        <v>741</v>
      </c>
      <c r="D27" s="211" t="s">
        <v>5101</v>
      </c>
      <c r="E27" s="136" t="s">
        <v>5073</v>
      </c>
      <c r="F27" s="134"/>
      <c r="G27" s="134">
        <v>42</v>
      </c>
      <c r="H27" s="139">
        <f t="shared" si="5"/>
        <v>851760</v>
      </c>
      <c r="I27" s="134"/>
      <c r="J27" s="226">
        <v>340000</v>
      </c>
      <c r="K27" s="139"/>
      <c r="L27" s="263"/>
      <c r="M27" s="139"/>
      <c r="N27" s="139"/>
      <c r="O27" s="139">
        <f t="shared" si="4"/>
        <v>1191760</v>
      </c>
      <c r="P27" s="139">
        <v>2770000</v>
      </c>
      <c r="Q27" s="139">
        <f t="shared" si="1"/>
        <v>1578240</v>
      </c>
      <c r="R27" s="143"/>
    </row>
    <row r="28" spans="1:18" ht="24.95" customHeight="1" x14ac:dyDescent="0.25">
      <c r="A28" s="211">
        <v>21</v>
      </c>
      <c r="B28" s="328">
        <v>45257</v>
      </c>
      <c r="C28" s="134" t="s">
        <v>5113</v>
      </c>
      <c r="D28" s="211" t="s">
        <v>5102</v>
      </c>
      <c r="E28" s="136" t="s">
        <v>5081</v>
      </c>
      <c r="F28" s="134"/>
      <c r="G28" s="134">
        <v>67</v>
      </c>
      <c r="H28" s="139">
        <f t="shared" si="5"/>
        <v>1358760</v>
      </c>
      <c r="I28" s="134"/>
      <c r="J28" s="226">
        <v>790000</v>
      </c>
      <c r="K28" s="139"/>
      <c r="L28" s="263"/>
      <c r="M28" s="139"/>
      <c r="N28" s="139"/>
      <c r="O28" s="139">
        <f t="shared" si="4"/>
        <v>2148760</v>
      </c>
      <c r="P28" s="139">
        <v>3600000</v>
      </c>
      <c r="Q28" s="139">
        <f t="shared" si="1"/>
        <v>1451240</v>
      </c>
      <c r="R28" s="143"/>
    </row>
    <row r="29" spans="1:18" ht="24.95" customHeight="1" x14ac:dyDescent="0.25">
      <c r="A29" s="211">
        <v>22</v>
      </c>
      <c r="B29" s="328">
        <v>45257</v>
      </c>
      <c r="C29" s="134" t="s">
        <v>3420</v>
      </c>
      <c r="D29" s="211" t="s">
        <v>5103</v>
      </c>
      <c r="E29" s="136" t="s">
        <v>25</v>
      </c>
      <c r="F29" s="134"/>
      <c r="G29" s="134">
        <v>196</v>
      </c>
      <c r="H29" s="139">
        <f t="shared" si="5"/>
        <v>3974880</v>
      </c>
      <c r="I29" s="134"/>
      <c r="J29" s="226">
        <v>1530000</v>
      </c>
      <c r="K29" s="139"/>
      <c r="L29" s="263"/>
      <c r="M29" s="139"/>
      <c r="N29" s="139"/>
      <c r="O29" s="139">
        <f t="shared" si="4"/>
        <v>5504880</v>
      </c>
      <c r="P29" s="139">
        <v>9259259</v>
      </c>
      <c r="Q29" s="139">
        <f t="shared" si="1"/>
        <v>3754379</v>
      </c>
      <c r="R29" s="143"/>
    </row>
    <row r="30" spans="1:18" ht="24.95" customHeight="1" x14ac:dyDescent="0.25">
      <c r="A30" s="211">
        <v>23</v>
      </c>
      <c r="B30" s="328">
        <v>45258</v>
      </c>
      <c r="C30" s="134" t="s">
        <v>2089</v>
      </c>
      <c r="D30" s="211" t="s">
        <v>5104</v>
      </c>
      <c r="E30" s="136" t="s">
        <v>4544</v>
      </c>
      <c r="F30" s="134"/>
      <c r="G30" s="134">
        <v>276</v>
      </c>
      <c r="H30" s="139">
        <f t="shared" si="5"/>
        <v>5597280</v>
      </c>
      <c r="I30" s="134"/>
      <c r="J30" s="226">
        <v>2818000</v>
      </c>
      <c r="K30" s="139"/>
      <c r="L30" s="263"/>
      <c r="M30" s="139"/>
      <c r="N30" s="139"/>
      <c r="O30" s="139">
        <f t="shared" si="4"/>
        <v>8415280</v>
      </c>
      <c r="P30" s="139">
        <v>14629630</v>
      </c>
      <c r="Q30" s="139">
        <f t="shared" si="1"/>
        <v>6214350</v>
      </c>
      <c r="R30" s="143"/>
    </row>
    <row r="31" spans="1:18" ht="24.95" customHeight="1" x14ac:dyDescent="0.25">
      <c r="A31" s="211">
        <v>24</v>
      </c>
      <c r="B31" s="328">
        <v>45259</v>
      </c>
      <c r="C31" s="134" t="s">
        <v>5114</v>
      </c>
      <c r="D31" s="211" t="s">
        <v>5105</v>
      </c>
      <c r="E31" s="136" t="s">
        <v>4088</v>
      </c>
      <c r="F31" s="134"/>
      <c r="G31" s="134">
        <v>106</v>
      </c>
      <c r="H31" s="139">
        <f t="shared" si="5"/>
        <v>2149680</v>
      </c>
      <c r="I31" s="134"/>
      <c r="J31" s="226">
        <v>790000</v>
      </c>
      <c r="K31" s="139"/>
      <c r="L31" s="263"/>
      <c r="M31" s="139"/>
      <c r="N31" s="139"/>
      <c r="O31" s="139">
        <f t="shared" si="4"/>
        <v>2939680</v>
      </c>
      <c r="P31" s="139">
        <v>4350000</v>
      </c>
      <c r="Q31" s="139">
        <f t="shared" si="1"/>
        <v>1410320</v>
      </c>
      <c r="R31" s="143"/>
    </row>
    <row r="32" spans="1:18" ht="24.95" customHeight="1" x14ac:dyDescent="0.25">
      <c r="A32" s="210"/>
      <c r="B32" s="381"/>
      <c r="C32" s="474" t="s">
        <v>26</v>
      </c>
      <c r="D32" s="475"/>
      <c r="E32" s="476"/>
      <c r="F32" s="376"/>
      <c r="G32" s="151"/>
      <c r="H32" s="377"/>
      <c r="I32" s="151"/>
      <c r="J32" s="377"/>
      <c r="K32" s="382">
        <v>1200000</v>
      </c>
      <c r="L32" s="378"/>
      <c r="M32" s="142"/>
      <c r="N32" s="142"/>
      <c r="O32" s="142">
        <f t="shared" si="4"/>
        <v>1200000</v>
      </c>
      <c r="P32" s="142"/>
      <c r="Q32" s="142"/>
      <c r="R32" s="143"/>
    </row>
    <row r="33" spans="1:19" ht="24.95" customHeight="1" x14ac:dyDescent="0.25">
      <c r="A33" s="211"/>
      <c r="B33" s="328"/>
      <c r="C33" s="452" t="s">
        <v>4798</v>
      </c>
      <c r="D33" s="453"/>
      <c r="E33" s="454"/>
      <c r="F33" s="196"/>
      <c r="G33" s="195"/>
      <c r="H33" s="155"/>
      <c r="I33" s="195"/>
      <c r="J33" s="155"/>
      <c r="K33" s="382">
        <v>10284000</v>
      </c>
      <c r="L33" s="378"/>
      <c r="M33" s="378"/>
      <c r="N33" s="378"/>
      <c r="O33" s="139">
        <f t="shared" si="4"/>
        <v>10284000</v>
      </c>
      <c r="P33" s="139"/>
      <c r="Q33" s="139"/>
      <c r="R33" s="143"/>
    </row>
    <row r="34" spans="1:19" ht="24.95" customHeight="1" x14ac:dyDescent="0.25">
      <c r="A34" s="211"/>
      <c r="B34" s="328"/>
      <c r="C34" s="452" t="s">
        <v>5164</v>
      </c>
      <c r="D34" s="453"/>
      <c r="E34" s="454"/>
      <c r="F34" s="196"/>
      <c r="G34" s="195"/>
      <c r="H34" s="155"/>
      <c r="I34" s="195"/>
      <c r="J34" s="155"/>
      <c r="K34" s="378"/>
      <c r="L34" s="382">
        <v>4160000</v>
      </c>
      <c r="M34" s="378"/>
      <c r="N34" s="378"/>
      <c r="O34" s="139">
        <f t="shared" si="4"/>
        <v>4160000</v>
      </c>
      <c r="P34" s="139"/>
      <c r="Q34" s="139"/>
      <c r="R34" s="143"/>
    </row>
    <row r="35" spans="1:19" ht="24.95" customHeight="1" x14ac:dyDescent="0.25">
      <c r="A35" s="211"/>
      <c r="B35" s="328"/>
      <c r="C35" s="452" t="s">
        <v>5165</v>
      </c>
      <c r="D35" s="453"/>
      <c r="E35" s="454"/>
      <c r="F35" s="196"/>
      <c r="G35" s="195"/>
      <c r="H35" s="155"/>
      <c r="I35" s="195"/>
      <c r="J35" s="155"/>
      <c r="K35" s="378"/>
      <c r="L35" s="382">
        <v>1100000</v>
      </c>
      <c r="M35" s="378"/>
      <c r="N35" s="378"/>
      <c r="O35" s="139">
        <f t="shared" si="4"/>
        <v>1100000</v>
      </c>
      <c r="P35" s="139"/>
      <c r="Q35" s="139"/>
      <c r="R35" s="143"/>
    </row>
    <row r="36" spans="1:19" ht="24.95" customHeight="1" x14ac:dyDescent="0.25">
      <c r="A36" s="211"/>
      <c r="B36" s="328"/>
      <c r="C36" s="452" t="s">
        <v>5166</v>
      </c>
      <c r="D36" s="453"/>
      <c r="E36" s="454"/>
      <c r="F36" s="196"/>
      <c r="G36" s="195"/>
      <c r="H36" s="155"/>
      <c r="I36" s="195"/>
      <c r="J36" s="155"/>
      <c r="K36" s="378"/>
      <c r="L36" s="378"/>
      <c r="M36" s="378"/>
      <c r="N36" s="382">
        <v>3762500</v>
      </c>
      <c r="O36" s="139">
        <f t="shared" si="4"/>
        <v>3762500</v>
      </c>
      <c r="P36" s="139"/>
      <c r="Q36" s="139"/>
      <c r="R36" s="143"/>
    </row>
    <row r="37" spans="1:19" ht="24.95" customHeight="1" x14ac:dyDescent="0.25">
      <c r="A37" s="211"/>
      <c r="B37" s="337"/>
      <c r="C37" s="452" t="s">
        <v>4626</v>
      </c>
      <c r="D37" s="453"/>
      <c r="E37" s="454"/>
      <c r="F37" s="196"/>
      <c r="G37" s="195"/>
      <c r="H37" s="155"/>
      <c r="I37" s="195"/>
      <c r="J37" s="155"/>
      <c r="K37" s="382">
        <v>7700000</v>
      </c>
      <c r="L37" s="378"/>
      <c r="M37" s="378"/>
      <c r="N37" s="378"/>
      <c r="O37" s="139">
        <f t="shared" si="4"/>
        <v>7700000</v>
      </c>
      <c r="P37" s="139"/>
      <c r="Q37" s="139"/>
      <c r="R37" s="143"/>
    </row>
    <row r="38" spans="1:19" ht="24.95" customHeight="1" x14ac:dyDescent="0.25">
      <c r="A38" s="450" t="s">
        <v>20</v>
      </c>
      <c r="B38" s="450"/>
      <c r="C38" s="450"/>
      <c r="D38" s="450"/>
      <c r="E38" s="450"/>
      <c r="F38" s="450"/>
      <c r="G38" s="334">
        <f t="shared" ref="G38:P38" si="6">SUM(G8:G37)</f>
        <v>3432</v>
      </c>
      <c r="H38" s="334">
        <f t="shared" si="6"/>
        <v>72421280</v>
      </c>
      <c r="I38" s="334">
        <f t="shared" si="6"/>
        <v>0</v>
      </c>
      <c r="J38" s="334">
        <f t="shared" si="6"/>
        <v>30372000</v>
      </c>
      <c r="K38" s="334">
        <f t="shared" si="6"/>
        <v>19184000</v>
      </c>
      <c r="L38" s="334">
        <f t="shared" si="6"/>
        <v>5260000</v>
      </c>
      <c r="M38" s="334">
        <f t="shared" si="6"/>
        <v>0</v>
      </c>
      <c r="N38" s="334">
        <f t="shared" si="6"/>
        <v>3762500</v>
      </c>
      <c r="O38" s="334">
        <f t="shared" si="6"/>
        <v>130999780</v>
      </c>
      <c r="P38" s="335">
        <f t="shared" si="6"/>
        <v>174733704</v>
      </c>
      <c r="Q38" s="334">
        <f>P38-O38</f>
        <v>43733924</v>
      </c>
    </row>
    <row r="39" spans="1:19" ht="24.95" customHeight="1" x14ac:dyDescent="0.25">
      <c r="O39" s="158"/>
      <c r="Q39" s="158"/>
    </row>
    <row r="40" spans="1:19" ht="13.9" customHeight="1" x14ac:dyDescent="0.25">
      <c r="P40" s="216" t="s">
        <v>1603</v>
      </c>
      <c r="Q40" s="227">
        <f>'10.2023'!Q46+'11.2023'!Q38</f>
        <v>369617238.33333331</v>
      </c>
      <c r="S40" s="216"/>
    </row>
    <row r="41" spans="1:19" ht="13.9" customHeight="1" x14ac:dyDescent="0.25">
      <c r="B41" s="129"/>
      <c r="J41" s="128"/>
      <c r="K41" s="128"/>
      <c r="L41" s="128"/>
      <c r="N41" s="128"/>
      <c r="O41" s="128"/>
      <c r="P41" s="218"/>
      <c r="Q41" s="216"/>
    </row>
    <row r="42" spans="1:19" ht="13.9" customHeight="1" x14ac:dyDescent="0.25">
      <c r="B42" s="129"/>
      <c r="H42" s="128"/>
      <c r="J42" s="128"/>
      <c r="K42" s="128"/>
      <c r="L42" s="128"/>
      <c r="M42" s="128"/>
      <c r="N42" s="128"/>
      <c r="O42" s="128"/>
      <c r="P42" s="218"/>
      <c r="Q42" s="230"/>
    </row>
    <row r="43" spans="1:19" ht="13.9" customHeight="1" x14ac:dyDescent="0.25">
      <c r="B43" s="129"/>
      <c r="H43" s="128"/>
      <c r="J43" s="128"/>
      <c r="K43" s="128"/>
      <c r="L43" s="128"/>
      <c r="M43" s="128"/>
      <c r="N43" s="128"/>
      <c r="O43" s="128"/>
      <c r="P43" s="218"/>
      <c r="Q43" s="230"/>
    </row>
    <row r="44" spans="1:19" ht="13.9" customHeight="1" x14ac:dyDescent="0.25">
      <c r="B44" s="129"/>
      <c r="G44" s="143"/>
      <c r="H44" s="128"/>
      <c r="J44" s="128"/>
      <c r="K44" s="128"/>
      <c r="L44" s="128"/>
      <c r="M44" s="128"/>
      <c r="N44" s="128"/>
      <c r="O44" s="128"/>
      <c r="P44" s="218"/>
      <c r="Q44" s="230"/>
      <c r="R44" s="143"/>
    </row>
    <row r="45" spans="1:19" ht="13.9" customHeight="1" x14ac:dyDescent="0.25">
      <c r="B45" s="129"/>
      <c r="H45" s="128"/>
      <c r="J45" s="128"/>
      <c r="K45" s="128"/>
      <c r="L45" s="128"/>
      <c r="M45" s="128"/>
      <c r="N45" s="128"/>
      <c r="O45" s="128"/>
      <c r="P45" s="218"/>
      <c r="Q45" s="216"/>
      <c r="R45" s="143"/>
    </row>
    <row r="46" spans="1:19" x14ac:dyDescent="0.25">
      <c r="B46" s="129"/>
      <c r="H46" s="128"/>
      <c r="J46" s="128"/>
      <c r="K46" s="128"/>
      <c r="L46" s="128"/>
      <c r="M46" s="128"/>
      <c r="N46" s="128"/>
      <c r="O46" s="128"/>
      <c r="P46" s="218"/>
      <c r="Q46" s="216"/>
    </row>
    <row r="47" spans="1:19" x14ac:dyDescent="0.25">
      <c r="A47" s="128"/>
      <c r="B47" s="129"/>
      <c r="H47" s="128"/>
      <c r="J47" s="128"/>
      <c r="K47" s="128"/>
      <c r="L47" s="128"/>
      <c r="M47" s="128"/>
      <c r="N47" s="128"/>
      <c r="O47" s="128"/>
      <c r="P47" s="218"/>
      <c r="Q47" s="216"/>
    </row>
    <row r="48" spans="1:19" x14ac:dyDescent="0.25">
      <c r="A48" s="128"/>
      <c r="B48" s="129"/>
      <c r="H48" s="128"/>
      <c r="J48" s="128"/>
      <c r="K48" s="128"/>
      <c r="L48" s="128"/>
      <c r="M48" s="128"/>
      <c r="N48" s="128"/>
      <c r="O48" s="128"/>
      <c r="P48" s="218"/>
      <c r="Q48" s="216"/>
    </row>
    <row r="49" spans="1:19" x14ac:dyDescent="0.25">
      <c r="A49" s="128"/>
      <c r="B49" s="128"/>
      <c r="G49" s="143"/>
      <c r="J49" s="128"/>
      <c r="K49" s="128"/>
      <c r="L49" s="128"/>
      <c r="M49" s="128"/>
      <c r="N49" s="128"/>
      <c r="O49" s="128"/>
      <c r="P49" s="128"/>
      <c r="Q49" s="216"/>
    </row>
    <row r="50" spans="1:19" x14ac:dyDescent="0.25">
      <c r="A50" s="128"/>
      <c r="B50" s="128"/>
      <c r="H50" s="128"/>
      <c r="J50" s="128"/>
      <c r="K50" s="128"/>
      <c r="L50" s="128"/>
      <c r="M50" s="128"/>
      <c r="N50" s="128"/>
      <c r="O50" s="128"/>
      <c r="P50" s="128"/>
      <c r="Q50" s="216"/>
    </row>
    <row r="52" spans="1:19" s="143" customFormat="1" x14ac:dyDescent="0.25">
      <c r="A52" s="129"/>
      <c r="B52" s="163"/>
      <c r="C52" s="128"/>
      <c r="D52" s="128"/>
      <c r="E52" s="128"/>
      <c r="F52" s="128"/>
      <c r="I52" s="128"/>
      <c r="R52" s="128"/>
      <c r="S52" s="128"/>
    </row>
  </sheetData>
  <mergeCells count="20">
    <mergeCell ref="A38:F38"/>
    <mergeCell ref="O5:O6"/>
    <mergeCell ref="P5:P6"/>
    <mergeCell ref="Q5:Q6"/>
    <mergeCell ref="C32:E32"/>
    <mergeCell ref="C33:E33"/>
    <mergeCell ref="C37:E37"/>
    <mergeCell ref="C34:E34"/>
    <mergeCell ref="C35:E35"/>
    <mergeCell ref="C36:E36"/>
    <mergeCell ref="A1:Q1"/>
    <mergeCell ref="A2:Q2"/>
    <mergeCell ref="B3:Q3"/>
    <mergeCell ref="A5:A6"/>
    <mergeCell ref="B5:B6"/>
    <mergeCell ref="C5:C6"/>
    <mergeCell ref="D5:D6"/>
    <mergeCell ref="E5:E6"/>
    <mergeCell ref="F5:F6"/>
    <mergeCell ref="G5:N5"/>
  </mergeCells>
  <pageMargins left="0.7" right="0.7" top="0.75" bottom="0.75" header="0.3" footer="0.3"/>
  <pageSetup paperSize="9" orientation="portrait" horizontalDpi="0" verticalDpi="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D9C0-1FB9-42BC-8A75-90A14BEB9A58}">
  <dimension ref="A1:S54"/>
  <sheetViews>
    <sheetView topLeftCell="A23" zoomScale="90" zoomScaleNormal="90" workbookViewId="0">
      <selection activeCell="S55" sqref="S55"/>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5144</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45260</v>
      </c>
      <c r="C8" s="134" t="s">
        <v>1443</v>
      </c>
      <c r="D8" s="211" t="s">
        <v>5124</v>
      </c>
      <c r="E8" s="136" t="s">
        <v>5077</v>
      </c>
      <c r="F8" s="134"/>
      <c r="G8" s="134">
        <v>111</v>
      </c>
      <c r="H8" s="139">
        <f>G8*20190</f>
        <v>2241090</v>
      </c>
      <c r="I8" s="134"/>
      <c r="J8" s="226">
        <v>710000</v>
      </c>
      <c r="K8" s="139"/>
      <c r="L8" s="263"/>
      <c r="M8" s="139"/>
      <c r="N8" s="139"/>
      <c r="O8" s="139">
        <f>SUM(H8:N8)</f>
        <v>2951090</v>
      </c>
      <c r="P8" s="139">
        <v>5247000</v>
      </c>
      <c r="Q8" s="139">
        <f>P8-O8</f>
        <v>2295910</v>
      </c>
      <c r="R8" s="143"/>
    </row>
    <row r="9" spans="1:18" ht="24.95" customHeight="1" x14ac:dyDescent="0.25">
      <c r="A9" s="211">
        <v>2</v>
      </c>
      <c r="B9" s="328">
        <v>45261</v>
      </c>
      <c r="C9" s="134" t="s">
        <v>5115</v>
      </c>
      <c r="D9" s="211" t="s">
        <v>5125</v>
      </c>
      <c r="E9" s="136" t="s">
        <v>3343</v>
      </c>
      <c r="F9" s="134"/>
      <c r="G9" s="134">
        <v>76</v>
      </c>
      <c r="H9" s="139">
        <f t="shared" ref="H9:H11" si="0">G9*20190</f>
        <v>1534440</v>
      </c>
      <c r="I9" s="134"/>
      <c r="J9" s="226">
        <v>430000</v>
      </c>
      <c r="K9" s="139"/>
      <c r="L9" s="263"/>
      <c r="M9" s="139"/>
      <c r="N9" s="139"/>
      <c r="O9" s="139">
        <f>SUM(H9:N9)</f>
        <v>1964440</v>
      </c>
      <c r="P9" s="139">
        <v>3500000</v>
      </c>
      <c r="Q9" s="139">
        <f t="shared" ref="Q9:Q24" si="1">P9-O9</f>
        <v>1535560</v>
      </c>
      <c r="R9" s="143"/>
    </row>
    <row r="10" spans="1:18" ht="24.95" customHeight="1" x14ac:dyDescent="0.25">
      <c r="A10" s="211">
        <v>3</v>
      </c>
      <c r="B10" s="328">
        <v>45264</v>
      </c>
      <c r="C10" s="134" t="s">
        <v>5116</v>
      </c>
      <c r="D10" s="211" t="s">
        <v>5126</v>
      </c>
      <c r="E10" s="136" t="s">
        <v>25</v>
      </c>
      <c r="F10" s="134"/>
      <c r="G10" s="134">
        <v>180</v>
      </c>
      <c r="H10" s="139">
        <f t="shared" si="0"/>
        <v>3634200</v>
      </c>
      <c r="I10" s="134"/>
      <c r="J10" s="226">
        <v>1530000</v>
      </c>
      <c r="K10" s="139"/>
      <c r="L10" s="263"/>
      <c r="M10" s="139"/>
      <c r="N10" s="139"/>
      <c r="O10" s="139">
        <f t="shared" ref="O10:O17" si="2">SUM(H10:N10)</f>
        <v>5164200</v>
      </c>
      <c r="P10" s="139">
        <v>8851852</v>
      </c>
      <c r="Q10" s="139">
        <f t="shared" si="1"/>
        <v>3687652</v>
      </c>
      <c r="R10" s="143"/>
    </row>
    <row r="11" spans="1:18" ht="24.95" customHeight="1" x14ac:dyDescent="0.25">
      <c r="A11" s="211">
        <v>4</v>
      </c>
      <c r="B11" s="328">
        <v>45265</v>
      </c>
      <c r="C11" s="134" t="s">
        <v>4100</v>
      </c>
      <c r="D11" s="211" t="s">
        <v>5127</v>
      </c>
      <c r="E11" s="136" t="s">
        <v>4763</v>
      </c>
      <c r="F11" s="134"/>
      <c r="G11" s="134">
        <v>164</v>
      </c>
      <c r="H11" s="139">
        <f t="shared" si="0"/>
        <v>3311160</v>
      </c>
      <c r="I11" s="134"/>
      <c r="J11" s="226">
        <v>1190000</v>
      </c>
      <c r="K11" s="139"/>
      <c r="L11" s="263"/>
      <c r="M11" s="139"/>
      <c r="N11" s="139"/>
      <c r="O11" s="139">
        <f t="shared" si="2"/>
        <v>4501160</v>
      </c>
      <c r="P11" s="139">
        <v>7050000</v>
      </c>
      <c r="Q11" s="139">
        <f t="shared" si="1"/>
        <v>2548840</v>
      </c>
      <c r="R11" s="143"/>
    </row>
    <row r="12" spans="1:18" ht="24.95" customHeight="1" x14ac:dyDescent="0.25">
      <c r="A12" s="211">
        <v>5</v>
      </c>
      <c r="B12" s="328">
        <v>45266</v>
      </c>
      <c r="C12" s="134" t="s">
        <v>5117</v>
      </c>
      <c r="D12" s="211" t="s">
        <v>5128</v>
      </c>
      <c r="E12" s="136" t="s">
        <v>5073</v>
      </c>
      <c r="F12" s="134"/>
      <c r="G12" s="134">
        <v>42</v>
      </c>
      <c r="H12" s="139">
        <f>G12*19010</f>
        <v>798420</v>
      </c>
      <c r="I12" s="134"/>
      <c r="J12" s="226">
        <v>340000</v>
      </c>
      <c r="K12" s="139"/>
      <c r="L12" s="263"/>
      <c r="M12" s="139"/>
      <c r="N12" s="139"/>
      <c r="O12" s="139">
        <f t="shared" si="2"/>
        <v>1138420</v>
      </c>
      <c r="P12" s="139">
        <v>2770000</v>
      </c>
      <c r="Q12" s="139">
        <f t="shared" si="1"/>
        <v>1631580</v>
      </c>
      <c r="R12" s="143"/>
    </row>
    <row r="13" spans="1:18" ht="24.95" customHeight="1" x14ac:dyDescent="0.25">
      <c r="A13" s="211">
        <v>6</v>
      </c>
      <c r="B13" s="328">
        <v>45274</v>
      </c>
      <c r="C13" s="134" t="s">
        <v>790</v>
      </c>
      <c r="D13" s="211" t="s">
        <v>5129</v>
      </c>
      <c r="E13" s="136" t="s">
        <v>5141</v>
      </c>
      <c r="F13" s="134"/>
      <c r="G13" s="134">
        <v>139</v>
      </c>
      <c r="H13" s="139">
        <f t="shared" ref="H13:H16" si="3">G13*19010</f>
        <v>2642390</v>
      </c>
      <c r="I13" s="134"/>
      <c r="J13" s="226">
        <v>1082000</v>
      </c>
      <c r="K13" s="139"/>
      <c r="L13" s="263"/>
      <c r="M13" s="139"/>
      <c r="N13" s="139"/>
      <c r="O13" s="139">
        <f t="shared" si="2"/>
        <v>3724390</v>
      </c>
      <c r="P13" s="139">
        <v>6350000</v>
      </c>
      <c r="Q13" s="139">
        <f t="shared" si="1"/>
        <v>2625610</v>
      </c>
      <c r="R13" s="143"/>
    </row>
    <row r="14" spans="1:18" ht="24.95" customHeight="1" x14ac:dyDescent="0.25">
      <c r="A14" s="211">
        <v>7</v>
      </c>
      <c r="B14" s="328">
        <v>45275</v>
      </c>
      <c r="C14" s="134" t="s">
        <v>5118</v>
      </c>
      <c r="D14" s="211" t="s">
        <v>5130</v>
      </c>
      <c r="E14" s="136" t="s">
        <v>4509</v>
      </c>
      <c r="F14" s="134"/>
      <c r="G14" s="134">
        <v>378</v>
      </c>
      <c r="H14" s="139">
        <f t="shared" si="3"/>
        <v>7185780</v>
      </c>
      <c r="I14" s="134"/>
      <c r="J14" s="226">
        <v>3868000</v>
      </c>
      <c r="K14" s="139"/>
      <c r="L14" s="263"/>
      <c r="M14" s="139"/>
      <c r="N14" s="139"/>
      <c r="O14" s="139">
        <f t="shared" si="2"/>
        <v>11053780</v>
      </c>
      <c r="P14" s="139">
        <v>20450000</v>
      </c>
      <c r="Q14" s="139">
        <f t="shared" si="1"/>
        <v>9396220</v>
      </c>
      <c r="R14" s="143"/>
    </row>
    <row r="15" spans="1:18" ht="24.95" customHeight="1" x14ac:dyDescent="0.25">
      <c r="A15" s="211">
        <v>8</v>
      </c>
      <c r="B15" s="328">
        <v>45278</v>
      </c>
      <c r="C15" s="134" t="s">
        <v>2136</v>
      </c>
      <c r="D15" s="211" t="s">
        <v>5131</v>
      </c>
      <c r="E15" s="136" t="s">
        <v>4544</v>
      </c>
      <c r="F15" s="134"/>
      <c r="G15" s="134">
        <v>273</v>
      </c>
      <c r="H15" s="139">
        <f t="shared" si="3"/>
        <v>5189730</v>
      </c>
      <c r="I15" s="134"/>
      <c r="J15" s="226">
        <v>3032000</v>
      </c>
      <c r="K15" s="139"/>
      <c r="L15" s="263"/>
      <c r="M15" s="139"/>
      <c r="N15" s="139"/>
      <c r="O15" s="139">
        <f t="shared" si="2"/>
        <v>8221730</v>
      </c>
      <c r="P15" s="139">
        <v>14500000</v>
      </c>
      <c r="Q15" s="139">
        <f t="shared" si="1"/>
        <v>6278270</v>
      </c>
      <c r="R15" s="143"/>
    </row>
    <row r="16" spans="1:18" ht="24.95" customHeight="1" x14ac:dyDescent="0.25">
      <c r="A16" s="211">
        <v>9</v>
      </c>
      <c r="B16" s="328">
        <v>45279</v>
      </c>
      <c r="C16" s="134" t="s">
        <v>5119</v>
      </c>
      <c r="D16" s="211" t="s">
        <v>5132</v>
      </c>
      <c r="E16" s="136" t="s">
        <v>4414</v>
      </c>
      <c r="F16" s="134"/>
      <c r="G16" s="134">
        <v>153</v>
      </c>
      <c r="H16" s="139">
        <f t="shared" si="3"/>
        <v>2908530</v>
      </c>
      <c r="I16" s="134"/>
      <c r="J16" s="226">
        <v>826000</v>
      </c>
      <c r="K16" s="139"/>
      <c r="L16" s="263"/>
      <c r="M16" s="139"/>
      <c r="N16" s="139"/>
      <c r="O16" s="139">
        <f t="shared" si="2"/>
        <v>3734530</v>
      </c>
      <c r="P16" s="139">
        <v>6900000</v>
      </c>
      <c r="Q16" s="139">
        <f t="shared" si="1"/>
        <v>3165470</v>
      </c>
      <c r="R16" s="143"/>
    </row>
    <row r="17" spans="1:18" ht="24.95" customHeight="1" x14ac:dyDescent="0.25">
      <c r="A17" s="211">
        <v>10</v>
      </c>
      <c r="B17" s="328">
        <v>45280</v>
      </c>
      <c r="C17" s="134" t="s">
        <v>5120</v>
      </c>
      <c r="D17" s="211" t="s">
        <v>5133</v>
      </c>
      <c r="E17" s="136" t="s">
        <v>4760</v>
      </c>
      <c r="F17" s="134"/>
      <c r="G17" s="134">
        <v>151</v>
      </c>
      <c r="H17" s="139">
        <f>G17*19520</f>
        <v>2947520</v>
      </c>
      <c r="I17" s="134"/>
      <c r="J17" s="226">
        <v>1080000</v>
      </c>
      <c r="K17" s="139"/>
      <c r="L17" s="263"/>
      <c r="M17" s="139"/>
      <c r="N17" s="139"/>
      <c r="O17" s="139">
        <f t="shared" si="2"/>
        <v>4027520</v>
      </c>
      <c r="P17" s="139">
        <v>6550000</v>
      </c>
      <c r="Q17" s="139">
        <f t="shared" si="1"/>
        <v>2522480</v>
      </c>
      <c r="R17" s="143"/>
    </row>
    <row r="18" spans="1:18" ht="24.95" customHeight="1" x14ac:dyDescent="0.25">
      <c r="A18" s="211">
        <v>11</v>
      </c>
      <c r="B18" s="328">
        <v>45281</v>
      </c>
      <c r="C18" s="134" t="s">
        <v>5121</v>
      </c>
      <c r="D18" s="211" t="s">
        <v>5134</v>
      </c>
      <c r="E18" s="136" t="s">
        <v>21</v>
      </c>
      <c r="F18" s="134"/>
      <c r="G18" s="134">
        <v>61</v>
      </c>
      <c r="H18" s="139">
        <f t="shared" ref="H18:H24" si="4">G18*19520</f>
        <v>1190720</v>
      </c>
      <c r="I18" s="134"/>
      <c r="J18" s="226">
        <v>430000</v>
      </c>
      <c r="K18" s="139"/>
      <c r="L18" s="263"/>
      <c r="M18" s="139"/>
      <c r="N18" s="139"/>
      <c r="O18" s="139">
        <f>SUM(H18:N18)</f>
        <v>1620720</v>
      </c>
      <c r="P18" s="139">
        <v>3090000</v>
      </c>
      <c r="Q18" s="139">
        <f t="shared" si="1"/>
        <v>1469280</v>
      </c>
      <c r="R18" s="143"/>
    </row>
    <row r="19" spans="1:18" ht="24.95" customHeight="1" x14ac:dyDescent="0.25">
      <c r="A19" s="211">
        <v>12</v>
      </c>
      <c r="B19" s="328">
        <v>45285</v>
      </c>
      <c r="C19" s="134" t="s">
        <v>2821</v>
      </c>
      <c r="D19" s="211" t="s">
        <v>5135</v>
      </c>
      <c r="E19" s="136" t="s">
        <v>4544</v>
      </c>
      <c r="F19" s="134"/>
      <c r="G19" s="134">
        <v>273</v>
      </c>
      <c r="H19" s="139">
        <f t="shared" si="4"/>
        <v>5328960</v>
      </c>
      <c r="I19" s="134"/>
      <c r="J19" s="226">
        <v>3032000</v>
      </c>
      <c r="K19" s="139"/>
      <c r="L19" s="263"/>
      <c r="M19" s="139"/>
      <c r="N19" s="139"/>
      <c r="O19" s="139">
        <f>SUM(H19:N19)</f>
        <v>8360960</v>
      </c>
      <c r="P19" s="139">
        <v>14500000</v>
      </c>
      <c r="Q19" s="139">
        <f t="shared" si="1"/>
        <v>6139040</v>
      </c>
      <c r="R19" s="143"/>
    </row>
    <row r="20" spans="1:18" ht="24.95" customHeight="1" x14ac:dyDescent="0.25">
      <c r="A20" s="211">
        <v>13</v>
      </c>
      <c r="B20" s="328">
        <v>45285</v>
      </c>
      <c r="C20" s="134" t="s">
        <v>2138</v>
      </c>
      <c r="D20" s="211" t="s">
        <v>5136</v>
      </c>
      <c r="E20" s="136" t="s">
        <v>1336</v>
      </c>
      <c r="F20" s="134"/>
      <c r="G20" s="134">
        <v>87</v>
      </c>
      <c r="H20" s="139">
        <f t="shared" si="4"/>
        <v>1698240</v>
      </c>
      <c r="I20" s="134"/>
      <c r="J20" s="226">
        <v>790000</v>
      </c>
      <c r="K20" s="139"/>
      <c r="L20" s="263"/>
      <c r="M20" s="139"/>
      <c r="N20" s="139"/>
      <c r="O20" s="139">
        <f>SUM(H20:N20)</f>
        <v>2488240</v>
      </c>
      <c r="P20" s="139">
        <v>4000000</v>
      </c>
      <c r="Q20" s="139">
        <f t="shared" si="1"/>
        <v>1511760</v>
      </c>
      <c r="R20" s="143"/>
    </row>
    <row r="21" spans="1:18" ht="24.95" customHeight="1" x14ac:dyDescent="0.25">
      <c r="A21" s="211">
        <v>14</v>
      </c>
      <c r="B21" s="328">
        <v>45286</v>
      </c>
      <c r="C21" s="134" t="s">
        <v>5122</v>
      </c>
      <c r="D21" s="211" t="s">
        <v>5137</v>
      </c>
      <c r="E21" s="136" t="s">
        <v>5142</v>
      </c>
      <c r="F21" s="134"/>
      <c r="G21" s="134">
        <v>144</v>
      </c>
      <c r="H21" s="139">
        <f t="shared" si="4"/>
        <v>2810880</v>
      </c>
      <c r="I21" s="134"/>
      <c r="J21" s="226">
        <v>1190000</v>
      </c>
      <c r="K21" s="139"/>
      <c r="L21" s="263"/>
      <c r="M21" s="139"/>
      <c r="N21" s="139"/>
      <c r="O21" s="139">
        <f t="shared" ref="O21:O39" si="5">SUM(H21:N21)</f>
        <v>4000880</v>
      </c>
      <c r="P21" s="139">
        <v>6900000</v>
      </c>
      <c r="Q21" s="139">
        <f t="shared" si="1"/>
        <v>2899120</v>
      </c>
      <c r="R21" s="143"/>
    </row>
    <row r="22" spans="1:18" ht="24.95" customHeight="1" x14ac:dyDescent="0.25">
      <c r="A22" s="211">
        <v>15</v>
      </c>
      <c r="B22" s="328">
        <v>45287</v>
      </c>
      <c r="C22" s="134" t="s">
        <v>2824</v>
      </c>
      <c r="D22" s="211" t="s">
        <v>5138</v>
      </c>
      <c r="E22" s="136" t="s">
        <v>23</v>
      </c>
      <c r="F22" s="134"/>
      <c r="G22" s="134">
        <v>244</v>
      </c>
      <c r="H22" s="139">
        <f t="shared" si="4"/>
        <v>4762880</v>
      </c>
      <c r="I22" s="134"/>
      <c r="J22" s="226">
        <v>2380000</v>
      </c>
      <c r="K22" s="139"/>
      <c r="L22" s="263"/>
      <c r="M22" s="139"/>
      <c r="N22" s="139"/>
      <c r="O22" s="139">
        <f t="shared" si="5"/>
        <v>7142880</v>
      </c>
      <c r="P22" s="139">
        <v>12777778</v>
      </c>
      <c r="Q22" s="139">
        <f t="shared" si="1"/>
        <v>5634898</v>
      </c>
      <c r="R22" s="143"/>
    </row>
    <row r="23" spans="1:18" ht="24.95" customHeight="1" x14ac:dyDescent="0.25">
      <c r="A23" s="211">
        <v>16</v>
      </c>
      <c r="B23" s="328">
        <v>45288</v>
      </c>
      <c r="C23" s="134" t="s">
        <v>5123</v>
      </c>
      <c r="D23" s="211" t="s">
        <v>5139</v>
      </c>
      <c r="E23" s="136" t="s">
        <v>79</v>
      </c>
      <c r="F23" s="134"/>
      <c r="G23" s="134">
        <v>93</v>
      </c>
      <c r="H23" s="139">
        <f t="shared" si="4"/>
        <v>1815360</v>
      </c>
      <c r="I23" s="134"/>
      <c r="J23" s="226">
        <v>790000</v>
      </c>
      <c r="K23" s="139"/>
      <c r="L23" s="263"/>
      <c r="M23" s="139"/>
      <c r="N23" s="139"/>
      <c r="O23" s="139">
        <f t="shared" si="5"/>
        <v>2605360</v>
      </c>
      <c r="P23" s="139">
        <v>4400000</v>
      </c>
      <c r="Q23" s="139">
        <f t="shared" si="1"/>
        <v>1794640</v>
      </c>
      <c r="R23" s="143"/>
    </row>
    <row r="24" spans="1:18" ht="24.95" customHeight="1" x14ac:dyDescent="0.25">
      <c r="A24" s="211">
        <v>17</v>
      </c>
      <c r="B24" s="328">
        <v>45289</v>
      </c>
      <c r="C24" s="134" t="s">
        <v>3464</v>
      </c>
      <c r="D24" s="211" t="s">
        <v>5140</v>
      </c>
      <c r="E24" s="136" t="s">
        <v>5143</v>
      </c>
      <c r="F24" s="134"/>
      <c r="G24" s="134">
        <v>75</v>
      </c>
      <c r="H24" s="139">
        <f t="shared" si="4"/>
        <v>1464000</v>
      </c>
      <c r="I24" s="134"/>
      <c r="J24" s="226">
        <v>175000</v>
      </c>
      <c r="K24" s="139"/>
      <c r="L24" s="263"/>
      <c r="M24" s="139"/>
      <c r="N24" s="139"/>
      <c r="O24" s="139">
        <f t="shared" si="5"/>
        <v>1639000</v>
      </c>
      <c r="P24" s="139">
        <v>3700000</v>
      </c>
      <c r="Q24" s="139">
        <f t="shared" si="1"/>
        <v>2061000</v>
      </c>
      <c r="R24" s="143"/>
    </row>
    <row r="25" spans="1:18" ht="24.95" customHeight="1" x14ac:dyDescent="0.25">
      <c r="A25" s="210"/>
      <c r="B25" s="381"/>
      <c r="C25" s="474" t="s">
        <v>26</v>
      </c>
      <c r="D25" s="475"/>
      <c r="E25" s="476"/>
      <c r="F25" s="376"/>
      <c r="G25" s="151"/>
      <c r="H25" s="377"/>
      <c r="I25" s="151"/>
      <c r="J25" s="377"/>
      <c r="K25" s="382">
        <v>1200000</v>
      </c>
      <c r="L25" s="378"/>
      <c r="M25" s="378"/>
      <c r="N25" s="378"/>
      <c r="O25" s="142">
        <f t="shared" si="5"/>
        <v>1200000</v>
      </c>
      <c r="P25" s="142"/>
      <c r="Q25" s="142"/>
      <c r="R25" s="143"/>
    </row>
    <row r="26" spans="1:18" ht="24.95" customHeight="1" x14ac:dyDescent="0.25">
      <c r="A26" s="211"/>
      <c r="B26" s="328"/>
      <c r="C26" s="452" t="s">
        <v>4798</v>
      </c>
      <c r="D26" s="453"/>
      <c r="E26" s="454"/>
      <c r="F26" s="196"/>
      <c r="G26" s="195"/>
      <c r="H26" s="155"/>
      <c r="I26" s="195"/>
      <c r="J26" s="155"/>
      <c r="K26" s="382">
        <v>11990000</v>
      </c>
      <c r="L26" s="378"/>
      <c r="M26" s="378"/>
      <c r="N26" s="378"/>
      <c r="O26" s="139">
        <f t="shared" si="5"/>
        <v>11990000</v>
      </c>
      <c r="P26" s="139"/>
      <c r="Q26" s="139"/>
      <c r="R26" s="143"/>
    </row>
    <row r="27" spans="1:18" ht="24.95" customHeight="1" x14ac:dyDescent="0.25">
      <c r="A27" s="211"/>
      <c r="B27" s="328"/>
      <c r="C27" s="452" t="s">
        <v>5167</v>
      </c>
      <c r="D27" s="453"/>
      <c r="E27" s="454"/>
      <c r="F27" s="196"/>
      <c r="G27" s="195"/>
      <c r="H27" s="155"/>
      <c r="I27" s="195"/>
      <c r="J27" s="155"/>
      <c r="K27" s="378"/>
      <c r="L27" s="382">
        <v>2500000</v>
      </c>
      <c r="M27" s="378"/>
      <c r="N27" s="378"/>
      <c r="O27" s="139">
        <f t="shared" si="5"/>
        <v>2500000</v>
      </c>
      <c r="P27" s="139"/>
      <c r="Q27" s="139"/>
      <c r="R27" s="143"/>
    </row>
    <row r="28" spans="1:18" ht="24.95" customHeight="1" x14ac:dyDescent="0.25">
      <c r="A28" s="211"/>
      <c r="B28" s="328"/>
      <c r="C28" s="452" t="s">
        <v>5168</v>
      </c>
      <c r="D28" s="453"/>
      <c r="E28" s="454"/>
      <c r="F28" s="196"/>
      <c r="G28" s="195"/>
      <c r="H28" s="155"/>
      <c r="I28" s="195"/>
      <c r="J28" s="155"/>
      <c r="K28" s="378"/>
      <c r="L28" s="382">
        <v>200000</v>
      </c>
      <c r="M28" s="378"/>
      <c r="N28" s="378"/>
      <c r="O28" s="139">
        <f t="shared" si="5"/>
        <v>200000</v>
      </c>
      <c r="P28" s="139"/>
      <c r="Q28" s="139"/>
      <c r="R28" s="143"/>
    </row>
    <row r="29" spans="1:18" ht="24.95" customHeight="1" x14ac:dyDescent="0.25">
      <c r="A29" s="211"/>
      <c r="B29" s="328"/>
      <c r="C29" s="452" t="s">
        <v>5169</v>
      </c>
      <c r="D29" s="453"/>
      <c r="E29" s="454"/>
      <c r="F29" s="196"/>
      <c r="G29" s="195"/>
      <c r="H29" s="155"/>
      <c r="I29" s="195"/>
      <c r="J29" s="155"/>
      <c r="K29" s="378"/>
      <c r="L29" s="382">
        <v>400000</v>
      </c>
      <c r="M29" s="378"/>
      <c r="N29" s="378"/>
      <c r="O29" s="139">
        <f t="shared" si="5"/>
        <v>400000</v>
      </c>
      <c r="P29" s="139"/>
      <c r="Q29" s="139"/>
      <c r="R29" s="143"/>
    </row>
    <row r="30" spans="1:18" ht="24.95" customHeight="1" x14ac:dyDescent="0.25">
      <c r="A30" s="211"/>
      <c r="B30" s="328"/>
      <c r="C30" s="452" t="s">
        <v>5170</v>
      </c>
      <c r="D30" s="453"/>
      <c r="E30" s="454"/>
      <c r="F30" s="196"/>
      <c r="G30" s="195"/>
      <c r="H30" s="155"/>
      <c r="I30" s="195"/>
      <c r="J30" s="155"/>
      <c r="K30" s="378"/>
      <c r="L30" s="382">
        <v>120000</v>
      </c>
      <c r="M30" s="378"/>
      <c r="N30" s="378"/>
      <c r="O30" s="139">
        <f t="shared" si="5"/>
        <v>120000</v>
      </c>
      <c r="P30" s="139"/>
      <c r="Q30" s="139"/>
      <c r="R30" s="143"/>
    </row>
    <row r="31" spans="1:18" ht="24.95" customHeight="1" x14ac:dyDescent="0.25">
      <c r="A31" s="211"/>
      <c r="B31" s="328"/>
      <c r="C31" s="452" t="s">
        <v>5171</v>
      </c>
      <c r="D31" s="453"/>
      <c r="E31" s="454"/>
      <c r="F31" s="196"/>
      <c r="G31" s="195"/>
      <c r="H31" s="155"/>
      <c r="I31" s="195"/>
      <c r="J31" s="155"/>
      <c r="K31" s="378"/>
      <c r="L31" s="382">
        <v>3200000</v>
      </c>
      <c r="M31" s="378"/>
      <c r="N31" s="378"/>
      <c r="O31" s="139">
        <f t="shared" si="5"/>
        <v>3200000</v>
      </c>
      <c r="P31" s="139"/>
      <c r="Q31" s="139"/>
      <c r="R31" s="143"/>
    </row>
    <row r="32" spans="1:18" ht="24.95" customHeight="1" x14ac:dyDescent="0.25">
      <c r="A32" s="211"/>
      <c r="B32" s="328"/>
      <c r="C32" s="452" t="s">
        <v>5172</v>
      </c>
      <c r="D32" s="453"/>
      <c r="E32" s="454"/>
      <c r="F32" s="196"/>
      <c r="G32" s="195"/>
      <c r="H32" s="155"/>
      <c r="I32" s="195"/>
      <c r="J32" s="155"/>
      <c r="K32" s="378"/>
      <c r="L32" s="378"/>
      <c r="M32" s="382">
        <v>1200000</v>
      </c>
      <c r="N32" s="378"/>
      <c r="O32" s="139">
        <f t="shared" si="5"/>
        <v>1200000</v>
      </c>
      <c r="P32" s="139"/>
      <c r="Q32" s="139"/>
      <c r="R32" s="143"/>
    </row>
    <row r="33" spans="1:19" ht="24.95" customHeight="1" x14ac:dyDescent="0.25">
      <c r="A33" s="211"/>
      <c r="B33" s="328"/>
      <c r="C33" s="452" t="s">
        <v>5173</v>
      </c>
      <c r="D33" s="453"/>
      <c r="E33" s="454"/>
      <c r="F33" s="196"/>
      <c r="G33" s="195"/>
      <c r="H33" s="155"/>
      <c r="I33" s="195"/>
      <c r="J33" s="155"/>
      <c r="K33" s="378"/>
      <c r="L33" s="382">
        <v>5832000</v>
      </c>
      <c r="M33" s="378"/>
      <c r="N33" s="378"/>
      <c r="O33" s="139">
        <f t="shared" si="5"/>
        <v>5832000</v>
      </c>
      <c r="P33" s="139"/>
      <c r="Q33" s="139"/>
      <c r="R33" s="143"/>
    </row>
    <row r="34" spans="1:19" ht="24.95" customHeight="1" x14ac:dyDescent="0.25">
      <c r="A34" s="211"/>
      <c r="B34" s="328"/>
      <c r="C34" s="452" t="s">
        <v>5174</v>
      </c>
      <c r="D34" s="453"/>
      <c r="E34" s="454"/>
      <c r="F34" s="196"/>
      <c r="G34" s="195"/>
      <c r="H34" s="155"/>
      <c r="I34" s="195"/>
      <c r="J34" s="155"/>
      <c r="K34" s="378"/>
      <c r="L34" s="382">
        <f>4100000-900000</f>
        <v>3200000</v>
      </c>
      <c r="M34" s="378"/>
      <c r="N34" s="378"/>
      <c r="O34" s="139">
        <f t="shared" si="5"/>
        <v>3200000</v>
      </c>
      <c r="P34" s="139"/>
      <c r="Q34" s="139"/>
      <c r="R34" s="143"/>
    </row>
    <row r="35" spans="1:19" ht="24.95" customHeight="1" x14ac:dyDescent="0.25">
      <c r="A35" s="211"/>
      <c r="B35" s="328"/>
      <c r="C35" s="452" t="s">
        <v>5175</v>
      </c>
      <c r="D35" s="453"/>
      <c r="E35" s="454"/>
      <c r="F35" s="196"/>
      <c r="G35" s="195"/>
      <c r="H35" s="155"/>
      <c r="I35" s="195"/>
      <c r="J35" s="155"/>
      <c r="K35" s="378"/>
      <c r="L35" s="378"/>
      <c r="M35" s="382">
        <v>10000000</v>
      </c>
      <c r="N35" s="378"/>
      <c r="O35" s="139">
        <f t="shared" si="5"/>
        <v>10000000</v>
      </c>
      <c r="P35" s="139"/>
      <c r="Q35" s="139"/>
      <c r="R35" s="143"/>
    </row>
    <row r="36" spans="1:19" ht="24.95" customHeight="1" x14ac:dyDescent="0.25">
      <c r="A36" s="211"/>
      <c r="B36" s="328"/>
      <c r="C36" s="452" t="s">
        <v>5176</v>
      </c>
      <c r="D36" s="453"/>
      <c r="E36" s="454"/>
      <c r="F36" s="196"/>
      <c r="G36" s="195"/>
      <c r="H36" s="155"/>
      <c r="I36" s="195"/>
      <c r="J36" s="155"/>
      <c r="K36" s="378"/>
      <c r="L36" s="382">
        <v>2350000</v>
      </c>
      <c r="M36" s="378"/>
      <c r="N36" s="378"/>
      <c r="O36" s="139">
        <f t="shared" si="5"/>
        <v>2350000</v>
      </c>
      <c r="P36" s="139"/>
      <c r="Q36" s="139"/>
      <c r="R36" s="143"/>
    </row>
    <row r="37" spans="1:19" ht="24.95" customHeight="1" x14ac:dyDescent="0.25">
      <c r="A37" s="211"/>
      <c r="B37" s="328"/>
      <c r="C37" s="452" t="s">
        <v>5177</v>
      </c>
      <c r="D37" s="453"/>
      <c r="E37" s="454"/>
      <c r="F37" s="196"/>
      <c r="G37" s="195"/>
      <c r="H37" s="155"/>
      <c r="I37" s="195"/>
      <c r="J37" s="155"/>
      <c r="K37" s="378"/>
      <c r="L37" s="382">
        <v>200000</v>
      </c>
      <c r="M37" s="378"/>
      <c r="N37" s="378"/>
      <c r="O37" s="139">
        <f t="shared" si="5"/>
        <v>200000</v>
      </c>
      <c r="P37" s="139"/>
      <c r="Q37" s="139"/>
      <c r="R37" s="143"/>
    </row>
    <row r="38" spans="1:19" ht="24.95" customHeight="1" x14ac:dyDescent="0.25">
      <c r="A38" s="211"/>
      <c r="B38" s="328"/>
      <c r="C38" s="452" t="s">
        <v>5178</v>
      </c>
      <c r="D38" s="453"/>
      <c r="E38" s="454"/>
      <c r="F38" s="196"/>
      <c r="G38" s="195"/>
      <c r="H38" s="155"/>
      <c r="I38" s="195"/>
      <c r="J38" s="155"/>
      <c r="K38" s="378"/>
      <c r="L38" s="382">
        <v>3350000</v>
      </c>
      <c r="M38" s="378"/>
      <c r="N38" s="378"/>
      <c r="O38" s="139">
        <f t="shared" si="5"/>
        <v>3350000</v>
      </c>
      <c r="P38" s="139"/>
      <c r="Q38" s="139"/>
      <c r="R38" s="143"/>
    </row>
    <row r="39" spans="1:19" ht="24.95" customHeight="1" x14ac:dyDescent="0.25">
      <c r="A39" s="211"/>
      <c r="B39" s="337"/>
      <c r="C39" s="452" t="s">
        <v>5163</v>
      </c>
      <c r="D39" s="453"/>
      <c r="E39" s="454"/>
      <c r="F39" s="196"/>
      <c r="G39" s="195"/>
      <c r="H39" s="155"/>
      <c r="I39" s="195"/>
      <c r="J39" s="155"/>
      <c r="K39" s="185">
        <v>6200000</v>
      </c>
      <c r="L39" s="219"/>
      <c r="M39" s="139"/>
      <c r="N39" s="139"/>
      <c r="O39" s="139">
        <f t="shared" si="5"/>
        <v>6200000</v>
      </c>
      <c r="P39" s="139"/>
      <c r="Q39" s="139"/>
      <c r="R39" s="143"/>
    </row>
    <row r="40" spans="1:19" ht="24.95" customHeight="1" x14ac:dyDescent="0.25">
      <c r="A40" s="450" t="s">
        <v>20</v>
      </c>
      <c r="B40" s="450"/>
      <c r="C40" s="450"/>
      <c r="D40" s="450"/>
      <c r="E40" s="450"/>
      <c r="F40" s="450"/>
      <c r="G40" s="334">
        <f t="shared" ref="G40:N40" si="6">SUM(G8:G39)</f>
        <v>2644</v>
      </c>
      <c r="H40" s="334">
        <f t="shared" si="6"/>
        <v>51464300</v>
      </c>
      <c r="I40" s="334">
        <f t="shared" si="6"/>
        <v>0</v>
      </c>
      <c r="J40" s="334">
        <f t="shared" si="6"/>
        <v>22875000</v>
      </c>
      <c r="K40" s="334">
        <f t="shared" si="6"/>
        <v>19390000</v>
      </c>
      <c r="L40" s="334">
        <f t="shared" si="6"/>
        <v>21352000</v>
      </c>
      <c r="M40" s="334">
        <f t="shared" si="6"/>
        <v>11200000</v>
      </c>
      <c r="N40" s="334">
        <f t="shared" si="6"/>
        <v>0</v>
      </c>
      <c r="O40" s="334">
        <f>SUM(O8:O39)</f>
        <v>126281300</v>
      </c>
      <c r="P40" s="335">
        <f>SUM(P8:P39)</f>
        <v>131536630</v>
      </c>
      <c r="Q40" s="334">
        <f>P40-O40</f>
        <v>5255330</v>
      </c>
    </row>
    <row r="41" spans="1:19" ht="24.95" customHeight="1" x14ac:dyDescent="0.25">
      <c r="O41" s="158"/>
      <c r="Q41" s="158"/>
    </row>
    <row r="42" spans="1:19" ht="13.9" customHeight="1" x14ac:dyDescent="0.25">
      <c r="P42" s="216" t="s">
        <v>1603</v>
      </c>
      <c r="Q42" s="227">
        <f>'11.2023'!Q40+'12.2023'!Q40</f>
        <v>374872568.33333331</v>
      </c>
      <c r="S42" s="216"/>
    </row>
    <row r="43" spans="1:19" ht="13.9" customHeight="1" x14ac:dyDescent="0.25">
      <c r="B43" s="129"/>
      <c r="J43" s="128"/>
      <c r="K43" s="128"/>
      <c r="L43" s="128"/>
      <c r="N43" s="128"/>
      <c r="O43" s="128"/>
      <c r="P43" s="218"/>
      <c r="Q43" s="216"/>
    </row>
    <row r="44" spans="1:19" ht="13.9" customHeight="1" x14ac:dyDescent="0.25">
      <c r="B44" s="129"/>
      <c r="H44" s="128"/>
      <c r="J44" s="128"/>
      <c r="K44" s="128"/>
      <c r="L44" s="128"/>
      <c r="M44" s="128"/>
      <c r="N44" s="128"/>
      <c r="O44" s="128"/>
      <c r="P44" s="218"/>
      <c r="Q44" s="230"/>
    </row>
    <row r="45" spans="1:19" ht="13.9" customHeight="1" x14ac:dyDescent="0.25">
      <c r="B45" s="129"/>
      <c r="H45" s="128"/>
      <c r="J45" s="128"/>
      <c r="K45" s="128"/>
      <c r="L45" s="128"/>
      <c r="M45" s="128"/>
      <c r="N45" s="128"/>
      <c r="O45" s="128"/>
      <c r="P45" s="218"/>
      <c r="Q45" s="230"/>
    </row>
    <row r="46" spans="1:19" ht="13.9" customHeight="1" x14ac:dyDescent="0.25">
      <c r="B46" s="129"/>
      <c r="G46" s="143"/>
      <c r="H46" s="128"/>
      <c r="J46" s="128"/>
      <c r="K46" s="128"/>
      <c r="L46" s="128"/>
      <c r="M46" s="128"/>
      <c r="N46" s="128"/>
      <c r="O46" s="128"/>
      <c r="P46" s="218"/>
      <c r="Q46" s="230"/>
      <c r="R46" s="143"/>
    </row>
    <row r="47" spans="1:19" ht="13.9" customHeight="1" x14ac:dyDescent="0.25">
      <c r="B47" s="129"/>
      <c r="H47" s="128"/>
      <c r="J47" s="128"/>
      <c r="K47" s="128"/>
      <c r="L47" s="128"/>
      <c r="M47" s="128"/>
      <c r="N47" s="128"/>
      <c r="O47" s="128"/>
      <c r="P47" s="218"/>
      <c r="Q47" s="216"/>
      <c r="R47" s="143"/>
    </row>
    <row r="48" spans="1:19" x14ac:dyDescent="0.25">
      <c r="B48" s="129"/>
      <c r="H48" s="128"/>
      <c r="J48" s="128"/>
      <c r="K48" s="128"/>
      <c r="L48" s="128"/>
      <c r="M48" s="128"/>
      <c r="N48" s="128"/>
      <c r="O48" s="128"/>
      <c r="P48" s="218"/>
      <c r="Q48" s="216"/>
    </row>
    <row r="49" spans="1:19" x14ac:dyDescent="0.25">
      <c r="A49" s="128"/>
      <c r="B49" s="129"/>
      <c r="H49" s="128"/>
      <c r="J49" s="128"/>
      <c r="K49" s="128"/>
      <c r="L49" s="128"/>
      <c r="M49" s="128"/>
      <c r="N49" s="128"/>
      <c r="O49" s="128"/>
      <c r="P49" s="218"/>
      <c r="Q49" s="216"/>
    </row>
    <row r="50" spans="1:19" x14ac:dyDescent="0.25">
      <c r="A50" s="128"/>
      <c r="B50" s="129"/>
      <c r="H50" s="128"/>
      <c r="J50" s="128"/>
      <c r="K50" s="128"/>
      <c r="L50" s="128"/>
      <c r="M50" s="128"/>
      <c r="N50" s="128"/>
      <c r="O50" s="128"/>
      <c r="P50" s="218"/>
      <c r="Q50" s="216"/>
    </row>
    <row r="51" spans="1:19" x14ac:dyDescent="0.25">
      <c r="A51" s="128"/>
      <c r="B51" s="128"/>
      <c r="G51" s="143"/>
      <c r="J51" s="128"/>
      <c r="K51" s="128"/>
      <c r="L51" s="128"/>
      <c r="M51" s="128"/>
      <c r="N51" s="128"/>
      <c r="O51" s="128"/>
      <c r="P51" s="128"/>
      <c r="Q51" s="216"/>
    </row>
    <row r="52" spans="1:19" x14ac:dyDescent="0.25">
      <c r="A52" s="128"/>
      <c r="B52" s="128"/>
      <c r="H52" s="128"/>
      <c r="J52" s="128"/>
      <c r="K52" s="128"/>
      <c r="L52" s="128"/>
      <c r="M52" s="128"/>
      <c r="N52" s="128"/>
      <c r="O52" s="128"/>
      <c r="P52" s="128"/>
      <c r="Q52" s="216"/>
    </row>
    <row r="54" spans="1:19" s="143" customFormat="1" x14ac:dyDescent="0.25">
      <c r="A54" s="129"/>
      <c r="B54" s="163"/>
      <c r="C54" s="128"/>
      <c r="D54" s="128"/>
      <c r="E54" s="128"/>
      <c r="F54" s="128"/>
      <c r="I54" s="128"/>
      <c r="R54" s="128"/>
      <c r="S54" s="128"/>
    </row>
  </sheetData>
  <mergeCells count="29">
    <mergeCell ref="A40:F40"/>
    <mergeCell ref="O5:O6"/>
    <mergeCell ref="C25:E25"/>
    <mergeCell ref="C26:E26"/>
    <mergeCell ref="C39:E39"/>
    <mergeCell ref="C27:E27"/>
    <mergeCell ref="C28:E28"/>
    <mergeCell ref="C29:E29"/>
    <mergeCell ref="C30:E30"/>
    <mergeCell ref="C31:E31"/>
    <mergeCell ref="C32:E32"/>
    <mergeCell ref="C33:E33"/>
    <mergeCell ref="C34:E34"/>
    <mergeCell ref="C35:E35"/>
    <mergeCell ref="C36:E36"/>
    <mergeCell ref="C37:E37"/>
    <mergeCell ref="C38:E38"/>
    <mergeCell ref="A1:Q1"/>
    <mergeCell ref="A2:Q2"/>
    <mergeCell ref="B3:Q3"/>
    <mergeCell ref="A5:A6"/>
    <mergeCell ref="B5:B6"/>
    <mergeCell ref="C5:C6"/>
    <mergeCell ref="D5:D6"/>
    <mergeCell ref="E5:E6"/>
    <mergeCell ref="F5:F6"/>
    <mergeCell ref="G5:N5"/>
    <mergeCell ref="P5:P6"/>
    <mergeCell ref="Q5:Q6"/>
  </mergeCells>
  <pageMargins left="0.7" right="0.7" top="0.75" bottom="0.75" header="0.3" footer="0.3"/>
  <pageSetup paperSize="9" orientation="portrait" horizontalDpi="0" verticalDpi="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B34D-29F1-407C-AF4F-22DE2FB8BF1F}">
  <dimension ref="A1:S54"/>
  <sheetViews>
    <sheetView topLeftCell="A25" zoomScale="90" zoomScaleNormal="90" workbookViewId="0">
      <selection activeCell="L35" sqref="L35:N38"/>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5180</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45290</v>
      </c>
      <c r="C8" s="134" t="s">
        <v>5181</v>
      </c>
      <c r="D8" s="211" t="s">
        <v>5192</v>
      </c>
      <c r="E8" s="136" t="s">
        <v>2883</v>
      </c>
      <c r="F8" s="134"/>
      <c r="G8" s="134">
        <v>62</v>
      </c>
      <c r="H8" s="139">
        <f>G8*19780</f>
        <v>1226360</v>
      </c>
      <c r="I8" s="134"/>
      <c r="J8" s="139">
        <v>430000</v>
      </c>
      <c r="K8" s="139"/>
      <c r="L8" s="263"/>
      <c r="M8" s="139"/>
      <c r="N8" s="139"/>
      <c r="O8" s="139">
        <f>SUM(H8:N8)</f>
        <v>1656360</v>
      </c>
      <c r="P8" s="139">
        <v>3330000</v>
      </c>
      <c r="Q8" s="139">
        <f>P8-O8</f>
        <v>1673640</v>
      </c>
      <c r="R8" s="143"/>
    </row>
    <row r="9" spans="1:18" ht="24.95" customHeight="1" x14ac:dyDescent="0.25">
      <c r="A9" s="211">
        <v>2</v>
      </c>
      <c r="B9" s="328">
        <v>45293</v>
      </c>
      <c r="C9" s="134" t="s">
        <v>2180</v>
      </c>
      <c r="D9" s="211" t="s">
        <v>5193</v>
      </c>
      <c r="E9" s="136" t="s">
        <v>25</v>
      </c>
      <c r="F9" s="134"/>
      <c r="G9" s="134">
        <v>187</v>
      </c>
      <c r="H9" s="139">
        <f>G9*19780</f>
        <v>3698860</v>
      </c>
      <c r="I9" s="134"/>
      <c r="J9" s="139">
        <v>1530000</v>
      </c>
      <c r="K9" s="139"/>
      <c r="L9" s="263"/>
      <c r="M9" s="139"/>
      <c r="N9" s="139"/>
      <c r="O9" s="139">
        <f>SUM(H9:N9)</f>
        <v>5228860</v>
      </c>
      <c r="P9" s="139">
        <v>8296296</v>
      </c>
      <c r="Q9" s="139">
        <f t="shared" ref="Q9:Q30" si="0">P9-O9</f>
        <v>3067436</v>
      </c>
      <c r="R9" s="143"/>
    </row>
    <row r="10" spans="1:18" ht="24.95" customHeight="1" x14ac:dyDescent="0.25">
      <c r="A10" s="211">
        <v>3</v>
      </c>
      <c r="B10" s="328">
        <v>45294</v>
      </c>
      <c r="C10" s="134" t="s">
        <v>1520</v>
      </c>
      <c r="D10" s="211" t="s">
        <v>5194</v>
      </c>
      <c r="E10" s="136" t="s">
        <v>2883</v>
      </c>
      <c r="F10" s="134"/>
      <c r="G10" s="134">
        <v>83</v>
      </c>
      <c r="H10" s="139">
        <f>G10*19360</f>
        <v>1606880</v>
      </c>
      <c r="I10" s="134"/>
      <c r="J10" s="139">
        <v>430000</v>
      </c>
      <c r="K10" s="139"/>
      <c r="L10" s="263"/>
      <c r="M10" s="139"/>
      <c r="N10" s="139"/>
      <c r="O10" s="139">
        <f t="shared" ref="O10:O17" si="1">SUM(H10:N10)</f>
        <v>2036880</v>
      </c>
      <c r="P10" s="139">
        <v>4000000</v>
      </c>
      <c r="Q10" s="139">
        <f t="shared" si="0"/>
        <v>1963120</v>
      </c>
      <c r="R10" s="143"/>
    </row>
    <row r="11" spans="1:18" ht="24.95" customHeight="1" x14ac:dyDescent="0.25">
      <c r="A11" s="211">
        <v>4</v>
      </c>
      <c r="B11" s="328">
        <v>45295</v>
      </c>
      <c r="C11" s="134" t="s">
        <v>5182</v>
      </c>
      <c r="D11" s="211" t="s">
        <v>5195</v>
      </c>
      <c r="E11" s="136" t="s">
        <v>4859</v>
      </c>
      <c r="F11" s="134"/>
      <c r="G11" s="134">
        <v>372</v>
      </c>
      <c r="H11" s="139">
        <f t="shared" ref="H11:H14" si="2">G11*19360</f>
        <v>7201920</v>
      </c>
      <c r="I11" s="134"/>
      <c r="J11" s="139">
        <v>3868000</v>
      </c>
      <c r="K11" s="139"/>
      <c r="L11" s="263"/>
      <c r="M11" s="139"/>
      <c r="N11" s="139"/>
      <c r="O11" s="139">
        <f t="shared" si="1"/>
        <v>11069920</v>
      </c>
      <c r="P11" s="139">
        <v>20450000</v>
      </c>
      <c r="Q11" s="139">
        <f t="shared" si="0"/>
        <v>9380080</v>
      </c>
      <c r="R11" s="143"/>
    </row>
    <row r="12" spans="1:18" ht="24.95" customHeight="1" x14ac:dyDescent="0.25">
      <c r="A12" s="211">
        <v>5</v>
      </c>
      <c r="B12" s="328">
        <v>45297</v>
      </c>
      <c r="C12" s="134" t="s">
        <v>5183</v>
      </c>
      <c r="D12" s="211" t="s">
        <v>5196</v>
      </c>
      <c r="E12" s="136" t="s">
        <v>5215</v>
      </c>
      <c r="F12" s="134"/>
      <c r="G12" s="134">
        <v>122</v>
      </c>
      <c r="H12" s="139">
        <f t="shared" si="2"/>
        <v>2361920</v>
      </c>
      <c r="I12" s="134"/>
      <c r="J12" s="139"/>
      <c r="K12" s="139"/>
      <c r="L12" s="263"/>
      <c r="M12" s="139"/>
      <c r="N12" s="139"/>
      <c r="O12" s="139">
        <f t="shared" si="1"/>
        <v>2361920</v>
      </c>
      <c r="P12" s="139">
        <v>0</v>
      </c>
      <c r="Q12" s="139">
        <f t="shared" si="0"/>
        <v>-2361920</v>
      </c>
      <c r="R12" s="143"/>
    </row>
    <row r="13" spans="1:18" ht="24.95" customHeight="1" x14ac:dyDescent="0.25">
      <c r="A13" s="211">
        <v>6</v>
      </c>
      <c r="B13" s="328">
        <v>45299</v>
      </c>
      <c r="C13" s="134" t="s">
        <v>3512</v>
      </c>
      <c r="D13" s="211" t="s">
        <v>5197</v>
      </c>
      <c r="E13" s="136" t="s">
        <v>5215</v>
      </c>
      <c r="F13" s="134"/>
      <c r="G13" s="134">
        <v>164</v>
      </c>
      <c r="H13" s="139">
        <f t="shared" si="2"/>
        <v>3175040</v>
      </c>
      <c r="I13" s="134"/>
      <c r="J13" s="139">
        <v>985000</v>
      </c>
      <c r="K13" s="139"/>
      <c r="L13" s="263"/>
      <c r="M13" s="139"/>
      <c r="N13" s="139"/>
      <c r="O13" s="139">
        <f t="shared" si="1"/>
        <v>4160040</v>
      </c>
      <c r="P13" s="139">
        <v>6900000</v>
      </c>
      <c r="Q13" s="139">
        <f t="shared" si="0"/>
        <v>2739960</v>
      </c>
      <c r="R13" s="143"/>
    </row>
    <row r="14" spans="1:18" ht="24.95" customHeight="1" x14ac:dyDescent="0.25">
      <c r="A14" s="211">
        <v>7</v>
      </c>
      <c r="B14" s="328">
        <v>45299</v>
      </c>
      <c r="C14" s="134" t="s">
        <v>5184</v>
      </c>
      <c r="D14" s="211" t="s">
        <v>5198</v>
      </c>
      <c r="E14" s="136" t="s">
        <v>4544</v>
      </c>
      <c r="F14" s="134"/>
      <c r="G14" s="134">
        <v>273</v>
      </c>
      <c r="H14" s="139">
        <f t="shared" si="2"/>
        <v>5285280</v>
      </c>
      <c r="I14" s="134"/>
      <c r="J14" s="139">
        <v>3032000</v>
      </c>
      <c r="K14" s="139"/>
      <c r="L14" s="263"/>
      <c r="M14" s="139"/>
      <c r="N14" s="139"/>
      <c r="O14" s="139">
        <f t="shared" si="1"/>
        <v>8317280</v>
      </c>
      <c r="P14" s="139">
        <v>14500000</v>
      </c>
      <c r="Q14" s="139">
        <f t="shared" si="0"/>
        <v>6182720</v>
      </c>
      <c r="R14" s="143"/>
    </row>
    <row r="15" spans="1:18" ht="24.95" customHeight="1" x14ac:dyDescent="0.25">
      <c r="A15" s="211">
        <v>8</v>
      </c>
      <c r="B15" s="328">
        <v>45300</v>
      </c>
      <c r="C15" s="134" t="s">
        <v>4685</v>
      </c>
      <c r="D15" s="211" t="s">
        <v>5199</v>
      </c>
      <c r="E15" s="136" t="s">
        <v>25</v>
      </c>
      <c r="F15" s="134"/>
      <c r="G15" s="134">
        <v>180</v>
      </c>
      <c r="H15" s="139">
        <f>G15*19700</f>
        <v>3546000</v>
      </c>
      <c r="I15" s="134"/>
      <c r="J15" s="139">
        <v>1530000</v>
      </c>
      <c r="K15" s="139"/>
      <c r="L15" s="263"/>
      <c r="M15" s="139"/>
      <c r="N15" s="139"/>
      <c r="O15" s="139">
        <f t="shared" si="1"/>
        <v>5076000</v>
      </c>
      <c r="P15" s="139">
        <v>8296296</v>
      </c>
      <c r="Q15" s="139">
        <f t="shared" si="0"/>
        <v>3220296</v>
      </c>
      <c r="R15" s="143"/>
    </row>
    <row r="16" spans="1:18" ht="24.95" customHeight="1" x14ac:dyDescent="0.25">
      <c r="A16" s="211">
        <v>9</v>
      </c>
      <c r="B16" s="328">
        <v>45302</v>
      </c>
      <c r="C16" s="134" t="s">
        <v>852</v>
      </c>
      <c r="D16" s="211" t="s">
        <v>5200</v>
      </c>
      <c r="E16" s="136" t="s">
        <v>5216</v>
      </c>
      <c r="F16" s="134"/>
      <c r="G16" s="134">
        <v>60</v>
      </c>
      <c r="H16" s="139">
        <f t="shared" ref="H16:H19" si="3">G16*19700</f>
        <v>1182000</v>
      </c>
      <c r="I16" s="134"/>
      <c r="J16" s="139">
        <v>430000</v>
      </c>
      <c r="K16" s="139"/>
      <c r="L16" s="263"/>
      <c r="M16" s="139"/>
      <c r="N16" s="139"/>
      <c r="O16" s="139">
        <f t="shared" si="1"/>
        <v>1612000</v>
      </c>
      <c r="P16" s="139">
        <v>3180000</v>
      </c>
      <c r="Q16" s="139">
        <f t="shared" si="0"/>
        <v>1568000</v>
      </c>
      <c r="R16" s="143"/>
    </row>
    <row r="17" spans="1:18" ht="24.95" customHeight="1" x14ac:dyDescent="0.25">
      <c r="A17" s="211">
        <v>10</v>
      </c>
      <c r="B17" s="328">
        <v>45303</v>
      </c>
      <c r="C17" s="134" t="s">
        <v>2185</v>
      </c>
      <c r="D17" s="211" t="s">
        <v>5201</v>
      </c>
      <c r="E17" s="136" t="s">
        <v>4760</v>
      </c>
      <c r="F17" s="134"/>
      <c r="G17" s="134">
        <v>147</v>
      </c>
      <c r="H17" s="139">
        <f t="shared" si="3"/>
        <v>2895900</v>
      </c>
      <c r="I17" s="134"/>
      <c r="J17" s="139">
        <v>825000</v>
      </c>
      <c r="K17" s="139"/>
      <c r="L17" s="263"/>
      <c r="M17" s="139"/>
      <c r="N17" s="139"/>
      <c r="O17" s="139">
        <f t="shared" si="1"/>
        <v>3720900</v>
      </c>
      <c r="P17" s="139">
        <v>6550000</v>
      </c>
      <c r="Q17" s="139">
        <f t="shared" si="0"/>
        <v>2829100</v>
      </c>
      <c r="R17" s="143"/>
    </row>
    <row r="18" spans="1:18" ht="24.95" customHeight="1" x14ac:dyDescent="0.25">
      <c r="A18" s="211">
        <v>11</v>
      </c>
      <c r="B18" s="328">
        <v>45303</v>
      </c>
      <c r="C18" s="134" t="s">
        <v>2869</v>
      </c>
      <c r="D18" s="211" t="s">
        <v>5202</v>
      </c>
      <c r="E18" s="136" t="s">
        <v>4597</v>
      </c>
      <c r="F18" s="134"/>
      <c r="G18" s="134">
        <v>397</v>
      </c>
      <c r="H18" s="139">
        <f t="shared" si="3"/>
        <v>7820900</v>
      </c>
      <c r="I18" s="134"/>
      <c r="J18" s="139">
        <v>3268000</v>
      </c>
      <c r="K18" s="139"/>
      <c r="L18" s="263"/>
      <c r="M18" s="139"/>
      <c r="N18" s="139"/>
      <c r="O18" s="139">
        <f>SUM(H18:N18)</f>
        <v>11088900</v>
      </c>
      <c r="P18" s="139">
        <v>21100000</v>
      </c>
      <c r="Q18" s="139">
        <f t="shared" si="0"/>
        <v>10011100</v>
      </c>
      <c r="R18" s="143"/>
    </row>
    <row r="19" spans="1:18" ht="24.95" customHeight="1" x14ac:dyDescent="0.25">
      <c r="A19" s="211">
        <v>12</v>
      </c>
      <c r="B19" s="328">
        <v>45304</v>
      </c>
      <c r="C19" s="134" t="s">
        <v>5185</v>
      </c>
      <c r="D19" s="211" t="s">
        <v>5203</v>
      </c>
      <c r="E19" s="136" t="s">
        <v>4544</v>
      </c>
      <c r="F19" s="134"/>
      <c r="G19" s="134">
        <v>273</v>
      </c>
      <c r="H19" s="139">
        <f t="shared" si="3"/>
        <v>5378100</v>
      </c>
      <c r="I19" s="134"/>
      <c r="J19" s="139">
        <v>2818000</v>
      </c>
      <c r="K19" s="139"/>
      <c r="L19" s="263"/>
      <c r="M19" s="139"/>
      <c r="N19" s="139"/>
      <c r="O19" s="139">
        <f>SUM(H19:N19)</f>
        <v>8196100</v>
      </c>
      <c r="P19" s="139">
        <v>14500000</v>
      </c>
      <c r="Q19" s="139">
        <f t="shared" si="0"/>
        <v>6303900</v>
      </c>
      <c r="R19" s="143"/>
    </row>
    <row r="20" spans="1:18" ht="24.95" customHeight="1" x14ac:dyDescent="0.25">
      <c r="A20" s="211">
        <v>13</v>
      </c>
      <c r="B20" s="328">
        <v>45307</v>
      </c>
      <c r="C20" s="134" t="s">
        <v>5186</v>
      </c>
      <c r="D20" s="211" t="s">
        <v>5204</v>
      </c>
      <c r="E20" s="136" t="s">
        <v>5217</v>
      </c>
      <c r="F20" s="134"/>
      <c r="G20" s="134">
        <v>51</v>
      </c>
      <c r="H20" s="139">
        <f>G20*20190</f>
        <v>1029690</v>
      </c>
      <c r="I20" s="134"/>
      <c r="J20" s="139">
        <v>340000</v>
      </c>
      <c r="K20" s="139"/>
      <c r="L20" s="263"/>
      <c r="M20" s="139"/>
      <c r="N20" s="139"/>
      <c r="O20" s="139">
        <f>SUM(H20:N20)</f>
        <v>1369690</v>
      </c>
      <c r="P20" s="139">
        <v>2930000</v>
      </c>
      <c r="Q20" s="139">
        <f t="shared" si="0"/>
        <v>1560310</v>
      </c>
      <c r="R20" s="143"/>
    </row>
    <row r="21" spans="1:18" ht="24.95" customHeight="1" x14ac:dyDescent="0.25">
      <c r="A21" s="211">
        <v>14</v>
      </c>
      <c r="B21" s="328">
        <v>45307</v>
      </c>
      <c r="C21" s="134" t="s">
        <v>5187</v>
      </c>
      <c r="D21" s="211" t="s">
        <v>5205</v>
      </c>
      <c r="E21" s="136" t="s">
        <v>25</v>
      </c>
      <c r="F21" s="134"/>
      <c r="G21" s="134">
        <v>180</v>
      </c>
      <c r="H21" s="139">
        <f t="shared" ref="H21:H24" si="4">G21*20190</f>
        <v>3634200</v>
      </c>
      <c r="I21" s="134"/>
      <c r="J21" s="139">
        <v>1530000</v>
      </c>
      <c r="K21" s="139"/>
      <c r="L21" s="263"/>
      <c r="M21" s="139"/>
      <c r="N21" s="139"/>
      <c r="O21" s="139">
        <f t="shared" ref="O21:O39" si="5">SUM(H21:N21)</f>
        <v>5164200</v>
      </c>
      <c r="P21" s="139">
        <v>8296296</v>
      </c>
      <c r="Q21" s="139">
        <f t="shared" si="0"/>
        <v>3132096</v>
      </c>
      <c r="R21" s="143"/>
    </row>
    <row r="22" spans="1:18" ht="24.95" customHeight="1" x14ac:dyDescent="0.25">
      <c r="A22" s="211">
        <v>15</v>
      </c>
      <c r="B22" s="328">
        <v>45308</v>
      </c>
      <c r="C22" s="134" t="s">
        <v>1531</v>
      </c>
      <c r="D22" s="211" t="s">
        <v>5206</v>
      </c>
      <c r="E22" s="136" t="s">
        <v>3938</v>
      </c>
      <c r="F22" s="134"/>
      <c r="G22" s="134">
        <v>91</v>
      </c>
      <c r="H22" s="139">
        <f t="shared" si="4"/>
        <v>1837290</v>
      </c>
      <c r="I22" s="134"/>
      <c r="J22" s="139">
        <v>790000</v>
      </c>
      <c r="K22" s="139"/>
      <c r="L22" s="263"/>
      <c r="M22" s="139"/>
      <c r="N22" s="139"/>
      <c r="O22" s="139">
        <f t="shared" si="5"/>
        <v>2627290</v>
      </c>
      <c r="P22" s="139">
        <v>4500000</v>
      </c>
      <c r="Q22" s="139">
        <f t="shared" si="0"/>
        <v>1872710</v>
      </c>
      <c r="R22" s="143"/>
    </row>
    <row r="23" spans="1:18" ht="24.95" customHeight="1" x14ac:dyDescent="0.25">
      <c r="A23" s="211">
        <v>16</v>
      </c>
      <c r="B23" s="328">
        <v>45313</v>
      </c>
      <c r="C23" s="134" t="s">
        <v>138</v>
      </c>
      <c r="D23" s="211" t="s">
        <v>5207</v>
      </c>
      <c r="E23" s="136" t="s">
        <v>5218</v>
      </c>
      <c r="F23" s="134"/>
      <c r="G23" s="134">
        <v>271</v>
      </c>
      <c r="H23" s="139">
        <f t="shared" si="4"/>
        <v>5471490</v>
      </c>
      <c r="I23" s="134"/>
      <c r="J23" s="139">
        <v>1360000</v>
      </c>
      <c r="K23" s="139"/>
      <c r="L23" s="263"/>
      <c r="M23" s="139"/>
      <c r="N23" s="139"/>
      <c r="O23" s="139">
        <f t="shared" si="5"/>
        <v>6831490</v>
      </c>
      <c r="P23" s="139">
        <v>10800000</v>
      </c>
      <c r="Q23" s="139">
        <f t="shared" si="0"/>
        <v>3968510</v>
      </c>
      <c r="R23" s="143"/>
    </row>
    <row r="24" spans="1:18" ht="24.95" customHeight="1" x14ac:dyDescent="0.25">
      <c r="A24" s="211">
        <v>17</v>
      </c>
      <c r="B24" s="328">
        <v>45313</v>
      </c>
      <c r="C24" s="134" t="s">
        <v>5188</v>
      </c>
      <c r="D24" s="211" t="s">
        <v>5208</v>
      </c>
      <c r="E24" s="198" t="s">
        <v>409</v>
      </c>
      <c r="F24" s="134"/>
      <c r="G24" s="134">
        <v>72</v>
      </c>
      <c r="H24" s="139">
        <f t="shared" si="4"/>
        <v>1453680</v>
      </c>
      <c r="I24" s="134"/>
      <c r="J24" s="139">
        <v>430000</v>
      </c>
      <c r="K24" s="139"/>
      <c r="L24" s="263"/>
      <c r="M24" s="139"/>
      <c r="N24" s="139"/>
      <c r="O24" s="139">
        <f t="shared" si="5"/>
        <v>1883680</v>
      </c>
      <c r="P24" s="139">
        <v>3300000</v>
      </c>
      <c r="Q24" s="139">
        <f t="shared" si="0"/>
        <v>1416320</v>
      </c>
      <c r="R24" s="143"/>
    </row>
    <row r="25" spans="1:18" ht="24.95" customHeight="1" x14ac:dyDescent="0.25">
      <c r="A25" s="211">
        <v>18</v>
      </c>
      <c r="B25" s="381">
        <v>45314</v>
      </c>
      <c r="C25" s="383" t="s">
        <v>4160</v>
      </c>
      <c r="D25" s="211" t="s">
        <v>5209</v>
      </c>
      <c r="E25" s="198" t="s">
        <v>5219</v>
      </c>
      <c r="F25" s="198"/>
      <c r="G25" s="198">
        <v>62</v>
      </c>
      <c r="H25" s="142">
        <f>G25*20370</f>
        <v>1262940</v>
      </c>
      <c r="I25" s="198"/>
      <c r="J25" s="142">
        <v>430000</v>
      </c>
      <c r="K25" s="142"/>
      <c r="L25" s="386"/>
      <c r="M25" s="142"/>
      <c r="N25" s="142"/>
      <c r="O25" s="139">
        <f t="shared" si="5"/>
        <v>1692940</v>
      </c>
      <c r="P25" s="142">
        <v>3300000</v>
      </c>
      <c r="Q25" s="139">
        <f t="shared" si="0"/>
        <v>1607060</v>
      </c>
      <c r="R25" s="143"/>
    </row>
    <row r="26" spans="1:18" ht="24.95" customHeight="1" x14ac:dyDescent="0.25">
      <c r="A26" s="211">
        <v>19</v>
      </c>
      <c r="B26" s="381">
        <v>45315</v>
      </c>
      <c r="C26" s="383" t="s">
        <v>5189</v>
      </c>
      <c r="D26" s="211" t="s">
        <v>5210</v>
      </c>
      <c r="E26" s="198" t="s">
        <v>4859</v>
      </c>
      <c r="F26" s="198"/>
      <c r="G26" s="198">
        <v>369</v>
      </c>
      <c r="H26" s="142">
        <f t="shared" ref="H26:H30" si="6">G26*20370</f>
        <v>7516530</v>
      </c>
      <c r="I26" s="198"/>
      <c r="J26" s="142">
        <v>3868000</v>
      </c>
      <c r="K26" s="142"/>
      <c r="L26" s="386"/>
      <c r="M26" s="142"/>
      <c r="N26" s="142"/>
      <c r="O26" s="139">
        <f t="shared" si="5"/>
        <v>11384530</v>
      </c>
      <c r="P26" s="142">
        <v>20450000</v>
      </c>
      <c r="Q26" s="139">
        <f t="shared" si="0"/>
        <v>9065470</v>
      </c>
      <c r="R26" s="143"/>
    </row>
    <row r="27" spans="1:18" ht="24.95" customHeight="1" x14ac:dyDescent="0.25">
      <c r="A27" s="211">
        <v>20</v>
      </c>
      <c r="B27" s="381">
        <v>45317</v>
      </c>
      <c r="C27" s="383" t="s">
        <v>5190</v>
      </c>
      <c r="D27" s="211" t="s">
        <v>5211</v>
      </c>
      <c r="E27" s="198" t="s">
        <v>5141</v>
      </c>
      <c r="F27" s="198"/>
      <c r="G27" s="198">
        <v>142</v>
      </c>
      <c r="H27" s="142">
        <f t="shared" si="6"/>
        <v>2892540</v>
      </c>
      <c r="I27" s="198"/>
      <c r="J27" s="142">
        <v>1080000</v>
      </c>
      <c r="K27" s="142"/>
      <c r="L27" s="386"/>
      <c r="M27" s="142"/>
      <c r="N27" s="142"/>
      <c r="O27" s="139">
        <f t="shared" si="5"/>
        <v>3972540</v>
      </c>
      <c r="P27" s="142">
        <v>6350000</v>
      </c>
      <c r="Q27" s="139">
        <f t="shared" si="0"/>
        <v>2377460</v>
      </c>
      <c r="R27" s="143"/>
    </row>
    <row r="28" spans="1:18" ht="24.95" customHeight="1" x14ac:dyDescent="0.25">
      <c r="A28" s="211">
        <v>21</v>
      </c>
      <c r="B28" s="381">
        <v>45318</v>
      </c>
      <c r="C28" s="383" t="s">
        <v>5191</v>
      </c>
      <c r="D28" s="211" t="s">
        <v>5212</v>
      </c>
      <c r="E28" s="198" t="s">
        <v>25</v>
      </c>
      <c r="F28" s="198"/>
      <c r="G28" s="198">
        <v>180</v>
      </c>
      <c r="H28" s="142">
        <f t="shared" si="6"/>
        <v>3666600</v>
      </c>
      <c r="I28" s="198"/>
      <c r="J28" s="142">
        <v>1530000</v>
      </c>
      <c r="K28" s="142"/>
      <c r="L28" s="386"/>
      <c r="M28" s="142"/>
      <c r="N28" s="142"/>
      <c r="O28" s="139">
        <f t="shared" si="5"/>
        <v>5196600</v>
      </c>
      <c r="P28" s="142">
        <v>8296296</v>
      </c>
      <c r="Q28" s="139">
        <f t="shared" si="0"/>
        <v>3099696</v>
      </c>
      <c r="R28" s="143"/>
    </row>
    <row r="29" spans="1:18" ht="24.95" customHeight="1" x14ac:dyDescent="0.25">
      <c r="A29" s="211">
        <v>22</v>
      </c>
      <c r="B29" s="381">
        <v>45320</v>
      </c>
      <c r="C29" s="383" t="s">
        <v>3525</v>
      </c>
      <c r="D29" s="211" t="s">
        <v>5213</v>
      </c>
      <c r="E29" s="198" t="s">
        <v>4544</v>
      </c>
      <c r="F29" s="198"/>
      <c r="G29" s="198">
        <v>273</v>
      </c>
      <c r="H29" s="142">
        <f t="shared" si="6"/>
        <v>5561010</v>
      </c>
      <c r="I29" s="198"/>
      <c r="J29" s="142">
        <v>3032000</v>
      </c>
      <c r="K29" s="142"/>
      <c r="L29" s="386"/>
      <c r="M29" s="142"/>
      <c r="N29" s="142"/>
      <c r="O29" s="139">
        <f t="shared" si="5"/>
        <v>8593010</v>
      </c>
      <c r="P29" s="142">
        <v>14500000</v>
      </c>
      <c r="Q29" s="139">
        <f t="shared" si="0"/>
        <v>5906990</v>
      </c>
      <c r="R29" s="143"/>
    </row>
    <row r="30" spans="1:18" ht="24.95" customHeight="1" x14ac:dyDescent="0.25">
      <c r="A30" s="211">
        <v>23</v>
      </c>
      <c r="B30" s="381">
        <v>45321</v>
      </c>
      <c r="C30" s="383" t="s">
        <v>2196</v>
      </c>
      <c r="D30" s="211" t="s">
        <v>5214</v>
      </c>
      <c r="E30" s="198" t="s">
        <v>894</v>
      </c>
      <c r="F30" s="198"/>
      <c r="G30" s="198">
        <v>83</v>
      </c>
      <c r="H30" s="142">
        <f t="shared" si="6"/>
        <v>1690710</v>
      </c>
      <c r="I30" s="198"/>
      <c r="J30" s="142">
        <v>430000</v>
      </c>
      <c r="K30" s="142"/>
      <c r="L30" s="386"/>
      <c r="M30" s="142"/>
      <c r="N30" s="142"/>
      <c r="O30" s="139">
        <f t="shared" si="5"/>
        <v>2120710</v>
      </c>
      <c r="P30" s="142">
        <v>3500000</v>
      </c>
      <c r="Q30" s="139">
        <f t="shared" si="0"/>
        <v>1379290</v>
      </c>
      <c r="R30" s="143"/>
    </row>
    <row r="31" spans="1:18" ht="24.95" customHeight="1" x14ac:dyDescent="0.25">
      <c r="A31" s="210"/>
      <c r="B31" s="381"/>
      <c r="C31" s="383"/>
      <c r="D31" s="384"/>
      <c r="E31" s="385"/>
      <c r="F31" s="198"/>
      <c r="G31" s="198"/>
      <c r="H31" s="142"/>
      <c r="I31" s="198"/>
      <c r="J31" s="142"/>
      <c r="K31" s="142"/>
      <c r="L31" s="386"/>
      <c r="M31" s="142"/>
      <c r="N31" s="142"/>
      <c r="O31" s="142"/>
      <c r="P31" s="142"/>
      <c r="Q31" s="142"/>
      <c r="R31" s="143"/>
    </row>
    <row r="32" spans="1:18" ht="24.95" customHeight="1" x14ac:dyDescent="0.25">
      <c r="A32" s="210"/>
      <c r="B32" s="381"/>
      <c r="C32" s="474" t="s">
        <v>26</v>
      </c>
      <c r="D32" s="475"/>
      <c r="E32" s="476"/>
      <c r="F32" s="376"/>
      <c r="G32" s="151"/>
      <c r="H32" s="377"/>
      <c r="I32" s="151"/>
      <c r="J32" s="377"/>
      <c r="K32" s="378">
        <v>1200000</v>
      </c>
      <c r="L32" s="378"/>
      <c r="M32" s="378"/>
      <c r="N32" s="378"/>
      <c r="O32" s="142">
        <f t="shared" si="5"/>
        <v>1200000</v>
      </c>
      <c r="P32" s="142"/>
      <c r="Q32" s="142"/>
      <c r="R32" s="143"/>
    </row>
    <row r="33" spans="1:19" ht="24.95" customHeight="1" x14ac:dyDescent="0.25">
      <c r="A33" s="211"/>
      <c r="B33" s="328"/>
      <c r="C33" s="452" t="s">
        <v>4798</v>
      </c>
      <c r="D33" s="453"/>
      <c r="E33" s="454"/>
      <c r="F33" s="196"/>
      <c r="G33" s="195"/>
      <c r="H33" s="155"/>
      <c r="I33" s="195"/>
      <c r="J33" s="155"/>
      <c r="K33" s="378">
        <v>16121000</v>
      </c>
      <c r="L33" s="378"/>
      <c r="M33" s="378"/>
      <c r="N33" s="378"/>
      <c r="O33" s="139">
        <f t="shared" si="5"/>
        <v>16121000</v>
      </c>
      <c r="P33" s="139"/>
      <c r="Q33" s="139"/>
      <c r="R33" s="143"/>
    </row>
    <row r="34" spans="1:19" ht="24.95" customHeight="1" x14ac:dyDescent="0.25">
      <c r="A34" s="211"/>
      <c r="B34" s="328"/>
      <c r="C34" s="373" t="s">
        <v>5563</v>
      </c>
      <c r="D34" s="365"/>
      <c r="E34" s="366"/>
      <c r="F34" s="196"/>
      <c r="G34" s="195"/>
      <c r="H34" s="155"/>
      <c r="I34" s="195"/>
      <c r="J34" s="155"/>
      <c r="K34" s="378">
        <v>300000</v>
      </c>
      <c r="L34" s="378"/>
      <c r="M34" s="378"/>
      <c r="N34" s="378"/>
      <c r="O34" s="139">
        <f t="shared" si="5"/>
        <v>300000</v>
      </c>
      <c r="P34" s="139"/>
      <c r="Q34" s="139"/>
      <c r="R34" s="143"/>
    </row>
    <row r="35" spans="1:19" ht="24.95" customHeight="1" x14ac:dyDescent="0.25">
      <c r="A35" s="211"/>
      <c r="B35" s="328"/>
      <c r="C35" s="452" t="s">
        <v>5540</v>
      </c>
      <c r="D35" s="453"/>
      <c r="E35" s="454"/>
      <c r="F35" s="196"/>
      <c r="G35" s="195"/>
      <c r="H35" s="155"/>
      <c r="I35" s="195"/>
      <c r="J35" s="155"/>
      <c r="K35" s="378"/>
      <c r="L35" s="378">
        <v>1744200</v>
      </c>
      <c r="M35" s="378"/>
      <c r="N35" s="378"/>
      <c r="O35" s="139">
        <f t="shared" si="5"/>
        <v>1744200</v>
      </c>
      <c r="P35" s="139"/>
      <c r="Q35" s="139"/>
      <c r="R35" s="143"/>
    </row>
    <row r="36" spans="1:19" ht="24.95" customHeight="1" x14ac:dyDescent="0.25">
      <c r="A36" s="211"/>
      <c r="B36" s="328"/>
      <c r="C36" s="452" t="s">
        <v>5541</v>
      </c>
      <c r="D36" s="453"/>
      <c r="E36" s="454"/>
      <c r="F36" s="196"/>
      <c r="G36" s="195"/>
      <c r="H36" s="155"/>
      <c r="I36" s="195"/>
      <c r="J36" s="155"/>
      <c r="K36" s="378"/>
      <c r="L36" s="378"/>
      <c r="M36" s="378"/>
      <c r="N36" s="378">
        <v>3375000</v>
      </c>
      <c r="O36" s="139">
        <f t="shared" si="5"/>
        <v>3375000</v>
      </c>
      <c r="P36" s="139"/>
      <c r="Q36" s="139"/>
      <c r="R36" s="143"/>
    </row>
    <row r="37" spans="1:19" ht="24.95" customHeight="1" x14ac:dyDescent="0.25">
      <c r="A37" s="211"/>
      <c r="B37" s="328"/>
      <c r="C37" s="452" t="s">
        <v>5542</v>
      </c>
      <c r="D37" s="453"/>
      <c r="E37" s="454"/>
      <c r="F37" s="196"/>
      <c r="G37" s="195"/>
      <c r="H37" s="155"/>
      <c r="I37" s="195"/>
      <c r="J37" s="155"/>
      <c r="K37" s="378"/>
      <c r="L37" s="378">
        <v>1300000</v>
      </c>
      <c r="M37" s="378"/>
      <c r="N37" s="378"/>
      <c r="O37" s="139">
        <f t="shared" si="5"/>
        <v>1300000</v>
      </c>
      <c r="P37" s="139"/>
      <c r="Q37" s="139"/>
      <c r="R37" s="143"/>
    </row>
    <row r="38" spans="1:19" ht="24.95" customHeight="1" x14ac:dyDescent="0.25">
      <c r="A38" s="211"/>
      <c r="B38" s="328"/>
      <c r="C38" s="452" t="s">
        <v>5543</v>
      </c>
      <c r="D38" s="453"/>
      <c r="E38" s="454"/>
      <c r="F38" s="196"/>
      <c r="G38" s="195"/>
      <c r="H38" s="155"/>
      <c r="I38" s="195"/>
      <c r="J38" s="155"/>
      <c r="K38" s="378"/>
      <c r="L38" s="378">
        <v>600000</v>
      </c>
      <c r="M38" s="378"/>
      <c r="N38" s="378"/>
      <c r="O38" s="139">
        <f t="shared" si="5"/>
        <v>600000</v>
      </c>
      <c r="P38" s="139"/>
      <c r="Q38" s="139"/>
      <c r="R38" s="143"/>
    </row>
    <row r="39" spans="1:19" ht="24.95" customHeight="1" x14ac:dyDescent="0.25">
      <c r="A39" s="379"/>
      <c r="B39" s="380"/>
      <c r="C39" s="471" t="s">
        <v>4548</v>
      </c>
      <c r="D39" s="472"/>
      <c r="E39" s="473"/>
      <c r="F39" s="152"/>
      <c r="G39" s="153"/>
      <c r="H39" s="156"/>
      <c r="I39" s="153"/>
      <c r="J39" s="156"/>
      <c r="K39" s="288">
        <f>8300000</f>
        <v>8300000</v>
      </c>
      <c r="L39" s="288"/>
      <c r="M39" s="206"/>
      <c r="N39" s="206"/>
      <c r="O39" s="206">
        <f t="shared" si="5"/>
        <v>8300000</v>
      </c>
      <c r="P39" s="206"/>
      <c r="Q39" s="206"/>
      <c r="R39" s="143"/>
    </row>
    <row r="40" spans="1:19" ht="24.95" customHeight="1" x14ac:dyDescent="0.25">
      <c r="A40" s="426" t="s">
        <v>20</v>
      </c>
      <c r="B40" s="426"/>
      <c r="C40" s="426"/>
      <c r="D40" s="426"/>
      <c r="E40" s="426"/>
      <c r="F40" s="426"/>
      <c r="G40" s="161">
        <f t="shared" ref="G40:P40" si="7">SUM(G8:G39)</f>
        <v>4094</v>
      </c>
      <c r="H40" s="161">
        <f t="shared" si="7"/>
        <v>81395840</v>
      </c>
      <c r="I40" s="161">
        <f t="shared" si="7"/>
        <v>0</v>
      </c>
      <c r="J40" s="161">
        <f t="shared" si="7"/>
        <v>33966000</v>
      </c>
      <c r="K40" s="161">
        <f t="shared" si="7"/>
        <v>25921000</v>
      </c>
      <c r="L40" s="161">
        <f t="shared" si="7"/>
        <v>3644200</v>
      </c>
      <c r="M40" s="161">
        <f t="shared" si="7"/>
        <v>0</v>
      </c>
      <c r="N40" s="161">
        <f t="shared" si="7"/>
        <v>3375000</v>
      </c>
      <c r="O40" s="161">
        <f t="shared" si="7"/>
        <v>148302040</v>
      </c>
      <c r="P40" s="161">
        <f t="shared" si="7"/>
        <v>197325184</v>
      </c>
      <c r="Q40" s="161">
        <f>P40-O40</f>
        <v>49023144</v>
      </c>
    </row>
    <row r="41" spans="1:19" ht="24.95" customHeight="1" x14ac:dyDescent="0.25">
      <c r="O41" s="158"/>
      <c r="Q41" s="158"/>
    </row>
    <row r="42" spans="1:19" ht="13.9" customHeight="1" x14ac:dyDescent="0.25">
      <c r="P42" s="216" t="s">
        <v>1603</v>
      </c>
      <c r="Q42" s="227">
        <f>Q40</f>
        <v>49023144</v>
      </c>
      <c r="S42" s="216"/>
    </row>
    <row r="43" spans="1:19" ht="13.9" customHeight="1" x14ac:dyDescent="0.25">
      <c r="B43" s="129"/>
      <c r="J43" s="128"/>
      <c r="K43" s="128"/>
      <c r="L43" s="128"/>
      <c r="N43" s="128"/>
      <c r="O43" s="128"/>
      <c r="P43" s="218"/>
      <c r="Q43" s="216"/>
    </row>
    <row r="44" spans="1:19" ht="13.9" customHeight="1" x14ac:dyDescent="0.25">
      <c r="B44" s="129"/>
      <c r="H44" s="128"/>
      <c r="J44" s="128"/>
      <c r="K44" s="128"/>
      <c r="L44" s="128"/>
      <c r="M44" s="128"/>
      <c r="N44" s="128"/>
      <c r="O44" s="128"/>
      <c r="P44" s="218"/>
      <c r="Q44" s="230"/>
    </row>
    <row r="45" spans="1:19" ht="13.9" customHeight="1" x14ac:dyDescent="0.25">
      <c r="B45" s="129"/>
      <c r="H45" s="128"/>
      <c r="J45" s="128"/>
      <c r="K45" s="128"/>
      <c r="L45" s="128"/>
      <c r="M45" s="128"/>
      <c r="N45" s="128"/>
      <c r="O45" s="128"/>
      <c r="P45" s="218"/>
      <c r="Q45" s="230"/>
    </row>
    <row r="46" spans="1:19" ht="13.9" customHeight="1" x14ac:dyDescent="0.25">
      <c r="B46" s="129"/>
      <c r="G46" s="143"/>
      <c r="H46" s="128"/>
      <c r="J46" s="128"/>
      <c r="K46" s="128"/>
      <c r="L46" s="128"/>
      <c r="M46" s="128"/>
      <c r="N46" s="128"/>
      <c r="O46" s="128"/>
      <c r="P46" s="218"/>
      <c r="Q46" s="230"/>
      <c r="R46" s="143"/>
    </row>
    <row r="47" spans="1:19" ht="13.9" customHeight="1" x14ac:dyDescent="0.25">
      <c r="B47" s="129"/>
      <c r="H47" s="128"/>
      <c r="J47" s="128"/>
      <c r="K47" s="128"/>
      <c r="L47" s="128"/>
      <c r="M47" s="128"/>
      <c r="N47" s="128"/>
      <c r="O47" s="128"/>
      <c r="P47" s="218"/>
      <c r="Q47" s="216"/>
      <c r="R47" s="143"/>
    </row>
    <row r="48" spans="1:19" x14ac:dyDescent="0.25">
      <c r="B48" s="129"/>
      <c r="H48" s="128"/>
      <c r="J48" s="128"/>
      <c r="K48" s="128"/>
      <c r="L48" s="128"/>
      <c r="M48" s="128"/>
      <c r="N48" s="128"/>
      <c r="O48" s="128"/>
      <c r="P48" s="218"/>
      <c r="Q48" s="216"/>
    </row>
    <row r="49" spans="1:19" x14ac:dyDescent="0.25">
      <c r="A49" s="128"/>
      <c r="B49" s="129"/>
      <c r="H49" s="128"/>
      <c r="J49" s="128"/>
      <c r="K49" s="128"/>
      <c r="L49" s="128"/>
      <c r="M49" s="128"/>
      <c r="N49" s="128"/>
      <c r="O49" s="128"/>
      <c r="P49" s="218"/>
      <c r="Q49" s="216"/>
    </row>
    <row r="50" spans="1:19" x14ac:dyDescent="0.25">
      <c r="A50" s="128"/>
      <c r="B50" s="129"/>
      <c r="H50" s="128"/>
      <c r="J50" s="128"/>
      <c r="K50" s="128"/>
      <c r="L50" s="128"/>
      <c r="M50" s="128"/>
      <c r="N50" s="128"/>
      <c r="O50" s="128"/>
      <c r="P50" s="218"/>
      <c r="Q50" s="216"/>
    </row>
    <row r="51" spans="1:19" x14ac:dyDescent="0.25">
      <c r="A51" s="128"/>
      <c r="B51" s="128"/>
      <c r="G51" s="143"/>
      <c r="J51" s="128"/>
      <c r="K51" s="128"/>
      <c r="L51" s="128"/>
      <c r="M51" s="128"/>
      <c r="N51" s="128"/>
      <c r="O51" s="128"/>
      <c r="P51" s="128"/>
      <c r="Q51" s="216"/>
    </row>
    <row r="52" spans="1:19" x14ac:dyDescent="0.25">
      <c r="A52" s="128"/>
      <c r="B52" s="128"/>
      <c r="H52" s="128"/>
      <c r="J52" s="128"/>
      <c r="K52" s="128"/>
      <c r="L52" s="128"/>
      <c r="M52" s="128"/>
      <c r="N52" s="128"/>
      <c r="O52" s="128"/>
      <c r="P52" s="128"/>
      <c r="Q52" s="216"/>
    </row>
    <row r="54" spans="1:19" s="143" customFormat="1" x14ac:dyDescent="0.25">
      <c r="A54" s="129"/>
      <c r="B54" s="163"/>
      <c r="C54" s="128"/>
      <c r="D54" s="128"/>
      <c r="E54" s="128"/>
      <c r="F54" s="128"/>
      <c r="I54" s="128"/>
      <c r="R54" s="128"/>
      <c r="S54" s="128"/>
    </row>
  </sheetData>
  <mergeCells count="21">
    <mergeCell ref="A1:Q1"/>
    <mergeCell ref="A2:Q2"/>
    <mergeCell ref="B3:Q3"/>
    <mergeCell ref="A5:A6"/>
    <mergeCell ref="B5:B6"/>
    <mergeCell ref="C5:C6"/>
    <mergeCell ref="D5:D6"/>
    <mergeCell ref="E5:E6"/>
    <mergeCell ref="F5:F6"/>
    <mergeCell ref="G5:N5"/>
    <mergeCell ref="A40:F40"/>
    <mergeCell ref="C39:E39"/>
    <mergeCell ref="O5:O6"/>
    <mergeCell ref="P5:P6"/>
    <mergeCell ref="Q5:Q6"/>
    <mergeCell ref="C32:E32"/>
    <mergeCell ref="C33:E33"/>
    <mergeCell ref="C35:E35"/>
    <mergeCell ref="C36:E36"/>
    <mergeCell ref="C37:E37"/>
    <mergeCell ref="C38:E38"/>
  </mergeCells>
  <pageMargins left="0.7" right="0.7" top="0.75" bottom="0.75" header="0.3" footer="0.3"/>
  <pageSetup paperSize="9" orientation="portrait" horizontalDpi="0" verticalDpi="0"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8D63-BDCA-4241-AC7A-D1E2C62F600D}">
  <dimension ref="A1:S50"/>
  <sheetViews>
    <sheetView topLeftCell="A18" zoomScale="90" zoomScaleNormal="90" workbookViewId="0">
      <selection activeCell="K31" sqref="K31"/>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5220</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45322</v>
      </c>
      <c r="C8" s="134" t="s">
        <v>5221</v>
      </c>
      <c r="D8" s="211" t="s">
        <v>5239</v>
      </c>
      <c r="E8" s="136" t="s">
        <v>5011</v>
      </c>
      <c r="F8" s="134"/>
      <c r="G8" s="134">
        <v>68</v>
      </c>
      <c r="H8" s="139">
        <f>G8*20990</f>
        <v>1427320</v>
      </c>
      <c r="I8" s="134"/>
      <c r="J8" s="139">
        <v>430000</v>
      </c>
      <c r="K8" s="139"/>
      <c r="L8" s="263"/>
      <c r="M8" s="139"/>
      <c r="N8" s="139"/>
      <c r="O8" s="139">
        <f>SUM(H8:N8)</f>
        <v>1857320</v>
      </c>
      <c r="P8" s="139">
        <v>3500000</v>
      </c>
      <c r="Q8" s="139">
        <f>P8-O8</f>
        <v>1642680</v>
      </c>
      <c r="R8" s="143"/>
    </row>
    <row r="9" spans="1:18" ht="24.95" customHeight="1" x14ac:dyDescent="0.25">
      <c r="A9" s="211">
        <v>2</v>
      </c>
      <c r="B9" s="328">
        <v>45323</v>
      </c>
      <c r="C9" s="134" t="s">
        <v>4700</v>
      </c>
      <c r="D9" s="211" t="s">
        <v>5240</v>
      </c>
      <c r="E9" s="136" t="s">
        <v>5215</v>
      </c>
      <c r="F9" s="134"/>
      <c r="G9" s="134">
        <v>167</v>
      </c>
      <c r="H9" s="139">
        <f>G9*20990</f>
        <v>3505330</v>
      </c>
      <c r="I9" s="134"/>
      <c r="J9" s="139">
        <v>1190000</v>
      </c>
      <c r="K9" s="139"/>
      <c r="L9" s="263"/>
      <c r="M9" s="139"/>
      <c r="N9" s="139"/>
      <c r="O9" s="139">
        <f>SUM(H9:N9)</f>
        <v>4695330</v>
      </c>
      <c r="P9" s="139">
        <v>6900000</v>
      </c>
      <c r="Q9" s="139">
        <f t="shared" ref="Q9:Q25" si="0">P9-O9</f>
        <v>2204670</v>
      </c>
      <c r="R9" s="143"/>
    </row>
    <row r="10" spans="1:18" ht="24.95" customHeight="1" x14ac:dyDescent="0.25">
      <c r="A10" s="211">
        <v>3</v>
      </c>
      <c r="B10" s="328">
        <v>45324</v>
      </c>
      <c r="C10" s="134" t="s">
        <v>4701</v>
      </c>
      <c r="D10" s="211" t="s">
        <v>5241</v>
      </c>
      <c r="E10" s="136" t="s">
        <v>2883</v>
      </c>
      <c r="F10" s="134"/>
      <c r="G10" s="134">
        <v>81</v>
      </c>
      <c r="H10" s="139">
        <f>G10*21360</f>
        <v>1730160</v>
      </c>
      <c r="I10" s="134"/>
      <c r="J10" s="139">
        <v>430000</v>
      </c>
      <c r="K10" s="139"/>
      <c r="L10" s="263"/>
      <c r="M10" s="139"/>
      <c r="N10" s="139"/>
      <c r="O10" s="139">
        <f t="shared" ref="O10:O17" si="1">SUM(H10:N10)</f>
        <v>2160160</v>
      </c>
      <c r="P10" s="139">
        <v>4300000</v>
      </c>
      <c r="Q10" s="139">
        <f t="shared" si="0"/>
        <v>2139840</v>
      </c>
      <c r="R10" s="143"/>
    </row>
    <row r="11" spans="1:18" ht="24.95" customHeight="1" x14ac:dyDescent="0.25">
      <c r="A11" s="211">
        <v>4</v>
      </c>
      <c r="B11" s="328">
        <v>45327</v>
      </c>
      <c r="C11" s="134" t="s">
        <v>5222</v>
      </c>
      <c r="D11" s="211" t="s">
        <v>5242</v>
      </c>
      <c r="E11" s="136" t="s">
        <v>81</v>
      </c>
      <c r="F11" s="134"/>
      <c r="G11" s="134">
        <v>85</v>
      </c>
      <c r="H11" s="139">
        <f t="shared" ref="H11:H18" si="2">G11*21360</f>
        <v>1815600</v>
      </c>
      <c r="I11" s="134"/>
      <c r="J11" s="139">
        <v>790000</v>
      </c>
      <c r="K11" s="139"/>
      <c r="L11" s="263"/>
      <c r="M11" s="139"/>
      <c r="N11" s="139"/>
      <c r="O11" s="139">
        <f t="shared" si="1"/>
        <v>2605600</v>
      </c>
      <c r="P11" s="139">
        <v>4800000</v>
      </c>
      <c r="Q11" s="139">
        <f t="shared" si="0"/>
        <v>2194400</v>
      </c>
      <c r="R11" s="143"/>
    </row>
    <row r="12" spans="1:18" ht="24.95" customHeight="1" x14ac:dyDescent="0.25">
      <c r="A12" s="211">
        <v>5</v>
      </c>
      <c r="B12" s="328">
        <v>45328</v>
      </c>
      <c r="C12" s="134" t="s">
        <v>905</v>
      </c>
      <c r="D12" s="211" t="s">
        <v>5243</v>
      </c>
      <c r="E12" s="136" t="s">
        <v>5233</v>
      </c>
      <c r="F12" s="134"/>
      <c r="G12" s="134">
        <v>60</v>
      </c>
      <c r="H12" s="139">
        <f t="shared" si="2"/>
        <v>1281600</v>
      </c>
      <c r="I12" s="134"/>
      <c r="J12" s="139">
        <v>430000</v>
      </c>
      <c r="K12" s="139"/>
      <c r="L12" s="263"/>
      <c r="M12" s="139"/>
      <c r="N12" s="139"/>
      <c r="O12" s="139">
        <f t="shared" si="1"/>
        <v>1711600</v>
      </c>
      <c r="P12" s="139">
        <v>3330000</v>
      </c>
      <c r="Q12" s="139">
        <f t="shared" si="0"/>
        <v>1618400</v>
      </c>
      <c r="R12" s="143"/>
    </row>
    <row r="13" spans="1:18" ht="24.95" customHeight="1" x14ac:dyDescent="0.25">
      <c r="A13" s="211">
        <v>6</v>
      </c>
      <c r="B13" s="328">
        <v>45337</v>
      </c>
      <c r="C13" s="134" t="s">
        <v>5223</v>
      </c>
      <c r="D13" s="211" t="s">
        <v>5244</v>
      </c>
      <c r="E13" s="136" t="s">
        <v>5011</v>
      </c>
      <c r="F13" s="134"/>
      <c r="G13" s="134">
        <v>61</v>
      </c>
      <c r="H13" s="139">
        <f t="shared" si="2"/>
        <v>1302960</v>
      </c>
      <c r="I13" s="134"/>
      <c r="J13" s="139">
        <v>430000</v>
      </c>
      <c r="K13" s="139"/>
      <c r="L13" s="263"/>
      <c r="M13" s="139"/>
      <c r="N13" s="139"/>
      <c r="O13" s="139">
        <f t="shared" si="1"/>
        <v>1732960</v>
      </c>
      <c r="P13" s="139">
        <v>3090000</v>
      </c>
      <c r="Q13" s="139">
        <f t="shared" si="0"/>
        <v>1357040</v>
      </c>
      <c r="R13" s="143"/>
    </row>
    <row r="14" spans="1:18" ht="24.95" customHeight="1" x14ac:dyDescent="0.25">
      <c r="A14" s="211">
        <v>7</v>
      </c>
      <c r="B14" s="328">
        <v>45337</v>
      </c>
      <c r="C14" s="134" t="s">
        <v>5224</v>
      </c>
      <c r="D14" s="211" t="s">
        <v>5245</v>
      </c>
      <c r="E14" s="136" t="s">
        <v>5234</v>
      </c>
      <c r="F14" s="134"/>
      <c r="G14" s="134">
        <v>63</v>
      </c>
      <c r="H14" s="139">
        <f t="shared" si="2"/>
        <v>1345680</v>
      </c>
      <c r="I14" s="134"/>
      <c r="J14" s="139">
        <v>430000</v>
      </c>
      <c r="K14" s="139"/>
      <c r="L14" s="263"/>
      <c r="M14" s="139"/>
      <c r="N14" s="139"/>
      <c r="O14" s="139">
        <f t="shared" si="1"/>
        <v>1775680</v>
      </c>
      <c r="P14" s="139">
        <v>3180000</v>
      </c>
      <c r="Q14" s="139">
        <f t="shared" si="0"/>
        <v>1404320</v>
      </c>
      <c r="R14" s="143"/>
    </row>
    <row r="15" spans="1:18" ht="24.95" customHeight="1" x14ac:dyDescent="0.25">
      <c r="A15" s="211">
        <v>8</v>
      </c>
      <c r="B15" s="328">
        <v>45338</v>
      </c>
      <c r="C15" s="134" t="s">
        <v>4205</v>
      </c>
      <c r="D15" s="211" t="s">
        <v>5246</v>
      </c>
      <c r="E15" s="136" t="s">
        <v>2985</v>
      </c>
      <c r="F15" s="134"/>
      <c r="G15" s="134">
        <v>58</v>
      </c>
      <c r="H15" s="139">
        <f t="shared" si="2"/>
        <v>1238880</v>
      </c>
      <c r="I15" s="134"/>
      <c r="J15" s="139">
        <v>430000</v>
      </c>
      <c r="K15" s="139"/>
      <c r="L15" s="263"/>
      <c r="M15" s="139"/>
      <c r="N15" s="139"/>
      <c r="O15" s="139">
        <f t="shared" si="1"/>
        <v>1668880</v>
      </c>
      <c r="P15" s="139">
        <v>3080000</v>
      </c>
      <c r="Q15" s="139">
        <f t="shared" si="0"/>
        <v>1411120</v>
      </c>
      <c r="R15" s="143"/>
    </row>
    <row r="16" spans="1:18" ht="24.95" customHeight="1" x14ac:dyDescent="0.25">
      <c r="A16" s="211">
        <v>9</v>
      </c>
      <c r="B16" s="328">
        <v>45341</v>
      </c>
      <c r="C16" s="134" t="s">
        <v>2913</v>
      </c>
      <c r="D16" s="211" t="s">
        <v>5247</v>
      </c>
      <c r="E16" s="136" t="s">
        <v>2985</v>
      </c>
      <c r="F16" s="134"/>
      <c r="G16" s="134">
        <v>58</v>
      </c>
      <c r="H16" s="139">
        <f>G16*21360</f>
        <v>1238880</v>
      </c>
      <c r="I16" s="134"/>
      <c r="J16" s="139">
        <v>430000</v>
      </c>
      <c r="K16" s="139"/>
      <c r="L16" s="263"/>
      <c r="M16" s="139"/>
      <c r="N16" s="139"/>
      <c r="O16" s="139">
        <f t="shared" si="1"/>
        <v>1668880</v>
      </c>
      <c r="P16" s="139">
        <v>3080000</v>
      </c>
      <c r="Q16" s="139">
        <f t="shared" si="0"/>
        <v>1411120</v>
      </c>
      <c r="R16" s="143"/>
    </row>
    <row r="17" spans="1:18" ht="24.95" customHeight="1" x14ac:dyDescent="0.25">
      <c r="A17" s="211">
        <v>10</v>
      </c>
      <c r="B17" s="328">
        <v>45341</v>
      </c>
      <c r="C17" s="134" t="s">
        <v>5225</v>
      </c>
      <c r="D17" s="211" t="s">
        <v>5248</v>
      </c>
      <c r="E17" s="136" t="s">
        <v>5235</v>
      </c>
      <c r="F17" s="134"/>
      <c r="G17" s="134">
        <v>60</v>
      </c>
      <c r="H17" s="139">
        <f t="shared" si="2"/>
        <v>1281600</v>
      </c>
      <c r="I17" s="134"/>
      <c r="J17" s="139">
        <v>340000</v>
      </c>
      <c r="K17" s="139"/>
      <c r="L17" s="263"/>
      <c r="M17" s="139"/>
      <c r="N17" s="139"/>
      <c r="O17" s="139">
        <f t="shared" si="1"/>
        <v>1621600</v>
      </c>
      <c r="P17" s="139">
        <v>3000000</v>
      </c>
      <c r="Q17" s="139">
        <f t="shared" si="0"/>
        <v>1378400</v>
      </c>
      <c r="R17" s="143"/>
    </row>
    <row r="18" spans="1:18" ht="24.95" customHeight="1" x14ac:dyDescent="0.25">
      <c r="A18" s="211">
        <v>11</v>
      </c>
      <c r="B18" s="328">
        <v>45342</v>
      </c>
      <c r="C18" s="134" t="s">
        <v>5226</v>
      </c>
      <c r="D18" s="211" t="s">
        <v>5249</v>
      </c>
      <c r="E18" s="136" t="s">
        <v>518</v>
      </c>
      <c r="F18" s="134"/>
      <c r="G18" s="134">
        <v>108</v>
      </c>
      <c r="H18" s="139">
        <f t="shared" si="2"/>
        <v>2306880</v>
      </c>
      <c r="I18" s="134"/>
      <c r="J18" s="139">
        <v>790000</v>
      </c>
      <c r="K18" s="139"/>
      <c r="L18" s="263"/>
      <c r="M18" s="139"/>
      <c r="N18" s="139"/>
      <c r="O18" s="139">
        <f>SUM(H18:N18)</f>
        <v>3096880</v>
      </c>
      <c r="P18" s="139">
        <v>4500000</v>
      </c>
      <c r="Q18" s="139">
        <f t="shared" si="0"/>
        <v>1403120</v>
      </c>
      <c r="R18" s="143"/>
    </row>
    <row r="19" spans="1:18" ht="24.95" customHeight="1" x14ac:dyDescent="0.25">
      <c r="A19" s="211">
        <v>12</v>
      </c>
      <c r="B19" s="328">
        <v>45344</v>
      </c>
      <c r="C19" s="134" t="s">
        <v>5227</v>
      </c>
      <c r="D19" s="211" t="s">
        <v>5250</v>
      </c>
      <c r="E19" s="136" t="s">
        <v>291</v>
      </c>
      <c r="F19" s="134"/>
      <c r="G19" s="134">
        <v>70</v>
      </c>
      <c r="H19" s="139">
        <f>G19*20910</f>
        <v>1463700</v>
      </c>
      <c r="I19" s="134"/>
      <c r="J19" s="139">
        <v>610000</v>
      </c>
      <c r="K19" s="139"/>
      <c r="L19" s="263"/>
      <c r="M19" s="139"/>
      <c r="N19" s="139"/>
      <c r="O19" s="139">
        <f>SUM(H19:N19)</f>
        <v>2073700</v>
      </c>
      <c r="P19" s="139">
        <v>3710000</v>
      </c>
      <c r="Q19" s="139">
        <f t="shared" si="0"/>
        <v>1636300</v>
      </c>
      <c r="R19" s="143"/>
    </row>
    <row r="20" spans="1:18" ht="24.95" customHeight="1" x14ac:dyDescent="0.25">
      <c r="A20" s="211">
        <v>13</v>
      </c>
      <c r="B20" s="328">
        <v>45344</v>
      </c>
      <c r="C20" s="134" t="s">
        <v>5228</v>
      </c>
      <c r="D20" s="211" t="s">
        <v>5251</v>
      </c>
      <c r="E20" s="136" t="s">
        <v>2883</v>
      </c>
      <c r="F20" s="134"/>
      <c r="G20" s="134">
        <v>81</v>
      </c>
      <c r="H20" s="139">
        <f t="shared" ref="H20:H22" si="3">G20*20910</f>
        <v>1693710</v>
      </c>
      <c r="I20" s="134"/>
      <c r="J20" s="139">
        <v>430000</v>
      </c>
      <c r="K20" s="139"/>
      <c r="L20" s="263"/>
      <c r="M20" s="139"/>
      <c r="N20" s="139"/>
      <c r="O20" s="139">
        <f>SUM(H20:N20)</f>
        <v>2123710</v>
      </c>
      <c r="P20" s="139">
        <v>3500000</v>
      </c>
      <c r="Q20" s="139">
        <f t="shared" si="0"/>
        <v>1376290</v>
      </c>
      <c r="R20" s="143"/>
    </row>
    <row r="21" spans="1:18" ht="24.95" customHeight="1" x14ac:dyDescent="0.25">
      <c r="A21" s="211">
        <v>14</v>
      </c>
      <c r="B21" s="328">
        <v>45345</v>
      </c>
      <c r="C21" s="134" t="s">
        <v>5229</v>
      </c>
      <c r="D21" s="211" t="s">
        <v>5252</v>
      </c>
      <c r="E21" s="136" t="s">
        <v>5236</v>
      </c>
      <c r="F21" s="134"/>
      <c r="G21" s="134">
        <v>115</v>
      </c>
      <c r="H21" s="139">
        <f t="shared" si="3"/>
        <v>2404650</v>
      </c>
      <c r="I21" s="134"/>
      <c r="J21" s="139">
        <v>790000</v>
      </c>
      <c r="K21" s="139"/>
      <c r="L21" s="263"/>
      <c r="M21" s="139"/>
      <c r="N21" s="139"/>
      <c r="O21" s="139">
        <f t="shared" ref="O21:O35" si="4">SUM(H21:N21)</f>
        <v>3194650</v>
      </c>
      <c r="P21" s="139">
        <v>4800000</v>
      </c>
      <c r="Q21" s="139">
        <f t="shared" si="0"/>
        <v>1605350</v>
      </c>
      <c r="R21" s="143"/>
    </row>
    <row r="22" spans="1:18" ht="24.95" customHeight="1" x14ac:dyDescent="0.25">
      <c r="A22" s="211">
        <v>15</v>
      </c>
      <c r="B22" s="328">
        <v>45348</v>
      </c>
      <c r="C22" s="134" t="s">
        <v>5230</v>
      </c>
      <c r="D22" s="211" t="s">
        <v>5253</v>
      </c>
      <c r="E22" s="136" t="s">
        <v>5237</v>
      </c>
      <c r="F22" s="134"/>
      <c r="G22" s="134">
        <v>61</v>
      </c>
      <c r="H22" s="139">
        <f t="shared" si="3"/>
        <v>1275510</v>
      </c>
      <c r="I22" s="134"/>
      <c r="J22" s="139">
        <v>430000</v>
      </c>
      <c r="K22" s="139"/>
      <c r="L22" s="263"/>
      <c r="M22" s="139"/>
      <c r="N22" s="139"/>
      <c r="O22" s="139">
        <f t="shared" si="4"/>
        <v>1705510</v>
      </c>
      <c r="P22" s="139">
        <v>3876296</v>
      </c>
      <c r="Q22" s="139">
        <f t="shared" si="0"/>
        <v>2170786</v>
      </c>
      <c r="R22" s="143"/>
    </row>
    <row r="23" spans="1:18" ht="24.95" customHeight="1" x14ac:dyDescent="0.25">
      <c r="A23" s="211">
        <v>16</v>
      </c>
      <c r="B23" s="328">
        <v>45348</v>
      </c>
      <c r="C23" s="134" t="s">
        <v>5231</v>
      </c>
      <c r="D23" s="211" t="s">
        <v>5254</v>
      </c>
      <c r="E23" s="136" t="s">
        <v>4970</v>
      </c>
      <c r="F23" s="134"/>
      <c r="G23" s="134">
        <v>80</v>
      </c>
      <c r="H23" s="139">
        <f>G23*20770</f>
        <v>1661600</v>
      </c>
      <c r="I23" s="134"/>
      <c r="J23" s="139">
        <v>430000</v>
      </c>
      <c r="K23" s="139"/>
      <c r="L23" s="263"/>
      <c r="M23" s="139"/>
      <c r="N23" s="139"/>
      <c r="O23" s="139">
        <f t="shared" si="4"/>
        <v>2091600</v>
      </c>
      <c r="P23" s="139">
        <v>4400000</v>
      </c>
      <c r="Q23" s="139">
        <f t="shared" si="0"/>
        <v>2308400</v>
      </c>
      <c r="R23" s="143"/>
    </row>
    <row r="24" spans="1:18" ht="24.95" customHeight="1" x14ac:dyDescent="0.25">
      <c r="A24" s="211">
        <v>17</v>
      </c>
      <c r="B24" s="328">
        <v>45349</v>
      </c>
      <c r="C24" s="134" t="s">
        <v>4714</v>
      </c>
      <c r="D24" s="211" t="s">
        <v>5255</v>
      </c>
      <c r="E24" s="198" t="s">
        <v>5238</v>
      </c>
      <c r="F24" s="134"/>
      <c r="G24" s="134">
        <v>85</v>
      </c>
      <c r="H24" s="139">
        <f>G24*20770</f>
        <v>1765450</v>
      </c>
      <c r="I24" s="134"/>
      <c r="J24" s="139">
        <v>1470000</v>
      </c>
      <c r="K24" s="139"/>
      <c r="L24" s="263"/>
      <c r="M24" s="139"/>
      <c r="N24" s="139"/>
      <c r="O24" s="139">
        <f t="shared" si="4"/>
        <v>3235450</v>
      </c>
      <c r="P24" s="139">
        <v>2670000</v>
      </c>
      <c r="Q24" s="139">
        <f t="shared" si="0"/>
        <v>-565450</v>
      </c>
      <c r="R24" s="143"/>
    </row>
    <row r="25" spans="1:18" ht="24.95" customHeight="1" x14ac:dyDescent="0.25">
      <c r="A25" s="211">
        <v>18</v>
      </c>
      <c r="B25" s="381">
        <v>45350</v>
      </c>
      <c r="C25" s="383" t="s">
        <v>5232</v>
      </c>
      <c r="D25" s="211" t="s">
        <v>5255</v>
      </c>
      <c r="E25" s="198" t="s">
        <v>763</v>
      </c>
      <c r="F25" s="198"/>
      <c r="G25" s="198"/>
      <c r="H25" s="142"/>
      <c r="I25" s="198"/>
      <c r="J25" s="142"/>
      <c r="K25" s="142"/>
      <c r="L25" s="386"/>
      <c r="M25" s="142"/>
      <c r="N25" s="142"/>
      <c r="O25" s="139">
        <f t="shared" si="4"/>
        <v>0</v>
      </c>
      <c r="P25" s="142">
        <v>3500000</v>
      </c>
      <c r="Q25" s="139">
        <f t="shared" si="0"/>
        <v>3500000</v>
      </c>
      <c r="R25" s="143"/>
    </row>
    <row r="26" spans="1:18" ht="24.95" customHeight="1" x14ac:dyDescent="0.25">
      <c r="A26" s="210"/>
      <c r="B26" s="381"/>
      <c r="C26" s="383"/>
      <c r="D26" s="384"/>
      <c r="E26" s="385"/>
      <c r="F26" s="198"/>
      <c r="G26" s="198"/>
      <c r="H26" s="142"/>
      <c r="I26" s="198"/>
      <c r="J26" s="142"/>
      <c r="K26" s="142"/>
      <c r="L26" s="386"/>
      <c r="M26" s="142"/>
      <c r="N26" s="142"/>
      <c r="O26" s="142"/>
      <c r="P26" s="142"/>
      <c r="Q26" s="142"/>
      <c r="R26" s="143"/>
    </row>
    <row r="27" spans="1:18" ht="24.95" customHeight="1" x14ac:dyDescent="0.25">
      <c r="A27" s="210"/>
      <c r="B27" s="381"/>
      <c r="C27" s="474" t="s">
        <v>26</v>
      </c>
      <c r="D27" s="475"/>
      <c r="E27" s="476"/>
      <c r="F27" s="376"/>
      <c r="G27" s="151"/>
      <c r="H27" s="377"/>
      <c r="I27" s="151"/>
      <c r="J27" s="377"/>
      <c r="K27" s="378">
        <v>1200000</v>
      </c>
      <c r="L27" s="378"/>
      <c r="M27" s="378"/>
      <c r="N27" s="378"/>
      <c r="O27" s="142">
        <f t="shared" si="4"/>
        <v>1200000</v>
      </c>
      <c r="P27" s="142"/>
      <c r="Q27" s="142"/>
      <c r="R27" s="143"/>
    </row>
    <row r="28" spans="1:18" ht="24.95" customHeight="1" x14ac:dyDescent="0.25">
      <c r="A28" s="211"/>
      <c r="B28" s="328"/>
      <c r="C28" s="452" t="s">
        <v>4798</v>
      </c>
      <c r="D28" s="453"/>
      <c r="E28" s="454"/>
      <c r="F28" s="196"/>
      <c r="G28" s="195"/>
      <c r="H28" s="155"/>
      <c r="I28" s="195"/>
      <c r="J28" s="155"/>
      <c r="K28" s="378">
        <v>7234000</v>
      </c>
      <c r="L28" s="378"/>
      <c r="M28" s="378"/>
      <c r="N28" s="378"/>
      <c r="O28" s="139">
        <f t="shared" si="4"/>
        <v>7234000</v>
      </c>
      <c r="P28" s="139"/>
      <c r="Q28" s="139"/>
      <c r="R28" s="143"/>
    </row>
    <row r="29" spans="1:18" ht="24.95" customHeight="1" x14ac:dyDescent="0.25">
      <c r="A29" s="211"/>
      <c r="B29" s="328"/>
      <c r="C29" s="373" t="s">
        <v>5611</v>
      </c>
      <c r="D29" s="365"/>
      <c r="E29" s="366"/>
      <c r="F29" s="196"/>
      <c r="G29" s="195"/>
      <c r="H29" s="155"/>
      <c r="I29" s="195"/>
      <c r="J29" s="155"/>
      <c r="K29" s="378">
        <v>5000000</v>
      </c>
      <c r="L29" s="378"/>
      <c r="M29" s="378"/>
      <c r="N29" s="378"/>
      <c r="O29" s="139">
        <f t="shared" si="4"/>
        <v>5000000</v>
      </c>
      <c r="P29" s="139"/>
      <c r="Q29" s="139"/>
      <c r="R29" s="143"/>
    </row>
    <row r="30" spans="1:18" ht="24.95" customHeight="1" x14ac:dyDescent="0.25">
      <c r="A30" s="211"/>
      <c r="B30" s="328"/>
      <c r="C30" s="373" t="s">
        <v>5612</v>
      </c>
      <c r="D30" s="365"/>
      <c r="E30" s="366"/>
      <c r="F30" s="196"/>
      <c r="G30" s="195"/>
      <c r="H30" s="155"/>
      <c r="I30" s="195"/>
      <c r="J30" s="155"/>
      <c r="K30" s="378">
        <v>200000</v>
      </c>
      <c r="L30" s="378"/>
      <c r="M30" s="378"/>
      <c r="N30" s="378"/>
      <c r="O30" s="139">
        <f t="shared" si="4"/>
        <v>200000</v>
      </c>
      <c r="P30" s="139"/>
      <c r="Q30" s="139"/>
      <c r="R30" s="143"/>
    </row>
    <row r="31" spans="1:18" ht="24.95" customHeight="1" x14ac:dyDescent="0.25">
      <c r="A31" s="211"/>
      <c r="B31" s="328"/>
      <c r="C31" s="452" t="s">
        <v>5559</v>
      </c>
      <c r="D31" s="453"/>
      <c r="E31" s="454"/>
      <c r="F31" s="196"/>
      <c r="G31" s="195"/>
      <c r="H31" s="155"/>
      <c r="I31" s="195"/>
      <c r="J31" s="155"/>
      <c r="K31" s="378"/>
      <c r="L31" s="390">
        <v>750000</v>
      </c>
      <c r="M31" s="378"/>
      <c r="N31" s="378"/>
      <c r="O31" s="139">
        <f t="shared" si="4"/>
        <v>750000</v>
      </c>
      <c r="P31" s="139"/>
      <c r="Q31" s="139"/>
      <c r="R31" s="143"/>
    </row>
    <row r="32" spans="1:18" ht="24.95" customHeight="1" x14ac:dyDescent="0.25">
      <c r="A32" s="211"/>
      <c r="B32" s="328"/>
      <c r="C32" s="452" t="s">
        <v>5544</v>
      </c>
      <c r="D32" s="453"/>
      <c r="E32" s="454"/>
      <c r="F32" s="196"/>
      <c r="G32" s="195"/>
      <c r="H32" s="155"/>
      <c r="I32" s="195"/>
      <c r="J32" s="155"/>
      <c r="K32" s="378"/>
      <c r="L32" s="390">
        <v>2500000</v>
      </c>
      <c r="M32" s="378"/>
      <c r="N32" s="378"/>
      <c r="O32" s="139">
        <f t="shared" si="4"/>
        <v>2500000</v>
      </c>
      <c r="P32" s="139"/>
      <c r="Q32" s="139"/>
      <c r="R32" s="143"/>
    </row>
    <row r="33" spans="1:19" ht="24.95" customHeight="1" x14ac:dyDescent="0.25">
      <c r="A33" s="211"/>
      <c r="B33" s="328"/>
      <c r="C33" s="452" t="s">
        <v>5545</v>
      </c>
      <c r="D33" s="453"/>
      <c r="E33" s="454"/>
      <c r="F33" s="196"/>
      <c r="G33" s="195"/>
      <c r="H33" s="155"/>
      <c r="I33" s="195"/>
      <c r="J33" s="155"/>
      <c r="K33" s="378"/>
      <c r="L33" s="390">
        <v>1056000</v>
      </c>
      <c r="M33" s="378"/>
      <c r="N33" s="378"/>
      <c r="O33" s="139">
        <f t="shared" si="4"/>
        <v>1056000</v>
      </c>
      <c r="P33" s="139"/>
      <c r="Q33" s="139"/>
      <c r="R33" s="143"/>
    </row>
    <row r="34" spans="1:19" ht="24.95" customHeight="1" x14ac:dyDescent="0.25">
      <c r="A34" s="211"/>
      <c r="B34" s="328"/>
      <c r="C34" s="452" t="s">
        <v>5559</v>
      </c>
      <c r="D34" s="453"/>
      <c r="E34" s="454"/>
      <c r="F34" s="196"/>
      <c r="G34" s="195"/>
      <c r="H34" s="155"/>
      <c r="I34" s="195"/>
      <c r="J34" s="155"/>
      <c r="K34" s="378"/>
      <c r="L34" s="390">
        <v>750000</v>
      </c>
      <c r="M34" s="378"/>
      <c r="N34" s="378"/>
      <c r="O34" s="139">
        <f t="shared" si="4"/>
        <v>750000</v>
      </c>
      <c r="P34" s="139"/>
      <c r="Q34" s="139"/>
      <c r="R34" s="143"/>
    </row>
    <row r="35" spans="1:19" ht="24.95" customHeight="1" x14ac:dyDescent="0.25">
      <c r="A35" s="379"/>
      <c r="B35" s="380"/>
      <c r="C35" s="471" t="s">
        <v>4290</v>
      </c>
      <c r="D35" s="472"/>
      <c r="E35" s="473"/>
      <c r="F35" s="152"/>
      <c r="G35" s="153"/>
      <c r="H35" s="156"/>
      <c r="I35" s="153"/>
      <c r="J35" s="156"/>
      <c r="K35" s="288">
        <v>8000000</v>
      </c>
      <c r="L35" s="288"/>
      <c r="M35" s="206"/>
      <c r="N35" s="206"/>
      <c r="O35" s="206">
        <f t="shared" si="4"/>
        <v>8000000</v>
      </c>
      <c r="P35" s="206"/>
      <c r="Q35" s="206"/>
      <c r="R35" s="143"/>
    </row>
    <row r="36" spans="1:19" ht="24.95" customHeight="1" x14ac:dyDescent="0.25">
      <c r="A36" s="426" t="s">
        <v>20</v>
      </c>
      <c r="B36" s="426"/>
      <c r="C36" s="426"/>
      <c r="D36" s="426"/>
      <c r="E36" s="426"/>
      <c r="F36" s="426"/>
      <c r="G36" s="161">
        <f t="shared" ref="G36:P36" si="5">SUM(G8:G35)</f>
        <v>1361</v>
      </c>
      <c r="H36" s="161">
        <f t="shared" si="5"/>
        <v>28739510</v>
      </c>
      <c r="I36" s="161">
        <f t="shared" si="5"/>
        <v>0</v>
      </c>
      <c r="J36" s="161">
        <f t="shared" si="5"/>
        <v>10280000</v>
      </c>
      <c r="K36" s="161">
        <f t="shared" si="5"/>
        <v>21634000</v>
      </c>
      <c r="L36" s="161">
        <f t="shared" si="5"/>
        <v>5056000</v>
      </c>
      <c r="M36" s="161">
        <f t="shared" si="5"/>
        <v>0</v>
      </c>
      <c r="N36" s="161">
        <f t="shared" si="5"/>
        <v>0</v>
      </c>
      <c r="O36" s="161">
        <f t="shared" si="5"/>
        <v>65709510</v>
      </c>
      <c r="P36" s="161">
        <f t="shared" si="5"/>
        <v>69216296</v>
      </c>
      <c r="Q36" s="161">
        <f>P36-O36</f>
        <v>3506786</v>
      </c>
    </row>
    <row r="37" spans="1:19" ht="24.95" customHeight="1" x14ac:dyDescent="0.25">
      <c r="O37" s="158"/>
      <c r="Q37" s="158"/>
    </row>
    <row r="38" spans="1:19" ht="13.9" customHeight="1" x14ac:dyDescent="0.25">
      <c r="P38" s="216" t="s">
        <v>1603</v>
      </c>
      <c r="Q38" s="227">
        <f>Q36+'01.2024'!Q42</f>
        <v>52529930</v>
      </c>
      <c r="S38" s="216"/>
    </row>
    <row r="39" spans="1:19" ht="13.9" customHeight="1" x14ac:dyDescent="0.25">
      <c r="B39" s="129"/>
      <c r="J39" s="128"/>
      <c r="K39" s="128"/>
      <c r="L39" s="128"/>
      <c r="N39" s="128"/>
      <c r="O39" s="128"/>
      <c r="P39" s="218"/>
      <c r="Q39" s="216"/>
    </row>
    <row r="40" spans="1:19" ht="13.9" customHeight="1" x14ac:dyDescent="0.25">
      <c r="B40" s="129"/>
      <c r="H40" s="128"/>
      <c r="J40" s="128"/>
      <c r="K40" s="128"/>
      <c r="L40" s="128"/>
      <c r="M40" s="128"/>
      <c r="N40" s="128"/>
      <c r="O40" s="128"/>
      <c r="P40" s="218"/>
      <c r="Q40" s="230"/>
    </row>
    <row r="41" spans="1:19" ht="13.9" customHeight="1" x14ac:dyDescent="0.25">
      <c r="B41" s="129"/>
      <c r="H41" s="128"/>
      <c r="J41" s="128"/>
      <c r="K41" s="128"/>
      <c r="L41" s="128"/>
      <c r="M41" s="128"/>
      <c r="N41" s="128"/>
      <c r="O41" s="128"/>
      <c r="P41" s="218"/>
      <c r="Q41" s="230"/>
    </row>
    <row r="42" spans="1:19" ht="13.9" customHeight="1" x14ac:dyDescent="0.25">
      <c r="B42" s="129"/>
      <c r="G42" s="143"/>
      <c r="H42" s="128"/>
      <c r="J42" s="128"/>
      <c r="K42" s="128"/>
      <c r="L42" s="128"/>
      <c r="M42" s="128"/>
      <c r="N42" s="128"/>
      <c r="O42" s="128"/>
      <c r="P42" s="218"/>
      <c r="Q42" s="230"/>
      <c r="R42" s="143"/>
    </row>
    <row r="43" spans="1:19" ht="13.9" customHeight="1" x14ac:dyDescent="0.25">
      <c r="B43" s="129"/>
      <c r="H43" s="128"/>
      <c r="J43" s="128"/>
      <c r="K43" s="128"/>
      <c r="L43" s="128"/>
      <c r="M43" s="128"/>
      <c r="N43" s="128"/>
      <c r="O43" s="128"/>
      <c r="P43" s="218"/>
      <c r="Q43" s="216"/>
      <c r="R43" s="143"/>
    </row>
    <row r="44" spans="1:19" x14ac:dyDescent="0.25">
      <c r="B44" s="129"/>
      <c r="H44" s="128"/>
      <c r="J44" s="128"/>
      <c r="K44" s="128"/>
      <c r="L44" s="128"/>
      <c r="M44" s="128"/>
      <c r="N44" s="128"/>
      <c r="O44" s="128"/>
      <c r="P44" s="218"/>
      <c r="Q44" s="216"/>
    </row>
    <row r="45" spans="1:19" x14ac:dyDescent="0.25">
      <c r="A45" s="128"/>
      <c r="B45" s="129"/>
      <c r="H45" s="128"/>
      <c r="J45" s="128"/>
      <c r="K45" s="128"/>
      <c r="L45" s="128"/>
      <c r="M45" s="128"/>
      <c r="N45" s="128"/>
      <c r="O45" s="128"/>
      <c r="P45" s="218"/>
      <c r="Q45" s="216"/>
    </row>
    <row r="46" spans="1:19" x14ac:dyDescent="0.25">
      <c r="A46" s="128"/>
      <c r="B46" s="129"/>
      <c r="H46" s="128"/>
      <c r="J46" s="128"/>
      <c r="K46" s="128"/>
      <c r="L46" s="128"/>
      <c r="M46" s="128"/>
      <c r="N46" s="128"/>
      <c r="O46" s="128"/>
      <c r="P46" s="218"/>
      <c r="Q46" s="216"/>
    </row>
    <row r="47" spans="1:19" x14ac:dyDescent="0.25">
      <c r="A47" s="128"/>
      <c r="B47" s="128"/>
      <c r="G47" s="143"/>
      <c r="J47" s="128"/>
      <c r="K47" s="128"/>
      <c r="L47" s="128"/>
      <c r="M47" s="128"/>
      <c r="N47" s="128"/>
      <c r="O47" s="128"/>
      <c r="P47" s="128"/>
      <c r="Q47" s="216"/>
    </row>
    <row r="48" spans="1:19" x14ac:dyDescent="0.25">
      <c r="A48" s="128"/>
      <c r="B48" s="128"/>
      <c r="H48" s="128"/>
      <c r="J48" s="128"/>
      <c r="K48" s="128"/>
      <c r="L48" s="128"/>
      <c r="M48" s="128"/>
      <c r="N48" s="128"/>
      <c r="O48" s="128"/>
      <c r="P48" s="128"/>
      <c r="Q48" s="216"/>
    </row>
    <row r="50" spans="1:19" s="143" customFormat="1" x14ac:dyDescent="0.25">
      <c r="A50" s="129"/>
      <c r="B50" s="163"/>
      <c r="C50" s="128"/>
      <c r="D50" s="128"/>
      <c r="E50" s="128"/>
      <c r="F50" s="128"/>
      <c r="I50" s="128"/>
      <c r="R50" s="128"/>
      <c r="S50" s="128"/>
    </row>
  </sheetData>
  <mergeCells count="21">
    <mergeCell ref="A1:Q1"/>
    <mergeCell ref="A2:Q2"/>
    <mergeCell ref="B3:Q3"/>
    <mergeCell ref="A5:A6"/>
    <mergeCell ref="B5:B6"/>
    <mergeCell ref="C5:C6"/>
    <mergeCell ref="D5:D6"/>
    <mergeCell ref="E5:E6"/>
    <mergeCell ref="F5:F6"/>
    <mergeCell ref="G5:N5"/>
    <mergeCell ref="A36:F36"/>
    <mergeCell ref="C35:E35"/>
    <mergeCell ref="O5:O6"/>
    <mergeCell ref="P5:P6"/>
    <mergeCell ref="Q5:Q6"/>
    <mergeCell ref="C27:E27"/>
    <mergeCell ref="C28:E28"/>
    <mergeCell ref="C31:E31"/>
    <mergeCell ref="C32:E32"/>
    <mergeCell ref="C33:E33"/>
    <mergeCell ref="C34:E34"/>
  </mergeCells>
  <pageMargins left="0.7" right="0.7" top="0.75" bottom="0.75" header="0.3" footer="0.3"/>
  <pageSetup paperSize="9" orientation="portrait" horizontalDpi="0" verticalDpi="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FBA6-A5B7-4062-8A71-5BDF95B4C3F4}">
  <dimension ref="A1:S46"/>
  <sheetViews>
    <sheetView topLeftCell="A14" zoomScale="90" zoomScaleNormal="90" workbookViewId="0">
      <selection activeCell="K27" sqref="K27"/>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5256</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45351</v>
      </c>
      <c r="C8" s="134" t="s">
        <v>4744</v>
      </c>
      <c r="D8" s="211" t="s">
        <v>5266</v>
      </c>
      <c r="E8" s="136" t="s">
        <v>2798</v>
      </c>
      <c r="F8" s="134"/>
      <c r="G8" s="134">
        <v>110</v>
      </c>
      <c r="H8" s="139">
        <f>G8*20770</f>
        <v>2284700</v>
      </c>
      <c r="I8" s="134"/>
      <c r="J8" s="139">
        <v>790000</v>
      </c>
      <c r="K8" s="139"/>
      <c r="L8" s="263"/>
      <c r="M8" s="139"/>
      <c r="N8" s="139"/>
      <c r="O8" s="139">
        <f>SUM(H8:N8)</f>
        <v>3074700</v>
      </c>
      <c r="P8" s="139">
        <v>5200000</v>
      </c>
      <c r="Q8" s="139">
        <f>P8-O8</f>
        <v>2125300</v>
      </c>
      <c r="R8" s="143"/>
    </row>
    <row r="9" spans="1:18" ht="24.95" customHeight="1" x14ac:dyDescent="0.25">
      <c r="A9" s="211">
        <v>2</v>
      </c>
      <c r="B9" s="328">
        <v>45352</v>
      </c>
      <c r="C9" s="134" t="s">
        <v>5257</v>
      </c>
      <c r="D9" s="211" t="s">
        <v>5267</v>
      </c>
      <c r="E9" s="136" t="s">
        <v>5238</v>
      </c>
      <c r="F9" s="134"/>
      <c r="G9" s="134">
        <v>44</v>
      </c>
      <c r="H9" s="139">
        <f t="shared" ref="H9:H11" si="0">G9*20770</f>
        <v>913880</v>
      </c>
      <c r="I9" s="134"/>
      <c r="J9" s="139">
        <v>340000</v>
      </c>
      <c r="K9" s="139"/>
      <c r="L9" s="263"/>
      <c r="M9" s="139"/>
      <c r="N9" s="139"/>
      <c r="O9" s="139">
        <f>SUM(H9:N9)</f>
        <v>1253880</v>
      </c>
      <c r="P9" s="139">
        <v>2670000</v>
      </c>
      <c r="Q9" s="139">
        <f t="shared" ref="Q9:Q23" si="1">P9-O9</f>
        <v>1416120</v>
      </c>
      <c r="R9" s="143"/>
    </row>
    <row r="10" spans="1:18" ht="24.95" customHeight="1" x14ac:dyDescent="0.25">
      <c r="A10" s="211">
        <v>3</v>
      </c>
      <c r="B10" s="328">
        <v>45355</v>
      </c>
      <c r="C10" s="134" t="s">
        <v>5258</v>
      </c>
      <c r="D10" s="211" t="s">
        <v>5268</v>
      </c>
      <c r="E10" s="136" t="s">
        <v>25</v>
      </c>
      <c r="F10" s="134"/>
      <c r="G10" s="134">
        <v>180</v>
      </c>
      <c r="H10" s="139">
        <f t="shared" si="0"/>
        <v>3738600</v>
      </c>
      <c r="I10" s="134"/>
      <c r="J10" s="139">
        <v>1530000</v>
      </c>
      <c r="K10" s="139"/>
      <c r="L10" s="263"/>
      <c r="M10" s="139"/>
      <c r="N10" s="139"/>
      <c r="O10" s="139">
        <f t="shared" ref="O10:O17" si="2">SUM(H10:N10)</f>
        <v>5268600</v>
      </c>
      <c r="P10" s="139">
        <v>8666667</v>
      </c>
      <c r="Q10" s="139">
        <f t="shared" si="1"/>
        <v>3398067</v>
      </c>
      <c r="R10" s="143"/>
    </row>
    <row r="11" spans="1:18" ht="24.95" customHeight="1" x14ac:dyDescent="0.25">
      <c r="A11" s="211">
        <v>4</v>
      </c>
      <c r="B11" s="328">
        <v>45356</v>
      </c>
      <c r="C11" s="134" t="s">
        <v>5259</v>
      </c>
      <c r="D11" s="211" t="s">
        <v>5269</v>
      </c>
      <c r="E11" s="136" t="s">
        <v>5281</v>
      </c>
      <c r="F11" s="134"/>
      <c r="G11" s="134">
        <v>193</v>
      </c>
      <c r="H11" s="139">
        <f t="shared" si="0"/>
        <v>4008610</v>
      </c>
      <c r="I11" s="134"/>
      <c r="J11" s="139">
        <v>940000</v>
      </c>
      <c r="K11" s="139"/>
      <c r="L11" s="263"/>
      <c r="M11" s="139"/>
      <c r="N11" s="139"/>
      <c r="O11" s="139">
        <f t="shared" si="2"/>
        <v>4948610</v>
      </c>
      <c r="P11" s="139">
        <v>4893148</v>
      </c>
      <c r="Q11" s="139">
        <f t="shared" si="1"/>
        <v>-55462</v>
      </c>
      <c r="R11" s="143"/>
    </row>
    <row r="12" spans="1:18" ht="24.95" customHeight="1" x14ac:dyDescent="0.25">
      <c r="A12" s="211">
        <v>5</v>
      </c>
      <c r="B12" s="328">
        <v>45357</v>
      </c>
      <c r="C12" s="134" t="s">
        <v>5260</v>
      </c>
      <c r="D12" s="211" t="s">
        <v>5269</v>
      </c>
      <c r="E12" s="136" t="s">
        <v>5282</v>
      </c>
      <c r="F12" s="134"/>
      <c r="G12" s="134"/>
      <c r="H12" s="139"/>
      <c r="I12" s="134"/>
      <c r="J12" s="139"/>
      <c r="K12" s="139"/>
      <c r="L12" s="263"/>
      <c r="M12" s="139"/>
      <c r="N12" s="139"/>
      <c r="O12" s="139">
        <f t="shared" si="2"/>
        <v>0</v>
      </c>
      <c r="P12" s="139">
        <v>3800000</v>
      </c>
      <c r="Q12" s="139">
        <f t="shared" si="1"/>
        <v>3800000</v>
      </c>
      <c r="R12" s="143"/>
    </row>
    <row r="13" spans="1:18" ht="24.95" customHeight="1" x14ac:dyDescent="0.25">
      <c r="A13" s="211">
        <v>6</v>
      </c>
      <c r="B13" s="328">
        <v>45357</v>
      </c>
      <c r="C13" s="134" t="s">
        <v>1608</v>
      </c>
      <c r="D13" s="211" t="s">
        <v>5270</v>
      </c>
      <c r="E13" s="136" t="s">
        <v>894</v>
      </c>
      <c r="F13" s="134"/>
      <c r="G13" s="134">
        <v>65</v>
      </c>
      <c r="H13" s="139">
        <f>G13*20540</f>
        <v>1335100</v>
      </c>
      <c r="I13" s="134"/>
      <c r="J13" s="139">
        <v>430000</v>
      </c>
      <c r="K13" s="139"/>
      <c r="L13" s="263"/>
      <c r="M13" s="139"/>
      <c r="N13" s="139"/>
      <c r="O13" s="139">
        <f t="shared" si="2"/>
        <v>1765100</v>
      </c>
      <c r="P13" s="139">
        <v>3200000</v>
      </c>
      <c r="Q13" s="139">
        <f t="shared" si="1"/>
        <v>1434900</v>
      </c>
      <c r="R13" s="143"/>
    </row>
    <row r="14" spans="1:18" ht="24.95" customHeight="1" x14ac:dyDescent="0.25">
      <c r="A14" s="211">
        <v>7</v>
      </c>
      <c r="B14" s="328">
        <v>45358</v>
      </c>
      <c r="C14" s="134" t="s">
        <v>5261</v>
      </c>
      <c r="D14" s="211" t="s">
        <v>5271</v>
      </c>
      <c r="E14" s="136" t="s">
        <v>5283</v>
      </c>
      <c r="F14" s="134"/>
      <c r="G14" s="134">
        <v>147</v>
      </c>
      <c r="H14" s="139">
        <f t="shared" ref="H14:H20" si="3">G14*20540</f>
        <v>3019380</v>
      </c>
      <c r="I14" s="134"/>
      <c r="J14" s="139">
        <v>830000</v>
      </c>
      <c r="K14" s="139"/>
      <c r="L14" s="263"/>
      <c r="M14" s="139"/>
      <c r="N14" s="139"/>
      <c r="O14" s="139">
        <f t="shared" si="2"/>
        <v>3849380</v>
      </c>
      <c r="P14" s="139">
        <v>6200000</v>
      </c>
      <c r="Q14" s="139">
        <f t="shared" si="1"/>
        <v>2350620</v>
      </c>
      <c r="R14" s="143"/>
    </row>
    <row r="15" spans="1:18" ht="24.95" customHeight="1" x14ac:dyDescent="0.25">
      <c r="A15" s="211">
        <v>8</v>
      </c>
      <c r="B15" s="328">
        <v>45362</v>
      </c>
      <c r="C15" s="134" t="s">
        <v>192</v>
      </c>
      <c r="D15" s="211" t="s">
        <v>5272</v>
      </c>
      <c r="E15" s="136" t="s">
        <v>4859</v>
      </c>
      <c r="F15" s="134"/>
      <c r="G15" s="134">
        <v>360</v>
      </c>
      <c r="H15" s="139">
        <f t="shared" si="3"/>
        <v>7394400</v>
      </c>
      <c r="I15" s="134"/>
      <c r="J15" s="139">
        <v>3748000</v>
      </c>
      <c r="K15" s="139"/>
      <c r="L15" s="263"/>
      <c r="M15" s="139"/>
      <c r="N15" s="139"/>
      <c r="O15" s="139">
        <f t="shared" si="2"/>
        <v>11142400</v>
      </c>
      <c r="P15" s="139">
        <v>21250000</v>
      </c>
      <c r="Q15" s="139">
        <f t="shared" si="1"/>
        <v>10107600</v>
      </c>
      <c r="R15" s="143"/>
    </row>
    <row r="16" spans="1:18" ht="24.95" customHeight="1" x14ac:dyDescent="0.25">
      <c r="A16" s="211">
        <v>9</v>
      </c>
      <c r="B16" s="328">
        <v>45364</v>
      </c>
      <c r="C16" s="134" t="s">
        <v>2949</v>
      </c>
      <c r="D16" s="211" t="s">
        <v>5273</v>
      </c>
      <c r="E16" s="136" t="s">
        <v>5284</v>
      </c>
      <c r="F16" s="134"/>
      <c r="G16" s="134">
        <v>93</v>
      </c>
      <c r="H16" s="139">
        <f t="shared" si="3"/>
        <v>1910220</v>
      </c>
      <c r="I16" s="134"/>
      <c r="J16" s="139">
        <v>430000</v>
      </c>
      <c r="K16" s="139"/>
      <c r="L16" s="263"/>
      <c r="M16" s="139"/>
      <c r="N16" s="139"/>
      <c r="O16" s="139">
        <f t="shared" si="2"/>
        <v>2340220</v>
      </c>
      <c r="P16" s="139">
        <v>4736297</v>
      </c>
      <c r="Q16" s="139">
        <f t="shared" si="1"/>
        <v>2396077</v>
      </c>
      <c r="R16" s="143"/>
    </row>
    <row r="17" spans="1:18" ht="24.95" customHeight="1" x14ac:dyDescent="0.25">
      <c r="A17" s="211">
        <v>10</v>
      </c>
      <c r="B17" s="328">
        <v>45366</v>
      </c>
      <c r="C17" s="134" t="s">
        <v>4753</v>
      </c>
      <c r="D17" s="211" t="s">
        <v>5274</v>
      </c>
      <c r="E17" s="136" t="s">
        <v>5285</v>
      </c>
      <c r="F17" s="134"/>
      <c r="G17" s="134">
        <v>79</v>
      </c>
      <c r="H17" s="139">
        <f t="shared" si="3"/>
        <v>1622660</v>
      </c>
      <c r="I17" s="134"/>
      <c r="J17" s="139">
        <v>430000</v>
      </c>
      <c r="K17" s="139"/>
      <c r="L17" s="263"/>
      <c r="M17" s="139"/>
      <c r="N17" s="139"/>
      <c r="O17" s="139">
        <f t="shared" si="2"/>
        <v>2052660</v>
      </c>
      <c r="P17" s="139">
        <v>3500000</v>
      </c>
      <c r="Q17" s="139">
        <f t="shared" si="1"/>
        <v>1447340</v>
      </c>
      <c r="R17" s="143"/>
    </row>
    <row r="18" spans="1:18" ht="24.95" customHeight="1" x14ac:dyDescent="0.25">
      <c r="A18" s="211">
        <v>11</v>
      </c>
      <c r="B18" s="328">
        <v>45366</v>
      </c>
      <c r="C18" s="134" t="s">
        <v>966</v>
      </c>
      <c r="D18" s="211" t="s">
        <v>5275</v>
      </c>
      <c r="E18" s="136" t="s">
        <v>2987</v>
      </c>
      <c r="F18" s="134"/>
      <c r="G18" s="134">
        <v>44</v>
      </c>
      <c r="H18" s="139">
        <f t="shared" si="3"/>
        <v>903760</v>
      </c>
      <c r="I18" s="134"/>
      <c r="J18" s="139">
        <v>340000</v>
      </c>
      <c r="K18" s="139"/>
      <c r="L18" s="263"/>
      <c r="M18" s="139"/>
      <c r="N18" s="139"/>
      <c r="O18" s="139">
        <f>SUM(H18:N18)</f>
        <v>1243760</v>
      </c>
      <c r="P18" s="139">
        <v>2670000</v>
      </c>
      <c r="Q18" s="139">
        <f t="shared" si="1"/>
        <v>1426240</v>
      </c>
      <c r="R18" s="143"/>
    </row>
    <row r="19" spans="1:18" ht="24.95" customHeight="1" x14ac:dyDescent="0.25">
      <c r="A19" s="211">
        <v>12</v>
      </c>
      <c r="B19" s="328">
        <v>45369</v>
      </c>
      <c r="C19" s="134" t="s">
        <v>5262</v>
      </c>
      <c r="D19" s="211" t="s">
        <v>5276</v>
      </c>
      <c r="E19" s="136" t="s">
        <v>5286</v>
      </c>
      <c r="F19" s="134"/>
      <c r="G19" s="134">
        <v>91</v>
      </c>
      <c r="H19" s="139">
        <f t="shared" si="3"/>
        <v>1869140</v>
      </c>
      <c r="I19" s="134"/>
      <c r="J19" s="139">
        <v>430000</v>
      </c>
      <c r="K19" s="139"/>
      <c r="L19" s="263"/>
      <c r="M19" s="139"/>
      <c r="N19" s="139"/>
      <c r="O19" s="139">
        <f>SUM(H19:N19)</f>
        <v>2299140</v>
      </c>
      <c r="P19" s="139">
        <v>4200000</v>
      </c>
      <c r="Q19" s="139">
        <f t="shared" si="1"/>
        <v>1900860</v>
      </c>
      <c r="R19" s="143"/>
    </row>
    <row r="20" spans="1:18" ht="24.95" customHeight="1" x14ac:dyDescent="0.25">
      <c r="A20" s="211">
        <v>13</v>
      </c>
      <c r="B20" s="328">
        <v>45369</v>
      </c>
      <c r="C20" s="134" t="s">
        <v>5263</v>
      </c>
      <c r="D20" s="211" t="s">
        <v>5277</v>
      </c>
      <c r="E20" s="136" t="s">
        <v>5287</v>
      </c>
      <c r="F20" s="134"/>
      <c r="G20" s="134">
        <v>61</v>
      </c>
      <c r="H20" s="139">
        <f t="shared" si="3"/>
        <v>1252940</v>
      </c>
      <c r="I20" s="134"/>
      <c r="J20" s="139">
        <v>430000</v>
      </c>
      <c r="K20" s="139"/>
      <c r="L20" s="263"/>
      <c r="M20" s="139"/>
      <c r="N20" s="139"/>
      <c r="O20" s="139">
        <f>SUM(H20:N20)</f>
        <v>1682940</v>
      </c>
      <c r="P20" s="139">
        <v>3330000</v>
      </c>
      <c r="Q20" s="139">
        <f t="shared" si="1"/>
        <v>1647060</v>
      </c>
      <c r="R20" s="143"/>
    </row>
    <row r="21" spans="1:18" ht="24.95" customHeight="1" x14ac:dyDescent="0.25">
      <c r="A21" s="211">
        <v>14</v>
      </c>
      <c r="B21" s="328">
        <v>45370</v>
      </c>
      <c r="C21" s="134" t="s">
        <v>5264</v>
      </c>
      <c r="D21" s="211" t="s">
        <v>5278</v>
      </c>
      <c r="E21" s="136" t="s">
        <v>25</v>
      </c>
      <c r="F21" s="134"/>
      <c r="G21" s="134">
        <v>193</v>
      </c>
      <c r="H21" s="139">
        <f>G21*21010</f>
        <v>4054930</v>
      </c>
      <c r="I21" s="134"/>
      <c r="J21" s="139">
        <v>1530000</v>
      </c>
      <c r="K21" s="139"/>
      <c r="L21" s="263"/>
      <c r="M21" s="139"/>
      <c r="N21" s="139"/>
      <c r="O21" s="139">
        <f t="shared" ref="O21:O31" si="4">SUM(H21:N21)</f>
        <v>5584930</v>
      </c>
      <c r="P21" s="139">
        <v>9074074</v>
      </c>
      <c r="Q21" s="139">
        <f t="shared" si="1"/>
        <v>3489144</v>
      </c>
      <c r="R21" s="143"/>
    </row>
    <row r="22" spans="1:18" ht="24.95" customHeight="1" x14ac:dyDescent="0.25">
      <c r="A22" s="211">
        <v>15</v>
      </c>
      <c r="B22" s="328">
        <v>45371</v>
      </c>
      <c r="C22" s="134" t="s">
        <v>5265</v>
      </c>
      <c r="D22" s="211" t="s">
        <v>5279</v>
      </c>
      <c r="E22" s="136" t="s">
        <v>5288</v>
      </c>
      <c r="F22" s="134"/>
      <c r="G22" s="134">
        <v>72</v>
      </c>
      <c r="H22" s="139">
        <f t="shared" ref="H22:H23" si="5">G22*21010</f>
        <v>1512720</v>
      </c>
      <c r="I22" s="134"/>
      <c r="J22" s="139">
        <v>430000</v>
      </c>
      <c r="K22" s="139"/>
      <c r="L22" s="263"/>
      <c r="M22" s="139"/>
      <c r="N22" s="139"/>
      <c r="O22" s="139">
        <f t="shared" si="4"/>
        <v>1942720</v>
      </c>
      <c r="P22" s="139">
        <v>3610000</v>
      </c>
      <c r="Q22" s="139">
        <f t="shared" si="1"/>
        <v>1667280</v>
      </c>
      <c r="R22" s="143"/>
    </row>
    <row r="23" spans="1:18" ht="24.95" customHeight="1" x14ac:dyDescent="0.25">
      <c r="A23" s="211">
        <v>16</v>
      </c>
      <c r="B23" s="328">
        <v>45372</v>
      </c>
      <c r="C23" s="134" t="s">
        <v>4268</v>
      </c>
      <c r="D23" s="211" t="s">
        <v>5280</v>
      </c>
      <c r="E23" s="136" t="s">
        <v>5289</v>
      </c>
      <c r="F23" s="134"/>
      <c r="G23" s="134">
        <v>330</v>
      </c>
      <c r="H23" s="139">
        <f t="shared" si="5"/>
        <v>6933300</v>
      </c>
      <c r="I23" s="134"/>
      <c r="J23" s="139">
        <v>3148000</v>
      </c>
      <c r="K23" s="139"/>
      <c r="L23" s="263"/>
      <c r="M23" s="139"/>
      <c r="N23" s="139"/>
      <c r="O23" s="139">
        <f t="shared" si="4"/>
        <v>10081300</v>
      </c>
      <c r="P23" s="139">
        <v>18000000</v>
      </c>
      <c r="Q23" s="139">
        <f t="shared" si="1"/>
        <v>7918700</v>
      </c>
      <c r="R23" s="143"/>
    </row>
    <row r="24" spans="1:18" ht="24.95" customHeight="1" x14ac:dyDescent="0.25">
      <c r="A24" s="210"/>
      <c r="B24" s="381"/>
      <c r="C24" s="383"/>
      <c r="D24" s="384"/>
      <c r="E24" s="385"/>
      <c r="F24" s="198"/>
      <c r="G24" s="198"/>
      <c r="H24" s="142"/>
      <c r="I24" s="198"/>
      <c r="J24" s="142"/>
      <c r="K24" s="142"/>
      <c r="L24" s="386"/>
      <c r="M24" s="142"/>
      <c r="N24" s="142"/>
      <c r="O24" s="142"/>
      <c r="P24" s="142"/>
      <c r="Q24" s="142"/>
      <c r="R24" s="143"/>
    </row>
    <row r="25" spans="1:18" ht="24.95" customHeight="1" x14ac:dyDescent="0.25">
      <c r="A25" s="210"/>
      <c r="B25" s="381"/>
      <c r="C25" s="474" t="s">
        <v>26</v>
      </c>
      <c r="D25" s="475"/>
      <c r="E25" s="476"/>
      <c r="F25" s="376"/>
      <c r="G25" s="151"/>
      <c r="H25" s="377"/>
      <c r="I25" s="151"/>
      <c r="J25" s="377"/>
      <c r="K25" s="378">
        <v>1200000</v>
      </c>
      <c r="L25" s="378"/>
      <c r="M25" s="378"/>
      <c r="N25" s="378"/>
      <c r="O25" s="142">
        <f t="shared" si="4"/>
        <v>1200000</v>
      </c>
      <c r="P25" s="142"/>
      <c r="Q25" s="142"/>
      <c r="R25" s="143"/>
    </row>
    <row r="26" spans="1:18" ht="24.95" customHeight="1" x14ac:dyDescent="0.25">
      <c r="A26" s="211"/>
      <c r="B26" s="328"/>
      <c r="C26" s="452" t="s">
        <v>4798</v>
      </c>
      <c r="D26" s="453"/>
      <c r="E26" s="454"/>
      <c r="F26" s="196"/>
      <c r="G26" s="195"/>
      <c r="H26" s="155"/>
      <c r="I26" s="195"/>
      <c r="J26" s="155"/>
      <c r="K26" s="378">
        <v>8537480</v>
      </c>
      <c r="L26" s="378"/>
      <c r="M26" s="378"/>
      <c r="N26" s="378"/>
      <c r="O26" s="139">
        <f t="shared" si="4"/>
        <v>8537480</v>
      </c>
      <c r="P26" s="139"/>
      <c r="Q26" s="139"/>
      <c r="R26" s="143"/>
    </row>
    <row r="27" spans="1:18" ht="24.95" customHeight="1" x14ac:dyDescent="0.25">
      <c r="A27" s="211"/>
      <c r="B27" s="328"/>
      <c r="C27" s="452" t="s">
        <v>5546</v>
      </c>
      <c r="D27" s="453"/>
      <c r="E27" s="454"/>
      <c r="F27" s="196"/>
      <c r="G27" s="195"/>
      <c r="H27" s="155"/>
      <c r="I27" s="195"/>
      <c r="J27" s="155"/>
      <c r="K27" s="378"/>
      <c r="L27" s="378">
        <v>120000</v>
      </c>
      <c r="M27" s="378"/>
      <c r="N27" s="378"/>
      <c r="O27" s="139">
        <f t="shared" si="4"/>
        <v>120000</v>
      </c>
      <c r="P27" s="139"/>
      <c r="Q27" s="139"/>
      <c r="R27" s="143"/>
    </row>
    <row r="28" spans="1:18" ht="41.25" customHeight="1" x14ac:dyDescent="0.25">
      <c r="A28" s="211"/>
      <c r="B28" s="328"/>
      <c r="C28" s="452" t="s">
        <v>5565</v>
      </c>
      <c r="D28" s="453"/>
      <c r="E28" s="454"/>
      <c r="F28" s="196"/>
      <c r="G28" s="195"/>
      <c r="H28" s="155"/>
      <c r="I28" s="195"/>
      <c r="J28" s="155"/>
      <c r="K28" s="378"/>
      <c r="L28" s="378">
        <v>65739600</v>
      </c>
      <c r="M28" s="378"/>
      <c r="N28" s="378"/>
      <c r="O28" s="139">
        <f t="shared" si="4"/>
        <v>65739600</v>
      </c>
      <c r="P28" s="139"/>
      <c r="Q28" s="139"/>
      <c r="R28" s="143"/>
    </row>
    <row r="29" spans="1:18" ht="41.25" customHeight="1" x14ac:dyDescent="0.25">
      <c r="A29" s="211"/>
      <c r="B29" s="328"/>
      <c r="C29" s="452" t="s">
        <v>5570</v>
      </c>
      <c r="D29" s="453"/>
      <c r="E29" s="454"/>
      <c r="F29" s="196"/>
      <c r="G29" s="195"/>
      <c r="H29" s="155"/>
      <c r="I29" s="195"/>
      <c r="J29" s="155"/>
      <c r="K29" s="378"/>
      <c r="L29" s="378">
        <v>10400000</v>
      </c>
      <c r="M29" s="378"/>
      <c r="N29" s="378"/>
      <c r="O29" s="139">
        <f t="shared" si="4"/>
        <v>10400000</v>
      </c>
      <c r="P29" s="139"/>
      <c r="Q29" s="139"/>
      <c r="R29" s="143"/>
    </row>
    <row r="30" spans="1:18" ht="41.25" customHeight="1" x14ac:dyDescent="0.25">
      <c r="A30" s="211"/>
      <c r="B30" s="328"/>
      <c r="C30" s="452" t="s">
        <v>5565</v>
      </c>
      <c r="D30" s="453"/>
      <c r="E30" s="454"/>
      <c r="F30" s="196"/>
      <c r="G30" s="195"/>
      <c r="H30" s="155"/>
      <c r="I30" s="195"/>
      <c r="J30" s="155"/>
      <c r="K30" s="378"/>
      <c r="L30" s="378">
        <v>3060000</v>
      </c>
      <c r="M30" s="378"/>
      <c r="N30" s="378"/>
      <c r="O30" s="139">
        <f t="shared" si="4"/>
        <v>3060000</v>
      </c>
      <c r="P30" s="139"/>
      <c r="Q30" s="139"/>
      <c r="R30" s="143"/>
    </row>
    <row r="31" spans="1:18" ht="24.95" customHeight="1" x14ac:dyDescent="0.25">
      <c r="A31" s="379"/>
      <c r="B31" s="380"/>
      <c r="C31" s="471" t="s">
        <v>4626</v>
      </c>
      <c r="D31" s="472"/>
      <c r="E31" s="473"/>
      <c r="F31" s="152"/>
      <c r="G31" s="153"/>
      <c r="H31" s="156"/>
      <c r="I31" s="153"/>
      <c r="J31" s="156"/>
      <c r="K31" s="288">
        <v>7700000</v>
      </c>
      <c r="L31" s="288"/>
      <c r="M31" s="206"/>
      <c r="N31" s="206"/>
      <c r="O31" s="206">
        <f t="shared" si="4"/>
        <v>7700000</v>
      </c>
      <c r="P31" s="206"/>
      <c r="Q31" s="206"/>
      <c r="R31" s="143"/>
    </row>
    <row r="32" spans="1:18" ht="24.95" customHeight="1" x14ac:dyDescent="0.25">
      <c r="A32" s="426" t="s">
        <v>20</v>
      </c>
      <c r="B32" s="426"/>
      <c r="C32" s="426"/>
      <c r="D32" s="426"/>
      <c r="E32" s="426"/>
      <c r="F32" s="426"/>
      <c r="G32" s="161">
        <f t="shared" ref="G32:P32" si="6">SUM(G8:G31)</f>
        <v>2062</v>
      </c>
      <c r="H32" s="161">
        <f t="shared" si="6"/>
        <v>42754340</v>
      </c>
      <c r="I32" s="161">
        <f t="shared" si="6"/>
        <v>0</v>
      </c>
      <c r="J32" s="161">
        <f t="shared" si="6"/>
        <v>15776000</v>
      </c>
      <c r="K32" s="161">
        <f t="shared" si="6"/>
        <v>17437480</v>
      </c>
      <c r="L32" s="161">
        <f t="shared" si="6"/>
        <v>79319600</v>
      </c>
      <c r="M32" s="161">
        <f t="shared" si="6"/>
        <v>0</v>
      </c>
      <c r="N32" s="161">
        <f t="shared" si="6"/>
        <v>0</v>
      </c>
      <c r="O32" s="161">
        <f t="shared" si="6"/>
        <v>155287420</v>
      </c>
      <c r="P32" s="161">
        <f t="shared" si="6"/>
        <v>105000186</v>
      </c>
      <c r="Q32" s="161">
        <f>P32-O32</f>
        <v>-50287234</v>
      </c>
    </row>
    <row r="33" spans="1:19" ht="24.95" customHeight="1" x14ac:dyDescent="0.25">
      <c r="O33" s="158"/>
      <c r="Q33" s="158"/>
    </row>
    <row r="34" spans="1:19" ht="13.9" customHeight="1" x14ac:dyDescent="0.25">
      <c r="P34" s="216" t="s">
        <v>1603</v>
      </c>
      <c r="Q34" s="227">
        <f>'02.2024'!Q38+'03.2024'!Q32</f>
        <v>2242696</v>
      </c>
      <c r="S34" s="216"/>
    </row>
    <row r="35" spans="1:19" ht="13.9" customHeight="1" x14ac:dyDescent="0.25">
      <c r="B35" s="129"/>
      <c r="J35" s="128"/>
      <c r="K35" s="128"/>
      <c r="L35" s="128"/>
      <c r="N35" s="128"/>
      <c r="O35" s="128"/>
      <c r="P35" s="218"/>
      <c r="Q35" s="216"/>
    </row>
    <row r="36" spans="1:19" ht="13.9" customHeight="1" x14ac:dyDescent="0.25">
      <c r="B36" s="129"/>
      <c r="H36" s="128"/>
      <c r="J36" s="128"/>
      <c r="K36" s="128"/>
      <c r="L36" s="128"/>
      <c r="M36" s="128"/>
      <c r="N36" s="128"/>
      <c r="O36" s="128"/>
      <c r="P36" s="218"/>
      <c r="Q36" s="230"/>
    </row>
    <row r="37" spans="1:19" ht="13.9" customHeight="1" x14ac:dyDescent="0.25">
      <c r="B37" s="129"/>
      <c r="H37" s="128"/>
      <c r="J37" s="128"/>
      <c r="K37" s="128"/>
      <c r="L37" s="128"/>
      <c r="M37" s="128"/>
      <c r="N37" s="128"/>
      <c r="O37" s="128"/>
      <c r="P37" s="218"/>
      <c r="Q37" s="230"/>
    </row>
    <row r="38" spans="1:19" ht="13.9" customHeight="1" x14ac:dyDescent="0.25">
      <c r="B38" s="129"/>
      <c r="G38" s="143"/>
      <c r="H38" s="128"/>
      <c r="J38" s="128"/>
      <c r="K38" s="128"/>
      <c r="L38" s="128"/>
      <c r="M38" s="128"/>
      <c r="N38" s="128"/>
      <c r="O38" s="128"/>
      <c r="P38" s="218"/>
      <c r="Q38" s="230"/>
      <c r="R38" s="143"/>
    </row>
    <row r="39" spans="1:19" ht="13.9" customHeight="1" x14ac:dyDescent="0.25">
      <c r="B39" s="129"/>
      <c r="H39" s="128"/>
      <c r="J39" s="128"/>
      <c r="K39" s="128"/>
      <c r="L39" s="128"/>
      <c r="M39" s="128"/>
      <c r="N39" s="128"/>
      <c r="O39" s="128"/>
      <c r="P39" s="218"/>
      <c r="Q39" s="216"/>
      <c r="R39" s="143"/>
    </row>
    <row r="40" spans="1:19" x14ac:dyDescent="0.25">
      <c r="B40" s="129"/>
      <c r="H40" s="128"/>
      <c r="J40" s="128"/>
      <c r="K40" s="128"/>
      <c r="L40" s="128"/>
      <c r="M40" s="128"/>
      <c r="N40" s="128"/>
      <c r="O40" s="128"/>
      <c r="P40" s="218"/>
      <c r="Q40" s="216"/>
    </row>
    <row r="41" spans="1:19" x14ac:dyDescent="0.25">
      <c r="A41" s="128"/>
      <c r="B41" s="129"/>
      <c r="H41" s="128"/>
      <c r="J41" s="128"/>
      <c r="K41" s="128"/>
      <c r="L41" s="128"/>
      <c r="M41" s="128"/>
      <c r="N41" s="128"/>
      <c r="O41" s="128"/>
      <c r="P41" s="218"/>
      <c r="Q41" s="216"/>
    </row>
    <row r="42" spans="1:19" x14ac:dyDescent="0.25">
      <c r="A42" s="128"/>
      <c r="B42" s="129"/>
      <c r="H42" s="128"/>
      <c r="J42" s="128"/>
      <c r="K42" s="128"/>
      <c r="L42" s="128"/>
      <c r="M42" s="128"/>
      <c r="N42" s="128"/>
      <c r="O42" s="128"/>
      <c r="P42" s="218"/>
      <c r="Q42" s="216"/>
    </row>
    <row r="43" spans="1:19" x14ac:dyDescent="0.25">
      <c r="A43" s="128"/>
      <c r="B43" s="128"/>
      <c r="G43" s="143"/>
      <c r="J43" s="128"/>
      <c r="K43" s="128"/>
      <c r="L43" s="128"/>
      <c r="M43" s="128"/>
      <c r="N43" s="128"/>
      <c r="O43" s="128"/>
      <c r="P43" s="128"/>
      <c r="Q43" s="216"/>
    </row>
    <row r="44" spans="1:19" x14ac:dyDescent="0.25">
      <c r="A44" s="128"/>
      <c r="B44" s="128"/>
      <c r="H44" s="128"/>
      <c r="J44" s="128"/>
      <c r="K44" s="128"/>
      <c r="L44" s="128"/>
      <c r="M44" s="128"/>
      <c r="N44" s="128"/>
      <c r="O44" s="128"/>
      <c r="P44" s="128"/>
      <c r="Q44" s="216"/>
    </row>
    <row r="46" spans="1:19" s="143" customFormat="1" x14ac:dyDescent="0.25">
      <c r="A46" s="129"/>
      <c r="B46" s="163"/>
      <c r="C46" s="128"/>
      <c r="D46" s="128"/>
      <c r="E46" s="128"/>
      <c r="F46" s="128"/>
      <c r="I46" s="128"/>
      <c r="R46" s="128"/>
      <c r="S46" s="128"/>
    </row>
  </sheetData>
  <mergeCells count="21">
    <mergeCell ref="C30:E30"/>
    <mergeCell ref="A32:F32"/>
    <mergeCell ref="C31:E31"/>
    <mergeCell ref="C25:E25"/>
    <mergeCell ref="C26:E26"/>
    <mergeCell ref="C27:E27"/>
    <mergeCell ref="C28:E28"/>
    <mergeCell ref="C29:E29"/>
    <mergeCell ref="A1:Q1"/>
    <mergeCell ref="A2:Q2"/>
    <mergeCell ref="B3:Q3"/>
    <mergeCell ref="A5:A6"/>
    <mergeCell ref="B5:B6"/>
    <mergeCell ref="C5:C6"/>
    <mergeCell ref="D5:D6"/>
    <mergeCell ref="E5:E6"/>
    <mergeCell ref="F5:F6"/>
    <mergeCell ref="G5:N5"/>
    <mergeCell ref="O5:O6"/>
    <mergeCell ref="P5:P6"/>
    <mergeCell ref="Q5:Q6"/>
  </mergeCells>
  <pageMargins left="0.7" right="0.7" top="0.75" bottom="0.75" header="0.3" footer="0.3"/>
  <pageSetup paperSize="9" orientation="portrait" horizontalDpi="0" verticalDpi="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1518-B2BF-40C4-975B-DC636B8F2735}">
  <dimension ref="A1:S58"/>
  <sheetViews>
    <sheetView topLeftCell="A26" zoomScale="90" zoomScaleNormal="90" workbookViewId="0">
      <selection activeCell="K41" sqref="K41"/>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5290</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45383</v>
      </c>
      <c r="C8" s="134" t="s">
        <v>5291</v>
      </c>
      <c r="D8" s="211" t="s">
        <v>5312</v>
      </c>
      <c r="E8" s="136" t="s">
        <v>5304</v>
      </c>
      <c r="F8" s="134"/>
      <c r="G8" s="134">
        <v>33</v>
      </c>
      <c r="H8" s="139">
        <f>G8*20690</f>
        <v>682770</v>
      </c>
      <c r="I8" s="134"/>
      <c r="J8" s="139">
        <v>430000</v>
      </c>
      <c r="K8" s="139"/>
      <c r="L8" s="263"/>
      <c r="M8" s="139"/>
      <c r="N8" s="139"/>
      <c r="O8" s="139">
        <f>SUM(H8:N8)</f>
        <v>1112770</v>
      </c>
      <c r="P8" s="139">
        <v>2700000</v>
      </c>
      <c r="Q8" s="139">
        <f>P8-O8</f>
        <v>1587230</v>
      </c>
      <c r="R8" s="143"/>
    </row>
    <row r="9" spans="1:18" ht="24.95" customHeight="1" x14ac:dyDescent="0.25">
      <c r="A9" s="211">
        <v>2</v>
      </c>
      <c r="B9" s="328">
        <v>45383</v>
      </c>
      <c r="C9" s="134" t="s">
        <v>5292</v>
      </c>
      <c r="D9" s="211" t="s">
        <v>5313</v>
      </c>
      <c r="E9" s="136" t="s">
        <v>2798</v>
      </c>
      <c r="F9" s="134"/>
      <c r="G9" s="134">
        <v>123</v>
      </c>
      <c r="H9" s="139">
        <f t="shared" ref="H9:H10" si="0">G9*20690</f>
        <v>2544870</v>
      </c>
      <c r="I9" s="134"/>
      <c r="J9" s="139">
        <v>790000</v>
      </c>
      <c r="K9" s="139"/>
      <c r="L9" s="263"/>
      <c r="M9" s="139"/>
      <c r="N9" s="139"/>
      <c r="O9" s="139">
        <f>SUM(H9:N9)</f>
        <v>3334870</v>
      </c>
      <c r="P9" s="139">
        <v>5570370</v>
      </c>
      <c r="Q9" s="139">
        <f t="shared" ref="Q9:Q30" si="1">P9-O9</f>
        <v>2235500</v>
      </c>
      <c r="R9" s="143"/>
    </row>
    <row r="10" spans="1:18" ht="24.95" customHeight="1" x14ac:dyDescent="0.25">
      <c r="A10" s="211">
        <v>3</v>
      </c>
      <c r="B10" s="328">
        <v>45384</v>
      </c>
      <c r="C10" s="134" t="s">
        <v>2347</v>
      </c>
      <c r="D10" s="211" t="s">
        <v>5314</v>
      </c>
      <c r="E10" s="136" t="s">
        <v>25</v>
      </c>
      <c r="F10" s="134"/>
      <c r="G10" s="134">
        <v>180</v>
      </c>
      <c r="H10" s="139">
        <f t="shared" si="0"/>
        <v>3724200</v>
      </c>
      <c r="I10" s="134"/>
      <c r="J10" s="139">
        <v>1530000</v>
      </c>
      <c r="K10" s="139"/>
      <c r="L10" s="263"/>
      <c r="M10" s="139"/>
      <c r="N10" s="139"/>
      <c r="O10" s="139">
        <f t="shared" ref="O10:O17" si="2">SUM(H10:N10)</f>
        <v>5254200</v>
      </c>
      <c r="P10" s="139">
        <v>9074074</v>
      </c>
      <c r="Q10" s="139">
        <f t="shared" si="1"/>
        <v>3819874</v>
      </c>
      <c r="R10" s="143"/>
    </row>
    <row r="11" spans="1:18" ht="24.95" customHeight="1" x14ac:dyDescent="0.25">
      <c r="A11" s="211">
        <v>4</v>
      </c>
      <c r="B11" s="328">
        <v>45385</v>
      </c>
      <c r="C11" s="134" t="s">
        <v>1030</v>
      </c>
      <c r="D11" s="211" t="s">
        <v>5315</v>
      </c>
      <c r="E11" s="136" t="s">
        <v>5234</v>
      </c>
      <c r="F11" s="134"/>
      <c r="G11" s="134">
        <v>65</v>
      </c>
      <c r="H11" s="139">
        <f>G11*20980</f>
        <v>1363700</v>
      </c>
      <c r="I11" s="134"/>
      <c r="J11" s="139">
        <v>430000</v>
      </c>
      <c r="K11" s="139"/>
      <c r="L11" s="263"/>
      <c r="M11" s="139"/>
      <c r="N11" s="139"/>
      <c r="O11" s="139">
        <f t="shared" si="2"/>
        <v>1793700</v>
      </c>
      <c r="P11" s="139">
        <v>3090000</v>
      </c>
      <c r="Q11" s="139">
        <f t="shared" si="1"/>
        <v>1296300</v>
      </c>
      <c r="R11" s="143"/>
    </row>
    <row r="12" spans="1:18" ht="24.95" customHeight="1" x14ac:dyDescent="0.25">
      <c r="A12" s="211">
        <v>5</v>
      </c>
      <c r="B12" s="328">
        <v>45386</v>
      </c>
      <c r="C12" s="134" t="s">
        <v>4293</v>
      </c>
      <c r="D12" s="211" t="s">
        <v>5316</v>
      </c>
      <c r="E12" s="136" t="s">
        <v>5305</v>
      </c>
      <c r="F12" s="134"/>
      <c r="G12" s="134">
        <v>73</v>
      </c>
      <c r="H12" s="139">
        <f t="shared" ref="H12:H13" si="3">G12*20980</f>
        <v>1531540</v>
      </c>
      <c r="I12" s="134"/>
      <c r="J12" s="139">
        <v>530000</v>
      </c>
      <c r="K12" s="139"/>
      <c r="L12" s="263"/>
      <c r="M12" s="139"/>
      <c r="N12" s="139"/>
      <c r="O12" s="139">
        <f t="shared" si="2"/>
        <v>2061540</v>
      </c>
      <c r="P12" s="139">
        <v>3500000</v>
      </c>
      <c r="Q12" s="139">
        <f t="shared" si="1"/>
        <v>1438460</v>
      </c>
      <c r="R12" s="143"/>
    </row>
    <row r="13" spans="1:18" ht="24.95" customHeight="1" x14ac:dyDescent="0.25">
      <c r="A13" s="211">
        <v>6</v>
      </c>
      <c r="B13" s="328">
        <v>45387</v>
      </c>
      <c r="C13" s="134" t="s">
        <v>5293</v>
      </c>
      <c r="D13" s="211" t="s">
        <v>5317</v>
      </c>
      <c r="E13" s="136" t="s">
        <v>828</v>
      </c>
      <c r="F13" s="134"/>
      <c r="G13" s="134">
        <v>70</v>
      </c>
      <c r="H13" s="139">
        <f t="shared" si="3"/>
        <v>1468600</v>
      </c>
      <c r="I13" s="134"/>
      <c r="J13" s="139">
        <v>430000</v>
      </c>
      <c r="K13" s="139"/>
      <c r="L13" s="263"/>
      <c r="M13" s="139"/>
      <c r="N13" s="139"/>
      <c r="O13" s="139">
        <f t="shared" si="2"/>
        <v>1898600</v>
      </c>
      <c r="P13" s="139">
        <v>3610000</v>
      </c>
      <c r="Q13" s="139">
        <f t="shared" si="1"/>
        <v>1711400</v>
      </c>
      <c r="R13" s="143"/>
    </row>
    <row r="14" spans="1:18" ht="24.95" customHeight="1" x14ac:dyDescent="0.25">
      <c r="A14" s="211">
        <v>7</v>
      </c>
      <c r="B14" s="328">
        <v>45390</v>
      </c>
      <c r="C14" s="134" t="s">
        <v>4301</v>
      </c>
      <c r="D14" s="211" t="s">
        <v>5318</v>
      </c>
      <c r="E14" s="136" t="s">
        <v>5306</v>
      </c>
      <c r="F14" s="134"/>
      <c r="G14" s="134">
        <v>88</v>
      </c>
      <c r="H14" s="139">
        <f>G14*21610</f>
        <v>1901680</v>
      </c>
      <c r="I14" s="134"/>
      <c r="J14" s="139">
        <v>430000</v>
      </c>
      <c r="K14" s="139"/>
      <c r="L14" s="263"/>
      <c r="M14" s="139"/>
      <c r="N14" s="139"/>
      <c r="O14" s="139">
        <f t="shared" si="2"/>
        <v>2331680</v>
      </c>
      <c r="P14" s="139">
        <v>3500000</v>
      </c>
      <c r="Q14" s="139">
        <f t="shared" si="1"/>
        <v>1168320</v>
      </c>
      <c r="R14" s="143"/>
    </row>
    <row r="15" spans="1:18" ht="24.95" customHeight="1" x14ac:dyDescent="0.25">
      <c r="A15" s="211">
        <v>8</v>
      </c>
      <c r="B15" s="328">
        <v>45391</v>
      </c>
      <c r="C15" s="134" t="s">
        <v>5294</v>
      </c>
      <c r="D15" s="211" t="s">
        <v>5319</v>
      </c>
      <c r="E15" s="136" t="s">
        <v>2934</v>
      </c>
      <c r="F15" s="134"/>
      <c r="G15" s="134">
        <v>70</v>
      </c>
      <c r="H15" s="139">
        <f t="shared" ref="H15:H20" si="4">G15*21610</f>
        <v>1512700</v>
      </c>
      <c r="I15" s="134"/>
      <c r="J15" s="139">
        <v>790000</v>
      </c>
      <c r="K15" s="139"/>
      <c r="L15" s="263"/>
      <c r="M15" s="139"/>
      <c r="N15" s="139"/>
      <c r="O15" s="139">
        <f t="shared" si="2"/>
        <v>2302700</v>
      </c>
      <c r="P15" s="139">
        <v>3900000</v>
      </c>
      <c r="Q15" s="139">
        <f t="shared" si="1"/>
        <v>1597300</v>
      </c>
      <c r="R15" s="143"/>
    </row>
    <row r="16" spans="1:18" ht="24.95" customHeight="1" x14ac:dyDescent="0.25">
      <c r="A16" s="211">
        <v>9</v>
      </c>
      <c r="B16" s="328">
        <v>45392</v>
      </c>
      <c r="C16" s="134" t="s">
        <v>5295</v>
      </c>
      <c r="D16" s="211" t="s">
        <v>5320</v>
      </c>
      <c r="E16" s="136" t="s">
        <v>2883</v>
      </c>
      <c r="F16" s="134"/>
      <c r="G16" s="134">
        <v>63</v>
      </c>
      <c r="H16" s="139">
        <f t="shared" si="4"/>
        <v>1361430</v>
      </c>
      <c r="I16" s="134"/>
      <c r="J16" s="139">
        <v>430000</v>
      </c>
      <c r="K16" s="139"/>
      <c r="L16" s="263"/>
      <c r="M16" s="139"/>
      <c r="N16" s="139"/>
      <c r="O16" s="139">
        <f t="shared" si="2"/>
        <v>1791430</v>
      </c>
      <c r="P16" s="139">
        <v>3330000</v>
      </c>
      <c r="Q16" s="139">
        <f t="shared" si="1"/>
        <v>1538570</v>
      </c>
      <c r="R16" s="143"/>
    </row>
    <row r="17" spans="1:18" ht="24.95" customHeight="1" x14ac:dyDescent="0.25">
      <c r="A17" s="211">
        <v>10</v>
      </c>
      <c r="B17" s="328">
        <v>45394</v>
      </c>
      <c r="C17" s="134" t="s">
        <v>5296</v>
      </c>
      <c r="D17" s="211" t="s">
        <v>5321</v>
      </c>
      <c r="E17" s="136" t="s">
        <v>2798</v>
      </c>
      <c r="F17" s="134"/>
      <c r="G17" s="134">
        <v>123</v>
      </c>
      <c r="H17" s="139">
        <f t="shared" si="4"/>
        <v>2658030</v>
      </c>
      <c r="I17" s="134"/>
      <c r="J17" s="139">
        <v>790000</v>
      </c>
      <c r="K17" s="139"/>
      <c r="L17" s="263"/>
      <c r="M17" s="139"/>
      <c r="N17" s="139"/>
      <c r="O17" s="139">
        <f t="shared" si="2"/>
        <v>3448030</v>
      </c>
      <c r="P17" s="139">
        <v>5570370</v>
      </c>
      <c r="Q17" s="139">
        <f t="shared" si="1"/>
        <v>2122340</v>
      </c>
      <c r="R17" s="143"/>
    </row>
    <row r="18" spans="1:18" ht="24.95" customHeight="1" x14ac:dyDescent="0.25">
      <c r="A18" s="211">
        <v>11</v>
      </c>
      <c r="B18" s="328">
        <v>45394</v>
      </c>
      <c r="C18" s="134" t="s">
        <v>262</v>
      </c>
      <c r="D18" s="211" t="s">
        <v>5322</v>
      </c>
      <c r="E18" s="136" t="s">
        <v>5307</v>
      </c>
      <c r="F18" s="134"/>
      <c r="G18" s="134">
        <v>119</v>
      </c>
      <c r="H18" s="139">
        <f t="shared" si="4"/>
        <v>2571590</v>
      </c>
      <c r="I18" s="134"/>
      <c r="J18" s="139">
        <v>800000</v>
      </c>
      <c r="K18" s="139"/>
      <c r="L18" s="263"/>
      <c r="M18" s="139"/>
      <c r="N18" s="139"/>
      <c r="O18" s="139">
        <f>SUM(H18:N18)</f>
        <v>3371590</v>
      </c>
      <c r="P18" s="139">
        <v>5300000</v>
      </c>
      <c r="Q18" s="139">
        <f t="shared" si="1"/>
        <v>1928410</v>
      </c>
      <c r="R18" s="143"/>
    </row>
    <row r="19" spans="1:18" ht="24.95" customHeight="1" x14ac:dyDescent="0.25">
      <c r="A19" s="211">
        <v>12</v>
      </c>
      <c r="B19" s="328">
        <v>45396</v>
      </c>
      <c r="C19" s="134" t="s">
        <v>5297</v>
      </c>
      <c r="D19" s="211" t="s">
        <v>5323</v>
      </c>
      <c r="E19" s="136" t="s">
        <v>291</v>
      </c>
      <c r="F19" s="134"/>
      <c r="G19" s="134">
        <v>70</v>
      </c>
      <c r="H19" s="139">
        <f t="shared" si="4"/>
        <v>1512700</v>
      </c>
      <c r="I19" s="134"/>
      <c r="J19" s="139">
        <v>610000</v>
      </c>
      <c r="K19" s="139"/>
      <c r="L19" s="263"/>
      <c r="M19" s="139"/>
      <c r="N19" s="139"/>
      <c r="O19" s="139">
        <f>SUM(H19:N19)</f>
        <v>2122700</v>
      </c>
      <c r="P19" s="139">
        <v>3710000</v>
      </c>
      <c r="Q19" s="139">
        <f t="shared" si="1"/>
        <v>1587300</v>
      </c>
      <c r="R19" s="143"/>
    </row>
    <row r="20" spans="1:18" ht="24.95" customHeight="1" x14ac:dyDescent="0.25">
      <c r="A20" s="211">
        <v>13</v>
      </c>
      <c r="B20" s="328">
        <v>45427</v>
      </c>
      <c r="C20" s="134" t="s">
        <v>5298</v>
      </c>
      <c r="D20" s="211" t="s">
        <v>5324</v>
      </c>
      <c r="E20" s="136" t="s">
        <v>5308</v>
      </c>
      <c r="F20" s="134"/>
      <c r="G20" s="134">
        <v>86</v>
      </c>
      <c r="H20" s="139">
        <f t="shared" si="4"/>
        <v>1858460</v>
      </c>
      <c r="I20" s="134"/>
      <c r="J20" s="139">
        <v>790000</v>
      </c>
      <c r="K20" s="139"/>
      <c r="L20" s="263"/>
      <c r="M20" s="139"/>
      <c r="N20" s="139"/>
      <c r="O20" s="139">
        <f>SUM(H20:N20)</f>
        <v>2648460</v>
      </c>
      <c r="P20" s="139">
        <v>3850000</v>
      </c>
      <c r="Q20" s="139">
        <f t="shared" si="1"/>
        <v>1201540</v>
      </c>
      <c r="R20" s="143"/>
    </row>
    <row r="21" spans="1:18" ht="24.95" customHeight="1" x14ac:dyDescent="0.25">
      <c r="A21" s="211">
        <v>14</v>
      </c>
      <c r="B21" s="328">
        <v>45398</v>
      </c>
      <c r="C21" s="134" t="s">
        <v>3630</v>
      </c>
      <c r="D21" s="211" t="s">
        <v>5325</v>
      </c>
      <c r="E21" s="136" t="s">
        <v>5305</v>
      </c>
      <c r="F21" s="134"/>
      <c r="G21" s="134">
        <v>75</v>
      </c>
      <c r="H21" s="139">
        <f>G21*21440</f>
        <v>1608000</v>
      </c>
      <c r="I21" s="134"/>
      <c r="J21" s="139">
        <v>530000</v>
      </c>
      <c r="K21" s="139"/>
      <c r="L21" s="263"/>
      <c r="M21" s="139"/>
      <c r="N21" s="139"/>
      <c r="O21" s="139">
        <f t="shared" ref="O21:O43" si="5">SUM(H21:N21)</f>
        <v>2138000</v>
      </c>
      <c r="P21" s="139">
        <v>3400000</v>
      </c>
      <c r="Q21" s="139">
        <f t="shared" si="1"/>
        <v>1262000</v>
      </c>
      <c r="R21" s="143"/>
    </row>
    <row r="22" spans="1:18" ht="24.95" customHeight="1" x14ac:dyDescent="0.25">
      <c r="A22" s="211">
        <v>15</v>
      </c>
      <c r="B22" s="328">
        <v>45399</v>
      </c>
      <c r="C22" s="134" t="s">
        <v>2351</v>
      </c>
      <c r="D22" s="211" t="s">
        <v>5326</v>
      </c>
      <c r="E22" s="136" t="s">
        <v>23</v>
      </c>
      <c r="F22" s="134"/>
      <c r="G22" s="134">
        <v>241</v>
      </c>
      <c r="H22" s="139">
        <f t="shared" ref="H22:H26" si="6">G22*21440</f>
        <v>5167040</v>
      </c>
      <c r="I22" s="134"/>
      <c r="J22" s="139">
        <v>2380000</v>
      </c>
      <c r="K22" s="139"/>
      <c r="L22" s="263"/>
      <c r="M22" s="139"/>
      <c r="N22" s="139"/>
      <c r="O22" s="139">
        <f t="shared" si="5"/>
        <v>7547040</v>
      </c>
      <c r="P22" s="139">
        <v>12500000</v>
      </c>
      <c r="Q22" s="139">
        <f t="shared" si="1"/>
        <v>4952960</v>
      </c>
      <c r="R22" s="143"/>
    </row>
    <row r="23" spans="1:18" ht="24.95" customHeight="1" x14ac:dyDescent="0.25">
      <c r="A23" s="211">
        <v>16</v>
      </c>
      <c r="B23" s="328">
        <v>45402</v>
      </c>
      <c r="C23" s="134" t="s">
        <v>5299</v>
      </c>
      <c r="D23" s="211" t="s">
        <v>5327</v>
      </c>
      <c r="E23" s="136" t="s">
        <v>291</v>
      </c>
      <c r="F23" s="134"/>
      <c r="G23" s="134">
        <v>70</v>
      </c>
      <c r="H23" s="139">
        <f t="shared" si="6"/>
        <v>1500800</v>
      </c>
      <c r="I23" s="134"/>
      <c r="J23" s="139">
        <v>610000</v>
      </c>
      <c r="K23" s="139"/>
      <c r="L23" s="263"/>
      <c r="M23" s="139"/>
      <c r="N23" s="139"/>
      <c r="O23" s="139">
        <f t="shared" si="5"/>
        <v>2110800</v>
      </c>
      <c r="P23" s="139">
        <v>3710000</v>
      </c>
      <c r="Q23" s="139">
        <f t="shared" si="1"/>
        <v>1599200</v>
      </c>
      <c r="R23" s="143"/>
    </row>
    <row r="24" spans="1:18" ht="24.95" customHeight="1" x14ac:dyDescent="0.25">
      <c r="A24" s="211"/>
      <c r="B24" s="328">
        <v>45404</v>
      </c>
      <c r="C24" s="134" t="s">
        <v>5300</v>
      </c>
      <c r="D24" s="211" t="s">
        <v>5328</v>
      </c>
      <c r="E24" s="136" t="s">
        <v>5309</v>
      </c>
      <c r="F24" s="134"/>
      <c r="G24" s="134">
        <v>88</v>
      </c>
      <c r="H24" s="139">
        <f t="shared" si="6"/>
        <v>1886720</v>
      </c>
      <c r="I24" s="134"/>
      <c r="J24" s="139">
        <v>1170000</v>
      </c>
      <c r="K24" s="139"/>
      <c r="L24" s="263"/>
      <c r="M24" s="139"/>
      <c r="N24" s="139"/>
      <c r="O24" s="139">
        <f t="shared" si="5"/>
        <v>3056720</v>
      </c>
      <c r="P24" s="139">
        <v>4800000</v>
      </c>
      <c r="Q24" s="139">
        <f t="shared" si="1"/>
        <v>1743280</v>
      </c>
      <c r="R24" s="143"/>
    </row>
    <row r="25" spans="1:18" ht="24.95" customHeight="1" x14ac:dyDescent="0.25">
      <c r="A25" s="211"/>
      <c r="B25" s="328">
        <v>45404</v>
      </c>
      <c r="C25" s="134" t="s">
        <v>5301</v>
      </c>
      <c r="D25" s="211" t="s">
        <v>5329</v>
      </c>
      <c r="E25" s="136" t="s">
        <v>21</v>
      </c>
      <c r="F25" s="134"/>
      <c r="G25" s="134">
        <v>62</v>
      </c>
      <c r="H25" s="139">
        <f t="shared" si="6"/>
        <v>1329280</v>
      </c>
      <c r="I25" s="134"/>
      <c r="J25" s="139">
        <v>430000</v>
      </c>
      <c r="K25" s="139"/>
      <c r="L25" s="263"/>
      <c r="M25" s="139"/>
      <c r="N25" s="139"/>
      <c r="O25" s="139">
        <f t="shared" si="5"/>
        <v>1759280</v>
      </c>
      <c r="P25" s="139">
        <v>3090000</v>
      </c>
      <c r="Q25" s="139">
        <f t="shared" si="1"/>
        <v>1330720</v>
      </c>
      <c r="R25" s="143"/>
    </row>
    <row r="26" spans="1:18" ht="24.95" customHeight="1" x14ac:dyDescent="0.25">
      <c r="A26" s="211"/>
      <c r="B26" s="328">
        <v>45405</v>
      </c>
      <c r="C26" s="134" t="s">
        <v>3010</v>
      </c>
      <c r="D26" s="211" t="s">
        <v>5330</v>
      </c>
      <c r="E26" s="136" t="s">
        <v>5310</v>
      </c>
      <c r="F26" s="134"/>
      <c r="G26" s="134">
        <v>159</v>
      </c>
      <c r="H26" s="139">
        <f t="shared" si="6"/>
        <v>3408960</v>
      </c>
      <c r="I26" s="134"/>
      <c r="J26" s="139">
        <v>1190000</v>
      </c>
      <c r="K26" s="139"/>
      <c r="L26" s="263"/>
      <c r="M26" s="139"/>
      <c r="N26" s="139"/>
      <c r="O26" s="139">
        <f t="shared" si="5"/>
        <v>4598960</v>
      </c>
      <c r="P26" s="139">
        <v>7150000</v>
      </c>
      <c r="Q26" s="139">
        <f t="shared" si="1"/>
        <v>2551040</v>
      </c>
      <c r="R26" s="143"/>
    </row>
    <row r="27" spans="1:18" ht="24.95" customHeight="1" x14ac:dyDescent="0.25">
      <c r="A27" s="211"/>
      <c r="B27" s="328">
        <v>45406</v>
      </c>
      <c r="C27" s="134" t="s">
        <v>5302</v>
      </c>
      <c r="D27" s="211" t="s">
        <v>5331</v>
      </c>
      <c r="E27" s="136" t="s">
        <v>23</v>
      </c>
      <c r="F27" s="134"/>
      <c r="G27" s="134">
        <v>244</v>
      </c>
      <c r="H27" s="139">
        <f>G27*20710</f>
        <v>5053240</v>
      </c>
      <c r="I27" s="134"/>
      <c r="J27" s="139">
        <v>2380000</v>
      </c>
      <c r="K27" s="139"/>
      <c r="L27" s="263"/>
      <c r="M27" s="139"/>
      <c r="N27" s="139"/>
      <c r="O27" s="139">
        <f t="shared" si="5"/>
        <v>7433240</v>
      </c>
      <c r="P27" s="139">
        <v>12500000</v>
      </c>
      <c r="Q27" s="139">
        <f t="shared" si="1"/>
        <v>5066760</v>
      </c>
      <c r="R27" s="143"/>
    </row>
    <row r="28" spans="1:18" ht="24.95" customHeight="1" x14ac:dyDescent="0.25">
      <c r="A28" s="211"/>
      <c r="B28" s="328">
        <v>45407</v>
      </c>
      <c r="C28" s="134" t="s">
        <v>4811</v>
      </c>
      <c r="D28" s="211" t="s">
        <v>5332</v>
      </c>
      <c r="E28" s="136" t="s">
        <v>5283</v>
      </c>
      <c r="F28" s="134"/>
      <c r="G28" s="134">
        <v>147</v>
      </c>
      <c r="H28" s="139">
        <f t="shared" ref="H28:H29" si="7">G28*20710</f>
        <v>3044370</v>
      </c>
      <c r="I28" s="134"/>
      <c r="J28" s="139">
        <v>830000</v>
      </c>
      <c r="K28" s="139"/>
      <c r="L28" s="263"/>
      <c r="M28" s="139"/>
      <c r="N28" s="139"/>
      <c r="O28" s="139">
        <f t="shared" si="5"/>
        <v>3874370</v>
      </c>
      <c r="P28" s="139">
        <v>6200000</v>
      </c>
      <c r="Q28" s="139">
        <f t="shared" si="1"/>
        <v>2325630</v>
      </c>
      <c r="R28" s="143"/>
    </row>
    <row r="29" spans="1:18" ht="24.95" customHeight="1" x14ac:dyDescent="0.25">
      <c r="A29" s="211"/>
      <c r="B29" s="328">
        <v>45409</v>
      </c>
      <c r="C29" s="134" t="s">
        <v>4812</v>
      </c>
      <c r="D29" s="211" t="s">
        <v>5333</v>
      </c>
      <c r="E29" s="136" t="s">
        <v>1568</v>
      </c>
      <c r="F29" s="134"/>
      <c r="G29" s="134">
        <v>154</v>
      </c>
      <c r="H29" s="139">
        <f t="shared" si="7"/>
        <v>3189340</v>
      </c>
      <c r="I29" s="134"/>
      <c r="J29" s="139">
        <v>1130000</v>
      </c>
      <c r="K29" s="139"/>
      <c r="L29" s="263"/>
      <c r="M29" s="139"/>
      <c r="N29" s="139"/>
      <c r="O29" s="139">
        <f t="shared" si="5"/>
        <v>4319340</v>
      </c>
      <c r="P29" s="139">
        <v>4200000</v>
      </c>
      <c r="Q29" s="139">
        <f t="shared" si="1"/>
        <v>-119340</v>
      </c>
      <c r="R29" s="143"/>
    </row>
    <row r="30" spans="1:18" ht="24.95" customHeight="1" x14ac:dyDescent="0.25">
      <c r="A30" s="211"/>
      <c r="B30" s="328">
        <v>45409</v>
      </c>
      <c r="C30" s="134" t="s">
        <v>5303</v>
      </c>
      <c r="D30" s="211" t="s">
        <v>5333</v>
      </c>
      <c r="E30" s="136" t="s">
        <v>5311</v>
      </c>
      <c r="F30" s="134"/>
      <c r="G30" s="134"/>
      <c r="H30" s="139"/>
      <c r="I30" s="134"/>
      <c r="J30" s="139"/>
      <c r="K30" s="139"/>
      <c r="L30" s="263"/>
      <c r="M30" s="139"/>
      <c r="N30" s="139"/>
      <c r="O30" s="139">
        <f t="shared" si="5"/>
        <v>0</v>
      </c>
      <c r="P30" s="139">
        <v>3000000</v>
      </c>
      <c r="Q30" s="139">
        <f t="shared" si="1"/>
        <v>3000000</v>
      </c>
      <c r="R30" s="143"/>
    </row>
    <row r="31" spans="1:18" ht="24.95" customHeight="1" x14ac:dyDescent="0.25">
      <c r="A31" s="211"/>
      <c r="B31" s="328"/>
      <c r="C31" s="134"/>
      <c r="D31" s="211"/>
      <c r="E31" s="136"/>
      <c r="F31" s="134"/>
      <c r="G31" s="134"/>
      <c r="H31" s="139"/>
      <c r="I31" s="134"/>
      <c r="J31" s="139"/>
      <c r="K31" s="139"/>
      <c r="L31" s="263"/>
      <c r="M31" s="139"/>
      <c r="N31" s="139"/>
      <c r="O31" s="139"/>
      <c r="P31" s="139"/>
      <c r="Q31" s="139"/>
      <c r="R31" s="143"/>
    </row>
    <row r="32" spans="1:18" ht="24.95" customHeight="1" x14ac:dyDescent="0.25">
      <c r="A32" s="210"/>
      <c r="B32" s="381"/>
      <c r="C32" s="474" t="s">
        <v>26</v>
      </c>
      <c r="D32" s="475"/>
      <c r="E32" s="476"/>
      <c r="F32" s="376"/>
      <c r="G32" s="151"/>
      <c r="H32" s="377"/>
      <c r="I32" s="151"/>
      <c r="J32" s="377"/>
      <c r="K32" s="378">
        <v>1200000</v>
      </c>
      <c r="L32" s="378"/>
      <c r="M32" s="378"/>
      <c r="N32" s="378"/>
      <c r="O32" s="142">
        <f t="shared" si="5"/>
        <v>1200000</v>
      </c>
      <c r="P32" s="142"/>
      <c r="Q32" s="142"/>
      <c r="R32" s="143"/>
    </row>
    <row r="33" spans="1:19" ht="24.95" customHeight="1" x14ac:dyDescent="0.25">
      <c r="A33" s="211"/>
      <c r="B33" s="328"/>
      <c r="C33" s="452" t="s">
        <v>4798</v>
      </c>
      <c r="D33" s="453"/>
      <c r="E33" s="454"/>
      <c r="F33" s="196"/>
      <c r="G33" s="195"/>
      <c r="H33" s="155"/>
      <c r="I33" s="195"/>
      <c r="J33" s="155"/>
      <c r="K33" s="378">
        <v>9190000</v>
      </c>
      <c r="L33" s="378"/>
      <c r="M33" s="378"/>
      <c r="N33" s="378"/>
      <c r="O33" s="139">
        <f t="shared" si="5"/>
        <v>9190000</v>
      </c>
      <c r="P33" s="139"/>
      <c r="Q33" s="139"/>
      <c r="R33" s="143"/>
    </row>
    <row r="34" spans="1:19" ht="24.95" customHeight="1" x14ac:dyDescent="0.25">
      <c r="A34" s="211"/>
      <c r="B34" s="328"/>
      <c r="C34" s="452" t="s">
        <v>5547</v>
      </c>
      <c r="D34" s="453"/>
      <c r="E34" s="454"/>
      <c r="F34" s="196"/>
      <c r="G34" s="195"/>
      <c r="H34" s="155"/>
      <c r="I34" s="195"/>
      <c r="J34" s="155"/>
      <c r="K34" s="139"/>
      <c r="L34" s="378">
        <v>600000</v>
      </c>
      <c r="M34" s="378"/>
      <c r="N34" s="378"/>
      <c r="O34" s="139">
        <f t="shared" si="5"/>
        <v>600000</v>
      </c>
      <c r="P34" s="139"/>
      <c r="Q34" s="139"/>
      <c r="R34" s="143"/>
    </row>
    <row r="35" spans="1:19" ht="24.95" customHeight="1" x14ac:dyDescent="0.25">
      <c r="A35" s="211"/>
      <c r="B35" s="328"/>
      <c r="C35" s="452" t="s">
        <v>5548</v>
      </c>
      <c r="D35" s="453"/>
      <c r="E35" s="454"/>
      <c r="F35" s="196"/>
      <c r="G35" s="195"/>
      <c r="H35" s="155"/>
      <c r="I35" s="195"/>
      <c r="J35" s="155"/>
      <c r="K35" s="219"/>
      <c r="L35" s="378">
        <v>1050000</v>
      </c>
      <c r="M35" s="378"/>
      <c r="N35" s="378"/>
      <c r="O35" s="139">
        <f t="shared" si="5"/>
        <v>1050000</v>
      </c>
      <c r="P35" s="139"/>
      <c r="Q35" s="139"/>
      <c r="R35" s="143"/>
    </row>
    <row r="36" spans="1:19" ht="24.95" customHeight="1" x14ac:dyDescent="0.25">
      <c r="A36" s="211"/>
      <c r="B36" s="328"/>
      <c r="C36" s="452" t="s">
        <v>5549</v>
      </c>
      <c r="D36" s="453"/>
      <c r="E36" s="454"/>
      <c r="F36" s="196"/>
      <c r="G36" s="195"/>
      <c r="H36" s="155"/>
      <c r="I36" s="195"/>
      <c r="J36" s="155"/>
      <c r="K36" s="378"/>
      <c r="L36" s="378">
        <v>885600</v>
      </c>
      <c r="M36" s="378"/>
      <c r="N36" s="378"/>
      <c r="O36" s="139">
        <f t="shared" si="5"/>
        <v>885600</v>
      </c>
      <c r="P36" s="139"/>
      <c r="Q36" s="139"/>
      <c r="R36" s="143"/>
    </row>
    <row r="37" spans="1:19" ht="24.95" customHeight="1" x14ac:dyDescent="0.25">
      <c r="A37" s="211"/>
      <c r="B37" s="328"/>
      <c r="C37" s="452" t="s">
        <v>5550</v>
      </c>
      <c r="D37" s="453"/>
      <c r="E37" s="454"/>
      <c r="F37" s="196"/>
      <c r="G37" s="195"/>
      <c r="H37" s="155"/>
      <c r="I37" s="195"/>
      <c r="J37" s="155"/>
      <c r="K37" s="378">
        <v>226545</v>
      </c>
      <c r="L37" s="378"/>
      <c r="M37" s="378"/>
      <c r="N37" s="378"/>
      <c r="O37" s="139">
        <f t="shared" si="5"/>
        <v>226545</v>
      </c>
      <c r="P37" s="139"/>
      <c r="Q37" s="139"/>
      <c r="R37" s="143"/>
    </row>
    <row r="38" spans="1:19" ht="24.95" customHeight="1" x14ac:dyDescent="0.25">
      <c r="A38" s="211"/>
      <c r="B38" s="328"/>
      <c r="C38" s="452" t="s">
        <v>5149</v>
      </c>
      <c r="D38" s="453"/>
      <c r="E38" s="454"/>
      <c r="F38" s="196"/>
      <c r="G38" s="195"/>
      <c r="H38" s="155"/>
      <c r="I38" s="195"/>
      <c r="J38" s="155"/>
      <c r="K38" s="378">
        <v>8437000</v>
      </c>
      <c r="L38" s="378"/>
      <c r="M38" s="378"/>
      <c r="N38" s="378"/>
      <c r="O38" s="139">
        <f t="shared" si="5"/>
        <v>8437000</v>
      </c>
      <c r="P38" s="139"/>
      <c r="Q38" s="139"/>
      <c r="R38" s="143"/>
    </row>
    <row r="39" spans="1:19" ht="24.95" customHeight="1" x14ac:dyDescent="0.25">
      <c r="A39" s="211"/>
      <c r="B39" s="328"/>
      <c r="C39" s="452" t="s">
        <v>5551</v>
      </c>
      <c r="D39" s="453"/>
      <c r="E39" s="454"/>
      <c r="F39" s="196"/>
      <c r="G39" s="195"/>
      <c r="H39" s="155"/>
      <c r="I39" s="195"/>
      <c r="J39" s="155"/>
      <c r="K39" s="378">
        <v>599636</v>
      </c>
      <c r="L39" s="378"/>
      <c r="M39" s="378"/>
      <c r="N39" s="378"/>
      <c r="O39" s="139">
        <f t="shared" si="5"/>
        <v>599636</v>
      </c>
      <c r="P39" s="139"/>
      <c r="Q39" s="139"/>
      <c r="R39" s="143"/>
    </row>
    <row r="40" spans="1:19" ht="24.95" customHeight="1" x14ac:dyDescent="0.25">
      <c r="A40" s="211"/>
      <c r="B40" s="328"/>
      <c r="C40" s="452" t="s">
        <v>5561</v>
      </c>
      <c r="D40" s="453"/>
      <c r="E40" s="454"/>
      <c r="F40" s="196"/>
      <c r="G40" s="195"/>
      <c r="H40" s="155"/>
      <c r="I40" s="195"/>
      <c r="J40" s="155"/>
      <c r="K40" s="378"/>
      <c r="L40" s="378">
        <v>300000</v>
      </c>
      <c r="M40" s="378"/>
      <c r="N40" s="378"/>
      <c r="O40" s="139">
        <f t="shared" si="5"/>
        <v>300000</v>
      </c>
      <c r="P40" s="139"/>
      <c r="Q40" s="139"/>
      <c r="R40" s="143"/>
    </row>
    <row r="41" spans="1:19" ht="24.95" customHeight="1" x14ac:dyDescent="0.25">
      <c r="A41" s="211"/>
      <c r="B41" s="328"/>
      <c r="C41" s="452" t="s">
        <v>5569</v>
      </c>
      <c r="D41" s="453"/>
      <c r="E41" s="454"/>
      <c r="F41" s="196"/>
      <c r="G41" s="195"/>
      <c r="H41" s="155"/>
      <c r="I41" s="195"/>
      <c r="J41" s="155"/>
      <c r="K41" s="378"/>
      <c r="L41" s="378">
        <v>710000</v>
      </c>
      <c r="M41" s="378"/>
      <c r="N41" s="378"/>
      <c r="O41" s="139">
        <f t="shared" si="5"/>
        <v>710000</v>
      </c>
      <c r="P41" s="139"/>
      <c r="Q41" s="139"/>
      <c r="R41" s="143"/>
    </row>
    <row r="42" spans="1:19" ht="24.95" customHeight="1" x14ac:dyDescent="0.25">
      <c r="A42" s="211"/>
      <c r="B42" s="328"/>
      <c r="C42" s="452" t="s">
        <v>5561</v>
      </c>
      <c r="D42" s="453"/>
      <c r="E42" s="454"/>
      <c r="F42" s="196"/>
      <c r="G42" s="195"/>
      <c r="H42" s="155"/>
      <c r="I42" s="195"/>
      <c r="J42" s="155"/>
      <c r="K42" s="378"/>
      <c r="L42" s="378">
        <v>300000</v>
      </c>
      <c r="M42" s="378"/>
      <c r="N42" s="378"/>
      <c r="O42" s="139">
        <f t="shared" si="5"/>
        <v>300000</v>
      </c>
      <c r="P42" s="139"/>
      <c r="Q42" s="139"/>
      <c r="R42" s="143"/>
    </row>
    <row r="43" spans="1:19" ht="24.95" customHeight="1" x14ac:dyDescent="0.25">
      <c r="A43" s="379"/>
      <c r="B43" s="380"/>
      <c r="C43" s="471" t="s">
        <v>4626</v>
      </c>
      <c r="D43" s="472"/>
      <c r="E43" s="473"/>
      <c r="F43" s="152"/>
      <c r="G43" s="153"/>
      <c r="H43" s="156"/>
      <c r="I43" s="153"/>
      <c r="J43" s="156"/>
      <c r="K43" s="288">
        <v>7700000</v>
      </c>
      <c r="L43" s="288"/>
      <c r="M43" s="206"/>
      <c r="N43" s="206"/>
      <c r="O43" s="206">
        <f t="shared" si="5"/>
        <v>7700000</v>
      </c>
      <c r="P43" s="206"/>
      <c r="Q43" s="206"/>
      <c r="R43" s="143"/>
    </row>
    <row r="44" spans="1:19" ht="24.95" customHeight="1" x14ac:dyDescent="0.25">
      <c r="A44" s="426" t="s">
        <v>20</v>
      </c>
      <c r="B44" s="426"/>
      <c r="C44" s="426"/>
      <c r="D44" s="426"/>
      <c r="E44" s="426"/>
      <c r="F44" s="426"/>
      <c r="G44" s="161">
        <f t="shared" ref="G44:P44" si="8">SUM(G8:G43)</f>
        <v>2403</v>
      </c>
      <c r="H44" s="161">
        <f t="shared" si="8"/>
        <v>50880020</v>
      </c>
      <c r="I44" s="161">
        <f t="shared" si="8"/>
        <v>0</v>
      </c>
      <c r="J44" s="161">
        <f t="shared" si="8"/>
        <v>19430000</v>
      </c>
      <c r="K44" s="161">
        <f t="shared" si="8"/>
        <v>27353181</v>
      </c>
      <c r="L44" s="161">
        <f t="shared" si="8"/>
        <v>3845600</v>
      </c>
      <c r="M44" s="161">
        <f t="shared" si="8"/>
        <v>0</v>
      </c>
      <c r="N44" s="161">
        <f t="shared" si="8"/>
        <v>0</v>
      </c>
      <c r="O44" s="161">
        <f t="shared" si="8"/>
        <v>101508801</v>
      </c>
      <c r="P44" s="161">
        <f t="shared" si="8"/>
        <v>117254814</v>
      </c>
      <c r="Q44" s="161">
        <f>P44-O44</f>
        <v>15746013</v>
      </c>
    </row>
    <row r="45" spans="1:19" ht="24.95" customHeight="1" x14ac:dyDescent="0.25">
      <c r="O45" s="158"/>
      <c r="Q45" s="158"/>
    </row>
    <row r="46" spans="1:19" ht="13.9" customHeight="1" x14ac:dyDescent="0.25">
      <c r="P46" s="216" t="s">
        <v>1603</v>
      </c>
      <c r="Q46" s="227">
        <f>'03.2024'!Q34+'04.2024'!Q44</f>
        <v>17988709</v>
      </c>
      <c r="S46" s="216"/>
    </row>
    <row r="47" spans="1:19" ht="13.9" customHeight="1" x14ac:dyDescent="0.25">
      <c r="B47" s="129"/>
      <c r="J47" s="128"/>
      <c r="K47" s="128"/>
      <c r="L47" s="128"/>
      <c r="N47" s="128"/>
      <c r="O47" s="128"/>
      <c r="P47" s="218"/>
      <c r="Q47" s="216"/>
    </row>
    <row r="48" spans="1:19" ht="13.9" customHeight="1" x14ac:dyDescent="0.25">
      <c r="B48" s="129"/>
      <c r="H48" s="128"/>
      <c r="J48" s="128"/>
      <c r="K48" s="128"/>
      <c r="L48" s="128"/>
      <c r="M48" s="128"/>
      <c r="N48" s="128"/>
      <c r="O48" s="128"/>
      <c r="P48" s="218"/>
      <c r="Q48" s="230"/>
    </row>
    <row r="49" spans="1:19" ht="13.9" customHeight="1" x14ac:dyDescent="0.25">
      <c r="B49" s="129"/>
      <c r="H49" s="128"/>
      <c r="J49" s="128"/>
      <c r="K49" s="128"/>
      <c r="L49" s="128"/>
      <c r="M49" s="128"/>
      <c r="N49" s="128"/>
      <c r="O49" s="128"/>
      <c r="P49" s="218"/>
      <c r="Q49" s="230"/>
    </row>
    <row r="50" spans="1:19" ht="13.9" customHeight="1" x14ac:dyDescent="0.25">
      <c r="B50" s="129"/>
      <c r="G50" s="143"/>
      <c r="H50" s="128"/>
      <c r="J50" s="128"/>
      <c r="K50" s="128"/>
      <c r="L50" s="128"/>
      <c r="M50" s="128"/>
      <c r="N50" s="128"/>
      <c r="O50" s="128"/>
      <c r="P50" s="218"/>
      <c r="Q50" s="230"/>
      <c r="R50" s="143"/>
    </row>
    <row r="51" spans="1:19" ht="13.9" customHeight="1" x14ac:dyDescent="0.25">
      <c r="B51" s="129"/>
      <c r="H51" s="128"/>
      <c r="J51" s="128"/>
      <c r="K51" s="128"/>
      <c r="L51" s="128"/>
      <c r="M51" s="128"/>
      <c r="N51" s="128"/>
      <c r="O51" s="128"/>
      <c r="P51" s="218"/>
      <c r="Q51" s="216"/>
      <c r="R51" s="143"/>
    </row>
    <row r="52" spans="1:19" x14ac:dyDescent="0.25">
      <c r="B52" s="129"/>
      <c r="H52" s="128"/>
      <c r="J52" s="128"/>
      <c r="K52" s="128"/>
      <c r="L52" s="128"/>
      <c r="M52" s="128"/>
      <c r="N52" s="128"/>
      <c r="O52" s="128"/>
      <c r="P52" s="218"/>
      <c r="Q52" s="216"/>
    </row>
    <row r="53" spans="1:19" x14ac:dyDescent="0.25">
      <c r="A53" s="128"/>
      <c r="B53" s="129"/>
      <c r="H53" s="128"/>
      <c r="J53" s="128"/>
      <c r="K53" s="128"/>
      <c r="L53" s="128"/>
      <c r="M53" s="128"/>
      <c r="N53" s="128"/>
      <c r="O53" s="128"/>
      <c r="P53" s="218"/>
      <c r="Q53" s="216"/>
    </row>
    <row r="54" spans="1:19" x14ac:dyDescent="0.25">
      <c r="A54" s="128"/>
      <c r="B54" s="129"/>
      <c r="H54" s="128"/>
      <c r="J54" s="128"/>
      <c r="K54" s="128"/>
      <c r="L54" s="128"/>
      <c r="M54" s="128"/>
      <c r="N54" s="128"/>
      <c r="O54" s="128"/>
      <c r="P54" s="218"/>
      <c r="Q54" s="216"/>
    </row>
    <row r="55" spans="1:19" x14ac:dyDescent="0.25">
      <c r="A55" s="128"/>
      <c r="B55" s="128"/>
      <c r="G55" s="143"/>
      <c r="J55" s="128"/>
      <c r="K55" s="128"/>
      <c r="L55" s="128"/>
      <c r="M55" s="128"/>
      <c r="N55" s="128"/>
      <c r="O55" s="128"/>
      <c r="P55" s="128"/>
      <c r="Q55" s="216"/>
    </row>
    <row r="56" spans="1:19" x14ac:dyDescent="0.25">
      <c r="A56" s="128"/>
      <c r="B56" s="128"/>
      <c r="H56" s="128"/>
      <c r="J56" s="128"/>
      <c r="K56" s="128"/>
      <c r="L56" s="128"/>
      <c r="M56" s="128"/>
      <c r="N56" s="128"/>
      <c r="O56" s="128"/>
      <c r="P56" s="128"/>
      <c r="Q56" s="216"/>
    </row>
    <row r="58" spans="1:19" s="143" customFormat="1" x14ac:dyDescent="0.25">
      <c r="A58" s="129"/>
      <c r="B58" s="163"/>
      <c r="C58" s="128"/>
      <c r="D58" s="128"/>
      <c r="E58" s="128"/>
      <c r="F58" s="128"/>
      <c r="I58" s="128"/>
      <c r="R58" s="128"/>
      <c r="S58" s="128"/>
    </row>
  </sheetData>
  <mergeCells count="26">
    <mergeCell ref="C39:E39"/>
    <mergeCell ref="A1:Q1"/>
    <mergeCell ref="A2:Q2"/>
    <mergeCell ref="B3:Q3"/>
    <mergeCell ref="A5:A6"/>
    <mergeCell ref="B5:B6"/>
    <mergeCell ref="C5:C6"/>
    <mergeCell ref="D5:D6"/>
    <mergeCell ref="E5:E6"/>
    <mergeCell ref="F5:F6"/>
    <mergeCell ref="G5:N5"/>
    <mergeCell ref="C34:E34"/>
    <mergeCell ref="C35:E35"/>
    <mergeCell ref="C36:E36"/>
    <mergeCell ref="C37:E37"/>
    <mergeCell ref="C38:E38"/>
    <mergeCell ref="O5:O6"/>
    <mergeCell ref="P5:P6"/>
    <mergeCell ref="Q5:Q6"/>
    <mergeCell ref="C32:E32"/>
    <mergeCell ref="C33:E33"/>
    <mergeCell ref="A44:F44"/>
    <mergeCell ref="C41:E41"/>
    <mergeCell ref="C42:E42"/>
    <mergeCell ref="C43:E43"/>
    <mergeCell ref="C40:E40"/>
  </mergeCells>
  <pageMargins left="0.7" right="0.7" top="0.75" bottom="0.75" header="0.3" footer="0.3"/>
  <pageSetup paperSize="9" orientation="portrait" horizontalDpi="0" verticalDpi="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DEB3-EE35-4E26-BC49-02784D32645C}">
  <dimension ref="A1:S59"/>
  <sheetViews>
    <sheetView topLeftCell="A28" zoomScale="90" zoomScaleNormal="90" workbookViewId="0">
      <selection activeCell="J33" sqref="J33:N43"/>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5334</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45413</v>
      </c>
      <c r="C8" s="134" t="s">
        <v>5335</v>
      </c>
      <c r="D8" s="211" t="s">
        <v>5348</v>
      </c>
      <c r="E8" s="136" t="s">
        <v>4509</v>
      </c>
      <c r="F8" s="134"/>
      <c r="G8" s="134">
        <v>378</v>
      </c>
      <c r="H8" s="139">
        <f>G8*20600</f>
        <v>7786800</v>
      </c>
      <c r="I8" s="134"/>
      <c r="J8" s="139">
        <v>3868000</v>
      </c>
      <c r="K8" s="139"/>
      <c r="L8" s="263"/>
      <c r="M8" s="139"/>
      <c r="N8" s="139"/>
      <c r="O8" s="139">
        <f>SUM(H8:N8)</f>
        <v>11654800</v>
      </c>
      <c r="P8" s="139">
        <v>20300000</v>
      </c>
      <c r="Q8" s="139">
        <f>P8-O8</f>
        <v>8645200</v>
      </c>
      <c r="R8" s="143"/>
    </row>
    <row r="9" spans="1:18" ht="24.95" customHeight="1" x14ac:dyDescent="0.25">
      <c r="A9" s="211">
        <v>2</v>
      </c>
      <c r="B9" s="328">
        <v>45415</v>
      </c>
      <c r="C9" s="134" t="s">
        <v>1702</v>
      </c>
      <c r="D9" s="211" t="s">
        <v>5349</v>
      </c>
      <c r="E9" s="136" t="s">
        <v>3665</v>
      </c>
      <c r="F9" s="134"/>
      <c r="G9" s="134">
        <v>107</v>
      </c>
      <c r="H9" s="139">
        <f t="shared" ref="H9:H11" si="0">G9*20600</f>
        <v>2204200</v>
      </c>
      <c r="I9" s="134"/>
      <c r="J9" s="139">
        <v>1190000</v>
      </c>
      <c r="K9" s="139"/>
      <c r="L9" s="263"/>
      <c r="M9" s="139"/>
      <c r="N9" s="139"/>
      <c r="O9" s="139">
        <f>SUM(H9:N9)</f>
        <v>3394200</v>
      </c>
      <c r="P9" s="139">
        <v>5600000</v>
      </c>
      <c r="Q9" s="139">
        <f t="shared" ref="Q9:Q29" si="1">P9-O9</f>
        <v>2205800</v>
      </c>
      <c r="R9" s="143"/>
    </row>
    <row r="10" spans="1:18" ht="24.95" customHeight="1" x14ac:dyDescent="0.25">
      <c r="A10" s="211">
        <v>3</v>
      </c>
      <c r="B10" s="328">
        <v>45415</v>
      </c>
      <c r="C10" s="134" t="s">
        <v>5336</v>
      </c>
      <c r="D10" s="211" t="s">
        <v>5350</v>
      </c>
      <c r="E10" s="136" t="s">
        <v>5368</v>
      </c>
      <c r="F10" s="134"/>
      <c r="G10" s="134"/>
      <c r="H10" s="139">
        <f t="shared" si="0"/>
        <v>0</v>
      </c>
      <c r="I10" s="134"/>
      <c r="J10" s="139"/>
      <c r="K10" s="139"/>
      <c r="L10" s="263"/>
      <c r="M10" s="139"/>
      <c r="N10" s="139"/>
      <c r="O10" s="139">
        <f t="shared" ref="O10:O17" si="2">SUM(H10:N10)</f>
        <v>0</v>
      </c>
      <c r="P10" s="139">
        <v>0</v>
      </c>
      <c r="Q10" s="139">
        <f t="shared" si="1"/>
        <v>0</v>
      </c>
      <c r="R10" s="143"/>
    </row>
    <row r="11" spans="1:18" ht="24.95" customHeight="1" x14ac:dyDescent="0.25">
      <c r="A11" s="211">
        <v>4</v>
      </c>
      <c r="B11" s="328">
        <v>45418</v>
      </c>
      <c r="C11" s="134" t="s">
        <v>5337</v>
      </c>
      <c r="D11" s="211" t="s">
        <v>5351</v>
      </c>
      <c r="E11" s="136" t="s">
        <v>23</v>
      </c>
      <c r="F11" s="134"/>
      <c r="G11" s="134">
        <v>244</v>
      </c>
      <c r="H11" s="139">
        <f t="shared" si="0"/>
        <v>5026400</v>
      </c>
      <c r="I11" s="134"/>
      <c r="J11" s="139">
        <v>2380000</v>
      </c>
      <c r="K11" s="139"/>
      <c r="L11" s="263"/>
      <c r="M11" s="139"/>
      <c r="N11" s="139"/>
      <c r="O11" s="139">
        <f t="shared" si="2"/>
        <v>7406400</v>
      </c>
      <c r="P11" s="139">
        <v>12500000</v>
      </c>
      <c r="Q11" s="139">
        <f t="shared" si="1"/>
        <v>5093600</v>
      </c>
      <c r="R11" s="143"/>
    </row>
    <row r="12" spans="1:18" ht="24.95" customHeight="1" x14ac:dyDescent="0.25">
      <c r="A12" s="211">
        <v>5</v>
      </c>
      <c r="B12" s="328">
        <v>45418</v>
      </c>
      <c r="C12" s="134" t="s">
        <v>5338</v>
      </c>
      <c r="D12" s="211" t="s">
        <v>5352</v>
      </c>
      <c r="E12" s="136" t="s">
        <v>5073</v>
      </c>
      <c r="F12" s="134"/>
      <c r="G12" s="134">
        <v>42</v>
      </c>
      <c r="H12" s="139">
        <f>G12*19840</f>
        <v>833280</v>
      </c>
      <c r="I12" s="134"/>
      <c r="J12" s="139">
        <v>340000</v>
      </c>
      <c r="K12" s="139"/>
      <c r="L12" s="263"/>
      <c r="M12" s="139"/>
      <c r="N12" s="139"/>
      <c r="O12" s="139">
        <f t="shared" si="2"/>
        <v>1173280</v>
      </c>
      <c r="P12" s="139">
        <v>2670000</v>
      </c>
      <c r="Q12" s="139">
        <f t="shared" si="1"/>
        <v>1496720</v>
      </c>
      <c r="R12" s="143"/>
    </row>
    <row r="13" spans="1:18" ht="24.95" customHeight="1" x14ac:dyDescent="0.25">
      <c r="A13" s="211">
        <v>6</v>
      </c>
      <c r="B13" s="328">
        <v>45419</v>
      </c>
      <c r="C13" s="134" t="s">
        <v>5339</v>
      </c>
      <c r="D13" s="211" t="s">
        <v>5353</v>
      </c>
      <c r="E13" s="136" t="s">
        <v>5369</v>
      </c>
      <c r="F13" s="134"/>
      <c r="G13" s="134">
        <v>172</v>
      </c>
      <c r="H13" s="139">
        <f t="shared" ref="H13:H17" si="3">G13*19840</f>
        <v>3412480</v>
      </c>
      <c r="I13" s="134"/>
      <c r="J13" s="139">
        <v>1290000</v>
      </c>
      <c r="K13" s="139"/>
      <c r="L13" s="263"/>
      <c r="M13" s="139"/>
      <c r="N13" s="139"/>
      <c r="O13" s="139">
        <f t="shared" si="2"/>
        <v>4702480</v>
      </c>
      <c r="P13" s="139">
        <v>7200000</v>
      </c>
      <c r="Q13" s="139">
        <f t="shared" si="1"/>
        <v>2497520</v>
      </c>
      <c r="R13" s="143"/>
    </row>
    <row r="14" spans="1:18" ht="24.95" customHeight="1" x14ac:dyDescent="0.25">
      <c r="A14" s="211">
        <v>7</v>
      </c>
      <c r="B14" s="328">
        <v>45420</v>
      </c>
      <c r="C14" s="134" t="s">
        <v>2398</v>
      </c>
      <c r="D14" s="211" t="s">
        <v>5354</v>
      </c>
      <c r="E14" s="136" t="s">
        <v>1218</v>
      </c>
      <c r="F14" s="134"/>
      <c r="G14" s="134">
        <v>92</v>
      </c>
      <c r="H14" s="139">
        <f t="shared" si="3"/>
        <v>1825280</v>
      </c>
      <c r="I14" s="134"/>
      <c r="J14" s="139">
        <v>610000</v>
      </c>
      <c r="K14" s="139"/>
      <c r="L14" s="263"/>
      <c r="M14" s="139"/>
      <c r="N14" s="139"/>
      <c r="O14" s="139">
        <f t="shared" si="2"/>
        <v>2435280</v>
      </c>
      <c r="P14" s="139">
        <v>4500000</v>
      </c>
      <c r="Q14" s="139">
        <f t="shared" si="1"/>
        <v>2064720</v>
      </c>
      <c r="R14" s="143"/>
    </row>
    <row r="15" spans="1:18" ht="24.95" customHeight="1" x14ac:dyDescent="0.25">
      <c r="A15" s="211">
        <v>8</v>
      </c>
      <c r="B15" s="328">
        <v>45421</v>
      </c>
      <c r="C15" s="134" t="s">
        <v>2399</v>
      </c>
      <c r="D15" s="211" t="s">
        <v>5355</v>
      </c>
      <c r="E15" s="136" t="s">
        <v>4509</v>
      </c>
      <c r="F15" s="134"/>
      <c r="G15" s="134">
        <v>378</v>
      </c>
      <c r="H15" s="139">
        <f t="shared" si="3"/>
        <v>7499520</v>
      </c>
      <c r="I15" s="134"/>
      <c r="J15" s="139">
        <v>3748000</v>
      </c>
      <c r="K15" s="139"/>
      <c r="L15" s="263"/>
      <c r="M15" s="139"/>
      <c r="N15" s="139"/>
      <c r="O15" s="139">
        <f t="shared" si="2"/>
        <v>11247520</v>
      </c>
      <c r="P15" s="139">
        <v>20300000</v>
      </c>
      <c r="Q15" s="139">
        <f t="shared" si="1"/>
        <v>9052480</v>
      </c>
      <c r="R15" s="143"/>
    </row>
    <row r="16" spans="1:18" ht="24.95" customHeight="1" x14ac:dyDescent="0.25">
      <c r="A16" s="211">
        <v>9</v>
      </c>
      <c r="B16" s="328">
        <v>45423</v>
      </c>
      <c r="C16" s="134" t="s">
        <v>4886</v>
      </c>
      <c r="D16" s="211" t="s">
        <v>5356</v>
      </c>
      <c r="E16" s="136" t="s">
        <v>4509</v>
      </c>
      <c r="F16" s="134"/>
      <c r="G16" s="134">
        <v>382</v>
      </c>
      <c r="H16" s="139">
        <f t="shared" si="3"/>
        <v>7578880</v>
      </c>
      <c r="I16" s="134"/>
      <c r="J16" s="139">
        <v>3868000</v>
      </c>
      <c r="K16" s="139"/>
      <c r="L16" s="263"/>
      <c r="M16" s="139"/>
      <c r="N16" s="139"/>
      <c r="O16" s="139">
        <f t="shared" si="2"/>
        <v>11446880</v>
      </c>
      <c r="P16" s="139">
        <v>20300000</v>
      </c>
      <c r="Q16" s="139">
        <f t="shared" si="1"/>
        <v>8853120</v>
      </c>
      <c r="R16" s="143"/>
    </row>
    <row r="17" spans="1:18" ht="24.95" customHeight="1" x14ac:dyDescent="0.25">
      <c r="A17" s="211">
        <v>10</v>
      </c>
      <c r="B17" s="328">
        <v>45425</v>
      </c>
      <c r="C17" s="134" t="s">
        <v>1710</v>
      </c>
      <c r="D17" s="211" t="s">
        <v>5357</v>
      </c>
      <c r="E17" s="136" t="s">
        <v>2985</v>
      </c>
      <c r="F17" s="134"/>
      <c r="G17" s="134">
        <v>59</v>
      </c>
      <c r="H17" s="139">
        <f t="shared" si="3"/>
        <v>1170560</v>
      </c>
      <c r="I17" s="134"/>
      <c r="J17" s="139">
        <v>430000</v>
      </c>
      <c r="K17" s="139"/>
      <c r="L17" s="263"/>
      <c r="M17" s="139"/>
      <c r="N17" s="139"/>
      <c r="O17" s="139">
        <f t="shared" si="2"/>
        <v>1600560</v>
      </c>
      <c r="P17" s="139">
        <v>3080000</v>
      </c>
      <c r="Q17" s="139">
        <f t="shared" si="1"/>
        <v>1479440</v>
      </c>
      <c r="R17" s="143"/>
    </row>
    <row r="18" spans="1:18" ht="24.95" customHeight="1" x14ac:dyDescent="0.25">
      <c r="A18" s="211">
        <v>11</v>
      </c>
      <c r="B18" s="328">
        <v>45426</v>
      </c>
      <c r="C18" s="134" t="s">
        <v>5340</v>
      </c>
      <c r="D18" s="211" t="s">
        <v>5358</v>
      </c>
      <c r="E18" s="136" t="s">
        <v>4509</v>
      </c>
      <c r="F18" s="134"/>
      <c r="G18" s="134">
        <v>384</v>
      </c>
      <c r="H18" s="139">
        <f>G18*19870</f>
        <v>7630080</v>
      </c>
      <c r="I18" s="134"/>
      <c r="J18" s="139">
        <v>3868000</v>
      </c>
      <c r="K18" s="139"/>
      <c r="L18" s="263"/>
      <c r="M18" s="139"/>
      <c r="N18" s="139"/>
      <c r="O18" s="139">
        <f>SUM(H18:N18)</f>
        <v>11498080</v>
      </c>
      <c r="P18" s="139">
        <v>20300000</v>
      </c>
      <c r="Q18" s="139">
        <f t="shared" si="1"/>
        <v>8801920</v>
      </c>
      <c r="R18" s="143"/>
    </row>
    <row r="19" spans="1:18" ht="24.95" customHeight="1" x14ac:dyDescent="0.25">
      <c r="A19" s="211">
        <v>12</v>
      </c>
      <c r="B19" s="328">
        <v>45428</v>
      </c>
      <c r="C19" s="134" t="s">
        <v>5341</v>
      </c>
      <c r="D19" s="211" t="s">
        <v>5359</v>
      </c>
      <c r="E19" s="136" t="s">
        <v>23</v>
      </c>
      <c r="F19" s="134"/>
      <c r="G19" s="134">
        <v>240</v>
      </c>
      <c r="H19" s="139">
        <f t="shared" ref="H19:H22" si="4">G19*19870</f>
        <v>4768800</v>
      </c>
      <c r="I19" s="134"/>
      <c r="J19" s="139">
        <v>2380000</v>
      </c>
      <c r="K19" s="139"/>
      <c r="L19" s="263"/>
      <c r="M19" s="139"/>
      <c r="N19" s="139"/>
      <c r="O19" s="139">
        <f>SUM(H19:N19)</f>
        <v>7148800</v>
      </c>
      <c r="P19" s="139">
        <v>12314815</v>
      </c>
      <c r="Q19" s="139">
        <f t="shared" si="1"/>
        <v>5166015</v>
      </c>
      <c r="R19" s="143"/>
    </row>
    <row r="20" spans="1:18" ht="24.95" customHeight="1" x14ac:dyDescent="0.25">
      <c r="A20" s="211">
        <v>13</v>
      </c>
      <c r="B20" s="328">
        <v>45429</v>
      </c>
      <c r="C20" s="134" t="s">
        <v>1714</v>
      </c>
      <c r="D20" s="211" t="s">
        <v>5360</v>
      </c>
      <c r="E20" s="136" t="s">
        <v>5370</v>
      </c>
      <c r="F20" s="134"/>
      <c r="G20" s="134">
        <v>62</v>
      </c>
      <c r="H20" s="139">
        <f t="shared" si="4"/>
        <v>1231940</v>
      </c>
      <c r="I20" s="134"/>
      <c r="J20" s="139">
        <v>430000</v>
      </c>
      <c r="K20" s="139"/>
      <c r="L20" s="263"/>
      <c r="M20" s="139"/>
      <c r="N20" s="139"/>
      <c r="O20" s="139">
        <f>SUM(H20:N20)</f>
        <v>1661940</v>
      </c>
      <c r="P20" s="139">
        <v>3330000</v>
      </c>
      <c r="Q20" s="139">
        <f t="shared" si="1"/>
        <v>1668060</v>
      </c>
      <c r="R20" s="143"/>
    </row>
    <row r="21" spans="1:18" ht="24.95" customHeight="1" x14ac:dyDescent="0.25">
      <c r="A21" s="211">
        <v>14</v>
      </c>
      <c r="B21" s="328">
        <v>45432</v>
      </c>
      <c r="C21" s="134" t="s">
        <v>5342</v>
      </c>
      <c r="D21" s="211" t="s">
        <v>5361</v>
      </c>
      <c r="E21" s="136" t="s">
        <v>4509</v>
      </c>
      <c r="F21" s="134"/>
      <c r="G21" s="134">
        <v>379</v>
      </c>
      <c r="H21" s="139">
        <f t="shared" si="4"/>
        <v>7530730</v>
      </c>
      <c r="I21" s="134"/>
      <c r="J21" s="139">
        <v>3868000</v>
      </c>
      <c r="K21" s="139"/>
      <c r="L21" s="263"/>
      <c r="M21" s="139"/>
      <c r="N21" s="139"/>
      <c r="O21" s="139">
        <f t="shared" ref="O21:O44" si="5">SUM(H21:N21)</f>
        <v>11398730</v>
      </c>
      <c r="P21" s="139">
        <v>20300000</v>
      </c>
      <c r="Q21" s="139">
        <f t="shared" si="1"/>
        <v>8901270</v>
      </c>
      <c r="R21" s="143"/>
    </row>
    <row r="22" spans="1:18" ht="24.95" customHeight="1" x14ac:dyDescent="0.25">
      <c r="A22" s="211">
        <v>15</v>
      </c>
      <c r="B22" s="328">
        <v>45433</v>
      </c>
      <c r="C22" s="134" t="s">
        <v>5343</v>
      </c>
      <c r="D22" s="211" t="s">
        <v>5362</v>
      </c>
      <c r="E22" s="136" t="s">
        <v>5218</v>
      </c>
      <c r="F22" s="134"/>
      <c r="G22" s="134">
        <v>267</v>
      </c>
      <c r="H22" s="139">
        <f t="shared" si="4"/>
        <v>5305290</v>
      </c>
      <c r="I22" s="134"/>
      <c r="J22" s="139">
        <v>1180000</v>
      </c>
      <c r="K22" s="139"/>
      <c r="L22" s="263"/>
      <c r="M22" s="139"/>
      <c r="N22" s="139"/>
      <c r="O22" s="139">
        <f t="shared" si="5"/>
        <v>6485290</v>
      </c>
      <c r="P22" s="139">
        <v>11200000</v>
      </c>
      <c r="Q22" s="139">
        <f t="shared" si="1"/>
        <v>4714710</v>
      </c>
      <c r="R22" s="143"/>
    </row>
    <row r="23" spans="1:18" ht="24.95" customHeight="1" x14ac:dyDescent="0.25">
      <c r="A23" s="211">
        <v>16</v>
      </c>
      <c r="B23" s="328">
        <v>45434</v>
      </c>
      <c r="C23" s="134" t="s">
        <v>4893</v>
      </c>
      <c r="D23" s="211" t="s">
        <v>5363</v>
      </c>
      <c r="E23" s="136" t="s">
        <v>1568</v>
      </c>
      <c r="F23" s="134"/>
      <c r="G23" s="134">
        <v>108</v>
      </c>
      <c r="H23" s="139">
        <f>G23*19830</f>
        <v>2141640</v>
      </c>
      <c r="I23" s="134"/>
      <c r="J23" s="139">
        <v>1290000</v>
      </c>
      <c r="K23" s="139"/>
      <c r="L23" s="263"/>
      <c r="M23" s="139"/>
      <c r="N23" s="139"/>
      <c r="O23" s="139">
        <f t="shared" si="5"/>
        <v>3431640</v>
      </c>
      <c r="P23" s="139">
        <v>6800000</v>
      </c>
      <c r="Q23" s="139">
        <f t="shared" si="1"/>
        <v>3368360</v>
      </c>
      <c r="R23" s="143"/>
    </row>
    <row r="24" spans="1:18" ht="24.95" customHeight="1" x14ac:dyDescent="0.25">
      <c r="A24" s="211">
        <v>17</v>
      </c>
      <c r="B24" s="328">
        <v>45434</v>
      </c>
      <c r="C24" s="134" t="s">
        <v>5344</v>
      </c>
      <c r="D24" s="211" t="s">
        <v>5363</v>
      </c>
      <c r="E24" s="136" t="s">
        <v>5305</v>
      </c>
      <c r="F24" s="134"/>
      <c r="G24" s="134"/>
      <c r="H24" s="139"/>
      <c r="I24" s="134"/>
      <c r="J24" s="139"/>
      <c r="K24" s="139"/>
      <c r="L24" s="263"/>
      <c r="M24" s="139"/>
      <c r="N24" s="139"/>
      <c r="O24" s="139">
        <f t="shared" si="5"/>
        <v>0</v>
      </c>
      <c r="P24" s="139">
        <v>0</v>
      </c>
      <c r="Q24" s="139">
        <f t="shared" si="1"/>
        <v>0</v>
      </c>
      <c r="R24" s="143"/>
    </row>
    <row r="25" spans="1:18" ht="24.95" customHeight="1" x14ac:dyDescent="0.25">
      <c r="A25" s="211">
        <v>18</v>
      </c>
      <c r="B25" s="328">
        <v>45436</v>
      </c>
      <c r="C25" s="134" t="s">
        <v>5345</v>
      </c>
      <c r="D25" s="211" t="s">
        <v>5364</v>
      </c>
      <c r="E25" s="136" t="s">
        <v>1568</v>
      </c>
      <c r="F25" s="134"/>
      <c r="G25" s="134">
        <v>101</v>
      </c>
      <c r="H25" s="139">
        <f t="shared" ref="H25" si="6">G25*19830</f>
        <v>2002830</v>
      </c>
      <c r="I25" s="134"/>
      <c r="J25" s="139">
        <v>790000</v>
      </c>
      <c r="K25" s="139"/>
      <c r="L25" s="263"/>
      <c r="M25" s="139"/>
      <c r="N25" s="139"/>
      <c r="O25" s="139">
        <f t="shared" si="5"/>
        <v>2792830</v>
      </c>
      <c r="P25" s="139">
        <v>4300000</v>
      </c>
      <c r="Q25" s="139">
        <f t="shared" si="1"/>
        <v>1507170</v>
      </c>
      <c r="R25" s="143"/>
    </row>
    <row r="26" spans="1:18" ht="24.95" customHeight="1" x14ac:dyDescent="0.25">
      <c r="A26" s="211">
        <v>19</v>
      </c>
      <c r="B26" s="328">
        <v>45438</v>
      </c>
      <c r="C26" s="134" t="s">
        <v>1101</v>
      </c>
      <c r="D26" s="211" t="s">
        <v>5365</v>
      </c>
      <c r="E26" s="136" t="s">
        <v>25</v>
      </c>
      <c r="F26" s="134"/>
      <c r="G26" s="134">
        <v>180</v>
      </c>
      <c r="H26" s="139">
        <f t="shared" ref="H26:H28" si="7">G26*19830</f>
        <v>3569400</v>
      </c>
      <c r="I26" s="134"/>
      <c r="J26" s="139">
        <v>1530000</v>
      </c>
      <c r="K26" s="139"/>
      <c r="L26" s="263"/>
      <c r="M26" s="139"/>
      <c r="N26" s="139"/>
      <c r="O26" s="139">
        <f t="shared" si="5"/>
        <v>5099400</v>
      </c>
      <c r="P26" s="139">
        <v>8666667</v>
      </c>
      <c r="Q26" s="139">
        <f t="shared" si="1"/>
        <v>3567267</v>
      </c>
      <c r="R26" s="143"/>
    </row>
    <row r="27" spans="1:18" ht="24.95" customHeight="1" x14ac:dyDescent="0.25">
      <c r="A27" s="211">
        <v>20</v>
      </c>
      <c r="B27" s="328">
        <v>45438</v>
      </c>
      <c r="C27" s="134" t="s">
        <v>5346</v>
      </c>
      <c r="D27" s="211" t="s">
        <v>5366</v>
      </c>
      <c r="E27" s="136" t="s">
        <v>5371</v>
      </c>
      <c r="F27" s="134"/>
      <c r="G27" s="134">
        <v>152</v>
      </c>
      <c r="H27" s="139">
        <f t="shared" si="7"/>
        <v>3014160</v>
      </c>
      <c r="I27" s="134"/>
      <c r="J27" s="139">
        <v>1190000</v>
      </c>
      <c r="K27" s="139"/>
      <c r="L27" s="263"/>
      <c r="M27" s="139"/>
      <c r="N27" s="139"/>
      <c r="O27" s="139">
        <f t="shared" si="5"/>
        <v>4204160</v>
      </c>
      <c r="P27" s="139">
        <v>7150000</v>
      </c>
      <c r="Q27" s="139">
        <f t="shared" si="1"/>
        <v>2945840</v>
      </c>
      <c r="R27" s="143"/>
    </row>
    <row r="28" spans="1:18" ht="24.95" customHeight="1" x14ac:dyDescent="0.25">
      <c r="A28" s="211">
        <v>21</v>
      </c>
      <c r="B28" s="328">
        <v>45439</v>
      </c>
      <c r="C28" s="134" t="s">
        <v>4345</v>
      </c>
      <c r="D28" s="211" t="s">
        <v>4541</v>
      </c>
      <c r="E28" s="136" t="s">
        <v>5372</v>
      </c>
      <c r="F28" s="134"/>
      <c r="G28" s="134">
        <v>61</v>
      </c>
      <c r="H28" s="139">
        <f t="shared" si="7"/>
        <v>1209630</v>
      </c>
      <c r="I28" s="134"/>
      <c r="J28" s="139">
        <v>430000</v>
      </c>
      <c r="K28" s="139"/>
      <c r="L28" s="263"/>
      <c r="M28" s="139"/>
      <c r="N28" s="139"/>
      <c r="O28" s="139">
        <f t="shared" si="5"/>
        <v>1639630</v>
      </c>
      <c r="P28" s="139">
        <v>3090000</v>
      </c>
      <c r="Q28" s="139">
        <f t="shared" si="1"/>
        <v>1450370</v>
      </c>
      <c r="R28" s="143"/>
    </row>
    <row r="29" spans="1:18" ht="24.95" customHeight="1" x14ac:dyDescent="0.25">
      <c r="A29" s="211">
        <v>22</v>
      </c>
      <c r="B29" s="328">
        <v>45440</v>
      </c>
      <c r="C29" s="134" t="s">
        <v>5347</v>
      </c>
      <c r="D29" s="211" t="s">
        <v>5367</v>
      </c>
      <c r="E29" s="136" t="s">
        <v>4859</v>
      </c>
      <c r="F29" s="134"/>
      <c r="G29" s="134">
        <v>369</v>
      </c>
      <c r="H29" s="139">
        <f>G29*19740</f>
        <v>7284060</v>
      </c>
      <c r="I29" s="134"/>
      <c r="J29" s="139">
        <v>3815000</v>
      </c>
      <c r="K29" s="139"/>
      <c r="L29" s="263"/>
      <c r="M29" s="139"/>
      <c r="N29" s="139"/>
      <c r="O29" s="139">
        <f t="shared" si="5"/>
        <v>11099060</v>
      </c>
      <c r="P29" s="139">
        <v>20300000</v>
      </c>
      <c r="Q29" s="139">
        <f t="shared" si="1"/>
        <v>9200940</v>
      </c>
      <c r="R29" s="143"/>
    </row>
    <row r="30" spans="1:18" ht="24.95" customHeight="1" x14ac:dyDescent="0.25">
      <c r="A30" s="210"/>
      <c r="B30" s="381"/>
      <c r="C30" s="383"/>
      <c r="D30" s="384"/>
      <c r="E30" s="385"/>
      <c r="F30" s="198"/>
      <c r="G30" s="198"/>
      <c r="H30" s="142"/>
      <c r="I30" s="198"/>
      <c r="J30" s="142"/>
      <c r="K30" s="142"/>
      <c r="L30" s="386"/>
      <c r="M30" s="142"/>
      <c r="N30" s="142"/>
      <c r="O30" s="142"/>
      <c r="P30" s="142"/>
      <c r="Q30" s="142"/>
      <c r="R30" s="143"/>
    </row>
    <row r="31" spans="1:18" ht="24.95" customHeight="1" x14ac:dyDescent="0.25">
      <c r="A31" s="210"/>
      <c r="B31" s="381"/>
      <c r="C31" s="474" t="s">
        <v>26</v>
      </c>
      <c r="D31" s="475"/>
      <c r="E31" s="476"/>
      <c r="F31" s="376"/>
      <c r="G31" s="151"/>
      <c r="H31" s="377"/>
      <c r="I31" s="151"/>
      <c r="J31" s="377"/>
      <c r="K31" s="378">
        <v>1200000</v>
      </c>
      <c r="L31" s="378"/>
      <c r="M31" s="378"/>
      <c r="N31" s="378"/>
      <c r="O31" s="142">
        <f t="shared" si="5"/>
        <v>1200000</v>
      </c>
      <c r="P31" s="142"/>
      <c r="Q31" s="142"/>
      <c r="R31" s="143"/>
    </row>
    <row r="32" spans="1:18" ht="24.95" customHeight="1" x14ac:dyDescent="0.25">
      <c r="A32" s="211"/>
      <c r="B32" s="328"/>
      <c r="C32" s="452" t="s">
        <v>4798</v>
      </c>
      <c r="D32" s="453"/>
      <c r="E32" s="454"/>
      <c r="F32" s="196"/>
      <c r="G32" s="195"/>
      <c r="H32" s="155"/>
      <c r="I32" s="195"/>
      <c r="J32" s="155"/>
      <c r="K32" s="378">
        <v>16118280</v>
      </c>
      <c r="L32" s="378"/>
      <c r="M32" s="378"/>
      <c r="N32" s="378"/>
      <c r="O32" s="139">
        <f t="shared" si="5"/>
        <v>16118280</v>
      </c>
      <c r="P32" s="139"/>
      <c r="Q32" s="139"/>
      <c r="R32" s="143"/>
    </row>
    <row r="33" spans="1:19" ht="24.95" customHeight="1" x14ac:dyDescent="0.25">
      <c r="A33" s="211"/>
      <c r="B33" s="328"/>
      <c r="C33" s="452" t="s">
        <v>5552</v>
      </c>
      <c r="D33" s="453"/>
      <c r="E33" s="454"/>
      <c r="F33" s="196"/>
      <c r="G33" s="195"/>
      <c r="H33" s="155"/>
      <c r="I33" s="195"/>
      <c r="J33" s="155"/>
      <c r="K33" s="378"/>
      <c r="L33" s="378"/>
      <c r="M33" s="378"/>
      <c r="N33" s="378">
        <v>45000</v>
      </c>
      <c r="O33" s="139">
        <f t="shared" si="5"/>
        <v>45000</v>
      </c>
      <c r="P33" s="139"/>
      <c r="Q33" s="139"/>
      <c r="R33" s="143"/>
    </row>
    <row r="34" spans="1:19" ht="24.95" customHeight="1" x14ac:dyDescent="0.25">
      <c r="A34" s="211"/>
      <c r="B34" s="328"/>
      <c r="C34" s="452" t="s">
        <v>5553</v>
      </c>
      <c r="D34" s="453"/>
      <c r="E34" s="454"/>
      <c r="F34" s="196"/>
      <c r="G34" s="195"/>
      <c r="H34" s="155"/>
      <c r="I34" s="195"/>
      <c r="J34" s="155"/>
      <c r="K34" s="378"/>
      <c r="L34" s="378">
        <v>100000</v>
      </c>
      <c r="M34" s="378"/>
      <c r="N34" s="378"/>
      <c r="O34" s="139">
        <f t="shared" si="5"/>
        <v>100000</v>
      </c>
      <c r="P34" s="139"/>
      <c r="Q34" s="139"/>
      <c r="R34" s="143"/>
    </row>
    <row r="35" spans="1:19" ht="24.95" customHeight="1" x14ac:dyDescent="0.25">
      <c r="A35" s="211"/>
      <c r="B35" s="328"/>
      <c r="C35" s="452" t="s">
        <v>5554</v>
      </c>
      <c r="D35" s="453"/>
      <c r="E35" s="454"/>
      <c r="F35" s="196"/>
      <c r="G35" s="195"/>
      <c r="H35" s="155"/>
      <c r="I35" s="195"/>
      <c r="J35" s="155"/>
      <c r="K35" s="378"/>
      <c r="L35" s="378">
        <v>330000</v>
      </c>
      <c r="M35" s="378"/>
      <c r="N35" s="378"/>
      <c r="O35" s="139">
        <f t="shared" si="5"/>
        <v>330000</v>
      </c>
      <c r="P35" s="139"/>
      <c r="Q35" s="139"/>
      <c r="R35" s="143"/>
    </row>
    <row r="36" spans="1:19" ht="24.95" customHeight="1" x14ac:dyDescent="0.25">
      <c r="A36" s="211"/>
      <c r="B36" s="328"/>
      <c r="C36" s="452" t="s">
        <v>5555</v>
      </c>
      <c r="D36" s="453"/>
      <c r="E36" s="454"/>
      <c r="F36" s="196"/>
      <c r="G36" s="195"/>
      <c r="H36" s="155"/>
      <c r="I36" s="195"/>
      <c r="J36" s="155"/>
      <c r="K36" s="378"/>
      <c r="L36" s="378">
        <v>800000</v>
      </c>
      <c r="M36" s="378"/>
      <c r="N36" s="378"/>
      <c r="O36" s="139">
        <f t="shared" si="5"/>
        <v>800000</v>
      </c>
      <c r="P36" s="139"/>
      <c r="Q36" s="139"/>
      <c r="R36" s="143"/>
    </row>
    <row r="37" spans="1:19" ht="24.95" customHeight="1" x14ac:dyDescent="0.25">
      <c r="A37" s="211"/>
      <c r="B37" s="328"/>
      <c r="C37" s="452" t="s">
        <v>5557</v>
      </c>
      <c r="D37" s="453"/>
      <c r="E37" s="454"/>
      <c r="F37" s="196"/>
      <c r="G37" s="195"/>
      <c r="H37" s="155"/>
      <c r="I37" s="195"/>
      <c r="J37" s="155"/>
      <c r="K37" s="378"/>
      <c r="L37" s="378">
        <v>5280000</v>
      </c>
      <c r="M37" s="378"/>
      <c r="N37" s="378"/>
      <c r="O37" s="139">
        <f t="shared" si="5"/>
        <v>5280000</v>
      </c>
      <c r="P37" s="139"/>
      <c r="Q37" s="139"/>
      <c r="R37" s="143"/>
    </row>
    <row r="38" spans="1:19" ht="24.95" customHeight="1" x14ac:dyDescent="0.25">
      <c r="A38" s="211"/>
      <c r="B38" s="328"/>
      <c r="C38" s="452" t="s">
        <v>5558</v>
      </c>
      <c r="D38" s="453"/>
      <c r="E38" s="454"/>
      <c r="F38" s="196"/>
      <c r="G38" s="195"/>
      <c r="H38" s="155"/>
      <c r="I38" s="195"/>
      <c r="J38" s="155"/>
      <c r="K38" s="378"/>
      <c r="L38" s="378">
        <v>10105200</v>
      </c>
      <c r="M38" s="378"/>
      <c r="N38" s="378"/>
      <c r="O38" s="139">
        <f t="shared" si="5"/>
        <v>10105200</v>
      </c>
      <c r="P38" s="139"/>
      <c r="Q38" s="139"/>
      <c r="R38" s="143"/>
    </row>
    <row r="39" spans="1:19" ht="24.95" customHeight="1" x14ac:dyDescent="0.25">
      <c r="A39" s="211"/>
      <c r="B39" s="328"/>
      <c r="C39" s="452" t="s">
        <v>5566</v>
      </c>
      <c r="D39" s="453"/>
      <c r="E39" s="454"/>
      <c r="F39" s="196"/>
      <c r="G39" s="195"/>
      <c r="H39" s="155"/>
      <c r="I39" s="195"/>
      <c r="J39" s="155"/>
      <c r="K39" s="378"/>
      <c r="L39" s="378"/>
      <c r="M39" s="378">
        <v>9600000</v>
      </c>
      <c r="N39" s="378"/>
      <c r="O39" s="139">
        <f t="shared" si="5"/>
        <v>9600000</v>
      </c>
      <c r="P39" s="139"/>
      <c r="Q39" s="139"/>
      <c r="R39" s="143"/>
    </row>
    <row r="40" spans="1:19" ht="24.95" customHeight="1" x14ac:dyDescent="0.25">
      <c r="A40" s="211"/>
      <c r="B40" s="328"/>
      <c r="C40" s="452" t="s">
        <v>5567</v>
      </c>
      <c r="D40" s="453"/>
      <c r="E40" s="454"/>
      <c r="F40" s="196"/>
      <c r="G40" s="195"/>
      <c r="H40" s="155"/>
      <c r="I40" s="195"/>
      <c r="J40" s="155"/>
      <c r="K40" s="378"/>
      <c r="L40" s="378"/>
      <c r="M40" s="378">
        <v>8600000</v>
      </c>
      <c r="N40" s="378"/>
      <c r="O40" s="139">
        <f t="shared" si="5"/>
        <v>8600000</v>
      </c>
      <c r="P40" s="139"/>
      <c r="Q40" s="139"/>
      <c r="R40" s="143"/>
    </row>
    <row r="41" spans="1:19" ht="24.95" customHeight="1" x14ac:dyDescent="0.25">
      <c r="A41" s="211"/>
      <c r="B41" s="328"/>
      <c r="C41" s="452" t="s">
        <v>5571</v>
      </c>
      <c r="D41" s="453"/>
      <c r="E41" s="454"/>
      <c r="F41" s="196"/>
      <c r="G41" s="195"/>
      <c r="H41" s="155"/>
      <c r="I41" s="195"/>
      <c r="J41" s="155"/>
      <c r="K41" s="378"/>
      <c r="L41" s="378">
        <v>810000</v>
      </c>
      <c r="M41" s="378"/>
      <c r="N41" s="378"/>
      <c r="O41" s="139">
        <f t="shared" si="5"/>
        <v>810000</v>
      </c>
      <c r="P41" s="139"/>
      <c r="Q41" s="139"/>
      <c r="R41" s="143"/>
    </row>
    <row r="42" spans="1:19" ht="24.95" customHeight="1" x14ac:dyDescent="0.25">
      <c r="A42" s="211"/>
      <c r="B42" s="328"/>
      <c r="C42" s="452" t="s">
        <v>5572</v>
      </c>
      <c r="D42" s="453"/>
      <c r="E42" s="454"/>
      <c r="F42" s="196"/>
      <c r="G42" s="195"/>
      <c r="H42" s="155"/>
      <c r="I42" s="195"/>
      <c r="J42" s="155"/>
      <c r="K42" s="378"/>
      <c r="L42" s="378">
        <v>2268000</v>
      </c>
      <c r="M42" s="378"/>
      <c r="N42" s="378"/>
      <c r="O42" s="139">
        <f t="shared" si="5"/>
        <v>2268000</v>
      </c>
      <c r="P42" s="139"/>
      <c r="Q42" s="139"/>
      <c r="R42" s="143"/>
    </row>
    <row r="43" spans="1:19" ht="24.95" customHeight="1" x14ac:dyDescent="0.25">
      <c r="A43" s="211"/>
      <c r="B43" s="328"/>
      <c r="C43" s="452" t="s">
        <v>5573</v>
      </c>
      <c r="D43" s="453"/>
      <c r="E43" s="454"/>
      <c r="F43" s="196"/>
      <c r="G43" s="195"/>
      <c r="H43" s="155"/>
      <c r="I43" s="195"/>
      <c r="J43" s="155"/>
      <c r="K43" s="378"/>
      <c r="L43" s="378">
        <v>7560000</v>
      </c>
      <c r="M43" s="378"/>
      <c r="N43" s="378"/>
      <c r="O43" s="139">
        <f t="shared" si="5"/>
        <v>7560000</v>
      </c>
      <c r="P43" s="139"/>
      <c r="Q43" s="139"/>
      <c r="R43" s="143"/>
    </row>
    <row r="44" spans="1:19" ht="24.95" customHeight="1" x14ac:dyDescent="0.25">
      <c r="A44" s="379"/>
      <c r="B44" s="380"/>
      <c r="C44" s="471" t="s">
        <v>5609</v>
      </c>
      <c r="D44" s="472"/>
      <c r="E44" s="473"/>
      <c r="F44" s="152"/>
      <c r="G44" s="153"/>
      <c r="H44" s="156"/>
      <c r="I44" s="153"/>
      <c r="J44" s="156"/>
      <c r="K44" s="330">
        <v>8900000</v>
      </c>
      <c r="L44" s="288"/>
      <c r="M44" s="206"/>
      <c r="N44" s="206"/>
      <c r="O44" s="206">
        <f t="shared" si="5"/>
        <v>8900000</v>
      </c>
      <c r="P44" s="206"/>
      <c r="Q44" s="206"/>
      <c r="R44" s="143"/>
    </row>
    <row r="45" spans="1:19" ht="24.95" customHeight="1" x14ac:dyDescent="0.25">
      <c r="A45" s="426" t="s">
        <v>20</v>
      </c>
      <c r="B45" s="426"/>
      <c r="C45" s="426"/>
      <c r="D45" s="426"/>
      <c r="E45" s="426"/>
      <c r="F45" s="426"/>
      <c r="G45" s="161">
        <f t="shared" ref="G45:P45" si="8">SUM(G8:G44)</f>
        <v>4157</v>
      </c>
      <c r="H45" s="161">
        <f t="shared" si="8"/>
        <v>83025960</v>
      </c>
      <c r="I45" s="161">
        <f t="shared" si="8"/>
        <v>0</v>
      </c>
      <c r="J45" s="161">
        <f t="shared" si="8"/>
        <v>38495000</v>
      </c>
      <c r="K45" s="161">
        <f t="shared" si="8"/>
        <v>26218280</v>
      </c>
      <c r="L45" s="161">
        <f t="shared" si="8"/>
        <v>27253200</v>
      </c>
      <c r="M45" s="161">
        <f t="shared" si="8"/>
        <v>18200000</v>
      </c>
      <c r="N45" s="161">
        <f t="shared" si="8"/>
        <v>45000</v>
      </c>
      <c r="O45" s="161">
        <f t="shared" si="8"/>
        <v>193237440</v>
      </c>
      <c r="P45" s="161">
        <f t="shared" si="8"/>
        <v>214201482</v>
      </c>
      <c r="Q45" s="161">
        <f>P45-O45</f>
        <v>20964042</v>
      </c>
    </row>
    <row r="46" spans="1:19" ht="24.95" customHeight="1" x14ac:dyDescent="0.25">
      <c r="O46" s="158"/>
      <c r="Q46" s="158"/>
    </row>
    <row r="47" spans="1:19" ht="13.9" customHeight="1" x14ac:dyDescent="0.25">
      <c r="P47" s="216" t="s">
        <v>1603</v>
      </c>
      <c r="Q47" s="227">
        <f>'04.2024'!Q46+'05.2024'!Q45</f>
        <v>38952751</v>
      </c>
      <c r="S47" s="216"/>
    </row>
    <row r="48" spans="1:19" ht="13.9" customHeight="1" x14ac:dyDescent="0.25">
      <c r="B48" s="129"/>
      <c r="J48" s="128"/>
      <c r="K48" s="128"/>
      <c r="L48" s="128"/>
      <c r="N48" s="128"/>
      <c r="O48" s="128"/>
      <c r="P48" s="218"/>
      <c r="Q48" s="216"/>
    </row>
    <row r="49" spans="1:19" ht="13.9" customHeight="1" x14ac:dyDescent="0.25">
      <c r="B49" s="129"/>
      <c r="H49" s="128"/>
      <c r="J49" s="128"/>
      <c r="K49" s="128"/>
      <c r="L49" s="128"/>
      <c r="M49" s="128"/>
      <c r="N49" s="128"/>
      <c r="O49" s="128"/>
      <c r="P49" s="218"/>
      <c r="Q49" s="230"/>
    </row>
    <row r="50" spans="1:19" ht="13.9" customHeight="1" x14ac:dyDescent="0.25">
      <c r="B50" s="129"/>
      <c r="H50" s="128"/>
      <c r="J50" s="128"/>
      <c r="K50" s="128"/>
      <c r="L50" s="128"/>
      <c r="M50" s="128"/>
      <c r="N50" s="128"/>
      <c r="O50" s="128"/>
      <c r="P50" s="218"/>
      <c r="Q50" s="230"/>
    </row>
    <row r="51" spans="1:19" ht="13.9" customHeight="1" x14ac:dyDescent="0.25">
      <c r="B51" s="129"/>
      <c r="G51" s="143"/>
      <c r="H51" s="128"/>
      <c r="J51" s="128"/>
      <c r="K51" s="128"/>
      <c r="L51" s="128"/>
      <c r="M51" s="128"/>
      <c r="N51" s="128"/>
      <c r="O51" s="128"/>
      <c r="P51" s="218"/>
      <c r="Q51" s="230"/>
      <c r="R51" s="143"/>
    </row>
    <row r="52" spans="1:19" ht="13.9" customHeight="1" x14ac:dyDescent="0.25">
      <c r="B52" s="129"/>
      <c r="H52" s="128"/>
      <c r="J52" s="128"/>
      <c r="K52" s="128"/>
      <c r="L52" s="128"/>
      <c r="M52" s="128"/>
      <c r="N52" s="128"/>
      <c r="O52" s="128"/>
      <c r="P52" s="218"/>
      <c r="Q52" s="216"/>
      <c r="R52" s="143"/>
    </row>
    <row r="53" spans="1:19" x14ac:dyDescent="0.25">
      <c r="B53" s="129"/>
      <c r="H53" s="128"/>
      <c r="J53" s="128"/>
      <c r="K53" s="128"/>
      <c r="L53" s="128"/>
      <c r="M53" s="128"/>
      <c r="N53" s="128"/>
      <c r="O53" s="128"/>
      <c r="P53" s="218"/>
      <c r="Q53" s="216"/>
    </row>
    <row r="54" spans="1:19" x14ac:dyDescent="0.25">
      <c r="A54" s="128"/>
      <c r="B54" s="129"/>
      <c r="H54" s="128"/>
      <c r="J54" s="128"/>
      <c r="K54" s="128"/>
      <c r="L54" s="128"/>
      <c r="M54" s="128"/>
      <c r="N54" s="128"/>
      <c r="O54" s="128"/>
      <c r="P54" s="218"/>
      <c r="Q54" s="216"/>
    </row>
    <row r="55" spans="1:19" x14ac:dyDescent="0.25">
      <c r="A55" s="128"/>
      <c r="B55" s="129"/>
      <c r="H55" s="128"/>
      <c r="J55" s="128"/>
      <c r="K55" s="128"/>
      <c r="L55" s="128"/>
      <c r="M55" s="128"/>
      <c r="N55" s="128"/>
      <c r="O55" s="128"/>
      <c r="P55" s="218"/>
      <c r="Q55" s="216"/>
    </row>
    <row r="56" spans="1:19" x14ac:dyDescent="0.25">
      <c r="A56" s="128"/>
      <c r="B56" s="128"/>
      <c r="G56" s="143"/>
      <c r="J56" s="128"/>
      <c r="K56" s="128"/>
      <c r="L56" s="128"/>
      <c r="M56" s="128"/>
      <c r="N56" s="128"/>
      <c r="O56" s="128"/>
      <c r="P56" s="128"/>
      <c r="Q56" s="216"/>
    </row>
    <row r="57" spans="1:19" x14ac:dyDescent="0.25">
      <c r="A57" s="128"/>
      <c r="B57" s="128"/>
      <c r="H57" s="128"/>
      <c r="J57" s="128"/>
      <c r="K57" s="128"/>
      <c r="L57" s="128"/>
      <c r="M57" s="128"/>
      <c r="N57" s="128"/>
      <c r="O57" s="128"/>
      <c r="P57" s="128"/>
      <c r="Q57" s="216"/>
    </row>
    <row r="59" spans="1:19" s="143" customFormat="1" x14ac:dyDescent="0.25">
      <c r="A59" s="129"/>
      <c r="B59" s="163"/>
      <c r="C59" s="128"/>
      <c r="D59" s="128"/>
      <c r="E59" s="128"/>
      <c r="F59" s="128"/>
      <c r="I59" s="128"/>
      <c r="R59" s="128"/>
      <c r="S59" s="128"/>
    </row>
  </sheetData>
  <mergeCells count="28">
    <mergeCell ref="A1:Q1"/>
    <mergeCell ref="A2:Q2"/>
    <mergeCell ref="B3:Q3"/>
    <mergeCell ref="A5:A6"/>
    <mergeCell ref="B5:B6"/>
    <mergeCell ref="C5:C6"/>
    <mergeCell ref="D5:D6"/>
    <mergeCell ref="E5:E6"/>
    <mergeCell ref="F5:F6"/>
    <mergeCell ref="G5:N5"/>
    <mergeCell ref="C39:E39"/>
    <mergeCell ref="O5:O6"/>
    <mergeCell ref="P5:P6"/>
    <mergeCell ref="Q5:Q6"/>
    <mergeCell ref="C31:E31"/>
    <mergeCell ref="C32:E32"/>
    <mergeCell ref="C33:E33"/>
    <mergeCell ref="C34:E34"/>
    <mergeCell ref="C35:E35"/>
    <mergeCell ref="C36:E36"/>
    <mergeCell ref="C37:E37"/>
    <mergeCell ref="C38:E38"/>
    <mergeCell ref="A45:F45"/>
    <mergeCell ref="C40:E40"/>
    <mergeCell ref="C41:E41"/>
    <mergeCell ref="C42:E42"/>
    <mergeCell ref="C43:E43"/>
    <mergeCell ref="C44:E44"/>
  </mergeCells>
  <pageMargins left="0.7" right="0.7" top="0.75" bottom="0.75" header="0.3" footer="0.3"/>
  <pageSetup paperSize="9" orientation="portrait" horizontalDpi="0" verticalDpi="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BAD1-18B1-486F-86DA-75A5237F92F8}">
  <dimension ref="A1:S58"/>
  <sheetViews>
    <sheetView topLeftCell="A27" zoomScale="90" zoomScaleNormal="90" workbookViewId="0">
      <selection activeCell="L39" sqref="L39"/>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5406</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45443</v>
      </c>
      <c r="C8" s="134" t="s">
        <v>3101</v>
      </c>
      <c r="D8" s="211" t="s">
        <v>5382</v>
      </c>
      <c r="E8" s="136" t="s">
        <v>4509</v>
      </c>
      <c r="F8" s="134"/>
      <c r="G8" s="134">
        <v>381</v>
      </c>
      <c r="H8" s="139">
        <f>G8*19740</f>
        <v>7520940</v>
      </c>
      <c r="I8" s="134"/>
      <c r="J8" s="139">
        <v>3815000</v>
      </c>
      <c r="K8" s="139"/>
      <c r="L8" s="263"/>
      <c r="M8" s="139"/>
      <c r="N8" s="139"/>
      <c r="O8" s="139">
        <f>SUM(H8:N8)</f>
        <v>11335940</v>
      </c>
      <c r="P8" s="139">
        <v>20300000</v>
      </c>
      <c r="Q8" s="139">
        <f>P8-O8</f>
        <v>8964060</v>
      </c>
      <c r="R8" s="143"/>
    </row>
    <row r="9" spans="1:18" ht="24.95" customHeight="1" x14ac:dyDescent="0.25">
      <c r="A9" s="211">
        <v>2</v>
      </c>
      <c r="B9" s="328">
        <v>45444</v>
      </c>
      <c r="C9" s="134" t="s">
        <v>4377</v>
      </c>
      <c r="D9" s="211" t="s">
        <v>5607</v>
      </c>
      <c r="E9" s="136" t="s">
        <v>5606</v>
      </c>
      <c r="F9" s="134"/>
      <c r="G9" s="134">
        <v>79</v>
      </c>
      <c r="H9" s="139">
        <f>G9*19740</f>
        <v>1559460</v>
      </c>
      <c r="I9" s="134"/>
      <c r="J9" s="139">
        <v>790000</v>
      </c>
      <c r="K9" s="139"/>
      <c r="L9" s="263"/>
      <c r="M9" s="139"/>
      <c r="N9" s="139"/>
      <c r="O9" s="139">
        <f t="shared" ref="O9:O16" si="0">SUM(H9:N9)</f>
        <v>2349460</v>
      </c>
      <c r="P9" s="139">
        <v>3950000</v>
      </c>
      <c r="Q9" s="139">
        <f t="shared" ref="Q9:Q30" si="1">P9-O9</f>
        <v>1600540</v>
      </c>
      <c r="R9" s="143"/>
    </row>
    <row r="10" spans="1:18" ht="24.95" customHeight="1" x14ac:dyDescent="0.25">
      <c r="A10" s="211">
        <v>3</v>
      </c>
      <c r="B10" s="328">
        <v>45447</v>
      </c>
      <c r="C10" s="134" t="s">
        <v>5373</v>
      </c>
      <c r="D10" s="211" t="s">
        <v>5383</v>
      </c>
      <c r="E10" s="136" t="s">
        <v>4509</v>
      </c>
      <c r="F10" s="134"/>
      <c r="G10" s="134">
        <v>379</v>
      </c>
      <c r="H10" s="139">
        <f>G10*19420</f>
        <v>7360180</v>
      </c>
      <c r="I10" s="134"/>
      <c r="J10" s="139">
        <v>3868000</v>
      </c>
      <c r="K10" s="139"/>
      <c r="L10" s="263"/>
      <c r="M10" s="139"/>
      <c r="N10" s="139"/>
      <c r="O10" s="139">
        <f t="shared" si="0"/>
        <v>11228180</v>
      </c>
      <c r="P10" s="139">
        <v>20300000</v>
      </c>
      <c r="Q10" s="139">
        <f t="shared" si="1"/>
        <v>9071820</v>
      </c>
      <c r="R10" s="143"/>
    </row>
    <row r="11" spans="1:18" ht="24.95" customHeight="1" x14ac:dyDescent="0.25">
      <c r="A11" s="211">
        <v>4</v>
      </c>
      <c r="B11" s="328">
        <v>45449</v>
      </c>
      <c r="C11" s="134" t="s">
        <v>1776</v>
      </c>
      <c r="D11" s="211" t="s">
        <v>5384</v>
      </c>
      <c r="E11" s="136" t="s">
        <v>4509</v>
      </c>
      <c r="F11" s="134"/>
      <c r="G11" s="134">
        <v>378</v>
      </c>
      <c r="H11" s="139">
        <f t="shared" ref="H11:H12" si="2">G11*19420</f>
        <v>7340760</v>
      </c>
      <c r="I11" s="134"/>
      <c r="J11" s="139">
        <v>3419000</v>
      </c>
      <c r="K11" s="139"/>
      <c r="L11" s="263"/>
      <c r="M11" s="139"/>
      <c r="N11" s="139"/>
      <c r="O11" s="139">
        <f t="shared" si="0"/>
        <v>10759760</v>
      </c>
      <c r="P11" s="139">
        <v>20300000</v>
      </c>
      <c r="Q11" s="139">
        <f t="shared" si="1"/>
        <v>9540240</v>
      </c>
      <c r="R11" s="143"/>
    </row>
    <row r="12" spans="1:18" ht="24.95" customHeight="1" x14ac:dyDescent="0.25">
      <c r="A12" s="211">
        <v>5</v>
      </c>
      <c r="B12" s="328">
        <v>45451</v>
      </c>
      <c r="C12" s="134" t="s">
        <v>5374</v>
      </c>
      <c r="D12" s="211" t="s">
        <v>5385</v>
      </c>
      <c r="E12" s="136" t="s">
        <v>4509</v>
      </c>
      <c r="F12" s="134"/>
      <c r="G12" s="134">
        <v>391</v>
      </c>
      <c r="H12" s="139">
        <f t="shared" si="2"/>
        <v>7593220</v>
      </c>
      <c r="I12" s="134"/>
      <c r="J12" s="139">
        <v>3868000</v>
      </c>
      <c r="K12" s="139"/>
      <c r="L12" s="263"/>
      <c r="M12" s="139"/>
      <c r="N12" s="139"/>
      <c r="O12" s="139">
        <f t="shared" si="0"/>
        <v>11461220</v>
      </c>
      <c r="P12" s="139">
        <v>20670370</v>
      </c>
      <c r="Q12" s="139">
        <f t="shared" si="1"/>
        <v>9209150</v>
      </c>
      <c r="R12" s="143"/>
    </row>
    <row r="13" spans="1:18" ht="24.95" customHeight="1" x14ac:dyDescent="0.25">
      <c r="A13" s="211">
        <v>6</v>
      </c>
      <c r="B13" s="328">
        <v>45454</v>
      </c>
      <c r="C13" s="134" t="s">
        <v>2460</v>
      </c>
      <c r="D13" s="211" t="s">
        <v>5386</v>
      </c>
      <c r="E13" s="136" t="s">
        <v>21</v>
      </c>
      <c r="F13" s="134"/>
      <c r="G13" s="134">
        <v>79</v>
      </c>
      <c r="H13" s="139">
        <f>G13*19640</f>
        <v>1551560</v>
      </c>
      <c r="I13" s="134"/>
      <c r="J13" s="139">
        <v>730000</v>
      </c>
      <c r="K13" s="139"/>
      <c r="L13" s="263"/>
      <c r="M13" s="139"/>
      <c r="N13" s="139"/>
      <c r="O13" s="139">
        <f t="shared" si="0"/>
        <v>2281560</v>
      </c>
      <c r="P13" s="139">
        <v>3090000</v>
      </c>
      <c r="Q13" s="139">
        <f t="shared" si="1"/>
        <v>808440</v>
      </c>
      <c r="R13" s="143"/>
    </row>
    <row r="14" spans="1:18" ht="24.95" customHeight="1" x14ac:dyDescent="0.25">
      <c r="A14" s="211">
        <v>7</v>
      </c>
      <c r="B14" s="328">
        <v>45455</v>
      </c>
      <c r="C14" s="134" t="s">
        <v>5375</v>
      </c>
      <c r="D14" s="211" t="s">
        <v>5386</v>
      </c>
      <c r="E14" s="136" t="s">
        <v>5372</v>
      </c>
      <c r="F14" s="134"/>
      <c r="G14" s="134"/>
      <c r="H14" s="139">
        <f t="shared" ref="H14:H20" si="3">G14*19640</f>
        <v>0</v>
      </c>
      <c r="I14" s="134"/>
      <c r="K14" s="139"/>
      <c r="L14" s="263"/>
      <c r="M14" s="139"/>
      <c r="N14" s="139"/>
      <c r="O14" s="139">
        <f t="shared" si="0"/>
        <v>0</v>
      </c>
      <c r="P14" s="139">
        <v>1700000</v>
      </c>
      <c r="Q14" s="139">
        <f t="shared" si="1"/>
        <v>1700000</v>
      </c>
      <c r="R14" s="143"/>
    </row>
    <row r="15" spans="1:18" ht="24.95" customHeight="1" x14ac:dyDescent="0.25">
      <c r="A15" s="211">
        <v>8</v>
      </c>
      <c r="B15" s="328">
        <v>45455</v>
      </c>
      <c r="C15" s="134" t="s">
        <v>1785</v>
      </c>
      <c r="D15" s="211" t="s">
        <v>5387</v>
      </c>
      <c r="E15" s="136" t="s">
        <v>25</v>
      </c>
      <c r="F15" s="134"/>
      <c r="G15" s="134">
        <v>131</v>
      </c>
      <c r="H15" s="139">
        <f t="shared" si="3"/>
        <v>2572840</v>
      </c>
      <c r="I15" s="134"/>
      <c r="K15" s="139"/>
      <c r="L15" s="263"/>
      <c r="M15" s="139"/>
      <c r="N15" s="139"/>
      <c r="O15" s="139">
        <f t="shared" si="0"/>
        <v>2572840</v>
      </c>
      <c r="P15" s="139">
        <v>0</v>
      </c>
      <c r="Q15" s="139">
        <f t="shared" si="1"/>
        <v>-2572840</v>
      </c>
      <c r="R15" s="143"/>
    </row>
    <row r="16" spans="1:18" ht="24.95" customHeight="1" x14ac:dyDescent="0.25">
      <c r="A16" s="211">
        <v>9</v>
      </c>
      <c r="B16" s="328">
        <v>45456</v>
      </c>
      <c r="C16" s="134" t="s">
        <v>1128</v>
      </c>
      <c r="D16" s="211" t="s">
        <v>5388</v>
      </c>
      <c r="E16" s="136" t="s">
        <v>4450</v>
      </c>
      <c r="F16" s="134"/>
      <c r="G16" s="134">
        <v>54</v>
      </c>
      <c r="H16" s="139">
        <f t="shared" si="3"/>
        <v>1060560</v>
      </c>
      <c r="I16" s="134"/>
      <c r="J16" s="139">
        <v>340000</v>
      </c>
      <c r="K16" s="139"/>
      <c r="L16" s="263"/>
      <c r="M16" s="139"/>
      <c r="N16" s="139"/>
      <c r="O16" s="139">
        <f t="shared" si="0"/>
        <v>1400560</v>
      </c>
      <c r="P16" s="139">
        <v>2930000</v>
      </c>
      <c r="Q16" s="139">
        <f t="shared" si="1"/>
        <v>1529440</v>
      </c>
      <c r="R16" s="143"/>
    </row>
    <row r="17" spans="1:18" ht="24.95" customHeight="1" x14ac:dyDescent="0.25">
      <c r="A17" s="211">
        <v>10</v>
      </c>
      <c r="B17" s="328">
        <v>45457</v>
      </c>
      <c r="C17" s="134" t="s">
        <v>5376</v>
      </c>
      <c r="D17" s="211" t="s">
        <v>5389</v>
      </c>
      <c r="E17" s="136" t="s">
        <v>4509</v>
      </c>
      <c r="F17" s="134"/>
      <c r="G17" s="134">
        <v>385</v>
      </c>
      <c r="H17" s="139">
        <f t="shared" si="3"/>
        <v>7561400</v>
      </c>
      <c r="I17" s="134"/>
      <c r="J17" s="139">
        <v>3868000</v>
      </c>
      <c r="K17" s="139"/>
      <c r="L17" s="263"/>
      <c r="M17" s="139"/>
      <c r="N17" s="139"/>
      <c r="O17" s="139">
        <f>SUM(H17:N17)</f>
        <v>11429400</v>
      </c>
      <c r="P17" s="139">
        <v>20650000</v>
      </c>
      <c r="Q17" s="139">
        <f t="shared" si="1"/>
        <v>9220600</v>
      </c>
      <c r="R17" s="143"/>
    </row>
    <row r="18" spans="1:18" ht="24.95" customHeight="1" x14ac:dyDescent="0.25">
      <c r="A18" s="211">
        <v>11</v>
      </c>
      <c r="B18" s="328">
        <v>45460</v>
      </c>
      <c r="C18" s="134" t="s">
        <v>1132</v>
      </c>
      <c r="D18" s="211" t="s">
        <v>1330</v>
      </c>
      <c r="E18" s="136" t="s">
        <v>5073</v>
      </c>
      <c r="F18" s="134"/>
      <c r="G18" s="134">
        <v>43</v>
      </c>
      <c r="H18" s="139">
        <f>G18*19640</f>
        <v>844520</v>
      </c>
      <c r="I18" s="134"/>
      <c r="J18" s="139">
        <v>340000</v>
      </c>
      <c r="K18" s="139"/>
      <c r="L18" s="263"/>
      <c r="M18" s="139"/>
      <c r="N18" s="139"/>
      <c r="O18" s="139">
        <f>SUM(H18:N18)</f>
        <v>1184520</v>
      </c>
      <c r="P18" s="139">
        <v>2670000</v>
      </c>
      <c r="Q18" s="139">
        <f t="shared" si="1"/>
        <v>1485480</v>
      </c>
      <c r="R18" s="143"/>
    </row>
    <row r="19" spans="1:18" ht="24.95" customHeight="1" x14ac:dyDescent="0.25">
      <c r="A19" s="211">
        <v>12</v>
      </c>
      <c r="B19" s="328">
        <v>45460</v>
      </c>
      <c r="C19" s="134" t="s">
        <v>5377</v>
      </c>
      <c r="D19" s="211" t="s">
        <v>5390</v>
      </c>
      <c r="E19" s="136" t="s">
        <v>5401</v>
      </c>
      <c r="F19" s="134"/>
      <c r="G19" s="134">
        <v>45</v>
      </c>
      <c r="H19" s="139">
        <f t="shared" si="3"/>
        <v>883800</v>
      </c>
      <c r="I19" s="134"/>
      <c r="J19" s="139">
        <v>340000</v>
      </c>
      <c r="K19" s="139"/>
      <c r="L19" s="263"/>
      <c r="M19" s="139"/>
      <c r="N19" s="139"/>
      <c r="O19" s="139">
        <f>SUM(H19:N19)</f>
        <v>1223800</v>
      </c>
      <c r="P19" s="139">
        <v>2670000</v>
      </c>
      <c r="Q19" s="139">
        <f t="shared" si="1"/>
        <v>1446200</v>
      </c>
      <c r="R19" s="143"/>
    </row>
    <row r="20" spans="1:18" ht="24.95" customHeight="1" x14ac:dyDescent="0.25">
      <c r="A20" s="211">
        <v>13</v>
      </c>
      <c r="B20" s="328">
        <v>45461</v>
      </c>
      <c r="C20" s="134" t="s">
        <v>4906</v>
      </c>
      <c r="D20" s="211" t="s">
        <v>5391</v>
      </c>
      <c r="E20" s="136" t="s">
        <v>5402</v>
      </c>
      <c r="F20" s="134"/>
      <c r="G20" s="134">
        <v>254</v>
      </c>
      <c r="H20" s="139">
        <f t="shared" si="3"/>
        <v>4988560</v>
      </c>
      <c r="I20" s="134"/>
      <c r="J20" s="139">
        <v>2380000</v>
      </c>
      <c r="K20" s="139"/>
      <c r="L20" s="263"/>
      <c r="M20" s="139"/>
      <c r="N20" s="139"/>
      <c r="O20" s="139">
        <f t="shared" ref="O20:O43" si="4">SUM(H20:N20)</f>
        <v>7368560</v>
      </c>
      <c r="P20" s="139">
        <v>12777778</v>
      </c>
      <c r="Q20" s="139">
        <f t="shared" si="1"/>
        <v>5409218</v>
      </c>
      <c r="R20" s="143"/>
    </row>
    <row r="21" spans="1:18" ht="24.95" customHeight="1" x14ac:dyDescent="0.25">
      <c r="A21" s="211">
        <v>14</v>
      </c>
      <c r="B21" s="328">
        <v>45462</v>
      </c>
      <c r="C21" s="134" t="s">
        <v>2464</v>
      </c>
      <c r="D21" s="211" t="s">
        <v>5392</v>
      </c>
      <c r="E21" s="136" t="s">
        <v>5310</v>
      </c>
      <c r="F21" s="134"/>
      <c r="G21" s="134">
        <v>152</v>
      </c>
      <c r="H21" s="139">
        <f>G21*20360</f>
        <v>3094720</v>
      </c>
      <c r="I21" s="134"/>
      <c r="J21" s="139">
        <v>1190000</v>
      </c>
      <c r="K21" s="139"/>
      <c r="L21" s="263"/>
      <c r="M21" s="139"/>
      <c r="N21" s="139"/>
      <c r="O21" s="139">
        <f t="shared" si="4"/>
        <v>4284720</v>
      </c>
      <c r="P21" s="139">
        <v>7150000</v>
      </c>
      <c r="Q21" s="139">
        <f t="shared" si="1"/>
        <v>2865280</v>
      </c>
      <c r="R21" s="143"/>
    </row>
    <row r="22" spans="1:18" ht="24.95" customHeight="1" x14ac:dyDescent="0.25">
      <c r="A22" s="211">
        <v>15</v>
      </c>
      <c r="B22" s="328">
        <v>45463</v>
      </c>
      <c r="C22" s="134" t="s">
        <v>5378</v>
      </c>
      <c r="D22" s="211" t="s">
        <v>5393</v>
      </c>
      <c r="E22" s="136" t="s">
        <v>25</v>
      </c>
      <c r="F22" s="134"/>
      <c r="G22" s="134">
        <v>184</v>
      </c>
      <c r="H22" s="139">
        <f t="shared" ref="H22:H26" si="5">G22*20360</f>
        <v>3746240</v>
      </c>
      <c r="I22" s="134"/>
      <c r="J22" s="139">
        <v>1530000</v>
      </c>
      <c r="K22" s="139"/>
      <c r="L22" s="263"/>
      <c r="M22" s="139"/>
      <c r="N22" s="139"/>
      <c r="O22" s="139">
        <f t="shared" si="4"/>
        <v>5276240</v>
      </c>
      <c r="P22" s="139">
        <v>8666667</v>
      </c>
      <c r="Q22" s="139">
        <f t="shared" si="1"/>
        <v>3390427</v>
      </c>
      <c r="R22" s="143"/>
    </row>
    <row r="23" spans="1:18" ht="24.95" customHeight="1" x14ac:dyDescent="0.25">
      <c r="A23" s="211">
        <v>16</v>
      </c>
      <c r="B23" s="381">
        <v>45464</v>
      </c>
      <c r="C23" s="198" t="s">
        <v>2466</v>
      </c>
      <c r="D23" s="210" t="s">
        <v>5394</v>
      </c>
      <c r="E23" s="137" t="s">
        <v>4083</v>
      </c>
      <c r="F23" s="198"/>
      <c r="G23" s="198">
        <v>96</v>
      </c>
      <c r="H23" s="139">
        <f t="shared" si="5"/>
        <v>1954560</v>
      </c>
      <c r="I23" s="198"/>
      <c r="J23" s="139">
        <v>730000</v>
      </c>
      <c r="K23" s="142"/>
      <c r="L23" s="386"/>
      <c r="M23" s="142"/>
      <c r="N23" s="142"/>
      <c r="O23" s="139">
        <f t="shared" si="4"/>
        <v>2684560</v>
      </c>
      <c r="P23" s="142">
        <v>5500000</v>
      </c>
      <c r="Q23" s="139">
        <f t="shared" si="1"/>
        <v>2815440</v>
      </c>
      <c r="R23" s="143"/>
    </row>
    <row r="24" spans="1:18" ht="24.95" customHeight="1" x14ac:dyDescent="0.25">
      <c r="A24" s="211">
        <v>17</v>
      </c>
      <c r="B24" s="381">
        <v>45464</v>
      </c>
      <c r="C24" s="198" t="s">
        <v>5379</v>
      </c>
      <c r="D24" s="210" t="s">
        <v>5394</v>
      </c>
      <c r="E24" s="137" t="s">
        <v>5403</v>
      </c>
      <c r="F24" s="198"/>
      <c r="G24" s="198"/>
      <c r="H24" s="139">
        <f t="shared" si="5"/>
        <v>0</v>
      </c>
      <c r="I24" s="198"/>
      <c r="J24" s="139"/>
      <c r="K24" s="142"/>
      <c r="L24" s="386"/>
      <c r="M24" s="142"/>
      <c r="N24" s="142"/>
      <c r="O24" s="139">
        <f t="shared" si="4"/>
        <v>0</v>
      </c>
      <c r="P24" s="142">
        <v>0</v>
      </c>
      <c r="Q24" s="139">
        <f t="shared" si="1"/>
        <v>0</v>
      </c>
      <c r="R24" s="143"/>
    </row>
    <row r="25" spans="1:18" ht="24.95" customHeight="1" x14ac:dyDescent="0.25">
      <c r="A25" s="211">
        <v>18</v>
      </c>
      <c r="B25" s="381">
        <v>45466</v>
      </c>
      <c r="C25" s="198" t="s">
        <v>4910</v>
      </c>
      <c r="D25" s="210" t="s">
        <v>5395</v>
      </c>
      <c r="E25" s="137" t="s">
        <v>4544</v>
      </c>
      <c r="F25" s="198"/>
      <c r="G25" s="198">
        <v>273</v>
      </c>
      <c r="H25" s="139">
        <f t="shared" si="5"/>
        <v>5558280</v>
      </c>
      <c r="I25" s="198"/>
      <c r="J25" s="139">
        <v>3032000</v>
      </c>
      <c r="K25" s="142"/>
      <c r="L25" s="386"/>
      <c r="M25" s="142"/>
      <c r="N25" s="142"/>
      <c r="O25" s="139">
        <f t="shared" si="4"/>
        <v>8590280</v>
      </c>
      <c r="P25" s="142">
        <v>14027778</v>
      </c>
      <c r="Q25" s="139">
        <f t="shared" si="1"/>
        <v>5437498</v>
      </c>
      <c r="R25" s="143"/>
    </row>
    <row r="26" spans="1:18" ht="24.95" customHeight="1" x14ac:dyDescent="0.25">
      <c r="A26" s="211">
        <v>19</v>
      </c>
      <c r="B26" s="381">
        <v>45467</v>
      </c>
      <c r="C26" s="198" t="s">
        <v>5380</v>
      </c>
      <c r="D26" s="210" t="s">
        <v>5396</v>
      </c>
      <c r="E26" s="137" t="s">
        <v>5404</v>
      </c>
      <c r="F26" s="198"/>
      <c r="G26" s="198">
        <v>119</v>
      </c>
      <c r="H26" s="139">
        <f t="shared" si="5"/>
        <v>2422840</v>
      </c>
      <c r="I26" s="198"/>
      <c r="J26" s="139">
        <v>830000</v>
      </c>
      <c r="K26" s="142"/>
      <c r="L26" s="386"/>
      <c r="M26" s="142"/>
      <c r="N26" s="142"/>
      <c r="O26" s="139">
        <f t="shared" si="4"/>
        <v>3252840</v>
      </c>
      <c r="P26" s="142">
        <v>6100000</v>
      </c>
      <c r="Q26" s="139">
        <f t="shared" si="1"/>
        <v>2847160</v>
      </c>
      <c r="R26" s="143"/>
    </row>
    <row r="27" spans="1:18" ht="24.95" customHeight="1" x14ac:dyDescent="0.25">
      <c r="A27" s="211">
        <v>20</v>
      </c>
      <c r="B27" s="381">
        <v>45468</v>
      </c>
      <c r="C27" s="198" t="s">
        <v>5381</v>
      </c>
      <c r="D27" s="210" t="s">
        <v>5397</v>
      </c>
      <c r="E27" s="137" t="s">
        <v>5283</v>
      </c>
      <c r="F27" s="198"/>
      <c r="G27" s="198">
        <v>147</v>
      </c>
      <c r="H27" s="139">
        <f>G27*20360</f>
        <v>2992920</v>
      </c>
      <c r="I27" s="198"/>
      <c r="J27" s="139">
        <v>830000</v>
      </c>
      <c r="K27" s="142"/>
      <c r="L27" s="386"/>
      <c r="M27" s="142"/>
      <c r="N27" s="142"/>
      <c r="O27" s="139">
        <f t="shared" si="4"/>
        <v>3822920</v>
      </c>
      <c r="P27" s="142">
        <v>6200000</v>
      </c>
      <c r="Q27" s="139">
        <f t="shared" si="1"/>
        <v>2377080</v>
      </c>
      <c r="R27" s="143"/>
    </row>
    <row r="28" spans="1:18" ht="24.95" customHeight="1" x14ac:dyDescent="0.25">
      <c r="A28" s="211">
        <v>21</v>
      </c>
      <c r="B28" s="381">
        <v>45469</v>
      </c>
      <c r="C28" s="198" t="s">
        <v>3754</v>
      </c>
      <c r="D28" s="210" t="s">
        <v>5398</v>
      </c>
      <c r="E28" s="137" t="s">
        <v>5405</v>
      </c>
      <c r="F28" s="198"/>
      <c r="G28" s="198">
        <v>157</v>
      </c>
      <c r="H28" s="142">
        <f>G28*20680</f>
        <v>3246760</v>
      </c>
      <c r="I28" s="198"/>
      <c r="J28" s="139">
        <v>1190000</v>
      </c>
      <c r="K28" s="142"/>
      <c r="L28" s="386"/>
      <c r="M28" s="142"/>
      <c r="N28" s="142"/>
      <c r="O28" s="139">
        <f t="shared" si="4"/>
        <v>4436760</v>
      </c>
      <c r="P28" s="142">
        <v>7150000</v>
      </c>
      <c r="Q28" s="139">
        <f t="shared" si="1"/>
        <v>2713240</v>
      </c>
      <c r="R28" s="143"/>
    </row>
    <row r="29" spans="1:18" ht="24.95" customHeight="1" x14ac:dyDescent="0.25">
      <c r="A29" s="211">
        <v>22</v>
      </c>
      <c r="B29" s="381">
        <v>45470</v>
      </c>
      <c r="C29" s="198" t="s">
        <v>3755</v>
      </c>
      <c r="D29" s="210" t="s">
        <v>5399</v>
      </c>
      <c r="E29" s="137" t="s">
        <v>25</v>
      </c>
      <c r="F29" s="198"/>
      <c r="G29" s="198">
        <v>180</v>
      </c>
      <c r="H29" s="142">
        <f t="shared" ref="H29:H30" si="6">G29*20680</f>
        <v>3722400</v>
      </c>
      <c r="I29" s="198"/>
      <c r="J29" s="142">
        <v>1530000</v>
      </c>
      <c r="K29" s="142"/>
      <c r="L29" s="386"/>
      <c r="M29" s="142"/>
      <c r="N29" s="142"/>
      <c r="O29" s="139">
        <f t="shared" si="4"/>
        <v>5252400</v>
      </c>
      <c r="P29" s="142">
        <v>8666667</v>
      </c>
      <c r="Q29" s="139">
        <f t="shared" si="1"/>
        <v>3414267</v>
      </c>
      <c r="R29" s="143"/>
    </row>
    <row r="30" spans="1:18" ht="24.95" customHeight="1" x14ac:dyDescent="0.25">
      <c r="A30" s="210"/>
      <c r="B30" s="381">
        <v>45471</v>
      </c>
      <c r="C30" s="383" t="s">
        <v>1140</v>
      </c>
      <c r="D30" s="384" t="s">
        <v>5400</v>
      </c>
      <c r="E30" s="385" t="s">
        <v>4544</v>
      </c>
      <c r="F30" s="198"/>
      <c r="G30" s="198">
        <v>272</v>
      </c>
      <c r="H30" s="142">
        <f t="shared" si="6"/>
        <v>5624960</v>
      </c>
      <c r="I30" s="198"/>
      <c r="J30" s="142">
        <v>3032000</v>
      </c>
      <c r="K30" s="142"/>
      <c r="L30" s="386"/>
      <c r="M30" s="142"/>
      <c r="N30" s="142"/>
      <c r="O30" s="139">
        <f t="shared" si="4"/>
        <v>8656960</v>
      </c>
      <c r="P30" s="142">
        <v>14027778</v>
      </c>
      <c r="Q30" s="139">
        <f t="shared" si="1"/>
        <v>5370818</v>
      </c>
      <c r="R30" s="143"/>
    </row>
    <row r="31" spans="1:18" ht="24.95" customHeight="1" x14ac:dyDescent="0.25">
      <c r="A31" s="210"/>
      <c r="B31" s="381"/>
      <c r="C31" s="383"/>
      <c r="D31" s="384"/>
      <c r="E31" s="385"/>
      <c r="F31" s="198"/>
      <c r="G31" s="198"/>
      <c r="H31" s="142"/>
      <c r="I31" s="198"/>
      <c r="J31" s="142"/>
      <c r="K31" s="142"/>
      <c r="L31" s="386"/>
      <c r="M31" s="142"/>
      <c r="N31" s="142"/>
      <c r="O31" s="142"/>
      <c r="P31" s="142"/>
      <c r="Q31" s="142"/>
      <c r="R31" s="143"/>
    </row>
    <row r="32" spans="1:18" ht="24.95" customHeight="1" x14ac:dyDescent="0.25">
      <c r="A32" s="210"/>
      <c r="B32" s="381"/>
      <c r="C32" s="474" t="s">
        <v>26</v>
      </c>
      <c r="D32" s="475"/>
      <c r="E32" s="476"/>
      <c r="F32" s="376"/>
      <c r="G32" s="151"/>
      <c r="H32" s="377"/>
      <c r="I32" s="151"/>
      <c r="J32" s="377"/>
      <c r="K32" s="378">
        <v>1200000</v>
      </c>
      <c r="L32" s="378"/>
      <c r="M32" s="378"/>
      <c r="N32" s="378"/>
      <c r="O32" s="142">
        <f t="shared" si="4"/>
        <v>1200000</v>
      </c>
      <c r="P32" s="142"/>
      <c r="Q32" s="142"/>
      <c r="R32" s="143"/>
    </row>
    <row r="33" spans="1:19" ht="24.95" customHeight="1" x14ac:dyDescent="0.25">
      <c r="A33" s="211"/>
      <c r="B33" s="328"/>
      <c r="C33" s="452" t="s">
        <v>4798</v>
      </c>
      <c r="D33" s="453"/>
      <c r="E33" s="454"/>
      <c r="F33" s="196"/>
      <c r="G33" s="195"/>
      <c r="H33" s="155"/>
      <c r="I33" s="195"/>
      <c r="J33" s="155"/>
      <c r="K33" s="378">
        <v>16408080</v>
      </c>
      <c r="L33" s="378"/>
      <c r="M33" s="378"/>
      <c r="N33" s="378"/>
      <c r="O33" s="139">
        <f t="shared" si="4"/>
        <v>16408080</v>
      </c>
      <c r="P33" s="139"/>
      <c r="Q33" s="139"/>
      <c r="R33" s="143"/>
    </row>
    <row r="34" spans="1:19" ht="24.95" customHeight="1" x14ac:dyDescent="0.25">
      <c r="A34" s="211"/>
      <c r="B34" s="328"/>
      <c r="C34" s="452" t="s">
        <v>5556</v>
      </c>
      <c r="D34" s="453"/>
      <c r="E34" s="454"/>
      <c r="F34" s="196"/>
      <c r="G34" s="195"/>
      <c r="H34" s="155"/>
      <c r="I34" s="195"/>
      <c r="J34" s="155"/>
      <c r="K34" s="378">
        <v>880000</v>
      </c>
      <c r="L34" s="378"/>
      <c r="M34" s="378"/>
      <c r="N34" s="378"/>
      <c r="O34" s="139">
        <f t="shared" si="4"/>
        <v>880000</v>
      </c>
      <c r="P34" s="139"/>
      <c r="Q34" s="139"/>
      <c r="R34" s="143"/>
    </row>
    <row r="35" spans="1:19" ht="24.95" customHeight="1" x14ac:dyDescent="0.25">
      <c r="A35" s="211"/>
      <c r="B35" s="328"/>
      <c r="C35" s="452" t="s">
        <v>5560</v>
      </c>
      <c r="D35" s="453"/>
      <c r="E35" s="454"/>
      <c r="F35" s="196"/>
      <c r="G35" s="195"/>
      <c r="H35" s="155"/>
      <c r="I35" s="195"/>
      <c r="J35" s="155"/>
      <c r="K35" s="378"/>
      <c r="L35" s="378">
        <v>500000</v>
      </c>
      <c r="M35" s="378"/>
      <c r="N35" s="378"/>
      <c r="O35" s="139">
        <f t="shared" si="4"/>
        <v>500000</v>
      </c>
      <c r="P35" s="139"/>
      <c r="Q35" s="139"/>
      <c r="R35" s="143"/>
    </row>
    <row r="36" spans="1:19" ht="24.95" customHeight="1" x14ac:dyDescent="0.25">
      <c r="A36" s="211"/>
      <c r="B36" s="328"/>
      <c r="C36" s="452" t="s">
        <v>5562</v>
      </c>
      <c r="D36" s="453"/>
      <c r="E36" s="454"/>
      <c r="F36" s="196"/>
      <c r="G36" s="195"/>
      <c r="H36" s="155"/>
      <c r="I36" s="195"/>
      <c r="J36" s="155"/>
      <c r="K36" s="378"/>
      <c r="L36" s="378">
        <v>100000</v>
      </c>
      <c r="M36" s="378"/>
      <c r="N36" s="378"/>
      <c r="O36" s="139">
        <f t="shared" si="4"/>
        <v>100000</v>
      </c>
      <c r="P36" s="139"/>
      <c r="Q36" s="139"/>
      <c r="R36" s="143"/>
    </row>
    <row r="37" spans="1:19" ht="24.95" customHeight="1" x14ac:dyDescent="0.25">
      <c r="A37" s="211"/>
      <c r="B37" s="328"/>
      <c r="C37" s="452" t="s">
        <v>5564</v>
      </c>
      <c r="D37" s="453"/>
      <c r="E37" s="454"/>
      <c r="F37" s="196"/>
      <c r="G37" s="195"/>
      <c r="H37" s="155"/>
      <c r="I37" s="195"/>
      <c r="J37" s="155"/>
      <c r="K37" s="378"/>
      <c r="L37" s="378">
        <v>1400000</v>
      </c>
      <c r="M37" s="378"/>
      <c r="N37" s="378"/>
      <c r="O37" s="139">
        <f t="shared" si="4"/>
        <v>1400000</v>
      </c>
      <c r="P37" s="139"/>
      <c r="Q37" s="139"/>
      <c r="R37" s="143"/>
    </row>
    <row r="38" spans="1:19" ht="24.95" customHeight="1" x14ac:dyDescent="0.25">
      <c r="A38" s="211"/>
      <c r="B38" s="328"/>
      <c r="C38" s="452" t="s">
        <v>5568</v>
      </c>
      <c r="D38" s="453"/>
      <c r="E38" s="454"/>
      <c r="F38" s="196"/>
      <c r="G38" s="195"/>
      <c r="H38" s="155"/>
      <c r="I38" s="195"/>
      <c r="J38" s="155"/>
      <c r="K38" s="378"/>
      <c r="L38" s="378">
        <v>1690200</v>
      </c>
      <c r="M38" s="378"/>
      <c r="N38" s="378"/>
      <c r="O38" s="139">
        <f t="shared" si="4"/>
        <v>1690200</v>
      </c>
      <c r="P38" s="139"/>
      <c r="Q38" s="139"/>
      <c r="R38" s="143"/>
    </row>
    <row r="39" spans="1:19" ht="24.95" customHeight="1" x14ac:dyDescent="0.25">
      <c r="A39" s="211"/>
      <c r="B39" s="328"/>
      <c r="C39" s="452" t="s">
        <v>5560</v>
      </c>
      <c r="D39" s="453"/>
      <c r="E39" s="454"/>
      <c r="F39" s="196"/>
      <c r="G39" s="195"/>
      <c r="H39" s="155"/>
      <c r="I39" s="195"/>
      <c r="J39" s="155"/>
      <c r="K39" s="378"/>
      <c r="L39" s="378">
        <v>500000</v>
      </c>
      <c r="M39" s="378"/>
      <c r="N39" s="378"/>
      <c r="O39" s="139">
        <f t="shared" si="4"/>
        <v>500000</v>
      </c>
      <c r="P39" s="139"/>
      <c r="Q39" s="139"/>
      <c r="R39" s="143"/>
    </row>
    <row r="40" spans="1:19" ht="24.95" customHeight="1" x14ac:dyDescent="0.25">
      <c r="A40" s="211"/>
      <c r="B40" s="328"/>
      <c r="C40" s="452" t="s">
        <v>5562</v>
      </c>
      <c r="D40" s="453"/>
      <c r="E40" s="454"/>
      <c r="F40" s="196"/>
      <c r="G40" s="195"/>
      <c r="H40" s="155"/>
      <c r="I40" s="195"/>
      <c r="J40" s="155"/>
      <c r="K40" s="378"/>
      <c r="L40" s="378">
        <v>100000</v>
      </c>
      <c r="M40" s="378"/>
      <c r="N40" s="378"/>
      <c r="O40" s="139">
        <f t="shared" si="4"/>
        <v>100000</v>
      </c>
      <c r="P40" s="139"/>
      <c r="Q40" s="139"/>
      <c r="R40" s="143"/>
    </row>
    <row r="41" spans="1:19" ht="24.95" customHeight="1" x14ac:dyDescent="0.25">
      <c r="A41" s="211"/>
      <c r="B41" s="328"/>
      <c r="C41" s="452" t="s">
        <v>5577</v>
      </c>
      <c r="D41" s="453"/>
      <c r="E41" s="454"/>
      <c r="F41" s="196"/>
      <c r="G41" s="195"/>
      <c r="H41" s="155"/>
      <c r="I41" s="195"/>
      <c r="J41" s="155"/>
      <c r="K41" s="378"/>
      <c r="L41" s="378">
        <v>2200000</v>
      </c>
      <c r="M41" s="378"/>
      <c r="N41" s="378"/>
      <c r="O41" s="139">
        <f t="shared" si="4"/>
        <v>2200000</v>
      </c>
      <c r="P41" s="139"/>
      <c r="Q41" s="139"/>
      <c r="R41" s="143"/>
    </row>
    <row r="42" spans="1:19" ht="24.95" customHeight="1" x14ac:dyDescent="0.25">
      <c r="A42" s="211"/>
      <c r="B42" s="328"/>
      <c r="C42" s="452" t="s">
        <v>5578</v>
      </c>
      <c r="D42" s="453"/>
      <c r="E42" s="454"/>
      <c r="F42" s="196"/>
      <c r="G42" s="195"/>
      <c r="H42" s="155"/>
      <c r="I42" s="195"/>
      <c r="J42" s="155"/>
      <c r="K42" s="378"/>
      <c r="L42" s="378">
        <v>1400000</v>
      </c>
      <c r="M42" s="378"/>
      <c r="N42" s="378"/>
      <c r="O42" s="139">
        <f t="shared" si="4"/>
        <v>1400000</v>
      </c>
      <c r="P42" s="139"/>
      <c r="Q42" s="139"/>
      <c r="R42" s="143"/>
    </row>
    <row r="43" spans="1:19" ht="24.95" customHeight="1" x14ac:dyDescent="0.25">
      <c r="A43" s="379"/>
      <c r="B43" s="380"/>
      <c r="C43" s="471" t="s">
        <v>4626</v>
      </c>
      <c r="D43" s="472"/>
      <c r="E43" s="473"/>
      <c r="F43" s="152"/>
      <c r="G43" s="153"/>
      <c r="H43" s="156"/>
      <c r="I43" s="153"/>
      <c r="J43" s="156"/>
      <c r="K43" s="288">
        <v>770000</v>
      </c>
      <c r="L43" s="288"/>
      <c r="M43" s="206"/>
      <c r="N43" s="206"/>
      <c r="O43" s="206">
        <f t="shared" si="4"/>
        <v>770000</v>
      </c>
      <c r="P43" s="206"/>
      <c r="Q43" s="206"/>
      <c r="R43" s="143"/>
    </row>
    <row r="44" spans="1:19" ht="24.95" customHeight="1" x14ac:dyDescent="0.25">
      <c r="A44" s="426" t="s">
        <v>20</v>
      </c>
      <c r="B44" s="426"/>
      <c r="C44" s="426"/>
      <c r="D44" s="426"/>
      <c r="E44" s="426"/>
      <c r="F44" s="426"/>
      <c r="G44" s="161">
        <f t="shared" ref="G44:P44" si="7">SUM(G8:G43)</f>
        <v>4179</v>
      </c>
      <c r="H44" s="161">
        <f t="shared" si="7"/>
        <v>83201480</v>
      </c>
      <c r="I44" s="161">
        <f t="shared" si="7"/>
        <v>0</v>
      </c>
      <c r="J44" s="161">
        <f t="shared" si="7"/>
        <v>37652000</v>
      </c>
      <c r="K44" s="161">
        <f t="shared" si="7"/>
        <v>19258080</v>
      </c>
      <c r="L44" s="161">
        <f t="shared" si="7"/>
        <v>7890200</v>
      </c>
      <c r="M44" s="161">
        <f t="shared" si="7"/>
        <v>0</v>
      </c>
      <c r="N44" s="161">
        <f t="shared" si="7"/>
        <v>0</v>
      </c>
      <c r="O44" s="161">
        <f t="shared" si="7"/>
        <v>148001760</v>
      </c>
      <c r="P44" s="161">
        <f t="shared" si="7"/>
        <v>209497038</v>
      </c>
      <c r="Q44" s="161">
        <f>P44-O44</f>
        <v>61495278</v>
      </c>
    </row>
    <row r="45" spans="1:19" ht="24.95" customHeight="1" x14ac:dyDescent="0.25">
      <c r="O45" s="158"/>
      <c r="Q45" s="158"/>
    </row>
    <row r="46" spans="1:19" ht="13.9" customHeight="1" x14ac:dyDescent="0.25">
      <c r="P46" s="216" t="s">
        <v>1603</v>
      </c>
      <c r="Q46" s="227">
        <f>'05.2024'!Q47+'06.2024'!Q44</f>
        <v>100448029</v>
      </c>
      <c r="S46" s="216"/>
    </row>
    <row r="47" spans="1:19" ht="13.9" customHeight="1" x14ac:dyDescent="0.25">
      <c r="B47" s="129"/>
      <c r="J47" s="128"/>
      <c r="K47" s="128"/>
      <c r="L47" s="128"/>
      <c r="N47" s="128"/>
      <c r="O47" s="128"/>
      <c r="P47" s="218"/>
      <c r="Q47" s="216"/>
    </row>
    <row r="48" spans="1:19" ht="13.9" customHeight="1" x14ac:dyDescent="0.25">
      <c r="B48" s="129"/>
      <c r="H48" s="128"/>
      <c r="J48" s="128"/>
      <c r="K48" s="128"/>
      <c r="L48" s="128"/>
      <c r="M48" s="128"/>
      <c r="N48" s="128"/>
      <c r="O48" s="128"/>
      <c r="P48" s="218"/>
      <c r="Q48" s="230"/>
    </row>
    <row r="49" spans="1:19" ht="13.9" customHeight="1" x14ac:dyDescent="0.25">
      <c r="B49" s="129"/>
      <c r="H49" s="128"/>
      <c r="J49" s="128"/>
      <c r="K49" s="128"/>
      <c r="L49" s="128"/>
      <c r="M49" s="128"/>
      <c r="N49" s="128"/>
      <c r="O49" s="128"/>
      <c r="P49" s="218"/>
      <c r="Q49" s="230"/>
    </row>
    <row r="50" spans="1:19" ht="13.9" customHeight="1" x14ac:dyDescent="0.25">
      <c r="B50" s="129"/>
      <c r="G50" s="143"/>
      <c r="H50" s="128"/>
      <c r="J50" s="128"/>
      <c r="K50" s="128"/>
      <c r="L50" s="128"/>
      <c r="M50" s="128"/>
      <c r="N50" s="128"/>
      <c r="O50" s="128"/>
      <c r="P50" s="218"/>
      <c r="Q50" s="230"/>
      <c r="R50" s="143"/>
    </row>
    <row r="51" spans="1:19" ht="13.9" customHeight="1" x14ac:dyDescent="0.25">
      <c r="B51" s="129"/>
      <c r="H51" s="128"/>
      <c r="J51" s="128"/>
      <c r="K51" s="128"/>
      <c r="L51" s="128"/>
      <c r="M51" s="128"/>
      <c r="N51" s="128"/>
      <c r="O51" s="128"/>
      <c r="P51" s="218"/>
      <c r="Q51" s="216"/>
      <c r="R51" s="143"/>
    </row>
    <row r="52" spans="1:19" x14ac:dyDescent="0.25">
      <c r="B52" s="129"/>
      <c r="H52" s="128"/>
      <c r="J52" s="128"/>
      <c r="K52" s="128"/>
      <c r="L52" s="128"/>
      <c r="M52" s="128"/>
      <c r="N52" s="128"/>
      <c r="O52" s="128"/>
      <c r="P52" s="218"/>
      <c r="Q52" s="216"/>
    </row>
    <row r="53" spans="1:19" x14ac:dyDescent="0.25">
      <c r="A53" s="128"/>
      <c r="B53" s="129"/>
      <c r="H53" s="128"/>
      <c r="J53" s="128"/>
      <c r="K53" s="128"/>
      <c r="L53" s="128"/>
      <c r="M53" s="128"/>
      <c r="N53" s="128"/>
      <c r="O53" s="128"/>
      <c r="P53" s="218"/>
      <c r="Q53" s="216"/>
    </row>
    <row r="54" spans="1:19" x14ac:dyDescent="0.25">
      <c r="A54" s="128"/>
      <c r="B54" s="129"/>
      <c r="H54" s="128"/>
      <c r="J54" s="128"/>
      <c r="K54" s="128"/>
      <c r="L54" s="128"/>
      <c r="M54" s="128"/>
      <c r="N54" s="128"/>
      <c r="O54" s="128"/>
      <c r="P54" s="218"/>
      <c r="Q54" s="216"/>
    </row>
    <row r="55" spans="1:19" x14ac:dyDescent="0.25">
      <c r="A55" s="128"/>
      <c r="B55" s="128"/>
      <c r="G55" s="143"/>
      <c r="J55" s="128"/>
      <c r="K55" s="128"/>
      <c r="L55" s="128"/>
      <c r="M55" s="128"/>
      <c r="N55" s="128"/>
      <c r="O55" s="128"/>
      <c r="P55" s="128"/>
      <c r="Q55" s="216"/>
    </row>
    <row r="56" spans="1:19" x14ac:dyDescent="0.25">
      <c r="A56" s="128"/>
      <c r="B56" s="128"/>
      <c r="H56" s="128"/>
      <c r="J56" s="128"/>
      <c r="K56" s="128"/>
      <c r="L56" s="128"/>
      <c r="M56" s="128"/>
      <c r="N56" s="128"/>
      <c r="O56" s="128"/>
      <c r="P56" s="128"/>
      <c r="Q56" s="216"/>
    </row>
    <row r="58" spans="1:19" s="143" customFormat="1" x14ac:dyDescent="0.25">
      <c r="A58" s="129"/>
      <c r="B58" s="163"/>
      <c r="C58" s="128"/>
      <c r="D58" s="128"/>
      <c r="E58" s="128"/>
      <c r="F58" s="128"/>
      <c r="I58" s="128"/>
      <c r="R58" s="128"/>
      <c r="S58" s="128"/>
    </row>
  </sheetData>
  <mergeCells count="26">
    <mergeCell ref="C39:E39"/>
    <mergeCell ref="A1:Q1"/>
    <mergeCell ref="A2:Q2"/>
    <mergeCell ref="B3:Q3"/>
    <mergeCell ref="A5:A6"/>
    <mergeCell ref="B5:B6"/>
    <mergeCell ref="C5:C6"/>
    <mergeCell ref="D5:D6"/>
    <mergeCell ref="E5:E6"/>
    <mergeCell ref="F5:F6"/>
    <mergeCell ref="G5:N5"/>
    <mergeCell ref="C34:E34"/>
    <mergeCell ref="C35:E35"/>
    <mergeCell ref="C36:E36"/>
    <mergeCell ref="C37:E37"/>
    <mergeCell ref="C38:E38"/>
    <mergeCell ref="O5:O6"/>
    <mergeCell ref="P5:P6"/>
    <mergeCell ref="Q5:Q6"/>
    <mergeCell ref="C32:E32"/>
    <mergeCell ref="C33:E33"/>
    <mergeCell ref="A44:F44"/>
    <mergeCell ref="C41:E41"/>
    <mergeCell ref="C42:E42"/>
    <mergeCell ref="C43:E43"/>
    <mergeCell ref="C40:E40"/>
  </mergeCells>
  <pageMargins left="0.7" right="0.7" top="0.75" bottom="0.75" header="0.3" footer="0.3"/>
  <pageSetup paperSize="9" orientation="portrait" horizontalDpi="0" verticalDpi="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7CB7-8E0B-4A1E-9270-66A1947A9F1A}">
  <dimension ref="A1:S48"/>
  <sheetViews>
    <sheetView topLeftCell="A22" zoomScale="90" zoomScaleNormal="90" workbookViewId="0">
      <selection activeCell="K30" sqref="K30"/>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8.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5438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45474</v>
      </c>
      <c r="C8" s="134" t="s">
        <v>5407</v>
      </c>
      <c r="D8" s="211" t="s">
        <v>5420</v>
      </c>
      <c r="E8" s="136" t="s">
        <v>4581</v>
      </c>
      <c r="F8" s="134"/>
      <c r="G8" s="134">
        <v>391</v>
      </c>
      <c r="H8" s="139">
        <f>G8*20680</f>
        <v>8085880</v>
      </c>
      <c r="I8" s="134"/>
      <c r="J8" s="139">
        <v>4668000</v>
      </c>
      <c r="K8" s="139"/>
      <c r="L8" s="263"/>
      <c r="M8" s="139"/>
      <c r="N8" s="139"/>
      <c r="O8" s="139">
        <f>SUM(H8:N8)</f>
        <v>12753880</v>
      </c>
      <c r="P8" s="139">
        <v>23350000</v>
      </c>
      <c r="Q8" s="139">
        <f>P8-O8</f>
        <v>10596120</v>
      </c>
      <c r="R8" s="143"/>
    </row>
    <row r="9" spans="1:18" ht="24.95" customHeight="1" x14ac:dyDescent="0.25">
      <c r="A9" s="211">
        <v>2</v>
      </c>
      <c r="B9" s="328">
        <v>45476</v>
      </c>
      <c r="C9" s="134" t="s">
        <v>2514</v>
      </c>
      <c r="D9" s="211" t="s">
        <v>5421</v>
      </c>
      <c r="E9" s="136" t="s">
        <v>2985</v>
      </c>
      <c r="F9" s="134"/>
      <c r="G9" s="134">
        <v>59</v>
      </c>
      <c r="H9" s="139">
        <f>G9*21170</f>
        <v>1249030</v>
      </c>
      <c r="I9" s="134"/>
      <c r="J9" s="139">
        <v>430000</v>
      </c>
      <c r="K9" s="139"/>
      <c r="L9" s="263"/>
      <c r="M9" s="139"/>
      <c r="N9" s="139"/>
      <c r="O9" s="139">
        <f>SUM(H9:N9)</f>
        <v>1679030</v>
      </c>
      <c r="P9" s="139">
        <v>3080000</v>
      </c>
      <c r="Q9" s="139">
        <f t="shared" ref="Q9:Q27" si="0">P9-O9</f>
        <v>1400970</v>
      </c>
      <c r="R9" s="143"/>
    </row>
    <row r="10" spans="1:18" ht="24.95" customHeight="1" x14ac:dyDescent="0.25">
      <c r="A10" s="211">
        <v>3</v>
      </c>
      <c r="B10" s="328">
        <v>45477</v>
      </c>
      <c r="C10" s="134" t="s">
        <v>1822</v>
      </c>
      <c r="D10" s="211" t="s">
        <v>5422</v>
      </c>
      <c r="E10" s="136" t="s">
        <v>5414</v>
      </c>
      <c r="F10" s="134"/>
      <c r="G10" s="134">
        <v>95</v>
      </c>
      <c r="H10" s="139">
        <f t="shared" ref="H10:H13" si="1">G10*21170</f>
        <v>2011150</v>
      </c>
      <c r="I10" s="134"/>
      <c r="J10" s="139">
        <v>790000</v>
      </c>
      <c r="K10" s="139"/>
      <c r="L10" s="263"/>
      <c r="M10" s="139"/>
      <c r="N10" s="139"/>
      <c r="O10" s="139">
        <f t="shared" ref="O10:O17" si="2">SUM(H10:N10)</f>
        <v>2801150</v>
      </c>
      <c r="P10" s="139">
        <v>4500000</v>
      </c>
      <c r="Q10" s="139">
        <f t="shared" si="0"/>
        <v>1698850</v>
      </c>
      <c r="R10" s="143"/>
    </row>
    <row r="11" spans="1:18" ht="24.95" customHeight="1" x14ac:dyDescent="0.25">
      <c r="A11" s="211">
        <v>4</v>
      </c>
      <c r="B11" s="328">
        <v>45478</v>
      </c>
      <c r="C11" s="134" t="s">
        <v>2519</v>
      </c>
      <c r="D11" s="211" t="s">
        <v>5423</v>
      </c>
      <c r="E11" s="136" t="s">
        <v>944</v>
      </c>
      <c r="F11" s="134"/>
      <c r="G11" s="134">
        <v>56</v>
      </c>
      <c r="H11" s="139">
        <f t="shared" si="1"/>
        <v>1185520</v>
      </c>
      <c r="I11" s="134"/>
      <c r="J11" s="139">
        <v>430000</v>
      </c>
      <c r="K11" s="139"/>
      <c r="L11" s="263"/>
      <c r="M11" s="139"/>
      <c r="N11" s="139"/>
      <c r="O11" s="139">
        <f t="shared" si="2"/>
        <v>1615520</v>
      </c>
      <c r="P11" s="139">
        <v>3090000</v>
      </c>
      <c r="Q11" s="139">
        <f t="shared" si="0"/>
        <v>1474480</v>
      </c>
      <c r="R11" s="143"/>
    </row>
    <row r="12" spans="1:18" ht="24.95" customHeight="1" x14ac:dyDescent="0.25">
      <c r="A12" s="211">
        <v>5</v>
      </c>
      <c r="B12" s="328">
        <v>45479</v>
      </c>
      <c r="C12" s="134" t="s">
        <v>5408</v>
      </c>
      <c r="D12" s="211" t="s">
        <v>4071</v>
      </c>
      <c r="E12" s="136" t="s">
        <v>5415</v>
      </c>
      <c r="F12" s="134"/>
      <c r="G12" s="134">
        <v>64</v>
      </c>
      <c r="H12" s="139">
        <f t="shared" si="1"/>
        <v>1354880</v>
      </c>
      <c r="I12" s="134"/>
      <c r="J12" s="139">
        <v>430000</v>
      </c>
      <c r="K12" s="139"/>
      <c r="L12" s="263"/>
      <c r="M12" s="139"/>
      <c r="N12" s="139"/>
      <c r="O12" s="139">
        <f t="shared" si="2"/>
        <v>1784880</v>
      </c>
      <c r="P12" s="139">
        <v>3330000</v>
      </c>
      <c r="Q12" s="139">
        <f t="shared" si="0"/>
        <v>1545120</v>
      </c>
      <c r="R12" s="143"/>
    </row>
    <row r="13" spans="1:18" ht="24.95" customHeight="1" x14ac:dyDescent="0.25">
      <c r="A13" s="211">
        <v>6</v>
      </c>
      <c r="B13" s="328">
        <v>45481</v>
      </c>
      <c r="C13" s="134" t="s">
        <v>1178</v>
      </c>
      <c r="D13" s="211" t="s">
        <v>5424</v>
      </c>
      <c r="E13" s="136" t="s">
        <v>5416</v>
      </c>
      <c r="F13" s="134"/>
      <c r="G13" s="134">
        <v>118</v>
      </c>
      <c r="H13" s="139">
        <f t="shared" si="1"/>
        <v>2498060</v>
      </c>
      <c r="I13" s="134"/>
      <c r="J13" s="139">
        <v>790000</v>
      </c>
      <c r="K13" s="139"/>
      <c r="L13" s="263"/>
      <c r="M13" s="139"/>
      <c r="N13" s="139"/>
      <c r="O13" s="139">
        <f t="shared" si="2"/>
        <v>3288060</v>
      </c>
      <c r="P13" s="139">
        <v>4500000</v>
      </c>
      <c r="Q13" s="139">
        <f t="shared" si="0"/>
        <v>1211940</v>
      </c>
      <c r="R13" s="143"/>
    </row>
    <row r="14" spans="1:18" ht="24.95" customHeight="1" x14ac:dyDescent="0.25">
      <c r="A14" s="211">
        <v>7</v>
      </c>
      <c r="B14" s="328">
        <v>45482</v>
      </c>
      <c r="C14" s="134" t="s">
        <v>2525</v>
      </c>
      <c r="D14" s="211" t="s">
        <v>5425</v>
      </c>
      <c r="E14" s="136" t="s">
        <v>1170</v>
      </c>
      <c r="F14" s="134"/>
      <c r="G14" s="134">
        <v>253</v>
      </c>
      <c r="H14" s="139">
        <f>G14*20830</f>
        <v>5269990</v>
      </c>
      <c r="I14" s="134"/>
      <c r="J14" s="139">
        <v>2380000</v>
      </c>
      <c r="K14" s="139"/>
      <c r="L14" s="263"/>
      <c r="M14" s="139"/>
      <c r="N14" s="139"/>
      <c r="O14" s="139">
        <f t="shared" si="2"/>
        <v>7649990</v>
      </c>
      <c r="P14" s="139">
        <v>13796296</v>
      </c>
      <c r="Q14" s="139">
        <f t="shared" si="0"/>
        <v>6146306</v>
      </c>
      <c r="R14" s="143"/>
    </row>
    <row r="15" spans="1:18" ht="24.95" customHeight="1" x14ac:dyDescent="0.25">
      <c r="A15" s="211">
        <v>8</v>
      </c>
      <c r="B15" s="328">
        <v>45484</v>
      </c>
      <c r="C15" s="134" t="s">
        <v>5409</v>
      </c>
      <c r="D15" s="211" t="s">
        <v>5426</v>
      </c>
      <c r="E15" s="136" t="s">
        <v>25</v>
      </c>
      <c r="F15" s="134"/>
      <c r="G15" s="134">
        <v>180</v>
      </c>
      <c r="H15" s="139">
        <f t="shared" ref="H15:H17" si="3">G15*20830</f>
        <v>3749400</v>
      </c>
      <c r="I15" s="134"/>
      <c r="J15" s="139">
        <v>1530000</v>
      </c>
      <c r="K15" s="139"/>
      <c r="L15" s="263"/>
      <c r="M15" s="139"/>
      <c r="N15" s="139"/>
      <c r="O15" s="139">
        <f t="shared" si="2"/>
        <v>5279400</v>
      </c>
      <c r="P15" s="139">
        <v>8666667</v>
      </c>
      <c r="Q15" s="139">
        <f t="shared" si="0"/>
        <v>3387267</v>
      </c>
      <c r="R15" s="143"/>
    </row>
    <row r="16" spans="1:18" ht="24.95" customHeight="1" x14ac:dyDescent="0.25">
      <c r="A16" s="211">
        <v>9</v>
      </c>
      <c r="B16" s="328">
        <v>45485</v>
      </c>
      <c r="C16" s="134" t="s">
        <v>3187</v>
      </c>
      <c r="D16" s="211" t="s">
        <v>5427</v>
      </c>
      <c r="E16" s="136" t="s">
        <v>4581</v>
      </c>
      <c r="F16" s="134"/>
      <c r="G16" s="134">
        <v>391</v>
      </c>
      <c r="H16" s="139">
        <f t="shared" si="3"/>
        <v>8144530</v>
      </c>
      <c r="I16" s="134"/>
      <c r="J16" s="139">
        <v>3868000</v>
      </c>
      <c r="K16" s="139"/>
      <c r="L16" s="263"/>
      <c r="M16" s="139"/>
      <c r="N16" s="139"/>
      <c r="O16" s="139">
        <f t="shared" si="2"/>
        <v>12012530</v>
      </c>
      <c r="P16" s="139">
        <v>21550000</v>
      </c>
      <c r="Q16" s="139">
        <f t="shared" si="0"/>
        <v>9537470</v>
      </c>
      <c r="R16" s="143"/>
    </row>
    <row r="17" spans="1:18" ht="24.95" customHeight="1" x14ac:dyDescent="0.25">
      <c r="A17" s="211">
        <v>10</v>
      </c>
      <c r="B17" s="328">
        <v>45487</v>
      </c>
      <c r="C17" s="134" t="s">
        <v>5410</v>
      </c>
      <c r="D17" s="211" t="s">
        <v>5428</v>
      </c>
      <c r="E17" s="136" t="s">
        <v>5289</v>
      </c>
      <c r="F17" s="134"/>
      <c r="G17" s="134">
        <v>327</v>
      </c>
      <c r="H17" s="139">
        <f t="shared" si="3"/>
        <v>6811410</v>
      </c>
      <c r="I17" s="134"/>
      <c r="J17" s="139">
        <v>2934000</v>
      </c>
      <c r="K17" s="139"/>
      <c r="L17" s="263"/>
      <c r="M17" s="139"/>
      <c r="N17" s="139"/>
      <c r="O17" s="139">
        <f t="shared" si="2"/>
        <v>9745410</v>
      </c>
      <c r="P17" s="139">
        <v>17300000</v>
      </c>
      <c r="Q17" s="139">
        <f t="shared" si="0"/>
        <v>7554590</v>
      </c>
      <c r="R17" s="143"/>
    </row>
    <row r="18" spans="1:18" ht="24.95" customHeight="1" x14ac:dyDescent="0.25">
      <c r="A18" s="211">
        <v>11</v>
      </c>
      <c r="B18" s="328">
        <v>45490</v>
      </c>
      <c r="C18" s="134" t="s">
        <v>2540</v>
      </c>
      <c r="D18" s="211" t="s">
        <v>5429</v>
      </c>
      <c r="E18" s="136" t="s">
        <v>25</v>
      </c>
      <c r="F18" s="134"/>
      <c r="G18" s="134">
        <v>180</v>
      </c>
      <c r="H18" s="139">
        <f>G18*20500</f>
        <v>3690000</v>
      </c>
      <c r="I18" s="134"/>
      <c r="J18" s="139">
        <v>1530000</v>
      </c>
      <c r="K18" s="139"/>
      <c r="L18" s="263"/>
      <c r="M18" s="139"/>
      <c r="N18" s="139"/>
      <c r="O18" s="139">
        <f>SUM(H18:N18)</f>
        <v>5220000</v>
      </c>
      <c r="P18" s="139">
        <v>8666667</v>
      </c>
      <c r="Q18" s="139">
        <f t="shared" si="0"/>
        <v>3446667</v>
      </c>
      <c r="R18" s="143"/>
    </row>
    <row r="19" spans="1:18" ht="24.95" customHeight="1" x14ac:dyDescent="0.25">
      <c r="A19" s="211">
        <v>12</v>
      </c>
      <c r="B19" s="328">
        <v>45491</v>
      </c>
      <c r="C19" s="134" t="s">
        <v>2542</v>
      </c>
      <c r="D19" s="211" t="s">
        <v>5430</v>
      </c>
      <c r="E19" s="136" t="s">
        <v>5417</v>
      </c>
      <c r="F19" s="134"/>
      <c r="G19" s="134">
        <v>99</v>
      </c>
      <c r="H19" s="139">
        <f t="shared" ref="H19:H23" si="4">G19*20500</f>
        <v>2029500</v>
      </c>
      <c r="I19" s="134"/>
      <c r="J19" s="139">
        <v>430000</v>
      </c>
      <c r="K19" s="139"/>
      <c r="L19" s="263"/>
      <c r="M19" s="139"/>
      <c r="N19" s="139"/>
      <c r="O19" s="139">
        <f>SUM(H19:N19)</f>
        <v>2459500</v>
      </c>
      <c r="P19" s="139">
        <v>4100000</v>
      </c>
      <c r="Q19" s="139">
        <f t="shared" si="0"/>
        <v>1640500</v>
      </c>
      <c r="R19" s="143"/>
    </row>
    <row r="20" spans="1:18" ht="24.95" customHeight="1" x14ac:dyDescent="0.25">
      <c r="A20" s="211">
        <v>13</v>
      </c>
      <c r="B20" s="328">
        <v>45492</v>
      </c>
      <c r="C20" s="134" t="s">
        <v>3822</v>
      </c>
      <c r="D20" s="211" t="s">
        <v>1363</v>
      </c>
      <c r="E20" s="136" t="s">
        <v>2985</v>
      </c>
      <c r="F20" s="134"/>
      <c r="G20" s="134">
        <v>59</v>
      </c>
      <c r="H20" s="139">
        <f t="shared" si="4"/>
        <v>1209500</v>
      </c>
      <c r="I20" s="134"/>
      <c r="J20" s="139">
        <v>430000</v>
      </c>
      <c r="K20" s="139"/>
      <c r="L20" s="263"/>
      <c r="M20" s="139"/>
      <c r="N20" s="139"/>
      <c r="O20" s="139">
        <f>SUM(H20:N20)</f>
        <v>1639500</v>
      </c>
      <c r="P20" s="139">
        <v>3080000</v>
      </c>
      <c r="Q20" s="139">
        <f t="shared" si="0"/>
        <v>1440500</v>
      </c>
      <c r="R20" s="143"/>
    </row>
    <row r="21" spans="1:18" ht="24.95" customHeight="1" x14ac:dyDescent="0.25">
      <c r="A21" s="211">
        <v>14</v>
      </c>
      <c r="B21" s="328">
        <v>45493</v>
      </c>
      <c r="C21" s="134" t="s">
        <v>5411</v>
      </c>
      <c r="D21" s="211" t="s">
        <v>5431</v>
      </c>
      <c r="E21" s="136" t="s">
        <v>5418</v>
      </c>
      <c r="F21" s="134"/>
      <c r="G21" s="134">
        <v>164</v>
      </c>
      <c r="H21" s="139">
        <f t="shared" si="4"/>
        <v>3362000</v>
      </c>
      <c r="I21" s="134"/>
      <c r="J21" s="139">
        <v>1190000</v>
      </c>
      <c r="K21" s="139"/>
      <c r="L21" s="263"/>
      <c r="M21" s="139"/>
      <c r="N21" s="139"/>
      <c r="O21" s="139">
        <f t="shared" ref="O21:O33" si="5">SUM(H21:N21)</f>
        <v>4552000</v>
      </c>
      <c r="P21" s="139">
        <v>7250000</v>
      </c>
      <c r="Q21" s="139">
        <f t="shared" si="0"/>
        <v>2698000</v>
      </c>
      <c r="R21" s="143"/>
    </row>
    <row r="22" spans="1:18" ht="24.95" customHeight="1" x14ac:dyDescent="0.25">
      <c r="A22" s="211">
        <v>15</v>
      </c>
      <c r="B22" s="328">
        <v>45495</v>
      </c>
      <c r="C22" s="134" t="s">
        <v>3827</v>
      </c>
      <c r="D22" s="211" t="s">
        <v>5432</v>
      </c>
      <c r="E22" s="136" t="s">
        <v>2985</v>
      </c>
      <c r="F22" s="134"/>
      <c r="G22" s="134">
        <v>59</v>
      </c>
      <c r="H22" s="139">
        <f t="shared" si="4"/>
        <v>1209500</v>
      </c>
      <c r="I22" s="134"/>
      <c r="J22" s="139">
        <v>430000</v>
      </c>
      <c r="K22" s="139"/>
      <c r="L22" s="263"/>
      <c r="M22" s="139"/>
      <c r="N22" s="139"/>
      <c r="O22" s="139">
        <f t="shared" si="5"/>
        <v>1639500</v>
      </c>
      <c r="P22" s="139">
        <v>3080000</v>
      </c>
      <c r="Q22" s="139">
        <f t="shared" si="0"/>
        <v>1440500</v>
      </c>
      <c r="R22" s="143"/>
    </row>
    <row r="23" spans="1:18" ht="24.95" customHeight="1" x14ac:dyDescent="0.25">
      <c r="A23" s="211">
        <v>16</v>
      </c>
      <c r="B23" s="328">
        <v>45496</v>
      </c>
      <c r="C23" s="134" t="s">
        <v>1188</v>
      </c>
      <c r="D23" s="211" t="s">
        <v>5433</v>
      </c>
      <c r="E23" s="136" t="s">
        <v>4509</v>
      </c>
      <c r="F23" s="134"/>
      <c r="G23" s="134">
        <v>379</v>
      </c>
      <c r="H23" s="139">
        <f t="shared" si="4"/>
        <v>7769500</v>
      </c>
      <c r="I23" s="134"/>
      <c r="J23" s="139">
        <v>3748000</v>
      </c>
      <c r="K23" s="139"/>
      <c r="L23" s="263"/>
      <c r="M23" s="139"/>
      <c r="N23" s="139"/>
      <c r="O23" s="139">
        <f t="shared" si="5"/>
        <v>11517500</v>
      </c>
      <c r="P23" s="139">
        <v>20900000</v>
      </c>
      <c r="Q23" s="139">
        <f t="shared" si="0"/>
        <v>9382500</v>
      </c>
      <c r="R23" s="143"/>
    </row>
    <row r="24" spans="1:18" ht="24.95" customHeight="1" x14ac:dyDescent="0.25">
      <c r="A24" s="211">
        <v>17</v>
      </c>
      <c r="B24" s="381">
        <v>45498</v>
      </c>
      <c r="C24" s="198" t="s">
        <v>4427</v>
      </c>
      <c r="D24" s="210" t="s">
        <v>5434</v>
      </c>
      <c r="E24" s="137" t="s">
        <v>23</v>
      </c>
      <c r="F24" s="198"/>
      <c r="G24" s="198">
        <v>244</v>
      </c>
      <c r="H24" s="142">
        <f>G24*20190</f>
        <v>4926360</v>
      </c>
      <c r="I24" s="198"/>
      <c r="J24" s="139">
        <v>2380000</v>
      </c>
      <c r="K24" s="142"/>
      <c r="L24" s="386"/>
      <c r="M24" s="142"/>
      <c r="N24" s="142"/>
      <c r="O24" s="139">
        <f t="shared" si="5"/>
        <v>7306360</v>
      </c>
      <c r="P24" s="142">
        <v>12314815</v>
      </c>
      <c r="Q24" s="139">
        <f t="shared" si="0"/>
        <v>5008455</v>
      </c>
      <c r="R24" s="143"/>
    </row>
    <row r="25" spans="1:18" ht="24.95" customHeight="1" x14ac:dyDescent="0.25">
      <c r="A25" s="211">
        <v>18</v>
      </c>
      <c r="B25" s="381">
        <v>45499</v>
      </c>
      <c r="C25" s="198" t="s">
        <v>5412</v>
      </c>
      <c r="D25" s="210" t="s">
        <v>5435</v>
      </c>
      <c r="E25" s="137" t="s">
        <v>5419</v>
      </c>
      <c r="F25" s="198"/>
      <c r="G25" s="198">
        <v>75</v>
      </c>
      <c r="H25" s="142">
        <f t="shared" ref="H25:H26" si="6">G25*20190</f>
        <v>1514250</v>
      </c>
      <c r="I25" s="198"/>
      <c r="J25" s="139">
        <v>430000</v>
      </c>
      <c r="K25" s="142"/>
      <c r="L25" s="386"/>
      <c r="M25" s="142"/>
      <c r="N25" s="142"/>
      <c r="O25" s="139">
        <f t="shared" si="5"/>
        <v>1944250</v>
      </c>
      <c r="P25" s="142">
        <v>3500000</v>
      </c>
      <c r="Q25" s="139">
        <f t="shared" si="0"/>
        <v>1555750</v>
      </c>
      <c r="R25" s="143"/>
    </row>
    <row r="26" spans="1:18" ht="24.95" customHeight="1" x14ac:dyDescent="0.25">
      <c r="A26" s="211">
        <v>19</v>
      </c>
      <c r="B26" s="381">
        <v>45500</v>
      </c>
      <c r="C26" s="198" t="s">
        <v>1837</v>
      </c>
      <c r="D26" s="210" t="s">
        <v>5436</v>
      </c>
      <c r="E26" s="137" t="s">
        <v>4859</v>
      </c>
      <c r="F26" s="198"/>
      <c r="G26" s="198">
        <v>369</v>
      </c>
      <c r="H26" s="142">
        <f t="shared" si="6"/>
        <v>7450110</v>
      </c>
      <c r="I26" s="198"/>
      <c r="J26" s="139">
        <v>3868000</v>
      </c>
      <c r="K26" s="142"/>
      <c r="L26" s="386"/>
      <c r="M26" s="142"/>
      <c r="N26" s="142"/>
      <c r="O26" s="139">
        <f t="shared" si="5"/>
        <v>11318110</v>
      </c>
      <c r="P26" s="142">
        <v>20900000</v>
      </c>
      <c r="Q26" s="139">
        <f t="shared" si="0"/>
        <v>9581890</v>
      </c>
      <c r="R26" s="143"/>
    </row>
    <row r="27" spans="1:18" ht="24.95" customHeight="1" x14ac:dyDescent="0.25">
      <c r="A27" s="211">
        <v>20</v>
      </c>
      <c r="B27" s="381">
        <v>45503</v>
      </c>
      <c r="C27" s="198" t="s">
        <v>5413</v>
      </c>
      <c r="D27" s="210" t="s">
        <v>5437</v>
      </c>
      <c r="E27" s="137" t="s">
        <v>4581</v>
      </c>
      <c r="F27" s="198"/>
      <c r="G27" s="198">
        <v>388</v>
      </c>
      <c r="H27" s="142">
        <f>G27*20190</f>
        <v>7833720</v>
      </c>
      <c r="I27" s="198"/>
      <c r="J27" s="142">
        <v>3419000</v>
      </c>
      <c r="K27" s="142"/>
      <c r="L27" s="386"/>
      <c r="M27" s="142"/>
      <c r="N27" s="142"/>
      <c r="O27" s="139">
        <f t="shared" si="5"/>
        <v>11252720</v>
      </c>
      <c r="P27" s="142">
        <v>21550000</v>
      </c>
      <c r="Q27" s="139">
        <f t="shared" si="0"/>
        <v>10297280</v>
      </c>
      <c r="R27" s="143"/>
    </row>
    <row r="28" spans="1:18" ht="24.95" customHeight="1" x14ac:dyDescent="0.25">
      <c r="A28" s="210"/>
      <c r="B28" s="381"/>
      <c r="C28" s="474" t="s">
        <v>26</v>
      </c>
      <c r="D28" s="475"/>
      <c r="E28" s="476"/>
      <c r="F28" s="376"/>
      <c r="G28" s="151"/>
      <c r="H28" s="377"/>
      <c r="I28" s="151"/>
      <c r="J28" s="377"/>
      <c r="K28" s="378">
        <v>1200000</v>
      </c>
      <c r="L28" s="378"/>
      <c r="M28" s="378"/>
      <c r="N28" s="378"/>
      <c r="O28" s="142">
        <f t="shared" si="5"/>
        <v>1200000</v>
      </c>
      <c r="P28" s="142"/>
      <c r="Q28" s="142"/>
      <c r="R28" s="143"/>
    </row>
    <row r="29" spans="1:18" ht="24.95" customHeight="1" x14ac:dyDescent="0.25">
      <c r="A29" s="211"/>
      <c r="B29" s="328"/>
      <c r="C29" s="452" t="s">
        <v>4798</v>
      </c>
      <c r="D29" s="453"/>
      <c r="E29" s="454"/>
      <c r="F29" s="196"/>
      <c r="G29" s="195"/>
      <c r="H29" s="155"/>
      <c r="I29" s="195"/>
      <c r="J29" s="155"/>
      <c r="K29" s="378">
        <v>15563560</v>
      </c>
      <c r="L29" s="378"/>
      <c r="M29" s="378"/>
      <c r="N29" s="378"/>
      <c r="O29" s="139">
        <f t="shared" si="5"/>
        <v>15563560</v>
      </c>
      <c r="P29" s="139"/>
      <c r="Q29" s="139"/>
      <c r="R29" s="143"/>
    </row>
    <row r="30" spans="1:18" ht="24.95" customHeight="1" x14ac:dyDescent="0.25">
      <c r="A30" s="211"/>
      <c r="B30" s="328"/>
      <c r="C30" s="452" t="s">
        <v>5574</v>
      </c>
      <c r="D30" s="453"/>
      <c r="E30" s="454"/>
      <c r="F30" s="196"/>
      <c r="G30" s="195"/>
      <c r="H30" s="155"/>
      <c r="I30" s="195"/>
      <c r="J30" s="155"/>
      <c r="K30" s="378"/>
      <c r="L30" s="378">
        <v>640000</v>
      </c>
      <c r="M30" s="378"/>
      <c r="N30" s="378"/>
      <c r="O30" s="139">
        <f t="shared" si="5"/>
        <v>640000</v>
      </c>
      <c r="P30" s="139"/>
      <c r="Q30" s="139"/>
      <c r="R30" s="143"/>
    </row>
    <row r="31" spans="1:18" ht="24.95" customHeight="1" x14ac:dyDescent="0.25">
      <c r="A31" s="211"/>
      <c r="B31" s="328"/>
      <c r="C31" s="452" t="s">
        <v>5575</v>
      </c>
      <c r="D31" s="453"/>
      <c r="E31" s="454"/>
      <c r="F31" s="196"/>
      <c r="G31" s="195"/>
      <c r="H31" s="155"/>
      <c r="I31" s="195"/>
      <c r="J31" s="155"/>
      <c r="K31" s="378"/>
      <c r="L31" s="378">
        <v>250000</v>
      </c>
      <c r="M31" s="378"/>
      <c r="N31" s="378"/>
      <c r="O31" s="139">
        <f t="shared" si="5"/>
        <v>250000</v>
      </c>
      <c r="P31" s="139"/>
      <c r="Q31" s="139"/>
      <c r="R31" s="143"/>
    </row>
    <row r="32" spans="1:18" ht="24.75" customHeight="1" x14ac:dyDescent="0.25">
      <c r="A32" s="211"/>
      <c r="B32" s="328"/>
      <c r="C32" s="452" t="s">
        <v>5579</v>
      </c>
      <c r="D32" s="453"/>
      <c r="E32" s="454"/>
      <c r="F32" s="196"/>
      <c r="G32" s="195"/>
      <c r="H32" s="155"/>
      <c r="I32" s="195"/>
      <c r="J32" s="155"/>
      <c r="K32" s="378"/>
      <c r="L32" s="378">
        <v>1000000</v>
      </c>
      <c r="M32" s="378"/>
      <c r="N32" s="378"/>
      <c r="O32" s="139">
        <f t="shared" si="5"/>
        <v>1000000</v>
      </c>
      <c r="P32" s="139"/>
      <c r="Q32" s="139"/>
      <c r="R32" s="143"/>
    </row>
    <row r="33" spans="1:19" ht="24.95" customHeight="1" x14ac:dyDescent="0.25">
      <c r="A33" s="379"/>
      <c r="B33" s="380"/>
      <c r="C33" s="471" t="s">
        <v>4548</v>
      </c>
      <c r="D33" s="472"/>
      <c r="E33" s="473"/>
      <c r="F33" s="152"/>
      <c r="G33" s="153"/>
      <c r="H33" s="156"/>
      <c r="I33" s="153"/>
      <c r="J33" s="156"/>
      <c r="K33" s="288">
        <v>8300000</v>
      </c>
      <c r="L33" s="288"/>
      <c r="M33" s="206"/>
      <c r="N33" s="206"/>
      <c r="O33" s="206">
        <f t="shared" si="5"/>
        <v>8300000</v>
      </c>
      <c r="P33" s="206"/>
      <c r="Q33" s="206"/>
      <c r="R33" s="143"/>
    </row>
    <row r="34" spans="1:19" ht="24.95" customHeight="1" x14ac:dyDescent="0.25">
      <c r="A34" s="426" t="s">
        <v>20</v>
      </c>
      <c r="B34" s="426"/>
      <c r="C34" s="426"/>
      <c r="D34" s="426"/>
      <c r="E34" s="426"/>
      <c r="F34" s="426"/>
      <c r="G34" s="161">
        <f t="shared" ref="G34:P34" si="7">SUM(G8:G33)</f>
        <v>3950</v>
      </c>
      <c r="H34" s="161">
        <f t="shared" si="7"/>
        <v>81354290</v>
      </c>
      <c r="I34" s="161">
        <f t="shared" si="7"/>
        <v>0</v>
      </c>
      <c r="J34" s="161">
        <f t="shared" si="7"/>
        <v>36105000</v>
      </c>
      <c r="K34" s="161">
        <f t="shared" si="7"/>
        <v>25063560</v>
      </c>
      <c r="L34" s="161">
        <f t="shared" si="7"/>
        <v>1890000</v>
      </c>
      <c r="M34" s="161">
        <f t="shared" si="7"/>
        <v>0</v>
      </c>
      <c r="N34" s="161">
        <f t="shared" si="7"/>
        <v>0</v>
      </c>
      <c r="O34" s="161">
        <f t="shared" si="7"/>
        <v>144412850</v>
      </c>
      <c r="P34" s="161">
        <f t="shared" si="7"/>
        <v>208504445</v>
      </c>
      <c r="Q34" s="161">
        <f>P34-O34</f>
        <v>64091595</v>
      </c>
    </row>
    <row r="35" spans="1:19" ht="24.95" customHeight="1" x14ac:dyDescent="0.25">
      <c r="O35" s="158"/>
      <c r="Q35" s="158"/>
    </row>
    <row r="36" spans="1:19" ht="13.9" customHeight="1" x14ac:dyDescent="0.25">
      <c r="P36" s="216" t="s">
        <v>1603</v>
      </c>
      <c r="Q36" s="227">
        <f>'06.2024'!Q46+'07.2024'!Q34</f>
        <v>164539624</v>
      </c>
      <c r="S36" s="216"/>
    </row>
    <row r="37" spans="1:19" ht="13.9" customHeight="1" x14ac:dyDescent="0.25">
      <c r="B37" s="129"/>
      <c r="J37" s="128"/>
      <c r="K37" s="128"/>
      <c r="L37" s="128"/>
      <c r="N37" s="128"/>
      <c r="O37" s="128"/>
      <c r="P37" s="218"/>
      <c r="Q37" s="216"/>
    </row>
    <row r="38" spans="1:19" ht="13.9" customHeight="1" x14ac:dyDescent="0.25">
      <c r="B38" s="129"/>
      <c r="H38" s="128"/>
      <c r="J38" s="128"/>
      <c r="K38" s="128"/>
      <c r="L38" s="128"/>
      <c r="M38" s="128"/>
      <c r="N38" s="128"/>
      <c r="O38" s="128"/>
      <c r="P38" s="218"/>
      <c r="Q38" s="230"/>
    </row>
    <row r="39" spans="1:19" ht="13.9" customHeight="1" x14ac:dyDescent="0.25">
      <c r="B39" s="129"/>
      <c r="H39" s="128"/>
      <c r="J39" s="128"/>
      <c r="K39" s="128"/>
      <c r="L39" s="128"/>
      <c r="M39" s="128"/>
      <c r="N39" s="128"/>
      <c r="O39" s="128"/>
      <c r="P39" s="218"/>
      <c r="Q39" s="230"/>
    </row>
    <row r="40" spans="1:19" ht="13.9" customHeight="1" x14ac:dyDescent="0.25">
      <c r="B40" s="129"/>
      <c r="G40" s="143"/>
      <c r="H40" s="128"/>
      <c r="J40" s="128"/>
      <c r="K40" s="128"/>
      <c r="L40" s="128"/>
      <c r="M40" s="128"/>
      <c r="N40" s="128"/>
      <c r="O40" s="128"/>
      <c r="P40" s="218"/>
      <c r="Q40" s="230"/>
      <c r="R40" s="143"/>
    </row>
    <row r="41" spans="1:19" ht="13.9" customHeight="1" x14ac:dyDescent="0.25">
      <c r="B41" s="129"/>
      <c r="H41" s="128"/>
      <c r="J41" s="128"/>
      <c r="K41" s="128"/>
      <c r="L41" s="128"/>
      <c r="M41" s="128"/>
      <c r="N41" s="128"/>
      <c r="O41" s="128"/>
      <c r="P41" s="218"/>
      <c r="Q41" s="216"/>
      <c r="R41" s="143"/>
    </row>
    <row r="42" spans="1:19" x14ac:dyDescent="0.25">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8"/>
      <c r="G45" s="143"/>
      <c r="J45" s="128"/>
      <c r="K45" s="128"/>
      <c r="L45" s="128"/>
      <c r="M45" s="128"/>
      <c r="N45" s="128"/>
      <c r="O45" s="128"/>
      <c r="P45" s="128"/>
      <c r="Q45" s="216"/>
    </row>
    <row r="46" spans="1:19" x14ac:dyDescent="0.25">
      <c r="A46" s="128"/>
      <c r="B46" s="128"/>
      <c r="H46" s="128"/>
      <c r="J46" s="128"/>
      <c r="K46" s="128"/>
      <c r="L46" s="128"/>
      <c r="M46" s="128"/>
      <c r="N46" s="128"/>
      <c r="O46" s="128"/>
      <c r="P46" s="128"/>
      <c r="Q46" s="216"/>
    </row>
    <row r="48" spans="1:19" s="143" customFormat="1" x14ac:dyDescent="0.25">
      <c r="A48" s="129"/>
      <c r="B48" s="163"/>
      <c r="C48" s="128"/>
      <c r="D48" s="128"/>
      <c r="E48" s="128"/>
      <c r="F48" s="128"/>
      <c r="I48" s="128"/>
      <c r="R48" s="128"/>
      <c r="S48" s="128"/>
    </row>
  </sheetData>
  <mergeCells count="20">
    <mergeCell ref="A1:Q1"/>
    <mergeCell ref="A2:Q2"/>
    <mergeCell ref="B3:Q3"/>
    <mergeCell ref="A5:A6"/>
    <mergeCell ref="B5:B6"/>
    <mergeCell ref="C5:C6"/>
    <mergeCell ref="D5:D6"/>
    <mergeCell ref="E5:E6"/>
    <mergeCell ref="F5:F6"/>
    <mergeCell ref="G5:N5"/>
    <mergeCell ref="A34:F34"/>
    <mergeCell ref="C33:E33"/>
    <mergeCell ref="O5:O6"/>
    <mergeCell ref="P5:P6"/>
    <mergeCell ref="Q5:Q6"/>
    <mergeCell ref="C28:E28"/>
    <mergeCell ref="C29:E29"/>
    <mergeCell ref="C30:E30"/>
    <mergeCell ref="C31:E31"/>
    <mergeCell ref="C32:E32"/>
  </mergeCells>
  <pageMargins left="0.7" right="0.7" top="0.75" bottom="0.75" header="0.3" footer="0.3"/>
  <pageSetup paperSize="9" orientation="portrait" horizontalDpi="0" verticalDpi="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B5A0-E5B8-4C78-B3C4-4DD8433E090C}">
  <dimension ref="A1:S58"/>
  <sheetViews>
    <sheetView topLeftCell="A26" zoomScale="90" zoomScaleNormal="90" workbookViewId="0">
      <selection activeCell="Q46" sqref="Q4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9.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5479</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45505</v>
      </c>
      <c r="C8" s="134" t="s">
        <v>3235</v>
      </c>
      <c r="D8" s="211" t="s">
        <v>5461</v>
      </c>
      <c r="E8" s="136" t="s">
        <v>2798</v>
      </c>
      <c r="F8" s="134"/>
      <c r="G8" s="134">
        <v>110</v>
      </c>
      <c r="H8" s="139">
        <f>G8*19870</f>
        <v>2185700</v>
      </c>
      <c r="I8" s="134"/>
      <c r="J8" s="139">
        <v>790000</v>
      </c>
      <c r="K8" s="139"/>
      <c r="L8" s="263"/>
      <c r="M8" s="139"/>
      <c r="N8" s="139"/>
      <c r="O8" s="139">
        <f>SUM(H8:N8)</f>
        <v>2975700</v>
      </c>
      <c r="P8" s="139">
        <v>5200000</v>
      </c>
      <c r="Q8" s="139">
        <f>P8-O8</f>
        <v>2224300</v>
      </c>
      <c r="R8" s="143"/>
    </row>
    <row r="9" spans="1:18" ht="24.95" customHeight="1" x14ac:dyDescent="0.25">
      <c r="A9" s="211">
        <v>2</v>
      </c>
      <c r="B9" s="328">
        <v>45506</v>
      </c>
      <c r="C9" s="134" t="s">
        <v>1883</v>
      </c>
      <c r="D9" s="211" t="s">
        <v>5462</v>
      </c>
      <c r="E9" s="136" t="s">
        <v>4509</v>
      </c>
      <c r="F9" s="134"/>
      <c r="G9" s="134">
        <v>378</v>
      </c>
      <c r="H9" s="139">
        <f t="shared" ref="H9:H12" si="0">G9*19870</f>
        <v>7510860</v>
      </c>
      <c r="I9" s="134"/>
      <c r="J9" s="139">
        <v>3868000</v>
      </c>
      <c r="K9" s="139"/>
      <c r="L9" s="263"/>
      <c r="M9" s="139"/>
      <c r="N9" s="139"/>
      <c r="O9" s="139">
        <f>SUM(H9:N9)</f>
        <v>11378860</v>
      </c>
      <c r="P9" s="139">
        <v>20900000</v>
      </c>
      <c r="Q9" s="139">
        <f t="shared" ref="Q9:Q27" si="1">P9-O9</f>
        <v>9521140</v>
      </c>
      <c r="R9" s="143"/>
    </row>
    <row r="10" spans="1:18" ht="24.95" customHeight="1" x14ac:dyDescent="0.25">
      <c r="A10" s="211">
        <v>3</v>
      </c>
      <c r="B10" s="328">
        <v>45509</v>
      </c>
      <c r="C10" s="134" t="s">
        <v>5439</v>
      </c>
      <c r="D10" s="211" t="s">
        <v>5463</v>
      </c>
      <c r="E10" s="136" t="s">
        <v>5457</v>
      </c>
      <c r="F10" s="134"/>
      <c r="G10" s="134">
        <v>80</v>
      </c>
      <c r="H10" s="139">
        <f t="shared" si="0"/>
        <v>1589600</v>
      </c>
      <c r="I10" s="134"/>
      <c r="J10" s="139">
        <v>790000</v>
      </c>
      <c r="K10" s="139"/>
      <c r="L10" s="263"/>
      <c r="M10" s="139"/>
      <c r="N10" s="139"/>
      <c r="O10" s="139">
        <f t="shared" ref="O10:O17" si="2">SUM(H10:N10)</f>
        <v>2379600</v>
      </c>
      <c r="P10" s="139">
        <v>4637778</v>
      </c>
      <c r="Q10" s="139">
        <f t="shared" si="1"/>
        <v>2258178</v>
      </c>
      <c r="R10" s="143"/>
    </row>
    <row r="11" spans="1:18" ht="24.95" customHeight="1" x14ac:dyDescent="0.25">
      <c r="A11" s="211">
        <v>4</v>
      </c>
      <c r="B11" s="328">
        <v>45510</v>
      </c>
      <c r="C11" s="134" t="s">
        <v>5440</v>
      </c>
      <c r="D11" s="211" t="s">
        <v>5464</v>
      </c>
      <c r="E11" s="136" t="s">
        <v>4970</v>
      </c>
      <c r="F11" s="134"/>
      <c r="G11" s="134">
        <v>94</v>
      </c>
      <c r="H11" s="139">
        <f t="shared" si="0"/>
        <v>1867780</v>
      </c>
      <c r="I11" s="134"/>
      <c r="J11" s="139">
        <v>430000</v>
      </c>
      <c r="K11" s="139"/>
      <c r="L11" s="263"/>
      <c r="M11" s="139"/>
      <c r="N11" s="139"/>
      <c r="O11" s="139">
        <f t="shared" si="2"/>
        <v>2297780</v>
      </c>
      <c r="P11" s="139">
        <v>4200000</v>
      </c>
      <c r="Q11" s="139">
        <f t="shared" si="1"/>
        <v>1902220</v>
      </c>
      <c r="R11" s="143"/>
    </row>
    <row r="12" spans="1:18" ht="24.95" customHeight="1" x14ac:dyDescent="0.25">
      <c r="A12" s="211">
        <v>5</v>
      </c>
      <c r="B12" s="328">
        <v>45511</v>
      </c>
      <c r="C12" s="134" t="s">
        <v>5441</v>
      </c>
      <c r="D12" s="211" t="s">
        <v>5465</v>
      </c>
      <c r="E12" s="136" t="s">
        <v>2798</v>
      </c>
      <c r="F12" s="134"/>
      <c r="G12" s="134">
        <v>123</v>
      </c>
      <c r="H12" s="139">
        <f t="shared" si="0"/>
        <v>2444010</v>
      </c>
      <c r="I12" s="134"/>
      <c r="J12" s="139">
        <v>790000</v>
      </c>
      <c r="K12" s="139"/>
      <c r="L12" s="263"/>
      <c r="M12" s="139"/>
      <c r="N12" s="139"/>
      <c r="O12" s="139">
        <f t="shared" si="2"/>
        <v>3234010</v>
      </c>
      <c r="P12" s="139">
        <v>5570370</v>
      </c>
      <c r="Q12" s="139">
        <f t="shared" si="1"/>
        <v>2336360</v>
      </c>
      <c r="R12" s="143"/>
    </row>
    <row r="13" spans="1:18" ht="24.95" customHeight="1" x14ac:dyDescent="0.25">
      <c r="A13" s="211">
        <v>6</v>
      </c>
      <c r="B13" s="328">
        <v>45512</v>
      </c>
      <c r="C13" s="134" t="s">
        <v>5442</v>
      </c>
      <c r="D13" s="211" t="s">
        <v>5466</v>
      </c>
      <c r="E13" s="136" t="s">
        <v>25</v>
      </c>
      <c r="F13" s="134"/>
      <c r="G13" s="134">
        <v>180</v>
      </c>
      <c r="H13" s="139">
        <f>G13*19140</f>
        <v>3445200</v>
      </c>
      <c r="I13" s="134"/>
      <c r="J13" s="139">
        <v>1530000</v>
      </c>
      <c r="K13" s="139"/>
      <c r="L13" s="263"/>
      <c r="M13" s="139"/>
      <c r="N13" s="139"/>
      <c r="O13" s="139">
        <f t="shared" si="2"/>
        <v>4975200</v>
      </c>
      <c r="P13" s="139">
        <v>8666667</v>
      </c>
      <c r="Q13" s="139">
        <f t="shared" si="1"/>
        <v>3691467</v>
      </c>
      <c r="R13" s="143"/>
    </row>
    <row r="14" spans="1:18" ht="24.95" customHeight="1" x14ac:dyDescent="0.25">
      <c r="A14" s="211">
        <v>7</v>
      </c>
      <c r="B14" s="328">
        <v>45513</v>
      </c>
      <c r="C14" s="134" t="s">
        <v>5443</v>
      </c>
      <c r="D14" s="211" t="s">
        <v>5467</v>
      </c>
      <c r="E14" s="136" t="s">
        <v>4509</v>
      </c>
      <c r="F14" s="134"/>
      <c r="G14" s="134">
        <v>378</v>
      </c>
      <c r="H14" s="139">
        <f t="shared" ref="H14:H16" si="3">G14*19140</f>
        <v>7234920</v>
      </c>
      <c r="I14" s="134"/>
      <c r="J14" s="139">
        <v>3868000</v>
      </c>
      <c r="K14" s="139"/>
      <c r="L14" s="263"/>
      <c r="M14" s="139"/>
      <c r="N14" s="139"/>
      <c r="O14" s="139">
        <f t="shared" si="2"/>
        <v>11102920</v>
      </c>
      <c r="P14" s="139">
        <v>20900000</v>
      </c>
      <c r="Q14" s="139">
        <f t="shared" si="1"/>
        <v>9797080</v>
      </c>
      <c r="R14" s="143"/>
    </row>
    <row r="15" spans="1:18" ht="24.95" customHeight="1" x14ac:dyDescent="0.25">
      <c r="A15" s="211">
        <v>8</v>
      </c>
      <c r="B15" s="328">
        <v>45516</v>
      </c>
      <c r="C15" s="134" t="s">
        <v>5444</v>
      </c>
      <c r="D15" s="211" t="s">
        <v>5468</v>
      </c>
      <c r="E15" s="136" t="s">
        <v>5458</v>
      </c>
      <c r="F15" s="134"/>
      <c r="G15" s="134">
        <v>187</v>
      </c>
      <c r="H15" s="139">
        <f t="shared" si="3"/>
        <v>3579180</v>
      </c>
      <c r="I15" s="134"/>
      <c r="J15" s="139">
        <v>1530000</v>
      </c>
      <c r="K15" s="139"/>
      <c r="L15" s="263"/>
      <c r="M15" s="139"/>
      <c r="N15" s="139"/>
      <c r="O15" s="139">
        <f t="shared" si="2"/>
        <v>5109180</v>
      </c>
      <c r="P15" s="139">
        <v>7400000</v>
      </c>
      <c r="Q15" s="139">
        <f t="shared" si="1"/>
        <v>2290820</v>
      </c>
      <c r="R15" s="143"/>
    </row>
    <row r="16" spans="1:18" ht="24.95" customHeight="1" x14ac:dyDescent="0.25">
      <c r="A16" s="211">
        <v>9</v>
      </c>
      <c r="B16" s="328">
        <v>45518</v>
      </c>
      <c r="C16" s="134" t="s">
        <v>5445</v>
      </c>
      <c r="D16" s="211" t="s">
        <v>5469</v>
      </c>
      <c r="E16" s="136" t="s">
        <v>4509</v>
      </c>
      <c r="F16" s="134"/>
      <c r="G16" s="134">
        <v>378</v>
      </c>
      <c r="H16" s="139">
        <f t="shared" si="3"/>
        <v>7234920</v>
      </c>
      <c r="I16" s="134"/>
      <c r="J16" s="139">
        <v>3180000</v>
      </c>
      <c r="K16" s="139"/>
      <c r="L16" s="263"/>
      <c r="M16" s="139"/>
      <c r="N16" s="139"/>
      <c r="O16" s="139">
        <f t="shared" si="2"/>
        <v>10414920</v>
      </c>
      <c r="P16" s="139">
        <v>20900000</v>
      </c>
      <c r="Q16" s="139">
        <f t="shared" si="1"/>
        <v>10485080</v>
      </c>
      <c r="R16" s="143"/>
    </row>
    <row r="17" spans="1:18" ht="24.95" customHeight="1" x14ac:dyDescent="0.25">
      <c r="A17" s="211">
        <v>10</v>
      </c>
      <c r="B17" s="328">
        <v>45520</v>
      </c>
      <c r="C17" s="134" t="s">
        <v>5446</v>
      </c>
      <c r="D17" s="211" t="s">
        <v>5470</v>
      </c>
      <c r="E17" s="136" t="s">
        <v>23</v>
      </c>
      <c r="F17" s="134"/>
      <c r="G17" s="134">
        <v>247</v>
      </c>
      <c r="H17" s="139">
        <f>G17*19230</f>
        <v>4749810</v>
      </c>
      <c r="I17" s="134"/>
      <c r="J17" s="139">
        <v>2380000</v>
      </c>
      <c r="K17" s="139"/>
      <c r="L17" s="263"/>
      <c r="M17" s="139"/>
      <c r="N17" s="139"/>
      <c r="O17" s="139">
        <f t="shared" si="2"/>
        <v>7129810</v>
      </c>
      <c r="P17" s="139">
        <v>12314815</v>
      </c>
      <c r="Q17" s="139">
        <f t="shared" si="1"/>
        <v>5185005</v>
      </c>
      <c r="R17" s="143"/>
    </row>
    <row r="18" spans="1:18" ht="24.95" customHeight="1" x14ac:dyDescent="0.25">
      <c r="A18" s="211">
        <v>11</v>
      </c>
      <c r="B18" s="328">
        <v>45523</v>
      </c>
      <c r="C18" s="134" t="s">
        <v>5447</v>
      </c>
      <c r="D18" s="211" t="s">
        <v>5471</v>
      </c>
      <c r="E18" s="136" t="s">
        <v>4581</v>
      </c>
      <c r="F18" s="134"/>
      <c r="G18" s="134">
        <v>388</v>
      </c>
      <c r="H18" s="139">
        <f>G18*19230</f>
        <v>7461240</v>
      </c>
      <c r="I18" s="134"/>
      <c r="J18" s="139">
        <v>3868000</v>
      </c>
      <c r="K18" s="139"/>
      <c r="L18" s="263"/>
      <c r="M18" s="139"/>
      <c r="N18" s="139"/>
      <c r="O18" s="139">
        <f>SUM(H18:N18)</f>
        <v>11329240</v>
      </c>
      <c r="P18" s="139">
        <v>21550000</v>
      </c>
      <c r="Q18" s="139">
        <f t="shared" si="1"/>
        <v>10220760</v>
      </c>
      <c r="R18" s="143"/>
    </row>
    <row r="19" spans="1:18" ht="24.95" customHeight="1" x14ac:dyDescent="0.25">
      <c r="A19" s="211">
        <v>12</v>
      </c>
      <c r="B19" s="328">
        <v>45525</v>
      </c>
      <c r="C19" s="134" t="s">
        <v>5448</v>
      </c>
      <c r="D19" s="211" t="s">
        <v>814</v>
      </c>
      <c r="E19" s="136" t="s">
        <v>5073</v>
      </c>
      <c r="F19" s="134"/>
      <c r="G19" s="134">
        <v>42</v>
      </c>
      <c r="H19" s="139">
        <f>G19*18770</f>
        <v>788340</v>
      </c>
      <c r="I19" s="134"/>
      <c r="J19" s="139">
        <v>340000</v>
      </c>
      <c r="K19" s="139"/>
      <c r="L19" s="263"/>
      <c r="M19" s="139"/>
      <c r="N19" s="139"/>
      <c r="O19" s="139">
        <f>SUM(H19:N19)</f>
        <v>1128340</v>
      </c>
      <c r="P19" s="139">
        <v>2670000</v>
      </c>
      <c r="Q19" s="139">
        <f t="shared" si="1"/>
        <v>1541660</v>
      </c>
      <c r="R19" s="143"/>
    </row>
    <row r="20" spans="1:18" ht="24.95" customHeight="1" x14ac:dyDescent="0.25">
      <c r="A20" s="211">
        <v>13</v>
      </c>
      <c r="B20" s="328">
        <v>45526</v>
      </c>
      <c r="C20" s="134" t="s">
        <v>5449</v>
      </c>
      <c r="D20" s="211" t="s">
        <v>5472</v>
      </c>
      <c r="E20" s="136" t="s">
        <v>5459</v>
      </c>
      <c r="F20" s="134"/>
      <c r="G20" s="134">
        <v>95</v>
      </c>
      <c r="H20" s="139">
        <f t="shared" ref="H20:H24" si="4">G20*18770</f>
        <v>1783150</v>
      </c>
      <c r="I20" s="134"/>
      <c r="J20" s="139">
        <v>430000</v>
      </c>
      <c r="K20" s="139"/>
      <c r="L20" s="263"/>
      <c r="M20" s="139"/>
      <c r="N20" s="139"/>
      <c r="O20" s="139">
        <f>SUM(H20:N20)</f>
        <v>2213150</v>
      </c>
      <c r="P20" s="139">
        <v>4300000</v>
      </c>
      <c r="Q20" s="139">
        <f t="shared" si="1"/>
        <v>2086850</v>
      </c>
      <c r="R20" s="143"/>
    </row>
    <row r="21" spans="1:18" ht="24.95" customHeight="1" x14ac:dyDescent="0.25">
      <c r="A21" s="211">
        <v>14</v>
      </c>
      <c r="B21" s="328">
        <v>45527</v>
      </c>
      <c r="C21" s="134" t="s">
        <v>5450</v>
      </c>
      <c r="D21" s="211" t="s">
        <v>5473</v>
      </c>
      <c r="E21" s="136" t="s">
        <v>5418</v>
      </c>
      <c r="F21" s="134"/>
      <c r="G21" s="134">
        <v>164</v>
      </c>
      <c r="H21" s="139">
        <f t="shared" si="4"/>
        <v>3078280</v>
      </c>
      <c r="I21" s="134"/>
      <c r="J21" s="139">
        <v>1190000</v>
      </c>
      <c r="K21" s="139"/>
      <c r="L21" s="263"/>
      <c r="M21" s="139"/>
      <c r="N21" s="139"/>
      <c r="O21" s="139">
        <f t="shared" ref="O21:O43" si="5">SUM(H21:N21)</f>
        <v>4268280</v>
      </c>
      <c r="P21" s="139">
        <v>7250000</v>
      </c>
      <c r="Q21" s="139">
        <f t="shared" si="1"/>
        <v>2981720</v>
      </c>
      <c r="R21" s="143"/>
    </row>
    <row r="22" spans="1:18" ht="24.95" customHeight="1" x14ac:dyDescent="0.25">
      <c r="A22" s="211">
        <v>15</v>
      </c>
      <c r="B22" s="328">
        <v>45528</v>
      </c>
      <c r="C22" s="134" t="s">
        <v>5451</v>
      </c>
      <c r="D22" s="211" t="s">
        <v>5474</v>
      </c>
      <c r="E22" s="136" t="s">
        <v>279</v>
      </c>
      <c r="F22" s="134"/>
      <c r="G22" s="134">
        <v>180</v>
      </c>
      <c r="H22" s="139">
        <f t="shared" si="4"/>
        <v>3378600</v>
      </c>
      <c r="I22" s="134"/>
      <c r="J22" s="139">
        <v>1530000</v>
      </c>
      <c r="K22" s="139"/>
      <c r="L22" s="263"/>
      <c r="M22" s="139"/>
      <c r="N22" s="139"/>
      <c r="O22" s="139">
        <f t="shared" si="5"/>
        <v>4908600</v>
      </c>
      <c r="P22" s="139">
        <v>10648148</v>
      </c>
      <c r="Q22" s="139">
        <f t="shared" si="1"/>
        <v>5739548</v>
      </c>
      <c r="R22" s="143"/>
    </row>
    <row r="23" spans="1:18" ht="24.95" customHeight="1" x14ac:dyDescent="0.25">
      <c r="A23" s="211">
        <v>16</v>
      </c>
      <c r="B23" s="328">
        <v>45530</v>
      </c>
      <c r="C23" s="134" t="s">
        <v>5452</v>
      </c>
      <c r="D23" s="211" t="s">
        <v>5475</v>
      </c>
      <c r="E23" s="136" t="s">
        <v>25</v>
      </c>
      <c r="F23" s="134"/>
      <c r="G23" s="134">
        <v>187</v>
      </c>
      <c r="H23" s="139">
        <f t="shared" si="4"/>
        <v>3509990</v>
      </c>
      <c r="I23" s="134"/>
      <c r="J23" s="139">
        <v>1530000</v>
      </c>
      <c r="K23" s="139"/>
      <c r="L23" s="263"/>
      <c r="M23" s="139"/>
      <c r="N23" s="139"/>
      <c r="O23" s="139">
        <f t="shared" si="5"/>
        <v>5039990</v>
      </c>
      <c r="P23" s="139">
        <v>8666667</v>
      </c>
      <c r="Q23" s="139">
        <f t="shared" si="1"/>
        <v>3626677</v>
      </c>
      <c r="R23" s="143"/>
    </row>
    <row r="24" spans="1:18" ht="24.95" customHeight="1" x14ac:dyDescent="0.25">
      <c r="A24" s="211">
        <v>17</v>
      </c>
      <c r="B24" s="381">
        <v>45531</v>
      </c>
      <c r="C24" s="198" t="s">
        <v>5453</v>
      </c>
      <c r="D24" s="210" t="s">
        <v>5476</v>
      </c>
      <c r="E24" s="137" t="s">
        <v>4581</v>
      </c>
      <c r="F24" s="198"/>
      <c r="G24" s="198">
        <v>389</v>
      </c>
      <c r="H24" s="139">
        <f t="shared" si="4"/>
        <v>7301530</v>
      </c>
      <c r="I24" s="198"/>
      <c r="J24" s="139">
        <v>3180000</v>
      </c>
      <c r="K24" s="142"/>
      <c r="L24" s="386"/>
      <c r="M24" s="142"/>
      <c r="N24" s="142"/>
      <c r="O24" s="139">
        <f t="shared" si="5"/>
        <v>10481530</v>
      </c>
      <c r="P24" s="142">
        <v>21550000</v>
      </c>
      <c r="Q24" s="139">
        <f t="shared" si="1"/>
        <v>11068470</v>
      </c>
      <c r="R24" s="143"/>
    </row>
    <row r="25" spans="1:18" ht="24.95" customHeight="1" x14ac:dyDescent="0.25">
      <c r="A25" s="211">
        <v>18</v>
      </c>
      <c r="B25" s="381">
        <v>45533</v>
      </c>
      <c r="C25" s="198" t="s">
        <v>5454</v>
      </c>
      <c r="D25" s="210" t="s">
        <v>5477</v>
      </c>
      <c r="E25" s="137" t="s">
        <v>25</v>
      </c>
      <c r="F25" s="198"/>
      <c r="G25" s="198">
        <v>193</v>
      </c>
      <c r="H25" s="142">
        <f>G25*18470</f>
        <v>3564710</v>
      </c>
      <c r="I25" s="198"/>
      <c r="J25" s="139">
        <v>1530000</v>
      </c>
      <c r="K25" s="142"/>
      <c r="L25" s="386"/>
      <c r="M25" s="142"/>
      <c r="N25" s="142"/>
      <c r="O25" s="139">
        <f t="shared" si="5"/>
        <v>5094710</v>
      </c>
      <c r="P25" s="142">
        <v>9074074</v>
      </c>
      <c r="Q25" s="139">
        <f t="shared" si="1"/>
        <v>3979364</v>
      </c>
      <c r="R25" s="143"/>
    </row>
    <row r="26" spans="1:18" ht="24.95" customHeight="1" x14ac:dyDescent="0.25">
      <c r="A26" s="211">
        <v>19</v>
      </c>
      <c r="B26" s="381">
        <v>45534</v>
      </c>
      <c r="C26" s="198" t="s">
        <v>5455</v>
      </c>
      <c r="D26" s="210" t="s">
        <v>5478</v>
      </c>
      <c r="E26" s="137" t="s">
        <v>291</v>
      </c>
      <c r="F26" s="198"/>
      <c r="G26" s="198">
        <v>0</v>
      </c>
      <c r="H26" s="142">
        <f t="shared" ref="H26:H27" si="6">G26*18470</f>
        <v>0</v>
      </c>
      <c r="I26" s="198"/>
      <c r="J26" s="139">
        <v>910000</v>
      </c>
      <c r="K26" s="142"/>
      <c r="L26" s="386"/>
      <c r="M26" s="142"/>
      <c r="N26" s="142"/>
      <c r="O26" s="139">
        <f t="shared" si="5"/>
        <v>910000</v>
      </c>
      <c r="P26" s="142">
        <v>3710000</v>
      </c>
      <c r="Q26" s="139">
        <f t="shared" si="1"/>
        <v>2800000</v>
      </c>
      <c r="R26" s="143"/>
    </row>
    <row r="27" spans="1:18" ht="24.95" customHeight="1" x14ac:dyDescent="0.25">
      <c r="A27" s="211">
        <v>20</v>
      </c>
      <c r="B27" s="381">
        <v>45534</v>
      </c>
      <c r="C27" s="198" t="s">
        <v>5456</v>
      </c>
      <c r="D27" s="210" t="s">
        <v>5478</v>
      </c>
      <c r="E27" s="137" t="s">
        <v>5460</v>
      </c>
      <c r="F27" s="198"/>
      <c r="G27" s="198">
        <v>109</v>
      </c>
      <c r="H27" s="142">
        <f t="shared" si="6"/>
        <v>2013230</v>
      </c>
      <c r="I27" s="198"/>
      <c r="J27" s="142"/>
      <c r="K27" s="142"/>
      <c r="L27" s="386"/>
      <c r="M27" s="142"/>
      <c r="N27" s="142"/>
      <c r="O27" s="139">
        <f t="shared" si="5"/>
        <v>2013230</v>
      </c>
      <c r="P27" s="142">
        <v>2500000</v>
      </c>
      <c r="Q27" s="139">
        <f t="shared" si="1"/>
        <v>486770</v>
      </c>
      <c r="R27" s="143"/>
    </row>
    <row r="28" spans="1:18" ht="24.95" customHeight="1" x14ac:dyDescent="0.25">
      <c r="A28" s="210"/>
      <c r="B28" s="381"/>
      <c r="C28" s="474" t="s">
        <v>26</v>
      </c>
      <c r="D28" s="475"/>
      <c r="E28" s="476"/>
      <c r="F28" s="376"/>
      <c r="G28" s="151"/>
      <c r="H28" s="377"/>
      <c r="I28" s="151"/>
      <c r="J28" s="377"/>
      <c r="K28" s="378">
        <v>1200000</v>
      </c>
      <c r="L28" s="378"/>
      <c r="M28" s="378"/>
      <c r="N28" s="378"/>
      <c r="O28" s="142">
        <f t="shared" si="5"/>
        <v>1200000</v>
      </c>
      <c r="P28" s="142"/>
      <c r="Q28" s="142"/>
      <c r="R28" s="143"/>
    </row>
    <row r="29" spans="1:18" ht="24.95" customHeight="1" x14ac:dyDescent="0.25">
      <c r="A29" s="211"/>
      <c r="B29" s="328"/>
      <c r="C29" s="452" t="s">
        <v>4798</v>
      </c>
      <c r="D29" s="453"/>
      <c r="E29" s="454"/>
      <c r="F29" s="196"/>
      <c r="G29" s="195"/>
      <c r="H29" s="155"/>
      <c r="I29" s="195"/>
      <c r="J29" s="155"/>
      <c r="K29" s="378">
        <v>15623440</v>
      </c>
      <c r="L29" s="378"/>
      <c r="M29" s="378"/>
      <c r="N29" s="378"/>
      <c r="O29" s="139">
        <f t="shared" si="5"/>
        <v>15623440</v>
      </c>
      <c r="P29" s="139"/>
      <c r="Q29" s="139"/>
      <c r="R29" s="143"/>
    </row>
    <row r="30" spans="1:18" ht="24.95" customHeight="1" x14ac:dyDescent="0.25">
      <c r="A30" s="211"/>
      <c r="B30" s="328"/>
      <c r="C30" s="452" t="s">
        <v>5576</v>
      </c>
      <c r="D30" s="453"/>
      <c r="E30" s="454"/>
      <c r="F30" s="196"/>
      <c r="G30" s="195"/>
      <c r="H30" s="155"/>
      <c r="I30" s="195"/>
      <c r="J30" s="155"/>
      <c r="K30" s="378"/>
      <c r="L30" s="378">
        <v>3100000</v>
      </c>
      <c r="M30" s="378"/>
      <c r="N30" s="378"/>
      <c r="O30" s="139">
        <f t="shared" si="5"/>
        <v>3100000</v>
      </c>
      <c r="P30" s="139"/>
      <c r="Q30" s="139"/>
      <c r="R30" s="143"/>
    </row>
    <row r="31" spans="1:18" ht="24.95" customHeight="1" x14ac:dyDescent="0.25">
      <c r="A31" s="211"/>
      <c r="B31" s="328"/>
      <c r="C31" s="452" t="s">
        <v>5580</v>
      </c>
      <c r="D31" s="453"/>
      <c r="E31" s="454"/>
      <c r="F31" s="196"/>
      <c r="G31" s="195"/>
      <c r="H31" s="155"/>
      <c r="I31" s="195"/>
      <c r="J31" s="155"/>
      <c r="K31" s="378"/>
      <c r="L31" s="378"/>
      <c r="M31" s="378">
        <v>5340000</v>
      </c>
      <c r="N31" s="378"/>
      <c r="O31" s="139">
        <f t="shared" si="5"/>
        <v>5340000</v>
      </c>
      <c r="P31" s="139"/>
      <c r="Q31" s="139"/>
      <c r="R31" s="143"/>
    </row>
    <row r="32" spans="1:18" ht="24.95" customHeight="1" x14ac:dyDescent="0.25">
      <c r="A32" s="211"/>
      <c r="B32" s="328"/>
      <c r="C32" s="452" t="s">
        <v>5581</v>
      </c>
      <c r="D32" s="453"/>
      <c r="E32" s="454"/>
      <c r="F32" s="196"/>
      <c r="G32" s="195"/>
      <c r="H32" s="155"/>
      <c r="I32" s="195"/>
      <c r="J32" s="155"/>
      <c r="K32" s="378"/>
      <c r="L32" s="378">
        <v>1300000</v>
      </c>
      <c r="M32" s="378"/>
      <c r="N32" s="378"/>
      <c r="O32" s="139">
        <f t="shared" si="5"/>
        <v>1300000</v>
      </c>
      <c r="P32" s="139"/>
      <c r="Q32" s="139"/>
      <c r="R32" s="143"/>
    </row>
    <row r="33" spans="1:19" ht="24.95" customHeight="1" x14ac:dyDescent="0.25">
      <c r="A33" s="211"/>
      <c r="B33" s="328"/>
      <c r="C33" s="452" t="s">
        <v>5582</v>
      </c>
      <c r="D33" s="453"/>
      <c r="E33" s="454"/>
      <c r="F33" s="196"/>
      <c r="G33" s="195"/>
      <c r="H33" s="155"/>
      <c r="I33" s="195"/>
      <c r="J33" s="155"/>
      <c r="K33" s="378"/>
      <c r="L33" s="378">
        <v>3800000</v>
      </c>
      <c r="M33" s="378"/>
      <c r="N33" s="378"/>
      <c r="O33" s="139">
        <f t="shared" si="5"/>
        <v>3800000</v>
      </c>
      <c r="P33" s="139"/>
      <c r="Q33" s="139"/>
      <c r="R33" s="143"/>
    </row>
    <row r="34" spans="1:19" ht="24.95" customHeight="1" x14ac:dyDescent="0.25">
      <c r="A34" s="211"/>
      <c r="B34" s="328"/>
      <c r="C34" s="452" t="s">
        <v>5583</v>
      </c>
      <c r="D34" s="453"/>
      <c r="E34" s="454"/>
      <c r="F34" s="196"/>
      <c r="G34" s="195"/>
      <c r="H34" s="155"/>
      <c r="I34" s="195"/>
      <c r="J34" s="155"/>
      <c r="K34" s="378"/>
      <c r="L34" s="378">
        <v>200000</v>
      </c>
      <c r="M34" s="378"/>
      <c r="N34" s="378"/>
      <c r="O34" s="139">
        <f t="shared" si="5"/>
        <v>200000</v>
      </c>
      <c r="P34" s="139"/>
      <c r="Q34" s="139"/>
      <c r="R34" s="143"/>
    </row>
    <row r="35" spans="1:19" ht="24.95" customHeight="1" x14ac:dyDescent="0.25">
      <c r="A35" s="211"/>
      <c r="B35" s="328"/>
      <c r="C35" s="452" t="s">
        <v>5584</v>
      </c>
      <c r="D35" s="453"/>
      <c r="E35" s="454"/>
      <c r="F35" s="196"/>
      <c r="G35" s="195"/>
      <c r="H35" s="155"/>
      <c r="I35" s="195"/>
      <c r="J35" s="155"/>
      <c r="K35" s="378"/>
      <c r="L35" s="378">
        <v>1900000</v>
      </c>
      <c r="M35" s="378"/>
      <c r="N35" s="378"/>
      <c r="O35" s="139">
        <f t="shared" si="5"/>
        <v>1900000</v>
      </c>
      <c r="P35" s="139"/>
      <c r="Q35" s="139"/>
      <c r="R35" s="143"/>
    </row>
    <row r="36" spans="1:19" ht="24.95" customHeight="1" x14ac:dyDescent="0.25">
      <c r="A36" s="211"/>
      <c r="B36" s="328"/>
      <c r="C36" s="452" t="s">
        <v>5585</v>
      </c>
      <c r="D36" s="453"/>
      <c r="E36" s="454"/>
      <c r="F36" s="196"/>
      <c r="G36" s="195"/>
      <c r="H36" s="155"/>
      <c r="I36" s="195"/>
      <c r="J36" s="155"/>
      <c r="K36" s="378"/>
      <c r="L36" s="378">
        <v>750000</v>
      </c>
      <c r="M36" s="378"/>
      <c r="N36" s="378"/>
      <c r="O36" s="139">
        <f t="shared" si="5"/>
        <v>750000</v>
      </c>
      <c r="P36" s="139"/>
      <c r="Q36" s="139"/>
      <c r="R36" s="143"/>
    </row>
    <row r="37" spans="1:19" ht="24.95" customHeight="1" x14ac:dyDescent="0.25">
      <c r="A37" s="211"/>
      <c r="B37" s="328"/>
      <c r="C37" s="452" t="s">
        <v>5586</v>
      </c>
      <c r="D37" s="453"/>
      <c r="E37" s="454"/>
      <c r="F37" s="196"/>
      <c r="G37" s="195"/>
      <c r="H37" s="155"/>
      <c r="I37" s="195"/>
      <c r="J37" s="155"/>
      <c r="K37" s="378"/>
      <c r="L37" s="378"/>
      <c r="M37" s="378">
        <v>11200000</v>
      </c>
      <c r="N37" s="378"/>
      <c r="O37" s="139">
        <f t="shared" si="5"/>
        <v>11200000</v>
      </c>
      <c r="P37" s="139"/>
      <c r="Q37" s="139"/>
      <c r="R37" s="143"/>
    </row>
    <row r="38" spans="1:19" ht="24.95" customHeight="1" x14ac:dyDescent="0.25">
      <c r="A38" s="211"/>
      <c r="B38" s="328"/>
      <c r="C38" s="452" t="s">
        <v>5588</v>
      </c>
      <c r="D38" s="453"/>
      <c r="E38" s="454"/>
      <c r="F38" s="196"/>
      <c r="G38" s="195"/>
      <c r="H38" s="155"/>
      <c r="I38" s="195"/>
      <c r="J38" s="155"/>
      <c r="K38" s="378"/>
      <c r="L38" s="378">
        <v>1300000</v>
      </c>
      <c r="M38" s="378"/>
      <c r="N38" s="378"/>
      <c r="O38" s="139">
        <f t="shared" si="5"/>
        <v>1300000</v>
      </c>
      <c r="P38" s="139"/>
      <c r="Q38" s="139"/>
      <c r="R38" s="143"/>
    </row>
    <row r="39" spans="1:19" ht="24.95" customHeight="1" x14ac:dyDescent="0.25">
      <c r="A39" s="211"/>
      <c r="B39" s="328"/>
      <c r="C39" s="452" t="s">
        <v>5589</v>
      </c>
      <c r="D39" s="453"/>
      <c r="E39" s="454"/>
      <c r="F39" s="196"/>
      <c r="G39" s="195"/>
      <c r="H39" s="155"/>
      <c r="I39" s="195"/>
      <c r="J39" s="155"/>
      <c r="K39" s="378"/>
      <c r="L39" s="378"/>
      <c r="M39" s="378"/>
      <c r="N39" s="378">
        <v>1404000</v>
      </c>
      <c r="O39" s="139">
        <f t="shared" si="5"/>
        <v>1404000</v>
      </c>
      <c r="P39" s="139"/>
      <c r="Q39" s="139"/>
      <c r="R39" s="143"/>
    </row>
    <row r="40" spans="1:19" ht="24.95" customHeight="1" x14ac:dyDescent="0.25">
      <c r="A40" s="211"/>
      <c r="B40" s="328"/>
      <c r="C40" s="452" t="s">
        <v>5590</v>
      </c>
      <c r="D40" s="453"/>
      <c r="E40" s="454"/>
      <c r="F40" s="196"/>
      <c r="G40" s="195"/>
      <c r="H40" s="155"/>
      <c r="I40" s="195"/>
      <c r="J40" s="155"/>
      <c r="K40" s="378"/>
      <c r="L40" s="378">
        <v>2050000</v>
      </c>
      <c r="M40" s="378"/>
      <c r="N40" s="378"/>
      <c r="O40" s="139">
        <f t="shared" si="5"/>
        <v>2050000</v>
      </c>
      <c r="P40" s="139"/>
      <c r="Q40" s="139"/>
      <c r="R40" s="143"/>
    </row>
    <row r="41" spans="1:19" ht="24.95" customHeight="1" x14ac:dyDescent="0.25">
      <c r="A41" s="211"/>
      <c r="B41" s="328"/>
      <c r="C41" s="452" t="s">
        <v>5591</v>
      </c>
      <c r="D41" s="453"/>
      <c r="E41" s="454"/>
      <c r="F41" s="196"/>
      <c r="G41" s="195"/>
      <c r="H41" s="155"/>
      <c r="I41" s="195"/>
      <c r="J41" s="155"/>
      <c r="K41" s="378"/>
      <c r="L41" s="378">
        <v>600000</v>
      </c>
      <c r="M41" s="378"/>
      <c r="N41" s="378"/>
      <c r="O41" s="139">
        <f t="shared" si="5"/>
        <v>600000</v>
      </c>
      <c r="P41" s="139"/>
      <c r="Q41" s="139"/>
      <c r="R41" s="143"/>
    </row>
    <row r="42" spans="1:19" ht="24.95" customHeight="1" x14ac:dyDescent="0.25">
      <c r="A42" s="211"/>
      <c r="B42" s="328"/>
      <c r="C42" s="452" t="s">
        <v>5592</v>
      </c>
      <c r="D42" s="453"/>
      <c r="E42" s="454"/>
      <c r="F42" s="196"/>
      <c r="G42" s="195"/>
      <c r="H42" s="155"/>
      <c r="I42" s="195"/>
      <c r="J42" s="155"/>
      <c r="K42" s="378"/>
      <c r="L42" s="378">
        <v>1070000</v>
      </c>
      <c r="M42" s="378"/>
      <c r="N42" s="378"/>
      <c r="O42" s="139">
        <f t="shared" si="5"/>
        <v>1070000</v>
      </c>
      <c r="P42" s="139"/>
      <c r="Q42" s="139"/>
      <c r="R42" s="143"/>
    </row>
    <row r="43" spans="1:19" ht="24.95" customHeight="1" x14ac:dyDescent="0.25">
      <c r="A43" s="379"/>
      <c r="B43" s="380"/>
      <c r="C43" s="471" t="s">
        <v>4548</v>
      </c>
      <c r="D43" s="472"/>
      <c r="E43" s="473"/>
      <c r="F43" s="152"/>
      <c r="G43" s="153"/>
      <c r="H43" s="156"/>
      <c r="I43" s="153"/>
      <c r="J43" s="156"/>
      <c r="K43" s="288">
        <v>8300000</v>
      </c>
      <c r="L43" s="288"/>
      <c r="M43" s="206"/>
      <c r="N43" s="206"/>
      <c r="O43" s="206">
        <f t="shared" si="5"/>
        <v>8300000</v>
      </c>
      <c r="P43" s="206"/>
      <c r="Q43" s="206"/>
      <c r="R43" s="143"/>
    </row>
    <row r="44" spans="1:19" ht="24.95" customHeight="1" x14ac:dyDescent="0.25">
      <c r="A44" s="426" t="s">
        <v>20</v>
      </c>
      <c r="B44" s="426"/>
      <c r="C44" s="426"/>
      <c r="D44" s="426"/>
      <c r="E44" s="426"/>
      <c r="F44" s="426"/>
      <c r="G44" s="161">
        <f t="shared" ref="G44:N44" si="7">SUM(G8:G43)</f>
        <v>3902</v>
      </c>
      <c r="H44" s="161">
        <f t="shared" si="7"/>
        <v>74721050</v>
      </c>
      <c r="I44" s="161">
        <f t="shared" si="7"/>
        <v>0</v>
      </c>
      <c r="J44" s="161">
        <f t="shared" si="7"/>
        <v>33664000</v>
      </c>
      <c r="K44" s="161">
        <f t="shared" si="7"/>
        <v>25123440</v>
      </c>
      <c r="L44" s="161">
        <f t="shared" si="7"/>
        <v>16070000</v>
      </c>
      <c r="M44" s="161">
        <f t="shared" si="7"/>
        <v>16540000</v>
      </c>
      <c r="N44" s="161">
        <f t="shared" si="7"/>
        <v>1404000</v>
      </c>
      <c r="O44" s="161">
        <f>SUM(O8:O43)</f>
        <v>167522490</v>
      </c>
      <c r="P44" s="161">
        <f>SUM(P8:P43)</f>
        <v>202608519</v>
      </c>
      <c r="Q44" s="161">
        <f>P44-O44</f>
        <v>35086029</v>
      </c>
    </row>
    <row r="45" spans="1:19" ht="24.95" customHeight="1" x14ac:dyDescent="0.25">
      <c r="O45" s="158"/>
      <c r="Q45" s="158"/>
    </row>
    <row r="46" spans="1:19" ht="13.9" customHeight="1" x14ac:dyDescent="0.25">
      <c r="P46" s="216" t="s">
        <v>1603</v>
      </c>
      <c r="Q46" s="227">
        <f>'07.2024'!Q36+'08.2024'!Q44</f>
        <v>199625653</v>
      </c>
      <c r="S46" s="216"/>
    </row>
    <row r="47" spans="1:19" ht="13.9" customHeight="1" x14ac:dyDescent="0.25">
      <c r="B47" s="129"/>
      <c r="J47" s="128"/>
      <c r="K47" s="128"/>
      <c r="L47" s="128"/>
      <c r="N47" s="128"/>
      <c r="O47" s="128"/>
      <c r="P47" s="218"/>
      <c r="Q47" s="216"/>
    </row>
    <row r="48" spans="1:19" ht="13.9" customHeight="1" x14ac:dyDescent="0.25">
      <c r="B48" s="129"/>
      <c r="H48" s="128"/>
      <c r="J48" s="128"/>
      <c r="K48" s="128"/>
      <c r="L48" s="128"/>
      <c r="M48" s="128"/>
      <c r="N48" s="128"/>
      <c r="O48" s="128"/>
      <c r="P48" s="218"/>
      <c r="Q48" s="230"/>
    </row>
    <row r="49" spans="1:19" ht="13.9" customHeight="1" x14ac:dyDescent="0.25">
      <c r="B49" s="129"/>
      <c r="H49" s="128"/>
      <c r="J49" s="128"/>
      <c r="K49" s="128"/>
      <c r="L49" s="128"/>
      <c r="M49" s="128"/>
      <c r="N49" s="128"/>
      <c r="O49" s="128"/>
      <c r="P49" s="218"/>
      <c r="Q49" s="230"/>
    </row>
    <row r="50" spans="1:19" ht="13.9" customHeight="1" x14ac:dyDescent="0.25">
      <c r="B50" s="129"/>
      <c r="G50" s="143"/>
      <c r="H50" s="128"/>
      <c r="J50" s="128"/>
      <c r="K50" s="128"/>
      <c r="L50" s="128"/>
      <c r="M50" s="128"/>
      <c r="N50" s="128"/>
      <c r="O50" s="128"/>
      <c r="P50" s="218"/>
      <c r="Q50" s="230"/>
      <c r="R50" s="143"/>
    </row>
    <row r="51" spans="1:19" ht="13.9" customHeight="1" x14ac:dyDescent="0.25">
      <c r="B51" s="129"/>
      <c r="H51" s="128"/>
      <c r="J51" s="128"/>
      <c r="K51" s="128"/>
      <c r="L51" s="128"/>
      <c r="M51" s="128"/>
      <c r="N51" s="128"/>
      <c r="O51" s="128"/>
      <c r="P51" s="218"/>
      <c r="Q51" s="216"/>
      <c r="R51" s="143"/>
    </row>
    <row r="52" spans="1:19" x14ac:dyDescent="0.25">
      <c r="B52" s="129"/>
      <c r="H52" s="128"/>
      <c r="J52" s="128"/>
      <c r="K52" s="128"/>
      <c r="L52" s="128"/>
      <c r="M52" s="128"/>
      <c r="N52" s="128"/>
      <c r="O52" s="128"/>
      <c r="P52" s="218"/>
      <c r="Q52" s="216"/>
    </row>
    <row r="53" spans="1:19" x14ac:dyDescent="0.25">
      <c r="A53" s="128"/>
      <c r="B53" s="129"/>
      <c r="H53" s="128"/>
      <c r="J53" s="128"/>
      <c r="K53" s="128"/>
      <c r="L53" s="128"/>
      <c r="M53" s="128"/>
      <c r="N53" s="128"/>
      <c r="O53" s="128"/>
      <c r="P53" s="218"/>
      <c r="Q53" s="216"/>
    </row>
    <row r="54" spans="1:19" x14ac:dyDescent="0.25">
      <c r="A54" s="128"/>
      <c r="B54" s="129"/>
      <c r="H54" s="128"/>
      <c r="J54" s="128"/>
      <c r="K54" s="128"/>
      <c r="L54" s="128"/>
      <c r="M54" s="128"/>
      <c r="N54" s="128"/>
      <c r="O54" s="128"/>
      <c r="P54" s="218"/>
      <c r="Q54" s="216"/>
    </row>
    <row r="55" spans="1:19" x14ac:dyDescent="0.25">
      <c r="A55" s="128"/>
      <c r="B55" s="128"/>
      <c r="G55" s="143"/>
      <c r="J55" s="128"/>
      <c r="K55" s="128"/>
      <c r="L55" s="128"/>
      <c r="M55" s="128"/>
      <c r="N55" s="128"/>
      <c r="O55" s="128"/>
      <c r="P55" s="128"/>
      <c r="Q55" s="216"/>
    </row>
    <row r="56" spans="1:19" x14ac:dyDescent="0.25">
      <c r="A56" s="128"/>
      <c r="B56" s="128"/>
      <c r="H56" s="128"/>
      <c r="J56" s="128"/>
      <c r="K56" s="128"/>
      <c r="L56" s="128"/>
      <c r="M56" s="128"/>
      <c r="N56" s="128"/>
      <c r="O56" s="128"/>
      <c r="P56" s="128"/>
      <c r="Q56" s="216"/>
    </row>
    <row r="58" spans="1:19" s="143" customFormat="1" x14ac:dyDescent="0.25">
      <c r="A58" s="129"/>
      <c r="B58" s="163"/>
      <c r="C58" s="128"/>
      <c r="D58" s="128"/>
      <c r="E58" s="128"/>
      <c r="F58" s="128"/>
      <c r="I58" s="128"/>
      <c r="R58" s="128"/>
      <c r="S58" s="128"/>
    </row>
  </sheetData>
  <mergeCells count="30">
    <mergeCell ref="A1:Q1"/>
    <mergeCell ref="A2:Q2"/>
    <mergeCell ref="B3:Q3"/>
    <mergeCell ref="A5:A6"/>
    <mergeCell ref="B5:B6"/>
    <mergeCell ref="C5:C6"/>
    <mergeCell ref="D5:D6"/>
    <mergeCell ref="E5:E6"/>
    <mergeCell ref="F5:F6"/>
    <mergeCell ref="G5:N5"/>
    <mergeCell ref="C36:E36"/>
    <mergeCell ref="O5:O6"/>
    <mergeCell ref="P5:P6"/>
    <mergeCell ref="Q5:Q6"/>
    <mergeCell ref="C28:E28"/>
    <mergeCell ref="C29:E29"/>
    <mergeCell ref="C30:E30"/>
    <mergeCell ref="C31:E31"/>
    <mergeCell ref="C32:E32"/>
    <mergeCell ref="C33:E33"/>
    <mergeCell ref="C34:E34"/>
    <mergeCell ref="C35:E35"/>
    <mergeCell ref="A44:F44"/>
    <mergeCell ref="C37:E37"/>
    <mergeCell ref="C38:E38"/>
    <mergeCell ref="C39:E39"/>
    <mergeCell ref="C40:E40"/>
    <mergeCell ref="C41:E41"/>
    <mergeCell ref="C43:E43"/>
    <mergeCell ref="C42:E42"/>
  </mergeCells>
  <pageMargins left="0.7" right="0.7" top="0.75" bottom="0.75" header="0.3" footer="0.3"/>
  <pageSetup paperSize="9" orientation="portrait" horizontalDpi="0" verticalDpi="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E8A5-774C-45F8-AF6E-2EED7A063856}">
  <dimension ref="A1:S40"/>
  <sheetViews>
    <sheetView tabSelected="1" topLeftCell="A4" zoomScale="90" zoomScaleNormal="90" workbookViewId="0">
      <selection activeCell="J22" sqref="J22"/>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9.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5492</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45538</v>
      </c>
      <c r="C8" s="134" t="s">
        <v>5480</v>
      </c>
      <c r="D8" s="211" t="s">
        <v>5493</v>
      </c>
      <c r="E8" s="136" t="s">
        <v>4509</v>
      </c>
      <c r="F8" s="134"/>
      <c r="G8" s="134">
        <v>378</v>
      </c>
      <c r="H8" s="139">
        <f>G8*18470</f>
        <v>6981660</v>
      </c>
      <c r="I8" s="134"/>
      <c r="J8" s="139">
        <v>3868000</v>
      </c>
      <c r="K8" s="139"/>
      <c r="L8" s="263"/>
      <c r="M8" s="139"/>
      <c r="N8" s="139"/>
      <c r="O8" s="139">
        <f>SUM(H8:N8)</f>
        <v>10849660</v>
      </c>
      <c r="P8" s="139">
        <v>20900000</v>
      </c>
      <c r="Q8" s="139">
        <f>P8-O8</f>
        <v>10050340</v>
      </c>
      <c r="R8" s="143"/>
    </row>
    <row r="9" spans="1:18" ht="24.95" customHeight="1" x14ac:dyDescent="0.25">
      <c r="A9" s="211">
        <v>2</v>
      </c>
      <c r="B9" s="328">
        <v>45540</v>
      </c>
      <c r="C9" s="134" t="s">
        <v>5481</v>
      </c>
      <c r="D9" s="211" t="s">
        <v>5494</v>
      </c>
      <c r="E9" s="136" t="s">
        <v>3098</v>
      </c>
      <c r="F9" s="134"/>
      <c r="G9" s="134">
        <v>55</v>
      </c>
      <c r="H9" s="139">
        <f>G9*18090</f>
        <v>994950</v>
      </c>
      <c r="I9" s="134"/>
      <c r="J9" s="139">
        <v>340000</v>
      </c>
      <c r="K9" s="139"/>
      <c r="L9" s="263"/>
      <c r="M9" s="139"/>
      <c r="N9" s="139"/>
      <c r="O9" s="139">
        <f>SUM(H9:N9)</f>
        <v>1334950</v>
      </c>
      <c r="P9" s="139">
        <v>2930000</v>
      </c>
      <c r="Q9" s="139">
        <f t="shared" ref="Q9:Q19" si="0">P9-O9</f>
        <v>1595050</v>
      </c>
      <c r="R9" s="143"/>
    </row>
    <row r="10" spans="1:18" ht="24.95" customHeight="1" x14ac:dyDescent="0.25">
      <c r="A10" s="211">
        <v>3</v>
      </c>
      <c r="B10" s="328">
        <v>45541</v>
      </c>
      <c r="C10" s="134" t="s">
        <v>5482</v>
      </c>
      <c r="D10" s="211" t="s">
        <v>5495</v>
      </c>
      <c r="E10" s="136" t="s">
        <v>23</v>
      </c>
      <c r="F10" s="134"/>
      <c r="G10" s="134">
        <v>248</v>
      </c>
      <c r="H10" s="139">
        <f>G10*18090</f>
        <v>4486320</v>
      </c>
      <c r="I10" s="134"/>
      <c r="J10" s="139">
        <v>2380000</v>
      </c>
      <c r="K10" s="139"/>
      <c r="L10" s="263"/>
      <c r="M10" s="139"/>
      <c r="N10" s="139"/>
      <c r="O10" s="139">
        <f t="shared" ref="O10:O17" si="1">SUM(H10:N10)</f>
        <v>6866320</v>
      </c>
      <c r="P10" s="139">
        <v>13425926</v>
      </c>
      <c r="Q10" s="139">
        <f t="shared" si="0"/>
        <v>6559606</v>
      </c>
      <c r="R10" s="143"/>
    </row>
    <row r="11" spans="1:18" ht="24.95" customHeight="1" x14ac:dyDescent="0.25">
      <c r="A11" s="211">
        <v>4</v>
      </c>
      <c r="B11" s="328">
        <v>45544</v>
      </c>
      <c r="C11" s="134" t="s">
        <v>5483</v>
      </c>
      <c r="D11" s="211" t="s">
        <v>5496</v>
      </c>
      <c r="E11" s="136" t="s">
        <v>5505</v>
      </c>
      <c r="F11" s="134"/>
      <c r="G11" s="134">
        <v>183</v>
      </c>
      <c r="H11" s="139">
        <f>G11*17160</f>
        <v>3140280</v>
      </c>
      <c r="I11" s="134"/>
      <c r="J11" s="139">
        <v>1190000</v>
      </c>
      <c r="K11" s="139"/>
      <c r="L11" s="263"/>
      <c r="M11" s="139"/>
      <c r="N11" s="139"/>
      <c r="O11" s="139">
        <f t="shared" si="1"/>
        <v>4330280</v>
      </c>
      <c r="P11" s="139">
        <v>7400000</v>
      </c>
      <c r="Q11" s="139">
        <f t="shared" si="0"/>
        <v>3069720</v>
      </c>
      <c r="R11" s="143"/>
    </row>
    <row r="12" spans="1:18" ht="24.95" customHeight="1" x14ac:dyDescent="0.25">
      <c r="A12" s="211">
        <v>5</v>
      </c>
      <c r="B12" s="328">
        <v>45551</v>
      </c>
      <c r="C12" s="134" t="s">
        <v>5484</v>
      </c>
      <c r="D12" s="211" t="s">
        <v>5497</v>
      </c>
      <c r="E12" s="136" t="s">
        <v>944</v>
      </c>
      <c r="F12" s="134"/>
      <c r="G12" s="134">
        <v>57</v>
      </c>
      <c r="H12" s="139">
        <f t="shared" ref="H12:H13" si="2">G12*17160</f>
        <v>978120</v>
      </c>
      <c r="I12" s="134"/>
      <c r="J12" s="139">
        <v>430000</v>
      </c>
      <c r="K12" s="139"/>
      <c r="L12" s="263"/>
      <c r="M12" s="139"/>
      <c r="N12" s="139"/>
      <c r="O12" s="139">
        <f t="shared" si="1"/>
        <v>1408120</v>
      </c>
      <c r="P12" s="139">
        <v>2910000</v>
      </c>
      <c r="Q12" s="139">
        <f t="shared" si="0"/>
        <v>1501880</v>
      </c>
      <c r="R12" s="143"/>
    </row>
    <row r="13" spans="1:18" ht="24.95" customHeight="1" x14ac:dyDescent="0.25">
      <c r="A13" s="211">
        <v>6</v>
      </c>
      <c r="B13" s="328">
        <v>45552</v>
      </c>
      <c r="C13" s="134" t="s">
        <v>5485</v>
      </c>
      <c r="D13" s="211" t="s">
        <v>5498</v>
      </c>
      <c r="E13" s="136" t="s">
        <v>4509</v>
      </c>
      <c r="F13" s="134"/>
      <c r="G13" s="134">
        <v>385</v>
      </c>
      <c r="H13" s="139">
        <f t="shared" si="2"/>
        <v>6606600</v>
      </c>
      <c r="I13" s="134"/>
      <c r="J13" s="139">
        <v>3032000</v>
      </c>
      <c r="K13" s="139"/>
      <c r="L13" s="263"/>
      <c r="M13" s="139"/>
      <c r="N13" s="139"/>
      <c r="O13" s="139">
        <f t="shared" si="1"/>
        <v>9638600</v>
      </c>
      <c r="P13" s="139">
        <v>20900000</v>
      </c>
      <c r="Q13" s="139">
        <f t="shared" si="0"/>
        <v>11261400</v>
      </c>
      <c r="R13" s="143"/>
    </row>
    <row r="14" spans="1:18" ht="24.95" customHeight="1" x14ac:dyDescent="0.25">
      <c r="A14" s="211">
        <v>7</v>
      </c>
      <c r="B14" s="328">
        <v>45554</v>
      </c>
      <c r="C14" s="134" t="s">
        <v>5486</v>
      </c>
      <c r="D14" s="211" t="s">
        <v>5499</v>
      </c>
      <c r="E14" s="136" t="s">
        <v>4581</v>
      </c>
      <c r="F14" s="134"/>
      <c r="G14" s="134">
        <v>389</v>
      </c>
      <c r="H14" s="139">
        <f>G14*17040</f>
        <v>6628560</v>
      </c>
      <c r="I14" s="134"/>
      <c r="J14" s="139">
        <v>3398000</v>
      </c>
      <c r="K14" s="139"/>
      <c r="L14" s="263"/>
      <c r="M14" s="139"/>
      <c r="N14" s="139"/>
      <c r="O14" s="139">
        <f t="shared" si="1"/>
        <v>10026560</v>
      </c>
      <c r="P14" s="139">
        <v>21550000</v>
      </c>
      <c r="Q14" s="139">
        <f t="shared" si="0"/>
        <v>11523440</v>
      </c>
      <c r="R14" s="143"/>
    </row>
    <row r="15" spans="1:18" ht="24.95" customHeight="1" x14ac:dyDescent="0.25">
      <c r="A15" s="211">
        <v>8</v>
      </c>
      <c r="B15" s="328">
        <v>45556</v>
      </c>
      <c r="C15" s="134" t="s">
        <v>5487</v>
      </c>
      <c r="D15" s="211" t="s">
        <v>5500</v>
      </c>
      <c r="E15" s="136" t="s">
        <v>4581</v>
      </c>
      <c r="F15" s="134"/>
      <c r="G15" s="134">
        <v>392</v>
      </c>
      <c r="H15" s="139">
        <f t="shared" ref="H15:H17" si="3">G15*17040</f>
        <v>6679680</v>
      </c>
      <c r="I15" s="134"/>
      <c r="J15" s="139">
        <v>3398000</v>
      </c>
      <c r="K15" s="139"/>
      <c r="L15" s="263"/>
      <c r="M15" s="139"/>
      <c r="N15" s="139"/>
      <c r="O15" s="139">
        <f t="shared" si="1"/>
        <v>10077680</v>
      </c>
      <c r="P15" s="139">
        <v>21550000</v>
      </c>
      <c r="Q15" s="139">
        <f t="shared" si="0"/>
        <v>11472320</v>
      </c>
      <c r="R15" s="143"/>
    </row>
    <row r="16" spans="1:18" ht="24.95" customHeight="1" x14ac:dyDescent="0.25">
      <c r="A16" s="211">
        <v>9</v>
      </c>
      <c r="B16" s="328">
        <v>45558</v>
      </c>
      <c r="C16" s="134" t="s">
        <v>5488</v>
      </c>
      <c r="D16" s="211" t="s">
        <v>5501</v>
      </c>
      <c r="E16" s="136" t="s">
        <v>2883</v>
      </c>
      <c r="F16" s="134"/>
      <c r="G16" s="134">
        <v>63</v>
      </c>
      <c r="H16" s="139">
        <f t="shared" si="3"/>
        <v>1073520</v>
      </c>
      <c r="I16" s="134"/>
      <c r="J16" s="139">
        <v>430000</v>
      </c>
      <c r="K16" s="139"/>
      <c r="L16" s="263"/>
      <c r="M16" s="139"/>
      <c r="N16" s="139"/>
      <c r="O16" s="139">
        <f t="shared" si="1"/>
        <v>1503520</v>
      </c>
      <c r="P16" s="139">
        <v>3200000</v>
      </c>
      <c r="Q16" s="139">
        <f t="shared" si="0"/>
        <v>1696480</v>
      </c>
      <c r="R16" s="143"/>
    </row>
    <row r="17" spans="1:19" ht="24.95" customHeight="1" x14ac:dyDescent="0.25">
      <c r="A17" s="211">
        <v>10</v>
      </c>
      <c r="B17" s="328">
        <v>45559</v>
      </c>
      <c r="C17" s="134" t="s">
        <v>5489</v>
      </c>
      <c r="D17" s="211" t="s">
        <v>5502</v>
      </c>
      <c r="E17" s="136" t="s">
        <v>5011</v>
      </c>
      <c r="F17" s="134"/>
      <c r="G17" s="134">
        <v>62</v>
      </c>
      <c r="H17" s="139">
        <f t="shared" si="3"/>
        <v>1056480</v>
      </c>
      <c r="I17" s="134"/>
      <c r="J17" s="139">
        <v>430000</v>
      </c>
      <c r="K17" s="139"/>
      <c r="L17" s="263"/>
      <c r="M17" s="139"/>
      <c r="N17" s="139"/>
      <c r="O17" s="139">
        <f t="shared" si="1"/>
        <v>1486480</v>
      </c>
      <c r="P17" s="139">
        <v>2970000</v>
      </c>
      <c r="Q17" s="139">
        <f t="shared" si="0"/>
        <v>1483520</v>
      </c>
      <c r="R17" s="143"/>
    </row>
    <row r="18" spans="1:19" ht="24.95" customHeight="1" x14ac:dyDescent="0.25">
      <c r="A18" s="211">
        <v>11</v>
      </c>
      <c r="B18" s="328">
        <v>45562</v>
      </c>
      <c r="C18" s="134" t="s">
        <v>5490</v>
      </c>
      <c r="D18" s="211" t="s">
        <v>5503</v>
      </c>
      <c r="E18" s="136" t="s">
        <v>4859</v>
      </c>
      <c r="F18" s="134"/>
      <c r="G18" s="134">
        <v>372</v>
      </c>
      <c r="H18" s="139">
        <f>G18*17500</f>
        <v>6510000</v>
      </c>
      <c r="I18" s="134"/>
      <c r="J18" s="139">
        <v>3748000</v>
      </c>
      <c r="K18" s="139"/>
      <c r="L18" s="263"/>
      <c r="M18" s="139"/>
      <c r="N18" s="139"/>
      <c r="O18" s="139">
        <f>SUM(H18:N18)</f>
        <v>10258000</v>
      </c>
      <c r="P18" s="139">
        <v>20900000</v>
      </c>
      <c r="Q18" s="139">
        <f t="shared" si="0"/>
        <v>10642000</v>
      </c>
      <c r="R18" s="143"/>
    </row>
    <row r="19" spans="1:19" ht="24.95" customHeight="1" x14ac:dyDescent="0.25">
      <c r="A19" s="211">
        <v>12</v>
      </c>
      <c r="B19" s="328">
        <v>45563</v>
      </c>
      <c r="C19" s="134" t="s">
        <v>5491</v>
      </c>
      <c r="D19" s="211" t="s">
        <v>5504</v>
      </c>
      <c r="E19" s="136" t="s">
        <v>5405</v>
      </c>
      <c r="F19" s="134"/>
      <c r="G19" s="134">
        <v>152</v>
      </c>
      <c r="H19" s="139">
        <f>G19*17500</f>
        <v>2660000</v>
      </c>
      <c r="I19" s="134"/>
      <c r="J19" s="139">
        <v>1082000</v>
      </c>
      <c r="K19" s="139"/>
      <c r="L19" s="263"/>
      <c r="M19" s="139"/>
      <c r="N19" s="139"/>
      <c r="O19" s="139">
        <f>SUM(H19:N19)</f>
        <v>3742000</v>
      </c>
      <c r="P19" s="139">
        <v>7000000</v>
      </c>
      <c r="Q19" s="139">
        <f t="shared" si="0"/>
        <v>3258000</v>
      </c>
      <c r="R19" s="143"/>
    </row>
    <row r="20" spans="1:19" ht="24.95" customHeight="1" x14ac:dyDescent="0.25">
      <c r="A20" s="210"/>
      <c r="B20" s="381"/>
      <c r="C20" s="474" t="s">
        <v>26</v>
      </c>
      <c r="D20" s="475"/>
      <c r="E20" s="476"/>
      <c r="F20" s="376"/>
      <c r="G20" s="151"/>
      <c r="H20" s="377"/>
      <c r="I20" s="151"/>
      <c r="J20" s="377"/>
      <c r="K20" s="378">
        <v>1200000</v>
      </c>
      <c r="L20" s="378"/>
      <c r="M20" s="378"/>
      <c r="N20" s="378"/>
      <c r="O20" s="142">
        <f t="shared" ref="O20:O25" si="4">SUM(H20:N20)</f>
        <v>1200000</v>
      </c>
      <c r="P20" s="142"/>
      <c r="Q20" s="142"/>
      <c r="R20" s="143"/>
    </row>
    <row r="21" spans="1:19" ht="24.95" customHeight="1" x14ac:dyDescent="0.25">
      <c r="A21" s="211"/>
      <c r="B21" s="328"/>
      <c r="C21" s="452" t="s">
        <v>4798</v>
      </c>
      <c r="D21" s="453"/>
      <c r="E21" s="454"/>
      <c r="F21" s="196"/>
      <c r="G21" s="195"/>
      <c r="H21" s="155"/>
      <c r="I21" s="195"/>
      <c r="J21" s="155"/>
      <c r="K21" s="378">
        <v>12591040</v>
      </c>
      <c r="L21" s="378"/>
      <c r="M21" s="378"/>
      <c r="N21" s="378"/>
      <c r="O21" s="139">
        <f t="shared" si="4"/>
        <v>12591040</v>
      </c>
      <c r="P21" s="139"/>
      <c r="Q21" s="139"/>
      <c r="R21" s="143"/>
    </row>
    <row r="22" spans="1:19" ht="24.95" customHeight="1" x14ac:dyDescent="0.25">
      <c r="A22" s="211"/>
      <c r="B22" s="328"/>
      <c r="C22" s="452" t="s">
        <v>5587</v>
      </c>
      <c r="D22" s="453"/>
      <c r="E22" s="454"/>
      <c r="F22" s="196"/>
      <c r="G22" s="195"/>
      <c r="H22" s="155"/>
      <c r="I22" s="195"/>
      <c r="J22" s="155"/>
      <c r="K22" s="378">
        <v>300000</v>
      </c>
      <c r="L22" s="378"/>
      <c r="M22" s="378"/>
      <c r="N22" s="378"/>
      <c r="O22" s="139">
        <f t="shared" si="4"/>
        <v>300000</v>
      </c>
      <c r="P22" s="139"/>
      <c r="Q22" s="139"/>
      <c r="R22" s="143"/>
    </row>
    <row r="23" spans="1:19" ht="24.95" customHeight="1" x14ac:dyDescent="0.25">
      <c r="A23" s="211"/>
      <c r="B23" s="328"/>
      <c r="C23" s="452" t="s">
        <v>5593</v>
      </c>
      <c r="D23" s="453"/>
      <c r="E23" s="454"/>
      <c r="F23" s="196"/>
      <c r="G23" s="195"/>
      <c r="H23" s="155"/>
      <c r="I23" s="195"/>
      <c r="J23" s="155"/>
      <c r="K23" s="378"/>
      <c r="L23" s="378">
        <v>3000000</v>
      </c>
      <c r="M23" s="378"/>
      <c r="N23" s="378"/>
      <c r="O23" s="139">
        <f t="shared" si="4"/>
        <v>3000000</v>
      </c>
      <c r="P23" s="139"/>
      <c r="Q23" s="139"/>
      <c r="R23" s="143"/>
    </row>
    <row r="24" spans="1:19" ht="24.95" customHeight="1" x14ac:dyDescent="0.25">
      <c r="A24" s="211"/>
      <c r="B24" s="328"/>
      <c r="C24" s="452" t="s">
        <v>5603</v>
      </c>
      <c r="D24" s="453"/>
      <c r="E24" s="454"/>
      <c r="F24" s="196"/>
      <c r="G24" s="195"/>
      <c r="H24" s="155"/>
      <c r="I24" s="195"/>
      <c r="J24" s="155"/>
      <c r="K24" s="378"/>
      <c r="L24" s="378">
        <v>334800</v>
      </c>
      <c r="M24" s="378"/>
      <c r="N24" s="378"/>
      <c r="O24" s="139">
        <f t="shared" si="4"/>
        <v>334800</v>
      </c>
      <c r="P24" s="139"/>
      <c r="Q24" s="139"/>
      <c r="R24" s="143"/>
    </row>
    <row r="25" spans="1:19" ht="24.95" customHeight="1" x14ac:dyDescent="0.25">
      <c r="A25" s="379"/>
      <c r="B25" s="380"/>
      <c r="C25" s="471" t="s">
        <v>5610</v>
      </c>
      <c r="D25" s="472"/>
      <c r="E25" s="473"/>
      <c r="F25" s="152"/>
      <c r="G25" s="153"/>
      <c r="H25" s="156"/>
      <c r="I25" s="153"/>
      <c r="J25" s="156"/>
      <c r="K25" s="288">
        <v>6500000</v>
      </c>
      <c r="L25" s="288"/>
      <c r="M25" s="206"/>
      <c r="N25" s="206"/>
      <c r="O25" s="206">
        <f t="shared" si="4"/>
        <v>6500000</v>
      </c>
      <c r="P25" s="206"/>
      <c r="Q25" s="206"/>
      <c r="R25" s="143"/>
    </row>
    <row r="26" spans="1:19" ht="24.95" customHeight="1" x14ac:dyDescent="0.25">
      <c r="A26" s="426" t="s">
        <v>20</v>
      </c>
      <c r="B26" s="426"/>
      <c r="C26" s="426"/>
      <c r="D26" s="426"/>
      <c r="E26" s="426"/>
      <c r="F26" s="426"/>
      <c r="G26" s="161">
        <f t="shared" ref="G26:P26" si="5">SUM(G8:G25)</f>
        <v>2736</v>
      </c>
      <c r="H26" s="161">
        <f t="shared" si="5"/>
        <v>47796170</v>
      </c>
      <c r="I26" s="161">
        <f t="shared" si="5"/>
        <v>0</v>
      </c>
      <c r="J26" s="161">
        <f t="shared" si="5"/>
        <v>23726000</v>
      </c>
      <c r="K26" s="161">
        <f t="shared" si="5"/>
        <v>20591040</v>
      </c>
      <c r="L26" s="161">
        <f t="shared" si="5"/>
        <v>3334800</v>
      </c>
      <c r="M26" s="161">
        <f t="shared" si="5"/>
        <v>0</v>
      </c>
      <c r="N26" s="161">
        <f t="shared" si="5"/>
        <v>0</v>
      </c>
      <c r="O26" s="161">
        <f t="shared" si="5"/>
        <v>95448010</v>
      </c>
      <c r="P26" s="161">
        <f t="shared" si="5"/>
        <v>145635926</v>
      </c>
      <c r="Q26" s="161">
        <f>P26-O26</f>
        <v>50187916</v>
      </c>
    </row>
    <row r="27" spans="1:19" ht="24.95" customHeight="1" x14ac:dyDescent="0.25">
      <c r="O27" s="158"/>
      <c r="Q27" s="158"/>
    </row>
    <row r="28" spans="1:19" ht="13.9" customHeight="1" x14ac:dyDescent="0.25">
      <c r="P28" s="216" t="s">
        <v>1603</v>
      </c>
      <c r="Q28" s="227">
        <f>'08.2024'!Q46+'09.2024'!Q26</f>
        <v>249813569</v>
      </c>
      <c r="S28" s="216"/>
    </row>
    <row r="29" spans="1:19" ht="13.9" customHeight="1" x14ac:dyDescent="0.25">
      <c r="B29" s="129"/>
      <c r="J29" s="128"/>
      <c r="K29" s="128"/>
      <c r="L29" s="128"/>
      <c r="N29" s="128"/>
      <c r="O29" s="128"/>
      <c r="P29" s="218"/>
      <c r="Q29" s="216"/>
    </row>
    <row r="30" spans="1:19" ht="13.9" customHeight="1" x14ac:dyDescent="0.25">
      <c r="B30" s="129"/>
      <c r="H30" s="128"/>
      <c r="J30" s="128"/>
      <c r="K30" s="128"/>
      <c r="L30" s="128"/>
      <c r="M30" s="128"/>
      <c r="N30" s="128"/>
      <c r="O30" s="128"/>
      <c r="P30" s="218"/>
      <c r="Q30" s="230"/>
    </row>
    <row r="31" spans="1:19" ht="13.9" customHeight="1" x14ac:dyDescent="0.25">
      <c r="B31" s="129"/>
      <c r="H31" s="128"/>
      <c r="J31" s="128"/>
      <c r="K31" s="128"/>
      <c r="L31" s="128"/>
      <c r="M31" s="128"/>
      <c r="N31" s="128"/>
      <c r="O31" s="128"/>
      <c r="P31" s="218"/>
      <c r="Q31" s="230"/>
    </row>
    <row r="32" spans="1:19" ht="13.9" customHeight="1" x14ac:dyDescent="0.25">
      <c r="B32" s="129"/>
      <c r="G32" s="143"/>
      <c r="H32" s="128"/>
      <c r="J32" s="128"/>
      <c r="K32" s="128"/>
      <c r="L32" s="128"/>
      <c r="M32" s="128"/>
      <c r="N32" s="128"/>
      <c r="O32" s="128"/>
      <c r="P32" s="218"/>
      <c r="Q32" s="230"/>
      <c r="R32" s="143"/>
    </row>
    <row r="33" spans="1:19" ht="13.9" customHeight="1" x14ac:dyDescent="0.25">
      <c r="B33" s="129"/>
      <c r="H33" s="128"/>
      <c r="J33" s="128"/>
      <c r="K33" s="128"/>
      <c r="L33" s="128"/>
      <c r="M33" s="128"/>
      <c r="N33" s="128"/>
      <c r="O33" s="128"/>
      <c r="P33" s="218"/>
      <c r="Q33" s="216"/>
      <c r="R33" s="143"/>
    </row>
    <row r="34" spans="1:19" x14ac:dyDescent="0.25">
      <c r="B34" s="129"/>
      <c r="H34" s="128"/>
      <c r="J34" s="128"/>
      <c r="K34" s="128"/>
      <c r="L34" s="128"/>
      <c r="M34" s="128"/>
      <c r="N34" s="128"/>
      <c r="O34" s="128"/>
      <c r="P34" s="218"/>
      <c r="Q34" s="216"/>
    </row>
    <row r="35" spans="1:19" x14ac:dyDescent="0.25">
      <c r="A35" s="128"/>
      <c r="B35" s="129"/>
      <c r="H35" s="128"/>
      <c r="J35" s="128"/>
      <c r="K35" s="128"/>
      <c r="L35" s="128"/>
      <c r="M35" s="128"/>
      <c r="N35" s="128"/>
      <c r="O35" s="128"/>
      <c r="P35" s="218"/>
      <c r="Q35" s="216"/>
    </row>
    <row r="36" spans="1:19" x14ac:dyDescent="0.25">
      <c r="A36" s="128"/>
      <c r="B36" s="129"/>
      <c r="H36" s="128"/>
      <c r="J36" s="128"/>
      <c r="K36" s="128"/>
      <c r="L36" s="128"/>
      <c r="M36" s="128"/>
      <c r="N36" s="128"/>
      <c r="O36" s="128"/>
      <c r="P36" s="218"/>
      <c r="Q36" s="216"/>
    </row>
    <row r="37" spans="1:19" x14ac:dyDescent="0.25">
      <c r="A37" s="128"/>
      <c r="B37" s="128"/>
      <c r="G37" s="143"/>
      <c r="J37" s="128"/>
      <c r="K37" s="128"/>
      <c r="L37" s="128"/>
      <c r="M37" s="128"/>
      <c r="N37" s="128"/>
      <c r="O37" s="128"/>
      <c r="P37" s="128"/>
      <c r="Q37" s="216"/>
    </row>
    <row r="38" spans="1:19" x14ac:dyDescent="0.25">
      <c r="A38" s="128"/>
      <c r="B38" s="128"/>
      <c r="H38" s="128"/>
      <c r="J38" s="128"/>
      <c r="K38" s="128"/>
      <c r="L38" s="128"/>
      <c r="M38" s="128"/>
      <c r="N38" s="128"/>
      <c r="O38" s="128"/>
      <c r="P38" s="128"/>
      <c r="Q38" s="216"/>
    </row>
    <row r="40" spans="1:19" s="143" customFormat="1" x14ac:dyDescent="0.25">
      <c r="A40" s="129"/>
      <c r="B40" s="163"/>
      <c r="C40" s="128"/>
      <c r="D40" s="128"/>
      <c r="E40" s="128"/>
      <c r="F40" s="128"/>
      <c r="I40" s="128"/>
      <c r="R40" s="128"/>
      <c r="S40" s="128"/>
    </row>
  </sheetData>
  <mergeCells count="20">
    <mergeCell ref="A1:Q1"/>
    <mergeCell ref="A2:Q2"/>
    <mergeCell ref="B3:Q3"/>
    <mergeCell ref="A5:A6"/>
    <mergeCell ref="B5:B6"/>
    <mergeCell ref="C5:C6"/>
    <mergeCell ref="D5:D6"/>
    <mergeCell ref="E5:E6"/>
    <mergeCell ref="F5:F6"/>
    <mergeCell ref="G5:N5"/>
    <mergeCell ref="A26:F26"/>
    <mergeCell ref="C25:E25"/>
    <mergeCell ref="O5:O6"/>
    <mergeCell ref="P5:P6"/>
    <mergeCell ref="Q5:Q6"/>
    <mergeCell ref="C20:E20"/>
    <mergeCell ref="C21:E21"/>
    <mergeCell ref="C22:E22"/>
    <mergeCell ref="C23:E23"/>
    <mergeCell ref="C24:E24"/>
  </mergeCells>
  <pageMargins left="0.7" right="0.7" top="0.75" bottom="0.75" header="0.3" footer="0.3"/>
  <pageSetup paperSize="9" orientation="portrait" horizontalDpi="0" verticalDpi="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C554-6F02-44E4-84B7-BEFBD00C9ED9}">
  <dimension ref="A1:S62"/>
  <sheetViews>
    <sheetView topLeftCell="A28" zoomScale="90" zoomScaleNormal="90" workbookViewId="0">
      <selection activeCell="K47" sqref="K47"/>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9.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5608</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45566</v>
      </c>
      <c r="C8" s="134" t="s">
        <v>5528</v>
      </c>
      <c r="D8" s="211" t="s">
        <v>5097</v>
      </c>
      <c r="E8" s="136" t="s">
        <v>291</v>
      </c>
      <c r="F8" s="134"/>
      <c r="G8" s="134">
        <v>69</v>
      </c>
      <c r="H8" s="139">
        <f>G8*17500</f>
        <v>1207500</v>
      </c>
      <c r="I8" s="134"/>
      <c r="J8" s="139">
        <v>610000</v>
      </c>
      <c r="K8" s="139"/>
      <c r="L8" s="263"/>
      <c r="M8" s="139"/>
      <c r="N8" s="139"/>
      <c r="O8" s="139">
        <f>SUM(H8:N8)</f>
        <v>1817500</v>
      </c>
      <c r="P8" s="139">
        <v>3570000</v>
      </c>
      <c r="Q8" s="139">
        <f>P8-O8</f>
        <v>1752500</v>
      </c>
      <c r="R8" s="143"/>
    </row>
    <row r="9" spans="1:18" ht="24.95" customHeight="1" x14ac:dyDescent="0.25">
      <c r="A9" s="211">
        <v>2</v>
      </c>
      <c r="B9" s="328">
        <v>45567</v>
      </c>
      <c r="C9" s="134" t="s">
        <v>5529</v>
      </c>
      <c r="D9" s="211" t="s">
        <v>5423</v>
      </c>
      <c r="E9" s="136" t="s">
        <v>5521</v>
      </c>
      <c r="F9" s="134"/>
      <c r="G9" s="134">
        <v>91</v>
      </c>
      <c r="H9" s="139">
        <f>G9*17500</f>
        <v>1592500</v>
      </c>
      <c r="I9" s="134"/>
      <c r="J9" s="139">
        <v>790000</v>
      </c>
      <c r="K9" s="139"/>
      <c r="L9" s="263"/>
      <c r="M9" s="139"/>
      <c r="N9" s="139"/>
      <c r="O9" s="139">
        <f>SUM(H9:N9)</f>
        <v>2382500</v>
      </c>
      <c r="P9" s="139">
        <v>4750000</v>
      </c>
      <c r="Q9" s="139">
        <f t="shared" ref="Q9:Q26" si="0">P9-O9</f>
        <v>2367500</v>
      </c>
      <c r="R9" s="143"/>
    </row>
    <row r="10" spans="1:18" ht="24.95" customHeight="1" x14ac:dyDescent="0.25">
      <c r="A10" s="211">
        <v>3</v>
      </c>
      <c r="B10" s="328">
        <v>45568</v>
      </c>
      <c r="C10" s="134" t="s">
        <v>5530</v>
      </c>
      <c r="D10" s="211" t="s">
        <v>5506</v>
      </c>
      <c r="E10" s="136" t="s">
        <v>4509</v>
      </c>
      <c r="F10" s="134"/>
      <c r="G10" s="134">
        <v>382</v>
      </c>
      <c r="H10" s="139">
        <f>G10*17400</f>
        <v>6646800</v>
      </c>
      <c r="I10" s="134"/>
      <c r="J10" s="139">
        <v>3918000</v>
      </c>
      <c r="K10" s="139"/>
      <c r="L10" s="263"/>
      <c r="M10" s="139"/>
      <c r="N10" s="139"/>
      <c r="O10" s="139">
        <f t="shared" ref="O10:O17" si="1">SUM(H10:N10)</f>
        <v>10564800</v>
      </c>
      <c r="P10" s="139">
        <v>20900000</v>
      </c>
      <c r="Q10" s="139">
        <f t="shared" si="0"/>
        <v>10335200</v>
      </c>
      <c r="R10" s="143"/>
    </row>
    <row r="11" spans="1:18" ht="24.95" customHeight="1" x14ac:dyDescent="0.25">
      <c r="A11" s="211">
        <v>4</v>
      </c>
      <c r="B11" s="328">
        <v>45570</v>
      </c>
      <c r="C11" s="134" t="s">
        <v>5531</v>
      </c>
      <c r="D11" s="211" t="s">
        <v>5507</v>
      </c>
      <c r="E11" s="136" t="s">
        <v>4581</v>
      </c>
      <c r="F11" s="134"/>
      <c r="G11" s="134">
        <v>385</v>
      </c>
      <c r="H11" s="139">
        <f t="shared" ref="H11:H12" si="2">G11*17400</f>
        <v>6699000</v>
      </c>
      <c r="I11" s="134"/>
      <c r="J11" s="139">
        <v>3748000</v>
      </c>
      <c r="K11" s="139"/>
      <c r="L11" s="263"/>
      <c r="M11" s="139"/>
      <c r="N11" s="139"/>
      <c r="O11" s="139">
        <f t="shared" si="1"/>
        <v>10447000</v>
      </c>
      <c r="P11" s="139">
        <v>21550000</v>
      </c>
      <c r="Q11" s="139">
        <f t="shared" si="0"/>
        <v>11103000</v>
      </c>
      <c r="R11" s="143"/>
    </row>
    <row r="12" spans="1:18" ht="24.95" customHeight="1" x14ac:dyDescent="0.25">
      <c r="A12" s="211">
        <v>5</v>
      </c>
      <c r="B12" s="328">
        <v>45572</v>
      </c>
      <c r="C12" s="134" t="s">
        <v>5532</v>
      </c>
      <c r="D12" s="211" t="s">
        <v>5508</v>
      </c>
      <c r="E12" s="136" t="s">
        <v>4509</v>
      </c>
      <c r="F12" s="134"/>
      <c r="G12" s="134">
        <v>385</v>
      </c>
      <c r="H12" s="139">
        <f t="shared" si="2"/>
        <v>6699000</v>
      </c>
      <c r="I12" s="134"/>
      <c r="J12" s="139">
        <v>3748000</v>
      </c>
      <c r="K12" s="139"/>
      <c r="L12" s="263"/>
      <c r="M12" s="139"/>
      <c r="N12" s="139"/>
      <c r="O12" s="139">
        <f t="shared" si="1"/>
        <v>10447000</v>
      </c>
      <c r="P12" s="139">
        <v>20900000</v>
      </c>
      <c r="Q12" s="139">
        <f t="shared" si="0"/>
        <v>10453000</v>
      </c>
      <c r="R12" s="143"/>
    </row>
    <row r="13" spans="1:18" ht="24.95" customHeight="1" x14ac:dyDescent="0.25">
      <c r="A13" s="211">
        <v>6</v>
      </c>
      <c r="B13" s="328">
        <v>45574</v>
      </c>
      <c r="C13" s="134" t="s">
        <v>2694</v>
      </c>
      <c r="D13" s="211" t="s">
        <v>5509</v>
      </c>
      <c r="E13" s="136" t="s">
        <v>5522</v>
      </c>
      <c r="F13" s="134"/>
      <c r="G13" s="134">
        <v>156</v>
      </c>
      <c r="H13" s="139">
        <f>G13*18500</f>
        <v>2886000</v>
      </c>
      <c r="I13" s="134"/>
      <c r="J13" s="139">
        <v>1190000</v>
      </c>
      <c r="K13" s="139"/>
      <c r="L13" s="263"/>
      <c r="M13" s="139"/>
      <c r="N13" s="139"/>
      <c r="O13" s="139">
        <f t="shared" si="1"/>
        <v>4076000</v>
      </c>
      <c r="P13" s="139">
        <v>7000000</v>
      </c>
      <c r="Q13" s="139">
        <f t="shared" si="0"/>
        <v>2924000</v>
      </c>
      <c r="R13" s="143"/>
    </row>
    <row r="14" spans="1:18" ht="24.95" customHeight="1" x14ac:dyDescent="0.25">
      <c r="A14" s="211">
        <v>7</v>
      </c>
      <c r="B14" s="328">
        <v>45575</v>
      </c>
      <c r="C14" s="134" t="s">
        <v>4559</v>
      </c>
      <c r="D14" s="211" t="s">
        <v>5510</v>
      </c>
      <c r="E14" s="136" t="s">
        <v>5523</v>
      </c>
      <c r="F14" s="134"/>
      <c r="G14" s="134">
        <v>56</v>
      </c>
      <c r="H14" s="139">
        <f t="shared" ref="H14:H16" si="3">G14*18500</f>
        <v>1036000</v>
      </c>
      <c r="I14" s="134"/>
      <c r="J14" s="139">
        <v>430000</v>
      </c>
      <c r="K14" s="139"/>
      <c r="L14" s="263"/>
      <c r="M14" s="139"/>
      <c r="N14" s="139"/>
      <c r="O14" s="139">
        <f t="shared" si="1"/>
        <v>1466000</v>
      </c>
      <c r="P14" s="139">
        <v>4066296</v>
      </c>
      <c r="Q14" s="139">
        <f t="shared" si="0"/>
        <v>2600296</v>
      </c>
      <c r="R14" s="143"/>
    </row>
    <row r="15" spans="1:18" ht="24.95" customHeight="1" x14ac:dyDescent="0.25">
      <c r="A15" s="211">
        <v>8</v>
      </c>
      <c r="B15" s="328">
        <v>45577</v>
      </c>
      <c r="C15" s="134" t="s">
        <v>5533</v>
      </c>
      <c r="D15" s="211" t="s">
        <v>5511</v>
      </c>
      <c r="E15" s="136" t="s">
        <v>2798</v>
      </c>
      <c r="F15" s="134"/>
      <c r="G15" s="134">
        <v>114</v>
      </c>
      <c r="H15" s="139">
        <f t="shared" si="3"/>
        <v>2109000</v>
      </c>
      <c r="I15" s="134"/>
      <c r="J15" s="139">
        <v>790000</v>
      </c>
      <c r="K15" s="139"/>
      <c r="L15" s="263"/>
      <c r="M15" s="139"/>
      <c r="N15" s="139"/>
      <c r="O15" s="139">
        <f t="shared" si="1"/>
        <v>2899000</v>
      </c>
      <c r="P15" s="139">
        <v>4900000</v>
      </c>
      <c r="Q15" s="139">
        <f t="shared" si="0"/>
        <v>2001000</v>
      </c>
      <c r="R15" s="143"/>
    </row>
    <row r="16" spans="1:18" ht="24.95" customHeight="1" x14ac:dyDescent="0.25">
      <c r="A16" s="211">
        <v>9</v>
      </c>
      <c r="B16" s="328">
        <v>45579</v>
      </c>
      <c r="C16" s="134" t="s">
        <v>3357</v>
      </c>
      <c r="D16" s="211" t="s">
        <v>5512</v>
      </c>
      <c r="E16" s="136" t="s">
        <v>4509</v>
      </c>
      <c r="F16" s="134"/>
      <c r="G16" s="134">
        <v>381</v>
      </c>
      <c r="H16" s="139">
        <f t="shared" si="3"/>
        <v>7048500</v>
      </c>
      <c r="I16" s="134"/>
      <c r="J16" s="139">
        <v>3748000</v>
      </c>
      <c r="K16" s="139"/>
      <c r="L16" s="263"/>
      <c r="M16" s="139"/>
      <c r="N16" s="139"/>
      <c r="O16" s="139">
        <f t="shared" si="1"/>
        <v>10796500</v>
      </c>
      <c r="P16" s="139">
        <v>20900000</v>
      </c>
      <c r="Q16" s="139">
        <f t="shared" si="0"/>
        <v>10103500</v>
      </c>
      <c r="R16" s="143"/>
    </row>
    <row r="17" spans="1:18" ht="24.95" customHeight="1" x14ac:dyDescent="0.25">
      <c r="A17" s="211">
        <v>10</v>
      </c>
      <c r="B17" s="328">
        <v>45581</v>
      </c>
      <c r="C17" s="134" t="s">
        <v>5534</v>
      </c>
      <c r="D17" s="211" t="s">
        <v>5513</v>
      </c>
      <c r="E17" s="136" t="s">
        <v>2799</v>
      </c>
      <c r="F17" s="134"/>
      <c r="G17" s="134">
        <v>112</v>
      </c>
      <c r="H17" s="139">
        <f>G17*18320</f>
        <v>2051840</v>
      </c>
      <c r="I17" s="134"/>
      <c r="J17" s="139">
        <v>830000</v>
      </c>
      <c r="K17" s="139"/>
      <c r="L17" s="263"/>
      <c r="M17" s="139"/>
      <c r="N17" s="139"/>
      <c r="O17" s="139">
        <f t="shared" si="1"/>
        <v>2881840</v>
      </c>
      <c r="P17" s="139">
        <v>4800000</v>
      </c>
      <c r="Q17" s="139">
        <f t="shared" si="0"/>
        <v>1918160</v>
      </c>
      <c r="R17" s="143"/>
    </row>
    <row r="18" spans="1:18" ht="24.95" customHeight="1" x14ac:dyDescent="0.25">
      <c r="A18" s="211">
        <v>11</v>
      </c>
      <c r="B18" s="328">
        <v>45582</v>
      </c>
      <c r="C18" s="134" t="s">
        <v>5535</v>
      </c>
      <c r="D18" s="211" t="s">
        <v>5514</v>
      </c>
      <c r="E18" s="136" t="s">
        <v>5524</v>
      </c>
      <c r="F18" s="134"/>
      <c r="G18" s="134">
        <v>61</v>
      </c>
      <c r="H18" s="139">
        <f t="shared" ref="H18:H21" si="4">G18*18320</f>
        <v>1117520</v>
      </c>
      <c r="I18" s="134"/>
      <c r="J18" s="139">
        <v>430000</v>
      </c>
      <c r="K18" s="139"/>
      <c r="L18" s="263"/>
      <c r="M18" s="139"/>
      <c r="N18" s="139"/>
      <c r="O18" s="139">
        <f>SUM(H18:N18)</f>
        <v>1547520</v>
      </c>
      <c r="P18" s="139">
        <v>2970000</v>
      </c>
      <c r="Q18" s="139">
        <f t="shared" si="0"/>
        <v>1422480</v>
      </c>
      <c r="R18" s="143"/>
    </row>
    <row r="19" spans="1:18" ht="24.95" customHeight="1" x14ac:dyDescent="0.25">
      <c r="A19" s="211">
        <v>12</v>
      </c>
      <c r="B19" s="328">
        <v>45583</v>
      </c>
      <c r="C19" s="134" t="s">
        <v>5536</v>
      </c>
      <c r="D19" s="211" t="s">
        <v>4729</v>
      </c>
      <c r="E19" s="136" t="s">
        <v>5525</v>
      </c>
      <c r="F19" s="134"/>
      <c r="G19" s="134">
        <v>69</v>
      </c>
      <c r="H19" s="139">
        <f t="shared" si="4"/>
        <v>1264080</v>
      </c>
      <c r="I19" s="134"/>
      <c r="J19" s="139">
        <v>430000</v>
      </c>
      <c r="K19" s="139"/>
      <c r="L19" s="263"/>
      <c r="M19" s="139"/>
      <c r="N19" s="139"/>
      <c r="O19" s="139">
        <f>SUM(H19:N19)</f>
        <v>1694080</v>
      </c>
      <c r="P19" s="139">
        <v>3480000</v>
      </c>
      <c r="Q19" s="139">
        <f t="shared" si="0"/>
        <v>1785920</v>
      </c>
      <c r="R19" s="143"/>
    </row>
    <row r="20" spans="1:18" ht="24.95" customHeight="1" x14ac:dyDescent="0.25">
      <c r="A20" s="211">
        <v>13</v>
      </c>
      <c r="B20" s="328">
        <v>45584</v>
      </c>
      <c r="C20" s="134" t="s">
        <v>4000</v>
      </c>
      <c r="D20" s="211" t="s">
        <v>5515</v>
      </c>
      <c r="E20" s="136" t="s">
        <v>4509</v>
      </c>
      <c r="F20" s="134"/>
      <c r="G20" s="134">
        <v>386</v>
      </c>
      <c r="H20" s="139">
        <f t="shared" si="4"/>
        <v>7071520</v>
      </c>
      <c r="I20" s="134"/>
      <c r="J20" s="139">
        <v>3748000</v>
      </c>
      <c r="K20" s="139"/>
      <c r="L20" s="263"/>
      <c r="M20" s="139"/>
      <c r="N20" s="139"/>
      <c r="O20" s="139">
        <f>SUM(H20:N20)</f>
        <v>10819520</v>
      </c>
      <c r="P20" s="139">
        <v>20900000</v>
      </c>
      <c r="Q20" s="139">
        <f t="shared" si="0"/>
        <v>10080480</v>
      </c>
      <c r="R20" s="143"/>
    </row>
    <row r="21" spans="1:18" ht="24.95" customHeight="1" x14ac:dyDescent="0.25">
      <c r="A21" s="211">
        <v>14</v>
      </c>
      <c r="B21" s="328">
        <v>45587</v>
      </c>
      <c r="C21" s="134" t="s">
        <v>2701</v>
      </c>
      <c r="D21" s="211" t="s">
        <v>5516</v>
      </c>
      <c r="E21" s="136" t="s">
        <v>4509</v>
      </c>
      <c r="F21" s="134"/>
      <c r="G21" s="134">
        <v>382</v>
      </c>
      <c r="H21" s="139">
        <f t="shared" si="4"/>
        <v>6998240</v>
      </c>
      <c r="I21" s="134"/>
      <c r="J21" s="139">
        <v>3748000</v>
      </c>
      <c r="K21" s="139"/>
      <c r="L21" s="263"/>
      <c r="M21" s="139"/>
      <c r="N21" s="139"/>
      <c r="O21" s="139">
        <f t="shared" ref="O21:O47" si="5">SUM(H21:N21)</f>
        <v>10746240</v>
      </c>
      <c r="P21" s="139">
        <v>20900000</v>
      </c>
      <c r="Q21" s="139">
        <f t="shared" si="0"/>
        <v>10153760</v>
      </c>
      <c r="R21" s="143"/>
    </row>
    <row r="22" spans="1:18" ht="24.95" customHeight="1" x14ac:dyDescent="0.25">
      <c r="A22" s="211">
        <v>15</v>
      </c>
      <c r="B22" s="328">
        <v>45589</v>
      </c>
      <c r="C22" s="134" t="s">
        <v>685</v>
      </c>
      <c r="D22" s="211" t="s">
        <v>5517</v>
      </c>
      <c r="E22" s="136" t="s">
        <v>25</v>
      </c>
      <c r="F22" s="134"/>
      <c r="G22" s="134">
        <v>180</v>
      </c>
      <c r="H22" s="139">
        <f>G22*18050</f>
        <v>3249000</v>
      </c>
      <c r="I22" s="134"/>
      <c r="J22" s="139">
        <v>1476000</v>
      </c>
      <c r="K22" s="139"/>
      <c r="L22" s="263"/>
      <c r="M22" s="139"/>
      <c r="N22" s="139"/>
      <c r="O22" s="139">
        <f t="shared" si="5"/>
        <v>4725000</v>
      </c>
      <c r="P22" s="139">
        <v>8333333</v>
      </c>
      <c r="Q22" s="139">
        <f t="shared" si="0"/>
        <v>3608333</v>
      </c>
      <c r="R22" s="143"/>
    </row>
    <row r="23" spans="1:18" ht="24.95" customHeight="1" x14ac:dyDescent="0.25">
      <c r="A23" s="211">
        <v>16</v>
      </c>
      <c r="B23" s="328">
        <v>45590</v>
      </c>
      <c r="C23" s="134" t="s">
        <v>4003</v>
      </c>
      <c r="D23" s="211" t="s">
        <v>5518</v>
      </c>
      <c r="E23" s="136" t="s">
        <v>25</v>
      </c>
      <c r="F23" s="134"/>
      <c r="G23" s="134">
        <v>184</v>
      </c>
      <c r="H23" s="139">
        <f t="shared" ref="H23" si="6">G23*18050</f>
        <v>3321200</v>
      </c>
      <c r="I23" s="134"/>
      <c r="J23" s="139">
        <v>1530000</v>
      </c>
      <c r="K23" s="139"/>
      <c r="L23" s="263"/>
      <c r="M23" s="139"/>
      <c r="N23" s="139"/>
      <c r="O23" s="139">
        <f t="shared" si="5"/>
        <v>4851200</v>
      </c>
      <c r="P23" s="139">
        <v>8333333</v>
      </c>
      <c r="Q23" s="139">
        <f t="shared" si="0"/>
        <v>3482133</v>
      </c>
      <c r="R23" s="143"/>
    </row>
    <row r="24" spans="1:18" ht="24.95" customHeight="1" x14ac:dyDescent="0.25">
      <c r="A24" s="211">
        <v>17</v>
      </c>
      <c r="B24" s="328">
        <v>45593</v>
      </c>
      <c r="C24" s="134" t="s">
        <v>5537</v>
      </c>
      <c r="D24" s="211" t="s">
        <v>2712</v>
      </c>
      <c r="E24" s="136" t="s">
        <v>2796</v>
      </c>
      <c r="F24" s="134"/>
      <c r="G24" s="134">
        <v>90</v>
      </c>
      <c r="H24" s="139">
        <f>G24*18140</f>
        <v>1632600</v>
      </c>
      <c r="I24" s="134"/>
      <c r="J24" s="139">
        <v>790000</v>
      </c>
      <c r="K24" s="139"/>
      <c r="L24" s="263"/>
      <c r="M24" s="139"/>
      <c r="N24" s="139"/>
      <c r="O24" s="139">
        <f t="shared" si="5"/>
        <v>2422600</v>
      </c>
      <c r="P24" s="139">
        <v>4100000</v>
      </c>
      <c r="Q24" s="139">
        <f t="shared" si="0"/>
        <v>1677400</v>
      </c>
      <c r="R24" s="143"/>
    </row>
    <row r="25" spans="1:18" ht="24.95" customHeight="1" x14ac:dyDescent="0.25">
      <c r="A25" s="211">
        <v>19</v>
      </c>
      <c r="B25" s="328">
        <v>45596</v>
      </c>
      <c r="C25" s="134" t="s">
        <v>5538</v>
      </c>
      <c r="D25" s="211" t="s">
        <v>5519</v>
      </c>
      <c r="E25" s="136" t="s">
        <v>5526</v>
      </c>
      <c r="F25" s="134"/>
      <c r="G25" s="134">
        <v>225</v>
      </c>
      <c r="H25" s="139">
        <f t="shared" ref="H25:H26" si="7">G25*18140</f>
        <v>4081500</v>
      </c>
      <c r="I25" s="134"/>
      <c r="J25" s="139">
        <v>1906000</v>
      </c>
      <c r="K25" s="139"/>
      <c r="L25" s="263"/>
      <c r="M25" s="139"/>
      <c r="N25" s="139"/>
      <c r="O25" s="139">
        <f t="shared" si="5"/>
        <v>5987500</v>
      </c>
      <c r="P25" s="139">
        <v>12000000</v>
      </c>
      <c r="Q25" s="139">
        <f t="shared" si="0"/>
        <v>6012500</v>
      </c>
      <c r="R25" s="143"/>
    </row>
    <row r="26" spans="1:18" ht="24.95" customHeight="1" x14ac:dyDescent="0.25">
      <c r="A26" s="211">
        <v>20</v>
      </c>
      <c r="B26" s="328">
        <v>45599</v>
      </c>
      <c r="C26" s="134" t="s">
        <v>5539</v>
      </c>
      <c r="D26" s="211" t="s">
        <v>5520</v>
      </c>
      <c r="E26" s="136" t="s">
        <v>5527</v>
      </c>
      <c r="F26" s="134"/>
      <c r="G26" s="134">
        <v>72</v>
      </c>
      <c r="H26" s="139">
        <f t="shared" si="7"/>
        <v>1306080</v>
      </c>
      <c r="I26" s="134"/>
      <c r="J26" s="139">
        <v>430000</v>
      </c>
      <c r="K26" s="139"/>
      <c r="L26" s="263"/>
      <c r="M26" s="139"/>
      <c r="N26" s="139"/>
      <c r="O26" s="139">
        <f t="shared" si="5"/>
        <v>1736080</v>
      </c>
      <c r="P26" s="139">
        <v>3270000</v>
      </c>
      <c r="Q26" s="139">
        <f t="shared" si="0"/>
        <v>1533920</v>
      </c>
      <c r="R26" s="143"/>
    </row>
    <row r="27" spans="1:18" ht="24.95" customHeight="1" x14ac:dyDescent="0.25">
      <c r="A27" s="210"/>
      <c r="B27" s="328"/>
      <c r="C27" s="387"/>
      <c r="D27" s="388"/>
      <c r="E27" s="389"/>
      <c r="F27" s="134"/>
      <c r="G27" s="134"/>
      <c r="H27" s="139"/>
      <c r="I27" s="134"/>
      <c r="J27" s="139"/>
      <c r="K27" s="139"/>
      <c r="L27" s="263"/>
      <c r="M27" s="139"/>
      <c r="N27" s="139"/>
      <c r="O27" s="139"/>
      <c r="P27" s="139"/>
      <c r="Q27" s="142"/>
      <c r="R27" s="143"/>
    </row>
    <row r="28" spans="1:18" ht="24.95" customHeight="1" x14ac:dyDescent="0.25">
      <c r="A28" s="210"/>
      <c r="B28" s="381"/>
      <c r="C28" s="474" t="s">
        <v>26</v>
      </c>
      <c r="D28" s="475"/>
      <c r="E28" s="476"/>
      <c r="F28" s="376"/>
      <c r="G28" s="151"/>
      <c r="H28" s="377"/>
      <c r="I28" s="151"/>
      <c r="J28" s="377"/>
      <c r="K28" s="378">
        <v>1200000</v>
      </c>
      <c r="L28" s="378"/>
      <c r="M28" s="378"/>
      <c r="N28" s="378"/>
      <c r="O28" s="142">
        <f t="shared" si="5"/>
        <v>1200000</v>
      </c>
      <c r="P28" s="142"/>
      <c r="Q28" s="142"/>
      <c r="R28" s="143"/>
    </row>
    <row r="29" spans="1:18" ht="24.95" customHeight="1" x14ac:dyDescent="0.25">
      <c r="A29" s="211"/>
      <c r="B29" s="328"/>
      <c r="C29" s="452" t="s">
        <v>4798</v>
      </c>
      <c r="D29" s="453"/>
      <c r="E29" s="454"/>
      <c r="F29" s="196"/>
      <c r="G29" s="195"/>
      <c r="H29" s="155"/>
      <c r="I29" s="195"/>
      <c r="J29" s="155"/>
      <c r="K29" s="378">
        <v>15568000</v>
      </c>
      <c r="L29" s="378"/>
      <c r="M29" s="378"/>
      <c r="N29" s="378"/>
      <c r="O29" s="139">
        <f t="shared" si="5"/>
        <v>15568000</v>
      </c>
      <c r="P29" s="139"/>
      <c r="Q29" s="139"/>
      <c r="R29" s="143"/>
    </row>
    <row r="30" spans="1:18" ht="24.95" customHeight="1" x14ac:dyDescent="0.25">
      <c r="A30" s="211"/>
      <c r="B30" s="328"/>
      <c r="C30" s="477" t="s">
        <v>5594</v>
      </c>
      <c r="D30" s="478"/>
      <c r="E30" s="479"/>
      <c r="F30" s="196"/>
      <c r="G30" s="195"/>
      <c r="H30" s="155"/>
      <c r="I30" s="195"/>
      <c r="J30" s="155"/>
      <c r="K30" s="378"/>
      <c r="L30" s="378">
        <v>9112000</v>
      </c>
      <c r="M30" s="378"/>
      <c r="N30" s="378"/>
      <c r="O30" s="139">
        <f t="shared" si="5"/>
        <v>9112000</v>
      </c>
      <c r="P30" s="139"/>
      <c r="Q30" s="139"/>
      <c r="R30" s="143"/>
    </row>
    <row r="31" spans="1:18" ht="24.95" customHeight="1" x14ac:dyDescent="0.25">
      <c r="A31" s="211"/>
      <c r="B31" s="328"/>
      <c r="C31" s="477" t="s">
        <v>5595</v>
      </c>
      <c r="D31" s="478"/>
      <c r="E31" s="479"/>
      <c r="F31" s="196"/>
      <c r="G31" s="195"/>
      <c r="H31" s="155"/>
      <c r="I31" s="195"/>
      <c r="J31" s="155"/>
      <c r="K31" s="378"/>
      <c r="L31" s="378">
        <v>900000</v>
      </c>
      <c r="M31" s="378"/>
      <c r="N31" s="378"/>
      <c r="O31" s="139">
        <f t="shared" si="5"/>
        <v>900000</v>
      </c>
      <c r="P31" s="139"/>
      <c r="Q31" s="139"/>
      <c r="R31" s="143"/>
    </row>
    <row r="32" spans="1:18" ht="24.95" customHeight="1" x14ac:dyDescent="0.25">
      <c r="A32" s="211"/>
      <c r="B32" s="328"/>
      <c r="C32" s="477" t="s">
        <v>5596</v>
      </c>
      <c r="D32" s="478"/>
      <c r="E32" s="479"/>
      <c r="F32" s="196"/>
      <c r="G32" s="195"/>
      <c r="H32" s="155"/>
      <c r="I32" s="195"/>
      <c r="J32" s="155"/>
      <c r="K32" s="378"/>
      <c r="L32" s="378">
        <v>2592000</v>
      </c>
      <c r="M32" s="378"/>
      <c r="N32" s="378"/>
      <c r="O32" s="139">
        <f t="shared" si="5"/>
        <v>2592000</v>
      </c>
      <c r="P32" s="139"/>
      <c r="Q32" s="139"/>
      <c r="R32" s="143"/>
    </row>
    <row r="33" spans="1:18" ht="24.95" customHeight="1" x14ac:dyDescent="0.25">
      <c r="A33" s="211"/>
      <c r="B33" s="328"/>
      <c r="C33" s="477" t="s">
        <v>5597</v>
      </c>
      <c r="D33" s="478"/>
      <c r="E33" s="479"/>
      <c r="F33" s="196"/>
      <c r="G33" s="195"/>
      <c r="H33" s="155"/>
      <c r="I33" s="195"/>
      <c r="J33" s="155"/>
      <c r="K33" s="378"/>
      <c r="L33" s="378">
        <v>100000</v>
      </c>
      <c r="M33" s="378"/>
      <c r="N33" s="378"/>
      <c r="O33" s="139">
        <f t="shared" si="5"/>
        <v>100000</v>
      </c>
      <c r="P33" s="139"/>
      <c r="Q33" s="139"/>
      <c r="R33" s="143"/>
    </row>
    <row r="34" spans="1:18" ht="24.95" customHeight="1" x14ac:dyDescent="0.25">
      <c r="A34" s="211"/>
      <c r="B34" s="328"/>
      <c r="C34" s="477" t="s">
        <v>5598</v>
      </c>
      <c r="D34" s="478"/>
      <c r="E34" s="479"/>
      <c r="F34" s="196"/>
      <c r="G34" s="195"/>
      <c r="H34" s="155"/>
      <c r="I34" s="195"/>
      <c r="J34" s="155"/>
      <c r="K34" s="378"/>
      <c r="L34" s="378">
        <v>200000</v>
      </c>
      <c r="M34" s="378"/>
      <c r="N34" s="378"/>
      <c r="O34" s="139">
        <f t="shared" si="5"/>
        <v>200000</v>
      </c>
      <c r="P34" s="139"/>
      <c r="Q34" s="139"/>
      <c r="R34" s="143"/>
    </row>
    <row r="35" spans="1:18" ht="24.95" customHeight="1" x14ac:dyDescent="0.25">
      <c r="A35" s="211"/>
      <c r="B35" s="328"/>
      <c r="C35" s="477" t="s">
        <v>5599</v>
      </c>
      <c r="D35" s="478"/>
      <c r="E35" s="479"/>
      <c r="F35" s="196"/>
      <c r="G35" s="195"/>
      <c r="H35" s="155"/>
      <c r="I35" s="195"/>
      <c r="J35" s="155"/>
      <c r="K35" s="378"/>
      <c r="L35" s="378"/>
      <c r="M35" s="378">
        <v>300000</v>
      </c>
      <c r="N35" s="378"/>
      <c r="O35" s="139">
        <f t="shared" si="5"/>
        <v>300000</v>
      </c>
      <c r="P35" s="139"/>
      <c r="Q35" s="139"/>
      <c r="R35" s="143"/>
    </row>
    <row r="36" spans="1:18" ht="24.95" customHeight="1" x14ac:dyDescent="0.25">
      <c r="A36" s="211"/>
      <c r="B36" s="328"/>
      <c r="C36" s="477" t="s">
        <v>5600</v>
      </c>
      <c r="D36" s="478"/>
      <c r="E36" s="479"/>
      <c r="F36" s="196"/>
      <c r="G36" s="195"/>
      <c r="H36" s="155"/>
      <c r="I36" s="195"/>
      <c r="J36" s="155"/>
      <c r="K36" s="378"/>
      <c r="L36" s="378">
        <v>22896000</v>
      </c>
      <c r="M36" s="378"/>
      <c r="N36" s="378"/>
      <c r="O36" s="139">
        <f t="shared" si="5"/>
        <v>22896000</v>
      </c>
      <c r="P36" s="139"/>
      <c r="Q36" s="139"/>
      <c r="R36" s="143"/>
    </row>
    <row r="37" spans="1:18" ht="24.95" customHeight="1" x14ac:dyDescent="0.25">
      <c r="A37" s="211"/>
      <c r="B37" s="328"/>
      <c r="C37" s="477" t="s">
        <v>5601</v>
      </c>
      <c r="D37" s="478"/>
      <c r="E37" s="479"/>
      <c r="F37" s="196"/>
      <c r="G37" s="195"/>
      <c r="H37" s="155"/>
      <c r="I37" s="195"/>
      <c r="J37" s="155"/>
      <c r="K37" s="378"/>
      <c r="L37" s="378">
        <v>1512000</v>
      </c>
      <c r="M37" s="378"/>
      <c r="N37" s="378"/>
      <c r="O37" s="139">
        <f t="shared" si="5"/>
        <v>1512000</v>
      </c>
      <c r="P37" s="139"/>
      <c r="Q37" s="139"/>
      <c r="R37" s="143"/>
    </row>
    <row r="38" spans="1:18" ht="24.95" customHeight="1" x14ac:dyDescent="0.25">
      <c r="A38" s="211"/>
      <c r="B38" s="328"/>
      <c r="C38" s="477" t="s">
        <v>5602</v>
      </c>
      <c r="D38" s="478"/>
      <c r="E38" s="479"/>
      <c r="F38" s="196"/>
      <c r="G38" s="195"/>
      <c r="H38" s="155"/>
      <c r="I38" s="195"/>
      <c r="J38" s="155"/>
      <c r="K38" s="378"/>
      <c r="L38" s="378">
        <v>3400000</v>
      </c>
      <c r="M38" s="378"/>
      <c r="N38" s="378"/>
      <c r="O38" s="139">
        <f t="shared" si="5"/>
        <v>3400000</v>
      </c>
      <c r="P38" s="139"/>
      <c r="Q38" s="139"/>
      <c r="R38" s="143"/>
    </row>
    <row r="39" spans="1:18" ht="24.95" customHeight="1" x14ac:dyDescent="0.25">
      <c r="A39" s="211"/>
      <c r="B39" s="328"/>
      <c r="C39" s="477" t="s">
        <v>5604</v>
      </c>
      <c r="D39" s="478"/>
      <c r="E39" s="479"/>
      <c r="F39" s="196"/>
      <c r="G39" s="195"/>
      <c r="H39" s="155"/>
      <c r="I39" s="195"/>
      <c r="J39" s="155"/>
      <c r="K39" s="378"/>
      <c r="L39" s="378">
        <v>183600</v>
      </c>
      <c r="M39" s="378"/>
      <c r="N39" s="378"/>
      <c r="O39" s="139">
        <f t="shared" si="5"/>
        <v>183600</v>
      </c>
      <c r="P39" s="139"/>
      <c r="Q39" s="139"/>
      <c r="R39" s="143"/>
    </row>
    <row r="40" spans="1:18" ht="24.95" customHeight="1" x14ac:dyDescent="0.25">
      <c r="A40" s="211"/>
      <c r="B40" s="328"/>
      <c r="C40" s="477" t="s">
        <v>5605</v>
      </c>
      <c r="D40" s="478"/>
      <c r="E40" s="479"/>
      <c r="F40" s="196"/>
      <c r="G40" s="195"/>
      <c r="H40" s="155"/>
      <c r="I40" s="195"/>
      <c r="J40" s="155"/>
      <c r="K40" s="378"/>
      <c r="L40" s="378">
        <v>2786400</v>
      </c>
      <c r="M40" s="378"/>
      <c r="N40" s="378"/>
      <c r="O40" s="139">
        <f t="shared" si="5"/>
        <v>2786400</v>
      </c>
      <c r="P40" s="139"/>
      <c r="Q40" s="139"/>
      <c r="R40" s="143"/>
    </row>
    <row r="41" spans="1:18" ht="24.95" customHeight="1" x14ac:dyDescent="0.25">
      <c r="A41" s="211"/>
      <c r="B41" s="328"/>
      <c r="C41" s="477" t="s">
        <v>5613</v>
      </c>
      <c r="D41" s="478"/>
      <c r="E41" s="479"/>
      <c r="F41" s="196"/>
      <c r="G41" s="195"/>
      <c r="H41" s="155"/>
      <c r="I41" s="195"/>
      <c r="J41" s="155"/>
      <c r="K41" s="378"/>
      <c r="L41" s="378">
        <v>400000</v>
      </c>
      <c r="M41" s="378"/>
      <c r="N41" s="378"/>
      <c r="O41" s="139">
        <f t="shared" si="5"/>
        <v>400000</v>
      </c>
      <c r="P41" s="139"/>
      <c r="Q41" s="139"/>
      <c r="R41" s="143"/>
    </row>
    <row r="42" spans="1:18" ht="24.95" customHeight="1" x14ac:dyDescent="0.25">
      <c r="A42" s="379"/>
      <c r="B42" s="391"/>
      <c r="C42" s="477" t="s">
        <v>5697</v>
      </c>
      <c r="D42" s="478"/>
      <c r="E42" s="479"/>
      <c r="F42" s="152"/>
      <c r="G42" s="153"/>
      <c r="H42" s="156"/>
      <c r="I42" s="153"/>
      <c r="J42" s="156"/>
      <c r="K42" s="330"/>
      <c r="L42" s="330">
        <v>4104000</v>
      </c>
      <c r="M42" s="330"/>
      <c r="N42" s="330"/>
      <c r="O42" s="206">
        <f t="shared" si="5"/>
        <v>4104000</v>
      </c>
      <c r="P42" s="206"/>
      <c r="Q42" s="206"/>
      <c r="R42" s="143"/>
    </row>
    <row r="43" spans="1:18" ht="24.95" customHeight="1" x14ac:dyDescent="0.25">
      <c r="A43" s="379"/>
      <c r="B43" s="391"/>
      <c r="C43" s="477" t="s">
        <v>5699</v>
      </c>
      <c r="D43" s="478"/>
      <c r="E43" s="479"/>
      <c r="F43" s="152"/>
      <c r="G43" s="153"/>
      <c r="H43" s="156"/>
      <c r="I43" s="153"/>
      <c r="J43" s="156"/>
      <c r="K43" s="330"/>
      <c r="L43" s="330">
        <v>6300000</v>
      </c>
      <c r="M43" s="330"/>
      <c r="N43" s="330"/>
      <c r="O43" s="206">
        <f t="shared" si="5"/>
        <v>6300000</v>
      </c>
      <c r="P43" s="206"/>
      <c r="Q43" s="206"/>
      <c r="R43" s="143"/>
    </row>
    <row r="44" spans="1:18" ht="24.95" customHeight="1" x14ac:dyDescent="0.25">
      <c r="A44" s="379"/>
      <c r="B44" s="391"/>
      <c r="C44" s="477" t="s">
        <v>5703</v>
      </c>
      <c r="D44" s="478"/>
      <c r="E44" s="479"/>
      <c r="F44" s="152"/>
      <c r="G44" s="153"/>
      <c r="H44" s="156"/>
      <c r="I44" s="153"/>
      <c r="J44" s="156"/>
      <c r="K44" s="330"/>
      <c r="L44" s="330"/>
      <c r="M44" s="330">
        <v>500000</v>
      </c>
      <c r="N44" s="330"/>
      <c r="O44" s="206">
        <f t="shared" si="5"/>
        <v>500000</v>
      </c>
      <c r="P44" s="206"/>
      <c r="Q44" s="206"/>
      <c r="R44" s="143"/>
    </row>
    <row r="45" spans="1:18" ht="24.95" customHeight="1" x14ac:dyDescent="0.25">
      <c r="A45" s="379"/>
      <c r="B45" s="391"/>
      <c r="C45" s="477" t="s">
        <v>5704</v>
      </c>
      <c r="D45" s="478"/>
      <c r="E45" s="479"/>
      <c r="F45" s="152"/>
      <c r="G45" s="153"/>
      <c r="H45" s="156"/>
      <c r="I45" s="153"/>
      <c r="J45" s="156"/>
      <c r="K45" s="330"/>
      <c r="L45" s="330"/>
      <c r="M45" s="330">
        <v>11200000</v>
      </c>
      <c r="N45" s="330"/>
      <c r="O45" s="206">
        <f t="shared" si="5"/>
        <v>11200000</v>
      </c>
      <c r="P45" s="206"/>
      <c r="Q45" s="206"/>
      <c r="R45" s="143"/>
    </row>
    <row r="46" spans="1:18" ht="24.95" customHeight="1" x14ac:dyDescent="0.25">
      <c r="A46" s="379"/>
      <c r="B46" s="391"/>
      <c r="C46" s="477" t="s">
        <v>5705</v>
      </c>
      <c r="D46" s="478"/>
      <c r="E46" s="479"/>
      <c r="F46" s="152"/>
      <c r="G46" s="153"/>
      <c r="H46" s="156"/>
      <c r="I46" s="153"/>
      <c r="J46" s="156"/>
      <c r="K46" s="330"/>
      <c r="L46" s="330"/>
      <c r="M46" s="330">
        <v>6588000</v>
      </c>
      <c r="N46" s="330"/>
      <c r="O46" s="206">
        <f t="shared" si="5"/>
        <v>6588000</v>
      </c>
      <c r="P46" s="206"/>
      <c r="Q46" s="206"/>
      <c r="R46" s="143"/>
    </row>
    <row r="47" spans="1:18" ht="24.95" customHeight="1" x14ac:dyDescent="0.25">
      <c r="A47" s="379"/>
      <c r="B47" s="380"/>
      <c r="C47" s="471" t="s">
        <v>5609</v>
      </c>
      <c r="D47" s="472"/>
      <c r="E47" s="473"/>
      <c r="F47" s="152"/>
      <c r="G47" s="153"/>
      <c r="H47" s="156"/>
      <c r="I47" s="153"/>
      <c r="J47" s="156"/>
      <c r="K47" s="288">
        <v>8900000</v>
      </c>
      <c r="L47" s="288"/>
      <c r="M47" s="206"/>
      <c r="N47" s="206"/>
      <c r="O47" s="206">
        <f t="shared" si="5"/>
        <v>8900000</v>
      </c>
      <c r="P47" s="206"/>
      <c r="Q47" s="206"/>
      <c r="R47" s="143"/>
    </row>
    <row r="48" spans="1:18" ht="24.95" customHeight="1" x14ac:dyDescent="0.25">
      <c r="A48" s="426" t="s">
        <v>20</v>
      </c>
      <c r="B48" s="426"/>
      <c r="C48" s="426"/>
      <c r="D48" s="426"/>
      <c r="E48" s="426"/>
      <c r="F48" s="426"/>
      <c r="G48" s="161">
        <f>SUM(G8:G47)</f>
        <v>3780</v>
      </c>
      <c r="H48" s="161">
        <f>SUM(H8:H47)</f>
        <v>68017880</v>
      </c>
      <c r="I48" s="161">
        <f>SUM(I8:I47)</f>
        <v>0</v>
      </c>
      <c r="J48" s="161">
        <f>SUM(J8:J47)</f>
        <v>34290000</v>
      </c>
      <c r="K48" s="161">
        <f>SUM(K8:K47)</f>
        <v>25668000</v>
      </c>
      <c r="L48" s="161">
        <f>SUM(L8:L47)</f>
        <v>54486000</v>
      </c>
      <c r="M48" s="161">
        <f>SUM(M8:M47)</f>
        <v>18588000</v>
      </c>
      <c r="N48" s="161">
        <f>SUM(N8:N47)</f>
        <v>0</v>
      </c>
      <c r="O48" s="161">
        <f>SUM(O8:O47)</f>
        <v>201049880</v>
      </c>
      <c r="P48" s="161">
        <f>SUM(P8:P47)</f>
        <v>197622962</v>
      </c>
      <c r="Q48" s="161">
        <f>P48-O48</f>
        <v>-3426918</v>
      </c>
    </row>
    <row r="49" spans="1:19" ht="24.95" customHeight="1" x14ac:dyDescent="0.25">
      <c r="O49" s="158"/>
      <c r="Q49" s="158"/>
    </row>
    <row r="50" spans="1:19" ht="13.9" customHeight="1" x14ac:dyDescent="0.25">
      <c r="P50" s="216" t="s">
        <v>1603</v>
      </c>
      <c r="Q50" s="227">
        <f>'09.2024'!Q28+'10.2024'!Q48</f>
        <v>246386651</v>
      </c>
      <c r="S50" s="216"/>
    </row>
    <row r="51" spans="1:19" ht="13.9" customHeight="1" x14ac:dyDescent="0.25">
      <c r="B51" s="129"/>
      <c r="J51" s="128"/>
      <c r="K51" s="128"/>
      <c r="L51" s="128"/>
      <c r="N51" s="128"/>
      <c r="O51" s="128"/>
      <c r="P51" s="218"/>
      <c r="Q51" s="216"/>
    </row>
    <row r="52" spans="1:19" ht="13.9" customHeight="1" x14ac:dyDescent="0.25">
      <c r="B52" s="129"/>
      <c r="H52" s="128"/>
      <c r="J52" s="128"/>
      <c r="K52" s="128"/>
      <c r="L52" s="128"/>
      <c r="M52" s="128"/>
      <c r="N52" s="128"/>
      <c r="O52" s="128"/>
      <c r="P52" s="218"/>
      <c r="Q52" s="230"/>
    </row>
    <row r="53" spans="1:19" ht="13.9" customHeight="1" x14ac:dyDescent="0.25">
      <c r="B53" s="129"/>
      <c r="H53" s="128"/>
      <c r="J53" s="128"/>
      <c r="K53" s="128"/>
      <c r="L53" s="128"/>
      <c r="M53" s="128"/>
      <c r="N53" s="128"/>
      <c r="O53" s="128"/>
      <c r="P53" s="218"/>
      <c r="Q53" s="230"/>
    </row>
    <row r="54" spans="1:19" ht="13.9" customHeight="1" x14ac:dyDescent="0.25">
      <c r="B54" s="129"/>
      <c r="G54" s="143"/>
      <c r="H54" s="128"/>
      <c r="J54" s="128"/>
      <c r="K54" s="128"/>
      <c r="L54" s="128"/>
      <c r="M54" s="128"/>
      <c r="N54" s="128"/>
      <c r="O54" s="128"/>
      <c r="P54" s="218"/>
      <c r="Q54" s="230"/>
      <c r="R54" s="143"/>
    </row>
    <row r="55" spans="1:19" ht="13.9" customHeight="1" x14ac:dyDescent="0.25">
      <c r="B55" s="129"/>
      <c r="H55" s="128"/>
      <c r="J55" s="128"/>
      <c r="K55" s="128"/>
      <c r="L55" s="128"/>
      <c r="M55" s="128"/>
      <c r="N55" s="128"/>
      <c r="O55" s="128"/>
      <c r="P55" s="218"/>
      <c r="Q55" s="216"/>
      <c r="R55" s="143"/>
    </row>
    <row r="56" spans="1:19" x14ac:dyDescent="0.25">
      <c r="B56" s="129"/>
      <c r="H56" s="128"/>
      <c r="J56" s="128"/>
      <c r="K56" s="128"/>
      <c r="L56" s="128"/>
      <c r="M56" s="128"/>
      <c r="N56" s="128"/>
      <c r="O56" s="128"/>
      <c r="P56" s="218"/>
      <c r="Q56" s="216"/>
    </row>
    <row r="57" spans="1:19" x14ac:dyDescent="0.25">
      <c r="A57" s="128"/>
      <c r="B57" s="129"/>
      <c r="H57" s="128"/>
      <c r="J57" s="128"/>
      <c r="K57" s="128"/>
      <c r="L57" s="128"/>
      <c r="M57" s="128"/>
      <c r="N57" s="128"/>
      <c r="O57" s="128"/>
      <c r="P57" s="218"/>
      <c r="Q57" s="216"/>
    </row>
    <row r="58" spans="1:19" x14ac:dyDescent="0.25">
      <c r="A58" s="128"/>
      <c r="B58" s="129"/>
      <c r="H58" s="128"/>
      <c r="J58" s="128"/>
      <c r="K58" s="128"/>
      <c r="L58" s="128"/>
      <c r="M58" s="128"/>
      <c r="N58" s="128"/>
      <c r="O58" s="128"/>
      <c r="P58" s="218"/>
      <c r="Q58" s="216"/>
    </row>
    <row r="59" spans="1:19" x14ac:dyDescent="0.25">
      <c r="A59" s="128"/>
      <c r="B59" s="128"/>
      <c r="G59" s="143"/>
      <c r="J59" s="128"/>
      <c r="K59" s="128"/>
      <c r="L59" s="128"/>
      <c r="M59" s="128"/>
      <c r="N59" s="128"/>
      <c r="O59" s="128"/>
      <c r="P59" s="128"/>
      <c r="Q59" s="216"/>
    </row>
    <row r="60" spans="1:19" x14ac:dyDescent="0.25">
      <c r="A60" s="128"/>
      <c r="B60" s="128"/>
      <c r="H60" s="128"/>
      <c r="J60" s="128"/>
      <c r="K60" s="128"/>
      <c r="L60" s="128"/>
      <c r="M60" s="128"/>
      <c r="N60" s="128"/>
      <c r="O60" s="128"/>
      <c r="P60" s="128"/>
      <c r="Q60" s="216"/>
    </row>
    <row r="62" spans="1:19" s="143" customFormat="1" x14ac:dyDescent="0.25">
      <c r="A62" s="129"/>
      <c r="B62" s="163"/>
      <c r="C62" s="128"/>
      <c r="D62" s="128"/>
      <c r="E62" s="128"/>
      <c r="F62" s="128"/>
      <c r="I62" s="128"/>
      <c r="R62" s="128"/>
      <c r="S62" s="128"/>
    </row>
  </sheetData>
  <mergeCells count="34">
    <mergeCell ref="A1:Q1"/>
    <mergeCell ref="A2:Q2"/>
    <mergeCell ref="B3:Q3"/>
    <mergeCell ref="A5:A6"/>
    <mergeCell ref="B5:B6"/>
    <mergeCell ref="C5:C6"/>
    <mergeCell ref="D5:D6"/>
    <mergeCell ref="E5:E6"/>
    <mergeCell ref="F5:F6"/>
    <mergeCell ref="G5:N5"/>
    <mergeCell ref="C36:E36"/>
    <mergeCell ref="O5:O6"/>
    <mergeCell ref="P5:P6"/>
    <mergeCell ref="Q5:Q6"/>
    <mergeCell ref="C28:E28"/>
    <mergeCell ref="C29:E29"/>
    <mergeCell ref="C30:E30"/>
    <mergeCell ref="C31:E31"/>
    <mergeCell ref="C32:E32"/>
    <mergeCell ref="C33:E33"/>
    <mergeCell ref="C34:E34"/>
    <mergeCell ref="C35:E35"/>
    <mergeCell ref="A48:F48"/>
    <mergeCell ref="C37:E37"/>
    <mergeCell ref="C38:E38"/>
    <mergeCell ref="C39:E39"/>
    <mergeCell ref="C40:E40"/>
    <mergeCell ref="C41:E41"/>
    <mergeCell ref="C47:E47"/>
    <mergeCell ref="C42:E42"/>
    <mergeCell ref="C43:E43"/>
    <mergeCell ref="C44:E44"/>
    <mergeCell ref="C45:E45"/>
    <mergeCell ref="C46:E46"/>
  </mergeCells>
  <pageMargins left="0.7" right="0.7" top="0.75" bottom="0.75" header="0.3" footer="0.3"/>
  <pageSetup paperSize="9" orientation="portrait" horizontalDpi="0"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8E5A-EF96-4476-A7B2-913289CB1D48}">
  <dimension ref="A1:S48"/>
  <sheetViews>
    <sheetView topLeftCell="A17" zoomScale="90" zoomScaleNormal="90" workbookViewId="0">
      <selection activeCell="K34" sqref="K34"/>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9.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5662</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45597</v>
      </c>
      <c r="C8" s="134" t="s">
        <v>5664</v>
      </c>
      <c r="D8" s="211" t="s">
        <v>5676</v>
      </c>
      <c r="E8" s="136" t="s">
        <v>3902</v>
      </c>
      <c r="F8" s="134"/>
      <c r="G8" s="134">
        <v>81</v>
      </c>
      <c r="H8" s="139">
        <f>G8*18910</f>
        <v>1531710</v>
      </c>
      <c r="I8" s="134"/>
      <c r="J8" s="139">
        <v>790000</v>
      </c>
      <c r="K8" s="139"/>
      <c r="L8" s="263"/>
      <c r="M8" s="139"/>
      <c r="N8" s="139"/>
      <c r="O8" s="139">
        <f>SUM(H8:N8)</f>
        <v>2321710</v>
      </c>
      <c r="P8" s="139">
        <v>4266297</v>
      </c>
      <c r="Q8" s="139">
        <f>P8-O8</f>
        <v>1944587</v>
      </c>
      <c r="R8" s="143"/>
    </row>
    <row r="9" spans="1:18" ht="24.95" customHeight="1" x14ac:dyDescent="0.25">
      <c r="A9" s="211">
        <v>2</v>
      </c>
      <c r="B9" s="328">
        <v>45598</v>
      </c>
      <c r="C9" s="134" t="s">
        <v>5665</v>
      </c>
      <c r="D9" s="211" t="s">
        <v>1061</v>
      </c>
      <c r="E9" s="136" t="s">
        <v>291</v>
      </c>
      <c r="F9" s="134"/>
      <c r="G9" s="134">
        <v>69</v>
      </c>
      <c r="H9" s="139">
        <f t="shared" ref="H9:H10" si="0">G9*18910</f>
        <v>1304790</v>
      </c>
      <c r="I9" s="134"/>
      <c r="J9" s="139">
        <v>670000</v>
      </c>
      <c r="K9" s="139"/>
      <c r="L9" s="263"/>
      <c r="M9" s="139"/>
      <c r="N9" s="139"/>
      <c r="O9" s="139">
        <f>SUM(H9:N9)</f>
        <v>1974790</v>
      </c>
      <c r="P9" s="139">
        <v>3570000</v>
      </c>
      <c r="Q9" s="139">
        <f t="shared" ref="Q9:Q27" si="1">P9-O9</f>
        <v>1595210</v>
      </c>
      <c r="R9" s="143"/>
    </row>
    <row r="10" spans="1:18" ht="24.95" customHeight="1" x14ac:dyDescent="0.25">
      <c r="A10" s="211">
        <v>3</v>
      </c>
      <c r="B10" s="328">
        <v>45601</v>
      </c>
      <c r="C10" s="134" t="s">
        <v>5666</v>
      </c>
      <c r="D10" s="211" t="s">
        <v>5677</v>
      </c>
      <c r="E10" s="136" t="s">
        <v>25</v>
      </c>
      <c r="F10" s="134"/>
      <c r="G10" s="134">
        <v>187</v>
      </c>
      <c r="H10" s="139">
        <f t="shared" si="0"/>
        <v>3536170</v>
      </c>
      <c r="I10" s="134"/>
      <c r="J10" s="139">
        <v>1530000</v>
      </c>
      <c r="K10" s="139"/>
      <c r="L10" s="263"/>
      <c r="M10" s="139"/>
      <c r="N10" s="139"/>
      <c r="O10" s="139">
        <f t="shared" ref="O10:O17" si="2">SUM(H10:N10)</f>
        <v>5066170</v>
      </c>
      <c r="P10" s="139">
        <v>8296296</v>
      </c>
      <c r="Q10" s="139">
        <f t="shared" si="1"/>
        <v>3230126</v>
      </c>
      <c r="R10" s="143"/>
    </row>
    <row r="11" spans="1:18" ht="24.95" customHeight="1" x14ac:dyDescent="0.25">
      <c r="A11" s="211">
        <v>4</v>
      </c>
      <c r="B11" s="328">
        <v>45602</v>
      </c>
      <c r="C11" s="134" t="s">
        <v>5667</v>
      </c>
      <c r="D11" s="211" t="s">
        <v>2899</v>
      </c>
      <c r="E11" s="136" t="s">
        <v>3806</v>
      </c>
      <c r="F11" s="134"/>
      <c r="G11" s="134">
        <v>84</v>
      </c>
      <c r="H11" s="139">
        <f>G11*18910</f>
        <v>1588440</v>
      </c>
      <c r="I11" s="134"/>
      <c r="J11" s="139">
        <v>790000</v>
      </c>
      <c r="K11" s="139"/>
      <c r="L11" s="263"/>
      <c r="M11" s="139"/>
      <c r="N11" s="139"/>
      <c r="O11" s="139">
        <f t="shared" si="2"/>
        <v>2378440</v>
      </c>
      <c r="P11" s="139">
        <v>3930000</v>
      </c>
      <c r="Q11" s="139">
        <f t="shared" si="1"/>
        <v>1551560</v>
      </c>
      <c r="R11" s="143"/>
    </row>
    <row r="12" spans="1:18" ht="24.95" customHeight="1" x14ac:dyDescent="0.25">
      <c r="A12" s="211">
        <v>5</v>
      </c>
      <c r="B12" s="328">
        <v>45603</v>
      </c>
      <c r="C12" s="134" t="s">
        <v>5668</v>
      </c>
      <c r="D12" s="211" t="s">
        <v>5678</v>
      </c>
      <c r="E12" s="136" t="s">
        <v>21</v>
      </c>
      <c r="F12" s="134"/>
      <c r="G12" s="134">
        <v>77</v>
      </c>
      <c r="H12" s="139">
        <f t="shared" ref="H12:H15" si="3">G12*18910</f>
        <v>1456070</v>
      </c>
      <c r="I12" s="134"/>
      <c r="J12" s="139">
        <v>430000</v>
      </c>
      <c r="K12" s="139"/>
      <c r="L12" s="263"/>
      <c r="M12" s="139"/>
      <c r="N12" s="139"/>
      <c r="O12" s="139">
        <f t="shared" si="2"/>
        <v>1886070</v>
      </c>
      <c r="P12" s="139">
        <v>3700000</v>
      </c>
      <c r="Q12" s="139">
        <f t="shared" si="1"/>
        <v>1813930</v>
      </c>
      <c r="R12" s="143"/>
    </row>
    <row r="13" spans="1:18" ht="24.95" customHeight="1" x14ac:dyDescent="0.25">
      <c r="A13" s="211">
        <v>6</v>
      </c>
      <c r="B13" s="328">
        <v>45604</v>
      </c>
      <c r="C13" s="134" t="s">
        <v>5669</v>
      </c>
      <c r="D13" s="211" t="s">
        <v>5679</v>
      </c>
      <c r="E13" s="136" t="s">
        <v>2798</v>
      </c>
      <c r="F13" s="134"/>
      <c r="G13" s="134">
        <v>123</v>
      </c>
      <c r="H13" s="139">
        <f t="shared" si="3"/>
        <v>2325930</v>
      </c>
      <c r="I13" s="134"/>
      <c r="J13" s="139">
        <v>790000</v>
      </c>
      <c r="K13" s="139"/>
      <c r="L13" s="263"/>
      <c r="M13" s="139"/>
      <c r="N13" s="139"/>
      <c r="O13" s="139">
        <f t="shared" si="2"/>
        <v>3115930</v>
      </c>
      <c r="P13" s="139">
        <v>5270370</v>
      </c>
      <c r="Q13" s="139">
        <f t="shared" si="1"/>
        <v>2154440</v>
      </c>
      <c r="R13" s="143"/>
    </row>
    <row r="14" spans="1:18" ht="24.95" customHeight="1" x14ac:dyDescent="0.25">
      <c r="A14" s="211">
        <v>7</v>
      </c>
      <c r="B14" s="328">
        <v>45605</v>
      </c>
      <c r="C14" s="134" t="s">
        <v>5670</v>
      </c>
      <c r="D14" s="211" t="s">
        <v>5680</v>
      </c>
      <c r="E14" s="136" t="s">
        <v>25</v>
      </c>
      <c r="F14" s="134"/>
      <c r="G14" s="134">
        <v>184</v>
      </c>
      <c r="H14" s="139">
        <f t="shared" si="3"/>
        <v>3479440</v>
      </c>
      <c r="I14" s="134"/>
      <c r="J14" s="139">
        <v>1530000</v>
      </c>
      <c r="K14" s="139"/>
      <c r="L14" s="263"/>
      <c r="M14" s="139"/>
      <c r="N14" s="139"/>
      <c r="O14" s="139">
        <f t="shared" si="2"/>
        <v>5009440</v>
      </c>
      <c r="P14" s="139">
        <v>8296296</v>
      </c>
      <c r="Q14" s="139">
        <f t="shared" si="1"/>
        <v>3286856</v>
      </c>
      <c r="R14" s="143"/>
    </row>
    <row r="15" spans="1:18" ht="24.95" customHeight="1" x14ac:dyDescent="0.25">
      <c r="A15" s="211">
        <v>8</v>
      </c>
      <c r="B15" s="328">
        <v>45607</v>
      </c>
      <c r="C15" s="134" t="s">
        <v>5671</v>
      </c>
      <c r="D15" s="211" t="s">
        <v>5681</v>
      </c>
      <c r="E15" s="136" t="s">
        <v>4509</v>
      </c>
      <c r="F15" s="134"/>
      <c r="G15" s="134">
        <v>382</v>
      </c>
      <c r="H15" s="139">
        <f t="shared" si="3"/>
        <v>7223620</v>
      </c>
      <c r="I15" s="134"/>
      <c r="J15" s="139">
        <v>4148000</v>
      </c>
      <c r="K15" s="139"/>
      <c r="L15" s="263"/>
      <c r="M15" s="139"/>
      <c r="N15" s="139"/>
      <c r="O15" s="139">
        <f t="shared" si="2"/>
        <v>11371620</v>
      </c>
      <c r="P15" s="139">
        <v>21600000</v>
      </c>
      <c r="Q15" s="139">
        <f t="shared" si="1"/>
        <v>10228380</v>
      </c>
      <c r="R15" s="143"/>
    </row>
    <row r="16" spans="1:18" ht="24.95" customHeight="1" x14ac:dyDescent="0.25">
      <c r="A16" s="211">
        <v>9</v>
      </c>
      <c r="B16" s="328">
        <v>45610</v>
      </c>
      <c r="C16" s="134" t="s">
        <v>5109</v>
      </c>
      <c r="D16" s="211" t="s">
        <v>5682</v>
      </c>
      <c r="E16" s="136" t="s">
        <v>291</v>
      </c>
      <c r="F16" s="134"/>
      <c r="G16" s="134">
        <v>69</v>
      </c>
      <c r="H16" s="139">
        <f>G16*18570</f>
        <v>1281330</v>
      </c>
      <c r="I16" s="134"/>
      <c r="J16" s="139">
        <v>790000</v>
      </c>
      <c r="K16" s="139"/>
      <c r="L16" s="263"/>
      <c r="M16" s="139"/>
      <c r="N16" s="139"/>
      <c r="O16" s="139">
        <f t="shared" si="2"/>
        <v>2071330</v>
      </c>
      <c r="P16" s="139">
        <v>3680000</v>
      </c>
      <c r="Q16" s="139">
        <f t="shared" si="1"/>
        <v>1608670</v>
      </c>
      <c r="R16" s="143"/>
    </row>
    <row r="17" spans="1:18" ht="24.95" customHeight="1" x14ac:dyDescent="0.25">
      <c r="A17" s="211">
        <v>10</v>
      </c>
      <c r="B17" s="328">
        <v>45611</v>
      </c>
      <c r="C17" s="134" t="s">
        <v>2757</v>
      </c>
      <c r="D17" s="211" t="s">
        <v>5683</v>
      </c>
      <c r="E17" s="136" t="s">
        <v>5693</v>
      </c>
      <c r="F17" s="134"/>
      <c r="G17" s="134">
        <v>55</v>
      </c>
      <c r="H17" s="139">
        <f t="shared" ref="H17:H21" si="4">G17*18570</f>
        <v>1021350</v>
      </c>
      <c r="I17" s="134"/>
      <c r="J17" s="139">
        <v>340000</v>
      </c>
      <c r="K17" s="139"/>
      <c r="L17" s="263"/>
      <c r="M17" s="139"/>
      <c r="N17" s="139"/>
      <c r="O17" s="139">
        <f t="shared" si="2"/>
        <v>1361350</v>
      </c>
      <c r="P17" s="139">
        <v>3000000</v>
      </c>
      <c r="Q17" s="139">
        <f t="shared" si="1"/>
        <v>1638650</v>
      </c>
      <c r="R17" s="143"/>
    </row>
    <row r="18" spans="1:18" ht="24.95" customHeight="1" x14ac:dyDescent="0.25">
      <c r="A18" s="211">
        <v>11</v>
      </c>
      <c r="B18" s="328">
        <v>45612</v>
      </c>
      <c r="C18" s="134" t="s">
        <v>2079</v>
      </c>
      <c r="D18" s="211" t="s">
        <v>5684</v>
      </c>
      <c r="E18" s="136" t="s">
        <v>5694</v>
      </c>
      <c r="F18" s="134"/>
      <c r="G18" s="134">
        <v>121</v>
      </c>
      <c r="H18" s="139">
        <f t="shared" si="4"/>
        <v>2246970</v>
      </c>
      <c r="I18" s="134"/>
      <c r="J18" s="139">
        <v>890000</v>
      </c>
      <c r="K18" s="139"/>
      <c r="L18" s="263"/>
      <c r="M18" s="139"/>
      <c r="N18" s="139"/>
      <c r="O18" s="139">
        <f>SUM(H18:N18)</f>
        <v>3136970</v>
      </c>
      <c r="P18" s="139">
        <v>5400000</v>
      </c>
      <c r="Q18" s="139">
        <f t="shared" si="1"/>
        <v>2263030</v>
      </c>
      <c r="R18" s="143"/>
    </row>
    <row r="19" spans="1:18" ht="24.95" customHeight="1" x14ac:dyDescent="0.25">
      <c r="A19" s="211">
        <v>12</v>
      </c>
      <c r="B19" s="328">
        <v>45614</v>
      </c>
      <c r="C19" s="134" t="s">
        <v>1393</v>
      </c>
      <c r="D19" s="211" t="s">
        <v>5273</v>
      </c>
      <c r="E19" s="136" t="s">
        <v>291</v>
      </c>
      <c r="F19" s="134"/>
      <c r="G19" s="134">
        <v>69</v>
      </c>
      <c r="H19" s="139">
        <f t="shared" si="4"/>
        <v>1281330</v>
      </c>
      <c r="I19" s="134"/>
      <c r="J19" s="139">
        <v>790000</v>
      </c>
      <c r="K19" s="139"/>
      <c r="L19" s="263"/>
      <c r="M19" s="139"/>
      <c r="N19" s="139"/>
      <c r="O19" s="139">
        <f>SUM(H19:N19)</f>
        <v>2071330</v>
      </c>
      <c r="P19" s="139">
        <v>3680000</v>
      </c>
      <c r="Q19" s="139">
        <f t="shared" si="1"/>
        <v>1608670</v>
      </c>
      <c r="R19" s="143"/>
    </row>
    <row r="20" spans="1:18" ht="24.95" customHeight="1" x14ac:dyDescent="0.25">
      <c r="A20" s="211">
        <v>13</v>
      </c>
      <c r="B20" s="328">
        <v>45615</v>
      </c>
      <c r="C20" s="134" t="s">
        <v>5672</v>
      </c>
      <c r="D20" s="211" t="s">
        <v>5685</v>
      </c>
      <c r="E20" s="136" t="s">
        <v>2799</v>
      </c>
      <c r="F20" s="134"/>
      <c r="G20" s="134">
        <v>112</v>
      </c>
      <c r="H20" s="139">
        <f t="shared" si="4"/>
        <v>2079840</v>
      </c>
      <c r="I20" s="134"/>
      <c r="J20" s="139">
        <v>830000</v>
      </c>
      <c r="K20" s="139"/>
      <c r="L20" s="263"/>
      <c r="M20" s="139"/>
      <c r="N20" s="139"/>
      <c r="O20" s="139">
        <f>SUM(H20:N20)</f>
        <v>2909840</v>
      </c>
      <c r="P20" s="139">
        <v>4800000</v>
      </c>
      <c r="Q20" s="139">
        <f t="shared" si="1"/>
        <v>1890160</v>
      </c>
      <c r="R20" s="143"/>
    </row>
    <row r="21" spans="1:18" ht="24.95" customHeight="1" x14ac:dyDescent="0.25">
      <c r="A21" s="211">
        <v>14</v>
      </c>
      <c r="B21" s="328">
        <v>45616</v>
      </c>
      <c r="C21" s="134" t="s">
        <v>2082</v>
      </c>
      <c r="D21" s="211" t="s">
        <v>5686</v>
      </c>
      <c r="E21" s="136" t="s">
        <v>4139</v>
      </c>
      <c r="F21" s="134"/>
      <c r="G21" s="134">
        <v>101</v>
      </c>
      <c r="H21" s="139">
        <f t="shared" si="4"/>
        <v>1875570</v>
      </c>
      <c r="I21" s="134"/>
      <c r="J21" s="139">
        <v>790000</v>
      </c>
      <c r="K21" s="139"/>
      <c r="L21" s="263"/>
      <c r="M21" s="139"/>
      <c r="N21" s="139"/>
      <c r="O21" s="139">
        <f t="shared" ref="O21:O33" si="5">SUM(H21:N21)</f>
        <v>2665570</v>
      </c>
      <c r="P21" s="139">
        <v>4300000</v>
      </c>
      <c r="Q21" s="139">
        <f t="shared" si="1"/>
        <v>1634430</v>
      </c>
      <c r="R21" s="143"/>
    </row>
    <row r="22" spans="1:18" ht="24.95" customHeight="1" x14ac:dyDescent="0.25">
      <c r="A22" s="211">
        <v>15</v>
      </c>
      <c r="B22" s="328">
        <v>45617</v>
      </c>
      <c r="C22" s="134" t="s">
        <v>5673</v>
      </c>
      <c r="D22" s="211" t="s">
        <v>5687</v>
      </c>
      <c r="E22" s="136" t="s">
        <v>4509</v>
      </c>
      <c r="F22" s="134"/>
      <c r="G22" s="134">
        <v>384</v>
      </c>
      <c r="H22" s="139">
        <f>G22*18500</f>
        <v>7104000</v>
      </c>
      <c r="I22" s="134"/>
      <c r="J22" s="139">
        <v>4148000</v>
      </c>
      <c r="K22" s="139"/>
      <c r="L22" s="263"/>
      <c r="M22" s="139"/>
      <c r="N22" s="139"/>
      <c r="O22" s="139">
        <f>SUM(H22:N22)</f>
        <v>11252000</v>
      </c>
      <c r="P22" s="139">
        <v>21600000</v>
      </c>
      <c r="Q22" s="139">
        <f t="shared" si="1"/>
        <v>10348000</v>
      </c>
      <c r="R22" s="143"/>
    </row>
    <row r="23" spans="1:18" ht="24.95" customHeight="1" x14ac:dyDescent="0.25">
      <c r="A23" s="211">
        <v>16</v>
      </c>
      <c r="B23" s="328">
        <v>45621</v>
      </c>
      <c r="C23" s="134" t="s">
        <v>5674</v>
      </c>
      <c r="D23" s="211" t="s">
        <v>5688</v>
      </c>
      <c r="E23" s="136" t="s">
        <v>2798</v>
      </c>
      <c r="F23" s="134"/>
      <c r="G23" s="134">
        <v>110</v>
      </c>
      <c r="H23" s="139">
        <f t="shared" ref="H23:H24" si="6">G23*18500</f>
        <v>2035000</v>
      </c>
      <c r="I23" s="134"/>
      <c r="J23" s="139">
        <v>790000</v>
      </c>
      <c r="K23" s="139"/>
      <c r="L23" s="263"/>
      <c r="M23" s="139"/>
      <c r="N23" s="139"/>
      <c r="O23" s="139">
        <f t="shared" si="5"/>
        <v>2825000</v>
      </c>
      <c r="P23" s="139">
        <v>4900000</v>
      </c>
      <c r="Q23" s="139">
        <f t="shared" si="1"/>
        <v>2075000</v>
      </c>
      <c r="R23" s="143"/>
    </row>
    <row r="24" spans="1:18" ht="24.95" customHeight="1" x14ac:dyDescent="0.25">
      <c r="A24" s="211">
        <v>17</v>
      </c>
      <c r="B24" s="328">
        <v>45622</v>
      </c>
      <c r="C24" s="134" t="s">
        <v>3418</v>
      </c>
      <c r="D24" s="211" t="s">
        <v>5689</v>
      </c>
      <c r="E24" s="136" t="s">
        <v>5695</v>
      </c>
      <c r="F24" s="134"/>
      <c r="G24" s="134">
        <v>83</v>
      </c>
      <c r="H24" s="139">
        <f t="shared" si="6"/>
        <v>1535500</v>
      </c>
      <c r="I24" s="134"/>
      <c r="J24" s="139">
        <v>790000</v>
      </c>
      <c r="K24" s="139"/>
      <c r="L24" s="263"/>
      <c r="M24" s="139"/>
      <c r="N24" s="139"/>
      <c r="O24" s="139">
        <f t="shared" si="5"/>
        <v>2325500</v>
      </c>
      <c r="P24" s="139">
        <v>4050000</v>
      </c>
      <c r="Q24" s="139">
        <f t="shared" si="1"/>
        <v>1724500</v>
      </c>
      <c r="R24" s="143"/>
    </row>
    <row r="25" spans="1:18" ht="24.95" customHeight="1" x14ac:dyDescent="0.25">
      <c r="A25" s="211">
        <v>19</v>
      </c>
      <c r="B25" s="328">
        <v>45623</v>
      </c>
      <c r="C25" s="134" t="s">
        <v>2765</v>
      </c>
      <c r="D25" s="211" t="s">
        <v>5690</v>
      </c>
      <c r="E25" s="136" t="s">
        <v>5418</v>
      </c>
      <c r="F25" s="134"/>
      <c r="G25" s="134">
        <v>161</v>
      </c>
      <c r="H25" s="139">
        <f>G25*18770</f>
        <v>3021970</v>
      </c>
      <c r="I25" s="134"/>
      <c r="J25" s="139">
        <v>1190000</v>
      </c>
      <c r="K25" s="139"/>
      <c r="L25" s="263"/>
      <c r="M25" s="139"/>
      <c r="N25" s="139"/>
      <c r="O25" s="139">
        <f t="shared" si="5"/>
        <v>4211970</v>
      </c>
      <c r="P25" s="139">
        <v>6900000</v>
      </c>
      <c r="Q25" s="139">
        <f t="shared" si="1"/>
        <v>2688030</v>
      </c>
      <c r="R25" s="143"/>
    </row>
    <row r="26" spans="1:18" ht="24.95" customHeight="1" x14ac:dyDescent="0.25">
      <c r="A26" s="211">
        <v>20</v>
      </c>
      <c r="B26" s="328">
        <v>45624</v>
      </c>
      <c r="C26" s="134" t="s">
        <v>3420</v>
      </c>
      <c r="D26" s="211" t="s">
        <v>5691</v>
      </c>
      <c r="E26" s="136" t="s">
        <v>4509</v>
      </c>
      <c r="F26" s="134"/>
      <c r="G26" s="134">
        <v>382</v>
      </c>
      <c r="H26" s="139">
        <f t="shared" ref="H26:H27" si="7">G26*18770</f>
        <v>7170140</v>
      </c>
      <c r="I26" s="134"/>
      <c r="J26" s="139">
        <v>3748000</v>
      </c>
      <c r="K26" s="139"/>
      <c r="L26" s="263"/>
      <c r="M26" s="139"/>
      <c r="N26" s="139"/>
      <c r="O26" s="139">
        <f t="shared" si="5"/>
        <v>10918140</v>
      </c>
      <c r="P26" s="139">
        <v>20400000</v>
      </c>
      <c r="Q26" s="139">
        <f t="shared" si="1"/>
        <v>9481860</v>
      </c>
      <c r="R26" s="143"/>
    </row>
    <row r="27" spans="1:18" ht="24.95" customHeight="1" x14ac:dyDescent="0.25">
      <c r="A27" s="210">
        <v>21</v>
      </c>
      <c r="B27" s="328">
        <v>45626</v>
      </c>
      <c r="C27" s="387" t="s">
        <v>5675</v>
      </c>
      <c r="D27" s="388" t="s">
        <v>5692</v>
      </c>
      <c r="E27" s="389" t="s">
        <v>5696</v>
      </c>
      <c r="F27" s="134"/>
      <c r="G27" s="134">
        <v>264</v>
      </c>
      <c r="H27" s="139">
        <f t="shared" si="7"/>
        <v>4955280</v>
      </c>
      <c r="I27" s="134"/>
      <c r="J27" s="139">
        <v>1930000</v>
      </c>
      <c r="K27" s="139"/>
      <c r="L27" s="263"/>
      <c r="M27" s="139"/>
      <c r="N27" s="139"/>
      <c r="O27" s="139">
        <f t="shared" si="5"/>
        <v>6885280</v>
      </c>
      <c r="P27" s="139">
        <v>12000000</v>
      </c>
      <c r="Q27" s="139">
        <f t="shared" si="1"/>
        <v>5114720</v>
      </c>
      <c r="R27" s="143"/>
    </row>
    <row r="28" spans="1:18" ht="24.95" customHeight="1" x14ac:dyDescent="0.25">
      <c r="A28" s="210"/>
      <c r="B28" s="381"/>
      <c r="C28" s="474" t="s">
        <v>26</v>
      </c>
      <c r="D28" s="475"/>
      <c r="E28" s="476"/>
      <c r="F28" s="376"/>
      <c r="G28" s="151"/>
      <c r="H28" s="377"/>
      <c r="I28" s="151"/>
      <c r="J28" s="377"/>
      <c r="K28" s="378">
        <v>1200000</v>
      </c>
      <c r="L28" s="378"/>
      <c r="M28" s="378"/>
      <c r="N28" s="378"/>
      <c r="O28" s="142">
        <f t="shared" si="5"/>
        <v>1200000</v>
      </c>
      <c r="P28" s="142"/>
      <c r="Q28" s="142"/>
      <c r="R28" s="143"/>
    </row>
    <row r="29" spans="1:18" ht="24.95" customHeight="1" x14ac:dyDescent="0.25">
      <c r="A29" s="211"/>
      <c r="B29" s="328"/>
      <c r="C29" s="452" t="s">
        <v>4798</v>
      </c>
      <c r="D29" s="453"/>
      <c r="E29" s="454"/>
      <c r="F29" s="196"/>
      <c r="G29" s="195"/>
      <c r="H29" s="155"/>
      <c r="I29" s="195"/>
      <c r="J29" s="155"/>
      <c r="K29" s="378">
        <v>11464698</v>
      </c>
      <c r="L29" s="378"/>
      <c r="M29" s="378"/>
      <c r="N29" s="378"/>
      <c r="O29" s="139">
        <f t="shared" si="5"/>
        <v>11464698</v>
      </c>
      <c r="P29" s="139"/>
      <c r="Q29" s="139"/>
      <c r="R29" s="143"/>
    </row>
    <row r="30" spans="1:18" ht="24.95" customHeight="1" x14ac:dyDescent="0.25">
      <c r="A30" s="211"/>
      <c r="B30" s="328"/>
      <c r="C30" s="477" t="s">
        <v>5698</v>
      </c>
      <c r="D30" s="478"/>
      <c r="E30" s="479"/>
      <c r="F30" s="196"/>
      <c r="G30" s="195"/>
      <c r="H30" s="155"/>
      <c r="I30" s="195"/>
      <c r="J30" s="155"/>
      <c r="K30" s="378"/>
      <c r="L30" s="378">
        <v>200000</v>
      </c>
      <c r="M30" s="378"/>
      <c r="N30" s="378"/>
      <c r="O30" s="139">
        <f t="shared" si="5"/>
        <v>200000</v>
      </c>
      <c r="P30" s="139"/>
      <c r="Q30" s="139"/>
      <c r="R30" s="143"/>
    </row>
    <row r="31" spans="1:18" ht="24.95" customHeight="1" x14ac:dyDescent="0.25">
      <c r="A31" s="211"/>
      <c r="B31" s="328"/>
      <c r="C31" s="477" t="s">
        <v>5700</v>
      </c>
      <c r="D31" s="478"/>
      <c r="E31" s="479"/>
      <c r="F31" s="196"/>
      <c r="G31" s="195"/>
      <c r="H31" s="155"/>
      <c r="I31" s="195"/>
      <c r="J31" s="155"/>
      <c r="K31" s="378"/>
      <c r="L31" s="378">
        <v>702000</v>
      </c>
      <c r="M31" s="378"/>
      <c r="N31" s="378"/>
      <c r="O31" s="139">
        <f t="shared" si="5"/>
        <v>702000</v>
      </c>
      <c r="P31" s="139"/>
      <c r="Q31" s="139"/>
      <c r="R31" s="143"/>
    </row>
    <row r="32" spans="1:18" ht="24.95" customHeight="1" x14ac:dyDescent="0.25">
      <c r="A32" s="211"/>
      <c r="B32" s="328"/>
      <c r="C32" s="477" t="s">
        <v>5710</v>
      </c>
      <c r="D32" s="478"/>
      <c r="E32" s="479"/>
      <c r="F32" s="196"/>
      <c r="G32" s="195"/>
      <c r="H32" s="155"/>
      <c r="I32" s="195"/>
      <c r="J32" s="155"/>
      <c r="K32" s="378"/>
      <c r="L32" s="378">
        <v>350000</v>
      </c>
      <c r="M32" s="378"/>
      <c r="N32" s="378"/>
      <c r="O32" s="139">
        <f t="shared" si="5"/>
        <v>350000</v>
      </c>
      <c r="P32" s="139"/>
      <c r="Q32" s="139"/>
      <c r="R32" s="143"/>
    </row>
    <row r="33" spans="1:19" ht="24.95" customHeight="1" x14ac:dyDescent="0.25">
      <c r="A33" s="379"/>
      <c r="B33" s="380"/>
      <c r="C33" s="471" t="s">
        <v>4290</v>
      </c>
      <c r="D33" s="472"/>
      <c r="E33" s="473"/>
      <c r="F33" s="152"/>
      <c r="G33" s="153"/>
      <c r="H33" s="156"/>
      <c r="I33" s="153"/>
      <c r="J33" s="156"/>
      <c r="K33" s="288">
        <v>8000000</v>
      </c>
      <c r="L33" s="288"/>
      <c r="M33" s="206"/>
      <c r="N33" s="206"/>
      <c r="O33" s="206">
        <f t="shared" si="5"/>
        <v>8000000</v>
      </c>
      <c r="P33" s="206"/>
      <c r="Q33" s="206"/>
      <c r="R33" s="143"/>
    </row>
    <row r="34" spans="1:19" ht="24.95" customHeight="1" x14ac:dyDescent="0.25">
      <c r="A34" s="426" t="s">
        <v>20</v>
      </c>
      <c r="B34" s="426"/>
      <c r="C34" s="426"/>
      <c r="D34" s="426"/>
      <c r="E34" s="426"/>
      <c r="F34" s="426"/>
      <c r="G34" s="161">
        <f>SUM(G8:G33)</f>
        <v>3098</v>
      </c>
      <c r="H34" s="161">
        <f>SUM(H8:H33)</f>
        <v>58054450</v>
      </c>
      <c r="I34" s="161">
        <f>SUM(I8:I33)</f>
        <v>0</v>
      </c>
      <c r="J34" s="161">
        <f>SUM(J8:J33)</f>
        <v>27704000</v>
      </c>
      <c r="K34" s="161">
        <f>SUM(K8:K33)</f>
        <v>20664698</v>
      </c>
      <c r="L34" s="161">
        <f>SUM(L8:L33)</f>
        <v>1252000</v>
      </c>
      <c r="M34" s="161">
        <f>SUM(M8:M33)</f>
        <v>0</v>
      </c>
      <c r="N34" s="161">
        <f>SUM(N8:N33)</f>
        <v>0</v>
      </c>
      <c r="O34" s="161">
        <f>SUM(O8:O33)</f>
        <v>107675148</v>
      </c>
      <c r="P34" s="161">
        <f>SUM(P8:P33)</f>
        <v>153639259</v>
      </c>
      <c r="Q34" s="161">
        <f>P34-O34</f>
        <v>45964111</v>
      </c>
    </row>
    <row r="35" spans="1:19" ht="24.95" customHeight="1" x14ac:dyDescent="0.25">
      <c r="O35" s="158"/>
      <c r="Q35" s="158"/>
    </row>
    <row r="36" spans="1:19" ht="13.9" customHeight="1" x14ac:dyDescent="0.25">
      <c r="P36" s="216" t="s">
        <v>1603</v>
      </c>
      <c r="Q36" s="227">
        <f>'10.2024'!Q50+'11.2024'!Q34</f>
        <v>292350762</v>
      </c>
      <c r="S36" s="216"/>
    </row>
    <row r="37" spans="1:19" ht="13.9" customHeight="1" x14ac:dyDescent="0.25">
      <c r="B37" s="129"/>
      <c r="J37" s="128"/>
      <c r="K37" s="128"/>
      <c r="L37" s="128"/>
      <c r="N37" s="128"/>
      <c r="O37" s="128"/>
      <c r="P37" s="218"/>
      <c r="Q37" s="216"/>
    </row>
    <row r="38" spans="1:19" ht="13.9" customHeight="1" x14ac:dyDescent="0.25">
      <c r="B38" s="129"/>
      <c r="H38" s="128"/>
      <c r="J38" s="128"/>
      <c r="K38" s="128"/>
      <c r="L38" s="128"/>
      <c r="M38" s="128"/>
      <c r="N38" s="128"/>
      <c r="O38" s="128"/>
      <c r="P38" s="218"/>
      <c r="Q38" s="230"/>
    </row>
    <row r="39" spans="1:19" ht="13.9" customHeight="1" x14ac:dyDescent="0.25">
      <c r="B39" s="129"/>
      <c r="H39" s="128"/>
      <c r="J39" s="128"/>
      <c r="K39" s="128"/>
      <c r="L39" s="128"/>
      <c r="M39" s="128"/>
      <c r="N39" s="128"/>
      <c r="O39" s="128"/>
      <c r="P39" s="218"/>
      <c r="Q39" s="230"/>
    </row>
    <row r="40" spans="1:19" ht="13.9" customHeight="1" x14ac:dyDescent="0.25">
      <c r="B40" s="129"/>
      <c r="G40" s="143"/>
      <c r="H40" s="128"/>
      <c r="J40" s="128"/>
      <c r="K40" s="128"/>
      <c r="L40" s="128"/>
      <c r="M40" s="128"/>
      <c r="N40" s="128"/>
      <c r="O40" s="128"/>
      <c r="P40" s="218"/>
      <c r="Q40" s="230"/>
      <c r="R40" s="143"/>
    </row>
    <row r="41" spans="1:19" ht="13.9" customHeight="1" x14ac:dyDescent="0.25">
      <c r="B41" s="129"/>
      <c r="H41" s="128"/>
      <c r="J41" s="128"/>
      <c r="K41" s="128"/>
      <c r="L41" s="128"/>
      <c r="M41" s="128"/>
      <c r="N41" s="128"/>
      <c r="O41" s="128"/>
      <c r="P41" s="218"/>
      <c r="Q41" s="216"/>
      <c r="R41" s="143"/>
    </row>
    <row r="42" spans="1:19" x14ac:dyDescent="0.25">
      <c r="B42" s="129"/>
      <c r="H42" s="128"/>
      <c r="J42" s="128"/>
      <c r="K42" s="128"/>
      <c r="L42" s="128"/>
      <c r="M42" s="128"/>
      <c r="N42" s="128"/>
      <c r="O42" s="128"/>
      <c r="P42" s="218"/>
      <c r="Q42" s="216"/>
    </row>
    <row r="43" spans="1:19" x14ac:dyDescent="0.25">
      <c r="A43" s="128"/>
      <c r="B43" s="129"/>
      <c r="H43" s="128"/>
      <c r="J43" s="128"/>
      <c r="K43" s="128"/>
      <c r="L43" s="128"/>
      <c r="M43" s="128"/>
      <c r="N43" s="128"/>
      <c r="O43" s="128"/>
      <c r="P43" s="218"/>
      <c r="Q43" s="216"/>
    </row>
    <row r="44" spans="1:19" x14ac:dyDescent="0.25">
      <c r="A44" s="128"/>
      <c r="B44" s="129"/>
      <c r="H44" s="128"/>
      <c r="J44" s="128"/>
      <c r="K44" s="128"/>
      <c r="L44" s="128"/>
      <c r="M44" s="128"/>
      <c r="N44" s="128"/>
      <c r="O44" s="128"/>
      <c r="P44" s="218"/>
      <c r="Q44" s="216"/>
    </row>
    <row r="45" spans="1:19" x14ac:dyDescent="0.25">
      <c r="A45" s="128"/>
      <c r="B45" s="128"/>
      <c r="G45" s="143"/>
      <c r="J45" s="128"/>
      <c r="K45" s="128"/>
      <c r="L45" s="128"/>
      <c r="M45" s="128"/>
      <c r="N45" s="128"/>
      <c r="O45" s="128"/>
      <c r="P45" s="128"/>
      <c r="Q45" s="216"/>
    </row>
    <row r="46" spans="1:19" x14ac:dyDescent="0.25">
      <c r="A46" s="128"/>
      <c r="B46" s="128"/>
      <c r="H46" s="128"/>
      <c r="J46" s="128"/>
      <c r="K46" s="128"/>
      <c r="L46" s="128"/>
      <c r="M46" s="128"/>
      <c r="N46" s="128"/>
      <c r="O46" s="128"/>
      <c r="P46" s="128"/>
      <c r="Q46" s="216"/>
    </row>
    <row r="48" spans="1:19" s="143" customFormat="1" x14ac:dyDescent="0.25">
      <c r="A48" s="129"/>
      <c r="B48" s="163"/>
      <c r="C48" s="128"/>
      <c r="D48" s="128"/>
      <c r="E48" s="128"/>
      <c r="F48" s="128"/>
      <c r="I48" s="128"/>
      <c r="R48" s="128"/>
      <c r="S48" s="128"/>
    </row>
  </sheetData>
  <mergeCells count="20">
    <mergeCell ref="A1:Q1"/>
    <mergeCell ref="A2:Q2"/>
    <mergeCell ref="B3:Q3"/>
    <mergeCell ref="A5:A6"/>
    <mergeCell ref="B5:B6"/>
    <mergeCell ref="C5:C6"/>
    <mergeCell ref="D5:D6"/>
    <mergeCell ref="E5:E6"/>
    <mergeCell ref="F5:F6"/>
    <mergeCell ref="G5:N5"/>
    <mergeCell ref="O5:O6"/>
    <mergeCell ref="P5:P6"/>
    <mergeCell ref="Q5:Q6"/>
    <mergeCell ref="C28:E28"/>
    <mergeCell ref="C29:E29"/>
    <mergeCell ref="C30:E30"/>
    <mergeCell ref="C31:E31"/>
    <mergeCell ref="C32:E32"/>
    <mergeCell ref="A34:F34"/>
    <mergeCell ref="C33:E33"/>
  </mergeCells>
  <pageMargins left="0.7" right="0.7" top="0.75" bottom="0.75" header="0.3" footer="0.3"/>
  <pageSetup paperSize="9" orientation="portrait" horizontalDpi="0" verticalDpi="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909C6-5B07-4997-AA1A-7B940E7876DC}">
  <dimension ref="A1:S56"/>
  <sheetViews>
    <sheetView topLeftCell="A13" zoomScale="90" zoomScaleNormal="90" workbookViewId="0">
      <selection activeCell="O36" sqref="O36"/>
    </sheetView>
  </sheetViews>
  <sheetFormatPr defaultColWidth="9.140625" defaultRowHeight="12.75" x14ac:dyDescent="0.25"/>
  <cols>
    <col min="1" max="1" width="4.5703125" style="129" customWidth="1"/>
    <col min="2" max="2" width="10.28515625" style="163" customWidth="1"/>
    <col min="3" max="3" width="28.7109375" style="128" customWidth="1"/>
    <col min="4" max="4" width="15.28515625" style="128" customWidth="1"/>
    <col min="5" max="5" width="35.42578125" style="128" customWidth="1"/>
    <col min="6" max="6" width="10" style="128" customWidth="1"/>
    <col min="7" max="7" width="8" style="128" customWidth="1"/>
    <col min="8" max="8" width="10.140625" style="143" customWidth="1"/>
    <col min="9" max="9" width="9.140625" style="128" customWidth="1"/>
    <col min="10" max="10" width="12.140625" style="143" customWidth="1"/>
    <col min="11" max="11" width="11" style="143" customWidth="1"/>
    <col min="12" max="12" width="10.85546875" style="143" customWidth="1"/>
    <col min="13" max="13" width="11.28515625" style="143" customWidth="1"/>
    <col min="14" max="14" width="11" style="143" customWidth="1"/>
    <col min="15" max="15" width="12.7109375" style="143" customWidth="1"/>
    <col min="16" max="16" width="13.5703125" style="143" customWidth="1"/>
    <col min="17" max="17" width="13.42578125" style="143" customWidth="1"/>
    <col min="18" max="18" width="9.85546875" style="128" bestFit="1" customWidth="1"/>
    <col min="19" max="19" width="12.28515625" style="128" bestFit="1" customWidth="1"/>
    <col min="20" max="16384" width="9.140625" style="128"/>
  </cols>
  <sheetData>
    <row r="1" spans="1:18" ht="22.5" x14ac:dyDescent="0.25">
      <c r="A1" s="416" t="s">
        <v>0</v>
      </c>
      <c r="B1" s="416"/>
      <c r="C1" s="416"/>
      <c r="D1" s="416"/>
      <c r="E1" s="416"/>
      <c r="F1" s="416"/>
      <c r="G1" s="416"/>
      <c r="H1" s="416"/>
      <c r="I1" s="416"/>
      <c r="J1" s="416"/>
      <c r="K1" s="416"/>
      <c r="L1" s="416"/>
      <c r="M1" s="416"/>
      <c r="N1" s="416"/>
      <c r="O1" s="416"/>
      <c r="P1" s="416"/>
      <c r="Q1" s="416"/>
    </row>
    <row r="2" spans="1:18" ht="15.75" x14ac:dyDescent="0.25">
      <c r="A2" s="417" t="s">
        <v>19</v>
      </c>
      <c r="B2" s="417"/>
      <c r="C2" s="417"/>
      <c r="D2" s="417"/>
      <c r="E2" s="417"/>
      <c r="F2" s="417"/>
      <c r="G2" s="417"/>
      <c r="H2" s="417"/>
      <c r="I2" s="417"/>
      <c r="J2" s="417"/>
      <c r="K2" s="417"/>
      <c r="L2" s="417"/>
      <c r="M2" s="417"/>
      <c r="N2" s="417"/>
      <c r="O2" s="417"/>
      <c r="P2" s="417"/>
      <c r="Q2" s="417"/>
    </row>
    <row r="3" spans="1:18" ht="15.75" x14ac:dyDescent="0.25">
      <c r="A3" s="130"/>
      <c r="B3" s="417" t="s">
        <v>5663</v>
      </c>
      <c r="C3" s="417"/>
      <c r="D3" s="417"/>
      <c r="E3" s="417"/>
      <c r="F3" s="417"/>
      <c r="G3" s="417"/>
      <c r="H3" s="417"/>
      <c r="I3" s="417"/>
      <c r="J3" s="417"/>
      <c r="K3" s="417"/>
      <c r="L3" s="417"/>
      <c r="M3" s="417"/>
      <c r="N3" s="417"/>
      <c r="O3" s="417"/>
      <c r="P3" s="417"/>
      <c r="Q3" s="417"/>
    </row>
    <row r="5" spans="1:18" s="129" customFormat="1" ht="24.95" customHeight="1" x14ac:dyDescent="0.25">
      <c r="A5" s="426" t="s">
        <v>1</v>
      </c>
      <c r="B5" s="463" t="s">
        <v>2</v>
      </c>
      <c r="C5" s="426" t="s">
        <v>3</v>
      </c>
      <c r="D5" s="426" t="s">
        <v>5</v>
      </c>
      <c r="E5" s="464" t="s">
        <v>4</v>
      </c>
      <c r="F5" s="464" t="s">
        <v>17</v>
      </c>
      <c r="G5" s="426" t="s">
        <v>6</v>
      </c>
      <c r="H5" s="426"/>
      <c r="I5" s="426"/>
      <c r="J5" s="426"/>
      <c r="K5" s="426"/>
      <c r="L5" s="426"/>
      <c r="M5" s="426"/>
      <c r="N5" s="426"/>
      <c r="O5" s="462" t="s">
        <v>18</v>
      </c>
      <c r="P5" s="462" t="s">
        <v>13</v>
      </c>
      <c r="Q5" s="462" t="s">
        <v>14</v>
      </c>
    </row>
    <row r="6" spans="1:18" s="129" customFormat="1" ht="24.95" customHeight="1" x14ac:dyDescent="0.25">
      <c r="A6" s="426"/>
      <c r="B6" s="463"/>
      <c r="C6" s="426"/>
      <c r="D6" s="426"/>
      <c r="E6" s="464"/>
      <c r="F6" s="464"/>
      <c r="G6" s="354" t="s">
        <v>7</v>
      </c>
      <c r="H6" s="355" t="s">
        <v>15</v>
      </c>
      <c r="I6" s="354" t="s">
        <v>16</v>
      </c>
      <c r="J6" s="355" t="s">
        <v>8</v>
      </c>
      <c r="K6" s="355" t="s">
        <v>9</v>
      </c>
      <c r="L6" s="355" t="s">
        <v>10</v>
      </c>
      <c r="M6" s="355" t="s">
        <v>11</v>
      </c>
      <c r="N6" s="355" t="s">
        <v>12</v>
      </c>
      <c r="O6" s="462"/>
      <c r="P6" s="462"/>
      <c r="Q6" s="462"/>
    </row>
    <row r="7" spans="1:18" s="129" customFormat="1" ht="16.5" customHeight="1" x14ac:dyDescent="0.25">
      <c r="A7" s="341"/>
      <c r="B7" s="342"/>
      <c r="C7" s="341"/>
      <c r="D7" s="341"/>
      <c r="E7" s="343"/>
      <c r="F7" s="343"/>
      <c r="G7" s="341"/>
      <c r="H7" s="344"/>
      <c r="I7" s="341"/>
      <c r="J7" s="344"/>
      <c r="K7" s="344"/>
      <c r="L7" s="344"/>
      <c r="M7" s="344"/>
      <c r="N7" s="344"/>
      <c r="O7" s="345"/>
      <c r="P7" s="345"/>
      <c r="Q7" s="345"/>
    </row>
    <row r="8" spans="1:18" ht="24.95" customHeight="1" x14ac:dyDescent="0.25">
      <c r="A8" s="211">
        <v>1</v>
      </c>
      <c r="B8" s="328">
        <v>45628</v>
      </c>
      <c r="C8" s="134" t="s">
        <v>5614</v>
      </c>
      <c r="D8" s="211" t="s">
        <v>5639</v>
      </c>
      <c r="E8" s="136" t="s">
        <v>5073</v>
      </c>
      <c r="F8" s="134"/>
      <c r="G8" s="134">
        <v>43</v>
      </c>
      <c r="H8" s="139">
        <f>G8*18770</f>
        <v>807110</v>
      </c>
      <c r="I8" s="134"/>
      <c r="J8" s="139">
        <v>400000</v>
      </c>
      <c r="K8" s="139"/>
      <c r="L8" s="263"/>
      <c r="M8" s="139"/>
      <c r="N8" s="139"/>
      <c r="O8" s="139">
        <f>SUM(H8:N8)</f>
        <v>1207110</v>
      </c>
      <c r="P8" s="139">
        <v>2650000</v>
      </c>
      <c r="Q8" s="139">
        <f>P8-O8</f>
        <v>1442890</v>
      </c>
      <c r="R8" s="143"/>
    </row>
    <row r="9" spans="1:18" ht="24.95" customHeight="1" x14ac:dyDescent="0.25">
      <c r="A9" s="211">
        <v>2</v>
      </c>
      <c r="B9" s="328">
        <v>45629</v>
      </c>
      <c r="C9" s="134" t="s">
        <v>5615</v>
      </c>
      <c r="D9" s="211" t="s">
        <v>5640</v>
      </c>
      <c r="E9" s="136" t="s">
        <v>5371</v>
      </c>
      <c r="F9" s="134"/>
      <c r="G9" s="134">
        <v>155</v>
      </c>
      <c r="H9" s="139">
        <f>G9*18770</f>
        <v>2909350</v>
      </c>
      <c r="I9" s="134"/>
      <c r="J9" s="139">
        <v>1190000</v>
      </c>
      <c r="K9" s="139"/>
      <c r="L9" s="263"/>
      <c r="M9" s="139"/>
      <c r="N9" s="139"/>
      <c r="O9" s="139">
        <f>SUM(H9:N9)</f>
        <v>4099350</v>
      </c>
      <c r="P9" s="139">
        <v>7000000</v>
      </c>
      <c r="Q9" s="139">
        <f t="shared" ref="Q9:Q32" si="0">P9-O9</f>
        <v>2900650</v>
      </c>
      <c r="R9" s="143"/>
    </row>
    <row r="10" spans="1:18" ht="24.95" customHeight="1" x14ac:dyDescent="0.25">
      <c r="A10" s="211">
        <v>3</v>
      </c>
      <c r="B10" s="328">
        <v>45630</v>
      </c>
      <c r="C10" s="134" t="s">
        <v>5616</v>
      </c>
      <c r="D10" s="211" t="s">
        <v>5641</v>
      </c>
      <c r="E10" s="136" t="s">
        <v>5628</v>
      </c>
      <c r="F10" s="134"/>
      <c r="G10" s="134">
        <v>59</v>
      </c>
      <c r="H10" s="139">
        <f>G10*18380</f>
        <v>1084420</v>
      </c>
      <c r="I10" s="134"/>
      <c r="J10" s="139">
        <v>430000</v>
      </c>
      <c r="K10" s="139"/>
      <c r="L10" s="263"/>
      <c r="M10" s="139"/>
      <c r="N10" s="139"/>
      <c r="O10" s="139">
        <f t="shared" ref="O10:O17" si="1">SUM(H10:N10)</f>
        <v>1514420</v>
      </c>
      <c r="P10" s="139">
        <v>3060000</v>
      </c>
      <c r="Q10" s="139">
        <f t="shared" si="0"/>
        <v>1545580</v>
      </c>
      <c r="R10" s="143"/>
    </row>
    <row r="11" spans="1:18" ht="24.95" customHeight="1" x14ac:dyDescent="0.25">
      <c r="A11" s="211">
        <v>4</v>
      </c>
      <c r="B11" s="328">
        <v>45631</v>
      </c>
      <c r="C11" s="134" t="s">
        <v>5617</v>
      </c>
      <c r="D11" s="211" t="s">
        <v>5642</v>
      </c>
      <c r="E11" s="136" t="s">
        <v>2798</v>
      </c>
      <c r="F11" s="134"/>
      <c r="G11" s="134">
        <v>123</v>
      </c>
      <c r="H11" s="139">
        <f t="shared" ref="H11:H13" si="2">G11*18380</f>
        <v>2260740</v>
      </c>
      <c r="I11" s="134"/>
      <c r="J11" s="139">
        <v>790000</v>
      </c>
      <c r="K11" s="139"/>
      <c r="L11" s="263"/>
      <c r="M11" s="139"/>
      <c r="N11" s="139"/>
      <c r="O11" s="139">
        <f t="shared" si="1"/>
        <v>3050740</v>
      </c>
      <c r="P11" s="139">
        <v>5270370</v>
      </c>
      <c r="Q11" s="139">
        <f t="shared" si="0"/>
        <v>2219630</v>
      </c>
      <c r="R11" s="143"/>
    </row>
    <row r="12" spans="1:18" ht="24.95" customHeight="1" x14ac:dyDescent="0.25">
      <c r="A12" s="211">
        <v>5</v>
      </c>
      <c r="B12" s="328">
        <v>45632</v>
      </c>
      <c r="C12" s="134" t="s">
        <v>5618</v>
      </c>
      <c r="D12" s="211" t="s">
        <v>5643</v>
      </c>
      <c r="E12" s="136" t="s">
        <v>2985</v>
      </c>
      <c r="F12" s="134"/>
      <c r="G12" s="134">
        <v>59</v>
      </c>
      <c r="H12" s="139">
        <f t="shared" si="2"/>
        <v>1084420</v>
      </c>
      <c r="I12" s="134"/>
      <c r="J12" s="139">
        <v>430000</v>
      </c>
      <c r="K12" s="139"/>
      <c r="L12" s="263"/>
      <c r="M12" s="139"/>
      <c r="N12" s="139"/>
      <c r="O12" s="139">
        <f t="shared" si="1"/>
        <v>1514420</v>
      </c>
      <c r="P12" s="139">
        <v>3050000</v>
      </c>
      <c r="Q12" s="139">
        <f t="shared" si="0"/>
        <v>1535580</v>
      </c>
      <c r="R12" s="143"/>
    </row>
    <row r="13" spans="1:18" ht="24.95" customHeight="1" x14ac:dyDescent="0.25">
      <c r="A13" s="211">
        <v>6</v>
      </c>
      <c r="B13" s="328">
        <v>45635</v>
      </c>
      <c r="C13" s="134" t="s">
        <v>5619</v>
      </c>
      <c r="D13" s="211" t="s">
        <v>5644</v>
      </c>
      <c r="E13" s="136" t="s">
        <v>3341</v>
      </c>
      <c r="F13" s="134"/>
      <c r="G13" s="134">
        <v>86</v>
      </c>
      <c r="H13" s="139">
        <f t="shared" si="2"/>
        <v>1580680</v>
      </c>
      <c r="I13" s="134"/>
      <c r="J13" s="139">
        <v>790000</v>
      </c>
      <c r="K13" s="139"/>
      <c r="L13" s="263"/>
      <c r="M13" s="139"/>
      <c r="N13" s="139"/>
      <c r="O13" s="139">
        <f t="shared" si="1"/>
        <v>2370680</v>
      </c>
      <c r="P13" s="139">
        <v>4597778</v>
      </c>
      <c r="Q13" s="139">
        <f t="shared" si="0"/>
        <v>2227098</v>
      </c>
      <c r="R13" s="143"/>
    </row>
    <row r="14" spans="1:18" ht="24.95" customHeight="1" x14ac:dyDescent="0.25">
      <c r="A14" s="211">
        <v>7</v>
      </c>
      <c r="B14" s="328">
        <v>45636</v>
      </c>
      <c r="C14" s="134" t="s">
        <v>5620</v>
      </c>
      <c r="D14" s="211" t="s">
        <v>5645</v>
      </c>
      <c r="E14" s="136" t="s">
        <v>1170</v>
      </c>
      <c r="F14" s="134"/>
      <c r="G14" s="134">
        <v>254</v>
      </c>
      <c r="H14" s="139">
        <f>G14*18250</f>
        <v>4635500</v>
      </c>
      <c r="I14" s="134"/>
      <c r="J14" s="139">
        <v>2380000</v>
      </c>
      <c r="K14" s="139"/>
      <c r="L14" s="263"/>
      <c r="M14" s="139"/>
      <c r="N14" s="139"/>
      <c r="O14" s="139">
        <f t="shared" si="1"/>
        <v>7015500</v>
      </c>
      <c r="P14" s="139">
        <v>12962963</v>
      </c>
      <c r="Q14" s="139">
        <f t="shared" si="0"/>
        <v>5947463</v>
      </c>
      <c r="R14" s="143"/>
    </row>
    <row r="15" spans="1:18" ht="24.95" customHeight="1" x14ac:dyDescent="0.25">
      <c r="A15" s="211">
        <v>8</v>
      </c>
      <c r="B15" s="328">
        <v>45637</v>
      </c>
      <c r="C15" s="134" t="s">
        <v>5621</v>
      </c>
      <c r="D15" s="211" t="s">
        <v>5646</v>
      </c>
      <c r="E15" s="136" t="s">
        <v>5629</v>
      </c>
      <c r="F15" s="134"/>
      <c r="G15" s="134">
        <v>65</v>
      </c>
      <c r="H15" s="139">
        <f>G15*18250</f>
        <v>1186250</v>
      </c>
      <c r="I15" s="134"/>
      <c r="J15" s="139">
        <v>430000</v>
      </c>
      <c r="K15" s="139"/>
      <c r="L15" s="263"/>
      <c r="M15" s="139"/>
      <c r="N15" s="139"/>
      <c r="O15" s="139">
        <f t="shared" si="1"/>
        <v>1616250</v>
      </c>
      <c r="P15" s="139">
        <v>3060000</v>
      </c>
      <c r="Q15" s="139">
        <f t="shared" si="0"/>
        <v>1443750</v>
      </c>
      <c r="R15" s="143"/>
    </row>
    <row r="16" spans="1:18" ht="24.95" customHeight="1" x14ac:dyDescent="0.25">
      <c r="A16" s="211">
        <v>9</v>
      </c>
      <c r="B16" s="328">
        <v>45638</v>
      </c>
      <c r="C16" s="134" t="s">
        <v>786</v>
      </c>
      <c r="D16" s="211" t="s">
        <v>5647</v>
      </c>
      <c r="E16" s="136" t="s">
        <v>5630</v>
      </c>
      <c r="F16" s="134"/>
      <c r="G16" s="134">
        <v>90</v>
      </c>
      <c r="H16" s="139">
        <f t="shared" ref="H16:H19" si="3">G16*18250</f>
        <v>1642500</v>
      </c>
      <c r="I16" s="134"/>
      <c r="J16" s="139">
        <v>790000</v>
      </c>
      <c r="K16" s="139"/>
      <c r="L16" s="263"/>
      <c r="M16" s="139"/>
      <c r="N16" s="139"/>
      <c r="O16" s="139">
        <f t="shared" si="1"/>
        <v>2432500</v>
      </c>
      <c r="P16" s="139">
        <v>4597778</v>
      </c>
      <c r="Q16" s="139">
        <f t="shared" si="0"/>
        <v>2165278</v>
      </c>
      <c r="R16" s="143"/>
    </row>
    <row r="17" spans="1:18" ht="24.95" customHeight="1" x14ac:dyDescent="0.25">
      <c r="A17" s="211">
        <v>10</v>
      </c>
      <c r="B17" s="328">
        <v>45639</v>
      </c>
      <c r="C17" s="134" t="s">
        <v>5622</v>
      </c>
      <c r="D17" s="211" t="s">
        <v>5648</v>
      </c>
      <c r="E17" s="136" t="s">
        <v>4509</v>
      </c>
      <c r="F17" s="134"/>
      <c r="G17" s="134">
        <v>378</v>
      </c>
      <c r="H17" s="139">
        <f t="shared" si="3"/>
        <v>6898500</v>
      </c>
      <c r="I17" s="134"/>
      <c r="J17" s="139">
        <v>3748000</v>
      </c>
      <c r="K17" s="139"/>
      <c r="L17" s="263"/>
      <c r="M17" s="139"/>
      <c r="N17" s="139"/>
      <c r="O17" s="139">
        <f t="shared" si="1"/>
        <v>10646500</v>
      </c>
      <c r="P17" s="139">
        <v>20400000</v>
      </c>
      <c r="Q17" s="139">
        <f t="shared" si="0"/>
        <v>9753500</v>
      </c>
      <c r="R17" s="143"/>
    </row>
    <row r="18" spans="1:18" ht="24.95" customHeight="1" x14ac:dyDescent="0.25">
      <c r="A18" s="211">
        <v>11</v>
      </c>
      <c r="B18" s="328">
        <v>45643</v>
      </c>
      <c r="C18" s="134" t="s">
        <v>2134</v>
      </c>
      <c r="D18" s="211" t="s">
        <v>5649</v>
      </c>
      <c r="E18" s="136" t="s">
        <v>5631</v>
      </c>
      <c r="F18" s="134"/>
      <c r="G18" s="134">
        <v>76</v>
      </c>
      <c r="H18" s="139">
        <f t="shared" si="3"/>
        <v>1387000</v>
      </c>
      <c r="I18" s="134"/>
      <c r="J18" s="139">
        <v>430000</v>
      </c>
      <c r="K18" s="139"/>
      <c r="L18" s="263"/>
      <c r="M18" s="139"/>
      <c r="N18" s="139"/>
      <c r="O18" s="139">
        <f>SUM(H18:N18)</f>
        <v>1817000</v>
      </c>
      <c r="P18" s="139">
        <v>3300000</v>
      </c>
      <c r="Q18" s="139">
        <f t="shared" si="0"/>
        <v>1483000</v>
      </c>
      <c r="R18" s="143"/>
    </row>
    <row r="19" spans="1:18" ht="24.95" customHeight="1" x14ac:dyDescent="0.25">
      <c r="A19" s="211">
        <v>12</v>
      </c>
      <c r="B19" s="328">
        <v>45644</v>
      </c>
      <c r="C19" s="134" t="s">
        <v>4106</v>
      </c>
      <c r="D19" s="211" t="s">
        <v>5650</v>
      </c>
      <c r="E19" s="136" t="s">
        <v>2883</v>
      </c>
      <c r="F19" s="134"/>
      <c r="G19" s="134">
        <v>63</v>
      </c>
      <c r="H19" s="139">
        <f t="shared" si="3"/>
        <v>1149750</v>
      </c>
      <c r="I19" s="134"/>
      <c r="J19" s="139">
        <v>430000</v>
      </c>
      <c r="K19" s="139"/>
      <c r="L19" s="263"/>
      <c r="M19" s="139"/>
      <c r="N19" s="139"/>
      <c r="O19" s="139">
        <f>SUM(H19:N19)</f>
        <v>1579750</v>
      </c>
      <c r="P19" s="139">
        <v>3300000</v>
      </c>
      <c r="Q19" s="139">
        <f t="shared" si="0"/>
        <v>1720250</v>
      </c>
      <c r="R19" s="143"/>
    </row>
    <row r="20" spans="1:18" ht="24.95" customHeight="1" x14ac:dyDescent="0.25">
      <c r="A20" s="211">
        <v>13</v>
      </c>
      <c r="B20" s="328">
        <v>45645</v>
      </c>
      <c r="C20" s="134" t="s">
        <v>2136</v>
      </c>
      <c r="D20" s="211" t="s">
        <v>5651</v>
      </c>
      <c r="E20" s="136" t="s">
        <v>5632</v>
      </c>
      <c r="F20" s="134"/>
      <c r="G20" s="134">
        <v>157</v>
      </c>
      <c r="H20" s="139">
        <f>G20*18730</f>
        <v>2940610</v>
      </c>
      <c r="I20" s="134"/>
      <c r="J20" s="139">
        <v>1070000</v>
      </c>
      <c r="K20" s="139"/>
      <c r="L20" s="263"/>
      <c r="M20" s="139"/>
      <c r="N20" s="139"/>
      <c r="O20" s="139">
        <f>SUM(H20:N20)</f>
        <v>4010610</v>
      </c>
      <c r="P20" s="139">
        <v>6600000</v>
      </c>
      <c r="Q20" s="139">
        <f t="shared" si="0"/>
        <v>2589390</v>
      </c>
      <c r="R20" s="143"/>
    </row>
    <row r="21" spans="1:18" ht="24.95" customHeight="1" x14ac:dyDescent="0.25">
      <c r="A21" s="211">
        <v>14</v>
      </c>
      <c r="B21" s="328">
        <v>45646</v>
      </c>
      <c r="C21" s="134" t="s">
        <v>4634</v>
      </c>
      <c r="D21" s="211" t="s">
        <v>5652</v>
      </c>
      <c r="E21" s="136" t="s">
        <v>291</v>
      </c>
      <c r="F21" s="134"/>
      <c r="G21" s="134">
        <v>69</v>
      </c>
      <c r="H21" s="139">
        <f t="shared" ref="H21:H22" si="4">G21*18730</f>
        <v>1292370</v>
      </c>
      <c r="I21" s="134"/>
      <c r="J21" s="139">
        <v>790000</v>
      </c>
      <c r="K21" s="139"/>
      <c r="L21" s="263"/>
      <c r="M21" s="139"/>
      <c r="N21" s="139"/>
      <c r="O21" s="139">
        <f t="shared" ref="O21:O41" si="5">SUM(H21:N21)</f>
        <v>2082370</v>
      </c>
      <c r="P21" s="139">
        <v>3680000</v>
      </c>
      <c r="Q21" s="139">
        <f t="shared" si="0"/>
        <v>1597630</v>
      </c>
      <c r="R21" s="143"/>
    </row>
    <row r="22" spans="1:18" ht="24.95" customHeight="1" x14ac:dyDescent="0.25">
      <c r="A22" s="211">
        <v>15</v>
      </c>
      <c r="B22" s="328">
        <v>45647</v>
      </c>
      <c r="C22" s="134" t="s">
        <v>4635</v>
      </c>
      <c r="D22" s="211" t="s">
        <v>5653</v>
      </c>
      <c r="E22" s="136" t="s">
        <v>4509</v>
      </c>
      <c r="F22" s="134"/>
      <c r="G22" s="134">
        <v>381</v>
      </c>
      <c r="H22" s="139">
        <f t="shared" si="4"/>
        <v>7136130</v>
      </c>
      <c r="I22" s="134"/>
      <c r="J22" s="139">
        <v>3748000</v>
      </c>
      <c r="K22" s="139"/>
      <c r="L22" s="263"/>
      <c r="M22" s="139"/>
      <c r="N22" s="139"/>
      <c r="O22" s="139">
        <f t="shared" si="5"/>
        <v>10884130</v>
      </c>
      <c r="P22" s="139">
        <v>20400000</v>
      </c>
      <c r="Q22" s="139">
        <f t="shared" si="0"/>
        <v>9515870</v>
      </c>
      <c r="R22" s="143"/>
    </row>
    <row r="23" spans="1:18" ht="24.95" customHeight="1" x14ac:dyDescent="0.25">
      <c r="A23" s="211">
        <v>16</v>
      </c>
      <c r="B23" s="328">
        <v>45649</v>
      </c>
      <c r="C23" s="134" t="s">
        <v>5623</v>
      </c>
      <c r="D23" s="211" t="s">
        <v>5654</v>
      </c>
      <c r="E23" s="136" t="s">
        <v>5633</v>
      </c>
      <c r="F23" s="134"/>
      <c r="G23" s="134">
        <v>45</v>
      </c>
      <c r="H23" s="139">
        <f>G23*18630</f>
        <v>838350</v>
      </c>
      <c r="I23" s="134"/>
      <c r="J23" s="139">
        <v>400000</v>
      </c>
      <c r="K23" s="139"/>
      <c r="L23" s="263"/>
      <c r="M23" s="139"/>
      <c r="N23" s="139"/>
      <c r="O23" s="139">
        <f t="shared" si="5"/>
        <v>1238350</v>
      </c>
      <c r="P23" s="139">
        <v>2650000</v>
      </c>
      <c r="Q23" s="139">
        <f t="shared" si="0"/>
        <v>1411650</v>
      </c>
      <c r="R23" s="143"/>
    </row>
    <row r="24" spans="1:18" ht="24.95" customHeight="1" x14ac:dyDescent="0.25">
      <c r="A24" s="211">
        <v>17</v>
      </c>
      <c r="B24" s="328">
        <v>45649</v>
      </c>
      <c r="C24" s="134" t="s">
        <v>5624</v>
      </c>
      <c r="D24" s="211" t="s">
        <v>5655</v>
      </c>
      <c r="E24" s="136" t="s">
        <v>248</v>
      </c>
      <c r="F24" s="134"/>
      <c r="G24" s="134">
        <v>92</v>
      </c>
      <c r="H24" s="139">
        <f t="shared" ref="H24:H32" si="6">G24*18630</f>
        <v>1713960</v>
      </c>
      <c r="I24" s="134"/>
      <c r="J24" s="139">
        <v>790000</v>
      </c>
      <c r="K24" s="139"/>
      <c r="L24" s="263"/>
      <c r="M24" s="139"/>
      <c r="N24" s="139"/>
      <c r="O24" s="139">
        <f t="shared" si="5"/>
        <v>2503960</v>
      </c>
      <c r="P24" s="139">
        <v>4490741</v>
      </c>
      <c r="Q24" s="139">
        <f t="shared" si="0"/>
        <v>1986781</v>
      </c>
      <c r="R24" s="143"/>
    </row>
    <row r="25" spans="1:18" ht="24.95" customHeight="1" x14ac:dyDescent="0.25">
      <c r="A25" s="211">
        <v>19</v>
      </c>
      <c r="B25" s="328">
        <v>45651</v>
      </c>
      <c r="C25" s="134" t="s">
        <v>1463</v>
      </c>
      <c r="D25" s="211" t="s">
        <v>5656</v>
      </c>
      <c r="E25" s="136" t="s">
        <v>5011</v>
      </c>
      <c r="F25" s="134"/>
      <c r="G25" s="134">
        <v>68</v>
      </c>
      <c r="H25" s="139">
        <f t="shared" si="6"/>
        <v>1266840</v>
      </c>
      <c r="I25" s="134"/>
      <c r="J25" s="139">
        <v>430000</v>
      </c>
      <c r="K25" s="139"/>
      <c r="L25" s="263"/>
      <c r="M25" s="139"/>
      <c r="N25" s="139"/>
      <c r="O25" s="139">
        <f t="shared" si="5"/>
        <v>1696840</v>
      </c>
      <c r="P25" s="139">
        <v>3400000</v>
      </c>
      <c r="Q25" s="139">
        <f t="shared" si="0"/>
        <v>1703160</v>
      </c>
      <c r="R25" s="143"/>
    </row>
    <row r="26" spans="1:18" ht="24.95" customHeight="1" x14ac:dyDescent="0.25">
      <c r="A26" s="211">
        <v>20</v>
      </c>
      <c r="B26" s="328">
        <v>45652</v>
      </c>
      <c r="C26" s="134" t="s">
        <v>5625</v>
      </c>
      <c r="D26" s="211" t="s">
        <v>5657</v>
      </c>
      <c r="E26" s="136" t="s">
        <v>5634</v>
      </c>
      <c r="F26" s="134"/>
      <c r="G26" s="134">
        <v>100</v>
      </c>
      <c r="H26" s="139">
        <f t="shared" si="6"/>
        <v>1863000</v>
      </c>
      <c r="I26" s="134"/>
      <c r="J26" s="139">
        <v>430000</v>
      </c>
      <c r="K26" s="139"/>
      <c r="L26" s="263"/>
      <c r="M26" s="139"/>
      <c r="N26" s="139"/>
      <c r="O26" s="139">
        <f t="shared" si="5"/>
        <v>2293000</v>
      </c>
      <c r="P26" s="139">
        <v>4500000</v>
      </c>
      <c r="Q26" s="139">
        <f t="shared" si="0"/>
        <v>2207000</v>
      </c>
      <c r="R26" s="143"/>
    </row>
    <row r="27" spans="1:18" ht="24.95" customHeight="1" x14ac:dyDescent="0.25">
      <c r="A27" s="210">
        <v>21</v>
      </c>
      <c r="B27" s="328">
        <v>45653</v>
      </c>
      <c r="C27" s="134" t="s">
        <v>799</v>
      </c>
      <c r="D27" s="211" t="s">
        <v>868</v>
      </c>
      <c r="E27" s="136" t="s">
        <v>947</v>
      </c>
      <c r="F27" s="134"/>
      <c r="G27" s="134">
        <v>147</v>
      </c>
      <c r="H27" s="139">
        <f t="shared" si="6"/>
        <v>2738610</v>
      </c>
      <c r="I27" s="134"/>
      <c r="J27" s="139">
        <v>910000</v>
      </c>
      <c r="K27" s="139"/>
      <c r="L27" s="263"/>
      <c r="M27" s="139"/>
      <c r="N27" s="139"/>
      <c r="O27" s="139">
        <f t="shared" si="5"/>
        <v>3648610</v>
      </c>
      <c r="P27" s="139">
        <v>3300000</v>
      </c>
      <c r="Q27" s="139">
        <f t="shared" si="0"/>
        <v>-348610</v>
      </c>
      <c r="R27" s="143"/>
    </row>
    <row r="28" spans="1:18" ht="24.95" customHeight="1" x14ac:dyDescent="0.25">
      <c r="A28" s="210">
        <v>22</v>
      </c>
      <c r="B28" s="328">
        <v>45653</v>
      </c>
      <c r="C28" s="134" t="s">
        <v>5626</v>
      </c>
      <c r="D28" s="211" t="s">
        <v>868</v>
      </c>
      <c r="E28" s="136" t="s">
        <v>5635</v>
      </c>
      <c r="F28" s="134"/>
      <c r="G28" s="134"/>
      <c r="H28" s="139">
        <f t="shared" si="6"/>
        <v>0</v>
      </c>
      <c r="I28" s="134"/>
      <c r="J28" s="139"/>
      <c r="K28" s="139"/>
      <c r="L28" s="263"/>
      <c r="M28" s="139"/>
      <c r="N28" s="139"/>
      <c r="O28" s="139">
        <f t="shared" si="5"/>
        <v>0</v>
      </c>
      <c r="P28" s="139">
        <v>3320000</v>
      </c>
      <c r="Q28" s="139">
        <f t="shared" si="0"/>
        <v>3320000</v>
      </c>
      <c r="R28" s="143"/>
    </row>
    <row r="29" spans="1:18" ht="24.95" customHeight="1" x14ac:dyDescent="0.25">
      <c r="A29" s="210">
        <v>23</v>
      </c>
      <c r="B29" s="328">
        <v>45654</v>
      </c>
      <c r="C29" s="134" t="s">
        <v>3461</v>
      </c>
      <c r="D29" s="211" t="s">
        <v>5658</v>
      </c>
      <c r="E29" s="136" t="s">
        <v>5306</v>
      </c>
      <c r="F29" s="134"/>
      <c r="G29" s="134">
        <v>76</v>
      </c>
      <c r="H29" s="139">
        <f t="shared" si="6"/>
        <v>1415880</v>
      </c>
      <c r="I29" s="134"/>
      <c r="J29" s="139">
        <v>430000</v>
      </c>
      <c r="K29" s="139"/>
      <c r="L29" s="263"/>
      <c r="M29" s="139"/>
      <c r="N29" s="139"/>
      <c r="O29" s="139">
        <f t="shared" si="5"/>
        <v>1845880</v>
      </c>
      <c r="P29" s="139">
        <v>3150000</v>
      </c>
      <c r="Q29" s="139">
        <f t="shared" si="0"/>
        <v>1304120</v>
      </c>
      <c r="R29" s="143"/>
    </row>
    <row r="30" spans="1:18" ht="24.95" customHeight="1" x14ac:dyDescent="0.25">
      <c r="A30" s="210">
        <v>24</v>
      </c>
      <c r="B30" s="328">
        <v>45656</v>
      </c>
      <c r="C30" s="134" t="s">
        <v>1468</v>
      </c>
      <c r="D30" s="211" t="s">
        <v>5659</v>
      </c>
      <c r="E30" s="136" t="s">
        <v>5636</v>
      </c>
      <c r="F30" s="134"/>
      <c r="G30" s="134">
        <v>240</v>
      </c>
      <c r="H30" s="139">
        <f t="shared" si="6"/>
        <v>4471200</v>
      </c>
      <c r="I30" s="134"/>
      <c r="J30" s="139">
        <v>2380000</v>
      </c>
      <c r="K30" s="139"/>
      <c r="L30" s="263"/>
      <c r="M30" s="139"/>
      <c r="N30" s="139"/>
      <c r="O30" s="139">
        <f t="shared" si="5"/>
        <v>6851200</v>
      </c>
      <c r="P30" s="139">
        <v>12880000</v>
      </c>
      <c r="Q30" s="139">
        <f t="shared" si="0"/>
        <v>6028800</v>
      </c>
      <c r="R30" s="143"/>
    </row>
    <row r="31" spans="1:18" ht="24.95" customHeight="1" x14ac:dyDescent="0.25">
      <c r="A31" s="210">
        <v>25</v>
      </c>
      <c r="B31" s="328">
        <v>45657</v>
      </c>
      <c r="C31" s="134" t="s">
        <v>3465</v>
      </c>
      <c r="D31" s="211" t="s">
        <v>5660</v>
      </c>
      <c r="E31" s="136" t="s">
        <v>5637</v>
      </c>
      <c r="F31" s="134"/>
      <c r="G31" s="134">
        <v>80</v>
      </c>
      <c r="H31" s="139">
        <f t="shared" si="6"/>
        <v>1490400</v>
      </c>
      <c r="I31" s="134"/>
      <c r="J31" s="139">
        <v>430000</v>
      </c>
      <c r="K31" s="139"/>
      <c r="L31" s="263"/>
      <c r="M31" s="139"/>
      <c r="N31" s="139"/>
      <c r="O31" s="139">
        <f t="shared" si="5"/>
        <v>1920400</v>
      </c>
      <c r="P31" s="139">
        <v>3700000</v>
      </c>
      <c r="Q31" s="139">
        <f t="shared" si="0"/>
        <v>1779600</v>
      </c>
      <c r="R31" s="143"/>
    </row>
    <row r="32" spans="1:18" ht="24.95" customHeight="1" x14ac:dyDescent="0.25">
      <c r="A32" s="210"/>
      <c r="B32" s="328">
        <v>45657</v>
      </c>
      <c r="C32" s="134" t="s">
        <v>5627</v>
      </c>
      <c r="D32" s="211" t="s">
        <v>5661</v>
      </c>
      <c r="E32" s="136" t="s">
        <v>5638</v>
      </c>
      <c r="F32" s="134"/>
      <c r="G32" s="134">
        <v>15</v>
      </c>
      <c r="H32" s="139">
        <f t="shared" si="6"/>
        <v>279450</v>
      </c>
      <c r="I32" s="134"/>
      <c r="J32" s="139">
        <v>300000</v>
      </c>
      <c r="K32" s="139"/>
      <c r="L32" s="263"/>
      <c r="M32" s="139"/>
      <c r="N32" s="139"/>
      <c r="O32" s="139">
        <f t="shared" si="5"/>
        <v>579450</v>
      </c>
      <c r="P32" s="139">
        <v>1018519</v>
      </c>
      <c r="Q32" s="139">
        <f t="shared" si="0"/>
        <v>439069</v>
      </c>
      <c r="R32" s="143"/>
    </row>
    <row r="33" spans="1:19" ht="24.95" customHeight="1" x14ac:dyDescent="0.25">
      <c r="A33" s="210"/>
      <c r="B33" s="381"/>
      <c r="C33" s="474" t="s">
        <v>26</v>
      </c>
      <c r="D33" s="475"/>
      <c r="E33" s="476"/>
      <c r="F33" s="376"/>
      <c r="G33" s="151"/>
      <c r="H33" s="377"/>
      <c r="I33" s="151"/>
      <c r="J33" s="377"/>
      <c r="K33" s="378">
        <v>1200000</v>
      </c>
      <c r="L33" s="378"/>
      <c r="M33" s="378"/>
      <c r="N33" s="378"/>
      <c r="O33" s="142">
        <f t="shared" si="5"/>
        <v>1200000</v>
      </c>
      <c r="P33" s="142"/>
      <c r="Q33" s="142"/>
      <c r="R33" s="143"/>
    </row>
    <row r="34" spans="1:19" ht="24.95" customHeight="1" x14ac:dyDescent="0.25">
      <c r="A34" s="211"/>
      <c r="B34" s="328"/>
      <c r="C34" s="452" t="s">
        <v>4798</v>
      </c>
      <c r="D34" s="453"/>
      <c r="E34" s="454"/>
      <c r="F34" s="196"/>
      <c r="G34" s="195"/>
      <c r="H34" s="155"/>
      <c r="I34" s="195"/>
      <c r="J34" s="155"/>
      <c r="K34" s="378">
        <v>12706640</v>
      </c>
      <c r="L34" s="378"/>
      <c r="M34" s="378"/>
      <c r="N34" s="378"/>
      <c r="O34" s="139">
        <f t="shared" si="5"/>
        <v>12706640</v>
      </c>
      <c r="P34" s="139"/>
      <c r="Q34" s="139"/>
      <c r="R34" s="143"/>
    </row>
    <row r="35" spans="1:19" ht="24.95" customHeight="1" x14ac:dyDescent="0.25">
      <c r="A35" s="211"/>
      <c r="B35" s="328"/>
      <c r="C35" s="477" t="s">
        <v>5701</v>
      </c>
      <c r="D35" s="478"/>
      <c r="E35" s="479"/>
      <c r="F35" s="196"/>
      <c r="G35" s="195"/>
      <c r="H35" s="155"/>
      <c r="I35" s="195"/>
      <c r="J35" s="155"/>
      <c r="K35" s="378"/>
      <c r="L35" s="378">
        <v>550000</v>
      </c>
      <c r="M35" s="378"/>
      <c r="N35" s="378"/>
      <c r="O35" s="139">
        <f t="shared" si="5"/>
        <v>550000</v>
      </c>
      <c r="P35" s="139"/>
      <c r="Q35" s="139"/>
      <c r="R35" s="143"/>
    </row>
    <row r="36" spans="1:19" ht="24.95" customHeight="1" x14ac:dyDescent="0.25">
      <c r="A36" s="211"/>
      <c r="B36" s="328"/>
      <c r="C36" s="477" t="s">
        <v>5702</v>
      </c>
      <c r="D36" s="478"/>
      <c r="E36" s="479"/>
      <c r="F36" s="196"/>
      <c r="G36" s="195"/>
      <c r="H36" s="155"/>
      <c r="I36" s="195"/>
      <c r="J36" s="155"/>
      <c r="K36" s="378"/>
      <c r="L36" s="378">
        <v>120000</v>
      </c>
      <c r="M36" s="378"/>
      <c r="N36" s="378"/>
      <c r="O36" s="139">
        <f t="shared" si="5"/>
        <v>120000</v>
      </c>
      <c r="P36" s="139"/>
      <c r="Q36" s="139"/>
      <c r="R36" s="143"/>
    </row>
    <row r="37" spans="1:19" ht="24.95" customHeight="1" x14ac:dyDescent="0.25">
      <c r="A37" s="211"/>
      <c r="B37" s="328"/>
      <c r="C37" s="477" t="s">
        <v>5706</v>
      </c>
      <c r="D37" s="478"/>
      <c r="E37" s="479"/>
      <c r="F37" s="152"/>
      <c r="G37" s="153"/>
      <c r="H37" s="156"/>
      <c r="I37" s="153"/>
      <c r="J37" s="156"/>
      <c r="K37" s="330"/>
      <c r="L37" s="330"/>
      <c r="M37" s="330"/>
      <c r="N37" s="330">
        <f>13500000/4</f>
        <v>3375000</v>
      </c>
      <c r="O37" s="139">
        <f t="shared" si="5"/>
        <v>3375000</v>
      </c>
      <c r="P37" s="139"/>
      <c r="Q37" s="139"/>
      <c r="R37" s="143"/>
    </row>
    <row r="38" spans="1:19" ht="24.95" customHeight="1" x14ac:dyDescent="0.25">
      <c r="A38" s="211"/>
      <c r="B38" s="328"/>
      <c r="C38" s="477" t="s">
        <v>5707</v>
      </c>
      <c r="D38" s="478"/>
      <c r="E38" s="479"/>
      <c r="F38" s="196"/>
      <c r="G38" s="195"/>
      <c r="H38" s="155"/>
      <c r="I38" s="195"/>
      <c r="J38" s="155"/>
      <c r="K38" s="378"/>
      <c r="L38" s="378">
        <v>50000</v>
      </c>
      <c r="M38" s="378"/>
      <c r="N38" s="378"/>
      <c r="O38" s="139">
        <f t="shared" si="5"/>
        <v>50000</v>
      </c>
      <c r="P38" s="139"/>
      <c r="Q38" s="139"/>
      <c r="R38" s="143"/>
    </row>
    <row r="39" spans="1:19" ht="24.95" customHeight="1" x14ac:dyDescent="0.25">
      <c r="A39" s="211"/>
      <c r="B39" s="328"/>
      <c r="C39" s="477" t="s">
        <v>5708</v>
      </c>
      <c r="D39" s="478"/>
      <c r="E39" s="479"/>
      <c r="F39" s="196"/>
      <c r="G39" s="195"/>
      <c r="H39" s="155"/>
      <c r="I39" s="195"/>
      <c r="J39" s="155"/>
      <c r="K39" s="378"/>
      <c r="L39" s="378">
        <v>200000</v>
      </c>
      <c r="M39" s="378"/>
      <c r="N39" s="378"/>
      <c r="O39" s="139">
        <f t="shared" si="5"/>
        <v>200000</v>
      </c>
      <c r="P39" s="139"/>
      <c r="Q39" s="139"/>
      <c r="R39" s="143"/>
    </row>
    <row r="40" spans="1:19" ht="24.95" customHeight="1" x14ac:dyDescent="0.25">
      <c r="A40" s="211"/>
      <c r="B40" s="328"/>
      <c r="C40" s="477" t="s">
        <v>5709</v>
      </c>
      <c r="D40" s="478"/>
      <c r="E40" s="479"/>
      <c r="F40" s="196"/>
      <c r="G40" s="195"/>
      <c r="H40" s="155"/>
      <c r="I40" s="195"/>
      <c r="J40" s="155"/>
      <c r="K40" s="378"/>
      <c r="L40" s="378">
        <v>300000</v>
      </c>
      <c r="M40" s="378"/>
      <c r="N40" s="378"/>
      <c r="O40" s="139">
        <f t="shared" si="5"/>
        <v>300000</v>
      </c>
      <c r="P40" s="139"/>
      <c r="Q40" s="139"/>
      <c r="R40" s="143"/>
    </row>
    <row r="41" spans="1:19" ht="24.95" customHeight="1" x14ac:dyDescent="0.25">
      <c r="A41" s="379"/>
      <c r="B41" s="380"/>
      <c r="C41" s="471" t="s">
        <v>4548</v>
      </c>
      <c r="D41" s="472"/>
      <c r="E41" s="473"/>
      <c r="F41" s="152"/>
      <c r="G41" s="153"/>
      <c r="H41" s="156"/>
      <c r="I41" s="153"/>
      <c r="J41" s="156"/>
      <c r="K41" s="288">
        <v>8300000</v>
      </c>
      <c r="L41" s="288"/>
      <c r="M41" s="206"/>
      <c r="N41" s="206"/>
      <c r="O41" s="206">
        <f t="shared" si="5"/>
        <v>8300000</v>
      </c>
      <c r="P41" s="206"/>
      <c r="Q41" s="206"/>
      <c r="R41" s="143"/>
    </row>
    <row r="42" spans="1:19" ht="24.95" customHeight="1" x14ac:dyDescent="0.25">
      <c r="A42" s="426" t="s">
        <v>20</v>
      </c>
      <c r="B42" s="426"/>
      <c r="C42" s="426"/>
      <c r="D42" s="426"/>
      <c r="E42" s="426"/>
      <c r="F42" s="426"/>
      <c r="G42" s="161">
        <f>SUM(G8:G41)</f>
        <v>2921</v>
      </c>
      <c r="H42" s="161">
        <f>SUM(H8:H41)</f>
        <v>54073020</v>
      </c>
      <c r="I42" s="161">
        <f>SUM(I8:I41)</f>
        <v>0</v>
      </c>
      <c r="J42" s="161">
        <f>SUM(J8:J41)</f>
        <v>24346000</v>
      </c>
      <c r="K42" s="161">
        <f>SUM(K8:K41)</f>
        <v>22206640</v>
      </c>
      <c r="L42" s="161">
        <f>SUM(L8:L41)</f>
        <v>1220000</v>
      </c>
      <c r="M42" s="161">
        <f>SUM(M8:M41)</f>
        <v>0</v>
      </c>
      <c r="N42" s="161">
        <f>SUM(N8:N41)</f>
        <v>3375000</v>
      </c>
      <c r="O42" s="161">
        <f>SUM(O8:O41)</f>
        <v>105220660</v>
      </c>
      <c r="P42" s="161">
        <f>SUM(P8:P41)</f>
        <v>146338149</v>
      </c>
      <c r="Q42" s="161">
        <f>P42-O42</f>
        <v>41117489</v>
      </c>
    </row>
    <row r="43" spans="1:19" ht="24.95" customHeight="1" x14ac:dyDescent="0.25">
      <c r="O43" s="158"/>
      <c r="Q43" s="158"/>
    </row>
    <row r="44" spans="1:19" ht="13.9" customHeight="1" x14ac:dyDescent="0.25">
      <c r="P44" s="216" t="s">
        <v>1603</v>
      </c>
      <c r="Q44" s="227">
        <f>'11.2024'!Q36+'12.2024'!Q42</f>
        <v>333468251</v>
      </c>
      <c r="S44" s="216"/>
    </row>
    <row r="45" spans="1:19" ht="13.9" customHeight="1" x14ac:dyDescent="0.25">
      <c r="B45" s="129"/>
      <c r="J45" s="128"/>
      <c r="K45" s="128"/>
      <c r="L45" s="128"/>
      <c r="N45" s="128"/>
      <c r="O45" s="128"/>
      <c r="P45" s="218"/>
      <c r="Q45" s="216"/>
    </row>
    <row r="46" spans="1:19" ht="13.9" customHeight="1" x14ac:dyDescent="0.25">
      <c r="B46" s="129"/>
      <c r="H46" s="128"/>
      <c r="J46" s="128"/>
      <c r="K46" s="128"/>
      <c r="L46" s="128"/>
      <c r="M46" s="128"/>
      <c r="N46" s="128"/>
      <c r="O46" s="128"/>
      <c r="P46" s="218"/>
      <c r="Q46" s="230"/>
    </row>
    <row r="47" spans="1:19" ht="13.9" customHeight="1" x14ac:dyDescent="0.25">
      <c r="B47" s="129"/>
      <c r="H47" s="128"/>
      <c r="J47" s="128"/>
      <c r="K47" s="128"/>
      <c r="L47" s="128"/>
      <c r="M47" s="128"/>
      <c r="N47" s="128"/>
      <c r="O47" s="128"/>
      <c r="P47" s="218"/>
      <c r="Q47" s="230"/>
    </row>
    <row r="48" spans="1:19" ht="13.9" customHeight="1" x14ac:dyDescent="0.25">
      <c r="B48" s="129"/>
      <c r="G48" s="143"/>
      <c r="H48" s="128"/>
      <c r="J48" s="128"/>
      <c r="K48" s="128"/>
      <c r="L48" s="128"/>
      <c r="M48" s="128"/>
      <c r="N48" s="128"/>
      <c r="O48" s="128"/>
      <c r="P48" s="218"/>
      <c r="Q48" s="230"/>
      <c r="R48" s="143"/>
    </row>
    <row r="49" spans="1:19" ht="13.9" customHeight="1" x14ac:dyDescent="0.25">
      <c r="B49" s="129"/>
      <c r="H49" s="128"/>
      <c r="J49" s="128"/>
      <c r="K49" s="128"/>
      <c r="L49" s="128"/>
      <c r="M49" s="128"/>
      <c r="N49" s="128"/>
      <c r="O49" s="128"/>
      <c r="P49" s="218"/>
      <c r="Q49" s="216"/>
      <c r="R49" s="143"/>
    </row>
    <row r="50" spans="1:19" x14ac:dyDescent="0.25">
      <c r="B50" s="129"/>
      <c r="H50" s="128"/>
      <c r="J50" s="128"/>
      <c r="K50" s="128"/>
      <c r="L50" s="128"/>
      <c r="M50" s="128"/>
      <c r="N50" s="128"/>
      <c r="O50" s="128"/>
      <c r="P50" s="218"/>
      <c r="Q50" s="216"/>
    </row>
    <row r="51" spans="1:19" x14ac:dyDescent="0.25">
      <c r="A51" s="128"/>
      <c r="B51" s="129"/>
      <c r="H51" s="128"/>
      <c r="J51" s="128"/>
      <c r="K51" s="128"/>
      <c r="L51" s="128"/>
      <c r="M51" s="128"/>
      <c r="N51" s="128"/>
      <c r="O51" s="128"/>
      <c r="P51" s="218"/>
      <c r="Q51" s="216"/>
    </row>
    <row r="52" spans="1:19" x14ac:dyDescent="0.25">
      <c r="A52" s="128"/>
      <c r="B52" s="129"/>
      <c r="H52" s="128"/>
      <c r="J52" s="128"/>
      <c r="K52" s="128"/>
      <c r="L52" s="128"/>
      <c r="M52" s="128"/>
      <c r="N52" s="128"/>
      <c r="O52" s="128"/>
      <c r="P52" s="218"/>
      <c r="Q52" s="216"/>
    </row>
    <row r="53" spans="1:19" x14ac:dyDescent="0.25">
      <c r="A53" s="128"/>
      <c r="B53" s="128"/>
      <c r="G53" s="143"/>
      <c r="J53" s="128"/>
      <c r="K53" s="128"/>
      <c r="L53" s="128"/>
      <c r="M53" s="128"/>
      <c r="N53" s="128"/>
      <c r="O53" s="128"/>
      <c r="P53" s="128"/>
      <c r="Q53" s="216"/>
    </row>
    <row r="54" spans="1:19" x14ac:dyDescent="0.25">
      <c r="A54" s="128"/>
      <c r="B54" s="128"/>
      <c r="H54" s="128"/>
      <c r="J54" s="128"/>
      <c r="K54" s="128"/>
      <c r="L54" s="128"/>
      <c r="M54" s="128"/>
      <c r="N54" s="128"/>
      <c r="O54" s="128"/>
      <c r="P54" s="128"/>
      <c r="Q54" s="216"/>
    </row>
    <row r="56" spans="1:19" s="143" customFormat="1" x14ac:dyDescent="0.25">
      <c r="A56" s="129"/>
      <c r="B56" s="163"/>
      <c r="C56" s="128"/>
      <c r="D56" s="128"/>
      <c r="E56" s="128"/>
      <c r="F56" s="128"/>
      <c r="I56" s="128"/>
      <c r="R56" s="128"/>
      <c r="S56" s="128"/>
    </row>
  </sheetData>
  <mergeCells count="23">
    <mergeCell ref="A1:Q1"/>
    <mergeCell ref="A2:Q2"/>
    <mergeCell ref="B3:Q3"/>
    <mergeCell ref="A5:A6"/>
    <mergeCell ref="B5:B6"/>
    <mergeCell ref="C5:C6"/>
    <mergeCell ref="D5:D6"/>
    <mergeCell ref="E5:E6"/>
    <mergeCell ref="F5:F6"/>
    <mergeCell ref="G5:N5"/>
    <mergeCell ref="O5:O6"/>
    <mergeCell ref="P5:P6"/>
    <mergeCell ref="Q5:Q6"/>
    <mergeCell ref="C33:E33"/>
    <mergeCell ref="C34:E34"/>
    <mergeCell ref="C35:E35"/>
    <mergeCell ref="C36:E36"/>
    <mergeCell ref="C37:E37"/>
    <mergeCell ref="C38:E38"/>
    <mergeCell ref="C39:E39"/>
    <mergeCell ref="C40:E40"/>
    <mergeCell ref="A42:F42"/>
    <mergeCell ref="C41:E4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109</vt:i4>
      </vt:variant>
    </vt:vector>
  </HeadingPairs>
  <TitlesOfParts>
    <vt:vector size="109" baseType="lpstr">
      <vt:lpstr>T12.2015</vt:lpstr>
      <vt:lpstr>T01-2016</vt:lpstr>
      <vt:lpstr>T02-2016</vt:lpstr>
      <vt:lpstr>03-2016</vt:lpstr>
      <vt:lpstr>04-2016</vt:lpstr>
      <vt:lpstr>05-2016</vt:lpstr>
      <vt:lpstr>06-2016</vt:lpstr>
      <vt:lpstr>07-2016</vt:lpstr>
      <vt:lpstr>08.2016</vt:lpstr>
      <vt:lpstr>09.2016</vt:lpstr>
      <vt:lpstr>10.2016</vt:lpstr>
      <vt:lpstr>11.2016</vt:lpstr>
      <vt:lpstr>12.2016</vt:lpstr>
      <vt:lpstr>01-2017</vt:lpstr>
      <vt:lpstr>02-2017</vt:lpstr>
      <vt:lpstr>03-2017</vt:lpstr>
      <vt:lpstr>04-2017</vt:lpstr>
      <vt:lpstr>05-2017</vt:lpstr>
      <vt:lpstr>06-2017</vt:lpstr>
      <vt:lpstr>07-2017</vt:lpstr>
      <vt:lpstr>08-2017</vt:lpstr>
      <vt:lpstr>09-2017</vt:lpstr>
      <vt:lpstr>10-2017</vt:lpstr>
      <vt:lpstr>11-2017</vt:lpstr>
      <vt:lpstr>12-2017</vt:lpstr>
      <vt:lpstr>01-2018</vt:lpstr>
      <vt:lpstr>02-2018</vt:lpstr>
      <vt:lpstr>03-2018</vt:lpstr>
      <vt:lpstr>04-2018</vt:lpstr>
      <vt:lpstr>05-2018</vt:lpstr>
      <vt:lpstr>06-2018</vt:lpstr>
      <vt:lpstr>07-2018</vt:lpstr>
      <vt:lpstr>08-2018</vt:lpstr>
      <vt:lpstr>09-2018</vt:lpstr>
      <vt:lpstr>10-2018</vt:lpstr>
      <vt:lpstr>11-2018</vt:lpstr>
      <vt:lpstr>12.2018</vt:lpstr>
      <vt:lpstr>1.2019</vt:lpstr>
      <vt:lpstr>2.2019</vt:lpstr>
      <vt:lpstr>3.2019</vt:lpstr>
      <vt:lpstr>4.2019</vt:lpstr>
      <vt:lpstr>5.2019</vt:lpstr>
      <vt:lpstr>6.2019</vt:lpstr>
      <vt:lpstr>7.2019</vt:lpstr>
      <vt:lpstr>8.2019</vt:lpstr>
      <vt:lpstr>9.2019</vt:lpstr>
      <vt:lpstr>10.2019</vt:lpstr>
      <vt:lpstr>11.2019</vt:lpstr>
      <vt:lpstr>12.2019</vt:lpstr>
      <vt:lpstr>01.2020</vt:lpstr>
      <vt:lpstr>02.2020</vt:lpstr>
      <vt:lpstr>03.2020</vt:lpstr>
      <vt:lpstr>04.2020</vt:lpstr>
      <vt:lpstr>05.2020</vt:lpstr>
      <vt:lpstr>06.2020</vt:lpstr>
      <vt:lpstr>07.2020</vt:lpstr>
      <vt:lpstr>08.2020</vt:lpstr>
      <vt:lpstr>09.2020</vt:lpstr>
      <vt:lpstr>10.2020</vt:lpstr>
      <vt:lpstr>11.2020</vt:lpstr>
      <vt:lpstr>12.2020</vt:lpstr>
      <vt:lpstr>01.2021</vt:lpstr>
      <vt:lpstr>02.2021</vt:lpstr>
      <vt:lpstr>03.2021</vt:lpstr>
      <vt:lpstr>04.2021</vt:lpstr>
      <vt:lpstr>05.2021</vt:lpstr>
      <vt:lpstr>06.2021</vt:lpstr>
      <vt:lpstr>07.2021</vt:lpstr>
      <vt:lpstr>08.2021</vt:lpstr>
      <vt:lpstr>09.2021</vt:lpstr>
      <vt:lpstr>10.2021</vt:lpstr>
      <vt:lpstr>11.2021</vt:lpstr>
      <vt:lpstr>12.2021</vt:lpstr>
      <vt:lpstr>01.2022</vt:lpstr>
      <vt:lpstr>02.2022</vt:lpstr>
      <vt:lpstr>03.2022</vt:lpstr>
      <vt:lpstr>04.2022</vt:lpstr>
      <vt:lpstr>05.2022</vt:lpstr>
      <vt:lpstr>06.2022</vt:lpstr>
      <vt:lpstr>07.2022</vt:lpstr>
      <vt:lpstr>08.2022</vt:lpstr>
      <vt:lpstr>09.2022</vt:lpstr>
      <vt:lpstr>10.2022</vt:lpstr>
      <vt:lpstr>11.2022</vt:lpstr>
      <vt:lpstr>12.2022</vt:lpstr>
      <vt:lpstr>01.2023</vt:lpstr>
      <vt:lpstr>02.2023</vt:lpstr>
      <vt:lpstr>03.2023</vt:lpstr>
      <vt:lpstr>04.2023</vt:lpstr>
      <vt:lpstr>05.2023</vt:lpstr>
      <vt:lpstr>06.2023</vt:lpstr>
      <vt:lpstr>07.2023</vt:lpstr>
      <vt:lpstr>08.2023</vt:lpstr>
      <vt:lpstr>09.2023</vt:lpstr>
      <vt:lpstr>10.2023</vt:lpstr>
      <vt:lpstr>11.2023</vt:lpstr>
      <vt:lpstr>12.2023</vt:lpstr>
      <vt:lpstr>01.2024</vt:lpstr>
      <vt:lpstr>02.2024</vt:lpstr>
      <vt:lpstr>03.2024</vt:lpstr>
      <vt:lpstr>04.2024</vt:lpstr>
      <vt:lpstr>05.2024</vt:lpstr>
      <vt:lpstr>06.2024</vt:lpstr>
      <vt:lpstr>07.2024</vt:lpstr>
      <vt:lpstr>08.2024</vt:lpstr>
      <vt:lpstr>09.2024</vt:lpstr>
      <vt:lpstr>10.2024</vt:lpstr>
      <vt:lpstr>11.2024</vt:lpstr>
      <vt:lpstr>12.2024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Ngoc Anh Pham</cp:lastModifiedBy>
  <cp:lastPrinted>2020-08-14T09:15:43Z</cp:lastPrinted>
  <dcterms:created xsi:type="dcterms:W3CDTF">2015-04-14T07:20:02Z</dcterms:created>
  <dcterms:modified xsi:type="dcterms:W3CDTF">2025-01-23T09:27:48Z</dcterms:modified>
</cp:coreProperties>
</file>