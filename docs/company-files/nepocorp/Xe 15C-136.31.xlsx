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threadedComments/threadedComment1.xml" ContentType="application/vnd.ms-excel.threadedcomments+xml"/>
  <Override PartName="/xl/comments9.xml" ContentType="application/vnd.openxmlformats-officedocument.spreadsheetml.comments+xml"/>
  <Override PartName="/xl/threadedComments/threadedComment2.xml" ContentType="application/vnd.ms-excel.threadedcomments+xml"/>
  <Override PartName="/xl/comments10.xml" ContentType="application/vnd.openxmlformats-officedocument.spreadsheetml.comments+xml"/>
  <Override PartName="/xl/comments1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defaultThemeVersion="124226"/>
  <mc:AlternateContent xmlns:mc="http://schemas.openxmlformats.org/markup-compatibility/2006">
    <mc:Choice Requires="x15">
      <x15ac:absPath xmlns:x15ac="http://schemas.microsoft.com/office/spreadsheetml/2010/11/ac" url="F:\THANH\THEO DOI DOANH THU CHI PHI TUNG XE\"/>
    </mc:Choice>
  </mc:AlternateContent>
  <xr:revisionPtr revIDLastSave="0" documentId="13_ncr:1_{A8D67C2A-72B1-46F9-B1C1-EA7123F8B777}" xr6:coauthVersionLast="47" xr6:coauthVersionMax="47" xr10:uidLastSave="{00000000-0000-0000-0000-000000000000}"/>
  <bookViews>
    <workbookView xWindow="-60" yWindow="-60" windowWidth="28920" windowHeight="15720" firstSheet="97" activeTab="106" xr2:uid="{00000000-000D-0000-FFFF-FFFF00000000}"/>
  </bookViews>
  <sheets>
    <sheet name="T12.2015" sheetId="10" r:id="rId1"/>
    <sheet name="T01.2016" sheetId="11" r:id="rId2"/>
    <sheet name="T02.2016" sheetId="12" r:id="rId3"/>
    <sheet name="03-2016" sheetId="13" r:id="rId4"/>
    <sheet name="04-2016" sheetId="14" r:id="rId5"/>
    <sheet name="05-2016" sheetId="15" r:id="rId6"/>
    <sheet name="06-2016" sheetId="16" r:id="rId7"/>
    <sheet name="07-2016" sheetId="17" r:id="rId8"/>
    <sheet name="08-2016" sheetId="18" r:id="rId9"/>
    <sheet name="09-2016" sheetId="19" r:id="rId10"/>
    <sheet name="10-2016" sheetId="20" r:id="rId11"/>
    <sheet name="11-2016" sheetId="21" r:id="rId12"/>
    <sheet name="12-2016" sheetId="22" r:id="rId13"/>
    <sheet name="01-2017" sheetId="23" r:id="rId14"/>
    <sheet name="02-2017" sheetId="24" r:id="rId15"/>
    <sheet name="03-2017" sheetId="25" r:id="rId16"/>
    <sheet name="04-2017" sheetId="26" r:id="rId17"/>
    <sheet name="05-2017" sheetId="27" r:id="rId18"/>
    <sheet name="06-2017" sheetId="28" r:id="rId19"/>
    <sheet name="07-2017" sheetId="29" r:id="rId20"/>
    <sheet name="08-2017" sheetId="30" r:id="rId21"/>
    <sheet name="09-2017" sheetId="31" r:id="rId22"/>
    <sheet name="10-2017" sheetId="32" r:id="rId23"/>
    <sheet name="11-2017" sheetId="33" r:id="rId24"/>
    <sheet name="12-2017" sheetId="34" r:id="rId25"/>
    <sheet name="01-2018" sheetId="35" r:id="rId26"/>
    <sheet name="02-2018" sheetId="36" r:id="rId27"/>
    <sheet name="03-2018" sheetId="37" r:id="rId28"/>
    <sheet name="04-2018" sheetId="38" r:id="rId29"/>
    <sheet name="05-2018" sheetId="39" r:id="rId30"/>
    <sheet name="06-2018" sheetId="40" r:id="rId31"/>
    <sheet name="07-2018" sheetId="41" r:id="rId32"/>
    <sheet name="08-2018" sheetId="42" r:id="rId33"/>
    <sheet name="09-2018" sheetId="43" r:id="rId34"/>
    <sheet name="10-2018" sheetId="44" r:id="rId35"/>
    <sheet name="11.2018" sheetId="45" r:id="rId36"/>
    <sheet name="12.2018" sheetId="46" r:id="rId37"/>
    <sheet name="1.2019" sheetId="47" r:id="rId38"/>
    <sheet name="2.2019" sheetId="48" r:id="rId39"/>
    <sheet name="3.2019" sheetId="49" r:id="rId40"/>
    <sheet name="4.2019" sheetId="50" r:id="rId41"/>
    <sheet name="05.2019" sheetId="51" r:id="rId42"/>
    <sheet name="06.2019" sheetId="52" r:id="rId43"/>
    <sheet name="07.2019" sheetId="53" r:id="rId44"/>
    <sheet name="08.2019" sheetId="54" r:id="rId45"/>
    <sheet name="09.2019" sheetId="55" r:id="rId46"/>
    <sheet name="10.2019" sheetId="56" r:id="rId47"/>
    <sheet name="11.2019" sheetId="57" r:id="rId48"/>
    <sheet name="12.2019" sheetId="58" r:id="rId49"/>
    <sheet name="01.2020" sheetId="59" r:id="rId50"/>
    <sheet name="02.2020" sheetId="60" r:id="rId51"/>
    <sheet name="03.2020" sheetId="61" r:id="rId52"/>
    <sheet name="04.2020" sheetId="62" r:id="rId53"/>
    <sheet name="05.2020" sheetId="63" r:id="rId54"/>
    <sheet name="06.2020" sheetId="64" r:id="rId55"/>
    <sheet name="07.2020" sheetId="65" r:id="rId56"/>
    <sheet name="08.2020" sheetId="66" r:id="rId57"/>
    <sheet name="09.2020" sheetId="67" r:id="rId58"/>
    <sheet name="10.2020" sheetId="68" r:id="rId59"/>
    <sheet name="11.2020" sheetId="69" r:id="rId60"/>
    <sheet name="12.2020" sheetId="70" r:id="rId61"/>
    <sheet name="01.2021" sheetId="71" r:id="rId62"/>
    <sheet name="02.2021" sheetId="72" r:id="rId63"/>
    <sheet name="03.2021" sheetId="73" r:id="rId64"/>
    <sheet name="04.2021" sheetId="74" r:id="rId65"/>
    <sheet name="05.2021" sheetId="75" r:id="rId66"/>
    <sheet name="06.2021" sheetId="76" r:id="rId67"/>
    <sheet name="07.2021" sheetId="77" r:id="rId68"/>
    <sheet name="08.2021" sheetId="78" r:id="rId69"/>
    <sheet name="09.2021" sheetId="79" r:id="rId70"/>
    <sheet name="10.2021" sheetId="80" r:id="rId71"/>
    <sheet name="11.2021" sheetId="81" r:id="rId72"/>
    <sheet name="12.2021" sheetId="82" r:id="rId73"/>
    <sheet name="01.2022" sheetId="83" r:id="rId74"/>
    <sheet name="02.2022" sheetId="84" r:id="rId75"/>
    <sheet name="03.2022" sheetId="85" r:id="rId76"/>
    <sheet name="04.2022" sheetId="86" r:id="rId77"/>
    <sheet name="05.2022" sheetId="87" r:id="rId78"/>
    <sheet name="06.2022" sheetId="88" r:id="rId79"/>
    <sheet name="07.2022" sheetId="89" r:id="rId80"/>
    <sheet name="08.2022" sheetId="90" r:id="rId81"/>
    <sheet name="09.2022" sheetId="91" r:id="rId82"/>
    <sheet name="10.2022" sheetId="92" r:id="rId83"/>
    <sheet name="11.2022" sheetId="93" r:id="rId84"/>
    <sheet name="12.2022" sheetId="94" r:id="rId85"/>
    <sheet name="01.2023" sheetId="95" r:id="rId86"/>
    <sheet name="02.2023" sheetId="96" r:id="rId87"/>
    <sheet name="03.2023" sheetId="97" r:id="rId88"/>
    <sheet name="04.2023" sheetId="98" r:id="rId89"/>
    <sheet name="05.2023" sheetId="99" r:id="rId90"/>
    <sheet name="06.2023" sheetId="100" r:id="rId91"/>
    <sheet name="07.2023" sheetId="101" r:id="rId92"/>
    <sheet name="08.2023" sheetId="102" r:id="rId93"/>
    <sheet name="09.2023" sheetId="103" r:id="rId94"/>
    <sheet name="10.2023" sheetId="104" r:id="rId95"/>
    <sheet name="11.2023" sheetId="105" r:id="rId96"/>
    <sheet name="12.2023" sheetId="106" r:id="rId97"/>
    <sheet name="01.2024" sheetId="107" r:id="rId98"/>
    <sheet name="02.2024" sheetId="108" r:id="rId99"/>
    <sheet name="03.2024" sheetId="109" r:id="rId100"/>
    <sheet name="04.2024" sheetId="110" r:id="rId101"/>
    <sheet name="05.2024" sheetId="111" r:id="rId102"/>
    <sheet name="06.2024" sheetId="112" r:id="rId103"/>
    <sheet name="07.2024" sheetId="113" r:id="rId104"/>
    <sheet name="08.2024" sheetId="114" r:id="rId105"/>
    <sheet name="09.2024" sheetId="115" r:id="rId106"/>
    <sheet name="10.2024" sheetId="116" r:id="rId107"/>
    <sheet name="11.2024" sheetId="117" r:id="rId108"/>
    <sheet name="12.2024" sheetId="118" r:id="rId109"/>
  </sheets>
  <externalReferences>
    <externalReference r:id="rId110"/>
    <externalReference r:id="rId111"/>
    <externalReference r:id="rId112"/>
    <externalReference r:id="rId113"/>
  </externalReferences>
  <definedNames>
    <definedName name="_xlnm._FilterDatabase" localSheetId="1" hidden="1">'T01.2016'!$A$7:$U$24</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7" i="118" l="1"/>
  <c r="N39" i="118"/>
  <c r="O39" i="116"/>
  <c r="O38" i="116"/>
  <c r="O37" i="116"/>
  <c r="H31" i="117" l="1"/>
  <c r="H30" i="117"/>
  <c r="H26" i="117"/>
  <c r="H27" i="117"/>
  <c r="H28" i="117"/>
  <c r="H29" i="117"/>
  <c r="H25" i="117"/>
  <c r="H19" i="117"/>
  <c r="H20" i="117"/>
  <c r="H21" i="117"/>
  <c r="H22" i="117"/>
  <c r="H23" i="117"/>
  <c r="H24" i="117"/>
  <c r="H18" i="117"/>
  <c r="H13" i="117"/>
  <c r="H14" i="117"/>
  <c r="H15" i="117"/>
  <c r="H16" i="117"/>
  <c r="H17" i="117"/>
  <c r="H12" i="117"/>
  <c r="H9" i="117"/>
  <c r="H10" i="117"/>
  <c r="H11" i="117"/>
  <c r="H8" i="117"/>
  <c r="H32" i="118"/>
  <c r="H33" i="118"/>
  <c r="H34" i="118"/>
  <c r="H31" i="118"/>
  <c r="H30" i="118"/>
  <c r="H28" i="118"/>
  <c r="H29" i="118"/>
  <c r="H27" i="118"/>
  <c r="H22" i="118"/>
  <c r="H23" i="118"/>
  <c r="H24" i="118"/>
  <c r="H25" i="118"/>
  <c r="H26" i="118"/>
  <c r="H21" i="118"/>
  <c r="H17" i="118"/>
  <c r="H18" i="118"/>
  <c r="H19" i="118"/>
  <c r="H20" i="118"/>
  <c r="H16" i="118"/>
  <c r="H10" i="118"/>
  <c r="H11" i="118"/>
  <c r="H12" i="118"/>
  <c r="H13" i="118"/>
  <c r="H14" i="118"/>
  <c r="H8" i="118"/>
  <c r="J46" i="118" l="1"/>
  <c r="O32" i="118"/>
  <c r="Q32" i="118" s="1"/>
  <c r="O33" i="118"/>
  <c r="Q33" i="118" s="1"/>
  <c r="O34" i="118"/>
  <c r="Q34" i="118" s="1"/>
  <c r="P46" i="118"/>
  <c r="N46" i="118"/>
  <c r="M46" i="118"/>
  <c r="L46" i="118"/>
  <c r="K46" i="118"/>
  <c r="I46" i="118"/>
  <c r="H46" i="118"/>
  <c r="G46" i="118"/>
  <c r="O45" i="118"/>
  <c r="O44" i="118"/>
  <c r="O43" i="118"/>
  <c r="O42" i="118"/>
  <c r="O41" i="118"/>
  <c r="O40" i="118"/>
  <c r="O39" i="118"/>
  <c r="O38" i="118"/>
  <c r="O36" i="118"/>
  <c r="O35" i="118"/>
  <c r="O31" i="118"/>
  <c r="Q31" i="118" s="1"/>
  <c r="O30" i="118"/>
  <c r="Q30" i="118" s="1"/>
  <c r="O29" i="118"/>
  <c r="Q29" i="118" s="1"/>
  <c r="O28" i="118"/>
  <c r="Q28" i="118" s="1"/>
  <c r="O27" i="118"/>
  <c r="Q27" i="118" s="1"/>
  <c r="O26" i="118"/>
  <c r="Q26" i="118" s="1"/>
  <c r="O25" i="118"/>
  <c r="Q25" i="118" s="1"/>
  <c r="O24" i="118"/>
  <c r="Q24" i="118" s="1"/>
  <c r="O23" i="118"/>
  <c r="Q23" i="118" s="1"/>
  <c r="O22" i="118"/>
  <c r="Q22" i="118" s="1"/>
  <c r="O21" i="118"/>
  <c r="Q21" i="118" s="1"/>
  <c r="O20" i="118"/>
  <c r="Q20" i="118" s="1"/>
  <c r="O19" i="118"/>
  <c r="Q19" i="118" s="1"/>
  <c r="O18" i="118"/>
  <c r="Q18" i="118" s="1"/>
  <c r="O17" i="118"/>
  <c r="Q17" i="118" s="1"/>
  <c r="O16" i="118"/>
  <c r="Q16" i="118" s="1"/>
  <c r="O15" i="118"/>
  <c r="Q15" i="118" s="1"/>
  <c r="O14" i="118"/>
  <c r="Q14" i="118" s="1"/>
  <c r="O13" i="118"/>
  <c r="Q13" i="118" s="1"/>
  <c r="O12" i="118"/>
  <c r="Q12" i="118" s="1"/>
  <c r="O11" i="118"/>
  <c r="Q11" i="118" s="1"/>
  <c r="O10" i="118"/>
  <c r="Q10" i="118" s="1"/>
  <c r="O9" i="118"/>
  <c r="Q9" i="118" s="1"/>
  <c r="O8" i="118"/>
  <c r="O46" i="118" l="1"/>
  <c r="Q46" i="118" s="1"/>
  <c r="Q8" i="118"/>
  <c r="P40" i="117"/>
  <c r="O26" i="117"/>
  <c r="Q26" i="117" s="1"/>
  <c r="O27" i="117"/>
  <c r="Q27" i="117" s="1"/>
  <c r="O28" i="117"/>
  <c r="Q28" i="117" s="1"/>
  <c r="O29" i="117"/>
  <c r="Q29" i="117" s="1"/>
  <c r="O30" i="117"/>
  <c r="Q30" i="117" s="1"/>
  <c r="O31" i="117"/>
  <c r="Q31" i="117" s="1"/>
  <c r="N40" i="117"/>
  <c r="M40" i="117"/>
  <c r="L40" i="117"/>
  <c r="K40" i="117"/>
  <c r="J40" i="117"/>
  <c r="I40" i="117"/>
  <c r="H40" i="117"/>
  <c r="G40" i="117"/>
  <c r="O39" i="117"/>
  <c r="O38" i="117"/>
  <c r="O37" i="117"/>
  <c r="O36" i="117"/>
  <c r="O35" i="117"/>
  <c r="O34" i="117"/>
  <c r="O33" i="117"/>
  <c r="O25" i="117"/>
  <c r="Q25" i="117" s="1"/>
  <c r="O24" i="117"/>
  <c r="Q24" i="117" s="1"/>
  <c r="O23" i="117"/>
  <c r="Q23" i="117" s="1"/>
  <c r="O22" i="117"/>
  <c r="Q22" i="117" s="1"/>
  <c r="O21" i="117"/>
  <c r="Q21" i="117" s="1"/>
  <c r="O20" i="117"/>
  <c r="Q20" i="117" s="1"/>
  <c r="O19" i="117"/>
  <c r="Q19" i="117" s="1"/>
  <c r="O18" i="117"/>
  <c r="Q18" i="117" s="1"/>
  <c r="O17" i="117"/>
  <c r="Q17" i="117" s="1"/>
  <c r="O16" i="117"/>
  <c r="Q16" i="117" s="1"/>
  <c r="O15" i="117"/>
  <c r="Q15" i="117" s="1"/>
  <c r="O14" i="117"/>
  <c r="Q14" i="117" s="1"/>
  <c r="O13" i="117"/>
  <c r="Q13" i="117" s="1"/>
  <c r="Q12" i="117"/>
  <c r="O12" i="117"/>
  <c r="O11" i="117"/>
  <c r="Q11" i="117" s="1"/>
  <c r="O10" i="117"/>
  <c r="Q10" i="117" s="1"/>
  <c r="O9" i="117"/>
  <c r="Q9" i="117" s="1"/>
  <c r="O8" i="117"/>
  <c r="Q8" i="117" s="1"/>
  <c r="O36" i="116"/>
  <c r="O40" i="117" l="1"/>
  <c r="Q40" i="117" s="1"/>
  <c r="O33" i="112"/>
  <c r="O34" i="112"/>
  <c r="O35" i="116"/>
  <c r="O27" i="114"/>
  <c r="O28" i="114"/>
  <c r="O29" i="114"/>
  <c r="O30" i="114"/>
  <c r="O31" i="114"/>
  <c r="O32" i="114"/>
  <c r="O33" i="114"/>
  <c r="O29" i="115"/>
  <c r="O33" i="113" l="1"/>
  <c r="O34" i="113"/>
  <c r="O35" i="113"/>
  <c r="O36" i="113"/>
  <c r="O37" i="113"/>
  <c r="O38" i="113"/>
  <c r="O39" i="113"/>
  <c r="O40" i="113"/>
  <c r="O41" i="113"/>
  <c r="O36" i="111"/>
  <c r="O34" i="116"/>
  <c r="O28" i="116"/>
  <c r="O29" i="116"/>
  <c r="O30" i="116"/>
  <c r="O31" i="116"/>
  <c r="O32" i="116"/>
  <c r="O33" i="116"/>
  <c r="O30" i="115"/>
  <c r="O31" i="115"/>
  <c r="O32" i="115"/>
  <c r="O33" i="115"/>
  <c r="O34" i="115"/>
  <c r="O35" i="115"/>
  <c r="O36" i="115"/>
  <c r="O37" i="115"/>
  <c r="O38" i="115"/>
  <c r="O39" i="115"/>
  <c r="O40" i="115"/>
  <c r="O41" i="115"/>
  <c r="O35" i="111"/>
  <c r="O34" i="111"/>
  <c r="H25" i="116" l="1"/>
  <c r="H24" i="116"/>
  <c r="H23" i="116"/>
  <c r="H19" i="116"/>
  <c r="H20" i="116"/>
  <c r="H21" i="116"/>
  <c r="H22" i="116"/>
  <c r="H18" i="116"/>
  <c r="H16" i="116"/>
  <c r="H17" i="116"/>
  <c r="H14" i="116"/>
  <c r="H15" i="116"/>
  <c r="H13" i="116"/>
  <c r="H10" i="116"/>
  <c r="H11" i="116"/>
  <c r="H12" i="116"/>
  <c r="H9" i="116"/>
  <c r="H8" i="116"/>
  <c r="H24" i="115"/>
  <c r="H25" i="115"/>
  <c r="H23" i="115"/>
  <c r="H19" i="115"/>
  <c r="H20" i="115"/>
  <c r="H21" i="115"/>
  <c r="H22" i="115"/>
  <c r="H18" i="115"/>
  <c r="H14" i="115"/>
  <c r="H15" i="115"/>
  <c r="H16" i="115"/>
  <c r="H17" i="115"/>
  <c r="H13" i="115"/>
  <c r="H10" i="115"/>
  <c r="H11" i="115"/>
  <c r="H12" i="115"/>
  <c r="H9" i="115"/>
  <c r="H8" i="115"/>
  <c r="H23" i="114"/>
  <c r="H24" i="114"/>
  <c r="H17" i="114"/>
  <c r="H18" i="114"/>
  <c r="H19" i="114"/>
  <c r="H20" i="114"/>
  <c r="H21" i="114"/>
  <c r="H22" i="114"/>
  <c r="H16" i="114"/>
  <c r="H15" i="114"/>
  <c r="H12" i="114"/>
  <c r="H13" i="114"/>
  <c r="H14" i="114"/>
  <c r="H11" i="114"/>
  <c r="H10" i="114"/>
  <c r="H9" i="114"/>
  <c r="H8" i="114"/>
  <c r="H28" i="113"/>
  <c r="H29" i="113"/>
  <c r="H30" i="113"/>
  <c r="H27" i="113"/>
  <c r="H21" i="113"/>
  <c r="H22" i="113"/>
  <c r="H23" i="113"/>
  <c r="H24" i="113"/>
  <c r="H25" i="113"/>
  <c r="H26" i="113"/>
  <c r="H20" i="113"/>
  <c r="H17" i="113"/>
  <c r="H18" i="113"/>
  <c r="H19" i="113"/>
  <c r="H16" i="113"/>
  <c r="H10" i="113"/>
  <c r="H11" i="113"/>
  <c r="H12" i="113"/>
  <c r="H13" i="113"/>
  <c r="H14" i="113"/>
  <c r="H15" i="113"/>
  <c r="H9" i="113"/>
  <c r="H8" i="113"/>
  <c r="P41" i="116" l="1"/>
  <c r="N41" i="116"/>
  <c r="M41" i="116"/>
  <c r="L41" i="116"/>
  <c r="K41" i="116"/>
  <c r="J41" i="116"/>
  <c r="I41" i="116"/>
  <c r="H41" i="116"/>
  <c r="G41" i="116"/>
  <c r="O40" i="116"/>
  <c r="O27" i="116"/>
  <c r="O26" i="116"/>
  <c r="O25" i="116"/>
  <c r="Q25" i="116" s="1"/>
  <c r="O24" i="116"/>
  <c r="Q24" i="116" s="1"/>
  <c r="O23" i="116"/>
  <c r="Q23" i="116" s="1"/>
  <c r="O22" i="116"/>
  <c r="Q22" i="116" s="1"/>
  <c r="O21" i="116"/>
  <c r="Q21" i="116" s="1"/>
  <c r="O20" i="116"/>
  <c r="Q20" i="116" s="1"/>
  <c r="O19" i="116"/>
  <c r="Q19" i="116" s="1"/>
  <c r="O18" i="116"/>
  <c r="Q18" i="116" s="1"/>
  <c r="O17" i="116"/>
  <c r="Q17" i="116" s="1"/>
  <c r="O16" i="116"/>
  <c r="Q16" i="116" s="1"/>
  <c r="O15" i="116"/>
  <c r="Q15" i="116" s="1"/>
  <c r="O14" i="116"/>
  <c r="Q14" i="116" s="1"/>
  <c r="O13" i="116"/>
  <c r="Q13" i="116" s="1"/>
  <c r="O12" i="116"/>
  <c r="Q12" i="116" s="1"/>
  <c r="O11" i="116"/>
  <c r="Q11" i="116" s="1"/>
  <c r="O10" i="116"/>
  <c r="Q10" i="116" s="1"/>
  <c r="O9" i="116"/>
  <c r="Q9" i="116" s="1"/>
  <c r="O8" i="116"/>
  <c r="Q8" i="116" s="1"/>
  <c r="O23" i="115"/>
  <c r="Q23" i="115" s="1"/>
  <c r="O24" i="115"/>
  <c r="Q24" i="115" s="1"/>
  <c r="O25" i="115"/>
  <c r="Q25" i="115" s="1"/>
  <c r="O41" i="116" l="1"/>
  <c r="Q41" i="116" s="1"/>
  <c r="P43" i="115" l="1"/>
  <c r="N43" i="115"/>
  <c r="M43" i="115"/>
  <c r="L43" i="115"/>
  <c r="K43" i="115"/>
  <c r="J43" i="115"/>
  <c r="I43" i="115"/>
  <c r="H43" i="115"/>
  <c r="G43" i="115"/>
  <c r="O42" i="115"/>
  <c r="O28" i="115"/>
  <c r="O27" i="115"/>
  <c r="O22" i="115"/>
  <c r="Q22" i="115" s="1"/>
  <c r="O21" i="115"/>
  <c r="Q21" i="115" s="1"/>
  <c r="O20" i="115"/>
  <c r="Q20" i="115" s="1"/>
  <c r="O19" i="115"/>
  <c r="Q19" i="115" s="1"/>
  <c r="O18" i="115"/>
  <c r="Q18" i="115" s="1"/>
  <c r="O17" i="115"/>
  <c r="Q17" i="115" s="1"/>
  <c r="O16" i="115"/>
  <c r="Q16" i="115" s="1"/>
  <c r="O15" i="115"/>
  <c r="Q15" i="115" s="1"/>
  <c r="O14" i="115"/>
  <c r="Q14" i="115" s="1"/>
  <c r="O13" i="115"/>
  <c r="Q13" i="115" s="1"/>
  <c r="O12" i="115"/>
  <c r="Q12" i="115" s="1"/>
  <c r="O11" i="115"/>
  <c r="Q11" i="115" s="1"/>
  <c r="O10" i="115"/>
  <c r="Q10" i="115" s="1"/>
  <c r="O9" i="115"/>
  <c r="Q9" i="115" s="1"/>
  <c r="O8" i="115"/>
  <c r="P43" i="113"/>
  <c r="P35" i="114"/>
  <c r="N35" i="114"/>
  <c r="M35" i="114"/>
  <c r="L35" i="114"/>
  <c r="K35" i="114"/>
  <c r="J35" i="114"/>
  <c r="I35" i="114"/>
  <c r="H35" i="114"/>
  <c r="G35" i="114"/>
  <c r="O34" i="114"/>
  <c r="O26" i="114"/>
  <c r="O25" i="114"/>
  <c r="O24" i="114"/>
  <c r="Q24" i="114" s="1"/>
  <c r="O23" i="114"/>
  <c r="Q23" i="114" s="1"/>
  <c r="O22" i="114"/>
  <c r="Q22" i="114" s="1"/>
  <c r="O21" i="114"/>
  <c r="Q21" i="114" s="1"/>
  <c r="O20" i="114"/>
  <c r="Q20" i="114" s="1"/>
  <c r="O19" i="114"/>
  <c r="Q19" i="114" s="1"/>
  <c r="O18" i="114"/>
  <c r="Q18" i="114" s="1"/>
  <c r="O17" i="114"/>
  <c r="Q17" i="114" s="1"/>
  <c r="O16" i="114"/>
  <c r="Q16" i="114" s="1"/>
  <c r="O15" i="114"/>
  <c r="Q15" i="114" s="1"/>
  <c r="O14" i="114"/>
  <c r="Q14" i="114" s="1"/>
  <c r="O13" i="114"/>
  <c r="Q13" i="114" s="1"/>
  <c r="O12" i="114"/>
  <c r="Q12" i="114" s="1"/>
  <c r="O11" i="114"/>
  <c r="Q11" i="114" s="1"/>
  <c r="O10" i="114"/>
  <c r="Q10" i="114" s="1"/>
  <c r="O9" i="114"/>
  <c r="Q9" i="114" s="1"/>
  <c r="O8" i="114"/>
  <c r="Q8" i="114" s="1"/>
  <c r="O28" i="113"/>
  <c r="Q28" i="113" s="1"/>
  <c r="O29" i="113"/>
  <c r="Q29" i="113" s="1"/>
  <c r="O30" i="113"/>
  <c r="Q30" i="113" s="1"/>
  <c r="N43" i="113"/>
  <c r="M43" i="113"/>
  <c r="L43" i="113"/>
  <c r="K43" i="113"/>
  <c r="J43" i="113"/>
  <c r="I43" i="113"/>
  <c r="G43" i="113"/>
  <c r="O42" i="113"/>
  <c r="O32" i="113"/>
  <c r="O31" i="113"/>
  <c r="O27" i="113"/>
  <c r="Q27" i="113" s="1"/>
  <c r="O26" i="113"/>
  <c r="Q26" i="113" s="1"/>
  <c r="O25" i="113"/>
  <c r="Q25" i="113" s="1"/>
  <c r="O24" i="113"/>
  <c r="Q24" i="113" s="1"/>
  <c r="O23" i="113"/>
  <c r="Q23" i="113" s="1"/>
  <c r="O22" i="113"/>
  <c r="Q22" i="113" s="1"/>
  <c r="O21" i="113"/>
  <c r="Q21" i="113" s="1"/>
  <c r="O20" i="113"/>
  <c r="Q20" i="113" s="1"/>
  <c r="O19" i="113"/>
  <c r="Q19" i="113" s="1"/>
  <c r="O18" i="113"/>
  <c r="Q18" i="113" s="1"/>
  <c r="O17" i="113"/>
  <c r="Q17" i="113" s="1"/>
  <c r="O16" i="113"/>
  <c r="Q16" i="113" s="1"/>
  <c r="O15" i="113"/>
  <c r="Q15" i="113" s="1"/>
  <c r="O14" i="113"/>
  <c r="Q14" i="113" s="1"/>
  <c r="O13" i="113"/>
  <c r="Q13" i="113" s="1"/>
  <c r="O12" i="113"/>
  <c r="Q12" i="113" s="1"/>
  <c r="O11" i="113"/>
  <c r="Q11" i="113" s="1"/>
  <c r="O10" i="113"/>
  <c r="Q10" i="113" s="1"/>
  <c r="O9" i="113"/>
  <c r="Q9" i="113" s="1"/>
  <c r="O8" i="113"/>
  <c r="O30" i="112"/>
  <c r="O31" i="112"/>
  <c r="O32" i="112"/>
  <c r="P33" i="108"/>
  <c r="Q43" i="107"/>
  <c r="P43" i="107"/>
  <c r="O43" i="107"/>
  <c r="O40" i="110"/>
  <c r="O38" i="109"/>
  <c r="O31" i="111"/>
  <c r="O32" i="111"/>
  <c r="O33" i="111"/>
  <c r="L30" i="112"/>
  <c r="O29" i="111"/>
  <c r="O30" i="111"/>
  <c r="O31" i="110"/>
  <c r="O32" i="110"/>
  <c r="O33" i="110"/>
  <c r="O34" i="110"/>
  <c r="O35" i="110"/>
  <c r="O36" i="110"/>
  <c r="O37" i="110"/>
  <c r="O38" i="110"/>
  <c r="O39" i="110"/>
  <c r="O31" i="108"/>
  <c r="O30" i="108"/>
  <c r="O41" i="107"/>
  <c r="O40" i="107"/>
  <c r="O39" i="107"/>
  <c r="O38" i="107"/>
  <c r="O36" i="107"/>
  <c r="N35" i="107"/>
  <c r="O35" i="107" s="1"/>
  <c r="H26" i="112"/>
  <c r="H27" i="112"/>
  <c r="H25" i="112"/>
  <c r="H21" i="112"/>
  <c r="H22" i="112"/>
  <c r="H23" i="112"/>
  <c r="H24" i="112"/>
  <c r="H20" i="112"/>
  <c r="H15" i="112"/>
  <c r="H16" i="112"/>
  <c r="H17" i="112"/>
  <c r="H18" i="112"/>
  <c r="H19" i="112"/>
  <c r="H13" i="112"/>
  <c r="H14" i="112"/>
  <c r="H12" i="112"/>
  <c r="H9" i="112"/>
  <c r="H10" i="112"/>
  <c r="H11" i="112"/>
  <c r="H8" i="112"/>
  <c r="H36" i="112" s="1"/>
  <c r="H26" i="111"/>
  <c r="H22" i="111"/>
  <c r="H23" i="111"/>
  <c r="H24" i="111"/>
  <c r="H25" i="111"/>
  <c r="H21" i="111"/>
  <c r="H16" i="111"/>
  <c r="H17" i="111"/>
  <c r="H18" i="111"/>
  <c r="H19" i="111"/>
  <c r="H20" i="111"/>
  <c r="H15" i="111"/>
  <c r="H11" i="111"/>
  <c r="H12" i="111"/>
  <c r="H13" i="111"/>
  <c r="H14" i="111"/>
  <c r="H10" i="111"/>
  <c r="H9" i="111"/>
  <c r="H8" i="111"/>
  <c r="H28" i="110"/>
  <c r="H27" i="110"/>
  <c r="H26" i="110"/>
  <c r="H21" i="110"/>
  <c r="H22" i="110"/>
  <c r="H23" i="110"/>
  <c r="H24" i="110"/>
  <c r="H25" i="110"/>
  <c r="H20" i="110"/>
  <c r="H16" i="110"/>
  <c r="H17" i="110"/>
  <c r="H18" i="110"/>
  <c r="H19" i="110"/>
  <c r="H15" i="110"/>
  <c r="H13" i="110"/>
  <c r="H14" i="110"/>
  <c r="H11" i="110"/>
  <c r="H12" i="110"/>
  <c r="H10" i="110"/>
  <c r="H8" i="110"/>
  <c r="H38" i="111" l="1"/>
  <c r="O43" i="113"/>
  <c r="Q43" i="113" s="1"/>
  <c r="O43" i="115"/>
  <c r="Q43" i="115" s="1"/>
  <c r="Q8" i="115"/>
  <c r="O35" i="114"/>
  <c r="Q35" i="114" s="1"/>
  <c r="Q8" i="113"/>
  <c r="H43" i="113"/>
  <c r="P36" i="112"/>
  <c r="N36" i="112"/>
  <c r="M36" i="112"/>
  <c r="L36" i="112"/>
  <c r="K36" i="112"/>
  <c r="J36" i="112"/>
  <c r="I36" i="112"/>
  <c r="G36" i="112"/>
  <c r="O35" i="112"/>
  <c r="O29" i="112"/>
  <c r="O28" i="112"/>
  <c r="O27" i="112"/>
  <c r="Q27" i="112" s="1"/>
  <c r="O26" i="112"/>
  <c r="Q26" i="112" s="1"/>
  <c r="O25" i="112"/>
  <c r="Q25" i="112" s="1"/>
  <c r="O24" i="112"/>
  <c r="Q24" i="112" s="1"/>
  <c r="O23" i="112"/>
  <c r="Q23" i="112" s="1"/>
  <c r="O22" i="112"/>
  <c r="Q22" i="112" s="1"/>
  <c r="O21" i="112"/>
  <c r="Q21" i="112" s="1"/>
  <c r="O20" i="112"/>
  <c r="Q20" i="112" s="1"/>
  <c r="O19" i="112"/>
  <c r="Q19" i="112" s="1"/>
  <c r="O18" i="112"/>
  <c r="Q18" i="112" s="1"/>
  <c r="O17" i="112"/>
  <c r="Q17" i="112" s="1"/>
  <c r="O16" i="112"/>
  <c r="Q16" i="112" s="1"/>
  <c r="O15" i="112"/>
  <c r="Q15" i="112" s="1"/>
  <c r="O14" i="112"/>
  <c r="Q14" i="112" s="1"/>
  <c r="Q13" i="112"/>
  <c r="O13" i="112"/>
  <c r="O12" i="112"/>
  <c r="Q12" i="112" s="1"/>
  <c r="O11" i="112"/>
  <c r="Q11" i="112" s="1"/>
  <c r="O10" i="112"/>
  <c r="Q10" i="112" s="1"/>
  <c r="O9" i="112"/>
  <c r="Q9" i="112" s="1"/>
  <c r="O8" i="112"/>
  <c r="P38" i="111"/>
  <c r="N38" i="111"/>
  <c r="M38" i="111"/>
  <c r="L38" i="111"/>
  <c r="K38" i="111"/>
  <c r="J38" i="111"/>
  <c r="I38" i="111"/>
  <c r="G38" i="111"/>
  <c r="O37" i="111"/>
  <c r="O28" i="111"/>
  <c r="O27" i="111"/>
  <c r="O26" i="111"/>
  <c r="Q26" i="111" s="1"/>
  <c r="O25" i="111"/>
  <c r="Q25" i="111" s="1"/>
  <c r="O24" i="111"/>
  <c r="Q24" i="111" s="1"/>
  <c r="O23" i="111"/>
  <c r="Q23" i="111" s="1"/>
  <c r="O22" i="111"/>
  <c r="Q22" i="111" s="1"/>
  <c r="O21" i="111"/>
  <c r="Q21" i="111" s="1"/>
  <c r="O20" i="111"/>
  <c r="Q20" i="111" s="1"/>
  <c r="O19" i="111"/>
  <c r="Q19" i="111" s="1"/>
  <c r="O18" i="111"/>
  <c r="Q18" i="111" s="1"/>
  <c r="O17" i="111"/>
  <c r="Q17" i="111" s="1"/>
  <c r="O16" i="111"/>
  <c r="Q16" i="111" s="1"/>
  <c r="O15" i="111"/>
  <c r="Q15" i="111" s="1"/>
  <c r="O14" i="111"/>
  <c r="Q14" i="111" s="1"/>
  <c r="O13" i="111"/>
  <c r="Q13" i="111" s="1"/>
  <c r="O12" i="111"/>
  <c r="Q12" i="111" s="1"/>
  <c r="O11" i="111"/>
  <c r="Q11" i="111" s="1"/>
  <c r="O10" i="111"/>
  <c r="Q10" i="111" s="1"/>
  <c r="O9" i="111"/>
  <c r="Q9" i="111" s="1"/>
  <c r="O8" i="111"/>
  <c r="P42" i="110"/>
  <c r="N42" i="110"/>
  <c r="M42" i="110"/>
  <c r="L42" i="110"/>
  <c r="K42" i="110"/>
  <c r="J42" i="110"/>
  <c r="I42" i="110"/>
  <c r="H42" i="110"/>
  <c r="G42" i="110"/>
  <c r="O41" i="110"/>
  <c r="O30" i="110"/>
  <c r="O29" i="110"/>
  <c r="O28" i="110"/>
  <c r="Q28" i="110" s="1"/>
  <c r="O27" i="110"/>
  <c r="Q27" i="110" s="1"/>
  <c r="O26" i="110"/>
  <c r="Q26" i="110" s="1"/>
  <c r="O25" i="110"/>
  <c r="Q25" i="110" s="1"/>
  <c r="O24" i="110"/>
  <c r="Q24" i="110" s="1"/>
  <c r="O23" i="110"/>
  <c r="Q23" i="110" s="1"/>
  <c r="O22" i="110"/>
  <c r="Q22" i="110" s="1"/>
  <c r="O21" i="110"/>
  <c r="Q21" i="110" s="1"/>
  <c r="O20" i="110"/>
  <c r="Q20" i="110" s="1"/>
  <c r="O19" i="110"/>
  <c r="Q19" i="110" s="1"/>
  <c r="O18" i="110"/>
  <c r="Q18" i="110" s="1"/>
  <c r="O17" i="110"/>
  <c r="Q17" i="110" s="1"/>
  <c r="O16" i="110"/>
  <c r="Q16" i="110" s="1"/>
  <c r="O15" i="110"/>
  <c r="Q15" i="110" s="1"/>
  <c r="O14" i="110"/>
  <c r="Q14" i="110" s="1"/>
  <c r="O13" i="110"/>
  <c r="Q13" i="110" s="1"/>
  <c r="O12" i="110"/>
  <c r="Q12" i="110" s="1"/>
  <c r="O11" i="110"/>
  <c r="Q11" i="110" s="1"/>
  <c r="O10" i="110"/>
  <c r="Q10" i="110" s="1"/>
  <c r="O9" i="110"/>
  <c r="Q9" i="110" s="1"/>
  <c r="O8" i="110"/>
  <c r="Q8" i="110" s="1"/>
  <c r="O38" i="111" l="1"/>
  <c r="Q38" i="111" s="1"/>
  <c r="O36" i="112"/>
  <c r="Q36" i="112" s="1"/>
  <c r="Q8" i="111"/>
  <c r="Q8" i="112"/>
  <c r="O42" i="110"/>
  <c r="Q42" i="110" s="1"/>
  <c r="L29" i="108" l="1"/>
  <c r="H32" i="109" l="1"/>
  <c r="H31" i="109"/>
  <c r="H27" i="109"/>
  <c r="H28" i="109"/>
  <c r="H29" i="109"/>
  <c r="H30" i="109"/>
  <c r="H25" i="109"/>
  <c r="H26" i="109"/>
  <c r="H22" i="109"/>
  <c r="H23" i="109"/>
  <c r="H24" i="109"/>
  <c r="H21" i="109"/>
  <c r="H18" i="109"/>
  <c r="H19" i="109"/>
  <c r="H20" i="109"/>
  <c r="H17" i="109"/>
  <c r="H13" i="109"/>
  <c r="H14" i="109"/>
  <c r="H15" i="109"/>
  <c r="H16" i="109"/>
  <c r="H12" i="109"/>
  <c r="H10" i="109" l="1"/>
  <c r="H11" i="109"/>
  <c r="O11" i="109" s="1"/>
  <c r="Q11" i="109" s="1"/>
  <c r="H9" i="109"/>
  <c r="H8" i="109"/>
  <c r="O8" i="109" s="1"/>
  <c r="Q8" i="109" s="1"/>
  <c r="H22" i="108"/>
  <c r="O22" i="108" s="1"/>
  <c r="Q22" i="108" s="1"/>
  <c r="H21" i="108"/>
  <c r="O21" i="108" s="1"/>
  <c r="Q21" i="108" s="1"/>
  <c r="H18" i="108"/>
  <c r="H19" i="108"/>
  <c r="O19" i="108" s="1"/>
  <c r="Q19" i="108" s="1"/>
  <c r="H20" i="108"/>
  <c r="O20" i="108" s="1"/>
  <c r="Q20" i="108" s="1"/>
  <c r="H16" i="108"/>
  <c r="O16" i="108" s="1"/>
  <c r="Q16" i="108" s="1"/>
  <c r="H17" i="108"/>
  <c r="O17" i="108" s="1"/>
  <c r="Q17" i="108" s="1"/>
  <c r="H15" i="108"/>
  <c r="O15" i="108" s="1"/>
  <c r="Q15" i="108" s="1"/>
  <c r="H14" i="108"/>
  <c r="O14" i="108" s="1"/>
  <c r="Q14" i="108" s="1"/>
  <c r="H10" i="108"/>
  <c r="H11" i="108"/>
  <c r="O11" i="108" s="1"/>
  <c r="Q11" i="108" s="1"/>
  <c r="H12" i="108"/>
  <c r="O12" i="108" s="1"/>
  <c r="Q12" i="108" s="1"/>
  <c r="H13" i="108"/>
  <c r="O13" i="108" s="1"/>
  <c r="Q13" i="108" s="1"/>
  <c r="H9" i="108"/>
  <c r="O9" i="108" s="1"/>
  <c r="Q9" i="108" s="1"/>
  <c r="H8" i="108"/>
  <c r="O23" i="109"/>
  <c r="Q23" i="109" s="1"/>
  <c r="O24" i="109"/>
  <c r="Q24" i="109" s="1"/>
  <c r="O25" i="109"/>
  <c r="Q25" i="109" s="1"/>
  <c r="O26" i="109"/>
  <c r="Q26" i="109" s="1"/>
  <c r="O27" i="109"/>
  <c r="Q27" i="109" s="1"/>
  <c r="O28" i="109"/>
  <c r="Q28" i="109" s="1"/>
  <c r="O29" i="109"/>
  <c r="Q29" i="109" s="1"/>
  <c r="O30" i="109"/>
  <c r="Q30" i="109" s="1"/>
  <c r="O31" i="109"/>
  <c r="Q31" i="109" s="1"/>
  <c r="O32" i="109"/>
  <c r="Q32" i="109" s="1"/>
  <c r="P40" i="109"/>
  <c r="N40" i="109"/>
  <c r="M40" i="109"/>
  <c r="L40" i="109"/>
  <c r="K40" i="109"/>
  <c r="J40" i="109"/>
  <c r="I40" i="109"/>
  <c r="G40" i="109"/>
  <c r="O39" i="109"/>
  <c r="O37" i="109"/>
  <c r="O36" i="109"/>
  <c r="O35" i="109"/>
  <c r="O34" i="109"/>
  <c r="O33" i="109"/>
  <c r="O22" i="109"/>
  <c r="Q22" i="109" s="1"/>
  <c r="O21" i="109"/>
  <c r="Q21" i="109" s="1"/>
  <c r="O20" i="109"/>
  <c r="Q20" i="109" s="1"/>
  <c r="O19" i="109"/>
  <c r="Q19" i="109" s="1"/>
  <c r="O18" i="109"/>
  <c r="Q18" i="109" s="1"/>
  <c r="O17" i="109"/>
  <c r="Q17" i="109" s="1"/>
  <c r="O16" i="109"/>
  <c r="Q16" i="109" s="1"/>
  <c r="O15" i="109"/>
  <c r="Q15" i="109" s="1"/>
  <c r="O14" i="109"/>
  <c r="Q14" i="109" s="1"/>
  <c r="O13" i="109"/>
  <c r="Q13" i="109" s="1"/>
  <c r="O12" i="109"/>
  <c r="Q12" i="109" s="1"/>
  <c r="O9" i="109"/>
  <c r="Q9" i="109" s="1"/>
  <c r="N33" i="108"/>
  <c r="M33" i="108"/>
  <c r="L33" i="108"/>
  <c r="K33" i="108"/>
  <c r="J33" i="108"/>
  <c r="I33" i="108"/>
  <c r="G33" i="108"/>
  <c r="O32" i="108"/>
  <c r="O29" i="108"/>
  <c r="O28" i="108"/>
  <c r="O27" i="108"/>
  <c r="O26" i="108"/>
  <c r="O25" i="108"/>
  <c r="O24" i="108"/>
  <c r="O18" i="108"/>
  <c r="Q18" i="108" s="1"/>
  <c r="O10" i="108"/>
  <c r="Q10" i="108" s="1"/>
  <c r="O8" i="108"/>
  <c r="G23" i="107"/>
  <c r="G43" i="107" s="1"/>
  <c r="H21" i="107"/>
  <c r="H22" i="107"/>
  <c r="O22" i="107" s="1"/>
  <c r="Q22" i="107" s="1"/>
  <c r="H24" i="107"/>
  <c r="O24" i="107" s="1"/>
  <c r="Q24" i="107" s="1"/>
  <c r="H25" i="107"/>
  <c r="O25" i="107" s="1"/>
  <c r="Q25" i="107" s="1"/>
  <c r="H20" i="107"/>
  <c r="O20" i="107" s="1"/>
  <c r="Q20" i="107" s="1"/>
  <c r="H18" i="107"/>
  <c r="O18" i="107" s="1"/>
  <c r="Q18" i="107" s="1"/>
  <c r="H19" i="107"/>
  <c r="H17" i="107"/>
  <c r="O17" i="107" s="1"/>
  <c r="Q17" i="107" s="1"/>
  <c r="H16" i="107"/>
  <c r="O16" i="107" s="1"/>
  <c r="Q16" i="107" s="1"/>
  <c r="H12" i="107"/>
  <c r="O12" i="107" s="1"/>
  <c r="Q12" i="107" s="1"/>
  <c r="H13" i="107"/>
  <c r="O13" i="107" s="1"/>
  <c r="Q13" i="107" s="1"/>
  <c r="H14" i="107"/>
  <c r="O14" i="107" s="1"/>
  <c r="Q14" i="107" s="1"/>
  <c r="H15" i="107"/>
  <c r="O15" i="107" s="1"/>
  <c r="Q15" i="107" s="1"/>
  <c r="H11" i="107"/>
  <c r="O11" i="107" s="1"/>
  <c r="Q11" i="107" s="1"/>
  <c r="H10" i="107"/>
  <c r="O10" i="107" s="1"/>
  <c r="Q10" i="107" s="1"/>
  <c r="H9" i="107"/>
  <c r="O9" i="107" s="1"/>
  <c r="Q9" i="107" s="1"/>
  <c r="H8" i="107"/>
  <c r="O8" i="107" s="1"/>
  <c r="Q8" i="107" s="1"/>
  <c r="N43" i="107"/>
  <c r="M43" i="107"/>
  <c r="L43" i="107"/>
  <c r="K43" i="107"/>
  <c r="J43" i="107"/>
  <c r="I43" i="107"/>
  <c r="O42" i="107"/>
  <c r="O37" i="107"/>
  <c r="O34" i="107"/>
  <c r="O33" i="107"/>
  <c r="O32" i="107"/>
  <c r="O31" i="107"/>
  <c r="O30" i="107"/>
  <c r="O29" i="107"/>
  <c r="O28" i="107"/>
  <c r="O27" i="107"/>
  <c r="O21" i="107"/>
  <c r="Q21" i="107" s="1"/>
  <c r="O19" i="107"/>
  <c r="Q19" i="107" s="1"/>
  <c r="O37" i="106"/>
  <c r="O38" i="106"/>
  <c r="O39" i="106"/>
  <c r="H23" i="107" l="1"/>
  <c r="O23" i="107" s="1"/>
  <c r="Q23" i="107" s="1"/>
  <c r="H40" i="109"/>
  <c r="O10" i="109"/>
  <c r="Q10" i="109" s="1"/>
  <c r="O40" i="109"/>
  <c r="Q40" i="109" s="1"/>
  <c r="Q8" i="108"/>
  <c r="O33" i="108"/>
  <c r="Q33" i="108" s="1"/>
  <c r="H33" i="108"/>
  <c r="Q45" i="107"/>
  <c r="N40" i="104"/>
  <c r="Q35" i="108" l="1"/>
  <c r="Q42" i="109" s="1"/>
  <c r="Q44" i="110" s="1"/>
  <c r="Q40" i="111" s="1"/>
  <c r="Q38" i="112" s="1"/>
  <c r="Q45" i="113" s="1"/>
  <c r="Q37" i="114" s="1"/>
  <c r="Q45" i="115" s="1"/>
  <c r="Q43" i="116" s="1"/>
  <c r="Q42" i="117" s="1"/>
  <c r="Q48" i="118" s="1"/>
  <c r="H43" i="107"/>
  <c r="H21" i="106"/>
  <c r="H22" i="106"/>
  <c r="H23" i="106"/>
  <c r="H24" i="106"/>
  <c r="H25" i="106"/>
  <c r="H20" i="106"/>
  <c r="H17" i="106"/>
  <c r="H18" i="106"/>
  <c r="H19" i="106"/>
  <c r="H16" i="106"/>
  <c r="H14" i="106"/>
  <c r="H15" i="106"/>
  <c r="H13" i="106"/>
  <c r="H9" i="106"/>
  <c r="H10" i="106"/>
  <c r="H11" i="106"/>
  <c r="H12" i="106"/>
  <c r="H8" i="106"/>
  <c r="O29" i="106"/>
  <c r="O30" i="106"/>
  <c r="O31" i="106"/>
  <c r="O32" i="106"/>
  <c r="O33" i="106"/>
  <c r="O34" i="106"/>
  <c r="O35" i="106"/>
  <c r="O36" i="106"/>
  <c r="O35" i="103"/>
  <c r="O42" i="104"/>
  <c r="P37" i="103" l="1"/>
  <c r="J37" i="103"/>
  <c r="O17" i="106"/>
  <c r="Q17" i="106" s="1"/>
  <c r="O18" i="106"/>
  <c r="Q18" i="106" s="1"/>
  <c r="O19" i="106"/>
  <c r="Q19" i="106" s="1"/>
  <c r="P41" i="106"/>
  <c r="M41" i="106"/>
  <c r="L41" i="106"/>
  <c r="K41" i="106"/>
  <c r="J41" i="106"/>
  <c r="I41" i="106"/>
  <c r="H41" i="106"/>
  <c r="G41" i="106"/>
  <c r="O40" i="106"/>
  <c r="N41" i="106"/>
  <c r="O28" i="106"/>
  <c r="O27" i="106"/>
  <c r="O25" i="106"/>
  <c r="Q25" i="106" s="1"/>
  <c r="O24" i="106"/>
  <c r="Q24" i="106" s="1"/>
  <c r="O23" i="106"/>
  <c r="Q23" i="106" s="1"/>
  <c r="O22" i="106"/>
  <c r="Q22" i="106" s="1"/>
  <c r="O21" i="106"/>
  <c r="Q21" i="106" s="1"/>
  <c r="O20" i="106"/>
  <c r="Q20" i="106" s="1"/>
  <c r="O16" i="106"/>
  <c r="Q16" i="106" s="1"/>
  <c r="O15" i="106"/>
  <c r="Q15" i="106" s="1"/>
  <c r="O14" i="106"/>
  <c r="Q14" i="106" s="1"/>
  <c r="O13" i="106"/>
  <c r="Q13" i="106" s="1"/>
  <c r="O12" i="106"/>
  <c r="Q12" i="106" s="1"/>
  <c r="O11" i="106"/>
  <c r="Q11" i="106" s="1"/>
  <c r="O10" i="106"/>
  <c r="Q10" i="106" s="1"/>
  <c r="O9" i="106"/>
  <c r="Q9" i="106" s="1"/>
  <c r="O8" i="106"/>
  <c r="O41" i="106" l="1"/>
  <c r="Q41" i="106" s="1"/>
  <c r="Q8" i="106"/>
  <c r="H25" i="105"/>
  <c r="H24" i="105"/>
  <c r="H23" i="105"/>
  <c r="H15" i="105"/>
  <c r="H16" i="105"/>
  <c r="H17" i="105"/>
  <c r="H18" i="105"/>
  <c r="H19" i="105"/>
  <c r="H20" i="105"/>
  <c r="H21" i="105"/>
  <c r="H22" i="105"/>
  <c r="H14" i="105"/>
  <c r="H13" i="105"/>
  <c r="H12" i="105"/>
  <c r="H9" i="105"/>
  <c r="H10" i="105"/>
  <c r="H11" i="105"/>
  <c r="H8" i="105"/>
  <c r="P39" i="105" l="1"/>
  <c r="M39" i="105"/>
  <c r="K39" i="105"/>
  <c r="J39" i="105"/>
  <c r="I39" i="105"/>
  <c r="G39" i="105"/>
  <c r="O38" i="105"/>
  <c r="O37" i="105"/>
  <c r="O36" i="105"/>
  <c r="N39" i="105"/>
  <c r="O35" i="105"/>
  <c r="O34" i="105"/>
  <c r="O33" i="105"/>
  <c r="O32" i="105"/>
  <c r="O31" i="105"/>
  <c r="O30" i="105"/>
  <c r="O29" i="105"/>
  <c r="O28" i="105"/>
  <c r="O27" i="105"/>
  <c r="O25" i="105"/>
  <c r="Q25" i="105" s="1"/>
  <c r="O24" i="105"/>
  <c r="Q24" i="105" s="1"/>
  <c r="O23" i="105"/>
  <c r="Q23" i="105" s="1"/>
  <c r="O22" i="105"/>
  <c r="Q22" i="105" s="1"/>
  <c r="O21" i="105"/>
  <c r="Q21" i="105" s="1"/>
  <c r="O20" i="105"/>
  <c r="Q20" i="105" s="1"/>
  <c r="O19" i="105"/>
  <c r="Q19" i="105" s="1"/>
  <c r="O18" i="105"/>
  <c r="Q18" i="105" s="1"/>
  <c r="O17" i="105"/>
  <c r="Q17" i="105" s="1"/>
  <c r="O16" i="105"/>
  <c r="Q16" i="105" s="1"/>
  <c r="O15" i="105"/>
  <c r="Q15" i="105" s="1"/>
  <c r="O14" i="105"/>
  <c r="Q14" i="105" s="1"/>
  <c r="O13" i="105"/>
  <c r="Q13" i="105" s="1"/>
  <c r="O12" i="105"/>
  <c r="Q12" i="105" s="1"/>
  <c r="O11" i="105"/>
  <c r="Q11" i="105" s="1"/>
  <c r="O10" i="105"/>
  <c r="Q10" i="105" s="1"/>
  <c r="O9" i="105"/>
  <c r="Q9" i="105" s="1"/>
  <c r="O8" i="105"/>
  <c r="L41" i="104"/>
  <c r="O41" i="104" s="1"/>
  <c r="O40" i="104"/>
  <c r="P45" i="104"/>
  <c r="H26" i="104"/>
  <c r="H27" i="104"/>
  <c r="O27" i="104" s="1"/>
  <c r="Q27" i="104" s="1"/>
  <c r="H28" i="104"/>
  <c r="O28" i="104" s="1"/>
  <c r="Q28" i="104" s="1"/>
  <c r="H29" i="104"/>
  <c r="O29" i="104" s="1"/>
  <c r="Q29" i="104" s="1"/>
  <c r="H25" i="104"/>
  <c r="O25" i="104" s="1"/>
  <c r="Q25" i="104" s="1"/>
  <c r="H18" i="104"/>
  <c r="O18" i="104" s="1"/>
  <c r="Q18" i="104" s="1"/>
  <c r="H19" i="104"/>
  <c r="O19" i="104" s="1"/>
  <c r="Q19" i="104" s="1"/>
  <c r="H20" i="104"/>
  <c r="O20" i="104" s="1"/>
  <c r="Q20" i="104" s="1"/>
  <c r="H21" i="104"/>
  <c r="H22" i="104"/>
  <c r="O22" i="104" s="1"/>
  <c r="Q22" i="104" s="1"/>
  <c r="H23" i="104"/>
  <c r="O23" i="104" s="1"/>
  <c r="Q23" i="104" s="1"/>
  <c r="H17" i="104"/>
  <c r="O17" i="104" s="1"/>
  <c r="Q17" i="104" s="1"/>
  <c r="H16" i="104"/>
  <c r="H15" i="104"/>
  <c r="O15" i="104" s="1"/>
  <c r="Q15" i="104" s="1"/>
  <c r="H10" i="104"/>
  <c r="O10" i="104" s="1"/>
  <c r="Q10" i="104" s="1"/>
  <c r="H11" i="104"/>
  <c r="O11" i="104" s="1"/>
  <c r="Q11" i="104" s="1"/>
  <c r="H12" i="104"/>
  <c r="H13" i="104"/>
  <c r="O13" i="104" s="1"/>
  <c r="Q13" i="104" s="1"/>
  <c r="H14" i="104"/>
  <c r="O14" i="104" s="1"/>
  <c r="Q14" i="104" s="1"/>
  <c r="H9" i="104"/>
  <c r="O9" i="104" s="1"/>
  <c r="Q9" i="104" s="1"/>
  <c r="H8" i="104"/>
  <c r="O8" i="104" s="1"/>
  <c r="Q8" i="104" s="1"/>
  <c r="M45" i="104"/>
  <c r="L45" i="104"/>
  <c r="K45" i="104"/>
  <c r="J45" i="104"/>
  <c r="I45" i="104"/>
  <c r="G45" i="104"/>
  <c r="O44" i="104"/>
  <c r="O39" i="104"/>
  <c r="O38" i="104"/>
  <c r="O37" i="104"/>
  <c r="O36" i="104"/>
  <c r="O35" i="104"/>
  <c r="O33" i="104"/>
  <c r="O32" i="104"/>
  <c r="O31" i="104"/>
  <c r="O26" i="104"/>
  <c r="Q26" i="104" s="1"/>
  <c r="O24" i="104"/>
  <c r="Q24" i="104" s="1"/>
  <c r="O21" i="104"/>
  <c r="Q21" i="104" s="1"/>
  <c r="O16" i="104"/>
  <c r="Q16" i="104" s="1"/>
  <c r="O12" i="104"/>
  <c r="Q12" i="104" s="1"/>
  <c r="O30" i="102"/>
  <c r="O31" i="102"/>
  <c r="O28" i="102"/>
  <c r="O29" i="102"/>
  <c r="O34" i="103"/>
  <c r="O32" i="103"/>
  <c r="O33" i="103"/>
  <c r="N31" i="103"/>
  <c r="O31" i="103" s="1"/>
  <c r="H13" i="103"/>
  <c r="H14" i="103"/>
  <c r="O14" i="103" s="1"/>
  <c r="Q14" i="103" s="1"/>
  <c r="H15" i="103"/>
  <c r="O15" i="103" s="1"/>
  <c r="Q15" i="103" s="1"/>
  <c r="H16" i="103"/>
  <c r="O16" i="103" s="1"/>
  <c r="Q16" i="103" s="1"/>
  <c r="H17" i="103"/>
  <c r="H18" i="103"/>
  <c r="O18" i="103" s="1"/>
  <c r="Q18" i="103" s="1"/>
  <c r="H19" i="103"/>
  <c r="O19" i="103" s="1"/>
  <c r="Q19" i="103" s="1"/>
  <c r="H21" i="103"/>
  <c r="O21" i="103" s="1"/>
  <c r="Q21" i="103" s="1"/>
  <c r="H22" i="103"/>
  <c r="O22" i="103" s="1"/>
  <c r="Q22" i="103" s="1"/>
  <c r="H23" i="103"/>
  <c r="O23" i="103" s="1"/>
  <c r="Q23" i="103" s="1"/>
  <c r="H24" i="103"/>
  <c r="O24" i="103" s="1"/>
  <c r="Q24" i="103" s="1"/>
  <c r="H25" i="103"/>
  <c r="O25" i="103" s="1"/>
  <c r="Q25" i="103" s="1"/>
  <c r="H26" i="103"/>
  <c r="H20" i="103"/>
  <c r="H12" i="103"/>
  <c r="O12" i="103" s="1"/>
  <c r="Q12" i="103" s="1"/>
  <c r="H11" i="103"/>
  <c r="O11" i="103" s="1"/>
  <c r="Q11" i="103" s="1"/>
  <c r="H10" i="103"/>
  <c r="O10" i="103" s="1"/>
  <c r="Q10" i="103" s="1"/>
  <c r="H9" i="103"/>
  <c r="O9" i="103" s="1"/>
  <c r="Q9" i="103" s="1"/>
  <c r="H8" i="103"/>
  <c r="O26" i="103"/>
  <c r="Q26" i="103" s="1"/>
  <c r="M37" i="103"/>
  <c r="L37" i="103"/>
  <c r="I37" i="103"/>
  <c r="G37" i="103"/>
  <c r="O36" i="103"/>
  <c r="O30" i="103"/>
  <c r="O29" i="103"/>
  <c r="O28" i="103"/>
  <c r="O20" i="103"/>
  <c r="Q20" i="103" s="1"/>
  <c r="O17" i="103"/>
  <c r="Q17" i="103" s="1"/>
  <c r="O13" i="103"/>
  <c r="Q13" i="103" s="1"/>
  <c r="K28" i="101"/>
  <c r="O35" i="100"/>
  <c r="K26" i="102"/>
  <c r="H21" i="102"/>
  <c r="H22" i="102"/>
  <c r="H23" i="102"/>
  <c r="H24" i="102"/>
  <c r="H20" i="102"/>
  <c r="H19" i="102"/>
  <c r="H16" i="102"/>
  <c r="H17" i="102"/>
  <c r="H18" i="102"/>
  <c r="H13" i="102"/>
  <c r="H14" i="102"/>
  <c r="H15" i="102"/>
  <c r="H12" i="102"/>
  <c r="H9" i="102"/>
  <c r="H10" i="102"/>
  <c r="H11" i="102"/>
  <c r="H8" i="102"/>
  <c r="N37" i="103" l="1"/>
  <c r="O39" i="105"/>
  <c r="Q39" i="105" s="1"/>
  <c r="Q8" i="105"/>
  <c r="H39" i="105"/>
  <c r="L39" i="105"/>
  <c r="N45" i="104"/>
  <c r="H45" i="104"/>
  <c r="O34" i="104"/>
  <c r="O45" i="104" s="1"/>
  <c r="Q45" i="104" s="1"/>
  <c r="H37" i="103"/>
  <c r="K37" i="103"/>
  <c r="O8" i="103"/>
  <c r="J32" i="102"/>
  <c r="P32" i="102"/>
  <c r="N32" i="102"/>
  <c r="M32" i="102"/>
  <c r="L32" i="102"/>
  <c r="K32" i="102"/>
  <c r="I32" i="102"/>
  <c r="G32" i="102"/>
  <c r="O27" i="102"/>
  <c r="O26" i="102"/>
  <c r="O25" i="102"/>
  <c r="O24" i="102"/>
  <c r="Q24" i="102" s="1"/>
  <c r="O23" i="102"/>
  <c r="Q23" i="102" s="1"/>
  <c r="O22" i="102"/>
  <c r="Q22" i="102" s="1"/>
  <c r="O21" i="102"/>
  <c r="Q21" i="102" s="1"/>
  <c r="O20" i="102"/>
  <c r="Q20" i="102" s="1"/>
  <c r="O19" i="102"/>
  <c r="Q19" i="102" s="1"/>
  <c r="O18" i="102"/>
  <c r="Q18" i="102" s="1"/>
  <c r="O17" i="102"/>
  <c r="Q17" i="102" s="1"/>
  <c r="O16" i="102"/>
  <c r="Q16" i="102" s="1"/>
  <c r="O15" i="102"/>
  <c r="Q15" i="102" s="1"/>
  <c r="O14" i="102"/>
  <c r="Q14" i="102" s="1"/>
  <c r="O13" i="102"/>
  <c r="Q13" i="102" s="1"/>
  <c r="O12" i="102"/>
  <c r="Q12" i="102" s="1"/>
  <c r="O11" i="102"/>
  <c r="Q11" i="102" s="1"/>
  <c r="O10" i="102"/>
  <c r="Q10" i="102" s="1"/>
  <c r="O9" i="102"/>
  <c r="Q9" i="102" s="1"/>
  <c r="O8" i="102"/>
  <c r="H26" i="101"/>
  <c r="H21" i="101"/>
  <c r="H22" i="101"/>
  <c r="H23" i="101"/>
  <c r="H24" i="101"/>
  <c r="H25" i="101"/>
  <c r="H20" i="101"/>
  <c r="H15" i="101"/>
  <c r="H16" i="101"/>
  <c r="H17" i="101"/>
  <c r="H18" i="101"/>
  <c r="H19" i="101"/>
  <c r="H14" i="101"/>
  <c r="H10" i="101"/>
  <c r="H11" i="101"/>
  <c r="H12" i="101"/>
  <c r="H13" i="101"/>
  <c r="H8" i="101"/>
  <c r="H9" i="101"/>
  <c r="Q8" i="103" l="1"/>
  <c r="O37" i="103"/>
  <c r="Q8" i="102"/>
  <c r="O32" i="102"/>
  <c r="Q32" i="102" s="1"/>
  <c r="H32" i="102"/>
  <c r="Q37" i="103" l="1"/>
  <c r="J33" i="101"/>
  <c r="P33" i="101" l="1"/>
  <c r="M33" i="101"/>
  <c r="K33" i="101"/>
  <c r="I33" i="101"/>
  <c r="G33" i="101"/>
  <c r="O32" i="101"/>
  <c r="O31" i="101"/>
  <c r="L33" i="101"/>
  <c r="O29" i="101"/>
  <c r="N33" i="101"/>
  <c r="O28" i="101"/>
  <c r="O27" i="101"/>
  <c r="O26" i="101"/>
  <c r="Q26" i="101" s="1"/>
  <c r="O25" i="101"/>
  <c r="Q25" i="101" s="1"/>
  <c r="O24" i="101"/>
  <c r="Q24" i="101" s="1"/>
  <c r="O23" i="101"/>
  <c r="Q23" i="101" s="1"/>
  <c r="O22" i="101"/>
  <c r="Q22" i="101" s="1"/>
  <c r="O21" i="101"/>
  <c r="Q21" i="101" s="1"/>
  <c r="O20" i="101"/>
  <c r="Q20" i="101" s="1"/>
  <c r="O19" i="101"/>
  <c r="Q19" i="101" s="1"/>
  <c r="O18" i="101"/>
  <c r="Q18" i="101" s="1"/>
  <c r="O17" i="101"/>
  <c r="Q17" i="101" s="1"/>
  <c r="O16" i="101"/>
  <c r="Q16" i="101" s="1"/>
  <c r="O15" i="101"/>
  <c r="Q15" i="101" s="1"/>
  <c r="O14" i="101"/>
  <c r="Q14" i="101" s="1"/>
  <c r="O13" i="101"/>
  <c r="Q13" i="101" s="1"/>
  <c r="O12" i="101"/>
  <c r="Q12" i="101" s="1"/>
  <c r="O11" i="101"/>
  <c r="Q11" i="101" s="1"/>
  <c r="O10" i="101"/>
  <c r="Q10" i="101" s="1"/>
  <c r="O9" i="101"/>
  <c r="Q9" i="101" s="1"/>
  <c r="H33" i="101"/>
  <c r="L32" i="100"/>
  <c r="N31" i="100"/>
  <c r="O8" i="101" l="1"/>
  <c r="O30" i="101"/>
  <c r="O33" i="101" l="1"/>
  <c r="Q33" i="101" s="1"/>
  <c r="Q8" i="101"/>
  <c r="J37" i="100" l="1"/>
  <c r="H24" i="100" l="1"/>
  <c r="H25" i="100"/>
  <c r="O25" i="100" s="1"/>
  <c r="Q25" i="100" s="1"/>
  <c r="H26" i="100"/>
  <c r="O26" i="100" s="1"/>
  <c r="Q26" i="100" s="1"/>
  <c r="H27" i="100"/>
  <c r="O27" i="100" s="1"/>
  <c r="Q27" i="100" s="1"/>
  <c r="H28" i="100"/>
  <c r="H23" i="100"/>
  <c r="O23" i="100" s="1"/>
  <c r="Q23" i="100" s="1"/>
  <c r="H17" i="100"/>
  <c r="O17" i="100" s="1"/>
  <c r="Q17" i="100" s="1"/>
  <c r="H18" i="100"/>
  <c r="H19" i="100"/>
  <c r="H20" i="100"/>
  <c r="O20" i="100" s="1"/>
  <c r="Q20" i="100" s="1"/>
  <c r="H21" i="100"/>
  <c r="H22" i="100"/>
  <c r="O22" i="100" s="1"/>
  <c r="Q22" i="100" s="1"/>
  <c r="H16" i="100"/>
  <c r="H9" i="100"/>
  <c r="O9" i="100" s="1"/>
  <c r="Q9" i="100" s="1"/>
  <c r="H10" i="100"/>
  <c r="H11" i="100"/>
  <c r="O11" i="100" s="1"/>
  <c r="Q11" i="100" s="1"/>
  <c r="H12" i="100"/>
  <c r="H13" i="100"/>
  <c r="O13" i="100" s="1"/>
  <c r="Q13" i="100" s="1"/>
  <c r="H14" i="100"/>
  <c r="H15" i="100"/>
  <c r="O15" i="100" s="1"/>
  <c r="Q15" i="100" s="1"/>
  <c r="H8" i="100"/>
  <c r="G37" i="100"/>
  <c r="P37" i="100"/>
  <c r="O28" i="100"/>
  <c r="Q28" i="100" s="1"/>
  <c r="N37" i="100"/>
  <c r="M37" i="100"/>
  <c r="L37" i="100"/>
  <c r="K37" i="100"/>
  <c r="I37" i="100"/>
  <c r="O36" i="100"/>
  <c r="O34" i="100"/>
  <c r="O33" i="100"/>
  <c r="O32" i="100"/>
  <c r="O31" i="100"/>
  <c r="O30" i="100"/>
  <c r="O29" i="100"/>
  <c r="O24" i="100"/>
  <c r="Q24" i="100" s="1"/>
  <c r="O21" i="100"/>
  <c r="Q21" i="100" s="1"/>
  <c r="O18" i="100"/>
  <c r="Q18" i="100" s="1"/>
  <c r="O16" i="100"/>
  <c r="Q16" i="100" s="1"/>
  <c r="O14" i="100"/>
  <c r="Q14" i="100" s="1"/>
  <c r="O12" i="100"/>
  <c r="Q12" i="100" s="1"/>
  <c r="O10" i="100"/>
  <c r="Q10" i="100" s="1"/>
  <c r="O8" i="100"/>
  <c r="H14" i="99"/>
  <c r="H15" i="99"/>
  <c r="H16" i="99"/>
  <c r="O16" i="99" s="1"/>
  <c r="Q16" i="99" s="1"/>
  <c r="H17" i="99"/>
  <c r="O17" i="99" s="1"/>
  <c r="Q17" i="99" s="1"/>
  <c r="H18" i="99"/>
  <c r="H19" i="99"/>
  <c r="H13" i="99"/>
  <c r="H9" i="99"/>
  <c r="O9" i="99" s="1"/>
  <c r="H10" i="99"/>
  <c r="H11" i="99"/>
  <c r="H12" i="99"/>
  <c r="O12" i="99" s="1"/>
  <c r="Q12" i="99" s="1"/>
  <c r="H21" i="99"/>
  <c r="O21" i="99" s="1"/>
  <c r="Q21" i="99" s="1"/>
  <c r="H22" i="99"/>
  <c r="H23" i="99"/>
  <c r="H24" i="99"/>
  <c r="H25" i="99"/>
  <c r="O25" i="99" s="1"/>
  <c r="Q25" i="99" s="1"/>
  <c r="H26" i="99"/>
  <c r="H27" i="99"/>
  <c r="O27" i="99" s="1"/>
  <c r="Q27" i="99" s="1"/>
  <c r="H20" i="99"/>
  <c r="O20" i="99" s="1"/>
  <c r="Q20" i="99" s="1"/>
  <c r="H8" i="99"/>
  <c r="O8" i="99" s="1"/>
  <c r="Q8" i="99" s="1"/>
  <c r="J19" i="99"/>
  <c r="O26" i="99"/>
  <c r="Q26" i="99" s="1"/>
  <c r="P36" i="99"/>
  <c r="N36" i="99"/>
  <c r="M36" i="99"/>
  <c r="L36" i="99"/>
  <c r="K36" i="99"/>
  <c r="J36" i="99"/>
  <c r="I36" i="99"/>
  <c r="G36" i="99"/>
  <c r="O35" i="99"/>
  <c r="O34" i="99"/>
  <c r="O33" i="99"/>
  <c r="O32" i="99"/>
  <c r="O31" i="99"/>
  <c r="O30" i="99"/>
  <c r="O29" i="99"/>
  <c r="O28" i="99"/>
  <c r="O24" i="99"/>
  <c r="Q24" i="99" s="1"/>
  <c r="O23" i="99"/>
  <c r="Q23" i="99" s="1"/>
  <c r="O22" i="99"/>
  <c r="Q22" i="99" s="1"/>
  <c r="O19" i="99"/>
  <c r="Q19" i="99" s="1"/>
  <c r="O18" i="99"/>
  <c r="Q18" i="99" s="1"/>
  <c r="O15" i="99"/>
  <c r="Q15" i="99" s="1"/>
  <c r="O14" i="99"/>
  <c r="Q14" i="99" s="1"/>
  <c r="O13" i="99"/>
  <c r="Q13" i="99" s="1"/>
  <c r="O11" i="99"/>
  <c r="Q11" i="99" s="1"/>
  <c r="O35" i="97"/>
  <c r="H19" i="98"/>
  <c r="H20" i="98"/>
  <c r="H21" i="98"/>
  <c r="H22" i="98"/>
  <c r="H23" i="98"/>
  <c r="H24" i="98"/>
  <c r="H25" i="98"/>
  <c r="H18" i="98"/>
  <c r="H17" i="98"/>
  <c r="H15" i="98"/>
  <c r="H16" i="98"/>
  <c r="H14" i="98"/>
  <c r="H12" i="98"/>
  <c r="H10" i="98"/>
  <c r="H11" i="98"/>
  <c r="H9" i="98"/>
  <c r="H8" i="98"/>
  <c r="H31" i="97"/>
  <c r="H30" i="97"/>
  <c r="H25" i="97"/>
  <c r="H19" i="97"/>
  <c r="H18" i="97"/>
  <c r="O19" i="100" l="1"/>
  <c r="Q19" i="100" s="1"/>
  <c r="Q8" i="100"/>
  <c r="H37" i="100"/>
  <c r="H36" i="99"/>
  <c r="O10" i="99"/>
  <c r="Q10" i="99" s="1"/>
  <c r="Q9" i="99"/>
  <c r="J45" i="98"/>
  <c r="H45" i="98"/>
  <c r="P45" i="98"/>
  <c r="O37" i="100" l="1"/>
  <c r="Q37" i="100" s="1"/>
  <c r="O36" i="99"/>
  <c r="Q36" i="99" s="1"/>
  <c r="G8" i="98"/>
  <c r="O29" i="98"/>
  <c r="O30" i="98"/>
  <c r="O31" i="98"/>
  <c r="O32" i="98"/>
  <c r="O33" i="98"/>
  <c r="O34" i="98"/>
  <c r="O35" i="98"/>
  <c r="O36" i="98"/>
  <c r="O37" i="98"/>
  <c r="O38" i="98"/>
  <c r="O39" i="98"/>
  <c r="O40" i="98"/>
  <c r="O41" i="98"/>
  <c r="O42" i="98"/>
  <c r="J12" i="98"/>
  <c r="J8" i="98"/>
  <c r="N45" i="98" l="1"/>
  <c r="M45" i="98"/>
  <c r="L45" i="98"/>
  <c r="K45" i="98"/>
  <c r="I45" i="98"/>
  <c r="G45" i="98"/>
  <c r="O44" i="98"/>
  <c r="O43" i="98"/>
  <c r="O28" i="98"/>
  <c r="O27" i="98"/>
  <c r="O25" i="98"/>
  <c r="Q25" i="98" s="1"/>
  <c r="O24" i="98"/>
  <c r="Q24" i="98" s="1"/>
  <c r="O23" i="98"/>
  <c r="Q23" i="98" s="1"/>
  <c r="O22" i="98"/>
  <c r="Q22" i="98" s="1"/>
  <c r="O21" i="98"/>
  <c r="Q21" i="98" s="1"/>
  <c r="O20" i="98"/>
  <c r="Q20" i="98" s="1"/>
  <c r="O19" i="98"/>
  <c r="Q19" i="98" s="1"/>
  <c r="O18" i="98"/>
  <c r="Q18" i="98" s="1"/>
  <c r="O17" i="98"/>
  <c r="Q17" i="98" s="1"/>
  <c r="O16" i="98"/>
  <c r="Q16" i="98" s="1"/>
  <c r="O15" i="98"/>
  <c r="Q15" i="98" s="1"/>
  <c r="O14" i="98"/>
  <c r="Q14" i="98" s="1"/>
  <c r="O13" i="98"/>
  <c r="Q13" i="98" s="1"/>
  <c r="O12" i="98"/>
  <c r="Q12" i="98" s="1"/>
  <c r="O11" i="98"/>
  <c r="Q11" i="98" s="1"/>
  <c r="O10" i="98"/>
  <c r="Q10" i="98" s="1"/>
  <c r="O9" i="98"/>
  <c r="Q9" i="98" s="1"/>
  <c r="O19" i="97"/>
  <c r="O24" i="97"/>
  <c r="Q24" i="97" s="1"/>
  <c r="O30" i="97"/>
  <c r="Q30" i="97" s="1"/>
  <c r="O31" i="97"/>
  <c r="Q31" i="97" s="1"/>
  <c r="J10" i="97"/>
  <c r="J9" i="97"/>
  <c r="H26" i="97"/>
  <c r="O26" i="97" s="1"/>
  <c r="Q26" i="97" s="1"/>
  <c r="O25" i="97"/>
  <c r="Q25" i="97" s="1"/>
  <c r="H27" i="97"/>
  <c r="O27" i="97" s="1"/>
  <c r="Q27" i="97" s="1"/>
  <c r="H28" i="97"/>
  <c r="O28" i="97" s="1"/>
  <c r="Q28" i="97" s="1"/>
  <c r="H29" i="97"/>
  <c r="O29" i="97" s="1"/>
  <c r="Q29" i="97" s="1"/>
  <c r="H20" i="97"/>
  <c r="O20" i="97" s="1"/>
  <c r="Q20" i="97" s="1"/>
  <c r="H21" i="97"/>
  <c r="O21" i="97" s="1"/>
  <c r="Q21" i="97" s="1"/>
  <c r="H22" i="97"/>
  <c r="O22" i="97" s="1"/>
  <c r="Q22" i="97" s="1"/>
  <c r="H23" i="97"/>
  <c r="O23" i="97" s="1"/>
  <c r="O18" i="97"/>
  <c r="Q18" i="97" s="1"/>
  <c r="H16" i="97"/>
  <c r="O16" i="97" s="1"/>
  <c r="Q16" i="97" s="1"/>
  <c r="H17" i="97"/>
  <c r="O17" i="97" s="1"/>
  <c r="Q17" i="97" s="1"/>
  <c r="H9" i="97"/>
  <c r="O9" i="97" s="1"/>
  <c r="Q9" i="97" s="1"/>
  <c r="H10" i="97"/>
  <c r="O10" i="97" s="1"/>
  <c r="Q10" i="97" s="1"/>
  <c r="H11" i="97"/>
  <c r="O11" i="97" s="1"/>
  <c r="Q11" i="97" s="1"/>
  <c r="H12" i="97"/>
  <c r="O12" i="97" s="1"/>
  <c r="Q12" i="97" s="1"/>
  <c r="H13" i="97"/>
  <c r="O13" i="97" s="1"/>
  <c r="Q13" i="97" s="1"/>
  <c r="H14" i="97"/>
  <c r="O14" i="97" s="1"/>
  <c r="Q14" i="97" s="1"/>
  <c r="H15" i="97"/>
  <c r="O15" i="97" s="1"/>
  <c r="Q15" i="97" s="1"/>
  <c r="H8" i="97"/>
  <c r="P40" i="97"/>
  <c r="M40" i="97"/>
  <c r="L40" i="97"/>
  <c r="I40" i="97"/>
  <c r="G40" i="97"/>
  <c r="O39" i="97"/>
  <c r="O38" i="97"/>
  <c r="K40" i="97"/>
  <c r="O36" i="97"/>
  <c r="O34" i="97"/>
  <c r="O8" i="97"/>
  <c r="J40" i="97" l="1"/>
  <c r="O45" i="98"/>
  <c r="O8" i="98"/>
  <c r="Q19" i="97"/>
  <c r="Q23" i="97"/>
  <c r="H40" i="97"/>
  <c r="O37" i="97"/>
  <c r="N40" i="97"/>
  <c r="Q8" i="97"/>
  <c r="O28" i="96"/>
  <c r="O29" i="96"/>
  <c r="O30" i="96"/>
  <c r="O31" i="96"/>
  <c r="O32" i="96"/>
  <c r="O34" i="96"/>
  <c r="O35" i="96"/>
  <c r="O37" i="96"/>
  <c r="N33" i="96"/>
  <c r="O33" i="96" s="1"/>
  <c r="K29" i="96"/>
  <c r="H23" i="96"/>
  <c r="O23" i="96" s="1"/>
  <c r="Q23" i="96" s="1"/>
  <c r="H18" i="96"/>
  <c r="H17" i="96"/>
  <c r="H19" i="96"/>
  <c r="G38" i="96"/>
  <c r="H20" i="96"/>
  <c r="O20" i="96" s="1"/>
  <c r="Q20" i="96" s="1"/>
  <c r="H21" i="96"/>
  <c r="O21" i="96" s="1"/>
  <c r="Q21" i="96" s="1"/>
  <c r="H22" i="96"/>
  <c r="H16" i="96"/>
  <c r="O16" i="96" s="1"/>
  <c r="Q16" i="96" s="1"/>
  <c r="H9" i="96"/>
  <c r="O9" i="96" s="1"/>
  <c r="Q9" i="96" s="1"/>
  <c r="H10" i="96"/>
  <c r="H11" i="96"/>
  <c r="H12" i="96"/>
  <c r="H13" i="96"/>
  <c r="O13" i="96" s="1"/>
  <c r="Q13" i="96" s="1"/>
  <c r="H14" i="96"/>
  <c r="H8" i="96"/>
  <c r="H15" i="96"/>
  <c r="O15" i="96" s="1"/>
  <c r="Q15" i="96" s="1"/>
  <c r="O18" i="96"/>
  <c r="Q18" i="96" s="1"/>
  <c r="O19" i="96"/>
  <c r="Q19" i="96" s="1"/>
  <c r="O22" i="96"/>
  <c r="Q22" i="96" s="1"/>
  <c r="P38" i="96"/>
  <c r="N38" i="96"/>
  <c r="M38" i="96"/>
  <c r="L38" i="96"/>
  <c r="K38" i="96"/>
  <c r="I38" i="96"/>
  <c r="O27" i="96"/>
  <c r="O26" i="96"/>
  <c r="O17" i="96"/>
  <c r="Q17" i="96" s="1"/>
  <c r="J38" i="96"/>
  <c r="O12" i="96"/>
  <c r="Q12" i="96" s="1"/>
  <c r="O11" i="96"/>
  <c r="Q11" i="96" s="1"/>
  <c r="O10" i="96"/>
  <c r="Q10" i="96" s="1"/>
  <c r="O8" i="96"/>
  <c r="Q8" i="96" s="1"/>
  <c r="P22" i="95"/>
  <c r="N22" i="95"/>
  <c r="M22" i="95"/>
  <c r="L22" i="95"/>
  <c r="K22" i="95"/>
  <c r="I22" i="95"/>
  <c r="G22" i="95"/>
  <c r="O21" i="95"/>
  <c r="O20" i="95"/>
  <c r="O19" i="95"/>
  <c r="O18" i="95"/>
  <c r="H17" i="95"/>
  <c r="O17" i="95" s="1"/>
  <c r="Q17" i="95" s="1"/>
  <c r="H16" i="95"/>
  <c r="O16" i="95" s="1"/>
  <c r="Q16" i="95" s="1"/>
  <c r="H15" i="95"/>
  <c r="O15" i="95" s="1"/>
  <c r="Q15" i="95" s="1"/>
  <c r="J14" i="95"/>
  <c r="J22" i="95" s="1"/>
  <c r="H14" i="95"/>
  <c r="H13" i="95"/>
  <c r="O13" i="95" s="1"/>
  <c r="Q13" i="95" s="1"/>
  <c r="H12" i="95"/>
  <c r="O12" i="95" s="1"/>
  <c r="Q12" i="95" s="1"/>
  <c r="H11" i="95"/>
  <c r="O11" i="95" s="1"/>
  <c r="Q11" i="95" s="1"/>
  <c r="H10" i="95"/>
  <c r="O10" i="95" s="1"/>
  <c r="Q10" i="95" s="1"/>
  <c r="H9" i="95"/>
  <c r="O9" i="95" s="1"/>
  <c r="Q9" i="95" s="1"/>
  <c r="H8" i="95"/>
  <c r="Q8" i="98" l="1"/>
  <c r="Q45" i="98"/>
  <c r="O40" i="97"/>
  <c r="Q40" i="97" s="1"/>
  <c r="H38" i="96"/>
  <c r="O14" i="96"/>
  <c r="Q14" i="96" s="1"/>
  <c r="O14" i="95"/>
  <c r="Q14" i="95" s="1"/>
  <c r="H22" i="95"/>
  <c r="O8" i="95"/>
  <c r="Q39" i="93"/>
  <c r="O39" i="93"/>
  <c r="O38" i="96" l="1"/>
  <c r="Q8" i="95"/>
  <c r="O22" i="95"/>
  <c r="Q22" i="95" s="1"/>
  <c r="Q24" i="95" s="1"/>
  <c r="O34" i="94"/>
  <c r="O38" i="93"/>
  <c r="O37" i="93"/>
  <c r="O32" i="94"/>
  <c r="O33" i="94"/>
  <c r="Q40" i="96" l="1"/>
  <c r="Q42" i="97" s="1"/>
  <c r="Q47" i="98" s="1"/>
  <c r="Q38" i="99" s="1"/>
  <c r="Q39" i="100" s="1"/>
  <c r="Q35" i="101" s="1"/>
  <c r="Q34" i="102" s="1"/>
  <c r="Q38" i="96"/>
  <c r="O34" i="93"/>
  <c r="J36" i="94"/>
  <c r="H26" i="94"/>
  <c r="H21" i="94"/>
  <c r="H22" i="94"/>
  <c r="H23" i="94"/>
  <c r="H24" i="94"/>
  <c r="H25" i="94"/>
  <c r="H20" i="94"/>
  <c r="H13" i="94"/>
  <c r="H14" i="94"/>
  <c r="H15" i="94"/>
  <c r="H16" i="94"/>
  <c r="H17" i="94"/>
  <c r="H18" i="94"/>
  <c r="H19" i="94"/>
  <c r="H12" i="94"/>
  <c r="Q39" i="103" l="1"/>
  <c r="Q47" i="104" s="1"/>
  <c r="Q41" i="105" s="1"/>
  <c r="Q43" i="106" s="1"/>
  <c r="H8" i="94"/>
  <c r="O23" i="94"/>
  <c r="Q23" i="94" s="1"/>
  <c r="O25" i="94"/>
  <c r="Q25" i="94" s="1"/>
  <c r="O21" i="94"/>
  <c r="Q21" i="94" s="1"/>
  <c r="O19" i="94"/>
  <c r="Q19" i="94" s="1"/>
  <c r="O14" i="94"/>
  <c r="Q14" i="94" s="1"/>
  <c r="H10" i="94"/>
  <c r="O10" i="94" s="1"/>
  <c r="Q10" i="94" s="1"/>
  <c r="H11" i="94"/>
  <c r="O11" i="94" s="1"/>
  <c r="Q11" i="94" s="1"/>
  <c r="H9" i="94"/>
  <c r="O9" i="94" s="1"/>
  <c r="Q9" i="94" s="1"/>
  <c r="P36" i="94"/>
  <c r="N36" i="94"/>
  <c r="M36" i="94"/>
  <c r="L36" i="94"/>
  <c r="K36" i="94"/>
  <c r="I36" i="94"/>
  <c r="G36" i="94"/>
  <c r="O35" i="94"/>
  <c r="O31" i="94"/>
  <c r="O30" i="94"/>
  <c r="O29" i="94"/>
  <c r="O28" i="94"/>
  <c r="O27" i="94"/>
  <c r="O26" i="94"/>
  <c r="Q26" i="94" s="1"/>
  <c r="O24" i="94"/>
  <c r="Q24" i="94" s="1"/>
  <c r="O22" i="94"/>
  <c r="Q22" i="94" s="1"/>
  <c r="O20" i="94"/>
  <c r="Q20" i="94" s="1"/>
  <c r="O18" i="94"/>
  <c r="Q18" i="94" s="1"/>
  <c r="O17" i="94"/>
  <c r="Q17" i="94" s="1"/>
  <c r="O16" i="94"/>
  <c r="Q16" i="94" s="1"/>
  <c r="O15" i="94"/>
  <c r="Q15" i="94" s="1"/>
  <c r="O13" i="94"/>
  <c r="Q13" i="94" s="1"/>
  <c r="O12" i="94"/>
  <c r="Q12" i="94" s="1"/>
  <c r="O35" i="93"/>
  <c r="O36" i="93"/>
  <c r="H36" i="94" l="1"/>
  <c r="O8" i="94"/>
  <c r="H19" i="93"/>
  <c r="H20" i="93"/>
  <c r="H15" i="93"/>
  <c r="H16" i="93"/>
  <c r="H17" i="93"/>
  <c r="H18" i="93"/>
  <c r="H11" i="93"/>
  <c r="H12" i="93"/>
  <c r="H13" i="93"/>
  <c r="K28" i="93"/>
  <c r="Q8" i="94" l="1"/>
  <c r="O36" i="94"/>
  <c r="Q36" i="94" s="1"/>
  <c r="H23" i="93"/>
  <c r="H24" i="93"/>
  <c r="H25" i="93"/>
  <c r="H26" i="93"/>
  <c r="J39" i="93" l="1"/>
  <c r="H27" i="92" l="1"/>
  <c r="O18" i="93"/>
  <c r="Q18" i="93" s="1"/>
  <c r="O20" i="93"/>
  <c r="Q20" i="93" s="1"/>
  <c r="H21" i="93"/>
  <c r="O21" i="93" s="1"/>
  <c r="Q21" i="93" s="1"/>
  <c r="H22" i="93"/>
  <c r="O13" i="93"/>
  <c r="Q13" i="93" s="1"/>
  <c r="H14" i="93"/>
  <c r="O14" i="93" s="1"/>
  <c r="Q14" i="93" s="1"/>
  <c r="O15" i="93"/>
  <c r="Q15" i="93" s="1"/>
  <c r="O16" i="93"/>
  <c r="Q16" i="93" s="1"/>
  <c r="H9" i="93"/>
  <c r="O9" i="93" s="1"/>
  <c r="Q9" i="93" s="1"/>
  <c r="H10" i="93"/>
  <c r="H8" i="93"/>
  <c r="O8" i="93" s="1"/>
  <c r="P39" i="93"/>
  <c r="N39" i="93"/>
  <c r="M39" i="93"/>
  <c r="L39" i="93"/>
  <c r="K39" i="93"/>
  <c r="I39" i="93"/>
  <c r="G39" i="93"/>
  <c r="O33" i="93"/>
  <c r="O32" i="93"/>
  <c r="O31" i="93"/>
  <c r="O30" i="93"/>
  <c r="O29" i="93"/>
  <c r="O28" i="93"/>
  <c r="O27" i="93"/>
  <c r="O26" i="93"/>
  <c r="Q26" i="93" s="1"/>
  <c r="O25" i="93"/>
  <c r="Q25" i="93" s="1"/>
  <c r="O24" i="93"/>
  <c r="Q24" i="93" s="1"/>
  <c r="O23" i="93"/>
  <c r="O22" i="93"/>
  <c r="Q22" i="93" s="1"/>
  <c r="O19" i="93"/>
  <c r="Q19" i="93" s="1"/>
  <c r="O17" i="93"/>
  <c r="Q17" i="93" s="1"/>
  <c r="O11" i="93"/>
  <c r="Q11" i="93" s="1"/>
  <c r="O10" i="93"/>
  <c r="Q10" i="93" s="1"/>
  <c r="P43" i="92"/>
  <c r="Q23" i="93" l="1"/>
  <c r="O12" i="93"/>
  <c r="Q12" i="93" s="1"/>
  <c r="Q8" i="93"/>
  <c r="H39" i="93"/>
  <c r="G41" i="91"/>
  <c r="H12" i="92"/>
  <c r="H23" i="92"/>
  <c r="H24" i="92"/>
  <c r="H25" i="92"/>
  <c r="H26" i="92"/>
  <c r="H22" i="92"/>
  <c r="H19" i="92"/>
  <c r="H20" i="92"/>
  <c r="H21" i="92"/>
  <c r="H14" i="92"/>
  <c r="H15" i="92"/>
  <c r="H16" i="92"/>
  <c r="H17" i="92"/>
  <c r="H18" i="92"/>
  <c r="H13" i="92"/>
  <c r="H9" i="92"/>
  <c r="H10" i="92"/>
  <c r="H11" i="92"/>
  <c r="H8" i="92"/>
  <c r="J12" i="92"/>
  <c r="O24" i="92" l="1"/>
  <c r="Q24" i="92" s="1"/>
  <c r="O25" i="92"/>
  <c r="Q25" i="92" s="1"/>
  <c r="O26" i="92"/>
  <c r="Q26" i="92" s="1"/>
  <c r="O27" i="92"/>
  <c r="Q27" i="92" s="1"/>
  <c r="N43" i="92"/>
  <c r="L43" i="92"/>
  <c r="K43" i="92"/>
  <c r="J43" i="92"/>
  <c r="I43" i="92"/>
  <c r="G43" i="92"/>
  <c r="O42" i="92"/>
  <c r="M43" i="92"/>
  <c r="O40" i="92"/>
  <c r="O39" i="92"/>
  <c r="O38" i="92"/>
  <c r="O37" i="92"/>
  <c r="O36" i="92"/>
  <c r="O35" i="92"/>
  <c r="O34" i="92"/>
  <c r="O33" i="92"/>
  <c r="O32" i="92"/>
  <c r="O31" i="92"/>
  <c r="O30" i="92"/>
  <c r="O29" i="92"/>
  <c r="O28" i="92"/>
  <c r="O23" i="92"/>
  <c r="Q23" i="92" s="1"/>
  <c r="O22" i="92"/>
  <c r="Q22" i="92" s="1"/>
  <c r="O21" i="92"/>
  <c r="Q21" i="92" s="1"/>
  <c r="O20" i="92"/>
  <c r="Q20" i="92" s="1"/>
  <c r="O19" i="92"/>
  <c r="Q19" i="92" s="1"/>
  <c r="O18" i="92"/>
  <c r="Q18" i="92" s="1"/>
  <c r="O17" i="92"/>
  <c r="Q17" i="92" s="1"/>
  <c r="O16" i="92"/>
  <c r="Q16" i="92" s="1"/>
  <c r="O15" i="92"/>
  <c r="Q15" i="92" s="1"/>
  <c r="O14" i="92"/>
  <c r="Q14" i="92" s="1"/>
  <c r="O13" i="92"/>
  <c r="Q13" i="92" s="1"/>
  <c r="O12" i="92"/>
  <c r="Q12" i="92" s="1"/>
  <c r="O11" i="92"/>
  <c r="Q11" i="92" s="1"/>
  <c r="O10" i="92"/>
  <c r="Q10" i="92" s="1"/>
  <c r="O9" i="92"/>
  <c r="Q9" i="92" s="1"/>
  <c r="H43" i="92"/>
  <c r="O8" i="92" l="1"/>
  <c r="O41" i="92"/>
  <c r="O43" i="92" l="1"/>
  <c r="Q43" i="92" s="1"/>
  <c r="Q8" i="92"/>
  <c r="P41" i="91"/>
  <c r="O34" i="91"/>
  <c r="O35" i="91"/>
  <c r="O36" i="91"/>
  <c r="O37" i="91"/>
  <c r="O38" i="91"/>
  <c r="O39" i="91"/>
  <c r="N41" i="91"/>
  <c r="L41" i="91"/>
  <c r="M41" i="91"/>
  <c r="H21" i="91"/>
  <c r="H22" i="91"/>
  <c r="H23" i="91"/>
  <c r="H24" i="91"/>
  <c r="H20" i="91"/>
  <c r="H15" i="91"/>
  <c r="H16" i="91"/>
  <c r="H17" i="91"/>
  <c r="H18" i="91"/>
  <c r="H19" i="91"/>
  <c r="H14" i="91"/>
  <c r="H9" i="91"/>
  <c r="H10" i="91"/>
  <c r="H11" i="91"/>
  <c r="H12" i="91"/>
  <c r="H13" i="91"/>
  <c r="H8" i="91"/>
  <c r="M38" i="91"/>
  <c r="H41" i="91" l="1"/>
  <c r="O27" i="91"/>
  <c r="O28" i="91"/>
  <c r="O29" i="91"/>
  <c r="O30" i="91"/>
  <c r="O31" i="91"/>
  <c r="O32" i="91"/>
  <c r="O33" i="91"/>
  <c r="K41" i="91" l="1"/>
  <c r="J41" i="91"/>
  <c r="I41" i="91"/>
  <c r="O40" i="91"/>
  <c r="O26" i="91"/>
  <c r="O41" i="91" s="1"/>
  <c r="Q41" i="91" s="1"/>
  <c r="O25" i="91"/>
  <c r="O24" i="91"/>
  <c r="Q24" i="91" s="1"/>
  <c r="O23" i="91"/>
  <c r="Q23" i="91" s="1"/>
  <c r="O22" i="91"/>
  <c r="Q22" i="91" s="1"/>
  <c r="O21" i="91"/>
  <c r="Q21" i="91" s="1"/>
  <c r="O20" i="91"/>
  <c r="Q20" i="91" s="1"/>
  <c r="O19" i="91"/>
  <c r="Q19" i="91" s="1"/>
  <c r="O18" i="91"/>
  <c r="Q18" i="91" s="1"/>
  <c r="O17" i="91"/>
  <c r="Q17" i="91" s="1"/>
  <c r="O16" i="91"/>
  <c r="Q16" i="91" s="1"/>
  <c r="O15" i="91"/>
  <c r="Q15" i="91" s="1"/>
  <c r="O14" i="91"/>
  <c r="Q14" i="91" s="1"/>
  <c r="O13" i="91"/>
  <c r="Q13" i="91" s="1"/>
  <c r="O12" i="91"/>
  <c r="Q12" i="91" s="1"/>
  <c r="O11" i="91"/>
  <c r="Q11" i="91" s="1"/>
  <c r="O10" i="91"/>
  <c r="Q10" i="91" s="1"/>
  <c r="O9" i="91"/>
  <c r="Q9" i="91" s="1"/>
  <c r="J39" i="90"/>
  <c r="O18" i="88"/>
  <c r="O19" i="88"/>
  <c r="O20" i="88"/>
  <c r="O21" i="88"/>
  <c r="O22" i="88"/>
  <c r="O17" i="88"/>
  <c r="J47" i="88"/>
  <c r="O8" i="91" l="1"/>
  <c r="O37" i="90"/>
  <c r="O45" i="88"/>
  <c r="O36" i="89"/>
  <c r="O31" i="87"/>
  <c r="O30" i="87"/>
  <c r="O29" i="89"/>
  <c r="H14" i="88"/>
  <c r="H12" i="88"/>
  <c r="Q8" i="91" l="1"/>
  <c r="P47" i="88"/>
  <c r="O34" i="88"/>
  <c r="P34" i="87"/>
  <c r="O29" i="90"/>
  <c r="L30" i="90"/>
  <c r="O30" i="90" s="1"/>
  <c r="L37" i="89"/>
  <c r="O37" i="89" s="1"/>
  <c r="H24" i="90"/>
  <c r="O24" i="90" s="1"/>
  <c r="Q24" i="90" s="1"/>
  <c r="H25" i="90"/>
  <c r="H26" i="90"/>
  <c r="O26" i="90" s="1"/>
  <c r="Q26" i="90" s="1"/>
  <c r="H27" i="90"/>
  <c r="H23" i="90"/>
  <c r="O23" i="90" s="1"/>
  <c r="Q23" i="90" s="1"/>
  <c r="H15" i="90"/>
  <c r="H16" i="90"/>
  <c r="H17" i="90"/>
  <c r="O17" i="90" s="1"/>
  <c r="Q17" i="90" s="1"/>
  <c r="H18" i="90"/>
  <c r="O18" i="90" s="1"/>
  <c r="Q18" i="90" s="1"/>
  <c r="H19" i="90"/>
  <c r="O19" i="90" s="1"/>
  <c r="Q19" i="90" s="1"/>
  <c r="H20" i="90"/>
  <c r="H21" i="90"/>
  <c r="O21" i="90" s="1"/>
  <c r="Q21" i="90" s="1"/>
  <c r="H22" i="90"/>
  <c r="H14" i="90"/>
  <c r="O14" i="90" s="1"/>
  <c r="Q14" i="90" s="1"/>
  <c r="H9" i="90"/>
  <c r="O9" i="90" s="1"/>
  <c r="Q9" i="90" s="1"/>
  <c r="H10" i="90"/>
  <c r="O10" i="90" s="1"/>
  <c r="Q10" i="90" s="1"/>
  <c r="H11" i="90"/>
  <c r="H12" i="90"/>
  <c r="O12" i="90" s="1"/>
  <c r="Q12" i="90" s="1"/>
  <c r="H13" i="90"/>
  <c r="H8" i="90"/>
  <c r="O8" i="90" s="1"/>
  <c r="G39" i="90"/>
  <c r="P39" i="90"/>
  <c r="N39" i="90"/>
  <c r="M39" i="90"/>
  <c r="L39" i="90"/>
  <c r="K39" i="90"/>
  <c r="I39" i="90"/>
  <c r="O38" i="90"/>
  <c r="O36" i="90"/>
  <c r="O35" i="90"/>
  <c r="O34" i="90"/>
  <c r="O33" i="90"/>
  <c r="O32" i="90"/>
  <c r="O31" i="90"/>
  <c r="O28" i="90"/>
  <c r="O27" i="90"/>
  <c r="Q27" i="90" s="1"/>
  <c r="O25" i="90"/>
  <c r="Q25" i="90" s="1"/>
  <c r="O22" i="90"/>
  <c r="Q22" i="90" s="1"/>
  <c r="O20" i="90"/>
  <c r="Q20" i="90" s="1"/>
  <c r="O16" i="90"/>
  <c r="Q16" i="90" s="1"/>
  <c r="O15" i="90"/>
  <c r="Q15" i="90" s="1"/>
  <c r="O11" i="90"/>
  <c r="Q11" i="90" s="1"/>
  <c r="P39" i="89"/>
  <c r="L39" i="89"/>
  <c r="O43" i="88"/>
  <c r="O44" i="88"/>
  <c r="H39" i="90" l="1"/>
  <c r="O13" i="90"/>
  <c r="Q13" i="90" s="1"/>
  <c r="Q8" i="90"/>
  <c r="O39" i="90" l="1"/>
  <c r="Q39" i="90" s="1"/>
  <c r="H27" i="89"/>
  <c r="H22" i="89"/>
  <c r="H23" i="89"/>
  <c r="H24" i="89"/>
  <c r="H25" i="89"/>
  <c r="H26" i="89"/>
  <c r="H21" i="89"/>
  <c r="H19" i="89"/>
  <c r="H20" i="89"/>
  <c r="H13" i="89"/>
  <c r="H14" i="89"/>
  <c r="H15" i="89"/>
  <c r="H16" i="89"/>
  <c r="H17" i="89"/>
  <c r="H18" i="89"/>
  <c r="H12" i="89"/>
  <c r="H11" i="89"/>
  <c r="H10" i="89"/>
  <c r="H9" i="89"/>
  <c r="H8" i="89"/>
  <c r="H30" i="88"/>
  <c r="H29" i="88"/>
  <c r="H24" i="88"/>
  <c r="H25" i="88"/>
  <c r="H26" i="88"/>
  <c r="H27" i="88"/>
  <c r="H28" i="88"/>
  <c r="H19" i="88"/>
  <c r="H20" i="88"/>
  <c r="H21" i="88"/>
  <c r="H22" i="88"/>
  <c r="H23" i="88"/>
  <c r="H17" i="88"/>
  <c r="H39" i="89" l="1"/>
  <c r="H16" i="88"/>
  <c r="H15" i="88" l="1"/>
  <c r="H10" i="88"/>
  <c r="H13" i="88"/>
  <c r="H9" i="88"/>
  <c r="H11" i="88"/>
  <c r="H8" i="88"/>
  <c r="H27" i="87"/>
  <c r="H28" i="87"/>
  <c r="G18" i="88"/>
  <c r="O30" i="88"/>
  <c r="Q30" i="88" s="1"/>
  <c r="O29" i="88"/>
  <c r="Q29" i="88" s="1"/>
  <c r="J8" i="88"/>
  <c r="N39" i="89"/>
  <c r="M39" i="89"/>
  <c r="K39" i="89"/>
  <c r="I39" i="89"/>
  <c r="G39" i="89"/>
  <c r="O38" i="89"/>
  <c r="O35" i="89"/>
  <c r="O34" i="89"/>
  <c r="O33" i="89"/>
  <c r="O32" i="89"/>
  <c r="O31" i="89"/>
  <c r="O30" i="89"/>
  <c r="O28" i="89"/>
  <c r="O27" i="89"/>
  <c r="Q27" i="89" s="1"/>
  <c r="O26" i="89"/>
  <c r="Q26" i="89" s="1"/>
  <c r="O24" i="89"/>
  <c r="Q24" i="89" s="1"/>
  <c r="J39" i="89"/>
  <c r="O23" i="89"/>
  <c r="Q23" i="89" s="1"/>
  <c r="O22" i="89"/>
  <c r="Q22" i="89" s="1"/>
  <c r="O21" i="89"/>
  <c r="Q21" i="89" s="1"/>
  <c r="O20" i="89"/>
  <c r="Q20" i="89" s="1"/>
  <c r="O19" i="89"/>
  <c r="Q19" i="89" s="1"/>
  <c r="O18" i="89"/>
  <c r="Q18" i="89" s="1"/>
  <c r="O17" i="89"/>
  <c r="Q17" i="89" s="1"/>
  <c r="O16" i="89"/>
  <c r="Q16" i="89" s="1"/>
  <c r="O15" i="89"/>
  <c r="Q15" i="89" s="1"/>
  <c r="O14" i="89"/>
  <c r="Q14" i="89" s="1"/>
  <c r="O13" i="89"/>
  <c r="Q13" i="89" s="1"/>
  <c r="O12" i="89"/>
  <c r="Q12" i="89" s="1"/>
  <c r="O11" i="89"/>
  <c r="Q11" i="89" s="1"/>
  <c r="O10" i="89"/>
  <c r="Q10" i="89" s="1"/>
  <c r="O9" i="89"/>
  <c r="Q9" i="89" s="1"/>
  <c r="O35" i="88"/>
  <c r="O36" i="88"/>
  <c r="O37" i="88"/>
  <c r="O38" i="88"/>
  <c r="O39" i="88"/>
  <c r="O40" i="88"/>
  <c r="O41" i="88"/>
  <c r="O42" i="88"/>
  <c r="H18" i="88" l="1"/>
  <c r="G47" i="88"/>
  <c r="O25" i="89"/>
  <c r="Q25" i="89" s="1"/>
  <c r="O8" i="89"/>
  <c r="O39" i="89" s="1"/>
  <c r="Q39" i="89" s="1"/>
  <c r="Q8" i="89" l="1"/>
  <c r="N47" i="88" l="1"/>
  <c r="M47" i="88"/>
  <c r="L47" i="88"/>
  <c r="K47" i="88"/>
  <c r="I47" i="88"/>
  <c r="O46" i="88"/>
  <c r="O33" i="88"/>
  <c r="O28" i="88"/>
  <c r="Q28" i="88" s="1"/>
  <c r="O27" i="88"/>
  <c r="Q27" i="88" s="1"/>
  <c r="O26" i="88"/>
  <c r="Q26" i="88" s="1"/>
  <c r="O24" i="88"/>
  <c r="Q24" i="88" s="1"/>
  <c r="Q22" i="88"/>
  <c r="Q21" i="88"/>
  <c r="Q20" i="88"/>
  <c r="Q19" i="88"/>
  <c r="Q18" i="88"/>
  <c r="Q17" i="88"/>
  <c r="O16" i="88"/>
  <c r="Q16" i="88" s="1"/>
  <c r="O15" i="88"/>
  <c r="Q15" i="88" s="1"/>
  <c r="O14" i="88"/>
  <c r="Q14" i="88" s="1"/>
  <c r="O13" i="88"/>
  <c r="Q13" i="88" s="1"/>
  <c r="O12" i="88"/>
  <c r="Q12" i="88" s="1"/>
  <c r="O11" i="88"/>
  <c r="Q11" i="88" s="1"/>
  <c r="O10" i="88"/>
  <c r="Q10" i="88" s="1"/>
  <c r="O9" i="88"/>
  <c r="Q9" i="88" s="1"/>
  <c r="O27" i="87"/>
  <c r="Q27" i="87" s="1"/>
  <c r="H26" i="87"/>
  <c r="O26" i="87" s="1"/>
  <c r="Q26" i="87" s="1"/>
  <c r="H23" i="87"/>
  <c r="H24" i="87"/>
  <c r="O24" i="87" s="1"/>
  <c r="Q24" i="87" s="1"/>
  <c r="H25" i="87"/>
  <c r="H22" i="87"/>
  <c r="O22" i="87" s="1"/>
  <c r="Q22" i="87" s="1"/>
  <c r="H21" i="87"/>
  <c r="O21" i="87" s="1"/>
  <c r="Q21" i="87" s="1"/>
  <c r="H16" i="87"/>
  <c r="H17" i="87"/>
  <c r="H18" i="87"/>
  <c r="H19" i="87"/>
  <c r="O19" i="87" s="1"/>
  <c r="Q19" i="87" s="1"/>
  <c r="H20" i="87"/>
  <c r="O20" i="87" s="1"/>
  <c r="Q20" i="87" s="1"/>
  <c r="H15" i="87"/>
  <c r="H9" i="87"/>
  <c r="H10" i="87"/>
  <c r="H11" i="87"/>
  <c r="H12" i="87"/>
  <c r="H13" i="87"/>
  <c r="H14" i="87"/>
  <c r="H8" i="87"/>
  <c r="J28" i="87"/>
  <c r="O28" i="87" s="1"/>
  <c r="Q28" i="87" s="1"/>
  <c r="O25" i="87"/>
  <c r="Q25" i="87" s="1"/>
  <c r="J34" i="87" l="1"/>
  <c r="O23" i="88"/>
  <c r="Q23" i="88" s="1"/>
  <c r="O25" i="88"/>
  <c r="Q25" i="88" s="1"/>
  <c r="H47" i="88"/>
  <c r="O8" i="88"/>
  <c r="O23" i="87"/>
  <c r="Q23" i="87" s="1"/>
  <c r="N34" i="87"/>
  <c r="M34" i="87"/>
  <c r="L34" i="87"/>
  <c r="I34" i="87"/>
  <c r="G34" i="87"/>
  <c r="K34" i="87"/>
  <c r="O32" i="87"/>
  <c r="O29" i="87"/>
  <c r="O18" i="87"/>
  <c r="Q18" i="87" s="1"/>
  <c r="O17" i="87"/>
  <c r="Q17" i="87" s="1"/>
  <c r="O16" i="87"/>
  <c r="Q16" i="87" s="1"/>
  <c r="O15" i="87"/>
  <c r="Q15" i="87" s="1"/>
  <c r="O14" i="87"/>
  <c r="Q14" i="87" s="1"/>
  <c r="O13" i="87"/>
  <c r="Q13" i="87" s="1"/>
  <c r="O12" i="87"/>
  <c r="Q12" i="87" s="1"/>
  <c r="O11" i="87"/>
  <c r="Q11" i="87" s="1"/>
  <c r="O10" i="87"/>
  <c r="Q10" i="87" s="1"/>
  <c r="O9" i="87"/>
  <c r="Q9" i="87" s="1"/>
  <c r="O8" i="87"/>
  <c r="H34" i="87"/>
  <c r="O27" i="86"/>
  <c r="Q8" i="88" l="1"/>
  <c r="O47" i="88"/>
  <c r="Q47" i="88" s="1"/>
  <c r="Q8" i="87"/>
  <c r="O33" i="87"/>
  <c r="O42" i="85"/>
  <c r="O34" i="87" l="1"/>
  <c r="Q34" i="87" s="1"/>
  <c r="H12" i="86"/>
  <c r="H13" i="86"/>
  <c r="H14" i="86"/>
  <c r="O14" i="86" s="1"/>
  <c r="Q14" i="86" s="1"/>
  <c r="H15" i="86"/>
  <c r="O15" i="86" s="1"/>
  <c r="Q15" i="86" s="1"/>
  <c r="H16" i="86"/>
  <c r="H17" i="86"/>
  <c r="O17" i="86" s="1"/>
  <c r="Q17" i="86" s="1"/>
  <c r="H10" i="86"/>
  <c r="H11" i="86"/>
  <c r="H9" i="86"/>
  <c r="O9" i="86" s="1"/>
  <c r="Q9" i="86" s="1"/>
  <c r="H8" i="86"/>
  <c r="H29" i="86" s="1"/>
  <c r="P29" i="86"/>
  <c r="N29" i="86"/>
  <c r="M29" i="86"/>
  <c r="L29" i="86"/>
  <c r="J29" i="86"/>
  <c r="I29" i="86"/>
  <c r="G29" i="86"/>
  <c r="K28" i="86"/>
  <c r="K29" i="86" s="1"/>
  <c r="O26" i="86"/>
  <c r="O25" i="86"/>
  <c r="O24" i="86"/>
  <c r="O23" i="86"/>
  <c r="O22" i="86"/>
  <c r="O21" i="86"/>
  <c r="O20" i="86"/>
  <c r="O19" i="86"/>
  <c r="O18" i="86"/>
  <c r="Q18" i="86" s="1"/>
  <c r="O16" i="86"/>
  <c r="Q16" i="86" s="1"/>
  <c r="O13" i="86"/>
  <c r="Q13" i="86" s="1"/>
  <c r="O12" i="86"/>
  <c r="Q12" i="86" s="1"/>
  <c r="O11" i="86"/>
  <c r="Q11" i="86" s="1"/>
  <c r="O10" i="86"/>
  <c r="Q10" i="86" s="1"/>
  <c r="P54" i="85"/>
  <c r="N54" i="85"/>
  <c r="M54" i="85"/>
  <c r="L54" i="85"/>
  <c r="K54" i="85"/>
  <c r="J54" i="85"/>
  <c r="I54" i="85"/>
  <c r="G54" i="85"/>
  <c r="O53" i="85"/>
  <c r="O52" i="85"/>
  <c r="O51" i="85"/>
  <c r="O50" i="85"/>
  <c r="O49" i="85"/>
  <c r="O48" i="85"/>
  <c r="O47" i="85"/>
  <c r="O46" i="85"/>
  <c r="O45" i="85"/>
  <c r="O44" i="85"/>
  <c r="O43" i="85"/>
  <c r="O41" i="85"/>
  <c r="O40" i="85"/>
  <c r="O39" i="85"/>
  <c r="O38" i="85"/>
  <c r="O37" i="85"/>
  <c r="H36" i="85"/>
  <c r="O36" i="85" s="1"/>
  <c r="Q36" i="85" s="1"/>
  <c r="O35" i="85"/>
  <c r="Q35" i="85" s="1"/>
  <c r="H35" i="85"/>
  <c r="H34" i="85"/>
  <c r="O34" i="85" s="1"/>
  <c r="Q34" i="85" s="1"/>
  <c r="H33" i="85"/>
  <c r="O33" i="85" s="1"/>
  <c r="Q33" i="85" s="1"/>
  <c r="H32" i="85"/>
  <c r="O32" i="85" s="1"/>
  <c r="Q32" i="85" s="1"/>
  <c r="H31" i="85"/>
  <c r="O31" i="85" s="1"/>
  <c r="Q31" i="85" s="1"/>
  <c r="H30" i="85"/>
  <c r="O30" i="85" s="1"/>
  <c r="Q30" i="85" s="1"/>
  <c r="H29" i="85"/>
  <c r="O29" i="85" s="1"/>
  <c r="Q29" i="85" s="1"/>
  <c r="O28" i="85"/>
  <c r="Q28" i="85" s="1"/>
  <c r="H28" i="85"/>
  <c r="H27" i="85"/>
  <c r="O27" i="85" s="1"/>
  <c r="Q27" i="85" s="1"/>
  <c r="H26" i="85"/>
  <c r="O26" i="85" s="1"/>
  <c r="Q26" i="85" s="1"/>
  <c r="H25" i="85"/>
  <c r="O25" i="85" s="1"/>
  <c r="Q25" i="85" s="1"/>
  <c r="H24" i="85"/>
  <c r="O24" i="85" s="1"/>
  <c r="Q24" i="85" s="1"/>
  <c r="H23" i="85"/>
  <c r="O23" i="85" s="1"/>
  <c r="Q23" i="85" s="1"/>
  <c r="H22" i="85"/>
  <c r="O22" i="85" s="1"/>
  <c r="Q22" i="85" s="1"/>
  <c r="H21" i="85"/>
  <c r="O21" i="85" s="1"/>
  <c r="Q21" i="85" s="1"/>
  <c r="H20" i="85"/>
  <c r="O20" i="85" s="1"/>
  <c r="Q20" i="85" s="1"/>
  <c r="O19" i="85"/>
  <c r="Q19" i="85" s="1"/>
  <c r="H19" i="85"/>
  <c r="H18" i="85"/>
  <c r="O18" i="85" s="1"/>
  <c r="Q18" i="85" s="1"/>
  <c r="H17" i="85"/>
  <c r="O17" i="85" s="1"/>
  <c r="Q17" i="85" s="1"/>
  <c r="H16" i="85"/>
  <c r="O16" i="85" s="1"/>
  <c r="Q16" i="85" s="1"/>
  <c r="H15" i="85"/>
  <c r="O15" i="85" s="1"/>
  <c r="Q15" i="85" s="1"/>
  <c r="H14" i="85"/>
  <c r="O14" i="85" s="1"/>
  <c r="Q14" i="85" s="1"/>
  <c r="H13" i="85"/>
  <c r="O13" i="85" s="1"/>
  <c r="Q13" i="85" s="1"/>
  <c r="O12" i="85"/>
  <c r="Q12" i="85" s="1"/>
  <c r="H12" i="85"/>
  <c r="H11" i="85"/>
  <c r="O11" i="85" s="1"/>
  <c r="Q11" i="85" s="1"/>
  <c r="H10" i="85"/>
  <c r="O10" i="85" s="1"/>
  <c r="Q10" i="85" s="1"/>
  <c r="O9" i="85"/>
  <c r="Q9" i="85" s="1"/>
  <c r="H8" i="85"/>
  <c r="H54" i="85" s="1"/>
  <c r="O28" i="86" l="1"/>
  <c r="O8" i="85"/>
  <c r="O54" i="85" s="1"/>
  <c r="Q54" i="85" s="1"/>
  <c r="O8" i="86"/>
  <c r="Q32" i="84"/>
  <c r="Q37" i="83"/>
  <c r="T9" i="83"/>
  <c r="T10" i="83"/>
  <c r="T11" i="83"/>
  <c r="T12" i="83"/>
  <c r="T13" i="83"/>
  <c r="T14" i="83"/>
  <c r="T15" i="83"/>
  <c r="T16" i="83"/>
  <c r="T17" i="83"/>
  <c r="T18" i="83"/>
  <c r="T19" i="83"/>
  <c r="T20" i="83"/>
  <c r="T21" i="83"/>
  <c r="T22" i="83"/>
  <c r="T23" i="83"/>
  <c r="T24" i="83"/>
  <c r="T25" i="83"/>
  <c r="T26" i="83"/>
  <c r="T27" i="83"/>
  <c r="T28" i="83"/>
  <c r="T29" i="83"/>
  <c r="T8" i="83"/>
  <c r="P32" i="84"/>
  <c r="H16" i="84"/>
  <c r="Q8" i="85" l="1"/>
  <c r="O29" i="86"/>
  <c r="Q29" i="86" s="1"/>
  <c r="Q8" i="86"/>
  <c r="H18" i="84"/>
  <c r="H19" i="84"/>
  <c r="H20" i="84"/>
  <c r="H21" i="84"/>
  <c r="O21" i="84" s="1"/>
  <c r="Q21" i="84" s="1"/>
  <c r="H22" i="84"/>
  <c r="H23" i="84"/>
  <c r="H24" i="84"/>
  <c r="O24" i="84" s="1"/>
  <c r="Q24" i="84" s="1"/>
  <c r="H17" i="84"/>
  <c r="O17" i="84" s="1"/>
  <c r="Q17" i="84" s="1"/>
  <c r="H12" i="84"/>
  <c r="H13" i="84"/>
  <c r="H14" i="84"/>
  <c r="H15" i="84"/>
  <c r="O15" i="84" s="1"/>
  <c r="Q15" i="84" s="1"/>
  <c r="H11" i="84"/>
  <c r="H9" i="84"/>
  <c r="H8" i="84"/>
  <c r="O8" i="84" s="1"/>
  <c r="Q8" i="84" s="1"/>
  <c r="G32" i="84"/>
  <c r="N32" i="84"/>
  <c r="M32" i="84"/>
  <c r="L32" i="84"/>
  <c r="K32" i="84"/>
  <c r="J32" i="84"/>
  <c r="I32" i="84"/>
  <c r="H32" i="84"/>
  <c r="O31" i="84"/>
  <c r="O30" i="84"/>
  <c r="O29" i="84"/>
  <c r="O28" i="84"/>
  <c r="O27" i="84"/>
  <c r="O26" i="84"/>
  <c r="O25" i="84"/>
  <c r="O23" i="84"/>
  <c r="Q23" i="84" s="1"/>
  <c r="O22" i="84"/>
  <c r="Q22" i="84" s="1"/>
  <c r="O20" i="84"/>
  <c r="Q20" i="84" s="1"/>
  <c r="O19" i="84"/>
  <c r="Q19" i="84" s="1"/>
  <c r="O18" i="84"/>
  <c r="Q18" i="84" s="1"/>
  <c r="Q16" i="84"/>
  <c r="O16" i="84"/>
  <c r="O14" i="84"/>
  <c r="Q14" i="84" s="1"/>
  <c r="O13" i="84"/>
  <c r="Q13" i="84" s="1"/>
  <c r="O12" i="84"/>
  <c r="Q12" i="84" s="1"/>
  <c r="O11" i="84"/>
  <c r="Q11" i="84" s="1"/>
  <c r="O10" i="84"/>
  <c r="Q10" i="84" s="1"/>
  <c r="O9" i="84"/>
  <c r="Q9" i="84" s="1"/>
  <c r="O32" i="84" l="1"/>
  <c r="H27" i="83" l="1"/>
  <c r="O27" i="83" s="1"/>
  <c r="Q27" i="83" s="1"/>
  <c r="H28" i="83"/>
  <c r="H29" i="83"/>
  <c r="O29" i="83" s="1"/>
  <c r="Q29" i="83" s="1"/>
  <c r="H22" i="83"/>
  <c r="O22" i="83" s="1"/>
  <c r="Q22" i="83" s="1"/>
  <c r="H23" i="83"/>
  <c r="O23" i="83" s="1"/>
  <c r="Q23" i="83" s="1"/>
  <c r="H24" i="83"/>
  <c r="H25" i="83"/>
  <c r="O25" i="83" s="1"/>
  <c r="Q25" i="83" s="1"/>
  <c r="H26" i="83"/>
  <c r="O26" i="83" s="1"/>
  <c r="Q26" i="83" s="1"/>
  <c r="H21" i="83"/>
  <c r="O21" i="83" s="1"/>
  <c r="Q21" i="83" s="1"/>
  <c r="H20" i="83"/>
  <c r="H15" i="83"/>
  <c r="H16" i="83"/>
  <c r="O16" i="83" s="1"/>
  <c r="Q16" i="83" s="1"/>
  <c r="H17" i="83"/>
  <c r="O17" i="83" s="1"/>
  <c r="Q17" i="83" s="1"/>
  <c r="H18" i="83"/>
  <c r="H19" i="83"/>
  <c r="H14" i="83"/>
  <c r="O14" i="83" s="1"/>
  <c r="Q14" i="83" s="1"/>
  <c r="H9" i="83"/>
  <c r="H10" i="83"/>
  <c r="O10" i="83" s="1"/>
  <c r="Q10" i="83" s="1"/>
  <c r="H11" i="83"/>
  <c r="H12" i="83"/>
  <c r="O12" i="83" s="1"/>
  <c r="Q12" i="83" s="1"/>
  <c r="H13" i="83"/>
  <c r="H8" i="83"/>
  <c r="O8" i="83" s="1"/>
  <c r="Q8" i="83" s="1"/>
  <c r="P37" i="83"/>
  <c r="N37" i="83"/>
  <c r="M37" i="83"/>
  <c r="L37" i="83"/>
  <c r="K37" i="83"/>
  <c r="J37" i="83"/>
  <c r="I37" i="83"/>
  <c r="G37" i="83"/>
  <c r="O36" i="83"/>
  <c r="O35" i="83"/>
  <c r="O34" i="83"/>
  <c r="O33" i="83"/>
  <c r="O32" i="83"/>
  <c r="O31" i="83"/>
  <c r="O30" i="83"/>
  <c r="O28" i="83"/>
  <c r="Q28" i="83" s="1"/>
  <c r="O24" i="83"/>
  <c r="Q24" i="83" s="1"/>
  <c r="O20" i="83"/>
  <c r="Q20" i="83" s="1"/>
  <c r="O19" i="83"/>
  <c r="Q19" i="83" s="1"/>
  <c r="O18" i="83"/>
  <c r="Q18" i="83" s="1"/>
  <c r="O15" i="83"/>
  <c r="Q15" i="83" s="1"/>
  <c r="O13" i="83"/>
  <c r="Q13" i="83" s="1"/>
  <c r="O11" i="83"/>
  <c r="Q11" i="83" s="1"/>
  <c r="Q59" i="80"/>
  <c r="O43" i="82"/>
  <c r="P43" i="82"/>
  <c r="Q43" i="82" s="1"/>
  <c r="P44" i="81"/>
  <c r="O41" i="81"/>
  <c r="O57" i="80"/>
  <c r="O36" i="82"/>
  <c r="G43" i="82"/>
  <c r="H28" i="82"/>
  <c r="O28" i="82" s="1"/>
  <c r="Q28" i="82" s="1"/>
  <c r="H29" i="82"/>
  <c r="H30" i="82"/>
  <c r="H31" i="82"/>
  <c r="O31" i="82" s="1"/>
  <c r="Q31" i="82" s="1"/>
  <c r="H32" i="82"/>
  <c r="O32" i="82" s="1"/>
  <c r="Q32" i="82" s="1"/>
  <c r="H33" i="82"/>
  <c r="O33" i="82" s="1"/>
  <c r="Q33" i="82" s="1"/>
  <c r="H34" i="82"/>
  <c r="O34" i="82" s="1"/>
  <c r="Q34" i="82" s="1"/>
  <c r="H27" i="82"/>
  <c r="O27" i="82" s="1"/>
  <c r="Q27" i="82" s="1"/>
  <c r="H17" i="82"/>
  <c r="O17" i="82" s="1"/>
  <c r="Q17" i="82" s="1"/>
  <c r="H18" i="82"/>
  <c r="O18" i="82" s="1"/>
  <c r="Q18" i="82" s="1"/>
  <c r="H19" i="82"/>
  <c r="H20" i="82"/>
  <c r="O20" i="82" s="1"/>
  <c r="Q20" i="82" s="1"/>
  <c r="H21" i="82"/>
  <c r="O21" i="82" s="1"/>
  <c r="Q21" i="82" s="1"/>
  <c r="H22" i="82"/>
  <c r="O22" i="82" s="1"/>
  <c r="Q22" i="82" s="1"/>
  <c r="H23" i="82"/>
  <c r="O23" i="82" s="1"/>
  <c r="Q23" i="82" s="1"/>
  <c r="H24" i="82"/>
  <c r="H25" i="82"/>
  <c r="O25" i="82" s="1"/>
  <c r="Q25" i="82" s="1"/>
  <c r="H26" i="82"/>
  <c r="O26" i="82" s="1"/>
  <c r="Q26" i="82" s="1"/>
  <c r="H16" i="82"/>
  <c r="O16" i="82" s="1"/>
  <c r="Q16" i="82" s="1"/>
  <c r="H9" i="82"/>
  <c r="O9" i="82" s="1"/>
  <c r="Q9" i="82" s="1"/>
  <c r="H10" i="82"/>
  <c r="O10" i="82" s="1"/>
  <c r="Q10" i="82" s="1"/>
  <c r="H11" i="82"/>
  <c r="H12" i="82"/>
  <c r="O12" i="82" s="1"/>
  <c r="Q12" i="82" s="1"/>
  <c r="H13" i="82"/>
  <c r="H14" i="82"/>
  <c r="O14" i="82" s="1"/>
  <c r="Q14" i="82" s="1"/>
  <c r="H15" i="82"/>
  <c r="O15" i="82" s="1"/>
  <c r="Q15" i="82" s="1"/>
  <c r="H8" i="82"/>
  <c r="N43" i="82"/>
  <c r="M43" i="82"/>
  <c r="L43" i="82"/>
  <c r="K43" i="82"/>
  <c r="J43" i="82"/>
  <c r="I43" i="82"/>
  <c r="O42" i="82"/>
  <c r="O41" i="82"/>
  <c r="O40" i="82"/>
  <c r="O39" i="82"/>
  <c r="O38" i="82"/>
  <c r="O37" i="82"/>
  <c r="O35" i="82"/>
  <c r="O30" i="82"/>
  <c r="Q30" i="82" s="1"/>
  <c r="O29" i="82"/>
  <c r="Q29" i="82" s="1"/>
  <c r="O24" i="82"/>
  <c r="Q24" i="82" s="1"/>
  <c r="O19" i="82"/>
  <c r="Q19" i="82" s="1"/>
  <c r="O13" i="82"/>
  <c r="Q13" i="82" s="1"/>
  <c r="O11" i="82"/>
  <c r="Q11" i="82" s="1"/>
  <c r="O8" i="82"/>
  <c r="H29" i="81"/>
  <c r="O29" i="81" s="1"/>
  <c r="Q29" i="81" s="1"/>
  <c r="H30" i="81"/>
  <c r="H31" i="81"/>
  <c r="O31" i="81" s="1"/>
  <c r="Q31" i="81" s="1"/>
  <c r="H32" i="81"/>
  <c r="H33" i="81"/>
  <c r="O33" i="81" s="1"/>
  <c r="Q33" i="81" s="1"/>
  <c r="H28" i="81"/>
  <c r="O28" i="81" s="1"/>
  <c r="Q28" i="81" s="1"/>
  <c r="H15" i="81"/>
  <c r="O15" i="81" s="1"/>
  <c r="Q15" i="81" s="1"/>
  <c r="H16" i="81"/>
  <c r="H17" i="81"/>
  <c r="O17" i="81" s="1"/>
  <c r="Q17" i="81" s="1"/>
  <c r="H18" i="81"/>
  <c r="O18" i="81" s="1"/>
  <c r="Q18" i="81" s="1"/>
  <c r="H19" i="81"/>
  <c r="O19" i="81" s="1"/>
  <c r="Q19" i="81" s="1"/>
  <c r="H20" i="81"/>
  <c r="H21" i="81"/>
  <c r="O21" i="81" s="1"/>
  <c r="Q21" i="81" s="1"/>
  <c r="H22" i="81"/>
  <c r="H23" i="81"/>
  <c r="O23" i="81" s="1"/>
  <c r="Q23" i="81" s="1"/>
  <c r="H24" i="81"/>
  <c r="H25" i="81"/>
  <c r="O25" i="81" s="1"/>
  <c r="Q25" i="81" s="1"/>
  <c r="H26" i="81"/>
  <c r="H27" i="81"/>
  <c r="O27" i="81" s="1"/>
  <c r="Q27" i="81" s="1"/>
  <c r="H14" i="81"/>
  <c r="H13" i="81"/>
  <c r="O13" i="81" s="1"/>
  <c r="Q13" i="81" s="1"/>
  <c r="H9" i="81"/>
  <c r="H10" i="81"/>
  <c r="O10" i="81" s="1"/>
  <c r="Q10" i="81" s="1"/>
  <c r="H11" i="81"/>
  <c r="H12" i="81"/>
  <c r="O12" i="81" s="1"/>
  <c r="Q12" i="81" s="1"/>
  <c r="H8" i="81"/>
  <c r="J44" i="81"/>
  <c r="N44" i="81"/>
  <c r="M44" i="81"/>
  <c r="L44" i="81"/>
  <c r="K44" i="81"/>
  <c r="I44" i="81"/>
  <c r="G44" i="81"/>
  <c r="O43" i="81"/>
  <c r="O42" i="81"/>
  <c r="O40" i="81"/>
  <c r="O39" i="81"/>
  <c r="O38" i="81"/>
  <c r="O37" i="81"/>
  <c r="O36" i="81"/>
  <c r="O35" i="81"/>
  <c r="O32" i="81"/>
  <c r="Q32" i="81" s="1"/>
  <c r="O30" i="81"/>
  <c r="Q30" i="81" s="1"/>
  <c r="O26" i="81"/>
  <c r="Q26" i="81" s="1"/>
  <c r="O24" i="81"/>
  <c r="Q24" i="81" s="1"/>
  <c r="O22" i="81"/>
  <c r="Q22" i="81" s="1"/>
  <c r="O20" i="81"/>
  <c r="Q20" i="81" s="1"/>
  <c r="O16" i="81"/>
  <c r="Q16" i="81" s="1"/>
  <c r="O14" i="81"/>
  <c r="Q14" i="81" s="1"/>
  <c r="O11" i="81"/>
  <c r="Q11" i="81" s="1"/>
  <c r="O9" i="81"/>
  <c r="Q9" i="81" s="1"/>
  <c r="H34" i="80"/>
  <c r="O34" i="80" s="1"/>
  <c r="H33" i="80"/>
  <c r="H32" i="80"/>
  <c r="H31" i="80"/>
  <c r="H30" i="80"/>
  <c r="H29" i="80"/>
  <c r="H28" i="80"/>
  <c r="H27" i="80"/>
  <c r="H26" i="80"/>
  <c r="H25" i="80"/>
  <c r="H24" i="80"/>
  <c r="H23" i="80"/>
  <c r="H22" i="80"/>
  <c r="H21" i="80"/>
  <c r="H20" i="80"/>
  <c r="H19" i="80"/>
  <c r="H18" i="80"/>
  <c r="H17" i="80"/>
  <c r="H16" i="80"/>
  <c r="H15" i="80"/>
  <c r="H14" i="80"/>
  <c r="H13" i="80"/>
  <c r="H12" i="80"/>
  <c r="H11" i="80"/>
  <c r="H10" i="80"/>
  <c r="H9" i="80"/>
  <c r="H8" i="80"/>
  <c r="O38" i="80"/>
  <c r="K59" i="80"/>
  <c r="O46" i="80"/>
  <c r="O45" i="80"/>
  <c r="O44" i="80"/>
  <c r="L37" i="80"/>
  <c r="L59" i="80" s="1"/>
  <c r="H37" i="83" l="1"/>
  <c r="O9" i="83"/>
  <c r="Q9" i="83" s="1"/>
  <c r="H44" i="81"/>
  <c r="Q8" i="82"/>
  <c r="H43" i="82"/>
  <c r="O8" i="81"/>
  <c r="O37" i="83" l="1"/>
  <c r="Q39" i="83" s="1"/>
  <c r="Q34" i="84" s="1"/>
  <c r="Q56" i="85" s="1"/>
  <c r="Q31" i="86" s="1"/>
  <c r="Q36" i="87" s="1"/>
  <c r="Q49" i="88" s="1"/>
  <c r="Q41" i="89" s="1"/>
  <c r="Q41" i="90" s="1"/>
  <c r="Q43" i="91" s="1"/>
  <c r="Q45" i="92" s="1"/>
  <c r="Q8" i="81"/>
  <c r="O44" i="81"/>
  <c r="Q44" i="81" s="1"/>
  <c r="J27" i="80"/>
  <c r="O27" i="80" s="1"/>
  <c r="Q27" i="80" s="1"/>
  <c r="J12" i="80"/>
  <c r="O12" i="80" s="1"/>
  <c r="Q12" i="80" s="1"/>
  <c r="J10" i="80"/>
  <c r="O33" i="80"/>
  <c r="Q33" i="80" s="1"/>
  <c r="Q34" i="80"/>
  <c r="P59" i="80"/>
  <c r="M59" i="80"/>
  <c r="I59" i="80"/>
  <c r="G59" i="80"/>
  <c r="O58" i="80"/>
  <c r="O56" i="80"/>
  <c r="O55" i="80"/>
  <c r="O54" i="80"/>
  <c r="N59" i="80"/>
  <c r="O52" i="80"/>
  <c r="O51" i="80"/>
  <c r="O50" i="80"/>
  <c r="O49" i="80"/>
  <c r="O48" i="80"/>
  <c r="O47" i="80"/>
  <c r="O43" i="80"/>
  <c r="O42" i="80"/>
  <c r="O41" i="80"/>
  <c r="O40" i="80"/>
  <c r="O39" i="80"/>
  <c r="O37" i="80"/>
  <c r="O36" i="80"/>
  <c r="O32" i="80"/>
  <c r="Q32" i="80" s="1"/>
  <c r="O31" i="80"/>
  <c r="Q31" i="80" s="1"/>
  <c r="O30" i="80"/>
  <c r="Q30" i="80" s="1"/>
  <c r="O29" i="80"/>
  <c r="Q29" i="80" s="1"/>
  <c r="O28" i="80"/>
  <c r="Q28" i="80" s="1"/>
  <c r="O26" i="80"/>
  <c r="Q26" i="80" s="1"/>
  <c r="O25" i="80"/>
  <c r="Q25" i="80" s="1"/>
  <c r="O24" i="80"/>
  <c r="Q24" i="80" s="1"/>
  <c r="O23" i="80"/>
  <c r="Q23" i="80" s="1"/>
  <c r="O22" i="80"/>
  <c r="Q22" i="80" s="1"/>
  <c r="O21" i="80"/>
  <c r="Q21" i="80" s="1"/>
  <c r="O20" i="80"/>
  <c r="Q20" i="80" s="1"/>
  <c r="O19" i="80"/>
  <c r="Q19" i="80" s="1"/>
  <c r="O18" i="80"/>
  <c r="Q18" i="80" s="1"/>
  <c r="O17" i="80"/>
  <c r="Q17" i="80" s="1"/>
  <c r="O16" i="80"/>
  <c r="Q16" i="80" s="1"/>
  <c r="O15" i="80"/>
  <c r="Q15" i="80" s="1"/>
  <c r="O14" i="80"/>
  <c r="Q14" i="80" s="1"/>
  <c r="O13" i="80"/>
  <c r="Q13" i="80" s="1"/>
  <c r="O11" i="80"/>
  <c r="Q11" i="80" s="1"/>
  <c r="H59" i="80"/>
  <c r="O9" i="80"/>
  <c r="Q9" i="80" s="1"/>
  <c r="O8" i="80"/>
  <c r="O48" i="79"/>
  <c r="O49" i="79"/>
  <c r="N48" i="79"/>
  <c r="Q41" i="93" l="1"/>
  <c r="Q38" i="94" s="1"/>
  <c r="Q8" i="80"/>
  <c r="J59" i="80"/>
  <c r="O10" i="80"/>
  <c r="Q10" i="80" s="1"/>
  <c r="O53" i="80"/>
  <c r="O40" i="77"/>
  <c r="K45" i="77"/>
  <c r="O45" i="77" s="1"/>
  <c r="P59" i="79"/>
  <c r="O56" i="79"/>
  <c r="O57" i="79"/>
  <c r="J14" i="79"/>
  <c r="J59" i="79" s="1"/>
  <c r="G57" i="78"/>
  <c r="H33" i="79"/>
  <c r="O33" i="79" s="1"/>
  <c r="Q33" i="79" s="1"/>
  <c r="H34" i="78"/>
  <c r="H33" i="78"/>
  <c r="H32" i="78"/>
  <c r="O32" i="78" s="1"/>
  <c r="Q32" i="78" s="1"/>
  <c r="H31" i="78"/>
  <c r="H30" i="78"/>
  <c r="H29" i="78"/>
  <c r="H8" i="79"/>
  <c r="O8" i="79" s="1"/>
  <c r="H9" i="79"/>
  <c r="O9" i="79" s="1"/>
  <c r="Q9" i="79" s="1"/>
  <c r="H10" i="79"/>
  <c r="O10" i="79" s="1"/>
  <c r="Q10" i="79" s="1"/>
  <c r="H11" i="79"/>
  <c r="O11" i="79" s="1"/>
  <c r="Q11" i="79" s="1"/>
  <c r="H12" i="79"/>
  <c r="O12" i="79" s="1"/>
  <c r="Q12" i="79" s="1"/>
  <c r="H13" i="79"/>
  <c r="H14" i="79"/>
  <c r="H15" i="79"/>
  <c r="O15" i="79" s="1"/>
  <c r="Q15" i="79" s="1"/>
  <c r="H16" i="79"/>
  <c r="O16" i="79" s="1"/>
  <c r="Q16" i="79" s="1"/>
  <c r="H17" i="79"/>
  <c r="H18" i="79"/>
  <c r="O18" i="79" s="1"/>
  <c r="Q18" i="79" s="1"/>
  <c r="H19" i="79"/>
  <c r="O19" i="79" s="1"/>
  <c r="Q19" i="79" s="1"/>
  <c r="H20" i="79"/>
  <c r="O20" i="79" s="1"/>
  <c r="Q20" i="79" s="1"/>
  <c r="H21" i="79"/>
  <c r="H22" i="79"/>
  <c r="O22" i="79" s="1"/>
  <c r="Q22" i="79" s="1"/>
  <c r="H23" i="79"/>
  <c r="O23" i="79" s="1"/>
  <c r="Q23" i="79" s="1"/>
  <c r="H24" i="79"/>
  <c r="O24" i="79" s="1"/>
  <c r="Q24" i="79" s="1"/>
  <c r="H25" i="79"/>
  <c r="H26" i="79"/>
  <c r="O26" i="79" s="1"/>
  <c r="Q26" i="79" s="1"/>
  <c r="H27" i="79"/>
  <c r="H28" i="79"/>
  <c r="O28" i="79" s="1"/>
  <c r="Q28" i="79" s="1"/>
  <c r="H29" i="79"/>
  <c r="O29" i="79" s="1"/>
  <c r="Q29" i="79" s="1"/>
  <c r="H30" i="79"/>
  <c r="O30" i="79" s="1"/>
  <c r="Q30" i="79" s="1"/>
  <c r="H31" i="79"/>
  <c r="O31" i="79" s="1"/>
  <c r="Q31" i="79" s="1"/>
  <c r="H32" i="79"/>
  <c r="O32" i="79" s="1"/>
  <c r="Q32" i="79" s="1"/>
  <c r="O17" i="79"/>
  <c r="Q17" i="79" s="1"/>
  <c r="O21" i="79"/>
  <c r="Q21" i="79" s="1"/>
  <c r="O25" i="79"/>
  <c r="Q25" i="79" s="1"/>
  <c r="O13" i="79"/>
  <c r="Q13" i="79" s="1"/>
  <c r="N59" i="79"/>
  <c r="M59" i="79"/>
  <c r="L59" i="79"/>
  <c r="K59" i="79"/>
  <c r="I59" i="79"/>
  <c r="G59" i="79"/>
  <c r="O58" i="79"/>
  <c r="O55" i="79"/>
  <c r="O54" i="79"/>
  <c r="O53" i="79"/>
  <c r="O52" i="79"/>
  <c r="O51" i="79"/>
  <c r="O50" i="79"/>
  <c r="O47" i="79"/>
  <c r="O46" i="79"/>
  <c r="O45" i="79"/>
  <c r="O44" i="79"/>
  <c r="O43" i="79"/>
  <c r="O42" i="79"/>
  <c r="O41" i="79"/>
  <c r="O40" i="79"/>
  <c r="O39" i="79"/>
  <c r="O38" i="79"/>
  <c r="O37" i="79"/>
  <c r="O36" i="79"/>
  <c r="O35" i="79"/>
  <c r="O34" i="79"/>
  <c r="O27" i="79"/>
  <c r="Q27" i="79" s="1"/>
  <c r="P57" i="78"/>
  <c r="O36" i="78"/>
  <c r="O37" i="78"/>
  <c r="O38" i="78"/>
  <c r="O39" i="78"/>
  <c r="O40" i="78"/>
  <c r="O42" i="78"/>
  <c r="O43" i="78"/>
  <c r="O44" i="78"/>
  <c r="O45" i="78"/>
  <c r="O46" i="78"/>
  <c r="O47" i="78"/>
  <c r="O48" i="78"/>
  <c r="O49" i="78"/>
  <c r="O50" i="78"/>
  <c r="O51" i="78"/>
  <c r="O52" i="78"/>
  <c r="O53" i="78"/>
  <c r="O54" i="78"/>
  <c r="O55" i="78"/>
  <c r="K57" i="78"/>
  <c r="L41" i="78"/>
  <c r="O41" i="78" s="1"/>
  <c r="J26" i="78"/>
  <c r="O16" i="78"/>
  <c r="Q16" i="78" s="1"/>
  <c r="O25" i="78"/>
  <c r="O27" i="78"/>
  <c r="Q27" i="78" s="1"/>
  <c r="O29" i="78"/>
  <c r="O30" i="78"/>
  <c r="Q30" i="78" s="1"/>
  <c r="O31" i="78"/>
  <c r="O34" i="78"/>
  <c r="Q34" i="78" s="1"/>
  <c r="O33" i="78"/>
  <c r="Q33" i="78" s="1"/>
  <c r="H17" i="78"/>
  <c r="O17" i="78" s="1"/>
  <c r="Q17" i="78" s="1"/>
  <c r="H18" i="78"/>
  <c r="O18" i="78" s="1"/>
  <c r="H19" i="78"/>
  <c r="H20" i="78"/>
  <c r="O20" i="78" s="1"/>
  <c r="Q20" i="78" s="1"/>
  <c r="H21" i="78"/>
  <c r="O21" i="78" s="1"/>
  <c r="Q21" i="78" s="1"/>
  <c r="H22" i="78"/>
  <c r="H23" i="78"/>
  <c r="O23" i="78" s="1"/>
  <c r="Q23" i="78" s="1"/>
  <c r="H24" i="78"/>
  <c r="O24" i="78" s="1"/>
  <c r="Q24" i="78" s="1"/>
  <c r="H26" i="78"/>
  <c r="H28" i="78"/>
  <c r="O28" i="78" s="1"/>
  <c r="Q28" i="78" s="1"/>
  <c r="H16" i="78"/>
  <c r="H9" i="78"/>
  <c r="O9" i="78" s="1"/>
  <c r="Q9" i="78" s="1"/>
  <c r="H10" i="78"/>
  <c r="O10" i="78" s="1"/>
  <c r="H11" i="78"/>
  <c r="O11" i="78" s="1"/>
  <c r="H12" i="78"/>
  <c r="O12" i="78" s="1"/>
  <c r="Q12" i="78" s="1"/>
  <c r="H13" i="78"/>
  <c r="O13" i="78" s="1"/>
  <c r="Q13" i="78" s="1"/>
  <c r="H14" i="78"/>
  <c r="H15" i="78"/>
  <c r="O15" i="78" s="1"/>
  <c r="H8" i="78"/>
  <c r="O8" i="78" s="1"/>
  <c r="O46" i="77"/>
  <c r="O47" i="77"/>
  <c r="O48" i="77"/>
  <c r="O49" i="77"/>
  <c r="N57" i="78"/>
  <c r="M57" i="78"/>
  <c r="I57" i="78"/>
  <c r="O56" i="78"/>
  <c r="O35" i="78"/>
  <c r="Q31" i="78"/>
  <c r="Q25" i="78"/>
  <c r="G56" i="77"/>
  <c r="P51" i="77"/>
  <c r="N51" i="77"/>
  <c r="M51" i="77"/>
  <c r="L51" i="77"/>
  <c r="K51" i="77"/>
  <c r="I51" i="77"/>
  <c r="G51" i="77"/>
  <c r="O50" i="77"/>
  <c r="O44" i="77"/>
  <c r="O43" i="77"/>
  <c r="O42" i="77"/>
  <c r="O41" i="77"/>
  <c r="O39" i="77"/>
  <c r="O38" i="77"/>
  <c r="O37" i="77"/>
  <c r="O36" i="77"/>
  <c r="H35" i="77"/>
  <c r="O35" i="77" s="1"/>
  <c r="Q35" i="77" s="1"/>
  <c r="O34" i="77"/>
  <c r="Q34" i="77" s="1"/>
  <c r="J33" i="77"/>
  <c r="H33" i="77"/>
  <c r="O33" i="77" s="1"/>
  <c r="Q33" i="77" s="1"/>
  <c r="H32" i="77"/>
  <c r="O32" i="77" s="1"/>
  <c r="Q32" i="77" s="1"/>
  <c r="H31" i="77"/>
  <c r="O31" i="77" s="1"/>
  <c r="H30" i="77"/>
  <c r="H29" i="77"/>
  <c r="O29" i="77" s="1"/>
  <c r="Q29" i="77" s="1"/>
  <c r="H28" i="77"/>
  <c r="O28" i="77" s="1"/>
  <c r="Q28" i="77" s="1"/>
  <c r="O27" i="77"/>
  <c r="Q27" i="77" s="1"/>
  <c r="J26" i="77"/>
  <c r="H26" i="77"/>
  <c r="O26" i="77" s="1"/>
  <c r="Q26" i="77" s="1"/>
  <c r="H25" i="77"/>
  <c r="O25" i="77" s="1"/>
  <c r="Q25" i="77" s="1"/>
  <c r="J24" i="77"/>
  <c r="H24" i="77"/>
  <c r="O23" i="77"/>
  <c r="Q23" i="77" s="1"/>
  <c r="J22" i="77"/>
  <c r="H22" i="77"/>
  <c r="H21" i="77"/>
  <c r="O21" i="77" s="1"/>
  <c r="Q21" i="77" s="1"/>
  <c r="H20" i="77"/>
  <c r="O20" i="77" s="1"/>
  <c r="Q20" i="77" s="1"/>
  <c r="H19" i="77"/>
  <c r="O19" i="77" s="1"/>
  <c r="Q19" i="77" s="1"/>
  <c r="H18" i="77"/>
  <c r="O18" i="77" s="1"/>
  <c r="Q18" i="77" s="1"/>
  <c r="H17" i="77"/>
  <c r="O17" i="77" s="1"/>
  <c r="Q17" i="77" s="1"/>
  <c r="H16" i="77"/>
  <c r="O16" i="77" s="1"/>
  <c r="Q16" i="77" s="1"/>
  <c r="H15" i="77"/>
  <c r="O15" i="77" s="1"/>
  <c r="Q15" i="77" s="1"/>
  <c r="O14" i="77"/>
  <c r="Q14" i="77" s="1"/>
  <c r="J13" i="77"/>
  <c r="H13" i="77"/>
  <c r="O13" i="77" s="1"/>
  <c r="Q13" i="77" s="1"/>
  <c r="H12" i="77"/>
  <c r="O12" i="77" s="1"/>
  <c r="Q12" i="77" s="1"/>
  <c r="H11" i="77"/>
  <c r="O11" i="77" s="1"/>
  <c r="Q11" i="77" s="1"/>
  <c r="H10" i="77"/>
  <c r="O10" i="77" s="1"/>
  <c r="Q10" i="77" s="1"/>
  <c r="H9" i="77"/>
  <c r="O9" i="77" s="1"/>
  <c r="Q9" i="77" s="1"/>
  <c r="H8" i="77"/>
  <c r="O8" i="77" s="1"/>
  <c r="O59" i="80" l="1"/>
  <c r="O59" i="79"/>
  <c r="Q59" i="79" s="1"/>
  <c r="O14" i="79"/>
  <c r="Q14" i="79" s="1"/>
  <c r="O24" i="77"/>
  <c r="Q24" i="77" s="1"/>
  <c r="O30" i="77"/>
  <c r="Q30" i="77" s="1"/>
  <c r="Q31" i="77"/>
  <c r="O26" i="78"/>
  <c r="H57" i="78"/>
  <c r="L57" i="78"/>
  <c r="Q8" i="79"/>
  <c r="H59" i="79"/>
  <c r="Q8" i="78"/>
  <c r="Q14" i="78"/>
  <c r="O14" i="78"/>
  <c r="Q18" i="78"/>
  <c r="O22" i="78"/>
  <c r="Q22" i="78" s="1"/>
  <c r="J57" i="78"/>
  <c r="O19" i="78"/>
  <c r="Q19" i="78" s="1"/>
  <c r="Q26" i="78"/>
  <c r="Q10" i="78"/>
  <c r="Q15" i="78"/>
  <c r="Q11" i="78"/>
  <c r="Q29" i="78"/>
  <c r="O22" i="77"/>
  <c r="Q22" i="77" s="1"/>
  <c r="J51" i="77"/>
  <c r="Q8" i="77"/>
  <c r="H51" i="77"/>
  <c r="O51" i="77" l="1"/>
  <c r="Q51" i="77" s="1"/>
  <c r="O57" i="78"/>
  <c r="Q57" i="78" s="1"/>
  <c r="K49" i="76"/>
  <c r="J18" i="76"/>
  <c r="J13" i="76" l="1"/>
  <c r="H20" i="76"/>
  <c r="H21" i="76"/>
  <c r="H22" i="76"/>
  <c r="H36" i="76"/>
  <c r="G50" i="76" l="1"/>
  <c r="P50" i="76"/>
  <c r="M50" i="76"/>
  <c r="J24" i="76" l="1"/>
  <c r="J50" i="76" s="1"/>
  <c r="J14" i="76"/>
  <c r="J10" i="76"/>
  <c r="H33" i="76" l="1"/>
  <c r="O33" i="76" s="1"/>
  <c r="Q33" i="76" s="1"/>
  <c r="H34" i="76"/>
  <c r="H35" i="76"/>
  <c r="H32" i="76"/>
  <c r="H19" i="76"/>
  <c r="H25" i="76"/>
  <c r="H26" i="76"/>
  <c r="H27" i="76"/>
  <c r="O27" i="76" s="1"/>
  <c r="Q27" i="76" s="1"/>
  <c r="H28" i="76"/>
  <c r="H29" i="76"/>
  <c r="H30" i="76"/>
  <c r="H31" i="76"/>
  <c r="H18" i="76"/>
  <c r="H12" i="76"/>
  <c r="H13" i="76"/>
  <c r="O13" i="76" s="1"/>
  <c r="Q13" i="76" s="1"/>
  <c r="H14" i="76"/>
  <c r="O14" i="76" s="1"/>
  <c r="Q14" i="76" s="1"/>
  <c r="H16" i="76"/>
  <c r="O16" i="76" s="1"/>
  <c r="Q16" i="76" s="1"/>
  <c r="H17" i="76"/>
  <c r="H10" i="76"/>
  <c r="N50" i="76"/>
  <c r="L50" i="76"/>
  <c r="I50" i="76"/>
  <c r="O49" i="76"/>
  <c r="O48" i="76"/>
  <c r="O47" i="76"/>
  <c r="O46" i="76"/>
  <c r="O45" i="76"/>
  <c r="O44" i="76"/>
  <c r="O43" i="76"/>
  <c r="O42" i="76"/>
  <c r="O41" i="76"/>
  <c r="O40" i="76"/>
  <c r="O39" i="76"/>
  <c r="O38" i="76"/>
  <c r="O37" i="76"/>
  <c r="O36" i="76"/>
  <c r="O35" i="76"/>
  <c r="Q35" i="76" s="1"/>
  <c r="O34" i="76"/>
  <c r="Q34" i="76" s="1"/>
  <c r="O32" i="76"/>
  <c r="Q32" i="76" s="1"/>
  <c r="O31" i="76"/>
  <c r="Q31" i="76" s="1"/>
  <c r="O30" i="76"/>
  <c r="Q30" i="76" s="1"/>
  <c r="O29" i="76"/>
  <c r="Q29" i="76" s="1"/>
  <c r="O28" i="76"/>
  <c r="Q28" i="76" s="1"/>
  <c r="O26" i="76"/>
  <c r="Q26" i="76" s="1"/>
  <c r="O25" i="76"/>
  <c r="Q25" i="76" s="1"/>
  <c r="O24" i="76"/>
  <c r="Q24" i="76" s="1"/>
  <c r="O23" i="76"/>
  <c r="Q23" i="76" s="1"/>
  <c r="O22" i="76"/>
  <c r="Q22" i="76" s="1"/>
  <c r="O21" i="76"/>
  <c r="Q21" i="76" s="1"/>
  <c r="O20" i="76"/>
  <c r="Q20" i="76" s="1"/>
  <c r="O19" i="76"/>
  <c r="Q19" i="76" s="1"/>
  <c r="O18" i="76"/>
  <c r="Q18" i="76" s="1"/>
  <c r="O17" i="76"/>
  <c r="Q17" i="76" s="1"/>
  <c r="O15" i="76"/>
  <c r="Q15" i="76" s="1"/>
  <c r="O12" i="76"/>
  <c r="Q12" i="76" s="1"/>
  <c r="O11" i="76"/>
  <c r="Q11" i="76" s="1"/>
  <c r="O10" i="76"/>
  <c r="Q10" i="76" s="1"/>
  <c r="O8" i="76"/>
  <c r="H50" i="76" l="1"/>
  <c r="Q8" i="76"/>
  <c r="K50" i="76"/>
  <c r="O9" i="76"/>
  <c r="Q9" i="76" s="1"/>
  <c r="K49" i="75"/>
  <c r="K50" i="75" s="1"/>
  <c r="M50" i="75"/>
  <c r="L50" i="75"/>
  <c r="O47" i="75"/>
  <c r="O46" i="75"/>
  <c r="O45" i="75"/>
  <c r="O44" i="75"/>
  <c r="P50" i="75"/>
  <c r="J9" i="75"/>
  <c r="J50" i="75" s="1"/>
  <c r="H34" i="75"/>
  <c r="O34" i="75" s="1"/>
  <c r="Q34" i="75" s="1"/>
  <c r="H35" i="75"/>
  <c r="O35" i="75" s="1"/>
  <c r="Q35" i="75" s="1"/>
  <c r="H21" i="75"/>
  <c r="H25" i="75"/>
  <c r="O25" i="75" s="1"/>
  <c r="Q25" i="75" s="1"/>
  <c r="H28" i="75"/>
  <c r="H31" i="75"/>
  <c r="H33" i="75"/>
  <c r="O33" i="75" s="1"/>
  <c r="Q33" i="75" s="1"/>
  <c r="H18" i="75"/>
  <c r="O18" i="75" s="1"/>
  <c r="Q18" i="75" s="1"/>
  <c r="H12" i="75"/>
  <c r="H13" i="75"/>
  <c r="H15" i="75"/>
  <c r="O15" i="75" s="1"/>
  <c r="Q15" i="75" s="1"/>
  <c r="H11" i="75"/>
  <c r="O11" i="75" s="1"/>
  <c r="Q11" i="75" s="1"/>
  <c r="N50" i="75"/>
  <c r="I50" i="75"/>
  <c r="G50" i="75"/>
  <c r="O48" i="75"/>
  <c r="O43" i="75"/>
  <c r="O42" i="75"/>
  <c r="O41" i="75"/>
  <c r="O40" i="75"/>
  <c r="O39" i="75"/>
  <c r="O38" i="75"/>
  <c r="O37" i="75"/>
  <c r="O36" i="75"/>
  <c r="O32" i="75"/>
  <c r="Q32" i="75" s="1"/>
  <c r="O31" i="75"/>
  <c r="Q31" i="75" s="1"/>
  <c r="O30" i="75"/>
  <c r="Q30" i="75" s="1"/>
  <c r="O29" i="75"/>
  <c r="Q29" i="75" s="1"/>
  <c r="O28" i="75"/>
  <c r="Q28" i="75" s="1"/>
  <c r="O27" i="75"/>
  <c r="Q27" i="75" s="1"/>
  <c r="O26" i="75"/>
  <c r="Q26" i="75" s="1"/>
  <c r="O24" i="75"/>
  <c r="Q24" i="75" s="1"/>
  <c r="O23" i="75"/>
  <c r="Q23" i="75" s="1"/>
  <c r="O22" i="75"/>
  <c r="Q22" i="75" s="1"/>
  <c r="O21" i="75"/>
  <c r="Q21" i="75" s="1"/>
  <c r="O20" i="75"/>
  <c r="Q20" i="75" s="1"/>
  <c r="O19" i="75"/>
  <c r="Q19" i="75" s="1"/>
  <c r="O17" i="75"/>
  <c r="Q17" i="75" s="1"/>
  <c r="O16" i="75"/>
  <c r="Q16" i="75" s="1"/>
  <c r="O14" i="75"/>
  <c r="Q14" i="75" s="1"/>
  <c r="O13" i="75"/>
  <c r="Q13" i="75" s="1"/>
  <c r="O10" i="75"/>
  <c r="Q10" i="75" s="1"/>
  <c r="O9" i="75"/>
  <c r="Q9" i="75" s="1"/>
  <c r="O8" i="75"/>
  <c r="O50" i="76" l="1"/>
  <c r="Q50" i="76" s="1"/>
  <c r="H50" i="75"/>
  <c r="O49" i="75"/>
  <c r="O12" i="75"/>
  <c r="Q12" i="75" s="1"/>
  <c r="Q8" i="75"/>
  <c r="K45" i="74"/>
  <c r="O44" i="74"/>
  <c r="O50" i="75" l="1"/>
  <c r="G46" i="74"/>
  <c r="P46" i="74"/>
  <c r="O37" i="74"/>
  <c r="O38" i="74"/>
  <c r="O39" i="74"/>
  <c r="O40" i="74"/>
  <c r="O41" i="74"/>
  <c r="O42" i="74"/>
  <c r="O43" i="74"/>
  <c r="J46" i="74"/>
  <c r="Q50" i="75" l="1"/>
  <c r="H34" i="74"/>
  <c r="O34" i="74" s="1"/>
  <c r="Q34" i="74" s="1"/>
  <c r="H21" i="74"/>
  <c r="O21" i="74" s="1"/>
  <c r="Q21" i="74" s="1"/>
  <c r="H23" i="74"/>
  <c r="O23" i="74" s="1"/>
  <c r="Q23" i="74" s="1"/>
  <c r="H26" i="74"/>
  <c r="O26" i="74" s="1"/>
  <c r="Q26" i="74" s="1"/>
  <c r="H29" i="74"/>
  <c r="O29" i="74" s="1"/>
  <c r="Q29" i="74" s="1"/>
  <c r="H30" i="74"/>
  <c r="O30" i="74" s="1"/>
  <c r="Q30" i="74" s="1"/>
  <c r="H31" i="74"/>
  <c r="O31" i="74" s="1"/>
  <c r="Q31" i="74" s="1"/>
  <c r="H20" i="74"/>
  <c r="H12" i="74"/>
  <c r="O12" i="74" s="1"/>
  <c r="Q12" i="74" s="1"/>
  <c r="H14" i="74"/>
  <c r="O14" i="74" s="1"/>
  <c r="Q14" i="74" s="1"/>
  <c r="H16" i="74"/>
  <c r="O16" i="74" s="1"/>
  <c r="Q16" i="74" s="1"/>
  <c r="H18" i="74"/>
  <c r="O18" i="74" s="1"/>
  <c r="Q18" i="74" s="1"/>
  <c r="H8" i="74"/>
  <c r="O8" i="74" s="1"/>
  <c r="Q8" i="74" s="1"/>
  <c r="N46" i="74"/>
  <c r="M46" i="74"/>
  <c r="L46" i="74"/>
  <c r="I46" i="74"/>
  <c r="O45" i="74"/>
  <c r="O36" i="74"/>
  <c r="O33" i="74"/>
  <c r="Q33" i="74" s="1"/>
  <c r="O32" i="74"/>
  <c r="Q32" i="74" s="1"/>
  <c r="O28" i="74"/>
  <c r="Q28" i="74" s="1"/>
  <c r="O27" i="74"/>
  <c r="Q27" i="74" s="1"/>
  <c r="O25" i="74"/>
  <c r="Q25" i="74" s="1"/>
  <c r="O24" i="74"/>
  <c r="Q24" i="74" s="1"/>
  <c r="O22" i="74"/>
  <c r="Q22" i="74" s="1"/>
  <c r="O20" i="74"/>
  <c r="Q20" i="74" s="1"/>
  <c r="O19" i="74"/>
  <c r="Q19" i="74" s="1"/>
  <c r="O17" i="74"/>
  <c r="Q17" i="74" s="1"/>
  <c r="O15" i="74"/>
  <c r="Q15" i="74" s="1"/>
  <c r="O13" i="74"/>
  <c r="Q13" i="74" s="1"/>
  <c r="O11" i="74"/>
  <c r="Q11" i="74" s="1"/>
  <c r="O10" i="74"/>
  <c r="Q10" i="74" s="1"/>
  <c r="O9" i="74"/>
  <c r="O46" i="74" l="1"/>
  <c r="Q46" i="74" s="1"/>
  <c r="Q9" i="74"/>
  <c r="H46" i="74"/>
  <c r="K46" i="74"/>
  <c r="P44" i="73" l="1"/>
  <c r="N44" i="73"/>
  <c r="L44" i="73"/>
  <c r="J44" i="73"/>
  <c r="H36" i="73"/>
  <c r="H22" i="73"/>
  <c r="H25" i="73"/>
  <c r="H30" i="73"/>
  <c r="H33" i="73"/>
  <c r="H20" i="73"/>
  <c r="H11" i="73"/>
  <c r="H14" i="73"/>
  <c r="H18" i="73"/>
  <c r="H8" i="73"/>
  <c r="H44" i="73" l="1"/>
  <c r="K43" i="73"/>
  <c r="O13" i="73" l="1"/>
  <c r="Q13" i="73" s="1"/>
  <c r="O14" i="73"/>
  <c r="O15" i="73"/>
  <c r="Q15" i="73" s="1"/>
  <c r="O16" i="73"/>
  <c r="Q16" i="73" s="1"/>
  <c r="O17" i="73"/>
  <c r="O18" i="73"/>
  <c r="O19" i="73"/>
  <c r="Q19" i="73" s="1"/>
  <c r="O20" i="73"/>
  <c r="Q20" i="73" s="1"/>
  <c r="O21" i="73"/>
  <c r="Q21" i="73" s="1"/>
  <c r="O22" i="73"/>
  <c r="O23" i="73"/>
  <c r="Q23" i="73" s="1"/>
  <c r="O24" i="73"/>
  <c r="Q24" i="73" s="1"/>
  <c r="O25" i="73"/>
  <c r="Q25" i="73" s="1"/>
  <c r="O26" i="73"/>
  <c r="Q26" i="73" s="1"/>
  <c r="Q14" i="73"/>
  <c r="Q17" i="73"/>
  <c r="Q18" i="73"/>
  <c r="Q22" i="73"/>
  <c r="M44" i="73"/>
  <c r="I44" i="73"/>
  <c r="G44" i="73"/>
  <c r="O43" i="73"/>
  <c r="O42" i="73"/>
  <c r="O41" i="73"/>
  <c r="O40" i="73"/>
  <c r="O39" i="73"/>
  <c r="O37" i="73"/>
  <c r="Q37" i="73" s="1"/>
  <c r="O36" i="73"/>
  <c r="Q36" i="73" s="1"/>
  <c r="O35" i="73"/>
  <c r="Q35" i="73" s="1"/>
  <c r="O34" i="73"/>
  <c r="Q34" i="73" s="1"/>
  <c r="O33" i="73"/>
  <c r="Q33" i="73" s="1"/>
  <c r="O32" i="73"/>
  <c r="Q32" i="73" s="1"/>
  <c r="O31" i="73"/>
  <c r="Q31" i="73" s="1"/>
  <c r="O30" i="73"/>
  <c r="Q30" i="73" s="1"/>
  <c r="O29" i="73"/>
  <c r="Q29" i="73" s="1"/>
  <c r="O28" i="73"/>
  <c r="O27" i="73"/>
  <c r="Q27" i="73" s="1"/>
  <c r="O12" i="73"/>
  <c r="Q12" i="73" s="1"/>
  <c r="O11" i="73"/>
  <c r="Q11" i="73" s="1"/>
  <c r="O10" i="73"/>
  <c r="Q10" i="73" s="1"/>
  <c r="O8" i="73"/>
  <c r="Q8" i="73" l="1"/>
  <c r="K44" i="73"/>
  <c r="O9" i="73"/>
  <c r="Q9" i="73" s="1"/>
  <c r="O25" i="72"/>
  <c r="J14" i="72"/>
  <c r="J33" i="72" s="1"/>
  <c r="O44" i="73" l="1"/>
  <c r="Q44" i="73" s="1"/>
  <c r="O9" i="71"/>
  <c r="O10" i="71"/>
  <c r="O12" i="71"/>
  <c r="O13" i="71"/>
  <c r="O17" i="71"/>
  <c r="O18" i="71"/>
  <c r="O19" i="71"/>
  <c r="O21" i="71"/>
  <c r="O23" i="71"/>
  <c r="O24" i="71"/>
  <c r="O25" i="71"/>
  <c r="O26" i="71"/>
  <c r="O28" i="71"/>
  <c r="O30" i="71"/>
  <c r="O31" i="71"/>
  <c r="O33" i="71"/>
  <c r="O34" i="71"/>
  <c r="Q34" i="71"/>
  <c r="Q33" i="71"/>
  <c r="P42" i="71" l="1"/>
  <c r="L33" i="72" l="1"/>
  <c r="L42" i="71"/>
  <c r="O40" i="71"/>
  <c r="O28" i="72" l="1"/>
  <c r="O29" i="72"/>
  <c r="O30" i="72"/>
  <c r="O31" i="72"/>
  <c r="K32" i="72"/>
  <c r="O32" i="72" s="1"/>
  <c r="H24" i="72" l="1"/>
  <c r="O10" i="72"/>
  <c r="Q10" i="72" s="1"/>
  <c r="H11" i="72"/>
  <c r="O12" i="72"/>
  <c r="Q12" i="72" s="1"/>
  <c r="H14" i="72"/>
  <c r="H15" i="72"/>
  <c r="O15" i="72" s="1"/>
  <c r="Q15" i="72" s="1"/>
  <c r="O16" i="72"/>
  <c r="Q16" i="72" s="1"/>
  <c r="H18" i="72"/>
  <c r="O18" i="72" s="1"/>
  <c r="Q18" i="72" s="1"/>
  <c r="O20" i="72"/>
  <c r="Q20" i="72" s="1"/>
  <c r="H21" i="72"/>
  <c r="H9" i="72"/>
  <c r="G33" i="72"/>
  <c r="H35" i="71"/>
  <c r="P33" i="72"/>
  <c r="N33" i="72"/>
  <c r="M33" i="72"/>
  <c r="I33" i="72"/>
  <c r="K33" i="72"/>
  <c r="O27" i="72"/>
  <c r="Q25" i="72"/>
  <c r="O24" i="72"/>
  <c r="Q24" i="72" s="1"/>
  <c r="O23" i="72"/>
  <c r="Q23" i="72" s="1"/>
  <c r="O22" i="72"/>
  <c r="Q22" i="72" s="1"/>
  <c r="O21" i="72"/>
  <c r="Q21" i="72" s="1"/>
  <c r="O19" i="72"/>
  <c r="Q19" i="72" s="1"/>
  <c r="O17" i="72"/>
  <c r="Q17" i="72" s="1"/>
  <c r="O13" i="72"/>
  <c r="Q13" i="72" s="1"/>
  <c r="O11" i="72"/>
  <c r="Q11" i="72" s="1"/>
  <c r="O9" i="72"/>
  <c r="Q9" i="72" s="1"/>
  <c r="O8" i="72"/>
  <c r="Q8" i="72" l="1"/>
  <c r="O14" i="72"/>
  <c r="O33" i="72" s="1"/>
  <c r="H33" i="72"/>
  <c r="Q25" i="71"/>
  <c r="Q14" i="72" l="1"/>
  <c r="Q33" i="72"/>
  <c r="K41" i="71"/>
  <c r="Q24" i="71" l="1"/>
  <c r="H32" i="71"/>
  <c r="O32" i="71" s="1"/>
  <c r="Q32" i="71" s="1"/>
  <c r="H20" i="71"/>
  <c r="H22" i="71"/>
  <c r="O22" i="71" s="1"/>
  <c r="H27" i="71"/>
  <c r="H29" i="71"/>
  <c r="O29" i="71" s="1"/>
  <c r="H16" i="71"/>
  <c r="H14" i="71"/>
  <c r="H15" i="71"/>
  <c r="H11" i="71"/>
  <c r="O11" i="71" s="1"/>
  <c r="N42" i="71"/>
  <c r="M42" i="71"/>
  <c r="J42" i="71"/>
  <c r="I42" i="71"/>
  <c r="G42" i="71"/>
  <c r="O41" i="71"/>
  <c r="K42" i="71"/>
  <c r="O39" i="71"/>
  <c r="O38" i="71"/>
  <c r="O37" i="71"/>
  <c r="O35" i="71"/>
  <c r="Q35" i="71" s="1"/>
  <c r="Q31" i="71"/>
  <c r="Q30" i="71"/>
  <c r="Q29" i="71"/>
  <c r="Q28" i="71"/>
  <c r="Q26" i="71"/>
  <c r="Q23" i="71"/>
  <c r="Q22" i="71"/>
  <c r="Q21" i="71"/>
  <c r="Q19" i="71"/>
  <c r="Q18" i="71"/>
  <c r="Q17" i="71"/>
  <c r="Q13" i="71"/>
  <c r="Q12" i="71"/>
  <c r="Q11" i="71"/>
  <c r="Q10" i="71"/>
  <c r="Q9" i="71"/>
  <c r="O8" i="71"/>
  <c r="O16" i="71" l="1"/>
  <c r="Q16" i="71" s="1"/>
  <c r="O14" i="71"/>
  <c r="Q14" i="71" s="1"/>
  <c r="O15" i="71"/>
  <c r="Q15" i="71" s="1"/>
  <c r="Q8" i="71"/>
  <c r="O27" i="71"/>
  <c r="Q27" i="71" s="1"/>
  <c r="O20" i="71"/>
  <c r="Q20" i="71" s="1"/>
  <c r="H42" i="71"/>
  <c r="K42" i="70"/>
  <c r="O42" i="71" l="1"/>
  <c r="Q42" i="71" s="1"/>
  <c r="Q44" i="71" s="1"/>
  <c r="Q35" i="72" s="1"/>
  <c r="Q46" i="73" s="1"/>
  <c r="Q48" i="74" s="1"/>
  <c r="O35" i="69"/>
  <c r="Q52" i="75" l="1"/>
  <c r="Q52" i="76" s="1"/>
  <c r="Q53" i="77" s="1"/>
  <c r="Q59" i="78" s="1"/>
  <c r="Q61" i="79" s="1"/>
  <c r="Q61" i="80" s="1"/>
  <c r="Q46" i="81" s="1"/>
  <c r="Q45" i="82" s="1"/>
  <c r="P43" i="70"/>
  <c r="O39" i="70"/>
  <c r="O40" i="70" l="1"/>
  <c r="O38" i="70"/>
  <c r="K36" i="69" l="1"/>
  <c r="O36" i="69" s="1"/>
  <c r="K43" i="68"/>
  <c r="O11" i="70" l="1"/>
  <c r="Q11" i="70" s="1"/>
  <c r="O13" i="70"/>
  <c r="Q13" i="70" s="1"/>
  <c r="O14" i="70"/>
  <c r="Q14" i="70" s="1"/>
  <c r="O15" i="70"/>
  <c r="Q15" i="70" s="1"/>
  <c r="O16" i="70"/>
  <c r="Q16" i="70" s="1"/>
  <c r="O17" i="70"/>
  <c r="Q17" i="70" s="1"/>
  <c r="O18" i="70"/>
  <c r="Q18" i="70" s="1"/>
  <c r="O20" i="70"/>
  <c r="Q20" i="70" s="1"/>
  <c r="O21" i="70"/>
  <c r="Q21" i="70" s="1"/>
  <c r="O24" i="70"/>
  <c r="Q24" i="70" s="1"/>
  <c r="O25" i="70"/>
  <c r="Q25" i="70" s="1"/>
  <c r="O27" i="70"/>
  <c r="Q27" i="70" s="1"/>
  <c r="O29" i="70"/>
  <c r="Q29" i="70" s="1"/>
  <c r="G43" i="70"/>
  <c r="H31" i="70"/>
  <c r="O31" i="70" s="1"/>
  <c r="Q31" i="70" s="1"/>
  <c r="H32" i="70"/>
  <c r="O32" i="70" s="1"/>
  <c r="Q32" i="70" s="1"/>
  <c r="H30" i="70"/>
  <c r="O30" i="70" s="1"/>
  <c r="Q30" i="70" s="1"/>
  <c r="H22" i="70"/>
  <c r="O22" i="70" s="1"/>
  <c r="Q22" i="70" s="1"/>
  <c r="H23" i="70"/>
  <c r="O23" i="70" s="1"/>
  <c r="Q23" i="70" s="1"/>
  <c r="H26" i="70"/>
  <c r="O26" i="70" s="1"/>
  <c r="Q26" i="70" s="1"/>
  <c r="H28" i="70"/>
  <c r="O28" i="70" s="1"/>
  <c r="Q28" i="70" s="1"/>
  <c r="H19" i="70"/>
  <c r="O19" i="70" s="1"/>
  <c r="Q19" i="70" s="1"/>
  <c r="H10" i="70"/>
  <c r="H12" i="70"/>
  <c r="O12" i="70" s="1"/>
  <c r="Q12" i="70" s="1"/>
  <c r="H9" i="70"/>
  <c r="O9" i="70" s="1"/>
  <c r="Q9" i="70" s="1"/>
  <c r="N43" i="70"/>
  <c r="M43" i="70"/>
  <c r="L43" i="70"/>
  <c r="J43" i="70"/>
  <c r="I43" i="70"/>
  <c r="K43" i="70"/>
  <c r="O41" i="70"/>
  <c r="O37" i="70"/>
  <c r="O36" i="70"/>
  <c r="O35" i="70"/>
  <c r="O34" i="70"/>
  <c r="O8" i="70"/>
  <c r="Q8" i="70" s="1"/>
  <c r="H43" i="70" l="1"/>
  <c r="O10" i="70"/>
  <c r="Q10" i="70" s="1"/>
  <c r="O42" i="70"/>
  <c r="O43" i="70" l="1"/>
  <c r="Q43" i="70" s="1"/>
  <c r="P44" i="68"/>
  <c r="O42" i="68"/>
  <c r="G44" i="68" l="1"/>
  <c r="H17" i="68" l="1"/>
  <c r="H12" i="68" l="1"/>
  <c r="H27" i="69" l="1"/>
  <c r="O27" i="69" s="1"/>
  <c r="Q27" i="69" s="1"/>
  <c r="H17" i="69"/>
  <c r="H18" i="69"/>
  <c r="O18" i="69" s="1"/>
  <c r="Q18" i="69" s="1"/>
  <c r="H22" i="69"/>
  <c r="O22" i="69" s="1"/>
  <c r="Q22" i="69" s="1"/>
  <c r="H24" i="69"/>
  <c r="O24" i="69" s="1"/>
  <c r="Q24" i="69" s="1"/>
  <c r="H25" i="69"/>
  <c r="H16" i="69"/>
  <c r="O16" i="69" s="1"/>
  <c r="Q16" i="69" s="1"/>
  <c r="H12" i="69"/>
  <c r="O12" i="69" s="1"/>
  <c r="H9" i="69"/>
  <c r="H8" i="69"/>
  <c r="O28" i="69"/>
  <c r="Q28" i="69" s="1"/>
  <c r="P37" i="69"/>
  <c r="N37" i="69"/>
  <c r="M37" i="69"/>
  <c r="L37" i="69"/>
  <c r="J37" i="69"/>
  <c r="I37" i="69"/>
  <c r="G37" i="69"/>
  <c r="O34" i="69"/>
  <c r="O33" i="69"/>
  <c r="O32" i="69"/>
  <c r="O31" i="69"/>
  <c r="O30" i="69"/>
  <c r="O26" i="69"/>
  <c r="Q26" i="69" s="1"/>
  <c r="O25" i="69"/>
  <c r="Q25" i="69" s="1"/>
  <c r="O23" i="69"/>
  <c r="Q23" i="69" s="1"/>
  <c r="O21" i="69"/>
  <c r="Q21" i="69" s="1"/>
  <c r="O20" i="69"/>
  <c r="Q20" i="69" s="1"/>
  <c r="O19" i="69"/>
  <c r="Q19" i="69" s="1"/>
  <c r="O17" i="69"/>
  <c r="Q17" i="69" s="1"/>
  <c r="O15" i="69"/>
  <c r="Q15" i="69" s="1"/>
  <c r="O14" i="69"/>
  <c r="Q14" i="69" s="1"/>
  <c r="O13" i="69"/>
  <c r="Q13" i="69" s="1"/>
  <c r="O11" i="69"/>
  <c r="Q11" i="69" s="1"/>
  <c r="O10" i="69"/>
  <c r="Q10" i="69" s="1"/>
  <c r="O8" i="69"/>
  <c r="Q8" i="69" s="1"/>
  <c r="H37" i="69" l="1"/>
  <c r="Q12" i="69"/>
  <c r="O9" i="69"/>
  <c r="Q9" i="69" s="1"/>
  <c r="K37" i="69"/>
  <c r="G40" i="66"/>
  <c r="O37" i="69" l="1"/>
  <c r="Q37" i="69" s="1"/>
  <c r="O35" i="68"/>
  <c r="O36" i="68"/>
  <c r="O37" i="68"/>
  <c r="O38" i="68"/>
  <c r="O39" i="68"/>
  <c r="O40" i="68"/>
  <c r="O41" i="68"/>
  <c r="M44" i="68"/>
  <c r="O9" i="68"/>
  <c r="Q9" i="68" s="1"/>
  <c r="O11" i="68"/>
  <c r="Q11" i="68" s="1"/>
  <c r="O12" i="68"/>
  <c r="Q12" i="68" s="1"/>
  <c r="O14" i="68"/>
  <c r="Q14" i="68" s="1"/>
  <c r="O16" i="68"/>
  <c r="Q16" i="68" s="1"/>
  <c r="O17" i="68"/>
  <c r="Q17" i="68" s="1"/>
  <c r="O18" i="68"/>
  <c r="Q18" i="68" s="1"/>
  <c r="O19" i="68"/>
  <c r="Q19" i="68" s="1"/>
  <c r="O21" i="68"/>
  <c r="Q21" i="68" s="1"/>
  <c r="O22" i="68"/>
  <c r="Q22" i="68" s="1"/>
  <c r="O24" i="68"/>
  <c r="Q24" i="68" s="1"/>
  <c r="O25" i="68"/>
  <c r="Q25" i="68" s="1"/>
  <c r="O27" i="68"/>
  <c r="Q27" i="68" s="1"/>
  <c r="O29" i="68"/>
  <c r="Q29" i="68" s="1"/>
  <c r="O31" i="68"/>
  <c r="Q31" i="68" s="1"/>
  <c r="H32" i="68"/>
  <c r="O32" i="68" s="1"/>
  <c r="H30" i="68"/>
  <c r="O30" i="68" s="1"/>
  <c r="Q30" i="68" s="1"/>
  <c r="O13" i="68"/>
  <c r="Q13" i="68" s="1"/>
  <c r="H15" i="68"/>
  <c r="O15" i="68" s="1"/>
  <c r="Q15" i="68" s="1"/>
  <c r="H20" i="68"/>
  <c r="O20" i="68" s="1"/>
  <c r="Q20" i="68" s="1"/>
  <c r="H23" i="68"/>
  <c r="O23" i="68" s="1"/>
  <c r="Q23" i="68" s="1"/>
  <c r="H26" i="68"/>
  <c r="O26" i="68" s="1"/>
  <c r="Q26" i="68" s="1"/>
  <c r="H28" i="68"/>
  <c r="O28" i="68" s="1"/>
  <c r="Q28" i="68" s="1"/>
  <c r="H10" i="68"/>
  <c r="O10" i="68" s="1"/>
  <c r="Q10" i="68" s="1"/>
  <c r="N44" i="68"/>
  <c r="L44" i="68"/>
  <c r="J44" i="68"/>
  <c r="I44" i="68"/>
  <c r="O43" i="68"/>
  <c r="O34" i="68"/>
  <c r="O8" i="68"/>
  <c r="Q8" i="68" s="1"/>
  <c r="O44" i="68" l="1"/>
  <c r="Q44" i="68" s="1"/>
  <c r="Q32" i="68"/>
  <c r="H44" i="68"/>
  <c r="K44" i="68"/>
  <c r="K33" i="67" l="1"/>
  <c r="H27" i="67" l="1"/>
  <c r="P34" i="67" l="1"/>
  <c r="O10" i="67" l="1"/>
  <c r="O12" i="67"/>
  <c r="O13" i="67"/>
  <c r="Q13" i="67" s="1"/>
  <c r="O15" i="67"/>
  <c r="O17" i="67"/>
  <c r="Q17" i="67" s="1"/>
  <c r="O20" i="67"/>
  <c r="O21" i="67"/>
  <c r="O22" i="67"/>
  <c r="O24" i="67"/>
  <c r="Q24" i="67" s="1"/>
  <c r="O27" i="67"/>
  <c r="O8" i="67"/>
  <c r="H26" i="67" l="1"/>
  <c r="O26" i="67" s="1"/>
  <c r="H18" i="67"/>
  <c r="O18" i="67" s="1"/>
  <c r="H19" i="67"/>
  <c r="O19" i="67" s="1"/>
  <c r="H23" i="67"/>
  <c r="O23" i="67" s="1"/>
  <c r="H25" i="67"/>
  <c r="O25" i="67" s="1"/>
  <c r="H16" i="67"/>
  <c r="O16" i="67" s="1"/>
  <c r="H11" i="67"/>
  <c r="O11" i="67" s="1"/>
  <c r="H14" i="67"/>
  <c r="O14" i="67" s="1"/>
  <c r="H9" i="67"/>
  <c r="O9" i="67" s="1"/>
  <c r="N34" i="67" l="1"/>
  <c r="M34" i="67"/>
  <c r="L34" i="67"/>
  <c r="K34" i="67"/>
  <c r="J34" i="67"/>
  <c r="I34" i="67"/>
  <c r="H34" i="67"/>
  <c r="G34" i="67"/>
  <c r="O33" i="67"/>
  <c r="O32" i="67"/>
  <c r="O31" i="67"/>
  <c r="O30" i="67"/>
  <c r="O29" i="67"/>
  <c r="Q27" i="67"/>
  <c r="Q26" i="67"/>
  <c r="Q25" i="67"/>
  <c r="Q23" i="67"/>
  <c r="Q22" i="67"/>
  <c r="Q21" i="67"/>
  <c r="Q20" i="67"/>
  <c r="Q19" i="67"/>
  <c r="Q18" i="67"/>
  <c r="Q16" i="67"/>
  <c r="Q15" i="67"/>
  <c r="Q14" i="67"/>
  <c r="Q12" i="67"/>
  <c r="Q11" i="67"/>
  <c r="Q10" i="67"/>
  <c r="Q9" i="67"/>
  <c r="Q8" i="67"/>
  <c r="O34" i="67" l="1"/>
  <c r="Q34" i="67" s="1"/>
  <c r="O35" i="66"/>
  <c r="L40" i="66"/>
  <c r="N37" i="66" l="1"/>
  <c r="H32" i="66"/>
  <c r="O37" i="66" l="1"/>
  <c r="N40" i="66"/>
  <c r="P40" i="66"/>
  <c r="O39" i="66"/>
  <c r="J32" i="66" l="1"/>
  <c r="J8" i="66" l="1"/>
  <c r="O28" i="66" l="1"/>
  <c r="Q28" i="66" s="1"/>
  <c r="J29" i="66" l="1"/>
  <c r="O29" i="66" s="1"/>
  <c r="Q29" i="66" s="1"/>
  <c r="O25" i="66"/>
  <c r="Q25" i="66" s="1"/>
  <c r="H30" i="66"/>
  <c r="O30" i="66" s="1"/>
  <c r="Q30" i="66" s="1"/>
  <c r="H19" i="66"/>
  <c r="O19" i="66" s="1"/>
  <c r="Q19" i="66" s="1"/>
  <c r="H21" i="66"/>
  <c r="O21" i="66" s="1"/>
  <c r="Q21" i="66" s="1"/>
  <c r="H23" i="66"/>
  <c r="O23" i="66" s="1"/>
  <c r="Q23" i="66" s="1"/>
  <c r="H26" i="66"/>
  <c r="O26" i="66" s="1"/>
  <c r="Q26" i="66" s="1"/>
  <c r="H27" i="66"/>
  <c r="O27" i="66" s="1"/>
  <c r="Q27" i="66" s="1"/>
  <c r="H17" i="66"/>
  <c r="O17" i="66" s="1"/>
  <c r="Q17" i="66" s="1"/>
  <c r="H13" i="66"/>
  <c r="H15" i="66"/>
  <c r="O15" i="66" s="1"/>
  <c r="Q15" i="66" s="1"/>
  <c r="H11" i="66"/>
  <c r="O11" i="66" s="1"/>
  <c r="Q11" i="66" s="1"/>
  <c r="M40" i="66"/>
  <c r="K40" i="66"/>
  <c r="J40" i="66"/>
  <c r="I40" i="66"/>
  <c r="O38" i="66"/>
  <c r="O36" i="66"/>
  <c r="O34" i="66"/>
  <c r="O32" i="66"/>
  <c r="Q32" i="66" s="1"/>
  <c r="O31" i="66"/>
  <c r="O24" i="66"/>
  <c r="Q24" i="66" s="1"/>
  <c r="O22" i="66"/>
  <c r="Q22" i="66" s="1"/>
  <c r="O20" i="66"/>
  <c r="Q20" i="66" s="1"/>
  <c r="O18" i="66"/>
  <c r="Q18" i="66" s="1"/>
  <c r="O16" i="66"/>
  <c r="Q16" i="66" s="1"/>
  <c r="O14" i="66"/>
  <c r="Q14" i="66" s="1"/>
  <c r="O13" i="66"/>
  <c r="Q13" i="66" s="1"/>
  <c r="O12" i="66"/>
  <c r="Q12" i="66" s="1"/>
  <c r="O10" i="66"/>
  <c r="Q10" i="66" s="1"/>
  <c r="O9" i="66"/>
  <c r="O8" i="66"/>
  <c r="Q8" i="66" s="1"/>
  <c r="O7" i="66"/>
  <c r="Q9" i="66" l="1"/>
  <c r="O40" i="66"/>
  <c r="Q40" i="66" s="1"/>
  <c r="Q31" i="66"/>
  <c r="Q7" i="66"/>
  <c r="H40" i="66"/>
  <c r="O38" i="65"/>
  <c r="P41" i="65" l="1"/>
  <c r="K41" i="65"/>
  <c r="L41" i="65"/>
  <c r="J14" i="65"/>
  <c r="O36" i="65" l="1"/>
  <c r="O37" i="65"/>
  <c r="O39" i="65"/>
  <c r="O40" i="65"/>
  <c r="O35" i="65"/>
  <c r="O9" i="65" l="1"/>
  <c r="O11" i="65"/>
  <c r="Q11" i="65" s="1"/>
  <c r="O13" i="65"/>
  <c r="Q13" i="65" s="1"/>
  <c r="O14" i="65"/>
  <c r="O16" i="65"/>
  <c r="Q16" i="65" s="1"/>
  <c r="O18" i="65"/>
  <c r="Q18" i="65" s="1"/>
  <c r="O22" i="65"/>
  <c r="Q22" i="65" s="1"/>
  <c r="O23" i="65"/>
  <c r="Q23" i="65" s="1"/>
  <c r="O26" i="65"/>
  <c r="Q26" i="65" s="1"/>
  <c r="O28" i="65"/>
  <c r="Q28" i="65" s="1"/>
  <c r="O31" i="65"/>
  <c r="Q31" i="65" s="1"/>
  <c r="O32" i="65"/>
  <c r="Q32" i="65" s="1"/>
  <c r="Q9" i="65"/>
  <c r="Q14" i="65" l="1"/>
  <c r="J17" i="65"/>
  <c r="H33" i="65" l="1"/>
  <c r="O33" i="65" s="1"/>
  <c r="Q33" i="65" s="1"/>
  <c r="H10" i="65"/>
  <c r="O10" i="65" s="1"/>
  <c r="H12" i="65"/>
  <c r="O12" i="65" s="1"/>
  <c r="Q12" i="65" s="1"/>
  <c r="H15" i="65"/>
  <c r="O15" i="65" s="1"/>
  <c r="H17" i="65"/>
  <c r="O17" i="65" s="1"/>
  <c r="Q17" i="65" s="1"/>
  <c r="H19" i="65"/>
  <c r="O19" i="65" s="1"/>
  <c r="Q19" i="65" s="1"/>
  <c r="H20" i="65"/>
  <c r="O20" i="65" s="1"/>
  <c r="Q20" i="65" s="1"/>
  <c r="H21" i="65"/>
  <c r="O21" i="65" s="1"/>
  <c r="Q21" i="65" s="1"/>
  <c r="H24" i="65"/>
  <c r="O24" i="65" s="1"/>
  <c r="Q24" i="65" s="1"/>
  <c r="H25" i="65"/>
  <c r="O25" i="65" s="1"/>
  <c r="Q25" i="65" s="1"/>
  <c r="H27" i="65"/>
  <c r="O27" i="65" s="1"/>
  <c r="Q27" i="65" s="1"/>
  <c r="H29" i="65"/>
  <c r="O29" i="65" s="1"/>
  <c r="Q29" i="65" s="1"/>
  <c r="H30" i="65"/>
  <c r="O30" i="65" s="1"/>
  <c r="Q30" i="65" s="1"/>
  <c r="H8" i="65"/>
  <c r="N41" i="65"/>
  <c r="M41" i="65"/>
  <c r="I41" i="65"/>
  <c r="G41" i="65"/>
  <c r="J41" i="65"/>
  <c r="O7" i="65"/>
  <c r="Q15" i="65" l="1"/>
  <c r="H41" i="65"/>
  <c r="Q10" i="65"/>
  <c r="Q7" i="65"/>
  <c r="O8" i="65"/>
  <c r="Q8" i="65" s="1"/>
  <c r="P40" i="64"/>
  <c r="K40" i="64"/>
  <c r="L40" i="64"/>
  <c r="O38" i="64"/>
  <c r="O41" i="65" l="1"/>
  <c r="Q41" i="65" s="1"/>
  <c r="Q41" i="63"/>
  <c r="P39" i="63"/>
  <c r="N39" i="63"/>
  <c r="M39" i="63"/>
  <c r="L39" i="63"/>
  <c r="K39" i="63"/>
  <c r="I39" i="63"/>
  <c r="G39" i="63"/>
  <c r="O38" i="63"/>
  <c r="Q38" i="63" s="1"/>
  <c r="Q37" i="63"/>
  <c r="O37" i="63"/>
  <c r="O36" i="63"/>
  <c r="Q36" i="63" s="1"/>
  <c r="O35" i="63"/>
  <c r="Q35" i="63" s="1"/>
  <c r="O34" i="63"/>
  <c r="Q34" i="63" s="1"/>
  <c r="O33" i="63"/>
  <c r="Q33" i="63" s="1"/>
  <c r="O32" i="63"/>
  <c r="Q32" i="63" s="1"/>
  <c r="O31" i="63"/>
  <c r="Q31" i="63" s="1"/>
  <c r="O30" i="63"/>
  <c r="Q30" i="63" s="1"/>
  <c r="O29" i="63"/>
  <c r="Q29" i="63" s="1"/>
  <c r="O28" i="63"/>
  <c r="Q28" i="63" s="1"/>
  <c r="O27" i="63"/>
  <c r="Q27" i="63" s="1"/>
  <c r="O26" i="63"/>
  <c r="Q26" i="63" s="1"/>
  <c r="H25" i="63"/>
  <c r="O25" i="63" s="1"/>
  <c r="Q25" i="63" s="1"/>
  <c r="H24" i="63"/>
  <c r="O24" i="63" s="1"/>
  <c r="Q24" i="63" s="1"/>
  <c r="O23" i="63"/>
  <c r="Q23" i="63" s="1"/>
  <c r="H22" i="63"/>
  <c r="O22" i="63" s="1"/>
  <c r="Q22" i="63" s="1"/>
  <c r="H21" i="63"/>
  <c r="O21" i="63" s="1"/>
  <c r="Q21" i="63" s="1"/>
  <c r="O20" i="63"/>
  <c r="Q20" i="63" s="1"/>
  <c r="O19" i="63"/>
  <c r="Q19" i="63" s="1"/>
  <c r="H18" i="63"/>
  <c r="O18" i="63" s="1"/>
  <c r="Q18" i="63" s="1"/>
  <c r="O17" i="63"/>
  <c r="Q17" i="63" s="1"/>
  <c r="O16" i="63"/>
  <c r="Q16" i="63" s="1"/>
  <c r="H15" i="63"/>
  <c r="O15" i="63" s="1"/>
  <c r="Q15" i="63" s="1"/>
  <c r="H14" i="63"/>
  <c r="O14" i="63" s="1"/>
  <c r="Q14" i="63" s="1"/>
  <c r="O13" i="63"/>
  <c r="Q13" i="63" s="1"/>
  <c r="J12" i="63"/>
  <c r="J39" i="63" s="1"/>
  <c r="H11" i="63"/>
  <c r="O11" i="63" s="1"/>
  <c r="Q11" i="63" s="1"/>
  <c r="O10" i="63"/>
  <c r="Q10" i="63" s="1"/>
  <c r="H9" i="63"/>
  <c r="O8" i="63"/>
  <c r="Q8" i="63" s="1"/>
  <c r="O7" i="63"/>
  <c r="Q7" i="63" s="1"/>
  <c r="H39" i="63" l="1"/>
  <c r="O9" i="63"/>
  <c r="Q9" i="63" s="1"/>
  <c r="O12" i="63"/>
  <c r="Q12" i="63" s="1"/>
  <c r="Q39" i="63" l="1"/>
  <c r="O39" i="63"/>
  <c r="O10" i="64"/>
  <c r="Q10" i="64" s="1"/>
  <c r="O11" i="64"/>
  <c r="Q11" i="64" s="1"/>
  <c r="O13" i="64"/>
  <c r="Q13" i="64" s="1"/>
  <c r="O17" i="64"/>
  <c r="Q17" i="64" s="1"/>
  <c r="O18" i="64"/>
  <c r="Q18" i="64" s="1"/>
  <c r="O20" i="64"/>
  <c r="Q20" i="64" s="1"/>
  <c r="O23" i="64"/>
  <c r="Q23" i="64" s="1"/>
  <c r="O24" i="64"/>
  <c r="Q24" i="64" s="1"/>
  <c r="O27" i="64"/>
  <c r="Q27" i="64" s="1"/>
  <c r="O28" i="64"/>
  <c r="Q28" i="64" s="1"/>
  <c r="J26" i="64"/>
  <c r="O19" i="64"/>
  <c r="Q19" i="64" s="1"/>
  <c r="H29" i="64"/>
  <c r="O29" i="64" s="1"/>
  <c r="Q29" i="64" s="1"/>
  <c r="H21" i="64"/>
  <c r="O21" i="64" s="1"/>
  <c r="Q21" i="64" s="1"/>
  <c r="H22" i="64"/>
  <c r="O22" i="64" s="1"/>
  <c r="Q22" i="64" s="1"/>
  <c r="H25" i="64"/>
  <c r="O25" i="64" s="1"/>
  <c r="Q25" i="64" s="1"/>
  <c r="H26" i="64"/>
  <c r="O26" i="64" s="1"/>
  <c r="Q26" i="64" s="1"/>
  <c r="H16" i="64"/>
  <c r="O16" i="64" s="1"/>
  <c r="Q16" i="64" s="1"/>
  <c r="H9" i="64"/>
  <c r="O9" i="64" s="1"/>
  <c r="H12" i="64"/>
  <c r="O12" i="64" s="1"/>
  <c r="Q12" i="64" s="1"/>
  <c r="H14" i="64"/>
  <c r="O14" i="64" s="1"/>
  <c r="Q14" i="64" s="1"/>
  <c r="H15" i="64"/>
  <c r="O15" i="64" s="1"/>
  <c r="Q15" i="64" s="1"/>
  <c r="H8" i="64"/>
  <c r="O8" i="64" s="1"/>
  <c r="Q8" i="64" s="1"/>
  <c r="M40" i="64"/>
  <c r="J40" i="64"/>
  <c r="I40" i="64"/>
  <c r="G40" i="64"/>
  <c r="O39" i="64"/>
  <c r="O37" i="64"/>
  <c r="O36" i="64"/>
  <c r="O35" i="64"/>
  <c r="O34" i="64"/>
  <c r="O33" i="64"/>
  <c r="O32" i="64"/>
  <c r="O7" i="64"/>
  <c r="Q7" i="64" s="1"/>
  <c r="H40" i="64" l="1"/>
  <c r="Q9" i="64"/>
  <c r="O40" i="64"/>
  <c r="Q40" i="64" s="1"/>
  <c r="Q42" i="64" s="1"/>
  <c r="Q43" i="65" s="1"/>
  <c r="Q42" i="66" s="1"/>
  <c r="Q36" i="67" s="1"/>
  <c r="Q46" i="68" s="1"/>
  <c r="Q39" i="69" s="1"/>
  <c r="N40" i="64"/>
  <c r="Q45" i="70" l="1"/>
  <c r="N47" i="62"/>
  <c r="O47" i="62" l="1"/>
  <c r="Q47" i="62" s="1"/>
  <c r="J11" i="62" l="1"/>
  <c r="H27" i="62" l="1"/>
  <c r="H29" i="62"/>
  <c r="O9" i="62" l="1"/>
  <c r="Q9" i="62" s="1"/>
  <c r="O12" i="62"/>
  <c r="Q12" i="62" s="1"/>
  <c r="O13" i="62"/>
  <c r="Q13" i="62" s="1"/>
  <c r="O16" i="62"/>
  <c r="Q16" i="62" s="1"/>
  <c r="O20" i="62"/>
  <c r="Q20" i="62" s="1"/>
  <c r="O21" i="62"/>
  <c r="Q21" i="62" s="1"/>
  <c r="O23" i="62"/>
  <c r="Q23" i="62" s="1"/>
  <c r="O25" i="62"/>
  <c r="Q25" i="62" s="1"/>
  <c r="O26" i="62"/>
  <c r="Q26" i="62" s="1"/>
  <c r="O27" i="62"/>
  <c r="Q27" i="62" s="1"/>
  <c r="O29" i="62"/>
  <c r="Q29" i="62" s="1"/>
  <c r="O30" i="62"/>
  <c r="Q30" i="62" s="1"/>
  <c r="O31" i="62"/>
  <c r="Q31" i="62" s="1"/>
  <c r="O32" i="62"/>
  <c r="Q32" i="62" s="1"/>
  <c r="O33" i="62"/>
  <c r="Q33" i="62" s="1"/>
  <c r="O34" i="62"/>
  <c r="Q34" i="62" s="1"/>
  <c r="O35" i="62"/>
  <c r="Q35" i="62" s="1"/>
  <c r="O36" i="62"/>
  <c r="Q36" i="62" s="1"/>
  <c r="O37" i="62"/>
  <c r="Q37" i="62" s="1"/>
  <c r="O38" i="62"/>
  <c r="Q38" i="62" s="1"/>
  <c r="O39" i="62"/>
  <c r="Q39" i="62" s="1"/>
  <c r="O40" i="62"/>
  <c r="Q40" i="62" s="1"/>
  <c r="O41" i="62"/>
  <c r="Q41" i="62" s="1"/>
  <c r="O42" i="62"/>
  <c r="Q42" i="62" s="1"/>
  <c r="O43" i="62"/>
  <c r="Q43" i="62" s="1"/>
  <c r="O44" i="62"/>
  <c r="Q44" i="62" s="1"/>
  <c r="O45" i="62"/>
  <c r="Q45" i="62" s="1"/>
  <c r="O46" i="62"/>
  <c r="Q46" i="62" s="1"/>
  <c r="O48" i="62"/>
  <c r="Q48" i="62" s="1"/>
  <c r="J28" i="62"/>
  <c r="O28" i="62" s="1"/>
  <c r="Q28" i="62" s="1"/>
  <c r="J22" i="62"/>
  <c r="H22" i="62" l="1"/>
  <c r="O22" i="62" s="1"/>
  <c r="Q22" i="62" s="1"/>
  <c r="H24" i="62"/>
  <c r="O24" i="62" s="1"/>
  <c r="Q24" i="62" s="1"/>
  <c r="H19" i="62"/>
  <c r="O19" i="62" s="1"/>
  <c r="Q19" i="62" s="1"/>
  <c r="H10" i="62"/>
  <c r="O10" i="62" s="1"/>
  <c r="Q10" i="62" s="1"/>
  <c r="H11" i="62"/>
  <c r="O11" i="62" s="1"/>
  <c r="Q11" i="62" s="1"/>
  <c r="H14" i="62"/>
  <c r="O14" i="62" s="1"/>
  <c r="Q14" i="62" s="1"/>
  <c r="H15" i="62"/>
  <c r="O15" i="62" s="1"/>
  <c r="Q15" i="62" s="1"/>
  <c r="H17" i="62"/>
  <c r="O17" i="62" s="1"/>
  <c r="Q17" i="62" s="1"/>
  <c r="H18" i="62"/>
  <c r="O18" i="62" s="1"/>
  <c r="Q18" i="62" s="1"/>
  <c r="H8" i="62"/>
  <c r="P49" i="62"/>
  <c r="N49" i="62"/>
  <c r="M49" i="62"/>
  <c r="L49" i="62"/>
  <c r="K49" i="62"/>
  <c r="I49" i="62"/>
  <c r="G49" i="62"/>
  <c r="J49" i="62"/>
  <c r="O8" i="62"/>
  <c r="Q8" i="62" s="1"/>
  <c r="O7" i="62"/>
  <c r="Q7" i="62" s="1"/>
  <c r="H49" i="62" l="1"/>
  <c r="O49" i="62"/>
  <c r="Q49" i="62"/>
  <c r="O9" i="61"/>
  <c r="Q9" i="61" s="1"/>
  <c r="O19" i="61"/>
  <c r="Q19" i="61" s="1"/>
  <c r="O26" i="61"/>
  <c r="Q26" i="61" s="1"/>
  <c r="O27" i="61"/>
  <c r="Q27" i="61" s="1"/>
  <c r="O29" i="61"/>
  <c r="Q29" i="61" s="1"/>
  <c r="O30" i="61"/>
  <c r="Q30" i="61" s="1"/>
  <c r="O31" i="61"/>
  <c r="Q31" i="61" s="1"/>
  <c r="O32" i="61"/>
  <c r="Q32" i="61" s="1"/>
  <c r="O33" i="61"/>
  <c r="Q33" i="61" s="1"/>
  <c r="O34" i="61"/>
  <c r="Q34" i="61" s="1"/>
  <c r="O35" i="61"/>
  <c r="Q35" i="61" s="1"/>
  <c r="J14" i="61"/>
  <c r="J10" i="61"/>
  <c r="H28" i="61"/>
  <c r="O28" i="61" s="1"/>
  <c r="Q28" i="61" s="1"/>
  <c r="H21" i="61"/>
  <c r="O21" i="61" s="1"/>
  <c r="Q21" i="61" s="1"/>
  <c r="H22" i="61"/>
  <c r="O22" i="61" s="1"/>
  <c r="Q22" i="61" s="1"/>
  <c r="H23" i="61"/>
  <c r="O23" i="61" s="1"/>
  <c r="Q23" i="61" s="1"/>
  <c r="H24" i="61"/>
  <c r="O24" i="61" s="1"/>
  <c r="Q24" i="61" s="1"/>
  <c r="H25" i="61"/>
  <c r="O25" i="61" s="1"/>
  <c r="Q25" i="61" s="1"/>
  <c r="H20" i="61"/>
  <c r="O20" i="61" s="1"/>
  <c r="Q20" i="61" s="1"/>
  <c r="H11" i="61"/>
  <c r="O11" i="61" s="1"/>
  <c r="Q11" i="61" s="1"/>
  <c r="H12" i="61"/>
  <c r="O12" i="61" s="1"/>
  <c r="Q12" i="61" s="1"/>
  <c r="H13" i="61"/>
  <c r="O13" i="61" s="1"/>
  <c r="Q13" i="61" s="1"/>
  <c r="H14" i="61"/>
  <c r="O14" i="61" s="1"/>
  <c r="Q14" i="61" s="1"/>
  <c r="H15" i="61"/>
  <c r="O15" i="61" s="1"/>
  <c r="Q15" i="61" s="1"/>
  <c r="H16" i="61"/>
  <c r="O16" i="61" s="1"/>
  <c r="Q16" i="61" s="1"/>
  <c r="H17" i="61"/>
  <c r="O17" i="61" s="1"/>
  <c r="Q17" i="61" s="1"/>
  <c r="H18" i="61"/>
  <c r="O18" i="61" s="1"/>
  <c r="Q18" i="61" s="1"/>
  <c r="H10" i="61"/>
  <c r="O10" i="61" s="1"/>
  <c r="Q10" i="61" s="1"/>
  <c r="O8" i="61" l="1"/>
  <c r="P36" i="61" l="1"/>
  <c r="N36" i="61"/>
  <c r="M36" i="61"/>
  <c r="L36" i="61"/>
  <c r="K36" i="61"/>
  <c r="I36" i="61"/>
  <c r="G36" i="61"/>
  <c r="J36" i="61"/>
  <c r="Q8" i="61"/>
  <c r="H36" i="61"/>
  <c r="O7" i="61"/>
  <c r="Q7" i="61" s="1"/>
  <c r="Q36" i="61" l="1"/>
  <c r="O36" i="61" l="1"/>
  <c r="J23" i="60"/>
  <c r="J21" i="60"/>
  <c r="H26" i="60"/>
  <c r="P31" i="59" l="1"/>
  <c r="N31" i="59"/>
  <c r="M31" i="59"/>
  <c r="L31" i="59"/>
  <c r="K31" i="59"/>
  <c r="J31" i="59"/>
  <c r="I31" i="59"/>
  <c r="G31" i="59"/>
  <c r="O30" i="59"/>
  <c r="Q30" i="59" s="1"/>
  <c r="O29" i="59"/>
  <c r="Q29" i="59" s="1"/>
  <c r="O28" i="59"/>
  <c r="Q28" i="59" s="1"/>
  <c r="O27" i="59"/>
  <c r="Q27" i="59" s="1"/>
  <c r="O26" i="59"/>
  <c r="Q26" i="59" s="1"/>
  <c r="O25" i="59"/>
  <c r="Q25" i="59" s="1"/>
  <c r="O24" i="59"/>
  <c r="Q24" i="59" s="1"/>
  <c r="O23" i="59"/>
  <c r="Q23" i="59" s="1"/>
  <c r="O22" i="59"/>
  <c r="Q22" i="59" s="1"/>
  <c r="H21" i="59"/>
  <c r="O21" i="59" s="1"/>
  <c r="Q21" i="59" s="1"/>
  <c r="H20" i="59"/>
  <c r="O20" i="59" s="1"/>
  <c r="Q20" i="59" s="1"/>
  <c r="O19" i="59"/>
  <c r="Q19" i="59" s="1"/>
  <c r="H18" i="59"/>
  <c r="O18" i="59" s="1"/>
  <c r="Q18" i="59" s="1"/>
  <c r="O17" i="59"/>
  <c r="Q17" i="59" s="1"/>
  <c r="O16" i="59"/>
  <c r="Q16" i="59" s="1"/>
  <c r="O15" i="59"/>
  <c r="Q15" i="59" s="1"/>
  <c r="H14" i="59"/>
  <c r="O14" i="59" s="1"/>
  <c r="Q14" i="59" s="1"/>
  <c r="O13" i="59"/>
  <c r="Q13" i="59" s="1"/>
  <c r="O12" i="59"/>
  <c r="Q12" i="59" s="1"/>
  <c r="H11" i="59"/>
  <c r="O11" i="59" s="1"/>
  <c r="Q11" i="59" s="1"/>
  <c r="O10" i="59"/>
  <c r="Q10" i="59" s="1"/>
  <c r="H9" i="59"/>
  <c r="O8" i="59"/>
  <c r="Q8" i="59" s="1"/>
  <c r="O7" i="59"/>
  <c r="Q7" i="59" s="1"/>
  <c r="H31" i="59" l="1"/>
  <c r="O9" i="59"/>
  <c r="Q9" i="59" s="1"/>
  <c r="Q31" i="59" s="1"/>
  <c r="Q33" i="59" s="1"/>
  <c r="O9" i="60"/>
  <c r="Q9" i="60" s="1"/>
  <c r="O10" i="60"/>
  <c r="Q10" i="60" s="1"/>
  <c r="O11" i="60"/>
  <c r="Q11" i="60" s="1"/>
  <c r="O13" i="60"/>
  <c r="Q13" i="60" s="1"/>
  <c r="O15" i="60"/>
  <c r="Q15" i="60" s="1"/>
  <c r="O17" i="60"/>
  <c r="Q17" i="60" s="1"/>
  <c r="O18" i="60"/>
  <c r="Q18" i="60" s="1"/>
  <c r="O20" i="60"/>
  <c r="Q20" i="60" s="1"/>
  <c r="O24" i="60"/>
  <c r="Q24" i="60" s="1"/>
  <c r="O26" i="60"/>
  <c r="Q26" i="60" s="1"/>
  <c r="O27" i="60"/>
  <c r="Q27" i="60" s="1"/>
  <c r="O28" i="60"/>
  <c r="Q28" i="60" s="1"/>
  <c r="O29" i="60"/>
  <c r="Q29" i="60" s="1"/>
  <c r="O21" i="60"/>
  <c r="Q21" i="60" s="1"/>
  <c r="H19" i="60"/>
  <c r="H22" i="60"/>
  <c r="O22" i="60" s="1"/>
  <c r="Q22" i="60" s="1"/>
  <c r="H23" i="60"/>
  <c r="O23" i="60" s="1"/>
  <c r="Q23" i="60" s="1"/>
  <c r="H25" i="60"/>
  <c r="O25" i="60" s="1"/>
  <c r="Q25" i="60" s="1"/>
  <c r="H16" i="60"/>
  <c r="O16" i="60" s="1"/>
  <c r="Q16" i="60" s="1"/>
  <c r="H12" i="60"/>
  <c r="O12" i="60" s="1"/>
  <c r="Q12" i="60" s="1"/>
  <c r="H14" i="60"/>
  <c r="O14" i="60" s="1"/>
  <c r="Q14" i="60" s="1"/>
  <c r="H8" i="60"/>
  <c r="O8" i="60" s="1"/>
  <c r="Q8" i="60" s="1"/>
  <c r="P30" i="60"/>
  <c r="N30" i="60"/>
  <c r="M30" i="60"/>
  <c r="L30" i="60"/>
  <c r="K30" i="60"/>
  <c r="I30" i="60"/>
  <c r="G30" i="60"/>
  <c r="O7" i="60"/>
  <c r="Q7" i="60" s="1"/>
  <c r="H30" i="60" l="1"/>
  <c r="O19" i="60"/>
  <c r="Q19" i="60" s="1"/>
  <c r="Q30" i="60" s="1"/>
  <c r="Q32" i="60" s="1"/>
  <c r="Q38" i="61" s="1"/>
  <c r="Q51" i="62" s="1"/>
  <c r="J30" i="60"/>
  <c r="O31" i="59"/>
  <c r="O30" i="60" l="1"/>
  <c r="O40" i="58"/>
  <c r="Q40" i="58" s="1"/>
  <c r="J15" i="58"/>
  <c r="H34" i="58" l="1"/>
  <c r="O37" i="58" l="1"/>
  <c r="Q37" i="58" s="1"/>
  <c r="O38" i="58"/>
  <c r="Q38" i="58" s="1"/>
  <c r="O39" i="58"/>
  <c r="Q39" i="58" s="1"/>
  <c r="O42" i="58"/>
  <c r="Q42" i="58" s="1"/>
  <c r="O43" i="58"/>
  <c r="Q43" i="58" s="1"/>
  <c r="O9" i="58" l="1"/>
  <c r="O11" i="58"/>
  <c r="O12" i="58"/>
  <c r="O14" i="58"/>
  <c r="O17" i="58"/>
  <c r="O18" i="58"/>
  <c r="O20" i="58"/>
  <c r="O21" i="58"/>
  <c r="O24" i="58"/>
  <c r="O25" i="58"/>
  <c r="O27" i="58"/>
  <c r="O30" i="58"/>
  <c r="O31" i="58"/>
  <c r="O33" i="58"/>
  <c r="O34" i="58"/>
  <c r="O35" i="58"/>
  <c r="O36" i="58"/>
  <c r="Q36" i="58" s="1"/>
  <c r="N41" i="58"/>
  <c r="O41" i="58" s="1"/>
  <c r="Q41" i="58" s="1"/>
  <c r="Q9" i="58" l="1"/>
  <c r="Q11" i="58"/>
  <c r="Q12" i="58"/>
  <c r="Q14" i="58"/>
  <c r="Q17" i="58"/>
  <c r="Q18" i="58"/>
  <c r="Q20" i="58"/>
  <c r="Q21" i="58"/>
  <c r="Q24" i="58"/>
  <c r="Q25" i="58"/>
  <c r="Q27" i="58"/>
  <c r="Q30" i="58"/>
  <c r="Q31" i="58"/>
  <c r="Q33" i="58"/>
  <c r="Q34" i="58"/>
  <c r="Q35" i="58"/>
  <c r="J13" i="58" l="1"/>
  <c r="H32" i="58"/>
  <c r="O32" i="58" s="1"/>
  <c r="Q32" i="58" s="1"/>
  <c r="H23" i="58"/>
  <c r="O23" i="58" s="1"/>
  <c r="Q23" i="58" s="1"/>
  <c r="H26" i="58"/>
  <c r="O26" i="58" s="1"/>
  <c r="Q26" i="58" s="1"/>
  <c r="H28" i="58"/>
  <c r="O28" i="58" s="1"/>
  <c r="Q28" i="58" s="1"/>
  <c r="H29" i="58"/>
  <c r="O29" i="58" s="1"/>
  <c r="Q29" i="58" s="1"/>
  <c r="H22" i="58"/>
  <c r="O22" i="58" s="1"/>
  <c r="Q22" i="58" s="1"/>
  <c r="H13" i="58"/>
  <c r="H15" i="58"/>
  <c r="H16" i="58"/>
  <c r="O16" i="58" s="1"/>
  <c r="Q16" i="58" s="1"/>
  <c r="H19" i="58"/>
  <c r="O19" i="58" s="1"/>
  <c r="Q19" i="58" s="1"/>
  <c r="H10" i="58"/>
  <c r="O10" i="58" s="1"/>
  <c r="Q10" i="58" s="1"/>
  <c r="O13" i="58" l="1"/>
  <c r="Q13" i="58" s="1"/>
  <c r="O15" i="58"/>
  <c r="Q15" i="58" s="1"/>
  <c r="P44" i="58"/>
  <c r="N44" i="58"/>
  <c r="M44" i="58"/>
  <c r="L44" i="58"/>
  <c r="K44" i="58"/>
  <c r="I44" i="58"/>
  <c r="G44" i="58"/>
  <c r="J44" i="58"/>
  <c r="H44" i="58"/>
  <c r="O7" i="58"/>
  <c r="Q7" i="58" l="1"/>
  <c r="O8" i="58"/>
  <c r="Q8" i="58" s="1"/>
  <c r="O44" i="58" l="1"/>
  <c r="Q44" i="58"/>
  <c r="H33" i="57" l="1"/>
  <c r="O16" i="57" l="1"/>
  <c r="Q16" i="57" s="1"/>
  <c r="O18" i="57"/>
  <c r="Q18" i="57" s="1"/>
  <c r="O20" i="57"/>
  <c r="Q20" i="57" s="1"/>
  <c r="O22" i="57"/>
  <c r="Q22" i="57" s="1"/>
  <c r="O24" i="57"/>
  <c r="Q24" i="57" s="1"/>
  <c r="O25" i="57"/>
  <c r="Q25" i="57" s="1"/>
  <c r="O27" i="57"/>
  <c r="Q27" i="57" s="1"/>
  <c r="O28" i="57"/>
  <c r="Q28" i="57" s="1"/>
  <c r="O30" i="57"/>
  <c r="Q30" i="57" s="1"/>
  <c r="O32" i="57"/>
  <c r="Q32" i="57" s="1"/>
  <c r="O33" i="57"/>
  <c r="Q33" i="57" s="1"/>
  <c r="O34" i="57"/>
  <c r="Q34" i="57" s="1"/>
  <c r="O35" i="57"/>
  <c r="Q35" i="57" s="1"/>
  <c r="O36" i="57"/>
  <c r="Q36" i="57" s="1"/>
  <c r="O37" i="57"/>
  <c r="Q37" i="57" s="1"/>
  <c r="O38" i="57"/>
  <c r="Q38" i="57" s="1"/>
  <c r="O39" i="57"/>
  <c r="Q39" i="57" s="1"/>
  <c r="J14" i="57"/>
  <c r="O14" i="57" s="1"/>
  <c r="Q14" i="57" s="1"/>
  <c r="H23" i="57"/>
  <c r="O23" i="57" s="1"/>
  <c r="Q23" i="57" s="1"/>
  <c r="H26" i="57"/>
  <c r="O26" i="57" s="1"/>
  <c r="Q26" i="57" s="1"/>
  <c r="H29" i="57"/>
  <c r="O29" i="57" s="1"/>
  <c r="Q29" i="57" s="1"/>
  <c r="H31" i="57"/>
  <c r="O31" i="57" s="1"/>
  <c r="Q31" i="57" s="1"/>
  <c r="H21" i="57"/>
  <c r="O21" i="57" s="1"/>
  <c r="Q21" i="57" s="1"/>
  <c r="H10" i="57"/>
  <c r="O10" i="57" s="1"/>
  <c r="Q10" i="57" s="1"/>
  <c r="H11" i="57"/>
  <c r="O11" i="57" s="1"/>
  <c r="Q11" i="57" s="1"/>
  <c r="H15" i="57"/>
  <c r="O15" i="57" s="1"/>
  <c r="Q15" i="57" s="1"/>
  <c r="H17" i="57"/>
  <c r="O17" i="57" s="1"/>
  <c r="Q17" i="57" s="1"/>
  <c r="H19" i="57"/>
  <c r="O19" i="57" s="1"/>
  <c r="Q19" i="57" s="1"/>
  <c r="H8" i="57"/>
  <c r="O8" i="57" s="1"/>
  <c r="Q8" i="57" s="1"/>
  <c r="P40" i="57"/>
  <c r="N40" i="57"/>
  <c r="M40" i="57"/>
  <c r="L40" i="57"/>
  <c r="K40" i="57"/>
  <c r="I40" i="57"/>
  <c r="G40" i="57"/>
  <c r="O13" i="57"/>
  <c r="Q13" i="57" s="1"/>
  <c r="O12" i="57"/>
  <c r="Q12" i="57" s="1"/>
  <c r="O9" i="57"/>
  <c r="Q9" i="57" s="1"/>
  <c r="O7" i="57"/>
  <c r="Q7" i="57" s="1"/>
  <c r="J40" i="57" l="1"/>
  <c r="Q40" i="57"/>
  <c r="H40" i="57"/>
  <c r="O40" i="57" l="1"/>
  <c r="O10" i="56"/>
  <c r="Q10" i="56" s="1"/>
  <c r="O13" i="56"/>
  <c r="Q13" i="56" s="1"/>
  <c r="O14" i="56"/>
  <c r="Q14" i="56" s="1"/>
  <c r="O16" i="56"/>
  <c r="Q16" i="56" s="1"/>
  <c r="O17" i="56"/>
  <c r="Q17" i="56" s="1"/>
  <c r="O27" i="56"/>
  <c r="Q27" i="56" s="1"/>
  <c r="O28" i="56"/>
  <c r="Q28" i="56" s="1"/>
  <c r="O29" i="56"/>
  <c r="Q29" i="56" s="1"/>
  <c r="O30" i="56"/>
  <c r="Q30" i="56" s="1"/>
  <c r="O31" i="56"/>
  <c r="Q31" i="56" s="1"/>
  <c r="O32" i="56"/>
  <c r="Q32" i="56" s="1"/>
  <c r="O33" i="56"/>
  <c r="Q33" i="56" s="1"/>
  <c r="O34" i="56"/>
  <c r="Q34" i="56" s="1"/>
  <c r="O35" i="56"/>
  <c r="Q35" i="56" s="1"/>
  <c r="O36" i="56"/>
  <c r="Q36" i="56" s="1"/>
  <c r="O37" i="56"/>
  <c r="Q37" i="56" s="1"/>
  <c r="O38" i="56"/>
  <c r="Q38" i="56" s="1"/>
  <c r="O39" i="56"/>
  <c r="Q39" i="56" s="1"/>
  <c r="P40" i="56"/>
  <c r="J18" i="56" l="1"/>
  <c r="H19" i="56" l="1"/>
  <c r="O19" i="56" s="1"/>
  <c r="Q19" i="56" s="1"/>
  <c r="H20" i="56"/>
  <c r="O20" i="56" s="1"/>
  <c r="Q20" i="56" s="1"/>
  <c r="H21" i="56"/>
  <c r="O21" i="56" s="1"/>
  <c r="Q21" i="56" s="1"/>
  <c r="H22" i="56"/>
  <c r="O22" i="56" s="1"/>
  <c r="Q22" i="56" s="1"/>
  <c r="H23" i="56"/>
  <c r="O23" i="56" s="1"/>
  <c r="Q23" i="56" s="1"/>
  <c r="H24" i="56"/>
  <c r="O24" i="56" s="1"/>
  <c r="Q24" i="56" s="1"/>
  <c r="H25" i="56"/>
  <c r="O25" i="56" s="1"/>
  <c r="Q25" i="56" s="1"/>
  <c r="H26" i="56"/>
  <c r="O26" i="56" s="1"/>
  <c r="Q26" i="56" s="1"/>
  <c r="H18" i="56"/>
  <c r="O18" i="56" s="1"/>
  <c r="Q18" i="56" s="1"/>
  <c r="H11" i="56"/>
  <c r="O11" i="56" s="1"/>
  <c r="Q11" i="56" s="1"/>
  <c r="H12" i="56"/>
  <c r="O12" i="56" s="1"/>
  <c r="Q12" i="56" s="1"/>
  <c r="H15" i="56"/>
  <c r="O15" i="56" s="1"/>
  <c r="Q15" i="56" s="1"/>
  <c r="H9" i="56"/>
  <c r="O9" i="56" s="1"/>
  <c r="Q9" i="56" s="1"/>
  <c r="M40" i="56"/>
  <c r="L40" i="56"/>
  <c r="K40" i="56"/>
  <c r="J40" i="56"/>
  <c r="I40" i="56"/>
  <c r="G40" i="56"/>
  <c r="N40" i="56"/>
  <c r="O8" i="56"/>
  <c r="Q8" i="56" s="1"/>
  <c r="O7" i="56"/>
  <c r="Q7" i="56" s="1"/>
  <c r="H40" i="56" l="1"/>
  <c r="Q40" i="56"/>
  <c r="O40" i="56"/>
  <c r="P44" i="55"/>
  <c r="O10" i="55" l="1"/>
  <c r="Q10" i="55" s="1"/>
  <c r="O11" i="55"/>
  <c r="Q11" i="55" s="1"/>
  <c r="O13" i="55"/>
  <c r="Q13" i="55" s="1"/>
  <c r="O15" i="55"/>
  <c r="Q15" i="55" s="1"/>
  <c r="O16" i="55"/>
  <c r="Q16" i="55" s="1"/>
  <c r="O18" i="55"/>
  <c r="Q18" i="55" s="1"/>
  <c r="O20" i="55"/>
  <c r="Q20" i="55" s="1"/>
  <c r="O23" i="55"/>
  <c r="Q23" i="55" s="1"/>
  <c r="O27" i="55"/>
  <c r="Q27" i="55" s="1"/>
  <c r="O30" i="55"/>
  <c r="Q30" i="55" s="1"/>
  <c r="O31" i="55"/>
  <c r="Q31" i="55" s="1"/>
  <c r="O32" i="55"/>
  <c r="Q32" i="55" s="1"/>
  <c r="O33" i="55"/>
  <c r="Q33" i="55" s="1"/>
  <c r="O34" i="55"/>
  <c r="Q34" i="55" s="1"/>
  <c r="O35" i="55"/>
  <c r="Q35" i="55" s="1"/>
  <c r="O36" i="55"/>
  <c r="Q36" i="55" s="1"/>
  <c r="O37" i="55"/>
  <c r="Q37" i="55" s="1"/>
  <c r="O38" i="55"/>
  <c r="Q38" i="55" s="1"/>
  <c r="O40" i="55"/>
  <c r="Q40" i="55" s="1"/>
  <c r="O41" i="55"/>
  <c r="Q41" i="55" s="1"/>
  <c r="O42" i="55"/>
  <c r="Q42" i="55" s="1"/>
  <c r="O43" i="55"/>
  <c r="Q43" i="55" s="1"/>
  <c r="H21" i="55"/>
  <c r="O21" i="55" s="1"/>
  <c r="Q21" i="55" s="1"/>
  <c r="H22" i="55"/>
  <c r="O22" i="55" s="1"/>
  <c r="Q22" i="55" s="1"/>
  <c r="H24" i="55"/>
  <c r="O24" i="55" s="1"/>
  <c r="Q24" i="55" s="1"/>
  <c r="H25" i="55"/>
  <c r="O25" i="55" s="1"/>
  <c r="Q25" i="55" s="1"/>
  <c r="H26" i="55"/>
  <c r="O26" i="55" s="1"/>
  <c r="Q26" i="55" s="1"/>
  <c r="H28" i="55"/>
  <c r="O28" i="55" s="1"/>
  <c r="Q28" i="55" s="1"/>
  <c r="H29" i="55"/>
  <c r="H19" i="55"/>
  <c r="O19" i="55" s="1"/>
  <c r="Q19" i="55" s="1"/>
  <c r="H12" i="55"/>
  <c r="O12" i="55" s="1"/>
  <c r="Q12" i="55" s="1"/>
  <c r="H14" i="55"/>
  <c r="O14" i="55" s="1"/>
  <c r="Q14" i="55" s="1"/>
  <c r="H17" i="55"/>
  <c r="O17" i="55" s="1"/>
  <c r="Q17" i="55" s="1"/>
  <c r="H9" i="55"/>
  <c r="O9" i="55" s="1"/>
  <c r="Q9" i="55" s="1"/>
  <c r="H33" i="54" l="1"/>
  <c r="J29" i="55"/>
  <c r="O29" i="55" s="1"/>
  <c r="Q29" i="55" s="1"/>
  <c r="M44" i="55" l="1"/>
  <c r="L44" i="55"/>
  <c r="K44" i="55"/>
  <c r="J44" i="55"/>
  <c r="I44" i="55"/>
  <c r="H44" i="55"/>
  <c r="G44" i="55"/>
  <c r="N39" i="55"/>
  <c r="O8" i="55"/>
  <c r="Q8" i="55" s="1"/>
  <c r="O7" i="55"/>
  <c r="N44" i="55" l="1"/>
  <c r="O39" i="55"/>
  <c r="Q39" i="55" s="1"/>
  <c r="Q7" i="55"/>
  <c r="Q44" i="55" s="1"/>
  <c r="O44" i="55" l="1"/>
  <c r="O10" i="54"/>
  <c r="Q10" i="54" s="1"/>
  <c r="O12" i="54"/>
  <c r="Q12" i="54" s="1"/>
  <c r="O14" i="54"/>
  <c r="Q14" i="54" s="1"/>
  <c r="O17" i="54"/>
  <c r="Q17" i="54" s="1"/>
  <c r="O19" i="54"/>
  <c r="Q19" i="54" s="1"/>
  <c r="O20" i="54"/>
  <c r="Q20" i="54" s="1"/>
  <c r="O24" i="54"/>
  <c r="Q24" i="54" s="1"/>
  <c r="O27" i="54"/>
  <c r="Q27" i="54" s="1"/>
  <c r="O29" i="54"/>
  <c r="Q29" i="54" s="1"/>
  <c r="O31" i="54"/>
  <c r="Q31" i="54" s="1"/>
  <c r="O33" i="54"/>
  <c r="Q33" i="54" s="1"/>
  <c r="O34" i="54"/>
  <c r="Q34" i="54" s="1"/>
  <c r="O35" i="54"/>
  <c r="Q35" i="54" s="1"/>
  <c r="O36" i="54"/>
  <c r="Q36" i="54" s="1"/>
  <c r="O37" i="54"/>
  <c r="Q37" i="54" s="1"/>
  <c r="O38" i="54"/>
  <c r="Q38" i="54" s="1"/>
  <c r="O39" i="54"/>
  <c r="Q39" i="54" s="1"/>
  <c r="O40" i="54"/>
  <c r="Q40" i="54" s="1"/>
  <c r="O41" i="54"/>
  <c r="Q41" i="54" s="1"/>
  <c r="O42" i="54"/>
  <c r="Q42" i="54" s="1"/>
  <c r="H23" i="54" l="1"/>
  <c r="H26" i="54"/>
  <c r="O26" i="54" s="1"/>
  <c r="Q26" i="54" s="1"/>
  <c r="H28" i="54"/>
  <c r="O28" i="54" s="1"/>
  <c r="Q28" i="54" s="1"/>
  <c r="H30" i="54"/>
  <c r="O30" i="54" s="1"/>
  <c r="Q30" i="54" s="1"/>
  <c r="H32" i="54"/>
  <c r="O32" i="54" s="1"/>
  <c r="Q32" i="54" s="1"/>
  <c r="H22" i="54"/>
  <c r="O22" i="54" s="1"/>
  <c r="Q22" i="54" s="1"/>
  <c r="H11" i="54"/>
  <c r="O11" i="54" s="1"/>
  <c r="Q11" i="54" s="1"/>
  <c r="H13" i="54"/>
  <c r="O13" i="54" s="1"/>
  <c r="Q13" i="54" s="1"/>
  <c r="H15" i="54"/>
  <c r="O15" i="54" s="1"/>
  <c r="Q15" i="54" s="1"/>
  <c r="H16" i="54"/>
  <c r="O16" i="54" s="1"/>
  <c r="Q16" i="54" s="1"/>
  <c r="H18" i="54"/>
  <c r="O18" i="54" s="1"/>
  <c r="Q18" i="54" s="1"/>
  <c r="H21" i="54"/>
  <c r="O21" i="54" s="1"/>
  <c r="Q21" i="54" s="1"/>
  <c r="H9" i="54"/>
  <c r="O9" i="54" s="1"/>
  <c r="Q9" i="54" s="1"/>
  <c r="J25" i="54"/>
  <c r="O25" i="54" s="1"/>
  <c r="Q25" i="54" s="1"/>
  <c r="J23" i="54"/>
  <c r="O23" i="54" l="1"/>
  <c r="Q23" i="54" s="1"/>
  <c r="P43" i="54"/>
  <c r="N43" i="54"/>
  <c r="M43" i="54"/>
  <c r="L43" i="54"/>
  <c r="I43" i="54"/>
  <c r="G43" i="54"/>
  <c r="K43" i="54"/>
  <c r="J43" i="54"/>
  <c r="O8" i="54"/>
  <c r="Q8" i="54" s="1"/>
  <c r="O7" i="54"/>
  <c r="Q7" i="54" s="1"/>
  <c r="H43" i="54" l="1"/>
  <c r="Q43" i="54"/>
  <c r="N42" i="53"/>
  <c r="O42" i="53" s="1"/>
  <c r="Q42" i="53" s="1"/>
  <c r="O43" i="54" l="1"/>
  <c r="O36" i="53"/>
  <c r="Q36" i="53" s="1"/>
  <c r="O37" i="53"/>
  <c r="J8" i="53"/>
  <c r="H33" i="53"/>
  <c r="P45" i="53" l="1"/>
  <c r="N45" i="53"/>
  <c r="M45" i="53"/>
  <c r="L45" i="53"/>
  <c r="J45" i="53"/>
  <c r="I45" i="53"/>
  <c r="G45" i="53"/>
  <c r="K44" i="53"/>
  <c r="K45" i="53" s="1"/>
  <c r="O43" i="53"/>
  <c r="Q43" i="53" s="1"/>
  <c r="O41" i="53"/>
  <c r="Q41" i="53" s="1"/>
  <c r="O40" i="53"/>
  <c r="Q40" i="53" s="1"/>
  <c r="O39" i="53"/>
  <c r="Q39" i="53" s="1"/>
  <c r="O38" i="53"/>
  <c r="Q38" i="53" s="1"/>
  <c r="Q37" i="53"/>
  <c r="O35" i="53"/>
  <c r="Q35" i="53" s="1"/>
  <c r="O34" i="53"/>
  <c r="Q34" i="53" s="1"/>
  <c r="O33" i="53"/>
  <c r="Q33" i="53" s="1"/>
  <c r="O32" i="53"/>
  <c r="Q32" i="53" s="1"/>
  <c r="O31" i="53"/>
  <c r="Q31" i="53" s="1"/>
  <c r="O30" i="53"/>
  <c r="Q30" i="53" s="1"/>
  <c r="O29" i="53"/>
  <c r="Q29" i="53" s="1"/>
  <c r="H28" i="53"/>
  <c r="O28" i="53" s="1"/>
  <c r="Q28" i="53" s="1"/>
  <c r="O27" i="53"/>
  <c r="Q27" i="53" s="1"/>
  <c r="H26" i="53"/>
  <c r="O26" i="53" s="1"/>
  <c r="Q26" i="53" s="1"/>
  <c r="H25" i="53"/>
  <c r="O25" i="53" s="1"/>
  <c r="Q25" i="53" s="1"/>
  <c r="O24" i="53"/>
  <c r="Q24" i="53" s="1"/>
  <c r="H23" i="53"/>
  <c r="O23" i="53" s="1"/>
  <c r="Q23" i="53" s="1"/>
  <c r="O22" i="53"/>
  <c r="Q22" i="53" s="1"/>
  <c r="H21" i="53"/>
  <c r="O21" i="53" s="1"/>
  <c r="Q21" i="53" s="1"/>
  <c r="O20" i="53"/>
  <c r="Q20" i="53" s="1"/>
  <c r="H19" i="53"/>
  <c r="O19" i="53" s="1"/>
  <c r="Q19" i="53" s="1"/>
  <c r="O18" i="53"/>
  <c r="Q18" i="53" s="1"/>
  <c r="H17" i="53"/>
  <c r="O17" i="53" s="1"/>
  <c r="Q17" i="53" s="1"/>
  <c r="O16" i="53"/>
  <c r="Q16" i="53" s="1"/>
  <c r="O15" i="53"/>
  <c r="Q15" i="53" s="1"/>
  <c r="H14" i="53"/>
  <c r="O14" i="53" s="1"/>
  <c r="Q14" i="53" s="1"/>
  <c r="O13" i="53"/>
  <c r="Q13" i="53" s="1"/>
  <c r="O12" i="53"/>
  <c r="Q12" i="53" s="1"/>
  <c r="H11" i="53"/>
  <c r="O11" i="53" s="1"/>
  <c r="Q11" i="53" s="1"/>
  <c r="O10" i="53"/>
  <c r="Q10" i="53" s="1"/>
  <c r="H9" i="53"/>
  <c r="O8" i="53"/>
  <c r="Q7" i="53"/>
  <c r="O44" i="53" l="1"/>
  <c r="Q44" i="53" s="1"/>
  <c r="H45" i="53"/>
  <c r="Q8" i="53"/>
  <c r="O9" i="53"/>
  <c r="Q9" i="53" s="1"/>
  <c r="Q45" i="53" l="1"/>
  <c r="O45" i="53"/>
  <c r="H29" i="52"/>
  <c r="H27" i="52"/>
  <c r="H24" i="52"/>
  <c r="O24" i="52" s="1"/>
  <c r="Q24" i="52" s="1"/>
  <c r="H22" i="52"/>
  <c r="O22" i="52" s="1"/>
  <c r="Q22" i="52" s="1"/>
  <c r="H20" i="52"/>
  <c r="O20" i="52" s="1"/>
  <c r="Q20" i="52" s="1"/>
  <c r="H18" i="52"/>
  <c r="O18" i="52" s="1"/>
  <c r="Q18" i="52" s="1"/>
  <c r="H15" i="52"/>
  <c r="H13" i="52"/>
  <c r="H10" i="52"/>
  <c r="H9" i="52"/>
  <c r="O9" i="52" s="1"/>
  <c r="Q9" i="52" s="1"/>
  <c r="P37" i="52"/>
  <c r="N37" i="52"/>
  <c r="M37" i="52"/>
  <c r="L37" i="52"/>
  <c r="I37" i="52"/>
  <c r="G37" i="52"/>
  <c r="K37" i="52"/>
  <c r="O35" i="52"/>
  <c r="Q35" i="52" s="1"/>
  <c r="O34" i="52"/>
  <c r="Q34" i="52" s="1"/>
  <c r="O33" i="52"/>
  <c r="Q33" i="52" s="1"/>
  <c r="O32" i="52"/>
  <c r="Q32" i="52" s="1"/>
  <c r="O31" i="52"/>
  <c r="Q31" i="52" s="1"/>
  <c r="O30" i="52"/>
  <c r="Q30" i="52" s="1"/>
  <c r="O16" i="52"/>
  <c r="Q16" i="52" s="1"/>
  <c r="O14" i="52"/>
  <c r="Q14" i="52" s="1"/>
  <c r="O12" i="52"/>
  <c r="Q12" i="52" s="1"/>
  <c r="O11" i="52"/>
  <c r="Q11" i="52" s="1"/>
  <c r="J37" i="52"/>
  <c r="Q7" i="52"/>
  <c r="O10" i="52" l="1"/>
  <c r="Q10" i="52" s="1"/>
  <c r="H37" i="52"/>
  <c r="O26" i="52"/>
  <c r="Q26" i="52" s="1"/>
  <c r="O28" i="52"/>
  <c r="Q28" i="52" s="1"/>
  <c r="O13" i="52"/>
  <c r="Q13" i="52" s="1"/>
  <c r="O15" i="52"/>
  <c r="Q15" i="52" s="1"/>
  <c r="O17" i="52"/>
  <c r="Q17" i="52" s="1"/>
  <c r="O19" i="52"/>
  <c r="Q19" i="52" s="1"/>
  <c r="O21" i="52"/>
  <c r="Q21" i="52" s="1"/>
  <c r="O23" i="52"/>
  <c r="Q23" i="52" s="1"/>
  <c r="O25" i="52"/>
  <c r="Q25" i="52" s="1"/>
  <c r="O27" i="52"/>
  <c r="Q27" i="52" s="1"/>
  <c r="O29" i="52"/>
  <c r="Q29" i="52" s="1"/>
  <c r="O8" i="52"/>
  <c r="O36" i="52"/>
  <c r="Q36" i="52" s="1"/>
  <c r="K45" i="51"/>
  <c r="O37" i="52" l="1"/>
  <c r="Q8" i="52"/>
  <c r="Q37" i="52" s="1"/>
  <c r="H35" i="51"/>
  <c r="H34" i="51"/>
  <c r="H31" i="51"/>
  <c r="H30" i="51"/>
  <c r="H28" i="51"/>
  <c r="H26" i="51"/>
  <c r="H24" i="51"/>
  <c r="H21" i="51"/>
  <c r="H19" i="51"/>
  <c r="H17" i="51"/>
  <c r="H15" i="51"/>
  <c r="H14" i="51"/>
  <c r="H12" i="51"/>
  <c r="H10" i="51"/>
  <c r="S35" i="51" l="1"/>
  <c r="S34" i="51"/>
  <c r="S33" i="51"/>
  <c r="S32" i="51"/>
  <c r="S31" i="51"/>
  <c r="S30" i="51"/>
  <c r="S29" i="51"/>
  <c r="S28" i="51"/>
  <c r="S27" i="51"/>
  <c r="S26" i="51"/>
  <c r="S25" i="51"/>
  <c r="S24" i="51"/>
  <c r="S23" i="51"/>
  <c r="S22" i="51"/>
  <c r="S21" i="51"/>
  <c r="S20" i="51"/>
  <c r="S19" i="51"/>
  <c r="S18" i="51"/>
  <c r="S17" i="51"/>
  <c r="S16" i="51"/>
  <c r="S15" i="51"/>
  <c r="S14" i="51"/>
  <c r="S13" i="51"/>
  <c r="S12" i="51"/>
  <c r="S11" i="51"/>
  <c r="S10" i="51"/>
  <c r="S9" i="51"/>
  <c r="S8" i="51"/>
  <c r="O45" i="51" l="1"/>
  <c r="O44" i="51"/>
  <c r="O43" i="51"/>
  <c r="Q43" i="51" s="1"/>
  <c r="O42" i="51"/>
  <c r="Q42" i="51" s="1"/>
  <c r="O41" i="51"/>
  <c r="Q41" i="51" s="1"/>
  <c r="O40" i="51"/>
  <c r="Q40" i="51" s="1"/>
  <c r="O39" i="51"/>
  <c r="Q39" i="51" s="1"/>
  <c r="O38" i="51"/>
  <c r="Q38" i="51" s="1"/>
  <c r="O37" i="51"/>
  <c r="Q37" i="51" s="1"/>
  <c r="O36" i="51"/>
  <c r="Q36" i="51" s="1"/>
  <c r="H33" i="51"/>
  <c r="H32" i="51"/>
  <c r="O32" i="51" s="1"/>
  <c r="Q32" i="51" s="1"/>
  <c r="H29" i="51"/>
  <c r="H27" i="51"/>
  <c r="H25" i="51"/>
  <c r="H23" i="51"/>
  <c r="H22" i="51"/>
  <c r="H20" i="51"/>
  <c r="H18" i="51"/>
  <c r="H16" i="51"/>
  <c r="H13" i="51"/>
  <c r="H11" i="51"/>
  <c r="H9" i="51"/>
  <c r="O9" i="51" s="1"/>
  <c r="H8" i="51"/>
  <c r="O8" i="51" s="1"/>
  <c r="P46" i="51"/>
  <c r="N46" i="51"/>
  <c r="M46" i="51"/>
  <c r="L46" i="51"/>
  <c r="I46" i="51"/>
  <c r="G46" i="51"/>
  <c r="K46" i="51"/>
  <c r="Q44" i="51"/>
  <c r="Q7" i="51"/>
  <c r="Q9" i="51" l="1"/>
  <c r="Q8" i="51"/>
  <c r="H46" i="51"/>
  <c r="Q45" i="51"/>
  <c r="H31" i="50" l="1"/>
  <c r="O9" i="50" l="1"/>
  <c r="Q9" i="50" s="1"/>
  <c r="O12" i="50"/>
  <c r="Q12" i="50" s="1"/>
  <c r="O14" i="50"/>
  <c r="Q14" i="50" s="1"/>
  <c r="O18" i="50"/>
  <c r="Q18" i="50" s="1"/>
  <c r="O20" i="50"/>
  <c r="Q20" i="50" s="1"/>
  <c r="O21" i="50"/>
  <c r="Q21" i="50" s="1"/>
  <c r="O23" i="50"/>
  <c r="Q23" i="50" s="1"/>
  <c r="O25" i="50"/>
  <c r="Q25" i="50" s="1"/>
  <c r="O26" i="50"/>
  <c r="Q26" i="50" s="1"/>
  <c r="O28" i="50"/>
  <c r="Q28" i="50" s="1"/>
  <c r="O30" i="50"/>
  <c r="Q30" i="50" s="1"/>
  <c r="O31" i="50"/>
  <c r="Q31" i="50" s="1"/>
  <c r="O32" i="50"/>
  <c r="Q32" i="50" s="1"/>
  <c r="O33" i="50"/>
  <c r="Q33" i="50" s="1"/>
  <c r="O34" i="50"/>
  <c r="Q34" i="50" s="1"/>
  <c r="O35" i="50"/>
  <c r="Q35" i="50" s="1"/>
  <c r="O36" i="50"/>
  <c r="Q36" i="50" s="1"/>
  <c r="O37" i="50"/>
  <c r="Q37" i="50" s="1"/>
  <c r="O38" i="50"/>
  <c r="Q38" i="50" s="1"/>
  <c r="O39" i="50"/>
  <c r="Q39" i="50" s="1"/>
  <c r="O40" i="50"/>
  <c r="Q40" i="50" s="1"/>
  <c r="O41" i="50"/>
  <c r="Q41" i="50" s="1"/>
  <c r="O42" i="50"/>
  <c r="Q42" i="50" s="1"/>
  <c r="O43" i="50"/>
  <c r="Q43" i="50" s="1"/>
  <c r="O44" i="50"/>
  <c r="Q44" i="50" s="1"/>
  <c r="K45" i="50"/>
  <c r="O45" i="50" s="1"/>
  <c r="Q45" i="50" s="1"/>
  <c r="J19" i="50" l="1"/>
  <c r="J16" i="50"/>
  <c r="O16" i="50" s="1"/>
  <c r="Q16" i="50" s="1"/>
  <c r="J13" i="50"/>
  <c r="J11" i="50"/>
  <c r="O11" i="50" s="1"/>
  <c r="Q11" i="50" s="1"/>
  <c r="H24" i="50"/>
  <c r="O24" i="50" s="1"/>
  <c r="Q24" i="50" s="1"/>
  <c r="H27" i="50"/>
  <c r="O27" i="50" s="1"/>
  <c r="Q27" i="50" s="1"/>
  <c r="H29" i="50"/>
  <c r="O29" i="50" s="1"/>
  <c r="Q29" i="50" s="1"/>
  <c r="H22" i="50"/>
  <c r="O22" i="50" s="1"/>
  <c r="Q22" i="50" s="1"/>
  <c r="H13" i="50"/>
  <c r="H15" i="50"/>
  <c r="O15" i="50" s="1"/>
  <c r="Q15" i="50" s="1"/>
  <c r="H17" i="50"/>
  <c r="O17" i="50" s="1"/>
  <c r="Q17" i="50" s="1"/>
  <c r="H19" i="50"/>
  <c r="H10" i="50"/>
  <c r="O10" i="50" s="1"/>
  <c r="Q10" i="50" s="1"/>
  <c r="H8" i="50"/>
  <c r="P46" i="50"/>
  <c r="M46" i="50"/>
  <c r="L46" i="50"/>
  <c r="I46" i="50"/>
  <c r="G46" i="50"/>
  <c r="K46" i="50"/>
  <c r="N46" i="50"/>
  <c r="O7" i="50"/>
  <c r="O13" i="50" l="1"/>
  <c r="Q13" i="50" s="1"/>
  <c r="J46" i="50"/>
  <c r="O19" i="50"/>
  <c r="Q19" i="50" s="1"/>
  <c r="H46" i="50"/>
  <c r="Q7" i="50"/>
  <c r="O8" i="50"/>
  <c r="Q8" i="50" s="1"/>
  <c r="K45" i="49"/>
  <c r="Q46" i="50" l="1"/>
  <c r="O46" i="50"/>
  <c r="N40" i="49"/>
  <c r="H10" i="49"/>
  <c r="H8" i="49"/>
  <c r="O9" i="49" l="1"/>
  <c r="Q9" i="49" s="1"/>
  <c r="O10" i="49"/>
  <c r="O11" i="49"/>
  <c r="Q11" i="49" s="1"/>
  <c r="O12" i="49"/>
  <c r="O16" i="49"/>
  <c r="Q16" i="49" s="1"/>
  <c r="O17" i="49"/>
  <c r="Q17" i="49" s="1"/>
  <c r="O21" i="49"/>
  <c r="Q21" i="49" s="1"/>
  <c r="O22" i="49"/>
  <c r="Q22" i="49" s="1"/>
  <c r="O24" i="49"/>
  <c r="Q24" i="49" s="1"/>
  <c r="O25" i="49"/>
  <c r="Q25" i="49" s="1"/>
  <c r="O27" i="49"/>
  <c r="Q27" i="49" s="1"/>
  <c r="O28" i="49"/>
  <c r="Q28" i="49" s="1"/>
  <c r="O30" i="49"/>
  <c r="Q30" i="49" s="1"/>
  <c r="O34" i="49"/>
  <c r="Q34" i="49" s="1"/>
  <c r="O35" i="49"/>
  <c r="Q35" i="49" s="1"/>
  <c r="O36" i="49"/>
  <c r="Q36" i="49" s="1"/>
  <c r="O37" i="49"/>
  <c r="Q37" i="49" s="1"/>
  <c r="O38" i="49"/>
  <c r="Q38" i="49" s="1"/>
  <c r="O39" i="49"/>
  <c r="Q39" i="49" s="1"/>
  <c r="O40" i="49"/>
  <c r="Q40" i="49" s="1"/>
  <c r="O41" i="49"/>
  <c r="Q41" i="49" s="1"/>
  <c r="O42" i="49"/>
  <c r="Q42" i="49" s="1"/>
  <c r="O43" i="49"/>
  <c r="Q43" i="49" s="1"/>
  <c r="O44" i="49"/>
  <c r="Q44" i="49" s="1"/>
  <c r="O45" i="49"/>
  <c r="Q45" i="49" s="1"/>
  <c r="H13" i="49"/>
  <c r="H15" i="49"/>
  <c r="O15" i="49" s="1"/>
  <c r="Q15" i="49" s="1"/>
  <c r="H18" i="49"/>
  <c r="O18" i="49" s="1"/>
  <c r="Q18" i="49" s="1"/>
  <c r="H19" i="49"/>
  <c r="O19" i="49" s="1"/>
  <c r="Q19" i="49" s="1"/>
  <c r="H20" i="49"/>
  <c r="O20" i="49" s="1"/>
  <c r="Q20" i="49" s="1"/>
  <c r="H23" i="49"/>
  <c r="O23" i="49" s="1"/>
  <c r="Q23" i="49" s="1"/>
  <c r="H26" i="49"/>
  <c r="O26" i="49" s="1"/>
  <c r="Q26" i="49" s="1"/>
  <c r="H29" i="49"/>
  <c r="O29" i="49" s="1"/>
  <c r="Q29" i="49" s="1"/>
  <c r="H31" i="49"/>
  <c r="O31" i="49" s="1"/>
  <c r="Q31" i="49" s="1"/>
  <c r="H33" i="49"/>
  <c r="O33" i="49" s="1"/>
  <c r="Q33" i="49" s="1"/>
  <c r="Q12" i="49"/>
  <c r="J32" i="49"/>
  <c r="O32" i="49" s="1"/>
  <c r="Q32" i="49" s="1"/>
  <c r="J14" i="49"/>
  <c r="O14" i="49" s="1"/>
  <c r="Q14" i="49" s="1"/>
  <c r="J8" i="49"/>
  <c r="O8" i="49" s="1"/>
  <c r="Q8" i="49" s="1"/>
  <c r="N46" i="49"/>
  <c r="G46" i="49"/>
  <c r="I46" i="49"/>
  <c r="K46" i="49"/>
  <c r="L46" i="49"/>
  <c r="M46" i="49"/>
  <c r="P46" i="49"/>
  <c r="O7" i="49"/>
  <c r="H46" i="49" l="1"/>
  <c r="O13" i="49"/>
  <c r="Q13" i="49" s="1"/>
  <c r="Q10" i="49"/>
  <c r="J46" i="49"/>
  <c r="Q7" i="49"/>
  <c r="Q46" i="49" l="1"/>
  <c r="O46" i="49"/>
  <c r="J11" i="48"/>
  <c r="O11" i="48" s="1"/>
  <c r="Q11" i="48" s="1"/>
  <c r="H10" i="48"/>
  <c r="O10" i="48" s="1"/>
  <c r="Q10" i="48" s="1"/>
  <c r="O12" i="48"/>
  <c r="Q12" i="48" s="1"/>
  <c r="H13" i="48"/>
  <c r="O13" i="48" s="1"/>
  <c r="Q13" i="48" s="1"/>
  <c r="O14" i="48"/>
  <c r="Q14" i="48" s="1"/>
  <c r="H15" i="48"/>
  <c r="H16" i="48"/>
  <c r="O16" i="48" s="1"/>
  <c r="Q16" i="48" s="1"/>
  <c r="H20" i="48"/>
  <c r="H8" i="48"/>
  <c r="P26" i="48"/>
  <c r="M26" i="48"/>
  <c r="L26" i="48"/>
  <c r="K26" i="48"/>
  <c r="I26" i="48"/>
  <c r="G26" i="48"/>
  <c r="O25" i="48"/>
  <c r="Q25" i="48" s="1"/>
  <c r="O24" i="48"/>
  <c r="Q24" i="48" s="1"/>
  <c r="O23" i="48"/>
  <c r="Q23" i="48" s="1"/>
  <c r="N26" i="48"/>
  <c r="O22" i="48"/>
  <c r="Q22" i="48" s="1"/>
  <c r="O21" i="48"/>
  <c r="Q21" i="48" s="1"/>
  <c r="O20" i="48"/>
  <c r="Q20" i="48" s="1"/>
  <c r="O19" i="48"/>
  <c r="Q19" i="48" s="1"/>
  <c r="O18" i="48"/>
  <c r="Q18" i="48" s="1"/>
  <c r="J26" i="48"/>
  <c r="O9" i="48"/>
  <c r="Q9" i="48" s="1"/>
  <c r="O7" i="48"/>
  <c r="Q7" i="48" s="1"/>
  <c r="H26" i="48" l="1"/>
  <c r="O8" i="48"/>
  <c r="Q8" i="48" s="1"/>
  <c r="O15" i="48"/>
  <c r="Q15" i="48" s="1"/>
  <c r="O17" i="48"/>
  <c r="Q17" i="48" s="1"/>
  <c r="O9" i="47"/>
  <c r="Q9" i="47" s="1"/>
  <c r="O11" i="47"/>
  <c r="Q11" i="47" s="1"/>
  <c r="O13" i="47"/>
  <c r="Q13" i="47" s="1"/>
  <c r="O16" i="47"/>
  <c r="Q16" i="47" s="1"/>
  <c r="O19" i="47"/>
  <c r="Q19" i="47" s="1"/>
  <c r="O20" i="47"/>
  <c r="Q20" i="47" s="1"/>
  <c r="O22" i="47"/>
  <c r="Q22" i="47" s="1"/>
  <c r="O24" i="47"/>
  <c r="Q24" i="47" s="1"/>
  <c r="O25" i="47"/>
  <c r="Q25" i="47" s="1"/>
  <c r="O28" i="47"/>
  <c r="Q28" i="47" s="1"/>
  <c r="O32" i="47"/>
  <c r="Q32" i="47" s="1"/>
  <c r="O33" i="47"/>
  <c r="Q33" i="47" s="1"/>
  <c r="O34" i="47"/>
  <c r="Q34" i="47" s="1"/>
  <c r="O35" i="47"/>
  <c r="Q35" i="47" s="1"/>
  <c r="O36" i="47"/>
  <c r="Q36" i="47" s="1"/>
  <c r="O37" i="47"/>
  <c r="Q37" i="47" s="1"/>
  <c r="O38" i="47"/>
  <c r="Q38" i="47" s="1"/>
  <c r="O39" i="47"/>
  <c r="Q39" i="47" s="1"/>
  <c r="O40" i="47"/>
  <c r="Q40" i="47" s="1"/>
  <c r="O41" i="47"/>
  <c r="Q41" i="47" s="1"/>
  <c r="O42" i="47"/>
  <c r="Q42" i="47" s="1"/>
  <c r="O43" i="47"/>
  <c r="Q43" i="47" s="1"/>
  <c r="Q26" i="48" l="1"/>
  <c r="O26" i="48"/>
  <c r="J17" i="47"/>
  <c r="J15" i="47"/>
  <c r="O15" i="47" s="1"/>
  <c r="Q15" i="47" s="1"/>
  <c r="H10" i="47"/>
  <c r="O10" i="47" s="1"/>
  <c r="Q10" i="47" s="1"/>
  <c r="H12" i="47"/>
  <c r="O12" i="47" s="1"/>
  <c r="Q12" i="47" s="1"/>
  <c r="H14" i="47"/>
  <c r="O14" i="47" s="1"/>
  <c r="Q14" i="47" s="1"/>
  <c r="H17" i="47"/>
  <c r="H18" i="47"/>
  <c r="O18" i="47" s="1"/>
  <c r="Q18" i="47" s="1"/>
  <c r="H21" i="47"/>
  <c r="O21" i="47" s="1"/>
  <c r="Q21" i="47" s="1"/>
  <c r="H23" i="47"/>
  <c r="O23" i="47" s="1"/>
  <c r="Q23" i="47" s="1"/>
  <c r="H26" i="47"/>
  <c r="O26" i="47" s="1"/>
  <c r="Q26" i="47" s="1"/>
  <c r="H27" i="47"/>
  <c r="O27" i="47" s="1"/>
  <c r="Q27" i="47" s="1"/>
  <c r="H29" i="47"/>
  <c r="O29" i="47" s="1"/>
  <c r="Q29" i="47" s="1"/>
  <c r="H30" i="47"/>
  <c r="O30" i="47" s="1"/>
  <c r="Q30" i="47" s="1"/>
  <c r="H31" i="47"/>
  <c r="O31" i="47" s="1"/>
  <c r="Q31" i="47" s="1"/>
  <c r="H8" i="47"/>
  <c r="O17" i="47" l="1"/>
  <c r="Q17" i="47" s="1"/>
  <c r="P44" i="47"/>
  <c r="N44" i="47"/>
  <c r="M44" i="47"/>
  <c r="K44" i="47"/>
  <c r="I44" i="47"/>
  <c r="G44" i="47"/>
  <c r="J44" i="47"/>
  <c r="O8" i="47"/>
  <c r="Q8" i="47" s="1"/>
  <c r="O7" i="47"/>
  <c r="Q7" i="47" s="1"/>
  <c r="Q44" i="47" l="1"/>
  <c r="Q46" i="47" s="1"/>
  <c r="O44" i="47"/>
  <c r="H44" i="47"/>
  <c r="L44" i="47"/>
  <c r="Q28" i="48" l="1"/>
  <c r="O11" i="46"/>
  <c r="Q11" i="46" s="1"/>
  <c r="O13" i="46"/>
  <c r="Q13" i="46" s="1"/>
  <c r="O15" i="46"/>
  <c r="Q15" i="46" s="1"/>
  <c r="O17" i="46"/>
  <c r="Q17" i="46" s="1"/>
  <c r="O18" i="46"/>
  <c r="Q18" i="46" s="1"/>
  <c r="O20" i="46"/>
  <c r="Q20" i="46" s="1"/>
  <c r="O21" i="46"/>
  <c r="Q21" i="46" s="1"/>
  <c r="O23" i="46"/>
  <c r="Q23" i="46" s="1"/>
  <c r="O24" i="46"/>
  <c r="Q24" i="46" s="1"/>
  <c r="O26" i="46"/>
  <c r="Q26" i="46" s="1"/>
  <c r="O28" i="46"/>
  <c r="Q28" i="46" s="1"/>
  <c r="O30" i="46"/>
  <c r="Q30" i="46" s="1"/>
  <c r="O32" i="46"/>
  <c r="Q32" i="46" s="1"/>
  <c r="O33" i="46"/>
  <c r="Q33" i="46" s="1"/>
  <c r="O34" i="46"/>
  <c r="Q34" i="46" s="1"/>
  <c r="O38" i="46"/>
  <c r="Q38" i="46" s="1"/>
  <c r="O39" i="46"/>
  <c r="Q39" i="46" s="1"/>
  <c r="O40" i="46"/>
  <c r="Q40" i="46" s="1"/>
  <c r="O42" i="46"/>
  <c r="Q42" i="46" s="1"/>
  <c r="O43" i="46"/>
  <c r="Q43" i="46" s="1"/>
  <c r="O44" i="46"/>
  <c r="Q44" i="46" s="1"/>
  <c r="O45" i="46"/>
  <c r="Q45" i="46" s="1"/>
  <c r="Q48" i="49" l="1"/>
  <c r="H29" i="46"/>
  <c r="H31" i="46"/>
  <c r="H27" i="46"/>
  <c r="O27" i="46" s="1"/>
  <c r="Q27" i="46" s="1"/>
  <c r="H14" i="46"/>
  <c r="H16" i="46"/>
  <c r="O16" i="46" s="1"/>
  <c r="Q16" i="46" s="1"/>
  <c r="H19" i="46"/>
  <c r="O19" i="46" s="1"/>
  <c r="Q19" i="46" s="1"/>
  <c r="H22" i="46"/>
  <c r="O22" i="46" s="1"/>
  <c r="Q22" i="46" s="1"/>
  <c r="H25" i="46"/>
  <c r="O25" i="46" s="1"/>
  <c r="Q25" i="46" s="1"/>
  <c r="H12" i="46"/>
  <c r="O12" i="46" s="1"/>
  <c r="Q12" i="46" s="1"/>
  <c r="H10" i="46"/>
  <c r="O10" i="46" s="1"/>
  <c r="Q10" i="46" s="1"/>
  <c r="H9" i="46"/>
  <c r="O9" i="46" s="1"/>
  <c r="Q9" i="46" s="1"/>
  <c r="J31" i="46"/>
  <c r="J29" i="46"/>
  <c r="J14" i="46"/>
  <c r="K46" i="46"/>
  <c r="L41" i="46"/>
  <c r="O41" i="46" s="1"/>
  <c r="Q41" i="46" s="1"/>
  <c r="L37" i="46"/>
  <c r="L36" i="46"/>
  <c r="O36" i="46" s="1"/>
  <c r="Q36" i="46" s="1"/>
  <c r="L35" i="46"/>
  <c r="O35" i="46" s="1"/>
  <c r="Q35" i="46" s="1"/>
  <c r="P46" i="46"/>
  <c r="M46" i="46"/>
  <c r="I46" i="46"/>
  <c r="G46" i="46"/>
  <c r="N46" i="46"/>
  <c r="O7" i="46"/>
  <c r="Q7" i="46" s="1"/>
  <c r="J46" i="46" l="1"/>
  <c r="Q48" i="50"/>
  <c r="O14" i="46"/>
  <c r="Q14" i="46" s="1"/>
  <c r="O31" i="46"/>
  <c r="Q31" i="46" s="1"/>
  <c r="L46" i="46"/>
  <c r="O37" i="46"/>
  <c r="Q37" i="46" s="1"/>
  <c r="O29" i="46"/>
  <c r="Q29" i="46" s="1"/>
  <c r="H46" i="46"/>
  <c r="O8" i="46"/>
  <c r="Q8" i="46" l="1"/>
  <c r="Q46" i="46" s="1"/>
  <c r="O46" i="46"/>
  <c r="H34" i="45"/>
  <c r="H33" i="45"/>
  <c r="O12" i="45" l="1"/>
  <c r="Q12" i="45" s="1"/>
  <c r="O14" i="45"/>
  <c r="Q14" i="45" s="1"/>
  <c r="O16" i="45"/>
  <c r="Q16" i="45" s="1"/>
  <c r="O20" i="45"/>
  <c r="Q20" i="45" s="1"/>
  <c r="O21" i="45"/>
  <c r="Q21" i="45" s="1"/>
  <c r="O23" i="45"/>
  <c r="Q23" i="45" s="1"/>
  <c r="O25" i="45"/>
  <c r="Q25" i="45" s="1"/>
  <c r="O27" i="45"/>
  <c r="Q27" i="45" s="1"/>
  <c r="O29" i="45"/>
  <c r="Q29" i="45" s="1"/>
  <c r="O30" i="45"/>
  <c r="Q30" i="45" s="1"/>
  <c r="O33" i="45"/>
  <c r="Q33" i="45" s="1"/>
  <c r="O34" i="45"/>
  <c r="Q34" i="45" s="1"/>
  <c r="O35" i="45"/>
  <c r="Q35" i="45" s="1"/>
  <c r="O37" i="45"/>
  <c r="Q37" i="45" s="1"/>
  <c r="O38" i="45"/>
  <c r="Q38" i="45" s="1"/>
  <c r="O39" i="45"/>
  <c r="Q39" i="45" s="1"/>
  <c r="O40" i="45"/>
  <c r="Q40" i="45" s="1"/>
  <c r="O41" i="45"/>
  <c r="Q41" i="45" s="1"/>
  <c r="O42" i="45"/>
  <c r="Q42" i="45" s="1"/>
  <c r="O43" i="45"/>
  <c r="Q43" i="45" s="1"/>
  <c r="O44" i="45"/>
  <c r="Q44" i="45" s="1"/>
  <c r="O45" i="45"/>
  <c r="Q45" i="45" s="1"/>
  <c r="N36" i="45"/>
  <c r="O36" i="45" s="1"/>
  <c r="Q36" i="45" s="1"/>
  <c r="J18" i="45" l="1"/>
  <c r="O18" i="45" s="1"/>
  <c r="Q18" i="45" s="1"/>
  <c r="H32" i="45"/>
  <c r="O32" i="45" s="1"/>
  <c r="Q32" i="45" s="1"/>
  <c r="H28" i="45"/>
  <c r="O28" i="45" s="1"/>
  <c r="Q28" i="45" s="1"/>
  <c r="H31" i="45"/>
  <c r="O31" i="45" s="1"/>
  <c r="Q31" i="45" s="1"/>
  <c r="H26" i="45"/>
  <c r="O26" i="45" s="1"/>
  <c r="Q26" i="45" s="1"/>
  <c r="H17" i="45"/>
  <c r="O17" i="45" s="1"/>
  <c r="Q17" i="45" s="1"/>
  <c r="H13" i="45"/>
  <c r="O13" i="45" s="1"/>
  <c r="Q13" i="45" s="1"/>
  <c r="H15" i="45"/>
  <c r="O15" i="45" s="1"/>
  <c r="Q15" i="45" s="1"/>
  <c r="H19" i="45"/>
  <c r="O19" i="45" s="1"/>
  <c r="Q19" i="45" s="1"/>
  <c r="H22" i="45"/>
  <c r="O22" i="45" s="1"/>
  <c r="Q22" i="45" s="1"/>
  <c r="H24" i="45"/>
  <c r="O24" i="45" s="1"/>
  <c r="Q24" i="45" s="1"/>
  <c r="H11" i="45"/>
  <c r="O11" i="45" s="1"/>
  <c r="Q11" i="45" s="1"/>
  <c r="H9" i="45"/>
  <c r="O9" i="45" s="1"/>
  <c r="Q9" i="45" s="1"/>
  <c r="H10" i="45"/>
  <c r="O10" i="45" s="1"/>
  <c r="Q10" i="45" s="1"/>
  <c r="H8" i="45"/>
  <c r="O8" i="45" s="1"/>
  <c r="Q8" i="45" s="1"/>
  <c r="P46" i="45"/>
  <c r="N46" i="45"/>
  <c r="M46" i="45"/>
  <c r="L46" i="45"/>
  <c r="K46" i="45"/>
  <c r="I46" i="45"/>
  <c r="G46" i="45"/>
  <c r="O7" i="45"/>
  <c r="Q7" i="45" s="1"/>
  <c r="O46" i="45" l="1"/>
  <c r="Q47" i="45" s="1"/>
  <c r="Q46" i="45"/>
  <c r="H46" i="45"/>
  <c r="J46" i="45"/>
  <c r="J19" i="44" l="1"/>
  <c r="H34" i="44"/>
  <c r="O9" i="44" l="1"/>
  <c r="Q9" i="44" s="1"/>
  <c r="O10" i="44"/>
  <c r="Q10" i="44" s="1"/>
  <c r="O11" i="44"/>
  <c r="Q11" i="44" s="1"/>
  <c r="O12" i="44"/>
  <c r="Q12" i="44" s="1"/>
  <c r="O13" i="44"/>
  <c r="Q13" i="44" s="1"/>
  <c r="O14" i="44"/>
  <c r="Q14" i="44" s="1"/>
  <c r="O15" i="44"/>
  <c r="Q15" i="44" s="1"/>
  <c r="O16" i="44"/>
  <c r="Q16" i="44" s="1"/>
  <c r="O17" i="44"/>
  <c r="Q17" i="44" s="1"/>
  <c r="O19" i="44"/>
  <c r="Q19" i="44" s="1"/>
  <c r="O21" i="44"/>
  <c r="Q21" i="44" s="1"/>
  <c r="O22" i="44"/>
  <c r="Q22" i="44" s="1"/>
  <c r="O25" i="44"/>
  <c r="Q25" i="44" s="1"/>
  <c r="O27" i="44"/>
  <c r="Q27" i="44" s="1"/>
  <c r="O31" i="44"/>
  <c r="Q31" i="44" s="1"/>
  <c r="O34" i="44"/>
  <c r="Q34" i="44" s="1"/>
  <c r="O35" i="44"/>
  <c r="Q35" i="44" s="1"/>
  <c r="O36" i="44"/>
  <c r="Q36" i="44" s="1"/>
  <c r="O37" i="44"/>
  <c r="Q37" i="44" s="1"/>
  <c r="O38" i="44"/>
  <c r="Q38" i="44" s="1"/>
  <c r="O39" i="44"/>
  <c r="Q39" i="44" s="1"/>
  <c r="O40" i="44"/>
  <c r="Q40" i="44" s="1"/>
  <c r="O41" i="44"/>
  <c r="Q41" i="44" s="1"/>
  <c r="O42" i="44"/>
  <c r="Q42" i="44" s="1"/>
  <c r="O43" i="44"/>
  <c r="Q43" i="44" s="1"/>
  <c r="O44" i="44"/>
  <c r="Q44" i="44" s="1"/>
  <c r="O45" i="44"/>
  <c r="Q45" i="44" s="1"/>
  <c r="O46" i="44"/>
  <c r="Q46" i="44" s="1"/>
  <c r="O47" i="44"/>
  <c r="Q47" i="44" s="1"/>
  <c r="O48" i="44"/>
  <c r="Q48" i="44" s="1"/>
  <c r="O49" i="44"/>
  <c r="Q49" i="44" s="1"/>
  <c r="O50" i="44"/>
  <c r="Q50" i="44" s="1"/>
  <c r="H33" i="44" l="1"/>
  <c r="O33" i="44" s="1"/>
  <c r="Q33" i="44" s="1"/>
  <c r="H20" i="44"/>
  <c r="O20" i="44" s="1"/>
  <c r="Q20" i="44" s="1"/>
  <c r="H23" i="44"/>
  <c r="O23" i="44" s="1"/>
  <c r="Q23" i="44" s="1"/>
  <c r="H24" i="44"/>
  <c r="O24" i="44" s="1"/>
  <c r="Q24" i="44" s="1"/>
  <c r="H26" i="44"/>
  <c r="O26" i="44" s="1"/>
  <c r="Q26" i="44" s="1"/>
  <c r="H29" i="44"/>
  <c r="O29" i="44" s="1"/>
  <c r="Q29" i="44" s="1"/>
  <c r="H30" i="44"/>
  <c r="O30" i="44" s="1"/>
  <c r="Q30" i="44" s="1"/>
  <c r="H32" i="44"/>
  <c r="O32" i="44" s="1"/>
  <c r="Q32" i="44" s="1"/>
  <c r="H18" i="44"/>
  <c r="O18" i="44" s="1"/>
  <c r="Q18" i="44" s="1"/>
  <c r="J28" i="44"/>
  <c r="O28" i="44" s="1"/>
  <c r="Q28" i="44" s="1"/>
  <c r="P51" i="44"/>
  <c r="N51" i="44"/>
  <c r="M51" i="44"/>
  <c r="L51" i="44"/>
  <c r="K51" i="44"/>
  <c r="I51" i="44"/>
  <c r="G51" i="44"/>
  <c r="J51" i="44"/>
  <c r="O8" i="44"/>
  <c r="Q8" i="44" s="1"/>
  <c r="O7" i="44"/>
  <c r="Q7" i="44" s="1"/>
  <c r="H51" i="44" l="1"/>
  <c r="Q51" i="44"/>
  <c r="J26" i="43"/>
  <c r="O51" i="44" l="1"/>
  <c r="Q52" i="44" s="1"/>
  <c r="J13" i="43"/>
  <c r="Q29" i="43" l="1"/>
  <c r="Q30" i="43"/>
  <c r="O26" i="43" l="1"/>
  <c r="Q26" i="43" s="1"/>
  <c r="P36" i="43"/>
  <c r="N36" i="43"/>
  <c r="M36" i="43"/>
  <c r="L36" i="43"/>
  <c r="K36" i="43"/>
  <c r="I36" i="43"/>
  <c r="H36" i="43"/>
  <c r="G36" i="43"/>
  <c r="O35" i="43"/>
  <c r="Q35" i="43" s="1"/>
  <c r="O34" i="43"/>
  <c r="Q34" i="43" s="1"/>
  <c r="O33" i="43"/>
  <c r="Q33" i="43" s="1"/>
  <c r="O32" i="43"/>
  <c r="Q32" i="43" s="1"/>
  <c r="O31" i="43"/>
  <c r="Q31" i="43" s="1"/>
  <c r="O28" i="43"/>
  <c r="Q28" i="43" s="1"/>
  <c r="O27" i="43"/>
  <c r="Q27" i="43" s="1"/>
  <c r="O25" i="43"/>
  <c r="Q25" i="43" s="1"/>
  <c r="O24" i="43"/>
  <c r="Q24" i="43" s="1"/>
  <c r="J36" i="43"/>
  <c r="O22" i="43"/>
  <c r="Q22" i="43" s="1"/>
  <c r="O21" i="43"/>
  <c r="Q21" i="43" s="1"/>
  <c r="O20" i="43"/>
  <c r="Q20" i="43" s="1"/>
  <c r="O19" i="43"/>
  <c r="Q19" i="43" s="1"/>
  <c r="O18" i="43"/>
  <c r="Q18" i="43" s="1"/>
  <c r="O17" i="43"/>
  <c r="Q17" i="43" s="1"/>
  <c r="O16" i="43"/>
  <c r="Q16" i="43" s="1"/>
  <c r="O15" i="43"/>
  <c r="Q15" i="43" s="1"/>
  <c r="O14" i="43"/>
  <c r="Q14" i="43" s="1"/>
  <c r="O13" i="43"/>
  <c r="Q13" i="43" s="1"/>
  <c r="O12" i="43"/>
  <c r="Q12" i="43" s="1"/>
  <c r="O11" i="43"/>
  <c r="Q11" i="43" s="1"/>
  <c r="O10" i="43"/>
  <c r="Q10" i="43" s="1"/>
  <c r="O9" i="43"/>
  <c r="Q9" i="43" s="1"/>
  <c r="O8" i="43"/>
  <c r="Q8" i="43" s="1"/>
  <c r="O7" i="43"/>
  <c r="Q7" i="43" l="1"/>
  <c r="O23" i="43"/>
  <c r="J33" i="42"/>
  <c r="Q23" i="43" l="1"/>
  <c r="Q36" i="43" s="1"/>
  <c r="O36" i="43"/>
  <c r="Q37" i="43" s="1"/>
  <c r="J23" i="42"/>
  <c r="P46" i="42" l="1"/>
  <c r="M46" i="42"/>
  <c r="L46" i="42"/>
  <c r="K46" i="42"/>
  <c r="I46" i="42"/>
  <c r="H46" i="42"/>
  <c r="G46" i="42"/>
  <c r="O45" i="42"/>
  <c r="Q45" i="42" s="1"/>
  <c r="O44" i="42"/>
  <c r="Q44" i="42" s="1"/>
  <c r="O43" i="42"/>
  <c r="Q43" i="42" s="1"/>
  <c r="O42" i="42"/>
  <c r="Q42" i="42" s="1"/>
  <c r="O41" i="42"/>
  <c r="Q41" i="42" s="1"/>
  <c r="O40" i="42"/>
  <c r="Q40" i="42" s="1"/>
  <c r="O39" i="42"/>
  <c r="Q39" i="42" s="1"/>
  <c r="O38" i="42"/>
  <c r="Q38" i="42" s="1"/>
  <c r="O37" i="42"/>
  <c r="Q37" i="42" s="1"/>
  <c r="O34" i="42"/>
  <c r="Q34" i="42" s="1"/>
  <c r="O33" i="42"/>
  <c r="Q33" i="42" s="1"/>
  <c r="O32" i="42"/>
  <c r="Q32" i="42" s="1"/>
  <c r="O31" i="42"/>
  <c r="Q31" i="42" s="1"/>
  <c r="O30" i="42"/>
  <c r="Q30" i="42" s="1"/>
  <c r="O29" i="42"/>
  <c r="Q29" i="42" s="1"/>
  <c r="O28" i="42"/>
  <c r="Q28" i="42" s="1"/>
  <c r="O27" i="42"/>
  <c r="Q27" i="42" s="1"/>
  <c r="O26" i="42"/>
  <c r="Q26" i="42" s="1"/>
  <c r="O25" i="42"/>
  <c r="Q25" i="42" s="1"/>
  <c r="O24" i="42"/>
  <c r="Q24" i="42" s="1"/>
  <c r="O23" i="42"/>
  <c r="Q23" i="42" s="1"/>
  <c r="O22" i="42"/>
  <c r="Q22" i="42" s="1"/>
  <c r="O21" i="42"/>
  <c r="Q21" i="42" s="1"/>
  <c r="O20" i="42"/>
  <c r="Q20" i="42" s="1"/>
  <c r="O19" i="42"/>
  <c r="Q19" i="42" s="1"/>
  <c r="O18" i="42"/>
  <c r="Q18" i="42" s="1"/>
  <c r="O17" i="42"/>
  <c r="Q17" i="42" s="1"/>
  <c r="O16" i="42"/>
  <c r="Q16" i="42" s="1"/>
  <c r="O15" i="42"/>
  <c r="Q15" i="42" s="1"/>
  <c r="O14" i="42"/>
  <c r="Q14" i="42" s="1"/>
  <c r="O13" i="42"/>
  <c r="Q13" i="42" s="1"/>
  <c r="O12" i="42"/>
  <c r="Q12" i="42" s="1"/>
  <c r="O11" i="42"/>
  <c r="Q11" i="42" s="1"/>
  <c r="O10" i="42"/>
  <c r="Q10" i="42" s="1"/>
  <c r="O9" i="42"/>
  <c r="Q9" i="42" s="1"/>
  <c r="O8" i="42"/>
  <c r="Q8" i="42" s="1"/>
  <c r="O7" i="42"/>
  <c r="O46" i="42" l="1"/>
  <c r="Q47" i="42" s="1"/>
  <c r="J46" i="42"/>
  <c r="N46" i="42"/>
  <c r="Q7" i="42"/>
  <c r="Q46" i="42" s="1"/>
  <c r="N43" i="41"/>
  <c r="O43" i="41" s="1"/>
  <c r="Q43" i="41" s="1"/>
  <c r="G47" i="41"/>
  <c r="H36" i="41"/>
  <c r="O9" i="41" l="1"/>
  <c r="Q9" i="41" s="1"/>
  <c r="O10" i="41"/>
  <c r="Q10" i="41" s="1"/>
  <c r="O11" i="41"/>
  <c r="Q11" i="41" s="1"/>
  <c r="O12" i="41"/>
  <c r="Q12" i="41" s="1"/>
  <c r="O13" i="41"/>
  <c r="Q13" i="41" s="1"/>
  <c r="O15" i="41"/>
  <c r="Q15" i="41" s="1"/>
  <c r="O16" i="41"/>
  <c r="Q16" i="41" s="1"/>
  <c r="O18" i="41"/>
  <c r="Q18" i="41" s="1"/>
  <c r="O19" i="41"/>
  <c r="Q19" i="41" s="1"/>
  <c r="O20" i="41"/>
  <c r="Q20" i="41" s="1"/>
  <c r="O21" i="41"/>
  <c r="Q21" i="41" s="1"/>
  <c r="O22" i="41"/>
  <c r="Q22" i="41" s="1"/>
  <c r="O23" i="41"/>
  <c r="Q23" i="41" s="1"/>
  <c r="O24" i="41"/>
  <c r="Q24" i="41" s="1"/>
  <c r="O25" i="41"/>
  <c r="Q25" i="41" s="1"/>
  <c r="O27" i="41"/>
  <c r="Q27" i="41" s="1"/>
  <c r="O28" i="41"/>
  <c r="Q28" i="41" s="1"/>
  <c r="O29" i="41"/>
  <c r="Q29" i="41" s="1"/>
  <c r="O31" i="41"/>
  <c r="Q31" i="41" s="1"/>
  <c r="O32" i="41"/>
  <c r="Q32" i="41" s="1"/>
  <c r="O33" i="41"/>
  <c r="Q33" i="41" s="1"/>
  <c r="O34" i="41"/>
  <c r="Q34" i="41" s="1"/>
  <c r="O35" i="41"/>
  <c r="Q35" i="41" s="1"/>
  <c r="O36" i="41"/>
  <c r="Q36" i="41" s="1"/>
  <c r="O37" i="41"/>
  <c r="Q37" i="41" s="1"/>
  <c r="O38" i="41"/>
  <c r="Q38" i="41" s="1"/>
  <c r="O39" i="41"/>
  <c r="Q39" i="41" s="1"/>
  <c r="O40" i="41"/>
  <c r="Q40" i="41" s="1"/>
  <c r="O41" i="41"/>
  <c r="Q41" i="41" s="1"/>
  <c r="O42" i="41"/>
  <c r="Q42" i="41" s="1"/>
  <c r="O44" i="41"/>
  <c r="Q44" i="41" s="1"/>
  <c r="O45" i="41"/>
  <c r="Q45" i="41" s="1"/>
  <c r="O46" i="41"/>
  <c r="Q46" i="41" s="1"/>
  <c r="J30" i="41" l="1"/>
  <c r="O30" i="41" s="1"/>
  <c r="Q30" i="41" s="1"/>
  <c r="J26" i="41"/>
  <c r="O26" i="41" s="1"/>
  <c r="Q26" i="41" s="1"/>
  <c r="J17" i="41"/>
  <c r="O17" i="41" s="1"/>
  <c r="Q17" i="41" s="1"/>
  <c r="J14" i="41"/>
  <c r="O14" i="41" s="1"/>
  <c r="Q14" i="41" s="1"/>
  <c r="J8" i="41"/>
  <c r="O8" i="41" s="1"/>
  <c r="Q8" i="41" s="1"/>
  <c r="P47" i="41"/>
  <c r="N47" i="41"/>
  <c r="M47" i="41"/>
  <c r="L47" i="41"/>
  <c r="K47" i="41"/>
  <c r="I47" i="41"/>
  <c r="H47" i="41"/>
  <c r="O7" i="41"/>
  <c r="O47" i="41" l="1"/>
  <c r="J47" i="41"/>
  <c r="Q7" i="41"/>
  <c r="Q47" i="41" s="1"/>
  <c r="G41" i="40"/>
  <c r="H32" i="40"/>
  <c r="O32" i="40" s="1"/>
  <c r="P41" i="40" l="1"/>
  <c r="N41" i="40"/>
  <c r="M41" i="40"/>
  <c r="L41" i="40"/>
  <c r="K41" i="40"/>
  <c r="I41" i="40"/>
  <c r="H41" i="40"/>
  <c r="Q40" i="40"/>
  <c r="O39" i="40"/>
  <c r="Q39" i="40" s="1"/>
  <c r="O38" i="40"/>
  <c r="Q38" i="40" s="1"/>
  <c r="O37" i="40"/>
  <c r="Q37" i="40" s="1"/>
  <c r="O36" i="40"/>
  <c r="Q36" i="40" s="1"/>
  <c r="O35" i="40"/>
  <c r="Q35" i="40" s="1"/>
  <c r="O34" i="40"/>
  <c r="Q34" i="40" s="1"/>
  <c r="O33" i="40"/>
  <c r="Q33" i="40" s="1"/>
  <c r="Q32" i="40"/>
  <c r="J31" i="40"/>
  <c r="O31" i="40" s="1"/>
  <c r="Q31" i="40" s="1"/>
  <c r="O30" i="40"/>
  <c r="Q30" i="40" s="1"/>
  <c r="O29" i="40"/>
  <c r="Q29" i="40" s="1"/>
  <c r="O28" i="40"/>
  <c r="Q28" i="40" s="1"/>
  <c r="O27" i="40"/>
  <c r="Q27" i="40" s="1"/>
  <c r="O26" i="40"/>
  <c r="Q26" i="40" s="1"/>
  <c r="O25" i="40"/>
  <c r="Q25" i="40" s="1"/>
  <c r="O24" i="40"/>
  <c r="Q24" i="40" s="1"/>
  <c r="O23" i="40"/>
  <c r="Q23" i="40" s="1"/>
  <c r="O22" i="40"/>
  <c r="Q22" i="40" s="1"/>
  <c r="O21" i="40"/>
  <c r="Q21" i="40" s="1"/>
  <c r="O20" i="40"/>
  <c r="Q20" i="40" s="1"/>
  <c r="O19" i="40"/>
  <c r="Q19" i="40" s="1"/>
  <c r="O18" i="40"/>
  <c r="Q18" i="40" s="1"/>
  <c r="O17" i="40"/>
  <c r="Q17" i="40" s="1"/>
  <c r="O16" i="40"/>
  <c r="Q16" i="40" s="1"/>
  <c r="O15" i="40"/>
  <c r="Q15" i="40" s="1"/>
  <c r="O14" i="40"/>
  <c r="Q14" i="40" s="1"/>
  <c r="O13" i="40"/>
  <c r="Q13" i="40" s="1"/>
  <c r="O12" i="40"/>
  <c r="Q12" i="40" s="1"/>
  <c r="O11" i="40"/>
  <c r="Q11" i="40" s="1"/>
  <c r="O10" i="40"/>
  <c r="Q10" i="40" s="1"/>
  <c r="O9" i="40"/>
  <c r="Q9" i="40" s="1"/>
  <c r="O8" i="40"/>
  <c r="Q8" i="40" s="1"/>
  <c r="O7" i="40"/>
  <c r="J41" i="40" l="1"/>
  <c r="O41" i="40"/>
  <c r="Q7" i="40"/>
  <c r="Q41" i="40" s="1"/>
  <c r="H32" i="39" l="1"/>
  <c r="O32" i="39" s="1"/>
  <c r="Q32" i="39" s="1"/>
  <c r="G37" i="39"/>
  <c r="O31" i="39" l="1"/>
  <c r="Q31" i="39" s="1"/>
  <c r="O30" i="39"/>
  <c r="O9" i="39" l="1"/>
  <c r="Q9" i="39" s="1"/>
  <c r="O10" i="39"/>
  <c r="Q10" i="39" s="1"/>
  <c r="O11" i="39"/>
  <c r="O12" i="39"/>
  <c r="O13" i="39"/>
  <c r="Q13" i="39" s="1"/>
  <c r="O14" i="39"/>
  <c r="Q14" i="39" s="1"/>
  <c r="O15" i="39"/>
  <c r="Q15" i="39" s="1"/>
  <c r="O16" i="39"/>
  <c r="Q16" i="39" s="1"/>
  <c r="O17" i="39"/>
  <c r="Q17" i="39" s="1"/>
  <c r="O18" i="39"/>
  <c r="Q18" i="39" s="1"/>
  <c r="O19" i="39"/>
  <c r="O20" i="39"/>
  <c r="Q20" i="39" s="1"/>
  <c r="O21" i="39"/>
  <c r="Q21" i="39" s="1"/>
  <c r="O22" i="39"/>
  <c r="Q22" i="39" s="1"/>
  <c r="O24" i="39"/>
  <c r="Q24" i="39" s="1"/>
  <c r="O26" i="39"/>
  <c r="Q26" i="39" s="1"/>
  <c r="O27" i="39"/>
  <c r="Q27" i="39" s="1"/>
  <c r="O28" i="39"/>
  <c r="Q28" i="39" s="1"/>
  <c r="O29" i="39"/>
  <c r="Q29" i="39" s="1"/>
  <c r="J25" i="39"/>
  <c r="O25" i="39" s="1"/>
  <c r="J23" i="39"/>
  <c r="Q30" i="39"/>
  <c r="P37" i="39"/>
  <c r="N37" i="39"/>
  <c r="M37" i="39"/>
  <c r="K37" i="39"/>
  <c r="I37" i="39"/>
  <c r="O35" i="39"/>
  <c r="Q35" i="39" s="1"/>
  <c r="O34" i="39"/>
  <c r="Q34" i="39" s="1"/>
  <c r="O33" i="39"/>
  <c r="Q33" i="39" s="1"/>
  <c r="Q19" i="39"/>
  <c r="H37" i="39"/>
  <c r="O8" i="39"/>
  <c r="Q8" i="39" s="1"/>
  <c r="O7" i="39"/>
  <c r="Q25" i="39" l="1"/>
  <c r="O23" i="39"/>
  <c r="Q23" i="39" s="1"/>
  <c r="J37" i="39"/>
  <c r="Q11" i="39"/>
  <c r="L37" i="39"/>
  <c r="Q7" i="39"/>
  <c r="Q12" i="39"/>
  <c r="N29" i="38"/>
  <c r="O29" i="38" s="1"/>
  <c r="Q29" i="38" s="1"/>
  <c r="G45" i="38"/>
  <c r="O37" i="39" l="1"/>
  <c r="Q37" i="39"/>
  <c r="O9" i="38"/>
  <c r="Q9" i="38" s="1"/>
  <c r="O10" i="38"/>
  <c r="Q10" i="38" s="1"/>
  <c r="O14" i="38"/>
  <c r="Q14" i="38" s="1"/>
  <c r="O15" i="38"/>
  <c r="Q15" i="38" s="1"/>
  <c r="O16" i="38"/>
  <c r="Q16" i="38" s="1"/>
  <c r="O17" i="38"/>
  <c r="Q17" i="38" s="1"/>
  <c r="O20" i="38"/>
  <c r="Q20" i="38" s="1"/>
  <c r="O21" i="38"/>
  <c r="Q21" i="38" s="1"/>
  <c r="O22" i="38"/>
  <c r="Q22" i="38" s="1"/>
  <c r="O23" i="38"/>
  <c r="Q23" i="38" s="1"/>
  <c r="O25" i="38"/>
  <c r="Q25" i="38" s="1"/>
  <c r="O26" i="38"/>
  <c r="Q26" i="38" s="1"/>
  <c r="O27" i="38"/>
  <c r="Q27" i="38" s="1"/>
  <c r="O28" i="38"/>
  <c r="Q28" i="38" s="1"/>
  <c r="O31" i="38"/>
  <c r="Q31" i="38" s="1"/>
  <c r="O32" i="38"/>
  <c r="Q32" i="38" s="1"/>
  <c r="O33" i="38"/>
  <c r="Q33" i="38" s="1"/>
  <c r="O34" i="38"/>
  <c r="Q34" i="38" s="1"/>
  <c r="O35" i="38"/>
  <c r="Q35" i="38" s="1"/>
  <c r="O36" i="38"/>
  <c r="Q36" i="38" s="1"/>
  <c r="O37" i="38"/>
  <c r="Q37" i="38" s="1"/>
  <c r="O38" i="38"/>
  <c r="Q38" i="38" s="1"/>
  <c r="O39" i="38"/>
  <c r="Q39" i="38" s="1"/>
  <c r="O40" i="38"/>
  <c r="Q40" i="38" s="1"/>
  <c r="O41" i="38"/>
  <c r="Q41" i="38" s="1"/>
  <c r="O42" i="38"/>
  <c r="Q42" i="38" s="1"/>
  <c r="O43" i="38"/>
  <c r="Q43" i="38" s="1"/>
  <c r="O44" i="38"/>
  <c r="Q44" i="38" s="1"/>
  <c r="J24" i="38"/>
  <c r="O24" i="38" s="1"/>
  <c r="Q24" i="38" s="1"/>
  <c r="J18" i="38"/>
  <c r="O18" i="38" s="1"/>
  <c r="Q18" i="38" s="1"/>
  <c r="J13" i="38" l="1"/>
  <c r="O13" i="38" s="1"/>
  <c r="Q13" i="38" s="1"/>
  <c r="J11" i="38"/>
  <c r="J19" i="38" l="1"/>
  <c r="O19" i="38" s="1"/>
  <c r="Q19" i="38" s="1"/>
  <c r="J12" i="38"/>
  <c r="O12" i="38" s="1"/>
  <c r="Q12" i="38" s="1"/>
  <c r="K45" i="38"/>
  <c r="L30" i="38"/>
  <c r="O30" i="38" s="1"/>
  <c r="Q30" i="38" s="1"/>
  <c r="H11" i="38"/>
  <c r="O11" i="38" s="1"/>
  <c r="Q11" i="38" s="1"/>
  <c r="P45" i="38"/>
  <c r="N45" i="38"/>
  <c r="M45" i="38"/>
  <c r="I45" i="38"/>
  <c r="O8" i="38"/>
  <c r="Q8" i="38" s="1"/>
  <c r="O7" i="38"/>
  <c r="Q7" i="38" s="1"/>
  <c r="J45" i="38" l="1"/>
  <c r="L45" i="38"/>
  <c r="Q45" i="38"/>
  <c r="H45" i="38"/>
  <c r="J26" i="37"/>
  <c r="J16" i="37"/>
  <c r="O45" i="38" l="1"/>
  <c r="H35" i="37"/>
  <c r="P45" i="37" l="1"/>
  <c r="L45" i="37"/>
  <c r="O42" i="37"/>
  <c r="Q42" i="37" s="1"/>
  <c r="O41" i="37"/>
  <c r="Q41" i="37" s="1"/>
  <c r="O40" i="37"/>
  <c r="Q40" i="37" s="1"/>
  <c r="O39" i="37"/>
  <c r="Q39" i="37" s="1"/>
  <c r="O9" i="37" l="1"/>
  <c r="Q9" i="37" s="1"/>
  <c r="O10" i="37"/>
  <c r="Q10" i="37" s="1"/>
  <c r="O11" i="37"/>
  <c r="Q11" i="37" s="1"/>
  <c r="O12" i="37"/>
  <c r="Q12" i="37" s="1"/>
  <c r="O13" i="37"/>
  <c r="Q13" i="37" s="1"/>
  <c r="O14" i="37"/>
  <c r="Q14" i="37" s="1"/>
  <c r="O15" i="37"/>
  <c r="Q15" i="37" s="1"/>
  <c r="O17" i="37"/>
  <c r="Q17" i="37" s="1"/>
  <c r="O18" i="37"/>
  <c r="Q18" i="37" s="1"/>
  <c r="O19" i="37"/>
  <c r="O20" i="37"/>
  <c r="Q20" i="37" s="1"/>
  <c r="O21" i="37"/>
  <c r="Q21" i="37" s="1"/>
  <c r="O22" i="37"/>
  <c r="Q22" i="37" s="1"/>
  <c r="O23" i="37"/>
  <c r="Q23" i="37" s="1"/>
  <c r="O24" i="37"/>
  <c r="Q24" i="37" s="1"/>
  <c r="O25" i="37"/>
  <c r="Q25" i="37" s="1"/>
  <c r="O26" i="37"/>
  <c r="Q26" i="37" s="1"/>
  <c r="O27" i="37"/>
  <c r="Q27" i="37" s="1"/>
  <c r="O28" i="37"/>
  <c r="Q28" i="37" s="1"/>
  <c r="O29" i="37"/>
  <c r="Q29" i="37" s="1"/>
  <c r="O30" i="37"/>
  <c r="Q30" i="37" s="1"/>
  <c r="O31" i="37"/>
  <c r="Q31" i="37" s="1"/>
  <c r="O33" i="37"/>
  <c r="Q33" i="37" s="1"/>
  <c r="O34" i="37"/>
  <c r="Q34" i="37" s="1"/>
  <c r="O35" i="37"/>
  <c r="Q35" i="37" s="1"/>
  <c r="O36" i="37"/>
  <c r="Q36" i="37" s="1"/>
  <c r="O37" i="37"/>
  <c r="Q37" i="37" s="1"/>
  <c r="O38" i="37"/>
  <c r="Q38" i="37" s="1"/>
  <c r="O43" i="37"/>
  <c r="Q43" i="37" s="1"/>
  <c r="O44" i="37"/>
  <c r="Q44" i="37" s="1"/>
  <c r="J32" i="37"/>
  <c r="O32" i="37" s="1"/>
  <c r="Q32" i="37" s="1"/>
  <c r="O16" i="37"/>
  <c r="Q16" i="37" s="1"/>
  <c r="Q19" i="37"/>
  <c r="N45" i="37"/>
  <c r="M45" i="37"/>
  <c r="K45" i="37"/>
  <c r="I45" i="37"/>
  <c r="G45" i="37"/>
  <c r="O8" i="37"/>
  <c r="Q8" i="37" s="1"/>
  <c r="O7" i="37"/>
  <c r="O45" i="37" l="1"/>
  <c r="H45" i="37"/>
  <c r="J45" i="37"/>
  <c r="Q7" i="37"/>
  <c r="H24" i="36"/>
  <c r="Q45" i="37" l="1"/>
  <c r="O11" i="36"/>
  <c r="Q11" i="36" s="1"/>
  <c r="J15" i="36" l="1"/>
  <c r="J8" i="36"/>
  <c r="O29" i="36"/>
  <c r="Q29" i="36" s="1"/>
  <c r="P33" i="36" l="1"/>
  <c r="N33" i="36"/>
  <c r="M33" i="36"/>
  <c r="L33" i="36"/>
  <c r="I33" i="36"/>
  <c r="G33" i="36"/>
  <c r="O32" i="36"/>
  <c r="Q32" i="36" s="1"/>
  <c r="O30" i="36"/>
  <c r="Q30" i="36" s="1"/>
  <c r="K33" i="36"/>
  <c r="O28" i="36"/>
  <c r="Q28" i="36" s="1"/>
  <c r="O27" i="36"/>
  <c r="Q27" i="36" s="1"/>
  <c r="O26" i="36"/>
  <c r="Q26" i="36" s="1"/>
  <c r="O25" i="36"/>
  <c r="Q25" i="36" s="1"/>
  <c r="H33" i="36"/>
  <c r="O24" i="36"/>
  <c r="Q24" i="36" s="1"/>
  <c r="O23" i="36"/>
  <c r="Q23" i="36" s="1"/>
  <c r="O22" i="36"/>
  <c r="Q22" i="36" s="1"/>
  <c r="O21" i="36"/>
  <c r="Q21" i="36" s="1"/>
  <c r="O20" i="36"/>
  <c r="Q20" i="36" s="1"/>
  <c r="O19" i="36"/>
  <c r="Q19" i="36" s="1"/>
  <c r="O18" i="36"/>
  <c r="Q18" i="36" s="1"/>
  <c r="O17" i="36"/>
  <c r="Q17" i="36" s="1"/>
  <c r="O16" i="36"/>
  <c r="Q16" i="36" s="1"/>
  <c r="O15" i="36"/>
  <c r="Q15" i="36" s="1"/>
  <c r="O14" i="36"/>
  <c r="Q14" i="36" s="1"/>
  <c r="O13" i="36"/>
  <c r="Q13" i="36" s="1"/>
  <c r="O12" i="36"/>
  <c r="Q12" i="36" s="1"/>
  <c r="O10" i="36"/>
  <c r="Q10" i="36" s="1"/>
  <c r="O9" i="36"/>
  <c r="Q9" i="36" s="1"/>
  <c r="J33" i="36"/>
  <c r="O7" i="36"/>
  <c r="Q7" i="36" s="1"/>
  <c r="O8" i="36" l="1"/>
  <c r="Q8" i="36" s="1"/>
  <c r="Q33" i="36" s="1"/>
  <c r="H37" i="35"/>
  <c r="O33" i="36" l="1"/>
  <c r="P44" i="35"/>
  <c r="L44" i="35"/>
  <c r="I44" i="35"/>
  <c r="G44" i="35"/>
  <c r="J28" i="35"/>
  <c r="J26" i="35"/>
  <c r="O10" i="35" l="1"/>
  <c r="Q10" i="35" s="1"/>
  <c r="O11" i="35"/>
  <c r="O13" i="35"/>
  <c r="Q13" i="35" s="1"/>
  <c r="O14" i="35"/>
  <c r="Q14" i="35" s="1"/>
  <c r="O15" i="35"/>
  <c r="Q15" i="35" s="1"/>
  <c r="O17" i="35"/>
  <c r="Q17" i="35" s="1"/>
  <c r="O19" i="35"/>
  <c r="Q19" i="35" s="1"/>
  <c r="O20" i="35"/>
  <c r="O21" i="35"/>
  <c r="Q21" i="35" s="1"/>
  <c r="O22" i="35"/>
  <c r="O23" i="35"/>
  <c r="O24" i="35"/>
  <c r="Q24" i="35" s="1"/>
  <c r="O26" i="35"/>
  <c r="Q26" i="35" s="1"/>
  <c r="O27" i="35"/>
  <c r="Q27" i="35" s="1"/>
  <c r="O28" i="35"/>
  <c r="O29" i="35"/>
  <c r="Q29" i="35" s="1"/>
  <c r="O32" i="35"/>
  <c r="O33" i="35"/>
  <c r="O34" i="35"/>
  <c r="O36" i="35"/>
  <c r="O37" i="35"/>
  <c r="Q37" i="35" s="1"/>
  <c r="O38" i="35"/>
  <c r="Q38" i="35" s="1"/>
  <c r="O39" i="35"/>
  <c r="Q39" i="35" s="1"/>
  <c r="O40" i="35"/>
  <c r="Q40" i="35" s="1"/>
  <c r="O41" i="35"/>
  <c r="Q41" i="35" s="1"/>
  <c r="O43" i="35"/>
  <c r="Q43" i="35" s="1"/>
  <c r="H31" i="35"/>
  <c r="H44" i="35" s="1"/>
  <c r="Q11" i="35"/>
  <c r="O31" i="35" l="1"/>
  <c r="J35" i="35"/>
  <c r="O35" i="35" s="1"/>
  <c r="Q35" i="35" s="1"/>
  <c r="J30" i="35"/>
  <c r="O30" i="35" s="1"/>
  <c r="Q30" i="35" s="1"/>
  <c r="J25" i="35"/>
  <c r="O25" i="35" s="1"/>
  <c r="Q25" i="35" s="1"/>
  <c r="J18" i="35" l="1"/>
  <c r="O18" i="35" s="1"/>
  <c r="Q18" i="35" s="1"/>
  <c r="J16" i="35"/>
  <c r="J12" i="35"/>
  <c r="J9" i="35"/>
  <c r="O9" i="35" s="1"/>
  <c r="Q9" i="35" s="1"/>
  <c r="J8" i="35"/>
  <c r="N44" i="35"/>
  <c r="M44" i="35"/>
  <c r="K42" i="35"/>
  <c r="Q36" i="35"/>
  <c r="Q34" i="35"/>
  <c r="Q33" i="35"/>
  <c r="Q32" i="35"/>
  <c r="Q31" i="35"/>
  <c r="Q28" i="35"/>
  <c r="Q23" i="35"/>
  <c r="Q22" i="35"/>
  <c r="Q20" i="35"/>
  <c r="O7" i="35"/>
  <c r="Q7" i="35" l="1"/>
  <c r="O12" i="35"/>
  <c r="Q12" i="35" s="1"/>
  <c r="K44" i="35"/>
  <c r="O42" i="35"/>
  <c r="Q42" i="35" s="1"/>
  <c r="O8" i="35"/>
  <c r="Q8" i="35" s="1"/>
  <c r="J44" i="35"/>
  <c r="O16" i="35"/>
  <c r="Q16" i="35" s="1"/>
  <c r="J34" i="34"/>
  <c r="J29" i="34"/>
  <c r="J28" i="34"/>
  <c r="O44" i="35" l="1"/>
  <c r="Q44" i="35"/>
  <c r="Q46" i="35" s="1"/>
  <c r="H36" i="34"/>
  <c r="H35" i="34"/>
  <c r="Q35" i="36" l="1"/>
  <c r="Q47" i="37" s="1"/>
  <c r="Q47" i="38" s="1"/>
  <c r="Q39" i="39" s="1"/>
  <c r="O42" i="34"/>
  <c r="Q42" i="34" s="1"/>
  <c r="Q43" i="40" l="1"/>
  <c r="H46" i="34"/>
  <c r="O9" i="34"/>
  <c r="Q9" i="34" s="1"/>
  <c r="O10" i="34"/>
  <c r="Q10" i="34" s="1"/>
  <c r="O11" i="34"/>
  <c r="Q11" i="34" s="1"/>
  <c r="O12" i="34"/>
  <c r="Q12" i="34" s="1"/>
  <c r="O13" i="34"/>
  <c r="Q13" i="34" s="1"/>
  <c r="O14" i="34"/>
  <c r="Q14" i="34" s="1"/>
  <c r="O15" i="34"/>
  <c r="Q15" i="34" s="1"/>
  <c r="O16" i="34"/>
  <c r="Q16" i="34" s="1"/>
  <c r="O17" i="34"/>
  <c r="Q17" i="34" s="1"/>
  <c r="O19" i="34"/>
  <c r="Q19" i="34" s="1"/>
  <c r="O20" i="34"/>
  <c r="Q20" i="34" s="1"/>
  <c r="O21" i="34"/>
  <c r="Q21" i="34" s="1"/>
  <c r="O22" i="34"/>
  <c r="Q22" i="34" s="1"/>
  <c r="O25" i="34"/>
  <c r="Q25" i="34" s="1"/>
  <c r="O27" i="34"/>
  <c r="Q27" i="34" s="1"/>
  <c r="O28" i="34"/>
  <c r="Q28" i="34" s="1"/>
  <c r="O29" i="34"/>
  <c r="Q29" i="34" s="1"/>
  <c r="O30" i="34"/>
  <c r="O31" i="34"/>
  <c r="Q31" i="34" s="1"/>
  <c r="O33" i="34"/>
  <c r="Q33" i="34" s="1"/>
  <c r="O34" i="34"/>
  <c r="Q34" i="34" s="1"/>
  <c r="O37" i="34"/>
  <c r="Q37" i="34" s="1"/>
  <c r="O39" i="34"/>
  <c r="Q39" i="34" s="1"/>
  <c r="O40" i="34"/>
  <c r="Q40" i="34" s="1"/>
  <c r="O41" i="34"/>
  <c r="Q41" i="34" s="1"/>
  <c r="O44" i="34"/>
  <c r="O45" i="34"/>
  <c r="Q45" i="34" s="1"/>
  <c r="L38" i="34"/>
  <c r="L46" i="34" s="1"/>
  <c r="K43" i="34"/>
  <c r="K46" i="34" s="1"/>
  <c r="J36" i="34"/>
  <c r="O36" i="34" s="1"/>
  <c r="J35" i="34"/>
  <c r="O35" i="34" s="1"/>
  <c r="J32" i="34"/>
  <c r="O32" i="34" s="1"/>
  <c r="J26" i="34"/>
  <c r="O26" i="34" s="1"/>
  <c r="Q26" i="34" s="1"/>
  <c r="J24" i="34"/>
  <c r="O24" i="34" s="1"/>
  <c r="Q24" i="34" s="1"/>
  <c r="J23" i="34"/>
  <c r="O23" i="34" s="1"/>
  <c r="Q23" i="34" s="1"/>
  <c r="J18" i="34"/>
  <c r="O18" i="34" s="1"/>
  <c r="Q18" i="34" s="1"/>
  <c r="P46" i="34"/>
  <c r="N46" i="34"/>
  <c r="M46" i="34"/>
  <c r="I46" i="34"/>
  <c r="G46" i="34"/>
  <c r="Q30" i="34"/>
  <c r="O8" i="34"/>
  <c r="Q8" i="34" s="1"/>
  <c r="O7" i="34"/>
  <c r="Q7" i="34" s="1"/>
  <c r="Q49" i="41" l="1"/>
  <c r="O43" i="34"/>
  <c r="Q43" i="34" s="1"/>
  <c r="J46" i="34"/>
  <c r="Q35" i="34"/>
  <c r="Q32" i="34"/>
  <c r="O38" i="34"/>
  <c r="Q38" i="34" s="1"/>
  <c r="Q36" i="34"/>
  <c r="O35" i="33"/>
  <c r="Q35" i="33" s="1"/>
  <c r="Q48" i="42" l="1"/>
  <c r="O46" i="34"/>
  <c r="Q44" i="34"/>
  <c r="Q46" i="34" s="1"/>
  <c r="H29" i="33"/>
  <c r="Q38" i="43" l="1"/>
  <c r="K37" i="33"/>
  <c r="K38" i="33" s="1"/>
  <c r="L34" i="33"/>
  <c r="L38" i="33" s="1"/>
  <c r="J23" i="33"/>
  <c r="O23" i="33" s="1"/>
  <c r="Q23" i="33" s="1"/>
  <c r="P38" i="33"/>
  <c r="N38" i="33"/>
  <c r="M38" i="33"/>
  <c r="I38" i="33"/>
  <c r="G38" i="33"/>
  <c r="O37" i="33"/>
  <c r="Q37" i="33" s="1"/>
  <c r="O36" i="33"/>
  <c r="Q36" i="33" s="1"/>
  <c r="O33" i="33"/>
  <c r="Q33" i="33" s="1"/>
  <c r="O32" i="33"/>
  <c r="Q32" i="33" s="1"/>
  <c r="O31" i="33"/>
  <c r="Q31" i="33" s="1"/>
  <c r="O30" i="33"/>
  <c r="Q30" i="33" s="1"/>
  <c r="O29" i="33"/>
  <c r="Q29" i="33" s="1"/>
  <c r="O28" i="33"/>
  <c r="Q28" i="33" s="1"/>
  <c r="O27" i="33"/>
  <c r="Q27" i="33" s="1"/>
  <c r="O26" i="33"/>
  <c r="Q26" i="33" s="1"/>
  <c r="J38" i="33"/>
  <c r="O24" i="33"/>
  <c r="Q24" i="33" s="1"/>
  <c r="O22" i="33"/>
  <c r="Q22" i="33" s="1"/>
  <c r="O21" i="33"/>
  <c r="Q21" i="33" s="1"/>
  <c r="O20" i="33"/>
  <c r="Q20" i="33" s="1"/>
  <c r="O19" i="33"/>
  <c r="Q19" i="33" s="1"/>
  <c r="O18" i="33"/>
  <c r="Q18" i="33" s="1"/>
  <c r="O17" i="33"/>
  <c r="Q17" i="33" s="1"/>
  <c r="O16" i="33"/>
  <c r="Q16" i="33" s="1"/>
  <c r="O15" i="33"/>
  <c r="Q15" i="33" s="1"/>
  <c r="O14" i="33"/>
  <c r="Q14" i="33" s="1"/>
  <c r="O13" i="33"/>
  <c r="Q13" i="33" s="1"/>
  <c r="O12" i="33"/>
  <c r="Q12" i="33" s="1"/>
  <c r="O11" i="33"/>
  <c r="Q11" i="33" s="1"/>
  <c r="O10" i="33"/>
  <c r="Q10" i="33" s="1"/>
  <c r="O9" i="33"/>
  <c r="Q9" i="33" s="1"/>
  <c r="O8" i="33"/>
  <c r="Q8" i="33" s="1"/>
  <c r="O7" i="33"/>
  <c r="Q53" i="44" l="1"/>
  <c r="Q7" i="33"/>
  <c r="O34" i="33"/>
  <c r="Q34" i="33" s="1"/>
  <c r="H38" i="33"/>
  <c r="O25" i="33"/>
  <c r="J26" i="32"/>
  <c r="H28" i="32"/>
  <c r="Q48" i="45" l="1"/>
  <c r="O38" i="33"/>
  <c r="Q25" i="33"/>
  <c r="Q38" i="33" s="1"/>
  <c r="O9" i="32"/>
  <c r="Q9" i="32" s="1"/>
  <c r="O10" i="32"/>
  <c r="Q10" i="32" s="1"/>
  <c r="O12" i="32"/>
  <c r="Q12" i="32" s="1"/>
  <c r="O13" i="32"/>
  <c r="Q13" i="32" s="1"/>
  <c r="O14" i="32"/>
  <c r="Q14" i="32" s="1"/>
  <c r="O15" i="32"/>
  <c r="Q15" i="32" s="1"/>
  <c r="O16" i="32"/>
  <c r="Q16" i="32" s="1"/>
  <c r="O17" i="32"/>
  <c r="Q17" i="32" s="1"/>
  <c r="O18" i="32"/>
  <c r="Q18" i="32" s="1"/>
  <c r="O19" i="32"/>
  <c r="Q19" i="32" s="1"/>
  <c r="O20" i="32"/>
  <c r="Q20" i="32" s="1"/>
  <c r="O21" i="32"/>
  <c r="Q21" i="32" s="1"/>
  <c r="O22" i="32"/>
  <c r="Q22" i="32" s="1"/>
  <c r="O23" i="32"/>
  <c r="Q23" i="32" s="1"/>
  <c r="O24" i="32"/>
  <c r="Q24" i="32" s="1"/>
  <c r="O26" i="32"/>
  <c r="Q26" i="32" s="1"/>
  <c r="O27" i="32"/>
  <c r="Q27" i="32" s="1"/>
  <c r="O28" i="32"/>
  <c r="Q28" i="32" s="1"/>
  <c r="O29" i="32"/>
  <c r="Q29" i="32" s="1"/>
  <c r="O30" i="32"/>
  <c r="Q30" i="32" s="1"/>
  <c r="O31" i="32"/>
  <c r="Q31" i="32" s="1"/>
  <c r="O32" i="32"/>
  <c r="Q32" i="32" s="1"/>
  <c r="O33" i="32"/>
  <c r="Q33" i="32" s="1"/>
  <c r="O34" i="32"/>
  <c r="Q34" i="32" s="1"/>
  <c r="O35" i="32"/>
  <c r="Q35" i="32" s="1"/>
  <c r="O36" i="32"/>
  <c r="Q36" i="32" s="1"/>
  <c r="O8" i="32"/>
  <c r="Q48" i="46" l="1"/>
  <c r="J25" i="32"/>
  <c r="O25" i="32" s="1"/>
  <c r="Q25" i="32" s="1"/>
  <c r="J11" i="32"/>
  <c r="O11" i="32" s="1"/>
  <c r="Q11" i="32" s="1"/>
  <c r="P37" i="32"/>
  <c r="N37" i="32"/>
  <c r="M37" i="32"/>
  <c r="L37" i="32"/>
  <c r="K37" i="32"/>
  <c r="I37" i="32"/>
  <c r="H37" i="32"/>
  <c r="G37" i="32"/>
  <c r="Q8" i="32"/>
  <c r="O7" i="32"/>
  <c r="J37" i="32" l="1"/>
  <c r="Q7" i="32"/>
  <c r="J23" i="31"/>
  <c r="J20" i="31"/>
  <c r="J19" i="31"/>
  <c r="J14" i="31"/>
  <c r="O37" i="32" l="1"/>
  <c r="Q37" i="32"/>
  <c r="O14" i="31"/>
  <c r="Q14" i="31" s="1"/>
  <c r="O15" i="31"/>
  <c r="Q15" i="31" s="1"/>
  <c r="O19" i="31"/>
  <c r="Q19" i="31" s="1"/>
  <c r="O20" i="31"/>
  <c r="Q20" i="31" s="1"/>
  <c r="O22" i="31"/>
  <c r="Q22" i="31" s="1"/>
  <c r="O23" i="31"/>
  <c r="Q23" i="31" s="1"/>
  <c r="O24" i="31"/>
  <c r="Q24" i="31" s="1"/>
  <c r="O25" i="31"/>
  <c r="Q25" i="31" s="1"/>
  <c r="O26" i="31"/>
  <c r="Q26" i="31" s="1"/>
  <c r="O27" i="31"/>
  <c r="Q27" i="31" s="1"/>
  <c r="O28" i="31"/>
  <c r="Q28" i="31" s="1"/>
  <c r="O29" i="31"/>
  <c r="Q29" i="31" s="1"/>
  <c r="O30" i="31"/>
  <c r="Q30" i="31" s="1"/>
  <c r="O31" i="31"/>
  <c r="Q31" i="31" s="1"/>
  <c r="O32" i="31"/>
  <c r="Q32" i="31" s="1"/>
  <c r="O33" i="31"/>
  <c r="Q33" i="31" s="1"/>
  <c r="O34" i="31"/>
  <c r="Q34" i="31" s="1"/>
  <c r="J21" i="31" l="1"/>
  <c r="O21" i="31" s="1"/>
  <c r="Q21" i="31" s="1"/>
  <c r="Q37" i="30"/>
  <c r="P36" i="30"/>
  <c r="M36" i="30"/>
  <c r="L36" i="30"/>
  <c r="K36" i="30"/>
  <c r="I36" i="30"/>
  <c r="G36" i="30"/>
  <c r="O35" i="30"/>
  <c r="Q35" i="30" s="1"/>
  <c r="O34" i="30"/>
  <c r="Q34" i="30" s="1"/>
  <c r="N33" i="30"/>
  <c r="O33" i="30" s="1"/>
  <c r="Q33" i="30" s="1"/>
  <c r="O32" i="30"/>
  <c r="Q32" i="30" s="1"/>
  <c r="O31" i="30"/>
  <c r="Q31" i="30" s="1"/>
  <c r="H30" i="30"/>
  <c r="O30" i="30" s="1"/>
  <c r="Q30" i="30" s="1"/>
  <c r="J29" i="30"/>
  <c r="O29" i="30" s="1"/>
  <c r="Q29" i="30" s="1"/>
  <c r="J28" i="30"/>
  <c r="O28" i="30" s="1"/>
  <c r="Q28" i="30" s="1"/>
  <c r="J27" i="30"/>
  <c r="O27" i="30" s="1"/>
  <c r="Q27" i="30" s="1"/>
  <c r="J26" i="30"/>
  <c r="O26" i="30" s="1"/>
  <c r="Q26" i="30" s="1"/>
  <c r="J25" i="30"/>
  <c r="O25" i="30" s="1"/>
  <c r="Q25" i="30" s="1"/>
  <c r="J24" i="30"/>
  <c r="O24" i="30" s="1"/>
  <c r="Q24" i="30" s="1"/>
  <c r="J23" i="30"/>
  <c r="O23" i="30" s="1"/>
  <c r="Q23" i="30" s="1"/>
  <c r="J22" i="30"/>
  <c r="O22" i="30" s="1"/>
  <c r="Q22" i="30" s="1"/>
  <c r="J21" i="30"/>
  <c r="O21" i="30" s="1"/>
  <c r="Q21" i="30" s="1"/>
  <c r="J20" i="30"/>
  <c r="O20" i="30" s="1"/>
  <c r="Q20" i="30" s="1"/>
  <c r="J19" i="30"/>
  <c r="O19" i="30" s="1"/>
  <c r="Q19" i="30" s="1"/>
  <c r="J18" i="30"/>
  <c r="O18" i="30" s="1"/>
  <c r="Q18" i="30" s="1"/>
  <c r="J17" i="30"/>
  <c r="O17" i="30" s="1"/>
  <c r="Q17" i="30" s="1"/>
  <c r="J16" i="30"/>
  <c r="O16" i="30" s="1"/>
  <c r="Q16" i="30" s="1"/>
  <c r="J15" i="30"/>
  <c r="O15" i="30" s="1"/>
  <c r="Q15" i="30" s="1"/>
  <c r="J14" i="30"/>
  <c r="O14" i="30" s="1"/>
  <c r="Q14" i="30" s="1"/>
  <c r="J13" i="30"/>
  <c r="O13" i="30" s="1"/>
  <c r="Q13" i="30" s="1"/>
  <c r="J12" i="30"/>
  <c r="O12" i="30" s="1"/>
  <c r="Q12" i="30" s="1"/>
  <c r="J11" i="30"/>
  <c r="O11" i="30" s="1"/>
  <c r="Q11" i="30" s="1"/>
  <c r="J10" i="30"/>
  <c r="O10" i="30" s="1"/>
  <c r="Q10" i="30" s="1"/>
  <c r="J9" i="30"/>
  <c r="O9" i="30" s="1"/>
  <c r="Q9" i="30" s="1"/>
  <c r="J8" i="30"/>
  <c r="O8" i="30" s="1"/>
  <c r="Q8" i="30" s="1"/>
  <c r="O7" i="30"/>
  <c r="Q7" i="30" s="1"/>
  <c r="H36" i="30" l="1"/>
  <c r="Q36" i="30"/>
  <c r="O36" i="30"/>
  <c r="J36" i="30"/>
  <c r="N36" i="30"/>
  <c r="J18" i="31" l="1"/>
  <c r="O18" i="31" s="1"/>
  <c r="Q18" i="31" s="1"/>
  <c r="J17" i="31"/>
  <c r="O17" i="31" s="1"/>
  <c r="Q17" i="31" s="1"/>
  <c r="J16" i="31"/>
  <c r="O16" i="31" s="1"/>
  <c r="Q16" i="31" s="1"/>
  <c r="J13" i="31"/>
  <c r="O13" i="31" s="1"/>
  <c r="Q13" i="31" s="1"/>
  <c r="J12" i="31"/>
  <c r="O12" i="31" s="1"/>
  <c r="Q12" i="31" s="1"/>
  <c r="J11" i="31"/>
  <c r="O11" i="31" s="1"/>
  <c r="Q11" i="31" s="1"/>
  <c r="J10" i="31"/>
  <c r="O10" i="31" s="1"/>
  <c r="Q10" i="31" s="1"/>
  <c r="J9" i="31"/>
  <c r="O9" i="31" s="1"/>
  <c r="Q9" i="31" s="1"/>
  <c r="P35" i="31"/>
  <c r="M35" i="31"/>
  <c r="L35" i="31"/>
  <c r="K35" i="31"/>
  <c r="I35" i="31"/>
  <c r="H35" i="31"/>
  <c r="G35" i="31"/>
  <c r="N35" i="31"/>
  <c r="O7" i="31"/>
  <c r="J35" i="31" l="1"/>
  <c r="Q7" i="31"/>
  <c r="O8" i="31"/>
  <c r="Q8" i="31" s="1"/>
  <c r="O35" i="31" l="1"/>
  <c r="Q35" i="31"/>
  <c r="Q36" i="31" l="1"/>
  <c r="H29" i="29"/>
  <c r="Q38" i="32" l="1"/>
  <c r="O15" i="29"/>
  <c r="Q15" i="29" s="1"/>
  <c r="O30" i="29"/>
  <c r="Q30" i="29" s="1"/>
  <c r="O31" i="29"/>
  <c r="Q31" i="29" s="1"/>
  <c r="O32" i="29"/>
  <c r="Q32" i="29" s="1"/>
  <c r="O33" i="29"/>
  <c r="Q33" i="29" s="1"/>
  <c r="O34" i="29"/>
  <c r="Q34" i="29" s="1"/>
  <c r="O35" i="29"/>
  <c r="Q35" i="29" s="1"/>
  <c r="O36" i="29"/>
  <c r="Q36" i="29" s="1"/>
  <c r="O37" i="29"/>
  <c r="Q37" i="29" s="1"/>
  <c r="O38" i="29"/>
  <c r="Q38" i="29" s="1"/>
  <c r="O39" i="29"/>
  <c r="Q39" i="29" s="1"/>
  <c r="O40" i="29"/>
  <c r="Q40" i="29" s="1"/>
  <c r="O41" i="29"/>
  <c r="Q41" i="29" s="1"/>
  <c r="O42" i="29"/>
  <c r="Q42" i="29" s="1"/>
  <c r="O44" i="29"/>
  <c r="Q44" i="29" s="1"/>
  <c r="Q39" i="33" l="1"/>
  <c r="Q47" i="34" s="1"/>
  <c r="J28" i="29"/>
  <c r="O28" i="29" s="1"/>
  <c r="Q28" i="29" s="1"/>
  <c r="J29" i="29"/>
  <c r="O29" i="29" s="1"/>
  <c r="Q29" i="29" s="1"/>
  <c r="K43" i="29" l="1"/>
  <c r="O43" i="29" s="1"/>
  <c r="Q43" i="29" s="1"/>
  <c r="J27" i="29"/>
  <c r="O27" i="29" s="1"/>
  <c r="Q27" i="29" s="1"/>
  <c r="J26" i="29"/>
  <c r="O26" i="29" s="1"/>
  <c r="Q26" i="29" s="1"/>
  <c r="J25" i="29"/>
  <c r="O25" i="29" s="1"/>
  <c r="Q25" i="29" s="1"/>
  <c r="J24" i="29"/>
  <c r="O24" i="29" s="1"/>
  <c r="Q24" i="29" s="1"/>
  <c r="J23" i="29"/>
  <c r="O23" i="29" s="1"/>
  <c r="Q23" i="29" s="1"/>
  <c r="J22" i="29"/>
  <c r="O22" i="29" s="1"/>
  <c r="Q22" i="29" s="1"/>
  <c r="J21" i="29"/>
  <c r="O21" i="29" s="1"/>
  <c r="Q21" i="29" s="1"/>
  <c r="J20" i="29"/>
  <c r="O20" i="29" s="1"/>
  <c r="Q20" i="29" s="1"/>
  <c r="J19" i="29"/>
  <c r="O19" i="29" s="1"/>
  <c r="Q19" i="29" s="1"/>
  <c r="J18" i="29"/>
  <c r="O18" i="29" s="1"/>
  <c r="Q18" i="29" s="1"/>
  <c r="J17" i="29"/>
  <c r="O17" i="29" s="1"/>
  <c r="Q17" i="29" s="1"/>
  <c r="J16" i="29"/>
  <c r="O16" i="29" s="1"/>
  <c r="Q16" i="29" s="1"/>
  <c r="J14" i="29"/>
  <c r="O14" i="29" s="1"/>
  <c r="Q14" i="29" s="1"/>
  <c r="J13" i="29"/>
  <c r="O13" i="29" s="1"/>
  <c r="Q13" i="29" s="1"/>
  <c r="J12" i="29"/>
  <c r="O12" i="29" s="1"/>
  <c r="Q12" i="29" s="1"/>
  <c r="J11" i="29"/>
  <c r="O11" i="29" s="1"/>
  <c r="Q11" i="29" s="1"/>
  <c r="J10" i="29"/>
  <c r="O10" i="29" s="1"/>
  <c r="Q10" i="29" s="1"/>
  <c r="J9" i="29"/>
  <c r="O9" i="29" s="1"/>
  <c r="Q9" i="29" s="1"/>
  <c r="J8" i="29"/>
  <c r="O8" i="29" s="1"/>
  <c r="Q8" i="29" s="1"/>
  <c r="P45" i="29"/>
  <c r="N45" i="29"/>
  <c r="M45" i="29"/>
  <c r="L45" i="29"/>
  <c r="I45" i="29"/>
  <c r="H45" i="29"/>
  <c r="G45" i="29"/>
  <c r="K45" i="29"/>
  <c r="O7" i="29"/>
  <c r="J45" i="29" l="1"/>
  <c r="Q7" i="29"/>
  <c r="H29" i="28"/>
  <c r="Q45" i="29" l="1"/>
  <c r="O45" i="29"/>
  <c r="J9" i="28"/>
  <c r="L34" i="28" l="1"/>
  <c r="J29" i="28" l="1"/>
  <c r="O29" i="28" s="1"/>
  <c r="Q29" i="28" s="1"/>
  <c r="J28" i="28"/>
  <c r="O28" i="28" s="1"/>
  <c r="Q28" i="28" s="1"/>
  <c r="J27" i="28"/>
  <c r="O27" i="28" s="1"/>
  <c r="Q27" i="28" s="1"/>
  <c r="J26" i="28"/>
  <c r="O26" i="28" s="1"/>
  <c r="Q26" i="28" s="1"/>
  <c r="J25" i="28"/>
  <c r="O25" i="28" s="1"/>
  <c r="Q25" i="28" s="1"/>
  <c r="J24" i="28"/>
  <c r="O24" i="28" s="1"/>
  <c r="Q24" i="28" s="1"/>
  <c r="J23" i="28"/>
  <c r="O23" i="28" s="1"/>
  <c r="Q23" i="28" s="1"/>
  <c r="J22" i="28"/>
  <c r="O22" i="28" s="1"/>
  <c r="Q22" i="28" s="1"/>
  <c r="J21" i="28"/>
  <c r="O21" i="28" s="1"/>
  <c r="Q21" i="28" s="1"/>
  <c r="J20" i="28"/>
  <c r="O20" i="28" s="1"/>
  <c r="Q20" i="28" s="1"/>
  <c r="J19" i="28"/>
  <c r="O19" i="28" s="1"/>
  <c r="Q19" i="28" s="1"/>
  <c r="J18" i="28"/>
  <c r="O18" i="28" s="1"/>
  <c r="Q18" i="28" s="1"/>
  <c r="J17" i="28"/>
  <c r="O17" i="28" s="1"/>
  <c r="Q17" i="28" s="1"/>
  <c r="J16" i="28"/>
  <c r="O16" i="28" s="1"/>
  <c r="Q16" i="28" s="1"/>
  <c r="J15" i="28"/>
  <c r="O15" i="28" s="1"/>
  <c r="Q15" i="28" s="1"/>
  <c r="J14" i="28"/>
  <c r="O14" i="28" s="1"/>
  <c r="Q14" i="28" s="1"/>
  <c r="J13" i="28"/>
  <c r="O13" i="28" s="1"/>
  <c r="Q13" i="28" s="1"/>
  <c r="J12" i="28"/>
  <c r="O12" i="28" s="1"/>
  <c r="Q12" i="28" s="1"/>
  <c r="J11" i="28"/>
  <c r="O11" i="28" s="1"/>
  <c r="Q11" i="28" s="1"/>
  <c r="J10" i="28"/>
  <c r="O10" i="28" s="1"/>
  <c r="Q10" i="28" s="1"/>
  <c r="J8" i="28"/>
  <c r="O8" i="28" s="1"/>
  <c r="Q8" i="28" s="1"/>
  <c r="P38" i="28"/>
  <c r="N38" i="28"/>
  <c r="M38" i="28"/>
  <c r="L38" i="28"/>
  <c r="I38" i="28"/>
  <c r="G38" i="28"/>
  <c r="O37" i="28"/>
  <c r="Q37" i="28" s="1"/>
  <c r="K36" i="28"/>
  <c r="K38" i="28" s="1"/>
  <c r="O35" i="28"/>
  <c r="Q35" i="28" s="1"/>
  <c r="O34" i="28"/>
  <c r="Q34" i="28" s="1"/>
  <c r="O33" i="28"/>
  <c r="Q33" i="28" s="1"/>
  <c r="O32" i="28"/>
  <c r="Q32" i="28" s="1"/>
  <c r="O31" i="28"/>
  <c r="Q31" i="28" s="1"/>
  <c r="O9" i="28"/>
  <c r="Q9" i="28" s="1"/>
  <c r="O7" i="28"/>
  <c r="Q7" i="28" s="1"/>
  <c r="H38" i="28" l="1"/>
  <c r="J38" i="28"/>
  <c r="O36" i="28"/>
  <c r="Q36" i="28" s="1"/>
  <c r="Q38" i="28" s="1"/>
  <c r="O35" i="27"/>
  <c r="Q35" i="27" s="1"/>
  <c r="L43" i="27"/>
  <c r="H34" i="27"/>
  <c r="O34" i="27" s="1"/>
  <c r="Q34" i="27" s="1"/>
  <c r="O38" i="28" l="1"/>
  <c r="O15" i="27"/>
  <c r="O17" i="27"/>
  <c r="O26" i="27"/>
  <c r="O28" i="27"/>
  <c r="O31" i="27"/>
  <c r="O36" i="27"/>
  <c r="O37" i="27"/>
  <c r="O38" i="27"/>
  <c r="O39" i="27"/>
  <c r="O40" i="27"/>
  <c r="O41" i="27"/>
  <c r="O42" i="27"/>
  <c r="O43" i="27"/>
  <c r="O45" i="27"/>
  <c r="J25" i="27"/>
  <c r="O25" i="27" s="1"/>
  <c r="J13" i="27"/>
  <c r="O13" i="27" s="1"/>
  <c r="Q15" i="27" l="1"/>
  <c r="Q17" i="27"/>
  <c r="Q25" i="27"/>
  <c r="Q26" i="27"/>
  <c r="Q28" i="27"/>
  <c r="Q31" i="27"/>
  <c r="Q36" i="27"/>
  <c r="Q37" i="27"/>
  <c r="Q38" i="27"/>
  <c r="Q39" i="27"/>
  <c r="Q40" i="27"/>
  <c r="Q41" i="27"/>
  <c r="Q42" i="27"/>
  <c r="Q43" i="27"/>
  <c r="Q45" i="27"/>
  <c r="K44" i="27" l="1"/>
  <c r="J33" i="27"/>
  <c r="O33" i="27" s="1"/>
  <c r="Q33" i="27" s="1"/>
  <c r="J32" i="27"/>
  <c r="O32" i="27" s="1"/>
  <c r="Q32" i="27" s="1"/>
  <c r="J30" i="27"/>
  <c r="O30" i="27" s="1"/>
  <c r="Q30" i="27" s="1"/>
  <c r="J29" i="27"/>
  <c r="O29" i="27" s="1"/>
  <c r="Q29" i="27" s="1"/>
  <c r="J27" i="27"/>
  <c r="O27" i="27" s="1"/>
  <c r="Q27" i="27" s="1"/>
  <c r="J24" i="27"/>
  <c r="O24" i="27" s="1"/>
  <c r="Q24" i="27" s="1"/>
  <c r="J23" i="27"/>
  <c r="O23" i="27" s="1"/>
  <c r="Q23" i="27" s="1"/>
  <c r="J22" i="27"/>
  <c r="O22" i="27" s="1"/>
  <c r="Q22" i="27" s="1"/>
  <c r="J21" i="27"/>
  <c r="O21" i="27" s="1"/>
  <c r="Q21" i="27" s="1"/>
  <c r="J20" i="27"/>
  <c r="O20" i="27" s="1"/>
  <c r="Q20" i="27" s="1"/>
  <c r="J19" i="27"/>
  <c r="O19" i="27" s="1"/>
  <c r="Q19" i="27" s="1"/>
  <c r="J18" i="27"/>
  <c r="O18" i="27" s="1"/>
  <c r="Q18" i="27" s="1"/>
  <c r="J16" i="27"/>
  <c r="O16" i="27" s="1"/>
  <c r="Q16" i="27" s="1"/>
  <c r="J14" i="27"/>
  <c r="O14" i="27" s="1"/>
  <c r="Q14" i="27" s="1"/>
  <c r="J12" i="27"/>
  <c r="O12" i="27" s="1"/>
  <c r="Q12" i="27" s="1"/>
  <c r="J11" i="27"/>
  <c r="O11" i="27" s="1"/>
  <c r="Q11" i="27" s="1"/>
  <c r="J10" i="27"/>
  <c r="O10" i="27" s="1"/>
  <c r="Q10" i="27" s="1"/>
  <c r="J9" i="27"/>
  <c r="O9" i="27" s="1"/>
  <c r="Q9" i="27" s="1"/>
  <c r="J8" i="27"/>
  <c r="O8" i="27" s="1"/>
  <c r="Q8" i="27" s="1"/>
  <c r="P46" i="27"/>
  <c r="N46" i="27"/>
  <c r="M46" i="27"/>
  <c r="L46" i="27"/>
  <c r="I46" i="27"/>
  <c r="H46" i="27"/>
  <c r="G46" i="27"/>
  <c r="Q13" i="27"/>
  <c r="O7" i="27"/>
  <c r="Q7" i="27" s="1"/>
  <c r="K46" i="27" l="1"/>
  <c r="O44" i="27"/>
  <c r="Q44" i="27" s="1"/>
  <c r="Q46" i="27" s="1"/>
  <c r="J46" i="27"/>
  <c r="O46" i="27" l="1"/>
  <c r="J31" i="26"/>
  <c r="J29" i="26"/>
  <c r="J27" i="26"/>
  <c r="J26" i="26"/>
  <c r="J25" i="26"/>
  <c r="J24" i="26"/>
  <c r="J23" i="26"/>
  <c r="J22" i="26"/>
  <c r="J21" i="26"/>
  <c r="J20" i="26"/>
  <c r="J15" i="26"/>
  <c r="J13" i="26"/>
  <c r="J12" i="26"/>
  <c r="J10" i="26"/>
  <c r="J11" i="26" l="1"/>
  <c r="O41" i="26" l="1"/>
  <c r="Q41" i="26" s="1"/>
  <c r="O40" i="26"/>
  <c r="Q40" i="26" s="1"/>
  <c r="O39" i="26"/>
  <c r="Q39" i="26" s="1"/>
  <c r="O38" i="26"/>
  <c r="Q38" i="26" s="1"/>
  <c r="J19" i="26"/>
  <c r="J18" i="26"/>
  <c r="J17" i="26"/>
  <c r="J14" i="26"/>
  <c r="J9" i="26"/>
  <c r="P44" i="26" l="1"/>
  <c r="N44" i="26"/>
  <c r="M44" i="26"/>
  <c r="L44" i="26"/>
  <c r="K44" i="26"/>
  <c r="I44" i="26"/>
  <c r="O43" i="26"/>
  <c r="Q43" i="26" s="1"/>
  <c r="O42" i="26"/>
  <c r="Q42" i="26" s="1"/>
  <c r="O37" i="26"/>
  <c r="Q37" i="26" s="1"/>
  <c r="O36" i="26"/>
  <c r="Q36" i="26" s="1"/>
  <c r="O35" i="26"/>
  <c r="Q35" i="26" s="1"/>
  <c r="O34" i="26"/>
  <c r="Q34" i="26" s="1"/>
  <c r="O33" i="26"/>
  <c r="Q33" i="26" s="1"/>
  <c r="O32" i="26"/>
  <c r="Q32" i="26" s="1"/>
  <c r="O31" i="26"/>
  <c r="Q31" i="26" s="1"/>
  <c r="O30" i="26"/>
  <c r="Q30" i="26" s="1"/>
  <c r="O29" i="26"/>
  <c r="Q29" i="26" s="1"/>
  <c r="O28" i="26"/>
  <c r="Q28" i="26" s="1"/>
  <c r="O27" i="26"/>
  <c r="Q27" i="26" s="1"/>
  <c r="O26" i="26"/>
  <c r="Q26" i="26" s="1"/>
  <c r="O25" i="26"/>
  <c r="Q25" i="26" s="1"/>
  <c r="O24" i="26"/>
  <c r="Q24" i="26" s="1"/>
  <c r="O23" i="26"/>
  <c r="Q23" i="26" s="1"/>
  <c r="O22" i="26"/>
  <c r="Q22" i="26" s="1"/>
  <c r="O21" i="26"/>
  <c r="Q21" i="26" s="1"/>
  <c r="O20" i="26"/>
  <c r="Q20" i="26" s="1"/>
  <c r="O19" i="26"/>
  <c r="Q19" i="26" s="1"/>
  <c r="O18" i="26"/>
  <c r="Q18" i="26" s="1"/>
  <c r="O17" i="26"/>
  <c r="Q17" i="26" s="1"/>
  <c r="O16" i="26"/>
  <c r="Q16" i="26" s="1"/>
  <c r="O15" i="26"/>
  <c r="Q15" i="26" s="1"/>
  <c r="O14" i="26"/>
  <c r="Q14" i="26" s="1"/>
  <c r="O13" i="26"/>
  <c r="Q13" i="26" s="1"/>
  <c r="O12" i="26"/>
  <c r="Q12" i="26" s="1"/>
  <c r="O11" i="26"/>
  <c r="Q11" i="26" s="1"/>
  <c r="O10" i="26"/>
  <c r="Q10" i="26" s="1"/>
  <c r="O9" i="26"/>
  <c r="Q9" i="26" s="1"/>
  <c r="J44" i="26"/>
  <c r="H44" i="26"/>
  <c r="G44" i="26"/>
  <c r="O7" i="26"/>
  <c r="Q7" i="26" l="1"/>
  <c r="O8" i="26"/>
  <c r="Q8" i="26" s="1"/>
  <c r="J12" i="25"/>
  <c r="J11" i="25"/>
  <c r="J13" i="25"/>
  <c r="O44" i="26" l="1"/>
  <c r="Q44" i="26"/>
  <c r="J32" i="25"/>
  <c r="J28" i="25"/>
  <c r="J25" i="25"/>
  <c r="J24" i="25"/>
  <c r="J23" i="25"/>
  <c r="J20" i="25"/>
  <c r="J18" i="25"/>
  <c r="J16" i="25"/>
  <c r="J14" i="25"/>
  <c r="J10" i="25"/>
  <c r="H8" i="25"/>
  <c r="G8" i="25"/>
  <c r="O10" i="25" l="1"/>
  <c r="Q10" i="25" s="1"/>
  <c r="O11" i="25"/>
  <c r="Q11" i="25" s="1"/>
  <c r="O12" i="25"/>
  <c r="Q12" i="25" s="1"/>
  <c r="O13" i="25"/>
  <c r="Q13" i="25" s="1"/>
  <c r="O14" i="25"/>
  <c r="Q14" i="25" s="1"/>
  <c r="O16" i="25"/>
  <c r="Q16" i="25" s="1"/>
  <c r="O17" i="25"/>
  <c r="Q17" i="25" s="1"/>
  <c r="O18" i="25"/>
  <c r="Q18" i="25" s="1"/>
  <c r="O20" i="25"/>
  <c r="Q20" i="25" s="1"/>
  <c r="O23" i="25"/>
  <c r="Q23" i="25" s="1"/>
  <c r="O24" i="25"/>
  <c r="Q24" i="25" s="1"/>
  <c r="O25" i="25"/>
  <c r="Q25" i="25" s="1"/>
  <c r="O28" i="25"/>
  <c r="Q28" i="25" s="1"/>
  <c r="O29" i="25"/>
  <c r="Q29" i="25" s="1"/>
  <c r="O32" i="25"/>
  <c r="Q32" i="25" s="1"/>
  <c r="O34" i="25"/>
  <c r="Q34" i="25" s="1"/>
  <c r="O35" i="25"/>
  <c r="Q35" i="25" s="1"/>
  <c r="O36" i="25"/>
  <c r="Q36" i="25" s="1"/>
  <c r="O37" i="25"/>
  <c r="Q37" i="25" s="1"/>
  <c r="O38" i="25"/>
  <c r="Q38" i="25" s="1"/>
  <c r="O39" i="25"/>
  <c r="Q39" i="25" s="1"/>
  <c r="O40" i="25"/>
  <c r="Q40" i="25" s="1"/>
  <c r="J33" i="25" l="1"/>
  <c r="O33" i="25" s="1"/>
  <c r="Q33" i="25" s="1"/>
  <c r="J31" i="25"/>
  <c r="O31" i="25" s="1"/>
  <c r="Q31" i="25" s="1"/>
  <c r="J30" i="25"/>
  <c r="O30" i="25" s="1"/>
  <c r="Q30" i="25" s="1"/>
  <c r="J27" i="25"/>
  <c r="O27" i="25" s="1"/>
  <c r="Q27" i="25" s="1"/>
  <c r="J26" i="25"/>
  <c r="O26" i="25" s="1"/>
  <c r="Q26" i="25" s="1"/>
  <c r="J22" i="25"/>
  <c r="O22" i="25" s="1"/>
  <c r="Q22" i="25" s="1"/>
  <c r="J21" i="25"/>
  <c r="O21" i="25" s="1"/>
  <c r="Q21" i="25" s="1"/>
  <c r="J19" i="25"/>
  <c r="O19" i="25" s="1"/>
  <c r="Q19" i="25" s="1"/>
  <c r="J15" i="25"/>
  <c r="O15" i="25" s="1"/>
  <c r="Q15" i="25" s="1"/>
  <c r="J9" i="25"/>
  <c r="O9" i="25" s="1"/>
  <c r="Q9" i="25" s="1"/>
  <c r="J8" i="25"/>
  <c r="O8" i="25" s="1"/>
  <c r="Q8" i="25" s="1"/>
  <c r="P41" i="25"/>
  <c r="N41" i="25"/>
  <c r="M41" i="25"/>
  <c r="L41" i="25"/>
  <c r="K41" i="25"/>
  <c r="I41" i="25"/>
  <c r="H41" i="25"/>
  <c r="G41" i="25"/>
  <c r="O7" i="25"/>
  <c r="O41" i="25" l="1"/>
  <c r="J41" i="25"/>
  <c r="Q7" i="25"/>
  <c r="Q41" i="25" s="1"/>
  <c r="O9" i="24"/>
  <c r="Q9" i="24" s="1"/>
  <c r="O10" i="24"/>
  <c r="Q10" i="24" s="1"/>
  <c r="O11" i="24"/>
  <c r="Q11" i="24" s="1"/>
  <c r="O12" i="24"/>
  <c r="Q12" i="24" s="1"/>
  <c r="O13" i="24"/>
  <c r="Q13" i="24" s="1"/>
  <c r="O14" i="24"/>
  <c r="Q14" i="24" s="1"/>
  <c r="O15" i="24"/>
  <c r="Q15" i="24" s="1"/>
  <c r="O16" i="24"/>
  <c r="Q16" i="24" s="1"/>
  <c r="O17" i="24"/>
  <c r="Q17" i="24" s="1"/>
  <c r="O18" i="24"/>
  <c r="Q18" i="24" s="1"/>
  <c r="O19" i="24"/>
  <c r="Q19" i="24" s="1"/>
  <c r="O21" i="24"/>
  <c r="Q21" i="24" s="1"/>
  <c r="O22" i="24"/>
  <c r="Q22" i="24" s="1"/>
  <c r="O23" i="24"/>
  <c r="Q23" i="24" s="1"/>
  <c r="O24" i="24"/>
  <c r="Q24" i="24" s="1"/>
  <c r="O27" i="24"/>
  <c r="Q27" i="24" s="1"/>
  <c r="O28" i="24"/>
  <c r="Q28" i="24" s="1"/>
  <c r="O29" i="24"/>
  <c r="Q29" i="24" s="1"/>
  <c r="O30" i="24"/>
  <c r="Q30" i="24" s="1"/>
  <c r="O31" i="24"/>
  <c r="Q31" i="24" s="1"/>
  <c r="J25" i="24"/>
  <c r="O25" i="24" s="1"/>
  <c r="Q25" i="24" s="1"/>
  <c r="J26" i="24"/>
  <c r="O26" i="24" s="1"/>
  <c r="Q26" i="24" s="1"/>
  <c r="J20" i="24" l="1"/>
  <c r="O20" i="24" s="1"/>
  <c r="Q20" i="24" s="1"/>
  <c r="P32" i="24"/>
  <c r="N32" i="24"/>
  <c r="M32" i="24"/>
  <c r="L32" i="24"/>
  <c r="K32" i="24"/>
  <c r="I32" i="24"/>
  <c r="G32" i="24"/>
  <c r="O7" i="24"/>
  <c r="J23" i="23"/>
  <c r="J32" i="24" l="1"/>
  <c r="Q7" i="24"/>
  <c r="O8" i="24"/>
  <c r="Q8" i="24" s="1"/>
  <c r="H32" i="24"/>
  <c r="J19" i="23"/>
  <c r="J9" i="23"/>
  <c r="Q32" i="24" l="1"/>
  <c r="O32" i="24"/>
  <c r="P38" i="23"/>
  <c r="N38" i="23"/>
  <c r="M38" i="23"/>
  <c r="L38" i="23"/>
  <c r="K38" i="23"/>
  <c r="I38" i="23"/>
  <c r="G38" i="23"/>
  <c r="O37" i="23"/>
  <c r="Q37" i="23" s="1"/>
  <c r="O36" i="23"/>
  <c r="Q36" i="23" s="1"/>
  <c r="O35" i="23"/>
  <c r="Q35" i="23" s="1"/>
  <c r="O34" i="23"/>
  <c r="Q34" i="23" s="1"/>
  <c r="O33" i="23"/>
  <c r="Q33" i="23" s="1"/>
  <c r="O32" i="23"/>
  <c r="Q32" i="23" s="1"/>
  <c r="O31" i="23"/>
  <c r="Q31" i="23" s="1"/>
  <c r="O30" i="23"/>
  <c r="Q30" i="23" s="1"/>
  <c r="J29" i="23"/>
  <c r="H29" i="23"/>
  <c r="H38" i="23" s="1"/>
  <c r="J28" i="23"/>
  <c r="O28" i="23" s="1"/>
  <c r="Q28" i="23" s="1"/>
  <c r="J27" i="23"/>
  <c r="O27" i="23" s="1"/>
  <c r="Q27" i="23" s="1"/>
  <c r="J26" i="23"/>
  <c r="O26" i="23" s="1"/>
  <c r="Q26" i="23" s="1"/>
  <c r="J25" i="23"/>
  <c r="O25" i="23" s="1"/>
  <c r="Q25" i="23" s="1"/>
  <c r="J24" i="23"/>
  <c r="O24" i="23" s="1"/>
  <c r="Q24" i="23" s="1"/>
  <c r="O23" i="23"/>
  <c r="Q23" i="23" s="1"/>
  <c r="J22" i="23"/>
  <c r="O22" i="23" s="1"/>
  <c r="Q22" i="23" s="1"/>
  <c r="J21" i="23"/>
  <c r="O21" i="23" s="1"/>
  <c r="Q21" i="23" s="1"/>
  <c r="O20" i="23"/>
  <c r="Q20" i="23" s="1"/>
  <c r="O19" i="23"/>
  <c r="Q19" i="23" s="1"/>
  <c r="J18" i="23"/>
  <c r="O18" i="23" s="1"/>
  <c r="Q18" i="23" s="1"/>
  <c r="J17" i="23"/>
  <c r="O17" i="23" s="1"/>
  <c r="Q17" i="23" s="1"/>
  <c r="J16" i="23"/>
  <c r="O16" i="23" s="1"/>
  <c r="Q16" i="23" s="1"/>
  <c r="J15" i="23"/>
  <c r="O15" i="23" s="1"/>
  <c r="Q15" i="23" s="1"/>
  <c r="J14" i="23"/>
  <c r="O14" i="23" s="1"/>
  <c r="Q14" i="23" s="1"/>
  <c r="O13" i="23"/>
  <c r="Q13" i="23" s="1"/>
  <c r="J12" i="23"/>
  <c r="O12" i="23" s="1"/>
  <c r="Q12" i="23" s="1"/>
  <c r="J11" i="23"/>
  <c r="O11" i="23" s="1"/>
  <c r="Q11" i="23" s="1"/>
  <c r="O10" i="23"/>
  <c r="Q10" i="23" s="1"/>
  <c r="O9" i="23"/>
  <c r="Q9" i="23" s="1"/>
  <c r="J8" i="23"/>
  <c r="O7" i="23"/>
  <c r="J38" i="23" l="1"/>
  <c r="O29" i="23"/>
  <c r="Q29" i="23" s="1"/>
  <c r="Q7" i="23"/>
  <c r="O8" i="23"/>
  <c r="Q8" i="23" s="1"/>
  <c r="Q38" i="23" l="1"/>
  <c r="Q39" i="23" s="1"/>
  <c r="Q33" i="24" s="1"/>
  <c r="Q42" i="25" s="1"/>
  <c r="Q45" i="26" s="1"/>
  <c r="Q47" i="27" s="1"/>
  <c r="O38" i="23"/>
  <c r="H37" i="22"/>
  <c r="Q39" i="28" l="1"/>
  <c r="O15" i="22"/>
  <c r="O19" i="22"/>
  <c r="O21" i="22"/>
  <c r="O24" i="22"/>
  <c r="O29" i="22"/>
  <c r="O34" i="22"/>
  <c r="O37" i="22"/>
  <c r="O38" i="22"/>
  <c r="O39" i="22"/>
  <c r="O40" i="22"/>
  <c r="O41" i="22"/>
  <c r="O42" i="22"/>
  <c r="O43" i="22"/>
  <c r="K44" i="22"/>
  <c r="O44" i="22" s="1"/>
  <c r="J31" i="22"/>
  <c r="O31" i="22" s="1"/>
  <c r="J27" i="22"/>
  <c r="O27" i="22" s="1"/>
  <c r="J20" i="22"/>
  <c r="O20" i="22" s="1"/>
  <c r="J16" i="22"/>
  <c r="O16" i="22" s="1"/>
  <c r="J9" i="22"/>
  <c r="O9" i="22" s="1"/>
  <c r="Q46" i="29" l="1"/>
  <c r="Q9" i="22"/>
  <c r="Q15" i="22"/>
  <c r="Q16" i="22"/>
  <c r="Q20" i="22"/>
  <c r="Q21" i="22"/>
  <c r="Q24" i="22"/>
  <c r="Q27" i="22"/>
  <c r="Q29" i="22"/>
  <c r="Q31" i="22"/>
  <c r="Q34" i="22"/>
  <c r="Q37" i="22"/>
  <c r="Q38" i="22"/>
  <c r="Q39" i="22"/>
  <c r="Q40" i="22"/>
  <c r="Q41" i="22"/>
  <c r="Q42" i="22"/>
  <c r="Q43" i="22"/>
  <c r="Q44" i="22"/>
  <c r="Q19" i="22"/>
  <c r="O8" i="22"/>
  <c r="J36" i="22"/>
  <c r="O36" i="22" s="1"/>
  <c r="Q36" i="22" s="1"/>
  <c r="J35" i="22"/>
  <c r="O35" i="22" s="1"/>
  <c r="Q35" i="22" s="1"/>
  <c r="J33" i="22"/>
  <c r="O33" i="22" s="1"/>
  <c r="Q33" i="22" s="1"/>
  <c r="J32" i="22" l="1"/>
  <c r="O32" i="22" s="1"/>
  <c r="Q32" i="22" s="1"/>
  <c r="J30" i="22"/>
  <c r="O30" i="22" s="1"/>
  <c r="Q30" i="22" s="1"/>
  <c r="J28" i="22"/>
  <c r="O28" i="22" s="1"/>
  <c r="Q28" i="22" s="1"/>
  <c r="J26" i="22"/>
  <c r="O26" i="22" s="1"/>
  <c r="Q26" i="22" s="1"/>
  <c r="J25" i="22"/>
  <c r="O25" i="22" s="1"/>
  <c r="Q25" i="22" s="1"/>
  <c r="J23" i="22"/>
  <c r="O23" i="22" s="1"/>
  <c r="Q23" i="22" s="1"/>
  <c r="J22" i="22"/>
  <c r="O22" i="22" s="1"/>
  <c r="Q22" i="22" s="1"/>
  <c r="J18" i="22"/>
  <c r="O18" i="22" s="1"/>
  <c r="Q18" i="22" s="1"/>
  <c r="J17" i="22"/>
  <c r="O17" i="22" s="1"/>
  <c r="Q17" i="22" s="1"/>
  <c r="J14" i="22"/>
  <c r="O14" i="22" s="1"/>
  <c r="Q14" i="22" s="1"/>
  <c r="J13" i="22"/>
  <c r="O13" i="22" s="1"/>
  <c r="Q13" i="22" s="1"/>
  <c r="J12" i="22"/>
  <c r="O12" i="22" s="1"/>
  <c r="Q12" i="22" s="1"/>
  <c r="J11" i="22"/>
  <c r="O11" i="22" s="1"/>
  <c r="Q11" i="22" s="1"/>
  <c r="J10" i="22" l="1"/>
  <c r="O10" i="22" s="1"/>
  <c r="Q10" i="22" s="1"/>
  <c r="P45" i="22"/>
  <c r="M45" i="22"/>
  <c r="L45" i="22"/>
  <c r="I45" i="22"/>
  <c r="G45" i="22"/>
  <c r="K45" i="22"/>
  <c r="N45" i="22"/>
  <c r="Q8" i="22"/>
  <c r="O7" i="22"/>
  <c r="Q7" i="22" s="1"/>
  <c r="J45" i="22" l="1"/>
  <c r="H45" i="22"/>
  <c r="J33" i="21"/>
  <c r="Q45" i="22" l="1"/>
  <c r="O45" i="22"/>
  <c r="O39" i="21"/>
  <c r="O41" i="21"/>
  <c r="Q41" i="21" s="1"/>
  <c r="O42" i="21"/>
  <c r="J36" i="21" l="1"/>
  <c r="J35" i="21"/>
  <c r="J34" i="21"/>
  <c r="J32" i="21"/>
  <c r="J30" i="21"/>
  <c r="J29" i="21"/>
  <c r="J28" i="21"/>
  <c r="J27" i="21"/>
  <c r="J26" i="21"/>
  <c r="J24" i="21"/>
  <c r="H23" i="21"/>
  <c r="J22" i="21"/>
  <c r="J21" i="21"/>
  <c r="J19" i="21"/>
  <c r="J17" i="21"/>
  <c r="J15" i="21"/>
  <c r="J14" i="21"/>
  <c r="J13" i="21"/>
  <c r="J11" i="21"/>
  <c r="J8" i="21"/>
  <c r="K43" i="21"/>
  <c r="O11" i="21" l="1"/>
  <c r="Q11" i="21" s="1"/>
  <c r="O12" i="21"/>
  <c r="Q12" i="21" s="1"/>
  <c r="O13" i="21"/>
  <c r="Q13" i="21" s="1"/>
  <c r="O14" i="21"/>
  <c r="Q14" i="21" s="1"/>
  <c r="O15" i="21"/>
  <c r="Q15" i="21" s="1"/>
  <c r="O16" i="21"/>
  <c r="Q16" i="21" s="1"/>
  <c r="O17" i="21"/>
  <c r="Q17" i="21" s="1"/>
  <c r="O18" i="21"/>
  <c r="Q18" i="21" s="1"/>
  <c r="O19" i="21"/>
  <c r="Q19" i="21" s="1"/>
  <c r="O20" i="21"/>
  <c r="Q20" i="21" s="1"/>
  <c r="O21" i="21"/>
  <c r="Q21" i="21" s="1"/>
  <c r="O22" i="21"/>
  <c r="Q22" i="21" s="1"/>
  <c r="O24" i="21"/>
  <c r="Q24" i="21" s="1"/>
  <c r="O25" i="21"/>
  <c r="Q25" i="21" s="1"/>
  <c r="O26" i="21"/>
  <c r="Q26" i="21" s="1"/>
  <c r="O27" i="21"/>
  <c r="Q27" i="21" s="1"/>
  <c r="O28" i="21"/>
  <c r="Q28" i="21" s="1"/>
  <c r="O29" i="21"/>
  <c r="Q29" i="21" s="1"/>
  <c r="O30" i="21"/>
  <c r="Q30" i="21" s="1"/>
  <c r="O31" i="21"/>
  <c r="Q31" i="21" s="1"/>
  <c r="O32" i="21"/>
  <c r="Q32" i="21" s="1"/>
  <c r="O33" i="21"/>
  <c r="Q33" i="21" s="1"/>
  <c r="O34" i="21"/>
  <c r="Q34" i="21" s="1"/>
  <c r="O35" i="21"/>
  <c r="Q35" i="21" s="1"/>
  <c r="O36" i="21"/>
  <c r="Q36" i="21" s="1"/>
  <c r="O37" i="21"/>
  <c r="Q37" i="21" s="1"/>
  <c r="O38" i="21"/>
  <c r="Q38" i="21" s="1"/>
  <c r="Q39" i="21"/>
  <c r="Q42" i="21"/>
  <c r="O43" i="21"/>
  <c r="Q43" i="21" s="1"/>
  <c r="N40" i="21" l="1"/>
  <c r="O40" i="21" s="1"/>
  <c r="Q40" i="21" s="1"/>
  <c r="J23" i="21" l="1"/>
  <c r="O23" i="21" s="1"/>
  <c r="Q23" i="21" s="1"/>
  <c r="J10" i="21"/>
  <c r="O10" i="21" s="1"/>
  <c r="Q10" i="21" s="1"/>
  <c r="J9" i="21"/>
  <c r="O9" i="21" s="1"/>
  <c r="Q9" i="21" s="1"/>
  <c r="P44" i="21"/>
  <c r="N44" i="21"/>
  <c r="M44" i="21"/>
  <c r="L44" i="21"/>
  <c r="I44" i="21"/>
  <c r="H44" i="21"/>
  <c r="G44" i="21"/>
  <c r="K44" i="21"/>
  <c r="O8" i="21"/>
  <c r="Q8" i="21" s="1"/>
  <c r="O7" i="21"/>
  <c r="J44" i="21" l="1"/>
  <c r="Q7" i="21"/>
  <c r="K38" i="20"/>
  <c r="Q44" i="21" l="1"/>
  <c r="O44" i="21"/>
  <c r="J16" i="20"/>
  <c r="J8" i="20"/>
  <c r="P39" i="20"/>
  <c r="K39" i="20" l="1"/>
  <c r="H39" i="20" l="1"/>
  <c r="J33" i="20" l="1"/>
  <c r="J32" i="20"/>
  <c r="J30" i="20"/>
  <c r="J29" i="20"/>
  <c r="J28" i="20"/>
  <c r="J27" i="20"/>
  <c r="J26" i="20"/>
  <c r="J25" i="20"/>
  <c r="J24" i="20"/>
  <c r="J22" i="20"/>
  <c r="J21" i="20"/>
  <c r="J20" i="20"/>
  <c r="J19" i="20" l="1"/>
  <c r="J17" i="20"/>
  <c r="O16" i="20" l="1"/>
  <c r="Q16" i="20" s="1"/>
  <c r="J13" i="20"/>
  <c r="O13" i="20" s="1"/>
  <c r="Q13" i="20" s="1"/>
  <c r="J11" i="20"/>
  <c r="O11" i="20" s="1"/>
  <c r="Q11" i="20" s="1"/>
  <c r="J10" i="20"/>
  <c r="N39" i="20"/>
  <c r="M39" i="20"/>
  <c r="L39" i="20"/>
  <c r="I39" i="20"/>
  <c r="G39" i="20"/>
  <c r="O38" i="20"/>
  <c r="Q38" i="20" s="1"/>
  <c r="O37" i="20"/>
  <c r="Q37" i="20" s="1"/>
  <c r="O36" i="20"/>
  <c r="Q36" i="20" s="1"/>
  <c r="O35" i="20"/>
  <c r="Q35" i="20" s="1"/>
  <c r="O34" i="20"/>
  <c r="Q34" i="20" s="1"/>
  <c r="O33" i="20"/>
  <c r="Q33" i="20" s="1"/>
  <c r="O32" i="20"/>
  <c r="Q32" i="20" s="1"/>
  <c r="O31" i="20"/>
  <c r="Q31" i="20" s="1"/>
  <c r="O30" i="20"/>
  <c r="Q30" i="20" s="1"/>
  <c r="O29" i="20"/>
  <c r="Q29" i="20" s="1"/>
  <c r="O28" i="20"/>
  <c r="Q28" i="20" s="1"/>
  <c r="O27" i="20"/>
  <c r="Q27" i="20" s="1"/>
  <c r="O26" i="20"/>
  <c r="Q26" i="20" s="1"/>
  <c r="O25" i="20"/>
  <c r="Q25" i="20" s="1"/>
  <c r="O24" i="20"/>
  <c r="Q24" i="20" s="1"/>
  <c r="O23" i="20"/>
  <c r="Q23" i="20" s="1"/>
  <c r="O21" i="20"/>
  <c r="Q21" i="20" s="1"/>
  <c r="O20" i="20"/>
  <c r="Q20" i="20" s="1"/>
  <c r="O19" i="20"/>
  <c r="Q19" i="20" s="1"/>
  <c r="O18" i="20"/>
  <c r="Q18" i="20" s="1"/>
  <c r="O17" i="20"/>
  <c r="Q17" i="20" s="1"/>
  <c r="O15" i="20"/>
  <c r="Q15" i="20" s="1"/>
  <c r="O14" i="20"/>
  <c r="Q14" i="20" s="1"/>
  <c r="O12" i="20"/>
  <c r="O9" i="20"/>
  <c r="Q9" i="20" s="1"/>
  <c r="O8" i="20"/>
  <c r="Q8" i="20" s="1"/>
  <c r="O7" i="20"/>
  <c r="J39" i="20" l="1"/>
  <c r="O10" i="20"/>
  <c r="Q10" i="20" s="1"/>
  <c r="O22" i="20"/>
  <c r="Q22" i="20" s="1"/>
  <c r="Q7" i="20"/>
  <c r="H35" i="19"/>
  <c r="Q39" i="20" l="1"/>
  <c r="O39" i="20"/>
  <c r="O9" i="19"/>
  <c r="O10" i="19"/>
  <c r="O11" i="19"/>
  <c r="O12" i="19"/>
  <c r="O13" i="19"/>
  <c r="O14" i="19"/>
  <c r="O15" i="19"/>
  <c r="O16" i="19"/>
  <c r="O17" i="19"/>
  <c r="O18" i="19"/>
  <c r="O19" i="19"/>
  <c r="O20" i="19"/>
  <c r="O21" i="19"/>
  <c r="O23" i="19"/>
  <c r="O24" i="19"/>
  <c r="O25" i="19"/>
  <c r="O26" i="19"/>
  <c r="O27" i="19"/>
  <c r="O29" i="19"/>
  <c r="O31" i="19"/>
  <c r="O33" i="19"/>
  <c r="O34" i="19"/>
  <c r="O35" i="19"/>
  <c r="Q35" i="19" s="1"/>
  <c r="O36" i="19"/>
  <c r="O37" i="19"/>
  <c r="O38" i="19"/>
  <c r="O39" i="19"/>
  <c r="O40" i="19"/>
  <c r="O41" i="19"/>
  <c r="O8" i="19"/>
  <c r="J30" i="19" l="1"/>
  <c r="O30" i="19" s="1"/>
  <c r="J28" i="19"/>
  <c r="O28" i="19" s="1"/>
  <c r="Q33" i="19" l="1"/>
  <c r="Q34" i="19"/>
  <c r="J32" i="19"/>
  <c r="O32" i="19" s="1"/>
  <c r="J22" i="19" l="1"/>
  <c r="O22" i="19" s="1"/>
  <c r="Q40" i="19" l="1"/>
  <c r="J42" i="19" l="1"/>
  <c r="P42" i="19"/>
  <c r="N42" i="19"/>
  <c r="M42" i="19"/>
  <c r="L42" i="19"/>
  <c r="K42" i="19"/>
  <c r="I42" i="19"/>
  <c r="H42" i="19"/>
  <c r="G42" i="19"/>
  <c r="Q41" i="19"/>
  <c r="Q39" i="19"/>
  <c r="Q38" i="19"/>
  <c r="Q37" i="19"/>
  <c r="Q36" i="19"/>
  <c r="Q32" i="19"/>
  <c r="Q31" i="19"/>
  <c r="Q30" i="19"/>
  <c r="Q29" i="19"/>
  <c r="Q27" i="19"/>
  <c r="Q26" i="19"/>
  <c r="Q25" i="19"/>
  <c r="Q24" i="19"/>
  <c r="Q23" i="19"/>
  <c r="Q22" i="19"/>
  <c r="Q21" i="19"/>
  <c r="Q20" i="19"/>
  <c r="Q19" i="19"/>
  <c r="Q18" i="19"/>
  <c r="Q17" i="19"/>
  <c r="Q16" i="19"/>
  <c r="Q15" i="19"/>
  <c r="Q14" i="19"/>
  <c r="Q13" i="19"/>
  <c r="Q11" i="19"/>
  <c r="Q10" i="19"/>
  <c r="Q9" i="19"/>
  <c r="Q8" i="19"/>
  <c r="O7" i="19"/>
  <c r="Q28" i="19" l="1"/>
  <c r="Q7" i="19"/>
  <c r="O9" i="18"/>
  <c r="Q9" i="18" s="1"/>
  <c r="O10" i="18"/>
  <c r="Q10" i="18" s="1"/>
  <c r="O11" i="18"/>
  <c r="Q11" i="18" s="1"/>
  <c r="O12" i="18"/>
  <c r="O13" i="18"/>
  <c r="Q13" i="18" s="1"/>
  <c r="O14" i="18"/>
  <c r="Q14" i="18" s="1"/>
  <c r="O15" i="18"/>
  <c r="Q15" i="18" s="1"/>
  <c r="O16" i="18"/>
  <c r="Q16" i="18" s="1"/>
  <c r="O17" i="18"/>
  <c r="Q17" i="18" s="1"/>
  <c r="O18" i="18"/>
  <c r="Q18" i="18" s="1"/>
  <c r="O19" i="18"/>
  <c r="Q19" i="18" s="1"/>
  <c r="O20" i="18"/>
  <c r="Q20" i="18" s="1"/>
  <c r="O21" i="18"/>
  <c r="Q21" i="18" s="1"/>
  <c r="O22" i="18"/>
  <c r="Q22" i="18" s="1"/>
  <c r="O23" i="18"/>
  <c r="Q23" i="18" s="1"/>
  <c r="O24" i="18"/>
  <c r="Q24" i="18" s="1"/>
  <c r="O25" i="18"/>
  <c r="Q25" i="18" s="1"/>
  <c r="O26" i="18"/>
  <c r="Q26" i="18" s="1"/>
  <c r="O27" i="18"/>
  <c r="Q27" i="18" s="1"/>
  <c r="O28" i="18"/>
  <c r="Q28" i="18" s="1"/>
  <c r="O29" i="18"/>
  <c r="Q29" i="18" s="1"/>
  <c r="O30" i="18"/>
  <c r="Q30" i="18" s="1"/>
  <c r="O31" i="18"/>
  <c r="Q31" i="18" s="1"/>
  <c r="O32" i="18"/>
  <c r="Q32" i="18" s="1"/>
  <c r="O33" i="18"/>
  <c r="Q33" i="18" s="1"/>
  <c r="O34" i="18"/>
  <c r="Q34" i="18" s="1"/>
  <c r="O35" i="18"/>
  <c r="Q35" i="18" s="1"/>
  <c r="O36" i="18"/>
  <c r="Q36" i="18" s="1"/>
  <c r="O37" i="18"/>
  <c r="Q37" i="18" s="1"/>
  <c r="O38" i="18"/>
  <c r="Q38" i="18" s="1"/>
  <c r="O39" i="18"/>
  <c r="Q39" i="18" s="1"/>
  <c r="O40" i="18"/>
  <c r="Q40" i="18" s="1"/>
  <c r="O41" i="18"/>
  <c r="Q41" i="18" s="1"/>
  <c r="O42" i="18"/>
  <c r="Q42" i="18" s="1"/>
  <c r="O44" i="18"/>
  <c r="Q44" i="18" s="1"/>
  <c r="O8" i="18"/>
  <c r="Q8" i="18" s="1"/>
  <c r="P45" i="18"/>
  <c r="L45" i="18"/>
  <c r="K45" i="18"/>
  <c r="J45" i="18"/>
  <c r="H45" i="18"/>
  <c r="G45" i="18"/>
  <c r="Q42" i="19" l="1"/>
  <c r="O42" i="19"/>
  <c r="N45" i="18"/>
  <c r="M45" i="18"/>
  <c r="I45" i="18"/>
  <c r="O7" i="18"/>
  <c r="Q7" i="18" s="1"/>
  <c r="Q45" i="18" s="1"/>
  <c r="O45" i="18" l="1"/>
  <c r="O36" i="17"/>
  <c r="O37" i="17"/>
  <c r="O38" i="17"/>
  <c r="O39" i="17"/>
  <c r="O40" i="17"/>
  <c r="O41" i="17"/>
  <c r="O42" i="17"/>
  <c r="O43" i="17"/>
  <c r="O44" i="17"/>
  <c r="O45" i="17"/>
  <c r="H34" i="17"/>
  <c r="P46" i="17" l="1"/>
  <c r="N46" i="17"/>
  <c r="L46" i="17"/>
  <c r="J46" i="17"/>
  <c r="Q37" i="17" l="1"/>
  <c r="Q40" i="17"/>
  <c r="Q43" i="17"/>
  <c r="Q36" i="17"/>
  <c r="Q38" i="17"/>
  <c r="Q39" i="17"/>
  <c r="Q41" i="17"/>
  <c r="Q42" i="17"/>
  <c r="Q44" i="17"/>
  <c r="Q45" i="17"/>
  <c r="O9" i="17"/>
  <c r="Q9" i="17" s="1"/>
  <c r="O10" i="17"/>
  <c r="Q10" i="17" s="1"/>
  <c r="O11" i="17"/>
  <c r="Q11" i="17" s="1"/>
  <c r="O12" i="17"/>
  <c r="Q12" i="17" s="1"/>
  <c r="O13" i="17"/>
  <c r="Q13" i="17" s="1"/>
  <c r="O14" i="17"/>
  <c r="Q14" i="17" s="1"/>
  <c r="O15" i="17"/>
  <c r="Q15" i="17" s="1"/>
  <c r="O16" i="17"/>
  <c r="Q16" i="17" s="1"/>
  <c r="O17" i="17"/>
  <c r="Q17" i="17" s="1"/>
  <c r="O18" i="17"/>
  <c r="Q18" i="17" s="1"/>
  <c r="O19" i="17"/>
  <c r="Q19" i="17" s="1"/>
  <c r="O20" i="17"/>
  <c r="Q20" i="17" s="1"/>
  <c r="O21" i="17"/>
  <c r="Q21" i="17" s="1"/>
  <c r="O22" i="17"/>
  <c r="Q22" i="17" s="1"/>
  <c r="O23" i="17"/>
  <c r="Q23" i="17" s="1"/>
  <c r="O24" i="17"/>
  <c r="Q24" i="17" s="1"/>
  <c r="O25" i="17"/>
  <c r="Q25" i="17" s="1"/>
  <c r="O26" i="17"/>
  <c r="Q26" i="17" s="1"/>
  <c r="O27" i="17"/>
  <c r="Q27" i="17" s="1"/>
  <c r="O28" i="17"/>
  <c r="Q28" i="17" s="1"/>
  <c r="O29" i="17"/>
  <c r="Q29" i="17" s="1"/>
  <c r="O30" i="17"/>
  <c r="Q30" i="17" s="1"/>
  <c r="O31" i="17"/>
  <c r="Q31" i="17" s="1"/>
  <c r="O32" i="17"/>
  <c r="Q32" i="17" s="1"/>
  <c r="O33" i="17"/>
  <c r="Q33" i="17" s="1"/>
  <c r="O34" i="17"/>
  <c r="Q34" i="17" s="1"/>
  <c r="O8" i="17"/>
  <c r="Q8" i="17" s="1"/>
  <c r="K35" i="17"/>
  <c r="K27" i="16"/>
  <c r="M46" i="17"/>
  <c r="I46" i="17"/>
  <c r="G46" i="17"/>
  <c r="H46" i="17"/>
  <c r="O7" i="17"/>
  <c r="K46" i="17" l="1"/>
  <c r="O35" i="17"/>
  <c r="Q35" i="17" s="1"/>
  <c r="Q7" i="17"/>
  <c r="H27" i="16"/>
  <c r="O46" i="17" l="1"/>
  <c r="Q46" i="17"/>
  <c r="P37" i="16"/>
  <c r="O28" i="16" l="1"/>
  <c r="Q28" i="16" s="1"/>
  <c r="O29" i="16"/>
  <c r="Q29" i="16" s="1"/>
  <c r="O30" i="16"/>
  <c r="Q30" i="16" s="1"/>
  <c r="O31" i="16"/>
  <c r="Q31" i="16" s="1"/>
  <c r="O32" i="16"/>
  <c r="Q32" i="16" s="1"/>
  <c r="O33" i="16"/>
  <c r="Q33" i="16" s="1"/>
  <c r="O34" i="16"/>
  <c r="Q34" i="16" s="1"/>
  <c r="O32" i="15"/>
  <c r="O30" i="15"/>
  <c r="Q30" i="15" s="1"/>
  <c r="L37" i="16"/>
  <c r="O26" i="16" l="1"/>
  <c r="Q26" i="16" s="1"/>
  <c r="O8" i="16"/>
  <c r="Q8" i="16" s="1"/>
  <c r="O9" i="16"/>
  <c r="Q9" i="16" s="1"/>
  <c r="O10" i="16"/>
  <c r="Q10" i="16" s="1"/>
  <c r="O11" i="16"/>
  <c r="Q11" i="16" s="1"/>
  <c r="O12" i="16"/>
  <c r="Q12" i="16" s="1"/>
  <c r="O13" i="16"/>
  <c r="Q13" i="16" s="1"/>
  <c r="O14" i="16"/>
  <c r="Q14" i="16" s="1"/>
  <c r="O15" i="16"/>
  <c r="Q15" i="16" s="1"/>
  <c r="O16" i="16"/>
  <c r="Q16" i="16" s="1"/>
  <c r="O17" i="16"/>
  <c r="Q17" i="16" s="1"/>
  <c r="O18" i="16"/>
  <c r="Q18" i="16" s="1"/>
  <c r="O19" i="16"/>
  <c r="Q19" i="16" s="1"/>
  <c r="O20" i="16"/>
  <c r="Q20" i="16" s="1"/>
  <c r="O21" i="16"/>
  <c r="Q21" i="16" s="1"/>
  <c r="O22" i="16"/>
  <c r="Q22" i="16" s="1"/>
  <c r="O23" i="16"/>
  <c r="Q23" i="16" s="1"/>
  <c r="O24" i="16"/>
  <c r="Q24" i="16" s="1"/>
  <c r="O25" i="16"/>
  <c r="Q25" i="16" s="1"/>
  <c r="O7" i="16"/>
  <c r="Q7" i="16" s="1"/>
  <c r="N37" i="16" l="1"/>
  <c r="M37" i="16"/>
  <c r="K37" i="16"/>
  <c r="J37" i="16"/>
  <c r="I37" i="16"/>
  <c r="H37" i="16"/>
  <c r="G37" i="16"/>
  <c r="O36" i="16"/>
  <c r="O35" i="16"/>
  <c r="O27" i="16"/>
  <c r="Q27" i="16" s="1"/>
  <c r="Q36" i="16" l="1"/>
  <c r="Q37" i="16" s="1"/>
  <c r="O37" i="16"/>
  <c r="P39" i="15"/>
  <c r="N39" i="15"/>
  <c r="M39" i="15"/>
  <c r="L39" i="15"/>
  <c r="K39" i="15"/>
  <c r="J39" i="15"/>
  <c r="I39" i="15"/>
  <c r="H39" i="15"/>
  <c r="G39" i="15"/>
  <c r="O38" i="15"/>
  <c r="Q38" i="15" s="1"/>
  <c r="O37" i="15"/>
  <c r="Q37" i="15" s="1"/>
  <c r="O36" i="15"/>
  <c r="Q36" i="15" s="1"/>
  <c r="O35" i="15"/>
  <c r="Q35" i="15" s="1"/>
  <c r="O34" i="15"/>
  <c r="Q34" i="15" s="1"/>
  <c r="O33" i="15"/>
  <c r="Q33" i="15" s="1"/>
  <c r="Q32" i="15"/>
  <c r="O31" i="15"/>
  <c r="Q31" i="15" s="1"/>
  <c r="O29" i="15"/>
  <c r="Q29" i="15" s="1"/>
  <c r="O28" i="15"/>
  <c r="Q28" i="15" s="1"/>
  <c r="O27" i="15"/>
  <c r="Q27" i="15" s="1"/>
  <c r="O26" i="15"/>
  <c r="Q26" i="15" s="1"/>
  <c r="O25" i="15"/>
  <c r="Q25" i="15" s="1"/>
  <c r="O24" i="15"/>
  <c r="Q24" i="15" s="1"/>
  <c r="O23" i="15"/>
  <c r="Q23" i="15" s="1"/>
  <c r="O22" i="15"/>
  <c r="Q22" i="15" s="1"/>
  <c r="O21" i="15"/>
  <c r="Q21" i="15" s="1"/>
  <c r="O20" i="15"/>
  <c r="Q20" i="15" s="1"/>
  <c r="O19" i="15"/>
  <c r="Q19" i="15" s="1"/>
  <c r="O18" i="15"/>
  <c r="Q18" i="15" s="1"/>
  <c r="O17" i="15"/>
  <c r="Q17" i="15" s="1"/>
  <c r="O16" i="15"/>
  <c r="Q16" i="15" s="1"/>
  <c r="O15" i="15"/>
  <c r="Q15" i="15" s="1"/>
  <c r="O14" i="15"/>
  <c r="Q14" i="15" s="1"/>
  <c r="O13" i="15"/>
  <c r="Q13" i="15" s="1"/>
  <c r="O12" i="15"/>
  <c r="Q12" i="15" s="1"/>
  <c r="O11" i="15"/>
  <c r="Q11" i="15" s="1"/>
  <c r="O10" i="15"/>
  <c r="Q10" i="15" s="1"/>
  <c r="O9" i="15"/>
  <c r="Q9" i="15" s="1"/>
  <c r="O8" i="15"/>
  <c r="Q8" i="15" s="1"/>
  <c r="O7" i="15"/>
  <c r="Q7" i="15" s="1"/>
  <c r="Q39" i="15" l="1"/>
  <c r="O39" i="15"/>
  <c r="N39" i="14"/>
  <c r="O40" i="14" l="1"/>
  <c r="Q40" i="14" s="1"/>
  <c r="P42" i="14"/>
  <c r="N42" i="14"/>
  <c r="M42" i="14"/>
  <c r="L42" i="14"/>
  <c r="K42" i="14"/>
  <c r="J42" i="14"/>
  <c r="I42" i="14"/>
  <c r="H42" i="14"/>
  <c r="G42" i="14"/>
  <c r="O41" i="14"/>
  <c r="Q41" i="14" s="1"/>
  <c r="O39" i="14"/>
  <c r="Q39" i="14" s="1"/>
  <c r="O38" i="14"/>
  <c r="Q38" i="14" s="1"/>
  <c r="O37" i="14"/>
  <c r="Q37" i="14" s="1"/>
  <c r="O36" i="14"/>
  <c r="Q36" i="14" s="1"/>
  <c r="O35" i="14"/>
  <c r="Q35" i="14" s="1"/>
  <c r="O34" i="14"/>
  <c r="Q34" i="14" s="1"/>
  <c r="O33" i="14"/>
  <c r="Q33" i="14" s="1"/>
  <c r="O32" i="14"/>
  <c r="Q32" i="14" s="1"/>
  <c r="O31" i="14"/>
  <c r="Q31" i="14" s="1"/>
  <c r="O30" i="14"/>
  <c r="Q30" i="14" s="1"/>
  <c r="O29" i="14"/>
  <c r="Q29" i="14" s="1"/>
  <c r="O28" i="14"/>
  <c r="Q28" i="14" s="1"/>
  <c r="O27" i="14"/>
  <c r="Q27" i="14" s="1"/>
  <c r="O26" i="14"/>
  <c r="Q26" i="14" s="1"/>
  <c r="O25" i="14"/>
  <c r="Q25" i="14" s="1"/>
  <c r="O24" i="14"/>
  <c r="Q24" i="14" s="1"/>
  <c r="O23" i="14"/>
  <c r="Q23" i="14" s="1"/>
  <c r="O22" i="14"/>
  <c r="Q22" i="14" s="1"/>
  <c r="O21" i="14"/>
  <c r="Q21" i="14" s="1"/>
  <c r="O20" i="14"/>
  <c r="Q20" i="14" s="1"/>
  <c r="O19" i="14"/>
  <c r="Q19" i="14" s="1"/>
  <c r="O18" i="14"/>
  <c r="Q18" i="14" s="1"/>
  <c r="O17" i="14"/>
  <c r="Q17" i="14" s="1"/>
  <c r="O16" i="14"/>
  <c r="Q16" i="14" s="1"/>
  <c r="O15" i="14"/>
  <c r="Q15" i="14" s="1"/>
  <c r="O14" i="14"/>
  <c r="Q14" i="14" s="1"/>
  <c r="O13" i="14"/>
  <c r="Q13" i="14" s="1"/>
  <c r="O12" i="14"/>
  <c r="Q12" i="14" s="1"/>
  <c r="O11" i="14"/>
  <c r="Q11" i="14" s="1"/>
  <c r="O10" i="14"/>
  <c r="Q10" i="14" s="1"/>
  <c r="O9" i="14"/>
  <c r="Q9" i="14" s="1"/>
  <c r="O8" i="14"/>
  <c r="Q8" i="14" s="1"/>
  <c r="O7" i="14"/>
  <c r="O42" i="14" l="1"/>
  <c r="Q7" i="14"/>
  <c r="Q42" i="14" s="1"/>
  <c r="P41" i="13" l="1"/>
  <c r="N41" i="13"/>
  <c r="M41" i="13"/>
  <c r="I41" i="13"/>
  <c r="H41" i="13"/>
  <c r="G41" i="13"/>
  <c r="O40" i="13"/>
  <c r="Q40" i="13" s="1"/>
  <c r="L39" i="13"/>
  <c r="O39" i="13" s="1"/>
  <c r="Q39" i="13" s="1"/>
  <c r="L38" i="13"/>
  <c r="O38" i="13" s="1"/>
  <c r="Q38" i="13" s="1"/>
  <c r="O37" i="13"/>
  <c r="Q37" i="13" s="1"/>
  <c r="K36" i="13"/>
  <c r="K41" i="13" s="1"/>
  <c r="Q35" i="13"/>
  <c r="O34" i="13"/>
  <c r="Q34" i="13" s="1"/>
  <c r="O33" i="13"/>
  <c r="Q33" i="13" s="1"/>
  <c r="O32" i="13"/>
  <c r="Q32" i="13" s="1"/>
  <c r="O31" i="13"/>
  <c r="Q31" i="13" s="1"/>
  <c r="O30" i="13"/>
  <c r="Q30" i="13" s="1"/>
  <c r="O29" i="13"/>
  <c r="Q29" i="13" s="1"/>
  <c r="O28" i="13"/>
  <c r="Q28" i="13" s="1"/>
  <c r="O27" i="13"/>
  <c r="Q27" i="13" s="1"/>
  <c r="O26" i="13"/>
  <c r="Q26" i="13" s="1"/>
  <c r="O25" i="13"/>
  <c r="Q25" i="13" s="1"/>
  <c r="O24" i="13"/>
  <c r="Q24" i="13" s="1"/>
  <c r="O23" i="13"/>
  <c r="Q23" i="13" s="1"/>
  <c r="O22" i="13"/>
  <c r="Q22" i="13" s="1"/>
  <c r="O21" i="13"/>
  <c r="Q21" i="13" s="1"/>
  <c r="O20" i="13"/>
  <c r="Q20" i="13" s="1"/>
  <c r="O19" i="13"/>
  <c r="Q19" i="13" s="1"/>
  <c r="O18" i="13"/>
  <c r="Q18" i="13" s="1"/>
  <c r="O17" i="13"/>
  <c r="Q17" i="13" s="1"/>
  <c r="O16" i="13"/>
  <c r="Q16" i="13" s="1"/>
  <c r="O15" i="13"/>
  <c r="Q15" i="13" s="1"/>
  <c r="J14" i="13"/>
  <c r="J41" i="13" s="1"/>
  <c r="O13" i="13"/>
  <c r="Q13" i="13" s="1"/>
  <c r="O12" i="13"/>
  <c r="Q12" i="13" s="1"/>
  <c r="O11" i="13"/>
  <c r="Q11" i="13" s="1"/>
  <c r="O10" i="13"/>
  <c r="Q10" i="13" s="1"/>
  <c r="O9" i="13"/>
  <c r="Q9" i="13" s="1"/>
  <c r="O8" i="13"/>
  <c r="Q8" i="13" s="1"/>
  <c r="O7" i="13"/>
  <c r="Q7" i="13" s="1"/>
  <c r="O36" i="13" l="1"/>
  <c r="Q36" i="13" s="1"/>
  <c r="O14" i="13"/>
  <c r="Q14" i="13" s="1"/>
  <c r="L41" i="13"/>
  <c r="Q24" i="12"/>
  <c r="O26" i="12"/>
  <c r="Q26" i="12" s="1"/>
  <c r="Q41" i="13" l="1"/>
  <c r="O41" i="13"/>
  <c r="K32" i="11"/>
  <c r="L32" i="11"/>
  <c r="M32" i="11"/>
  <c r="N32" i="11"/>
  <c r="J32" i="11"/>
  <c r="O8" i="11"/>
  <c r="O29" i="11"/>
  <c r="Q29" i="11" s="1"/>
  <c r="O30" i="11"/>
  <c r="Q30" i="11" s="1"/>
  <c r="P8" i="11"/>
  <c r="P32" i="11" s="1"/>
  <c r="Q8" i="11" l="1"/>
  <c r="H9" i="11"/>
  <c r="O14" i="12" l="1"/>
  <c r="O15" i="12"/>
  <c r="O16" i="12"/>
  <c r="O17" i="12"/>
  <c r="O18" i="12"/>
  <c r="O25" i="11" l="1"/>
  <c r="O26" i="11"/>
  <c r="O27" i="11"/>
  <c r="O28" i="11"/>
  <c r="O8" i="12" l="1"/>
  <c r="Q8" i="12" s="1"/>
  <c r="O16" i="11" l="1"/>
  <c r="O23" i="12" l="1"/>
  <c r="Q23" i="12" s="1"/>
  <c r="O25" i="12"/>
  <c r="Q25" i="12" s="1"/>
  <c r="O29" i="12"/>
  <c r="Q29" i="12" s="1"/>
  <c r="O9" i="12"/>
  <c r="Q9" i="12" s="1"/>
  <c r="O10" i="12"/>
  <c r="Q10" i="12" s="1"/>
  <c r="O11" i="12"/>
  <c r="Q11" i="12" s="1"/>
  <c r="O12" i="12"/>
  <c r="Q12" i="12" s="1"/>
  <c r="O13" i="12"/>
  <c r="Q13" i="12" s="1"/>
  <c r="Q14" i="12"/>
  <c r="Q15" i="12"/>
  <c r="Q16" i="12"/>
  <c r="Q17" i="12"/>
  <c r="Q18" i="12"/>
  <c r="O19" i="12"/>
  <c r="Q19" i="12" s="1"/>
  <c r="O20" i="12"/>
  <c r="Q20" i="12" s="1"/>
  <c r="O21" i="12"/>
  <c r="Q21" i="12" s="1"/>
  <c r="O22" i="12"/>
  <c r="Q22" i="12" s="1"/>
  <c r="Q25" i="11"/>
  <c r="Q26" i="11"/>
  <c r="Q27" i="11"/>
  <c r="Q28" i="11"/>
  <c r="O31" i="11"/>
  <c r="Q31" i="11" s="1"/>
  <c r="G32" i="11"/>
  <c r="H32" i="11"/>
  <c r="I32" i="11"/>
  <c r="F32" i="11"/>
  <c r="O10" i="11"/>
  <c r="Q10" i="11" s="1"/>
  <c r="O11" i="11"/>
  <c r="Q11" i="11" s="1"/>
  <c r="O12" i="11"/>
  <c r="Q12" i="11" s="1"/>
  <c r="O13" i="11"/>
  <c r="Q13" i="11" s="1"/>
  <c r="O14" i="11"/>
  <c r="Q14" i="11" s="1"/>
  <c r="O15" i="11"/>
  <c r="Q15" i="11" s="1"/>
  <c r="Q16" i="11"/>
  <c r="Q17" i="11"/>
  <c r="O18" i="11"/>
  <c r="Q18" i="11" s="1"/>
  <c r="O19" i="11"/>
  <c r="Q19" i="11" s="1"/>
  <c r="O20" i="11"/>
  <c r="Q20" i="11" s="1"/>
  <c r="O21" i="11"/>
  <c r="Q21" i="11" s="1"/>
  <c r="O22" i="11"/>
  <c r="Q22" i="11" s="1"/>
  <c r="O23" i="11"/>
  <c r="Q23" i="11" s="1"/>
  <c r="O24" i="11"/>
  <c r="Q24" i="11" s="1"/>
  <c r="O9" i="11"/>
  <c r="Q9" i="11" l="1"/>
  <c r="Q32" i="11" s="1"/>
  <c r="O32" i="11"/>
  <c r="N30" i="12"/>
  <c r="M30" i="12"/>
  <c r="L30" i="12"/>
  <c r="K30" i="12"/>
  <c r="J30" i="12"/>
  <c r="I30" i="12"/>
  <c r="G30" i="12"/>
  <c r="P30" i="12"/>
  <c r="H30" i="12"/>
  <c r="O7" i="12"/>
  <c r="Q7" i="12" s="1"/>
  <c r="Q30" i="12" l="1"/>
  <c r="R41" i="13" s="1"/>
  <c r="O30" i="12"/>
  <c r="Q46" i="22" l="1"/>
  <c r="S41" i="13"/>
  <c r="R46" i="17"/>
  <c r="P9" i="10"/>
  <c r="P10" i="10"/>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8" i="10"/>
  <c r="J37" i="10"/>
  <c r="K46" i="10" l="1"/>
  <c r="N46" i="10"/>
  <c r="L46" i="10"/>
  <c r="J46" i="10"/>
  <c r="G46" i="10"/>
  <c r="O38" i="10" l="1"/>
  <c r="Q38" i="10" s="1"/>
  <c r="O39" i="10"/>
  <c r="Q39" i="10" s="1"/>
  <c r="O40" i="10"/>
  <c r="Q40" i="10" s="1"/>
  <c r="O41" i="10"/>
  <c r="Q41" i="10" s="1"/>
  <c r="O42" i="10"/>
  <c r="Q42" i="10" s="1"/>
  <c r="H30" i="10"/>
  <c r="O30" i="10" s="1"/>
  <c r="Q30" i="10" s="1"/>
  <c r="H31" i="10"/>
  <c r="O31" i="10" s="1"/>
  <c r="Q31" i="10" s="1"/>
  <c r="H32" i="10"/>
  <c r="O32" i="10" s="1"/>
  <c r="Q32" i="10" s="1"/>
  <c r="H33" i="10"/>
  <c r="O33" i="10" s="1"/>
  <c r="Q33" i="10" s="1"/>
  <c r="H34" i="10"/>
  <c r="O34" i="10" s="1"/>
  <c r="Q34" i="10" s="1"/>
  <c r="H35" i="10"/>
  <c r="O35" i="10" s="1"/>
  <c r="Q35" i="10" s="1"/>
  <c r="H36" i="10"/>
  <c r="O36" i="10" s="1"/>
  <c r="Q36" i="10" s="1"/>
  <c r="H37" i="10"/>
  <c r="O37" i="10" s="1"/>
  <c r="Q37" i="10" s="1"/>
  <c r="H29" i="10"/>
  <c r="O29" i="10" s="1"/>
  <c r="Q29" i="10" s="1"/>
  <c r="H12" i="10"/>
  <c r="O12" i="10" s="1"/>
  <c r="Q12" i="10" s="1"/>
  <c r="H13" i="10"/>
  <c r="O13" i="10" s="1"/>
  <c r="Q13" i="10" s="1"/>
  <c r="H14" i="10"/>
  <c r="O14" i="10" s="1"/>
  <c r="Q14" i="10" s="1"/>
  <c r="H15" i="10"/>
  <c r="O15" i="10" s="1"/>
  <c r="Q15" i="10" s="1"/>
  <c r="H16" i="10"/>
  <c r="O16" i="10" s="1"/>
  <c r="Q16" i="10" s="1"/>
  <c r="H17" i="10"/>
  <c r="O17" i="10" s="1"/>
  <c r="Q17" i="10" s="1"/>
  <c r="H18" i="10"/>
  <c r="O18" i="10" s="1"/>
  <c r="Q18" i="10" s="1"/>
  <c r="H19" i="10"/>
  <c r="O19" i="10" s="1"/>
  <c r="Q19" i="10" s="1"/>
  <c r="H20" i="10"/>
  <c r="O20" i="10" s="1"/>
  <c r="Q20" i="10" s="1"/>
  <c r="H21" i="10"/>
  <c r="O21" i="10" s="1"/>
  <c r="Q21" i="10" s="1"/>
  <c r="H22" i="10"/>
  <c r="O22" i="10" s="1"/>
  <c r="Q22" i="10" s="1"/>
  <c r="H23" i="10"/>
  <c r="O23" i="10" s="1"/>
  <c r="Q23" i="10" s="1"/>
  <c r="H24" i="10"/>
  <c r="O24" i="10" s="1"/>
  <c r="Q24" i="10" s="1"/>
  <c r="H11" i="10"/>
  <c r="O11" i="10" s="1"/>
  <c r="Q11" i="10" s="1"/>
  <c r="H9" i="10"/>
  <c r="H8" i="10"/>
  <c r="O8" i="10" s="1"/>
  <c r="Q8" i="10" s="1"/>
  <c r="P46" i="10"/>
  <c r="M46" i="10"/>
  <c r="I46" i="10"/>
  <c r="O45" i="10"/>
  <c r="Q45" i="10" s="1"/>
  <c r="O44" i="10"/>
  <c r="Q44" i="10" s="1"/>
  <c r="O43" i="10"/>
  <c r="Q43" i="10" s="1"/>
  <c r="H28" i="10"/>
  <c r="O28" i="10" s="1"/>
  <c r="Q28" i="10" s="1"/>
  <c r="H27" i="10"/>
  <c r="O27" i="10" s="1"/>
  <c r="Q27" i="10" s="1"/>
  <c r="H26" i="10"/>
  <c r="O26" i="10" s="1"/>
  <c r="Q26" i="10" s="1"/>
  <c r="H25" i="10"/>
  <c r="O25" i="10" s="1"/>
  <c r="Q25" i="10" s="1"/>
  <c r="H10" i="10"/>
  <c r="O10" i="10" s="1"/>
  <c r="Q10" i="10" s="1"/>
  <c r="O7" i="10"/>
  <c r="Q7" i="10" s="1"/>
  <c r="H46" i="10" l="1"/>
  <c r="O47" i="10" s="1"/>
  <c r="O9" i="10"/>
  <c r="Q9" i="10" s="1"/>
  <c r="Q46" i="10" s="1"/>
  <c r="S54" i="10" s="1"/>
  <c r="S55" i="10" s="1"/>
  <c r="T55" i="10" s="1"/>
  <c r="O46" i="10" l="1"/>
  <c r="Q47" i="10" s="1"/>
  <c r="H48" i="10"/>
  <c r="O48" i="10" l="1"/>
  <c r="Q48" i="10"/>
  <c r="J34" i="51" l="1"/>
  <c r="O34" i="51" s="1"/>
  <c r="Q34" i="51" s="1"/>
  <c r="J31" i="51"/>
  <c r="O31" i="51" s="1"/>
  <c r="Q31" i="51" s="1"/>
  <c r="J29" i="51"/>
  <c r="O29" i="51" s="1"/>
  <c r="Q29" i="51" s="1"/>
  <c r="J27" i="51"/>
  <c r="O27" i="51" s="1"/>
  <c r="Q27" i="51" s="1"/>
  <c r="J25" i="51"/>
  <c r="O25" i="51" s="1"/>
  <c r="Q25" i="51" s="1"/>
  <c r="J23" i="51"/>
  <c r="O23" i="51" s="1"/>
  <c r="Q23" i="51" s="1"/>
  <c r="J21" i="51"/>
  <c r="O21" i="51" s="1"/>
  <c r="Q21" i="51" s="1"/>
  <c r="J19" i="51"/>
  <c r="O19" i="51" s="1"/>
  <c r="Q19" i="51" s="1"/>
  <c r="J17" i="51"/>
  <c r="O17" i="51" s="1"/>
  <c r="Q17" i="51" s="1"/>
  <c r="J15" i="51"/>
  <c r="O15" i="51" s="1"/>
  <c r="Q15" i="51" s="1"/>
  <c r="J13" i="51"/>
  <c r="O13" i="51" s="1"/>
  <c r="Q13" i="51" s="1"/>
  <c r="O11" i="51"/>
  <c r="Q11" i="51" s="1"/>
  <c r="J35" i="51"/>
  <c r="O35" i="51" s="1"/>
  <c r="Q35" i="51" s="1"/>
  <c r="J33" i="51"/>
  <c r="O33" i="51" s="1"/>
  <c r="Q33" i="51" s="1"/>
  <c r="J30" i="51"/>
  <c r="O30" i="51" s="1"/>
  <c r="Q30" i="51" s="1"/>
  <c r="J28" i="51"/>
  <c r="O28" i="51" s="1"/>
  <c r="Q28" i="51" s="1"/>
  <c r="J26" i="51"/>
  <c r="O26" i="51" s="1"/>
  <c r="Q26" i="51" s="1"/>
  <c r="J24" i="51"/>
  <c r="O24" i="51" s="1"/>
  <c r="Q24" i="51" s="1"/>
  <c r="J22" i="51"/>
  <c r="O22" i="51" s="1"/>
  <c r="Q22" i="51" s="1"/>
  <c r="J20" i="51"/>
  <c r="O20" i="51" s="1"/>
  <c r="Q20" i="51" s="1"/>
  <c r="J18" i="51"/>
  <c r="O18" i="51" s="1"/>
  <c r="Q18" i="51" s="1"/>
  <c r="J16" i="51"/>
  <c r="O16" i="51" s="1"/>
  <c r="Q16" i="51" s="1"/>
  <c r="J14" i="51"/>
  <c r="O14" i="51" s="1"/>
  <c r="Q14" i="51" s="1"/>
  <c r="J12" i="51"/>
  <c r="O12" i="51" s="1"/>
  <c r="Q12" i="51" s="1"/>
  <c r="J10" i="51"/>
  <c r="O10" i="51" l="1"/>
  <c r="J46" i="51"/>
  <c r="Q10" i="51" l="1"/>
  <c r="Q46" i="51" s="1"/>
  <c r="Q48" i="51" s="1"/>
  <c r="Q39" i="52" s="1"/>
  <c r="Q47" i="53" s="1"/>
  <c r="Q45" i="54" s="1"/>
  <c r="O46" i="51"/>
  <c r="Q46" i="55" l="1"/>
  <c r="Q42" i="56" l="1"/>
  <c r="Q42" i="57" l="1"/>
  <c r="Q46" i="5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Nghia</author>
  </authors>
  <commentList>
    <comment ref="H23" authorId="0" shapeId="0" xr:uid="{00000000-0006-0000-0B00-000001000000}">
      <text>
        <r>
          <rPr>
            <b/>
            <sz val="9"/>
            <color indexed="81"/>
            <rFont val="Tahoma"/>
            <family val="2"/>
          </rPr>
          <t>Nghia:</t>
        </r>
        <r>
          <rPr>
            <sz val="9"/>
            <color indexed="81"/>
            <rFont val="Tahoma"/>
            <family val="2"/>
          </rPr>
          <t xml:space="preserve">
Mạnh trả lại 600k tiền dầu cont này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Nghia</author>
  </authors>
  <commentList>
    <comment ref="H23" authorId="0" shapeId="0" xr:uid="{00000000-0006-0000-0C00-000001000000}">
      <text>
        <r>
          <rPr>
            <b/>
            <sz val="9"/>
            <color indexed="81"/>
            <rFont val="Tahoma"/>
            <family val="2"/>
          </rPr>
          <t>Nghia:</t>
        </r>
        <r>
          <rPr>
            <sz val="9"/>
            <color indexed="81"/>
            <rFont val="Tahoma"/>
            <family val="2"/>
          </rPr>
          <t xml:space="preserve">
Mạnh trả lại 600k tiền dầu cont này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Nghia</author>
  </authors>
  <commentList>
    <comment ref="H23" authorId="0" shapeId="0" xr:uid="{00000000-0006-0000-0D00-000001000000}">
      <text>
        <r>
          <rPr>
            <b/>
            <sz val="9"/>
            <color indexed="81"/>
            <rFont val="Tahoma"/>
            <family val="2"/>
          </rPr>
          <t>Nghia:</t>
        </r>
        <r>
          <rPr>
            <sz val="9"/>
            <color indexed="81"/>
            <rFont val="Tahoma"/>
            <family val="2"/>
          </rPr>
          <t xml:space="preserve">
Mạnh trả lại 600k tiền dầu cont này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Peter</author>
  </authors>
  <commentList>
    <comment ref="J22" authorId="0" shapeId="0" xr:uid="{00000000-0006-0000-1900-000001000000}">
      <text>
        <r>
          <rPr>
            <b/>
            <sz val="9"/>
            <color indexed="81"/>
            <rFont val="Tahoma"/>
            <family val="2"/>
          </rPr>
          <t>Peter:</t>
        </r>
        <r>
          <rPr>
            <sz val="9"/>
            <color indexed="81"/>
            <rFont val="Tahoma"/>
            <family val="2"/>
          </rPr>
          <t xml:space="preserve">
Trừ vé 90k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Peter</author>
  </authors>
  <commentList>
    <comment ref="J13" authorId="0" shapeId="0" xr:uid="{00000000-0006-0000-2100-000001000000}">
      <text>
        <r>
          <rPr>
            <b/>
            <sz val="9"/>
            <color indexed="81"/>
            <rFont val="Tahoma"/>
            <family val="2"/>
          </rPr>
          <t>Peter:</t>
        </r>
        <r>
          <rPr>
            <sz val="9"/>
            <color indexed="81"/>
            <rFont val="Tahoma"/>
            <family val="2"/>
          </rPr>
          <t xml:space="preserve">
Chưa đưa tiền kết hợp</t>
        </r>
      </text>
    </comment>
    <comment ref="J26" authorId="0" shapeId="0" xr:uid="{00000000-0006-0000-2100-000002000000}">
      <text>
        <r>
          <rPr>
            <b/>
            <sz val="9"/>
            <color indexed="81"/>
            <rFont val="Tahoma"/>
            <family val="2"/>
          </rPr>
          <t>Peter:</t>
        </r>
        <r>
          <rPr>
            <sz val="9"/>
            <color indexed="81"/>
            <rFont val="Tahoma"/>
            <family val="2"/>
          </rPr>
          <t xml:space="preserve">
Có tiền bốc vác 250k không?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Peter</author>
  </authors>
  <commentList>
    <comment ref="J19" authorId="0" shapeId="0" xr:uid="{00000000-0006-0000-2200-000001000000}">
      <text>
        <r>
          <rPr>
            <b/>
            <sz val="9"/>
            <color indexed="81"/>
            <rFont val="Tahoma"/>
            <family val="2"/>
          </rPr>
          <t>Peter:</t>
        </r>
        <r>
          <rPr>
            <sz val="9"/>
            <color indexed="81"/>
            <rFont val="Tahoma"/>
            <family val="2"/>
          </rPr>
          <t xml:space="preserve">
Trừ tiền đi đường 360k (do đi đường mới không trả phí trạm Lương Sơn)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Phan Kim Phung</author>
  </authors>
  <commentList>
    <comment ref="J21" authorId="0" shapeId="0" xr:uid="{00000000-0006-0000-3200-000001000000}">
      <text>
        <r>
          <rPr>
            <b/>
            <sz val="9"/>
            <color indexed="81"/>
            <rFont val="Tahoma"/>
            <family val="2"/>
          </rPr>
          <t>Phan Kim Phung:</t>
        </r>
        <r>
          <rPr>
            <sz val="9"/>
            <color indexed="81"/>
            <rFont val="Tahoma"/>
            <family val="2"/>
          </rPr>
          <t xml:space="preserve">
Trừ 50% tiền trốn vé cầu Hồ</t>
        </r>
      </text>
    </comment>
    <comment ref="J23" authorId="0" shapeId="0" xr:uid="{00000000-0006-0000-3200-000002000000}">
      <text>
        <r>
          <rPr>
            <b/>
            <sz val="9"/>
            <color indexed="81"/>
            <rFont val="Tahoma"/>
            <family val="2"/>
          </rPr>
          <t>Phan Kim Phung:</t>
        </r>
        <r>
          <rPr>
            <sz val="9"/>
            <color indexed="81"/>
            <rFont val="Tahoma"/>
            <family val="2"/>
          </rPr>
          <t xml:space="preserve">
Điều chỉnh tiền đi đường về đúng định mức</t>
        </r>
      </text>
    </comment>
    <comment ref="G26" authorId="0" shapeId="0" xr:uid="{00000000-0006-0000-3200-000003000000}">
      <text>
        <r>
          <rPr>
            <b/>
            <sz val="9"/>
            <color indexed="81"/>
            <rFont val="Tahoma"/>
            <family val="2"/>
          </rPr>
          <t>Phan Kim Phung:</t>
        </r>
        <r>
          <rPr>
            <sz val="9"/>
            <color indexed="81"/>
            <rFont val="Tahoma"/>
            <family val="2"/>
          </rPr>
          <t xml:space="preserve">
Bổ sung dầu đổ tháng 3 nhưng phân bổ cho tháng 2</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tc={29DF1F35-3B67-4903-A0D3-AB4089E7C954}</author>
    <author>tc={0E355CEB-1100-464C-82BB-FCCCD6A4A947}</author>
  </authors>
  <commentList>
    <comment ref="J29" authorId="0" shapeId="0" xr:uid="{29DF1F35-3B67-4903-A0D3-AB4089E7C954}">
      <text>
        <t>[Threaded comment]
Your version of Excel allows you to read this threaded comment; however, any edits to it will get removed if the file is opened in a newer version of Excel. Learn more: https://go.microsoft.com/fwlink/?linkid=870924
Comment:
    790k???
Reply:
    Chưa sửa trong sổ quỹ</t>
      </text>
    </comment>
    <comment ref="J34" authorId="1" shapeId="0" xr:uid="{0E355CEB-1100-464C-82BB-FCCCD6A4A947}">
      <text>
        <t>[Threaded comment]
Your version of Excel allows you to read this threaded comment; however, any edits to it will get removed if the file is opened in a newer version of Excel. Learn more: https://go.microsoft.com/fwlink/?linkid=870924
Comment:
    Đã điều chỉnh còn 100k?</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tc={13DA81A2-C2D5-4FF4-B010-C6473CF9E660}</author>
  </authors>
  <commentList>
    <comment ref="J13" authorId="0" shapeId="0" xr:uid="{13DA81A2-C2D5-4FF4-B010-C6473CF9E660}">
      <text>
        <t>[Threaded comment]
Your version of Excel allows you to read this threaded comment; however, any edits to it will get removed if the file is opened in a newer version of Excel. Learn more: https://go.microsoft.com/fwlink/?linkid=870924
Comment:
    Kiểm tra lại vì tiền kết hợp là 300k, đã bù vé vào đường cấm 100k ở dòng trên???</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Ngoc Anh</author>
  </authors>
  <commentList>
    <comment ref="P25" authorId="0" shapeId="0" xr:uid="{18AC2569-3DFE-463C-B20F-45F045AA7EA7}">
      <text>
        <r>
          <rPr>
            <b/>
            <sz val="9"/>
            <color indexed="81"/>
            <rFont val="Tahoma"/>
            <family val="2"/>
          </rPr>
          <t>Ngoc Anh:</t>
        </r>
        <r>
          <rPr>
            <sz val="9"/>
            <color indexed="81"/>
            <rFont val="Tahoma"/>
            <family val="2"/>
          </rPr>
          <t xml:space="preserve">
Kiểm tra lại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Ngoc Anh</author>
  </authors>
  <commentList>
    <comment ref="E14" authorId="0" shapeId="0" xr:uid="{8AB2F3E0-50EF-49BE-8568-62BF48315426}">
      <text>
        <r>
          <rPr>
            <b/>
            <sz val="9"/>
            <color indexed="81"/>
            <rFont val="Tahoma"/>
            <family val="2"/>
          </rPr>
          <t>Ngoc Anh:</t>
        </r>
        <r>
          <rPr>
            <sz val="9"/>
            <color indexed="81"/>
            <rFont val="Tahoma"/>
            <family val="2"/>
          </rPr>
          <t xml:space="preserve">
Cont của xe 15C-
180.99</t>
        </r>
      </text>
    </comment>
  </commentList>
</comments>
</file>

<file path=xl/sharedStrings.xml><?xml version="1.0" encoding="utf-8"?>
<sst xmlns="http://schemas.openxmlformats.org/spreadsheetml/2006/main" count="11099" uniqueCount="5728">
  <si>
    <t>Bảng theo dõi doanh thu/ chi phí theo phương tiện vận chuyển</t>
  </si>
  <si>
    <t>STT</t>
  </si>
  <si>
    <t>Ngày tháng</t>
  </si>
  <si>
    <t>Diễn giải</t>
  </si>
  <si>
    <t>Tuyến đường vận chuyển</t>
  </si>
  <si>
    <t>Số cont</t>
  </si>
  <si>
    <t>Chi phí</t>
  </si>
  <si>
    <t>Dầu (l)</t>
  </si>
  <si>
    <t>Đi đường</t>
  </si>
  <si>
    <t>Lương lx</t>
  </si>
  <si>
    <t>Sửa chữa</t>
  </si>
  <si>
    <t>Lốp</t>
  </si>
  <si>
    <t>Dầu máy</t>
  </si>
  <si>
    <t>Cước vận chuyển</t>
  </si>
  <si>
    <t>Lợi nhuận gộp</t>
  </si>
  <si>
    <t>Dầu (đồng)</t>
  </si>
  <si>
    <t>Mức TTBQ</t>
  </si>
  <si>
    <t>Khoảng cách (km)</t>
  </si>
  <si>
    <t>Tổng chi phí</t>
  </si>
  <si>
    <t>TỔNG CỘNG</t>
  </si>
  <si>
    <t>Bắc Ninh - Hà Nam</t>
  </si>
  <si>
    <t>Mộc Châu, Sơn La</t>
  </si>
  <si>
    <t>KCN Đại Đồng, Bắc Ninh</t>
  </si>
  <si>
    <t>Tiền gửi xe</t>
  </si>
  <si>
    <t>Mỹ Bằng, Yên Sơn, Tuyên Quang</t>
  </si>
  <si>
    <t>Phủ Lý, Hà Nam</t>
  </si>
  <si>
    <t>KCN Thạch Thất, Hà Nội</t>
  </si>
  <si>
    <t>Mỹ Hào, Hưng Yên</t>
  </si>
  <si>
    <t>Mỹ Hào, Hưng Yên - Hà Nam</t>
  </si>
  <si>
    <t>Thạch Thất, Hà Nội</t>
  </si>
  <si>
    <t>Tam Điệp, Ninh Bình</t>
  </si>
  <si>
    <t>THÁNG 12.2015</t>
  </si>
  <si>
    <t>Trả hàng sáng 06/12</t>
  </si>
  <si>
    <t>Đóng hàng KH 06/12</t>
  </si>
  <si>
    <t>Trả hàng sáng 07/12</t>
  </si>
  <si>
    <t>Đóng hàng XK 07/12</t>
  </si>
  <si>
    <t>Trả hàng sáng 09/12</t>
  </si>
  <si>
    <t>Đóng hàng XK 09/12</t>
  </si>
  <si>
    <t>Đóng hàng chè sáng 11/12</t>
  </si>
  <si>
    <t>Trả hàng sáng 12/12</t>
  </si>
  <si>
    <t>Đóng hàng vôi XK 12/12</t>
  </si>
  <si>
    <t>Trả hàng sáng 14/12</t>
  </si>
  <si>
    <t>Đóng hàng XK 14/12</t>
  </si>
  <si>
    <t>Trả hàng sáng 15/12</t>
  </si>
  <si>
    <t>Đóng hàng XK 15/12</t>
  </si>
  <si>
    <t>Trả hàng sáng 17/12</t>
  </si>
  <si>
    <t>Đóng hàng XK sáng 18/12</t>
  </si>
  <si>
    <t>Trả hàng 19/12</t>
  </si>
  <si>
    <t>Đóng hàng XK 19/12</t>
  </si>
  <si>
    <t>Trả hàng sáng 20/12</t>
  </si>
  <si>
    <t>Đóng hàng XK 20/12</t>
  </si>
  <si>
    <t>Trả hàng sáng 21/12</t>
  </si>
  <si>
    <t>Đóng hàng XK 21/12</t>
  </si>
  <si>
    <t>Trả hàng NK sáng 24/12</t>
  </si>
  <si>
    <t>Trả hàng NK 27/12</t>
  </si>
  <si>
    <t>TTNU3681945</t>
  </si>
  <si>
    <t>VSLU1041014</t>
  </si>
  <si>
    <t>WFHU1352176</t>
  </si>
  <si>
    <t>VSLU4025362</t>
  </si>
  <si>
    <t>TRHU1344490</t>
  </si>
  <si>
    <t>DRYU3092209</t>
  </si>
  <si>
    <t>DRYU3015727</t>
  </si>
  <si>
    <t>DRYU2902096</t>
  </si>
  <si>
    <t>DFSU1269940</t>
  </si>
  <si>
    <t>DRYU2853941</t>
  </si>
  <si>
    <t>WFHU1354374</t>
  </si>
  <si>
    <t>MSKU2662510</t>
  </si>
  <si>
    <t>TCNU5200310</t>
  </si>
  <si>
    <t>DRYU2924449</t>
  </si>
  <si>
    <t>WHLU2890774</t>
  </si>
  <si>
    <t>DRYU2923102</t>
  </si>
  <si>
    <t>MSKU4309708</t>
  </si>
  <si>
    <t>DRYU3095656</t>
  </si>
  <si>
    <t>AKLU6024071</t>
  </si>
  <si>
    <t>UETU2345338</t>
  </si>
  <si>
    <t>DFSU1566803</t>
  </si>
  <si>
    <t>APZU3682140</t>
  </si>
  <si>
    <t>DRYU2902310</t>
  </si>
  <si>
    <t>TCLU3239002</t>
  </si>
  <si>
    <t>MRKU9690929</t>
  </si>
  <si>
    <t>WFHU1352303</t>
  </si>
  <si>
    <t>PONU0910407</t>
  </si>
  <si>
    <t>DRYU2923329</t>
  </si>
  <si>
    <t>WHLU5448977</t>
  </si>
  <si>
    <t>TEMU9033741</t>
  </si>
  <si>
    <t>Gia Lâm, Hà Nội - Hà Nam</t>
  </si>
  <si>
    <t>Như Quỳnh, Hưng Yên - Hà Nam</t>
  </si>
  <si>
    <t>Long Biên, Hà Nội - Hà Nam</t>
  </si>
  <si>
    <t>Hoa Lư, Ninh Bình</t>
  </si>
  <si>
    <t>Hoà Lạc, Hà Nội</t>
  </si>
  <si>
    <t>Đức Giang, Hà Nội</t>
  </si>
  <si>
    <t>Mường Chài, Điện Biên</t>
  </si>
  <si>
    <t>Trả hàng + đóng hàng  22/12</t>
  </si>
  <si>
    <t>Trả hàng + đóng hàng  02/12</t>
  </si>
  <si>
    <t>Trả hàng + đóng hàng  03/12</t>
  </si>
  <si>
    <t>Trả hàng + đóng hàng  04/12</t>
  </si>
  <si>
    <t>Trả hàng + đóng hàng  05/12</t>
  </si>
  <si>
    <t>Trả hàng + đóng  hàng  1/12</t>
  </si>
  <si>
    <t>Trả hàng + đóng hàng  08/12</t>
  </si>
  <si>
    <t xml:space="preserve">Mua dây 8FK 2035 (xịn) </t>
  </si>
  <si>
    <t xml:space="preserve">Thay lọc nhớt + lọc dầu diezel </t>
  </si>
  <si>
    <t>Lương lái xe + thưởng</t>
  </si>
  <si>
    <t xml:space="preserve">Chữa máy phát </t>
  </si>
  <si>
    <t>Biển số xe: 15C - 136.31</t>
  </si>
  <si>
    <t>T4</t>
  </si>
  <si>
    <t>T5</t>
  </si>
  <si>
    <t>T6</t>
  </si>
  <si>
    <t>T7</t>
  </si>
  <si>
    <t>T8</t>
  </si>
  <si>
    <t>T9</t>
  </si>
  <si>
    <t>T10</t>
  </si>
  <si>
    <t>T11</t>
  </si>
  <si>
    <t>T12</t>
  </si>
  <si>
    <t>Tổng cộng</t>
  </si>
  <si>
    <t>THÁNG 01.2016</t>
  </si>
  <si>
    <t>THÁNG 02.2016</t>
  </si>
  <si>
    <t>TP. Trà Vinh</t>
  </si>
  <si>
    <t>Văn Lâm, Hưng Yên</t>
  </si>
  <si>
    <t>Cảng Phà Đen, Hà Nội</t>
  </si>
  <si>
    <t>Lương lái xe</t>
  </si>
  <si>
    <t>Đóng hàng chè sáng 14/01</t>
  </si>
  <si>
    <t>Đóng hàng than hoạt tính chiều 15/01</t>
  </si>
  <si>
    <t>Trả hàng sáng 17/01</t>
  </si>
  <si>
    <t>Trả hàng Vietsun sáng 19/01</t>
  </si>
  <si>
    <t>Đóng hàng chè sáng 20/01</t>
  </si>
  <si>
    <t>Đóng hàng XK sáng 21/01</t>
  </si>
  <si>
    <t>Đóng hàng chè sáng 22/01</t>
  </si>
  <si>
    <t>Trả hàng + đóng hàng KH sáng 23/01</t>
  </si>
  <si>
    <t>Trả hàng NK đêm 23/01</t>
  </si>
  <si>
    <t>Đóng hàng vôi XK sáng 24/01</t>
  </si>
  <si>
    <t>Trả hàng + đóng hàng KH sáng 26/01</t>
  </si>
  <si>
    <t>Trả hàng + đóng hàng KH sáng 27/01</t>
  </si>
  <si>
    <t>Đóng hàng sáng 28/01</t>
  </si>
  <si>
    <t>Trả hàng + đóng hàng KH sáng 29/01</t>
  </si>
  <si>
    <t>Trả hàng + đóng hàng KH sáng 31/01</t>
  </si>
  <si>
    <t>BMOU6025986</t>
  </si>
  <si>
    <t>DRYU9590683</t>
  </si>
  <si>
    <t>DRYU9961948</t>
  </si>
  <si>
    <t>DRYU9969682</t>
  </si>
  <si>
    <t>TCKU2077804</t>
  </si>
  <si>
    <t>ZIMU1414597</t>
  </si>
  <si>
    <t>VSLU9371400</t>
  </si>
  <si>
    <t>TRHU2719899</t>
  </si>
  <si>
    <t>SKLU1426219</t>
  </si>
  <si>
    <t>VSLU1048261</t>
  </si>
  <si>
    <t>SITU2787335</t>
  </si>
  <si>
    <t>EMCU3604017</t>
  </si>
  <si>
    <t>DRYU3093972</t>
  </si>
  <si>
    <t>YLMU8742545</t>
  </si>
  <si>
    <t>GMDU2153911</t>
  </si>
  <si>
    <t>VSLU1041781</t>
  </si>
  <si>
    <t>KCN Mỹ Phước 2, Bến Cát, BD</t>
  </si>
  <si>
    <t>KCN Hòa Xá, Nam Định</t>
  </si>
  <si>
    <t>KCN Đại Đồng, Bắc Ninh - Hà Nam</t>
  </si>
  <si>
    <t>KCN Quang Minh, Vĩnh Phúc</t>
  </si>
  <si>
    <t>KCN Tân Trường, Hải Dương - Hà Nam</t>
  </si>
  <si>
    <t>Hải Dương - Hà Nam</t>
  </si>
  <si>
    <t>Thay lọc nhớt</t>
  </si>
  <si>
    <t>Trả hàng + đóng hàng KH sáng 02/02</t>
  </si>
  <si>
    <t>Trả hàng + đóng hàng KH sáng 03/02</t>
  </si>
  <si>
    <t>Đóng hàng XK sáng 04/02</t>
  </si>
  <si>
    <t>Đóng hàng tinh bột chiều 15/02</t>
  </si>
  <si>
    <t>Trả hàng NK sáng 16/02</t>
  </si>
  <si>
    <t>Đóng hàng KH chiều 16/02</t>
  </si>
  <si>
    <t>Trả hàng Vietsun sáng 17/02</t>
  </si>
  <si>
    <t>Đóng hàng than hoạt tính chiều 17/02</t>
  </si>
  <si>
    <t>Trả hàng NK sáng 18/02</t>
  </si>
  <si>
    <t>Trả hàng NK sáng 19/02</t>
  </si>
  <si>
    <t>Đóng hàng XK sáng 20/02</t>
  </si>
  <si>
    <t>Trả hàng + đóng hàng KH 23/02</t>
  </si>
  <si>
    <t>Trả hàng NK sáng 25/02</t>
  </si>
  <si>
    <t>Trả hàng + đóng hàng KH 26/02</t>
  </si>
  <si>
    <t>Đóng hàng chè sáng 29/02</t>
  </si>
  <si>
    <t>DRYU3093400</t>
  </si>
  <si>
    <t>VSLU1046295</t>
  </si>
  <si>
    <t>OOLU1801824</t>
  </si>
  <si>
    <t>TCKU3471746</t>
  </si>
  <si>
    <t>SEGU2563949</t>
  </si>
  <si>
    <t>NPLU2214334</t>
  </si>
  <si>
    <t>DRYU9170192</t>
  </si>
  <si>
    <t>CMAU0854909</t>
  </si>
  <si>
    <t>SITU9030908</t>
  </si>
  <si>
    <t>TGHU9610260</t>
  </si>
  <si>
    <t>VSLU3041693</t>
  </si>
  <si>
    <t>WHLU5337232</t>
  </si>
  <si>
    <t>VSLU2037111</t>
  </si>
  <si>
    <t>UETU2267549</t>
  </si>
  <si>
    <t>KCN Vân Trung, Việt Yên, Bắc Giang</t>
  </si>
  <si>
    <t>Phả Lại, Hải Dương</t>
  </si>
  <si>
    <t>TT Trần Phú, Văn Chấn, Yên Bái</t>
  </si>
  <si>
    <t>Thay lốp xe</t>
  </si>
  <si>
    <t>VSLU3042719</t>
  </si>
  <si>
    <t>Trả hàng + đóng hàng KH sáng 01/02</t>
  </si>
  <si>
    <t>Vũ Thư, Thái Bình - Hà Nam</t>
  </si>
  <si>
    <t xml:space="preserve">                                                         </t>
  </si>
  <si>
    <t>Tiền gửi xe T1</t>
  </si>
  <si>
    <t>Lưu ca xe từ 29/12 đến 11/01</t>
  </si>
  <si>
    <t>Thưởng Tết</t>
  </si>
  <si>
    <t>Tiền gửi xe T2/2016</t>
  </si>
  <si>
    <t>THÁNG 03.2016</t>
  </si>
  <si>
    <t>Đóng hàng XK sáng 03/03</t>
  </si>
  <si>
    <t>WHLU0603005</t>
  </si>
  <si>
    <t>Đóng hàng XK đêm 03/03</t>
  </si>
  <si>
    <t>CMAU1855751</t>
  </si>
  <si>
    <t>Cầu Đá Bạc, Hải Phòng</t>
  </si>
  <si>
    <t>Trả hàng NK sáng 05/03</t>
  </si>
  <si>
    <t>SEGU1482204</t>
  </si>
  <si>
    <t>ICD Mỹ Đình - Mỹ Hào, Hưng Yên</t>
  </si>
  <si>
    <t>Trả hàng + đóng hàng KH 07/03</t>
  </si>
  <si>
    <t>GMDU2151570</t>
  </si>
  <si>
    <t>Trả hàng NK sáng 09/03</t>
  </si>
  <si>
    <t>CAIU2046419</t>
  </si>
  <si>
    <t>Phúc Xuyên, Hà Nội</t>
  </si>
  <si>
    <t>Đóng hàng XK chiều 09/03</t>
  </si>
  <si>
    <t>EITU0445561</t>
  </si>
  <si>
    <t>Ngọc Hồi, Hà Nội</t>
  </si>
  <si>
    <t>Trả hàng + đóng hàng KH 11/03</t>
  </si>
  <si>
    <t>DRYU3095300</t>
  </si>
  <si>
    <t>Ngọc Hồi, Thanh Trì, Hà Nội - Hà Nam</t>
  </si>
  <si>
    <t>Trả hàng sáng 14/03</t>
  </si>
  <si>
    <t>TCKU1525761</t>
  </si>
  <si>
    <t>Kim Sơn, Ninh Bình</t>
  </si>
  <si>
    <t>Đóng hàng vôi XK chiều 14/03</t>
  </si>
  <si>
    <t>TCKU3059718</t>
  </si>
  <si>
    <t>Đóng hàng XK sáng 16/03</t>
  </si>
  <si>
    <t>KMTU9307742</t>
  </si>
  <si>
    <t>Trả hàng NK 15/03</t>
  </si>
  <si>
    <t>TGCU0188453</t>
  </si>
  <si>
    <t>Đóng hàng vôi XK chiều 15/03</t>
  </si>
  <si>
    <t>FCIU5845588</t>
  </si>
  <si>
    <t>Trả hàng Vietsun sáng 17/03</t>
  </si>
  <si>
    <t>DRYU9593403</t>
  </si>
  <si>
    <t>Dị Sử, Mỹ Hào, Hưng Yên</t>
  </si>
  <si>
    <t>Đóng than hoạt tính sáng 18/03</t>
  </si>
  <si>
    <t>Trả hàng sáng 19/03</t>
  </si>
  <si>
    <t>EISU3907253</t>
  </si>
  <si>
    <t>Thạch Bàn, Hà Nội</t>
  </si>
  <si>
    <t>Đóng hàng vôi XK chiều 19/03</t>
  </si>
  <si>
    <t>TEMU2325994</t>
  </si>
  <si>
    <t>Trả hàng + đóng hàng KH 21/03</t>
  </si>
  <si>
    <t>NSHU2700708</t>
  </si>
  <si>
    <t>Trôi, Hà Nội</t>
  </si>
  <si>
    <t>DRYU3094834</t>
  </si>
  <si>
    <t>Trả hàng Vietsun sáng 22/03</t>
  </si>
  <si>
    <t>DRYU9592515</t>
  </si>
  <si>
    <t>Trả hàng sáng 23/03</t>
  </si>
  <si>
    <t>DJLU5015945</t>
  </si>
  <si>
    <t>Gia Lâm, Hà Nội</t>
  </si>
  <si>
    <t>Trả hàng NK ngày 24/03</t>
  </si>
  <si>
    <t>OOLU1382456</t>
  </si>
  <si>
    <t>Sa Pa, Lào Cai</t>
  </si>
  <si>
    <t>Trả hàng + đóng hàng KH 26/03</t>
  </si>
  <si>
    <t>SITU2942832</t>
  </si>
  <si>
    <t>Cầu Giấy, Hà Nội</t>
  </si>
  <si>
    <t>CBHU3802697</t>
  </si>
  <si>
    <t>Trả hàng + đóng hàng KH 29/03</t>
  </si>
  <si>
    <t>DRYU2853303</t>
  </si>
  <si>
    <t>Đóng hàng sáng 30/03</t>
  </si>
  <si>
    <t>BMOU5445027</t>
  </si>
  <si>
    <t>KCN VSIP, Thủy Nguyên, Hải Phòng</t>
  </si>
  <si>
    <t>Trả hàng NK sáng 31/03</t>
  </si>
  <si>
    <t>TGHU1534456</t>
  </si>
  <si>
    <t>Sửa xe</t>
  </si>
  <si>
    <t>Rửa xe, bơm mỡ</t>
  </si>
  <si>
    <t>Phí gửi xe</t>
  </si>
  <si>
    <t>LK</t>
  </si>
  <si>
    <t>THÁNG 04.2016</t>
  </si>
  <si>
    <t>Trả hàng NK sáng 01/04</t>
  </si>
  <si>
    <t>TRLU7311594</t>
  </si>
  <si>
    <t>Quán Gỏi, Hải Dương</t>
  </si>
  <si>
    <t>Trả hàng Vietsun sáng 04/04</t>
  </si>
  <si>
    <t>DRYU9969830</t>
  </si>
  <si>
    <t>Tân Quang, Văn Lâm, Hưng Yên</t>
  </si>
  <si>
    <t>Đóng hàng than hoạt tính chiều 04/04</t>
  </si>
  <si>
    <t>Đóng hàng than hoạt tính chiều 05/04</t>
  </si>
  <si>
    <t>TCNU9487045</t>
  </si>
  <si>
    <t>Trả hàng sáng 06/04</t>
  </si>
  <si>
    <t>GMDU2151457</t>
  </si>
  <si>
    <t>KCN Tân Trường, Hải Dương</t>
  </si>
  <si>
    <t>Đóng hàng KH sáng 06/04</t>
  </si>
  <si>
    <t>CBHU5844454</t>
  </si>
  <si>
    <t>Trả hàng NK 08/04</t>
  </si>
  <si>
    <t>CARU9972444</t>
  </si>
  <si>
    <t>TX. Hồng Lĩnh, Hà Tĩnh</t>
  </si>
  <si>
    <t>Trả hàng Vietsun sáng 09/04</t>
  </si>
  <si>
    <t>DRYU9366457</t>
  </si>
  <si>
    <t>KCN Quế Võ, Bắc Ninh</t>
  </si>
  <si>
    <t>Trả hàng gạo tối 10/04</t>
  </si>
  <si>
    <t>CAXU6311929</t>
  </si>
  <si>
    <t>TP. Nam Định</t>
  </si>
  <si>
    <t>Đóng hàng KH sáng 11/04</t>
  </si>
  <si>
    <t>WHLU2899679</t>
  </si>
  <si>
    <t>Trả hàng NK chiều 13/04</t>
  </si>
  <si>
    <t>TRLU7025570</t>
  </si>
  <si>
    <t>Đóng hàng chè chiều 14/04</t>
  </si>
  <si>
    <t>WHLU4307608</t>
  </si>
  <si>
    <t>Trả hàng sáng 15/04</t>
  </si>
  <si>
    <t>OOLU4370910</t>
  </si>
  <si>
    <t>KCN Tây Nam, Phủ Lý, Hà Nam</t>
  </si>
  <si>
    <t>Đóng hàng chè sáng 21/04</t>
  </si>
  <si>
    <t>WHLU4249060</t>
  </si>
  <si>
    <t>Thuận Châu, Sơn La</t>
  </si>
  <si>
    <t>Trả hàng + đóng hàng 22/04</t>
  </si>
  <si>
    <t>GMDU2151328</t>
  </si>
  <si>
    <t>Trả hàng + đóng hàng KH 23/04</t>
  </si>
  <si>
    <t>DRYU2923571</t>
  </si>
  <si>
    <t>Trả hàng NK sáng 25/04</t>
  </si>
  <si>
    <t>TWCU2047781</t>
  </si>
  <si>
    <t>Trả hàng NK chiều 25/04</t>
  </si>
  <si>
    <t>TWCU2041079</t>
  </si>
  <si>
    <t>Đóng hàng XK sáng 26/04</t>
  </si>
  <si>
    <t>TEMU6567764</t>
  </si>
  <si>
    <t>Đóng hàng XK sáng 27/04</t>
  </si>
  <si>
    <t>KMTU9281484</t>
  </si>
  <si>
    <t>Đóng hàng XK sáng 28/04</t>
  </si>
  <si>
    <t>DFSU1101658</t>
  </si>
  <si>
    <t>Đóng hàng chè sáng 29/04</t>
  </si>
  <si>
    <t>APZU3595025</t>
  </si>
  <si>
    <t>Đại Từ, Thái Nguyên</t>
  </si>
  <si>
    <t>Trả hàng NK sáng 30/04</t>
  </si>
  <si>
    <t>SITU9097115</t>
  </si>
  <si>
    <t>Mua chắn bùn xe</t>
  </si>
  <si>
    <t>Thay săm + yếm xe</t>
  </si>
  <si>
    <t xml:space="preserve">Nộp lệ phí sử dụng đường bộ </t>
  </si>
  <si>
    <t xml:space="preserve">Tiền dịch vụ đăng kiểm </t>
  </si>
  <si>
    <t>Phí bảo hiểm</t>
  </si>
  <si>
    <t>Phí gửi xe T4/2016</t>
  </si>
  <si>
    <t>Mua 1/2 phuy nhớt máy</t>
  </si>
  <si>
    <t>Lương + thưởng 30/4</t>
  </si>
  <si>
    <t>Lệ phí đăng kiểm đầu kéo</t>
  </si>
  <si>
    <t>THÁNG 05.2016</t>
  </si>
  <si>
    <t>Trả hàng KH sáng 02/05</t>
  </si>
  <si>
    <t>TRHU3321019</t>
  </si>
  <si>
    <t>KCN Yên Phong, Bắc Ninh</t>
  </si>
  <si>
    <t>Đóng hàng KH sáng 02/05</t>
  </si>
  <si>
    <t>CAXU6725908</t>
  </si>
  <si>
    <t>Đóng hàng chè sáng 05/05</t>
  </si>
  <si>
    <t>DFSU4106838</t>
  </si>
  <si>
    <t>Trả hàng 06/05</t>
  </si>
  <si>
    <t>VSLU4495495</t>
  </si>
  <si>
    <t>KCN Hà Bình Phương, Thường Tín, HN</t>
  </si>
  <si>
    <t>Đóng hàng KH 06/05</t>
  </si>
  <si>
    <t>KCSU3062908</t>
  </si>
  <si>
    <t>Trả hàng NK sáng 07/05</t>
  </si>
  <si>
    <t>SITU2938004</t>
  </si>
  <si>
    <t>Đóng hàng KH chiều 07/05</t>
  </si>
  <si>
    <t>WFHU1358322</t>
  </si>
  <si>
    <t>Trả hàng sáng 09/05</t>
  </si>
  <si>
    <t>Đóng hàng KH chiều 09/05</t>
  </si>
  <si>
    <t>KCSU2104133</t>
  </si>
  <si>
    <t>Trả hàng + đóng hàng KH 11/05</t>
  </si>
  <si>
    <t>VSLU1045302</t>
  </si>
  <si>
    <t>Trả hàng NK sáng 12/05</t>
  </si>
  <si>
    <t>TEMU4647372</t>
  </si>
  <si>
    <t>Đóng hàng chè sáng 13/05</t>
  </si>
  <si>
    <t>APHU7326470</t>
  </si>
  <si>
    <t>Phủ Lỗ, Sóc Sơn, Hà Nội</t>
  </si>
  <si>
    <t>Trả hàng + đóng hàng KH 14/05</t>
  </si>
  <si>
    <t>DRYU3094773</t>
  </si>
  <si>
    <t>KCN Quế Võ, Bắc Ninh - Hà Nam</t>
  </si>
  <si>
    <t>Trả hàng NK sáng 18/05</t>
  </si>
  <si>
    <t>SITU2850818</t>
  </si>
  <si>
    <t>Trả hàng + đóng hàng KH 19/05</t>
  </si>
  <si>
    <t>GMDU2415755</t>
  </si>
  <si>
    <t>Văn Lâm, Hưng Yên - Hà Nam</t>
  </si>
  <si>
    <t>Trả hàng chiều 21/05</t>
  </si>
  <si>
    <t>TCNU9494759</t>
  </si>
  <si>
    <t>Chương Mỹ, Hà Nội</t>
  </si>
  <si>
    <t>Trả hàng + đóng hàng KH 24/05</t>
  </si>
  <si>
    <t>DRYU3095574</t>
  </si>
  <si>
    <t>KCN Hà Bình Phương, Hà Nội - Hà Nam</t>
  </si>
  <si>
    <t>Trả hàng NK tối 24/05</t>
  </si>
  <si>
    <t>EISU9126480</t>
  </si>
  <si>
    <t>Trả hàng NK chiều 26/05</t>
  </si>
  <si>
    <t>WFHU1352495</t>
  </si>
  <si>
    <t>Đóng hàng bột đá 27/05</t>
  </si>
  <si>
    <t>Trả hàng NK chiều 30/05</t>
  </si>
  <si>
    <t>DRYU3094984</t>
  </si>
  <si>
    <t>Tân Sơn, Phú Thọ</t>
  </si>
  <si>
    <t>Đóng hàng bột đá 31/05</t>
  </si>
  <si>
    <t>Phí gửi xe T5/2016</t>
  </si>
  <si>
    <t>Lương 05.2016</t>
  </si>
  <si>
    <t>Thanh toán phí dịch vụ duy trì máy chủ + phí đường truyền</t>
  </si>
  <si>
    <t>Thanh toán tiền sửa xe 15C136.31</t>
  </si>
  <si>
    <t>Bơm mỡ xe 15C136.31</t>
  </si>
  <si>
    <t>Trả tiền sửa xe 15C136.31 ( Xử lí ống dầu)</t>
  </si>
  <si>
    <t>Lọc nhớt + lọc dầu xe 15C136.31</t>
  </si>
  <si>
    <t>THÁNG 06.2016</t>
  </si>
  <si>
    <t>Trả hàng Vietsun sáng 03/06</t>
  </si>
  <si>
    <t>Trả hàng NK tối 04/06</t>
  </si>
  <si>
    <t>Đóng hàng KH 05/06</t>
  </si>
  <si>
    <t>Đóng hàng chè sáng 07/06</t>
  </si>
  <si>
    <t>Trả hàng + đóng hàng KH 08/06</t>
  </si>
  <si>
    <t>Đóng hàng chè sáng 09/06</t>
  </si>
  <si>
    <t>Trả hàng + đóng hàng KH 10/06</t>
  </si>
  <si>
    <t>Đóng hàng chè sáng 12/06</t>
  </si>
  <si>
    <t>Trả hàng + đóng hàng KH 14/06</t>
  </si>
  <si>
    <t>Trả hàng sáng 15/06</t>
  </si>
  <si>
    <t>Trả hàng + đóng hàng KH 16/06</t>
  </si>
  <si>
    <t>Trả hàng sáng 17/06</t>
  </si>
  <si>
    <t>Trả hàng + đóng hàng KH 18/06</t>
  </si>
  <si>
    <t>Trả hàng + đóng hàng KH 29/06</t>
  </si>
  <si>
    <t>Trả hàng sáng 30/06</t>
  </si>
  <si>
    <t>Đóng hàng KH chiều 30/06</t>
  </si>
  <si>
    <t>DRYU9718964</t>
  </si>
  <si>
    <t>DFSU1146138</t>
  </si>
  <si>
    <t>WFHU1356335</t>
  </si>
  <si>
    <t>APZU3684307</t>
  </si>
  <si>
    <t>CWFU3815507</t>
  </si>
  <si>
    <t>DRYU3094562</t>
  </si>
  <si>
    <t>WHSU2022617</t>
  </si>
  <si>
    <t>CAIU2094058</t>
  </si>
  <si>
    <t>APHU6821226</t>
  </si>
  <si>
    <t>WFHU1352793</t>
  </si>
  <si>
    <t>DRYU9174644</t>
  </si>
  <si>
    <t>TRHU1344530</t>
  </si>
  <si>
    <t>WFHU5141778</t>
  </si>
  <si>
    <t>SEGU1220251</t>
  </si>
  <si>
    <t>MSCU2930384</t>
  </si>
  <si>
    <t>WHLU2311764</t>
  </si>
  <si>
    <t>VSLU2000600</t>
  </si>
  <si>
    <t>DRYU3093930</t>
  </si>
  <si>
    <t>Long Biên, Hà Nội</t>
  </si>
  <si>
    <t>Đồng Hỷ, Thái Nguyên</t>
  </si>
  <si>
    <t>Kim Động, Hưng Yên</t>
  </si>
  <si>
    <t>Nam Định - Hà Nam</t>
  </si>
  <si>
    <t>Ngũ Hiệp, Thanh Trì, Hà Nội</t>
  </si>
  <si>
    <t>KCN Phố Nối, Hưng Yên - Hà Nam</t>
  </si>
  <si>
    <t>Phú Lãm, Hà Đông, Hà Nội</t>
  </si>
  <si>
    <t>Xuân Quang, Văn Giang, Hưng Yên</t>
  </si>
  <si>
    <t>Nộp tiền biên bản phạt xe 15C136.31 lấy đăng kiểm đầu kéo về</t>
  </si>
  <si>
    <t>Sửa chữa xe 15C136.31</t>
  </si>
  <si>
    <t>Nộp tiền biên bản lấy đăng kiểm Romooc xe 15C136.31 về</t>
  </si>
  <si>
    <t>Sử̉a xe 15C136.31</t>
  </si>
  <si>
    <t>Chuyển bình dầu diesel xe 15C136.31</t>
  </si>
  <si>
    <t>Căn chỉnh cầu trục xe 15C136.31</t>
  </si>
  <si>
    <t>Mua 4 bình ắc quy 100A cho xe 15C136.31</t>
  </si>
  <si>
    <t>Thu lại tiền bán 3 bình ắc quy xe 15C136.31</t>
  </si>
  <si>
    <t>Lương 06.2016</t>
  </si>
  <si>
    <t>Phí gửi xe T06.2016</t>
  </si>
  <si>
    <t>THÁNG 07.2016</t>
  </si>
  <si>
    <t>Trả hàng sáng 01/07</t>
  </si>
  <si>
    <t>Đóng hàng KH chiều 01/07</t>
  </si>
  <si>
    <t>Trả hàng + đóng hàng KH 05/07</t>
  </si>
  <si>
    <t>Trả hàng + đóng hàng KH 06/07</t>
  </si>
  <si>
    <t>Trả hàng + đóng hàng KH 07/07</t>
  </si>
  <si>
    <t>Đóng hàng xỉ bọt sáng 08/07</t>
  </si>
  <si>
    <t>Trả hàng NK sáng 09/07</t>
  </si>
  <si>
    <t>Trả hàng chiều 09/07</t>
  </si>
  <si>
    <t>Trả hàng + đóng hàng KH 11/07</t>
  </si>
  <si>
    <t>Trả hàng + đóng hàng KH sáng 12/07</t>
  </si>
  <si>
    <t>Trả hàng Vietsun sáng 13/07</t>
  </si>
  <si>
    <t>Đóng hàng KH Vietsun chiều 13/07</t>
  </si>
  <si>
    <t>Đóng hàng chè sáng 14/07</t>
  </si>
  <si>
    <t>Trả hàng + đóng hàng KH 18/07</t>
  </si>
  <si>
    <t>Trả hàng Vietsun sáng 19/07</t>
  </si>
  <si>
    <t>Trả hàng + đóng hàng KH 20/07</t>
  </si>
  <si>
    <t>Đóng hàng chè sáng 21/07</t>
  </si>
  <si>
    <t>Trả hàng + đóng hàng KH 22/07</t>
  </si>
  <si>
    <t>Trả hàng + đóng hàng KH 23/07</t>
  </si>
  <si>
    <t>Trả hàng NK sáng 24/07</t>
  </si>
  <si>
    <t>Đóng hàng KH chiều 24/07</t>
  </si>
  <si>
    <t>Đóng hàng chè sáng 26/07</t>
  </si>
  <si>
    <t>Trả hàng + đóng hàng KH 27/07</t>
  </si>
  <si>
    <t>Trả hàng sáng 28/07</t>
  </si>
  <si>
    <t>Đóng hàng vôi KH chiều 28/07</t>
  </si>
  <si>
    <t>Trả hàng sáng 30/07</t>
  </si>
  <si>
    <t>Trả hàng NK sáng 31/07</t>
  </si>
  <si>
    <t>VSLU4490472</t>
  </si>
  <si>
    <t>EGSU3027980</t>
  </si>
  <si>
    <t>DRYU2924433</t>
  </si>
  <si>
    <t>TCKU3475248</t>
  </si>
  <si>
    <t>DRYU2902054</t>
  </si>
  <si>
    <t>BMOU6364001</t>
  </si>
  <si>
    <t>SEGU1933674</t>
  </si>
  <si>
    <t>DRYU3095825</t>
  </si>
  <si>
    <t>DRYU3093951</t>
  </si>
  <si>
    <t>VSLU4493810</t>
  </si>
  <si>
    <t>DRYU9968726</t>
  </si>
  <si>
    <t>DFSU3077735</t>
  </si>
  <si>
    <t>DRYU2923099</t>
  </si>
  <si>
    <t>DRYU9168488</t>
  </si>
  <si>
    <t>DRYU3094840</t>
  </si>
  <si>
    <t>SEGU4243728</t>
  </si>
  <si>
    <t>DRYU2853242</t>
  </si>
  <si>
    <t>GMDU2141124</t>
  </si>
  <si>
    <t>DYLU2130057</t>
  </si>
  <si>
    <t>PONU7558788</t>
  </si>
  <si>
    <t>VSLU1046572</t>
  </si>
  <si>
    <t>UETU2229045</t>
  </si>
  <si>
    <t>WHLU2934846</t>
  </si>
  <si>
    <t>WHLU5381385</t>
  </si>
  <si>
    <t>TSLU0534134</t>
  </si>
  <si>
    <t>Cảng Phà Đen, Hà Nội - Hà Nam</t>
  </si>
  <si>
    <t>KCN Tiên Sơn, Bắc Ninh - Hà Nam</t>
  </si>
  <si>
    <t>Mộc Châu, Sơn La - Phủ Lỗ, Sóc Sơn</t>
  </si>
  <si>
    <t>KCN Ngọc Hồi, Thanh Trì, HN - Hà Nam</t>
  </si>
  <si>
    <t>KCN Đồng Văn, Duy Tiên, Hà Nam</t>
  </si>
  <si>
    <t>Xuân Mai, Hà Nội - Hà Nam</t>
  </si>
  <si>
    <t>KCN Ngọc Hồi, Hà Nội - Hà Nam</t>
  </si>
  <si>
    <t>Hà Đông, Hà Nội - Hà Nam</t>
  </si>
  <si>
    <t>Bát Tràng, Hà Nội</t>
  </si>
  <si>
    <t>cảng Phà Đen, Hà Nội</t>
  </si>
  <si>
    <t xml:space="preserve">KCN Tiên Sơn, Bắc Ninh </t>
  </si>
  <si>
    <t>Thay motor gió</t>
  </si>
  <si>
    <t>Sửa bình gạt mưa</t>
  </si>
  <si>
    <t>Lắp đèn, phiếu, hàn cửa, thay đảo lốp, rửa xe</t>
  </si>
  <si>
    <t>Thay chốt cửa</t>
  </si>
  <si>
    <t>Mua 01 quả săm+công thay</t>
  </si>
  <si>
    <t>Thay yếm xe</t>
  </si>
  <si>
    <t>2 texamatic (dầu bót lái)</t>
  </si>
  <si>
    <t>Đóng số lốp xe thành 295/75R22.5</t>
  </si>
  <si>
    <t>Làm lốp, cứu hộ xe</t>
  </si>
  <si>
    <t>THÁNG 08.2016</t>
  </si>
  <si>
    <t>Đóng hàng XK sáng 02/08</t>
  </si>
  <si>
    <t>Đóng hàng sáng 03/08</t>
  </si>
  <si>
    <t>Trả hàng sáng 04/08</t>
  </si>
  <si>
    <t>Đóng hàng KH chiều 04/08</t>
  </si>
  <si>
    <t>Trả hàng + đóng hàng KH 06/08</t>
  </si>
  <si>
    <t>Trả hàng + đóng hàng KH 08/08</t>
  </si>
  <si>
    <t>Trả hàng + đóng hàng KH 09/08</t>
  </si>
  <si>
    <t>Trả hàng + đóng hàng KH 10/08</t>
  </si>
  <si>
    <t>Đóng hàng chè chiều 11/08</t>
  </si>
  <si>
    <t>Trả hàng sáng 13/08</t>
  </si>
  <si>
    <t>Đóng hàng bột đá chiều 13/08</t>
  </si>
  <si>
    <t>Trả hàng sáng 14/08</t>
  </si>
  <si>
    <t>Đóng hàng bột đá chiều 14/08</t>
  </si>
  <si>
    <t>Trả hàng + đóng hàng chè 16/08</t>
  </si>
  <si>
    <t>Trả hàng sáng 17/08</t>
  </si>
  <si>
    <t>Trả hàng + đóng hàng KH 18/08</t>
  </si>
  <si>
    <t>Đóng hàng chè sáng 20/08</t>
  </si>
  <si>
    <t>Trả hàng sáng 22/08</t>
  </si>
  <si>
    <t>Đóng hàng KH chiều 22/08</t>
  </si>
  <si>
    <t>Trả hàng + đóng hàng KH 23/08</t>
  </si>
  <si>
    <t>Trả hàng + đóng hàng KH 24/08</t>
  </si>
  <si>
    <t>Đóng hàng 25/08</t>
  </si>
  <si>
    <t>Trả hàng Vietsun sáng 26/08</t>
  </si>
  <si>
    <t>OOLU8596845</t>
  </si>
  <si>
    <t>TCNU7387221</t>
  </si>
  <si>
    <t>UACU3600367</t>
  </si>
  <si>
    <t>DRYU3093632</t>
  </si>
  <si>
    <t>DRYU2853290</t>
  </si>
  <si>
    <t>DRYU2923360</t>
  </si>
  <si>
    <t>VSLU3037712</t>
  </si>
  <si>
    <t>WFHU1352725</t>
  </si>
  <si>
    <t>FSCU8715530</t>
  </si>
  <si>
    <t>DYLU2111709</t>
  </si>
  <si>
    <t>DRYU2852225</t>
  </si>
  <si>
    <t>TEMU4705592</t>
  </si>
  <si>
    <t>GMDU2403585</t>
  </si>
  <si>
    <t>TGHU7743514</t>
  </si>
  <si>
    <t>DRYU2853200</t>
  </si>
  <si>
    <t>APHU7016540</t>
  </si>
  <si>
    <t>DRYU9169910</t>
  </si>
  <si>
    <t>DRYU3026070</t>
  </si>
  <si>
    <t>WFHU1356211</t>
  </si>
  <si>
    <t>KMTU7374206</t>
  </si>
  <si>
    <t>DRYU9718157</t>
  </si>
  <si>
    <t>KCN Châu Sơn, Phủ Lý, Hà Nam</t>
  </si>
  <si>
    <t>Thường Tín, Hà Nội</t>
  </si>
  <si>
    <t>KCN Đại Đồng Bắc Ninh - Hà Nam</t>
  </si>
  <si>
    <t>Dị Sử, Mỹ Hào, Hưng Yên - Hà Nam</t>
  </si>
  <si>
    <t>Vân Hồ, Sơn La</t>
  </si>
  <si>
    <t>KCN Tân Quang, Văn Lâm, Hưng Yên</t>
  </si>
  <si>
    <t>Thanh Trì, Hà Nội - Hà Nam</t>
  </si>
  <si>
    <t>KCN VSIP Hải Phòng</t>
  </si>
  <si>
    <t>KCN Đồng Văn, Hà Nam</t>
  </si>
  <si>
    <t>Trả hàng + đóng hàng KH 27/08</t>
  </si>
  <si>
    <t>Trả hàng sáng 30/08</t>
  </si>
  <si>
    <t>Đóng hàng xỉ bọt 31/08</t>
  </si>
  <si>
    <t xml:space="preserve"> WFHU1352710</t>
  </si>
  <si>
    <t>WFHU5142265</t>
  </si>
  <si>
    <t>SKHU9202599</t>
  </si>
  <si>
    <t>Thay cao su tay giằng móc, DV căn 
chỉnh móc xe</t>
  </si>
  <si>
    <t>Lọc dầu nhớt</t>
  </si>
  <si>
    <t>Phí gửi xe tháng 08.2016</t>
  </si>
  <si>
    <t>Đưa anh Hà thay đèn led, thay motor bơm nước, công thợ xe</t>
  </si>
  <si>
    <t>Thanh toán tiền sửa xe 15C-136.31 ngày 1/8 (bi vai cầu, bi quả dứa, bi đỡ đầu 
quả dứa, phớt đầu cầu, công thợ hạ cầu, dầu rửa, giẻ lau, keo, dầu cầu)</t>
  </si>
  <si>
    <t>Thanh toán tiền sửa xe 15C-136.31 (phớt may ơ, công thợ thay phớt, dầu mồi may ơ)</t>
  </si>
  <si>
    <t>Thanh toán dịch vụ lắp lốp xe</t>
  </si>
  <si>
    <t>Lương lái xe</t>
  </si>
  <si>
    <t>Bơm mỡ xe ngày 12/08 (chi ở sổ quỹ Nepo T9)</t>
  </si>
  <si>
    <t>Thanh toán tiền sửa xe 15C-136.31 (đôi chắn bùn lò xo, ống chắn bùn)</t>
  </si>
  <si>
    <t>Trả hàng sáng 01/09</t>
  </si>
  <si>
    <t>Đóng hàng sáng 01/09</t>
  </si>
  <si>
    <t>Trả hàng + đóng hàng KH 03/09</t>
  </si>
  <si>
    <t>Trả hàng sáng 05/09</t>
  </si>
  <si>
    <t>Trả hàng + đóng hàng KH 06/09</t>
  </si>
  <si>
    <t>Đóng hàng chè chiều 07/09</t>
  </si>
  <si>
    <t>Trả hàng Vietsun sáng 08/09</t>
  </si>
  <si>
    <t>Trả hàng + đóng hàng KH 09/09</t>
  </si>
  <si>
    <t>Đóng hàng sáng 10/09</t>
  </si>
  <si>
    <t>Trả hàng NK 10/09</t>
  </si>
  <si>
    <t>Đóng hàng bột đá 11/09</t>
  </si>
  <si>
    <t>Trả hàng + đóng hàng KH 13/09</t>
  </si>
  <si>
    <t>Đóng hàng chè sáng 14/09</t>
  </si>
  <si>
    <t>Trả hàng NK chiều 15/09</t>
  </si>
  <si>
    <t>Trả hàng Vietsun sáng 16/09</t>
  </si>
  <si>
    <t>Đóng hàng KH chiều 16/09</t>
  </si>
  <si>
    <t>Trả hàng + đóng hàng KH 17/09</t>
  </si>
  <si>
    <t>Trả hàng sáng 19/09</t>
  </si>
  <si>
    <t>Đóng hàng chè sáng 21/09</t>
  </si>
  <si>
    <t>Trả hàng + đóng hàng KH 23/09</t>
  </si>
  <si>
    <t>Trả hàng sáng 25/09</t>
  </si>
  <si>
    <t>Đóng hàng kết hợp sáng 26/09</t>
  </si>
  <si>
    <t>Trả hàng sáng 27/09</t>
  </si>
  <si>
    <t>Trả hàng NK sáng 28/09</t>
  </si>
  <si>
    <t>Đóng hàng bột đá chiều 28/09</t>
  </si>
  <si>
    <t>UACU3216460</t>
  </si>
  <si>
    <t>GMDU2418266</t>
  </si>
  <si>
    <t>WFHU1356612</t>
  </si>
  <si>
    <t>MSKU6528881</t>
  </si>
  <si>
    <t>WFHU1358261</t>
  </si>
  <si>
    <t>TCNU4840714</t>
  </si>
  <si>
    <t>DRYU9718120</t>
  </si>
  <si>
    <t>GMDU2152598</t>
  </si>
  <si>
    <t>TCNU6063927</t>
  </si>
  <si>
    <t>MSKU2261441</t>
  </si>
  <si>
    <t>DRYU3094449</t>
  </si>
  <si>
    <t>VSLU1015910</t>
  </si>
  <si>
    <t>DFSU7760415</t>
  </si>
  <si>
    <t>SKLU1114252</t>
  </si>
  <si>
    <t>DRYU9969511</t>
  </si>
  <si>
    <t>GMDU2142590</t>
  </si>
  <si>
    <t>DRYU9593506</t>
  </si>
  <si>
    <t>DFSU7824551</t>
  </si>
  <si>
    <t>DRYU2853411</t>
  </si>
  <si>
    <t>DRYU9969975</t>
  </si>
  <si>
    <t>DRYU9171347</t>
  </si>
  <si>
    <t>7.4 MT; 5.1 CBM</t>
  </si>
  <si>
    <t>KCN Phố Nối A, HY - Hà Nam</t>
  </si>
  <si>
    <t>Ngã tư Ắc Quy, Hải Phòng</t>
  </si>
  <si>
    <t xml:space="preserve">Thanh Trì, Hà Nội </t>
  </si>
  <si>
    <t>Quốc Oai, Hà Nội - Hà Nam</t>
  </si>
  <si>
    <t>Chí Linh, Hải Dương</t>
  </si>
  <si>
    <t>Cẩm Giàng, Hải Dương - Hà Nam</t>
  </si>
  <si>
    <t>Yên Mỹ, Hưng Yên</t>
  </si>
  <si>
    <t>Thanh Trì - Long Biên, Hà Nội</t>
  </si>
  <si>
    <t>THÁNG 09.2016</t>
  </si>
  <si>
    <t>Phí gửi xe tháng 09.2016</t>
  </si>
  <si>
    <t>Thanh toán tiền mua đèn LED BKS cho xe 15C-136.31</t>
  </si>
  <si>
    <t>Thanh toán tiền sửa xe 15C-136.31 (Phớt may ơ, công thợ thay phớt, dầu cầu mồi may ơ)</t>
  </si>
  <si>
    <t>Thay săm, thay yếm, công thay</t>
  </si>
  <si>
    <t>Xử phạt vi phạm hành chính (bánh lốp không đảm bảo tiêu chuẩn quy định)</t>
  </si>
  <si>
    <t>Trả hàng + đóng hàng KH 29/09</t>
  </si>
  <si>
    <t>Trả hàng + đóng hàng KH 30/09</t>
  </si>
  <si>
    <t>GMDU2418754</t>
  </si>
  <si>
    <t>DRYU3093289</t>
  </si>
  <si>
    <t>DRYU3093036</t>
  </si>
  <si>
    <t>Thanh toán 01 vé cao tốc đi ngày 29/8</t>
  </si>
  <si>
    <t>THÁNG 10.2016</t>
  </si>
  <si>
    <t>Trả hàng Vietsun sáng 01/10</t>
  </si>
  <si>
    <t>Đóng hàng than hoạt tính chiều 01/10</t>
  </si>
  <si>
    <t>Trả hàng + đóng hàng KH 03/10</t>
  </si>
  <si>
    <t>Trả hàng + đóng hàng KH sáng 04/10</t>
  </si>
  <si>
    <t>Đóng hàng XK chiều 05/10</t>
  </si>
  <si>
    <t>Trả hàng + đóng hàng KH 06/10</t>
  </si>
  <si>
    <t>Trả hàng + đóng hàng KH 07/10</t>
  </si>
  <si>
    <t>Trả hàng Vietsun sáng 12/10</t>
  </si>
  <si>
    <t>Đóng hàng chè sáng 13/10</t>
  </si>
  <si>
    <t>Trả hàng NK sáng 14/10</t>
  </si>
  <si>
    <t>Trả hàng Vietsun sáng 15/10</t>
  </si>
  <si>
    <t>Trả hàng + đóng hàng KH 17/10</t>
  </si>
  <si>
    <t>Đóng hàng cốp pha 18/10</t>
  </si>
  <si>
    <t>Trả hàng NK sáng 19/10</t>
  </si>
  <si>
    <t>Trả hàng NK sáng 20/10</t>
  </si>
  <si>
    <t>Đóng hàng cốp pha 21/10</t>
  </si>
  <si>
    <t>Trả hàng Vietsun sáng 22/10</t>
  </si>
  <si>
    <t>Trả hàng Vietsun sáng 23/10</t>
  </si>
  <si>
    <t>Trả hàng Vietsun sáng 24/10</t>
  </si>
  <si>
    <t>Trả hàng + đóng hàng KH 25/10</t>
  </si>
  <si>
    <t>Trả hàng + đóng hàng KH 26/10</t>
  </si>
  <si>
    <t>Trả hàng Vietsun sáng 27/10</t>
  </si>
  <si>
    <t>Trả hàng Vietsun sáng 28/10</t>
  </si>
  <si>
    <t>Đóng hàng kết hợp 29/10</t>
  </si>
  <si>
    <t>Trả hàng + đóng hàng KH 30/10</t>
  </si>
  <si>
    <t>Trả hàng Vietsun sáng 31/10</t>
  </si>
  <si>
    <t>DRYU9592259</t>
  </si>
  <si>
    <t>CAIU3339957</t>
  </si>
  <si>
    <t>DRYU3023018</t>
  </si>
  <si>
    <t>OOLU0179167</t>
  </si>
  <si>
    <t>GMDU2151945</t>
  </si>
  <si>
    <t>GMDU2140977</t>
  </si>
  <si>
    <t>DRYU9367999</t>
  </si>
  <si>
    <t>CAIU9616690</t>
  </si>
  <si>
    <t>WHLU4276868</t>
  </si>
  <si>
    <t>DRYU9718096</t>
  </si>
  <si>
    <t>GMDU2141675</t>
  </si>
  <si>
    <t>WFHU5000980</t>
  </si>
  <si>
    <t>NYKU8366886</t>
  </si>
  <si>
    <t>DYLU2130191</t>
  </si>
  <si>
    <t>TRIU9654129</t>
  </si>
  <si>
    <t>TCNU4595514</t>
  </si>
  <si>
    <t>VSLU9941886</t>
  </si>
  <si>
    <t>TCNU4595005</t>
  </si>
  <si>
    <t>GMDU2140540</t>
  </si>
  <si>
    <t>GMTU4490596</t>
  </si>
  <si>
    <t>VSLU7030980</t>
  </si>
  <si>
    <t>DRYU9968644</t>
  </si>
  <si>
    <t>DRYU3094201</t>
  </si>
  <si>
    <t>DRYU9588557</t>
  </si>
  <si>
    <t>Thái Nguyên, Bắc Ninh</t>
  </si>
  <si>
    <t>Tứ Kỳ, Hải Dương - Hà Nam</t>
  </si>
  <si>
    <t>Tiên Du, Bắc Ninh - Hà Nam</t>
  </si>
  <si>
    <t>Liên Phương, TP. Hưng Yên</t>
  </si>
  <si>
    <t>KCN Tiên Sơn, Bắc Ninh</t>
  </si>
  <si>
    <t>Đức Giang, Long Biên, Hà Nội</t>
  </si>
  <si>
    <t xml:space="preserve">Gia Lâm, Hà Nội </t>
  </si>
  <si>
    <t>Dương Xá, Gia Lâm, Hà Nội</t>
  </si>
  <si>
    <t>KCN Phú Nghĩa, Chương Mỹ, Hà Nội</t>
  </si>
  <si>
    <t>KCN Quang Minh - Thăng Long, Hà Nội</t>
  </si>
  <si>
    <t>Phú Xuyên, Hà Nội - Hà Nam</t>
  </si>
  <si>
    <t>Mua săm xe 15C-136.31</t>
  </si>
  <si>
    <t>Phí gửi xe tháng 10.2016</t>
  </si>
  <si>
    <t>Thay lốp xe (02 lốp lái Bridgestone)</t>
  </si>
  <si>
    <t>Trả hàng Vietsun sáng 01/11</t>
  </si>
  <si>
    <t>Trả hàng Vietsun sáng 02/11</t>
  </si>
  <si>
    <t>Trả hàng Vietsun sáng 03/11</t>
  </si>
  <si>
    <t>Trả hàng Vietsun sáng 04/11</t>
  </si>
  <si>
    <t>Đóng hàng KH sáng 05/11</t>
  </si>
  <si>
    <t>Đóng hàng chè sáng 07/11</t>
  </si>
  <si>
    <t>Đóng hàng chè sáng 08/11</t>
  </si>
  <si>
    <t>Trả hàng Vietsun sáng 09/11</t>
  </si>
  <si>
    <t>Đóng hàng kết hợp chiều 09/11</t>
  </si>
  <si>
    <t>Trả hàng Vietsun sáng 10/11</t>
  </si>
  <si>
    <t>Đóng hàng kết hợp sáng 11/11</t>
  </si>
  <si>
    <t>Trả hàng sáng 12/11</t>
  </si>
  <si>
    <t>Trả hàng NK sáng 13/11</t>
  </si>
  <si>
    <t>Đóng hàng Vietsun sáng 14/11</t>
  </si>
  <si>
    <t>Trả hàng sáng 15/11</t>
  </si>
  <si>
    <t>Đóng hàng chè sáng 16/11</t>
  </si>
  <si>
    <t>Trả hàng Vietsun sáng 18/11</t>
  </si>
  <si>
    <t>Trả hàng sáng 22/11</t>
  </si>
  <si>
    <t>Vận chuyển ván khuôn 19-20/11</t>
  </si>
  <si>
    <t>Trả hàng sáng 21/11</t>
  </si>
  <si>
    <t>Trả hàng sáng 23/11</t>
  </si>
  <si>
    <t>Đóng hàng chè sáng 24/11</t>
  </si>
  <si>
    <t>Trả hàng Vietsun sáng 25/11</t>
  </si>
  <si>
    <t>Đóng hàng kết hợp chiều 25/11</t>
  </si>
  <si>
    <t>Trả hàng Vietsun sáng 26/11</t>
  </si>
  <si>
    <t>Trả hàng sáng 27/11</t>
  </si>
  <si>
    <t>Trả hàng sáng 28/11</t>
  </si>
  <si>
    <t>Trả hàng Vietsun sáng 29/11</t>
  </si>
  <si>
    <t>Trả hàng Vietsun sáng 30/11</t>
  </si>
  <si>
    <t>Đóng hàng bột đá sáng 30/11</t>
  </si>
  <si>
    <t>DRYU9962899</t>
  </si>
  <si>
    <t>DRYU9878094</t>
  </si>
  <si>
    <t>DRYU9592650</t>
  </si>
  <si>
    <t>TCNU4785129</t>
  </si>
  <si>
    <t>PCIU8921043</t>
  </si>
  <si>
    <t>MSKU9601353</t>
  </si>
  <si>
    <t>DRYU9969466</t>
  </si>
  <si>
    <t>TCNU4785896</t>
  </si>
  <si>
    <t>WHLU5662145</t>
  </si>
  <si>
    <t>PCSU2119977</t>
  </si>
  <si>
    <t>HALU5506369</t>
  </si>
  <si>
    <t>DRYU4157475</t>
  </si>
  <si>
    <t>WHLU5770622</t>
  </si>
  <si>
    <t>DRYU9718100</t>
  </si>
  <si>
    <t>WHSU5085727</t>
  </si>
  <si>
    <t>CAXU9069399</t>
  </si>
  <si>
    <t>TEMU8152108</t>
  </si>
  <si>
    <t>TEMU6495704</t>
  </si>
  <si>
    <t>TCLU3191526</t>
  </si>
  <si>
    <t>DRYU9875881</t>
  </si>
  <si>
    <t>TCNU4595324</t>
  </si>
  <si>
    <t>OOLU9211866</t>
  </si>
  <si>
    <t>OOLU8953937</t>
  </si>
  <si>
    <t>DRYU2901850</t>
  </si>
  <si>
    <t>KCN Phố Nối A, Hưng Yên</t>
  </si>
  <si>
    <t>KCN Kiện Khê, Hà Nam</t>
  </si>
  <si>
    <t>Phúc Yên, Vĩnh Phúc</t>
  </si>
  <si>
    <t>Kiêu Kỵ, Gia Lâm, Hà Nội</t>
  </si>
  <si>
    <t>KCN VSIP Hải Phòng - VSIP Bắc Ninh</t>
  </si>
  <si>
    <t>Tề Lỗ, Yên Lạc, Vĩnh Phúc</t>
  </si>
  <si>
    <t>KCN Phong Khê, Bắc Ninh</t>
  </si>
  <si>
    <t>Hiệp Hòa, Bắc Giang</t>
  </si>
  <si>
    <t>Phí gửi xe tháng 11.2016</t>
  </si>
  <si>
    <t>Thanh toán phí giữ hộ tài liệu xe 15C-136.31cho ngân hàng sacombank ngày 11/11/2016</t>
  </si>
  <si>
    <t>Thanh toán phí cấp lưu hành xe 15C-136.31 cho ngân hàng sacombank ngày 11/11/2016</t>
  </si>
  <si>
    <t>Dầu rimula 15W40</t>
  </si>
  <si>
    <t>Thanh toán tiền lọc nhớt</t>
  </si>
  <si>
    <t>THÁNG 11.2016</t>
  </si>
  <si>
    <t>THÁNG 12.2016</t>
  </si>
  <si>
    <t>Trả hàng + đóng hàng KH 02/12</t>
  </si>
  <si>
    <t>Trả hàng sáng 03/12</t>
  </si>
  <si>
    <t>Trả hàng + đóng hàng KH 04/12</t>
  </si>
  <si>
    <t>Trả hàng NK sáng 05/12</t>
  </si>
  <si>
    <t>Trả hàng + đóng hàng KH 06/12</t>
  </si>
  <si>
    <t>Đóng hàng Vietsun chiều 07/12</t>
  </si>
  <si>
    <t>Trả hàng sáng 08/12</t>
  </si>
  <si>
    <t>Đóng hàng chè sáng 09/12</t>
  </si>
  <si>
    <t>Đóng hàng sáng 10/12</t>
  </si>
  <si>
    <t>Trả hàng Vietsun sáng 12/12</t>
  </si>
  <si>
    <t>Trả hàng NK chiều 13/12</t>
  </si>
  <si>
    <t>Đóng hàng XK chiều 13/12</t>
  </si>
  <si>
    <t>Trả hàng Vietsun sáng 14/12</t>
  </si>
  <si>
    <t>Đóng hàng kết hợp sáng 15/12</t>
  </si>
  <si>
    <t>Trả hàng Vietsun sáng 16/12</t>
  </si>
  <si>
    <t>Đóng hàng xỉ bọt sáng 18/12</t>
  </si>
  <si>
    <t>Đóng hàng chè sáng 19/12</t>
  </si>
  <si>
    <t>Đóng hàng chè sáng 20/12</t>
  </si>
  <si>
    <t>Trả hàng + đóng hàng KH 21/12</t>
  </si>
  <si>
    <t>Trả hàng + đóng hàng KH sáng 22/12</t>
  </si>
  <si>
    <t>Trả hàng + đóng hàng KH 23/12</t>
  </si>
  <si>
    <t>Trả hàng NK đêm 24/12</t>
  </si>
  <si>
    <t>Đóng hàng Vietsun sáng 26/12</t>
  </si>
  <si>
    <t>Đóng hàng chè sáng 27/12</t>
  </si>
  <si>
    <t>Trả hàng Vietsun sáng 28/12</t>
  </si>
  <si>
    <t>Trả hàng 29/12</t>
  </si>
  <si>
    <t>Đóng hàng KH bột đá sáng 29/12</t>
  </si>
  <si>
    <t>Trả hàng + đóng hàng KH 30/12</t>
  </si>
  <si>
    <t>Trả hàng sáng 31/12</t>
  </si>
  <si>
    <t>Đóng hàng KH sáng 31/12</t>
  </si>
  <si>
    <t>DRYU2901989</t>
  </si>
  <si>
    <t>WHLU5681464</t>
  </si>
  <si>
    <t>DRYU2923519</t>
  </si>
  <si>
    <t>OOLU9403621</t>
  </si>
  <si>
    <t>DRYU3093870</t>
  </si>
  <si>
    <t>DRYU9971360</t>
  </si>
  <si>
    <t>DRYU9323286</t>
  </si>
  <si>
    <t>SEGU4528377</t>
  </si>
  <si>
    <t>VSLU7028452</t>
  </si>
  <si>
    <t>TCNU4785854</t>
  </si>
  <si>
    <t>FCIU4956355</t>
  </si>
  <si>
    <t>WHLU0618427</t>
  </si>
  <si>
    <t>TCNU4785176</t>
  </si>
  <si>
    <t>DRYU9592217</t>
  </si>
  <si>
    <t>SITU9037034</t>
  </si>
  <si>
    <t>TCNU4920050</t>
  </si>
  <si>
    <t>FSCU8011090</t>
  </si>
  <si>
    <t>WFHU1358209</t>
  </si>
  <si>
    <t>GMDU2401480</t>
  </si>
  <si>
    <t>DRYU3094768</t>
  </si>
  <si>
    <t>TCLU8693342</t>
  </si>
  <si>
    <t>DRYU9877544</t>
  </si>
  <si>
    <t>TCNU5631241</t>
  </si>
  <si>
    <t>DRYU9169720</t>
  </si>
  <si>
    <t>RFCU2280159</t>
  </si>
  <si>
    <t>TRHU3295943</t>
  </si>
  <si>
    <t>DRYU2902244</t>
  </si>
  <si>
    <t>CMAU1879244</t>
  </si>
  <si>
    <t>DRYU2852098</t>
  </si>
  <si>
    <t>KCN Hà Bình Phương, HN - Hà Nam</t>
  </si>
  <si>
    <t>Kiêu Kỵ, Gia Lâm, Hà Nội - Hà Nam</t>
  </si>
  <si>
    <t>Thuận Thành, Bắc Ninh</t>
  </si>
  <si>
    <t>Cảng Hà Nội - Hà Nam</t>
  </si>
  <si>
    <t>Dương Xá, Gia Lâm, Hà Nội - Hà Nam</t>
  </si>
  <si>
    <t>KCN Phú Diễn, Từ Liêm, Hà Nội</t>
  </si>
  <si>
    <t>Phố Nối, Hưng Yên</t>
  </si>
  <si>
    <t>Xuân Mai, Chương Mỹ, Hà Nội</t>
  </si>
  <si>
    <t>cảng Hà Nội - Vĩnh Tường, Vĩnh Phúc</t>
  </si>
  <si>
    <t>Ứng Hòa, Hà Nội</t>
  </si>
  <si>
    <t>Phí gửi xe tháng 12.2016</t>
  </si>
  <si>
    <t>Thanh toán tiền xử phạt hành chính xe 15C-136.31 (bánh lốp k đạt tiêu chuẩn)</t>
  </si>
  <si>
    <t>Lấy phiếu xe (7 phiếu)</t>
  </si>
  <si>
    <t>Thanh toán tiền sứa xe 15C-136.31 (Dot 3)</t>
  </si>
  <si>
    <t>Thanh toán tiền sửa xe 15C-136.31 (bơm mỡ, đảo lốp mooc, thay phớt, thay chữ thập visai, căn chóp 
nón visai, bánh răng láp, bi quả rứa, bi moay ơ, dầu cầu, công thay phớt, công bảo dưỡng cầu, thay 
giảm sóc lái, ép bạc giảm sóc lái, công tháo lắp giảm sóc)</t>
  </si>
  <si>
    <t>Thay săm</t>
  </si>
  <si>
    <t>LN 2016</t>
  </si>
  <si>
    <t>THÁNG 01.2017</t>
  </si>
  <si>
    <t>Trả hàng Vietsun sáng 03/01</t>
  </si>
  <si>
    <t>DRYU9171012</t>
  </si>
  <si>
    <t>Trả hàng Vietsun sáng 04/01</t>
  </si>
  <si>
    <t>TRHU3295579</t>
  </si>
  <si>
    <t>KCN Nam Sách, Hải Dương</t>
  </si>
  <si>
    <t>Đóng hàng tinh bột chiều 04/01</t>
  </si>
  <si>
    <t>KCN Thụy Vân, Việt Trì</t>
  </si>
  <si>
    <t>Trả hàng Vietsun sáng 05/01</t>
  </si>
  <si>
    <t>DRYU9718901</t>
  </si>
  <si>
    <t>Trả hàng Vietsun sáng 06/01</t>
  </si>
  <si>
    <t>DRYU9592520</t>
  </si>
  <si>
    <t>Trả hàng + đóng hàng KH 07/01</t>
  </si>
  <si>
    <t>DRYU2853582</t>
  </si>
  <si>
    <t>Trả hàng + đóng hàng KH 09/01</t>
  </si>
  <si>
    <t>GMTU1045004</t>
  </si>
  <si>
    <t>Trả hàng Vietsun sáng 10/01</t>
  </si>
  <si>
    <t>WFHU5153439</t>
  </si>
  <si>
    <t>Trả hàng + đóng hàng KH 11/01</t>
  </si>
  <si>
    <t>VSLU1040208</t>
  </si>
  <si>
    <t>Trả hàng Vietsun sáng 12/01</t>
  </si>
  <si>
    <t>DRYU9589548</t>
  </si>
  <si>
    <t>KCN Cái Lân, Quảng Ninh</t>
  </si>
  <si>
    <t>Trả hàng Vietsun sáng 13/01</t>
  </si>
  <si>
    <t>TCNU4785582</t>
  </si>
  <si>
    <t>Trả hàng sáng 14/01</t>
  </si>
  <si>
    <t>VSLU4497230</t>
  </si>
  <si>
    <t>Thanh Liệt, Thanh Trì, Hà Nội</t>
  </si>
  <si>
    <t>Đóng hàng tinh bột chiều 14/01</t>
  </si>
  <si>
    <t>Trả hàng sáng 15/01</t>
  </si>
  <si>
    <t>VSLU7027815</t>
  </si>
  <si>
    <t>Kim Thành, Phú Thái, Hải Dương</t>
  </si>
  <si>
    <t>Trả hàng + đóng hàng KH 16/01</t>
  </si>
  <si>
    <t>VSLU4499314</t>
  </si>
  <si>
    <t>Đóng hàng chè sáng 17/01</t>
  </si>
  <si>
    <t>PCIU8973010</t>
  </si>
  <si>
    <t>Trả hàng + đóng hàng KH 18/01</t>
  </si>
  <si>
    <t>WFHU1352860</t>
  </si>
  <si>
    <t>Văn Giang, Hưng Yên - Hà Nam</t>
  </si>
  <si>
    <t>DRYU9907119</t>
  </si>
  <si>
    <t>KCN Ngọc Hồi, Hà Nội</t>
  </si>
  <si>
    <t>Trả hàng  sáng 20/01</t>
  </si>
  <si>
    <t>TWCU8040207</t>
  </si>
  <si>
    <t>KCN Đình Trám, Bắc Giang</t>
  </si>
  <si>
    <t>Trả hàng  sáng 21/01</t>
  </si>
  <si>
    <t>FSCU8508717</t>
  </si>
  <si>
    <t>Trả hàng + đóng hàng KH 23/01</t>
  </si>
  <si>
    <t>DRYU3095018</t>
  </si>
  <si>
    <t>Thọ Xuân, Thanh Hóa - Hà Nam</t>
  </si>
  <si>
    <t>Đóng hàng XK sáng 24/01</t>
  </si>
  <si>
    <t>APZU3718602</t>
  </si>
  <si>
    <t>Lấy phiếu xe (4 phiếu)</t>
  </si>
  <si>
    <t>Rửa xe</t>
  </si>
  <si>
    <t>Thanh toán tiền sửa xe 15C-136.31 (đèn hậu led mooc, đèn sườn mooc, còi hơi 2 loa, chuyển còi điện-còi hơi, công thợ, hàn cáp mét mooc)</t>
  </si>
  <si>
    <t>Thanh toán tiền sửa xe 15C-136.31 (thay bạc chân cabin+công thợ, gia cố chắn bùn)</t>
  </si>
  <si>
    <t>Phí gửi xe tháng 01.2017</t>
  </si>
  <si>
    <t>Chi thưởng tết âm lịch</t>
  </si>
  <si>
    <t>Trả hàng NK chiều 02/02</t>
  </si>
  <si>
    <t>Trả hàng Vietsun sáng 03/02</t>
  </si>
  <si>
    <t>Trả hàng + đóng hàng KH 04/02</t>
  </si>
  <si>
    <t>Đóng hàng xỉ bọt sáng 06/02</t>
  </si>
  <si>
    <t>Trả hàng Vietsun sáng 07/02</t>
  </si>
  <si>
    <t>Đóng hàng chè sáng 08/02</t>
  </si>
  <si>
    <t>Trả hàng + đóng hàng KH 13/02</t>
  </si>
  <si>
    <t>Trả hàng + đóng hàng KH 14/02</t>
  </si>
  <si>
    <t>Trả hàng + đóng hàng KH 15/02</t>
  </si>
  <si>
    <t>Trả hàng + đóng hàng KH 16/02</t>
  </si>
  <si>
    <t>Đóng hàng Vietsun sáng 17/02</t>
  </si>
  <si>
    <t>Trả hàng + đóng hàng KH 20/02</t>
  </si>
  <si>
    <t>Trả hàng + đóng hàng KH sáng 21/02</t>
  </si>
  <si>
    <t>Trả hàng + đóng hàng KH 22/02</t>
  </si>
  <si>
    <t>Trả hàng NK sáng 23/02</t>
  </si>
  <si>
    <t>Đóng hàng XK sáng 24/02</t>
  </si>
  <si>
    <t>Trả hàng + đóng bột đá KH 25/02</t>
  </si>
  <si>
    <t>Trả hàng + đóng bột đá KH 27/02</t>
  </si>
  <si>
    <t>Đóng hàng chè sáng 28/02</t>
  </si>
  <si>
    <t>ZCSU2560977</t>
  </si>
  <si>
    <t>DRYU9589553</t>
  </si>
  <si>
    <t>WFHU1365466</t>
  </si>
  <si>
    <t>TEMU6324764</t>
  </si>
  <si>
    <t>DRYU9592583</t>
  </si>
  <si>
    <t>EITU1568494</t>
  </si>
  <si>
    <t>DRYU2852040</t>
  </si>
  <si>
    <t>VSLU3042730</t>
  </si>
  <si>
    <t>WFHU1356079</t>
  </si>
  <si>
    <t>GMDU2151781</t>
  </si>
  <si>
    <t>DRYU9961830</t>
  </si>
  <si>
    <t>DRYU2901823</t>
  </si>
  <si>
    <t>TRHU3295500</t>
  </si>
  <si>
    <t>DRYU3095846</t>
  </si>
  <si>
    <t>CAIU9559917</t>
  </si>
  <si>
    <t>EITU1009670</t>
  </si>
  <si>
    <t>WFHU1364773</t>
  </si>
  <si>
    <t>DRYU2924325</t>
  </si>
  <si>
    <t>MSKU9957724</t>
  </si>
  <si>
    <t>KCN Phú Thị, Gia Lâm, Hà Nội</t>
  </si>
  <si>
    <t>An Khánh, Hoài Đức, Hà Nội - Hà Nam</t>
  </si>
  <si>
    <t>Phủ Lý, Hà Nam - Hà Nam</t>
  </si>
  <si>
    <t>KCN Tân Quang, Hưng Yên - Hà Nam</t>
  </si>
  <si>
    <t>KCN Đồng Văn, Hà Nam - Hà Nam</t>
  </si>
  <si>
    <t>Yên Nghĩa, Hà Đông, Hà Nội</t>
  </si>
  <si>
    <t>Phố Nối A, Hưng Yên - Hà Nam</t>
  </si>
  <si>
    <t>Thanh toán tiền sửa xe 15C-136.31 (phục hồi tăng áp, két gió, công thợ)</t>
  </si>
  <si>
    <t>Sửa xe (bảo dưỡng moay ơ mooc, bơm mỡ đầu kéo+mooc, thay phớt moay ơ mooc, thay bạc+ăc tay giằng, thay ốc tay giằng, mỡ moay ơ, đảo lốp, thay tay san tích, thay bát phanh, quang lôc kê, thay má phanh)</t>
  </si>
  <si>
    <t>Phí gửi xe tháng 02.2017</t>
  </si>
  <si>
    <t>THÁNG 02.2017</t>
  </si>
  <si>
    <t>THÁNG 03.2017</t>
  </si>
  <si>
    <t>Trả hàng Vietsun sáng 01/03</t>
  </si>
  <si>
    <t>Trả hàng + đóng bột đá 02/03</t>
  </si>
  <si>
    <t>Trả hàng + đóng bột đá 03/03</t>
  </si>
  <si>
    <t>Trả hàng + đóng hàng KH 04/03</t>
  </si>
  <si>
    <t>Trả hàng + đóng hàng KH 06/03</t>
  </si>
  <si>
    <t>Trả hàng Vietsun sáng 08/03</t>
  </si>
  <si>
    <t>Trả hàng + đóng hàng KH 10/03</t>
  </si>
  <si>
    <t>Trả hàng  sáng 11/03</t>
  </si>
  <si>
    <t>Trả hàng + đóng hàng KH 13/03</t>
  </si>
  <si>
    <t>Trả hàng + đóng hàng KH 14/03</t>
  </si>
  <si>
    <t>Đóng hàng XK chiều 15/03</t>
  </si>
  <si>
    <t>Trả hàng NK sáng 16/03</t>
  </si>
  <si>
    <t>Trả hàng NK sáng 17/03</t>
  </si>
  <si>
    <t>Đóng hàng sáng 18/03</t>
  </si>
  <si>
    <t>Trả hàng + đóng hàng KH 20/03</t>
  </si>
  <si>
    <t>Trả hàng + đóng hàng KH 22/03</t>
  </si>
  <si>
    <t>Trả hàng + đóng hàng KH 23/03</t>
  </si>
  <si>
    <t>Trả hàng Vietsun sáng 24/03</t>
  </si>
  <si>
    <t>Vận chuyển hàng sáng 25/03</t>
  </si>
  <si>
    <t>Trả hàng + đóng hàng KH 27/03</t>
  </si>
  <si>
    <t>Trả hàng NK sáng 28/03</t>
  </si>
  <si>
    <t>Trả hàng Vietsun sáng 29/03</t>
  </si>
  <si>
    <t>Đóng hàng chè sáng 30/03</t>
  </si>
  <si>
    <t>Trả hàng Vietsun sáng 31/03</t>
  </si>
  <si>
    <t>DRYU9875813</t>
  </si>
  <si>
    <t>DRYU2853710</t>
  </si>
  <si>
    <t>TRHU1342434</t>
  </si>
  <si>
    <t>DRYU2924006</t>
  </si>
  <si>
    <t>DRYU3022644</t>
  </si>
  <si>
    <t>VSLU4495577</t>
  </si>
  <si>
    <t>DRYU9968388</t>
  </si>
  <si>
    <t>DRYU3093416</t>
  </si>
  <si>
    <t>CAIU4013327</t>
  </si>
  <si>
    <t>DRYU3089503</t>
  </si>
  <si>
    <t>GMDU2142218</t>
  </si>
  <si>
    <t>WHLU0524647</t>
  </si>
  <si>
    <t>SEGU4684390</t>
  </si>
  <si>
    <t>SITU2852235</t>
  </si>
  <si>
    <t>TCLU1655968</t>
  </si>
  <si>
    <t>WFHU1352330</t>
  </si>
  <si>
    <t>VSLU4488768</t>
  </si>
  <si>
    <t>GMDU2153784</t>
  </si>
  <si>
    <t>GMDU2151396</t>
  </si>
  <si>
    <t>DRYU9875984</t>
  </si>
  <si>
    <t>FSCU9738118</t>
  </si>
  <si>
    <t>DRYU3093247</t>
  </si>
  <si>
    <t>SEGU5184363</t>
  </si>
  <si>
    <t>DRYU9962029</t>
  </si>
  <si>
    <t>WHLU4314973</t>
  </si>
  <si>
    <t>TCNU4595520</t>
  </si>
  <si>
    <t>Hà Khẩu, Hạ Long, Quang Ninh</t>
  </si>
  <si>
    <t>Khu đô thị Quốc Oai, Hà Nội - Hà Nam</t>
  </si>
  <si>
    <t>Văn Giang + Yên Mỹ, Hưng Yên - Hà Nam</t>
  </si>
  <si>
    <t>Kiện Khê, Hà Nam</t>
  </si>
  <si>
    <t>Phố Nối A, Hưng Yên</t>
  </si>
  <si>
    <t>Đồng Văn, Hà Nam - Hà Nam</t>
  </si>
  <si>
    <t>Bình Xuyên, Vĩnh Phúc</t>
  </si>
  <si>
    <t>KCN Phố Nối A, Hưng Yên - Hà Nam</t>
  </si>
  <si>
    <t>KCN Nội Bài, Hà Nội - Hà Nam</t>
  </si>
  <si>
    <t>Yên Nghĩa, Hà Đông - Hà Nam</t>
  </si>
  <si>
    <t>KCN Hải Hà, Móng Cái - Yên Phong, BN</t>
  </si>
  <si>
    <t>cảng Hà Nội - Hà Nam</t>
  </si>
  <si>
    <t>KCN Quất Động, Thường Tín, Hà Nội</t>
  </si>
  <si>
    <t>Phí gửi xe tháng 03.2017</t>
  </si>
  <si>
    <t>Thanh toán tiền sửa xe 15C-136.31 (thay săm)</t>
  </si>
  <si>
    <t>Thanh toán tiền sửa xe 15C-136.31 ngày 12/3 (thay mới bình hơi, hàn chế cút+thay mới đai bắt bình hơi, công thợ)</t>
  </si>
  <si>
    <t xml:space="preserve">Thanh toán tiền xử phạt hành chính xe 15C-136.31 ngày 27/3 (vi phạm lốp) </t>
  </si>
  <si>
    <t>Thanh toán tiền mua lốp+săm xe 15C-136.31 ngày 15/3</t>
  </si>
  <si>
    <t>Thanh toán tiền sửa xe 15C-136.31 ngày 17/03 (làm bộ chia hơi bóng, thay 01 bộ dắc co)</t>
  </si>
  <si>
    <t>THÁNG 04.2017</t>
  </si>
  <si>
    <t>Trả hàng + đóng hàng KH 03/04</t>
  </si>
  <si>
    <t>Trả hàng + đóng hàng KH 05/04</t>
  </si>
  <si>
    <t>Đóng hàng chè sáng 07/04</t>
  </si>
  <si>
    <t>Trả hàng NK sáng 08/04</t>
  </si>
  <si>
    <t>Trả hàng + đóng hàng KH 10/04</t>
  </si>
  <si>
    <t>Trả hàng + đóng hàng KH 11/04</t>
  </si>
  <si>
    <t>Trả hàng + đóng hàng KH 12/04</t>
  </si>
  <si>
    <t>Trả hàng NK sáng 13/04</t>
  </si>
  <si>
    <t>Trả hàng Vietsun sáng 14/04</t>
  </si>
  <si>
    <t>Đóng hàng sáng 15/04</t>
  </si>
  <si>
    <t>Đóng hàng chè sáng 18/04</t>
  </si>
  <si>
    <t>Trả hàng + đóng hàng KH 19/04</t>
  </si>
  <si>
    <t>Trả hàng + đóng hàng KH 22/04</t>
  </si>
  <si>
    <t>Đóng hàng chè sáng 24/04</t>
  </si>
  <si>
    <t>Trả hàng Vietsun sáng 26/04</t>
  </si>
  <si>
    <t>Trả hàng Vietsun sáng 27/04</t>
  </si>
  <si>
    <t>Đóng hàng KH Vietsun chiều 27/04</t>
  </si>
  <si>
    <t>Trả hàng + đóng hàng KH 28/04</t>
  </si>
  <si>
    <t>Trả hàng + đóng hàng KH 29/04</t>
  </si>
  <si>
    <t>EMCU3926899</t>
  </si>
  <si>
    <t>TCLU3174426</t>
  </si>
  <si>
    <t>DRYU9591951</t>
  </si>
  <si>
    <t>YMLU8981257</t>
  </si>
  <si>
    <t>DFSU1573588</t>
  </si>
  <si>
    <t>WFHU1354409</t>
  </si>
  <si>
    <t>DRYU2923036</t>
  </si>
  <si>
    <t>GMDU2142809</t>
  </si>
  <si>
    <t>ZCSU8421686</t>
  </si>
  <si>
    <t>GMDU8140608</t>
  </si>
  <si>
    <t>EMCU9852387</t>
  </si>
  <si>
    <t>FSCU8269850</t>
  </si>
  <si>
    <t>MSCU2961322</t>
  </si>
  <si>
    <t>EITU1611672</t>
  </si>
  <si>
    <t>DRYU3094290</t>
  </si>
  <si>
    <t>TCLU9639618</t>
  </si>
  <si>
    <t>DRYU4242225</t>
  </si>
  <si>
    <t>DRYU9962034</t>
  </si>
  <si>
    <t>DRYU9970024</t>
  </si>
  <si>
    <t>DRYU9961850</t>
  </si>
  <si>
    <t xml:space="preserve">Mỹ Hào, Hưng Yên </t>
  </si>
  <si>
    <t>KCN Hòa Xá, TP. Nam Định</t>
  </si>
  <si>
    <t>Văn Giang, HY + Châu Sơn, HN - Hà Nam</t>
  </si>
  <si>
    <t>Phú Xuyên, Hà Nội</t>
  </si>
  <si>
    <t>Quất Động, Thường Tín, Hà Nội</t>
  </si>
  <si>
    <t>Yên Phong, Bắc Ninh</t>
  </si>
  <si>
    <t>Thanh Liêm, Hà Nam - Hà Nam</t>
  </si>
  <si>
    <t>Định Yên, Yên Định, Thanh Hóa  - Hà Nam</t>
  </si>
  <si>
    <t>Duyên Thái, Thường Tín, Hà Nội</t>
  </si>
  <si>
    <t>KCN Hà Bình Phương, Hà Nội</t>
  </si>
  <si>
    <t xml:space="preserve">Ngọc Hồi, Thanh Trì, Hà Nội </t>
  </si>
  <si>
    <t>Thanh toán tiền mua 02 bóng 9005 xe 15C-136.31</t>
  </si>
  <si>
    <t>Thanh toán tiền lọc nhớt xe 15C-136.31</t>
  </si>
  <si>
    <t>Thanh toán tiền bảo hiểm xe 15C-136.31</t>
  </si>
  <si>
    <t>Thanh toán phí sử dụng đường bộ xe 15C-136.31</t>
  </si>
  <si>
    <t>Thanh toán phí kiểm định xe 15C-136.31</t>
  </si>
  <si>
    <t>Thanh toán phí dịch vụ đăng kiểm xe 15C-136.31</t>
  </si>
  <si>
    <t>Thanh toán tiền mua 02 đèn pha cho xe 15C-136.31</t>
  </si>
  <si>
    <t>Bơm mỡ xe 15C-136.31 ngày 9/4</t>
  </si>
  <si>
    <t>Phí gửi xe tháng 04.2017</t>
  </si>
  <si>
    <t>Lương lái xe + thưởng</t>
  </si>
  <si>
    <t>DRYU2853319</t>
  </si>
  <si>
    <t>GMDU2140961</t>
  </si>
  <si>
    <t>Thanh toan tiền mua 04 lốp xe 15C-136.31</t>
  </si>
  <si>
    <t>LK=</t>
  </si>
  <si>
    <t>THÁNG 05.2017</t>
  </si>
  <si>
    <t>Trả hàng + đóng hàng KH 04/05</t>
  </si>
  <si>
    <t>Trả hàng + đóng hàng KH 05/05</t>
  </si>
  <si>
    <t>Trả hàng NK tối 13/05</t>
  </si>
  <si>
    <t>Trả hàng + đóng hàng KH 16/05</t>
  </si>
  <si>
    <t>Trả hàng NK sáng 20/05</t>
  </si>
  <si>
    <t>Đóng hàng chè sáng 21/05</t>
  </si>
  <si>
    <t>Đóng hàng chè sáng 30/05</t>
  </si>
  <si>
    <t>NM giấy An Hòa, Sơn Dương, TQ</t>
  </si>
  <si>
    <t>Kim Thành, Hải Dương</t>
  </si>
  <si>
    <t>Trả hàng + đóng hàng KH 03/05</t>
  </si>
  <si>
    <t>Trả hàng + đóng hàng KH 06/05</t>
  </si>
  <si>
    <t>Trả hàng NK đêm 08/05</t>
  </si>
  <si>
    <t>Trả hàng NK chiều 09/05</t>
  </si>
  <si>
    <t>Trả hàng Vietsun sáng 10/05</t>
  </si>
  <si>
    <t>Đóng hàng KH chiều 10/05</t>
  </si>
  <si>
    <t>Trả hàng Vietsun sáng 12/05</t>
  </si>
  <si>
    <t>Đóng hàng KH chiều 12/05</t>
  </si>
  <si>
    <t>Trả hàng Vietsun sáng 15/05</t>
  </si>
  <si>
    <t>Trả hàng + đóng hàng KH 17/05</t>
  </si>
  <si>
    <t>Đóng hàng chè sáng 23/05</t>
  </si>
  <si>
    <t>Trả hàng Vietsun 25/05</t>
  </si>
  <si>
    <t>Đóng hàng KH chiều 25/05</t>
  </si>
  <si>
    <t>Đóng hàng chè sáng 26/05</t>
  </si>
  <si>
    <t>Trả hàng Vietsun sáng 27/05</t>
  </si>
  <si>
    <t>Trả hàng + đóng hàng KH 31/05</t>
  </si>
  <si>
    <t>GMDU2153357</t>
  </si>
  <si>
    <t>DRYU3023661</t>
  </si>
  <si>
    <t>VSLU1047270</t>
  </si>
  <si>
    <t>GMDU2419196</t>
  </si>
  <si>
    <t>TEMU7000224</t>
  </si>
  <si>
    <t>ZCSU8600167</t>
  </si>
  <si>
    <t>DRYU9592393</t>
  </si>
  <si>
    <t>DRYU9970066</t>
  </si>
  <si>
    <t>BMOU9233031</t>
  </si>
  <si>
    <t>TCNU4595495</t>
  </si>
  <si>
    <t>DRYU3090211</t>
  </si>
  <si>
    <t>VSLU1043193</t>
  </si>
  <si>
    <t>DRYU2849089</t>
  </si>
  <si>
    <t>WHLU7737238</t>
  </si>
  <si>
    <t>OOLU9885380</t>
  </si>
  <si>
    <t>CMAU7031522</t>
  </si>
  <si>
    <t>TCNU4785880</t>
  </si>
  <si>
    <t>TCNU5887927</t>
  </si>
  <si>
    <t>DRYU9367772</t>
  </si>
  <si>
    <t>TCLU9873040</t>
  </si>
  <si>
    <t>GMDU2141968</t>
  </si>
  <si>
    <t>Chương Mỹ, Hà Nội - Hà Nam</t>
  </si>
  <si>
    <t>Phú Thị, Hà Nội - Hà Nam</t>
  </si>
  <si>
    <t>Phú Thụy, Gia Lâm, Hà Nội - Hà Nam</t>
  </si>
  <si>
    <t>Hàm Nghi, Hà Nội</t>
  </si>
  <si>
    <t>Như Quỳnh, Hưng Yên</t>
  </si>
  <si>
    <t>Triệu Sơn, Thanh Hóa - Hà Nam</t>
  </si>
  <si>
    <t>Gia Thụy, Hà Nội - Hà Nam</t>
  </si>
  <si>
    <t>Mỹ Đình, Hà Nội - Hà Nam</t>
  </si>
  <si>
    <t>Phố Xổm, Hà Đông - Hà Nam</t>
  </si>
  <si>
    <t>KCN Duyên Thái, Thường Tín, Hà Nội</t>
  </si>
  <si>
    <t>NM Giấy Bãi Bằng, Phù Ninh, Phú Thọ</t>
  </si>
  <si>
    <t xml:space="preserve">Lương lái xe </t>
  </si>
  <si>
    <t>Phí gửi xe tháng 05.2017</t>
  </si>
  <si>
    <t>Thanh toán tiền định vị bách khoa</t>
  </si>
  <si>
    <t>Thanh toán tiền sửa xe 15C-136.31 (1 mô tơ bơm nước, 2 chổi gạt mưa, công làm ổ sạc)</t>
  </si>
  <si>
    <t>Trả Mạnh 2 vé đi sửa xe 15C-136.31</t>
  </si>
  <si>
    <t>Thanh toán tiền sửa xe 15C-136.31 (man nước, cân bằng áp suất, 2 vòng bi con lăn, công thợ)</t>
  </si>
  <si>
    <t>Thanh toán tiền sửa xe 15C-136.31 (Thông hàn két gió, vỏ lọc ly tâm, công thợ)</t>
  </si>
  <si>
    <t>Thanh toán phí cấp lưu hành xe 15C-136.31 cho Sacombank</t>
  </si>
  <si>
    <t>Sửa xe 15C-136.31 (thay ống nước, bọc ghế lái)</t>
  </si>
  <si>
    <t>Anh Phụng thanh toán tiền mua lốp xe 15C-136.31, lx chịu 50%</t>
  </si>
  <si>
    <t>Thay 02 săm 11.00-20</t>
  </si>
  <si>
    <t>THÁNG 06.2017</t>
  </si>
  <si>
    <t>Trả hàng + đóng hàng KH 01/06</t>
  </si>
  <si>
    <t>Trả hàng + đóng hàng KH 02/06</t>
  </si>
  <si>
    <t>Trả hàng Vietsun sáng 07/06</t>
  </si>
  <si>
    <t>Đóng hàng chè sáng 08/06</t>
  </si>
  <si>
    <t>Trả hàng NK sáng 09/06</t>
  </si>
  <si>
    <t>Trả hàng + đóng hàng KH 12/06</t>
  </si>
  <si>
    <t>Trả hàng NK sáng 13/06</t>
  </si>
  <si>
    <t>Trả hàng NK sáng 15/06</t>
  </si>
  <si>
    <t>Trả hàng + đóng hàng KH 19/06</t>
  </si>
  <si>
    <t>Trả hàng Vietsun sáng 20/06</t>
  </si>
  <si>
    <t>Trả hàng Vietsun sáng 21/06</t>
  </si>
  <si>
    <t>Trả hàng + đóng hàng KH 22/06</t>
  </si>
  <si>
    <t>Trả hàng NK sáng 23/06</t>
  </si>
  <si>
    <t>Trả hàng NK sáng 24/06</t>
  </si>
  <si>
    <t>Đóng hàng xỉ bọt sáng 26/06</t>
  </si>
  <si>
    <t>Trả hàng + đóng hàng KH 27/06</t>
  </si>
  <si>
    <t>Trả hàng NK sáng 28/06</t>
  </si>
  <si>
    <t>Trả hàng + đóng hàng KH 30/06</t>
  </si>
  <si>
    <t>DRYU3093360</t>
  </si>
  <si>
    <t>WFHU1357840</t>
  </si>
  <si>
    <t>WFHU5153737</t>
  </si>
  <si>
    <t>WHLU0419430</t>
  </si>
  <si>
    <t>TEMU4330140</t>
  </si>
  <si>
    <t>DRYU3012353</t>
  </si>
  <si>
    <t>DRYU2901607</t>
  </si>
  <si>
    <t>MRKU0060699</t>
  </si>
  <si>
    <t>VSLU4494734</t>
  </si>
  <si>
    <t>DFSU7330836</t>
  </si>
  <si>
    <t>DRYU2852816</t>
  </si>
  <si>
    <t>DRYU2852734</t>
  </si>
  <si>
    <t>DRYU9592916</t>
  </si>
  <si>
    <t>TCNU4785197</t>
  </si>
  <si>
    <t>VSLU4498051</t>
  </si>
  <si>
    <t>TTNU4098892</t>
  </si>
  <si>
    <t>TEMU6712353</t>
  </si>
  <si>
    <t>SEGU4339898</t>
  </si>
  <si>
    <t>DRYU2902440</t>
  </si>
  <si>
    <t>TCNU9535164</t>
  </si>
  <si>
    <t>TRHU3295136</t>
  </si>
  <si>
    <t>DRYU3094752</t>
  </si>
  <si>
    <t>KCN Đại Đồng , Bắc Ninh - Hà Nam</t>
  </si>
  <si>
    <t>Tân Lập, Mộc Châu, Sơn La</t>
  </si>
  <si>
    <t>Nguyễn Văn Linh, Gia Thụy, Hà Nội</t>
  </si>
  <si>
    <t>KCN VSIP, Từ Sơn, Bắc Ninh</t>
  </si>
  <si>
    <t>Trung Giã, Sóc Sơn, Hà Nội</t>
  </si>
  <si>
    <t>Đông Thọ, Thanh Hóa - Hà Nam</t>
  </si>
  <si>
    <t>KCN Đình Bảng, Bắc Ninh</t>
  </si>
  <si>
    <t>Văn Điển , Hà Nội - Hà Nam</t>
  </si>
  <si>
    <t>KCN Nam Sách, Hải Dương - Phả Lại</t>
  </si>
  <si>
    <t xml:space="preserve">Thanh toán tiền sửa xe 15C-136.31 (phớt đầu trục cơ, phớt ly tâm cánh quạt, công thợ, vòng bi tăng curoa) </t>
  </si>
  <si>
    <t>Thanh toán tiền sửa xe 15C-136.31 (bảo dưỡng máy phát)</t>
  </si>
  <si>
    <t>Thanh toán tiền sửa điều hòa xe 15C-136.31 (thay vỏ quạt gió, thay bi)</t>
  </si>
  <si>
    <t>Thanh toán tiền sửa xe 15C-136.31 ngày 18/06 (thay 01 săm, vá lốp)</t>
  </si>
  <si>
    <t>Công chứng giấy đăng kiểm xe 15C-136.31</t>
  </si>
  <si>
    <t>LK =</t>
  </si>
  <si>
    <t>THÁNG 07.2017</t>
  </si>
  <si>
    <t>Đóng hàng than hoạt tính sáng 05/07</t>
  </si>
  <si>
    <t>Trả hàng NK sáng 06/07</t>
  </si>
  <si>
    <t>Trả hàng sáng 07/07</t>
  </si>
  <si>
    <t>Trả hàng NK sáng 07/07</t>
  </si>
  <si>
    <t>Trả hàng NK sáng 09/07</t>
  </si>
  <si>
    <t>Trả hàng + đóng hàng KH sáng 10/07</t>
  </si>
  <si>
    <t>Đóng hàng chè sáng 12/07</t>
  </si>
  <si>
    <t>Trả hàng sáng 13/07</t>
  </si>
  <si>
    <t>Đóng hàng chè chiều 15/07</t>
  </si>
  <si>
    <t>Đóng hàng chè sáng 16/07</t>
  </si>
  <si>
    <t>Đóng hàng chè sáng 18/07</t>
  </si>
  <si>
    <t>Đóng hàng chè sáng 20/07</t>
  </si>
  <si>
    <t>Đóng hàng phân sáng 21/07</t>
  </si>
  <si>
    <t>Đóng hàng phân sáng 22/07</t>
  </si>
  <si>
    <t>Đóng hàng phân sáng 23/07</t>
  </si>
  <si>
    <t>Đóng hàng chè sáng 24/07</t>
  </si>
  <si>
    <t>Đóng hàng phân sáng 25/07</t>
  </si>
  <si>
    <t>Đóng hàng phân sáng 26/07</t>
  </si>
  <si>
    <t>Trả hàng NK sáng 27/07</t>
  </si>
  <si>
    <t>Trả hàng + đóng hàng KH 29/07</t>
  </si>
  <si>
    <t>Trả hàng + đóng hàng KH 31/07</t>
  </si>
  <si>
    <t>GATU8362094</t>
  </si>
  <si>
    <t>CAIU9018471</t>
  </si>
  <si>
    <t>MEDU4014197</t>
  </si>
  <si>
    <t>BEAU2893867</t>
  </si>
  <si>
    <t>OOLU9470614</t>
  </si>
  <si>
    <t>DRYU2852159</t>
  </si>
  <si>
    <t>WHSU5056903</t>
  </si>
  <si>
    <t>SEGU1554182</t>
  </si>
  <si>
    <t>DRYU9205719</t>
  </si>
  <si>
    <t>BMOU4144820</t>
  </si>
  <si>
    <t>OOLU9888564</t>
  </si>
  <si>
    <t>TCLU1569387</t>
  </si>
  <si>
    <t>TEMU7286210</t>
  </si>
  <si>
    <t>EISU3974890</t>
  </si>
  <si>
    <t>DRYU2972318</t>
  </si>
  <si>
    <t>DRYU2775751</t>
  </si>
  <si>
    <t>BSIU9300182</t>
  </si>
  <si>
    <t>EGSU3016959</t>
  </si>
  <si>
    <t>FCIU4463852</t>
  </si>
  <si>
    <t>DRYU9016823</t>
  </si>
  <si>
    <t>DRYU2848539</t>
  </si>
  <si>
    <t>DRYU2901700</t>
  </si>
  <si>
    <t>Cụm CN Phú Thị, Gia Lâm, Hà Nội</t>
  </si>
  <si>
    <t>KCN Vân Trung, Bắc Giang</t>
  </si>
  <si>
    <t>KCN Gia Lách, Hà Tĩnh</t>
  </si>
  <si>
    <t xml:space="preserve">Phí gửi xe </t>
  </si>
  <si>
    <t>Ép plastic phù hiệu xe</t>
  </si>
  <si>
    <t>Thanh toán tiền lốp xe 15C-136.31</t>
  </si>
  <si>
    <t>Thanh toán tiền đổi phù hiệu</t>
  </si>
  <si>
    <t>Lọc dầu xe 15C-136.31</t>
  </si>
  <si>
    <t>Thanh toán tiền sửa xe 15C-136.31 (thay bóng cabin)</t>
  </si>
  <si>
    <t>Thanh toán tiền sửa xe 15C-136.31 (thay 2 quả bóng cabin ngày 28/7)</t>
  </si>
  <si>
    <t xml:space="preserve">Công chứng vay tiền hạn mức xe 15C-136.31 </t>
  </si>
  <si>
    <t>Thanh toán tiền sửa xe 15C-136.31 (phớt moay ơ, bi moay ơ, dầu moay ơ, tán má phanh, lò xo phanh, công tháo..)</t>
  </si>
  <si>
    <t>Thanh toán tiền sửa xe 15C-136.31 (công tháo lắp 2 lọc diezen, mắc phóc) ngày 11/7</t>
  </si>
  <si>
    <t>Thanh toán tiền sửa xe 15C-136.31 (kiểm tra dầu cầu, số, dầu moay ơ, phớt moay ơ, công tháo lắp, dầu rửa, rẻ lau, keo) ngày 25/07</t>
  </si>
  <si>
    <t xml:space="preserve">Thanh toán tiền sửa xe 15C-136.31 ngày 3/6 (sửa chữa bảng đèn hậu đầu kéo, bơm mỡ) </t>
  </si>
  <si>
    <t>THÁNG 08.2017</t>
  </si>
  <si>
    <t>Đóng hàng chè sáng 02/08</t>
  </si>
  <si>
    <t>Trả hàng + đóng hàng KH 03/08</t>
  </si>
  <si>
    <t>Trả hàng + đóng hàng KH 04/08</t>
  </si>
  <si>
    <t>Đóng hàng chè sáng 05/08</t>
  </si>
  <si>
    <t>Đóng hàng phân 07/08</t>
  </si>
  <si>
    <t>Đóng hàng phân 09/08</t>
  </si>
  <si>
    <t>Đóng hàng chè sáng 08/08</t>
  </si>
  <si>
    <t>Đóng hàng chè sáng 14/08</t>
  </si>
  <si>
    <t>Đóng hàng chè chiều 15/08</t>
  </si>
  <si>
    <t>Đóng hàng XK sáng 16/08</t>
  </si>
  <si>
    <t>Trả hàng Vietsun sáng 17/08</t>
  </si>
  <si>
    <t>Đóng hàng chè sáng 18/08</t>
  </si>
  <si>
    <t>Trả hàng NK sáng 19/08</t>
  </si>
  <si>
    <t>Trả hàng + đóng hàng KH 21/08</t>
  </si>
  <si>
    <t>Trả hàng Vietsun sáng 22/08</t>
  </si>
  <si>
    <t>Đóng hàng chè sáng 23/08</t>
  </si>
  <si>
    <t>Trả hàng Vietsun sáng 25/08</t>
  </si>
  <si>
    <t>Trả hàng NK sáng 26/08</t>
  </si>
  <si>
    <t>Đóng hàng xỉ bọt sáng 28/08</t>
  </si>
  <si>
    <t>Đóng hàng chè sáng 29/08</t>
  </si>
  <si>
    <t>Đóng hàng chè sáng 31/08</t>
  </si>
  <si>
    <t>WHSU2159343</t>
  </si>
  <si>
    <t>WFHU1362169</t>
  </si>
  <si>
    <t>GMDU2150548</t>
  </si>
  <si>
    <t>CAIU9984860</t>
  </si>
  <si>
    <t>EISU2095263</t>
  </si>
  <si>
    <t>TEMU4266740</t>
  </si>
  <si>
    <t>CXDU2333001</t>
  </si>
  <si>
    <t>SEGU4503363</t>
  </si>
  <si>
    <t>FCGU1668430</t>
  </si>
  <si>
    <t>WHLU0572100</t>
  </si>
  <si>
    <t>DRYU9969595</t>
  </si>
  <si>
    <t>MAGU5404186</t>
  </si>
  <si>
    <t>SEGU5739604</t>
  </si>
  <si>
    <t>VSLU3043192</t>
  </si>
  <si>
    <t>DRYU9591416</t>
  </si>
  <si>
    <t>WHLU5587170</t>
  </si>
  <si>
    <t>GMDU2142563</t>
  </si>
  <si>
    <t>DRYU9591967</t>
  </si>
  <si>
    <t>TCLU9644851</t>
  </si>
  <si>
    <t>TEMU6146678</t>
  </si>
  <si>
    <t>BSIU9345525</t>
  </si>
  <si>
    <t>TEMU5599690</t>
  </si>
  <si>
    <t>TP Hải Dương - Hà Nam</t>
  </si>
  <si>
    <t>KCN Ngọc Hồi, Thanh Trì, Hà Nội</t>
  </si>
  <si>
    <t>KCN Phúc Điền, Hải Dương - Hà Nam</t>
  </si>
  <si>
    <t xml:space="preserve">Dị Sử, Mỹ Hào, Hưng Yên </t>
  </si>
  <si>
    <t>Thanh toán tiền mua 02 cục chèn, thuê xe ôm thăm đường Công ty chè Satoen cho Mạnh lái xe 15C-136.31</t>
  </si>
  <si>
    <t>Thanh toán tiền sửa xe 15C-136.31 (thay 1 bóng pha+1 cốt)</t>
  </si>
  <si>
    <t>Dầu nhớt 40L</t>
  </si>
  <si>
    <t xml:space="preserve">Lương + thưởng lái xe </t>
  </si>
  <si>
    <t>THÁNG 09.2017</t>
  </si>
  <si>
    <t>Trả hàng NK sáng 01/09</t>
  </si>
  <si>
    <t>Đóng hàng chè sáng 04/09</t>
  </si>
  <si>
    <t>Trả hàng + đóng hàng KH 05/09</t>
  </si>
  <si>
    <t>Đóng hàng chè sáng 06/09</t>
  </si>
  <si>
    <t>Trả hàng NK sáng 07/09</t>
  </si>
  <si>
    <t>Trả hàng NK sáng 08/09</t>
  </si>
  <si>
    <t>Đóng hàng chè sáng 09/09</t>
  </si>
  <si>
    <t>Trả hàng Vietsun sáng 11/09</t>
  </si>
  <si>
    <t>Trả hàng + đóng hàng KH 12/09</t>
  </si>
  <si>
    <t>Đóng hàng chè sáng 13/09</t>
  </si>
  <si>
    <t>NYKU4343183</t>
  </si>
  <si>
    <t>TCLU8633338</t>
  </si>
  <si>
    <t>DRYU2851614</t>
  </si>
  <si>
    <t>GLDU9974115</t>
  </si>
  <si>
    <t>TGHU9426463</t>
  </si>
  <si>
    <t>WHLU5702417</t>
  </si>
  <si>
    <t>OCGU2073245</t>
  </si>
  <si>
    <t>SEGU2049009</t>
  </si>
  <si>
    <t>DRYU9719003</t>
  </si>
  <si>
    <t>NPLU2211150</t>
  </si>
  <si>
    <t>HJLU1389684</t>
  </si>
  <si>
    <t>YMMU6139346</t>
  </si>
  <si>
    <t>Hà Nam - Hà Nam</t>
  </si>
  <si>
    <t>Trả hàng + đóng hàng KH 16/09</t>
  </si>
  <si>
    <t>Đóng hàng chè sáng 19/09</t>
  </si>
  <si>
    <t>Đóng hàng chè sáng 20/09</t>
  </si>
  <si>
    <t>Trả hàng + đóng bột đá KH 20/09</t>
  </si>
  <si>
    <t>Trả hàng NK sáng 21/09</t>
  </si>
  <si>
    <t>Đóng hàng chè sáng 22/09</t>
  </si>
  <si>
    <t>Trả hàng NK sáng 23/09</t>
  </si>
  <si>
    <t>Đóng hàng chè sáng 25/09</t>
  </si>
  <si>
    <t>Đóng hàng chè sáng 27/09</t>
  </si>
  <si>
    <t>Trả hàng + đóng hàng KH 28/09</t>
  </si>
  <si>
    <t>TRHU3295202</t>
  </si>
  <si>
    <t>DFSU6616002</t>
  </si>
  <si>
    <t>YMMU6065536</t>
  </si>
  <si>
    <t>GLDU5470944</t>
  </si>
  <si>
    <t>TEMU4653626</t>
  </si>
  <si>
    <t>CRSU9291813</t>
  </si>
  <si>
    <t>TCNU6267999</t>
  </si>
  <si>
    <t>BMOU5694009</t>
  </si>
  <si>
    <t>HJLU1356947</t>
  </si>
  <si>
    <t>VNLU3014926</t>
  </si>
  <si>
    <t>An Dương, Hải Phòng</t>
  </si>
  <si>
    <t>Tô Múa, Vân Hồ, Sơn La</t>
  </si>
  <si>
    <t>Thanh toán tiền bồi thường dây điện cho Mạnh lái xe 15C-136.31</t>
  </si>
  <si>
    <t>Thanh toán tiền mua 02 lốp xe 15C-136.31</t>
  </si>
  <si>
    <t>Trả Mạnh mua lắp moay ơ xe 15C-136.31</t>
  </si>
  <si>
    <t xml:space="preserve">Lương </t>
  </si>
  <si>
    <t>THÁNG 10.2017</t>
  </si>
  <si>
    <t>Đóng hàng tro bay 02/10</t>
  </si>
  <si>
    <t>Đóng hàng tro bay 03/10</t>
  </si>
  <si>
    <t>Trả hàng NK chiều 04/10</t>
  </si>
  <si>
    <t>Trả hàng Vietsky sáng 05/10</t>
  </si>
  <si>
    <t>Đóng hàng KH chiều 05/10</t>
  </si>
  <si>
    <t>Trả hàng Vietsky sáng 06/10</t>
  </si>
  <si>
    <t>Đóng hàng chè sáng 07/10</t>
  </si>
  <si>
    <t>Trả hàng NK chiều10/10</t>
  </si>
  <si>
    <t>Đóng hàng XK chiều 11/10</t>
  </si>
  <si>
    <t>Đóng hàng chè sáng 12/10</t>
  </si>
  <si>
    <t>Trả hàng NK sáng 13/10</t>
  </si>
  <si>
    <t>Trả hàng Vietsun sáng 14/10</t>
  </si>
  <si>
    <t>Đóng hàng chè sáng 16/10</t>
  </si>
  <si>
    <t>Đóng hàng chè sáng 17/10</t>
  </si>
  <si>
    <t>Trả hàng NK sáng 19/10</t>
  </si>
  <si>
    <t>Đóng hàng chè sáng 23/10</t>
  </si>
  <si>
    <t>Trả hàng NK sáng 24/10</t>
  </si>
  <si>
    <t>Đóng hàng chè sáng 26/10</t>
  </si>
  <si>
    <t>Đóng hàng chè sáng 28/10</t>
  </si>
  <si>
    <t>Trả hàng Vietsun sáng 30/10</t>
  </si>
  <si>
    <t>Đóng hàng chè sáng 31/10</t>
  </si>
  <si>
    <t>MSKU7906939</t>
  </si>
  <si>
    <t>MSKU2941140</t>
  </si>
  <si>
    <t>BSIU2475980</t>
  </si>
  <si>
    <t>GMDU8150139</t>
  </si>
  <si>
    <t>GMTU7030151</t>
  </si>
  <si>
    <t>OOLU9659193</t>
  </si>
  <si>
    <t>CBHU3490120</t>
  </si>
  <si>
    <t>CAXU9990802</t>
  </si>
  <si>
    <t>UACU5894580</t>
  </si>
  <si>
    <t>YMMU6152923</t>
  </si>
  <si>
    <t>DRYU9961660</t>
  </si>
  <si>
    <t>TCNU6824353</t>
  </si>
  <si>
    <t>SEGU6121647</t>
  </si>
  <si>
    <t>SKLU1121605</t>
  </si>
  <si>
    <t>SEGU4462325</t>
  </si>
  <si>
    <t>SEGU1347312</t>
  </si>
  <si>
    <t>HJLU1400192</t>
  </si>
  <si>
    <t>SEGU6174040</t>
  </si>
  <si>
    <t>DRYU9593105</t>
  </si>
  <si>
    <t>TCNU3915552</t>
  </si>
  <si>
    <t>Ngọc Hồi, Thanh Trì, Hà Nội</t>
  </si>
  <si>
    <t>Vinh, Nghệ An</t>
  </si>
  <si>
    <t>Anh Phụng mua vé cao tốc T10</t>
  </si>
  <si>
    <t>Thanh toán 02 lốp cho xe 15C-136.31</t>
  </si>
  <si>
    <t>Thanh toán tiền sửa xe 15C-136.31 (thay dây phanh+công làm)</t>
  </si>
  <si>
    <t>Thanh toán tiền bơm mỡ xe</t>
  </si>
  <si>
    <t>Thanh toán tiền sửa xe 15C-136.31 ngày 19/9 (công tháo lắp may ơ+dầu cầu, rẻ+keo)</t>
  </si>
  <si>
    <t>THÁNG 11.2017</t>
  </si>
  <si>
    <t>Đóng hàng chè sáng 02/11</t>
  </si>
  <si>
    <t>Trả hàng NK sáng 03/11</t>
  </si>
  <si>
    <t>Đóng hàng chè 05/11</t>
  </si>
  <si>
    <t>Trả hàng NK chiều 06/11</t>
  </si>
  <si>
    <t>Vận chuyển cont văn phòng 07/11</t>
  </si>
  <si>
    <t>Đóng hàng chè sáng 10/11</t>
  </si>
  <si>
    <t>Trả hàng + đóng hàng KH 11/11</t>
  </si>
  <si>
    <t>Đóng hàng xỉ bọt chiều 13/11</t>
  </si>
  <si>
    <t>Đóng hàng chè sáng 14/11</t>
  </si>
  <si>
    <t>Trả hàng + đóng hàng KH 17/11</t>
  </si>
  <si>
    <t>Trả hàng + đóng hàng KH 18/11</t>
  </si>
  <si>
    <t>Trả hàng + đóng hàng KH 20/11</t>
  </si>
  <si>
    <t>Trả hàng + đóng hàng KH 21/11</t>
  </si>
  <si>
    <t>Đóng hàng chè chiều 22/11</t>
  </si>
  <si>
    <t>Trả hàng NK sáng 23/11</t>
  </si>
  <si>
    <t>Đóng hàng chè chiều 24/11</t>
  </si>
  <si>
    <t>Trả hàng + đóng hàng KH 27/11</t>
  </si>
  <si>
    <t>Trả hàng Vietsun sáng 28/11</t>
  </si>
  <si>
    <t>Trả hàng + đóng hàng KH 29/11</t>
  </si>
  <si>
    <t>Đóng hàng chè sáng 30/11</t>
  </si>
  <si>
    <t>WHSU2072881</t>
  </si>
  <si>
    <t>CMAU4772368</t>
  </si>
  <si>
    <t>TGCU5040601</t>
  </si>
  <si>
    <t>TRLU8269098</t>
  </si>
  <si>
    <t>DRYU9718861</t>
  </si>
  <si>
    <t>FCIU9355803</t>
  </si>
  <si>
    <t>GESU3823814</t>
  </si>
  <si>
    <t>TGHU6799210</t>
  </si>
  <si>
    <t>HLBU1422366</t>
  </si>
  <si>
    <t>TCLU9384559</t>
  </si>
  <si>
    <t>TRHU3295305</t>
  </si>
  <si>
    <t>WFHU1351781</t>
  </si>
  <si>
    <t>GMDU2140128</t>
  </si>
  <si>
    <t>GMDU2152094</t>
  </si>
  <si>
    <t>DFSU3050035</t>
  </si>
  <si>
    <t>BEAU4479178</t>
  </si>
  <si>
    <t>OOLU9616247</t>
  </si>
  <si>
    <t>DRYU2851487</t>
  </si>
  <si>
    <t>WFHU5142178</t>
  </si>
  <si>
    <t>GMDU2153716</t>
  </si>
  <si>
    <t>DRYU9739000</t>
  </si>
  <si>
    <t>Tân Lập, Mộc Châu Sơn La</t>
  </si>
  <si>
    <t>Quán Tròn, Ứng Hòa, Hà Nội</t>
  </si>
  <si>
    <t>KCN Phố Nối B , Hưng Yên</t>
  </si>
  <si>
    <t>KCN Hải Yên Quảng Ninh</t>
  </si>
  <si>
    <t>Từ Sơn , Bắc Ninh</t>
  </si>
  <si>
    <t>Cẩm Giàng, Hải Dương- Hà Nam</t>
  </si>
  <si>
    <t>Văn Điển, Hà Nội</t>
  </si>
  <si>
    <t>Anh Phụng mua vé cao tốc T11</t>
  </si>
  <si>
    <t>Thanh toán tiền sửa xe 15C-136.31 (thay săm)</t>
  </si>
  <si>
    <t>Thanh toán tiền 02 lốp xe 15C-136.31</t>
  </si>
  <si>
    <t>Dầu Total Rubia</t>
  </si>
  <si>
    <t>THÁNG 12.2017</t>
  </si>
  <si>
    <t>Trả hàng + đóng hàng KH 01/12</t>
  </si>
  <si>
    <t>Trả hàng NK sáng 02/12</t>
  </si>
  <si>
    <t>Đóng hàng XK chiều 02/12</t>
  </si>
  <si>
    <t>Đóng hàng chè sáng 04/12</t>
  </si>
  <si>
    <t>Trả hàng + đóng hàng KH 07/12</t>
  </si>
  <si>
    <t>Trả hàng NK sáng 08/12</t>
  </si>
  <si>
    <t>Đóng hàng chiều 08/12</t>
  </si>
  <si>
    <t>Trả hàng NK sáng 09/12</t>
  </si>
  <si>
    <t>Trả hàng + đóng hàng KH 11/12</t>
  </si>
  <si>
    <t>Trả hàng + đóng hàng KH 12/12</t>
  </si>
  <si>
    <t>Đóng hàng chè sáng 13/12</t>
  </si>
  <si>
    <t>Trả hàng NK sáng 15/12</t>
  </si>
  <si>
    <t>Trả hàng + đóng hàng KH 18/12</t>
  </si>
  <si>
    <t>Trả hàng NK sáng 19/12</t>
  </si>
  <si>
    <t>Đóng hàng viên gỗ nén chiều 19/12</t>
  </si>
  <si>
    <t>Trả hàng + đóng hàng KH 20/12</t>
  </si>
  <si>
    <t>Đóng hàng sáng 21/12</t>
  </si>
  <si>
    <t>Trả hàng + đóng hàng KH 22/12</t>
  </si>
  <si>
    <t>Đóng hàng chè sáng 25/12</t>
  </si>
  <si>
    <t>Trả hàng Vietsun sáng 26/12</t>
  </si>
  <si>
    <t>Đóng hàng xỉ bọt sáng 28/12</t>
  </si>
  <si>
    <t>Trả hàng + đóng hàng KH 29/12</t>
  </si>
  <si>
    <t>Đóng hàng chè sáng 31/12</t>
  </si>
  <si>
    <t>GMDU2151966</t>
  </si>
  <si>
    <t>CLHU3792583</t>
  </si>
  <si>
    <t>OOLU0544228</t>
  </si>
  <si>
    <t>TCLU5658923</t>
  </si>
  <si>
    <t>YMMU6139829</t>
  </si>
  <si>
    <t>WFHU1351570</t>
  </si>
  <si>
    <t>CAXU6470324</t>
  </si>
  <si>
    <t>WHLU0317906</t>
  </si>
  <si>
    <t>SKLU1119296</t>
  </si>
  <si>
    <t>BEAU4585415</t>
  </si>
  <si>
    <t>VSLU4485331</t>
  </si>
  <si>
    <t>WFHU1351626</t>
  </si>
  <si>
    <t>WHSU5145024</t>
  </si>
  <si>
    <t>DRYU9678054</t>
  </si>
  <si>
    <t>DRYU9718310</t>
  </si>
  <si>
    <t>GMDU2152896</t>
  </si>
  <si>
    <t>SEGU2550812</t>
  </si>
  <si>
    <t>SKLU1669991</t>
  </si>
  <si>
    <t>DFSU7059323</t>
  </si>
  <si>
    <t>GMDU2142619</t>
  </si>
  <si>
    <t>TCNU5054664</t>
  </si>
  <si>
    <t>HLBU1626800</t>
  </si>
  <si>
    <t>DRYU9969487</t>
  </si>
  <si>
    <t>SEGU4287346</t>
  </si>
  <si>
    <t>GMDU2150661</t>
  </si>
  <si>
    <t>DRYU2853052</t>
  </si>
  <si>
    <t>OOLU9459071</t>
  </si>
  <si>
    <t>Từ Liêm, Hà Nội</t>
  </si>
  <si>
    <t>VSIP Bắc Ninh - Tân Trường, Hải Dương</t>
  </si>
  <si>
    <t>TT Cầu Gồ, Yên Thế, Bắc Giang</t>
  </si>
  <si>
    <t>Văn Điển, Hà Nội - Hà Nam</t>
  </si>
  <si>
    <t>Thanh Liêm, Hà Nam</t>
  </si>
  <si>
    <t xml:space="preserve"> Gia Lâm, Hà Nội</t>
  </si>
  <si>
    <t>Lập Thạch, Vĩnh Phúc</t>
  </si>
  <si>
    <t>TP. Hải Dương - Hà Nam</t>
  </si>
  <si>
    <t>Từ Sơn , Bắc Ninh - Hà Nam</t>
  </si>
  <si>
    <t>Thưởng tết dương lịch</t>
  </si>
  <si>
    <t>Thanh toán tiền mua nước làm mát</t>
  </si>
  <si>
    <t>Thanh toán tiền sửa xe 15C-136.31 ngày 26/11 (gạt mưa, còi)</t>
  </si>
  <si>
    <t>Thanh toán tiền sửa xe 15C-136.31 (6 đèn sườn, công lắp, công thợ hàn đắp bướm mâm)</t>
  </si>
  <si>
    <t>Thanh toán tiền sửa xe 15C-136.31 (bơm mỡ)</t>
  </si>
  <si>
    <t>Thanh toán tiền sửa xe ngày 14/12 (má phanh 
mooc, bảo dưỡng đầu may ơ, rẻ lau, keo, dầu rửa, má phanh dầu, phanh đầu kéo, công)</t>
  </si>
  <si>
    <t xml:space="preserve">Anh Phụng mua vé cao tốc </t>
  </si>
  <si>
    <t>THÁNG 01.2018</t>
  </si>
  <si>
    <t>Trả hàng + đóng hàng KH 03/01</t>
  </si>
  <si>
    <t>Trả hàng + đóng hàng KH 04/01</t>
  </si>
  <si>
    <t>Trả hàng NK sáng 05/01</t>
  </si>
  <si>
    <t>Đóng hàng viên gỗ nén chiều 05/01</t>
  </si>
  <si>
    <t>Trả hàng NK sáng 06/01</t>
  </si>
  <si>
    <t>Đóng hàng viên gỗ nén chiều 06/01</t>
  </si>
  <si>
    <t>Trả hàng Vietsun sáng 08/01</t>
  </si>
  <si>
    <t>Đóng hàng than hoạt tính chiều 08/01</t>
  </si>
  <si>
    <t>Trả hàng Vietsun sáng 09/01</t>
  </si>
  <si>
    <t>Đóng hàng than hoạt tính chiều 09/01</t>
  </si>
  <si>
    <t>Trả hàng NK sáng 10/01</t>
  </si>
  <si>
    <t>Đóng hàng viên gỗ nén chiều 10/01</t>
  </si>
  <si>
    <t>Trả hàng NK sáng 11/01</t>
  </si>
  <si>
    <t>Đóng hàng viên gỗ nén chiều 11/01</t>
  </si>
  <si>
    <t>Trả hàng + đóng hàng KH 13/01</t>
  </si>
  <si>
    <t>Trả hàng + đóng hàng KH 15/01</t>
  </si>
  <si>
    <t>Đóng hàng chè sáng 16/01</t>
  </si>
  <si>
    <t>Trả hàng + đóng hàng KH 17/01</t>
  </si>
  <si>
    <t>Trả hàng NK sáng 18/01</t>
  </si>
  <si>
    <t>Đóng hàng viên gỗ nén chiều 18/01</t>
  </si>
  <si>
    <t>Trả hàng NK sáng 19/01</t>
  </si>
  <si>
    <t>Đóng hàng viên gỗ nén chiều 19/01</t>
  </si>
  <si>
    <t>Trả hàng + đóng hàng KH 20/01</t>
  </si>
  <si>
    <t>Đóng hàng sáng 22/01</t>
  </si>
  <si>
    <t>Đóng hàng chè sáng 24/01</t>
  </si>
  <si>
    <t>Trả hàng + đóng hàng KH 25/01</t>
  </si>
  <si>
    <t>Trả hàng + đóng hàng KH 26/01</t>
  </si>
  <si>
    <t>Trả hàng + đóng hàng KH 27/01</t>
  </si>
  <si>
    <t>Trả hàng NK sáng 29/01</t>
  </si>
  <si>
    <t>Đóng hàng chè sáng 30/01</t>
  </si>
  <si>
    <t>GMDU2142291</t>
  </si>
  <si>
    <t>DRYU2923740</t>
  </si>
  <si>
    <t>KMTU7383086</t>
  </si>
  <si>
    <t>GESU2381620</t>
  </si>
  <si>
    <t>CXDU2269854</t>
  </si>
  <si>
    <t>CLHU3836547</t>
  </si>
  <si>
    <t>TCNU4785875</t>
  </si>
  <si>
    <t>VSLU9011000</t>
  </si>
  <si>
    <t>REGU3230427</t>
  </si>
  <si>
    <t>SKLU1607109</t>
  </si>
  <si>
    <t>BEAU2909897</t>
  </si>
  <si>
    <t>TCKU3732475</t>
  </si>
  <si>
    <t>SEGU1081027</t>
  </si>
  <si>
    <t>UESU4733982</t>
  </si>
  <si>
    <t>TCKU2113619</t>
  </si>
  <si>
    <t>SKLU1405010</t>
  </si>
  <si>
    <t>WHLU0221872</t>
  </si>
  <si>
    <t>SKLU1569375</t>
  </si>
  <si>
    <t>GMDU2152793</t>
  </si>
  <si>
    <t>BLKU2527754</t>
  </si>
  <si>
    <t>TLLU4289048</t>
  </si>
  <si>
    <t>GMDU2152197</t>
  </si>
  <si>
    <t>DRYU3094454</t>
  </si>
  <si>
    <t>DRYU2853068</t>
  </si>
  <si>
    <t>CSNU6019575</t>
  </si>
  <si>
    <t>TGHU9492716</t>
  </si>
  <si>
    <t>Hưng Yên - Hà Nội - Hà Nam</t>
  </si>
  <si>
    <t>KCN Phố Nối, Hưng Yên</t>
  </si>
  <si>
    <t>Thanh Trì, Hà Nội</t>
  </si>
  <si>
    <t>KCN Đại An, Hải Dương</t>
  </si>
  <si>
    <t xml:space="preserve">Văn Lâm, Hưng Yên </t>
  </si>
  <si>
    <t>Đông Anh, Hà Nội - Hà Nam</t>
  </si>
  <si>
    <t>Kim Sơn, Ninh Bình - Hà Nam</t>
  </si>
  <si>
    <t>Sài Đồng, Gia Lâm, Hà Nội</t>
  </si>
  <si>
    <t>KCN VSIP Bắc Ninh</t>
  </si>
  <si>
    <t>Đồng Hới, Quảng Bình - Hưng Yên</t>
  </si>
  <si>
    <t>TP  Việt Trì</t>
  </si>
  <si>
    <t>GMDU2409860</t>
  </si>
  <si>
    <t>Mua dây curoa+bi xe 15C-136.31</t>
  </si>
  <si>
    <t>Gửi dây curoa + bi xe cho Mạnh lái xe 15C-136.31</t>
  </si>
  <si>
    <t>Thanh toán tiền sửa xe 15C-136.31 (con tăng cu roa, phớt bu ly lai ly tâm, công thợ)</t>
  </si>
  <si>
    <t>THÁNG 02.2018</t>
  </si>
  <si>
    <t>Đóng hàng xỉ bọt sáng 01/02</t>
  </si>
  <si>
    <t>Trả hàng + đóng hàng KH 02/02</t>
  </si>
  <si>
    <t>Trả hàng NK sáng 03/02</t>
  </si>
  <si>
    <t>Đóng hàng viên gỗ nén chiều 03/02</t>
  </si>
  <si>
    <t>Trả hàng  sáng 05/02</t>
  </si>
  <si>
    <t>Đóng hàng Vietsun sáng 06/02</t>
  </si>
  <si>
    <t>Trả hàng + đóng hàng KH 07/02</t>
  </si>
  <si>
    <t>Trả hàng + đóng hàng KH 08/02</t>
  </si>
  <si>
    <t>Trả hàng + đóng hàng KH 09/02</t>
  </si>
  <si>
    <t>Trả hàng + đóng hàng KH 10/02</t>
  </si>
  <si>
    <t>Trả hàng NK sáng 22/02</t>
  </si>
  <si>
    <t>Trả hàng + đóng hàng KH 23/02</t>
  </si>
  <si>
    <t>Trả hàng NK sáng 24/02</t>
  </si>
  <si>
    <t>Đóng hàng chè sáng 25/02</t>
  </si>
  <si>
    <t>Trả hàng + đóng hàng KH 26/02</t>
  </si>
  <si>
    <t>Đóng hàng sáng 27/02</t>
  </si>
  <si>
    <t>Trả hàng + đóng hàng KH 28/02</t>
  </si>
  <si>
    <t>TCNU7598456</t>
  </si>
  <si>
    <t>VSLU3038283</t>
  </si>
  <si>
    <t>BEAU2692688</t>
  </si>
  <si>
    <t>GESU3259453</t>
  </si>
  <si>
    <t>TCLU5074447</t>
  </si>
  <si>
    <t>DRYU9367704</t>
  </si>
  <si>
    <t>DRYU3094813</t>
  </si>
  <si>
    <t>DRYU2851553</t>
  </si>
  <si>
    <t>GMDU2153568</t>
  </si>
  <si>
    <t>DRYU3093946</t>
  </si>
  <si>
    <t>YMLU8985627</t>
  </si>
  <si>
    <t>TRHU3295671</t>
  </si>
  <si>
    <t>SITU9113073</t>
  </si>
  <si>
    <t>SEGU5836630</t>
  </si>
  <si>
    <t>WFHU1352509</t>
  </si>
  <si>
    <t>DRYU9367746</t>
  </si>
  <si>
    <t>DRYU3093442</t>
  </si>
  <si>
    <t>Yên Mỹ, Hưng Yên - Hà Nam</t>
  </si>
  <si>
    <t>VSIP, Bắc Ninh</t>
  </si>
  <si>
    <t>Duy Tiên, Hà Nam</t>
  </si>
  <si>
    <t>Thường Tín, Hà Nội - Hà Nam</t>
  </si>
  <si>
    <t>Thanh toán tiền mua 1 lốp xe 15C-136.31</t>
  </si>
  <si>
    <t>Thanh toán tiền sửa xe 15C-136.31 (hàn ống bô)</t>
  </si>
  <si>
    <t>Mua dây cu roa xe 15C-136.31</t>
  </si>
  <si>
    <t>Chi tiền anh Phụng mua ắc quy cho xe 15C-136.31</t>
  </si>
  <si>
    <t>Mua con lăn xe 15C-136.31</t>
  </si>
  <si>
    <t>Thưởng Tết AL</t>
  </si>
  <si>
    <t>THÁNG 03.2018</t>
  </si>
  <si>
    <t>Trả hàng + đóng hàng KH 01/03</t>
  </si>
  <si>
    <t>Trả hàng NK sáng 02/03</t>
  </si>
  <si>
    <t>Trả hàng NK sáng 03/03</t>
  </si>
  <si>
    <t>Trả hàng Vietsun sáng 06/03</t>
  </si>
  <si>
    <t>Đóng hàng cốp pha chiều 07/03</t>
  </si>
  <si>
    <t>Trả hàng + đóng hàng KH 08/03</t>
  </si>
  <si>
    <t>Trả hàng + đóng hàng KH 09/03</t>
  </si>
  <si>
    <t>Trả hàng + đóng hàng KH 15/03</t>
  </si>
  <si>
    <t>Trả hàng + đóng hàng KH 16/03</t>
  </si>
  <si>
    <t>Trả hàng + đóng hàng KH 17/03</t>
  </si>
  <si>
    <t>Trả hàng + đóng hàng KH 19/03</t>
  </si>
  <si>
    <t>Trả hàng NK sáng 21/03</t>
  </si>
  <si>
    <t>Trả hàng NK sáng 22/03</t>
  </si>
  <si>
    <t>Trả hàng + đóng hàng KH 24/03</t>
  </si>
  <si>
    <t>Đóng hàng  chè sáng 29/03</t>
  </si>
  <si>
    <t>Trả hàng + đóng hàng KH 30/03</t>
  </si>
  <si>
    <t>Trả hàng + đóng hàng KH 31/03</t>
  </si>
  <si>
    <t>HACU2162670</t>
  </si>
  <si>
    <t>WHSU5104621</t>
  </si>
  <si>
    <t>DFSU2948170</t>
  </si>
  <si>
    <t>TLLU4115745</t>
  </si>
  <si>
    <t>DRYU9961721</t>
  </si>
  <si>
    <t>WFHU1352788</t>
  </si>
  <si>
    <t>GMDU2153378</t>
  </si>
  <si>
    <t>WFHU1358174</t>
  </si>
  <si>
    <t>GMDU2142938</t>
  </si>
  <si>
    <t>GMDU2153742</t>
  </si>
  <si>
    <t>DRYU3093503</t>
  </si>
  <si>
    <t>GMDU2152474</t>
  </si>
  <si>
    <t>GMDU2151858</t>
  </si>
  <si>
    <t>GMDU2153151</t>
  </si>
  <si>
    <t>GMDU2151729</t>
  </si>
  <si>
    <t>TCNU3175862</t>
  </si>
  <si>
    <t>TRLU6624043</t>
  </si>
  <si>
    <t>GMDU2153948</t>
  </si>
  <si>
    <t>TCKU2119670</t>
  </si>
  <si>
    <t>DRYU3095234</t>
  </si>
  <si>
    <t>GMDU2142157</t>
  </si>
  <si>
    <t>YMLU8790604</t>
  </si>
  <si>
    <t>WHSU2357539</t>
  </si>
  <si>
    <t>GMDU2152710</t>
  </si>
  <si>
    <t>GMDU2142080</t>
  </si>
  <si>
    <t>Đình Bảng , Bắc Ninh</t>
  </si>
  <si>
    <t>Sóc Sơn, Hà Nội</t>
  </si>
  <si>
    <t>Cảng Nội địa, Việt Hòa, TP. Hải Dương</t>
  </si>
  <si>
    <t>TT Đức Hòa, huyện Đức Hòa, Long An</t>
  </si>
  <si>
    <t>TP. Thanh Hóa - Hà Nam</t>
  </si>
  <si>
    <t>478 Minh Khai, Hà Nội - Hà Nam</t>
  </si>
  <si>
    <t>Dị Sử, Hưng Yên - Hà Nam</t>
  </si>
  <si>
    <t>Anh Háu mua vòng bi+giảm sóc cho xe 15C-136.31</t>
  </si>
  <si>
    <t>Thanh toán tiền sửa xe 15C-136.31 (mua 1 đối chèn lốp)</t>
  </si>
  <si>
    <t>Mua giảm sóc xe 15C-136.31</t>
  </si>
  <si>
    <t>Thanh toán tiền sửa xe 15C-136.31 ngày 1/2 (dầu trợ lái, thay kim phớt lái, công tháo lắp, rẻ lau, keo, dầu rửa)</t>
  </si>
  <si>
    <t>Thanh toán tiền sửa xe 15C-136.31 ngày 22/2 (con lăn, công kiểm tra tháo lắp, hàn ba đờ sóc mooc)</t>
  </si>
  <si>
    <t>Thanh toán tiền sửa xe 15C-136.31 ngày 16/3 (công tháo lắp, thay bi cao su, công tháo lắp thay giảm sóc)</t>
  </si>
  <si>
    <t>Thanh toán tiền sửa xe 15C-136.31 ngày 27/3 (bac ca bin trước, công tháo lắp, thay giảm sóc)</t>
  </si>
  <si>
    <t>THÁNG 04.2018</t>
  </si>
  <si>
    <t>Trả hàng + đóng hàng KH 02/04</t>
  </si>
  <si>
    <t>Đóng hàng XK sáng 04/04</t>
  </si>
  <si>
    <t>Đóng hàng chè sáng 05/04</t>
  </si>
  <si>
    <t>Đóng hàng chè chiều 06/04</t>
  </si>
  <si>
    <t>Trả háng sáng 09/04</t>
  </si>
  <si>
    <t>Đóng hàng chè chiều 10/04</t>
  </si>
  <si>
    <t>Đóng hàng chè sáng 12/04</t>
  </si>
  <si>
    <t>Đóng hàng chè sáng 13/04</t>
  </si>
  <si>
    <t>Đóng hàng sáng 16/04</t>
  </si>
  <si>
    <t>Đóng hàng chè sáng 19/04</t>
  </si>
  <si>
    <t>Trả hàng + đóng hàng KH 20/04</t>
  </si>
  <si>
    <t>Đóng hàng chè sáng 22/04</t>
  </si>
  <si>
    <t>Trả hàng sáng 23/04</t>
  </si>
  <si>
    <t>Đóng hàng chè sáng 26/04</t>
  </si>
  <si>
    <t>Trả hàng NK sáng 27/04</t>
  </si>
  <si>
    <t>Trả hàng NK sáng 28/04</t>
  </si>
  <si>
    <t>GMDU2152812</t>
  </si>
  <si>
    <t>GMDU2151098</t>
  </si>
  <si>
    <t>PCIU2010899</t>
  </si>
  <si>
    <t>WHLU7300799</t>
  </si>
  <si>
    <t>OOLU9664918</t>
  </si>
  <si>
    <t>DRYU9592161</t>
  </si>
  <si>
    <t>TCLU5083731</t>
  </si>
  <si>
    <t>OOCU6864710</t>
  </si>
  <si>
    <t>BMOU5991521</t>
  </si>
  <si>
    <t>CXDU1047940</t>
  </si>
  <si>
    <t>TGCU0123386</t>
  </si>
  <si>
    <t>WHSU2279971</t>
  </si>
  <si>
    <t>GMDU2141891</t>
  </si>
  <si>
    <t>TCNU3095915</t>
  </si>
  <si>
    <t>PONU0177218</t>
  </si>
  <si>
    <t>PCLU5051896</t>
  </si>
  <si>
    <t>WHSU2015114</t>
  </si>
  <si>
    <t>WHSU2137030</t>
  </si>
  <si>
    <t>BEAU4516625</t>
  </si>
  <si>
    <t>MAGU5282350</t>
  </si>
  <si>
    <t>KCN Quang Minh, Hà Nội - Hà Nam</t>
  </si>
  <si>
    <t>TP. Bắc Ninh</t>
  </si>
  <si>
    <t>Thạch Thất, Quốc Oai, Hà Nội</t>
  </si>
  <si>
    <t>267+1DFanh</t>
  </si>
  <si>
    <t>Thanh toán tiền định vị bách khoa xe từ T4/2018 đến T4/2019</t>
  </si>
  <si>
    <t>Mua dây curoa+bi cho xe 15C-136.31</t>
  </si>
  <si>
    <t>Gửi dây curoa+bi cho Mạnh lái xe 15C-136.31</t>
  </si>
  <si>
    <t>Mua dây curoa dự phòng cho xe 15C-136.31</t>
  </si>
  <si>
    <t>Thanh toán tiền bơm mỡ xe 15C-136.31</t>
  </si>
  <si>
    <t>Thanh toán tiền sửa xe 15C-136.31 (thay bi, công)</t>
  </si>
  <si>
    <t>Thanh toán tiền sửa xe 15C-136.31 (thay phớt trục ly tâm, thay con lăn dây curoa, công thợ)</t>
  </si>
  <si>
    <t>Thanh toán tiền sửa xe 15C-136.31 ngày 2/3 (phớt đầu trục, công thợ)</t>
  </si>
  <si>
    <t>Thanh toán phí đường bộ xe 15C-136.31</t>
  </si>
  <si>
    <t>Phí kiểm định xe 15C-136.31</t>
  </si>
  <si>
    <t>Tiền dịch vụ đăng kiểm xe 15C-136.31</t>
  </si>
  <si>
    <t>Thanh toán tiền bảo hiểm xe 15C-136.31 (giảm 15% giá trước VAT)</t>
  </si>
  <si>
    <t>Thường 1.5</t>
  </si>
  <si>
    <t>Thay dầu nhớt + nhớt dự phòng = 50l</t>
  </si>
  <si>
    <t>THÁNG 05.2018</t>
  </si>
  <si>
    <t>Trả hàng + đóng hàng KH 02/05</t>
  </si>
  <si>
    <t>Trả hàng + đóng hàng KH 07/05</t>
  </si>
  <si>
    <t>Trả hàng Vietsun sáng 08/05</t>
  </si>
  <si>
    <t>Trả hàng Vietsun sáng 09/05</t>
  </si>
  <si>
    <t>Đóng hàng chè sáng 10/05</t>
  </si>
  <si>
    <t>Đóng hàng chè sáng 11/05</t>
  </si>
  <si>
    <t>Đóng hàng xỉ bọt sáng 14/05</t>
  </si>
  <si>
    <t>Trả hàng + đóng hàng KH 15/05</t>
  </si>
  <si>
    <t>Trả hàng NK sáng 16/05</t>
  </si>
  <si>
    <t>Đóng hàng chè sáng 17/05</t>
  </si>
  <si>
    <t>Trả hàng NK sáng 21/05</t>
  </si>
  <si>
    <t>Trả hàng Vietsun sáng 22/05</t>
  </si>
  <si>
    <t>Đóng hàng Vietsun chiều 22/05</t>
  </si>
  <si>
    <t>Trả hàng NK sáng 24/05</t>
  </si>
  <si>
    <t>Trả hàng Vietsun sáng 25/05</t>
  </si>
  <si>
    <t>Trả hàng + đóng hàng KH 26/05</t>
  </si>
  <si>
    <t>Trả hàng + đóng hàng KH 28/05</t>
  </si>
  <si>
    <t>Đóng hàng chè sáng 29/05</t>
  </si>
  <si>
    <t>GMDU2152176</t>
  </si>
  <si>
    <t>GMDU2140025</t>
  </si>
  <si>
    <t>DRYU3093170</t>
  </si>
  <si>
    <t>GESU1297840</t>
  </si>
  <si>
    <t>TRHU1344895</t>
  </si>
  <si>
    <t>TCNU4595833</t>
  </si>
  <si>
    <t>TCNU4785290</t>
  </si>
  <si>
    <t>WHSU5002532</t>
  </si>
  <si>
    <t>YMMU1158317</t>
  </si>
  <si>
    <t>SKHU9110297</t>
  </si>
  <si>
    <t>CAIU2502782</t>
  </si>
  <si>
    <t>FSCU6569945</t>
  </si>
  <si>
    <t>WHSU2343258</t>
  </si>
  <si>
    <t>SEGU5601940</t>
  </si>
  <si>
    <t>CBHU5919044</t>
  </si>
  <si>
    <t>TCNU4595448</t>
  </si>
  <si>
    <t>EITU1706211</t>
  </si>
  <si>
    <t>MAGU5532994</t>
  </si>
  <si>
    <t>DRYU9591838</t>
  </si>
  <si>
    <t>DRYU2852082</t>
  </si>
  <si>
    <t>WFHU1358596</t>
  </si>
  <si>
    <t>Trôi, Hà Nội - Hà Nam</t>
  </si>
  <si>
    <t>TP Hải Dương</t>
  </si>
  <si>
    <t>Dị Sử, Mỹ Hào , Hưng Yên</t>
  </si>
  <si>
    <t>Vĩnh Yên, Vĩnh Phúc - Hà Nam</t>
  </si>
  <si>
    <t>Bát Tràng, Gia Lâm, Hà Nội</t>
  </si>
  <si>
    <t>Vĩnh Yên, Vĩnh Phúc</t>
  </si>
  <si>
    <t>Thanh toán tiền mua 02 săm+yếm xe 15C-136.31</t>
  </si>
  <si>
    <t>Đóng hàng chè chiều 30/05</t>
  </si>
  <si>
    <t>WHSU2216504</t>
  </si>
  <si>
    <t>OOLU8995300</t>
  </si>
  <si>
    <t>THÁNG 06.2018</t>
  </si>
  <si>
    <t>Đóng hàng chè sáng 01/06</t>
  </si>
  <si>
    <t>OOCU7006110</t>
  </si>
  <si>
    <t>Trả hàng Vietsun sáng 02/06</t>
  </si>
  <si>
    <t>DRYU9718630</t>
  </si>
  <si>
    <t xml:space="preserve">Văn Lâm, Hưng Yên  </t>
  </si>
  <si>
    <t>Đóng hàng chè sáng 04/06</t>
  </si>
  <si>
    <t>WHSU2129647</t>
  </si>
  <si>
    <t>Trả hàng NK sáng 05/06</t>
  </si>
  <si>
    <t>TCKU3876600</t>
  </si>
  <si>
    <t>Vĩnh Yên, Vĩnh Phúc - Đông Anh, Hà Nội</t>
  </si>
  <si>
    <t>OOCU7247436</t>
  </si>
  <si>
    <t>Trả hàng NK sáng 08/06</t>
  </si>
  <si>
    <t>CAIU9254311</t>
  </si>
  <si>
    <t>Trả hàng NK sáng 11/06</t>
  </si>
  <si>
    <t>Đóng hàng chè chiều 11/06</t>
  </si>
  <si>
    <t>WHSU2304631</t>
  </si>
  <si>
    <t>Đóng hàng chè chiều 12/06</t>
  </si>
  <si>
    <t>YMMU6045951</t>
  </si>
  <si>
    <t>Đóng hàng chè sáng 14/06</t>
  </si>
  <si>
    <t>DFSU3038702</t>
  </si>
  <si>
    <t>YMMU6155054</t>
  </si>
  <si>
    <t>Trả hàng NK sáng 16/06</t>
  </si>
  <si>
    <t>KWLU2091879</t>
  </si>
  <si>
    <t>Trả hàng NK sáng 18/06</t>
  </si>
  <si>
    <t>TCNU4595129</t>
  </si>
  <si>
    <t>DRYU2923503</t>
  </si>
  <si>
    <t>Hoàng Mai, Hà Nội - Hà Nam</t>
  </si>
  <si>
    <t>Trả hàng + đóng hàng KH 20/06</t>
  </si>
  <si>
    <t>DRYU2889564</t>
  </si>
  <si>
    <t>Đóng  chè sáng 21/06</t>
  </si>
  <si>
    <t>WHSU2404029</t>
  </si>
  <si>
    <t>Đóng hàng bột đá 22/06</t>
  </si>
  <si>
    <t>BISU2830051</t>
  </si>
  <si>
    <t>Trả hàng + đóng hàng KH 23/06</t>
  </si>
  <si>
    <t>EMCU3170306</t>
  </si>
  <si>
    <t>Phố Nối , Hưng Yên -  Hà Nam</t>
  </si>
  <si>
    <t>Trả hàng NK sáng 25/06</t>
  </si>
  <si>
    <t>TLLU4169891</t>
  </si>
  <si>
    <t>Trả hàng + đóng hàng KH 26/06</t>
  </si>
  <si>
    <t>TRHU1344329</t>
  </si>
  <si>
    <t>Cẩm Giàng, Hải Dương - Chương Mỹ</t>
  </si>
  <si>
    <t>Trả hàng NK sáng 27/06</t>
  </si>
  <si>
    <t>OOCU7101842</t>
  </si>
  <si>
    <t>GESU6491591</t>
  </si>
  <si>
    <t>Đóng hàng xỉ  bọt sáng 29/06</t>
  </si>
  <si>
    <t>SITU9119359</t>
  </si>
  <si>
    <t>Trả hàng Vietsun sáng 30/06</t>
  </si>
  <si>
    <t>TCNU4785181</t>
  </si>
  <si>
    <t>Yamaha Sóc Sơn, Hà Nội</t>
  </si>
  <si>
    <t>Thanh toán tiền sửa xe 15C-136.31 (bi quang treo, còi hơi, dây hơi)</t>
  </si>
  <si>
    <t>Thanh toán tiền sửa xe 15C-136.31 (sửa vỉ điện, thay khóa hơi, rắc co, công làm)</t>
  </si>
  <si>
    <t>Thanh toán tiền sửa xe 15C-136.31 ngày 6/6</t>
  </si>
  <si>
    <t>Thanh toán tiền sửa xe 15C-136.31 ngày 9/6 (làm côn, cứu hộ)</t>
  </si>
  <si>
    <t>Thanh toán tiền sửa xe 15C-136.31 ngày 6/6 (công tháo lắp, thay bi cao su, công chế làm còi hơi)</t>
  </si>
  <si>
    <t>THÁNG 07.2018</t>
  </si>
  <si>
    <t>Trả hàng Vietsun sáng 02/07</t>
  </si>
  <si>
    <t>Đóng hàng KH chiều 02/07</t>
  </si>
  <si>
    <t>Trả hàng NK sáng 03/07</t>
  </si>
  <si>
    <t>Trả hàng Vietsun sáng 04/07</t>
  </si>
  <si>
    <t>Đóng hàng chè sáng 05/07</t>
  </si>
  <si>
    <t>Trả hàng Vietsun sáng 07/07</t>
  </si>
  <si>
    <t>Đóng hàng chè sáng 10/07</t>
  </si>
  <si>
    <t>Trả hàng Vietsun sáng 11/07</t>
  </si>
  <si>
    <t>Đóng hàng KH chiều 11/07</t>
  </si>
  <si>
    <t>Vận chuyển hàng sáng 12/07</t>
  </si>
  <si>
    <t>Trả hàng NK sáng 14/07</t>
  </si>
  <si>
    <t>Đóng hàng chiều 13/07</t>
  </si>
  <si>
    <t>Đóng hàng XK sáng 15/07</t>
  </si>
  <si>
    <t>Trả hàng + đóng hàng KH 16/07</t>
  </si>
  <si>
    <t>Đóng hàng chè sáng 17/07</t>
  </si>
  <si>
    <t>Đóng hàng chè sáng 19/07</t>
  </si>
  <si>
    <t>Trả hàng sáng 20/07</t>
  </si>
  <si>
    <t>Đóng hàng KH chiều 20/07</t>
  </si>
  <si>
    <t>Trả hàng NK sáng 21/07</t>
  </si>
  <si>
    <t>Đóng hàng chè sáng 23/07</t>
  </si>
  <si>
    <t>Trả hàng + đóng hàng KH 24/07</t>
  </si>
  <si>
    <t>Trả hàng + đóng hàng KH 25/07</t>
  </si>
  <si>
    <t>Đóng hàng bột đá chiều 27/07</t>
  </si>
  <si>
    <t>Trả hàng + đóng hàng KH 28/07</t>
  </si>
  <si>
    <t>Trả hàng NK sáng 30/07</t>
  </si>
  <si>
    <t>NYKU9895539</t>
  </si>
  <si>
    <t>DRYU9367601</t>
  </si>
  <si>
    <t>WHSU4027006</t>
  </si>
  <si>
    <t>WHSU2031096</t>
  </si>
  <si>
    <t>DRYU9168960</t>
  </si>
  <si>
    <t>TLLU4040667</t>
  </si>
  <si>
    <t>YMLU8634854</t>
  </si>
  <si>
    <t>TCNU4785670</t>
  </si>
  <si>
    <t>TCNU5830285</t>
  </si>
  <si>
    <t>CCLU7176185</t>
  </si>
  <si>
    <t>TEMU0095125</t>
  </si>
  <si>
    <t>DRYU2852879</t>
  </si>
  <si>
    <t>TCNU3523063</t>
  </si>
  <si>
    <t>WHSU2232974</t>
  </si>
  <si>
    <t>TCNU4595453</t>
  </si>
  <si>
    <t>WHSU5305035</t>
  </si>
  <si>
    <t>TGBU6005535</t>
  </si>
  <si>
    <t>DRYU3094069</t>
  </si>
  <si>
    <t>DRYU3094412</t>
  </si>
  <si>
    <t>WHSU2260472</t>
  </si>
  <si>
    <t>BISU2830215</t>
  </si>
  <si>
    <t>DRYU2852924</t>
  </si>
  <si>
    <t>TGHU5099932</t>
  </si>
  <si>
    <t>GESU6345534</t>
  </si>
  <si>
    <t>Hưng Hà, Thái Bình</t>
  </si>
  <si>
    <t>KCN Quất Động, Hà Nội</t>
  </si>
  <si>
    <t>Nam Sách, Hải Dương</t>
  </si>
  <si>
    <t>Nghĩa Hiệp, Yên Mỹ, Hưng Yên</t>
  </si>
  <si>
    <t>TT Bần, Mỹ Hào, Hưng Yên</t>
  </si>
  <si>
    <t>KCN Hải Yên, Móng Cái, Quảng Ninh</t>
  </si>
  <si>
    <t>Vĩnh Yên, Vĩnh Phúc- Hà Nam</t>
  </si>
  <si>
    <t>Yên Thế, Bắc Giang</t>
  </si>
  <si>
    <t>Từ Sơn, Bắc Ninh</t>
  </si>
  <si>
    <t>TP. Hòa Bình - Hà Nam</t>
  </si>
  <si>
    <t>Cầu Giấy, Hà Nội - Hà Nam</t>
  </si>
  <si>
    <t>Mua dây curoa cho xe 15C-136.31</t>
  </si>
  <si>
    <t>Gửi dây curoa+con lăn cho Mạnh xe 15C-136.31</t>
  </si>
  <si>
    <t>Bơm mỡ</t>
  </si>
  <si>
    <t xml:space="preserve">Thanh toán tiền sửa xe 15C-136.31 ngày 25/7 </t>
  </si>
  <si>
    <t>Thay nhớt + nhớt dự phòng</t>
  </si>
  <si>
    <t>Đóng hàng chè sáng 01/08</t>
  </si>
  <si>
    <t>Đóng hàng chè sáng 03/08</t>
  </si>
  <si>
    <t>Đóng hàng bột đá 04/08</t>
  </si>
  <si>
    <t>Trả hàng NK sáng 06/08</t>
  </si>
  <si>
    <t>Trả hàng + đóng hàng KH 07/08</t>
  </si>
  <si>
    <t>Trả hàng NK sáng 08/08</t>
  </si>
  <si>
    <t>Đóng hàng sáng 09/08</t>
  </si>
  <si>
    <t>Đóng hàng chè sáng 10/08</t>
  </si>
  <si>
    <t>Trả hàng NK sáng 11/08</t>
  </si>
  <si>
    <t>Trả hàng + đóng hàng KH 13/08</t>
  </si>
  <si>
    <t>Trả hàng NK sáng 15/08</t>
  </si>
  <si>
    <t>Trả hàng sáng 16/08</t>
  </si>
  <si>
    <t>Trả hàng Vietsun sáng 18/08</t>
  </si>
  <si>
    <t>Trả hàng sáng 20/08</t>
  </si>
  <si>
    <t>Đóng hàng KH chiều 20/08</t>
  </si>
  <si>
    <t>Trả hàng + đóng hàng KH 22/08</t>
  </si>
  <si>
    <t>Trả hàng sáng 23/08</t>
  </si>
  <si>
    <t>Đóng hàng chè sáng 24/08</t>
  </si>
  <si>
    <t>Trả hàng NK sáng 25/08</t>
  </si>
  <si>
    <t>Trả hàng Vietsun sáng 28/08</t>
  </si>
  <si>
    <t>Trả hàng + đóng hàng KH 30/08</t>
  </si>
  <si>
    <t>Đóng hàng sáng 31/08</t>
  </si>
  <si>
    <t>WHLU5628937</t>
  </si>
  <si>
    <t>OOLU6910704</t>
  </si>
  <si>
    <t>GMDU2152005</t>
  </si>
  <si>
    <t>TGBU6112596</t>
  </si>
  <si>
    <t>IPXU3716426</t>
  </si>
  <si>
    <t>TCLU6816387</t>
  </si>
  <si>
    <t>TCNU6616576</t>
  </si>
  <si>
    <t>OOLU6847094</t>
  </si>
  <si>
    <t>BSIU9238553</t>
  </si>
  <si>
    <t>CAIU7678080</t>
  </si>
  <si>
    <t>SITU9034626</t>
  </si>
  <si>
    <t>DFSU1847740</t>
  </si>
  <si>
    <t>DRYU9876260</t>
  </si>
  <si>
    <t>DRYU9592808</t>
  </si>
  <si>
    <t>DRYU9592794</t>
  </si>
  <si>
    <t>DRYU2851996</t>
  </si>
  <si>
    <t>GAOU2114370</t>
  </si>
  <si>
    <t>EITU1108375</t>
  </si>
  <si>
    <t>TCLU6153957</t>
  </si>
  <si>
    <t>DFSU1080529</t>
  </si>
  <si>
    <t>WHLU2338385</t>
  </si>
  <si>
    <t>DRYU9719030</t>
  </si>
  <si>
    <t>CMAU3080977</t>
  </si>
  <si>
    <t>HHSU9002737</t>
  </si>
  <si>
    <t>CAIU8157385</t>
  </si>
  <si>
    <t>Việt Yên, Bắc Giang  - Hà Nam</t>
  </si>
  <si>
    <t xml:space="preserve">Phố Nối , Hưng Yên </t>
  </si>
  <si>
    <t>NM Giấy Thái Nguyên</t>
  </si>
  <si>
    <t>Vĩnh Tường, Vĩnh Phúc - Hà Nam</t>
  </si>
  <si>
    <t>Đình Bảng, Bắc Ninh</t>
  </si>
  <si>
    <t>Yên Viên, Hà Nội</t>
  </si>
  <si>
    <t>KCN Tây Bắc Ga, Thanh Hóa</t>
  </si>
  <si>
    <t>Phú Thị, Gia Lâm, Hà Nội</t>
  </si>
  <si>
    <t>Đồng Văn, Hà Nam - Văn Lâm, Hưng Yên</t>
  </si>
  <si>
    <t>Bình Xuyên - Khai Quang, VP - Hải Phòng</t>
  </si>
  <si>
    <t>Anh Phụng thanh toán tiền sửa xe 15C-136.31 (phớt puly lai, con lăn, công thợ)</t>
  </si>
  <si>
    <t>Thanh toán tiền sửa xe 15C-136.31 (bạc nhíp tải)</t>
  </si>
  <si>
    <t>Thanh toán tiền sửa xe 15C-136.31 (giảm sóc sau)</t>
  </si>
  <si>
    <t>Thanh toán tiền lọc nước xe 15C-136.31</t>
  </si>
  <si>
    <t>Thanh toán tiền sửa xe 15C-136.31 cho Thái Tân Phát (tháo nắn hàn táp đai, bình dầu, cắt hàn xương bậc)</t>
  </si>
  <si>
    <t>Đóng lại bạc giảm sóc, công tháo lắp, bạc thay rằng cầu, công tháo, chỉnh lại phanh mooc, phanh đầu ngày 12/8</t>
  </si>
  <si>
    <t>chưa TT cho Tuân Thành</t>
  </si>
  <si>
    <t>THÁNG 08.2018</t>
  </si>
  <si>
    <t>THÁNG 09.2018</t>
  </si>
  <si>
    <t>Trả hàng + đóng hàng KH 04/09</t>
  </si>
  <si>
    <t>Đóng hàng chè sáng 05/09</t>
  </si>
  <si>
    <t>Đóng hàng  sáng 06/09</t>
  </si>
  <si>
    <t>Đóng hàng chè sáng 07/09</t>
  </si>
  <si>
    <t>Trả hàng + đóng hàng KH 08/09</t>
  </si>
  <si>
    <t>Đóng hàng chè sáng 10/09</t>
  </si>
  <si>
    <t>Trả hàng NK sáng 11/09</t>
  </si>
  <si>
    <t>Đóng hàng chè sáng 12/09</t>
  </si>
  <si>
    <t>Trả hàng NK sáng 13/09</t>
  </si>
  <si>
    <t>Trả hàng + đóng hàng KH 14/09</t>
  </si>
  <si>
    <t>Trả hàng sáng 15/09</t>
  </si>
  <si>
    <t>Trả hàng NK sáng 18/09</t>
  </si>
  <si>
    <t>Đóng hàng xỉ bọt sáng 19/09</t>
  </si>
  <si>
    <t>Đóng hàng  chiều 21/09</t>
  </si>
  <si>
    <t>Đóng hàng viên gỗ sáng 22/09</t>
  </si>
  <si>
    <t>Đóng hàng sáng 24/09</t>
  </si>
  <si>
    <t>Trả hàng + đóng hàng KH 25/09</t>
  </si>
  <si>
    <t>Đóng hàng chè sáng 26-27/09</t>
  </si>
  <si>
    <t>TEMU7937800</t>
  </si>
  <si>
    <t>DRYU3095213</t>
  </si>
  <si>
    <t>EITU1226969</t>
  </si>
  <si>
    <t>DFSU6749108</t>
  </si>
  <si>
    <t>WHLU5764281</t>
  </si>
  <si>
    <t>CAIU8927655</t>
  </si>
  <si>
    <t>BEAU4828618</t>
  </si>
  <si>
    <t>MOFU6729767</t>
  </si>
  <si>
    <t>EITU1355349</t>
  </si>
  <si>
    <t>HDMU6870416</t>
  </si>
  <si>
    <t>DRYU3095110</t>
  </si>
  <si>
    <t>TCNU8048876</t>
  </si>
  <si>
    <t>GLDU9475498</t>
  </si>
  <si>
    <t>TGHU6889850</t>
  </si>
  <si>
    <t>WHSU5284462</t>
  </si>
  <si>
    <t>SMCU1075140</t>
  </si>
  <si>
    <t>TCLU2308412</t>
  </si>
  <si>
    <t>TCNU2012407</t>
  </si>
  <si>
    <t>CAIU8572637</t>
  </si>
  <si>
    <t>TCNU3133785</t>
  </si>
  <si>
    <t>TEMU8612409</t>
  </si>
  <si>
    <t>Vụ Bản , Nam Định</t>
  </si>
  <si>
    <t>Tiên Du, Bắc Ninh - Hà Nội - Hải Phòng</t>
  </si>
  <si>
    <t>Lạng Giang, Bắc Giang</t>
  </si>
  <si>
    <t>KCN Hà Bình Phương - Duyên Thái - HP</t>
  </si>
  <si>
    <t>Thanh toán tiền sửa xe 15C-136.31 (bơm mỡ đầu kéo+mooc)</t>
  </si>
  <si>
    <t>Thay đèn biển số+thay đèn hậu xe 15C-136.31</t>
  </si>
  <si>
    <t>THÁNG 10.2018</t>
  </si>
  <si>
    <t>Đóng hàng chè sáng 01/10</t>
  </si>
  <si>
    <t>Trả hàng Vietsun sáng 02/10</t>
  </si>
  <si>
    <t>Trả hàng NK sáng 03/10</t>
  </si>
  <si>
    <t>Đóng hàng chè sáng 04/10</t>
  </si>
  <si>
    <t>Trả hàng Nk sáng 06/10</t>
  </si>
  <si>
    <t>Đóng hàng chè sáng 08/10</t>
  </si>
  <si>
    <t>Trả hàng NK sáng 09/10</t>
  </si>
  <si>
    <t>Trả hàng NK sáng 10/10</t>
  </si>
  <si>
    <t>Trả hàng NK sáng 11/10</t>
  </si>
  <si>
    <t>Đóng hàng bột đá 13/10</t>
  </si>
  <si>
    <t>Trả hàng NK sáng 15/10</t>
  </si>
  <si>
    <t>Đóng hàng chè 16/10</t>
  </si>
  <si>
    <t>Trả hàng NK chiều 17/10</t>
  </si>
  <si>
    <t>Đóng hàng chè sáng 19/10</t>
  </si>
  <si>
    <t>Trả hàng + đóng hàng KH 20/10</t>
  </si>
  <si>
    <t>Trả hàng sáng 22/10</t>
  </si>
  <si>
    <t>Trả hàng sáng 23/10</t>
  </si>
  <si>
    <t>Đóng hàng chè sáng 24/10</t>
  </si>
  <si>
    <t>Đóng hàng chè sáng 25/10</t>
  </si>
  <si>
    <t>Trả hàng NK sáng 27/10</t>
  </si>
  <si>
    <t>Trả hàng sáng 29/10</t>
  </si>
  <si>
    <t>Đóng hàng chè sáng 30/10</t>
  </si>
  <si>
    <t>WHSU5364779</t>
  </si>
  <si>
    <t>TCNU4785263</t>
  </si>
  <si>
    <t>BEAU2416627</t>
  </si>
  <si>
    <t>DRYU2169878</t>
  </si>
  <si>
    <t>WHSU5130744</t>
  </si>
  <si>
    <t>EISU2093759</t>
  </si>
  <si>
    <t>BEAU2909958</t>
  </si>
  <si>
    <t>TLLU4236583</t>
  </si>
  <si>
    <t>CRSU9360961</t>
  </si>
  <si>
    <t>YMMU6116736</t>
  </si>
  <si>
    <t>SEGU6120580</t>
  </si>
  <si>
    <t>WHSU5358903</t>
  </si>
  <si>
    <t>BISU2836506</t>
  </si>
  <si>
    <t>CSNU1118390</t>
  </si>
  <si>
    <t>WHSU5017912</t>
  </si>
  <si>
    <t>NPLU4314287</t>
  </si>
  <si>
    <t>WHLU5806155</t>
  </si>
  <si>
    <t>TRHU1344416</t>
  </si>
  <si>
    <t>CSNU1364748</t>
  </si>
  <si>
    <t>REGU3158596</t>
  </si>
  <si>
    <t>WHLU5630370</t>
  </si>
  <si>
    <t>WHSU4017271</t>
  </si>
  <si>
    <t>BISU2824423</t>
  </si>
  <si>
    <t>UETU2539035</t>
  </si>
  <si>
    <t>TCNU4595772</t>
  </si>
  <si>
    <t>EITU1066520</t>
  </si>
  <si>
    <t>DRYU9961655</t>
  </si>
  <si>
    <t>Thanh Sơn, Phú Thọ</t>
  </si>
  <si>
    <t xml:space="preserve">Từ Liêm, Hà Nội </t>
  </si>
  <si>
    <t xml:space="preserve">Tân Quang, Văn Lâm, Hưng Yên </t>
  </si>
  <si>
    <t>KCN Nam Cấm, Nghệ An</t>
  </si>
  <si>
    <t>Cẩm Giàng, HD -  Chương Mỹ, HN - Hà Nam</t>
  </si>
  <si>
    <t>Đông Triều, Quảng Ninh</t>
  </si>
  <si>
    <t>KCN Khánh Phú, Ninh Bình - Hà Nam</t>
  </si>
  <si>
    <t>Ninh Phúc, Ninh Bình</t>
  </si>
  <si>
    <t>Mua bạc chân cabin cho xe 15C-136.31</t>
  </si>
  <si>
    <t>Mua vòng bi trục trước xe 15C-136.31</t>
  </si>
  <si>
    <t>Mua phớt trục trước cho xe 15C-136.31</t>
  </si>
  <si>
    <t>Anh Phụng tạm ứng đi cứu hộ xe 15C-136.31</t>
  </si>
  <si>
    <t>Thanh toán tiền lốp xe 15C-136.31 (Lốp 295/75R255 Otani thái dọc)</t>
  </si>
  <si>
    <t>Thanh toán tiền sửa xe 15C-136.31 ngày 15/10 (công tán 2 bộ phanh lái, công thay phớt may ơ lái, 1 bộ lò xo, công thay 
bọc cabin, công thợ tháo lắp má phanh, mua con lăn má phanh)</t>
  </si>
  <si>
    <t>Thanh toán tiền sửa xe 15C-136.31 ngày 27/10 (ép ống dẫn, mua tổng côn trên, thay phớt tổng côn dưới, công thợ đi 
cứu hộ)</t>
  </si>
  <si>
    <t>Thanh toán tiền cứu hộ lốp xe 15C-136.31 ngày 20.10</t>
  </si>
  <si>
    <t>Thanh toán tiền bơm mỡ đầu kéo + mooc xe xe 15C-136.31 ngày 19/10</t>
  </si>
  <si>
    <t>Thanh toán tiền công thay lốp xe 15C-136.31 ngày 23/10</t>
  </si>
  <si>
    <t>THÁNG 11.2018</t>
  </si>
  <si>
    <t>Đóng hàng chè chiều 01/11</t>
  </si>
  <si>
    <t>Trả hàng Vietsun sáng 05/11</t>
  </si>
  <si>
    <t>Đóng hàng chè sáng 06/11</t>
  </si>
  <si>
    <t>Đóng hàng Vietsun sáng 08/11</t>
  </si>
  <si>
    <t>Đóng hàng chè sáng 09/11</t>
  </si>
  <si>
    <t>Trả hàng + đóng hàng KH 10/11</t>
  </si>
  <si>
    <t>Đóng hàng chè sáng 11/11</t>
  </si>
  <si>
    <t>Trả hàng NK sáng 12/11</t>
  </si>
  <si>
    <t>Trả hàng NK sáng 14/11</t>
  </si>
  <si>
    <t>Trả hàng + đóng hàng KH 15/11</t>
  </si>
  <si>
    <t>Trả hàng NK sáng 17/11</t>
  </si>
  <si>
    <t>Trả hàng NK sáng 19/11</t>
  </si>
  <si>
    <t>Trả hàng Vietsun sáng 20/11</t>
  </si>
  <si>
    <t>Đóng hàng chè sáng 21/11</t>
  </si>
  <si>
    <t>Trả hàng NK sáng 22/11</t>
  </si>
  <si>
    <t>Đóng hàng phân sáng 23/11</t>
  </si>
  <si>
    <t>Đóng hàng phân sáng 24/11</t>
  </si>
  <si>
    <t>Đóng hàng XK sáng 27/11</t>
  </si>
  <si>
    <t>Đóng hàng chè sáng 28/11</t>
  </si>
  <si>
    <t>Đóng hàng chè sáng 29/11</t>
  </si>
  <si>
    <t>Trả hàng NK sáng 30/11</t>
  </si>
  <si>
    <t>WHSU4007036</t>
  </si>
  <si>
    <t>MRKU2885889</t>
  </si>
  <si>
    <t>OOCU7659074</t>
  </si>
  <si>
    <t>CMAU7478655</t>
  </si>
  <si>
    <t>WHSU5190682</t>
  </si>
  <si>
    <t>WHLU2588996</t>
  </si>
  <si>
    <t>TEMU6979967</t>
  </si>
  <si>
    <t>TLLU4934250</t>
  </si>
  <si>
    <t>UETU4076388</t>
  </si>
  <si>
    <t>SMCU2100927</t>
  </si>
  <si>
    <t>DRYU2924270</t>
  </si>
  <si>
    <t>WHLU5691216</t>
  </si>
  <si>
    <t>BMOU5713201</t>
  </si>
  <si>
    <t>YMLU8903260</t>
  </si>
  <si>
    <t>CAIU7868521</t>
  </si>
  <si>
    <t>CAIU9221154</t>
  </si>
  <si>
    <t>SEGU5133432</t>
  </si>
  <si>
    <t>TCKU2014998</t>
  </si>
  <si>
    <t>GLDU5445129</t>
  </si>
  <si>
    <t>VSLU7026172</t>
  </si>
  <si>
    <t>ITTU3053430</t>
  </si>
  <si>
    <t>DFSU7601645</t>
  </si>
  <si>
    <t>OOCU6942032</t>
  </si>
  <si>
    <t>CCLU6571971</t>
  </si>
  <si>
    <t>Gián Khẩu, Gia Viễn, Ninh Bình</t>
  </si>
  <si>
    <t>KCN VSIP Bắc Ninh - Hà Nam</t>
  </si>
  <si>
    <t>Thổ Tang, Vĩnh Phúc</t>
  </si>
  <si>
    <t xml:space="preserve">Long Biên, Hà Nội </t>
  </si>
  <si>
    <t>TP. Vinh, Nghệ An</t>
  </si>
  <si>
    <t>Thanh toán tiền lọc nhớt, lọc ly tâm xe 15C-136.31</t>
  </si>
  <si>
    <t>Thanh toán tiền mua dầu total rubia tir 7400</t>
  </si>
  <si>
    <t>Thanh toán tiền thay săm xe 136.31 cho Minh Ngọc ngày 5/11</t>
  </si>
  <si>
    <t>Thanh toán tiền sửa xe 15C-136.31 (cắt cân bằng áp suất)</t>
  </si>
  <si>
    <t>Thanh toán tiền bơm lái xe 15C-136.31</t>
  </si>
  <si>
    <t>Thanh toán tiền sửa xe 15C-136.31 ngày 14/11 (bơm mỡ đầu kéo+mooc, thay lọc ly tâm)</t>
  </si>
  <si>
    <t>Thanh toán tiền sửa xe 15C-136.31 ngày 12/11 (thay 1 sợ dây phanh+công làm)</t>
  </si>
  <si>
    <t>THÁNG 12.2018</t>
  </si>
  <si>
    <t>Đóng hàng chè sáng 01/12</t>
  </si>
  <si>
    <t>Trả hàng Vietsun sáng 03/12</t>
  </si>
  <si>
    <t>Đóng hàng chè sáng 06/12</t>
  </si>
  <si>
    <t>Đóng hàng chè sáng 07/12</t>
  </si>
  <si>
    <t>Trả hàng + đóng hàng KH 08/12</t>
  </si>
  <si>
    <t>Đóng hàng chè sáng 10/12</t>
  </si>
  <si>
    <t>Trả hàng Vietsun sáng 11/12</t>
  </si>
  <si>
    <t>Trả hàng Vietsun chiều 11/12</t>
  </si>
  <si>
    <t>Trả hàng NK sáng 12/12</t>
  </si>
  <si>
    <t>Đóng hàng phân sáng 13/12</t>
  </si>
  <si>
    <t>Đóng hàng chè sáng 14/12</t>
  </si>
  <si>
    <t>Trả hàng NK sáng 17/12</t>
  </si>
  <si>
    <t>Trả hàng NK sáng 18/12</t>
  </si>
  <si>
    <t>Trả hàng NK sáng 20/12</t>
  </si>
  <si>
    <t>Trả hàng NK sáng 21/12</t>
  </si>
  <si>
    <t>Trả hàng NK sáng 22/12</t>
  </si>
  <si>
    <t>Trả hàng + đóng hàng KH 25/12</t>
  </si>
  <si>
    <t>Đóng hàng phân sáng 26/12</t>
  </si>
  <si>
    <t>Đóng hàng phân sáng 28/12</t>
  </si>
  <si>
    <t>Đóng hàng phân sáng 29/12</t>
  </si>
  <si>
    <t>MAGU5507414</t>
  </si>
  <si>
    <t>DRYU9591885</t>
  </si>
  <si>
    <t>OOCU7753310</t>
  </si>
  <si>
    <t>TCNU4664282</t>
  </si>
  <si>
    <t>WHSU5165313</t>
  </si>
  <si>
    <t>WHLU5739817</t>
  </si>
  <si>
    <t>GMDU8189552</t>
  </si>
  <si>
    <t>TGBU6360150</t>
  </si>
  <si>
    <t>TCNU46785710</t>
  </si>
  <si>
    <t>GAOU6144958</t>
  </si>
  <si>
    <t>TCNU3653597</t>
  </si>
  <si>
    <t>BMOU1069106</t>
  </si>
  <si>
    <t>WHLU5833119</t>
  </si>
  <si>
    <t>TGBU2579411</t>
  </si>
  <si>
    <t>FBLU0118070</t>
  </si>
  <si>
    <t>SEGU4266662</t>
  </si>
  <si>
    <t>TEMU1921962</t>
  </si>
  <si>
    <t>SITU9052912</t>
  </si>
  <si>
    <t>BMOU6492445</t>
  </si>
  <si>
    <t>TCLU5940325</t>
  </si>
  <si>
    <t>CSNU1597694</t>
  </si>
  <si>
    <t>GMDU8150503</t>
  </si>
  <si>
    <t>MSKU4029646</t>
  </si>
  <si>
    <t>EITU1709777</t>
  </si>
  <si>
    <t>SUDU1310801</t>
  </si>
  <si>
    <t>TGHU0259663</t>
  </si>
  <si>
    <t>Văn Giang, Hưng Yên</t>
  </si>
  <si>
    <t>Đồng Kị - Từ Sơn, Bắc Ninh - Bắc Ninh</t>
  </si>
  <si>
    <t>KCN Phúc Khánh, Thái Bình</t>
  </si>
  <si>
    <t xml:space="preserve">Phố Nối A, Hưng Yên </t>
  </si>
  <si>
    <t>Phù Khê, Bắc Ninh - Tân Chi, Bắc Ninh</t>
  </si>
  <si>
    <t>Mua cầu chì</t>
  </si>
  <si>
    <t>Mua nước lọc</t>
  </si>
  <si>
    <t>Lắp camera hành trình</t>
  </si>
  <si>
    <t>Thanh toán tiền lọc gió xe 15C-136.31</t>
  </si>
  <si>
    <t>Thanh toán tiền sửa xe 15C-136.31 (công thợ hạ bét lái, căn lại buồng, công thay bơm, mua dầu bót lái)</t>
  </si>
  <si>
    <t>Thanh toán nước làm mát</t>
  </si>
  <si>
    <t>Bom mỡ đầu kéo xe 15C-136.31</t>
  </si>
  <si>
    <t>THÁNG 1.2019</t>
  </si>
  <si>
    <t>Đóng hàng phân sáng 02/01</t>
  </si>
  <si>
    <t>Đóng hàng chè sáng 03/01</t>
  </si>
  <si>
    <t>Đóng hàng chè sáng 04/01</t>
  </si>
  <si>
    <t>Đóng hàng XK sáng 06/01</t>
  </si>
  <si>
    <t>Trả hàng NK sáng 08/01</t>
  </si>
  <si>
    <t>Đóng hàng xỉ bọt sáng 10/01</t>
  </si>
  <si>
    <t>Đóng hàng XK sáng 11/01</t>
  </si>
  <si>
    <t>Trả hàng NK chiều 12/01</t>
  </si>
  <si>
    <t>Trả hàng NK đêm 14/01</t>
  </si>
  <si>
    <t>Trả hàng Vietsun sáng 15/01</t>
  </si>
  <si>
    <t>Đóng hàng phân sáng 16/01</t>
  </si>
  <si>
    <t>Đóng hàng phân sáng 17/01</t>
  </si>
  <si>
    <t>Đóng hàng phân sáng 19/01</t>
  </si>
  <si>
    <t>Đóng hàng chè sáng 18/01</t>
  </si>
  <si>
    <t>Trả hàng + đóng hàng KH 21/01</t>
  </si>
  <si>
    <t>Đóng hàng phân sáng 22/01</t>
  </si>
  <si>
    <t>Trả hàng NK chiều 24/01</t>
  </si>
  <si>
    <t>Đóng hàng phân chiều 24/01</t>
  </si>
  <si>
    <t>Đóng hàng chè sáng 27/01</t>
  </si>
  <si>
    <t>Trả hàng + đóng hàng KH 28/01</t>
  </si>
  <si>
    <t>Trả hàng NK sáng 30/01</t>
  </si>
  <si>
    <t>Trả hàng + đóng hàng KH 31/01</t>
  </si>
  <si>
    <t>MAGU2347971</t>
  </si>
  <si>
    <t>WHSU2303759</t>
  </si>
  <si>
    <t>WHSU5448041</t>
  </si>
  <si>
    <t>DRYU9065129</t>
  </si>
  <si>
    <t>FCIU8902824</t>
  </si>
  <si>
    <t>DRYU2924412</t>
  </si>
  <si>
    <t>TCNU1206408</t>
  </si>
  <si>
    <t>HACU4181318</t>
  </si>
  <si>
    <t>DFSU6987019</t>
  </si>
  <si>
    <t>YMMU6116823</t>
  </si>
  <si>
    <t>WBPU7006957</t>
  </si>
  <si>
    <t>BISU6824587</t>
  </si>
  <si>
    <t>GAOU6144433</t>
  </si>
  <si>
    <t>SUDU1981250</t>
  </si>
  <si>
    <t>MSKU3580145</t>
  </si>
  <si>
    <t>CADU2015410</t>
  </si>
  <si>
    <t>WHSU5102167</t>
  </si>
  <si>
    <t>HJMU2154245</t>
  </si>
  <si>
    <t>OCGU2000228</t>
  </si>
  <si>
    <t>HAHU5031630</t>
  </si>
  <si>
    <t>TEMU4271710</t>
  </si>
  <si>
    <t>TLLU4781042</t>
  </si>
  <si>
    <t>GMDU2150656</t>
  </si>
  <si>
    <t>TCNU6189582</t>
  </si>
  <si>
    <t>DRYU2924290</t>
  </si>
  <si>
    <t>Thường Tín, Hà Nội - Hải Phòng</t>
  </si>
  <si>
    <t>TT Kép, Lạng Giang, Bắc Giang</t>
  </si>
  <si>
    <t>Thạch Thất , Hà Nội</t>
  </si>
  <si>
    <t>Lý Nhân, Hà Nam - Hà Nam</t>
  </si>
  <si>
    <t>Tô Múa, Mộc Châu, Sơn La</t>
  </si>
  <si>
    <t>Khai Quang, Vĩnh Phúc -  Hà Nam</t>
  </si>
  <si>
    <t>Thanh toán tiền thay dây hơi+công thợ ngày 9/1 xe 15C-136.31</t>
  </si>
  <si>
    <t>Anh Phụng thanh toán tiền sửa xe 15C-136.31 (thay 1 băng tải chắn bùn, hàn lại chắn bùn, thay 1 ống giảm rung)</t>
  </si>
  <si>
    <t>Thanh toán tiền sửa xe 15C-136.31 (tán má phanh đầu kéo, thay con lăn má phanh, mua dầu rửa, dầu cầu, rẻ, keo+công làm)</t>
  </si>
  <si>
    <t>Thanh toán tiền sửa xe 15C-136.31 (mua may ơ cầu, mua bi may ơ, chảy dầu, tán phanh đầu kéo, con lăn, công thợ)</t>
  </si>
  <si>
    <t>Thanh toán tiền mua lốp xe Goodride 11.00-20 15C-136.31</t>
  </si>
  <si>
    <t>Thanh toán tiền sửa xe 15C-136.31 (mua côn mới, mua ống bơm mỡ, láng mài, thay củ ống bi tê bàn ép, mua phớt cúp ben dưới, công thợ)</t>
  </si>
  <si>
    <t xml:space="preserve">Thưởng tết </t>
  </si>
  <si>
    <t>THÁNG 2.2019</t>
  </si>
  <si>
    <t>Đóng hàng chè sáng 12/02</t>
  </si>
  <si>
    <t>Đóng hàng phân sáng 13/02</t>
  </si>
  <si>
    <t>Đóng hàng XK sáng 14/02</t>
  </si>
  <si>
    <t>Trả hàng Vietsun sáng 15/02</t>
  </si>
  <si>
    <t>Trả hàng NK sáng 20/02</t>
  </si>
  <si>
    <t>Đóng hàng phân sáng 21/02</t>
  </si>
  <si>
    <t>Đóng hàng phân sáng 22/02</t>
  </si>
  <si>
    <t>Trả hàng NK sáng 27/02</t>
  </si>
  <si>
    <t>TCNU1767116</t>
  </si>
  <si>
    <t>EITU0354672</t>
  </si>
  <si>
    <t>CSNU6348230</t>
  </si>
  <si>
    <t>EITU0429534</t>
  </si>
  <si>
    <t>WHSU2387657</t>
  </si>
  <si>
    <t>BMOU6509698</t>
  </si>
  <si>
    <t>EMCU3960240</t>
  </si>
  <si>
    <t>DRYU2209116</t>
  </si>
  <si>
    <t>TEMU7424351</t>
  </si>
  <si>
    <t>TCNU4341551</t>
  </si>
  <si>
    <t>DRYU2853279</t>
  </si>
  <si>
    <t>SEGU3494082</t>
  </si>
  <si>
    <t>Nghi Sơn, Thanh Hóa</t>
  </si>
  <si>
    <t>Tân Trường, Cẩm Giàng, Hải Dương</t>
  </si>
  <si>
    <t>Cẩm Giàng, HD - Chương Mỹ, HN - Hà Nam</t>
  </si>
  <si>
    <t>Lì xì đầu năm cho lái xe</t>
  </si>
  <si>
    <t>THÁNG 3.2019</t>
  </si>
  <si>
    <t>Trả hàng NK sáng 01/03</t>
  </si>
  <si>
    <t>Đóng hàng phân sáng 02/03</t>
  </si>
  <si>
    <t>Trả hàng NK sáng 04/03</t>
  </si>
  <si>
    <t>Đóng hàng XK sáng 04/03</t>
  </si>
  <si>
    <t>Trả hàng + đóng hàng KH 05/03</t>
  </si>
  <si>
    <t>Trả hàng NK sáng 08/03</t>
  </si>
  <si>
    <t>Trả hàng Vietsun sáng 12/09</t>
  </si>
  <si>
    <t>Trả hàng Vietsun sáng 13/03</t>
  </si>
  <si>
    <t>Đóng hàng chè chiều 14/03</t>
  </si>
  <si>
    <t>Đóng hàng phân sáng 18/03</t>
  </si>
  <si>
    <t>Đóng hàng phân sáng 19/03</t>
  </si>
  <si>
    <t>Đóng hàng chè sáng 20/03</t>
  </si>
  <si>
    <t>Trả hàng NK sáng 23/03</t>
  </si>
  <si>
    <t>Trả hàng NK sáng 25/03</t>
  </si>
  <si>
    <t>Đóng hàng phân sáng 27/03</t>
  </si>
  <si>
    <t>Đóng hàng xỉ bọt sáng 28/03</t>
  </si>
  <si>
    <t>Trả hàng NK sáng 29/03</t>
  </si>
  <si>
    <t>Trả hàng NK chiều 30/03</t>
  </si>
  <si>
    <t>DFSU7305319</t>
  </si>
  <si>
    <t>PONU0409340</t>
  </si>
  <si>
    <t>TCKU1480857</t>
  </si>
  <si>
    <t>CCZU9911690</t>
  </si>
  <si>
    <t>TRHU3360078</t>
  </si>
  <si>
    <t>VNLU3097448</t>
  </si>
  <si>
    <t>TCKU3224290</t>
  </si>
  <si>
    <t>FCIU7130705</t>
  </si>
  <si>
    <t>CAIU7501217</t>
  </si>
  <si>
    <t>CAIU3298210</t>
  </si>
  <si>
    <t>TCNU4595263</t>
  </si>
  <si>
    <t>DRYU9592243</t>
  </si>
  <si>
    <t>WHSU2263954</t>
  </si>
  <si>
    <t>VNLU3097432</t>
  </si>
  <si>
    <t>EGHU3563989</t>
  </si>
  <si>
    <t>EGSU3002071</t>
  </si>
  <si>
    <t>WHSU5040980</t>
  </si>
  <si>
    <t>GESU3569417</t>
  </si>
  <si>
    <t>WHSU5630101</t>
  </si>
  <si>
    <t>TCKU9682746</t>
  </si>
  <si>
    <t>FCIU3090029</t>
  </si>
  <si>
    <t>MSKU2928215</t>
  </si>
  <si>
    <t>DJLU5154982</t>
  </si>
  <si>
    <t>HAHU5034095</t>
  </si>
  <si>
    <t>TEMU4470219</t>
  </si>
  <si>
    <t>TP. Thái Nguyên - Hà Nam</t>
  </si>
  <si>
    <t>Bình Xuyên, Vĩnh Phúc - Hà Nam</t>
  </si>
  <si>
    <t>Khai Quang, Vĩnh Phúc - Hà Nam</t>
  </si>
  <si>
    <t>Hà Trung, Thanh Hóa - Hà Nam</t>
  </si>
  <si>
    <t>Nam Sách, Hải Dương - Hà Nam</t>
  </si>
  <si>
    <t>Nghĩa Hưng, Nam Định - Hà Nam</t>
  </si>
  <si>
    <t>Yên Dũng, Bắc Giang</t>
  </si>
  <si>
    <t>Thanh toán tiền lọc dầu tinh max xe 15C-136.31</t>
  </si>
  <si>
    <t>Thanh toán tiền lọc thả xe 15C-136.31</t>
  </si>
  <si>
    <t>Thanh toán tiền dầu rubia tir</t>
  </si>
  <si>
    <t>Thanh toán tiền sửa xe 15C-136.31 (phớt cổ trục lốc lạnh mới, ga lạnh, cắt cảm biến lạnh, rơ le cầu trì nhật, công thợ)</t>
  </si>
  <si>
    <t>Thanh toán tiền sửa xe 15C-136.31 (nắn hàn thanh BH sau, thay hàn thanh chống)</t>
  </si>
  <si>
    <t>Thanh toán tiền bơm mỡ đầu kéo + mooc xe 15C-136.31 ngày 13/3</t>
  </si>
  <si>
    <t>Thanh toán tiền sửa xe 15C-136.31 ngày 24/3 (8 bóng đèn sườn, 1 bóng đén pha, 1 đui bóng pha, công lắp đèn sườn)</t>
  </si>
  <si>
    <t>THÁNG 4.2019</t>
  </si>
  <si>
    <t>Trả hàng sáng 01/04</t>
  </si>
  <si>
    <t>Đóng hàng chè sáng 02/04</t>
  </si>
  <si>
    <t>Đóng hàng phân 03/04</t>
  </si>
  <si>
    <t>Đóng hàng KH chiều 04/04</t>
  </si>
  <si>
    <t>Trả hàng Vietsun sáng 06/04</t>
  </si>
  <si>
    <t>Trả hàng + đóng hàng KH 08/04</t>
  </si>
  <si>
    <t>Đóng hàng sáng 11/04</t>
  </si>
  <si>
    <t>Đóng hàng sáng 12/04</t>
  </si>
  <si>
    <t>Đóng hàng chè sáng 17/04</t>
  </si>
  <si>
    <t>Trả hàng + đóng hàng KH 18/04</t>
  </si>
  <si>
    <t>Trả hàng NK sáng 19/04</t>
  </si>
  <si>
    <t>Trả hàng NK sáng 20/04</t>
  </si>
  <si>
    <t>Trả hàng NK sáng 21/04</t>
  </si>
  <si>
    <t>Trả hàng Vietsun sáng 22/04</t>
  </si>
  <si>
    <t>Trả hàng NK sáng 23/04</t>
  </si>
  <si>
    <t>Trả hàng NK sáng 24/04</t>
  </si>
  <si>
    <t>Trả hàng + đóng hàng KH 25/04</t>
  </si>
  <si>
    <t>Trả hàng NK sáng 26/04</t>
  </si>
  <si>
    <t>Trả hàng + đóng hàng KH 27/04</t>
  </si>
  <si>
    <t>Trả hàng sáng 29/04</t>
  </si>
  <si>
    <t>BISU6823889</t>
  </si>
  <si>
    <t>WHSU5189249</t>
  </si>
  <si>
    <t>TRLU8823189</t>
  </si>
  <si>
    <t>DRYU9970493</t>
  </si>
  <si>
    <t>HJMU2131173</t>
  </si>
  <si>
    <t>DRYU9969527</t>
  </si>
  <si>
    <t>GESU3827234</t>
  </si>
  <si>
    <t>MAGU5573695</t>
  </si>
  <si>
    <t>DRYU9815199</t>
  </si>
  <si>
    <t>FCIU9396654</t>
  </si>
  <si>
    <t>SEGU5757819</t>
  </si>
  <si>
    <t>DRYU3094829</t>
  </si>
  <si>
    <t>BEAU4336942</t>
  </si>
  <si>
    <t>DFSU4112276</t>
  </si>
  <si>
    <t>MOFU1407053</t>
  </si>
  <si>
    <t>TCNU4785746</t>
  </si>
  <si>
    <t>EMCU1429595</t>
  </si>
  <si>
    <t>CXDU1150520</t>
  </si>
  <si>
    <t>GMDU8186698</t>
  </si>
  <si>
    <t>FSCU9741955</t>
  </si>
  <si>
    <t>DRYU3095194</t>
  </si>
  <si>
    <t>GMDU8150313</t>
  </si>
  <si>
    <t>Đông Anh, Hà Nội</t>
  </si>
  <si>
    <t>Cảng nội địa Hải Dương</t>
  </si>
  <si>
    <t>Như Quỳnh, Văn Lâm, Hưng Yên</t>
  </si>
  <si>
    <t>Đồng Văn, Hà Nam - Phố Nối A, Hưng Yên</t>
  </si>
  <si>
    <t>Trấn Yên, Yên Bái</t>
  </si>
  <si>
    <t>Tân Tiến, Văn Giang, Hưng Yên</t>
  </si>
  <si>
    <t>Thổ Tang, Vĩnh Tường, Vĩnh Phúc</t>
  </si>
  <si>
    <t>Tự Khoát, Thanh Trì, Hà Nôi</t>
  </si>
  <si>
    <t>Yên Dũng, Bắc Giang - Bắc Ninh - Hải Phòng</t>
  </si>
  <si>
    <t>Thanh toán định vị bách khoa xe 15C-136.31 (từ T4/19 đến T4/20)</t>
  </si>
  <si>
    <t>Kiểm định xe 15C-136.31 (cả đầu kéo + rơ mooc)</t>
  </si>
  <si>
    <t>Dịch vụ đăng kiểm xe 15C-136.31</t>
  </si>
  <si>
    <t>Thanh toán tiền sửa xe 15C-136.31 ngày 16/4 (tán má phanh mooc, mua bạc tay dằng, công tháo lắp, mua bi may ơ mooc, mua mỡ may ơ mooc, mua dầu rửa, mua tổng côn dưới+công thay, công làm may ơ mooc)</t>
  </si>
  <si>
    <t>Thanh toán tiền sửa xe 15C-136.31 ngày 26/4 (bọc ghế, làm lại mút ngồi)</t>
  </si>
  <si>
    <t>Thanh toán tiền sửa xe 15C-136.31 ngày 26/4 (bơm mỡ đầu kéo, mooc)</t>
  </si>
  <si>
    <t>Chi thưởng 1-5</t>
  </si>
  <si>
    <t>THÁNG 5.2019</t>
  </si>
  <si>
    <t>Đóng hàng chè sáng 03/05</t>
  </si>
  <si>
    <t>Trả hàng NK sáng 06/05</t>
  </si>
  <si>
    <t>Trả hàng NK sáng 08/05</t>
  </si>
  <si>
    <t>Đóng hàng chè sáng 09/05</t>
  </si>
  <si>
    <t>Trả hàng + đóng hàng KH 10/05</t>
  </si>
  <si>
    <t>Trả hàng NK sáng 13/05</t>
  </si>
  <si>
    <t>Đóng hàng chè sáng 14/05</t>
  </si>
  <si>
    <t>Đóng hàng chè sáng 15/05</t>
  </si>
  <si>
    <t>Trả hàng Vietsun sáng 16/05</t>
  </si>
  <si>
    <t>Đóng hàng phân lân sáng 18/05</t>
  </si>
  <si>
    <t>Đóng phân lân sáng 19/05</t>
  </si>
  <si>
    <t>Đóng hàng chè sáng 24/05</t>
  </si>
  <si>
    <t>Đóng hàng chè sáng 25/05</t>
  </si>
  <si>
    <t>Trả hàng sáng 27/05</t>
  </si>
  <si>
    <t>Đóng hàng chè sáng 28/05</t>
  </si>
  <si>
    <t>Trả hàng NK sáng 31/05</t>
  </si>
  <si>
    <t>CRXU3366645</t>
  </si>
  <si>
    <t>WHSU2215426</t>
  </si>
  <si>
    <t>WHSU2282070</t>
  </si>
  <si>
    <t>GMDU8141836</t>
  </si>
  <si>
    <t>SZLU9428991</t>
  </si>
  <si>
    <t>GAOU2111283</t>
  </si>
  <si>
    <t>MSKU1823061</t>
  </si>
  <si>
    <t>OOCU7026672</t>
  </si>
  <si>
    <t>GMDU8191328</t>
  </si>
  <si>
    <t>DRYU2924475</t>
  </si>
  <si>
    <t>SEGU5603623</t>
  </si>
  <si>
    <t>WHSU5456303</t>
  </si>
  <si>
    <t>TLLU4858000</t>
  </si>
  <si>
    <t>TCLU9800640</t>
  </si>
  <si>
    <t>WHSU5406914</t>
  </si>
  <si>
    <t>HMCU3001778</t>
  </si>
  <si>
    <t>EITU0361558</t>
  </si>
  <si>
    <t>CAIU7160698</t>
  </si>
  <si>
    <t>WHSU2254356</t>
  </si>
  <si>
    <t>WHSU2150990</t>
  </si>
  <si>
    <t>WHSU2312529</t>
  </si>
  <si>
    <t>WHSU2687090</t>
  </si>
  <si>
    <t>TCNU5320532</t>
  </si>
  <si>
    <t>MAGU5766565</t>
  </si>
  <si>
    <t>BMOU1222513</t>
  </si>
  <si>
    <t>WHSU2651100</t>
  </si>
  <si>
    <t>WHLU5627925</t>
  </si>
  <si>
    <t>MRSU3408029</t>
  </si>
  <si>
    <t>Từ Sơn, Bắc Ninh - Hà Nam</t>
  </si>
  <si>
    <t>Thanh Trì, Hà Nội - NM Giấy Việt Trì</t>
  </si>
  <si>
    <t>Hà Đông, Hà Nội</t>
  </si>
  <si>
    <t>Tây Bắc Ga, Thanh Hóa - Hà Nam</t>
  </si>
  <si>
    <t>Thường Tín, Hà Nội - Hà Nội</t>
  </si>
  <si>
    <t>Vĩnh Khúc, Văn Giang, Hưng Yên - Hà Nam</t>
  </si>
  <si>
    <t>Tứ Kỳ, Hải Dương</t>
  </si>
  <si>
    <t>Cầu Lường, Lạng Giang, Bắc Giang</t>
  </si>
  <si>
    <t>Mua bảo hiểm xe</t>
  </si>
  <si>
    <t>Sửa cửa gió điều hòa</t>
  </si>
  <si>
    <t>Thay 2 bình ắc quy Đồng Nai</t>
  </si>
  <si>
    <t>Thay 2 lốp Trazano 295/75R22.5</t>
  </si>
  <si>
    <t>THÁNG 6.2019</t>
  </si>
  <si>
    <t>Trả hàng + đóng hàng KH 04/06</t>
  </si>
  <si>
    <t>Đóng hàng phân lân sáng 05/06</t>
  </si>
  <si>
    <t>Đóng hàng chè sáng 06/06</t>
  </si>
  <si>
    <t>Trả hàng NK sáng 10/06</t>
  </si>
  <si>
    <t>Trả hàng NK sáng 12/06</t>
  </si>
  <si>
    <t>Đóng hàng chè sáng 13/06</t>
  </si>
  <si>
    <t>Trả hàng NK tối 14/06</t>
  </si>
  <si>
    <t>Trả hàng Vietsun sáng 17/06</t>
  </si>
  <si>
    <t>Trả hàng Vietsun sáng 18/06</t>
  </si>
  <si>
    <t>Đóng hàng chè sáng 19/06</t>
  </si>
  <si>
    <t>Đóng hàng chè sáng 24/06</t>
  </si>
  <si>
    <t>Trả hàng + đóng hàng KH 25/06</t>
  </si>
  <si>
    <t>Trả hàng Vietsun sáng 26/06</t>
  </si>
  <si>
    <t>Trả hàng Vietsun sáng 28/06</t>
  </si>
  <si>
    <t>Đóng hàng XK sáng 29/06</t>
  </si>
  <si>
    <t>TCNU9850398</t>
  </si>
  <si>
    <t>DFSU1213684</t>
  </si>
  <si>
    <t>WHSU2381129</t>
  </si>
  <si>
    <t>GMDU8181649</t>
  </si>
  <si>
    <t>SEGU6456654</t>
  </si>
  <si>
    <t>TCNU6595328</t>
  </si>
  <si>
    <t>TCLU4422039</t>
  </si>
  <si>
    <t>GAOU6091605</t>
  </si>
  <si>
    <t>WHSU2485674</t>
  </si>
  <si>
    <t>MRKU5928372</t>
  </si>
  <si>
    <t>TCNU4785469</t>
  </si>
  <si>
    <t>DRYU9961892</t>
  </si>
  <si>
    <t>OOLU9143859</t>
  </si>
  <si>
    <t>DRYU3093680</t>
  </si>
  <si>
    <t>GAOU6143648</t>
  </si>
  <si>
    <t>HACU4160824</t>
  </si>
  <si>
    <t>HMMU6149943</t>
  </si>
  <si>
    <t>TRHU2991844</t>
  </si>
  <si>
    <t>TCNU4785514</t>
  </si>
  <si>
    <t>DRYU2853601</t>
  </si>
  <si>
    <t>DRYU9968691</t>
  </si>
  <si>
    <t>MAGU5609355</t>
  </si>
  <si>
    <t>Bích Hòa, Thanh Oai, HN - Duyên Thái, HN</t>
  </si>
  <si>
    <t>Thạch Thất, Hà Nội - Hà Nội</t>
  </si>
  <si>
    <t>Trưng Trắc, Văn Lâm, Hưng Yên</t>
  </si>
  <si>
    <t>Hải Hậu, Nam Định</t>
  </si>
  <si>
    <t>TP. Hòa Bình, Hà Nam</t>
  </si>
  <si>
    <t>Từ Liêm, Hà Nội - KCN Duyên Thái, Hà Nội</t>
  </si>
  <si>
    <t>Yên Mỹ, Hưng Yên - Ninh Bình</t>
  </si>
  <si>
    <t>Liên Phương, TP Hưng Yên</t>
  </si>
  <si>
    <t>Gián Khẩu , Ninh Bình</t>
  </si>
  <si>
    <t>A phụng trả tiền lốp xe 15C-136.31: 2 lốp Trazano 295/75R22.5</t>
  </si>
  <si>
    <t>Mua bóng hơi tải cho xe 15C-136.31</t>
  </si>
  <si>
    <t>SC Mua săm và yếm cho xe 15C-136.31</t>
  </si>
  <si>
    <t>Sửa chữa: áp lực gió, công tơ mét, công thợ xe 15C-136.31</t>
  </si>
  <si>
    <t>Sửa chữa: bơm mỡ, chỉnh phanh xe 15C-136.31</t>
  </si>
  <si>
    <t xml:space="preserve">     </t>
  </si>
  <si>
    <t>THÁNG 7.2019</t>
  </si>
  <si>
    <t>Đóng hàng chè sáng 02/07</t>
  </si>
  <si>
    <t>WHSU4040522</t>
  </si>
  <si>
    <t>Cộng tiền cước trung chuyển vào tiền đường</t>
  </si>
  <si>
    <t>Đóng hàng phân sáng 03/07</t>
  </si>
  <si>
    <t>MAGU2455894</t>
  </si>
  <si>
    <t>Trả hàng + đóng hàng KH 04/07</t>
  </si>
  <si>
    <t>TCKU1935935</t>
  </si>
  <si>
    <t>Đông Anh , Hà Nội - Hà Nam</t>
  </si>
  <si>
    <t>WHSU5254771</t>
  </si>
  <si>
    <t>MSKU3353368</t>
  </si>
  <si>
    <t>Trả hàng NK sáng 08/07</t>
  </si>
  <si>
    <t>NYKU4784656</t>
  </si>
  <si>
    <t>Trả hàng + đóng hàng KH 09/07</t>
  </si>
  <si>
    <t>DRYU3093186</t>
  </si>
  <si>
    <t>Trả hàng + đóng hàng KH 10/07</t>
  </si>
  <si>
    <t>GMDU8151161</t>
  </si>
  <si>
    <t>Long Biên, Hà Nội - Hà Nội</t>
  </si>
  <si>
    <t>Đóng hàng chè sáng 11/07</t>
  </si>
  <si>
    <t>WHSU5438510</t>
  </si>
  <si>
    <t>Trả hàng Vietsun sáng 12/07</t>
  </si>
  <si>
    <t>Mỹ Hào, Hưng Yên - Hải Phòng</t>
  </si>
  <si>
    <t>Trả hàng NK sáng 13/07</t>
  </si>
  <si>
    <t>BMOU2822050</t>
  </si>
  <si>
    <t>KCN VSIP, Bắc Ninh</t>
  </si>
  <si>
    <t>Đóng hàng sáng 14/07</t>
  </si>
  <si>
    <t>DRYU9959869</t>
  </si>
  <si>
    <t>Phú Khánh, Yên Khánh, Ninh Bình</t>
  </si>
  <si>
    <t>Trả hàng sáng 15/07</t>
  </si>
  <si>
    <t>GLDU7696606</t>
  </si>
  <si>
    <t>WHSU5450584</t>
  </si>
  <si>
    <t>SEGU5363760</t>
  </si>
  <si>
    <t>Trả hàng NK sáng 18/07</t>
  </si>
  <si>
    <t>TEMU5787804</t>
  </si>
  <si>
    <t>Trả hàng NK sáng 19/07</t>
  </si>
  <si>
    <t>PONU7530800</t>
  </si>
  <si>
    <t>Đóng chè sáng 20/07</t>
  </si>
  <si>
    <t>OOCU7585177</t>
  </si>
  <si>
    <t>Đóng hàng chè chiều 22/07</t>
  </si>
  <si>
    <t>OOCU7730697</t>
  </si>
  <si>
    <t>Trả hàng Vietsun sáng 24/07</t>
  </si>
  <si>
    <t>TCNU4595622</t>
  </si>
  <si>
    <t>Đóng hàng chè sáng 25/07</t>
  </si>
  <si>
    <t>OOLU0898474</t>
  </si>
  <si>
    <t>OOLU0201975</t>
  </si>
  <si>
    <t>Đóng hàng XK sáng 26/07</t>
  </si>
  <si>
    <t>SKHU9624038</t>
  </si>
  <si>
    <t>BEAU4358324</t>
  </si>
  <si>
    <t>Trả hàng NK sáng 29/07</t>
  </si>
  <si>
    <t>WHSU5139459</t>
  </si>
  <si>
    <t>Tiên Du , Bắc Ninh</t>
  </si>
  <si>
    <t>Trả hàng + đóng hàng KH 30/07</t>
  </si>
  <si>
    <t>GLDU5473780</t>
  </si>
  <si>
    <t>Thạch Thất, Hà Nội - Hà Nam</t>
  </si>
  <si>
    <t>Vận chuyển hàng đường ngắn 31/07</t>
  </si>
  <si>
    <t>TEMU7222962</t>
  </si>
  <si>
    <t>Kho Vạn Mỹ, Hải Phòng</t>
  </si>
  <si>
    <t>GESU6700840</t>
  </si>
  <si>
    <t>Sửa chữa Nga thanh toán tiền thay 2 quả lốc kê mới (loại đẹp) và công thợ xe 15C-136.31</t>
  </si>
  <si>
    <t>Sửa chữa Nga thanh toán tiền bơm mỡ xe 15C-136.31</t>
  </si>
  <si>
    <t>Sửa chữa Nga thanh toán tiền thay 2 cút 10, 1 cút 6 tán táo ở tổng xả xe 15C-136.31</t>
  </si>
  <si>
    <t>Sửa chữa: Lọc nhớt xe maxx 15C-136.31</t>
  </si>
  <si>
    <t>Sửa chữa: Lọc nước xe maxx 15C-136.31</t>
  </si>
  <si>
    <t>Thay dầu nhớt động cơ</t>
  </si>
  <si>
    <t>THÁNG 8.2019</t>
  </si>
  <si>
    <t>Trả hàng + đóng hàng KH 01/08</t>
  </si>
  <si>
    <t>Trả hàng Vietsun sáng 02/08</t>
  </si>
  <si>
    <t>Đóng hàng bình khí sáng 03/08</t>
  </si>
  <si>
    <t>Đóng hàng chè chiều 06/08</t>
  </si>
  <si>
    <t>Trả hàng NK sáng 09/08</t>
  </si>
  <si>
    <t>Đóng hàng chè sáng 12/08</t>
  </si>
  <si>
    <t>Trả hàng Vietsun sáng 13/08</t>
  </si>
  <si>
    <t>Trả hàng + đóng hàng KH 14/08</t>
  </si>
  <si>
    <t>Đóng hàng chè sáng 16/08</t>
  </si>
  <si>
    <t>Trả hàng NK sáng 17/08</t>
  </si>
  <si>
    <t>Trả hàng sáng 19/08</t>
  </si>
  <si>
    <t>Trả hàng NK sáng 21/08</t>
  </si>
  <si>
    <t>Đóng hàng chè sáng 22/08</t>
  </si>
  <si>
    <t>Trả hàng NK sáng 23/08</t>
  </si>
  <si>
    <t>Trả hàng Vietsun sáng 24/08</t>
  </si>
  <si>
    <t>Trả hàng sáng 26/08</t>
  </si>
  <si>
    <t>Đóng hàng chè sáng 27/08</t>
  </si>
  <si>
    <t>TCKU1395950</t>
  </si>
  <si>
    <t>CAIU4667890</t>
  </si>
  <si>
    <t>TCKU3877355</t>
  </si>
  <si>
    <t>CAIU9064142</t>
  </si>
  <si>
    <t>WHSU5287311</t>
  </si>
  <si>
    <t>TCLU2933364</t>
  </si>
  <si>
    <t>SEGU5594291</t>
  </si>
  <si>
    <t>TLLU6020931</t>
  </si>
  <si>
    <t>TEMU6772331</t>
  </si>
  <si>
    <t>TLLU4308364</t>
  </si>
  <si>
    <t>CAIU2503686</t>
  </si>
  <si>
    <t>CSNU6258029</t>
  </si>
  <si>
    <t>BEAU4800288</t>
  </si>
  <si>
    <t>BMOU5410904</t>
  </si>
  <si>
    <t>SEGU5183095</t>
  </si>
  <si>
    <t>TEMU8400251</t>
  </si>
  <si>
    <t>WHSU4014056</t>
  </si>
  <si>
    <t>TEMU8811062</t>
  </si>
  <si>
    <t>CAIU4670574</t>
  </si>
  <si>
    <t>NYKU5176856</t>
  </si>
  <si>
    <t>FCIU7214030</t>
  </si>
  <si>
    <t>TCNU4595920</t>
  </si>
  <si>
    <t>BEAU4812782</t>
  </si>
  <si>
    <t>VNLU2091152</t>
  </si>
  <si>
    <t>BEAU4826976</t>
  </si>
  <si>
    <t xml:space="preserve">Thương Tín, Hà Nôi - Hà Nội </t>
  </si>
  <si>
    <t>Thanh Hà, Hải Dương</t>
  </si>
  <si>
    <t>Song Khê, Bắc Giang</t>
  </si>
  <si>
    <t>Ứng Hòa, Hà Nội - Mộc Châu, Sơn La</t>
  </si>
  <si>
    <t>Vụ Bản, Nam Định</t>
  </si>
  <si>
    <t>Tân Dĩnh, Bắc Giang</t>
  </si>
  <si>
    <t>Ba Vì, Hà Nội</t>
  </si>
  <si>
    <t>Kim Động, Hưng Yên - Hà Nam</t>
  </si>
  <si>
    <t>thanh toán tiền thay lốc, ống lạnh co đầu gió 15C-136.31</t>
  </si>
  <si>
    <t>Thanh toán tiền van tiết lưu, hàn lọc ga, công thợ sửa chữa 15C-136.31</t>
  </si>
  <si>
    <t>Chi thưởng 2.9</t>
  </si>
  <si>
    <t>Chỉnh côn xe 15C-136.31 T8/19</t>
  </si>
  <si>
    <t>Sửa chữa Nga thanh toán tiền tháo lắp 1 quả bóng hơi tải xe 15C-136.31 (đã thay tháng 6)</t>
  </si>
  <si>
    <t>thanh toán tiền lốp cho Minh Ngọc 02 quả 11.00-R20 BFGoodrich, 01 quả 295/75R22.5 Road 15C-136.31</t>
  </si>
  <si>
    <t>THÁNG 9.2019</t>
  </si>
  <si>
    <t>Trả hàng NK sáng 04/09</t>
  </si>
  <si>
    <t>CAIU9533738</t>
  </si>
  <si>
    <t>TCNU2532688</t>
  </si>
  <si>
    <t>WHSU5405327</t>
  </si>
  <si>
    <t>BISU6820853</t>
  </si>
  <si>
    <t>WHSU5700636</t>
  </si>
  <si>
    <t>TCNU3645776</t>
  </si>
  <si>
    <t>Đóng hàng vỏ bình khí sáng 11/09</t>
  </si>
  <si>
    <t>BEAU4836130</t>
  </si>
  <si>
    <t>Xuất bình khí chiều 11/09</t>
  </si>
  <si>
    <t>3 bình + 16 chai</t>
  </si>
  <si>
    <t>Kho DDC, Hải Phòng</t>
  </si>
  <si>
    <t>BSIU9901157</t>
  </si>
  <si>
    <t>SMCU1072460</t>
  </si>
  <si>
    <t>Trả hàng sáng 14/09</t>
  </si>
  <si>
    <t>OOLU0545420</t>
  </si>
  <si>
    <t>NM Giấy An Hòa, Sơn Dương, Tuyên Quang</t>
  </si>
  <si>
    <t>DRYU9589240</t>
  </si>
  <si>
    <t>KCN Đồng Văn II, Hà Nam</t>
  </si>
  <si>
    <t>Đóng hàng chè sáng 17/09</t>
  </si>
  <si>
    <t>WHLU4286850</t>
  </si>
  <si>
    <t>Trả hàng Vietsun sáng 18/09</t>
  </si>
  <si>
    <t>DRYU9591864</t>
  </si>
  <si>
    <t xml:space="preserve">Lĩnh Nam, Thanh Trì, Hà Nội </t>
  </si>
  <si>
    <t>CSNU7044335</t>
  </si>
  <si>
    <t>WHSU2427744</t>
  </si>
  <si>
    <t>TCNU4595350</t>
  </si>
  <si>
    <t>Đóng hàng chè sáng 24/09</t>
  </si>
  <si>
    <t>UETU5114820</t>
  </si>
  <si>
    <t>Đóng hàng chè sáng 26/09</t>
  </si>
  <si>
    <t>CCLU7694796</t>
  </si>
  <si>
    <t>TCLU6451294</t>
  </si>
  <si>
    <t>TCNU5452610</t>
  </si>
  <si>
    <t xml:space="preserve">KCN Quất Động, Hà Nội </t>
  </si>
  <si>
    <t>Trả hàng Vietsun sáng 30/09</t>
  </si>
  <si>
    <t>GAOU6143360</t>
  </si>
  <si>
    <t>Đóng hàng KH chiều 30/09</t>
  </si>
  <si>
    <t>KCN Nam Cầu Kiền, Hải Phòng</t>
  </si>
  <si>
    <t>Bơm mỡ đầu kéo + mooc 15C-136.31 ngày 3.9</t>
  </si>
  <si>
    <t>Tháo lắp hàn đồng ống hơi cấp, bơm nước kính 15C-136.31 ngày 3/9</t>
  </si>
  <si>
    <t>Thanh toán tiền mua ắc quy xe 15C-136.31 (2 bình Đồng Nai)</t>
  </si>
  <si>
    <t>Thanh toán tiền máy phát xe 15C-136.31 + công lắp</t>
  </si>
  <si>
    <t>Dầu mỡ nhờn ELcoolant xe 15C-136.31</t>
  </si>
  <si>
    <t>Thanh toán tiền sửa xe 15C-136.31(sửa két nước, két gió)</t>
  </si>
  <si>
    <t>Thanh toán tiền lọc ly tâm xe 15C-136.31</t>
  </si>
  <si>
    <t>Thanh toán tiền dầu total rubia tir</t>
  </si>
  <si>
    <t>THÁNG 10.2019</t>
  </si>
  <si>
    <t>Đóng hàng chè sáng 02/10</t>
  </si>
  <si>
    <t>Trả hàng Vietsun sáng 03/10</t>
  </si>
  <si>
    <t>Đóng hàng vôi sáng 04/10</t>
  </si>
  <si>
    <t>Trả hàng Vietsun sáng 08/10</t>
  </si>
  <si>
    <t>Đóng hàng chè chiều 09/10</t>
  </si>
  <si>
    <t>Đòng hàng sáng 11/10</t>
  </si>
  <si>
    <t>Trả hàng NK sáng 12/10</t>
  </si>
  <si>
    <t>Trả hàng + đóng hàng KH 14/10</t>
  </si>
  <si>
    <t>Đóng hàng chè sáng 15/10</t>
  </si>
  <si>
    <t>Trả hàng Vietsun sáng 16/10</t>
  </si>
  <si>
    <t>Trả hàng NK sáng 17/10</t>
  </si>
  <si>
    <t>Trả hàng Vietsun sáng 21/10</t>
  </si>
  <si>
    <t>Trả hàng + đóng hàng KH 28/10</t>
  </si>
  <si>
    <t>Đóng hàng chè sáng 29/10</t>
  </si>
  <si>
    <t>Trả hàng NK sáng 30/10</t>
  </si>
  <si>
    <t>WHSU5444679</t>
  </si>
  <si>
    <t>DRYU9592931</t>
  </si>
  <si>
    <t>CAIU3245919</t>
  </si>
  <si>
    <t>DFSU7725991</t>
  </si>
  <si>
    <t>BMOU4754989</t>
  </si>
  <si>
    <t>FCGU2331382</t>
  </si>
  <si>
    <t>GAOU2115735</t>
  </si>
  <si>
    <t>NYKU0711923</t>
  </si>
  <si>
    <t>TCNU4595432</t>
  </si>
  <si>
    <t>TTNU8087345</t>
  </si>
  <si>
    <t>VSLU7028616</t>
  </si>
  <si>
    <t>DRYU9878598</t>
  </si>
  <si>
    <t>BEAU4802589</t>
  </si>
  <si>
    <t>CAIU6603831</t>
  </si>
  <si>
    <t>GMTU3043470</t>
  </si>
  <si>
    <t>CAIU3382172</t>
  </si>
  <si>
    <t>TGBU5418386</t>
  </si>
  <si>
    <t>MSKU3441880</t>
  </si>
  <si>
    <t>VSLU9026736</t>
  </si>
  <si>
    <t>Ngọc Hồi, Văn Điển, Hà Nội</t>
  </si>
  <si>
    <t>Vĩnh Tường, Vĩnh Phúc</t>
  </si>
  <si>
    <t>Tiền Hải, Thái Bình - Hà Nam</t>
  </si>
  <si>
    <t>Tứ Minh, Hải Dương</t>
  </si>
  <si>
    <t>Trôi, Hà Nội  - Hà Nam</t>
  </si>
  <si>
    <t>Thanh toán tiền sửa xe 15C-136.31 (ống cổ hút MF đẹp)</t>
  </si>
  <si>
    <t>Thanh toán tiền sửa xe 15C-136.31 (quai nhê cổ hút MF đẹp)</t>
  </si>
  <si>
    <t>Mua dây curoa xe 15C-136.31</t>
  </si>
  <si>
    <t>Thanh toán phí đăng kiểm xe 15C-136.31</t>
  </si>
  <si>
    <t>Thanh toán tiền sửa xe 15C-136.31 ngày 29/9 (thao lắp hàn két nước)</t>
  </si>
  <si>
    <t>THÁNG 11.2019</t>
  </si>
  <si>
    <t>Trả hàng NK sáng 01/11</t>
  </si>
  <si>
    <t>Trả hàng NK sáng 05/11</t>
  </si>
  <si>
    <t>Trả hàng NK sáng 07/11</t>
  </si>
  <si>
    <t>Trả hàng NK sáng 08/11</t>
  </si>
  <si>
    <t>Trả hàng NK sáng 09/11</t>
  </si>
  <si>
    <t>Đóng hàng KH chiều 09/11</t>
  </si>
  <si>
    <t>Trả hàng Vietsun sáng 11/11</t>
  </si>
  <si>
    <t>Đóng hàng chè sáng 12/11</t>
  </si>
  <si>
    <t>Đóng hàng chè chiều 13/11</t>
  </si>
  <si>
    <t>Đóng hàng XK sáng 15/11</t>
  </si>
  <si>
    <t>Trả hàng NK sáng 16/11</t>
  </si>
  <si>
    <t>Vận chuyển hàng cốp pha 18/11</t>
  </si>
  <si>
    <t>Đóng hàng XK sáng 19/11</t>
  </si>
  <si>
    <t>Đóng hàng XK sáng 20/11</t>
  </si>
  <si>
    <t>Trả hàng NK sáng 25/11</t>
  </si>
  <si>
    <t>Trả hàng + đóng hàng KH 26/11</t>
  </si>
  <si>
    <t>Đóng hàng chè sáng 27/11</t>
  </si>
  <si>
    <t>Đóng hàng vỏ bình khí 28/11</t>
  </si>
  <si>
    <t>Đóng hàng sáng 29/11</t>
  </si>
  <si>
    <t>Trả hàng + đóng hàng KH 30/11</t>
  </si>
  <si>
    <t>SUDU5943454</t>
  </si>
  <si>
    <t>YMLU8942707</t>
  </si>
  <si>
    <t>TCLU9255926</t>
  </si>
  <si>
    <t>BEAU5310900</t>
  </si>
  <si>
    <t>CAIU4551277</t>
  </si>
  <si>
    <t>FSCU9869041</t>
  </si>
  <si>
    <t>SMCU7016993</t>
  </si>
  <si>
    <t>GAOU6144367</t>
  </si>
  <si>
    <t>BMOU1220594</t>
  </si>
  <si>
    <t>CMAU5436732</t>
  </si>
  <si>
    <t>TLLU4880050</t>
  </si>
  <si>
    <t>TCNU1092619</t>
  </si>
  <si>
    <t>UETU2143574</t>
  </si>
  <si>
    <t>TEMU6209821</t>
  </si>
  <si>
    <t>TEMU3433946</t>
  </si>
  <si>
    <t>GAOU2108633</t>
  </si>
  <si>
    <t>DRYU2930462</t>
  </si>
  <si>
    <t>FCIU4782063</t>
  </si>
  <si>
    <t>CAIU9796349</t>
  </si>
  <si>
    <t>GAOU2115000</t>
  </si>
  <si>
    <t>HLBU2160039</t>
  </si>
  <si>
    <t>DRYU3085961</t>
  </si>
  <si>
    <t>HCVT0006</t>
  </si>
  <si>
    <t>DRYU2901720</t>
  </si>
  <si>
    <t>TP. Hải Dương</t>
  </si>
  <si>
    <t>KCN Hải Hà, Móng Cái</t>
  </si>
  <si>
    <t>Lý Nhân, Hà Nam</t>
  </si>
  <si>
    <t>KCN Quang Minh, Hà Nội</t>
  </si>
  <si>
    <t>Từ Liêm, Hà Nội - Củ Chi, HCM</t>
  </si>
  <si>
    <t>TP. Việt Trì, Phú Thọ</t>
  </si>
  <si>
    <t>Ba Vì, Hà Nội - Hà Nam</t>
  </si>
  <si>
    <t>Ống lạnh, hàn co đầu, ga lạnh, van tĩnh lưu giàn trước xe 15C-136.31 ngày 5/10</t>
  </si>
  <si>
    <t>Bót cảm biến đóng mở cánh quạt tự động+van áp suất ga, công thợ sửa chữa làm lại hệ thống điện đóng mở cánh quạt xe 15C-136.31 ngày 12/10</t>
  </si>
  <si>
    <t>THÁNG 12.2019</t>
  </si>
  <si>
    <t>Trả hàng NK chiều 02/12</t>
  </si>
  <si>
    <t>Trả hàng NK sáng 04/12</t>
  </si>
  <si>
    <t>Trả hàng Vietsun sáng 05/12</t>
  </si>
  <si>
    <t>Trả hàng + đóng hàng KH 09/12</t>
  </si>
  <si>
    <t>Trả hàng Vietsun sáng 10/12</t>
  </si>
  <si>
    <t>Trả hàng NK sáng 13/12</t>
  </si>
  <si>
    <t>Trả hàng + đóng hàng KH 14/12</t>
  </si>
  <si>
    <t>Đóng hàng XK sáng 16/12</t>
  </si>
  <si>
    <t>Trả hàng Vietsun sáng 18/12</t>
  </si>
  <si>
    <t>Trả hàng NK sáng 23/12</t>
  </si>
  <si>
    <t>Trả hàng + đóng hàng KH 24/12</t>
  </si>
  <si>
    <t>Trả hàng NK sáng 25/12</t>
  </si>
  <si>
    <t>Đóng hàng chè sáng 26/12</t>
  </si>
  <si>
    <t>Trả hàng LCL sáng 26/12</t>
  </si>
  <si>
    <t>Đóng hàng chè chiều 27/12</t>
  </si>
  <si>
    <t>Trả hàng + đóng hàng KH 28/12</t>
  </si>
  <si>
    <t>Đóng hàng XK sáng 30/12</t>
  </si>
  <si>
    <t>Trả hàng + đóng hàng KH 31/12</t>
  </si>
  <si>
    <t>GAOU6013773</t>
  </si>
  <si>
    <t>GIPU2093410</t>
  </si>
  <si>
    <t>TCNU7232810</t>
  </si>
  <si>
    <t>DRYU9718347</t>
  </si>
  <si>
    <t>WHSU5459128</t>
  </si>
  <si>
    <t>VOSU8802851</t>
  </si>
  <si>
    <t>DRYU2923756</t>
  </si>
  <si>
    <t>GAOU2107998</t>
  </si>
  <si>
    <t>YMMU6196665</t>
  </si>
  <si>
    <t>VOSU8805803</t>
  </si>
  <si>
    <t>DFSU1962194</t>
  </si>
  <si>
    <t>TRHU1344972</t>
  </si>
  <si>
    <t>WHSU5097965</t>
  </si>
  <si>
    <t>TTNU8143238</t>
  </si>
  <si>
    <t>DRYU9959067</t>
  </si>
  <si>
    <t>WHSU5216215</t>
  </si>
  <si>
    <t>FFAU1018964</t>
  </si>
  <si>
    <t>EITU1347488</t>
  </si>
  <si>
    <t>UASU1025846</t>
  </si>
  <si>
    <t>TRHU3295774</t>
  </si>
  <si>
    <t>FCIU7599502</t>
  </si>
  <si>
    <t>BEAU5158001</t>
  </si>
  <si>
    <t>CBHU7032090</t>
  </si>
  <si>
    <t>TRHU1343791</t>
  </si>
  <si>
    <t>TEMU4437782</t>
  </si>
  <si>
    <t>DRYU2853577</t>
  </si>
  <si>
    <t xml:space="preserve">Yên Viên, Hà Nội </t>
  </si>
  <si>
    <t>CCN Quất Động, Thường Tín, Hà Nội</t>
  </si>
  <si>
    <t>Phan Đình Phùng, Mỹ Hào, Hưng Yên</t>
  </si>
  <si>
    <t>Phù Lỗ, Sóc Sơn, Hà Nội</t>
  </si>
  <si>
    <t>Từ Sơn, Bắc Ninh - Đông Anh, Hà Nội</t>
  </si>
  <si>
    <t>Phong Khê, Bắc Ninh</t>
  </si>
  <si>
    <t>Gia Bình, Bắc Ninh</t>
  </si>
  <si>
    <t>Tân Quang, Văn Lâm, Hưng Yên - Hà Nam</t>
  </si>
  <si>
    <t>KCN Phố Nối A, Văn Lâm, Hưng Yên</t>
  </si>
  <si>
    <t>Dây hơi treo bình hơi xe 15C-136.31</t>
  </si>
  <si>
    <t>Bơm mỡ xe 15C-136.31</t>
  </si>
  <si>
    <t>Anh Phụng mua miếng đệm cao su nắp ca pô xe</t>
  </si>
  <si>
    <t>Thanh toán tiền lọc dầu nhớt P551088 xe 15C-136.31</t>
  </si>
  <si>
    <t>Thưởng tết âm lịch</t>
  </si>
  <si>
    <t>Thay dầu nhớt Total Tir 7400: 2 can 18L</t>
  </si>
  <si>
    <t>THÁNG 01.2020</t>
  </si>
  <si>
    <t>Đóng hàng chè sáng 02/01</t>
  </si>
  <si>
    <t>Trả hàng NK sáng 03/01</t>
  </si>
  <si>
    <t>Trả hàng NK sáng 04/01</t>
  </si>
  <si>
    <t>Trả hàng + đóng hàng KH 06/01</t>
  </si>
  <si>
    <t>Trả hàng NK sáng 07/01</t>
  </si>
  <si>
    <t>Trả hàng NK sáng 09/01</t>
  </si>
  <si>
    <t>Trả hàng Vietsun sáng 14/01</t>
  </si>
  <si>
    <t>Trả hàng NK sáng 16/01</t>
  </si>
  <si>
    <t>Trả hàng NK sáng 17/01</t>
  </si>
  <si>
    <t>WHSU5219934</t>
  </si>
  <si>
    <t>EITU1061961</t>
  </si>
  <si>
    <t>MSKU8899069</t>
  </si>
  <si>
    <t>GAOU2109429</t>
  </si>
  <si>
    <t>EITU1168055</t>
  </si>
  <si>
    <t>TCNU8818576</t>
  </si>
  <si>
    <t>CAIU9257809</t>
  </si>
  <si>
    <t>TCNU4595031</t>
  </si>
  <si>
    <t>DRYU9957526</t>
  </si>
  <si>
    <t>GLDU7592134</t>
  </si>
  <si>
    <t>FCIU4696140</t>
  </si>
  <si>
    <t>SMCU1080660</t>
  </si>
  <si>
    <t>FCIU7046045</t>
  </si>
  <si>
    <t>TCLU3965643</t>
  </si>
  <si>
    <t>KCN Khai Sơn, Thuận Thành, Bắc Ninh</t>
  </si>
  <si>
    <t>91 Lĩnh Nam, Mai Động, Hoàng Mai, Hà Nội</t>
  </si>
  <si>
    <t>Kim Bảng, Hà Nam</t>
  </si>
  <si>
    <t>Thanh toán tiền sửa xe 15C-136.31 (Mua tắc kê + công thay)</t>
  </si>
  <si>
    <t>Lì xì đầu năm</t>
  </si>
  <si>
    <t>THÁNG 02.2020</t>
  </si>
  <si>
    <t>Đóng hàng chè sáng 01/02</t>
  </si>
  <si>
    <t>Trả hàng NK sáng 06/02</t>
  </si>
  <si>
    <t>Trả hàng NK sáng 07/02</t>
  </si>
  <si>
    <t>Đóng hàng KH sáng 07/02</t>
  </si>
  <si>
    <t>Trả hàng NK sáng 08/02</t>
  </si>
  <si>
    <t>Đóng hàng chè chiều 11/02</t>
  </si>
  <si>
    <t>Trả hàng NK tối 13/02</t>
  </si>
  <si>
    <t>Trả hàng NK chiều 14/02</t>
  </si>
  <si>
    <t>Trả hàng sáng 15/02</t>
  </si>
  <si>
    <t>Trả hàng sáng 17/02</t>
  </si>
  <si>
    <t>Đóng hàng chè sáng 18/02</t>
  </si>
  <si>
    <t>Trả hàng Vietsun sáng 24/02</t>
  </si>
  <si>
    <t>Đóng hàng KH chiều 24/02</t>
  </si>
  <si>
    <t>Đóng hàng chè sáng 26/02</t>
  </si>
  <si>
    <t>Trả hàng Vietsun sáng 27/02</t>
  </si>
  <si>
    <t>Trả hàng NK sáng 28/02</t>
  </si>
  <si>
    <t>Trả hàng NK sáng 29/02</t>
  </si>
  <si>
    <t>TGBU7115199</t>
  </si>
  <si>
    <t>NIDU2354051</t>
  </si>
  <si>
    <t>HASU4143921</t>
  </si>
  <si>
    <t>EGSU3013097</t>
  </si>
  <si>
    <t>WHSU5487705</t>
  </si>
  <si>
    <t>SEGU6714869</t>
  </si>
  <si>
    <t>VOSU8802466</t>
  </si>
  <si>
    <t>BISU6822394</t>
  </si>
  <si>
    <t>BISU6820494</t>
  </si>
  <si>
    <t>SEGU5252529</t>
  </si>
  <si>
    <t>CCLU7819105</t>
  </si>
  <si>
    <t>TCKU6467673</t>
  </si>
  <si>
    <t>TCNU4785242</t>
  </si>
  <si>
    <t>DRYU9844772</t>
  </si>
  <si>
    <t>DRYU9962040</t>
  </si>
  <si>
    <t>FFAU1118006</t>
  </si>
  <si>
    <t>EGHU9447163</t>
  </si>
  <si>
    <t>Ý Yên, Nam Định</t>
  </si>
  <si>
    <t>Tiên Du, Bắc Ninh</t>
  </si>
  <si>
    <t>cảng Hà Nội</t>
  </si>
  <si>
    <t>Kho Masan, Dị Sử, Hưng Yên</t>
  </si>
  <si>
    <t>NM giấy An Hòa, Sơn Dương, Tuyên Quang</t>
  </si>
  <si>
    <t>Thay bóng đèn pha</t>
  </si>
  <si>
    <t>Thanh toán 02 lốp xe Goodride 11.00-20 xe 15C-136.31 cho Minh Ngọc</t>
  </si>
  <si>
    <t>THÁNG 03.2020</t>
  </si>
  <si>
    <t>Đóng hàng KH chiều 05/03</t>
  </si>
  <si>
    <t>Trả hàng chiều 07/03</t>
  </si>
  <si>
    <t>Trả hàng sáng 08/03</t>
  </si>
  <si>
    <t>Đóng hàng kết hợp sáng 09/03</t>
  </si>
  <si>
    <t>Trả hàng Vietsun sáng 10/03</t>
  </si>
  <si>
    <t>Trả hàng NK sáng 13/03</t>
  </si>
  <si>
    <t>Trả hàng NK sáng 14/03</t>
  </si>
  <si>
    <t>Đóng hàng chè sáng 17/03</t>
  </si>
  <si>
    <t>Đóng hàng vỏ bình khí sáng 18/03</t>
  </si>
  <si>
    <t>Trả hàng NK sáng 20/03</t>
  </si>
  <si>
    <t>Đóng hàng XK sáng 25/03</t>
  </si>
  <si>
    <t>Trả hàng NK sáng 26/03</t>
  </si>
  <si>
    <t>Trả hàng NK sáng 27/03</t>
  </si>
  <si>
    <t>Trả hàng NK sáng 30/03</t>
  </si>
  <si>
    <t>CAIU4666743</t>
  </si>
  <si>
    <t>GESU6158528</t>
  </si>
  <si>
    <t>TEMU8548906</t>
  </si>
  <si>
    <t>DRYU9961980</t>
  </si>
  <si>
    <t>DRYU9961001</t>
  </si>
  <si>
    <t>TCLU5248106</t>
  </si>
  <si>
    <t>DRYU9591859</t>
  </si>
  <si>
    <t>TCKU1844769</t>
  </si>
  <si>
    <t>BSIU2949164</t>
  </si>
  <si>
    <t>TRHU3167156</t>
  </si>
  <si>
    <t>WHSU4056792</t>
  </si>
  <si>
    <t>SEGU2545797</t>
  </si>
  <si>
    <t>TCNU4827950</t>
  </si>
  <si>
    <t>TCLU6400609</t>
  </si>
  <si>
    <t>DRYU9718080</t>
  </si>
  <si>
    <t>TCKU4510256</t>
  </si>
  <si>
    <t>APHU7038072</t>
  </si>
  <si>
    <t>EITU0371983</t>
  </si>
  <si>
    <t>DFSU6485896</t>
  </si>
  <si>
    <t>TEMU0136918</t>
  </si>
  <si>
    <t>DRYU9592855</t>
  </si>
  <si>
    <t>Ấm Hạ, Hạ Hòa, Phú Thọ</t>
  </si>
  <si>
    <t>Thuận Thành, Bắc Ninh - Thái Nguyên</t>
  </si>
  <si>
    <t>Trực Ninh, Nam Định</t>
  </si>
  <si>
    <t>Sài Đồng, Long Biên, Hà Nội</t>
  </si>
  <si>
    <t>Thanh toán tiền mua bát phanh xe 15C-136.31</t>
  </si>
  <si>
    <t xml:space="preserve"> </t>
  </si>
  <si>
    <t>THÁNG 04.2020</t>
  </si>
  <si>
    <t>Trả hàng Vietsun sáng 01/04</t>
  </si>
  <si>
    <t>Trả hàng NK sáng 06/04</t>
  </si>
  <si>
    <t>Đóng hàng KH chiều 06/04</t>
  </si>
  <si>
    <t>Đóng hàng chè chiều 07/04</t>
  </si>
  <si>
    <t>Đóng hàng chè chiều 08/04</t>
  </si>
  <si>
    <t>Đóng hàng xỉ bọt chiều 09/04</t>
  </si>
  <si>
    <t>Trả hàng NK sáng 15/04</t>
  </si>
  <si>
    <t>Đóng hàng chè sáng 16/04</t>
  </si>
  <si>
    <t>Trả hàng NK sáng 17/04</t>
  </si>
  <si>
    <t>Trả hàng NK sáng 18/04</t>
  </si>
  <si>
    <t>Đóng hàng KH chiều 21/04</t>
  </si>
  <si>
    <t>Đóng hàng KH sáng 23/04</t>
  </si>
  <si>
    <t>Đóng hàng xỉ bọt sáng 25/04</t>
  </si>
  <si>
    <t>Trả hàng NK sáng 29/04</t>
  </si>
  <si>
    <t>Đóng hàng KH chiều 29/04</t>
  </si>
  <si>
    <t>TCNU4785392</t>
  </si>
  <si>
    <t>MRKU6098599</t>
  </si>
  <si>
    <t>TCNU8883421</t>
  </si>
  <si>
    <t>MEDU7613748</t>
  </si>
  <si>
    <t>LSLU5381030</t>
  </si>
  <si>
    <t>TGBU6098332</t>
  </si>
  <si>
    <t>SKHU9622272</t>
  </si>
  <si>
    <t>MAGU5539936</t>
  </si>
  <si>
    <t>TGBU6491247</t>
  </si>
  <si>
    <t>TEMU8532746</t>
  </si>
  <si>
    <t>WHLU4320580</t>
  </si>
  <si>
    <t>CCLU7837480</t>
  </si>
  <si>
    <t>CAIU4651213</t>
  </si>
  <si>
    <t>FDCU0234420</t>
  </si>
  <si>
    <t>DFSU1948241</t>
  </si>
  <si>
    <t>DFSU7502581</t>
  </si>
  <si>
    <t>UETU4065824</t>
  </si>
  <si>
    <t>NLLU9501494</t>
  </si>
  <si>
    <t>KCN Biên Giang, Hà Đông, Hà Nội</t>
  </si>
  <si>
    <t>Tân Thịnh, Bắc Giang</t>
  </si>
  <si>
    <t>Dương Kinh, Hải Phòng</t>
  </si>
  <si>
    <t>Bỉm Sơn, Thanh Hóa</t>
  </si>
  <si>
    <t>Thanh toán tiền bơm mỡ xe 15C-136.31 ngày 3/4</t>
  </si>
  <si>
    <t>Kiểm đinh xe 15C-136.31</t>
  </si>
  <si>
    <t>Kiểm định rơ mooc xe 15C-136.31</t>
  </si>
  <si>
    <t>Phí dịch vụ đăng kiểm xe 15C-136.31</t>
  </si>
  <si>
    <t>Thanh toán tiền sửa xe 15C-136.31 ngày 15/4 (tháo lắp thông két nước chính+phụ+két gió, hàn 10 chân két gió, thay hộp nhôm dưới két nước)</t>
  </si>
  <si>
    <t>Thanh toán tiền sửa xe 15C-136.31 ngày 14/4 (tán má phanh mooc, thay bi may ơ mooc, mua mỡ may ơ mooc, công bảo dưỡng, thay bạc tay dằng+ắc quy tay dằng mooc, thay ốc xuyên tay dằng, công tháo lắp, mua dầu rửa+dẻ, thay sang tích mooc)</t>
  </si>
  <si>
    <t>Thanh toán tiền sửa xe 15C-136.31 (sửa chữa hàn đắp khóa màn, thay 1 lò xo)</t>
  </si>
  <si>
    <t>Thanh toán tiền sửa xe 15C-136.31 (cờ lê 17, kìm điện...)</t>
  </si>
  <si>
    <t>Thanh toán tiền sửa xe 15C-136.31 (cảm biến oxy, lọc tinh, con tăng, công thợ) ngày 14/4</t>
  </si>
  <si>
    <t>Thanh toán tiền lọc dầu nhớt P551088 xe 15C-139.82, 15C-136.31 ngày 29/4</t>
  </si>
  <si>
    <t>Thanh toán tiền lọc dầu nhớt xe 15C-139.82, 15C-136.31 ngày 29/4</t>
  </si>
  <si>
    <t>Lọc nước làm mát P554073 xe 15C-139.82, 15C-136.31 ngày 29/4</t>
  </si>
  <si>
    <t>Thay dầu nhớt Total Rubia Tir 7400 15W-40</t>
  </si>
  <si>
    <t>THÁNG 05.2020</t>
  </si>
  <si>
    <t>Đóng hàng chè sáng 04/05</t>
  </si>
  <si>
    <t>Trả hàng Vietsun sáng 05/05</t>
  </si>
  <si>
    <t>Trả hàng NK chiều 07/05</t>
  </si>
  <si>
    <t>Trả hàng NK sáng 09/05</t>
  </si>
  <si>
    <t>Đóng hàng phân sáng 11/05 - 12/05</t>
  </si>
  <si>
    <t>Trả hàng NK chiều 13/05</t>
  </si>
  <si>
    <t>Trả hàng NK sáng 15/05</t>
  </si>
  <si>
    <t>Trả hàng NK sáng 17/05</t>
  </si>
  <si>
    <t>Trả hàng Vietsun sáng 19/05</t>
  </si>
  <si>
    <t>Đóng hàng chè sáng 20/05</t>
  </si>
  <si>
    <t>Đóng hàng phân sáng 24/05</t>
  </si>
  <si>
    <t>Đóng hàng phân sáng 25/05</t>
  </si>
  <si>
    <t>Đóng hàng phân sáng 27/05</t>
  </si>
  <si>
    <t>04/05/20</t>
  </si>
  <si>
    <t>05/05/20</t>
  </si>
  <si>
    <t>06/05/20</t>
  </si>
  <si>
    <t>07/05/20</t>
  </si>
  <si>
    <t>09/05/20</t>
  </si>
  <si>
    <t>11/05/20</t>
  </si>
  <si>
    <t>13/05/20</t>
  </si>
  <si>
    <t>14/05/20</t>
  </si>
  <si>
    <t>15/05/20</t>
  </si>
  <si>
    <t>16/05/20</t>
  </si>
  <si>
    <t>17/05/20</t>
  </si>
  <si>
    <t>19/05/20</t>
  </si>
  <si>
    <t>20/05/20</t>
  </si>
  <si>
    <t>24/05/20</t>
  </si>
  <si>
    <t>25/05/20</t>
  </si>
  <si>
    <t>26/05/20</t>
  </si>
  <si>
    <t>27/05/20</t>
  </si>
  <si>
    <t>28/05/20</t>
  </si>
  <si>
    <t>31/05/20</t>
  </si>
  <si>
    <t>WHSU5496564</t>
  </si>
  <si>
    <t>OOLU7827940</t>
  </si>
  <si>
    <t>TEMU6979761</t>
  </si>
  <si>
    <t>ZIMU1157159</t>
  </si>
  <si>
    <t>BMOU6458420</t>
  </si>
  <si>
    <t>TEMU3685378</t>
  </si>
  <si>
    <t>WHSU2075540</t>
  </si>
  <si>
    <t>CSNU1410381</t>
  </si>
  <si>
    <t>TCKU6024206</t>
  </si>
  <si>
    <t>BMOU2868703</t>
  </si>
  <si>
    <t>DRYU9705587</t>
  </si>
  <si>
    <t>TCNU3177931</t>
  </si>
  <si>
    <t>BSIU2518059</t>
  </si>
  <si>
    <t>BMOU1068481</t>
  </si>
  <si>
    <t>TCLU8427996</t>
  </si>
  <si>
    <t>MSKU2921566</t>
  </si>
  <si>
    <t>WHSU4020932</t>
  </si>
  <si>
    <t>TGBU6787223</t>
  </si>
  <si>
    <t>NM Xi măng Lam Thạch, Uông Bí</t>
  </si>
  <si>
    <t>KCN Hà Bình Phương, Thường Tín, Hà Nội</t>
  </si>
  <si>
    <t>Dĩnh Kế, Bắc Giang</t>
  </si>
  <si>
    <t>Thanh toán tiền đổ dầu xe 15C-136.31</t>
  </si>
  <si>
    <t>Thanh toán tiền sửa xe 15C-136.31 (lấy 01 dàn nóng)</t>
  </si>
  <si>
    <t>Anh Phụng thanh toán tiền sửa xe 15C-136.31 (bảo dưỡng đề, mát phát, thay dây vỏ đề, thay dây bình)</t>
  </si>
  <si>
    <t>Thanh toán tiền lốp cho xe 15C-136.31 ngày 25/5 (02 lốp 1100R20, 1 lốp 295/75R22,5)</t>
  </si>
  <si>
    <t>Thanh toán tiền sửa xe 15C-136.31 ngày 22/5 (cắm máy kiểm tra làm điện cánh quạt, kiểm tra lỗi bơm, cắm máy chỉnh áp ga điều hòa trên hộp body)</t>
  </si>
  <si>
    <t>Thạnh toán tiền sửa xe 15C-136.31 (cứu hộ cao tốc) ngày 13/5 (mua ốc đầu trục, mua phớt đầu cầu, công thợ đi cứu hộ)</t>
  </si>
  <si>
    <t>Trả hàng NK sáng 01/06</t>
  </si>
  <si>
    <t>Đóng hàng chè sáng 02/06</t>
  </si>
  <si>
    <t>Trả hàng NK sáng 03/06</t>
  </si>
  <si>
    <t>Trả hàng NK sáng 04/06</t>
  </si>
  <si>
    <t>Trả hàng Vietsun sáng 05/06</t>
  </si>
  <si>
    <t>Đóng hàng chè sáng 10/06</t>
  </si>
  <si>
    <t>Đóng hàng XK sáng 15/06</t>
  </si>
  <si>
    <t>Đóng hàng KH chiều 16/06</t>
  </si>
  <si>
    <t>Đóng hàng phân chiều 16/06</t>
  </si>
  <si>
    <t>Đóng hàng phân chiều 17/06</t>
  </si>
  <si>
    <t>Đóng hàng chè sáng 18/06</t>
  </si>
  <si>
    <t>Đóng hàng chè sáng 20/06</t>
  </si>
  <si>
    <t>Trả hàng Vietsun sáng 23/06</t>
  </si>
  <si>
    <t>Đóng hàng chè sáng 25/06</t>
  </si>
  <si>
    <t>Đóng hàng XK sáng 27/06</t>
  </si>
  <si>
    <t>Trả hàng NK sáng 30/06</t>
  </si>
  <si>
    <t>01/06/2020</t>
  </si>
  <si>
    <t>02/06/2020</t>
  </si>
  <si>
    <t>03/06/2020</t>
  </si>
  <si>
    <t>04/06/2020</t>
  </si>
  <si>
    <t>05/06/2020</t>
  </si>
  <si>
    <t>09/06/2020</t>
  </si>
  <si>
    <t>10/06/2020</t>
  </si>
  <si>
    <t>11/06/2020</t>
  </si>
  <si>
    <t>12/06/2020</t>
  </si>
  <si>
    <t>15/06/2020</t>
  </si>
  <si>
    <t>16/06/2020</t>
  </si>
  <si>
    <t>17/06/2020</t>
  </si>
  <si>
    <t>18/06/2020</t>
  </si>
  <si>
    <t>20/06/2020</t>
  </si>
  <si>
    <t>23/06/2020</t>
  </si>
  <si>
    <t>24/06/2020</t>
  </si>
  <si>
    <t>25/06/2020</t>
  </si>
  <si>
    <t>27/06/2020</t>
  </si>
  <si>
    <t>30/06/2020</t>
  </si>
  <si>
    <t>Phùng Xá, Mỹ Đức, Hà Nội</t>
  </si>
  <si>
    <t>Hữu Lũng, Lạng Sơn</t>
  </si>
  <si>
    <t>Phú Cát, Quốc Oai, Hà Nội</t>
  </si>
  <si>
    <t>GAOU6306637</t>
  </si>
  <si>
    <t>WHSU2742176</t>
  </si>
  <si>
    <t>BEAU2833620</t>
  </si>
  <si>
    <t>CSLU2238937</t>
  </si>
  <si>
    <t>TEMU8125566</t>
  </si>
  <si>
    <t>CMAU6296213</t>
  </si>
  <si>
    <t>WHLU5501515</t>
  </si>
  <si>
    <t>TCLU9285978</t>
  </si>
  <si>
    <t>OCGU8023540</t>
  </si>
  <si>
    <t>WHSU5362159</t>
  </si>
  <si>
    <t>TEMU8535679</t>
  </si>
  <si>
    <t>MSKU3463806</t>
  </si>
  <si>
    <t>MSKU7402199</t>
  </si>
  <si>
    <t>TCNU5410322</t>
  </si>
  <si>
    <t>TCNU6957401</t>
  </si>
  <si>
    <t>DRYU9958780</t>
  </si>
  <si>
    <t>WHSU2346529</t>
  </si>
  <si>
    <t>WHSU2244949</t>
  </si>
  <si>
    <t>WHSU2510653</t>
  </si>
  <si>
    <t>TGBU7104595</t>
  </si>
  <si>
    <t>TGHU9821874</t>
  </si>
  <si>
    <t>Thanh toán tiền 02 quả lốp xe 15C-136.31 (Deestone 295/75R22.5)</t>
  </si>
  <si>
    <t>Thanh toán tiền sửa xe 15C-136.31 ngày 24/6 (thay mô tơ lên mặt xuống chân)</t>
  </si>
  <si>
    <t>Thanh toán tiền sửa xe 15C-136.31 ngày 18/06( thay zowle ngắt lạnh )</t>
  </si>
  <si>
    <t>Thanh toán tiền sửa xe 15C-136.31 ngày 29/05 (Phục hồi ly tâm cánh quạt, phớt dầu trục cánh quạt)</t>
  </si>
  <si>
    <t>Thanh toán tiền sửa xe 15C-136.31 ngày 13/06 ( Xử lý đường dầu tới cổ hút)</t>
  </si>
  <si>
    <t>THÁNG 06.2020</t>
  </si>
  <si>
    <t>Thanh toán tiền sửa xe 15C-136.31 ngày 23/5 (thay bạc nhíp bóng 2 quả cầu trên+dưới bánh phụ, 1 quả cầu sau bánh lái, công thay bạc nhíp, mua ruột gà+công tháo..), bảo dưỡng rơ mooc</t>
  </si>
  <si>
    <t>Thanh toán tiền sửa xe 15C-136.31 ngày 29/06 (Lắp đèn sườn, biển số)</t>
  </si>
  <si>
    <t>THÁNG 07.2020</t>
  </si>
  <si>
    <t>Đóng hàng chè sáng 01/07</t>
  </si>
  <si>
    <t>Đóng hàng chè chiều 02/07</t>
  </si>
  <si>
    <t>Đóng hàng chè sáng 07/07</t>
  </si>
  <si>
    <t>Đóng hàng chè chiều 08/07</t>
  </si>
  <si>
    <t>Đóng hàng phân chiều 09/07 - 10/07</t>
  </si>
  <si>
    <t>Đóng hàng phân chiều 10/07 - 11/07</t>
  </si>
  <si>
    <t>Trả hàng NK sáng 12/07</t>
  </si>
  <si>
    <t>Đóng hàng KH chiều 12/07</t>
  </si>
  <si>
    <t>Chuyển bãi hàng hết hạn lệnh 13/07</t>
  </si>
  <si>
    <t>Đóng hàng chè sáng 15/07</t>
  </si>
  <si>
    <t>Trả hàng NK sáng 16/07</t>
  </si>
  <si>
    <t>Trả hàng NK sáng 17/07</t>
  </si>
  <si>
    <t>Đóng hàng XK sáng 21/07</t>
  </si>
  <si>
    <t>Đóng hàng chè sáng 22/07</t>
  </si>
  <si>
    <t>Đóng hàng Vietsun chiều 24/07</t>
  </si>
  <si>
    <t>Trả hàng Vietsun sáng 28/07</t>
  </si>
  <si>
    <t>Đóng hàng KH chiều 30/07</t>
  </si>
  <si>
    <t>CAIU4302422</t>
  </si>
  <si>
    <t>UETU5839273</t>
  </si>
  <si>
    <t>CAAU5038076</t>
  </si>
  <si>
    <t>TEMU8902650</t>
  </si>
  <si>
    <t>EITU1803490</t>
  </si>
  <si>
    <t>WHLU4264722</t>
  </si>
  <si>
    <t>FSCU9183025</t>
  </si>
  <si>
    <t>FFAU1521644</t>
  </si>
  <si>
    <t>MAGU5798731</t>
  </si>
  <si>
    <t>WHLU5816301</t>
  </si>
  <si>
    <t>TEMU0660951</t>
  </si>
  <si>
    <t>TEMU9056984</t>
  </si>
  <si>
    <t>TCNU2203677</t>
  </si>
  <si>
    <t>VOSU8800519</t>
  </si>
  <si>
    <t>DFSU6719783</t>
  </si>
  <si>
    <t>TCNU6808120</t>
  </si>
  <si>
    <t>GAOU2112551</t>
  </si>
  <si>
    <t>FBLU0257922</t>
  </si>
  <si>
    <t>MSKU7310894</t>
  </si>
  <si>
    <t>DRYU9958693</t>
  </si>
  <si>
    <t>PKEU5031344</t>
  </si>
  <si>
    <t>Nguyễn Văn Linh, Long Biên, Hà Nội</t>
  </si>
  <si>
    <t>Kiêu Kị, Gia Lâm, Hà Nội</t>
  </si>
  <si>
    <t>Vĩnh Ngọc, Đông Anh, Hà Nội</t>
  </si>
  <si>
    <t>xã Phú Thành, Lạc Thủy, Hòa Bình</t>
  </si>
  <si>
    <t>Thanh toán tiền sửa xe 15C-136.31 ngày 08/07 (Bơm mỡ đầu kéo móc, chỉnh phanh)</t>
  </si>
  <si>
    <t>Anh Phụng thanh toán tiền sửa xe 15C-136.31 ngày 25/6 (sửa tổng xả, thay cốc lọc hơi, thay 4 gáo hơi mooc, thay ống hơi + bát phanh</t>
  </si>
  <si>
    <t>CCLU7698370</t>
  </si>
  <si>
    <t>Thanh toán tiền sửa xe 15C-136.31 ngày 31/7 (Thay mã bắt dây hơi móc, 1 tổng chia hơi lốc kè đầu, 1 ống tuy ô dài 1,2m)</t>
  </si>
  <si>
    <t>TT tiền sửa xe 15C-136.31 ngày 16/7 (Thay tổng côn trên, mua dầu tổng côn, chỉnh côn)</t>
  </si>
  <si>
    <t>THÁNG 08.2020</t>
  </si>
  <si>
    <t>Trả hàng NK sáng 02/08</t>
  </si>
  <si>
    <t>Đóng hàng kết hợp sáng 03/08</t>
  </si>
  <si>
    <t>Trả hàng NK sáng 04/08</t>
  </si>
  <si>
    <t>Đóng hàng phân sáng 05/08</t>
  </si>
  <si>
    <t>Đóng hàng phân sáng 06/08</t>
  </si>
  <si>
    <t>Trả hàng NK sáng 07/08</t>
  </si>
  <si>
    <t>Đóng hàng chè sáng 11/08</t>
  </si>
  <si>
    <t>Trả hàng Vietsun sáng 12/08</t>
  </si>
  <si>
    <t>Trả hàng NK sáng 14/08</t>
  </si>
  <si>
    <t>Đóng hàng phân sáng 19/08</t>
  </si>
  <si>
    <t>Trả hàng NK sáng 20/08</t>
  </si>
  <si>
    <t>Đóng hàng chè chiều 24/08</t>
  </si>
  <si>
    <t>Trả hàng NK sáng 27/08</t>
  </si>
  <si>
    <t>Trả hàng NK sáng 28/08</t>
  </si>
  <si>
    <t>Trả hàng NK sáng 29/08</t>
  </si>
  <si>
    <t>Đóng hàng XK chiều 31/08</t>
  </si>
  <si>
    <t>IAAU1780647</t>
  </si>
  <si>
    <t>SEGU2245758</t>
  </si>
  <si>
    <t>EITU0568720</t>
  </si>
  <si>
    <t>MAGU2288734</t>
  </si>
  <si>
    <t>WHLU4252758</t>
  </si>
  <si>
    <t>TGBU6161944</t>
  </si>
  <si>
    <t>DRYU9958179</t>
  </si>
  <si>
    <t>DRYU9957655</t>
  </si>
  <si>
    <t>FCIU9960337</t>
  </si>
  <si>
    <t>CKLU4110954</t>
  </si>
  <si>
    <t>WHSU5243720</t>
  </si>
  <si>
    <t>MSKU7738990</t>
  </si>
  <si>
    <t>SMCU1054276</t>
  </si>
  <si>
    <t>SMCU1146602</t>
  </si>
  <si>
    <t>TCKU7288306</t>
  </si>
  <si>
    <t>WHSU5502100</t>
  </si>
  <si>
    <t>TGBU7107845</t>
  </si>
  <si>
    <t>DRYU9876337</t>
  </si>
  <si>
    <t>MEDU2982234</t>
  </si>
  <si>
    <t>EGHU3612321</t>
  </si>
  <si>
    <t>OCGU2053974</t>
  </si>
  <si>
    <t>TSTU0230505</t>
  </si>
  <si>
    <t>MEDU7781361</t>
  </si>
  <si>
    <t>Kiến Xương, Thái Bình</t>
  </si>
  <si>
    <t>Đức Thượng, Hoài Đức, Hà Nội</t>
  </si>
  <si>
    <t>Triệu Việt Vương, TP. Ninh Bình</t>
  </si>
  <si>
    <t>Thanh toán tiền thay lọc dầu P551088 xe 15C-136.31 ngày 10/08</t>
  </si>
  <si>
    <t>Thanh toán tiền mua dây coroa 8PK 2020 xe 15C-136.31</t>
  </si>
  <si>
    <t>Thay dầu nhớt Total 20w-50 CI-4</t>
  </si>
  <si>
    <t>Thay lá nhíp bên phụ 08/08 + công thay</t>
  </si>
  <si>
    <t>THÁNG 09.2020</t>
  </si>
  <si>
    <t>Trả hàng Vietsun sáng 03/09</t>
  </si>
  <si>
    <t>Trả hàng Vietsun sáng 05/09</t>
  </si>
  <si>
    <t>Đóng hàng XK sáng 09/09</t>
  </si>
  <si>
    <t>Trả hàng Vietsun sáng 10/09</t>
  </si>
  <si>
    <t>Đóng hàng chè sáng 11/09</t>
  </si>
  <si>
    <t>Đóng hàng chè chiều 14/09</t>
  </si>
  <si>
    <t>Trả hàng NK sáng 15/09</t>
  </si>
  <si>
    <t>Đóng hàng chè chiều 16/09</t>
  </si>
  <si>
    <t>Trả hàng NK sáng 19/09</t>
  </si>
  <si>
    <t>Trả hàng Vietsun sáng 22/09</t>
  </si>
  <si>
    <t>Trả hàng Vietsun sáng 23/09 - 24/09</t>
  </si>
  <si>
    <t>Trả hàng NK sáng 25/09</t>
  </si>
  <si>
    <t>Đóng hàng XK sáng 26/09</t>
  </si>
  <si>
    <t>Đóng hàng chè sáng 28/09</t>
  </si>
  <si>
    <t>Đóng hàng chè sáng 29/09</t>
  </si>
  <si>
    <t>Trả hàng Vietsun chiều 30/09</t>
  </si>
  <si>
    <t>DRYU9878875</t>
  </si>
  <si>
    <t>CSNU6707330</t>
  </si>
  <si>
    <t>TCNU4595221</t>
  </si>
  <si>
    <t>BMOU6500453</t>
  </si>
  <si>
    <t>TCNU6518250</t>
  </si>
  <si>
    <t>TCNU4785010</t>
  </si>
  <si>
    <t>TCNU2447971</t>
  </si>
  <si>
    <t>GAOU6144080</t>
  </si>
  <si>
    <t>BMOU6367696</t>
  </si>
  <si>
    <t>TWCU8024660</t>
  </si>
  <si>
    <t>WHSU5576314</t>
  </si>
  <si>
    <t>TCNU4785936</t>
  </si>
  <si>
    <t>BEAU5032076</t>
  </si>
  <si>
    <t>TCNU8572203</t>
  </si>
  <si>
    <t>TCNU4595474</t>
  </si>
  <si>
    <t>DRYU9951739</t>
  </si>
  <si>
    <t>TEMU7589665</t>
  </si>
  <si>
    <t>GESU5274689</t>
  </si>
  <si>
    <t>TCLU8829681</t>
  </si>
  <si>
    <t>TCNU8378543</t>
  </si>
  <si>
    <t>Thôn Lường, Bạch Sam, Mỹ Hào, Hưng Yên</t>
  </si>
  <si>
    <t>KCN Hải Hà, Móng Cái, Quảng Ninh</t>
  </si>
  <si>
    <t>Sơn Động, Bắc Giang</t>
  </si>
  <si>
    <t>Cargill Đồng Văn, Hà Nam + Phố Nối, Hưng Yên</t>
  </si>
  <si>
    <t>Gia Xuyên, Gia Lộc, Hải Dương</t>
  </si>
  <si>
    <t>KCN Tân Trường, Cẩm Giàng, Hải Dương</t>
  </si>
  <si>
    <t>KCN Nguyễn Đức Cảnh, Thái Bình</t>
  </si>
  <si>
    <t>Quỳnh Phụ, Thái Bình</t>
  </si>
  <si>
    <t xml:space="preserve">Thanh toán tiền 02 lốp 1100R2, săm, yếm xe 15C-136.31 </t>
  </si>
  <si>
    <t>Thanh toán tiền bơm mỡ xe 15C-136.31 ngày 30/09</t>
  </si>
  <si>
    <t>Chi tiền thưởng 2/9</t>
  </si>
  <si>
    <t>THÁNG 10.2020</t>
  </si>
  <si>
    <t>Đóng hàng XK sáng 03/10</t>
  </si>
  <si>
    <t>Trả hàng Vietsun sáng 05/10</t>
  </si>
  <si>
    <t>Đóng hàng chè sáng 06/10</t>
  </si>
  <si>
    <t>Trả hàng NK sáng 09 - 10/10</t>
  </si>
  <si>
    <t>Đóng hàng KH sáng 17/10</t>
  </si>
  <si>
    <t>Trả hàng NK sáng 18/10</t>
  </si>
  <si>
    <t>Đóng hàng XK sáng 19/10</t>
  </si>
  <si>
    <t>Trả hàng NK sáng 20/10</t>
  </si>
  <si>
    <t>Đóng hàng chè sáng 21/10</t>
  </si>
  <si>
    <t>Đóng hàng kết hợp sáng 23/10</t>
  </si>
  <si>
    <t>Đóng hàng XK sáng 24/10</t>
  </si>
  <si>
    <t>Đóng hàng chè sáng 27/10</t>
  </si>
  <si>
    <t>Vận chuyển vỏ cont rỗng sáng 27/10</t>
  </si>
  <si>
    <t>Đóng hàng XK sáng 30/10</t>
  </si>
  <si>
    <t>Đóng hàng xỉ bọt sáng 31/10</t>
  </si>
  <si>
    <t>YMLU8936026</t>
  </si>
  <si>
    <t>MAGU5676667</t>
  </si>
  <si>
    <t>NPLU4311143</t>
  </si>
  <si>
    <t>WHSU2176736</t>
  </si>
  <si>
    <t>FCIU6428742</t>
  </si>
  <si>
    <t>PASU2017178</t>
  </si>
  <si>
    <t>WHSU2689831</t>
  </si>
  <si>
    <t>WHSU2551605</t>
  </si>
  <si>
    <t>TCLU8798087</t>
  </si>
  <si>
    <t>HMMU6081102</t>
  </si>
  <si>
    <t>DRYU9704976</t>
  </si>
  <si>
    <t>WHSU2642449</t>
  </si>
  <si>
    <t>EGHU9788030</t>
  </si>
  <si>
    <t>WSCU8415695</t>
  </si>
  <si>
    <t>WHSU5650860</t>
  </si>
  <si>
    <t>DRYU9961953</t>
  </si>
  <si>
    <t>SEGU5607465</t>
  </si>
  <si>
    <t>WHLU2695989</t>
  </si>
  <si>
    <t>VOSU1812821</t>
  </si>
  <si>
    <t>TEMU7468196</t>
  </si>
  <si>
    <t>WHSU4039901</t>
  </si>
  <si>
    <t>TGBU7822782</t>
  </si>
  <si>
    <t>BMOU6087165</t>
  </si>
  <si>
    <t>Yên Tiến, Ý Yên, Nam Định</t>
  </si>
  <si>
    <t>Nguyễn Văn Cừ, Gia Bình, Bắc Ninh</t>
  </si>
  <si>
    <t>Thác Bà, Yên Bái</t>
  </si>
  <si>
    <t>xã Long Châu, Yên Phong, Bắc Ninh</t>
  </si>
  <si>
    <t xml:space="preserve">Thanh toán tiền mua vi điều khiển hơi xe 15C-136.31 </t>
  </si>
  <si>
    <t>Chi tiền cho nhân viên đăng kiểm xe 15C-136.31</t>
  </si>
  <si>
    <t>TT tiền sửa xe 15C-136.31 ngày 11/10 (Thay côn, trung gian côn, mặt gương, bi bánh đà, đĩa phanh, dây bơm mỡ, sửa cc bàn ép)</t>
  </si>
  <si>
    <t xml:space="preserve">Thanh toán tiền mua lốp Goodride 295/75R22.5 Tuấn Hưng xe 15C-136.31 ngày 31/10 </t>
  </si>
  <si>
    <t>Thanh toán tiền sửa xe 15C-136.31 ngày 05/10 ( Thay 1 ống dây hơi mooc tán, giắc co 2 đầu pi 12 dài 1,2m)</t>
  </si>
  <si>
    <t>Trả hàng NK sáng 04/11</t>
  </si>
  <si>
    <t>Đóng hàng bình khí chiều 06/11</t>
  </si>
  <si>
    <t>Đóng hàng XK sáng 10/11</t>
  </si>
  <si>
    <t>Đóng hàng chè chiều 16/11</t>
  </si>
  <si>
    <t>Trả hàng Vietsun sáng 17/11</t>
  </si>
  <si>
    <t>Đóng hàng chè sáng 18/11</t>
  </si>
  <si>
    <t>Đóng hàng KH chiều 19/11</t>
  </si>
  <si>
    <t>Trả hàng NK sáng 20/11</t>
  </si>
  <si>
    <t>Đóng hàng kết hợp chiều 20/11</t>
  </si>
  <si>
    <t>Trả hàng NK sáng 21/11</t>
  </si>
  <si>
    <t>Đóng hàng chè sáng 23/11</t>
  </si>
  <si>
    <t>Trả hàng Vietsun sáng 24/11</t>
  </si>
  <si>
    <t>Đóng hàng chè sáng 25/11</t>
  </si>
  <si>
    <t>Đóng hàng chè chiều 26/11</t>
  </si>
  <si>
    <t>Trả hàng Vietsun sáng 27/11</t>
  </si>
  <si>
    <t>Trả hàng NK sáng 30/11 - 01/12</t>
  </si>
  <si>
    <t>Vận chuyển hàng chuyển bãi 03/11</t>
  </si>
  <si>
    <t>NYKU5639890</t>
  </si>
  <si>
    <t>MAGU5258733</t>
  </si>
  <si>
    <t>MSCU5393740</t>
  </si>
  <si>
    <t>RFCU2268425</t>
  </si>
  <si>
    <t>TCNU4073891</t>
  </si>
  <si>
    <t>HASU4323137</t>
  </si>
  <si>
    <t>DRYU9593384</t>
  </si>
  <si>
    <t>WHSU5252043</t>
  </si>
  <si>
    <t>TEMU6841366</t>
  </si>
  <si>
    <t>FDCU0514777</t>
  </si>
  <si>
    <t>SKLU1925373</t>
  </si>
  <si>
    <t>WHLU5763794</t>
  </si>
  <si>
    <t>GAOU6506825</t>
  </si>
  <si>
    <t>OOLU8730281</t>
  </si>
  <si>
    <t>BMOU6322921</t>
  </si>
  <si>
    <t>MAGU5680374</t>
  </si>
  <si>
    <t>TGBU6371895</t>
  </si>
  <si>
    <t>PASU2017096</t>
  </si>
  <si>
    <t>TP. Lào Cai - Tiên Du, Bắc Ninh</t>
  </si>
  <si>
    <t>Nhật Tân, Hà Nội - Củ Chi, HCM</t>
  </si>
  <si>
    <t>Văn Môn, Yên Phong, Bắc Ninh</t>
  </si>
  <si>
    <t>TT Vôi, Bắc Giang</t>
  </si>
  <si>
    <t>Thanh Chương, Nghệ An</t>
  </si>
  <si>
    <t>Thanh toán tiền mua dây hơi mooc xe 15C-136.31</t>
  </si>
  <si>
    <t>Thanh toán tiền mua dây điện mooc xe 15C-136.31</t>
  </si>
  <si>
    <t>Thanh toán tiền sửa xe 15C-136.31 ngày 17/11 ( Thay 1 dây hơi lốc kê đầu kéo dài 80cm, tán táo, 2 đầu zắc co)</t>
  </si>
  <si>
    <t>Thanh toán tiền sửa xe 15C-136.31 ngày 30/11 (Lọc nhớt Maxxyorce, lọc tinh, lọc ly tâm, lọc thô)</t>
  </si>
  <si>
    <r>
      <rPr>
        <sz val="10"/>
        <color rgb="FFFF0000"/>
        <rFont val="Times New Roman"/>
        <family val="1"/>
      </rPr>
      <t>KCN VSIP BN -</t>
    </r>
    <r>
      <rPr>
        <sz val="10"/>
        <color theme="1"/>
        <rFont val="Times New Roman"/>
        <family val="1"/>
      </rPr>
      <t xml:space="preserve"> Yên Mỹ, Hưng Yên</t>
    </r>
  </si>
  <si>
    <t>Thanh toán tiền dầu nhớt Total 20w-50CI-4 cho xe 15C-136.31 tháng 11/20</t>
  </si>
  <si>
    <t>THÁNG 12.2020</t>
  </si>
  <si>
    <t>THÁNG 11.2020</t>
  </si>
  <si>
    <t>Đóng hàng chè chiều 03/12</t>
  </si>
  <si>
    <t>Trả hàng Vietsun sáng 07/12</t>
  </si>
  <si>
    <t>Đóng hàng phân sáng 08/12</t>
  </si>
  <si>
    <t>Trả hàng Vietsun sáng 09/12</t>
  </si>
  <si>
    <t>Đóng hàng KH chiều 09/12</t>
  </si>
  <si>
    <t>Đóng hàng KH sáng 11/12</t>
  </si>
  <si>
    <t>Đóng hàng Vietsun chiều 11/12</t>
  </si>
  <si>
    <t>Trả hàng về kho sáng 14/12</t>
  </si>
  <si>
    <t>Trả hàng Vietsun sáng 15/12</t>
  </si>
  <si>
    <t>Đóng hàng chè sáng 17/12</t>
  </si>
  <si>
    <t>Đóng hàng vỏ bình khí sáng 21/12</t>
  </si>
  <si>
    <t>Đóng hàng XK chiều 22/12 - 23/12</t>
  </si>
  <si>
    <t>Đóng hàng chè sáng 24/12</t>
  </si>
  <si>
    <t>Trả hàng NK sáng 26/12</t>
  </si>
  <si>
    <t>Trả hàng NK sáng 28 - 29/12</t>
  </si>
  <si>
    <t>DRYU9717037</t>
  </si>
  <si>
    <t>YMMU6272343</t>
  </si>
  <si>
    <t>SEGU5400647</t>
  </si>
  <si>
    <t>DRYU9678202</t>
  </si>
  <si>
    <t>SUDU1688896</t>
  </si>
  <si>
    <t>BMOU5742637</t>
  </si>
  <si>
    <t>TCNU4595854</t>
  </si>
  <si>
    <t>DRYU9961803</t>
  </si>
  <si>
    <t>GAOU6144747</t>
  </si>
  <si>
    <t>MSKU6244490</t>
  </si>
  <si>
    <t>VNLU3095743</t>
  </si>
  <si>
    <t>TCNU4595598</t>
  </si>
  <si>
    <t>WHLU5799673</t>
  </si>
  <si>
    <t>DRYU9592346</t>
  </si>
  <si>
    <t>TEMU7634620</t>
  </si>
  <si>
    <t>TCKU1834734</t>
  </si>
  <si>
    <t>FSCU5107074</t>
  </si>
  <si>
    <t>TGHU6844156</t>
  </si>
  <si>
    <t>01 Case 660 kg</t>
  </si>
  <si>
    <t>MAGU5798304</t>
  </si>
  <si>
    <t>FSCU9749339</t>
  </si>
  <si>
    <t>OOCU7934350</t>
  </si>
  <si>
    <t>Quảng Yên, Quảng Ninh</t>
  </si>
  <si>
    <t>TT Bần Yên Nhân, Hưng Yên</t>
  </si>
  <si>
    <t>QL10, P. Lộc Vượng, TP. Nam Định</t>
  </si>
  <si>
    <t>Mỹ Đồng, Thủy Nguyên, Hải Phòng</t>
  </si>
  <si>
    <t>Cẩm Thượng, TP. Hải Dương</t>
  </si>
  <si>
    <t>43 Tô Hiệu, P. Ngô Quyền, TP. Nam Định</t>
  </si>
  <si>
    <t>An Đồng, An Dương, Hải Phòng</t>
  </si>
  <si>
    <t>Cargill, Phố Nối, Hưng Yên</t>
  </si>
  <si>
    <t>Tháng 01</t>
  </si>
  <si>
    <t>Thanh toán tiền bơm mỡ xe 15C-136.31 ngày 14/12</t>
  </si>
  <si>
    <t>Thanh toán tiền lốp Good Ride 11.00-20 ngày 18/12 cho xe 15C-136.31</t>
  </si>
  <si>
    <t>Thanh toán tiền bảo dưỡng tổng xả hơi, sửa 1 vỉ điện sắt xi xe 15C-136.31 ngày 22/12</t>
  </si>
  <si>
    <t xml:space="preserve">Chi tiền thưởng tết dương lịch </t>
  </si>
  <si>
    <t>Thanh toán tiền sửa xe 15C-136.31 ( thay bi chữ thập, công thay ) ngày 08/12</t>
  </si>
  <si>
    <t>Thanh toán tiền sửa xe 15C-136.31 ( thay phớt may ơ cầu trên, công làm may ơ chảy dầu + dầu may ơ, mua ốc cắt đăng) ngày 14/12</t>
  </si>
  <si>
    <t>Mua hộp chì tạm cho lái xe 15C-136.31</t>
  </si>
  <si>
    <t>Thay dầu nhớt</t>
  </si>
  <si>
    <t>THÁNG 01.2021</t>
  </si>
  <si>
    <t>Trả hàng Vietsun sáng 07/01</t>
  </si>
  <si>
    <t>Đóng hàng KH chiều 07/01</t>
  </si>
  <si>
    <t>Đóng hàng chè sáng 08/01</t>
  </si>
  <si>
    <t>Đóng hàng chè sáng 10/01</t>
  </si>
  <si>
    <t>Trả hàng Vietsun sáng 11/01</t>
  </si>
  <si>
    <t>Đóng hàng chè sáng 12/01</t>
  </si>
  <si>
    <t>Đóng hàng chè sáng 13/01</t>
  </si>
  <si>
    <t>Trả hàng NK sáng 15/01</t>
  </si>
  <si>
    <t>Đóng hàng XK sáng 18/01</t>
  </si>
  <si>
    <t>Trả hàng NK sáng 20/01</t>
  </si>
  <si>
    <t>Trả hàng Vietsun sáng 21/01</t>
  </si>
  <si>
    <t>Trả hàng Vietsun sáng 22/01</t>
  </si>
  <si>
    <t>Đóng hàng XK sáng 23/01</t>
  </si>
  <si>
    <t>Trả hàng NK sáng 25/01</t>
  </si>
  <si>
    <t>Đóng hàng phân sáng 26/01</t>
  </si>
  <si>
    <t>Trả hàng NK sáng 27/01</t>
  </si>
  <si>
    <t>Trả hàng NK sáng 28/01</t>
  </si>
  <si>
    <t>DRYU9962902</t>
  </si>
  <si>
    <t>GAOU6145698</t>
  </si>
  <si>
    <t>DRYU9961450</t>
  </si>
  <si>
    <t>DRYU9590507</t>
  </si>
  <si>
    <t>BMOU6324797</t>
  </si>
  <si>
    <t>YMMU6156512</t>
  </si>
  <si>
    <t>GAOU6143611</t>
  </si>
  <si>
    <t>MRKU5462582</t>
  </si>
  <si>
    <t>TEMU7024000</t>
  </si>
  <si>
    <t>TCNU4595108</t>
  </si>
  <si>
    <t>TCNU3755639</t>
  </si>
  <si>
    <t>EITU0055183</t>
  </si>
  <si>
    <t>TLLU1181738</t>
  </si>
  <si>
    <t>EMCU5489777</t>
  </si>
  <si>
    <t>TGCU0217530</t>
  </si>
  <si>
    <t>DRYU9593131</t>
  </si>
  <si>
    <t>TCNU4785432</t>
  </si>
  <si>
    <t>BMOU6476866</t>
  </si>
  <si>
    <t>TCNU4753883</t>
  </si>
  <si>
    <t>GAOU6422771</t>
  </si>
  <si>
    <t>TCKU1190755</t>
  </si>
  <si>
    <t>TCNU7453128</t>
  </si>
  <si>
    <t>TGBU6961680</t>
  </si>
  <si>
    <t>HLBU2881293</t>
  </si>
  <si>
    <t>MAGU2283898</t>
  </si>
  <si>
    <t>EITU0450300</t>
  </si>
  <si>
    <t>Đại Cương, Kim Bảng, Hà Nam</t>
  </si>
  <si>
    <t>Tam Hưng, Thủy Nguyên, Hải Phòng</t>
  </si>
  <si>
    <t>Lương Tài, Bắc Ninh</t>
  </si>
  <si>
    <t>Hưng Hà, Hoàng Hanh, Hưng Yên</t>
  </si>
  <si>
    <t>Nhổn, Từ Liêm, Hà Nội</t>
  </si>
  <si>
    <t>xã Bình Phú, Thạch Thất, Hà Nội</t>
  </si>
  <si>
    <t>Thanh toán mua phớt may ơ, dầu bánh lái, mua ba ngang + công thợ xe 15C-136.31 ngày 02/01</t>
  </si>
  <si>
    <t>Đóng hàng KH chiều 21/01</t>
  </si>
  <si>
    <t>Phúc Yên, Vĩnh Phúc - KCN Nội Bài, Hà Nội</t>
  </si>
  <si>
    <t>THÁNG 02.2021</t>
  </si>
  <si>
    <t>Đóng hàng chè chiều 01/02</t>
  </si>
  <si>
    <t>Trả hàng NK sáng 02/02</t>
  </si>
  <si>
    <t>Trả hàng Vietsun sáng 04/02</t>
  </si>
  <si>
    <t>Trả hàng NK sáng 05/02</t>
  </si>
  <si>
    <t>Đóng hàng chè sáng 06/02</t>
  </si>
  <si>
    <t>Trả hàng Vietsun sáng 18/02</t>
  </si>
  <si>
    <t>Đóng hàng phân sáng 20/02</t>
  </si>
  <si>
    <t>Đóng hàng chè sáng 22/02</t>
  </si>
  <si>
    <t>Trả hàng Vietsun sáng 23/02</t>
  </si>
  <si>
    <t>Trả hàng Vietsun sáng 25/02</t>
  </si>
  <si>
    <t>Trả hàng NK sáng 26/02</t>
  </si>
  <si>
    <t>CAIU4896129</t>
  </si>
  <si>
    <t>GESU5423165</t>
  </si>
  <si>
    <t>TGCU0202607</t>
  </si>
  <si>
    <t>TCNU4785617</t>
  </si>
  <si>
    <t>OOCU7250086</t>
  </si>
  <si>
    <t>TCNU3663276</t>
  </si>
  <si>
    <t>TRHU4491175</t>
  </si>
  <si>
    <t>DRYU9591972</t>
  </si>
  <si>
    <t>MEDU4049188</t>
  </si>
  <si>
    <t>EISU2136784</t>
  </si>
  <si>
    <t>EGHU3410737</t>
  </si>
  <si>
    <t>WHSU5298390</t>
  </si>
  <si>
    <t>TCNU4595216</t>
  </si>
  <si>
    <t>DRYU9591530</t>
  </si>
  <si>
    <t>OOLU9746934</t>
  </si>
  <si>
    <t>CAIU4668387</t>
  </si>
  <si>
    <t>559 Tam Trinh, Hoàng Mai, Hà Nội</t>
  </si>
  <si>
    <t>Phù Ninh, Phú Thọ</t>
  </si>
  <si>
    <t>Đông Hưng, Thái Bình</t>
  </si>
  <si>
    <t>TT Lam Sơn, Thọ Xuân, Thanh Hóa</t>
  </si>
  <si>
    <t>Yên Thủy, Hòa Bình</t>
  </si>
  <si>
    <t>Tiền lì xì đầu năm</t>
  </si>
  <si>
    <t>Thanh toán tiền bơm mỡ xe 15C-136.31 ngày 17/02/2021</t>
  </si>
  <si>
    <t>Thanh toán tiền sửa xe 15C-136.31 ngày 19/02 (Mua tăng dây cudoa + công thợ)</t>
  </si>
  <si>
    <t>Trả lái xe Mạnh xe 15C-136.31 tiền taxi ( Bắc Giang- HP)</t>
  </si>
  <si>
    <t>Thanh toán tiền sinh nhật lái xe</t>
  </si>
  <si>
    <t>THÁNG 03.2021</t>
  </si>
  <si>
    <t>Đóng hàng chè sáng 02/03</t>
  </si>
  <si>
    <t>Trả hàng Vietsun sáng 03/03</t>
  </si>
  <si>
    <t>Trả hàng Vietsun sáng 04/03</t>
  </si>
  <si>
    <t>Trả hàng Vietsun sáng 05/03</t>
  </si>
  <si>
    <t>Đóng hàng phân sáng 06/03</t>
  </si>
  <si>
    <t>Đóng hàng chè chiều 09/03</t>
  </si>
  <si>
    <t>Trả hàng NK sáng 11/03</t>
  </si>
  <si>
    <t>Đóng hàng KH chiều 11/03</t>
  </si>
  <si>
    <t>Đóng hàng phân sáng 12/03</t>
  </si>
  <si>
    <t>Trả hàng NK chiều 15/03</t>
  </si>
  <si>
    <t>Đóng hàng chè sáng 16/03</t>
  </si>
  <si>
    <t>Trả hàng Vietsun sáng 18/03</t>
  </si>
  <si>
    <t>Đóng hàng Vietsun chiều 18/03</t>
  </si>
  <si>
    <t>Trả hàng NK sáng 19/03</t>
  </si>
  <si>
    <t>Trả hàng KH sáng 20/03</t>
  </si>
  <si>
    <t>Trả hàng Vietsun sáng 23/03</t>
  </si>
  <si>
    <t>Trả hàng NK sáng 24/03</t>
  </si>
  <si>
    <t>Đóng hàng phân sáng 25/03</t>
  </si>
  <si>
    <t>Trả hàng Vietsun sáng 26/03</t>
  </si>
  <si>
    <t>Đóng hàng phân sáng 30/03</t>
  </si>
  <si>
    <t>Đóng hàng chè sáng 31/03</t>
  </si>
  <si>
    <t>TCNU4785073</t>
  </si>
  <si>
    <t>EITU3091163</t>
  </si>
  <si>
    <t>BMOU1090171</t>
  </si>
  <si>
    <t>DRYU9592069</t>
  </si>
  <si>
    <t>DRYU9592011</t>
  </si>
  <si>
    <t>GAOU6145511</t>
  </si>
  <si>
    <t>PONU0534465</t>
  </si>
  <si>
    <t>EITU0412470</t>
  </si>
  <si>
    <t>EITU0394823</t>
  </si>
  <si>
    <t>GAOU6145260</t>
  </si>
  <si>
    <t>TCLU8904018</t>
  </si>
  <si>
    <t>GLDU9577737</t>
  </si>
  <si>
    <t>TCKU9315139</t>
  </si>
  <si>
    <t>TCNU6092334</t>
  </si>
  <si>
    <t>MSKU1232840</t>
  </si>
  <si>
    <t>CAIU6870777</t>
  </si>
  <si>
    <t>TEMU0778055</t>
  </si>
  <si>
    <t>TCLU8150031</t>
  </si>
  <si>
    <t>GAOU6505562</t>
  </si>
  <si>
    <t>KKFU7520722</t>
  </si>
  <si>
    <t>GLDU9412308</t>
  </si>
  <si>
    <t>YMMU4011572</t>
  </si>
  <si>
    <t>GAOU6143801</t>
  </si>
  <si>
    <t>EGSU3118816</t>
  </si>
  <si>
    <t>MSKU8642912</t>
  </si>
  <si>
    <t>Cargill, KCN Đồng Văn, Hà Nam</t>
  </si>
  <si>
    <t>Cargill KCN Phố Nối A, HY - KCN Đồng Văn, Hà Nam</t>
  </si>
  <si>
    <t>CCN Đông Thọ, Yên Phong, Bắc Ninh</t>
  </si>
  <si>
    <t>53 Hùng Vương, Hải Phòng</t>
  </si>
  <si>
    <t>Liên Mạc, Từ Liêm, Hà Nội</t>
  </si>
  <si>
    <t xml:space="preserve">Thanh toán tiền sửa xe 15C-136.31 (Thay lọc gió ngoài, lọc dầu nhớt,lọc nhiên liệu, lọc ly tâm) </t>
  </si>
  <si>
    <t>Thanh toán tiền thay 1 đế bóng hơi xe 15C-136.31 ngày 12/03</t>
  </si>
  <si>
    <t>Thanh toán tiền dầu nhớt Total Rubia 20W50  cho 15C-136.31 tháng 03/21</t>
  </si>
  <si>
    <t>-</t>
  </si>
  <si>
    <t>Trả hàng Vietsun sáng 02/04</t>
  </si>
  <si>
    <t>Đóng hàng KH chiều 02/04</t>
  </si>
  <si>
    <t>Trả hàng NK sáng 03/04</t>
  </si>
  <si>
    <t>Trả hàng Vietsun sáng 05/04</t>
  </si>
  <si>
    <t>Đóng hàng phân sáng 08/04</t>
  </si>
  <si>
    <t>Trả hàng NK chiều 10/04</t>
  </si>
  <si>
    <t>Đóng hàng phân sáng 11/04</t>
  </si>
  <si>
    <t>Đóng hàng phân sáng 12/04</t>
  </si>
  <si>
    <t>Đóng hàng chè sáng 14/04</t>
  </si>
  <si>
    <t>Đóng hàng chè chiều 15/04</t>
  </si>
  <si>
    <t>Trả hàng NK chiều 16/04</t>
  </si>
  <si>
    <t>Trả hàng Vietsun sáng 23/04</t>
  </si>
  <si>
    <t>Đóng hàng XK sáng 24/04</t>
  </si>
  <si>
    <t>Đóng hàng phân sáng 25/04</t>
  </si>
  <si>
    <t>Đóng hàng chè sáng 27/04</t>
  </si>
  <si>
    <t>GAOU6145390</t>
  </si>
  <si>
    <t>DRYU9878561</t>
  </si>
  <si>
    <t>NYKU0732340</t>
  </si>
  <si>
    <t>TCLU8613840</t>
  </si>
  <si>
    <t>OOLU9997014</t>
  </si>
  <si>
    <t>EITU0081069</t>
  </si>
  <si>
    <t>DRYU9876110</t>
  </si>
  <si>
    <t>TCNU3745230</t>
  </si>
  <si>
    <t>MSKU7482131</t>
  </si>
  <si>
    <t>MSKU2783533</t>
  </si>
  <si>
    <t>FSCU5845015</t>
  </si>
  <si>
    <t>WHSU5909122</t>
  </si>
  <si>
    <t>WHSU5057345</t>
  </si>
  <si>
    <t>OOLU1448656</t>
  </si>
  <si>
    <t>CAIU4810819</t>
  </si>
  <si>
    <t>NLLU9501220</t>
  </si>
  <si>
    <t>TEMU8404072</t>
  </si>
  <si>
    <t>WHSU5135052</t>
  </si>
  <si>
    <t>TLLU6182207</t>
  </si>
  <si>
    <t>MSKU5973115</t>
  </si>
  <si>
    <t>TEMU8693870</t>
  </si>
  <si>
    <t>TWCU8016535</t>
  </si>
  <si>
    <t>WHSU5974431</t>
  </si>
  <si>
    <t>CCLU5287317</t>
  </si>
  <si>
    <t>Hanosimex, KCN Đồng Văn, Hà Nam</t>
  </si>
  <si>
    <t>Việt Yên, Bắc Giang - HCM</t>
  </si>
  <si>
    <t>Việt Yên, Bắc Giang</t>
  </si>
  <si>
    <t>KCN Sông Trà, Thái Bình</t>
  </si>
  <si>
    <t>KCN Tân Liên, Vĩnh Bảo, Hải Phòng</t>
  </si>
  <si>
    <t>Thanh toán mua đèn hậu, sườn, đèn cho xe 15C-136.31 ngày 08/4</t>
  </si>
  <si>
    <t>Thanh toán tiền thay 1 van mới xe 15C-136.31 ngày 13/4</t>
  </si>
  <si>
    <t>Thanh toán tiền chổi gạt mưa xe 15C-136.31 ngày 25/4</t>
  </si>
  <si>
    <t>Thanh toán tiền mua BH vật chất, TNDS xe 15C-136.31 ngày 19/4</t>
  </si>
  <si>
    <t>THÁNG 04.2021</t>
  </si>
  <si>
    <t>Chi tiền thường lễ 30.4/1.5</t>
  </si>
  <si>
    <t>Đóng hàng phân sáng 03/05</t>
  </si>
  <si>
    <t>Trả hàng Vietsun sáng 04/05</t>
  </si>
  <si>
    <t>Trả hàng GLS sáng 06/05</t>
  </si>
  <si>
    <t>Trả hàng Vietsun sáng 07/05</t>
  </si>
  <si>
    <t>Đóng hàng KH chiều 10/05 - 11/05</t>
  </si>
  <si>
    <t>Đóng hàng phân sáng 12/05</t>
  </si>
  <si>
    <t>Đóng hàng phân sáng 13/05</t>
  </si>
  <si>
    <t>Đóng hàng vỏ bình khí sáng 14/05</t>
  </si>
  <si>
    <t>Đóng hàng XK chiều 17/05</t>
  </si>
  <si>
    <t>Trả hàng Vietsun chiều 19/05</t>
  </si>
  <si>
    <t>Đóng hàng phân sáng 20/05</t>
  </si>
  <si>
    <t>Trả hàng GLS sáng 22/05</t>
  </si>
  <si>
    <t>Trả hàng GLS sáng 24/05</t>
  </si>
  <si>
    <t>Trả hàng Vietsun sáng 26/05</t>
  </si>
  <si>
    <t>Đóng hàng chè sáng 27/05</t>
  </si>
  <si>
    <t>Trả hàng NK sáng 28/05</t>
  </si>
  <si>
    <t>Trả hàng NK sáng 29/05</t>
  </si>
  <si>
    <t>31-May-2021</t>
  </si>
  <si>
    <t>Đóng hàng chè sáng 31/05</t>
  </si>
  <si>
    <t>DFSU1006326</t>
  </si>
  <si>
    <t>DRYU9718882</t>
  </si>
  <si>
    <t>GAOU2126046</t>
  </si>
  <si>
    <t>TCNU4785598</t>
  </si>
  <si>
    <t>XINU8150250</t>
  </si>
  <si>
    <t>GAOU6143099</t>
  </si>
  <si>
    <t>MSKU2901430</t>
  </si>
  <si>
    <t>MSKU5998181</t>
  </si>
  <si>
    <t>WHSU2116085</t>
  </si>
  <si>
    <t>CAIU6555142</t>
  </si>
  <si>
    <t>KKFU8079925</t>
  </si>
  <si>
    <t>TCNU4683451</t>
  </si>
  <si>
    <t>EITU1804666</t>
  </si>
  <si>
    <t>DRYU9593208</t>
  </si>
  <si>
    <t>GAOU6505808</t>
  </si>
  <si>
    <t>MAGU2214942</t>
  </si>
  <si>
    <t>SEGU6759610</t>
  </si>
  <si>
    <t>GAOU2127079</t>
  </si>
  <si>
    <t>DRYU9950666</t>
  </si>
  <si>
    <t>DRYU9591627</t>
  </si>
  <si>
    <t>CAIU4672052</t>
  </si>
  <si>
    <t>WHLU4310068</t>
  </si>
  <si>
    <t>TLLU5851226</t>
  </si>
  <si>
    <t>WHSU5630061</t>
  </si>
  <si>
    <t>TCNU5906971</t>
  </si>
  <si>
    <t>Thôn An Chiểu 2, Liên Phương, Hưng Yên</t>
  </si>
  <si>
    <t>Nhật Tân, Hà Nội</t>
  </si>
  <si>
    <t>Khoái Châu, Hưng Yên</t>
  </si>
  <si>
    <t>KCN Thăng Long II, Mỹ Hào, Hưng Yên</t>
  </si>
  <si>
    <t>Kho sữa TH - KCN Thạch Thất, Hà Nội</t>
  </si>
  <si>
    <t>Tháng 6</t>
  </si>
  <si>
    <t xml:space="preserve">Thanh toán mua La zăng xe 15C-136.31 </t>
  </si>
  <si>
    <t>Mua áo bảo hộ</t>
  </si>
  <si>
    <t>Thanh toán tiền bơm mỡ, chỉnh phanh xe 15C-136.31 ngày 13/5</t>
  </si>
  <si>
    <t>Mua chì tạm</t>
  </si>
  <si>
    <t>Thanh toán tiền bảo dưỡng đề, máy phát xe 15C-136.31 ngày 30/5</t>
  </si>
  <si>
    <t>Thanh toán TL thông 01 két nước chính, 03 két nước phụ, thông két gió, hàn chảy két nước xe 15C-136.31</t>
  </si>
  <si>
    <t>Thanh toán tiền ty cabo MF xe 15C-136.31 ngày 30/5</t>
  </si>
  <si>
    <t>Thanh toán tiền chỉnh sửa tay ngoài cánh lái, gia cố ốp và vệ sinh xe 15C-136.31 ngày 30/5</t>
  </si>
  <si>
    <t>Chi tiền đập đảo thay la zăng xe 15C-136.31 ngày 26/5</t>
  </si>
  <si>
    <t>Thanh toán tiền mua khóa bình dầu, dán đăng kiểm, RP7, Lạt, ốc xe 15C-136.31 ngày 21/5</t>
  </si>
  <si>
    <t>Thanh toán tiền lốp xe 15C-136.31 ngày 24/5</t>
  </si>
  <si>
    <t>THÁNG 05.2021</t>
  </si>
  <si>
    <t>THÁNG 06.2021</t>
  </si>
  <si>
    <t>Trả hàng NK sáng 02/06</t>
  </si>
  <si>
    <t>Đóng hàng chè chiều 04/06</t>
  </si>
  <si>
    <t>Trả hàng Vietsun sáng 07/06</t>
  </si>
  <si>
    <t>Đóng hàng chè chiều 10/06</t>
  </si>
  <si>
    <t>Trả hàng Vietsun sáng 11/06</t>
  </si>
  <si>
    <t>Đóng hàng KH 11/06 trả 12/06</t>
  </si>
  <si>
    <t>Trả hàng NK sáng 14/06</t>
  </si>
  <si>
    <t>Đóng hàng KH sáng 16/06</t>
  </si>
  <si>
    <t>Trả hàng NK tối 16/06</t>
  </si>
  <si>
    <t>Đóng hàng XK tối 17/06</t>
  </si>
  <si>
    <t>Đóng hàng XK chiều 18/06</t>
  </si>
  <si>
    <t>Đóng hàng XK sáng 19/06</t>
  </si>
  <si>
    <t>Đóng hàng chè sáng 22/06</t>
  </si>
  <si>
    <t>Đóng hàng chè sáng 23/06</t>
  </si>
  <si>
    <t>Trả hàng Vietsun sáng 25/06</t>
  </si>
  <si>
    <t>Đóng hàng chè sáng 26/06</t>
  </si>
  <si>
    <t>Đóng hàng chè sáng 27/06</t>
  </si>
  <si>
    <t>Đóng hàng chè sáng 28/06</t>
  </si>
  <si>
    <t>Đóng hàng chè sáng 30/06</t>
  </si>
  <si>
    <t>GCXU5426990</t>
  </si>
  <si>
    <t>RAWU8057917</t>
  </si>
  <si>
    <t>FFAU3202862</t>
  </si>
  <si>
    <t>TEMU8228190</t>
  </si>
  <si>
    <t>BSIU2628056</t>
  </si>
  <si>
    <t>DRYU9961207</t>
  </si>
  <si>
    <t>TRHU4426333</t>
  </si>
  <si>
    <t>DFSU7660186</t>
  </si>
  <si>
    <t>WHSU5064030</t>
  </si>
  <si>
    <t>GAOU6144177</t>
  </si>
  <si>
    <t>BMOU6824391</t>
  </si>
  <si>
    <t>SEGU4675803</t>
  </si>
  <si>
    <t>FSCU8929573</t>
  </si>
  <si>
    <t>PHLU5006134</t>
  </si>
  <si>
    <t>DRYU9780174</t>
  </si>
  <si>
    <t>TCNU4528100</t>
  </si>
  <si>
    <t>GAOU6505460</t>
  </si>
  <si>
    <t>TCNU4942790</t>
  </si>
  <si>
    <t>WHSU2656102</t>
  </si>
  <si>
    <t>WHSU2795690</t>
  </si>
  <si>
    <t>WHLU4308097</t>
  </si>
  <si>
    <t>BMOU5727801</t>
  </si>
  <si>
    <t>TEMU7932054</t>
  </si>
  <si>
    <t>FCIU7587013</t>
  </si>
  <si>
    <t>OOLU8247904</t>
  </si>
  <si>
    <t>WHSU5383444</t>
  </si>
  <si>
    <t>Sông Công, Thái Nguyên</t>
  </si>
  <si>
    <t>KCN Đình Vũ, Hải Phòng - CCN Từ Liêm, HN</t>
  </si>
  <si>
    <t>HQ Hòa Lạc + Quốc Oai, Hà Nội</t>
  </si>
  <si>
    <t>Bến xe Miền Tây, Cầu Niệm, Hải Phòng</t>
  </si>
  <si>
    <t>Đông Hội, Đông Anh, Hà Nội</t>
  </si>
  <si>
    <t>Thịnh Quang, Đống Đa, Hà Nội</t>
  </si>
  <si>
    <t>Trường Thành, An Lão, Hải Phòng</t>
  </si>
  <si>
    <t>Máy soi cont - Thanh Hà, Hải Dương</t>
  </si>
  <si>
    <t>KCN Phong Phú, Tiền Phong, Thái Bình</t>
  </si>
  <si>
    <t>Kho Masan Dị Sử, Hưng Yên</t>
  </si>
  <si>
    <t>Thanh toán tiền mua nước làm mát, lọc nước cho xe 15C-136.31</t>
  </si>
  <si>
    <t>Thay rơ le đóng lốc, rơ le ngắt lạnh, bơm ga thêm xe 15C-136.31</t>
  </si>
  <si>
    <t>Thanh toán tiền phí duy trì định vị xe 15C-136.31, 15C-070.63, 15C-119.57, 15C-139.82</t>
  </si>
  <si>
    <t>Thanh toán tiền mua lọc dầu nhớt xe 15C-136.31</t>
  </si>
  <si>
    <t>Chi tiền mua bóng tải , đèn o nét xe 15C-136.31</t>
  </si>
  <si>
    <t>Thanh toán tiền mua 04 ắc quy CMF31800 xe 15C-136.31 ngày 07/06</t>
  </si>
  <si>
    <t>Thanh toán tiền TL đấu lại 2 đường sấy nóng xe 15C-136.31 ngày 16/6</t>
  </si>
  <si>
    <t>Đổi biển số màu vàng cho xe 15C-136.31, 15C-070.63, 15C-139.82, 15C-119.57</t>
  </si>
  <si>
    <t>Thanh toán tiền lắp cảm biến dầu xe 15C-119.57, xe 15C-136.31</t>
  </si>
  <si>
    <t>Thanh toán tiền dầu nhớt xe 15C-136.31, 15C-139.82, 15C-070.63, 15C-119.57</t>
  </si>
  <si>
    <t>Lương  (8tr)</t>
  </si>
  <si>
    <t>Đóng hàng chè chiều 01/07</t>
  </si>
  <si>
    <t>TCNU1053309</t>
  </si>
  <si>
    <t>VOSU8802595</t>
  </si>
  <si>
    <t>Đóng hàng Vietsun sáng 05/07</t>
  </si>
  <si>
    <t>FBLU0238666</t>
  </si>
  <si>
    <t>Đóng hàng chè chiều 07/07</t>
  </si>
  <si>
    <t>BMOU6283907</t>
  </si>
  <si>
    <t>Đóng hàng XK chiều 08/07</t>
  </si>
  <si>
    <t>DRYU9717166</t>
  </si>
  <si>
    <t>Đóng hàng chè sáng 09/07</t>
  </si>
  <si>
    <t>EGHU3666457</t>
  </si>
  <si>
    <t>TGCU2012740</t>
  </si>
  <si>
    <t>TGBU6047037</t>
  </si>
  <si>
    <t>Đóng hàng Vietsun sáng 12/07</t>
  </si>
  <si>
    <t>MAGU5660505</t>
  </si>
  <si>
    <t>SITU9091863</t>
  </si>
  <si>
    <t>TCNU4753190</t>
  </si>
  <si>
    <t>Trả hàng NK sáng 15/07</t>
  </si>
  <si>
    <t>HACU4215233</t>
  </si>
  <si>
    <t>FFAU1631528</t>
  </si>
  <si>
    <t>Trả hàng NK tối 16/07</t>
  </si>
  <si>
    <t>TCNU9742433</t>
  </si>
  <si>
    <t>EITU0033965</t>
  </si>
  <si>
    <t>EITU0146621</t>
  </si>
  <si>
    <t>EITU0338157</t>
  </si>
  <si>
    <t>EGHU3505869</t>
  </si>
  <si>
    <t>EITU0373820</t>
  </si>
  <si>
    <t>EITU3050890</t>
  </si>
  <si>
    <t>Trả hàng NK sáng 23/07</t>
  </si>
  <si>
    <t>BISU6824756</t>
  </si>
  <si>
    <t>Bình Giang, Hải Dương</t>
  </si>
  <si>
    <t>Đóng hàng XK sáng 24/07</t>
  </si>
  <si>
    <t>BSIU9523381</t>
  </si>
  <si>
    <t>Đống hàng sáng 26/07</t>
  </si>
  <si>
    <t>VHPU191116</t>
  </si>
  <si>
    <t>Tân Hồng, Từ Sơn, Bắc Ninh</t>
  </si>
  <si>
    <t>Trả hàng NK chiều 27/07</t>
  </si>
  <si>
    <t>TCNU4881272</t>
  </si>
  <si>
    <t>Đóng hàng phân sáng 28/07</t>
  </si>
  <si>
    <t>EGHU3868714</t>
  </si>
  <si>
    <t>Đóng hàng chè chiều 29/07</t>
  </si>
  <si>
    <t>WHSU2942786</t>
  </si>
  <si>
    <t>WHSU2765464</t>
  </si>
  <si>
    <t>TCKU3366442</t>
  </si>
  <si>
    <t>Thanh toán tiền cọc camera 3 xe 15C-139.82, 15C-119.57, 15C-136.31</t>
  </si>
  <si>
    <t>Thanh toán tiền săm yếm 11.00-20 xe 15C-136.31</t>
  </si>
  <si>
    <t>Thanh toán tiền thay ống gió, quai nhê bãi xe 15C-136.31</t>
  </si>
  <si>
    <t>Thanh toán tiền đảo lốp lái xe + sửa kính 15C-136.31</t>
  </si>
  <si>
    <t>Thanh toán tiền mua bi tăng, công xe 15C-136.31 ngày 8/6</t>
  </si>
  <si>
    <t>Thay tán má phanh, bi mỡ may ơ,con lăn, giảm sóc, tổng côn , cút, má phanh.... xe 15C-136.31 ngày 16/6</t>
  </si>
  <si>
    <t>Thanh toán tiền thay đèn xinnhan, dây điện xe 15C-136.31 ngày 30/7</t>
  </si>
  <si>
    <t>THÁNG 07.2021</t>
  </si>
  <si>
    <t>Trả tiền anh Hoàn test covid nhanh + PCR ngày 27/7 xe 15C-136.31</t>
  </si>
  <si>
    <t>Trả tiền anh Hoàn test covid PCR ngày 28/7 xe 15C-136.31</t>
  </si>
  <si>
    <t>Trả tiền anh Hoàn test covid nhanh ngày 30/7 xe 15C-136.31</t>
  </si>
  <si>
    <t>Trả tiền anh Hoàn test covid PCR ngày 31/7 xe 15C-136.31</t>
  </si>
  <si>
    <t>THÁNG 08.2021</t>
  </si>
  <si>
    <t>Trả hàng XK sáng 04/08</t>
  </si>
  <si>
    <t>Đóng hàng Vietsun sáng 05/08</t>
  </si>
  <si>
    <t>Đóng hàng chè chiều 09/08</t>
  </si>
  <si>
    <t>Đóng hàng chè chiều 12/08</t>
  </si>
  <si>
    <t>Đóng hàng chè sáng 13/08</t>
  </si>
  <si>
    <t>Trả hàng NK sáng 16/08</t>
  </si>
  <si>
    <t>Đóng hàng ván ép sáng 21/08</t>
  </si>
  <si>
    <t>Đóng hàng chè tối 23/08</t>
  </si>
  <si>
    <t>Đóng hàng chè sáng 25/08</t>
  </si>
  <si>
    <t>Đóng hàng chè sáng 30/08</t>
  </si>
  <si>
    <t>Trả hàng Vietsun sáng 31/08</t>
  </si>
  <si>
    <t>Chuyển vỏ rỗng tối 31/08</t>
  </si>
  <si>
    <t>CAIU4668330</t>
  </si>
  <si>
    <t>DFSU7754705</t>
  </si>
  <si>
    <t>TCLU7228367</t>
  </si>
  <si>
    <t>DRYU9593147</t>
  </si>
  <si>
    <t>YMMU6022914</t>
  </si>
  <si>
    <t>MXCU0016093</t>
  </si>
  <si>
    <t>UETU2235095</t>
  </si>
  <si>
    <t>UETU2155148</t>
  </si>
  <si>
    <t>TLLU4080891</t>
  </si>
  <si>
    <t>YMMU1083157</t>
  </si>
  <si>
    <t>YMMU1179080</t>
  </si>
  <si>
    <t>TGBU7275833</t>
  </si>
  <si>
    <t>DFSU7586303</t>
  </si>
  <si>
    <t>TGBU6765081</t>
  </si>
  <si>
    <t>TTNU1296507</t>
  </si>
  <si>
    <t>TRLU8233726</t>
  </si>
  <si>
    <t>TEMU6699499</t>
  </si>
  <si>
    <t>TLLU4103739</t>
  </si>
  <si>
    <t>TEMU8503856</t>
  </si>
  <si>
    <t>TGBU5167697</t>
  </si>
  <si>
    <t>DRYU6079751</t>
  </si>
  <si>
    <t>FSCU8026607</t>
  </si>
  <si>
    <t>VOSU8802830</t>
  </si>
  <si>
    <t>GESU6238665</t>
  </si>
  <si>
    <t>GAOU6144768</t>
  </si>
  <si>
    <t>MSKU0039693</t>
  </si>
  <si>
    <t>xã Hữu Bằng, Thạch Thất, Hà Nội</t>
  </si>
  <si>
    <t>xã Phúc Thịnh, Chiêm Hóa, Tuyên Quang</t>
  </si>
  <si>
    <t>KCN Cầu Gáo, Đan Phượng, Hà Nội</t>
  </si>
  <si>
    <t>Anh Dũng, Dương Kinh, Hải Phòng</t>
  </si>
  <si>
    <t>Bãi Vietfracht</t>
  </si>
  <si>
    <t>Thanh toán tiền thay block điều hòa 15C-136.31</t>
  </si>
  <si>
    <t>Thanh toán tiền mua bóng đèn, xin nhan, curoa cho xe 15C-136.31</t>
  </si>
  <si>
    <t>Thanh toán tiền sửa  xe 15C-136.31</t>
  </si>
  <si>
    <t>Trả tiền anh Hoàn test covid ngày 5/8 xe 15C-136.31</t>
  </si>
  <si>
    <t>Trả tiền anh Hoàn test covid ngày 4/8 xe 15C-136.31</t>
  </si>
  <si>
    <t>Thanh toán tiền mua áo bảo hộ xe 15C-119.57, 15C-136.31, 15C-139.82, 15C-070.63</t>
  </si>
  <si>
    <t>Trả tiền anh Hoàn test covid ngày 08/8 xe 15C-136.31</t>
  </si>
  <si>
    <t>Trả tiền anh hoàn test covid ngày 11/8 xe 15C-136.31</t>
  </si>
  <si>
    <t>Trả tiền anh Hoàn test covid ngày 12/8 xe 15C-136.31</t>
  </si>
  <si>
    <t>Thanh toán tiền sửa xe 15C-136.31 ( Phục hồi van cơ, cảm biến oxy, sửa cuộn điện egr, gioăng van)</t>
  </si>
  <si>
    <t>Trả tiền anh Hoàn test covid ngày 14/8 xe 15C-136.31</t>
  </si>
  <si>
    <t>Trả tiền anh Hoàn test covid ngày 15/8 xe 15C-136.31</t>
  </si>
  <si>
    <t>Trả tiền anh Hoàn test covid ngày 19/8 xe 15C-136.31</t>
  </si>
  <si>
    <t>Trả tiền test covid anh Hoàn ngày 22/8 xe 15C-136.31</t>
  </si>
  <si>
    <t>Trả tiền anh Hoàn test covid ngày 29/8 xe 15C-136.31</t>
  </si>
  <si>
    <t>Trả tiền anh Hoàn test covid ngày 31/8 xe 15C-136.31</t>
  </si>
  <si>
    <t>Thanh toán tiền thay 1 bát phanh mooc, 2 khóa bình hơi mooc, 1 dây tuy ô xe 15C-136.31 ngày 14/8</t>
  </si>
  <si>
    <t>Thanh toán tiền sửa xe 15C-136.31 ngày 8/8 ( Công thợ cứu hộ, mua mã quang bi cao su + chữ thập, chế mã bắt bi quang)</t>
  </si>
  <si>
    <t>Thanh toán tiền thay bạc giằng cầu, tay giằng đầu kéo, chảy dầu, mua dầu lái, làm trục căn phớt xe 15C-136.31 ngày 22/8</t>
  </si>
  <si>
    <t>Thanh toán tiền mua bán cầu + bi chữ thập + công xe 15C-136.31 ngày 29/8</t>
  </si>
  <si>
    <t>THÁNG 09.2021</t>
  </si>
  <si>
    <t>Đóng hàng chè chiều 01/09</t>
  </si>
  <si>
    <t>Trả hàng Vietsun sáng 06/09</t>
  </si>
  <si>
    <t>Trả hàng NK sáng 09/09</t>
  </si>
  <si>
    <t>Trả hàng NK sáng 10/09</t>
  </si>
  <si>
    <t>Trả hàng NK + kiếm hóa 14/09</t>
  </si>
  <si>
    <t>Đóng hàng XK chiều 14/09</t>
  </si>
  <si>
    <t>Đóng hàng chè sáng 15/09</t>
  </si>
  <si>
    <t>Đóng hàng chè sáng 16/09</t>
  </si>
  <si>
    <t>Đóng hàng XK sáng 18/09</t>
  </si>
  <si>
    <t>Trả hàng Vietsun sáng 20/09</t>
  </si>
  <si>
    <t>Đóng hàng XK sáng 21/09</t>
  </si>
  <si>
    <t>Đóng hàng phân sáng 22/09</t>
  </si>
  <si>
    <t>Đóng hàng chè sáng 23/09</t>
  </si>
  <si>
    <t>Trả hàng NK sáng 24/09</t>
  </si>
  <si>
    <t>Đóng hàng phân sáng 28/09</t>
  </si>
  <si>
    <t>Đóng hàng XK sáng 30/09</t>
  </si>
  <si>
    <t>WHSU2721532</t>
  </si>
  <si>
    <t>WHSU2659760</t>
  </si>
  <si>
    <t>TRHU4221502</t>
  </si>
  <si>
    <t>GAOU6143437</t>
  </si>
  <si>
    <t>TXGU5546585</t>
  </si>
  <si>
    <t>TCNU4785200</t>
  </si>
  <si>
    <t>WHSU6386828</t>
  </si>
  <si>
    <t>FSCU5145428</t>
  </si>
  <si>
    <t>TGBU4277684</t>
  </si>
  <si>
    <t>TCNU3179050</t>
  </si>
  <si>
    <t>FCIU5645445</t>
  </si>
  <si>
    <t>INBU3708142</t>
  </si>
  <si>
    <t>BMOU6337881</t>
  </si>
  <si>
    <t>TCLU3632956</t>
  </si>
  <si>
    <t>KOCU4243725</t>
  </si>
  <si>
    <t>KMTU9269339</t>
  </si>
  <si>
    <t>DRYU9718774</t>
  </si>
  <si>
    <t>OOCU4784555</t>
  </si>
  <si>
    <t>HASU1414188</t>
  </si>
  <si>
    <t>WHSU4050541</t>
  </si>
  <si>
    <t>INKU6723713</t>
  </si>
  <si>
    <t>TGBU8568498</t>
  </si>
  <si>
    <t>MSMU7968443</t>
  </si>
  <si>
    <t>MSKU5115800</t>
  </si>
  <si>
    <t>WHSU6423351</t>
  </si>
  <si>
    <t>SITU9126893</t>
  </si>
  <si>
    <t>Đình Xuyên, Gia Lâm - Phú Nghĩa, Chương Mỹ, HN</t>
  </si>
  <si>
    <t>Cầu Diễn, Từ Liêm, Hà Nội</t>
  </si>
  <si>
    <t>Cty chè Trường Thịnh, Thanh Chương, Nghệ An</t>
  </si>
  <si>
    <t>ICD Mỹ Đình, Hà Nội</t>
  </si>
  <si>
    <t>Cargill KCN Phố Nối A, Hưng Yên</t>
  </si>
  <si>
    <t>TT Phúc Thọ, huyện Phúc Thọ, Hà Nội</t>
  </si>
  <si>
    <t>KCN Đồng Văn 2, Hà Nam</t>
  </si>
  <si>
    <t>Chi tiền thưởng 2/9 cho Anh Hoàn 15C-136.31; anh Chính 15C-139.82, anh Lâm 15C-070.63</t>
  </si>
  <si>
    <t>Trả tiền anh Hoàn test covid ngày 2/9 xe 15C-136.31</t>
  </si>
  <si>
    <t>Thanh toán tiền chạy dây công tơ mét xe 15C-136.31 ngày 4/9</t>
  </si>
  <si>
    <t>Trả tiền anh Hoàn test covid ngày 5/9 xe 15C-136.31</t>
  </si>
  <si>
    <t>Trả tiền anh Hoàn test covid ngày 6/9 xe 15C-136.31</t>
  </si>
  <si>
    <t>Trả tiền anh Hoàn test covid ngày 8/9 xe 15C-136.31</t>
  </si>
  <si>
    <t>Trả tiền anh Hoàn test covid ngày 10/9 xe 15C-136.31</t>
  </si>
  <si>
    <t>Trả tiền anh Hoàn test covid ngày 12/9 xe 15C-136.31</t>
  </si>
  <si>
    <t>Thanh toán tiền sửa chữa khóa cánh lái xe 15C-136.31</t>
  </si>
  <si>
    <t>Thanh toán tiền bọc lái ghế phụ, cắt biển số mooc, thay ống nước xe 15C-136.31</t>
  </si>
  <si>
    <t>Thanh toán tiền đảo cầu xe 15C-136.31 ngày 12/9</t>
  </si>
  <si>
    <t>Thanh toán tiền mua lọc nhiên liệu, lọc dầu nhớt, lọc nhiên liệu xe 15C-136.31</t>
  </si>
  <si>
    <t>Trả tiền anh Hoàn test covid ngày 15/9 xe 15C-136.31</t>
  </si>
  <si>
    <t>Trả tiền anh Hoàn test covid ngày 16/9 xe 15C-136.31</t>
  </si>
  <si>
    <t>Trả tiền anh Hoàn test covid ngày 18/9 xe 15C-136.31</t>
  </si>
  <si>
    <t>Trả tiền anh Hoàn test covid ngày 22/9 xe 15C-136.31</t>
  </si>
  <si>
    <t>Trả tiền anh Hoàn test covid ngày 26/9 xe 15C-136.31</t>
  </si>
  <si>
    <t>Trả tiền anh Hoàn test covid ngày 28/9 xe 15C-136.31</t>
  </si>
  <si>
    <t>Thanh toán tiền bơm mỡ xe 15C-136.31 ngày 08/9</t>
  </si>
  <si>
    <t>Thanh toán tiền dáu keo nóc, hàn chế van mở nước xe 15C-136.31 ngày 18/9</t>
  </si>
  <si>
    <t>Thanh toán tiền test PCR xe 15C-136.31, 15C-070.63 ngày 17/07</t>
  </si>
  <si>
    <t>Thay 2 lốp lái Pirelli 295/75R22.5 ngày 23/07</t>
  </si>
  <si>
    <t>Thanh toán tiền mua 2 lốp Casumina BS881 11.00-20 xe 15C-136.31 ngày 12/9</t>
  </si>
  <si>
    <t>Mua 01 phuy dầu nhớt Total 20w-50 CI4 208L, chia đều cho 4 xe</t>
  </si>
  <si>
    <t>THÁNG 10.2021</t>
  </si>
  <si>
    <t>Trả hàng Vietsun sáng 04/10</t>
  </si>
  <si>
    <t>Đóng hàng chè sáng 05/10</t>
  </si>
  <si>
    <t>Trả hàng Vietsun sáng 06/10</t>
  </si>
  <si>
    <t>Đóng hàng KH chiều 06/10</t>
  </si>
  <si>
    <t>Đóng hàng chè chiều 07/10</t>
  </si>
  <si>
    <t>Trả hàng NK sáng 08/10</t>
  </si>
  <si>
    <t>Đóng hàng chè sáng 09/10</t>
  </si>
  <si>
    <t>Trả hàng Vietsun sáng 11/10</t>
  </si>
  <si>
    <t>Đóng hàng Vietsun sáng 13/10</t>
  </si>
  <si>
    <t>Đóng hàng Vietsun sáng 14/10</t>
  </si>
  <si>
    <t>Đóng hàng chè sáng 20/10</t>
  </si>
  <si>
    <t>Đóng hàng XK sáng 21/10</t>
  </si>
  <si>
    <t>Trả hàng NK sáng 23/10</t>
  </si>
  <si>
    <t>Trả hàng Vietsun sáng 25/10</t>
  </si>
  <si>
    <t>Đóng hàng KH Vietsun chiều 25/10</t>
  </si>
  <si>
    <t>Đóng hàng Vietsun sáng 27/10</t>
  </si>
  <si>
    <t>TGBU8895510</t>
  </si>
  <si>
    <t>CAIU9985595</t>
  </si>
  <si>
    <t>EITU0090522</t>
  </si>
  <si>
    <t>EITU0247062</t>
  </si>
  <si>
    <t>GAOU6506888</t>
  </si>
  <si>
    <t>EISU9479888</t>
  </si>
  <si>
    <t>TRHU4817235</t>
  </si>
  <si>
    <t>TGBU5562428</t>
  </si>
  <si>
    <t>BSIU9196951</t>
  </si>
  <si>
    <t>TCLU1745423</t>
  </si>
  <si>
    <t>DRYU9961070</t>
  </si>
  <si>
    <t>GAOU6143870</t>
  </si>
  <si>
    <t>BEAU4329630</t>
  </si>
  <si>
    <t>TCNU3584140</t>
  </si>
  <si>
    <t>TCNU4754149</t>
  </si>
  <si>
    <t>IHOU1057380</t>
  </si>
  <si>
    <t>WHSU5710629</t>
  </si>
  <si>
    <t>MAGU5692924</t>
  </si>
  <si>
    <t>GAOU6506580</t>
  </si>
  <si>
    <t>TCLU9140315</t>
  </si>
  <si>
    <t>DRYU9592460</t>
  </si>
  <si>
    <t>WHSU2300620</t>
  </si>
  <si>
    <t>WHSU2605297</t>
  </si>
  <si>
    <t>SEGU6865206</t>
  </si>
  <si>
    <t>SEGU5797128</t>
  </si>
  <si>
    <t>Vân Tảo, Thường Tín, Hà Nội (cầu vượt)</t>
  </si>
  <si>
    <t>KCN Đồng Lạng, Việt Trì, Phú Thọ</t>
  </si>
  <si>
    <t>Bần Yên Nhân, Mỹ Hào, Hưng Yên</t>
  </si>
  <si>
    <t>KCN Thăng Long, Hà Nội</t>
  </si>
  <si>
    <t>Nậm Búng, Văn Chấn, Yên Bái</t>
  </si>
  <si>
    <t>KCN Yên Bình, Phổ Yên, Thái Nguyên</t>
  </si>
  <si>
    <t>Đồng Hới, Quảng Bình</t>
  </si>
  <si>
    <t>Phù Chuẩn, Từ Sơn, Bắc Ninh</t>
  </si>
  <si>
    <t>KCN Thăng Long II, Yên Mỹ, Hưng Yên</t>
  </si>
  <si>
    <t>Trả tiền anh Hoàn test covid ngày 1/10 xe 15C-136.31</t>
  </si>
  <si>
    <t>Trả tiền anh Hoàn test covid ngày 3/10 xe 15C-136.31</t>
  </si>
  <si>
    <t>Thanh toán tiền mua 4 hộp chì tạm cho Xe 15C-136.31, 15C-139.82, 15C-070.63, 15C-119.57</t>
  </si>
  <si>
    <t>Trả tiền anh Hoàn test covid ngày 05/10 xe 15C-136.31</t>
  </si>
  <si>
    <t>Trả tiền anh Hoàn test covid 7/10 Xe 15C-136.31</t>
  </si>
  <si>
    <t>Chi tiền phí sử dụng đường bộ xe 15C-136.31</t>
  </si>
  <si>
    <t xml:space="preserve">Chi tiền đăng kiểm xe 15C-136.31
</t>
  </si>
  <si>
    <t xml:space="preserve">
Chi ngoài tiền đăng kiểm xe 15C-136.31</t>
  </si>
  <si>
    <t>Trả tiền anh Hoàn test covid ngày 10/10 Xe 15C-136.31</t>
  </si>
  <si>
    <t>Thanh toán tiền mua mỏ lết, tach tach, cờ lê 8-24 xe 15C-136.31</t>
  </si>
  <si>
    <t>Thanh toán tiền thay zơ le xe 15C-136.31</t>
  </si>
  <si>
    <t>Thanh toán hàn táp vai giữa (L+P), hàn chế bắt đai bình nước mooc 15R-067.95 ngày 02/07 xe 15C-136.31</t>
  </si>
  <si>
    <t>Thanh toán nắn hàu xương + vè BH mooc 15R-067.95 ngày 28/2 xe 15C-136.31</t>
  </si>
  <si>
    <t>Trả tiền anh Hoàn test covid ngày 11/10 Xe 15C-136.31</t>
  </si>
  <si>
    <t>Thanh toán tiền thay bát phanh đầu kéo, 1 ống ti ô phanh lái xe 15C-136.31</t>
  </si>
  <si>
    <t>Trả tiền anh Hoàn test covid ngày 13/10 Xe 15C-136.31</t>
  </si>
  <si>
    <t>Trả tiền anh Hoàn test covid ngày 17/10 Xe 15C-136.31</t>
  </si>
  <si>
    <t>Trả tiền anh Hoàn test covid ngày 18/10 Xe 15C-136.31</t>
  </si>
  <si>
    <t>Trả tiền anh Hoàn test covid ngày 23/10 Xe 15C-136.31</t>
  </si>
  <si>
    <t>Thanh toán tiền đảo mặt lốp xe 15C-136.31 ngày 22/10</t>
  </si>
  <si>
    <t>THÁNG 11.2021</t>
  </si>
  <si>
    <t>Đóng hàng chè sáng 03/11</t>
  </si>
  <si>
    <t>Trả hàng NK chiều 08/11</t>
  </si>
  <si>
    <t>Đóng hàng KH Vietsun chiều 10/11</t>
  </si>
  <si>
    <t>Trả hàng NK sáng 11/11</t>
  </si>
  <si>
    <t>Trả hàng Vietsun sáng 12/11</t>
  </si>
  <si>
    <t>Trả hàng Vietsun sáng 13/11</t>
  </si>
  <si>
    <t>Đóng hàng chè sáng 15/11</t>
  </si>
  <si>
    <t>Đóng hàng chè sáng 17/11</t>
  </si>
  <si>
    <t>Trả hàng Vietsun sáng 19/11</t>
  </si>
  <si>
    <t>Đóng hàng chè sáng 22/11</t>
  </si>
  <si>
    <t>Trả hàng Vietsun sáng 23/11</t>
  </si>
  <si>
    <t>Đóng hàng KH chiều 23/11</t>
  </si>
  <si>
    <t>Đóng hàng XK sáng 26/11</t>
  </si>
  <si>
    <t>Đóng hàng XK sáng 29/11</t>
  </si>
  <si>
    <t>Trả hàng đường ngắn tối 29/11</t>
  </si>
  <si>
    <t>Đóng hàng Vietsun sáng 30/11</t>
  </si>
  <si>
    <t>GAOU6143864</t>
  </si>
  <si>
    <t>TCNU1063396</t>
  </si>
  <si>
    <t>CICU8417487</t>
  </si>
  <si>
    <t>GCXU5033930</t>
  </si>
  <si>
    <t>PCIU1029307</t>
  </si>
  <si>
    <t>DRYU9591340</t>
  </si>
  <si>
    <t>TCNU4785540</t>
  </si>
  <si>
    <t>BEAU4293898</t>
  </si>
  <si>
    <t>TCNU4785427</t>
  </si>
  <si>
    <t>GAOU6506790</t>
  </si>
  <si>
    <t>TCNU4662525</t>
  </si>
  <si>
    <t>YMLU8933222</t>
  </si>
  <si>
    <t>WHSU5429822</t>
  </si>
  <si>
    <t>GAOU6506044</t>
  </si>
  <si>
    <t>SEGU1101756</t>
  </si>
  <si>
    <t>MAGU5536623</t>
  </si>
  <si>
    <t>DRYU9591503</t>
  </si>
  <si>
    <t>TCKU6755495</t>
  </si>
  <si>
    <t>CARU5746388</t>
  </si>
  <si>
    <t>TLLU4934645</t>
  </si>
  <si>
    <t>SNBU8200642</t>
  </si>
  <si>
    <t>TCNU4317555</t>
  </si>
  <si>
    <t>Chỉ Đạo, Văn Lâm, Hưng Yên</t>
  </si>
  <si>
    <t>Xuân Trường, Nam Định</t>
  </si>
  <si>
    <t>18 Trần Thái Tông, TP. Thái Bình</t>
  </si>
  <si>
    <t>TT Bần, Yên Nhân, Mỹ Hào, Hưng Yên</t>
  </si>
  <si>
    <t>Dân Tiến, Khoái Châu, Hưng Yên</t>
  </si>
  <si>
    <t>Phùng Xá, Thạch Thất, Hà Nội</t>
  </si>
  <si>
    <t>KCN Phúc Khánh, TP. Thái Bình</t>
  </si>
  <si>
    <t>Minh Lãng, Vũ Thư, TP. Thái Bình</t>
  </si>
  <si>
    <t>18 Trần Thái Tông, chân cầu Thái Bình, TP. Thái Bình</t>
  </si>
  <si>
    <t>Hải An, Hải Phòng</t>
  </si>
  <si>
    <t>Trả tiền anh Hoàn test covid ngày 19/11 Xe 15C-136.31</t>
  </si>
  <si>
    <t>Thanh toán tiền bơm mỡ xe 15C-136.31 ngày 25/11</t>
  </si>
  <si>
    <t>Thanh toán tiền cân lốp của xe 15C-136.31 ngày 23/11</t>
  </si>
  <si>
    <t>Thanh toán tiền sửa tổng phanh chân (thay zoăng phớt, 4 con ốc gãy ), thay 1 tổng phanh mooc 3 giàn xe 15C-136.31 ngày 1/11</t>
  </si>
  <si>
    <t>Thanh toán tiền sửa 3 bầu phanh ( 3 bát phanh, quang ôm) sửa tổng phanh dưới mâm ( thay 1 bộ phớt) , chế 1 bộ khóa xả xe 15C-136.31 ngày 5/11</t>
  </si>
  <si>
    <t>THÁNG 12.2021</t>
  </si>
  <si>
    <t>Đóng hàng Vietsun sáng 01/12</t>
  </si>
  <si>
    <t>Đóng hàng chiều 02/12</t>
  </si>
  <si>
    <t>Đóng hàng chè sáng 03/12</t>
  </si>
  <si>
    <t>Trả hàng Vietsun sáng 04/12</t>
  </si>
  <si>
    <t>Trả hàng Vietsun sáng 06/12</t>
  </si>
  <si>
    <t>Đóng hàng XK sáng 07/12</t>
  </si>
  <si>
    <t>Đóng hàng XK sáng 09/12</t>
  </si>
  <si>
    <t>Đóng hàng XK chiều 10/12</t>
  </si>
  <si>
    <t>Đóng hàng Vietsun sáng 11/12</t>
  </si>
  <si>
    <t>Trả hàng Vietsun sáng 13/12</t>
  </si>
  <si>
    <t>Đóng hàng chè sáng 15/12</t>
  </si>
  <si>
    <t>Trả hàng NK sáng 16/12</t>
  </si>
  <si>
    <t>Đóng hàng chè sáng 18/12</t>
  </si>
  <si>
    <t>Đóng hàng Vietsun sáng 20/12</t>
  </si>
  <si>
    <t>Đóng hàng chè sáng 22/12</t>
  </si>
  <si>
    <t>Đóng hàng XK sáng 24/12</t>
  </si>
  <si>
    <t>Đóng hàng hoa quả 27/12</t>
  </si>
  <si>
    <t>Đóng hàng KH chiều 28 trả 29/12</t>
  </si>
  <si>
    <t>Trả hàng NK sáng 30/12</t>
  </si>
  <si>
    <t>Đóng hàng XK sáng 31/12</t>
  </si>
  <si>
    <t>Gia Lộc, Hải Dương</t>
  </si>
  <si>
    <t>CCN Vũ Ninh, Kiến Xương, Thái Bình</t>
  </si>
  <si>
    <t>Nguyễn Trãi, Thanh Xuân, Hà Nội</t>
  </si>
  <si>
    <t>Phú Nghĩa, Chương Mỹ, Hà Nội</t>
  </si>
  <si>
    <t>Khánh Phú, Yên Khánh, Ninh Bình</t>
  </si>
  <si>
    <t>Bảo Khê, TP. Hưng Yên</t>
  </si>
  <si>
    <t>Đỗ Xá, Thường Tín, Hà Nội</t>
  </si>
  <si>
    <t>KCN Hòa Mạc, Hà Nam</t>
  </si>
  <si>
    <t>Phúc Lợi, Long Biên, Hà Nội</t>
  </si>
  <si>
    <t>Kho Vinatrans HP</t>
  </si>
  <si>
    <t>KCN Quang Châu, Việt Yên, Bắc Giang</t>
  </si>
  <si>
    <t>Lương Sơn, Hòa Bình</t>
  </si>
  <si>
    <t>TCNU4785406</t>
  </si>
  <si>
    <t>TCNU6387865</t>
  </si>
  <si>
    <t>CAIU9301096</t>
  </si>
  <si>
    <t>DRYU9718286</t>
  </si>
  <si>
    <t>HDMU6765107</t>
  </si>
  <si>
    <t>BMOU6027802</t>
  </si>
  <si>
    <t>AXIU1613180</t>
  </si>
  <si>
    <t>MRKU5055822</t>
  </si>
  <si>
    <t>KOCU4210125</t>
  </si>
  <si>
    <t>CAIU4674712</t>
  </si>
  <si>
    <t>WHSU5360768</t>
  </si>
  <si>
    <t>TRLU8605504</t>
  </si>
  <si>
    <t>ZCSU7531842</t>
  </si>
  <si>
    <t>TEMU7829750</t>
  </si>
  <si>
    <t>GAOU6506511</t>
  </si>
  <si>
    <t>GESU6389682</t>
  </si>
  <si>
    <t>BMOU5932133</t>
  </si>
  <si>
    <t>KMTU9286640</t>
  </si>
  <si>
    <t>CAIU7866827</t>
  </si>
  <si>
    <t>BMOU9875582</t>
  </si>
  <si>
    <t>TEMU9539961</t>
  </si>
  <si>
    <t>TCLU6613097</t>
  </si>
  <si>
    <t>OOCU6884194</t>
  </si>
  <si>
    <t>WHLU5592813</t>
  </si>
  <si>
    <t>Thanh toán tiền thay ống thăm dầu + công thợ tháo lắp xe 15C-136.31</t>
  </si>
  <si>
    <t>Thanh toán tiền lọc nhớt , lọc nhiên liệu, lọc ly tâm xe 15C-136.31</t>
  </si>
  <si>
    <t>Trả tiền anh Hoàn test covid ngày 28/12 Xe 15C-136.31</t>
  </si>
  <si>
    <t>Thanh toán tiền thay bu lông 12 giằng, bu lông 10, làm chắn bùn, công bắt lại giằng mooc xe 15C-136.31 ngày 14/12</t>
  </si>
  <si>
    <t>Thanh toán tiền mua bạc tay giằng, gia công khóa mâm, công thợ xe 15C-136.31 ngày 05/12</t>
  </si>
  <si>
    <t>Trả tiền anh Hoàn test covid ngày 30/10 xe 15C-136.31</t>
  </si>
  <si>
    <t>Trả anh Hoàn test covid ngày 10/11 xe 15C-136.31</t>
  </si>
  <si>
    <t>Thanh toán tiền mua 2 bộ rơ le chân cắm , dây điện, công thợ xe 15C-136.31</t>
  </si>
  <si>
    <t>THÁNG 01.2022</t>
  </si>
  <si>
    <t>Trả hàng Vietsun chiều 04/01</t>
  </si>
  <si>
    <t>Đóng hàng chè chiều 06/01</t>
  </si>
  <si>
    <t>Trả hàng NK sáng 12/01</t>
  </si>
  <si>
    <t>Trả hàng NK sáng 13/01</t>
  </si>
  <si>
    <t>Trả hàng NK sáng 14/01</t>
  </si>
  <si>
    <t>Trả hàng NK sáng 22/01</t>
  </si>
  <si>
    <t>Trả hàng Vietsun sáng 24/01</t>
  </si>
  <si>
    <t>Đóng hàng XK sáng 25/01</t>
  </si>
  <si>
    <t>Trả hàng NK sáng 26/01</t>
  </si>
  <si>
    <t>Đóng hàng KH chiều 26/01</t>
  </si>
  <si>
    <t>Trả hàng Vietsun sáng 27/01</t>
  </si>
  <si>
    <t>Trả hàng Vietsun sáng 28/01</t>
  </si>
  <si>
    <t>DRYU9592599</t>
  </si>
  <si>
    <t>GAOU6144984</t>
  </si>
  <si>
    <t>TGBU8766723</t>
  </si>
  <si>
    <t>EISU9225883</t>
  </si>
  <si>
    <t>TGBU8562777</t>
  </si>
  <si>
    <t>BMOU6821010</t>
  </si>
  <si>
    <t>GAOU6505407</t>
  </si>
  <si>
    <t>SKHU9823908</t>
  </si>
  <si>
    <t>OOCU6858889</t>
  </si>
  <si>
    <t>TRLU6947724</t>
  </si>
  <si>
    <t>TRHU8629278</t>
  </si>
  <si>
    <t>BEAU2705487</t>
  </si>
  <si>
    <t>DFSU4352981</t>
  </si>
  <si>
    <t>EGHU9539146</t>
  </si>
  <si>
    <t>TCLU4268685</t>
  </si>
  <si>
    <t>TEMU4047911</t>
  </si>
  <si>
    <t>TGHU5302865</t>
  </si>
  <si>
    <t>CAIU6332046</t>
  </si>
  <si>
    <t>TRHU1551223</t>
  </si>
  <si>
    <t>CAIU4673188</t>
  </si>
  <si>
    <t>Hạ Đoạn 2, Đông Hải 2, Hải Anh, Hải Phòng</t>
  </si>
  <si>
    <t>Cảng nội địa, Việt Hòa, TP. Hải Dương</t>
  </si>
  <si>
    <t>Vạn Phúc, Thanh Trì, Hà Nội</t>
  </si>
  <si>
    <t>Gia Đông, Thuận Thành, Bắc Ninh</t>
  </si>
  <si>
    <t>Thái Thủy, Thái Thụy, Thái Bình</t>
  </si>
  <si>
    <t>Bao bì Việt Hưng, Như Quỳnh, Văn Lâm, Hưng Yên</t>
  </si>
  <si>
    <t>Cargill KCN Đồng Văn + Cargill KCN Phố Nối A, HY</t>
  </si>
  <si>
    <t>Thanh toán tiền chế tài đèn xe 15C-136.31</t>
  </si>
  <si>
    <t>Thanh toán tiền đèn nét sườn xe 15C-136.31 ngày 7/1/22</t>
  </si>
  <si>
    <t>Thanh toán tiền thay yếm mới xe 15C-136.31 ngày 12/1/22</t>
  </si>
  <si>
    <t>Thanh toán tiền bảo dưỡng của đề cho xe 15C-136.31 ngày 15/1</t>
  </si>
  <si>
    <t>Chi tiền thưởng tết âm lịch</t>
  </si>
  <si>
    <t>Trả hàng Vietsun sáng 08/02</t>
  </si>
  <si>
    <t>Trả hàng Vietsun sáng 09/02</t>
  </si>
  <si>
    <t>Đóng hàng KH 09/02 trả sáng 10/02</t>
  </si>
  <si>
    <t>Trả hàng NK sáng 11/02</t>
  </si>
  <si>
    <t>Trả hàng NK sáng 12/02</t>
  </si>
  <si>
    <t>Trả hàng NK sáng 14/02</t>
  </si>
  <si>
    <t>Trả hàng NK sáng 15/02</t>
  </si>
  <si>
    <t>Đóng hàng chè sáng 16/02</t>
  </si>
  <si>
    <t>Vận chuyển hàng qua máy soi 21/02</t>
  </si>
  <si>
    <t>Trả hàng NK chiều 22/02</t>
  </si>
  <si>
    <t>Cargill KCN Đồng Văn, Hà Nam</t>
  </si>
  <si>
    <t>Vân Hà, Đông Anh, Hà Nội</t>
  </si>
  <si>
    <t>Máy soi container Tasa Duyên Hải, Hải Phòng</t>
  </si>
  <si>
    <t>Dục, Đông Anh, Hà Nội</t>
  </si>
  <si>
    <t>Dương Nội, Hà Đông, Hà Nội</t>
  </si>
  <si>
    <t>Cty chè Thành Đạt, Thanh Chương, Nghệ An</t>
  </si>
  <si>
    <t>GAOU6146009</t>
  </si>
  <si>
    <t>HMMU6002187</t>
  </si>
  <si>
    <t>OOCU7349905</t>
  </si>
  <si>
    <t>FCIU4092710</t>
  </si>
  <si>
    <t>TCNU7520910</t>
  </si>
  <si>
    <t>FCIU9025519</t>
  </si>
  <si>
    <t>WHSU4020948</t>
  </si>
  <si>
    <t>ZCSU6773332</t>
  </si>
  <si>
    <t>TXGU6673943</t>
  </si>
  <si>
    <t>TXGU6673310</t>
  </si>
  <si>
    <t>MSKU8955959</t>
  </si>
  <si>
    <t>EGHU8314314</t>
  </si>
  <si>
    <t>OOGU8023489</t>
  </si>
  <si>
    <t xml:space="preserve">Lì xì đầu năm </t>
  </si>
  <si>
    <t xml:space="preserve">Thanh toán tiền dầu nhớt </t>
  </si>
  <si>
    <t>Thanh toán tiền thay 2 quả bóng hơi xe 15C-136.31 ngày 18/2</t>
  </si>
  <si>
    <t>Tháo lắp sơ cua, bơm lốp mooc xe 15C-136.31 ngày 27/2</t>
  </si>
  <si>
    <t>THÁNG 02.2022</t>
  </si>
  <si>
    <t>Lương ( 25 ngày)</t>
  </si>
  <si>
    <t>Lương (22/24 ngày)</t>
  </si>
  <si>
    <t>Thanh toán tiền mua 2 bóng hơi tải cho xe 15C-136.31</t>
  </si>
  <si>
    <t>THÁNG 03.2022</t>
  </si>
  <si>
    <t>BMOU6824473</t>
  </si>
  <si>
    <t>BMOU6820483</t>
  </si>
  <si>
    <t>ZCSU6991653</t>
  </si>
  <si>
    <t>ZCSU7653990</t>
  </si>
  <si>
    <t>Đóng hàng Vietsun sáng 04/03</t>
  </si>
  <si>
    <t>GAOU6144618</t>
  </si>
  <si>
    <t>Đóng hàng chè sáng 05/03</t>
  </si>
  <si>
    <t>BSIU3127465</t>
  </si>
  <si>
    <t>Đóng hàng XK ngày 07/03</t>
  </si>
  <si>
    <t>FSCU5853221</t>
  </si>
  <si>
    <t>Bãi 1 Lê Thánh Tông, Hải Phòng</t>
  </si>
  <si>
    <t>SEGU9710785</t>
  </si>
  <si>
    <t>Đóng hàng chè sáng 09/03</t>
  </si>
  <si>
    <t>TCNU1952011</t>
  </si>
  <si>
    <t>TT. Phong Hải, Bảo Thắng, Lào Cai</t>
  </si>
  <si>
    <t>Đóng hàng chè sáng 10/03</t>
  </si>
  <si>
    <t>TCNU1888329</t>
  </si>
  <si>
    <t>Đóng hàng chè sáng 11/03</t>
  </si>
  <si>
    <t>TCKU6134184</t>
  </si>
  <si>
    <t>Trả hàng Vietsun sáng 12/03</t>
  </si>
  <si>
    <t>DRYU9592330</t>
  </si>
  <si>
    <t>Đóng hàng XK sáng 14/03</t>
  </si>
  <si>
    <t>SZLU6021180</t>
  </si>
  <si>
    <t>Đóng hàng XK chiều 14/03</t>
  </si>
  <si>
    <t>SEGU9512265</t>
  </si>
  <si>
    <t>Vận chuyển vỏ rỗng 15/03</t>
  </si>
  <si>
    <t>SVWU6040020</t>
  </si>
  <si>
    <t>Vận chuyển vỏ rỗng 17/03</t>
  </si>
  <si>
    <t>TGHU8000004</t>
  </si>
  <si>
    <t>Trả hàng NK sáng 18/03</t>
  </si>
  <si>
    <t>MRKU4155581</t>
  </si>
  <si>
    <t>SEGU5424823</t>
  </si>
  <si>
    <t>Phùng Xá, Quốc Oai, Hà Nội</t>
  </si>
  <si>
    <t>Đóng hàng XK sáng 21/03</t>
  </si>
  <si>
    <t>CRLU7257250</t>
  </si>
  <si>
    <t>Đóng hàng chè sáng 22/03</t>
  </si>
  <si>
    <t>WHSU6631118</t>
  </si>
  <si>
    <t>WHSU2126165</t>
  </si>
  <si>
    <t>NYKU0726060</t>
  </si>
  <si>
    <t>Đóng hàng chè sáng 25/03</t>
  </si>
  <si>
    <t>TCKU7874098</t>
  </si>
  <si>
    <t>Đóng hàng chè sáng 27/03</t>
  </si>
  <si>
    <t>CMAU4103486</t>
  </si>
  <si>
    <t>Đóng hàng XK 28/03</t>
  </si>
  <si>
    <t>PCIU6049409</t>
  </si>
  <si>
    <t>PCIU6065713</t>
  </si>
  <si>
    <t>SMCU1115915</t>
  </si>
  <si>
    <t>CSNU6332682</t>
  </si>
  <si>
    <t>TCNU4595746</t>
  </si>
  <si>
    <t>Cargill Phố Nối, Hưng Yên</t>
  </si>
  <si>
    <t>Thanh toán tiền hệ thống camera giám sát xe 15C-136.31; 15C-139.82; 15C-070.63; 15C-119.57</t>
  </si>
  <si>
    <t>Lắp tay giằng gầm hoàn thiện ( Bát inox, tay, đai, bulong) xe 15C-136.31 ngày 1/3</t>
  </si>
  <si>
    <t>Sửa bạc + bi ghế, hàn khung ghế, sửa bơm hơi, lót mặt ngồi xe 15C-136.31 ngày 1/3</t>
  </si>
  <si>
    <t>Sửa may xoay, nút bịt xe 15C-136.31</t>
  </si>
  <si>
    <t>Thanh toán tiền mua đèn sườn to, đèn sườn thay bóng xe 15C-136.31</t>
  </si>
  <si>
    <t>Thanh toán tiền thay bình ắc quy cũ 15C-136.31</t>
  </si>
  <si>
    <t>Thanh toán tiền mua dây xoắn 9m đức, súng xì hơi xe 15C-136.31 ngày 5/3</t>
  </si>
  <si>
    <t>Công đấu điện nối dây căm moóc, hàn dây, bắn đèn, thêm mát xe 15C-136.31 ngày 14/3</t>
  </si>
  <si>
    <t>Thanh toán mua dây hơi xe 15C-136.31 ngày 15/3</t>
  </si>
  <si>
    <t>Thanh toán tiền đóng 2 bộ ắt phile, bạch chân cabin, 3 đầu giảm xóc+ công xe 15C-136.31</t>
  </si>
  <si>
    <t>Thanh toán tiền thay rơ le ngắt lạnh, bơm ga xe 15C-136.31</t>
  </si>
  <si>
    <t>Thanh toán tiền sửa hơi moóc, thay 12 bát phanh moóc, 3 bộ quang ôm, sửa van ngừng ép bơm hơi xe 15C-136.31 ngày 16/3</t>
  </si>
  <si>
    <t>Thanh toán tiền mua lốp 1100R20 xe 15C-136.31 ngày 23/3</t>
  </si>
  <si>
    <t>Thanh toán tiền làm nhíp bóng kéo chỉnh lái nhíp, mua con độn quang nhíp xe 15C-136.31 ngày 7/3</t>
  </si>
  <si>
    <t>Lương (27/26 ngày)</t>
  </si>
  <si>
    <t>Anh Chính</t>
  </si>
  <si>
    <t>THÁNG 04.2022</t>
  </si>
  <si>
    <t>Đóng hàng chè sáng 01/04</t>
  </si>
  <si>
    <t>WHSU2356698</t>
  </si>
  <si>
    <t>Đóng hàng XK 02/04</t>
  </si>
  <si>
    <t>SZLU6014386</t>
  </si>
  <si>
    <t>SZLU6001394</t>
  </si>
  <si>
    <t>Đóng hàng chè chiều 21/04</t>
  </si>
  <si>
    <t>WHSU5380975</t>
  </si>
  <si>
    <t>Đóng hàng chè sáng 23/04</t>
  </si>
  <si>
    <t>BEAU4305392</t>
  </si>
  <si>
    <t>Trả hàng Vietsun sáng 25/04</t>
  </si>
  <si>
    <t>HDMU6749868</t>
  </si>
  <si>
    <t>SEGU5566140</t>
  </si>
  <si>
    <t>MSMU5981847</t>
  </si>
  <si>
    <t>TCNU3757210</t>
  </si>
  <si>
    <t>WHSU2025494</t>
  </si>
  <si>
    <t>Đóng hàng XK chiều 29/04</t>
  </si>
  <si>
    <t>MRKU7428972</t>
  </si>
  <si>
    <t>Thanh toán tền bắt lại chắn bùn sau, chống dột nóc, sơn lại 2 ốp gương, hàn 2 mã mũ gắn đèn xe 15C-136.31</t>
  </si>
  <si>
    <t>Đăng kiểm 15C-136.31</t>
  </si>
  <si>
    <t>Chi ngoài đăng kiểm xe 15C-136.31</t>
  </si>
  <si>
    <t>Thanh toán tiền bơm mỡ xe 15C-136.31 ngày 22/4</t>
  </si>
  <si>
    <t>Thanh toán tiền thay 1 bơm nước rửa kính, câu binh xe 15C-136.31 ngày 22/4</t>
  </si>
  <si>
    <t>Thanh toán tiền thay 1 bóng pha + 1 bóng xin nhan xe 15C-136.31 ngày 20/4</t>
  </si>
  <si>
    <t>Thanh toán tiền bơm lốp cả dàn xe 15C-136.31 ngày 20/4</t>
  </si>
  <si>
    <t>Lương (11/26 ngày)</t>
  </si>
  <si>
    <t xml:space="preserve">Thanh toán tiền mua lọc dầu nhớt, lọc nhiên liệu xe 15C-136.31 </t>
  </si>
  <si>
    <t>Thanh toán tiền bảo hiểm TNDS, bảo hiểm vật chất xe 15C-136.31 ngày 21/4</t>
  </si>
  <si>
    <t>THÁNG 05.2022</t>
  </si>
  <si>
    <t>Rút ruột + đóng hàng sang cont 05/05</t>
  </si>
  <si>
    <t>Trả hàng NK chiều 05/05</t>
  </si>
  <si>
    <t>Đóng hàng XK sáng 07/05</t>
  </si>
  <si>
    <t>Trả hàng NK sáng 10/05</t>
  </si>
  <si>
    <t>Trả hàng NK sáng 11/05</t>
  </si>
  <si>
    <t>Trả hàng Vietsun sáng 14/05</t>
  </si>
  <si>
    <t>Trả hàng Vietsun sáng 18/05</t>
  </si>
  <si>
    <t>Trả hàng Vietsun sáng 20/05</t>
  </si>
  <si>
    <t>Trả hàng Vietsun sáng 24/05</t>
  </si>
  <si>
    <t>Đóng hàng KH chiều 24/05 trả 25/05</t>
  </si>
  <si>
    <t>Trả hàng NK sáng 26/05</t>
  </si>
  <si>
    <t>Trả hàng NK sáng 27/05</t>
  </si>
  <si>
    <t>Trả hàng Vietsun sáng 30/05</t>
  </si>
  <si>
    <t>TLLU6177129</t>
  </si>
  <si>
    <t>TCNU4179420</t>
  </si>
  <si>
    <t>UETU5445238</t>
  </si>
  <si>
    <t>BEAU6443826</t>
  </si>
  <si>
    <t>WHSU5390438</t>
  </si>
  <si>
    <t>DRYU9060723</t>
  </si>
  <si>
    <t>ZCSU7263879</t>
  </si>
  <si>
    <t>ZCSU7520880</t>
  </si>
  <si>
    <t>ZCSU7231130</t>
  </si>
  <si>
    <t>OOLU6776806</t>
  </si>
  <si>
    <t>GAOU6144109</t>
  </si>
  <si>
    <t>DRYU9591463</t>
  </si>
  <si>
    <t>GAOU6505644</t>
  </si>
  <si>
    <t>DFSU6996751</t>
  </si>
  <si>
    <t>YMLU8713911</t>
  </si>
  <si>
    <t>HDMU6889303</t>
  </si>
  <si>
    <t>FBLU0007409</t>
  </si>
  <si>
    <t>DFSU6816649</t>
  </si>
  <si>
    <t>CAIU4674564</t>
  </si>
  <si>
    <t>WHSU2917891</t>
  </si>
  <si>
    <t>Bãi G.I.C, Hải Phòng</t>
  </si>
  <si>
    <t>Hải Bối, Đông Anh, Hà Nội</t>
  </si>
  <si>
    <t>Kho Vinafco, Ngũ Hiệp, Thanh Trì, Hà Nội</t>
  </si>
  <si>
    <t>Kho DHL - Samsung, KCN VSIP Bắc Ninh</t>
  </si>
  <si>
    <t>KCN Quang Minh 2, Mê Linh, Hà Nội</t>
  </si>
  <si>
    <t>KCN Thuận Thành 3, Bắc Ninh</t>
  </si>
  <si>
    <t>Dân Hòa, Kỳ Sơn, Hòa Bình</t>
  </si>
  <si>
    <t>Quang Hanh, Cẩm Phả, Quảng Ninh</t>
  </si>
  <si>
    <t>Thanh toán tiền thay lốp xịt lọc gió xe 15C-136.31 ngày 28/5</t>
  </si>
  <si>
    <t>Lương (25/26 ngày)</t>
  </si>
  <si>
    <t>THÁNG 06.2022</t>
  </si>
  <si>
    <t>Thanh toán tiền thay côn 39, phanh Acơ ET, Nato 39 đẹp Trục Acơ 26R xe 15C-136.31</t>
  </si>
  <si>
    <t>Thanh toán tiền mua hộc đựng đồ cabin xe 15C-136.31</t>
  </si>
  <si>
    <t>Thanh toán tiền sửa đèn xe 15C-136.31 ngày 10/6</t>
  </si>
  <si>
    <t>Thanh toán tiền xử lý điện lốc điều hòa, lắp thêm cầu trì , quạt dàn lạnh xe 15C-136.31 ngày 17/6</t>
  </si>
  <si>
    <t>Xử lý van tiết lưu dàn lạnh, bổ xung dầu bôi trơn, cắt ống , thay ga điều hòa cho xe 15C-136.31 ngày 22/6</t>
  </si>
  <si>
    <t>Thanh toán tiền đảo mặt lốp , đảo cầu, xịt lọc xe 15C-136.31 ngày 26/6</t>
  </si>
  <si>
    <t>Thanh toán tiền công hạ sàn, bàn ép, thay dầu A- cơ xe 15C-136.31 ngày 10/6</t>
  </si>
  <si>
    <t>Thanh toán tiền mua dầu total Rubia Tir 7400 cho xe 15C-136.31, 15C-139.82, 15C-070.63,15C180.99 ngày 13/6</t>
  </si>
  <si>
    <t>THÁNG 07.2022</t>
  </si>
  <si>
    <t>Đóng hàng bình khí sáng 05/07</t>
  </si>
  <si>
    <t>Đóng hàng XK sáng 06/07</t>
  </si>
  <si>
    <t>Trả hàng Vietsun + đóng hàng KH 14/07</t>
  </si>
  <si>
    <t>Trả hàng NK sáng 20/07</t>
  </si>
  <si>
    <t>Đóng hàng chè sáng 23 - 24/07</t>
  </si>
  <si>
    <t>Trả hàng NK sáng 26/07</t>
  </si>
  <si>
    <t>Đóng hàng chè sáng 27/07</t>
  </si>
  <si>
    <t>Đóng hàng chè sáng 28/07</t>
  </si>
  <si>
    <t>Đóng hàng chè sáng 30/07</t>
  </si>
  <si>
    <t>Kho DDC Hải Phòng - HCM - Củ Chi</t>
  </si>
  <si>
    <t>Chợ Tân Uyên, Tân Uyên, Lai Châu</t>
  </si>
  <si>
    <t>KCN Phố Nối A, Văn Lâm, Hưng Yên - KH tại kho</t>
  </si>
  <si>
    <t>KCN Yên Mỹ, Hưng Yên</t>
  </si>
  <si>
    <t>Phổ Yên, Thái Nguyên</t>
  </si>
  <si>
    <t>Thượng Cát, Từ Liêm, Hà Nội</t>
  </si>
  <si>
    <t>Bản Bo, TP. Tam Đường, Lai Châu</t>
  </si>
  <si>
    <t>GAOU6506173</t>
  </si>
  <si>
    <t>TCKU1486984</t>
  </si>
  <si>
    <t>CRSU1201135</t>
  </si>
  <si>
    <t>YMMU6192485</t>
  </si>
  <si>
    <t>FFAU1583646</t>
  </si>
  <si>
    <t>BMOU4987846</t>
  </si>
  <si>
    <t>TEMU8796760</t>
  </si>
  <si>
    <t>OOCU4928159</t>
  </si>
  <si>
    <t>DRYU9876208</t>
  </si>
  <si>
    <t>TCLU1596417</t>
  </si>
  <si>
    <t>YMMU6473482</t>
  </si>
  <si>
    <t>GAOU6143627</t>
  </si>
  <si>
    <t>TEMU3696670</t>
  </si>
  <si>
    <t>EISU9201325</t>
  </si>
  <si>
    <t>MSDU8936022</t>
  </si>
  <si>
    <t>YMMU6272908</t>
  </si>
  <si>
    <t>CSNU6999952</t>
  </si>
  <si>
    <t>MRSU5292827</t>
  </si>
  <si>
    <t>YMMU6075370</t>
  </si>
  <si>
    <t>BEAU4383923</t>
  </si>
  <si>
    <t>Trả hàng NK sáng 07/06</t>
  </si>
  <si>
    <t>Trả hàng NK sáng 17/06</t>
  </si>
  <si>
    <t>Đóng hàng chè sáng 21/06</t>
  </si>
  <si>
    <t>Trả hàng NK sáng 22/06</t>
  </si>
  <si>
    <t>Đóng hàng chè sáng 29/06</t>
  </si>
  <si>
    <t>KCN Đồng Văn 4, Hà Nam</t>
  </si>
  <si>
    <t>Tân Dĩnh, Lạng Giang, Bắc Giang</t>
  </si>
  <si>
    <t>Ân Thi, Hưng Yên</t>
  </si>
  <si>
    <t>Cty Tiến Hưng, KCN Tiên Sơn, Bắc Ninh</t>
  </si>
  <si>
    <t>NYKU5121030</t>
  </si>
  <si>
    <t>LCL</t>
  </si>
  <si>
    <t>WHLU0347942</t>
  </si>
  <si>
    <t>HSLU5002467</t>
  </si>
  <si>
    <t>EITU1565962</t>
  </si>
  <si>
    <t>TGBU6754889</t>
  </si>
  <si>
    <t>OOLU7924282</t>
  </si>
  <si>
    <t>OOLU7737023</t>
  </si>
  <si>
    <t>WHSU6537288</t>
  </si>
  <si>
    <t>TCNU2250977</t>
  </si>
  <si>
    <t>TCNU4755490</t>
  </si>
  <si>
    <t>CMAU4830079</t>
  </si>
  <si>
    <t>UETU5428354</t>
  </si>
  <si>
    <t>CAIU4491959</t>
  </si>
  <si>
    <t>SEGU6141113</t>
  </si>
  <si>
    <t>MAGU5533223</t>
  </si>
  <si>
    <t>BSIU9625927</t>
  </si>
  <si>
    <t>WHLU5735597</t>
  </si>
  <si>
    <t>UASU1060030</t>
  </si>
  <si>
    <t>ZCSU7771313</t>
  </si>
  <si>
    <t>TLLU3124980</t>
  </si>
  <si>
    <t>BEAU4329711</t>
  </si>
  <si>
    <t>Thanh toán giảm sóc cabin xe 15C-136.31 ngày 12/7</t>
  </si>
  <si>
    <t>Thanh toán tiền mua santích 37R cho xe 15C-136.31 ngày 19/7</t>
  </si>
  <si>
    <t>Thanh toán tiền xử lý van điều tiết, dầu bôi trơn, nạp ga xe 15C-136.31 ngày 29/7</t>
  </si>
  <si>
    <t>Thanh toán tiền bảo dưỡng đề và máy phát xe 15C-136.31 ngày 25/7</t>
  </si>
  <si>
    <t>Thanh toán tiền mua bóng cabin, công thay, thăng xăng tích moóc xe 15C-136.31</t>
  </si>
  <si>
    <t>"Mua con tăng MF, phớt đuôi cá cầu sau - trước, dầu cầu 20 lít, bi quả dứa, cạnh bi si 2a cầu công thay 
xe 15C-136.31 ngày 31/7"</t>
  </si>
  <si>
    <t>Thanh toán tiền lọc nhiên liệu, lọc nhớt, lọc nhiên liệu xe 15C-136.31 ngày 13/6</t>
  </si>
  <si>
    <t>Thanh toán tiền lọc nhiên liệu lọc nhiên liệu tách nước, lọc nhớt Detroit xe 15C-136.31 ngày 13/6</t>
  </si>
  <si>
    <t>THÁNG 08.2022</t>
  </si>
  <si>
    <t>Đóng hàng chè sáng 04/08</t>
  </si>
  <si>
    <t>Đóng hàng chè sáng 06/08</t>
  </si>
  <si>
    <t>Đóng hàng chè chiều 08/08</t>
  </si>
  <si>
    <t>Đóng hàng chè chiều 10/08</t>
  </si>
  <si>
    <t>Đóng hàng chè sáng 15/08</t>
  </si>
  <si>
    <t>Trả hàng Vietsun sáng 16/08</t>
  </si>
  <si>
    <t>Trả hàng NK sáng 18/08</t>
  </si>
  <si>
    <t>Đóng hàng chè sáng 19/08</t>
  </si>
  <si>
    <t>Trả hàng NK chiều 20/08</t>
  </si>
  <si>
    <t>Đóng hàng chè sáng 26/08</t>
  </si>
  <si>
    <t>Bản Giang, Tam Đường, Lào Cai</t>
  </si>
  <si>
    <t>TT Tân Uyên, Tân Uyên, Lai Châu</t>
  </si>
  <si>
    <t>KCN Phúc Sơn, Ninh Phúc, TP. Ninh Bình</t>
  </si>
  <si>
    <t>KCN Yên Phong mở rộng, Yên Phong, Bắc Ninh</t>
  </si>
  <si>
    <t>KCN Đồng Văn IV, Kim Bảng, Hà Nam</t>
  </si>
  <si>
    <t>Xóm 4, Thanh Tùng, Thanh Chương, Nghệ An</t>
  </si>
  <si>
    <t>PCIU9086160</t>
  </si>
  <si>
    <t>WHLU4249332</t>
  </si>
  <si>
    <t>FCIU9908370</t>
  </si>
  <si>
    <t>YMMU6053833</t>
  </si>
  <si>
    <t>UETU5124027</t>
  </si>
  <si>
    <t>YMMU6633940</t>
  </si>
  <si>
    <t>MRSU5446711</t>
  </si>
  <si>
    <t>BSIU9932950</t>
  </si>
  <si>
    <t>SEGU5392407</t>
  </si>
  <si>
    <t>GAOU6799554</t>
  </si>
  <si>
    <t>FFAU1243522</t>
  </si>
  <si>
    <t>YMLU8794512</t>
  </si>
  <si>
    <t>TCLU6502160</t>
  </si>
  <si>
    <t>WHSU6704404</t>
  </si>
  <si>
    <t>TLLU7802832</t>
  </si>
  <si>
    <t>BEAU4508635</t>
  </si>
  <si>
    <t>TLLU4958077</t>
  </si>
  <si>
    <t>BEAU4303960</t>
  </si>
  <si>
    <t>Phát sinh tiền dầu sửa xe, thay lốp, … ( 6 x 23.900)</t>
  </si>
  <si>
    <t>Phát sinh tiền dầu sửa xe, thay lốp, … ( 2 *23.900 +2* 25.550)</t>
  </si>
  <si>
    <t>Thanh toán tiền mua giá lốp dự phòng xe 15C-136.31 ngày 3/8</t>
  </si>
  <si>
    <t>Thanh toán tiền mua dây, đuôi chuột đồng, đai xiết, lạt nhựa xe 15C-136.31 ngày 13/8</t>
  </si>
  <si>
    <t>Thanh toán tiền mua bóng cabin MF bé xe 15C-136.31 ngày 11/8</t>
  </si>
  <si>
    <t>Thanh toán tiền cắt mặt gương dài xe 15C-136.31 ngày 16/8</t>
  </si>
  <si>
    <t>Mua dây SPK-2020dc xe 15C-136.31</t>
  </si>
  <si>
    <t>Thanh toán tiền mua dầu transtec 5 85 W 140 cho xe 15C-136.31 ngày 15/8 ( Việt phát)</t>
  </si>
  <si>
    <t>Phát sinh tiền vé Epass</t>
  </si>
  <si>
    <t>Thanh toán tiền thay cảm biến dầu, bi may ơ, cảm biến nổ, phanh a cơ, supap hút xe 15C-136.31</t>
  </si>
  <si>
    <t>Thanh toán tiền bơm mỡ xe 15C-136.31 ngày 19/7</t>
  </si>
  <si>
    <t>Thanh toán tiền bát phanh lốc kê dầu xe 15C-136.31 ngày 13/6</t>
  </si>
  <si>
    <t>Thanh tóan tiền sửa 2 quả lốc kê : thay thân giữa, 3 bát phanh xe 15C-136.31 ngày 25/8</t>
  </si>
  <si>
    <t>THÁNG 09.2022</t>
  </si>
  <si>
    <t>Trả hàng NK sáng 06/09 - 07/09</t>
  </si>
  <si>
    <t>Đóng hàng chè sáng 8/9</t>
  </si>
  <si>
    <t>Đóng hàng XK sáng 10/09</t>
  </si>
  <si>
    <t>Trả hàng Vietsun sáng 13/09</t>
  </si>
  <si>
    <t>Trả hàng Vietsun sáng 21/09</t>
  </si>
  <si>
    <t>Đóng hàng XK sáng 23/09</t>
  </si>
  <si>
    <t>Đóng hàng chè chiều 27/09</t>
  </si>
  <si>
    <t>TCNU4785411</t>
  </si>
  <si>
    <t>OOCU7996368</t>
  </si>
  <si>
    <t>TEMU1688486</t>
  </si>
  <si>
    <t>WHSU2934266</t>
  </si>
  <si>
    <t>FSCU8059318</t>
  </si>
  <si>
    <t>UACU3720552</t>
  </si>
  <si>
    <t>YMMU6522988</t>
  </si>
  <si>
    <t>TCNU4785556</t>
  </si>
  <si>
    <t>FFAU2567296</t>
  </si>
  <si>
    <t>DFSU7816690</t>
  </si>
  <si>
    <t>BSIU9562942</t>
  </si>
  <si>
    <t>DRYU9592304</t>
  </si>
  <si>
    <t>TGBU5165966</t>
  </si>
  <si>
    <t>MAGU5559510</t>
  </si>
  <si>
    <t>MAGU5582700</t>
  </si>
  <si>
    <t>TRHU5523750</t>
  </si>
  <si>
    <t>WHSU2696471</t>
  </si>
  <si>
    <t>Bến xe miền Tây, cầu Niệm, Hải Phòng</t>
  </si>
  <si>
    <t>Thanh toán tiền hàn giá đỡ cắt đăng xe 15C-136.31 ngày 25/9</t>
  </si>
  <si>
    <t>Thanh toán tiền mua đèn led 8b cho xe 15C-136.31 ngày 11/09</t>
  </si>
  <si>
    <t>Thanh toán tiền thay bóng cho xe 15C-136.31 ngày 11/9</t>
  </si>
  <si>
    <t>Thanh toán tiền mua lọc nhiên liệu P550821, P550757, lọc nhớt P551088 cho xe 15C-136.31</t>
  </si>
  <si>
    <t>Thanh toán tiền thay lốp, cân lốp xe 15C-136.31 ngày 15/9</t>
  </si>
  <si>
    <t>Thanh toán tiền sửa mất điện đầu kéo xe 15C-136.31 ngày 20/9</t>
  </si>
  <si>
    <t>Thanh toán tiền làm lốp đầu kéo + vá lốp xe 15C-136.31 ngày 21/9</t>
  </si>
  <si>
    <t>Thanh toán tiền sửa xe 15C-136.31( Thay đai hình hơi, hàu táp vè BH, hàn van mở nước bình rửa) ngày 2/3</t>
  </si>
  <si>
    <t>Thanh toán công thay bóng hơi cabin xe 15C-136.31 ngày 10/8</t>
  </si>
  <si>
    <t>Thanh toán tiền tán 6 bộ phanh moóc, lọc nước, 12 con lăn phanh, 6 tăng bua, bảo dưỡng 6 may ơ, tán phanh, mỡ xe 15C-136.31 ngày 11/9</t>
  </si>
  <si>
    <t>Thanh toán tiền tán 4 tăng bua, 4 bộ phanh, công làm xe 15C-136.31 ngày 13/9</t>
  </si>
  <si>
    <t>Thanh toán tiền mua lốp xe + Săm yếm xe  15C-136.31 ngày 26/9</t>
  </si>
  <si>
    <t>Thanh toán tiền đăng kiểm xe 15C-136.31</t>
  </si>
  <si>
    <t>Thanh toán tiền thùng dầu  ngày 10/9</t>
  </si>
  <si>
    <t>Lương (29/26 ngày)</t>
  </si>
  <si>
    <t>THÁNG 10.2022</t>
  </si>
  <si>
    <t>Cứu hộ xe 139.82</t>
  </si>
  <si>
    <t>Đóng hàng chè chiều 04/10</t>
  </si>
  <si>
    <t>Đóng hàng chè sáng 11/10</t>
  </si>
  <si>
    <t>Đóng hàng chè chiều 18/10</t>
  </si>
  <si>
    <t>Đóng hàng chè chiều 20/10</t>
  </si>
  <si>
    <t>Trả hàng NK sáng 25/10</t>
  </si>
  <si>
    <t>Vận chuyển hàng kết hợp 27/10</t>
  </si>
  <si>
    <t>Đóng hàng chè chiều 28/10</t>
  </si>
  <si>
    <t>Sơn Dương, Tuyên Quang</t>
  </si>
  <si>
    <t>Kho Thăng Long, Dị Sử, Mỹ Hào, Hưng Yên</t>
  </si>
  <si>
    <t>Tân Phong, Lai Châu - Bản Bo, Tam Đường, Lai Châu</t>
  </si>
  <si>
    <t>Lai Cách, Cẩm Giàng, Hải Dương</t>
  </si>
  <si>
    <t>Ngã 4 Tân Quang, Bắc Quang, Hà Giang</t>
  </si>
  <si>
    <t>CCN Vừa và nhỏ Từ Liêm, Hà Nội</t>
  </si>
  <si>
    <t>Tam Dương, Vĩnh Phúc</t>
  </si>
  <si>
    <t>Phường Tân Phong, TP. Lai Châu</t>
  </si>
  <si>
    <t>FFAU3339393</t>
  </si>
  <si>
    <t>TCNU3162696</t>
  </si>
  <si>
    <t>NLLU4160374</t>
  </si>
  <si>
    <t>FCIU9677815</t>
  </si>
  <si>
    <t>SEGU6498820</t>
  </si>
  <si>
    <t>BEAU4701726</t>
  </si>
  <si>
    <t>CXDU2383677</t>
  </si>
  <si>
    <t>TCNU3829990</t>
  </si>
  <si>
    <t>GAOU6505393</t>
  </si>
  <si>
    <t>FCIU7627646</t>
  </si>
  <si>
    <t>FFAU1349284</t>
  </si>
  <si>
    <t>TRHU5079748</t>
  </si>
  <si>
    <t>TIIU4062746</t>
  </si>
  <si>
    <t>CULU1940578</t>
  </si>
  <si>
    <t>YMLU8936181</t>
  </si>
  <si>
    <t>NSSU7111073</t>
  </si>
  <si>
    <t>SEGU5247899</t>
  </si>
  <si>
    <t>FFAU1277332</t>
  </si>
  <si>
    <t>SEKU4041697</t>
  </si>
  <si>
    <t xml:space="preserve">Thanh toán tiền mua 2 giảm xóc xe 15C-136.31 </t>
  </si>
  <si>
    <t>Thanh toán tiền thay 1 ống dây tuy ô thủng lực đường ống lốc xe 15C-136.31</t>
  </si>
  <si>
    <t>Thanh toán tiền mua lọc gió ngoài xe 15C-136.31 ngày 10/10</t>
  </si>
  <si>
    <t xml:space="preserve">Thanh toán tiền mua 3 hộp chì tạm cho xe </t>
  </si>
  <si>
    <t xml:space="preserve">Phí kiểm định xe 15C-136.31 </t>
  </si>
  <si>
    <t>Thanh toán tiền thay bát phanh bánh lái xe 15C-136.31 ngày 18/10</t>
  </si>
  <si>
    <t>Thanh toán tiền mua con lăn MF, dây 8PK2020DC cho xe 15C-136.31</t>
  </si>
  <si>
    <t>Thanh toán tiền câu bình ắc quy, cắt biển số, thay vòng bi, bơm mỡ  xe 15C-136.31 ngày 21/10</t>
  </si>
  <si>
    <t>Thanh toán công làm 2 giảm xóc xe 15C-136.31 ngày 6/10</t>
  </si>
  <si>
    <t>Thanh toán tiền thay con lăn dây coroa xe 15C-136.31 ngày 26/10</t>
  </si>
  <si>
    <t>THÁNG 11.2022</t>
  </si>
  <si>
    <t>Trả hàng NK tối 03/11</t>
  </si>
  <si>
    <t>Đóng hàng chè sáng 05/11</t>
  </si>
  <si>
    <t>Trả hàng Vietsun sáng 07/11</t>
  </si>
  <si>
    <t>Trả hàng phế liệu sáng 08/11</t>
  </si>
  <si>
    <t>Đóng hàng chè chiều 09/11</t>
  </si>
  <si>
    <t>Trả hàng Vietsun chiều 15/11</t>
  </si>
  <si>
    <t>Trả hàng phế liệu sáng 22/11</t>
  </si>
  <si>
    <t>Đóng hàng chè chiều 23/11</t>
  </si>
  <si>
    <t>Đóng hàng chè sáng 26/11</t>
  </si>
  <si>
    <t>Đóng hàng XK chiều 28/11</t>
  </si>
  <si>
    <t>Trả hàng sáng + chiều 29/11</t>
  </si>
  <si>
    <t>TT. Tam Đường, tx. Lai Châu, Lai Châu</t>
  </si>
  <si>
    <t>Phạm Văn Đồng, Từ Liêm, Hà Nội</t>
  </si>
  <si>
    <t>Đồng Tâm, Lạc Thủy, Hòa Bình</t>
  </si>
  <si>
    <t>Thanh Nê, Kiến Xương, Thái Bình</t>
  </si>
  <si>
    <t>Hải Phòng - Messer An Dương - Kho DDC</t>
  </si>
  <si>
    <t>YMMU6129883</t>
  </si>
  <si>
    <t>BEAU5408733</t>
  </si>
  <si>
    <t>TEMU7712321</t>
  </si>
  <si>
    <t>GAOU6145506</t>
  </si>
  <si>
    <t>TEMU6567492</t>
  </si>
  <si>
    <t>SEGU6796527</t>
  </si>
  <si>
    <t>TCLU8272277</t>
  </si>
  <si>
    <t>YMMU6260379</t>
  </si>
  <si>
    <t>TGBU7094100</t>
  </si>
  <si>
    <t>TRHU4084307</t>
  </si>
  <si>
    <t>TRLU7585189</t>
  </si>
  <si>
    <t>MSMU8271176</t>
  </si>
  <si>
    <t>DFSU7705526</t>
  </si>
  <si>
    <t>TCNU2176191</t>
  </si>
  <si>
    <t>HLBU2691890</t>
  </si>
  <si>
    <t>TCNU1904184</t>
  </si>
  <si>
    <t>FCIU6666416</t>
  </si>
  <si>
    <t>DRYU9100868</t>
  </si>
  <si>
    <t>BEAU5561845</t>
  </si>
  <si>
    <t>Thanh toán tiền đảo 2 cầu xe 15C-136.31 ngày 15/11</t>
  </si>
  <si>
    <t>Thah toán tiền mua lọc li tâm MF BD xe 15C-136.31 ngày 27/11</t>
  </si>
  <si>
    <t>Thanh toán tiền bơm mỡ xe 15C-136.31 ngày 19/11</t>
  </si>
  <si>
    <t>Thanh toán tiền đảo la zăng 2 quả xe 15C-136.31 ngày 25/11</t>
  </si>
  <si>
    <t>Thanh toán tiền thay bi van treo xe 15C-136.31 ngày 19/11</t>
  </si>
  <si>
    <t>Lương (26/26 ngày)</t>
  </si>
  <si>
    <t>Thanh toán tiền mua săm, yếm xe 15C-136.31 ngày 25/11</t>
  </si>
  <si>
    <t>Thanh toán tiền mua lốp 1100R20 casu/881 + săm yếm xe 15C-136.31 ngày 27/11</t>
  </si>
  <si>
    <t>THÁNG 12.2022</t>
  </si>
  <si>
    <t>Đóng hàng chè sáng 02/12</t>
  </si>
  <si>
    <t>Đóng hàng chè sáng 08/12</t>
  </si>
  <si>
    <t>Đóng hàng chè sáng 12/12</t>
  </si>
  <si>
    <t>Đóng hàng chè sáng 16/12</t>
  </si>
  <si>
    <t>Đóng hàng chè sáng 21/12</t>
  </si>
  <si>
    <t>Đóng hàng chè chiều 23/12</t>
  </si>
  <si>
    <t>Đóng hàng chè sáng 29/12</t>
  </si>
  <si>
    <t>Trả hàng Vietsun sáng 30/12</t>
  </si>
  <si>
    <t>YMLU9028213</t>
  </si>
  <si>
    <t>YMMU6200148</t>
  </si>
  <si>
    <t>MAGU5679352</t>
  </si>
  <si>
    <t>TGBU6506795</t>
  </si>
  <si>
    <t>DRYU9969804</t>
  </si>
  <si>
    <t>TCNU2182147</t>
  </si>
  <si>
    <t>CAIU7995974</t>
  </si>
  <si>
    <t>GAOU6145189</t>
  </si>
  <si>
    <t>YMLU8946894</t>
  </si>
  <si>
    <t>CAAU6445841</t>
  </si>
  <si>
    <t>YMMU6623751</t>
  </si>
  <si>
    <t>SEKU4047864</t>
  </si>
  <si>
    <t>TEMU8796585</t>
  </si>
  <si>
    <t>CAAU5206230</t>
  </si>
  <si>
    <t>TCNU3003143</t>
  </si>
  <si>
    <t>FFAU1167551</t>
  </si>
  <si>
    <t>EMCU1518060</t>
  </si>
  <si>
    <t>OCGU8019107</t>
  </si>
  <si>
    <t>TCNU2257879</t>
  </si>
  <si>
    <t>Bản Giang, Tam Đường, Lai Châu</t>
  </si>
  <si>
    <t>CJ Hà Nam, KCN Đồng Văn 2, Duy Tiên, Hà Nam</t>
  </si>
  <si>
    <t>Thanh toán tiền mua dầu lọc nhớt P551088 , lọc nhiên liệu P550821, P550757 xe 15C-136.31 ngày 26/11</t>
  </si>
  <si>
    <t>Thanh toán tiền mua ắc quy GS 12V-100AH xe 15C-136.31 ngày 19/12</t>
  </si>
  <si>
    <t>Thanh toán tiền cân lốp xe 15C-136.31 ngày 18/12</t>
  </si>
  <si>
    <t>Thanh toán tiền lốp L295/75/16 CH111 cho xe 15C-136.31 ngày 28/12</t>
  </si>
  <si>
    <t>Lương (28/26 ngày)</t>
  </si>
  <si>
    <t>Thanh toán tiền thay 1 bộ chia hơi bóng tải, ép táo đồng, thay 1 sợi tuy ô phanh bánh trước xe 15C-136.31 ngày 19/12</t>
  </si>
  <si>
    <t>Thanh toán tiền  đóng bạc tay giằng cầu, công tháo lắp 2 tay giằng xe 15C-136.31 ngày 05/12</t>
  </si>
  <si>
    <t>Thanh toán tiền mua dầu Total Quartz 7000 5w30 ngày 25/11xe 15C-136.31; 15C-180.99; 15C-070.63; 15C-139.82</t>
  </si>
  <si>
    <t>THÁNG 01.2023</t>
  </si>
  <si>
    <t>Trả hàng Vietsun chiều 03/01</t>
  </si>
  <si>
    <t>GAOU6507014</t>
  </si>
  <si>
    <t>GAOU6800001</t>
  </si>
  <si>
    <t>Đóng hàng chè chiều 05/01</t>
  </si>
  <si>
    <t>TGBU7114253</t>
  </si>
  <si>
    <t>P. Tân Phong, TP. Lai Châu, Lai Châu</t>
  </si>
  <si>
    <t>Đóng hàng chè chiều 09/01</t>
  </si>
  <si>
    <t>MAGU5532649</t>
  </si>
  <si>
    <t>Đóng hàng chè sáng 11/01</t>
  </si>
  <si>
    <t>YMMU6027599</t>
  </si>
  <si>
    <t>Đóng hàng chè chiều 13/01</t>
  </si>
  <si>
    <t>TCNU3797254</t>
  </si>
  <si>
    <t>Đóng hàng chè chiều 15/01</t>
  </si>
  <si>
    <t>YMMU6429113</t>
  </si>
  <si>
    <t>EITU1591684</t>
  </si>
  <si>
    <t>GAOU6144330</t>
  </si>
  <si>
    <t>Trả hàng Vietsun sáng 31/01</t>
  </si>
  <si>
    <t>DRYU9875840</t>
  </si>
  <si>
    <t>KCN Quang Minh 2, Mê Linh, Vĩnh Phúc</t>
  </si>
  <si>
    <t>Chi tiền thường tết dương lịch</t>
  </si>
  <si>
    <t>THÁNG 02.2023</t>
  </si>
  <si>
    <t>Đóng hàng chè chiều 02/02</t>
  </si>
  <si>
    <t>Đóng hàng chè chiều 06/02</t>
  </si>
  <si>
    <t>Đóng hàng chè sáng 09/02</t>
  </si>
  <si>
    <t>Trả hàng Vietsun sáng 13/02</t>
  </si>
  <si>
    <t>Trả hàng Vietsun sáng 16/02</t>
  </si>
  <si>
    <t>Đóng hàng XK sáng 17/02</t>
  </si>
  <si>
    <t>Trả hàng Vietsun sáng 20/02</t>
  </si>
  <si>
    <t>Trả hàng Vietsun sáng 21/02</t>
  </si>
  <si>
    <t>Đóng hàng xỉ bọt dáng 27/02</t>
  </si>
  <si>
    <t>TT. Kẻ Sặt, Bình Giang, Hải Dương</t>
  </si>
  <si>
    <t>Yên Khánh, Ninh Bình - Kiện Khê, Hà Nam</t>
  </si>
  <si>
    <t>Từ Sơn, Bắc Ninh - Đông Thọ, Yên Phong, Bắc Ninh</t>
  </si>
  <si>
    <t>TCNU8880227</t>
  </si>
  <si>
    <t>BMOU1229035</t>
  </si>
  <si>
    <t>BEAU4821228</t>
  </si>
  <si>
    <t>DRYU9969785</t>
  </si>
  <si>
    <t>CAAU5881671</t>
  </si>
  <si>
    <t>CSNU6580837</t>
  </si>
  <si>
    <t>TGBU9971430</t>
  </si>
  <si>
    <t>MAGU5657728</t>
  </si>
  <si>
    <t>GAOU6798959</t>
  </si>
  <si>
    <t>DRYU9592691</t>
  </si>
  <si>
    <t>EMCU1642229</t>
  </si>
  <si>
    <t>DRYU9968747</t>
  </si>
  <si>
    <t>DRYU9876213</t>
  </si>
  <si>
    <t>GLDU3864888</t>
  </si>
  <si>
    <t>MRKU4517063</t>
  </si>
  <si>
    <t>HACU2162920</t>
  </si>
  <si>
    <t>Thanh toán tiền tháo lốp dự phòng, xì lọc gió xe 15C-136.31 ngày 1/2</t>
  </si>
  <si>
    <t xml:space="preserve">Thanh toán Cty định vị bách khoa tiền thu phí duy trì camera 4 xe 15C-136.31, 15C-139.82, 15C-070.63, 15C-180.99 hết 12/2023 </t>
  </si>
  <si>
    <t>Thanh toán tiền mua đèn sườn to 12v xe 15C-136.31 ngày 11/2</t>
  </si>
  <si>
    <t xml:space="preserve">Thanh toán tiền sửa xe 15C-136.31 (phục hồi van cơ, van điện, man nước, gioăng, ống xả, phớt li tâm, phớt buly, công thợ) </t>
  </si>
  <si>
    <t>Thanh toán tiền mua đai cổ, thay lò xo xe 15C-136.31 ngày 17/2</t>
  </si>
  <si>
    <t>Thanh toán tiền dầu total rubia tir 7400 20W50-208L xe 15C-139.82; 15C-180.99; 15C-136.31; 15C-070.63</t>
  </si>
  <si>
    <t>Thanh toán tiền bơm mỡ xe 15C-136.31 ngày 17/2</t>
  </si>
  <si>
    <t>Thanh toán tiền sửa 1 quả lốc kê đầu kéo, thay bát phanh, thay lò xo to, sửa hơi vỉ điện xe 15C-136.31 ngày 17/2</t>
  </si>
  <si>
    <t>Lương (23/24 ngày)</t>
  </si>
  <si>
    <t>THÁNG 03.2023</t>
  </si>
  <si>
    <t>Đóng hàng XK sáng 01/03</t>
  </si>
  <si>
    <t>Trả hàng phế liệu sáng 02/03</t>
  </si>
  <si>
    <t>Đóng hàng chè sáng 07/03</t>
  </si>
  <si>
    <t>Đóng hàng XK sáng 09/03</t>
  </si>
  <si>
    <t>Đóng hàng XK sáng 10/03</t>
  </si>
  <si>
    <t>Trả hàng phế liệu ngày 13/03</t>
  </si>
  <si>
    <t>Đóng hàng bình khí sáng 14/03</t>
  </si>
  <si>
    <t>Trả hàng NK sáng 15/03</t>
  </si>
  <si>
    <t>Trả hàng Vietsun sáng 16/03</t>
  </si>
  <si>
    <t>Đóng hàng XK sáng 17/03</t>
  </si>
  <si>
    <t>Trả hàng Vietsun sáng 20/03</t>
  </si>
  <si>
    <t>Đóng hàng KH chiều 20/03 trả 21/03</t>
  </si>
  <si>
    <t>Đóng hàng chè sáng 23/03</t>
  </si>
  <si>
    <t>Trả hàng phế liệu sáng 27/03</t>
  </si>
  <si>
    <t>Đóng hàng XK sáng 28/03</t>
  </si>
  <si>
    <t>KCN Đồng Văn, Duy Tiên, Hà Nam (Hanosimex)</t>
  </si>
  <si>
    <t>Quán Triều, TP. Thái Nguyên</t>
  </si>
  <si>
    <t>KCN Phú Thái, Kim Thành, Hải Dương</t>
  </si>
  <si>
    <t>Thanh Trì, Hoàng Mai, Hà Nội</t>
  </si>
  <si>
    <t>KCN Bảo Minh, Vụ Bản, Nam Định</t>
  </si>
  <si>
    <t>Kho VINAFCO, Thanh Trì, Hà Nội</t>
  </si>
  <si>
    <t>xã Điềm Thụy, huyện Phú Bình, Thái Nguyên</t>
  </si>
  <si>
    <t>KCN Hiệp Hòa, Mai Đình, Hiệp Hòa, Bắc Giang</t>
  </si>
  <si>
    <t>Kim Lương, Kim Thành, Hải Dương</t>
  </si>
  <si>
    <t>TRHU6792938</t>
  </si>
  <si>
    <t>NYKU6470464</t>
  </si>
  <si>
    <t>MRKU2519452</t>
  </si>
  <si>
    <t>GAOU6799683</t>
  </si>
  <si>
    <t>EMCU8829130</t>
  </si>
  <si>
    <t>OERU4097325</t>
  </si>
  <si>
    <t>CULU6194260</t>
  </si>
  <si>
    <t>TRLU9685680</t>
  </si>
  <si>
    <t>FFAU4246248</t>
  </si>
  <si>
    <t>CBHU9476896</t>
  </si>
  <si>
    <t>YMLU3461400</t>
  </si>
  <si>
    <t>TLLU5370051</t>
  </si>
  <si>
    <t>GAOU6143118</t>
  </si>
  <si>
    <t>TCNU5412201</t>
  </si>
  <si>
    <t>SEGU6727568</t>
  </si>
  <si>
    <t>GAOU6144808</t>
  </si>
  <si>
    <t>TXGU5805053</t>
  </si>
  <si>
    <t>YMMU6397720</t>
  </si>
  <si>
    <t>TGBU2018914</t>
  </si>
  <si>
    <t>BMOU5024136</t>
  </si>
  <si>
    <t>KKTU8148527</t>
  </si>
  <si>
    <t>FSCU8646249</t>
  </si>
  <si>
    <t>DRYU9703748</t>
  </si>
  <si>
    <t>Thanh toán tiền lọc nhiên liệu P550757, lọc nhiên liệu P550821 xe 15C-136.31</t>
  </si>
  <si>
    <t>Thanh toán tiền mua la răng xe 15C-136.31</t>
  </si>
  <si>
    <t>Lán bánh đà + sửa xương côn, mua bi bánh đà, công hạ côn xe 15C-136.31 ngày 23/2</t>
  </si>
  <si>
    <t>THÁNG 04.2023</t>
  </si>
  <si>
    <t>Đóng hàng chè chiều 04 - 05/04</t>
  </si>
  <si>
    <t>Đóng hàng XK sáng 08/04</t>
  </si>
  <si>
    <t>Đóng hàng XK sáng 10/04</t>
  </si>
  <si>
    <t>Đóng hàng chè chiều 11/04</t>
  </si>
  <si>
    <t>Trả hàng phế liệu sáng 13/04</t>
  </si>
  <si>
    <t>Đóng hàng XK sáng 14/04</t>
  </si>
  <si>
    <t>Đóng hàng chè sáng 20/04</t>
  </si>
  <si>
    <t>Đóng hàng XK sáng 21/04</t>
  </si>
  <si>
    <t>Trả hàng NK chiều 21/04</t>
  </si>
  <si>
    <t>Đóng hàng XK sáng 29/04</t>
  </si>
  <si>
    <t>YMMU6376604</t>
  </si>
  <si>
    <t>TRHU5361350</t>
  </si>
  <si>
    <t>EGHU3660757</t>
  </si>
  <si>
    <t>EITU0251205</t>
  </si>
  <si>
    <t>FTAU1658629</t>
  </si>
  <si>
    <t>WHSU2942451</t>
  </si>
  <si>
    <t>DFSU6276108</t>
  </si>
  <si>
    <t>TCLU3205018</t>
  </si>
  <si>
    <t>BEAU4800328</t>
  </si>
  <si>
    <t>WHLU5809637</t>
  </si>
  <si>
    <t>MSDU4383850</t>
  </si>
  <si>
    <t>SNCU2913948</t>
  </si>
  <si>
    <t>OOCU8041244</t>
  </si>
  <si>
    <t>SITU9102058</t>
  </si>
  <si>
    <t>FFAU1320207</t>
  </si>
  <si>
    <t>ZCSU8735440</t>
  </si>
  <si>
    <t>WHSU6185485</t>
  </si>
  <si>
    <t>FCIU5156803</t>
  </si>
  <si>
    <t>Thanh Ba, Phú Thọ</t>
  </si>
  <si>
    <t>KCN Đông Mai, Quảng Yên, Quảng Ninh</t>
  </si>
  <si>
    <t>KCN Nam Thăng Long, Từ Liêm, Hà Nội</t>
  </si>
  <si>
    <t>Nam Trực, Nam Định</t>
  </si>
  <si>
    <t>Thanh toán tiền bảo dưỡng 1 tổng phanh moóc xe 15C-136.31 ngày 6/4</t>
  </si>
  <si>
    <t>Thanh toán tiền thay van moóc xe 15C-136.31 ngày 03/4</t>
  </si>
  <si>
    <t>Thanh toán tiền mua đèn hậu, còi điện. công cho xe 15C-136.31 ngày 12/4</t>
  </si>
  <si>
    <t>Thanh toán tiền hàn cản người sau moóc cho xe 15C-136.31 ngày 12/4</t>
  </si>
  <si>
    <t>Phí đường bộ đăng kiểm xe 15C-136.31</t>
  </si>
  <si>
    <t>Thanh toán tiền thay mới, hàn sàn móc, tháo bình nước hàn 3 thanh giằng ụ moóc xe 15C-136.31</t>
  </si>
  <si>
    <t>Thanh toán tiền mua đèn sườn xe 15C-136.31 ngày 14/4</t>
  </si>
  <si>
    <t>Thanh toán tiền thuê 2 quả xe 15C-136.31 ngày 17/4</t>
  </si>
  <si>
    <t>Thanh toán tiền mua bình cứu hỏa, búa thoát hiểm cho xe 15C-136.31; 15C-139.82; 15C-070.63; 15C-180.99</t>
  </si>
  <si>
    <t>Thanh toán tiền mua tam giác moóc, tem cẩm lửa  cho xe 15C-136.31; 15C-139.82; 15C-070.63; 15C-180.99</t>
  </si>
  <si>
    <t>Thanh toán tiền mua 2 bóng XN mỹ, lét cúc, thay đui tem lửa to, tem an toán xe 15C-136.31</t>
  </si>
  <si>
    <t>Thanh toán tiền lốp 295/75/16 casu /111/275 ( không săm yếm) cho xe 15C-136.31 ngày 21/3</t>
  </si>
  <si>
    <t>Thanh toán tiền đóng bạc 3 giảm xóc, công tháo lắp 4 cái xe 15C-136.31 ngày 28/4</t>
  </si>
  <si>
    <t>Thanh toán tiền mua 12 bạc, 12 ắc, 24 ốc, xăng tích + công thay xe 15C-136.31 ngày 14/4</t>
  </si>
  <si>
    <t>Chi tiền thưởng nghỉ lễ 30/4-1/5</t>
  </si>
  <si>
    <t>THÁNG 05.2023</t>
  </si>
  <si>
    <t>Đóng hàng KH 04/05 trả sáng 05/05</t>
  </si>
  <si>
    <t>Vận chuyển hàng bình khí chiều 05/05</t>
  </si>
  <si>
    <t>Đóng hàng XK sáng 08/05</t>
  </si>
  <si>
    <t>Đóng hàng chè chiều 15/05</t>
  </si>
  <si>
    <t>Đóng hàng chè chiều 17/05</t>
  </si>
  <si>
    <t>Đóng hàng XK sáng 18/05</t>
  </si>
  <si>
    <t>Đóng hàng chè sáng 19/05 - 20/05</t>
  </si>
  <si>
    <t>Đóng hàng XK sáng 22/05</t>
  </si>
  <si>
    <t>Trả hàng NK sáng 23/05</t>
  </si>
  <si>
    <t>Đóng hàng KH sáng 24/05</t>
  </si>
  <si>
    <t>Đóng hàng KH chiều 24/05</t>
  </si>
  <si>
    <t>YMLU2780342</t>
  </si>
  <si>
    <t>TRHU8940546</t>
  </si>
  <si>
    <t>TCKU6027782</t>
  </si>
  <si>
    <t>SEGU6387426</t>
  </si>
  <si>
    <t>OOCU7379303</t>
  </si>
  <si>
    <t>CAIU4296269</t>
  </si>
  <si>
    <t>TCNU4595983</t>
  </si>
  <si>
    <t>WHLU4308230</t>
  </si>
  <si>
    <t>OOCU4757009</t>
  </si>
  <si>
    <t>TCKU7538750</t>
  </si>
  <si>
    <t>TLLU8020843</t>
  </si>
  <si>
    <t>MSMU4337001</t>
  </si>
  <si>
    <t>TCNU3789562</t>
  </si>
  <si>
    <t>OOLU7910165</t>
  </si>
  <si>
    <t>TCKU7502085</t>
  </si>
  <si>
    <t>Ngọc Long, Yên Mỹ, Hưng Yên</t>
  </si>
  <si>
    <t>Tiên Cát, TP. Việt Trì, Phú Thọ</t>
  </si>
  <si>
    <t>Củ Chi, HCM - Kho DDC</t>
  </si>
  <si>
    <t>Mai Lâm, Đông Anh, Hà Nội</t>
  </si>
  <si>
    <t>Bản Bo, Tam Đường, Lai Châu</t>
  </si>
  <si>
    <t>Cargill, KCN Phố Nối A, Văn Lâm, Hưng Yên</t>
  </si>
  <si>
    <t>Sơn Hùng, Thanh Sơn, Phú Thọ</t>
  </si>
  <si>
    <t>Thanh toán tiền tháo lắp máy thay đấu đường sấy xe 15C-136.31 ngày 12/5</t>
  </si>
  <si>
    <t>Thanh toán tiền thay moto gạt mưa xe 15C-136.31 ngày 10/5</t>
  </si>
  <si>
    <t>Thanh toán tiền bảo hiểm dân sự, vật chất xe 15C-136.31</t>
  </si>
  <si>
    <t>Thanh toán tiền bảo dưỡng đề máy phát xe 15C-136.31</t>
  </si>
  <si>
    <t>THÁNG 06.2023</t>
  </si>
  <si>
    <t>Trả hàng NK chiều 05/06</t>
  </si>
  <si>
    <t>Đóng hàng XK sáng 07/06</t>
  </si>
  <si>
    <t>Đóng hàng chè chiều 13/06</t>
  </si>
  <si>
    <t>Trả hàng Vietsun sáng 14/06</t>
  </si>
  <si>
    <t>Đóng hàng chè chiều 15/06</t>
  </si>
  <si>
    <t>Trả hàng Vietsun sáng 19/06</t>
  </si>
  <si>
    <t>Đóng hàng xỉ bọt sáng 20/06</t>
  </si>
  <si>
    <t>Đóng hàng chè sáng 21/06 - 22/06</t>
  </si>
  <si>
    <t>Đóng hàng chè chiều 23/06</t>
  </si>
  <si>
    <t>Đóng hàng XK sáng 24/06</t>
  </si>
  <si>
    <t>Trả hàng Vietsun sáng 27/06</t>
  </si>
  <si>
    <t>Đóng hàng chè chiều 29/06</t>
  </si>
  <si>
    <t>Mai Đình, Sóc Sơn, Hà Nội</t>
  </si>
  <si>
    <t>KCN Phúc Sơn, Ninh Bình</t>
  </si>
  <si>
    <t>Cc HQ Đình Trám, Bắc Giang - KCN vân Trung, BG</t>
  </si>
  <si>
    <t>Phú Thái, Kim Thành, Hải Dương</t>
  </si>
  <si>
    <t>KCN Nam Đình Vũ, Hải Phòng</t>
  </si>
  <si>
    <t>YMLU9029987</t>
  </si>
  <si>
    <t>TWCU8107379</t>
  </si>
  <si>
    <t>MRKU0210926</t>
  </si>
  <si>
    <t>PCIU1389710</t>
  </si>
  <si>
    <t>TGBU4577362</t>
  </si>
  <si>
    <t>EISU9264489</t>
  </si>
  <si>
    <t>BEAU2615249</t>
  </si>
  <si>
    <t>BMOU4900403</t>
  </si>
  <si>
    <t>DFSU1851204</t>
  </si>
  <si>
    <t>TCNU1878573</t>
  </si>
  <si>
    <t>DRYU9877380</t>
  </si>
  <si>
    <t>TCNU3001310</t>
  </si>
  <si>
    <t>GAOU6143191</t>
  </si>
  <si>
    <t>BMOU6845687</t>
  </si>
  <si>
    <t>TCNU4759140</t>
  </si>
  <si>
    <t>YMMU6399528</t>
  </si>
  <si>
    <t>BSIU9092495</t>
  </si>
  <si>
    <t>YMLU8897070</t>
  </si>
  <si>
    <t>DRYU9968789</t>
  </si>
  <si>
    <t>FFAU4239505</t>
  </si>
  <si>
    <t>BEAU5065589</t>
  </si>
  <si>
    <t>Thanh toán mua 1 xô dầu nhớt 18L cho 15C-136.31 +  15C-180.99 +  15C-139.82</t>
  </si>
  <si>
    <t>Thanh toán tiền mua tam giác phản quang cho xe 15C-136.31; 15C-136.31; 15C-180.99; 15C-070.63</t>
  </si>
  <si>
    <t>Thanh toán tiền bơm mỡ xe 15C-136.31 ngày 30/6</t>
  </si>
  <si>
    <t>Thanh toán tiền mua phớt bô li cánh quạt, 2 vòng bi con tăng, công làm bơm cao áp, thay phớt xe 15C-136.31 ngày 30/6</t>
  </si>
  <si>
    <t>Đóng hàng XK chiều 01/07</t>
  </si>
  <si>
    <t>Đóng hàng XK sáng 03/07</t>
  </si>
  <si>
    <t>Đóng hàng chè sáng 04/07</t>
  </si>
  <si>
    <t>Đóng hàng chè sáng 06/07</t>
  </si>
  <si>
    <t>Đóng hàng chè chiều 14/07</t>
  </si>
  <si>
    <t>Đóng hàng XK chiều 17/07</t>
  </si>
  <si>
    <t>Đóng hàng XK sáng 18/07</t>
  </si>
  <si>
    <t>Trà hàng NK sáng 22/07</t>
  </si>
  <si>
    <t>Đóng hàng chè tối 25/07</t>
  </si>
  <si>
    <t>Đóng hàng XK sáng 28/07</t>
  </si>
  <si>
    <t>Đóng hàng chè sáng 31/07</t>
  </si>
  <si>
    <t>TLLU4727777</t>
  </si>
  <si>
    <t>PCIU9329764</t>
  </si>
  <si>
    <t>OOCU7737937</t>
  </si>
  <si>
    <t>FSCU8776010</t>
  </si>
  <si>
    <t>YMMU6370859</t>
  </si>
  <si>
    <t>TCNU4595685</t>
  </si>
  <si>
    <t>TCLU8930505</t>
  </si>
  <si>
    <t>OOCU8262883</t>
  </si>
  <si>
    <t>MSMU7598708</t>
  </si>
  <si>
    <t>TEMU8548892</t>
  </si>
  <si>
    <t>SEGU5463795</t>
  </si>
  <si>
    <t>EISU8287432</t>
  </si>
  <si>
    <t>FFAU1062674</t>
  </si>
  <si>
    <t>YMMU6036306</t>
  </si>
  <si>
    <t>MAGU5515596</t>
  </si>
  <si>
    <t>EGHU9420199</t>
  </si>
  <si>
    <t>EGHU9284528</t>
  </si>
  <si>
    <t>OOCU8395926</t>
  </si>
  <si>
    <t>Tiên Phú, Phù Ninh, Phú Thọ</t>
  </si>
  <si>
    <t>TT Thanh Ba, Phú Thọ + Vĩnh Chân, Hạ Hòa, Phú Thọ</t>
  </si>
  <si>
    <t>SUDU7973695</t>
  </si>
  <si>
    <t>THÁNG 07.2023</t>
  </si>
  <si>
    <t xml:space="preserve">Thanh toán tiền mua chì tạm cho xe 15C-136.31; 15C-139.82; 15C-180.99; 15C-070.63 </t>
  </si>
  <si>
    <t>Thanh toán tiền bảo dưỡng cục điều tiết , thay zoang , công thợ, ti van 1 chiều xe 15C-136.31 ngày 23/7</t>
  </si>
  <si>
    <t>Thanh toán tiền mua bi chữ thập, cao su cổ gió, công thay xe 15C-136.31 ngày 8/7</t>
  </si>
  <si>
    <t>Lương (23/26 ngày)</t>
  </si>
  <si>
    <t>THÁNG 08.2023</t>
  </si>
  <si>
    <t>Đóng hàng chè sáng 07/08</t>
  </si>
  <si>
    <t>Đóng hàng chè sáng 09/08</t>
  </si>
  <si>
    <t>Đóng hàng XK sáng 12/08</t>
  </si>
  <si>
    <t>Đóng hàng XK chiều 12/08</t>
  </si>
  <si>
    <t>Đóng hàng XK sáng 14/08</t>
  </si>
  <si>
    <t>Trả hàng Vietsun sáng 15/08</t>
  </si>
  <si>
    <t>Đóng hàng XK sáng 19/08</t>
  </si>
  <si>
    <t>Đóng hàng xỉ bọt sáng 21/08</t>
  </si>
  <si>
    <t>Đóng hàng XK sáng 29/08</t>
  </si>
  <si>
    <t>Trả hàng NK sáng 31/08</t>
  </si>
  <si>
    <t>BEAU5584239</t>
  </si>
  <si>
    <t>YMLU9005964</t>
  </si>
  <si>
    <t>TEMU7659823</t>
  </si>
  <si>
    <t>OOCU8391751</t>
  </si>
  <si>
    <t>PCIU8575510</t>
  </si>
  <si>
    <t>UETU5627910</t>
  </si>
  <si>
    <t>MEDU1593259</t>
  </si>
  <si>
    <t>TCNU4595279</t>
  </si>
  <si>
    <t>EMCU8952530</t>
  </si>
  <si>
    <t>EMCU8728509</t>
  </si>
  <si>
    <t>GCXU2157054</t>
  </si>
  <si>
    <t>BMOU6808873</t>
  </si>
  <si>
    <t>BEAU6149410</t>
  </si>
  <si>
    <t>TRHU5253377</t>
  </si>
  <si>
    <t>YMMU6228607</t>
  </si>
  <si>
    <t>SUDU5687244</t>
  </si>
  <si>
    <t xml:space="preserve"> IAAU2828025</t>
  </si>
  <si>
    <t>KCN Yên Mỹ 2, Yên Mỹ, Hưng Yên</t>
  </si>
  <si>
    <t>Thanh toán tiền sửa kính lên xuống cánh lái xe 15C-136.31 ngày 28/8</t>
  </si>
  <si>
    <t>Thanh toán tiền lọc nhớt, lọc nước xe 15C-136.31; 15C-139.82; 15C-070.63; 15C-180.99</t>
  </si>
  <si>
    <t>Lương (25/25 ngày)</t>
  </si>
  <si>
    <t>THÁNG 09.2023</t>
  </si>
  <si>
    <t>Trả hàng phế liệu ngày 06/09</t>
  </si>
  <si>
    <t>Trả hàng NK ngày 09/09</t>
  </si>
  <si>
    <t>Trả hàng NK sáng 14/09</t>
  </si>
  <si>
    <t>Đóng hàng XK chiều 16/09</t>
  </si>
  <si>
    <t>Trả hàng NK sáng 22/09</t>
  </si>
  <si>
    <t>Trả hàng Vietsun sáng 26/09</t>
  </si>
  <si>
    <t>Trả hàng NK sáng 27/09</t>
  </si>
  <si>
    <t>Đóng hàng chè chiều 30/09</t>
  </si>
  <si>
    <t>P. Trần Phú, Thành Phố Hà Giang</t>
  </si>
  <si>
    <t>Mường Thanh, TP. Điện Biên Phủ, Điện Biên</t>
  </si>
  <si>
    <t>KCN Quang Minh, Mê Linh, Hà Nội</t>
  </si>
  <si>
    <t>KCN Đồng Văn II, Duy Tiên, Hà Nam</t>
  </si>
  <si>
    <t>CCN Bình Phú, Thạch Thất, Hà Nội</t>
  </si>
  <si>
    <t>TRHU6753422</t>
  </si>
  <si>
    <t>CBHU8976120</t>
  </si>
  <si>
    <t>FFAU1599299</t>
  </si>
  <si>
    <t>TXGU5566386</t>
  </si>
  <si>
    <t>TGBU7060877</t>
  </si>
  <si>
    <t>CRXU1438002</t>
  </si>
  <si>
    <t>TGBU9965890</t>
  </si>
  <si>
    <t>GLDU5505573</t>
  </si>
  <si>
    <t>GAOU6799169</t>
  </si>
  <si>
    <t>YMLU8928294</t>
  </si>
  <si>
    <t>TLLU4900898</t>
  </si>
  <si>
    <t>TGBU6049955</t>
  </si>
  <si>
    <t>GAOU6144639</t>
  </si>
  <si>
    <t>MNBU0068283</t>
  </si>
  <si>
    <t>ONEU0183510</t>
  </si>
  <si>
    <t>EMCU8631252</t>
  </si>
  <si>
    <t>OOCU8719917</t>
  </si>
  <si>
    <t>DRYU9970071</t>
  </si>
  <si>
    <t xml:space="preserve">Nhầm xe anh Tấn </t>
  </si>
  <si>
    <t>Thanh toán tiền lọc dầu nhớt  P551088, lọc nhiên liệu P550821; P550757, lọc dầu nhớt P574863 cho xe 15C-136.31</t>
  </si>
  <si>
    <t xml:space="preserve">Thanh toán tiền dầu nhớt cho 4 xe 15C-136.31; 15C-139.82; 15C-070.63; 15C-180.99 </t>
  </si>
  <si>
    <t>Thanh toán tiền làm đai bình hơi, mua cầu nối ắc quy, cùm cố bô xe 15C-136.31 ngày 18/9</t>
  </si>
  <si>
    <t>Thanh toán tổng phanh moóc vuông TKL xe 15C-136.31 ngày 23/9</t>
  </si>
  <si>
    <t>Thanh toán thay ống, hàn đầu zắc co, bơm ga, dầu lạnh xe 15C-136.31 ngày 19/8</t>
  </si>
  <si>
    <t>Thanh toán tiền phí sử dụng đường bộ xe 15C-136.31</t>
  </si>
  <si>
    <t>Thanh toán tiền lệ phí đăng kiểm xe 15C-136.31</t>
  </si>
  <si>
    <t>Thanh toán tiền tán 4 bộ phanh tải, kéo 1 bộ nhíp, làm bơm nước, mua bu lông, phớt may ơ tảu , dầu cầu, công thay xe 15C-136.31 ngày 28/8</t>
  </si>
  <si>
    <t>Thanh toán tiền  đắp dáu xương BDS, hàu chế bu lông, nắn chỉnh xương, hàu cản , giằng sau xe 15C-136.31 ngày 13/8</t>
  </si>
  <si>
    <t>Thanh toán tiền thay vai trước, ống dầu hơi xe 15C-136.31 ngày 29/9</t>
  </si>
  <si>
    <t>Thanh toán tiền lốp L1100R20 casu881 cho xe 15C-136.31 ngày 21/10</t>
  </si>
  <si>
    <t>THÁNG 10.2023</t>
  </si>
  <si>
    <t>Đóng hàng chè sáng 03/10</t>
  </si>
  <si>
    <t>Trả hàng Vietsun sáng 09/10</t>
  </si>
  <si>
    <t>Đóng hàng chè chiều 10/10</t>
  </si>
  <si>
    <t>Đóng hàng chè chiều 13/10</t>
  </si>
  <si>
    <t>Đóng hàng chè chiều 15/10</t>
  </si>
  <si>
    <t>Đóng hàng chè chiều 17/10</t>
  </si>
  <si>
    <t>Đóng hàng chè sáng 22/10</t>
  </si>
  <si>
    <t>Trả hàng đường ngắn/ ca xe 23/10</t>
  </si>
  <si>
    <t>Đóng hàng rút ruột sáng cont 25/10</t>
  </si>
  <si>
    <t>FFAU4602647</t>
  </si>
  <si>
    <t>MAGU5532715</t>
  </si>
  <si>
    <t>EITU1840766</t>
  </si>
  <si>
    <t>EITU9390161</t>
  </si>
  <si>
    <t>CULU5903037</t>
  </si>
  <si>
    <t>CMAU5994415</t>
  </si>
  <si>
    <t>SEKU6448188</t>
  </si>
  <si>
    <t>CAIU4668690</t>
  </si>
  <si>
    <t>TGBU4044511</t>
  </si>
  <si>
    <t>TXGU6698751</t>
  </si>
  <si>
    <t>CULU6193069</t>
  </si>
  <si>
    <t>EMCU8242081</t>
  </si>
  <si>
    <t>YMLU8954729</t>
  </si>
  <si>
    <t>EMKU9212500</t>
  </si>
  <si>
    <t>N/A</t>
  </si>
  <si>
    <t>DRYU9962918</t>
  </si>
  <si>
    <t>CAIU7988168</t>
  </si>
  <si>
    <t>WHSU6166675</t>
  </si>
  <si>
    <t>VSGU4230423</t>
  </si>
  <si>
    <t>TCNU6951260</t>
  </si>
  <si>
    <t>CCN Sạch, Tân Tiến, Văn Giang, Hưng Yên</t>
  </si>
  <si>
    <t>Tiền ca xe do hủy kế hoạch không chạy</t>
  </si>
  <si>
    <t>Kho ngoại quan DKP, Đình Vũ, Hải Phòng</t>
  </si>
  <si>
    <t xml:space="preserve">Thanh toán tiền thay 2 cầu nối xe 15C-136.31 </t>
  </si>
  <si>
    <t>Thanh toán tiền đảo lốp dự phòng, xịt lọc xe 15C-136.31 ngày 14/10</t>
  </si>
  <si>
    <t>Thanh toán tiền dán kính đăng kiểm xe 15C-136.31 ngày 14/10</t>
  </si>
  <si>
    <t>Thanh toán tiền  đảo 2 cầu  xe 15C-136.31 ngày 25/10</t>
  </si>
  <si>
    <t xml:space="preserve">Thanh toán tiền dầu nhớt  cho xe 15C-136.31; 15C-139.82; 15C-180.99; 15C-070.63 </t>
  </si>
  <si>
    <t>Thanh toán tiền lọc nhớt cho xe 15C-136.31; 15C-139.82; 15C-180.99 ngày 27/10</t>
  </si>
  <si>
    <t>THÁNG 11.2023</t>
  </si>
  <si>
    <t>Trả hàng Vietsun sáng 08/11</t>
  </si>
  <si>
    <t>Đóng hàng chè chiều 10/11</t>
  </si>
  <si>
    <t>Trả hàng Vietsun sáng 15/11</t>
  </si>
  <si>
    <t>Trả hàng Vietsun sáng 16/11</t>
  </si>
  <si>
    <t>Trả hàng NK sáng 18/11</t>
  </si>
  <si>
    <t>Trả hàng Vietsun sáng 22/11</t>
  </si>
  <si>
    <t>KCN Thuận Thành, Bắc Ninh</t>
  </si>
  <si>
    <t>Hùng An, Bắc Quang, Hà Giang</t>
  </si>
  <si>
    <t>Kho Masan Hải Dương, KCN Đại An, Hải Dương</t>
  </si>
  <si>
    <t>Liên Hòa, Lập Thạch, Vĩnh Phúc</t>
  </si>
  <si>
    <t>KCN Quang Minh, Mê Linh, HN</t>
  </si>
  <si>
    <t>KĐT mới xã Cò Nòi, huyện Mai Sơn, Sơn La</t>
  </si>
  <si>
    <t>PCIU1081748</t>
  </si>
  <si>
    <t>TGCU5056280</t>
  </si>
  <si>
    <t>DRYU9593342</t>
  </si>
  <si>
    <t>GESU5902701</t>
  </si>
  <si>
    <t>MSMU7449480</t>
  </si>
  <si>
    <t>GAOU6506933</t>
  </si>
  <si>
    <t>GAOU6798938</t>
  </si>
  <si>
    <t>EMCU8643079</t>
  </si>
  <si>
    <t>GAOU6798440</t>
  </si>
  <si>
    <t>GAOU6506039</t>
  </si>
  <si>
    <t>YMMU6732346</t>
  </si>
  <si>
    <t>TCLU9494900</t>
  </si>
  <si>
    <t>CSNU7416793</t>
  </si>
  <si>
    <t>EMCU5423363</t>
  </si>
  <si>
    <t>GAOU6800275</t>
  </si>
  <si>
    <t>TCNU7181539</t>
  </si>
  <si>
    <t>TCNU9736132</t>
  </si>
  <si>
    <t>Thanh toán tiền sửa chữa dây hôi, dây điện, zắc co, công thợ xe 15C-136.31</t>
  </si>
  <si>
    <t xml:space="preserve">Thanh toán Thế Quân tiền sửa chữa xe 15C-136.31 </t>
  </si>
  <si>
    <t>Thanh toán tiền thay 1 quả bóng tải, 1 bộ chia hơi bóng tảu, 1 bộ cút đồng ép táo pi 20 xe 15C-136.31 ngày 13/11</t>
  </si>
  <si>
    <t>Thanh toán tiền sửa bơm hơi, thay zoăng, sécmăng, thay ống hơi cấp, sửa tổng xả hơi, chế cút đồng xe 15C-136.31 ngày 28//11</t>
  </si>
  <si>
    <t>THÁNG 12.2023</t>
  </si>
  <si>
    <t>Đóng hàng chè sáng 05/12</t>
  </si>
  <si>
    <t>Đóng hàng chè chiều 05/12</t>
  </si>
  <si>
    <t>Trả hàng Vietsun sáng 08/12</t>
  </si>
  <si>
    <t>Đóng hàng KH chiều 08/12</t>
  </si>
  <si>
    <t>Đóng hàng chè chiều 09/12</t>
  </si>
  <si>
    <t>Đóng hàng chè sáng 28/12</t>
  </si>
  <si>
    <t>Đóng hàng XK sáng 29/12</t>
  </si>
  <si>
    <t>BEAU4296897</t>
  </si>
  <si>
    <t>BEAU4473400</t>
  </si>
  <si>
    <t>CRSU9200201</t>
  </si>
  <si>
    <t>GAOU6144705</t>
  </si>
  <si>
    <t>GAOU6144238</t>
  </si>
  <si>
    <t>GAOU6506023</t>
  </si>
  <si>
    <t>TCNU7069982</t>
  </si>
  <si>
    <t>EITU1192149</t>
  </si>
  <si>
    <t>MAGU5548650</t>
  </si>
  <si>
    <t>SEGU6846530</t>
  </si>
  <si>
    <t>YMMU6171950</t>
  </si>
  <si>
    <t>TGCU5154369</t>
  </si>
  <si>
    <t>VOLU4530148</t>
  </si>
  <si>
    <t>WBPU7077056</t>
  </si>
  <si>
    <t>TRHU5764675</t>
  </si>
  <si>
    <t>YMMU6381529</t>
  </si>
  <si>
    <t>TLLU7912676</t>
  </si>
  <si>
    <t>TT Bần Yên Nhân, Mỹ Hào, Hưng Yên</t>
  </si>
  <si>
    <t>TP. Hải Dương, Hải Dương</t>
  </si>
  <si>
    <t>Phương Xá, Cẩm Khê, Phú Thọ</t>
  </si>
  <si>
    <t>Vân Lĩnh, Thanh Ba, Phú Thọ</t>
  </si>
  <si>
    <t>Bản Ngoại, Đại Từ, Thái Nguyên</t>
  </si>
  <si>
    <t>Thanh toán tiền mua 1 giảm sóc lái + công thay xe 15C-136.31 ngày 23/10</t>
  </si>
  <si>
    <t>Thanh toán tiền thay van đầu kéo xe 15C-136.31 ngày 08/12</t>
  </si>
  <si>
    <t>Thanh toán tiền đảo lốp dự phòng xe 15C-136.31</t>
  </si>
  <si>
    <t>Thanh toán tiền BD đế + MF xe 15C-136.31 ngày 12/12</t>
  </si>
  <si>
    <t>Thanh toán mua 2 la răng cho xe 15C-136.31 + 15C-139.82</t>
  </si>
  <si>
    <t>Thanh toán tiền thay đui + bóng đèn pha bên phụ xe 15C-136.31 ngày 03/12</t>
  </si>
  <si>
    <t>Thanh toán tiền lốp 295/75R22.5 xe 15C-136.31 ngày 02/11</t>
  </si>
  <si>
    <t>Thanh toán tiền thay cò các kim phun mới xe 15C-136.31 ngày 30/12</t>
  </si>
  <si>
    <t>Thanh toán tiền đổ dầu li tâm, phớt đầu trục ly tâm xe 15C-136.31 ngày 16/12</t>
  </si>
  <si>
    <t>Thanh toán tiền bơm mỡ xe 15C-136.31 ngày 18/9</t>
  </si>
  <si>
    <t>Thanh toán tiền bơm mỡ xe 15C-136.31 ngày 07/12</t>
  </si>
  <si>
    <t>Thanh toán tiền mua canh bi sai, phớt đầu ống, 2 vòng bi, xe 15C-136.31 ngày 13/12</t>
  </si>
  <si>
    <t>Thanh toán tiền mua lá nhíp lái, 2 bạc nhíp lái, ép bạc , công xe 15C-136.31 ngày 30/12</t>
  </si>
  <si>
    <t xml:space="preserve">Thanh toán tiền chế tạm cài cầu xe 15C-136.31 </t>
  </si>
  <si>
    <t>Mua seal tạm 12/12</t>
  </si>
  <si>
    <t>Thanh toán tiền mua xăng tích, ống dây phanh+ công thay xe 15-136.31 ngày 14/10</t>
  </si>
  <si>
    <t>THÁNG 01.2024</t>
  </si>
  <si>
    <t>Đóng hàng chè sáng 06/01</t>
  </si>
  <si>
    <t>Trả hàng Vietsun sáng 16/01</t>
  </si>
  <si>
    <t>Trả hàng Vietsun sáng 17/01</t>
  </si>
  <si>
    <t>Đóng hàng chè sáng 23/01</t>
  </si>
  <si>
    <t>Trả hàng NK sáng 24/01</t>
  </si>
  <si>
    <t>Đóng hàng chè sáng 26/01</t>
  </si>
  <si>
    <t>Đóng hàng chè sáng 29/01</t>
  </si>
  <si>
    <t>Đóng hàng chè sáng 31/01</t>
  </si>
  <si>
    <t>RFCU4021136</t>
  </si>
  <si>
    <t>TLLU4904316</t>
  </si>
  <si>
    <t>FYCU1103601</t>
  </si>
  <si>
    <t>TGBU6042842</t>
  </si>
  <si>
    <t>VSGU4230104</t>
  </si>
  <si>
    <t>TCNU2319651</t>
  </si>
  <si>
    <t>BMOU6290280</t>
  </si>
  <si>
    <t>DRYU9874437</t>
  </si>
  <si>
    <t>TCNU4595999</t>
  </si>
  <si>
    <t>YMMU6652683</t>
  </si>
  <si>
    <t>MISU5117575</t>
  </si>
  <si>
    <t>TCLU8564999</t>
  </si>
  <si>
    <t>CHSU8156254</t>
  </si>
  <si>
    <t>YMLU8687026</t>
  </si>
  <si>
    <t>MRKU8268966</t>
  </si>
  <si>
    <t>FFAU1291829</t>
  </si>
  <si>
    <t>YMMU6377410</t>
  </si>
  <si>
    <t>YMMU6564601</t>
  </si>
  <si>
    <t>TT NT Mộc Châu, Mộc Châu, Sơn La</t>
  </si>
  <si>
    <t>TT. Gia Lộc, Hải Dương</t>
  </si>
  <si>
    <t>NM chè Thành Đạt, Thanh Chương, Nghệ An</t>
  </si>
  <si>
    <t>TT Lương Bằng, Kim Động, Hưng Yên</t>
  </si>
  <si>
    <t>Khu 5, TT Thanh Ba, Phú Thọ</t>
  </si>
  <si>
    <t>THÁNG 02.2024</t>
  </si>
  <si>
    <t>Trả hàng NK sáng 01/02</t>
  </si>
  <si>
    <t>Đóng hàng XK sáng 05/02</t>
  </si>
  <si>
    <t>Trả hàng Vietsun sáng 06/02</t>
  </si>
  <si>
    <t>Trả hàng NK sáng 16/02 - 17/02</t>
  </si>
  <si>
    <t>Đóng hàng XK sáng 19/02</t>
  </si>
  <si>
    <t>Trả  hàng Vietsun sáng 26/02</t>
  </si>
  <si>
    <t>LEGU1235912</t>
  </si>
  <si>
    <t>OOLU9851708</t>
  </si>
  <si>
    <t>BEAU6417663</t>
  </si>
  <si>
    <t>SNBU8339915</t>
  </si>
  <si>
    <t>ZCSU6891090</t>
  </si>
  <si>
    <t>VSGU4230233</t>
  </si>
  <si>
    <t>TCNU3049550</t>
  </si>
  <si>
    <t>TGHU6528862</t>
  </si>
  <si>
    <t>TCLU4896280</t>
  </si>
  <si>
    <t>TCLU5309500</t>
  </si>
  <si>
    <t>BEAU4527466</t>
  </si>
  <si>
    <t>HLHU8352703</t>
  </si>
  <si>
    <t>YMMU6598480</t>
  </si>
  <si>
    <t>OOCU5017199</t>
  </si>
  <si>
    <t>KCN Minh Phương, Đình Vũ - KCN VSIP Bắc Ninh</t>
  </si>
  <si>
    <t>KCN Yên Mỹ, Yên Mỹ, Hưng Yên</t>
  </si>
  <si>
    <t>TP. Hưng Yên, Hưng Yên</t>
  </si>
  <si>
    <t>Thanh Miện, Hải Dương</t>
  </si>
  <si>
    <t>THÁNG 03.2024</t>
  </si>
  <si>
    <t>TGBU5503385</t>
  </si>
  <si>
    <t>FSCU5118382</t>
  </si>
  <si>
    <t>NYKU3474234</t>
  </si>
  <si>
    <t>EMCU8791100</t>
  </si>
  <si>
    <t>SKHU8705198</t>
  </si>
  <si>
    <t>YMLU8838565</t>
  </si>
  <si>
    <t>TACU4011571</t>
  </si>
  <si>
    <t>GCXU5071442</t>
  </si>
  <si>
    <t>DRYU9591226</t>
  </si>
  <si>
    <t>GAOU6144900</t>
  </si>
  <si>
    <t>YMLU8534346</t>
  </si>
  <si>
    <t>YMLU6036013</t>
  </si>
  <si>
    <t>ONEU5059184</t>
  </si>
  <si>
    <t>APHU7184930</t>
  </si>
  <si>
    <t>DRYU9591490</t>
  </si>
  <si>
    <t>XHCU5293355</t>
  </si>
  <si>
    <t>DRYU9877523</t>
  </si>
  <si>
    <t>DRYU3095677</t>
  </si>
  <si>
    <t>FFAU4912827</t>
  </si>
  <si>
    <t>SEKU5212855</t>
  </si>
  <si>
    <t>OOCU8097198</t>
  </si>
  <si>
    <t>Đường D2, KCN Yên Mỹ II, Hưng Yên</t>
  </si>
  <si>
    <t>NM sx Factory, KCN Châu Sơn, Phủ Lý, Hà Nam</t>
  </si>
  <si>
    <t>Yên Định, Hải Hậu, Nam Định</t>
  </si>
  <si>
    <t>Cao Sơn, Mường Khương, Lào Cai</t>
  </si>
  <si>
    <t>Nguyễn Văn Linh, Bần, Yên Mỹ, Hưng Yên</t>
  </si>
  <si>
    <t>xã Tân Hội, Đan Phượng, Hà Nội</t>
  </si>
  <si>
    <t>Khánh Mậu, Yên Khánh, Ninh Bình</t>
  </si>
  <si>
    <t>Kiện Khê, Thanh Liêm, Hà Nam</t>
  </si>
  <si>
    <t>CCN vừa và nhỏ Từ Liêm, Hà Nội</t>
  </si>
  <si>
    <t>Trả hàng Vietsun sáng 02/03</t>
  </si>
  <si>
    <t>Đóng hàng KH chiều 04/03 trả 05/03</t>
  </si>
  <si>
    <t>Đóng hàng XK sáng 06/03</t>
  </si>
  <si>
    <t>Đóng hàng chè chiều 07/03</t>
  </si>
  <si>
    <t>Trả hàng Vietsun sáng 11/03</t>
  </si>
  <si>
    <t>Đóng hàng KH chiều 11/03 trả 12/03</t>
  </si>
  <si>
    <t>Đóng hàng chè sáng 14/03</t>
  </si>
  <si>
    <t>Trả hàng Vietsun sáng 15/03</t>
  </si>
  <si>
    <t>Đóng hàng chè sáng 18/03</t>
  </si>
  <si>
    <t>Trả hàng Vietsun sáng 19/03</t>
  </si>
  <si>
    <t>Trả hàng Vietsun sáng 25/03</t>
  </si>
  <si>
    <t>Đóng hàng KH chiều 25/03</t>
  </si>
  <si>
    <t>Đóng hàng KH chiều 26/03</t>
  </si>
  <si>
    <t>Trả hàng NK tối 27/03</t>
  </si>
  <si>
    <t>Chuyển tiền thanh toán mua bi quang treo Pai, mang cá 46R bi 60x164 quang treo xe 15C-136.31 ngày 03/1</t>
  </si>
  <si>
    <t>Chi tiền thưởng tết dương lịch</t>
  </si>
  <si>
    <t>Thanh toán tiền bọc gạc mưa xe 15C-136.31 ngày 13/1</t>
  </si>
  <si>
    <t>Thanh toán tiền lọc nhớt cho xe 15C-136.31 ngày 15/1</t>
  </si>
  <si>
    <t>Thanh toán tiền thông súc rửa két gió, hàn 2 góc, công thợ sửa xe 15C-136.31 ngày 13/1</t>
  </si>
  <si>
    <t>Thanh toán tiền lốp 295/75 R22.5/ CSM 881 cho xe 15C-136.31 ngày 13/1</t>
  </si>
  <si>
    <t>Thanh toán tiền láng mài sam chê côn, lá côn, bi bánh đà , công thợ, lọc tinh, lọc thô xe 15C-136.31 ngày 23/1</t>
  </si>
  <si>
    <t>Chi tiền thưởng tết âm lịch cho lái xe anh Hoàn 15C-136.31</t>
  </si>
  <si>
    <t>Thanh toán tiền mua đèn</t>
  </si>
  <si>
    <t>Thanh toán tiền thay 4 đèn sườn, 1 đèn hậu, công đấu điện xin nhan xe 15C-136.31 ngày 26/2</t>
  </si>
  <si>
    <t>Thanh toán Cty định vị bách khoa tiền thu phí duy trì camera</t>
  </si>
  <si>
    <t>Thanh toán tiền mua chì cho xe 15C-139.82; 15C-070.63; 15C-180.99; 15C-136.31</t>
  </si>
  <si>
    <t>Thanh toán tiền thay bạc bi ghế, lót mặt ngồi ghế xe 15C-136.31 ngày 28/3</t>
  </si>
  <si>
    <t>Lương (16/26 ngày)</t>
  </si>
  <si>
    <t>THÁNG 04.2024</t>
  </si>
  <si>
    <t>Đóng hàng kết hợp chiều 01/04</t>
  </si>
  <si>
    <t>Trả hàng Vietsun sáng 03/04</t>
  </si>
  <si>
    <t>Trả hàng NK sáng 04/04</t>
  </si>
  <si>
    <t>Trả hàng NK sáng 05/04</t>
  </si>
  <si>
    <t>Đóng hàng chè sáng 08/04</t>
  </si>
  <si>
    <t>Trả hàng Vietsun sáng 10/04</t>
  </si>
  <si>
    <t>Đóng hàng KH chiều 10/04 trả 11/04</t>
  </si>
  <si>
    <t>Trả hàng NK đêm 11/04</t>
  </si>
  <si>
    <t>Trả hàng + đóng hàng KH 13/04</t>
  </si>
  <si>
    <t>Đóng hàng XK sáng 15/04</t>
  </si>
  <si>
    <t>Đóng hàng XK sáng 16/04</t>
  </si>
  <si>
    <t>Đóng hàng chè chiều 19/04</t>
  </si>
  <si>
    <t>Trả hàng Vietsun sáng 20/04</t>
  </si>
  <si>
    <t>Trả hàng Vietsun sáng 24/04</t>
  </si>
  <si>
    <t>Đóng hàng chè sáng 25/04</t>
  </si>
  <si>
    <t>Phố Mới, Dị Sử, Hưng Yên</t>
  </si>
  <si>
    <t>Khu 8, Đồng Xuân, Thanh Ba, Phú Thọ</t>
  </si>
  <si>
    <t>KCN Yên Phong, Yên Phong, Bắc Ninh</t>
  </si>
  <si>
    <t>CCN Thổ Tang, Vĩnh Tường, Vĩnh Phúc</t>
  </si>
  <si>
    <t>Trường Chinh, Thanh Xuân, Hà Nội</t>
  </si>
  <si>
    <t>Văn Lâm, Hưng Yên - Phủ Lý, Hà Nam</t>
  </si>
  <si>
    <t>Khoái Châu, Hưng Yên - Yên Mỹ, Hưng Yên</t>
  </si>
  <si>
    <t>Hoàng Diệu, TP. Thái Bình</t>
  </si>
  <si>
    <t>Nhị Châu, tp. Hải Dương</t>
  </si>
  <si>
    <t>WHSU5402884</t>
  </si>
  <si>
    <t>WHSU6532521</t>
  </si>
  <si>
    <t>MSDU4467267</t>
  </si>
  <si>
    <t>YMMU6399657</t>
  </si>
  <si>
    <t>SEKU5581494</t>
  </si>
  <si>
    <t>CRXU1512840</t>
  </si>
  <si>
    <t>TDRU3380415</t>
  </si>
  <si>
    <t>MSKU5605303</t>
  </si>
  <si>
    <t>EMCU8238970</t>
  </si>
  <si>
    <t>MSKU0290498</t>
  </si>
  <si>
    <t>EMCU1806739</t>
  </si>
  <si>
    <t>GAOU6506105</t>
  </si>
  <si>
    <t>WHSU0188337</t>
  </si>
  <si>
    <t>TCNU4785725</t>
  </si>
  <si>
    <t>YMMU6355788</t>
  </si>
  <si>
    <t>YMMU6695622</t>
  </si>
  <si>
    <t>CCLU7664317</t>
  </si>
  <si>
    <t>THÁNG 05.2024</t>
  </si>
  <si>
    <t>Đóng hàng XK sáng 02/05</t>
  </si>
  <si>
    <t>Đóng hàng chè sáng 06/05</t>
  </si>
  <si>
    <t>Đóng hàng chè sáng 12/05</t>
  </si>
  <si>
    <t>Đóng hàng chè sáng 16/05</t>
  </si>
  <si>
    <t>Đóng hàng KH chiều 18/05</t>
  </si>
  <si>
    <t>Trả hàng Vietsun sáng 21/05</t>
  </si>
  <si>
    <t>Đóng hàng chè sáng 22/05</t>
  </si>
  <si>
    <t>Đóng hàng XK sáng 24/05</t>
  </si>
  <si>
    <t>Đóng hàng XK sáng 25/05</t>
  </si>
  <si>
    <t>Đóng hàng chè sáng 30/05 - 31/05</t>
  </si>
  <si>
    <t>Nam Thanh, Nam Trực, Nam Định</t>
  </si>
  <si>
    <t>Tây Cốc, Đoan Hùng, Phú Thọ</t>
  </si>
  <si>
    <t>TT Như Quỳnh, Văn Lâm, Hưng Yên</t>
  </si>
  <si>
    <t>KCN Yên Mỹ, Tân Lập, Yên Mỹ, Hưng Yên</t>
  </si>
  <si>
    <t>Bình Giang, Hải Dương + Tứ Hiệp, Thanh Trì, Hà Nội</t>
  </si>
  <si>
    <t>KCN Tây Bắc Ga, TP. Thanh Hóa</t>
  </si>
  <si>
    <t>Mai Đình, Phủ Lỗ, Sóc Sơn, Hà Nội</t>
  </si>
  <si>
    <t>Tân Phong, TP. Lai Châu</t>
  </si>
  <si>
    <t>KMTU7344449</t>
  </si>
  <si>
    <t>TCNU3664122</t>
  </si>
  <si>
    <t>NLLU4303270</t>
  </si>
  <si>
    <t>OOCU7694820</t>
  </si>
  <si>
    <t>YMMU6182240</t>
  </si>
  <si>
    <t>BEAU4309680</t>
  </si>
  <si>
    <t>HPCU4296690</t>
  </si>
  <si>
    <t>HNSU5006520</t>
  </si>
  <si>
    <t>MSCU5302627</t>
  </si>
  <si>
    <t>GAOU6143777</t>
  </si>
  <si>
    <t>WHSU5391291</t>
  </si>
  <si>
    <t>TCNU2085213</t>
  </si>
  <si>
    <t>IAAU2917396</t>
  </si>
  <si>
    <t>WHSU6421683</t>
  </si>
  <si>
    <t>CULU6079884</t>
  </si>
  <si>
    <t>CULU6103609</t>
  </si>
  <si>
    <t>Đóng hàng XK chiều 04/06</t>
  </si>
  <si>
    <t>Đóng hàng chè sáng 05/06</t>
  </si>
  <si>
    <t>Đóng hàng chè sáng 11/06</t>
  </si>
  <si>
    <t>Đóng hàng XK sáng 20/06</t>
  </si>
  <si>
    <t>Trả hàng Vietsun chiều 29/06</t>
  </si>
  <si>
    <t>Đoàn Tùng, Thanh Miện, Hải Dương</t>
  </si>
  <si>
    <t>KCN Đồng Văn 2, Bạch Thượng, Duy Tiên, Hà Nam</t>
  </si>
  <si>
    <t>TK Cờ Đỏ + Tân Lập, Mộc Châu, Sơn La</t>
  </si>
  <si>
    <t>Mường Khoa, Vân Hồ, Sơn La</t>
  </si>
  <si>
    <t>TT An Lão, An Lão, Hải Phòng</t>
  </si>
  <si>
    <t>Lùng Vai, Mường Khương, Lào Cai</t>
  </si>
  <si>
    <t>KS The Reed, đường Đinh, tp. Ninh Bình</t>
  </si>
  <si>
    <t>BEAU4367898</t>
  </si>
  <si>
    <t>CMAU9321304</t>
  </si>
  <si>
    <t>WHSU5589841</t>
  </si>
  <si>
    <t>YMLU8665182</t>
  </si>
  <si>
    <t>FFAU4314390</t>
  </si>
  <si>
    <t>TLLU7800784</t>
  </si>
  <si>
    <t>EMCU8513286</t>
  </si>
  <si>
    <t>WHSU5123452</t>
  </si>
  <si>
    <t>MRSU6513270</t>
  </si>
  <si>
    <t>GAOU6507061</t>
  </si>
  <si>
    <t>YMMU6935560</t>
  </si>
  <si>
    <t>TGBU8797690</t>
  </si>
  <si>
    <t>EITU1231543</t>
  </si>
  <si>
    <t>TGBU6768990</t>
  </si>
  <si>
    <t>EGSU3186050</t>
  </si>
  <si>
    <t>FSCU8664664</t>
  </si>
  <si>
    <t>WHSU6263696</t>
  </si>
  <si>
    <t>WHSU6582292</t>
  </si>
  <si>
    <t>CSNU8058605</t>
  </si>
  <si>
    <t>GAOU6506701</t>
  </si>
  <si>
    <t>THÁNG 06.2024</t>
  </si>
  <si>
    <t>Thanh toán Việt phát tiền thùng dầu cho xe 15C-136.31; 15C-180.99; 15C-139.82; 15C-070.63</t>
  </si>
  <si>
    <t>Thanh toán Việt Phát tiền dầu thủy lực cho xe 15C-136.31</t>
  </si>
  <si>
    <t>Thanh toán tiền cắm máy kiểm tra lỗi xe 15C-136.31 ngày 13/1</t>
  </si>
  <si>
    <t>Thanh toán tiền mua còi , công tháo lắp Rơ le xe 15C-136.31 ngày 24/1</t>
  </si>
  <si>
    <t>Thanh toán tiền đóng bạc giảm sóc, công làm xe 15C-136.31 ngày 15/1</t>
  </si>
  <si>
    <t>Thanh toán tiền công thay bi van treo, thay đuôi cá xe 15C-136.31 ngày 03/1</t>
  </si>
  <si>
    <t>Thanh toán tiền mua bạc cabin, công thay xe 15C-136.31 ngày 18/2</t>
  </si>
  <si>
    <t xml:space="preserve">Thanh toán tiền sửa chữa, hàn cắt khóa mâm xe 15C-136.31 </t>
  </si>
  <si>
    <t>Thanh toán nước làm mát, lọc nước làm mát, nước cất pha nước làm mát xe 15C-136.31</t>
  </si>
  <si>
    <t>Thanh toán tiền phí kiểm định Rơ moóc 15R-067.95 xe 15C-136.31</t>
  </si>
  <si>
    <t>Thanh toán tiền phí kiểm định xe 15C-136.31</t>
  </si>
  <si>
    <t>Thanh toán tiền làm luật kính nứt đi đăng kiểm  xe 15C-136.31</t>
  </si>
  <si>
    <t>Thanh toán tiền thay đinh moóc xe 15C-136.31 ngày 07/4</t>
  </si>
  <si>
    <t>Thanh toán tiền bảo hiểm tai nạn dân sự xe 15C-136.31 ngày 20/04</t>
  </si>
  <si>
    <t>Thanh toán tiền sửa xe hàn rắc và ốc xe 15C-136.31</t>
  </si>
  <si>
    <t>Thanh toán tiền đèn hậu, đèn sườn xe 15C-136.31 ngày 24/04</t>
  </si>
  <si>
    <t>Thanh toán tiền sửa xe hàn táp xe 15C-136.31 ngày 17/5</t>
  </si>
  <si>
    <t>Chi tiền thẩm định giá 3 ce 15C-136.31; 15C-139.82; 15C-180.99</t>
  </si>
  <si>
    <t>Thanh toán tiền bảo hiểm vật chất  xe 15C-136.31 ngày 20/4</t>
  </si>
  <si>
    <t>Thanh toán tiền lốp 295/75R22.5/16 CSM 611 cho xe 15C-136.31 ngày 26/5</t>
  </si>
  <si>
    <t>Thanh toán tiền lốp 11.00R20 Gubao 386 cho xe 15C-136.31 ngày 26/5</t>
  </si>
  <si>
    <t>"Thanh toán tiền thanh tán 6 bộ phanh moóc, 12 con lăn phanh, 6 may ơ, tán phanh, 4 vòng bi moóc, 4 mỏ gạc xe xe 15C-136.31 ngày 03/03"</t>
  </si>
  <si>
    <t>Thanh toán tiền thay lốp xe 15C-136.31 ngày 05/6</t>
  </si>
  <si>
    <t>Thanh toán tiền mua con tăng MF, công thay xe 15C-136.31 ngày 24/4</t>
  </si>
  <si>
    <t>Thanh toán tiền thông két nước, 3 két phụ, bình nước phụ, vá bao gió, thay đai gió, hàn chảy , công xe 15C-136.31 ngày 17/5</t>
  </si>
  <si>
    <t>Trả hàng NK sáng 01/07</t>
  </si>
  <si>
    <t>Đóng hàng chè sáng 03/07</t>
  </si>
  <si>
    <t>Vận chuyển hàng RR sang cont sáng 4/7</t>
  </si>
  <si>
    <t>Trả hàng NK sáng 05/07</t>
  </si>
  <si>
    <t>Vận chuyển hàng bình khí 11/07</t>
  </si>
  <si>
    <t>Đóng hàng chè chiều 13/07</t>
  </si>
  <si>
    <t>Đóng hàng XK sáng 17/07</t>
  </si>
  <si>
    <t>Đóng hàng XK sáng 20/07</t>
  </si>
  <si>
    <t>Đóng hàng XK sáng 31/07</t>
  </si>
  <si>
    <t>EMCU1506161</t>
  </si>
  <si>
    <t>DRYU9970003</t>
  </si>
  <si>
    <t>TGBU4756100</t>
  </si>
  <si>
    <t>MISU4808926</t>
  </si>
  <si>
    <t>FSCU8562195</t>
  </si>
  <si>
    <t>YMMU6907491</t>
  </si>
  <si>
    <t>TRHU5511907</t>
  </si>
  <si>
    <t>IPXU2160116</t>
  </si>
  <si>
    <t>KOCU4779533</t>
  </si>
  <si>
    <t>CCLU7395455</t>
  </si>
  <si>
    <t>TRHU6390899</t>
  </si>
  <si>
    <t>TRHU3137104</t>
  </si>
  <si>
    <t>TCNU4222552</t>
  </si>
  <si>
    <t>OOCU7512761</t>
  </si>
  <si>
    <t>JZPU4093484</t>
  </si>
  <si>
    <t>OOLU9111954</t>
  </si>
  <si>
    <t>BEAU6415130</t>
  </si>
  <si>
    <t>DRYU9591801</t>
  </si>
  <si>
    <t>OOCU7492270</t>
  </si>
  <si>
    <t>TGBU4356309</t>
  </si>
  <si>
    <t>OOCU8647777</t>
  </si>
  <si>
    <t>OOLU9458542</t>
  </si>
  <si>
    <t>Minh Cường, Thường Tín, Hà Nội</t>
  </si>
  <si>
    <t>Bãi Yusen, Đình Vũ, Hải Phòng</t>
  </si>
  <si>
    <t>cảng nội địa, Việt Hòa, TP. Hải Dương</t>
  </si>
  <si>
    <t>Hải Phòng - Kho DDC</t>
  </si>
  <si>
    <t>Tân Yên, Bắc Giang</t>
  </si>
  <si>
    <t>Khu 1, Vân Lĩnh, Thanh Ba, Phú Thọ</t>
  </si>
  <si>
    <t>Khánh Nhạc, Yên Khánh, Ninh Bình</t>
  </si>
  <si>
    <t>Phù Cừ, Hưng Yên</t>
  </si>
  <si>
    <t>THÁNG 07.2024</t>
  </si>
  <si>
    <t>THÁNG 08.2024</t>
  </si>
  <si>
    <t>Trả hàng NK sáng 03/08</t>
  </si>
  <si>
    <t>Trả hàng Vietsun sáng 05/08</t>
  </si>
  <si>
    <t>Đóng hàng chè sáng 6/8</t>
  </si>
  <si>
    <t>Đóng hàng chè sáng 8/8</t>
  </si>
  <si>
    <t>Đóng hàng chè sáng 11/8</t>
  </si>
  <si>
    <t>Trả hàng Vietsun sáng 12/8</t>
  </si>
  <si>
    <t>Đóng hàng chè chiều 13/8</t>
  </si>
  <si>
    <t>Đóng hàng chè sáng 15/8</t>
  </si>
  <si>
    <t>Trả hàng Vietsun sáng 19/8</t>
  </si>
  <si>
    <t>Trả hàng Vietsun sáng 21/8</t>
  </si>
  <si>
    <t>Đóng hàng chè chiều 22/8</t>
  </si>
  <si>
    <t>Trả hàng NK sáng 23/8</t>
  </si>
  <si>
    <t>Đóng hàng chè chiều 24/8</t>
  </si>
  <si>
    <t>Đóng hàng chè sáng 26/8</t>
  </si>
  <si>
    <t>Đóng hàng chè sáng 28/8</t>
  </si>
  <si>
    <t>Đóng hàng chè sáng 29/8</t>
  </si>
  <si>
    <t>Đóng hàng chè sáng 30/8</t>
  </si>
  <si>
    <t>WHSU5747090</t>
  </si>
  <si>
    <t>GAOU6800357</t>
  </si>
  <si>
    <t>GAOU7094255</t>
  </si>
  <si>
    <t>TEMU6112976</t>
  </si>
  <si>
    <t>TRLU7459257</t>
  </si>
  <si>
    <t>GAOU6143397</t>
  </si>
  <si>
    <t>MAGU5575300</t>
  </si>
  <si>
    <t>TXGU6741499</t>
  </si>
  <si>
    <t>GAOU6145208</t>
  </si>
  <si>
    <t>GAOU6798455</t>
  </si>
  <si>
    <t>TSSU5157419</t>
  </si>
  <si>
    <t>FSCU8462637</t>
  </si>
  <si>
    <t>EISU1890090</t>
  </si>
  <si>
    <t>TXGU7787220</t>
  </si>
  <si>
    <t>TGBU7110432</t>
  </si>
  <si>
    <t>TEMU3748183</t>
  </si>
  <si>
    <t>MRSU4382700</t>
  </si>
  <si>
    <t>Cổ Nhuế, Từ Liêm, Hà Nội</t>
  </si>
  <si>
    <t>An Lạc, Trưng Trắc, Văn Lâm, Hưng Yên</t>
  </si>
  <si>
    <t>Khu 1, Ninh Dân, Thanh Ba, Phú Thọ</t>
  </si>
  <si>
    <t>Bản Bo, Tam Đường + Tân Phong, TP. Lai Châu</t>
  </si>
  <si>
    <t>KCN Hòa Mạc, Duy Tiên, Hà Nam</t>
  </si>
  <si>
    <t>Thụy Lâm, Đông Anh, Hà Nội</t>
  </si>
  <si>
    <t>THÁNG 09.2024</t>
  </si>
  <si>
    <t>Đóng hàng chè sáng 3/9</t>
  </si>
  <si>
    <t>Đóng hàng chè sáng 5/9</t>
  </si>
  <si>
    <t>Đóng hàng chè chiều 6/9</t>
  </si>
  <si>
    <t>Đóng hàng XK sáng 9/9</t>
  </si>
  <si>
    <t>Đóng hàng chè chiều 10/9</t>
  </si>
  <si>
    <t>Đóng hàng chè chiều 11/9</t>
  </si>
  <si>
    <t>Đóng hàng XK chiều 12/9</t>
  </si>
  <si>
    <t>Đóng hàng chè chiều 13/9</t>
  </si>
  <si>
    <t>Vận chuyển vỏ rỗng 16/9</t>
  </si>
  <si>
    <t>Đóng hàng chè sáng 17/9</t>
  </si>
  <si>
    <t>Đóng hàng chè sáng 19/9</t>
  </si>
  <si>
    <t>Đóng hàng chè sáng 21/9</t>
  </si>
  <si>
    <t>Trả hàng NK sáng 23/9</t>
  </si>
  <si>
    <t>Trả hàng Vietsun sáng 24/9</t>
  </si>
  <si>
    <t>Trả hàng Vietsun sáng 25/9</t>
  </si>
  <si>
    <t>Đóng hàng chè sáng 26/9</t>
  </si>
  <si>
    <t>Đóng hàng XK sáng 28/9</t>
  </si>
  <si>
    <t>Trả hàng Vietsun sáng 30/9</t>
  </si>
  <si>
    <t>CSNU6762810</t>
  </si>
  <si>
    <t>WHSU0097073</t>
  </si>
  <si>
    <t>YMMU6936720</t>
  </si>
  <si>
    <t>TGHU1616960</t>
  </si>
  <si>
    <t>MSDU6223280</t>
  </si>
  <si>
    <t>MSMU8158745</t>
  </si>
  <si>
    <t>MSKU5405877</t>
  </si>
  <si>
    <t>EGSU9530029</t>
  </si>
  <si>
    <t>AVNU8001374</t>
  </si>
  <si>
    <t>BMOU6201323</t>
  </si>
  <si>
    <t>TCNU3487900</t>
  </si>
  <si>
    <t>OOCU8061024</t>
  </si>
  <si>
    <t>SELU4030452</t>
  </si>
  <si>
    <t>GAOU6145701</t>
  </si>
  <si>
    <t>TCNU4785915</t>
  </si>
  <si>
    <t>BSIU9518826</t>
  </si>
  <si>
    <t>MRKU8756934</t>
  </si>
  <si>
    <t>DRYU9718537</t>
  </si>
  <si>
    <t>Bái Yên, tp. Hòa Bình</t>
  </si>
  <si>
    <t>Đội Cấn, tp. Tuyên Quang</t>
  </si>
  <si>
    <t>Đóng hàng chè sáng 1/10</t>
  </si>
  <si>
    <t>Đóng hàng chè sáng 3/10</t>
  </si>
  <si>
    <t>Đóng hàng chè chiều 4/10</t>
  </si>
  <si>
    <t>Trả hàng Vietsun chiều 5/10</t>
  </si>
  <si>
    <t>Trả hàng Vietsun chiều 8/10</t>
  </si>
  <si>
    <t>Đóng hàng chè chiều 9/10</t>
  </si>
  <si>
    <t>Đóng hàng XK sáng 12/10</t>
  </si>
  <si>
    <t>Trả hàng Vietsun chiều 21/10</t>
  </si>
  <si>
    <t>CSNU6879155</t>
  </si>
  <si>
    <t>BEAU4324983</t>
  </si>
  <si>
    <t>TIIU4562736</t>
  </si>
  <si>
    <t>GAOU6144794</t>
  </si>
  <si>
    <t>WHSU2357396</t>
  </si>
  <si>
    <t>HACU2243468</t>
  </si>
  <si>
    <t>GAOU6798429</t>
  </si>
  <si>
    <t>TGSU2293059</t>
  </si>
  <si>
    <t>GAOU6799385</t>
  </si>
  <si>
    <t>YMMU6777464</t>
  </si>
  <si>
    <t>CAIU9564019</t>
  </si>
  <si>
    <t>TGBU5519653</t>
  </si>
  <si>
    <t>DRYU9593213</t>
  </si>
  <si>
    <t>EGSU9702658</t>
  </si>
  <si>
    <t>TXGU7486084</t>
  </si>
  <si>
    <t>OOCU8380130</t>
  </si>
  <si>
    <t>TRHU4100579</t>
  </si>
  <si>
    <t>Đường D2, KCN Yên Mỹ, Hưng Yên</t>
  </si>
  <si>
    <t>Thanh toán tiền câu nổ xe 15C-136.31 ngày 01/7</t>
  </si>
  <si>
    <t xml:space="preserve">Thanh toán tiền hai chân máy xe 15C-136.31 </t>
  </si>
  <si>
    <t>Thanh toán tiền lọc nhiên liệu P550821 xe 15C-136.31 ngày 01/7</t>
  </si>
  <si>
    <t>Thanh toán tiền mua ống gió, quai lốc cho xe 15C-136.31 ngày 13/7</t>
  </si>
  <si>
    <t>Thanh toán tiền thay đèn sườn xe 15C-136.31 ngày 15/7</t>
  </si>
  <si>
    <t>Thanh toán tiền thay ống nước MF đen dài xe 15C-136.31 ngày 23/7</t>
  </si>
  <si>
    <t>Thanh toán tiền mua băng keo xe 15C-136.31 ngày 23/7</t>
  </si>
  <si>
    <t>Thanh toán tiền thay tắc kê 10 con, công làm xe 15C-136.31 ngày 07/8</t>
  </si>
  <si>
    <t>Thanh toán tiền thay lốc lạnh, van điều áp, phin lọc ga, sim, bơm ga dầu lạnh, công xe 15C-136.31 ngày 17/6</t>
  </si>
  <si>
    <t>Thanh toán dầu cầu 4 lít, bạc nhíp lái, công thay xe 15C-136.31 ngày 15/5</t>
  </si>
  <si>
    <t>Thanh toán mua bi trục bớt lái, 2 vòng bi moóc, 1 mayơ moóc, bộ nhíp tải xe 15C-136.31 ngày 28/5</t>
  </si>
  <si>
    <t>Thanh toán tiền câu binh xe ắc qui xe 15C-136.31 ngày 19/8</t>
  </si>
  <si>
    <t>Thay khiển tăng áp, công lắp đặt bảo hành 3 tháng xe 15C-136.31 ngày 14/8</t>
  </si>
  <si>
    <t xml:space="preserve">Thanh toán công thay 2 chân máy xe 15C-136.31 ngày 06/7 </t>
  </si>
  <si>
    <t>Thanh toán vòng bi con lăn, công thay đường ống nước, thay con lăn xe 15C-136.31 ngày 20/7</t>
  </si>
  <si>
    <t>Thanh toán tiền lọc nhớt P551088; lọc nhiên liệu P550821; P550757 xe 15C-136.31 ngày 09/9</t>
  </si>
  <si>
    <t>Thanh toán tiền thay 1 bát phanh moóc, sửa tổng phanh chân , thay 1 bộ phớt, công thợ xe 15C-136.31 ngày 07/8</t>
  </si>
  <si>
    <t>Thanh toán chân van mới xe 15C-136.31 ngày 16/9</t>
  </si>
  <si>
    <t>Thanh toán tiền thay xăm yếm xe 15C-136.31 ngày 18/9</t>
  </si>
  <si>
    <t>Thanh toán tiền kéo xô cầu, xử lý chạy nhíp xe 15C-136.31 ngày 19.9 ( cứu hộ)</t>
  </si>
  <si>
    <t>Thanh toán tiền lốp 11R20 , la zăng  cứu hộ, xe 15C-136.31 ngày 19.9</t>
  </si>
  <si>
    <t>"Thanh toán tiền tán 4 bộ phanh, 8 con lăn, 4 bộ lò xe, 1 bộ xương moóc, 5 bộ phanh moóc, 6 bộ loxo, 12 con lăn, bảo dưỡng 6 may ơ moóc, tán phanh mỡ, thay 1 vòng bi moóc + công xe 15C-136.31 ngày 10.8"</t>
  </si>
  <si>
    <t>Thanh toán công làm 1 bộ nhíp tải, bu lông xe 15C-136.31 ngày 16/8</t>
  </si>
  <si>
    <t>Thanh toán tiền ép ống dầu lái , công thay, dầu lái 2 lít xe 15C-136.31 ngày 26/8</t>
  </si>
  <si>
    <t>Thanh toán tiền bảo dưỡng đề ,MF , thay i ốt xe 15C-136.31 ngày 29.9</t>
  </si>
  <si>
    <t>Thanh toán tiền thay săm cũ xe 15C-136.31 ngày 27.9</t>
  </si>
  <si>
    <t>Thanh toán tiền dây hơi moóc xanh xin neway xe 15C-136.31 ngày 29/9</t>
  </si>
  <si>
    <t>Thanh toán tiền đăng kiểm đầu kéo xe 15C-136.31</t>
  </si>
  <si>
    <t>Thanh toán tiền thuê lốp đăng kiểm, đảo la răng, đóng số xe 15C-136.31 ngày 08/10</t>
  </si>
  <si>
    <t>Thanh toán tiền tháo lắp dàn moto thanh giằng, gạt mưa , đấu điện, chỉnh gạt mưa xe 15C-136.31 ngày 08/10</t>
  </si>
  <si>
    <t>Thanh toán tiền lắp đèn 3 mắt xe 15C-136.31 ngày 13/10</t>
  </si>
  <si>
    <t>Thanh toán tiền cảm biến áp suất ống sáo , chạy dây, thay zắc xe 15C-136.31 ngày 29/9</t>
  </si>
  <si>
    <t>Thanh toán tiền chạy dây khiển tăng áp xe 15C-136.31 ngày 14/10</t>
  </si>
  <si>
    <t>Thanh toán tiền thay 2 Lốp 295/75R225 Black lion 171 xe 15C-136.31 ngày 04/9</t>
  </si>
  <si>
    <t>Thanh toán tiền thay 2 lốp Black Lion 295/75R22.5 Minh Ngọc xe 15C-136.31 ngày 16/9</t>
  </si>
  <si>
    <t>Tt mua gạch nhíp, làm nhíp tải, phớt lái, dầu lái 3 lít xe 15C-136.31 ngày 24.9</t>
  </si>
  <si>
    <t>Thanh toán tiền nước làm mát xe 15C--139.82; 15C-136.31; 15C-070.63; 15C-180.99 ngày 16/10</t>
  </si>
  <si>
    <t>Thanh toán tiền chế cút đồng ép táo (cút pi 10-20), củ van 1 chiều nhôm xe 15C-136.31 ngày 14/10</t>
  </si>
  <si>
    <t>Thanh toán tiền làm lốp xe 15C-136.31</t>
  </si>
  <si>
    <t>Chi thưởng 2-9</t>
  </si>
  <si>
    <t>Thanh toán tiền mô tơ gặt mưa MF CH xe 15C-136.31 ngày 08/10</t>
  </si>
  <si>
    <t>Mua 2 bạc nhíp lái, bạc chân cabin, bộ nhíp tải, công thay xe 15C-136.31 ngày 06/10</t>
  </si>
  <si>
    <t>Thanh toán tiền thay két nước mới, công xe 15C-136.31 ngày 24/6</t>
  </si>
  <si>
    <t>Lương (22/26 ngày)</t>
  </si>
  <si>
    <t>THÁNG 11.2024</t>
  </si>
  <si>
    <t>THÁNG 10.2024</t>
  </si>
  <si>
    <t>Trả hàng Vietsun sáng 1/11</t>
  </si>
  <si>
    <t>Trả hàng Vietsun sáng 2/11</t>
  </si>
  <si>
    <t>Đóng hàng XK sáng 4/11</t>
  </si>
  <si>
    <t>Trả hàng Vietsun sáng 5/11</t>
  </si>
  <si>
    <t>Trả hàng Vietsun sáng 6/11</t>
  </si>
  <si>
    <t>Trả hàng NK sáng 7/11</t>
  </si>
  <si>
    <t>Đóng hàng chè sáng 8/11</t>
  </si>
  <si>
    <t>Đóng hàng chè sáng 9/11</t>
  </si>
  <si>
    <t>Đóng hàng chè sáng 13/11</t>
  </si>
  <si>
    <t>Trả hàng Vietsun sáng 14/11</t>
  </si>
  <si>
    <t>Trả hàng NK sáng 15/11</t>
  </si>
  <si>
    <t>Đóng hàng chè sáng 19/11</t>
  </si>
  <si>
    <t>Trả hàng Vietsun sáng 21/11</t>
  </si>
  <si>
    <t>Đóng hàng XK sáng 25/11</t>
  </si>
  <si>
    <t>Tư Đình, Long Biên, Hà Nội</t>
  </si>
  <si>
    <t>KCN Từ Sơn, Bắc Ninh</t>
  </si>
  <si>
    <t>KCN Đồng Văn 4, Kim Bảng, Hà Nam</t>
  </si>
  <si>
    <t>Phan Trọng Tuệ, Văn Điển, Thanh Trì,  Hà Nội</t>
  </si>
  <si>
    <t>Vinafco, Ngũ Hiệp, Thanh Trì, Hà Nội</t>
  </si>
  <si>
    <t>TCNU4785453</t>
  </si>
  <si>
    <t>TCNU4785350</t>
  </si>
  <si>
    <t>IDCU1010222</t>
  </si>
  <si>
    <t>GAOU6145738</t>
  </si>
  <si>
    <t>TXGU8129230</t>
  </si>
  <si>
    <t>HASU4505229</t>
  </si>
  <si>
    <t>OOCU8573890</t>
  </si>
  <si>
    <t>GAOU6505639</t>
  </si>
  <si>
    <t>TCNU4595638</t>
  </si>
  <si>
    <t>YMMU6039619</t>
  </si>
  <si>
    <t>VSGU4242614</t>
  </si>
  <si>
    <t>MRSU6350039</t>
  </si>
  <si>
    <t>YMMU6762762</t>
  </si>
  <si>
    <t>GESU6861680</t>
  </si>
  <si>
    <t>BMOU6520064</t>
  </si>
  <si>
    <t>VSGU4240571</t>
  </si>
  <si>
    <t>PKSU0007859</t>
  </si>
  <si>
    <t>TRLU9369949</t>
  </si>
  <si>
    <t>VSGU4230341</t>
  </si>
  <si>
    <t>YMMU6801560</t>
  </si>
  <si>
    <t>YMMU6318362</t>
  </si>
  <si>
    <t>Trả hàng Vietsun sáng 2/12</t>
  </si>
  <si>
    <t>Đóng hàng KH chiều 2/12</t>
  </si>
  <si>
    <t>Trả hàng Vietsun sáng 3/12</t>
  </si>
  <si>
    <t>Trả hàng Vietsun sáng 4/12</t>
  </si>
  <si>
    <t>Trả hàng Vietsun sáng 5/12</t>
  </si>
  <si>
    <t>Trả hàng NK sáng 6/12</t>
  </si>
  <si>
    <t>Trả hàng NK sáng 7/12</t>
  </si>
  <si>
    <t>Đóng hàng KH chiều 7/12</t>
  </si>
  <si>
    <t>Trả hàng Vietsun sáng 9/12</t>
  </si>
  <si>
    <t>Đóng hàng KH Vietsun chiều 10/12</t>
  </si>
  <si>
    <t>Đóng hàng XK sáng 17/12</t>
  </si>
  <si>
    <t>Đóng hàng KH Vietsun chiều 18/12</t>
  </si>
  <si>
    <t>Đóng hàng XK sáng 19/12</t>
  </si>
  <si>
    <t>Trả hàng Vietsun chiều 20/12</t>
  </si>
  <si>
    <t>Đóng hàng chè sáng 23/12</t>
  </si>
  <si>
    <t>Đóng hàng XK chiều 26/12</t>
  </si>
  <si>
    <t>Trả hàng Vietsun sáng 27/12</t>
  </si>
  <si>
    <t>Đóng hàng chè sáng 30/12</t>
  </si>
  <si>
    <t>Trả hàng NK sáng 31/12</t>
  </si>
  <si>
    <t>GAOU6143289</t>
  </si>
  <si>
    <t>DRYU9718650</t>
  </si>
  <si>
    <t>YMMU6011817</t>
  </si>
  <si>
    <t>RFCU5015210</t>
  </si>
  <si>
    <t>GAOU6609090</t>
  </si>
  <si>
    <t>TIIU5782870</t>
  </si>
  <si>
    <t>GAOU6143545</t>
  </si>
  <si>
    <t>GAOU6145759</t>
  </si>
  <si>
    <t>TEMU8765007</t>
  </si>
  <si>
    <t>SEGU6505914</t>
  </si>
  <si>
    <t>GLDU9731310</t>
  </si>
  <si>
    <t>GAOU6143355</t>
  </si>
  <si>
    <t>TRLU9167300</t>
  </si>
  <si>
    <t>GAOU6506532</t>
  </si>
  <si>
    <t>TCKU6013140</t>
  </si>
  <si>
    <t>TGBU4374895</t>
  </si>
  <si>
    <t>BEAU4122318</t>
  </si>
  <si>
    <t>TCNU9492524</t>
  </si>
  <si>
    <t>GAOU6800336</t>
  </si>
  <si>
    <t>TRHU7762542</t>
  </si>
  <si>
    <t>OOLU9829197</t>
  </si>
  <si>
    <t>CCN Lai Xá, Kim Chung, Hoài Đức, Hà Nội</t>
  </si>
  <si>
    <t>Kho Masan, Yên Mỹ, Hưng Yên</t>
  </si>
  <si>
    <t>Đông Sơn, Yên Thế, Bắc Giang</t>
  </si>
  <si>
    <t>KCN Song Khê - Nội Hoàng, Yên Dũng, Bắc Giang</t>
  </si>
  <si>
    <t>Vân Hà, Đông Anh, Hà Nội - Quế Lâm, Đoan Hùng, PT</t>
  </si>
  <si>
    <t>KCN Thuận Thành 2, Bắc Ninh</t>
  </si>
  <si>
    <t>Tam Trinh, Hà Nội</t>
  </si>
  <si>
    <t>Hồng Vân, Thường Tín, Hà Nội</t>
  </si>
  <si>
    <t>Liên Lộc, Hậu Lộc, Thanh Hóa</t>
  </si>
  <si>
    <t>Dương Liễu, Hoài Đức, Hà Nội</t>
  </si>
  <si>
    <t>THÁNG 12.2024</t>
  </si>
  <si>
    <t>Thanh toán tiền làm lốp thay vá đầu kéo xe 15C-136.31 ngày 18/11</t>
  </si>
  <si>
    <t>Thanh toán tiền lọc nhớt P551088 xe 15C-136.31, lọc nhiên liệu P550821 ngày 21/11</t>
  </si>
  <si>
    <t>Thay ty bơm, cân ty bơm, van hút tu bơm, hục hồi van điện, gioăng egr xe 15C-136.31 ngày 26/10</t>
  </si>
  <si>
    <t>Thanh toán tiền thay lốp 295/75R225 Black lion BD171 ngày 24/11 cho xe 15C-136.31</t>
  </si>
  <si>
    <t>Thanh toán săm yếm xe 15C-136.31 ngày 24/11</t>
  </si>
  <si>
    <t>Thanh toán tiền Xe 15C-136.31 thay 2 lốp 11.00R20 Black Lion gai BA267 ngày 04/10</t>
  </si>
  <si>
    <t>Thanh toán tiền bát phanh bánh lái xe 15C-136.31 ngày 01/12</t>
  </si>
  <si>
    <t xml:space="preserve">Thanh toán tiền mua seal tạm cho xe </t>
  </si>
  <si>
    <t>Thanh toán tiền dầu cho xe 15C-136.31; 15C-139.82; 15C-180.99; 15C-070.63</t>
  </si>
  <si>
    <t>Thanh toán tiền phớt 75, keo xám, bi quả dứa RW to, RW bé xe 15C-136.31 ngày 01/12</t>
  </si>
  <si>
    <t>Thanh toán tiền bơm mỡ xe 15C-136.31; 15C-139.82 ngày 16/12</t>
  </si>
  <si>
    <t>Thanh toán tiền thay van mới xe 15C-136.31 ngày 17/12</t>
  </si>
  <si>
    <t>Thay 1 quả lốc lê đầu, tháo lắp 1 quả bóng tài xe 15C-136.31 ngày 29/12</t>
  </si>
  <si>
    <t>Thanh toán công hạ cầu, thay phớt đuôi cá, thay bi chữ thập xe 15C-136.31 ngày 01/12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</si>
</sst>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409]d\-mmm;@"/>
    <numFmt numFmtId="165" formatCode="_(* #,##0_);_(* \(#,##0\);_(* &quot;-&quot;??_);_(@_)"/>
    <numFmt numFmtId="166" formatCode="[$-1010000]d/m/yy;@"/>
  </numFmts>
  <fonts count="45" x14ac:knownFonts="1">
    <font>
      <sz val="11"/>
      <color theme="1"/>
      <name val="Calibri"/>
      <family val="2"/>
      <scheme val="minor"/>
    </font>
    <font>
      <sz val="11"/>
      <color theme="1"/>
      <name val="Calibri"/>
      <family val="2"/>
      <scheme val="minor"/>
    </font>
    <font>
      <b/>
      <sz val="18"/>
      <color theme="1"/>
      <name val="Arial Narrow"/>
      <family val="2"/>
    </font>
    <font>
      <b/>
      <sz val="10"/>
      <color theme="1"/>
      <name val="Arial Narrow"/>
      <family val="2"/>
    </font>
    <font>
      <sz val="10"/>
      <color theme="1"/>
      <name val="Arial Narrow"/>
      <family val="2"/>
    </font>
    <font>
      <sz val="10"/>
      <name val="Arial Narrow"/>
      <family val="2"/>
    </font>
    <font>
      <sz val="10"/>
      <color rgb="FFFF0000"/>
      <name val="Arial Narrow"/>
      <family val="2"/>
    </font>
    <font>
      <i/>
      <sz val="10"/>
      <color theme="3" tint="0.39997558519241921"/>
      <name val="Arial Narrow"/>
      <family val="2"/>
    </font>
    <font>
      <i/>
      <sz val="10"/>
      <color theme="4"/>
      <name val="Arial Narrow"/>
      <family val="2"/>
    </font>
    <font>
      <i/>
      <sz val="10"/>
      <color rgb="FF0070C0"/>
      <name val="Arial Narrow"/>
      <family val="2"/>
    </font>
    <font>
      <sz val="10"/>
      <color rgb="FF0070C0"/>
      <name val="Arial Narrow"/>
      <family val="2"/>
    </font>
    <font>
      <i/>
      <sz val="10"/>
      <color rgb="FFFF0000"/>
      <name val="Arial Narrow"/>
      <family val="2"/>
    </font>
    <font>
      <sz val="10"/>
      <color theme="5" tint="-0.249977111117893"/>
      <name val="Arial Narrow"/>
      <family val="2"/>
    </font>
    <font>
      <sz val="12"/>
      <color theme="1"/>
      <name val="Arial Narrow"/>
      <family val="2"/>
    </font>
    <font>
      <sz val="8"/>
      <color theme="1"/>
      <name val="Arial"/>
      <family val="2"/>
    </font>
    <font>
      <b/>
      <sz val="12"/>
      <color theme="1"/>
      <name val="Arial Narrow"/>
      <family val="2"/>
    </font>
    <font>
      <sz val="10"/>
      <color theme="1"/>
      <name val="Arial"/>
      <family val="2"/>
    </font>
    <font>
      <i/>
      <sz val="10"/>
      <color rgb="FFFF0000"/>
      <name val="Arial"/>
      <family val="2"/>
    </font>
    <font>
      <b/>
      <sz val="10"/>
      <color rgb="FF00B050"/>
      <name val="Arial Narrow"/>
      <family val="2"/>
    </font>
    <font>
      <sz val="10"/>
      <color rgb="FFFF0000"/>
      <name val="Arial"/>
      <family val="2"/>
    </font>
    <font>
      <i/>
      <sz val="10"/>
      <color theme="1"/>
      <name val="Arial Narrow"/>
      <family val="2"/>
    </font>
    <font>
      <sz val="10"/>
      <name val="Arial"/>
      <family val="2"/>
    </font>
    <font>
      <sz val="11"/>
      <color rgb="FFFF0000"/>
      <name val="Calibri"/>
      <family val="2"/>
      <scheme val="minor"/>
    </font>
    <font>
      <sz val="9"/>
      <color indexed="81"/>
      <name val="Tahoma"/>
      <family val="2"/>
    </font>
    <font>
      <b/>
      <sz val="9"/>
      <color indexed="81"/>
      <name val="Tahoma"/>
      <family val="2"/>
    </font>
    <font>
      <b/>
      <sz val="11"/>
      <color rgb="FF00B050"/>
      <name val="Calibri"/>
      <family val="2"/>
      <scheme val="minor"/>
    </font>
    <font>
      <i/>
      <sz val="11"/>
      <color rgb="FFFF0000"/>
      <name val="Calibri"/>
      <family val="2"/>
      <scheme val="minor"/>
    </font>
    <font>
      <b/>
      <sz val="11"/>
      <color rgb="FFFF0000"/>
      <name val="Calibri"/>
      <family val="2"/>
      <scheme val="minor"/>
    </font>
    <font>
      <b/>
      <sz val="11"/>
      <color theme="1"/>
      <name val="Calibri"/>
      <family val="2"/>
      <scheme val="minor"/>
    </font>
    <font>
      <i/>
      <sz val="10"/>
      <color theme="1"/>
      <name val="Arial"/>
      <family val="2"/>
    </font>
    <font>
      <b/>
      <sz val="10"/>
      <name val="Arial Narrow"/>
      <family val="2"/>
    </font>
    <font>
      <i/>
      <sz val="10"/>
      <name val="Arial Narrow"/>
      <family val="2"/>
    </font>
    <font>
      <i/>
      <sz val="10"/>
      <name val="Arial"/>
      <family val="2"/>
    </font>
    <font>
      <sz val="11"/>
      <name val="Calibri"/>
      <family val="2"/>
      <scheme val="minor"/>
    </font>
    <font>
      <b/>
      <sz val="11"/>
      <name val="Calibri"/>
      <family val="2"/>
      <scheme val="minor"/>
    </font>
    <font>
      <b/>
      <sz val="10"/>
      <color rgb="FFFF0000"/>
      <name val="Arial Narrow"/>
      <family val="2"/>
    </font>
    <font>
      <sz val="10"/>
      <color theme="1"/>
      <name val="Times New Roman"/>
      <family val="1"/>
    </font>
    <font>
      <sz val="10"/>
      <name val="Times New Roman"/>
      <family val="1"/>
    </font>
    <font>
      <i/>
      <sz val="10"/>
      <name val="Times New Roman"/>
      <family val="1"/>
    </font>
    <font>
      <sz val="10"/>
      <color rgb="FFFF0000"/>
      <name val="Times New Roman"/>
      <family val="1"/>
    </font>
    <font>
      <sz val="11"/>
      <color theme="1"/>
      <name val="Times New Roman"/>
      <family val="1"/>
    </font>
    <font>
      <i/>
      <sz val="10"/>
      <color rgb="FFFF0000"/>
      <name val="Times New Roman"/>
      <family val="1"/>
    </font>
    <font>
      <b/>
      <sz val="10"/>
      <color theme="1"/>
      <name val="Times New Roman"/>
      <family val="1"/>
    </font>
    <font>
      <b/>
      <sz val="10"/>
      <name val="Times New Roman"/>
      <family val="1"/>
    </font>
    <font>
      <i/>
      <strike/>
      <sz val="10"/>
      <color rgb="FFFF0000"/>
      <name val="Times New Roman"/>
      <family val="1"/>
    </font>
  </fonts>
  <fills count="11">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92D050"/>
        <bgColor indexed="64"/>
      </patternFill>
    </fill>
    <fill>
      <patternFill patternType="solid">
        <fgColor rgb="FFFF0000"/>
        <bgColor indexed="64"/>
      </patternFill>
    </fill>
    <fill>
      <patternFill patternType="solid">
        <fgColor theme="6"/>
        <bgColor indexed="64"/>
      </patternFill>
    </fill>
    <fill>
      <patternFill patternType="solid">
        <fgColor rgb="FFFFC000"/>
        <bgColor indexed="64"/>
      </patternFill>
    </fill>
    <fill>
      <patternFill patternType="solid">
        <fgColor rgb="FF00B050"/>
        <bgColor indexed="64"/>
      </patternFill>
    </fill>
  </fills>
  <borders count="31">
    <border>
      <left/>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thin">
        <color indexed="64"/>
      </bottom>
      <diagonal/>
    </border>
    <border>
      <left style="thin">
        <color auto="1"/>
      </left>
      <right style="thin">
        <color auto="1"/>
      </right>
      <top/>
      <bottom style="hair">
        <color auto="1"/>
      </bottom>
      <diagonal/>
    </border>
    <border>
      <left style="thin">
        <color auto="1"/>
      </left>
      <right style="thin">
        <color auto="1"/>
      </right>
      <top style="hair">
        <color auto="1"/>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indexed="64"/>
      </bottom>
      <diagonal/>
    </border>
    <border>
      <left style="thin">
        <color auto="1"/>
      </left>
      <right style="thin">
        <color auto="1"/>
      </right>
      <top style="hair">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bottom/>
      <diagonal/>
    </border>
    <border>
      <left style="thin">
        <color auto="1"/>
      </left>
      <right/>
      <top/>
      <bottom style="hair">
        <color auto="1"/>
      </bottom>
      <diagonal/>
    </border>
    <border>
      <left style="thin">
        <color auto="1"/>
      </left>
      <right/>
      <top/>
      <bottom/>
      <diagonal/>
    </border>
    <border>
      <left/>
      <right/>
      <top/>
      <bottom style="hair">
        <color auto="1"/>
      </bottom>
      <diagonal/>
    </border>
    <border>
      <left/>
      <right style="thin">
        <color auto="1"/>
      </right>
      <top/>
      <bottom style="hair">
        <color auto="1"/>
      </bottom>
      <diagonal/>
    </border>
    <border>
      <left/>
      <right style="thin">
        <color auto="1"/>
      </right>
      <top/>
      <bottom/>
      <diagonal/>
    </border>
    <border>
      <left/>
      <right style="thin">
        <color auto="1"/>
      </right>
      <top style="hair">
        <color auto="1"/>
      </top>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thin">
        <color indexed="64"/>
      </bottom>
      <diagonal/>
    </border>
    <border>
      <left/>
      <right/>
      <top style="hair">
        <color auto="1"/>
      </top>
      <bottom style="thin">
        <color indexed="64"/>
      </bottom>
      <diagonal/>
    </border>
    <border>
      <left/>
      <right style="thin">
        <color auto="1"/>
      </right>
      <top style="hair">
        <color auto="1"/>
      </top>
      <bottom style="thin">
        <color indexed="64"/>
      </bottom>
      <diagonal/>
    </border>
    <border>
      <left style="thin">
        <color auto="1"/>
      </left>
      <right/>
      <top style="hair">
        <color auto="1"/>
      </top>
      <bottom/>
      <diagonal/>
    </border>
    <border>
      <left/>
      <right/>
      <top style="hair">
        <color auto="1"/>
      </top>
      <bottom/>
      <diagonal/>
    </border>
    <border>
      <left style="thin">
        <color auto="1"/>
      </left>
      <right/>
      <top/>
      <bottom style="thin">
        <color indexed="64"/>
      </bottom>
      <diagonal/>
    </border>
    <border>
      <left/>
      <right/>
      <top/>
      <bottom style="thin">
        <color indexed="64"/>
      </bottom>
      <diagonal/>
    </border>
    <border>
      <left/>
      <right style="thin">
        <color auto="1"/>
      </right>
      <top/>
      <bottom style="thin">
        <color indexed="64"/>
      </bottom>
      <diagonal/>
    </border>
  </borders>
  <cellStyleXfs count="2">
    <xf numFmtId="0" fontId="0" fillId="0" borderId="0"/>
    <xf numFmtId="43" fontId="1" fillId="0" borderId="0" applyFont="0" applyFill="0" applyBorder="0" applyAlignment="0" applyProtection="0"/>
  </cellStyleXfs>
  <cellXfs count="636">
    <xf numFmtId="0" fontId="0" fillId="0" borderId="0" xfId="0"/>
    <xf numFmtId="0" fontId="3" fillId="0" borderId="0" xfId="0" applyFont="1" applyAlignment="1">
      <alignment horizontal="center"/>
    </xf>
    <xf numFmtId="0" fontId="4" fillId="0" borderId="0" xfId="0" applyFont="1"/>
    <xf numFmtId="0" fontId="4" fillId="0" borderId="0" xfId="0" applyFont="1" applyAlignment="1">
      <alignment horizontal="center"/>
    </xf>
    <xf numFmtId="3" fontId="3" fillId="3" borderId="0" xfId="0" applyNumberFormat="1" applyFont="1" applyFill="1" applyAlignment="1">
      <alignment horizontal="center" vertical="center" wrapText="1"/>
    </xf>
    <xf numFmtId="0" fontId="4" fillId="0" borderId="0" xfId="0" applyFont="1" applyAlignment="1">
      <alignment horizontal="center" vertical="center"/>
    </xf>
    <xf numFmtId="0" fontId="3" fillId="2" borderId="3" xfId="0" applyFont="1" applyFill="1" applyBorder="1" applyAlignment="1">
      <alignment horizontal="center" vertical="center"/>
    </xf>
    <xf numFmtId="3" fontId="3" fillId="2" borderId="3" xfId="0" applyNumberFormat="1" applyFont="1" applyFill="1" applyBorder="1" applyAlignment="1">
      <alignment horizontal="center" vertical="center"/>
    </xf>
    <xf numFmtId="0" fontId="4" fillId="0" borderId="4" xfId="0" applyFont="1" applyBorder="1"/>
    <xf numFmtId="164" fontId="4" fillId="0" borderId="4" xfId="0" applyNumberFormat="1" applyFont="1" applyBorder="1"/>
    <xf numFmtId="0" fontId="4" fillId="0" borderId="2" xfId="0" applyFont="1" applyBorder="1"/>
    <xf numFmtId="3" fontId="4" fillId="0" borderId="2" xfId="0" applyNumberFormat="1" applyFont="1" applyBorder="1"/>
    <xf numFmtId="3" fontId="4" fillId="0" borderId="4" xfId="0" applyNumberFormat="1" applyFont="1" applyBorder="1"/>
    <xf numFmtId="3" fontId="4" fillId="0" borderId="0" xfId="0" applyNumberFormat="1" applyFont="1"/>
    <xf numFmtId="164" fontId="5" fillId="3" borderId="4" xfId="0" applyNumberFormat="1" applyFont="1" applyFill="1" applyBorder="1"/>
    <xf numFmtId="0" fontId="5" fillId="0" borderId="2" xfId="0" applyFont="1" applyBorder="1" applyAlignment="1">
      <alignment wrapText="1"/>
    </xf>
    <xf numFmtId="0" fontId="4" fillId="0" borderId="2" xfId="0" applyFont="1" applyBorder="1" applyAlignment="1">
      <alignment wrapText="1"/>
    </xf>
    <xf numFmtId="0" fontId="4" fillId="0" borderId="4" xfId="0" applyFont="1" applyBorder="1" applyAlignment="1">
      <alignment wrapText="1"/>
    </xf>
    <xf numFmtId="165" fontId="4" fillId="0" borderId="4" xfId="1" applyNumberFormat="1" applyFont="1" applyBorder="1"/>
    <xf numFmtId="165" fontId="4" fillId="0" borderId="2" xfId="1" applyNumberFormat="1" applyFont="1" applyBorder="1"/>
    <xf numFmtId="0" fontId="4" fillId="3" borderId="0" xfId="0" applyFont="1" applyFill="1"/>
    <xf numFmtId="0" fontId="4" fillId="3" borderId="2" xfId="0" applyFont="1" applyFill="1" applyBorder="1"/>
    <xf numFmtId="3" fontId="4" fillId="3" borderId="2" xfId="0" applyNumberFormat="1" applyFont="1" applyFill="1" applyBorder="1"/>
    <xf numFmtId="3" fontId="7" fillId="3" borderId="2" xfId="0" applyNumberFormat="1" applyFont="1" applyFill="1" applyBorder="1"/>
    <xf numFmtId="164" fontId="8" fillId="3" borderId="4" xfId="0" applyNumberFormat="1" applyFont="1" applyFill="1" applyBorder="1"/>
    <xf numFmtId="0" fontId="9" fillId="0" borderId="2" xfId="0" applyFont="1" applyBorder="1" applyAlignment="1">
      <alignment wrapText="1"/>
    </xf>
    <xf numFmtId="0" fontId="10" fillId="0" borderId="2" xfId="0" applyFont="1" applyBorder="1" applyAlignment="1">
      <alignment wrapText="1"/>
    </xf>
    <xf numFmtId="0" fontId="10" fillId="0" borderId="4" xfId="0" applyFont="1" applyBorder="1" applyAlignment="1">
      <alignment wrapText="1"/>
    </xf>
    <xf numFmtId="0" fontId="10" fillId="3" borderId="2" xfId="0" applyFont="1" applyFill="1" applyBorder="1"/>
    <xf numFmtId="3" fontId="10" fillId="0" borderId="2" xfId="0" applyNumberFormat="1" applyFont="1" applyBorder="1"/>
    <xf numFmtId="3" fontId="10" fillId="3" borderId="2" xfId="0" applyNumberFormat="1" applyFont="1" applyFill="1" applyBorder="1"/>
    <xf numFmtId="3" fontId="9" fillId="3" borderId="2" xfId="0" applyNumberFormat="1" applyFont="1" applyFill="1" applyBorder="1"/>
    <xf numFmtId="0" fontId="7" fillId="0" borderId="2" xfId="0" applyFont="1" applyBorder="1" applyAlignment="1">
      <alignment wrapText="1"/>
    </xf>
    <xf numFmtId="0" fontId="7" fillId="0" borderId="2" xfId="0" applyFont="1" applyBorder="1"/>
    <xf numFmtId="0" fontId="7" fillId="3" borderId="2" xfId="0" applyFont="1" applyFill="1" applyBorder="1"/>
    <xf numFmtId="3" fontId="7" fillId="0" borderId="2" xfId="0" applyNumberFormat="1" applyFont="1" applyBorder="1"/>
    <xf numFmtId="0" fontId="11" fillId="0" borderId="2" xfId="0" applyFont="1" applyBorder="1" applyAlignment="1">
      <alignment wrapText="1"/>
    </xf>
    <xf numFmtId="3" fontId="11" fillId="3" borderId="2" xfId="0" applyNumberFormat="1" applyFont="1" applyFill="1" applyBorder="1"/>
    <xf numFmtId="164" fontId="4" fillId="3" borderId="4" xfId="0" applyNumberFormat="1" applyFont="1" applyFill="1" applyBorder="1"/>
    <xf numFmtId="0" fontId="12" fillId="3" borderId="2" xfId="0" applyFont="1" applyFill="1" applyBorder="1" applyAlignment="1">
      <alignment wrapText="1"/>
    </xf>
    <xf numFmtId="0" fontId="4" fillId="3" borderId="2" xfId="0" applyFont="1" applyFill="1" applyBorder="1" applyAlignment="1">
      <alignment wrapText="1"/>
    </xf>
    <xf numFmtId="3" fontId="12" fillId="3" borderId="2" xfId="0" applyNumberFormat="1" applyFont="1" applyFill="1" applyBorder="1"/>
    <xf numFmtId="164" fontId="4" fillId="0" borderId="8" xfId="0" applyNumberFormat="1" applyFont="1" applyBorder="1"/>
    <xf numFmtId="0" fontId="4" fillId="0" borderId="8" xfId="0" applyFont="1" applyBorder="1" applyAlignment="1">
      <alignment wrapText="1"/>
    </xf>
    <xf numFmtId="0" fontId="4" fillId="0" borderId="8" xfId="0" applyFont="1" applyBorder="1"/>
    <xf numFmtId="3" fontId="4" fillId="0" borderId="8" xfId="0" applyNumberFormat="1" applyFont="1" applyBorder="1"/>
    <xf numFmtId="165" fontId="3" fillId="0" borderId="3" xfId="1" applyNumberFormat="1" applyFont="1" applyBorder="1"/>
    <xf numFmtId="3" fontId="3" fillId="0" borderId="3" xfId="0" applyNumberFormat="1" applyFont="1" applyBorder="1"/>
    <xf numFmtId="164" fontId="4" fillId="0" borderId="0" xfId="0" applyNumberFormat="1" applyFont="1"/>
    <xf numFmtId="3" fontId="6" fillId="0" borderId="0" xfId="0" applyNumberFormat="1" applyFont="1"/>
    <xf numFmtId="0" fontId="13" fillId="0" borderId="0" xfId="0" applyFont="1" applyAlignment="1">
      <alignment horizontal="center"/>
    </xf>
    <xf numFmtId="164" fontId="9" fillId="3" borderId="4" xfId="0" applyNumberFormat="1" applyFont="1" applyFill="1" applyBorder="1"/>
    <xf numFmtId="3" fontId="14" fillId="0" borderId="12" xfId="0" applyNumberFormat="1" applyFont="1" applyBorder="1" applyAlignment="1">
      <alignment horizontal="right" wrapText="1"/>
    </xf>
    <xf numFmtId="0" fontId="14" fillId="0" borderId="12" xfId="0" applyFont="1" applyBorder="1" applyAlignment="1">
      <alignment horizontal="right" wrapText="1"/>
    </xf>
    <xf numFmtId="0" fontId="14" fillId="4" borderId="12" xfId="0" applyFont="1" applyFill="1" applyBorder="1" applyAlignment="1">
      <alignment horizontal="right" wrapText="1"/>
    </xf>
    <xf numFmtId="3" fontId="3" fillId="0" borderId="0" xfId="0" applyNumberFormat="1" applyFont="1"/>
    <xf numFmtId="3" fontId="6" fillId="0" borderId="0" xfId="0" applyNumberFormat="1" applyFont="1" applyAlignment="1">
      <alignment horizontal="center"/>
    </xf>
    <xf numFmtId="3" fontId="3" fillId="0" borderId="0" xfId="0" applyNumberFormat="1" applyFont="1" applyAlignment="1">
      <alignment horizontal="center"/>
    </xf>
    <xf numFmtId="0" fontId="5" fillId="0" borderId="8" xfId="0" applyFont="1" applyBorder="1" applyAlignment="1">
      <alignment wrapText="1"/>
    </xf>
    <xf numFmtId="0" fontId="4" fillId="0" borderId="13" xfId="0" applyFont="1" applyBorder="1" applyAlignment="1">
      <alignment wrapText="1"/>
    </xf>
    <xf numFmtId="165" fontId="4" fillId="0" borderId="8" xfId="1" applyNumberFormat="1" applyFont="1" applyBorder="1"/>
    <xf numFmtId="3" fontId="4" fillId="3" borderId="8" xfId="0" applyNumberFormat="1" applyFont="1" applyFill="1" applyBorder="1"/>
    <xf numFmtId="3" fontId="4" fillId="0" borderId="13" xfId="0" applyNumberFormat="1" applyFont="1" applyBorder="1"/>
    <xf numFmtId="0" fontId="6" fillId="0" borderId="2" xfId="0" applyFont="1" applyBorder="1" applyAlignment="1">
      <alignment wrapText="1"/>
    </xf>
    <xf numFmtId="0" fontId="6" fillId="0" borderId="4" xfId="0" applyFont="1" applyBorder="1" applyAlignment="1">
      <alignment wrapText="1"/>
    </xf>
    <xf numFmtId="3" fontId="6" fillId="0" borderId="2" xfId="0" applyNumberFormat="1" applyFont="1" applyBorder="1"/>
    <xf numFmtId="165" fontId="6" fillId="0" borderId="2" xfId="1" applyNumberFormat="1" applyFont="1" applyBorder="1"/>
    <xf numFmtId="3" fontId="6" fillId="3" borderId="2" xfId="0" applyNumberFormat="1" applyFont="1" applyFill="1" applyBorder="1"/>
    <xf numFmtId="3" fontId="4" fillId="0" borderId="4" xfId="0" applyNumberFormat="1" applyFont="1" applyBorder="1" applyAlignment="1">
      <alignment vertical="center"/>
    </xf>
    <xf numFmtId="3" fontId="4" fillId="3" borderId="2" xfId="0" applyNumberFormat="1" applyFont="1" applyFill="1" applyBorder="1" applyAlignment="1">
      <alignment vertical="center"/>
    </xf>
    <xf numFmtId="3" fontId="4" fillId="0" borderId="8" xfId="0" applyNumberFormat="1" applyFont="1" applyBorder="1" applyAlignment="1">
      <alignment vertical="center"/>
    </xf>
    <xf numFmtId="3" fontId="3" fillId="0" borderId="3" xfId="0" applyNumberFormat="1" applyFont="1" applyBorder="1" applyAlignment="1">
      <alignment vertical="center"/>
    </xf>
    <xf numFmtId="3" fontId="4" fillId="0" borderId="0" xfId="0" applyNumberFormat="1" applyFont="1" applyAlignment="1">
      <alignment vertical="center"/>
    </xf>
    <xf numFmtId="0" fontId="3" fillId="0" borderId="0" xfId="0" applyFont="1" applyAlignment="1">
      <alignment horizontal="center" vertical="center"/>
    </xf>
    <xf numFmtId="0" fontId="4" fillId="0" borderId="0" xfId="0" applyFont="1" applyAlignment="1">
      <alignment vertical="center"/>
    </xf>
    <xf numFmtId="0" fontId="4" fillId="0" borderId="4" xfId="0" applyFont="1" applyBorder="1" applyAlignment="1">
      <alignment vertical="center"/>
    </xf>
    <xf numFmtId="0" fontId="4" fillId="0" borderId="2" xfId="0" applyFont="1" applyBorder="1" applyAlignment="1">
      <alignment vertical="center"/>
    </xf>
    <xf numFmtId="3" fontId="4" fillId="0" borderId="2" xfId="0" applyNumberFormat="1" applyFont="1" applyBorder="1" applyAlignment="1">
      <alignment vertical="center"/>
    </xf>
    <xf numFmtId="0" fontId="4" fillId="0" borderId="2" xfId="0" applyFont="1" applyBorder="1" applyAlignment="1">
      <alignment vertical="center" wrapText="1"/>
    </xf>
    <xf numFmtId="0" fontId="4" fillId="0" borderId="4" xfId="0" applyFont="1" applyBorder="1" applyAlignment="1">
      <alignment vertical="center" wrapText="1"/>
    </xf>
    <xf numFmtId="0" fontId="4" fillId="3" borderId="2" xfId="0" applyFont="1" applyFill="1" applyBorder="1" applyAlignment="1">
      <alignment vertical="center"/>
    </xf>
    <xf numFmtId="165" fontId="4" fillId="0" borderId="2" xfId="1" applyNumberFormat="1" applyFont="1" applyBorder="1" applyAlignment="1">
      <alignment vertical="center"/>
    </xf>
    <xf numFmtId="0" fontId="14" fillId="0" borderId="12" xfId="0" applyFont="1" applyBorder="1" applyAlignment="1">
      <alignment horizontal="right" vertical="center" wrapText="1"/>
    </xf>
    <xf numFmtId="0" fontId="4" fillId="3" borderId="0" xfId="0" applyFont="1" applyFill="1" applyAlignment="1">
      <alignment vertical="center"/>
    </xf>
    <xf numFmtId="3" fontId="14" fillId="0" borderId="12" xfId="0" applyNumberFormat="1" applyFont="1" applyBorder="1" applyAlignment="1">
      <alignment horizontal="right" vertical="center" wrapText="1"/>
    </xf>
    <xf numFmtId="0" fontId="11" fillId="0" borderId="2" xfId="0" applyFont="1" applyBorder="1" applyAlignment="1">
      <alignment vertical="center" wrapText="1"/>
    </xf>
    <xf numFmtId="3" fontId="11" fillId="3" borderId="2" xfId="0" applyNumberFormat="1" applyFont="1" applyFill="1" applyBorder="1" applyAlignment="1">
      <alignment vertical="center"/>
    </xf>
    <xf numFmtId="0" fontId="4" fillId="0" borderId="8" xfId="0" applyFont="1" applyBorder="1" applyAlignment="1">
      <alignment vertical="center" wrapText="1"/>
    </xf>
    <xf numFmtId="0" fontId="4" fillId="0" borderId="8" xfId="0" applyFont="1" applyBorder="1" applyAlignment="1">
      <alignment vertical="center"/>
    </xf>
    <xf numFmtId="165" fontId="3" fillId="0" borderId="3" xfId="1" applyNumberFormat="1" applyFont="1" applyBorder="1" applyAlignment="1">
      <alignment vertical="center"/>
    </xf>
    <xf numFmtId="3" fontId="3" fillId="0" borderId="0" xfId="0" applyNumberFormat="1" applyFont="1" applyAlignment="1">
      <alignment horizontal="center" vertical="center"/>
    </xf>
    <xf numFmtId="3" fontId="6" fillId="0" borderId="0" xfId="0" applyNumberFormat="1" applyFont="1" applyAlignment="1">
      <alignment vertical="center"/>
    </xf>
    <xf numFmtId="3" fontId="6" fillId="0" borderId="0" xfId="0" applyNumberFormat="1" applyFont="1" applyAlignment="1">
      <alignment horizontal="center" vertical="center"/>
    </xf>
    <xf numFmtId="3" fontId="3" fillId="0" borderId="0" xfId="0" applyNumberFormat="1" applyFont="1" applyAlignment="1">
      <alignment vertical="center"/>
    </xf>
    <xf numFmtId="166" fontId="5" fillId="3" borderId="4" xfId="0" applyNumberFormat="1" applyFont="1" applyFill="1" applyBorder="1"/>
    <xf numFmtId="166" fontId="4" fillId="0" borderId="2" xfId="0" applyNumberFormat="1" applyFont="1" applyBorder="1" applyAlignment="1">
      <alignment wrapText="1"/>
    </xf>
    <xf numFmtId="166" fontId="5" fillId="3" borderId="13" xfId="0" applyNumberFormat="1" applyFont="1" applyFill="1" applyBorder="1"/>
    <xf numFmtId="166" fontId="4" fillId="0" borderId="0" xfId="0" applyNumberFormat="1" applyFont="1"/>
    <xf numFmtId="3" fontId="16" fillId="0" borderId="12" xfId="0" applyNumberFormat="1" applyFont="1" applyBorder="1" applyAlignment="1">
      <alignment horizontal="right" wrapText="1"/>
    </xf>
    <xf numFmtId="166" fontId="4" fillId="0" borderId="0" xfId="0" applyNumberFormat="1" applyFont="1" applyAlignment="1">
      <alignment vertical="center"/>
    </xf>
    <xf numFmtId="166" fontId="4" fillId="0" borderId="4" xfId="0" applyNumberFormat="1" applyFont="1" applyBorder="1" applyAlignment="1">
      <alignment vertical="center"/>
    </xf>
    <xf numFmtId="166" fontId="4" fillId="0" borderId="2" xfId="0" applyNumberFormat="1" applyFont="1" applyBorder="1" applyAlignment="1">
      <alignment vertical="center"/>
    </xf>
    <xf numFmtId="166" fontId="5" fillId="3" borderId="4" xfId="0" applyNumberFormat="1" applyFont="1" applyFill="1" applyBorder="1" applyAlignment="1">
      <alignment vertical="center"/>
    </xf>
    <xf numFmtId="166" fontId="4" fillId="0" borderId="8" xfId="0" applyNumberFormat="1" applyFont="1" applyBorder="1" applyAlignment="1">
      <alignment vertical="center"/>
    </xf>
    <xf numFmtId="3" fontId="4" fillId="3" borderId="4" xfId="0" applyNumberFormat="1" applyFont="1" applyFill="1" applyBorder="1"/>
    <xf numFmtId="0" fontId="14" fillId="4" borderId="0" xfId="0" applyFont="1" applyFill="1" applyAlignment="1">
      <alignment horizontal="right" wrapText="1"/>
    </xf>
    <xf numFmtId="3" fontId="16" fillId="0" borderId="0" xfId="0" applyNumberFormat="1" applyFont="1" applyAlignment="1">
      <alignment horizontal="right" wrapText="1"/>
    </xf>
    <xf numFmtId="166" fontId="5" fillId="3" borderId="13" xfId="0" applyNumberFormat="1" applyFont="1" applyFill="1" applyBorder="1" applyAlignment="1">
      <alignment vertical="center"/>
    </xf>
    <xf numFmtId="0" fontId="11" fillId="0" borderId="8" xfId="0" applyFont="1" applyBorder="1" applyAlignment="1">
      <alignment vertical="center" wrapText="1"/>
    </xf>
    <xf numFmtId="0" fontId="4" fillId="0" borderId="13" xfId="0" applyFont="1" applyBorder="1" applyAlignment="1">
      <alignment vertical="center" wrapText="1"/>
    </xf>
    <xf numFmtId="0" fontId="4" fillId="3" borderId="8" xfId="0" applyFont="1" applyFill="1" applyBorder="1" applyAlignment="1">
      <alignment vertical="center"/>
    </xf>
    <xf numFmtId="165" fontId="4" fillId="0" borderId="8" xfId="1" applyNumberFormat="1" applyFont="1" applyBorder="1" applyAlignment="1">
      <alignment vertical="center"/>
    </xf>
    <xf numFmtId="3" fontId="4" fillId="3" borderId="8" xfId="0" applyNumberFormat="1" applyFont="1" applyFill="1" applyBorder="1" applyAlignment="1">
      <alignment vertical="center"/>
    </xf>
    <xf numFmtId="3" fontId="11" fillId="3" borderId="8" xfId="0" applyNumberFormat="1" applyFont="1" applyFill="1" applyBorder="1" applyAlignment="1">
      <alignment vertical="center"/>
    </xf>
    <xf numFmtId="3" fontId="14" fillId="0" borderId="0" xfId="0" applyNumberFormat="1" applyFont="1" applyAlignment="1">
      <alignment horizontal="right" vertical="center" wrapText="1"/>
    </xf>
    <xf numFmtId="0" fontId="3" fillId="2" borderId="6" xfId="0" applyFont="1" applyFill="1" applyBorder="1" applyAlignment="1">
      <alignment vertical="center"/>
    </xf>
    <xf numFmtId="166" fontId="3" fillId="2" borderId="6" xfId="0" applyNumberFormat="1" applyFont="1" applyFill="1" applyBorder="1" applyAlignment="1">
      <alignment vertical="center"/>
    </xf>
    <xf numFmtId="0" fontId="3" fillId="2" borderId="6" xfId="0" applyFont="1" applyFill="1" applyBorder="1" applyAlignment="1">
      <alignment vertical="center" wrapText="1"/>
    </xf>
    <xf numFmtId="0" fontId="3" fillId="2" borderId="9" xfId="0" applyFont="1" applyFill="1" applyBorder="1" applyAlignment="1">
      <alignment vertical="center"/>
    </xf>
    <xf numFmtId="0" fontId="3" fillId="2" borderId="10" xfId="0" applyFont="1" applyFill="1" applyBorder="1" applyAlignment="1">
      <alignment vertical="center"/>
    </xf>
    <xf numFmtId="0" fontId="3" fillId="2" borderId="11" xfId="0" applyFont="1" applyFill="1" applyBorder="1" applyAlignment="1">
      <alignment vertical="center"/>
    </xf>
    <xf numFmtId="3" fontId="3" fillId="2" borderId="6" xfId="0" applyNumberFormat="1" applyFont="1" applyFill="1" applyBorder="1" applyAlignment="1">
      <alignment vertical="center" wrapText="1"/>
    </xf>
    <xf numFmtId="0" fontId="3" fillId="2" borderId="7" xfId="0" applyFont="1" applyFill="1" applyBorder="1" applyAlignment="1">
      <alignment vertical="center"/>
    </xf>
    <xf numFmtId="166" fontId="3" fillId="2" borderId="7" xfId="0" applyNumberFormat="1" applyFont="1" applyFill="1" applyBorder="1" applyAlignment="1">
      <alignment vertical="center"/>
    </xf>
    <xf numFmtId="0" fontId="3" fillId="2" borderId="7" xfId="0" applyFont="1" applyFill="1" applyBorder="1" applyAlignment="1">
      <alignment vertical="center" wrapText="1"/>
    </xf>
    <xf numFmtId="3" fontId="3" fillId="2" borderId="7" xfId="0" applyNumberFormat="1" applyFont="1" applyFill="1" applyBorder="1" applyAlignment="1">
      <alignment vertical="center" wrapText="1"/>
    </xf>
    <xf numFmtId="165" fontId="4" fillId="4" borderId="2" xfId="1" applyNumberFormat="1" applyFont="1" applyFill="1" applyBorder="1" applyAlignment="1">
      <alignment vertical="center"/>
    </xf>
    <xf numFmtId="3" fontId="3" fillId="2" borderId="6" xfId="0" applyNumberFormat="1" applyFont="1" applyFill="1" applyBorder="1" applyAlignment="1">
      <alignment horizontal="center" vertical="center" wrapText="1"/>
    </xf>
    <xf numFmtId="0" fontId="4" fillId="3" borderId="2" xfId="0" applyFont="1" applyFill="1" applyBorder="1" applyAlignment="1">
      <alignment vertical="center" wrapText="1"/>
    </xf>
    <xf numFmtId="0" fontId="4" fillId="3" borderId="4" xfId="0" applyFont="1" applyFill="1" applyBorder="1" applyAlignment="1">
      <alignment vertical="center" wrapText="1"/>
    </xf>
    <xf numFmtId="165" fontId="4" fillId="3" borderId="2" xfId="1" applyNumberFormat="1" applyFont="1" applyFill="1" applyBorder="1" applyAlignment="1">
      <alignment vertical="center"/>
    </xf>
    <xf numFmtId="3" fontId="4" fillId="3" borderId="0" xfId="0" applyNumberFormat="1" applyFont="1" applyFill="1" applyAlignment="1">
      <alignment vertical="center"/>
    </xf>
    <xf numFmtId="0" fontId="17" fillId="5" borderId="12" xfId="0" applyFont="1" applyFill="1" applyBorder="1" applyAlignment="1">
      <alignment wrapText="1"/>
    </xf>
    <xf numFmtId="166" fontId="5" fillId="3" borderId="14" xfId="0" applyNumberFormat="1" applyFont="1" applyFill="1" applyBorder="1" applyAlignment="1">
      <alignment vertical="center"/>
    </xf>
    <xf numFmtId="0" fontId="4" fillId="0" borderId="13" xfId="0" applyFont="1" applyBorder="1" applyAlignment="1">
      <alignment vertical="center"/>
    </xf>
    <xf numFmtId="0" fontId="16" fillId="3" borderId="2" xfId="0" applyFont="1" applyFill="1" applyBorder="1" applyAlignment="1">
      <alignment wrapText="1"/>
    </xf>
    <xf numFmtId="0" fontId="16" fillId="3" borderId="2" xfId="0" applyFont="1" applyFill="1" applyBorder="1" applyAlignment="1">
      <alignment horizontal="center" wrapText="1"/>
    </xf>
    <xf numFmtId="166" fontId="5" fillId="3" borderId="15" xfId="0" applyNumberFormat="1" applyFont="1" applyFill="1" applyBorder="1" applyAlignment="1">
      <alignment vertical="center"/>
    </xf>
    <xf numFmtId="0" fontId="16" fillId="3" borderId="8" xfId="0" applyFont="1" applyFill="1" applyBorder="1" applyAlignment="1">
      <alignment wrapText="1"/>
    </xf>
    <xf numFmtId="0" fontId="16" fillId="3" borderId="8" xfId="0" applyFont="1" applyFill="1" applyBorder="1" applyAlignment="1">
      <alignment horizontal="center" wrapText="1"/>
    </xf>
    <xf numFmtId="166" fontId="5" fillId="3" borderId="2" xfId="0" applyNumberFormat="1" applyFont="1" applyFill="1" applyBorder="1" applyAlignment="1">
      <alignment horizontal="right" vertical="center"/>
    </xf>
    <xf numFmtId="3" fontId="11" fillId="0" borderId="8" xfId="0" applyNumberFormat="1" applyFont="1" applyBorder="1" applyAlignment="1">
      <alignment vertical="center"/>
    </xf>
    <xf numFmtId="3" fontId="4" fillId="0" borderId="14" xfId="0" applyNumberFormat="1" applyFont="1" applyBorder="1" applyAlignment="1">
      <alignment vertical="center"/>
    </xf>
    <xf numFmtId="3" fontId="4" fillId="0" borderId="16" xfId="0" applyNumberFormat="1" applyFont="1" applyBorder="1" applyAlignment="1">
      <alignment vertical="center"/>
    </xf>
    <xf numFmtId="3" fontId="4" fillId="0" borderId="13" xfId="0" applyNumberFormat="1" applyFont="1" applyBorder="1" applyAlignment="1">
      <alignment vertical="center"/>
    </xf>
    <xf numFmtId="3" fontId="16" fillId="0" borderId="2" xfId="0" applyNumberFormat="1" applyFont="1" applyBorder="1" applyAlignment="1">
      <alignment horizontal="right" wrapText="1"/>
    </xf>
    <xf numFmtId="0" fontId="16" fillId="0" borderId="2" xfId="0" applyFont="1" applyBorder="1" applyAlignment="1">
      <alignment horizontal="right" wrapText="1"/>
    </xf>
    <xf numFmtId="3" fontId="11" fillId="0" borderId="4" xfId="0" applyNumberFormat="1" applyFont="1" applyBorder="1" applyAlignment="1">
      <alignment vertical="center"/>
    </xf>
    <xf numFmtId="3" fontId="4" fillId="4" borderId="8" xfId="0" applyNumberFormat="1" applyFont="1" applyFill="1" applyBorder="1" applyAlignment="1">
      <alignment vertical="center"/>
    </xf>
    <xf numFmtId="165" fontId="4" fillId="0" borderId="2" xfId="1" applyNumberFormat="1" applyFont="1" applyFill="1" applyBorder="1" applyAlignment="1">
      <alignment vertical="center"/>
    </xf>
    <xf numFmtId="3" fontId="11" fillId="6" borderId="8" xfId="0" applyNumberFormat="1" applyFont="1" applyFill="1" applyBorder="1" applyAlignment="1">
      <alignment vertical="center"/>
    </xf>
    <xf numFmtId="0" fontId="18" fillId="0" borderId="0" xfId="0" applyFont="1" applyAlignment="1">
      <alignment vertical="center"/>
    </xf>
    <xf numFmtId="3" fontId="18" fillId="0" borderId="0" xfId="0" applyNumberFormat="1" applyFont="1" applyAlignment="1">
      <alignment vertical="center"/>
    </xf>
    <xf numFmtId="0" fontId="6" fillId="0" borderId="2" xfId="0" applyFont="1" applyBorder="1" applyAlignment="1">
      <alignment vertical="center" wrapText="1"/>
    </xf>
    <xf numFmtId="3" fontId="6" fillId="0" borderId="2" xfId="0" applyNumberFormat="1" applyFont="1" applyBorder="1" applyAlignment="1">
      <alignment vertical="center"/>
    </xf>
    <xf numFmtId="165" fontId="6" fillId="0" borderId="2" xfId="1" applyNumberFormat="1" applyFont="1" applyBorder="1" applyAlignment="1">
      <alignment vertical="center"/>
    </xf>
    <xf numFmtId="3" fontId="6" fillId="3" borderId="2" xfId="0" applyNumberFormat="1" applyFont="1" applyFill="1" applyBorder="1" applyAlignment="1">
      <alignment vertical="center"/>
    </xf>
    <xf numFmtId="3" fontId="6" fillId="3" borderId="0" xfId="0" applyNumberFormat="1" applyFont="1" applyFill="1" applyAlignment="1">
      <alignment vertical="center"/>
    </xf>
    <xf numFmtId="0" fontId="6" fillId="3" borderId="0" xfId="0" applyFont="1" applyFill="1" applyAlignment="1">
      <alignment vertical="center"/>
    </xf>
    <xf numFmtId="3" fontId="19" fillId="0" borderId="0" xfId="0" applyNumberFormat="1" applyFont="1" applyAlignment="1">
      <alignment horizontal="right" wrapText="1"/>
    </xf>
    <xf numFmtId="166" fontId="4" fillId="3" borderId="14" xfId="0" applyNumberFormat="1" applyFont="1" applyFill="1" applyBorder="1" applyAlignment="1">
      <alignment vertical="center"/>
    </xf>
    <xf numFmtId="3" fontId="20" fillId="3" borderId="2" xfId="0" applyNumberFormat="1" applyFont="1" applyFill="1" applyBorder="1" applyAlignment="1">
      <alignment vertical="center"/>
    </xf>
    <xf numFmtId="0" fontId="19" fillId="3" borderId="8" xfId="0" applyFont="1" applyFill="1" applyBorder="1" applyAlignment="1">
      <alignment horizontal="center" wrapText="1"/>
    </xf>
    <xf numFmtId="0" fontId="6" fillId="3" borderId="8" xfId="0" applyFont="1" applyFill="1" applyBorder="1" applyAlignment="1">
      <alignment vertical="center"/>
    </xf>
    <xf numFmtId="3" fontId="6" fillId="0" borderId="8" xfId="0" applyNumberFormat="1" applyFont="1" applyBorder="1" applyAlignment="1">
      <alignment vertical="center"/>
    </xf>
    <xf numFmtId="165" fontId="6" fillId="0" borderId="8" xfId="1" applyNumberFormat="1" applyFont="1" applyBorder="1" applyAlignment="1">
      <alignment vertical="center"/>
    </xf>
    <xf numFmtId="3" fontId="6" fillId="3" borderId="8" xfId="0" applyNumberFormat="1" applyFont="1" applyFill="1" applyBorder="1" applyAlignment="1">
      <alignment vertical="center"/>
    </xf>
    <xf numFmtId="0" fontId="6" fillId="0" borderId="8" xfId="0" applyFont="1" applyBorder="1" applyAlignment="1">
      <alignment vertical="center" wrapText="1"/>
    </xf>
    <xf numFmtId="165" fontId="6" fillId="0" borderId="2" xfId="1" applyNumberFormat="1" applyFont="1" applyFill="1" applyBorder="1" applyAlignment="1">
      <alignment vertical="center"/>
    </xf>
    <xf numFmtId="2" fontId="4" fillId="0" borderId="2" xfId="0" applyNumberFormat="1" applyFont="1" applyBorder="1" applyAlignment="1">
      <alignment vertical="center"/>
    </xf>
    <xf numFmtId="0" fontId="17" fillId="3" borderId="8" xfId="0" applyFont="1" applyFill="1" applyBorder="1" applyAlignment="1">
      <alignment wrapText="1"/>
    </xf>
    <xf numFmtId="0" fontId="17" fillId="0" borderId="2" xfId="0" applyFont="1" applyBorder="1" applyAlignment="1">
      <alignment wrapText="1"/>
    </xf>
    <xf numFmtId="0" fontId="21" fillId="3" borderId="2" xfId="0" applyFont="1" applyFill="1" applyBorder="1" applyAlignment="1">
      <alignment horizontal="center" wrapText="1"/>
    </xf>
    <xf numFmtId="0" fontId="22" fillId="0" borderId="0" xfId="0" applyFont="1"/>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3" fontId="4" fillId="0" borderId="17" xfId="0" applyNumberFormat="1" applyFont="1" applyBorder="1" applyAlignment="1">
      <alignment vertical="center"/>
    </xf>
    <xf numFmtId="0" fontId="3" fillId="2" borderId="6" xfId="0" applyFont="1" applyFill="1" applyBorder="1" applyAlignment="1">
      <alignment horizontal="center" vertical="center"/>
    </xf>
    <xf numFmtId="166" fontId="3" fillId="2" borderId="6" xfId="0" applyNumberFormat="1" applyFont="1" applyFill="1" applyBorder="1" applyAlignment="1">
      <alignment horizontal="center" vertical="center"/>
    </xf>
    <xf numFmtId="0" fontId="3" fillId="2" borderId="7" xfId="0" applyFont="1" applyFill="1" applyBorder="1" applyAlignment="1">
      <alignment horizontal="center" vertical="center"/>
    </xf>
    <xf numFmtId="166" fontId="3" fillId="2" borderId="7" xfId="0" applyNumberFormat="1" applyFont="1" applyFill="1" applyBorder="1" applyAlignment="1">
      <alignment horizontal="center" vertical="center"/>
    </xf>
    <xf numFmtId="3" fontId="3" fillId="2" borderId="7" xfId="0" applyNumberFormat="1" applyFont="1" applyFill="1" applyBorder="1" applyAlignment="1">
      <alignment horizontal="center" vertical="center" wrapText="1"/>
    </xf>
    <xf numFmtId="3" fontId="4" fillId="4" borderId="2" xfId="0" applyNumberFormat="1" applyFont="1" applyFill="1" applyBorder="1" applyAlignment="1">
      <alignment vertical="center"/>
    </xf>
    <xf numFmtId="0" fontId="17" fillId="0" borderId="8" xfId="0" applyFont="1" applyBorder="1" applyAlignment="1">
      <alignment wrapText="1"/>
    </xf>
    <xf numFmtId="0" fontId="25" fillId="0" borderId="0" xfId="0" applyFont="1"/>
    <xf numFmtId="3" fontId="25" fillId="0" borderId="0" xfId="0" applyNumberFormat="1" applyFont="1"/>
    <xf numFmtId="3" fontId="5" fillId="7" borderId="2" xfId="0" applyNumberFormat="1" applyFont="1" applyFill="1" applyBorder="1" applyAlignment="1">
      <alignment vertical="center"/>
    </xf>
    <xf numFmtId="3" fontId="4" fillId="7" borderId="2" xfId="0" applyNumberFormat="1" applyFont="1" applyFill="1" applyBorder="1" applyAlignment="1">
      <alignment vertical="center"/>
    </xf>
    <xf numFmtId="0" fontId="4" fillId="4" borderId="2" xfId="0" applyFont="1" applyFill="1" applyBorder="1" applyAlignment="1">
      <alignment vertical="center" wrapText="1"/>
    </xf>
    <xf numFmtId="3" fontId="5" fillId="3" borderId="2" xfId="0" applyNumberFormat="1" applyFont="1" applyFill="1" applyBorder="1" applyAlignment="1">
      <alignment vertical="center"/>
    </xf>
    <xf numFmtId="0" fontId="21" fillId="0" borderId="2" xfId="0" applyFont="1" applyBorder="1" applyAlignment="1">
      <alignment wrapText="1"/>
    </xf>
    <xf numFmtId="0" fontId="21" fillId="3" borderId="8" xfId="0" applyFont="1" applyFill="1" applyBorder="1" applyAlignment="1">
      <alignment horizontal="center" wrapText="1"/>
    </xf>
    <xf numFmtId="0" fontId="5" fillId="0" borderId="2" xfId="0" applyFont="1" applyBorder="1" applyAlignment="1">
      <alignment vertical="center" wrapText="1"/>
    </xf>
    <xf numFmtId="0" fontId="5" fillId="3" borderId="8" xfId="0" applyFont="1" applyFill="1" applyBorder="1" applyAlignment="1">
      <alignment vertical="center"/>
    </xf>
    <xf numFmtId="3" fontId="5" fillId="3" borderId="8" xfId="0" applyNumberFormat="1" applyFont="1" applyFill="1" applyBorder="1" applyAlignment="1">
      <alignment vertical="center"/>
    </xf>
    <xf numFmtId="3" fontId="0" fillId="0" borderId="0" xfId="0" applyNumberFormat="1"/>
    <xf numFmtId="0" fontId="26" fillId="0" borderId="0" xfId="0" applyFont="1"/>
    <xf numFmtId="165" fontId="4" fillId="4" borderId="8" xfId="1" applyNumberFormat="1" applyFont="1" applyFill="1" applyBorder="1" applyAlignment="1">
      <alignment vertical="center"/>
    </xf>
    <xf numFmtId="3" fontId="11" fillId="4" borderId="2" xfId="0" applyNumberFormat="1" applyFont="1" applyFill="1" applyBorder="1" applyAlignment="1">
      <alignment vertical="center"/>
    </xf>
    <xf numFmtId="3" fontId="4" fillId="4" borderId="14" xfId="0" applyNumberFormat="1" applyFont="1" applyFill="1" applyBorder="1" applyAlignment="1">
      <alignment vertical="center"/>
    </xf>
    <xf numFmtId="3" fontId="16" fillId="4" borderId="4" xfId="0" applyNumberFormat="1" applyFont="1" applyFill="1" applyBorder="1" applyAlignment="1">
      <alignment horizontal="right" wrapText="1"/>
    </xf>
    <xf numFmtId="3" fontId="4" fillId="4" borderId="17" xfId="0" applyNumberFormat="1" applyFont="1" applyFill="1" applyBorder="1" applyAlignment="1">
      <alignment vertical="center"/>
    </xf>
    <xf numFmtId="3" fontId="27" fillId="0" borderId="0" xfId="0" applyNumberFormat="1" applyFont="1"/>
    <xf numFmtId="165" fontId="4" fillId="3" borderId="8" xfId="1" applyNumberFormat="1" applyFont="1" applyFill="1" applyBorder="1" applyAlignment="1">
      <alignment vertical="center"/>
    </xf>
    <xf numFmtId="3" fontId="4" fillId="3" borderId="14" xfId="0" applyNumberFormat="1" applyFont="1" applyFill="1" applyBorder="1" applyAlignment="1">
      <alignment vertical="center"/>
    </xf>
    <xf numFmtId="3" fontId="16" fillId="3" borderId="4" xfId="0" applyNumberFormat="1" applyFont="1" applyFill="1" applyBorder="1" applyAlignment="1">
      <alignment horizontal="right" wrapText="1"/>
    </xf>
    <xf numFmtId="3" fontId="4" fillId="3" borderId="17" xfId="0" applyNumberFormat="1" applyFont="1" applyFill="1" applyBorder="1" applyAlignment="1">
      <alignment vertical="center"/>
    </xf>
    <xf numFmtId="3" fontId="16" fillId="4" borderId="2" xfId="0" applyNumberFormat="1" applyFont="1" applyFill="1" applyBorder="1" applyAlignment="1">
      <alignment horizontal="right" wrapText="1"/>
    </xf>
    <xf numFmtId="0" fontId="17" fillId="0" borderId="2" xfId="0" applyFont="1" applyBorder="1"/>
    <xf numFmtId="3" fontId="16" fillId="3" borderId="2" xfId="0" applyNumberFormat="1" applyFont="1" applyFill="1" applyBorder="1" applyAlignment="1">
      <alignment horizontal="right" wrapText="1"/>
    </xf>
    <xf numFmtId="0" fontId="17" fillId="0" borderId="8" xfId="0" applyFont="1" applyBorder="1"/>
    <xf numFmtId="3" fontId="4" fillId="0" borderId="15" xfId="0" applyNumberFormat="1" applyFont="1" applyBorder="1" applyAlignment="1">
      <alignment vertical="center"/>
    </xf>
    <xf numFmtId="3" fontId="4" fillId="0" borderId="18" xfId="0" applyNumberFormat="1" applyFont="1" applyBorder="1" applyAlignment="1">
      <alignment vertical="center"/>
    </xf>
    <xf numFmtId="0" fontId="4" fillId="0" borderId="5" xfId="0" applyFont="1" applyBorder="1" applyAlignment="1">
      <alignment vertical="center"/>
    </xf>
    <xf numFmtId="3" fontId="4" fillId="0" borderId="5" xfId="0" applyNumberFormat="1" applyFont="1" applyBorder="1" applyAlignment="1">
      <alignment vertical="center"/>
    </xf>
    <xf numFmtId="0" fontId="11" fillId="0" borderId="5" xfId="0" applyFont="1" applyBorder="1" applyAlignment="1">
      <alignment vertical="center" wrapText="1"/>
    </xf>
    <xf numFmtId="0" fontId="4" fillId="0" borderId="5" xfId="0" applyFont="1" applyBorder="1" applyAlignment="1">
      <alignment vertical="center" wrapText="1"/>
    </xf>
    <xf numFmtId="0" fontId="4" fillId="3" borderId="5" xfId="0" applyFont="1" applyFill="1" applyBorder="1" applyAlignment="1">
      <alignment vertical="center"/>
    </xf>
    <xf numFmtId="165" fontId="4" fillId="0" borderId="5" xfId="1" applyNumberFormat="1" applyFont="1" applyBorder="1" applyAlignment="1">
      <alignment vertical="center"/>
    </xf>
    <xf numFmtId="3" fontId="4" fillId="3" borderId="5" xfId="0" applyNumberFormat="1" applyFont="1" applyFill="1" applyBorder="1" applyAlignment="1">
      <alignment vertical="center"/>
    </xf>
    <xf numFmtId="3" fontId="11" fillId="3" borderId="5" xfId="0" applyNumberFormat="1" applyFont="1" applyFill="1" applyBorder="1" applyAlignment="1">
      <alignment vertical="center"/>
    </xf>
    <xf numFmtId="3" fontId="11" fillId="0" borderId="5" xfId="0" applyNumberFormat="1" applyFont="1" applyBorder="1" applyAlignment="1">
      <alignment vertical="center"/>
    </xf>
    <xf numFmtId="3" fontId="4" fillId="6" borderId="2" xfId="0" applyNumberFormat="1" applyFont="1" applyFill="1" applyBorder="1" applyAlignment="1">
      <alignment vertical="center"/>
    </xf>
    <xf numFmtId="3" fontId="5" fillId="6" borderId="2" xfId="0" applyNumberFormat="1" applyFont="1" applyFill="1" applyBorder="1" applyAlignment="1">
      <alignment vertical="center"/>
    </xf>
    <xf numFmtId="3" fontId="16" fillId="0" borderId="4" xfId="0" applyNumberFormat="1" applyFont="1" applyBorder="1" applyAlignment="1">
      <alignment horizontal="right" wrapText="1"/>
    </xf>
    <xf numFmtId="0" fontId="4" fillId="3" borderId="4" xfId="0" applyFont="1" applyFill="1" applyBorder="1" applyAlignment="1">
      <alignment vertical="center"/>
    </xf>
    <xf numFmtId="0" fontId="0" fillId="3" borderId="0" xfId="0" applyFill="1"/>
    <xf numFmtId="3" fontId="0" fillId="3" borderId="0" xfId="0" applyNumberFormat="1" applyFill="1"/>
    <xf numFmtId="3" fontId="4" fillId="6" borderId="8" xfId="0" applyNumberFormat="1" applyFont="1" applyFill="1" applyBorder="1" applyAlignment="1">
      <alignment vertical="center"/>
    </xf>
    <xf numFmtId="0" fontId="28" fillId="0" borderId="0" xfId="0" applyFont="1"/>
    <xf numFmtId="3" fontId="28" fillId="0" borderId="0" xfId="0" applyNumberFormat="1" applyFont="1"/>
    <xf numFmtId="165" fontId="4" fillId="7" borderId="2" xfId="1" applyNumberFormat="1" applyFont="1" applyFill="1" applyBorder="1" applyAlignment="1">
      <alignment vertical="center"/>
    </xf>
    <xf numFmtId="3" fontId="5" fillId="4" borderId="8" xfId="0" applyNumberFormat="1" applyFont="1" applyFill="1" applyBorder="1" applyAlignment="1">
      <alignment vertical="center"/>
    </xf>
    <xf numFmtId="165" fontId="5" fillId="4" borderId="2" xfId="1" applyNumberFormat="1" applyFont="1" applyFill="1" applyBorder="1" applyAlignment="1">
      <alignment vertical="center"/>
    </xf>
    <xf numFmtId="165" fontId="5" fillId="3" borderId="2" xfId="1" applyNumberFormat="1" applyFont="1" applyFill="1" applyBorder="1" applyAlignment="1">
      <alignment vertical="center"/>
    </xf>
    <xf numFmtId="165" fontId="6" fillId="3" borderId="2" xfId="1" applyNumberFormat="1" applyFont="1" applyFill="1" applyBorder="1" applyAlignment="1">
      <alignment vertical="center"/>
    </xf>
    <xf numFmtId="165" fontId="3" fillId="4" borderId="3" xfId="1" applyNumberFormat="1" applyFont="1" applyFill="1" applyBorder="1" applyAlignment="1">
      <alignment vertical="center"/>
    </xf>
    <xf numFmtId="3" fontId="4" fillId="3" borderId="0" xfId="0" applyNumberFormat="1" applyFont="1" applyFill="1"/>
    <xf numFmtId="3" fontId="4" fillId="0" borderId="5" xfId="1" applyNumberFormat="1" applyFont="1" applyBorder="1" applyAlignment="1">
      <alignment vertical="center"/>
    </xf>
    <xf numFmtId="3" fontId="6" fillId="3" borderId="19" xfId="1" applyNumberFormat="1" applyFont="1" applyFill="1" applyBorder="1" applyAlignment="1">
      <alignment vertical="center"/>
    </xf>
    <xf numFmtId="3" fontId="6" fillId="0" borderId="19" xfId="1" applyNumberFormat="1" applyFont="1" applyBorder="1" applyAlignment="1">
      <alignment vertical="center"/>
    </xf>
    <xf numFmtId="3" fontId="4" fillId="0" borderId="19" xfId="1" applyNumberFormat="1" applyFont="1" applyBorder="1" applyAlignment="1">
      <alignment vertical="center"/>
    </xf>
    <xf numFmtId="3" fontId="11" fillId="4" borderId="8" xfId="0" applyNumberFormat="1" applyFont="1" applyFill="1" applyBorder="1" applyAlignment="1">
      <alignment vertical="center"/>
    </xf>
    <xf numFmtId="3" fontId="20" fillId="3" borderId="8" xfId="0" applyNumberFormat="1" applyFont="1" applyFill="1" applyBorder="1" applyAlignment="1">
      <alignment vertical="center"/>
    </xf>
    <xf numFmtId="3" fontId="20" fillId="0" borderId="14" xfId="0" applyNumberFormat="1" applyFont="1" applyBorder="1" applyAlignment="1">
      <alignment vertical="center"/>
    </xf>
    <xf numFmtId="3" fontId="29" fillId="0" borderId="4" xfId="0" applyNumberFormat="1" applyFont="1" applyBorder="1" applyAlignment="1">
      <alignment horizontal="right" wrapText="1"/>
    </xf>
    <xf numFmtId="3" fontId="20" fillId="0" borderId="17" xfId="0" applyNumberFormat="1" applyFont="1" applyBorder="1" applyAlignment="1">
      <alignment vertical="center"/>
    </xf>
    <xf numFmtId="0" fontId="17" fillId="3" borderId="8" xfId="0" applyFont="1" applyFill="1" applyBorder="1" applyAlignment="1">
      <alignment horizontal="center" wrapText="1"/>
    </xf>
    <xf numFmtId="0" fontId="11" fillId="3" borderId="8" xfId="0" applyFont="1" applyFill="1" applyBorder="1" applyAlignment="1">
      <alignment vertical="center"/>
    </xf>
    <xf numFmtId="165" fontId="11" fillId="3" borderId="8" xfId="1" applyNumberFormat="1" applyFont="1" applyFill="1" applyBorder="1" applyAlignment="1">
      <alignment vertical="center"/>
    </xf>
    <xf numFmtId="165" fontId="11" fillId="3" borderId="2" xfId="1" applyNumberFormat="1" applyFont="1" applyFill="1" applyBorder="1" applyAlignment="1">
      <alignment vertical="center"/>
    </xf>
    <xf numFmtId="3" fontId="11" fillId="3" borderId="0" xfId="0" applyNumberFormat="1" applyFont="1" applyFill="1"/>
    <xf numFmtId="3" fontId="26" fillId="0" borderId="0" xfId="0" applyNumberFormat="1" applyFont="1"/>
    <xf numFmtId="3" fontId="4" fillId="8" borderId="2" xfId="0" applyNumberFormat="1" applyFont="1" applyFill="1" applyBorder="1" applyAlignment="1">
      <alignment vertical="center"/>
    </xf>
    <xf numFmtId="3" fontId="5" fillId="8" borderId="2" xfId="0" applyNumberFormat="1" applyFont="1" applyFill="1" applyBorder="1" applyAlignment="1">
      <alignment vertical="center"/>
    </xf>
    <xf numFmtId="3" fontId="11" fillId="0" borderId="14" xfId="0" applyNumberFormat="1" applyFont="1" applyBorder="1" applyAlignment="1">
      <alignment vertical="center"/>
    </xf>
    <xf numFmtId="3" fontId="5" fillId="4" borderId="2" xfId="0" applyNumberFormat="1" applyFont="1" applyFill="1" applyBorder="1" applyAlignment="1">
      <alignment vertical="center"/>
    </xf>
    <xf numFmtId="0" fontId="5" fillId="0" borderId="0" xfId="0" applyFont="1" applyAlignment="1">
      <alignment vertical="center"/>
    </xf>
    <xf numFmtId="3" fontId="5" fillId="0" borderId="0" xfId="0" applyNumberFormat="1" applyFont="1" applyAlignment="1">
      <alignment vertical="center"/>
    </xf>
    <xf numFmtId="3" fontId="30" fillId="2" borderId="6" xfId="0" applyNumberFormat="1" applyFont="1" applyFill="1" applyBorder="1" applyAlignment="1">
      <alignment horizontal="center" vertical="center" wrapText="1"/>
    </xf>
    <xf numFmtId="0" fontId="30" fillId="2" borderId="3" xfId="0" applyFont="1" applyFill="1" applyBorder="1" applyAlignment="1">
      <alignment horizontal="center" vertical="center"/>
    </xf>
    <xf numFmtId="3" fontId="30" fillId="2" borderId="3" xfId="0" applyNumberFormat="1" applyFont="1" applyFill="1" applyBorder="1" applyAlignment="1">
      <alignment horizontal="center" vertical="center"/>
    </xf>
    <xf numFmtId="3" fontId="30" fillId="2" borderId="7" xfId="0" applyNumberFormat="1" applyFont="1" applyFill="1" applyBorder="1" applyAlignment="1">
      <alignment horizontal="center" vertical="center" wrapText="1"/>
    </xf>
    <xf numFmtId="3" fontId="5" fillId="0" borderId="2" xfId="0" applyNumberFormat="1" applyFont="1" applyBorder="1" applyAlignment="1">
      <alignment vertical="center"/>
    </xf>
    <xf numFmtId="3" fontId="5" fillId="0" borderId="4" xfId="0" applyNumberFormat="1" applyFont="1" applyBorder="1" applyAlignment="1">
      <alignment vertical="center"/>
    </xf>
    <xf numFmtId="3" fontId="5" fillId="0" borderId="13" xfId="0" applyNumberFormat="1" applyFont="1" applyBorder="1" applyAlignment="1">
      <alignment vertical="center"/>
    </xf>
    <xf numFmtId="3" fontId="5" fillId="3" borderId="0" xfId="0" applyNumberFormat="1" applyFont="1" applyFill="1"/>
    <xf numFmtId="3" fontId="31" fillId="3" borderId="2" xfId="0" applyNumberFormat="1" applyFont="1" applyFill="1" applyBorder="1" applyAlignment="1">
      <alignment vertical="center"/>
    </xf>
    <xf numFmtId="3" fontId="5" fillId="0" borderId="14" xfId="0" applyNumberFormat="1" applyFont="1" applyBorder="1" applyAlignment="1">
      <alignment vertical="center"/>
    </xf>
    <xf numFmtId="3" fontId="21" fillId="0" borderId="2" xfId="0" applyNumberFormat="1" applyFont="1" applyBorder="1" applyAlignment="1">
      <alignment horizontal="right" wrapText="1"/>
    </xf>
    <xf numFmtId="3" fontId="5" fillId="0" borderId="17" xfId="0" applyNumberFormat="1" applyFont="1" applyBorder="1" applyAlignment="1">
      <alignment vertical="center"/>
    </xf>
    <xf numFmtId="3" fontId="5" fillId="3" borderId="2" xfId="0" applyNumberFormat="1" applyFont="1" applyFill="1" applyBorder="1"/>
    <xf numFmtId="3" fontId="21" fillId="3" borderId="2" xfId="0" applyNumberFormat="1" applyFont="1" applyFill="1" applyBorder="1" applyAlignment="1">
      <alignment horizontal="right" wrapText="1"/>
    </xf>
    <xf numFmtId="165" fontId="5" fillId="3" borderId="8" xfId="1" applyNumberFormat="1" applyFont="1" applyFill="1" applyBorder="1" applyAlignment="1">
      <alignment vertical="center"/>
    </xf>
    <xf numFmtId="3" fontId="21" fillId="3" borderId="4" xfId="0" applyNumberFormat="1" applyFont="1" applyFill="1" applyBorder="1" applyAlignment="1">
      <alignment horizontal="right" wrapText="1"/>
    </xf>
    <xf numFmtId="165" fontId="31" fillId="3" borderId="8" xfId="1" applyNumberFormat="1" applyFont="1" applyFill="1" applyBorder="1" applyAlignment="1">
      <alignment vertical="center"/>
    </xf>
    <xf numFmtId="165" fontId="31" fillId="3" borderId="2" xfId="1" applyNumberFormat="1" applyFont="1" applyFill="1" applyBorder="1" applyAlignment="1">
      <alignment vertical="center"/>
    </xf>
    <xf numFmtId="3" fontId="31" fillId="3" borderId="0" xfId="0" applyNumberFormat="1" applyFont="1" applyFill="1"/>
    <xf numFmtId="3" fontId="31" fillId="3" borderId="8" xfId="0" applyNumberFormat="1" applyFont="1" applyFill="1" applyBorder="1" applyAlignment="1">
      <alignment vertical="center"/>
    </xf>
    <xf numFmtId="3" fontId="32" fillId="0" borderId="4" xfId="0" applyNumberFormat="1" applyFont="1" applyBorder="1" applyAlignment="1">
      <alignment horizontal="right" wrapText="1"/>
    </xf>
    <xf numFmtId="3" fontId="5" fillId="0" borderId="19" xfId="1" applyNumberFormat="1" applyFont="1" applyBorder="1" applyAlignment="1">
      <alignment vertical="center"/>
    </xf>
    <xf numFmtId="3" fontId="5" fillId="0" borderId="8" xfId="0" applyNumberFormat="1" applyFont="1" applyBorder="1" applyAlignment="1">
      <alignment vertical="center"/>
    </xf>
    <xf numFmtId="165" fontId="5" fillId="0" borderId="2" xfId="1" applyNumberFormat="1" applyFont="1" applyBorder="1" applyAlignment="1">
      <alignment vertical="center"/>
    </xf>
    <xf numFmtId="3" fontId="31" fillId="4" borderId="8" xfId="0" applyNumberFormat="1" applyFont="1" applyFill="1" applyBorder="1" applyAlignment="1">
      <alignment vertical="center"/>
    </xf>
    <xf numFmtId="3" fontId="31" fillId="0" borderId="8" xfId="0" applyNumberFormat="1" applyFont="1" applyBorder="1" applyAlignment="1">
      <alignment vertical="center"/>
    </xf>
    <xf numFmtId="3" fontId="5" fillId="0" borderId="5" xfId="0" applyNumberFormat="1" applyFont="1" applyBorder="1" applyAlignment="1">
      <alignment vertical="center"/>
    </xf>
    <xf numFmtId="165" fontId="5" fillId="0" borderId="5" xfId="1" applyNumberFormat="1" applyFont="1" applyBorder="1" applyAlignment="1">
      <alignment vertical="center"/>
    </xf>
    <xf numFmtId="3" fontId="5" fillId="0" borderId="5" xfId="1" applyNumberFormat="1" applyFont="1" applyBorder="1" applyAlignment="1">
      <alignment vertical="center"/>
    </xf>
    <xf numFmtId="3" fontId="5" fillId="3" borderId="5" xfId="0" applyNumberFormat="1" applyFont="1" applyFill="1" applyBorder="1" applyAlignment="1">
      <alignment vertical="center"/>
    </xf>
    <xf numFmtId="3" fontId="31" fillId="3" borderId="5" xfId="0" applyNumberFormat="1" applyFont="1" applyFill="1" applyBorder="1" applyAlignment="1">
      <alignment vertical="center"/>
    </xf>
    <xf numFmtId="3" fontId="31" fillId="0" borderId="5" xfId="0" applyNumberFormat="1" applyFont="1" applyBorder="1" applyAlignment="1">
      <alignment vertical="center"/>
    </xf>
    <xf numFmtId="3" fontId="30" fillId="0" borderId="3" xfId="0" applyNumberFormat="1" applyFont="1" applyBorder="1" applyAlignment="1">
      <alignment vertical="center"/>
    </xf>
    <xf numFmtId="0" fontId="33" fillId="0" borderId="0" xfId="0" applyFont="1"/>
    <xf numFmtId="3" fontId="5" fillId="0" borderId="0" xfId="0" applyNumberFormat="1" applyFont="1"/>
    <xf numFmtId="3" fontId="33" fillId="0" borderId="0" xfId="0" applyNumberFormat="1" applyFont="1"/>
    <xf numFmtId="3" fontId="34" fillId="0" borderId="0" xfId="0" applyNumberFormat="1" applyFont="1"/>
    <xf numFmtId="0" fontId="34" fillId="0" borderId="0" xfId="0" applyFont="1"/>
    <xf numFmtId="3" fontId="30" fillId="6" borderId="3" xfId="0" applyNumberFormat="1" applyFont="1" applyFill="1" applyBorder="1" applyAlignment="1">
      <alignment vertical="center"/>
    </xf>
    <xf numFmtId="165" fontId="5" fillId="4" borderId="8" xfId="1" applyNumberFormat="1" applyFont="1" applyFill="1" applyBorder="1" applyAlignment="1">
      <alignment vertical="center"/>
    </xf>
    <xf numFmtId="3" fontId="5" fillId="4" borderId="2" xfId="0" applyNumberFormat="1" applyFont="1" applyFill="1" applyBorder="1"/>
    <xf numFmtId="165" fontId="30" fillId="6" borderId="3" xfId="1" applyNumberFormat="1" applyFont="1" applyFill="1" applyBorder="1" applyAlignment="1">
      <alignment vertical="center"/>
    </xf>
    <xf numFmtId="3" fontId="5" fillId="6" borderId="8" xfId="0" applyNumberFormat="1" applyFont="1" applyFill="1" applyBorder="1" applyAlignment="1">
      <alignment vertical="center"/>
    </xf>
    <xf numFmtId="3" fontId="31" fillId="6" borderId="2" xfId="0" applyNumberFormat="1" applyFont="1" applyFill="1" applyBorder="1" applyAlignment="1">
      <alignment vertical="center"/>
    </xf>
    <xf numFmtId="3" fontId="31" fillId="6" borderId="8" xfId="0" applyNumberFormat="1" applyFont="1" applyFill="1" applyBorder="1" applyAlignment="1">
      <alignment vertical="center"/>
    </xf>
    <xf numFmtId="3" fontId="34" fillId="6" borderId="0" xfId="0" applyNumberFormat="1" applyFont="1" applyFill="1"/>
    <xf numFmtId="165" fontId="30" fillId="0" borderId="3" xfId="1" applyNumberFormat="1" applyFont="1" applyFill="1" applyBorder="1" applyAlignment="1">
      <alignment vertical="center"/>
    </xf>
    <xf numFmtId="3" fontId="21" fillId="4" borderId="2" xfId="0" applyNumberFormat="1" applyFont="1" applyFill="1" applyBorder="1" applyAlignment="1">
      <alignment horizontal="right" wrapText="1"/>
    </xf>
    <xf numFmtId="3" fontId="35" fillId="2" borderId="3" xfId="0" applyNumberFormat="1" applyFont="1" applyFill="1" applyBorder="1" applyAlignment="1">
      <alignment horizontal="center" vertical="center"/>
    </xf>
    <xf numFmtId="3" fontId="6" fillId="0" borderId="4" xfId="0" applyNumberFormat="1" applyFont="1" applyBorder="1" applyAlignment="1">
      <alignment vertical="center"/>
    </xf>
    <xf numFmtId="3" fontId="35" fillId="0" borderId="3" xfId="0" applyNumberFormat="1" applyFont="1" applyBorder="1" applyAlignment="1">
      <alignment vertical="center"/>
    </xf>
    <xf numFmtId="0" fontId="16" fillId="0" borderId="12" xfId="0" applyFont="1" applyBorder="1" applyAlignment="1">
      <alignment horizontal="right" wrapText="1"/>
    </xf>
    <xf numFmtId="0" fontId="4" fillId="0" borderId="1" xfId="0" applyFont="1" applyBorder="1" applyAlignment="1">
      <alignment vertical="center"/>
    </xf>
    <xf numFmtId="166" fontId="4" fillId="0" borderId="1" xfId="0" applyNumberFormat="1" applyFont="1" applyBorder="1" applyAlignment="1">
      <alignment vertical="center"/>
    </xf>
    <xf numFmtId="3" fontId="5" fillId="0" borderId="1" xfId="0" applyNumberFormat="1" applyFont="1" applyBorder="1" applyAlignment="1">
      <alignment vertical="center"/>
    </xf>
    <xf numFmtId="3" fontId="6" fillId="0" borderId="1" xfId="0" applyNumberFormat="1" applyFont="1" applyBorder="1" applyAlignment="1">
      <alignment vertical="center"/>
    </xf>
    <xf numFmtId="166" fontId="5" fillId="3" borderId="2" xfId="0" applyNumberFormat="1" applyFont="1" applyFill="1" applyBorder="1" applyAlignment="1">
      <alignment vertical="center"/>
    </xf>
    <xf numFmtId="0" fontId="6" fillId="3" borderId="2" xfId="0" applyFont="1" applyFill="1" applyBorder="1" applyAlignment="1">
      <alignment vertical="center"/>
    </xf>
    <xf numFmtId="3" fontId="5" fillId="0" borderId="2" xfId="1" applyNumberFormat="1" applyFont="1" applyBorder="1" applyAlignment="1">
      <alignment vertical="center"/>
    </xf>
    <xf numFmtId="3" fontId="6" fillId="6" borderId="2" xfId="0" applyNumberFormat="1" applyFont="1" applyFill="1" applyBorder="1" applyAlignment="1">
      <alignment vertical="center"/>
    </xf>
    <xf numFmtId="0" fontId="4" fillId="3" borderId="2" xfId="0" applyFont="1" applyFill="1" applyBorder="1" applyAlignment="1">
      <alignment horizontal="center" wrapText="1"/>
    </xf>
    <xf numFmtId="3" fontId="4" fillId="0" borderId="2" xfId="0" applyNumberFormat="1" applyFont="1" applyBorder="1" applyAlignment="1">
      <alignment horizontal="right" wrapText="1"/>
    </xf>
    <xf numFmtId="0" fontId="5" fillId="3" borderId="2" xfId="0" applyFont="1" applyFill="1" applyBorder="1" applyAlignment="1">
      <alignment horizontal="center" wrapText="1"/>
    </xf>
    <xf numFmtId="0" fontId="4" fillId="0" borderId="2" xfId="0" applyFont="1" applyBorder="1" applyAlignment="1">
      <alignment horizontal="right" wrapText="1"/>
    </xf>
    <xf numFmtId="0" fontId="11" fillId="3" borderId="2" xfId="0" applyFont="1" applyFill="1" applyBorder="1" applyAlignment="1">
      <alignment wrapText="1"/>
    </xf>
    <xf numFmtId="0" fontId="6" fillId="3" borderId="2" xfId="0" applyFont="1" applyFill="1" applyBorder="1" applyAlignment="1">
      <alignment horizontal="center" wrapText="1"/>
    </xf>
    <xf numFmtId="0" fontId="11" fillId="4" borderId="2" xfId="0" applyFont="1" applyFill="1" applyBorder="1" applyAlignment="1">
      <alignment wrapText="1"/>
    </xf>
    <xf numFmtId="0" fontId="11" fillId="3" borderId="21" xfId="0" applyFont="1" applyFill="1" applyBorder="1" applyAlignment="1">
      <alignment wrapText="1"/>
    </xf>
    <xf numFmtId="0" fontId="11" fillId="3" borderId="22" xfId="0" applyFont="1" applyFill="1" applyBorder="1" applyAlignment="1">
      <alignment wrapText="1"/>
    </xf>
    <xf numFmtId="165" fontId="5" fillId="0" borderId="2" xfId="1" applyNumberFormat="1" applyFont="1" applyFill="1" applyBorder="1" applyAlignment="1">
      <alignment vertical="center"/>
    </xf>
    <xf numFmtId="0" fontId="11" fillId="3" borderId="20" xfId="0" applyFont="1" applyFill="1" applyBorder="1"/>
    <xf numFmtId="0" fontId="11" fillId="3" borderId="2" xfId="0" applyFont="1" applyFill="1" applyBorder="1"/>
    <xf numFmtId="0" fontId="11" fillId="3" borderId="21" xfId="0" applyFont="1" applyFill="1" applyBorder="1"/>
    <xf numFmtId="166" fontId="0" fillId="0" borderId="0" xfId="0" applyNumberFormat="1"/>
    <xf numFmtId="0" fontId="16" fillId="0" borderId="0" xfId="0" applyFont="1" applyAlignment="1">
      <alignment horizontal="right" wrapText="1"/>
    </xf>
    <xf numFmtId="3" fontId="6" fillId="6" borderId="8" xfId="0" applyNumberFormat="1" applyFont="1" applyFill="1" applyBorder="1" applyAlignment="1">
      <alignment vertical="center"/>
    </xf>
    <xf numFmtId="0" fontId="17" fillId="3" borderId="26" xfId="0" applyFont="1" applyFill="1" applyBorder="1" applyAlignment="1">
      <alignment wrapText="1"/>
    </xf>
    <xf numFmtId="0" fontId="17" fillId="3" borderId="27" xfId="0" applyFont="1" applyFill="1" applyBorder="1" applyAlignment="1">
      <alignment wrapText="1"/>
    </xf>
    <xf numFmtId="0" fontId="17" fillId="3" borderId="19" xfId="0" applyFont="1" applyFill="1" applyBorder="1" applyAlignment="1">
      <alignment wrapText="1"/>
    </xf>
    <xf numFmtId="0" fontId="17" fillId="3" borderId="26" xfId="0" applyFont="1" applyFill="1" applyBorder="1" applyAlignment="1">
      <alignment horizontal="left" wrapText="1"/>
    </xf>
    <xf numFmtId="0" fontId="17" fillId="3" borderId="27" xfId="0" applyFont="1" applyFill="1" applyBorder="1" applyAlignment="1">
      <alignment horizontal="left" wrapText="1"/>
    </xf>
    <xf numFmtId="0" fontId="17" fillId="3" borderId="19" xfId="0" applyFont="1" applyFill="1" applyBorder="1" applyAlignment="1">
      <alignment horizontal="left" wrapText="1"/>
    </xf>
    <xf numFmtId="0" fontId="17" fillId="4" borderId="26" xfId="0" applyFont="1" applyFill="1" applyBorder="1" applyAlignment="1">
      <alignment wrapText="1"/>
    </xf>
    <xf numFmtId="0" fontId="17" fillId="4" borderId="27" xfId="0" applyFont="1" applyFill="1" applyBorder="1" applyAlignment="1">
      <alignment wrapText="1"/>
    </xf>
    <xf numFmtId="0" fontId="17" fillId="4" borderId="19" xfId="0" applyFont="1" applyFill="1" applyBorder="1" applyAlignment="1">
      <alignment wrapText="1"/>
    </xf>
    <xf numFmtId="0" fontId="6" fillId="4" borderId="8" xfId="0" applyFont="1" applyFill="1" applyBorder="1" applyAlignment="1">
      <alignment vertical="center"/>
    </xf>
    <xf numFmtId="3" fontId="5" fillId="4" borderId="19" xfId="1" applyNumberFormat="1" applyFont="1" applyFill="1" applyBorder="1" applyAlignment="1">
      <alignment vertical="center"/>
    </xf>
    <xf numFmtId="3" fontId="6" fillId="4" borderId="8" xfId="0" applyNumberFormat="1" applyFont="1" applyFill="1" applyBorder="1" applyAlignment="1">
      <alignment vertical="center"/>
    </xf>
    <xf numFmtId="3" fontId="5" fillId="4" borderId="14" xfId="0" applyNumberFormat="1" applyFont="1" applyFill="1" applyBorder="1" applyAlignment="1">
      <alignment vertical="center"/>
    </xf>
    <xf numFmtId="49" fontId="5" fillId="3" borderId="14" xfId="0" applyNumberFormat="1" applyFont="1" applyFill="1" applyBorder="1" applyAlignment="1">
      <alignment vertical="center"/>
    </xf>
    <xf numFmtId="0" fontId="4" fillId="0" borderId="4" xfId="0" applyFont="1" applyBorder="1" applyAlignment="1">
      <alignment horizontal="center" vertical="center"/>
    </xf>
    <xf numFmtId="0" fontId="36" fillId="0" borderId="4" xfId="0" applyFont="1" applyBorder="1" applyAlignment="1">
      <alignment horizontal="center" vertical="center"/>
    </xf>
    <xf numFmtId="14" fontId="37" fillId="3" borderId="14" xfId="0" applyNumberFormat="1" applyFont="1" applyFill="1" applyBorder="1" applyAlignment="1">
      <alignment vertical="center"/>
    </xf>
    <xf numFmtId="0" fontId="36" fillId="3" borderId="2" xfId="0" applyFont="1" applyFill="1" applyBorder="1" applyAlignment="1">
      <alignment horizontal="left" vertical="center" wrapText="1"/>
    </xf>
    <xf numFmtId="0" fontId="36" fillId="3" borderId="2" xfId="0" applyFont="1" applyFill="1" applyBorder="1" applyAlignment="1">
      <alignment horizontal="center" vertical="center" wrapText="1"/>
    </xf>
    <xf numFmtId="0" fontId="36" fillId="0" borderId="2" xfId="0" applyFont="1" applyBorder="1" applyAlignment="1">
      <alignment vertical="center" wrapText="1"/>
    </xf>
    <xf numFmtId="0" fontId="36" fillId="3" borderId="2" xfId="0" applyFont="1" applyFill="1" applyBorder="1" applyAlignment="1">
      <alignment vertical="center"/>
    </xf>
    <xf numFmtId="165" fontId="37" fillId="3" borderId="2" xfId="1" applyNumberFormat="1" applyFont="1" applyFill="1" applyBorder="1" applyAlignment="1">
      <alignment vertical="center"/>
    </xf>
    <xf numFmtId="3" fontId="37" fillId="3" borderId="0" xfId="0" applyNumberFormat="1" applyFont="1" applyFill="1"/>
    <xf numFmtId="3" fontId="37" fillId="0" borderId="2" xfId="0" applyNumberFormat="1" applyFont="1" applyBorder="1" applyAlignment="1">
      <alignment vertical="center"/>
    </xf>
    <xf numFmtId="3" fontId="38" fillId="3" borderId="2" xfId="0" applyNumberFormat="1" applyFont="1" applyFill="1" applyBorder="1" applyAlignment="1">
      <alignment vertical="center"/>
    </xf>
    <xf numFmtId="3" fontId="39" fillId="3" borderId="2" xfId="0" applyNumberFormat="1" applyFont="1" applyFill="1" applyBorder="1" applyAlignment="1">
      <alignment vertical="center"/>
    </xf>
    <xf numFmtId="3" fontId="37" fillId="3" borderId="2" xfId="0" applyNumberFormat="1" applyFont="1" applyFill="1" applyBorder="1" applyAlignment="1">
      <alignment vertical="center"/>
    </xf>
    <xf numFmtId="3" fontId="37" fillId="0" borderId="14" xfId="0" applyNumberFormat="1" applyFont="1" applyBorder="1" applyAlignment="1">
      <alignment vertical="center"/>
    </xf>
    <xf numFmtId="0" fontId="37" fillId="3" borderId="2" xfId="0" applyFont="1" applyFill="1" applyBorder="1" applyAlignment="1">
      <alignment horizontal="center" vertical="center" wrapText="1"/>
    </xf>
    <xf numFmtId="3" fontId="37" fillId="3" borderId="2" xfId="0" applyNumberFormat="1" applyFont="1" applyFill="1" applyBorder="1"/>
    <xf numFmtId="14" fontId="37" fillId="0" borderId="14" xfId="0" applyNumberFormat="1" applyFont="1" applyBorder="1" applyAlignment="1">
      <alignment vertical="center"/>
    </xf>
    <xf numFmtId="0" fontId="36" fillId="0" borderId="2" xfId="0" applyFont="1" applyBorder="1" applyAlignment="1">
      <alignment horizontal="left" vertical="center" wrapText="1"/>
    </xf>
    <xf numFmtId="0" fontId="36" fillId="0" borderId="2" xfId="0" applyFont="1" applyBorder="1" applyAlignment="1">
      <alignment horizontal="center" vertical="center" wrapText="1"/>
    </xf>
    <xf numFmtId="0" fontId="36" fillId="0" borderId="2" xfId="0" applyFont="1" applyBorder="1" applyAlignment="1">
      <alignment vertical="center"/>
    </xf>
    <xf numFmtId="165" fontId="37" fillId="0" borderId="2" xfId="1" applyNumberFormat="1" applyFont="1" applyFill="1" applyBorder="1" applyAlignment="1">
      <alignment vertical="center"/>
    </xf>
    <xf numFmtId="3" fontId="37" fillId="0" borderId="2" xfId="0" applyNumberFormat="1" applyFont="1" applyBorder="1"/>
    <xf numFmtId="3" fontId="38" fillId="0" borderId="2" xfId="0" applyNumberFormat="1" applyFont="1" applyBorder="1" applyAlignment="1">
      <alignment vertical="center"/>
    </xf>
    <xf numFmtId="3" fontId="39" fillId="0" borderId="2" xfId="0" applyNumberFormat="1" applyFont="1" applyBorder="1" applyAlignment="1">
      <alignment vertical="center"/>
    </xf>
    <xf numFmtId="0" fontId="36" fillId="3" borderId="2" xfId="0" applyFont="1" applyFill="1" applyBorder="1" applyAlignment="1">
      <alignment horizontal="center" wrapText="1"/>
    </xf>
    <xf numFmtId="0" fontId="36" fillId="0" borderId="4" xfId="0" applyFont="1" applyBorder="1" applyAlignment="1">
      <alignment vertical="center"/>
    </xf>
    <xf numFmtId="49" fontId="37" fillId="3" borderId="14" xfId="0" applyNumberFormat="1" applyFont="1" applyFill="1" applyBorder="1" applyAlignment="1">
      <alignment vertical="center"/>
    </xf>
    <xf numFmtId="0" fontId="36" fillId="3" borderId="2" xfId="0" applyFont="1" applyFill="1" applyBorder="1" applyAlignment="1">
      <alignment wrapText="1"/>
    </xf>
    <xf numFmtId="3" fontId="37" fillId="3" borderId="2" xfId="0" applyNumberFormat="1" applyFont="1" applyFill="1" applyBorder="1" applyAlignment="1">
      <alignment horizontal="right" wrapText="1"/>
    </xf>
    <xf numFmtId="3" fontId="37" fillId="0" borderId="17" xfId="0" applyNumberFormat="1" applyFont="1" applyBorder="1" applyAlignment="1">
      <alignment vertical="center"/>
    </xf>
    <xf numFmtId="166" fontId="40" fillId="0" borderId="0" xfId="0" applyNumberFormat="1" applyFont="1"/>
    <xf numFmtId="0" fontId="39" fillId="3" borderId="8" xfId="0" applyFont="1" applyFill="1" applyBorder="1" applyAlignment="1">
      <alignment vertical="center"/>
    </xf>
    <xf numFmtId="3" fontId="37" fillId="0" borderId="8" xfId="0" applyNumberFormat="1" applyFont="1" applyBorder="1" applyAlignment="1">
      <alignment vertical="center"/>
    </xf>
    <xf numFmtId="165" fontId="37" fillId="0" borderId="2" xfId="1" applyNumberFormat="1" applyFont="1" applyBorder="1" applyAlignment="1">
      <alignment vertical="center"/>
    </xf>
    <xf numFmtId="3" fontId="37" fillId="0" borderId="19" xfId="1" applyNumberFormat="1" applyFont="1" applyBorder="1" applyAlignment="1">
      <alignment vertical="center"/>
    </xf>
    <xf numFmtId="3" fontId="37" fillId="3" borderId="8" xfId="0" applyNumberFormat="1" applyFont="1" applyFill="1" applyBorder="1" applyAlignment="1">
      <alignment vertical="center"/>
    </xf>
    <xf numFmtId="3" fontId="37" fillId="0" borderId="4" xfId="0" applyNumberFormat="1" applyFont="1" applyBorder="1" applyAlignment="1">
      <alignment vertical="center"/>
    </xf>
    <xf numFmtId="0" fontId="36" fillId="0" borderId="13" xfId="0" applyFont="1" applyBorder="1" applyAlignment="1">
      <alignment vertical="center"/>
    </xf>
    <xf numFmtId="3" fontId="38" fillId="3" borderId="8" xfId="0" applyNumberFormat="1" applyFont="1" applyFill="1" applyBorder="1" applyAlignment="1">
      <alignment vertical="center"/>
    </xf>
    <xf numFmtId="3" fontId="39" fillId="0" borderId="8" xfId="0" applyNumberFormat="1" applyFont="1" applyBorder="1" applyAlignment="1">
      <alignment vertical="center"/>
    </xf>
    <xf numFmtId="3" fontId="37" fillId="0" borderId="13" xfId="0" applyNumberFormat="1" applyFont="1" applyBorder="1" applyAlignment="1">
      <alignment vertical="center"/>
    </xf>
    <xf numFmtId="3" fontId="39" fillId="3" borderId="8" xfId="0" applyNumberFormat="1" applyFont="1" applyFill="1" applyBorder="1" applyAlignment="1">
      <alignment vertical="center"/>
    </xf>
    <xf numFmtId="166" fontId="36" fillId="0" borderId="8" xfId="0" applyNumberFormat="1" applyFont="1" applyBorder="1" applyAlignment="1">
      <alignment vertical="center"/>
    </xf>
    <xf numFmtId="0" fontId="36" fillId="3" borderId="8" xfId="0" applyFont="1" applyFill="1" applyBorder="1" applyAlignment="1">
      <alignment vertical="center"/>
    </xf>
    <xf numFmtId="3" fontId="41" fillId="3" borderId="8" xfId="0" applyNumberFormat="1" applyFont="1" applyFill="1" applyBorder="1" applyAlignment="1">
      <alignment vertical="center"/>
    </xf>
    <xf numFmtId="3" fontId="41" fillId="0" borderId="8" xfId="0" applyNumberFormat="1" applyFont="1" applyBorder="1" applyAlignment="1">
      <alignment vertical="center"/>
    </xf>
    <xf numFmtId="165" fontId="43" fillId="0" borderId="3" xfId="1" applyNumberFormat="1" applyFont="1" applyFill="1" applyBorder="1" applyAlignment="1">
      <alignment vertical="center"/>
    </xf>
    <xf numFmtId="3" fontId="43" fillId="0" borderId="3" xfId="0" applyNumberFormat="1" applyFont="1" applyBorder="1" applyAlignment="1">
      <alignment vertical="center"/>
    </xf>
    <xf numFmtId="3" fontId="43" fillId="6" borderId="3" xfId="0" applyNumberFormat="1" applyFont="1" applyFill="1" applyBorder="1" applyAlignment="1">
      <alignment vertical="center"/>
    </xf>
    <xf numFmtId="165" fontId="37" fillId="4" borderId="2" xfId="1" applyNumberFormat="1" applyFont="1" applyFill="1" applyBorder="1" applyAlignment="1">
      <alignment vertical="center"/>
    </xf>
    <xf numFmtId="0" fontId="41" fillId="0" borderId="20" xfId="0" applyFont="1" applyBorder="1" applyAlignment="1">
      <alignment horizontal="left" wrapText="1"/>
    </xf>
    <xf numFmtId="0" fontId="41" fillId="0" borderId="21" xfId="0" applyFont="1" applyBorder="1" applyAlignment="1">
      <alignment horizontal="left" wrapText="1"/>
    </xf>
    <xf numFmtId="0" fontId="41" fillId="0" borderId="22" xfId="0" applyFont="1" applyBorder="1" applyAlignment="1">
      <alignment horizontal="left" wrapText="1"/>
    </xf>
    <xf numFmtId="0" fontId="39" fillId="0" borderId="8" xfId="0" applyFont="1" applyBorder="1" applyAlignment="1">
      <alignment vertical="center"/>
    </xf>
    <xf numFmtId="3" fontId="37" fillId="0" borderId="19" xfId="1" applyNumberFormat="1" applyFont="1" applyFill="1" applyBorder="1" applyAlignment="1">
      <alignment vertical="center"/>
    </xf>
    <xf numFmtId="3" fontId="38" fillId="0" borderId="8" xfId="0" applyNumberFormat="1" applyFont="1" applyBorder="1" applyAlignment="1">
      <alignment vertical="center"/>
    </xf>
    <xf numFmtId="0" fontId="41" fillId="4" borderId="20" xfId="0" applyFont="1" applyFill="1" applyBorder="1" applyAlignment="1">
      <alignment wrapText="1"/>
    </xf>
    <xf numFmtId="0" fontId="41" fillId="4" borderId="21" xfId="0" applyFont="1" applyFill="1" applyBorder="1" applyAlignment="1">
      <alignment wrapText="1"/>
    </xf>
    <xf numFmtId="0" fontId="41" fillId="4" borderId="22" xfId="0" applyFont="1" applyFill="1" applyBorder="1" applyAlignment="1">
      <alignment wrapText="1"/>
    </xf>
    <xf numFmtId="0" fontId="39" fillId="4" borderId="8" xfId="0" applyFont="1" applyFill="1" applyBorder="1" applyAlignment="1">
      <alignment vertical="center"/>
    </xf>
    <xf numFmtId="3" fontId="37" fillId="4" borderId="8" xfId="0" applyNumberFormat="1" applyFont="1" applyFill="1" applyBorder="1" applyAlignment="1">
      <alignment vertical="center"/>
    </xf>
    <xf numFmtId="3" fontId="37" fillId="4" borderId="19" xfId="1" applyNumberFormat="1" applyFont="1" applyFill="1" applyBorder="1" applyAlignment="1">
      <alignment vertical="center"/>
    </xf>
    <xf numFmtId="3" fontId="38" fillId="4" borderId="8" xfId="0" applyNumberFormat="1" applyFont="1" applyFill="1" applyBorder="1" applyAlignment="1">
      <alignment vertical="center"/>
    </xf>
    <xf numFmtId="3" fontId="39" fillId="4" borderId="8" xfId="0" applyNumberFormat="1" applyFont="1" applyFill="1" applyBorder="1" applyAlignment="1">
      <alignment vertical="center"/>
    </xf>
    <xf numFmtId="3" fontId="37" fillId="4" borderId="14" xfId="0" applyNumberFormat="1" applyFont="1" applyFill="1" applyBorder="1" applyAlignment="1">
      <alignment vertical="center"/>
    </xf>
    <xf numFmtId="3" fontId="37" fillId="6" borderId="2" xfId="0" applyNumberFormat="1" applyFont="1" applyFill="1" applyBorder="1" applyAlignment="1">
      <alignment vertical="center"/>
    </xf>
    <xf numFmtId="0" fontId="37" fillId="0" borderId="2" xfId="0" applyFont="1" applyBorder="1" applyAlignment="1">
      <alignment horizontal="center" vertical="center" wrapText="1"/>
    </xf>
    <xf numFmtId="0" fontId="36" fillId="0" borderId="2" xfId="0" applyFont="1" applyBorder="1" applyAlignment="1">
      <alignment wrapText="1"/>
    </xf>
    <xf numFmtId="0" fontId="36" fillId="0" borderId="2" xfId="0" applyFont="1" applyBorder="1" applyAlignment="1">
      <alignment horizontal="center" wrapText="1"/>
    </xf>
    <xf numFmtId="3" fontId="37" fillId="0" borderId="0" xfId="0" applyNumberFormat="1" applyFont="1"/>
    <xf numFmtId="3" fontId="37" fillId="0" borderId="2" xfId="0" applyNumberFormat="1" applyFont="1" applyBorder="1" applyAlignment="1">
      <alignment horizontal="right" wrapText="1"/>
    </xf>
    <xf numFmtId="0" fontId="41" fillId="0" borderId="20" xfId="0" applyFont="1" applyBorder="1" applyAlignment="1">
      <alignment horizontal="left" vertical="center"/>
    </xf>
    <xf numFmtId="0" fontId="41" fillId="0" borderId="21" xfId="0" applyFont="1" applyBorder="1" applyAlignment="1">
      <alignment horizontal="left" vertical="center"/>
    </xf>
    <xf numFmtId="0" fontId="41" fillId="0" borderId="22" xfId="0" applyFont="1" applyBorder="1" applyAlignment="1">
      <alignment horizontal="left" vertical="center"/>
    </xf>
    <xf numFmtId="0" fontId="41" fillId="0" borderId="26" xfId="0" applyFont="1" applyBorder="1" applyAlignment="1">
      <alignment horizontal="left" wrapText="1"/>
    </xf>
    <xf numFmtId="0" fontId="41" fillId="0" borderId="27" xfId="0" applyFont="1" applyBorder="1" applyAlignment="1">
      <alignment horizontal="left" wrapText="1"/>
    </xf>
    <xf numFmtId="0" fontId="41" fillId="0" borderId="19" xfId="0" applyFont="1" applyBorder="1" applyAlignment="1">
      <alignment horizontal="left" wrapText="1"/>
    </xf>
    <xf numFmtId="3" fontId="37" fillId="4" borderId="2" xfId="0" applyNumberFormat="1" applyFont="1" applyFill="1" applyBorder="1" applyAlignment="1">
      <alignment vertical="center"/>
    </xf>
    <xf numFmtId="165" fontId="43" fillId="4" borderId="3" xfId="1" applyNumberFormat="1" applyFont="1" applyFill="1" applyBorder="1" applyAlignment="1">
      <alignment vertical="center"/>
    </xf>
    <xf numFmtId="0" fontId="41" fillId="0" borderId="26" xfId="0" applyFont="1" applyBorder="1" applyAlignment="1">
      <alignment horizontal="left" vertical="center" wrapText="1"/>
    </xf>
    <xf numFmtId="0" fontId="41" fillId="0" borderId="27" xfId="0" applyFont="1" applyBorder="1" applyAlignment="1">
      <alignment horizontal="left" vertical="center" wrapText="1"/>
    </xf>
    <xf numFmtId="0" fontId="41" fillId="0" borderId="19" xfId="0" applyFont="1" applyBorder="1" applyAlignment="1">
      <alignment horizontal="left" vertical="center" wrapText="1"/>
    </xf>
    <xf numFmtId="0" fontId="41" fillId="0" borderId="20" xfId="0" applyFont="1" applyBorder="1" applyAlignment="1">
      <alignment horizontal="left" vertical="center" wrapText="1"/>
    </xf>
    <xf numFmtId="0" fontId="41" fillId="0" borderId="21" xfId="0" applyFont="1" applyBorder="1" applyAlignment="1">
      <alignment horizontal="left" vertical="center" wrapText="1"/>
    </xf>
    <xf numFmtId="0" fontId="41" fillId="0" borderId="22" xfId="0" applyFont="1" applyBorder="1" applyAlignment="1">
      <alignment horizontal="left" vertical="center" wrapText="1"/>
    </xf>
    <xf numFmtId="165" fontId="43" fillId="6" borderId="3" xfId="1" applyNumberFormat="1" applyFont="1" applyFill="1" applyBorder="1" applyAlignment="1">
      <alignment vertical="center"/>
    </xf>
    <xf numFmtId="3" fontId="39" fillId="6" borderId="2" xfId="0" applyNumberFormat="1" applyFont="1" applyFill="1" applyBorder="1" applyAlignment="1">
      <alignment vertical="center"/>
    </xf>
    <xf numFmtId="3" fontId="37" fillId="6" borderId="8" xfId="0" applyNumberFormat="1" applyFont="1" applyFill="1" applyBorder="1" applyAlignment="1">
      <alignment vertical="center"/>
    </xf>
    <xf numFmtId="3" fontId="39" fillId="6" borderId="8" xfId="0" applyNumberFormat="1" applyFont="1" applyFill="1" applyBorder="1" applyAlignment="1">
      <alignment vertical="center"/>
    </xf>
    <xf numFmtId="3" fontId="39" fillId="4" borderId="2" xfId="0" applyNumberFormat="1" applyFont="1" applyFill="1" applyBorder="1" applyAlignment="1">
      <alignment vertical="center"/>
    </xf>
    <xf numFmtId="3" fontId="41" fillId="6" borderId="8" xfId="0" applyNumberFormat="1" applyFont="1" applyFill="1" applyBorder="1" applyAlignment="1">
      <alignment vertical="center"/>
    </xf>
    <xf numFmtId="3" fontId="41" fillId="4" borderId="8" xfId="0" applyNumberFormat="1" applyFont="1" applyFill="1" applyBorder="1" applyAlignment="1">
      <alignment vertical="center"/>
    </xf>
    <xf numFmtId="165" fontId="37" fillId="0" borderId="8" xfId="1" applyNumberFormat="1" applyFont="1" applyFill="1" applyBorder="1" applyAlignment="1">
      <alignment vertical="center"/>
    </xf>
    <xf numFmtId="165" fontId="37" fillId="0" borderId="4" xfId="1" applyNumberFormat="1" applyFont="1" applyFill="1" applyBorder="1" applyAlignment="1">
      <alignment vertical="center"/>
    </xf>
    <xf numFmtId="0" fontId="33" fillId="0" borderId="0" xfId="0" applyFont="1" applyAlignment="1">
      <alignment vertical="center"/>
    </xf>
    <xf numFmtId="0" fontId="33" fillId="0" borderId="2" xfId="0" applyFont="1" applyBorder="1"/>
    <xf numFmtId="165" fontId="0" fillId="0" borderId="0" xfId="0" applyNumberFormat="1"/>
    <xf numFmtId="0" fontId="41" fillId="4" borderId="20" xfId="0" applyFont="1" applyFill="1" applyBorder="1" applyAlignment="1">
      <alignment horizontal="left" vertical="center" wrapText="1"/>
    </xf>
    <xf numFmtId="0" fontId="41" fillId="4" borderId="21" xfId="0" applyFont="1" applyFill="1" applyBorder="1" applyAlignment="1">
      <alignment horizontal="left" vertical="center" wrapText="1"/>
    </xf>
    <xf numFmtId="0" fontId="41" fillId="4" borderId="22" xfId="0" applyFont="1" applyFill="1" applyBorder="1" applyAlignment="1">
      <alignment horizontal="left" vertical="center" wrapText="1"/>
    </xf>
    <xf numFmtId="0" fontId="3" fillId="0" borderId="6" xfId="0" applyFont="1" applyBorder="1" applyAlignment="1">
      <alignment horizontal="center" vertical="center"/>
    </xf>
    <xf numFmtId="166" fontId="3" fillId="0" borderId="6" xfId="0" applyNumberFormat="1" applyFont="1" applyBorder="1" applyAlignment="1">
      <alignment horizontal="center" vertical="center"/>
    </xf>
    <xf numFmtId="0" fontId="3" fillId="0" borderId="6" xfId="0" applyFont="1" applyBorder="1" applyAlignment="1">
      <alignment horizontal="center" vertical="center" wrapText="1"/>
    </xf>
    <xf numFmtId="3" fontId="30" fillId="0" borderId="6" xfId="0" applyNumberFormat="1" applyFont="1" applyBorder="1" applyAlignment="1">
      <alignment horizontal="center" vertical="center" wrapText="1"/>
    </xf>
    <xf numFmtId="0" fontId="3" fillId="0" borderId="7" xfId="0" applyFont="1" applyBorder="1" applyAlignment="1">
      <alignment horizontal="center" vertical="center"/>
    </xf>
    <xf numFmtId="166" fontId="3" fillId="0" borderId="7" xfId="0" applyNumberFormat="1" applyFont="1" applyBorder="1" applyAlignment="1">
      <alignment horizontal="center" vertical="center"/>
    </xf>
    <xf numFmtId="0" fontId="3" fillId="0" borderId="7" xfId="0" applyFont="1" applyBorder="1" applyAlignment="1">
      <alignment horizontal="center" vertical="center" wrapText="1"/>
    </xf>
    <xf numFmtId="0" fontId="30" fillId="0" borderId="3" xfId="0" applyFont="1" applyBorder="1" applyAlignment="1">
      <alignment horizontal="center" vertical="center"/>
    </xf>
    <xf numFmtId="3" fontId="30" fillId="0" borderId="3" xfId="0" applyNumberFormat="1" applyFont="1" applyBorder="1" applyAlignment="1">
      <alignment horizontal="center" vertical="center"/>
    </xf>
    <xf numFmtId="3" fontId="35" fillId="0" borderId="3" xfId="0" applyNumberFormat="1" applyFont="1" applyBorder="1" applyAlignment="1">
      <alignment horizontal="center" vertical="center"/>
    </xf>
    <xf numFmtId="3" fontId="30" fillId="0" borderId="7" xfId="0" applyNumberFormat="1" applyFont="1" applyBorder="1" applyAlignment="1">
      <alignment horizontal="center" vertical="center" wrapText="1"/>
    </xf>
    <xf numFmtId="14" fontId="37" fillId="0" borderId="0" xfId="0" applyNumberFormat="1" applyFont="1" applyAlignment="1">
      <alignment vertical="center"/>
    </xf>
    <xf numFmtId="0" fontId="36" fillId="0" borderId="8" xfId="0" applyFont="1" applyBorder="1" applyAlignment="1">
      <alignment vertical="center"/>
    </xf>
    <xf numFmtId="3" fontId="37" fillId="0" borderId="8" xfId="0" applyNumberFormat="1" applyFont="1" applyBorder="1"/>
    <xf numFmtId="0" fontId="36" fillId="0" borderId="14" xfId="0" applyFont="1" applyBorder="1" applyAlignment="1">
      <alignment horizontal="left" vertical="center" wrapText="1"/>
    </xf>
    <xf numFmtId="0" fontId="36" fillId="0" borderId="16" xfId="0" applyFont="1" applyBorder="1" applyAlignment="1">
      <alignment horizontal="center" vertical="center" wrapText="1"/>
    </xf>
    <xf numFmtId="0" fontId="36" fillId="0" borderId="17" xfId="0" applyFont="1" applyBorder="1" applyAlignment="1">
      <alignment vertical="center" wrapText="1"/>
    </xf>
    <xf numFmtId="3" fontId="37" fillId="0" borderId="18" xfId="0" applyNumberFormat="1" applyFont="1" applyBorder="1"/>
    <xf numFmtId="3" fontId="38" fillId="0" borderId="4" xfId="0" applyNumberFormat="1" applyFont="1" applyBorder="1" applyAlignment="1">
      <alignment vertical="center"/>
    </xf>
    <xf numFmtId="3" fontId="39" fillId="0" borderId="4" xfId="0" applyNumberFormat="1" applyFont="1" applyBorder="1" applyAlignment="1">
      <alignment vertical="center"/>
    </xf>
    <xf numFmtId="3" fontId="37" fillId="0" borderId="13" xfId="0" applyNumberFormat="1" applyFont="1" applyBorder="1"/>
    <xf numFmtId="0" fontId="36" fillId="0" borderId="2" xfId="0" applyFont="1" applyBorder="1" applyAlignment="1">
      <alignment horizontal="center" vertical="center"/>
    </xf>
    <xf numFmtId="14" fontId="37" fillId="0" borderId="20" xfId="0" applyNumberFormat="1" applyFont="1" applyBorder="1" applyAlignment="1">
      <alignment vertical="center"/>
    </xf>
    <xf numFmtId="14" fontId="37" fillId="0" borderId="2" xfId="0" applyNumberFormat="1" applyFont="1" applyBorder="1" applyAlignment="1">
      <alignment vertical="center"/>
    </xf>
    <xf numFmtId="14" fontId="37" fillId="0" borderId="27" xfId="0" applyNumberFormat="1" applyFont="1" applyBorder="1" applyAlignment="1">
      <alignment vertical="center"/>
    </xf>
    <xf numFmtId="0" fontId="36" fillId="0" borderId="20" xfId="0" applyFont="1" applyBorder="1" applyAlignment="1">
      <alignment horizontal="left" vertical="center" wrapText="1"/>
    </xf>
    <xf numFmtId="0" fontId="36" fillId="0" borderId="21" xfId="0" applyFont="1" applyBorder="1" applyAlignment="1">
      <alignment horizontal="center" vertical="center" wrapText="1"/>
    </xf>
    <xf numFmtId="0" fontId="36" fillId="0" borderId="22" xfId="0" applyFont="1" applyBorder="1" applyAlignment="1">
      <alignment vertical="center" wrapText="1"/>
    </xf>
    <xf numFmtId="3" fontId="37" fillId="0" borderId="19" xfId="0" applyNumberFormat="1" applyFont="1" applyBorder="1"/>
    <xf numFmtId="3" fontId="37" fillId="0" borderId="20" xfId="0" applyNumberFormat="1" applyFont="1" applyBorder="1" applyAlignment="1">
      <alignment vertical="center"/>
    </xf>
    <xf numFmtId="3" fontId="37" fillId="0" borderId="22" xfId="0" applyNumberFormat="1" applyFont="1" applyBorder="1" applyAlignment="1">
      <alignment vertical="center"/>
    </xf>
    <xf numFmtId="3" fontId="37" fillId="9" borderId="2" xfId="0" applyNumberFormat="1" applyFont="1" applyFill="1" applyBorder="1" applyAlignment="1">
      <alignment vertical="center"/>
    </xf>
    <xf numFmtId="3" fontId="37" fillId="4" borderId="4" xfId="0" applyNumberFormat="1" applyFont="1" applyFill="1" applyBorder="1" applyAlignment="1">
      <alignment vertical="center"/>
    </xf>
    <xf numFmtId="14" fontId="37" fillId="0" borderId="4" xfId="0" applyNumberFormat="1" applyFont="1" applyBorder="1" applyAlignment="1">
      <alignment vertical="center"/>
    </xf>
    <xf numFmtId="0" fontId="36" fillId="4" borderId="2" xfId="0" applyFont="1" applyFill="1" applyBorder="1" applyAlignment="1">
      <alignment horizontal="center" vertical="center" wrapText="1"/>
    </xf>
    <xf numFmtId="0" fontId="36" fillId="4" borderId="2" xfId="0" applyFont="1" applyFill="1" applyBorder="1" applyAlignment="1">
      <alignment vertical="center" wrapText="1"/>
    </xf>
    <xf numFmtId="0" fontId="36" fillId="4" borderId="2" xfId="0" applyFont="1" applyFill="1" applyBorder="1" applyAlignment="1">
      <alignment vertical="center"/>
    </xf>
    <xf numFmtId="3" fontId="37" fillId="4" borderId="2" xfId="0" applyNumberFormat="1" applyFont="1" applyFill="1" applyBorder="1"/>
    <xf numFmtId="14" fontId="37" fillId="0" borderId="13" xfId="0" applyNumberFormat="1" applyFont="1" applyBorder="1" applyAlignment="1">
      <alignment vertical="center"/>
    </xf>
    <xf numFmtId="166" fontId="40" fillId="0" borderId="13" xfId="0" applyNumberFormat="1" applyFont="1" applyBorder="1"/>
    <xf numFmtId="3" fontId="37" fillId="0" borderId="8" xfId="1" applyNumberFormat="1" applyFont="1" applyFill="1" applyBorder="1" applyAlignment="1">
      <alignment vertical="center"/>
    </xf>
    <xf numFmtId="3" fontId="37" fillId="7" borderId="2" xfId="0" applyNumberFormat="1" applyFont="1" applyFill="1" applyBorder="1" applyAlignment="1">
      <alignment vertical="center"/>
    </xf>
    <xf numFmtId="3" fontId="16" fillId="4" borderId="0" xfId="0" applyNumberFormat="1" applyFont="1" applyFill="1"/>
    <xf numFmtId="3" fontId="43" fillId="4" borderId="3" xfId="0" applyNumberFormat="1" applyFont="1" applyFill="1" applyBorder="1" applyAlignment="1">
      <alignment vertical="center"/>
    </xf>
    <xf numFmtId="0" fontId="41" fillId="4" borderId="26" xfId="0" applyFont="1" applyFill="1" applyBorder="1" applyAlignment="1">
      <alignment horizontal="left" vertical="center" wrapText="1"/>
    </xf>
    <xf numFmtId="3" fontId="37" fillId="0" borderId="19" xfId="0" applyNumberFormat="1" applyFont="1" applyBorder="1" applyAlignment="1">
      <alignment vertical="center"/>
    </xf>
    <xf numFmtId="14" fontId="37" fillId="4" borderId="13" xfId="0" applyNumberFormat="1" applyFont="1" applyFill="1" applyBorder="1" applyAlignment="1">
      <alignment vertical="center"/>
    </xf>
    <xf numFmtId="0" fontId="36" fillId="4" borderId="2" xfId="0" applyFont="1" applyFill="1" applyBorder="1" applyAlignment="1">
      <alignment horizontal="left" vertical="center" wrapText="1"/>
    </xf>
    <xf numFmtId="0" fontId="36" fillId="4" borderId="8" xfId="0" applyFont="1" applyFill="1" applyBorder="1" applyAlignment="1">
      <alignment vertical="center"/>
    </xf>
    <xf numFmtId="3" fontId="37" fillId="4" borderId="19" xfId="0" applyNumberFormat="1" applyFont="1" applyFill="1" applyBorder="1" applyAlignment="1">
      <alignment vertical="center"/>
    </xf>
    <xf numFmtId="3" fontId="38" fillId="4" borderId="2" xfId="0" applyNumberFormat="1" applyFont="1" applyFill="1" applyBorder="1" applyAlignment="1">
      <alignment vertical="center"/>
    </xf>
    <xf numFmtId="0" fontId="36" fillId="0" borderId="8" xfId="0" applyFont="1" applyBorder="1" applyAlignment="1">
      <alignment vertical="center" wrapText="1"/>
    </xf>
    <xf numFmtId="0" fontId="36" fillId="0" borderId="13" xfId="0" applyFont="1" applyBorder="1" applyAlignment="1">
      <alignment vertical="center" wrapText="1"/>
    </xf>
    <xf numFmtId="0" fontId="36" fillId="0" borderId="4" xfId="0" applyFont="1" applyBorder="1" applyAlignment="1">
      <alignment vertical="center" wrapText="1"/>
    </xf>
    <xf numFmtId="0" fontId="36" fillId="4" borderId="13" xfId="0" applyFont="1" applyFill="1" applyBorder="1" applyAlignment="1">
      <alignment vertical="center" wrapText="1"/>
    </xf>
    <xf numFmtId="3" fontId="43" fillId="10" borderId="3" xfId="0" applyNumberFormat="1" applyFont="1" applyFill="1" applyBorder="1" applyAlignment="1">
      <alignment vertical="center"/>
    </xf>
    <xf numFmtId="3" fontId="5" fillId="4" borderId="0" xfId="0" applyNumberFormat="1" applyFont="1" applyFill="1"/>
    <xf numFmtId="0" fontId="41" fillId="4" borderId="27" xfId="0" applyFont="1" applyFill="1" applyBorder="1" applyAlignment="1">
      <alignment horizontal="left" vertical="center" wrapText="1"/>
    </xf>
    <xf numFmtId="0" fontId="41" fillId="4" borderId="19" xfId="0" applyFont="1" applyFill="1" applyBorder="1" applyAlignment="1">
      <alignment horizontal="left" vertical="center" wrapText="1"/>
    </xf>
    <xf numFmtId="14" fontId="37" fillId="4" borderId="4" xfId="0" applyNumberFormat="1" applyFont="1" applyFill="1" applyBorder="1" applyAlignment="1">
      <alignment vertical="center"/>
    </xf>
    <xf numFmtId="3" fontId="37" fillId="0" borderId="5" xfId="0" applyNumberFormat="1" applyFont="1" applyBorder="1" applyAlignment="1">
      <alignment vertical="center"/>
    </xf>
    <xf numFmtId="0" fontId="37" fillId="0" borderId="0" xfId="0" applyFont="1"/>
    <xf numFmtId="0" fontId="36" fillId="0" borderId="13" xfId="0" applyFont="1" applyBorder="1" applyAlignment="1">
      <alignment horizontal="center" vertical="center"/>
    </xf>
    <xf numFmtId="0" fontId="36" fillId="0" borderId="8" xfId="0" applyFont="1" applyBorder="1" applyAlignment="1">
      <alignment horizontal="left" vertical="center" wrapText="1"/>
    </xf>
    <xf numFmtId="166" fontId="36" fillId="0" borderId="13" xfId="0" applyNumberFormat="1" applyFont="1" applyBorder="1" applyAlignment="1">
      <alignment vertical="center"/>
    </xf>
    <xf numFmtId="3" fontId="37" fillId="0" borderId="18" xfId="1" applyNumberFormat="1" applyFont="1" applyFill="1" applyBorder="1" applyAlignment="1">
      <alignment vertical="center"/>
    </xf>
    <xf numFmtId="3" fontId="37" fillId="0" borderId="7" xfId="0" applyNumberFormat="1" applyFont="1" applyBorder="1" applyAlignment="1">
      <alignment vertical="center"/>
    </xf>
    <xf numFmtId="166" fontId="40" fillId="0" borderId="2" xfId="0" applyNumberFormat="1" applyFont="1" applyBorder="1"/>
    <xf numFmtId="0" fontId="39" fillId="0" borderId="2" xfId="0" applyFont="1" applyBorder="1" applyAlignment="1">
      <alignment vertical="center"/>
    </xf>
    <xf numFmtId="3" fontId="37" fillId="0" borderId="2" xfId="1" applyNumberFormat="1" applyFont="1" applyFill="1" applyBorder="1" applyAlignment="1">
      <alignment vertical="center"/>
    </xf>
    <xf numFmtId="3" fontId="5" fillId="0" borderId="2" xfId="0" applyNumberFormat="1" applyFont="1" applyBorder="1"/>
    <xf numFmtId="3" fontId="41" fillId="0" borderId="13" xfId="0" applyNumberFormat="1" applyFont="1" applyBorder="1" applyAlignment="1">
      <alignment vertical="center"/>
    </xf>
    <xf numFmtId="3" fontId="3" fillId="2" borderId="1" xfId="0" applyNumberFormat="1" applyFont="1" applyFill="1" applyBorder="1" applyAlignment="1">
      <alignment horizontal="center" vertical="center" wrapText="1"/>
    </xf>
    <xf numFmtId="3" fontId="3" fillId="2" borderId="5" xfId="0" applyNumberFormat="1" applyFont="1" applyFill="1" applyBorder="1" applyAlignment="1">
      <alignment horizontal="center" vertical="center" wrapText="1"/>
    </xf>
    <xf numFmtId="0" fontId="3" fillId="0" borderId="9" xfId="0" applyFont="1" applyBorder="1" applyAlignment="1">
      <alignment horizontal="center"/>
    </xf>
    <xf numFmtId="0" fontId="3" fillId="0" borderId="10" xfId="0" applyFont="1" applyBorder="1" applyAlignment="1">
      <alignment horizontal="center"/>
    </xf>
    <xf numFmtId="0" fontId="3" fillId="0" borderId="1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xf>
    <xf numFmtId="0" fontId="3" fillId="2" borderId="1" xfId="0" applyFont="1" applyFill="1" applyBorder="1" applyAlignment="1">
      <alignment horizontal="center" vertical="center"/>
    </xf>
    <xf numFmtId="0" fontId="3" fillId="2" borderId="5" xfId="0" applyFont="1" applyFill="1" applyBorder="1" applyAlignment="1">
      <alignment horizontal="center" vertical="center"/>
    </xf>
    <xf numFmtId="164" fontId="3" fillId="2" borderId="1" xfId="0" applyNumberFormat="1" applyFont="1" applyFill="1" applyBorder="1" applyAlignment="1">
      <alignment horizontal="center" vertical="center"/>
    </xf>
    <xf numFmtId="164" fontId="3" fillId="2" borderId="5" xfId="0" applyNumberFormat="1" applyFont="1" applyFill="1" applyBorder="1" applyAlignment="1">
      <alignment horizontal="center" vertical="center"/>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3" xfId="0" applyFont="1" applyFill="1" applyBorder="1" applyAlignment="1">
      <alignment horizontal="center" vertical="center"/>
    </xf>
    <xf numFmtId="0" fontId="15" fillId="0" borderId="0" xfId="0" applyFont="1" applyAlignment="1">
      <alignment horizontal="center"/>
    </xf>
    <xf numFmtId="166" fontId="3" fillId="2" borderId="1" xfId="0" applyNumberFormat="1" applyFont="1" applyFill="1" applyBorder="1" applyAlignment="1">
      <alignment horizontal="center" vertical="center"/>
    </xf>
    <xf numFmtId="166" fontId="3" fillId="2" borderId="5" xfId="0" applyNumberFormat="1" applyFont="1" applyFill="1" applyBorder="1" applyAlignment="1">
      <alignment horizontal="center" vertical="center"/>
    </xf>
    <xf numFmtId="0" fontId="3" fillId="0" borderId="3" xfId="0" applyFont="1" applyBorder="1" applyAlignment="1">
      <alignment horizontal="center"/>
    </xf>
    <xf numFmtId="3" fontId="4" fillId="3" borderId="8" xfId="0" applyNumberFormat="1" applyFont="1" applyFill="1" applyBorder="1" applyAlignment="1">
      <alignment horizontal="right" vertical="center"/>
    </xf>
    <xf numFmtId="3" fontId="4" fillId="3" borderId="4" xfId="0" applyNumberFormat="1" applyFont="1" applyFill="1" applyBorder="1" applyAlignment="1">
      <alignment horizontal="right" vertical="center"/>
    </xf>
    <xf numFmtId="3" fontId="4" fillId="0" borderId="8" xfId="0" applyNumberFormat="1" applyFont="1" applyBorder="1" applyAlignment="1">
      <alignment horizontal="right" vertical="center"/>
    </xf>
    <xf numFmtId="3" fontId="4" fillId="0" borderId="4" xfId="0" applyNumberFormat="1" applyFont="1" applyBorder="1" applyAlignment="1">
      <alignment horizontal="right" vertical="center"/>
    </xf>
    <xf numFmtId="165" fontId="4" fillId="0" borderId="8" xfId="1" applyNumberFormat="1" applyFont="1" applyBorder="1" applyAlignment="1">
      <alignment horizontal="right" vertical="center"/>
    </xf>
    <xf numFmtId="165" fontId="4" fillId="0" borderId="4" xfId="1" applyNumberFormat="1" applyFont="1" applyBorder="1" applyAlignment="1">
      <alignment horizontal="right" vertical="center"/>
    </xf>
    <xf numFmtId="165" fontId="4" fillId="0" borderId="8" xfId="1" applyNumberFormat="1" applyFont="1" applyBorder="1" applyAlignment="1">
      <alignment horizontal="center" vertical="center"/>
    </xf>
    <xf numFmtId="165" fontId="4" fillId="0" borderId="4" xfId="1"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15" fillId="0" borderId="0" xfId="0" applyFont="1" applyAlignment="1">
      <alignment horizontal="center" vertical="center"/>
    </xf>
    <xf numFmtId="0" fontId="2" fillId="0" borderId="0" xfId="0" applyFont="1" applyAlignment="1">
      <alignment horizontal="center" vertical="center"/>
    </xf>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30" fillId="2" borderId="9" xfId="0" applyFont="1" applyFill="1" applyBorder="1" applyAlignment="1">
      <alignment horizontal="center" vertical="center"/>
    </xf>
    <xf numFmtId="0" fontId="30" fillId="2" borderId="10" xfId="0" applyFont="1" applyFill="1" applyBorder="1" applyAlignment="1">
      <alignment horizontal="center" vertical="center"/>
    </xf>
    <xf numFmtId="0" fontId="30" fillId="2" borderId="11" xfId="0" applyFont="1" applyFill="1" applyBorder="1" applyAlignment="1">
      <alignment horizontal="center" vertical="center"/>
    </xf>
    <xf numFmtId="0" fontId="11" fillId="3" borderId="20" xfId="0" applyFont="1" applyFill="1" applyBorder="1" applyAlignment="1">
      <alignment wrapText="1"/>
    </xf>
    <xf numFmtId="0" fontId="11" fillId="3" borderId="21" xfId="0" applyFont="1" applyFill="1" applyBorder="1" applyAlignment="1">
      <alignment wrapText="1"/>
    </xf>
    <xf numFmtId="0" fontId="11" fillId="3" borderId="22" xfId="0" applyFont="1" applyFill="1" applyBorder="1" applyAlignment="1">
      <alignment wrapText="1"/>
    </xf>
    <xf numFmtId="0" fontId="11" fillId="3" borderId="20" xfId="0" applyFont="1" applyFill="1" applyBorder="1" applyAlignment="1">
      <alignment horizontal="left" wrapText="1"/>
    </xf>
    <xf numFmtId="0" fontId="11" fillId="3" borderId="21" xfId="0" applyFont="1" applyFill="1" applyBorder="1" applyAlignment="1">
      <alignment horizontal="left" wrapText="1"/>
    </xf>
    <xf numFmtId="0" fontId="11" fillId="3" borderId="22" xfId="0" applyFont="1" applyFill="1" applyBorder="1" applyAlignment="1">
      <alignment horizontal="left" wrapText="1"/>
    </xf>
    <xf numFmtId="0" fontId="17" fillId="3" borderId="20" xfId="0" applyFont="1" applyFill="1" applyBorder="1" applyAlignment="1">
      <alignment wrapText="1"/>
    </xf>
    <xf numFmtId="0" fontId="17" fillId="3" borderId="21" xfId="0" applyFont="1" applyFill="1" applyBorder="1" applyAlignment="1">
      <alignment wrapText="1"/>
    </xf>
    <xf numFmtId="0" fontId="17" fillId="3" borderId="22" xfId="0" applyFont="1" applyFill="1" applyBorder="1" applyAlignment="1">
      <alignment wrapText="1"/>
    </xf>
    <xf numFmtId="0" fontId="11" fillId="0" borderId="23" xfId="0" applyFont="1" applyBorder="1" applyAlignment="1">
      <alignment vertical="center" wrapText="1"/>
    </xf>
    <xf numFmtId="0" fontId="11" fillId="0" borderId="24" xfId="0" applyFont="1" applyBorder="1" applyAlignment="1">
      <alignment vertical="center" wrapText="1"/>
    </xf>
    <xf numFmtId="0" fontId="11" fillId="0" borderId="25" xfId="0" applyFont="1" applyBorder="1" applyAlignment="1">
      <alignment vertical="center" wrapText="1"/>
    </xf>
    <xf numFmtId="0" fontId="17" fillId="3" borderId="20" xfId="0" applyFont="1" applyFill="1" applyBorder="1" applyAlignment="1">
      <alignment horizontal="left" wrapText="1"/>
    </xf>
    <xf numFmtId="0" fontId="17" fillId="3" borderId="21" xfId="0" applyFont="1" applyFill="1" applyBorder="1" applyAlignment="1">
      <alignment horizontal="left" wrapText="1"/>
    </xf>
    <xf numFmtId="0" fontId="17" fillId="3" borderId="22" xfId="0" applyFont="1" applyFill="1" applyBorder="1" applyAlignment="1">
      <alignment horizontal="left" wrapText="1"/>
    </xf>
    <xf numFmtId="0" fontId="17" fillId="4" borderId="20" xfId="0" applyFont="1" applyFill="1" applyBorder="1" applyAlignment="1">
      <alignment horizontal="left" wrapText="1"/>
    </xf>
    <xf numFmtId="0" fontId="17" fillId="4" borderId="21" xfId="0" applyFont="1" applyFill="1" applyBorder="1" applyAlignment="1">
      <alignment horizontal="left" wrapText="1"/>
    </xf>
    <xf numFmtId="0" fontId="17" fillId="4" borderId="22" xfId="0" applyFont="1" applyFill="1" applyBorder="1" applyAlignment="1">
      <alignment horizontal="left" wrapText="1"/>
    </xf>
    <xf numFmtId="0" fontId="42" fillId="0" borderId="9" xfId="0" applyFont="1" applyBorder="1" applyAlignment="1">
      <alignment horizontal="center" vertical="center"/>
    </xf>
    <xf numFmtId="0" fontId="42" fillId="0" borderId="10" xfId="0" applyFont="1" applyBorder="1" applyAlignment="1">
      <alignment horizontal="center" vertical="center"/>
    </xf>
    <xf numFmtId="0" fontId="42" fillId="0" borderId="11" xfId="0" applyFont="1" applyBorder="1" applyAlignment="1">
      <alignment horizontal="center" vertical="center"/>
    </xf>
    <xf numFmtId="0" fontId="41" fillId="0" borderId="23" xfId="0" applyFont="1" applyBorder="1" applyAlignment="1">
      <alignment vertical="center" wrapText="1"/>
    </xf>
    <xf numFmtId="0" fontId="41" fillId="0" borderId="24" xfId="0" applyFont="1" applyBorder="1" applyAlignment="1">
      <alignment vertical="center" wrapText="1"/>
    </xf>
    <xf numFmtId="0" fontId="41" fillId="0" borderId="25" xfId="0" applyFont="1" applyBorder="1" applyAlignment="1">
      <alignment vertical="center" wrapText="1"/>
    </xf>
    <xf numFmtId="0" fontId="41" fillId="3" borderId="20" xfId="0" applyFont="1" applyFill="1" applyBorder="1" applyAlignment="1">
      <alignment horizontal="left" wrapText="1"/>
    </xf>
    <xf numFmtId="0" fontId="41" fillId="3" borderId="21" xfId="0" applyFont="1" applyFill="1" applyBorder="1" applyAlignment="1">
      <alignment horizontal="left" wrapText="1"/>
    </xf>
    <xf numFmtId="0" fontId="41" fillId="3" borderId="22" xfId="0" applyFont="1" applyFill="1" applyBorder="1" applyAlignment="1">
      <alignment horizontal="left" wrapText="1"/>
    </xf>
    <xf numFmtId="0" fontId="41" fillId="3" borderId="20" xfId="0" applyFont="1" applyFill="1" applyBorder="1" applyAlignment="1">
      <alignment wrapText="1"/>
    </xf>
    <xf numFmtId="0" fontId="41" fillId="3" borderId="21" xfId="0" applyFont="1" applyFill="1" applyBorder="1" applyAlignment="1">
      <alignment wrapText="1"/>
    </xf>
    <xf numFmtId="0" fontId="41" fillId="3" borderId="22" xfId="0" applyFont="1" applyFill="1" applyBorder="1" applyAlignment="1">
      <alignment wrapText="1"/>
    </xf>
    <xf numFmtId="0" fontId="41" fillId="0" borderId="20" xfId="0" applyFont="1" applyBorder="1" applyAlignment="1">
      <alignment horizontal="left" wrapText="1"/>
    </xf>
    <xf numFmtId="0" fontId="41" fillId="0" borderId="21" xfId="0" applyFont="1" applyBorder="1" applyAlignment="1">
      <alignment horizontal="left" wrapText="1"/>
    </xf>
    <xf numFmtId="0" fontId="41" fillId="0" borderId="22" xfId="0" applyFont="1" applyBorder="1" applyAlignment="1">
      <alignment horizontal="left" wrapText="1"/>
    </xf>
    <xf numFmtId="0" fontId="41" fillId="0" borderId="20" xfId="0" applyFont="1" applyBorder="1" applyAlignment="1">
      <alignment wrapText="1"/>
    </xf>
    <xf numFmtId="0" fontId="41" fillId="0" borderId="21" xfId="0" applyFont="1" applyBorder="1" applyAlignment="1">
      <alignment wrapText="1"/>
    </xf>
    <xf numFmtId="0" fontId="41" fillId="0" borderId="22" xfId="0" applyFont="1" applyBorder="1" applyAlignment="1">
      <alignment wrapText="1"/>
    </xf>
    <xf numFmtId="0" fontId="41" fillId="0" borderId="20" xfId="0" applyFont="1" applyBorder="1" applyAlignment="1">
      <alignment horizontal="left" vertical="center" wrapText="1"/>
    </xf>
    <xf numFmtId="0" fontId="41" fillId="0" borderId="21" xfId="0" applyFont="1" applyBorder="1" applyAlignment="1">
      <alignment horizontal="left" vertical="center" wrapText="1"/>
    </xf>
    <xf numFmtId="0" fontId="41" fillId="0" borderId="22" xfId="0" applyFont="1" applyBorder="1" applyAlignment="1">
      <alignment horizontal="left" vertical="center" wrapText="1"/>
    </xf>
    <xf numFmtId="0" fontId="41" fillId="0" borderId="20" xfId="0" applyFont="1" applyBorder="1" applyAlignment="1">
      <alignment horizontal="left" vertical="center"/>
    </xf>
    <xf numFmtId="0" fontId="41" fillId="0" borderId="21" xfId="0" applyFont="1" applyBorder="1" applyAlignment="1">
      <alignment horizontal="left" vertical="center"/>
    </xf>
    <xf numFmtId="0" fontId="41" fillId="0" borderId="22" xfId="0" applyFont="1" applyBorder="1" applyAlignment="1">
      <alignment horizontal="left" vertical="center"/>
    </xf>
    <xf numFmtId="0" fontId="41" fillId="4" borderId="20" xfId="0" applyFont="1" applyFill="1" applyBorder="1" applyAlignment="1">
      <alignment horizontal="left" vertical="center" wrapText="1"/>
    </xf>
    <xf numFmtId="0" fontId="41" fillId="4" borderId="21" xfId="0" applyFont="1" applyFill="1" applyBorder="1" applyAlignment="1">
      <alignment horizontal="left" vertical="center" wrapText="1"/>
    </xf>
    <xf numFmtId="0" fontId="41" fillId="4" borderId="22" xfId="0" applyFont="1" applyFill="1" applyBorder="1" applyAlignment="1">
      <alignment horizontal="left" vertical="center" wrapText="1"/>
    </xf>
    <xf numFmtId="0" fontId="41" fillId="0" borderId="20" xfId="0" applyFont="1" applyBorder="1" applyAlignment="1">
      <alignment vertical="center" wrapText="1"/>
    </xf>
    <xf numFmtId="0" fontId="41" fillId="0" borderId="21" xfId="0" applyFont="1" applyBorder="1" applyAlignment="1">
      <alignment vertical="center" wrapText="1"/>
    </xf>
    <xf numFmtId="0" fontId="41" fillId="0" borderId="22" xfId="0" applyFont="1" applyBorder="1" applyAlignment="1">
      <alignment vertical="center" wrapText="1"/>
    </xf>
    <xf numFmtId="0" fontId="30" fillId="0" borderId="9" xfId="0" applyFont="1" applyBorder="1" applyAlignment="1">
      <alignment horizontal="center" vertical="center"/>
    </xf>
    <xf numFmtId="0" fontId="30" fillId="0" borderId="10" xfId="0" applyFont="1" applyBorder="1" applyAlignment="1">
      <alignment horizontal="center" vertical="center"/>
    </xf>
    <xf numFmtId="0" fontId="30" fillId="0" borderId="11" xfId="0" applyFont="1" applyBorder="1" applyAlignment="1">
      <alignment horizontal="center" vertical="center"/>
    </xf>
    <xf numFmtId="0" fontId="41" fillId="0" borderId="2" xfId="0" applyFont="1" applyBorder="1" applyAlignment="1">
      <alignment horizontal="left" vertical="center" wrapText="1"/>
    </xf>
    <xf numFmtId="0" fontId="38" fillId="0" borderId="20" xfId="0" applyFont="1" applyBorder="1" applyAlignment="1">
      <alignment horizontal="left" vertical="center" wrapText="1"/>
    </xf>
    <xf numFmtId="0" fontId="38" fillId="0" borderId="21" xfId="0" applyFont="1" applyBorder="1" applyAlignment="1">
      <alignment horizontal="left" vertical="center" wrapText="1"/>
    </xf>
    <xf numFmtId="0" fontId="38" fillId="0" borderId="22" xfId="0" applyFont="1" applyBorder="1" applyAlignment="1">
      <alignment horizontal="left" vertical="center" wrapText="1"/>
    </xf>
    <xf numFmtId="0" fontId="38" fillId="0" borderId="20" xfId="0" applyFont="1" applyBorder="1" applyAlignment="1">
      <alignment horizontal="center" vertical="center" wrapText="1"/>
    </xf>
    <xf numFmtId="0" fontId="38" fillId="0" borderId="21" xfId="0" applyFont="1" applyBorder="1" applyAlignment="1">
      <alignment horizontal="center" vertical="center" wrapText="1"/>
    </xf>
    <xf numFmtId="0" fontId="38" fillId="0" borderId="22" xfId="0" applyFont="1" applyBorder="1" applyAlignment="1">
      <alignment horizontal="center" vertical="center" wrapText="1"/>
    </xf>
    <xf numFmtId="0" fontId="44" fillId="4" borderId="20" xfId="0" applyFont="1" applyFill="1" applyBorder="1" applyAlignment="1">
      <alignment horizontal="left" vertical="center" wrapText="1"/>
    </xf>
    <xf numFmtId="0" fontId="44" fillId="4" borderId="21" xfId="0" applyFont="1" applyFill="1" applyBorder="1" applyAlignment="1">
      <alignment horizontal="left" vertical="center" wrapText="1"/>
    </xf>
    <xf numFmtId="0" fontId="44" fillId="4" borderId="22" xfId="0" applyFont="1" applyFill="1" applyBorder="1" applyAlignment="1">
      <alignment horizontal="left" vertical="center" wrapText="1"/>
    </xf>
    <xf numFmtId="0" fontId="41" fillId="0" borderId="28" xfId="0" applyFont="1" applyBorder="1" applyAlignment="1">
      <alignment vertical="center" wrapText="1"/>
    </xf>
    <xf numFmtId="0" fontId="41" fillId="0" borderId="29" xfId="0" applyFont="1" applyBorder="1" applyAlignment="1">
      <alignment vertical="center" wrapText="1"/>
    </xf>
    <xf numFmtId="0" fontId="41" fillId="0" borderId="30" xfId="0" applyFont="1" applyBorder="1" applyAlignment="1">
      <alignment vertical="center" wrapText="1"/>
    </xf>
    <xf numFmtId="0" fontId="41" fillId="0" borderId="26" xfId="0" applyFont="1" applyBorder="1" applyAlignment="1">
      <alignment horizontal="left" vertical="center" wrapText="1"/>
    </xf>
    <xf numFmtId="0" fontId="41" fillId="0" borderId="27" xfId="0" applyFont="1" applyBorder="1" applyAlignment="1">
      <alignment horizontal="left" vertical="center" wrapText="1"/>
    </xf>
    <xf numFmtId="0" fontId="41" fillId="0" borderId="19" xfId="0" applyFont="1" applyBorder="1" applyAlignment="1">
      <alignment horizontal="left" vertical="center" wrapText="1"/>
    </xf>
    <xf numFmtId="166" fontId="40" fillId="0" borderId="4" xfId="0" applyNumberFormat="1" applyFont="1" applyBorder="1"/>
    <xf numFmtId="0" fontId="36" fillId="0" borderId="5" xfId="0" applyFont="1" applyBorder="1" applyAlignment="1">
      <alignment vertical="center"/>
    </xf>
    <xf numFmtId="166" fontId="36" fillId="0" borderId="5" xfId="0" applyNumberFormat="1" applyFont="1" applyBorder="1" applyAlignment="1">
      <alignment vertical="center"/>
    </xf>
    <xf numFmtId="0" fontId="41" fillId="0" borderId="5" xfId="0" applyFont="1" applyBorder="1" applyAlignment="1">
      <alignment vertical="center" wrapText="1"/>
    </xf>
    <xf numFmtId="165" fontId="37" fillId="0" borderId="5" xfId="1" applyNumberFormat="1" applyFont="1" applyFill="1" applyBorder="1" applyAlignment="1">
      <alignment vertical="center"/>
    </xf>
    <xf numFmtId="3" fontId="37" fillId="0" borderId="5" xfId="1" applyNumberFormat="1" applyFont="1" applyFill="1" applyBorder="1" applyAlignment="1">
      <alignment vertical="center"/>
    </xf>
    <xf numFmtId="3" fontId="41" fillId="0" borderId="5" xfId="0" applyNumberFormat="1" applyFont="1" applyBorder="1" applyAlignment="1">
      <alignment vertical="center"/>
    </xf>
    <xf numFmtId="0" fontId="41" fillId="0" borderId="20" xfId="0" applyFont="1" applyFill="1" applyBorder="1" applyAlignment="1">
      <alignment horizontal="left" vertical="center" wrapText="1"/>
    </xf>
    <xf numFmtId="0" fontId="41" fillId="0" borderId="21" xfId="0" applyFont="1" applyFill="1" applyBorder="1" applyAlignment="1">
      <alignment horizontal="left" vertical="center" wrapText="1"/>
    </xf>
    <xf numFmtId="0" fontId="41" fillId="0" borderId="22" xfId="0" applyFont="1" applyFill="1" applyBorder="1" applyAlignment="1">
      <alignment horizontal="left" vertical="center" wrapText="1"/>
    </xf>
    <xf numFmtId="0" fontId="41" fillId="0" borderId="2" xfId="0" applyFont="1" applyFill="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microsoft.com/office/2017/10/relationships/person" Target="persons/person.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externalLink" Target="externalLinks/externalLink3.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4.xml"/><Relationship Id="rId118" Type="http://schemas.openxmlformats.org/officeDocument/2006/relationships/calcChain" Target="calcChain.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externalLink" Target="externalLinks/externalLink1.xml"/><Relationship Id="rId115"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externalLink" Target="externalLinks/externalLink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Nghia\AppData\Local\Microsoft\Windows\Temporary%20Internet%20Files\Content.Outlook\8OTP2HFP\Xe%2015C-136%2031-2017%20(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Nghia\AppData\Local\Microsoft\Windows\Temporary%20Internet%20Files\Content.Outlook\8OTP2HFP\S&#7893;%20qu&#7929;%20NEPO%20T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THANH\THEO%20DOI%20DOANH%20THU%20CHI%20PHI%20TUNG%20XE\New%20folder\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THANH\BANG%20LUONG\BANG%20LUONG%20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2.2015"/>
      <sheetName val="T01.2016"/>
      <sheetName val="T02.2016"/>
      <sheetName val="03-2016"/>
      <sheetName val="04-2016"/>
      <sheetName val="05-2016"/>
      <sheetName val="06-2016"/>
      <sheetName val="07-2016"/>
      <sheetName val="08-2016"/>
      <sheetName val="09-2016"/>
      <sheetName val="10-2016"/>
      <sheetName val="11-2016"/>
      <sheetName val="12-2016"/>
      <sheetName val="01-2017"/>
      <sheetName val="02-2017"/>
      <sheetName val="03-2017"/>
      <sheetName val="04-2017"/>
      <sheetName val="05-2017"/>
      <sheetName val="06-2017"/>
      <sheetName val="07-2017"/>
      <sheetName val="08-201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46">
          <cell r="Q46">
            <v>92493599</v>
          </cell>
        </row>
      </sheetData>
      <sheetData sheetId="20">
        <row r="36">
          <cell r="Q36">
            <v>53815780.538461536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2015"/>
      <sheetName val="02-2015"/>
      <sheetName val="03-2015"/>
      <sheetName val="04-2015"/>
      <sheetName val="05-2015"/>
      <sheetName val="06-2015"/>
      <sheetName val="07-2015"/>
      <sheetName val="08-2015"/>
      <sheetName val="09-2015"/>
      <sheetName val="10-2015"/>
      <sheetName val="11-2015"/>
      <sheetName val="12-2015"/>
      <sheetName val="01.2016"/>
      <sheetName val="02.2016"/>
      <sheetName val="03.2016"/>
      <sheetName val="04-2016"/>
      <sheetName val="05.2016"/>
      <sheetName val="06.2016"/>
      <sheetName val="07.2016"/>
      <sheetName val="08.2016"/>
      <sheetName val="09.2016"/>
      <sheetName val="10.2016"/>
      <sheetName val="11.2016"/>
      <sheetName val="12.2016"/>
      <sheetName val="01.2017"/>
      <sheetName val="02.2017"/>
      <sheetName val="03.2017"/>
      <sheetName val="04.2017"/>
      <sheetName val="05.2017"/>
      <sheetName val="06.2017"/>
      <sheetName val="07.2017"/>
      <sheetName val="08.2017"/>
      <sheetName val="09.2017"/>
      <sheetName val="10.2017"/>
      <sheetName val="11.2017"/>
      <sheetName val="12.2017"/>
      <sheetName val="01.2018"/>
      <sheetName val="02.2018"/>
      <sheetName val="03.2018"/>
      <sheetName val="04.2018"/>
      <sheetName val="05.2018"/>
      <sheetName val="06.2018"/>
      <sheetName val="07.2018"/>
      <sheetName val="08.2018"/>
      <sheetName val="09.2018"/>
      <sheetName val="10.2018"/>
      <sheetName val="11.2018"/>
      <sheetName val="12.2018"/>
      <sheetName val="01.2019"/>
      <sheetName val="02.2019"/>
      <sheetName val="03.2019"/>
      <sheetName val="04.2019"/>
      <sheetName val="05.2019"/>
      <sheetName val="06.20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5">
          <cell r="I5" t="str">
            <v>Tạm</v>
          </cell>
          <cell r="J5">
            <v>0</v>
          </cell>
        </row>
        <row r="6">
          <cell r="I6" t="str">
            <v>Nộp</v>
          </cell>
          <cell r="J6">
            <v>0</v>
          </cell>
        </row>
        <row r="7">
          <cell r="I7" t="str">
            <v>Vie</v>
          </cell>
          <cell r="J7">
            <v>0</v>
          </cell>
        </row>
        <row r="8">
          <cell r="I8" t="str">
            <v>Nộp</v>
          </cell>
          <cell r="J8">
            <v>0</v>
          </cell>
        </row>
        <row r="9">
          <cell r="I9" t="str">
            <v>Anh</v>
          </cell>
          <cell r="J9">
            <v>0</v>
          </cell>
        </row>
        <row r="10">
          <cell r="H10" t="str">
            <v>SMCU1193076</v>
          </cell>
          <cell r="I10" t="str">
            <v>Thu</v>
          </cell>
          <cell r="J10">
            <v>1</v>
          </cell>
          <cell r="K10">
            <v>0</v>
          </cell>
        </row>
        <row r="11">
          <cell r="H11" t="str">
            <v>GMDU8152682</v>
          </cell>
          <cell r="I11" t="str">
            <v>Trả</v>
          </cell>
          <cell r="J11">
            <v>1</v>
          </cell>
          <cell r="K11">
            <v>300000</v>
          </cell>
        </row>
        <row r="12">
          <cell r="H12" t="str">
            <v>HJMU1532612</v>
          </cell>
          <cell r="I12" t="str">
            <v>Trả</v>
          </cell>
          <cell r="J12">
            <v>1</v>
          </cell>
          <cell r="K12">
            <v>540000</v>
          </cell>
        </row>
        <row r="13">
          <cell r="H13" t="str">
            <v>WHSU2282070</v>
          </cell>
          <cell r="I13" t="str">
            <v>Đưa</v>
          </cell>
          <cell r="J13">
            <v>1</v>
          </cell>
          <cell r="K13">
            <v>1270000</v>
          </cell>
        </row>
        <row r="14">
          <cell r="H14" t="str">
            <v>DRYU2852586</v>
          </cell>
          <cell r="I14" t="str">
            <v>Đưa</v>
          </cell>
          <cell r="J14">
            <v>1</v>
          </cell>
          <cell r="K14">
            <v>1380000</v>
          </cell>
        </row>
        <row r="15">
          <cell r="H15" t="str">
            <v>CRSU1153485</v>
          </cell>
          <cell r="I15" t="str">
            <v>Đưa</v>
          </cell>
          <cell r="J15">
            <v>1</v>
          </cell>
          <cell r="K15">
            <v>1510000</v>
          </cell>
        </row>
        <row r="16">
          <cell r="H16" t="str">
            <v>TCNU4595140</v>
          </cell>
          <cell r="I16" t="str">
            <v>Đưa</v>
          </cell>
          <cell r="J16">
            <v>1</v>
          </cell>
          <cell r="K16">
            <v>790000</v>
          </cell>
        </row>
        <row r="17">
          <cell r="I17" t="str">
            <v>Tạm</v>
          </cell>
          <cell r="J17">
            <v>0</v>
          </cell>
        </row>
        <row r="18">
          <cell r="I18" t="str">
            <v>Phí</v>
          </cell>
          <cell r="J18">
            <v>0</v>
          </cell>
        </row>
        <row r="19">
          <cell r="I19" t="str">
            <v>Trả</v>
          </cell>
          <cell r="J19">
            <v>0</v>
          </cell>
        </row>
        <row r="20">
          <cell r="I20" t="str">
            <v>Tạm</v>
          </cell>
          <cell r="J20">
            <v>0</v>
          </cell>
        </row>
        <row r="21">
          <cell r="I21" t="str">
            <v>Anh</v>
          </cell>
          <cell r="J21">
            <v>0</v>
          </cell>
        </row>
        <row r="22">
          <cell r="I22" t="str">
            <v>Anh</v>
          </cell>
          <cell r="J22">
            <v>0</v>
          </cell>
        </row>
        <row r="23">
          <cell r="I23" t="str">
            <v>Thu</v>
          </cell>
          <cell r="J23">
            <v>0</v>
          </cell>
          <cell r="K23">
            <v>0</v>
          </cell>
        </row>
        <row r="24">
          <cell r="H24" t="str">
            <v>DRYU9962040</v>
          </cell>
          <cell r="I24" t="str">
            <v>Đưa</v>
          </cell>
          <cell r="J24">
            <v>1</v>
          </cell>
          <cell r="K24">
            <v>790000</v>
          </cell>
        </row>
        <row r="25">
          <cell r="H25" t="str">
            <v>CCLU3333389</v>
          </cell>
          <cell r="I25" t="str">
            <v>Đưa</v>
          </cell>
          <cell r="J25">
            <v>1</v>
          </cell>
          <cell r="K25">
            <v>930000</v>
          </cell>
        </row>
        <row r="26">
          <cell r="I26" t="str">
            <v>Trả</v>
          </cell>
          <cell r="J26">
            <v>0</v>
          </cell>
          <cell r="K26">
            <v>60000</v>
          </cell>
        </row>
        <row r="27">
          <cell r="H27" t="str">
            <v>GMDU8151032</v>
          </cell>
          <cell r="I27" t="str">
            <v>Đưa</v>
          </cell>
          <cell r="J27">
            <v>1</v>
          </cell>
          <cell r="K27">
            <v>1510000</v>
          </cell>
        </row>
        <row r="28">
          <cell r="H28" t="str">
            <v>GMDU8141836</v>
          </cell>
          <cell r="I28" t="str">
            <v>Đưa</v>
          </cell>
          <cell r="J28">
            <v>1</v>
          </cell>
          <cell r="K28">
            <v>1800000</v>
          </cell>
        </row>
        <row r="29">
          <cell r="H29" t="str">
            <v/>
          </cell>
          <cell r="I29" t="str">
            <v/>
          </cell>
          <cell r="J29">
            <v>228</v>
          </cell>
        </row>
        <row r="30">
          <cell r="I30" t="str">
            <v>Tha</v>
          </cell>
          <cell r="J30">
            <v>0</v>
          </cell>
        </row>
        <row r="31">
          <cell r="I31" t="str">
            <v>Tha</v>
          </cell>
          <cell r="J31">
            <v>0</v>
          </cell>
        </row>
        <row r="32">
          <cell r="I32" t="str">
            <v>Tha</v>
          </cell>
          <cell r="J32">
            <v>0</v>
          </cell>
        </row>
        <row r="33">
          <cell r="I33" t="str">
            <v>Anh</v>
          </cell>
          <cell r="J33">
            <v>0</v>
          </cell>
        </row>
        <row r="34">
          <cell r="H34" t="str">
            <v>SZLU9428991</v>
          </cell>
          <cell r="I34" t="str">
            <v>Đưa</v>
          </cell>
          <cell r="J34">
            <v>1</v>
          </cell>
          <cell r="K34">
            <v>1170000</v>
          </cell>
        </row>
        <row r="35">
          <cell r="I35" t="str">
            <v>Đưa</v>
          </cell>
          <cell r="J35">
            <v>0</v>
          </cell>
        </row>
        <row r="36">
          <cell r="H36" t="str">
            <v>TCNU5054284</v>
          </cell>
          <cell r="I36" t="str">
            <v>Đưa</v>
          </cell>
          <cell r="J36">
            <v>1</v>
          </cell>
          <cell r="K36">
            <v>650000</v>
          </cell>
        </row>
        <row r="37">
          <cell r="I37" t="str">
            <v>Đưa</v>
          </cell>
          <cell r="J37">
            <v>0</v>
          </cell>
        </row>
        <row r="38">
          <cell r="H38" t="str">
            <v>TRLU8262180</v>
          </cell>
          <cell r="I38" t="str">
            <v>Đưa</v>
          </cell>
          <cell r="J38">
            <v>1</v>
          </cell>
          <cell r="K38">
            <v>1270000</v>
          </cell>
        </row>
        <row r="39">
          <cell r="H39" t="str">
            <v>TCKU1001039</v>
          </cell>
          <cell r="I39" t="str">
            <v>Đưa</v>
          </cell>
          <cell r="J39">
            <v>1</v>
          </cell>
          <cell r="K39">
            <v>930000</v>
          </cell>
        </row>
        <row r="40">
          <cell r="I40" t="str">
            <v>Trả</v>
          </cell>
          <cell r="J40">
            <v>0</v>
          </cell>
          <cell r="K40">
            <v>300000</v>
          </cell>
        </row>
        <row r="41">
          <cell r="I41" t="str">
            <v>Nộp</v>
          </cell>
          <cell r="J41">
            <v>0</v>
          </cell>
          <cell r="K41">
            <v>946000</v>
          </cell>
        </row>
        <row r="42">
          <cell r="I42" t="str">
            <v>Trả</v>
          </cell>
          <cell r="J42">
            <v>0</v>
          </cell>
          <cell r="K42">
            <v>170000</v>
          </cell>
        </row>
        <row r="43">
          <cell r="I43" t="str">
            <v>Rút</v>
          </cell>
          <cell r="J43">
            <v>0</v>
          </cell>
        </row>
        <row r="44">
          <cell r="I44" t="str">
            <v>Tạm</v>
          </cell>
          <cell r="J44">
            <v>0</v>
          </cell>
        </row>
        <row r="45">
          <cell r="I45" t="str">
            <v>Tha</v>
          </cell>
          <cell r="J45">
            <v>0</v>
          </cell>
        </row>
        <row r="46">
          <cell r="I46" t="str">
            <v>Tha</v>
          </cell>
          <cell r="J46">
            <v>0</v>
          </cell>
        </row>
        <row r="47">
          <cell r="I47" t="str">
            <v>Tha</v>
          </cell>
          <cell r="J47">
            <v>0</v>
          </cell>
        </row>
        <row r="48">
          <cell r="I48" t="str">
            <v>Tha</v>
          </cell>
          <cell r="J48">
            <v>0</v>
          </cell>
        </row>
        <row r="49">
          <cell r="I49" t="str">
            <v>Tha</v>
          </cell>
          <cell r="J49">
            <v>0</v>
          </cell>
        </row>
        <row r="50">
          <cell r="I50" t="str">
            <v>Tha</v>
          </cell>
          <cell r="J50">
            <v>0</v>
          </cell>
        </row>
        <row r="51">
          <cell r="I51" t="str">
            <v>Tha</v>
          </cell>
          <cell r="J51">
            <v>0</v>
          </cell>
        </row>
        <row r="52">
          <cell r="I52" t="str">
            <v>Tha</v>
          </cell>
          <cell r="J52">
            <v>0</v>
          </cell>
        </row>
        <row r="53">
          <cell r="I53" t="str">
            <v>Anh</v>
          </cell>
          <cell r="J53">
            <v>0</v>
          </cell>
        </row>
        <row r="54">
          <cell r="I54" t="str">
            <v>Thu</v>
          </cell>
          <cell r="J54">
            <v>0</v>
          </cell>
          <cell r="K54">
            <v>0</v>
          </cell>
        </row>
        <row r="55">
          <cell r="H55" t="str">
            <v>WHSU2264734</v>
          </cell>
          <cell r="I55" t="str">
            <v>Đưa</v>
          </cell>
          <cell r="J55">
            <v>1</v>
          </cell>
          <cell r="K55">
            <v>2470000</v>
          </cell>
        </row>
        <row r="56">
          <cell r="H56" t="str">
            <v>GMDU8141646</v>
          </cell>
          <cell r="I56" t="str">
            <v>Đưa</v>
          </cell>
          <cell r="J56">
            <v>1</v>
          </cell>
          <cell r="K56">
            <v>1270000</v>
          </cell>
        </row>
        <row r="57">
          <cell r="H57" t="str">
            <v>TLLU4071328</v>
          </cell>
          <cell r="I57" t="str">
            <v>Đưa</v>
          </cell>
          <cell r="J57">
            <v>1</v>
          </cell>
          <cell r="K57">
            <v>1450000</v>
          </cell>
        </row>
        <row r="58">
          <cell r="H58" t="str">
            <v>GAOU2111283</v>
          </cell>
          <cell r="I58" t="str">
            <v>Đưa</v>
          </cell>
          <cell r="J58">
            <v>1</v>
          </cell>
          <cell r="K58">
            <v>1240000</v>
          </cell>
        </row>
        <row r="59">
          <cell r="I59" t="str">
            <v>Nộp</v>
          </cell>
          <cell r="J59">
            <v>0</v>
          </cell>
          <cell r="K59">
            <v>540000</v>
          </cell>
        </row>
        <row r="60">
          <cell r="I60" t="str">
            <v>Tha</v>
          </cell>
          <cell r="J60">
            <v>0</v>
          </cell>
        </row>
        <row r="61">
          <cell r="I61" t="str">
            <v>Tha</v>
          </cell>
          <cell r="J61">
            <v>0</v>
          </cell>
        </row>
        <row r="62">
          <cell r="I62" t="str">
            <v>Tha</v>
          </cell>
          <cell r="J62">
            <v>0</v>
          </cell>
        </row>
        <row r="63">
          <cell r="I63" t="str">
            <v>Tha</v>
          </cell>
          <cell r="J63">
            <v>0</v>
          </cell>
        </row>
        <row r="64">
          <cell r="I64" t="str">
            <v>Tha</v>
          </cell>
          <cell r="J64">
            <v>0</v>
          </cell>
        </row>
        <row r="65">
          <cell r="I65" t="str">
            <v>Mua</v>
          </cell>
          <cell r="J65">
            <v>0</v>
          </cell>
        </row>
        <row r="66">
          <cell r="I66" t="str">
            <v>Tạm</v>
          </cell>
          <cell r="J66">
            <v>0</v>
          </cell>
        </row>
        <row r="67">
          <cell r="I67" t="str">
            <v>Tha</v>
          </cell>
          <cell r="J67">
            <v>0</v>
          </cell>
        </row>
        <row r="68">
          <cell r="I68" t="str">
            <v>Tha</v>
          </cell>
          <cell r="J68">
            <v>0</v>
          </cell>
        </row>
        <row r="69">
          <cell r="I69" t="str">
            <v>Tạm</v>
          </cell>
          <cell r="J69">
            <v>0</v>
          </cell>
        </row>
        <row r="70">
          <cell r="I70" t="str">
            <v>Côn</v>
          </cell>
          <cell r="J70">
            <v>0</v>
          </cell>
        </row>
        <row r="71">
          <cell r="I71" t="str">
            <v>Anh</v>
          </cell>
          <cell r="J71">
            <v>0</v>
          </cell>
        </row>
        <row r="72">
          <cell r="I72" t="str">
            <v>Trả</v>
          </cell>
          <cell r="J72">
            <v>0</v>
          </cell>
          <cell r="K72">
            <v>300000</v>
          </cell>
        </row>
        <row r="73">
          <cell r="I73" t="str">
            <v>Trả</v>
          </cell>
          <cell r="J73">
            <v>0</v>
          </cell>
          <cell r="K73">
            <v>300000</v>
          </cell>
        </row>
        <row r="74">
          <cell r="H74" t="str">
            <v>TGBU6755247</v>
          </cell>
          <cell r="I74" t="str">
            <v>Đưa</v>
          </cell>
          <cell r="J74">
            <v>1</v>
          </cell>
          <cell r="K74">
            <v>1150000</v>
          </cell>
        </row>
        <row r="75">
          <cell r="H75" t="str">
            <v>MSKU1823061</v>
          </cell>
          <cell r="I75" t="str">
            <v>Đưa</v>
          </cell>
          <cell r="J75">
            <v>1</v>
          </cell>
          <cell r="K75">
            <v>1150000</v>
          </cell>
        </row>
        <row r="76">
          <cell r="H76" t="str">
            <v>GMDU8152110</v>
          </cell>
          <cell r="I76" t="str">
            <v>Đưa</v>
          </cell>
          <cell r="J76">
            <v>1</v>
          </cell>
          <cell r="K76">
            <v>1270000</v>
          </cell>
        </row>
        <row r="77">
          <cell r="H77" t="str">
            <v>DRYU2852858</v>
          </cell>
          <cell r="I77" t="str">
            <v>Đưa</v>
          </cell>
          <cell r="J77">
            <v>1</v>
          </cell>
          <cell r="K77">
            <v>1440000</v>
          </cell>
        </row>
        <row r="78">
          <cell r="I78" t="str">
            <v>Trả</v>
          </cell>
          <cell r="J78">
            <v>0</v>
          </cell>
          <cell r="K78">
            <v>240000</v>
          </cell>
        </row>
        <row r="79">
          <cell r="H79" t="str">
            <v>OOCU7026672</v>
          </cell>
          <cell r="I79" t="str">
            <v>Đưa</v>
          </cell>
          <cell r="J79">
            <v>1</v>
          </cell>
          <cell r="K79">
            <v>2740000</v>
          </cell>
        </row>
        <row r="80">
          <cell r="I80" t="str">
            <v>Rút</v>
          </cell>
          <cell r="J80">
            <v>0</v>
          </cell>
        </row>
        <row r="81">
          <cell r="I81" t="str">
            <v>Tạm</v>
          </cell>
          <cell r="J81">
            <v>0</v>
          </cell>
        </row>
        <row r="82">
          <cell r="I82" t="str">
            <v>Trả</v>
          </cell>
          <cell r="J82">
            <v>0</v>
          </cell>
        </row>
        <row r="83">
          <cell r="I83" t="str">
            <v>Tha</v>
          </cell>
          <cell r="J83">
            <v>0</v>
          </cell>
        </row>
        <row r="84">
          <cell r="I84" t="str">
            <v>Anh</v>
          </cell>
          <cell r="J84">
            <v>0</v>
          </cell>
        </row>
        <row r="85">
          <cell r="I85" t="str">
            <v>Trả</v>
          </cell>
          <cell r="J85">
            <v>0</v>
          </cell>
          <cell r="K85">
            <v>300000</v>
          </cell>
        </row>
        <row r="86">
          <cell r="H86" t="str">
            <v>CPSU1821580</v>
          </cell>
          <cell r="I86" t="str">
            <v>Đưa</v>
          </cell>
          <cell r="J86">
            <v>1</v>
          </cell>
          <cell r="K86">
            <v>1890000</v>
          </cell>
        </row>
        <row r="87">
          <cell r="H87" t="str">
            <v>TGHU1450289</v>
          </cell>
          <cell r="I87" t="str">
            <v>Đưa</v>
          </cell>
          <cell r="J87">
            <v>1</v>
          </cell>
          <cell r="K87">
            <v>1890000</v>
          </cell>
        </row>
        <row r="88">
          <cell r="H88" t="str">
            <v>WHLU0217928</v>
          </cell>
          <cell r="I88" t="str">
            <v>Đưa</v>
          </cell>
          <cell r="J88">
            <v>1</v>
          </cell>
          <cell r="K88">
            <v>930000</v>
          </cell>
        </row>
        <row r="89">
          <cell r="I89" t="str">
            <v>Tạm</v>
          </cell>
          <cell r="J89">
            <v>0</v>
          </cell>
        </row>
        <row r="90">
          <cell r="I90" t="str">
            <v>Tạm</v>
          </cell>
          <cell r="J90">
            <v>0</v>
          </cell>
        </row>
        <row r="91">
          <cell r="I91" t="str">
            <v>Tân</v>
          </cell>
          <cell r="J91">
            <v>0</v>
          </cell>
        </row>
        <row r="92">
          <cell r="I92" t="str">
            <v>Anh</v>
          </cell>
          <cell r="J92">
            <v>0</v>
          </cell>
        </row>
        <row r="93">
          <cell r="H93" t="str">
            <v>UACU3987209</v>
          </cell>
          <cell r="I93" t="str">
            <v>Đưa</v>
          </cell>
          <cell r="J93">
            <v>1</v>
          </cell>
          <cell r="K93">
            <v>1890000</v>
          </cell>
        </row>
        <row r="94">
          <cell r="H94" t="str">
            <v>WHSU2368092</v>
          </cell>
          <cell r="I94" t="str">
            <v>Đưa</v>
          </cell>
          <cell r="J94">
            <v>1</v>
          </cell>
          <cell r="K94">
            <v>970000</v>
          </cell>
        </row>
        <row r="95">
          <cell r="H95" t="str">
            <v>CSNU1462908</v>
          </cell>
          <cell r="I95" t="str">
            <v>Đưa</v>
          </cell>
          <cell r="J95">
            <v>1</v>
          </cell>
          <cell r="K95">
            <v>810000</v>
          </cell>
        </row>
        <row r="96">
          <cell r="H96" t="str">
            <v>GMDU8191328</v>
          </cell>
          <cell r="I96" t="str">
            <v>Đưa</v>
          </cell>
          <cell r="J96">
            <v>1</v>
          </cell>
          <cell r="K96">
            <v>1270000</v>
          </cell>
        </row>
        <row r="97">
          <cell r="I97" t="str">
            <v>Trả</v>
          </cell>
          <cell r="J97">
            <v>0</v>
          </cell>
          <cell r="K97">
            <v>300000</v>
          </cell>
        </row>
        <row r="98">
          <cell r="I98" t="str">
            <v>Nộp</v>
          </cell>
          <cell r="J98">
            <v>0</v>
          </cell>
          <cell r="K98">
            <v>500000</v>
          </cell>
        </row>
        <row r="99">
          <cell r="I99" t="str">
            <v>Làm</v>
          </cell>
          <cell r="J99">
            <v>0</v>
          </cell>
          <cell r="K99">
            <v>340000</v>
          </cell>
        </row>
        <row r="100">
          <cell r="I100" t="str">
            <v>Trả</v>
          </cell>
          <cell r="J100">
            <v>0</v>
          </cell>
          <cell r="K100">
            <v>760000</v>
          </cell>
        </row>
        <row r="101">
          <cell r="I101" t="str">
            <v>Tạm</v>
          </cell>
          <cell r="J101">
            <v>0</v>
          </cell>
        </row>
        <row r="102">
          <cell r="I102" t="str">
            <v>Tạm</v>
          </cell>
          <cell r="J102">
            <v>0</v>
          </cell>
        </row>
        <row r="103">
          <cell r="I103" t="str">
            <v>Tha</v>
          </cell>
          <cell r="J103">
            <v>0</v>
          </cell>
        </row>
        <row r="104">
          <cell r="I104" t="str">
            <v>Anh</v>
          </cell>
          <cell r="J104">
            <v>0</v>
          </cell>
        </row>
        <row r="105">
          <cell r="H105" t="str">
            <v>CAIU4851274</v>
          </cell>
          <cell r="I105" t="str">
            <v>Đưa</v>
          </cell>
          <cell r="J105">
            <v>1</v>
          </cell>
          <cell r="K105">
            <v>1500000</v>
          </cell>
        </row>
        <row r="106">
          <cell r="H106" t="str">
            <v>GAOU2115294</v>
          </cell>
          <cell r="I106" t="str">
            <v>Đưa</v>
          </cell>
          <cell r="J106">
            <v>1</v>
          </cell>
          <cell r="K106">
            <v>1780000</v>
          </cell>
        </row>
        <row r="107">
          <cell r="H107" t="str">
            <v>DRYU2924475</v>
          </cell>
          <cell r="I107" t="str">
            <v>Đưa</v>
          </cell>
          <cell r="J107">
            <v>1</v>
          </cell>
          <cell r="K107">
            <v>1160000</v>
          </cell>
        </row>
        <row r="108">
          <cell r="H108" t="str">
            <v>HDMU2700108</v>
          </cell>
          <cell r="I108" t="str">
            <v>Đưa</v>
          </cell>
          <cell r="J108">
            <v>1</v>
          </cell>
          <cell r="K108">
            <v>810000</v>
          </cell>
        </row>
        <row r="109">
          <cell r="I109" t="str">
            <v>Tạm</v>
          </cell>
          <cell r="J109">
            <v>0</v>
          </cell>
        </row>
        <row r="110">
          <cell r="I110" t="str">
            <v>Kiể</v>
          </cell>
          <cell r="J110">
            <v>0</v>
          </cell>
        </row>
        <row r="111">
          <cell r="I111" t="str">
            <v>Tha</v>
          </cell>
          <cell r="J111">
            <v>0</v>
          </cell>
        </row>
        <row r="112">
          <cell r="I112" t="str">
            <v>Thu</v>
          </cell>
          <cell r="J112">
            <v>0</v>
          </cell>
        </row>
        <row r="113">
          <cell r="I113" t="str">
            <v>Thu</v>
          </cell>
          <cell r="J113">
            <v>0</v>
          </cell>
        </row>
        <row r="114">
          <cell r="I114" t="str">
            <v>Thu</v>
          </cell>
          <cell r="J114">
            <v>0</v>
          </cell>
        </row>
        <row r="115">
          <cell r="I115" t="str">
            <v>Tạm</v>
          </cell>
          <cell r="J115">
            <v>0</v>
          </cell>
        </row>
        <row r="116">
          <cell r="I116" t="str">
            <v>Tha</v>
          </cell>
          <cell r="J116">
            <v>0</v>
          </cell>
        </row>
        <row r="117">
          <cell r="I117" t="str">
            <v>Mua</v>
          </cell>
          <cell r="J117">
            <v>0</v>
          </cell>
        </row>
        <row r="118">
          <cell r="I118" t="str">
            <v>Anh</v>
          </cell>
          <cell r="J118">
            <v>0</v>
          </cell>
        </row>
        <row r="119">
          <cell r="I119" t="str">
            <v>Tha</v>
          </cell>
          <cell r="J119">
            <v>0</v>
          </cell>
        </row>
        <row r="120">
          <cell r="I120" t="str">
            <v>Tha</v>
          </cell>
          <cell r="J120">
            <v>0</v>
          </cell>
        </row>
        <row r="121">
          <cell r="I121" t="str">
            <v>Anh</v>
          </cell>
          <cell r="J121">
            <v>0</v>
          </cell>
        </row>
        <row r="122">
          <cell r="H122" t="str">
            <v>DRYU2853622</v>
          </cell>
          <cell r="I122" t="str">
            <v>Đưa</v>
          </cell>
          <cell r="J122">
            <v>1</v>
          </cell>
          <cell r="K122">
            <v>1060000</v>
          </cell>
        </row>
        <row r="123">
          <cell r="H123" t="str">
            <v>SEGU5603623</v>
          </cell>
          <cell r="I123" t="str">
            <v>Đưa</v>
          </cell>
          <cell r="J123">
            <v>1</v>
          </cell>
          <cell r="K123">
            <v>790000</v>
          </cell>
        </row>
        <row r="124">
          <cell r="H124" t="str">
            <v>DRYU9718223</v>
          </cell>
          <cell r="I124" t="str">
            <v>Đưa</v>
          </cell>
          <cell r="J124">
            <v>1</v>
          </cell>
          <cell r="K124">
            <v>970000</v>
          </cell>
        </row>
        <row r="125">
          <cell r="H125" t="str">
            <v>HJMU1925991</v>
          </cell>
          <cell r="I125" t="str">
            <v>Đưa</v>
          </cell>
          <cell r="J125">
            <v>1</v>
          </cell>
          <cell r="K125">
            <v>1950000</v>
          </cell>
        </row>
        <row r="126">
          <cell r="I126" t="str">
            <v>Nộp</v>
          </cell>
          <cell r="J126">
            <v>0</v>
          </cell>
          <cell r="K126">
            <v>961000</v>
          </cell>
        </row>
        <row r="127">
          <cell r="I127" t="str">
            <v>Tạm</v>
          </cell>
          <cell r="J127">
            <v>0</v>
          </cell>
        </row>
        <row r="128">
          <cell r="I128" t="str">
            <v>Tha</v>
          </cell>
          <cell r="J128">
            <v>0</v>
          </cell>
        </row>
        <row r="129">
          <cell r="I129" t="str">
            <v>Tha</v>
          </cell>
          <cell r="J129">
            <v>0</v>
          </cell>
        </row>
        <row r="130">
          <cell r="I130" t="str">
            <v>Hải</v>
          </cell>
          <cell r="J130">
            <v>0</v>
          </cell>
        </row>
        <row r="131">
          <cell r="I131" t="str">
            <v>Rút</v>
          </cell>
          <cell r="J131">
            <v>0</v>
          </cell>
        </row>
        <row r="132">
          <cell r="I132" t="str">
            <v>Tạm</v>
          </cell>
          <cell r="J132">
            <v>0</v>
          </cell>
        </row>
        <row r="133">
          <cell r="I133" t="str">
            <v>Anh</v>
          </cell>
          <cell r="J133">
            <v>0</v>
          </cell>
        </row>
        <row r="134">
          <cell r="I134" t="str">
            <v>Trả</v>
          </cell>
          <cell r="J134">
            <v>0</v>
          </cell>
          <cell r="K134">
            <v>580000</v>
          </cell>
        </row>
        <row r="135">
          <cell r="I135" t="str">
            <v>Trả</v>
          </cell>
          <cell r="J135">
            <v>0</v>
          </cell>
          <cell r="K135">
            <v>400000</v>
          </cell>
        </row>
        <row r="136">
          <cell r="H136" t="str">
            <v>DRYU9592428</v>
          </cell>
          <cell r="I136" t="str">
            <v>Đưa</v>
          </cell>
          <cell r="J136">
            <v>1</v>
          </cell>
          <cell r="K136">
            <v>1000000</v>
          </cell>
        </row>
        <row r="137">
          <cell r="H137" t="str">
            <v>TCLU2803709</v>
          </cell>
          <cell r="I137" t="str">
            <v>Đưa</v>
          </cell>
          <cell r="J137">
            <v>1</v>
          </cell>
          <cell r="K137">
            <v>930000</v>
          </cell>
        </row>
        <row r="138">
          <cell r="H138" t="str">
            <v>WHSU5456303</v>
          </cell>
          <cell r="I138" t="str">
            <v>Đưa</v>
          </cell>
          <cell r="J138">
            <v>1</v>
          </cell>
          <cell r="K138">
            <v>970000</v>
          </cell>
        </row>
        <row r="139">
          <cell r="H139" t="str">
            <v>BMOU4899220</v>
          </cell>
          <cell r="I139" t="str">
            <v>Đưa</v>
          </cell>
          <cell r="J139">
            <v>1</v>
          </cell>
          <cell r="K139">
            <v>970000</v>
          </cell>
        </row>
        <row r="140">
          <cell r="I140" t="str">
            <v>Trả</v>
          </cell>
          <cell r="J140">
            <v>0</v>
          </cell>
        </row>
        <row r="141">
          <cell r="H141" t="str">
            <v>WHSU2361755</v>
          </cell>
          <cell r="I141" t="str">
            <v>Đưa</v>
          </cell>
          <cell r="J141">
            <v>1</v>
          </cell>
          <cell r="K141">
            <v>2590000</v>
          </cell>
        </row>
        <row r="142">
          <cell r="I142" t="str">
            <v>Tạm</v>
          </cell>
          <cell r="J142">
            <v>0</v>
          </cell>
          <cell r="K142">
            <v>557000</v>
          </cell>
        </row>
        <row r="143">
          <cell r="I143" t="str">
            <v>Tạm</v>
          </cell>
          <cell r="J143">
            <v>0</v>
          </cell>
          <cell r="K143">
            <v>10000000</v>
          </cell>
        </row>
        <row r="144">
          <cell r="I144" t="str">
            <v>Kim</v>
          </cell>
          <cell r="J144">
            <v>0</v>
          </cell>
          <cell r="K144">
            <v>0</v>
          </cell>
        </row>
        <row r="145">
          <cell r="I145" t="str">
            <v>Anh</v>
          </cell>
          <cell r="J145">
            <v>0</v>
          </cell>
        </row>
        <row r="146">
          <cell r="I146" t="str">
            <v>Nộp</v>
          </cell>
          <cell r="J146">
            <v>0</v>
          </cell>
          <cell r="K146">
            <v>1287000</v>
          </cell>
        </row>
        <row r="147">
          <cell r="H147" t="str">
            <v>TLLU4858000</v>
          </cell>
          <cell r="I147" t="str">
            <v>Đưa</v>
          </cell>
          <cell r="J147">
            <v>1</v>
          </cell>
          <cell r="K147">
            <v>1890000</v>
          </cell>
        </row>
        <row r="148">
          <cell r="H148" t="str">
            <v>TRHU1344453</v>
          </cell>
          <cell r="I148" t="str">
            <v>Đưa</v>
          </cell>
          <cell r="J148">
            <v>1</v>
          </cell>
          <cell r="K148">
            <v>1160000</v>
          </cell>
        </row>
        <row r="149">
          <cell r="H149" t="str">
            <v>GAOU6145928</v>
          </cell>
          <cell r="I149" t="str">
            <v>Đưa</v>
          </cell>
          <cell r="J149">
            <v>1</v>
          </cell>
          <cell r="K149">
            <v>790000</v>
          </cell>
        </row>
        <row r="150">
          <cell r="I150" t="str">
            <v>Đưa</v>
          </cell>
          <cell r="J150">
            <v>0</v>
          </cell>
        </row>
        <row r="151">
          <cell r="I151" t="str">
            <v>Trả</v>
          </cell>
          <cell r="J151">
            <v>0</v>
          </cell>
          <cell r="K151">
            <v>1375000</v>
          </cell>
        </row>
        <row r="152">
          <cell r="I152" t="str">
            <v>Nộp</v>
          </cell>
          <cell r="J152">
            <v>0</v>
          </cell>
          <cell r="K152">
            <v>500000</v>
          </cell>
        </row>
        <row r="153">
          <cell r="I153" t="str">
            <v>Tạm</v>
          </cell>
          <cell r="J153">
            <v>0</v>
          </cell>
        </row>
        <row r="154">
          <cell r="I154" t="str">
            <v>Chu</v>
          </cell>
          <cell r="J154">
            <v>0</v>
          </cell>
        </row>
        <row r="155">
          <cell r="I155" t="str">
            <v>Tạm</v>
          </cell>
          <cell r="J155">
            <v>0</v>
          </cell>
        </row>
        <row r="156">
          <cell r="I156" t="str">
            <v>Anh</v>
          </cell>
          <cell r="J156">
            <v>0</v>
          </cell>
        </row>
        <row r="157">
          <cell r="I157" t="str">
            <v>Nộp</v>
          </cell>
          <cell r="J157">
            <v>0</v>
          </cell>
          <cell r="K157">
            <v>90000</v>
          </cell>
        </row>
        <row r="158">
          <cell r="I158" t="str">
            <v>Nộp</v>
          </cell>
          <cell r="J158">
            <v>0</v>
          </cell>
          <cell r="K158">
            <v>250000</v>
          </cell>
        </row>
        <row r="159">
          <cell r="I159" t="str">
            <v>Làm</v>
          </cell>
          <cell r="J159">
            <v>0</v>
          </cell>
          <cell r="K159">
            <v>340000</v>
          </cell>
        </row>
        <row r="160">
          <cell r="H160" t="str">
            <v>CMAU4844832</v>
          </cell>
          <cell r="I160" t="str">
            <v>Đưa</v>
          </cell>
          <cell r="J160">
            <v>1</v>
          </cell>
          <cell r="K160">
            <v>970000</v>
          </cell>
        </row>
        <row r="161">
          <cell r="H161" t="str">
            <v>TCLU9800640</v>
          </cell>
          <cell r="I161" t="str">
            <v>Đưa</v>
          </cell>
          <cell r="J161">
            <v>1</v>
          </cell>
          <cell r="K161">
            <v>970000</v>
          </cell>
        </row>
        <row r="162">
          <cell r="H162" t="str">
            <v>BISU2838371</v>
          </cell>
          <cell r="I162" t="str">
            <v>Đưa</v>
          </cell>
          <cell r="J162">
            <v>1</v>
          </cell>
          <cell r="K162">
            <v>1510000</v>
          </cell>
        </row>
        <row r="163">
          <cell r="H163" t="str">
            <v>VOSU1805102</v>
          </cell>
          <cell r="I163" t="str">
            <v>Đưa</v>
          </cell>
          <cell r="J163">
            <v>1</v>
          </cell>
          <cell r="K163">
            <v>1230000</v>
          </cell>
        </row>
        <row r="164">
          <cell r="I164" t="str">
            <v>Đưa</v>
          </cell>
          <cell r="J164">
            <v>0</v>
          </cell>
          <cell r="K164">
            <v>300000</v>
          </cell>
        </row>
        <row r="165">
          <cell r="I165" t="str">
            <v>Tạm</v>
          </cell>
          <cell r="J165">
            <v>0</v>
          </cell>
        </row>
        <row r="166">
          <cell r="I166" t="str">
            <v>Tạm</v>
          </cell>
          <cell r="J166">
            <v>0</v>
          </cell>
        </row>
        <row r="167">
          <cell r="I167" t="str">
            <v>Anh</v>
          </cell>
          <cell r="J167">
            <v>0</v>
          </cell>
        </row>
        <row r="168">
          <cell r="H168" t="str">
            <v>WHSU5406914</v>
          </cell>
          <cell r="I168" t="str">
            <v>Đưa</v>
          </cell>
          <cell r="J168">
            <v>1</v>
          </cell>
          <cell r="K168">
            <v>970000</v>
          </cell>
        </row>
        <row r="169">
          <cell r="H169" t="str">
            <v>TRHU1204292</v>
          </cell>
          <cell r="I169" t="str">
            <v>Đưa</v>
          </cell>
          <cell r="J169">
            <v>1</v>
          </cell>
          <cell r="K169">
            <v>790000</v>
          </cell>
        </row>
        <row r="170">
          <cell r="I170" t="str">
            <v>Đưa</v>
          </cell>
          <cell r="J170">
            <v>0</v>
          </cell>
        </row>
        <row r="171">
          <cell r="H171" t="str">
            <v>TEMU3848536</v>
          </cell>
          <cell r="I171" t="str">
            <v>Đưa</v>
          </cell>
          <cell r="J171">
            <v>1</v>
          </cell>
          <cell r="K171">
            <v>790000</v>
          </cell>
        </row>
        <row r="172">
          <cell r="I172" t="str">
            <v>Đưa</v>
          </cell>
          <cell r="J172">
            <v>0</v>
          </cell>
        </row>
        <row r="173">
          <cell r="H173" t="str">
            <v>TGCU2018055</v>
          </cell>
          <cell r="I173" t="str">
            <v>Đưa</v>
          </cell>
          <cell r="J173">
            <v>1</v>
          </cell>
          <cell r="K173">
            <v>680000</v>
          </cell>
        </row>
        <row r="174">
          <cell r="I174" t="str">
            <v>Đưa</v>
          </cell>
          <cell r="J174">
            <v>0</v>
          </cell>
        </row>
        <row r="175">
          <cell r="I175" t="str">
            <v>Tạm</v>
          </cell>
          <cell r="J175">
            <v>0</v>
          </cell>
        </row>
        <row r="176">
          <cell r="I176" t="str">
            <v>Tạm</v>
          </cell>
          <cell r="J176">
            <v>0</v>
          </cell>
        </row>
        <row r="177">
          <cell r="I177" t="str">
            <v>Tha</v>
          </cell>
          <cell r="J177">
            <v>0</v>
          </cell>
        </row>
        <row r="178">
          <cell r="I178" t="str">
            <v>Tha</v>
          </cell>
          <cell r="J178">
            <v>0</v>
          </cell>
        </row>
        <row r="179">
          <cell r="I179" t="str">
            <v>Anh</v>
          </cell>
          <cell r="J179">
            <v>0</v>
          </cell>
        </row>
        <row r="180">
          <cell r="I180" t="str">
            <v>Lấy</v>
          </cell>
          <cell r="J180">
            <v>0</v>
          </cell>
          <cell r="K180">
            <v>1650000</v>
          </cell>
        </row>
        <row r="181">
          <cell r="H181" t="str">
            <v>CAIU6865066</v>
          </cell>
          <cell r="I181" t="str">
            <v>Đưa</v>
          </cell>
          <cell r="J181">
            <v>1</v>
          </cell>
          <cell r="K181">
            <v>1510000</v>
          </cell>
        </row>
        <row r="182">
          <cell r="H182" t="str">
            <v>HMCU3001778</v>
          </cell>
          <cell r="I182" t="str">
            <v>Đưa</v>
          </cell>
          <cell r="J182">
            <v>1</v>
          </cell>
          <cell r="K182">
            <v>790000</v>
          </cell>
        </row>
        <row r="183">
          <cell r="I183" t="str">
            <v>Đưa</v>
          </cell>
          <cell r="J183">
            <v>0</v>
          </cell>
        </row>
        <row r="184">
          <cell r="H184" t="str">
            <v>DRYU2299634</v>
          </cell>
          <cell r="I184" t="str">
            <v>Đưa</v>
          </cell>
          <cell r="J184">
            <v>1</v>
          </cell>
          <cell r="K184">
            <v>790000</v>
          </cell>
        </row>
        <row r="185">
          <cell r="I185" t="str">
            <v>Đưa</v>
          </cell>
          <cell r="J185">
            <v>0</v>
          </cell>
        </row>
        <row r="186">
          <cell r="H186" t="str">
            <v>EITU0018430</v>
          </cell>
          <cell r="I186" t="str">
            <v>Đưa</v>
          </cell>
          <cell r="J186">
            <v>1</v>
          </cell>
          <cell r="K186">
            <v>680000</v>
          </cell>
        </row>
        <row r="187">
          <cell r="I187" t="str">
            <v>Đưa</v>
          </cell>
          <cell r="J187">
            <v>0</v>
          </cell>
        </row>
        <row r="188">
          <cell r="I188" t="str">
            <v>Trả</v>
          </cell>
          <cell r="J188">
            <v>0</v>
          </cell>
        </row>
        <row r="189">
          <cell r="I189" t="str">
            <v>Tạm</v>
          </cell>
          <cell r="J189">
            <v>0</v>
          </cell>
        </row>
        <row r="190">
          <cell r="I190" t="str">
            <v>Anh</v>
          </cell>
          <cell r="J190">
            <v>0</v>
          </cell>
        </row>
        <row r="191">
          <cell r="H191" t="str">
            <v>EITU0361558</v>
          </cell>
          <cell r="I191" t="str">
            <v>Đưa</v>
          </cell>
          <cell r="J191">
            <v>1</v>
          </cell>
          <cell r="K191">
            <v>790000</v>
          </cell>
        </row>
        <row r="192">
          <cell r="I192" t="str">
            <v>Đưa</v>
          </cell>
          <cell r="J192">
            <v>0</v>
          </cell>
        </row>
        <row r="193">
          <cell r="H193" t="str">
            <v>EISU2105973</v>
          </cell>
          <cell r="I193" t="str">
            <v>Đưa</v>
          </cell>
          <cell r="J193">
            <v>1</v>
          </cell>
          <cell r="K193">
            <v>790000</v>
          </cell>
        </row>
        <row r="194">
          <cell r="I194" t="str">
            <v>Đưa</v>
          </cell>
          <cell r="J194">
            <v>0</v>
          </cell>
        </row>
        <row r="195">
          <cell r="H195" t="str">
            <v>EITU0430556</v>
          </cell>
          <cell r="I195" t="str">
            <v>Đưa</v>
          </cell>
          <cell r="J195">
            <v>1</v>
          </cell>
          <cell r="K195">
            <v>790000</v>
          </cell>
        </row>
        <row r="196">
          <cell r="I196" t="str">
            <v>Đưa</v>
          </cell>
          <cell r="J196">
            <v>0</v>
          </cell>
          <cell r="K196">
            <v>980000</v>
          </cell>
        </row>
        <row r="197">
          <cell r="H197" t="str">
            <v>CAIU7160698</v>
          </cell>
          <cell r="I197" t="str">
            <v>Đưa</v>
          </cell>
          <cell r="J197">
            <v>1</v>
          </cell>
          <cell r="K197">
            <v>1150000</v>
          </cell>
        </row>
        <row r="198">
          <cell r="H198" t="str">
            <v xml:space="preserve"> VHPU170305</v>
          </cell>
          <cell r="I198" t="str">
            <v>Đưa</v>
          </cell>
          <cell r="J198">
            <v>1</v>
          </cell>
          <cell r="K198">
            <v>1150000</v>
          </cell>
        </row>
        <row r="199">
          <cell r="I199" t="str">
            <v>Đưa</v>
          </cell>
          <cell r="J199">
            <v>0</v>
          </cell>
        </row>
        <row r="200">
          <cell r="I200" t="str">
            <v>A H</v>
          </cell>
          <cell r="J200">
            <v>0</v>
          </cell>
        </row>
        <row r="201">
          <cell r="I201" t="str">
            <v>Tạm</v>
          </cell>
          <cell r="J201">
            <v>0</v>
          </cell>
        </row>
        <row r="202">
          <cell r="I202" t="str">
            <v>A H</v>
          </cell>
          <cell r="J202">
            <v>0</v>
          </cell>
        </row>
        <row r="203">
          <cell r="I203" t="str">
            <v>Nộp</v>
          </cell>
          <cell r="J203">
            <v>0</v>
          </cell>
          <cell r="K203">
            <v>561000</v>
          </cell>
        </row>
        <row r="204">
          <cell r="H204" t="str">
            <v>WHSU2254356</v>
          </cell>
          <cell r="I204" t="str">
            <v>Đưa</v>
          </cell>
          <cell r="J204">
            <v>1</v>
          </cell>
          <cell r="K204">
            <v>2470000</v>
          </cell>
        </row>
        <row r="205">
          <cell r="I205" t="str">
            <v>Đưa</v>
          </cell>
          <cell r="J205">
            <v>0</v>
          </cell>
          <cell r="K205">
            <v>400000</v>
          </cell>
        </row>
        <row r="206">
          <cell r="H206" t="str">
            <v>GAOU2108926</v>
          </cell>
          <cell r="I206" t="str">
            <v>Đưa</v>
          </cell>
          <cell r="J206">
            <v>1</v>
          </cell>
          <cell r="K206">
            <v>1510000</v>
          </cell>
        </row>
        <row r="207">
          <cell r="H207" t="str">
            <v>GMDU8186070</v>
          </cell>
          <cell r="I207" t="str">
            <v>Đưa</v>
          </cell>
          <cell r="J207">
            <v>1</v>
          </cell>
          <cell r="K207">
            <v>1270000</v>
          </cell>
        </row>
        <row r="208">
          <cell r="H208" t="str">
            <v>DRYU3012353</v>
          </cell>
          <cell r="I208" t="str">
            <v>Đưa</v>
          </cell>
          <cell r="J208">
            <v>1</v>
          </cell>
          <cell r="K208">
            <v>1160000</v>
          </cell>
        </row>
        <row r="209">
          <cell r="I209" t="str">
            <v>Rút</v>
          </cell>
          <cell r="J209">
            <v>0</v>
          </cell>
        </row>
        <row r="210">
          <cell r="I210" t="str">
            <v>a H</v>
          </cell>
          <cell r="J210">
            <v>0</v>
          </cell>
        </row>
        <row r="211">
          <cell r="I211" t="str">
            <v>A P</v>
          </cell>
          <cell r="J211">
            <v>0</v>
          </cell>
        </row>
        <row r="212">
          <cell r="I212" t="str">
            <v>A H</v>
          </cell>
          <cell r="J212">
            <v>0</v>
          </cell>
        </row>
        <row r="213">
          <cell r="I213" t="str">
            <v>a H</v>
          </cell>
          <cell r="J213">
            <v>0</v>
          </cell>
        </row>
        <row r="214">
          <cell r="I214" t="str">
            <v>A H</v>
          </cell>
          <cell r="J214">
            <v>0</v>
          </cell>
        </row>
        <row r="215">
          <cell r="H215" t="str">
            <v>SITU9043470</v>
          </cell>
          <cell r="I215" t="str">
            <v>Đưa</v>
          </cell>
          <cell r="J215">
            <v>1</v>
          </cell>
          <cell r="K215">
            <v>790000</v>
          </cell>
        </row>
        <row r="216">
          <cell r="H216" t="str">
            <v>DRYU3093838</v>
          </cell>
          <cell r="I216" t="str">
            <v>Đưa</v>
          </cell>
          <cell r="J216">
            <v>1</v>
          </cell>
          <cell r="K216">
            <v>1160000</v>
          </cell>
        </row>
        <row r="217">
          <cell r="I217" t="str">
            <v>Nân</v>
          </cell>
          <cell r="J217">
            <v>0</v>
          </cell>
          <cell r="K217">
            <v>400000</v>
          </cell>
        </row>
        <row r="218">
          <cell r="I218" t="str">
            <v xml:space="preserve">Hạ </v>
          </cell>
          <cell r="J218">
            <v>0</v>
          </cell>
          <cell r="K218">
            <v>561000</v>
          </cell>
        </row>
        <row r="219">
          <cell r="I219" t="str">
            <v xml:space="preserve">Hạ </v>
          </cell>
          <cell r="J219">
            <v>0</v>
          </cell>
          <cell r="K219">
            <v>561000</v>
          </cell>
        </row>
        <row r="220">
          <cell r="H220" t="str">
            <v>WHSU2150990</v>
          </cell>
          <cell r="I220" t="str">
            <v>Đưa</v>
          </cell>
          <cell r="J220">
            <v>1</v>
          </cell>
          <cell r="K220">
            <v>2470000</v>
          </cell>
        </row>
        <row r="221">
          <cell r="I221" t="str">
            <v>Đưa</v>
          </cell>
          <cell r="J221">
            <v>0</v>
          </cell>
          <cell r="K221">
            <v>400000</v>
          </cell>
        </row>
        <row r="222">
          <cell r="I222" t="str">
            <v>A H</v>
          </cell>
          <cell r="J222">
            <v>0</v>
          </cell>
        </row>
        <row r="223">
          <cell r="I223" t="str">
            <v>Vie</v>
          </cell>
          <cell r="J223">
            <v>0</v>
          </cell>
        </row>
        <row r="224">
          <cell r="I224" t="str">
            <v>Háu</v>
          </cell>
          <cell r="J224">
            <v>0</v>
          </cell>
        </row>
        <row r="225">
          <cell r="I225" t="str">
            <v>A H</v>
          </cell>
          <cell r="J225">
            <v>0</v>
          </cell>
        </row>
        <row r="226">
          <cell r="I226" t="str">
            <v>Nân</v>
          </cell>
          <cell r="J226">
            <v>0</v>
          </cell>
          <cell r="K226">
            <v>1200000</v>
          </cell>
        </row>
        <row r="227">
          <cell r="H227" t="str">
            <v>MRSU3486700</v>
          </cell>
          <cell r="I227" t="str">
            <v>Đưa</v>
          </cell>
          <cell r="J227">
            <v>1</v>
          </cell>
          <cell r="K227">
            <v>1890000</v>
          </cell>
        </row>
        <row r="228">
          <cell r="I228" t="str">
            <v>Đưa</v>
          </cell>
          <cell r="J228">
            <v>0</v>
          </cell>
          <cell r="K228">
            <v>760000</v>
          </cell>
        </row>
        <row r="229">
          <cell r="H229" t="str">
            <v>MRKU4634795</v>
          </cell>
          <cell r="I229" t="str">
            <v>Đưa</v>
          </cell>
          <cell r="J229">
            <v>1</v>
          </cell>
          <cell r="K229">
            <v>1890000</v>
          </cell>
        </row>
        <row r="230">
          <cell r="I230" t="str">
            <v>Đưa</v>
          </cell>
          <cell r="J230">
            <v>0</v>
          </cell>
          <cell r="K230">
            <v>760000</v>
          </cell>
        </row>
        <row r="231">
          <cell r="I231" t="str">
            <v>Nộp</v>
          </cell>
          <cell r="J231">
            <v>0</v>
          </cell>
          <cell r="K231">
            <v>1518000</v>
          </cell>
        </row>
        <row r="232">
          <cell r="I232" t="str">
            <v>Mua</v>
          </cell>
          <cell r="J232">
            <v>0</v>
          </cell>
        </row>
        <row r="233">
          <cell r="I233" t="str">
            <v>A H</v>
          </cell>
          <cell r="J233">
            <v>0</v>
          </cell>
        </row>
        <row r="234">
          <cell r="I234" t="str">
            <v>Mua</v>
          </cell>
          <cell r="J234">
            <v>0</v>
          </cell>
        </row>
        <row r="235">
          <cell r="I235" t="str">
            <v>Anh</v>
          </cell>
          <cell r="J235">
            <v>0</v>
          </cell>
        </row>
        <row r="236">
          <cell r="I236" t="str">
            <v>A H</v>
          </cell>
          <cell r="J236">
            <v>0</v>
          </cell>
        </row>
        <row r="237">
          <cell r="H237" t="str">
            <v>WHSU2312529</v>
          </cell>
          <cell r="I237" t="str">
            <v>Đưa</v>
          </cell>
          <cell r="J237">
            <v>1</v>
          </cell>
          <cell r="K237">
            <v>690000</v>
          </cell>
        </row>
        <row r="238">
          <cell r="H238" t="str">
            <v>TGHU3592066</v>
          </cell>
          <cell r="I238" t="str">
            <v>Đưa</v>
          </cell>
          <cell r="J238">
            <v>1</v>
          </cell>
          <cell r="K238">
            <v>1890000</v>
          </cell>
        </row>
        <row r="239">
          <cell r="H239" t="str">
            <v>CRSU1224059</v>
          </cell>
          <cell r="I239" t="str">
            <v>Đưa</v>
          </cell>
          <cell r="J239">
            <v>1</v>
          </cell>
          <cell r="K239">
            <v>1890000</v>
          </cell>
        </row>
        <row r="240">
          <cell r="I240" t="str">
            <v>Nộp</v>
          </cell>
          <cell r="J240">
            <v>0</v>
          </cell>
          <cell r="K240">
            <v>1000000</v>
          </cell>
        </row>
        <row r="241">
          <cell r="I241" t="str">
            <v>Nộp</v>
          </cell>
          <cell r="J241">
            <v>0</v>
          </cell>
        </row>
        <row r="242">
          <cell r="I242" t="str">
            <v>Trả</v>
          </cell>
          <cell r="J242">
            <v>0</v>
          </cell>
          <cell r="K242">
            <v>1080000</v>
          </cell>
        </row>
        <row r="243">
          <cell r="H243" t="str">
            <v>WHSU2687090</v>
          </cell>
          <cell r="I243" t="str">
            <v>Đưa</v>
          </cell>
          <cell r="J243">
            <v>1</v>
          </cell>
          <cell r="K243">
            <v>2590000</v>
          </cell>
        </row>
        <row r="244">
          <cell r="I244" t="str">
            <v>A H</v>
          </cell>
          <cell r="J244">
            <v>0</v>
          </cell>
        </row>
        <row r="245">
          <cell r="I245" t="str">
            <v>Mua</v>
          </cell>
          <cell r="J245">
            <v>0</v>
          </cell>
        </row>
        <row r="246">
          <cell r="I246" t="str">
            <v>Anh</v>
          </cell>
          <cell r="J246">
            <v>0</v>
          </cell>
        </row>
        <row r="247">
          <cell r="I247" t="str">
            <v>Thu</v>
          </cell>
          <cell r="J247">
            <v>0</v>
          </cell>
        </row>
        <row r="248">
          <cell r="I248" t="str">
            <v>A H</v>
          </cell>
          <cell r="J248">
            <v>0</v>
          </cell>
        </row>
        <row r="249">
          <cell r="I249" t="str">
            <v>Anh</v>
          </cell>
          <cell r="J249">
            <v>0</v>
          </cell>
        </row>
        <row r="250">
          <cell r="I250" t="str">
            <v>Sửa</v>
          </cell>
          <cell r="J250">
            <v>0</v>
          </cell>
        </row>
        <row r="251">
          <cell r="I251" t="str">
            <v>Mua</v>
          </cell>
          <cell r="J251">
            <v>0</v>
          </cell>
        </row>
        <row r="252">
          <cell r="I252" t="str">
            <v>A H</v>
          </cell>
          <cell r="J252">
            <v>0</v>
          </cell>
        </row>
        <row r="253">
          <cell r="H253" t="str">
            <v>GAOU2116238</v>
          </cell>
          <cell r="I253" t="str">
            <v>Đưa</v>
          </cell>
          <cell r="J253">
            <v>1</v>
          </cell>
          <cell r="K253">
            <v>790000</v>
          </cell>
        </row>
        <row r="254">
          <cell r="H254" t="str">
            <v>GAOU2110435</v>
          </cell>
          <cell r="I254" t="str">
            <v>Đưa</v>
          </cell>
          <cell r="J254">
            <v>1</v>
          </cell>
          <cell r="K254">
            <v>790000</v>
          </cell>
        </row>
        <row r="255">
          <cell r="H255" t="str">
            <v>PCIU9082545</v>
          </cell>
          <cell r="I255" t="str">
            <v>Đưa</v>
          </cell>
          <cell r="J255">
            <v>1</v>
          </cell>
          <cell r="K255">
            <v>1150000</v>
          </cell>
        </row>
        <row r="256">
          <cell r="H256" t="str">
            <v>TCNU5320532</v>
          </cell>
          <cell r="I256" t="str">
            <v>Đưa</v>
          </cell>
          <cell r="J256">
            <v>1</v>
          </cell>
          <cell r="K256">
            <v>650000</v>
          </cell>
        </row>
        <row r="257">
          <cell r="H257" t="str">
            <v>TRHU3295183</v>
          </cell>
          <cell r="I257" t="str">
            <v>Đưa</v>
          </cell>
          <cell r="J257">
            <v>1</v>
          </cell>
          <cell r="K257">
            <v>1060000</v>
          </cell>
        </row>
        <row r="258">
          <cell r="H258" t="str">
            <v>DRYU2923226</v>
          </cell>
          <cell r="I258" t="str">
            <v>Đưa</v>
          </cell>
          <cell r="J258">
            <v>1</v>
          </cell>
          <cell r="K258">
            <v>1160000</v>
          </cell>
        </row>
        <row r="259">
          <cell r="I259" t="str">
            <v>Nộp</v>
          </cell>
          <cell r="J259">
            <v>0</v>
          </cell>
        </row>
        <row r="260">
          <cell r="I260" t="str">
            <v>Nộp</v>
          </cell>
          <cell r="J260">
            <v>0</v>
          </cell>
          <cell r="K260">
            <v>250000</v>
          </cell>
        </row>
        <row r="261">
          <cell r="I261" t="str">
            <v>Nộp</v>
          </cell>
          <cell r="J261">
            <v>0</v>
          </cell>
          <cell r="K261">
            <v>340000</v>
          </cell>
        </row>
        <row r="262">
          <cell r="I262" t="str">
            <v>Nân</v>
          </cell>
          <cell r="J262">
            <v>0</v>
          </cell>
          <cell r="K262">
            <v>484000</v>
          </cell>
        </row>
        <row r="263">
          <cell r="H263" t="str">
            <v>MAGU5766565</v>
          </cell>
          <cell r="I263" t="str">
            <v>Đưa</v>
          </cell>
          <cell r="J263">
            <v>1</v>
          </cell>
          <cell r="K263">
            <v>2740000</v>
          </cell>
        </row>
        <row r="264">
          <cell r="H264" t="str">
            <v>MRKU5717472</v>
          </cell>
          <cell r="I264" t="str">
            <v>Đưa</v>
          </cell>
          <cell r="J264">
            <v>1</v>
          </cell>
          <cell r="K264">
            <v>1890000</v>
          </cell>
        </row>
        <row r="265">
          <cell r="I265" t="str">
            <v>Đưa</v>
          </cell>
          <cell r="J265">
            <v>0</v>
          </cell>
          <cell r="K265">
            <v>1260000</v>
          </cell>
        </row>
        <row r="266">
          <cell r="H266" t="str">
            <v>BMOU6493122</v>
          </cell>
          <cell r="I266" t="str">
            <v>Đưa</v>
          </cell>
          <cell r="J266">
            <v>1</v>
          </cell>
          <cell r="K266">
            <v>970000</v>
          </cell>
        </row>
        <row r="267">
          <cell r="H267" t="str">
            <v>TRHU1344329</v>
          </cell>
          <cell r="I267" t="str">
            <v>Đưa</v>
          </cell>
          <cell r="J267">
            <v>1</v>
          </cell>
          <cell r="K267">
            <v>1380000</v>
          </cell>
        </row>
        <row r="268">
          <cell r="I268" t="str">
            <v>Đưa</v>
          </cell>
          <cell r="J268">
            <v>0</v>
          </cell>
          <cell r="K268">
            <v>760000</v>
          </cell>
        </row>
        <row r="269">
          <cell r="I269" t="str">
            <v>A H</v>
          </cell>
          <cell r="J269">
            <v>0</v>
          </cell>
        </row>
        <row r="270">
          <cell r="I270" t="str">
            <v>Thu</v>
          </cell>
          <cell r="J270">
            <v>0</v>
          </cell>
        </row>
        <row r="271">
          <cell r="I271" t="str">
            <v>A H</v>
          </cell>
          <cell r="J271">
            <v>0</v>
          </cell>
        </row>
        <row r="272">
          <cell r="I272" t="str">
            <v>Đổi</v>
          </cell>
          <cell r="J272">
            <v>0</v>
          </cell>
        </row>
        <row r="273">
          <cell r="I273" t="str">
            <v>Cượ</v>
          </cell>
          <cell r="J273">
            <v>0</v>
          </cell>
          <cell r="K273">
            <v>5000000</v>
          </cell>
        </row>
        <row r="274">
          <cell r="I274" t="str">
            <v>Nộp</v>
          </cell>
          <cell r="J274">
            <v>0</v>
          </cell>
          <cell r="K274">
            <v>500000</v>
          </cell>
        </row>
        <row r="275">
          <cell r="I275" t="str">
            <v>Nộp</v>
          </cell>
          <cell r="J275">
            <v>0</v>
          </cell>
          <cell r="K275">
            <v>90000</v>
          </cell>
        </row>
        <row r="276">
          <cell r="I276" t="str">
            <v>Nộp</v>
          </cell>
          <cell r="J276">
            <v>0</v>
          </cell>
          <cell r="K276">
            <v>500000</v>
          </cell>
        </row>
        <row r="277">
          <cell r="I277" t="str">
            <v>Nộp</v>
          </cell>
          <cell r="J277">
            <v>0</v>
          </cell>
          <cell r="K277">
            <v>340000</v>
          </cell>
        </row>
        <row r="278">
          <cell r="I278" t="str">
            <v>Nộp</v>
          </cell>
          <cell r="J278">
            <v>0</v>
          </cell>
          <cell r="K278">
            <v>385000</v>
          </cell>
        </row>
        <row r="279">
          <cell r="I279" t="str">
            <v>Nộp</v>
          </cell>
          <cell r="J279">
            <v>0</v>
          </cell>
          <cell r="K279">
            <v>400000</v>
          </cell>
        </row>
        <row r="280">
          <cell r="H280" t="str">
            <v>WHSU2651100</v>
          </cell>
          <cell r="I280" t="str">
            <v>Đưa</v>
          </cell>
          <cell r="J280">
            <v>1</v>
          </cell>
          <cell r="K280">
            <v>1650000</v>
          </cell>
        </row>
        <row r="281">
          <cell r="I281" t="str">
            <v xml:space="preserve">hđ </v>
          </cell>
          <cell r="J281">
            <v>0</v>
          </cell>
          <cell r="K281">
            <v>1890000</v>
          </cell>
        </row>
        <row r="282">
          <cell r="I282" t="str">
            <v>Trả</v>
          </cell>
          <cell r="J282">
            <v>0</v>
          </cell>
          <cell r="K282">
            <v>60000</v>
          </cell>
        </row>
        <row r="283">
          <cell r="I283" t="str">
            <v>Trả</v>
          </cell>
          <cell r="J283">
            <v>0</v>
          </cell>
          <cell r="K283">
            <v>50000</v>
          </cell>
        </row>
        <row r="284">
          <cell r="H284" t="str">
            <v>GMDU2181810</v>
          </cell>
          <cell r="I284" t="str">
            <v>Đưa</v>
          </cell>
          <cell r="J284">
            <v>1</v>
          </cell>
          <cell r="K284">
            <v>1160000</v>
          </cell>
        </row>
        <row r="285">
          <cell r="H285" t="str">
            <v>GAOU2114929</v>
          </cell>
          <cell r="I285" t="str">
            <v>Đưa</v>
          </cell>
          <cell r="J285">
            <v>1</v>
          </cell>
          <cell r="K285">
            <v>1320000</v>
          </cell>
        </row>
        <row r="286">
          <cell r="H286" t="str">
            <v>ZCSU7033285</v>
          </cell>
          <cell r="I286" t="str">
            <v>Đưa</v>
          </cell>
          <cell r="J286">
            <v>1</v>
          </cell>
          <cell r="K286">
            <v>530000</v>
          </cell>
        </row>
        <row r="287">
          <cell r="I287" t="str">
            <v>Nộp</v>
          </cell>
          <cell r="J287">
            <v>0</v>
          </cell>
          <cell r="K287">
            <v>759000</v>
          </cell>
        </row>
        <row r="288">
          <cell r="I288" t="str">
            <v>Nộp</v>
          </cell>
          <cell r="J288">
            <v>0</v>
          </cell>
          <cell r="K288">
            <v>1122000</v>
          </cell>
        </row>
        <row r="289">
          <cell r="I289" t="str">
            <v>A H</v>
          </cell>
          <cell r="J289">
            <v>0</v>
          </cell>
        </row>
        <row r="290">
          <cell r="I290" t="str">
            <v>A H</v>
          </cell>
          <cell r="J290">
            <v>0</v>
          </cell>
        </row>
        <row r="291">
          <cell r="I291" t="str">
            <v>A P</v>
          </cell>
          <cell r="J291">
            <v>0</v>
          </cell>
        </row>
        <row r="292">
          <cell r="I292" t="str">
            <v>A P</v>
          </cell>
          <cell r="J292">
            <v>0</v>
          </cell>
        </row>
        <row r="293">
          <cell r="I293" t="str">
            <v>Trả</v>
          </cell>
          <cell r="J293">
            <v>0</v>
          </cell>
        </row>
        <row r="294">
          <cell r="I294" t="str">
            <v>Nộp</v>
          </cell>
          <cell r="J294">
            <v>0</v>
          </cell>
        </row>
        <row r="295">
          <cell r="I295" t="str">
            <v>Thu</v>
          </cell>
          <cell r="J295">
            <v>0</v>
          </cell>
        </row>
        <row r="296">
          <cell r="I296" t="str">
            <v>Tha</v>
          </cell>
          <cell r="J296">
            <v>0</v>
          </cell>
        </row>
        <row r="297">
          <cell r="I297" t="str">
            <v>Anh</v>
          </cell>
          <cell r="J297">
            <v>0</v>
          </cell>
        </row>
        <row r="298">
          <cell r="I298" t="str">
            <v>A H</v>
          </cell>
          <cell r="J298">
            <v>0</v>
          </cell>
        </row>
        <row r="299">
          <cell r="I299" t="str">
            <v>Nộp</v>
          </cell>
          <cell r="J299">
            <v>0</v>
          </cell>
          <cell r="K299">
            <v>500000</v>
          </cell>
        </row>
        <row r="300">
          <cell r="I300" t="str">
            <v>Nộp</v>
          </cell>
          <cell r="J300">
            <v>0</v>
          </cell>
          <cell r="K300">
            <v>90000</v>
          </cell>
        </row>
        <row r="301">
          <cell r="I301" t="str">
            <v>Nộp</v>
          </cell>
          <cell r="J301">
            <v>0</v>
          </cell>
          <cell r="K301">
            <v>250000</v>
          </cell>
        </row>
        <row r="302">
          <cell r="I302" t="str">
            <v>Nộp</v>
          </cell>
          <cell r="J302">
            <v>0</v>
          </cell>
          <cell r="K302">
            <v>340000</v>
          </cell>
        </row>
        <row r="303">
          <cell r="I303" t="str">
            <v>Nộp</v>
          </cell>
          <cell r="J303">
            <v>0</v>
          </cell>
          <cell r="K303">
            <v>250000</v>
          </cell>
        </row>
        <row r="304">
          <cell r="I304" t="str">
            <v>Nộp</v>
          </cell>
          <cell r="J304">
            <v>0</v>
          </cell>
          <cell r="K304">
            <v>340000</v>
          </cell>
        </row>
        <row r="305">
          <cell r="H305" t="str">
            <v>WHLU5627925</v>
          </cell>
          <cell r="I305" t="str">
            <v>Đưa</v>
          </cell>
          <cell r="J305">
            <v>1</v>
          </cell>
          <cell r="K305">
            <v>970000</v>
          </cell>
        </row>
        <row r="306">
          <cell r="H306" t="str">
            <v>CSLU6198771</v>
          </cell>
          <cell r="I306" t="str">
            <v>Đưa</v>
          </cell>
          <cell r="J306">
            <v>1</v>
          </cell>
          <cell r="K306">
            <v>1200000</v>
          </cell>
        </row>
        <row r="307">
          <cell r="H307" t="str">
            <v>GAOU2113624</v>
          </cell>
          <cell r="I307" t="str">
            <v>Đưa</v>
          </cell>
          <cell r="J307">
            <v>1</v>
          </cell>
          <cell r="K307">
            <v>1780000</v>
          </cell>
        </row>
        <row r="308">
          <cell r="H308" t="str">
            <v>TRHU3295898</v>
          </cell>
          <cell r="I308" t="str">
            <v>Đưa</v>
          </cell>
          <cell r="J308">
            <v>1</v>
          </cell>
          <cell r="K308">
            <v>1500000</v>
          </cell>
        </row>
        <row r="309">
          <cell r="I309" t="str">
            <v>A H</v>
          </cell>
          <cell r="J309">
            <v>0</v>
          </cell>
        </row>
        <row r="310">
          <cell r="I310" t="str">
            <v>Anh</v>
          </cell>
          <cell r="J310">
            <v>0</v>
          </cell>
        </row>
        <row r="311">
          <cell r="I311" t="str">
            <v>Tha</v>
          </cell>
          <cell r="J311">
            <v>0</v>
          </cell>
        </row>
        <row r="312">
          <cell r="I312" t="str">
            <v>Tha</v>
          </cell>
          <cell r="J312">
            <v>0</v>
          </cell>
        </row>
        <row r="313">
          <cell r="I313" t="str">
            <v>Anh</v>
          </cell>
          <cell r="J313">
            <v>0</v>
          </cell>
        </row>
        <row r="314">
          <cell r="I314" t="str">
            <v>Háu</v>
          </cell>
          <cell r="J314">
            <v>0</v>
          </cell>
        </row>
        <row r="315">
          <cell r="I315" t="str">
            <v>A H</v>
          </cell>
          <cell r="J315">
            <v>0</v>
          </cell>
        </row>
        <row r="316">
          <cell r="I316" t="str">
            <v xml:space="preserve">Ký </v>
          </cell>
          <cell r="J316">
            <v>0</v>
          </cell>
          <cell r="K316">
            <v>90000</v>
          </cell>
        </row>
        <row r="317">
          <cell r="I317" t="str">
            <v>Nân</v>
          </cell>
          <cell r="J317">
            <v>0</v>
          </cell>
          <cell r="K317">
            <v>759000</v>
          </cell>
        </row>
        <row r="318">
          <cell r="H318" t="str">
            <v>MRSU3408029</v>
          </cell>
          <cell r="I318" t="str">
            <v>Đưa</v>
          </cell>
          <cell r="J318">
            <v>1</v>
          </cell>
          <cell r="K318">
            <v>3820000</v>
          </cell>
        </row>
        <row r="319">
          <cell r="H319" t="str">
            <v>HNSU5002437</v>
          </cell>
          <cell r="I319" t="str">
            <v>Đưa</v>
          </cell>
          <cell r="J319">
            <v>1</v>
          </cell>
          <cell r="K319">
            <v>970000</v>
          </cell>
        </row>
        <row r="320">
          <cell r="H320" t="str">
            <v>FSCU8895811</v>
          </cell>
          <cell r="I320" t="str">
            <v>Đưa</v>
          </cell>
          <cell r="J320">
            <v>1</v>
          </cell>
          <cell r="K320">
            <v>1200000</v>
          </cell>
        </row>
        <row r="321">
          <cell r="H321" t="str">
            <v>FCIU6205013</v>
          </cell>
          <cell r="I321" t="str">
            <v>Đưa</v>
          </cell>
          <cell r="J321">
            <v>1</v>
          </cell>
          <cell r="K321">
            <v>930000</v>
          </cell>
        </row>
        <row r="322">
          <cell r="I322" t="str">
            <v>Nộp</v>
          </cell>
          <cell r="J322">
            <v>0</v>
          </cell>
          <cell r="K322">
            <v>500000</v>
          </cell>
        </row>
        <row r="323">
          <cell r="I323" t="str">
            <v>Thu</v>
          </cell>
          <cell r="J323">
            <v>0</v>
          </cell>
          <cell r="K323">
            <v>0</v>
          </cell>
        </row>
        <row r="324">
          <cell r="I324" t="str">
            <v>Trả</v>
          </cell>
          <cell r="J324">
            <v>0</v>
          </cell>
        </row>
        <row r="325">
          <cell r="H325" t="str">
            <v>GMDU2184276</v>
          </cell>
          <cell r="I325" t="str">
            <v>Đưa</v>
          </cell>
          <cell r="J325">
            <v>1</v>
          </cell>
          <cell r="K325">
            <v>1160000</v>
          </cell>
        </row>
        <row r="326">
          <cell r="H326" t="str">
            <v>CAIU4827278</v>
          </cell>
          <cell r="I326" t="str">
            <v>Đưa</v>
          </cell>
          <cell r="J326">
            <v>1</v>
          </cell>
          <cell r="K326">
            <v>1150000</v>
          </cell>
        </row>
        <row r="327">
          <cell r="I327" t="str">
            <v>Trả</v>
          </cell>
          <cell r="J327">
            <v>0</v>
          </cell>
          <cell r="K327">
            <v>1254000</v>
          </cell>
        </row>
        <row r="328">
          <cell r="I328" t="str">
            <v>Nộp</v>
          </cell>
          <cell r="J328">
            <v>0</v>
          </cell>
          <cell r="K328">
            <v>90000</v>
          </cell>
        </row>
        <row r="329">
          <cell r="H329" t="str">
            <v>SKLU1659993</v>
          </cell>
          <cell r="I329" t="str">
            <v>Đưa</v>
          </cell>
          <cell r="J329">
            <v>1</v>
          </cell>
          <cell r="K329">
            <v>830000</v>
          </cell>
        </row>
        <row r="330">
          <cell r="I330" t="str">
            <v>Trả</v>
          </cell>
          <cell r="J330">
            <v>0</v>
          </cell>
        </row>
        <row r="331">
          <cell r="I331" t="str">
            <v>Trả</v>
          </cell>
          <cell r="J331">
            <v>0</v>
          </cell>
        </row>
        <row r="332">
          <cell r="I332" t="str">
            <v>Trả</v>
          </cell>
          <cell r="J332">
            <v>0</v>
          </cell>
        </row>
        <row r="333">
          <cell r="I333" t="str">
            <v>Trả</v>
          </cell>
          <cell r="J333">
            <v>0</v>
          </cell>
        </row>
        <row r="334">
          <cell r="I334" t="str">
            <v>A H</v>
          </cell>
        </row>
      </sheetData>
      <sheetData sheetId="5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2.2015"/>
      <sheetName val="T01.2016"/>
      <sheetName val="T02.2016"/>
      <sheetName val="03-2016"/>
      <sheetName val="04-2016"/>
      <sheetName val="05-2016"/>
      <sheetName val="06-2016"/>
      <sheetName val="07-2016"/>
      <sheetName val="08-2016"/>
      <sheetName val="09-2016"/>
      <sheetName val="10-2016"/>
      <sheetName val="11-2016"/>
      <sheetName val="12-2016"/>
      <sheetName val="01-2017"/>
      <sheetName val="02-2017"/>
      <sheetName val="03-2017"/>
      <sheetName val="04-2017"/>
      <sheetName val="05-2017"/>
      <sheetName val="06-2017"/>
      <sheetName val="07-2017"/>
      <sheetName val="08-2017"/>
      <sheetName val="09-2017"/>
      <sheetName val="10-2017"/>
      <sheetName val="11-2017"/>
      <sheetName val="12-2017"/>
      <sheetName val="01-2018"/>
      <sheetName val="02-2018"/>
      <sheetName val="03-2018"/>
      <sheetName val="04-2018"/>
      <sheetName val="05-2018"/>
      <sheetName val="06-2018"/>
      <sheetName val="07-2018"/>
      <sheetName val="08-2018"/>
      <sheetName val="09-2018"/>
      <sheetName val="10-2018"/>
      <sheetName val="11.2018"/>
      <sheetName val="12.2018"/>
      <sheetName val="1.2019"/>
      <sheetName val="2.2019"/>
      <sheetName val="3.2019"/>
      <sheetName val="4.2019"/>
      <sheetName val="05.2019"/>
      <sheetName val="06.2019"/>
      <sheetName val="07.2019"/>
      <sheetName val="08.2019"/>
      <sheetName val="09.2019"/>
      <sheetName val="10.2019"/>
      <sheetName val="11.2019"/>
      <sheetName val="12.2019"/>
      <sheetName val="01.2020"/>
      <sheetName val="02.2020"/>
      <sheetName val="03.2020"/>
      <sheetName val="04.2020"/>
      <sheetName val="05.20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51">
          <cell r="Q51">
            <v>119202065</v>
          </cell>
        </row>
      </sheetData>
      <sheetData sheetId="53">
        <row r="39">
          <cell r="Q39">
            <v>6352787</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2020"/>
      <sheetName val="02.2020"/>
      <sheetName val="03.2020"/>
      <sheetName val="04.2020"/>
      <sheetName val="05.2020"/>
      <sheetName val="06.2020 "/>
      <sheetName val="07.2020"/>
      <sheetName val="08.2020"/>
      <sheetName val="09.2020"/>
      <sheetName val="10.2020"/>
      <sheetName val="11.2020"/>
      <sheetName val="12.2020"/>
    </sheetNames>
    <sheetDataSet>
      <sheetData sheetId="0"/>
      <sheetData sheetId="1"/>
      <sheetData sheetId="2"/>
      <sheetData sheetId="3"/>
      <sheetData sheetId="4"/>
      <sheetData sheetId="5"/>
      <sheetData sheetId="6"/>
      <sheetData sheetId="7"/>
      <sheetData sheetId="8">
        <row r="9">
          <cell r="K9">
            <v>8307692.307692307</v>
          </cell>
        </row>
      </sheetData>
      <sheetData sheetId="9">
        <row r="9">
          <cell r="K9">
            <v>9000000</v>
          </cell>
        </row>
      </sheetData>
      <sheetData sheetId="10">
        <row r="9">
          <cell r="K9">
            <v>7615384.615384615</v>
          </cell>
        </row>
      </sheetData>
      <sheetData sheetId="11"/>
    </sheetDataSet>
  </externalBook>
</externalLink>
</file>

<file path=xl/persons/person.xml><?xml version="1.0" encoding="utf-8"?>
<personList xmlns="http://schemas.microsoft.com/office/spreadsheetml/2018/threadedcomments" xmlns:x="http://schemas.openxmlformats.org/spreadsheetml/2006/main">
  <person displayName="Phan Kim Phung" id="{99A657AA-DFA6-4361-8753-6D39DCCC71D8}" userId="Phan Kim Phung" providerId="None"/>
  <person displayName="Phan Kim Phung" id="{D58A67D6-142E-49EB-9A48-D6B81E444A6C}" userId="acb7a17a75687446"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29" dT="2021-11-24T10:41:25.21" personId="{D58A67D6-142E-49EB-9A48-D6B81E444A6C}" id="{29DF1F35-3B67-4903-A0D3-AB4089E7C954}">
    <text>790k???</text>
  </threadedComment>
  <threadedComment ref="J29" dT="2022-01-23T02:54:35.88" personId="{99A657AA-DFA6-4361-8753-6D39DCCC71D8}" id="{1A10C562-26DE-4B78-B1EA-C7EA8EA9B586}" parentId="{29DF1F35-3B67-4903-A0D3-AB4089E7C954}">
    <text>Chưa sửa trong sổ quỹ</text>
  </threadedComment>
  <threadedComment ref="J34" dT="2022-01-23T02:54:58.24" personId="{99A657AA-DFA6-4361-8753-6D39DCCC71D8}" id="{0E355CEB-1100-464C-82BB-FCCCD6A4A947}">
    <text>Đã điều chỉnh còn 100k?</text>
  </threadedComment>
</ThreadedComments>
</file>

<file path=xl/threadedComments/threadedComment2.xml><?xml version="1.0" encoding="utf-8"?>
<ThreadedComments xmlns="http://schemas.microsoft.com/office/spreadsheetml/2018/threadedcomments" xmlns:x="http://schemas.openxmlformats.org/spreadsheetml/2006/main">
  <threadedComment ref="J13" dT="2022-01-23T03:00:20.46" personId="{99A657AA-DFA6-4361-8753-6D39DCCC71D8}" id="{13DA81A2-C2D5-4FF4-B010-C6473CF9E660}">
    <text>Kiểm tra lại vì tiền kết hợp là 300k, đã bù vé vào đường cấm 100k ở dòng trên???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5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4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6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57.bin"/><Relationship Id="rId4" Type="http://schemas.microsoft.com/office/2017/10/relationships/threadedComment" Target="../threadedComments/threadedComment1.xml"/></Relationships>
</file>

<file path=xl/worksheets/_rels/sheet7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58.bin"/><Relationship Id="rId4" Type="http://schemas.microsoft.com/office/2017/10/relationships/threadedComment" Target="../threadedComments/threadedComment2.xml"/></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98.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82.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100.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84.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5"/>
  <sheetViews>
    <sheetView topLeftCell="D13" workbookViewId="0">
      <selection activeCell="J37" sqref="J37"/>
    </sheetView>
  </sheetViews>
  <sheetFormatPr defaultColWidth="9.140625" defaultRowHeight="12.75" x14ac:dyDescent="0.2"/>
  <cols>
    <col min="1" max="1" width="4.5703125" style="2" customWidth="1"/>
    <col min="2" max="2" width="10.28515625" style="48" customWidth="1"/>
    <col min="3" max="3" width="23.42578125" style="2" customWidth="1"/>
    <col min="4" max="4" width="12.42578125" style="2" customWidth="1"/>
    <col min="5" max="5" width="26.7109375" style="2" customWidth="1"/>
    <col min="6" max="6" width="11.5703125" style="2" customWidth="1"/>
    <col min="7" max="7" width="8" style="2" customWidth="1"/>
    <col min="8" max="8" width="11" style="13" customWidth="1"/>
    <col min="9" max="9" width="12.28515625" style="2" customWidth="1"/>
    <col min="10" max="10" width="11.140625" style="13" customWidth="1"/>
    <col min="11" max="11" width="9.5703125" style="13" customWidth="1"/>
    <col min="12" max="12" width="9.42578125" style="13" customWidth="1"/>
    <col min="13" max="13" width="8.5703125" style="13" customWidth="1"/>
    <col min="14" max="14" width="9.5703125" style="13" customWidth="1"/>
    <col min="15" max="15" width="12.7109375" style="13" customWidth="1"/>
    <col min="16" max="16" width="13.85546875" style="13" customWidth="1"/>
    <col min="17" max="17" width="12.28515625" style="13" customWidth="1"/>
    <col min="18" max="18" width="12.5703125" style="13" customWidth="1"/>
    <col min="19" max="19" width="15.85546875" style="2" customWidth="1"/>
    <col min="20" max="20" width="12.140625" style="2" customWidth="1"/>
    <col min="21" max="16384" width="9.140625" style="2"/>
  </cols>
  <sheetData>
    <row r="1" spans="1:22" ht="23.25" x14ac:dyDescent="0.35">
      <c r="A1" s="526" t="s">
        <v>0</v>
      </c>
      <c r="B1" s="526"/>
      <c r="C1" s="526"/>
      <c r="D1" s="526"/>
      <c r="E1" s="526"/>
      <c r="F1" s="526"/>
      <c r="G1" s="526"/>
      <c r="H1" s="526"/>
      <c r="I1" s="526"/>
      <c r="J1" s="526"/>
      <c r="K1" s="526"/>
      <c r="L1" s="526"/>
      <c r="M1" s="526"/>
      <c r="N1" s="526"/>
      <c r="O1" s="526"/>
      <c r="P1" s="526"/>
      <c r="Q1" s="526"/>
      <c r="R1" s="1"/>
    </row>
    <row r="2" spans="1:22" ht="17.25" customHeight="1" x14ac:dyDescent="0.25">
      <c r="A2" s="527" t="s">
        <v>103</v>
      </c>
      <c r="B2" s="527"/>
      <c r="C2" s="527"/>
      <c r="D2" s="527"/>
      <c r="E2" s="527"/>
      <c r="F2" s="527"/>
      <c r="G2" s="527"/>
      <c r="H2" s="527"/>
      <c r="I2" s="527"/>
      <c r="J2" s="527"/>
      <c r="K2" s="527"/>
      <c r="L2" s="527"/>
      <c r="M2" s="527"/>
      <c r="N2" s="527"/>
      <c r="O2" s="527"/>
      <c r="P2" s="527"/>
      <c r="Q2" s="527"/>
      <c r="R2" s="3"/>
    </row>
    <row r="3" spans="1:22" ht="21" customHeight="1" x14ac:dyDescent="0.25">
      <c r="A3" s="50"/>
      <c r="B3" s="50"/>
      <c r="C3" s="50"/>
      <c r="D3" s="50"/>
      <c r="E3" s="50"/>
      <c r="F3" s="50"/>
      <c r="G3" s="50"/>
      <c r="H3" s="50" t="s">
        <v>31</v>
      </c>
      <c r="I3" s="50"/>
      <c r="J3" s="50"/>
      <c r="K3" s="50"/>
      <c r="L3" s="50"/>
      <c r="M3" s="50"/>
      <c r="N3" s="50"/>
      <c r="O3" s="50"/>
      <c r="P3" s="50"/>
      <c r="Q3" s="50"/>
      <c r="R3" s="3"/>
    </row>
    <row r="5" spans="1:22" s="5" customFormat="1" x14ac:dyDescent="0.25">
      <c r="A5" s="528" t="s">
        <v>1</v>
      </c>
      <c r="B5" s="530" t="s">
        <v>2</v>
      </c>
      <c r="C5" s="528" t="s">
        <v>3</v>
      </c>
      <c r="D5" s="528" t="s">
        <v>5</v>
      </c>
      <c r="E5" s="532" t="s">
        <v>4</v>
      </c>
      <c r="F5" s="532" t="s">
        <v>17</v>
      </c>
      <c r="G5" s="534" t="s">
        <v>6</v>
      </c>
      <c r="H5" s="534"/>
      <c r="I5" s="534"/>
      <c r="J5" s="534"/>
      <c r="K5" s="534"/>
      <c r="L5" s="534"/>
      <c r="M5" s="534"/>
      <c r="N5" s="534"/>
      <c r="O5" s="521" t="s">
        <v>18</v>
      </c>
      <c r="P5" s="521" t="s">
        <v>13</v>
      </c>
      <c r="Q5" s="521" t="s">
        <v>14</v>
      </c>
      <c r="R5" s="4"/>
    </row>
    <row r="6" spans="1:22" s="5" customFormat="1" x14ac:dyDescent="0.25">
      <c r="A6" s="529"/>
      <c r="B6" s="531"/>
      <c r="C6" s="529"/>
      <c r="D6" s="529"/>
      <c r="E6" s="533"/>
      <c r="F6" s="533"/>
      <c r="G6" s="6" t="s">
        <v>7</v>
      </c>
      <c r="H6" s="7" t="s">
        <v>15</v>
      </c>
      <c r="I6" s="6" t="s">
        <v>16</v>
      </c>
      <c r="J6" s="7" t="s">
        <v>8</v>
      </c>
      <c r="K6" s="7" t="s">
        <v>9</v>
      </c>
      <c r="L6" s="7" t="s">
        <v>10</v>
      </c>
      <c r="M6" s="7" t="s">
        <v>11</v>
      </c>
      <c r="N6" s="7" t="s">
        <v>12</v>
      </c>
      <c r="O6" s="522"/>
      <c r="P6" s="522"/>
      <c r="Q6" s="522"/>
      <c r="R6" s="4"/>
    </row>
    <row r="7" spans="1:22" ht="13.5" thickBot="1" x14ac:dyDescent="0.25">
      <c r="A7" s="8"/>
      <c r="B7" s="9"/>
      <c r="C7" s="10"/>
      <c r="D7" s="10"/>
      <c r="E7" s="8"/>
      <c r="F7" s="8"/>
      <c r="G7" s="11"/>
      <c r="H7" s="12"/>
      <c r="I7" s="8"/>
      <c r="J7" s="12"/>
      <c r="K7" s="12"/>
      <c r="L7" s="12"/>
      <c r="M7" s="12"/>
      <c r="N7" s="12"/>
      <c r="O7" s="12">
        <f>H7+J7+K7+L7+M7+N7</f>
        <v>0</v>
      </c>
      <c r="P7" s="12"/>
      <c r="Q7" s="12">
        <f>P7-O7</f>
        <v>0</v>
      </c>
    </row>
    <row r="8" spans="1:22" ht="13.5" thickBot="1" x14ac:dyDescent="0.25">
      <c r="A8" s="8">
        <v>1</v>
      </c>
      <c r="B8" s="14">
        <v>42705</v>
      </c>
      <c r="C8" s="15" t="s">
        <v>97</v>
      </c>
      <c r="D8" s="16" t="s">
        <v>55</v>
      </c>
      <c r="E8" s="17" t="s">
        <v>85</v>
      </c>
      <c r="F8" s="8"/>
      <c r="G8" s="11"/>
      <c r="H8" s="18">
        <f>G8*13510</f>
        <v>0</v>
      </c>
      <c r="I8" s="18"/>
      <c r="J8" s="12">
        <v>1750000</v>
      </c>
      <c r="K8" s="12"/>
      <c r="L8" s="12"/>
      <c r="M8" s="12"/>
      <c r="N8" s="12"/>
      <c r="O8" s="12">
        <f>H8+J8+K8+L8+M8+N8</f>
        <v>1750000</v>
      </c>
      <c r="P8" s="12">
        <f>S8</f>
        <v>5760000</v>
      </c>
      <c r="Q8" s="12">
        <f>P8-O8</f>
        <v>4010000</v>
      </c>
      <c r="S8" s="52">
        <v>5760000</v>
      </c>
    </row>
    <row r="9" spans="1:22" ht="13.5" thickBot="1" x14ac:dyDescent="0.25">
      <c r="A9" s="10">
        <v>2</v>
      </c>
      <c r="B9" s="14">
        <v>42339</v>
      </c>
      <c r="C9" s="15" t="s">
        <v>93</v>
      </c>
      <c r="D9" s="16" t="s">
        <v>56</v>
      </c>
      <c r="E9" s="17" t="s">
        <v>20</v>
      </c>
      <c r="F9" s="10"/>
      <c r="G9" s="11">
        <v>220</v>
      </c>
      <c r="H9" s="18">
        <f>G9*13510</f>
        <v>2972200</v>
      </c>
      <c r="I9" s="19"/>
      <c r="J9" s="11">
        <v>1750000</v>
      </c>
      <c r="K9" s="11"/>
      <c r="L9" s="11"/>
      <c r="M9" s="11"/>
      <c r="N9" s="11"/>
      <c r="O9" s="12">
        <f t="shared" ref="O9:O45" si="0">H9+J9+K9+L9+M9+N9</f>
        <v>4722200</v>
      </c>
      <c r="P9" s="12">
        <f t="shared" ref="P9:P37" si="1">S9</f>
        <v>6060000</v>
      </c>
      <c r="Q9" s="12">
        <f t="shared" ref="Q9:Q45" si="2">P9-O9</f>
        <v>1337800</v>
      </c>
      <c r="S9" s="52">
        <v>6060000</v>
      </c>
      <c r="U9" s="20"/>
      <c r="V9" s="20"/>
    </row>
    <row r="10" spans="1:22" s="20" customFormat="1" ht="19.5" customHeight="1" thickBot="1" x14ac:dyDescent="0.25">
      <c r="A10" s="8">
        <v>3</v>
      </c>
      <c r="B10" s="14">
        <v>42340</v>
      </c>
      <c r="C10" s="15" t="s">
        <v>94</v>
      </c>
      <c r="D10" s="16" t="s">
        <v>57</v>
      </c>
      <c r="E10" s="17" t="s">
        <v>86</v>
      </c>
      <c r="F10" s="21"/>
      <c r="G10" s="11">
        <v>0</v>
      </c>
      <c r="H10" s="19">
        <f t="shared" ref="H10:H28" si="3">G10*13510</f>
        <v>0</v>
      </c>
      <c r="I10" s="19"/>
      <c r="J10" s="22">
        <v>1690000</v>
      </c>
      <c r="K10" s="22"/>
      <c r="L10" s="22"/>
      <c r="M10" s="22"/>
      <c r="N10" s="22"/>
      <c r="O10" s="12">
        <f t="shared" si="0"/>
        <v>1690000</v>
      </c>
      <c r="P10" s="12">
        <f t="shared" si="1"/>
        <v>5660000</v>
      </c>
      <c r="Q10" s="12">
        <f t="shared" si="2"/>
        <v>3970000</v>
      </c>
      <c r="R10" s="13"/>
      <c r="S10" s="52">
        <v>5660000</v>
      </c>
      <c r="T10" s="2"/>
    </row>
    <row r="11" spans="1:22" s="20" customFormat="1" ht="20.25" customHeight="1" thickBot="1" x14ac:dyDescent="0.25">
      <c r="A11" s="8">
        <v>4</v>
      </c>
      <c r="B11" s="14">
        <v>42341</v>
      </c>
      <c r="C11" s="15" t="s">
        <v>95</v>
      </c>
      <c r="D11" s="16" t="s">
        <v>58</v>
      </c>
      <c r="E11" s="17" t="s">
        <v>87</v>
      </c>
      <c r="F11" s="21"/>
      <c r="G11" s="11">
        <v>220</v>
      </c>
      <c r="H11" s="19">
        <f>G11*13230</f>
        <v>2910600</v>
      </c>
      <c r="I11" s="19"/>
      <c r="J11" s="22">
        <v>1740000</v>
      </c>
      <c r="K11" s="22"/>
      <c r="L11" s="22"/>
      <c r="M11" s="22"/>
      <c r="N11" s="22"/>
      <c r="O11" s="12">
        <f t="shared" si="0"/>
        <v>4650600</v>
      </c>
      <c r="P11" s="12">
        <f t="shared" si="1"/>
        <v>5960000</v>
      </c>
      <c r="Q11" s="12">
        <f t="shared" si="2"/>
        <v>1309400</v>
      </c>
      <c r="R11" s="13"/>
      <c r="S11" s="52">
        <v>5960000</v>
      </c>
      <c r="T11" s="2"/>
    </row>
    <row r="12" spans="1:22" s="20" customFormat="1" ht="19.5" customHeight="1" thickBot="1" x14ac:dyDescent="0.25">
      <c r="A12" s="10">
        <v>5</v>
      </c>
      <c r="B12" s="14">
        <v>42342</v>
      </c>
      <c r="C12" s="15" t="s">
        <v>96</v>
      </c>
      <c r="D12" s="16" t="s">
        <v>59</v>
      </c>
      <c r="E12" s="17" t="s">
        <v>28</v>
      </c>
      <c r="F12" s="21"/>
      <c r="G12" s="11">
        <v>0</v>
      </c>
      <c r="H12" s="19">
        <f t="shared" ref="H12:H24" si="4">G12*13230</f>
        <v>0</v>
      </c>
      <c r="I12" s="19"/>
      <c r="J12" s="22">
        <v>1430000</v>
      </c>
      <c r="K12" s="22"/>
      <c r="L12" s="22"/>
      <c r="M12" s="22"/>
      <c r="N12" s="22"/>
      <c r="O12" s="12">
        <f t="shared" si="0"/>
        <v>1430000</v>
      </c>
      <c r="P12" s="12">
        <f t="shared" si="1"/>
        <v>5580000</v>
      </c>
      <c r="Q12" s="12">
        <f t="shared" si="2"/>
        <v>4150000</v>
      </c>
      <c r="R12" s="13"/>
      <c r="S12" s="52">
        <v>5580000</v>
      </c>
      <c r="T12" s="2"/>
    </row>
    <row r="13" spans="1:22" s="20" customFormat="1" ht="21" customHeight="1" thickBot="1" x14ac:dyDescent="0.25">
      <c r="A13" s="8">
        <v>6</v>
      </c>
      <c r="B13" s="14">
        <v>42343</v>
      </c>
      <c r="C13" s="15" t="s">
        <v>32</v>
      </c>
      <c r="D13" s="16" t="s">
        <v>60</v>
      </c>
      <c r="E13" s="17" t="s">
        <v>26</v>
      </c>
      <c r="F13" s="21"/>
      <c r="G13" s="11">
        <v>0</v>
      </c>
      <c r="H13" s="19">
        <f t="shared" si="4"/>
        <v>0</v>
      </c>
      <c r="I13" s="19"/>
      <c r="J13" s="22">
        <v>1720000</v>
      </c>
      <c r="K13" s="22"/>
      <c r="L13" s="22"/>
      <c r="M13" s="22"/>
      <c r="N13" s="22"/>
      <c r="O13" s="12">
        <f t="shared" si="0"/>
        <v>1720000</v>
      </c>
      <c r="P13" s="12">
        <f t="shared" si="1"/>
        <v>6460000</v>
      </c>
      <c r="Q13" s="12">
        <f t="shared" si="2"/>
        <v>4740000</v>
      </c>
      <c r="R13" s="13"/>
      <c r="S13" s="52">
        <v>6460000</v>
      </c>
      <c r="T13" s="2"/>
    </row>
    <row r="14" spans="1:22" s="20" customFormat="1" ht="13.5" thickBot="1" x14ac:dyDescent="0.25">
      <c r="A14" s="8">
        <v>7</v>
      </c>
      <c r="B14" s="14">
        <v>42343</v>
      </c>
      <c r="C14" s="15" t="s">
        <v>33</v>
      </c>
      <c r="D14" s="16" t="s">
        <v>61</v>
      </c>
      <c r="E14" s="17" t="s">
        <v>25</v>
      </c>
      <c r="F14" s="21"/>
      <c r="G14" s="11">
        <v>238</v>
      </c>
      <c r="H14" s="19">
        <f t="shared" si="4"/>
        <v>3148740</v>
      </c>
      <c r="I14" s="19"/>
      <c r="J14" s="22">
        <v>0</v>
      </c>
      <c r="K14" s="22"/>
      <c r="L14" s="22"/>
      <c r="M14" s="22"/>
      <c r="N14" s="22"/>
      <c r="O14" s="12">
        <f t="shared" si="0"/>
        <v>3148740</v>
      </c>
      <c r="P14" s="12">
        <f t="shared" si="1"/>
        <v>0</v>
      </c>
      <c r="Q14" s="12">
        <f t="shared" si="2"/>
        <v>-3148740</v>
      </c>
      <c r="R14" s="13"/>
      <c r="S14" s="53">
        <v>0</v>
      </c>
      <c r="T14" s="2"/>
    </row>
    <row r="15" spans="1:22" s="20" customFormat="1" ht="19.5" customHeight="1" thickBot="1" x14ac:dyDescent="0.25">
      <c r="A15" s="10">
        <v>8</v>
      </c>
      <c r="B15" s="14">
        <v>42343</v>
      </c>
      <c r="C15" s="15" t="s">
        <v>34</v>
      </c>
      <c r="D15" s="16" t="s">
        <v>62</v>
      </c>
      <c r="E15" s="17" t="s">
        <v>22</v>
      </c>
      <c r="F15" s="21"/>
      <c r="G15" s="11">
        <v>0</v>
      </c>
      <c r="H15" s="19">
        <f t="shared" si="4"/>
        <v>0</v>
      </c>
      <c r="I15" s="19"/>
      <c r="J15" s="22">
        <v>1750000</v>
      </c>
      <c r="K15" s="22"/>
      <c r="L15" s="22"/>
      <c r="M15" s="22"/>
      <c r="N15" s="22"/>
      <c r="O15" s="12">
        <f t="shared" si="0"/>
        <v>1750000</v>
      </c>
      <c r="P15" s="12">
        <f t="shared" si="1"/>
        <v>3360000</v>
      </c>
      <c r="Q15" s="12">
        <f t="shared" si="2"/>
        <v>1610000</v>
      </c>
      <c r="R15" s="13"/>
      <c r="S15" s="52">
        <v>3360000</v>
      </c>
      <c r="T15" s="2"/>
    </row>
    <row r="16" spans="1:22" s="20" customFormat="1" ht="13.5" thickBot="1" x14ac:dyDescent="0.25">
      <c r="A16" s="8">
        <v>9</v>
      </c>
      <c r="B16" s="14">
        <v>42343</v>
      </c>
      <c r="C16" s="15" t="s">
        <v>35</v>
      </c>
      <c r="D16" s="16" t="s">
        <v>63</v>
      </c>
      <c r="E16" s="17" t="s">
        <v>88</v>
      </c>
      <c r="F16" s="21"/>
      <c r="G16" s="11">
        <v>0</v>
      </c>
      <c r="H16" s="19">
        <f t="shared" si="4"/>
        <v>0</v>
      </c>
      <c r="I16" s="19"/>
      <c r="J16" s="22">
        <v>0</v>
      </c>
      <c r="K16" s="22"/>
      <c r="L16" s="22"/>
      <c r="M16" s="22"/>
      <c r="N16" s="22"/>
      <c r="O16" s="12">
        <f t="shared" si="0"/>
        <v>0</v>
      </c>
      <c r="P16" s="12">
        <f t="shared" si="1"/>
        <v>4200000</v>
      </c>
      <c r="Q16" s="12">
        <f t="shared" si="2"/>
        <v>4200000</v>
      </c>
      <c r="R16" s="13"/>
      <c r="S16" s="52">
        <v>4200000</v>
      </c>
      <c r="T16" s="2"/>
    </row>
    <row r="17" spans="1:22" s="20" customFormat="1" ht="20.25" customHeight="1" thickBot="1" x14ac:dyDescent="0.25">
      <c r="A17" s="8">
        <v>10</v>
      </c>
      <c r="B17" s="14">
        <v>42345</v>
      </c>
      <c r="C17" s="15" t="s">
        <v>98</v>
      </c>
      <c r="D17" s="16" t="s">
        <v>64</v>
      </c>
      <c r="E17" s="17" t="s">
        <v>28</v>
      </c>
      <c r="F17" s="21"/>
      <c r="G17" s="11">
        <v>210</v>
      </c>
      <c r="H17" s="19">
        <f t="shared" si="4"/>
        <v>2778300</v>
      </c>
      <c r="I17" s="19"/>
      <c r="J17" s="22">
        <v>1430000</v>
      </c>
      <c r="K17" s="22"/>
      <c r="L17" s="22"/>
      <c r="M17" s="22"/>
      <c r="N17" s="22"/>
      <c r="O17" s="12">
        <f t="shared" si="0"/>
        <v>4208300</v>
      </c>
      <c r="P17" s="12">
        <f t="shared" si="1"/>
        <v>5580000</v>
      </c>
      <c r="Q17" s="12">
        <f t="shared" si="2"/>
        <v>1371700</v>
      </c>
      <c r="R17" s="13"/>
      <c r="S17" s="52">
        <v>5580000</v>
      </c>
      <c r="T17" s="2"/>
    </row>
    <row r="18" spans="1:22" s="20" customFormat="1" ht="19.5" customHeight="1" thickBot="1" x14ac:dyDescent="0.25">
      <c r="A18" s="10">
        <v>11</v>
      </c>
      <c r="B18" s="14">
        <v>42346</v>
      </c>
      <c r="C18" s="15" t="s">
        <v>36</v>
      </c>
      <c r="D18" s="16" t="s">
        <v>65</v>
      </c>
      <c r="E18" s="17" t="s">
        <v>27</v>
      </c>
      <c r="F18" s="21"/>
      <c r="G18" s="11">
        <v>0</v>
      </c>
      <c r="H18" s="19">
        <f t="shared" si="4"/>
        <v>0</v>
      </c>
      <c r="I18" s="19"/>
      <c r="J18" s="22">
        <v>1430000</v>
      </c>
      <c r="K18" s="22"/>
      <c r="L18" s="22"/>
      <c r="M18" s="22"/>
      <c r="N18" s="22"/>
      <c r="O18" s="12">
        <f t="shared" si="0"/>
        <v>1430000</v>
      </c>
      <c r="P18" s="12">
        <f t="shared" si="1"/>
        <v>2890000</v>
      </c>
      <c r="Q18" s="12">
        <f t="shared" si="2"/>
        <v>1460000</v>
      </c>
      <c r="R18" s="13"/>
      <c r="S18" s="52">
        <v>2890000</v>
      </c>
      <c r="T18" s="2"/>
    </row>
    <row r="19" spans="1:22" s="20" customFormat="1" ht="13.5" thickBot="1" x14ac:dyDescent="0.25">
      <c r="A19" s="8">
        <v>12</v>
      </c>
      <c r="B19" s="14">
        <v>42346</v>
      </c>
      <c r="C19" s="15" t="s">
        <v>37</v>
      </c>
      <c r="D19" s="16" t="s">
        <v>66</v>
      </c>
      <c r="E19" s="17" t="s">
        <v>88</v>
      </c>
      <c r="F19" s="21"/>
      <c r="G19" s="11">
        <v>0</v>
      </c>
      <c r="H19" s="19">
        <f t="shared" si="4"/>
        <v>0</v>
      </c>
      <c r="I19" s="19"/>
      <c r="J19" s="22">
        <v>0</v>
      </c>
      <c r="K19" s="22"/>
      <c r="L19" s="22"/>
      <c r="M19" s="22"/>
      <c r="N19" s="22"/>
      <c r="O19" s="12">
        <f t="shared" si="0"/>
        <v>0</v>
      </c>
      <c r="P19" s="12">
        <f t="shared" si="1"/>
        <v>4200000</v>
      </c>
      <c r="Q19" s="12">
        <f t="shared" si="2"/>
        <v>4200000</v>
      </c>
      <c r="R19" s="13"/>
      <c r="S19" s="52">
        <v>4200000</v>
      </c>
      <c r="T19" s="2"/>
      <c r="U19" s="2"/>
      <c r="V19" s="2"/>
    </row>
    <row r="20" spans="1:22" s="20" customFormat="1" ht="18.75" customHeight="1" thickBot="1" x14ac:dyDescent="0.25">
      <c r="A20" s="8">
        <v>13</v>
      </c>
      <c r="B20" s="14">
        <v>42347</v>
      </c>
      <c r="C20" s="15" t="s">
        <v>38</v>
      </c>
      <c r="D20" s="16" t="s">
        <v>67</v>
      </c>
      <c r="E20" s="17" t="s">
        <v>24</v>
      </c>
      <c r="F20" s="21"/>
      <c r="G20" s="11">
        <v>275</v>
      </c>
      <c r="H20" s="19">
        <f t="shared" si="4"/>
        <v>3638250</v>
      </c>
      <c r="I20" s="19"/>
      <c r="J20" s="22">
        <v>2320000</v>
      </c>
      <c r="K20" s="22"/>
      <c r="L20" s="22"/>
      <c r="M20" s="22"/>
      <c r="N20" s="22"/>
      <c r="O20" s="12">
        <f t="shared" si="0"/>
        <v>5958250</v>
      </c>
      <c r="P20" s="12">
        <f t="shared" si="1"/>
        <v>10000000</v>
      </c>
      <c r="Q20" s="12">
        <f t="shared" si="2"/>
        <v>4041750</v>
      </c>
      <c r="R20" s="13"/>
      <c r="S20" s="52">
        <v>10000000</v>
      </c>
      <c r="T20" s="2"/>
      <c r="U20" s="2"/>
      <c r="V20" s="2"/>
    </row>
    <row r="21" spans="1:22" s="20" customFormat="1" ht="13.5" thickBot="1" x14ac:dyDescent="0.25">
      <c r="A21" s="10">
        <v>14</v>
      </c>
      <c r="B21" s="14">
        <v>42349</v>
      </c>
      <c r="C21" s="15" t="s">
        <v>39</v>
      </c>
      <c r="D21" s="16" t="s">
        <v>68</v>
      </c>
      <c r="E21" s="17" t="s">
        <v>27</v>
      </c>
      <c r="F21" s="21"/>
      <c r="G21" s="11">
        <v>0</v>
      </c>
      <c r="H21" s="19">
        <f t="shared" si="4"/>
        <v>0</v>
      </c>
      <c r="I21" s="19"/>
      <c r="J21" s="22">
        <v>1450000</v>
      </c>
      <c r="K21" s="22"/>
      <c r="L21" s="22"/>
      <c r="M21" s="22"/>
      <c r="N21" s="22"/>
      <c r="O21" s="12">
        <f t="shared" si="0"/>
        <v>1450000</v>
      </c>
      <c r="P21" s="12">
        <f t="shared" si="1"/>
        <v>5580000</v>
      </c>
      <c r="Q21" s="12">
        <f t="shared" si="2"/>
        <v>4130000</v>
      </c>
      <c r="R21" s="13"/>
      <c r="S21" s="52">
        <v>5580000</v>
      </c>
      <c r="T21" s="2"/>
      <c r="U21" s="2"/>
      <c r="V21" s="2"/>
    </row>
    <row r="22" spans="1:22" s="20" customFormat="1" ht="13.5" thickBot="1" x14ac:dyDescent="0.25">
      <c r="A22" s="8">
        <v>15</v>
      </c>
      <c r="B22" s="14">
        <v>42349</v>
      </c>
      <c r="C22" s="15" t="s">
        <v>40</v>
      </c>
      <c r="D22" s="16" t="s">
        <v>69</v>
      </c>
      <c r="E22" s="17" t="s">
        <v>30</v>
      </c>
      <c r="F22" s="21"/>
      <c r="G22" s="11">
        <v>0</v>
      </c>
      <c r="H22" s="19">
        <f t="shared" si="4"/>
        <v>0</v>
      </c>
      <c r="I22" s="19"/>
      <c r="J22" s="22">
        <v>0</v>
      </c>
      <c r="K22" s="22"/>
      <c r="L22" s="22"/>
      <c r="M22" s="22"/>
      <c r="N22" s="22"/>
      <c r="O22" s="12">
        <f t="shared" si="0"/>
        <v>0</v>
      </c>
      <c r="P22" s="12">
        <f t="shared" si="1"/>
        <v>0</v>
      </c>
      <c r="Q22" s="12">
        <f t="shared" si="2"/>
        <v>0</v>
      </c>
      <c r="R22" s="13"/>
      <c r="S22" s="53">
        <v>0</v>
      </c>
      <c r="T22" s="2"/>
      <c r="U22" s="2"/>
      <c r="V22" s="2"/>
    </row>
    <row r="23" spans="1:22" s="20" customFormat="1" ht="19.5" customHeight="1" thickBot="1" x14ac:dyDescent="0.25">
      <c r="A23" s="8">
        <v>16</v>
      </c>
      <c r="B23" s="14">
        <v>42351</v>
      </c>
      <c r="C23" s="15" t="s">
        <v>41</v>
      </c>
      <c r="D23" s="16" t="s">
        <v>70</v>
      </c>
      <c r="E23" s="17" t="s">
        <v>22</v>
      </c>
      <c r="F23" s="21"/>
      <c r="G23" s="11">
        <v>0</v>
      </c>
      <c r="H23" s="19">
        <f t="shared" si="4"/>
        <v>0</v>
      </c>
      <c r="I23" s="19"/>
      <c r="J23" s="22">
        <v>1740000</v>
      </c>
      <c r="K23" s="22"/>
      <c r="L23" s="22"/>
      <c r="M23" s="22"/>
      <c r="N23" s="22"/>
      <c r="O23" s="12">
        <f t="shared" si="0"/>
        <v>1740000</v>
      </c>
      <c r="P23" s="12">
        <f t="shared" si="1"/>
        <v>3360000</v>
      </c>
      <c r="Q23" s="12">
        <f t="shared" si="2"/>
        <v>1620000</v>
      </c>
      <c r="R23" s="13"/>
      <c r="S23" s="52">
        <v>3360000</v>
      </c>
      <c r="T23" s="2"/>
      <c r="U23" s="2"/>
      <c r="V23" s="2"/>
    </row>
    <row r="24" spans="1:22" s="20" customFormat="1" ht="13.5" thickBot="1" x14ac:dyDescent="0.25">
      <c r="A24" s="10">
        <v>17</v>
      </c>
      <c r="B24" s="14">
        <v>42351</v>
      </c>
      <c r="C24" s="15" t="s">
        <v>42</v>
      </c>
      <c r="D24" s="16" t="s">
        <v>71</v>
      </c>
      <c r="E24" s="17" t="s">
        <v>88</v>
      </c>
      <c r="F24" s="21"/>
      <c r="G24" s="11">
        <v>238</v>
      </c>
      <c r="H24" s="19">
        <f t="shared" si="4"/>
        <v>3148740</v>
      </c>
      <c r="I24" s="19"/>
      <c r="J24" s="22">
        <v>0</v>
      </c>
      <c r="K24" s="22"/>
      <c r="L24" s="22"/>
      <c r="M24" s="22"/>
      <c r="N24" s="22"/>
      <c r="O24" s="12">
        <f t="shared" si="0"/>
        <v>3148740</v>
      </c>
      <c r="P24" s="12">
        <f t="shared" si="1"/>
        <v>4200000</v>
      </c>
      <c r="Q24" s="12">
        <f t="shared" si="2"/>
        <v>1051260</v>
      </c>
      <c r="R24" s="13"/>
      <c r="S24" s="52">
        <v>4200000</v>
      </c>
      <c r="T24" s="2"/>
      <c r="U24" s="2"/>
      <c r="V24" s="2"/>
    </row>
    <row r="25" spans="1:22" s="20" customFormat="1" ht="13.5" thickBot="1" x14ac:dyDescent="0.25">
      <c r="A25" s="8">
        <v>18</v>
      </c>
      <c r="B25" s="14">
        <v>42352</v>
      </c>
      <c r="C25" s="15" t="s">
        <v>43</v>
      </c>
      <c r="D25" s="16" t="s">
        <v>72</v>
      </c>
      <c r="E25" s="17" t="s">
        <v>27</v>
      </c>
      <c r="F25" s="21"/>
      <c r="G25" s="11"/>
      <c r="H25" s="19">
        <f t="shared" si="3"/>
        <v>0</v>
      </c>
      <c r="I25" s="19"/>
      <c r="J25" s="22">
        <v>1520000</v>
      </c>
      <c r="K25" s="22"/>
      <c r="L25" s="22"/>
      <c r="M25" s="22"/>
      <c r="N25" s="22"/>
      <c r="O25" s="12">
        <f t="shared" si="0"/>
        <v>1520000</v>
      </c>
      <c r="P25" s="12">
        <f t="shared" si="1"/>
        <v>5780000</v>
      </c>
      <c r="Q25" s="12">
        <f t="shared" si="2"/>
        <v>4260000</v>
      </c>
      <c r="R25" s="13"/>
      <c r="S25" s="52">
        <v>5780000</v>
      </c>
      <c r="T25" s="2"/>
      <c r="U25" s="2"/>
      <c r="V25" s="2"/>
    </row>
    <row r="26" spans="1:22" s="20" customFormat="1" ht="13.5" thickBot="1" x14ac:dyDescent="0.25">
      <c r="A26" s="8">
        <v>19</v>
      </c>
      <c r="B26" s="14">
        <v>42352</v>
      </c>
      <c r="C26" s="15" t="s">
        <v>44</v>
      </c>
      <c r="D26" s="16" t="s">
        <v>73</v>
      </c>
      <c r="E26" s="17" t="s">
        <v>89</v>
      </c>
      <c r="F26" s="21"/>
      <c r="G26" s="11"/>
      <c r="H26" s="19">
        <f t="shared" si="3"/>
        <v>0</v>
      </c>
      <c r="I26" s="19"/>
      <c r="J26" s="22">
        <v>0</v>
      </c>
      <c r="K26" s="22"/>
      <c r="L26" s="22"/>
      <c r="M26" s="22"/>
      <c r="N26" s="22"/>
      <c r="O26" s="12">
        <f t="shared" si="0"/>
        <v>0</v>
      </c>
      <c r="P26" s="12">
        <f t="shared" si="1"/>
        <v>0</v>
      </c>
      <c r="Q26" s="12">
        <f t="shared" si="2"/>
        <v>0</v>
      </c>
      <c r="R26" s="13"/>
      <c r="S26" s="53">
        <v>0</v>
      </c>
      <c r="T26" s="2"/>
      <c r="U26" s="2"/>
      <c r="V26" s="2"/>
    </row>
    <row r="27" spans="1:22" s="20" customFormat="1" ht="13.5" thickBot="1" x14ac:dyDescent="0.25">
      <c r="A27" s="10">
        <v>20</v>
      </c>
      <c r="B27" s="14">
        <v>42354</v>
      </c>
      <c r="C27" s="15" t="s">
        <v>45</v>
      </c>
      <c r="D27" s="16" t="s">
        <v>74</v>
      </c>
      <c r="E27" s="17" t="s">
        <v>90</v>
      </c>
      <c r="F27" s="21"/>
      <c r="G27" s="11"/>
      <c r="H27" s="19">
        <f t="shared" si="3"/>
        <v>0</v>
      </c>
      <c r="I27" s="19"/>
      <c r="J27" s="22">
        <v>1520000</v>
      </c>
      <c r="K27" s="22"/>
      <c r="L27" s="22"/>
      <c r="M27" s="22"/>
      <c r="N27" s="22"/>
      <c r="O27" s="12">
        <f t="shared" si="0"/>
        <v>1520000</v>
      </c>
      <c r="P27" s="12">
        <f t="shared" si="1"/>
        <v>3000000</v>
      </c>
      <c r="Q27" s="12">
        <f t="shared" si="2"/>
        <v>1480000</v>
      </c>
      <c r="R27" s="13"/>
      <c r="S27" s="52">
        <v>3000000</v>
      </c>
      <c r="T27" s="2"/>
      <c r="U27" s="2"/>
      <c r="V27" s="2"/>
    </row>
    <row r="28" spans="1:22" s="20" customFormat="1" ht="13.5" thickBot="1" x14ac:dyDescent="0.25">
      <c r="A28" s="8">
        <v>21</v>
      </c>
      <c r="B28" s="14">
        <v>42354</v>
      </c>
      <c r="C28" s="15" t="s">
        <v>46</v>
      </c>
      <c r="D28" s="16" t="s">
        <v>75</v>
      </c>
      <c r="E28" s="17" t="s">
        <v>27</v>
      </c>
      <c r="F28" s="21"/>
      <c r="G28" s="11"/>
      <c r="H28" s="19">
        <f t="shared" si="3"/>
        <v>0</v>
      </c>
      <c r="I28" s="19"/>
      <c r="J28" s="22">
        <v>200000</v>
      </c>
      <c r="K28" s="22"/>
      <c r="L28" s="22"/>
      <c r="M28" s="22"/>
      <c r="N28" s="22"/>
      <c r="O28" s="12">
        <f t="shared" si="0"/>
        <v>200000</v>
      </c>
      <c r="P28" s="12">
        <f t="shared" si="1"/>
        <v>3090909</v>
      </c>
      <c r="Q28" s="12">
        <f t="shared" si="2"/>
        <v>2890909</v>
      </c>
      <c r="R28" s="13"/>
      <c r="S28" s="52">
        <v>3090909</v>
      </c>
      <c r="T28" s="2"/>
      <c r="U28" s="2"/>
      <c r="V28" s="2"/>
    </row>
    <row r="29" spans="1:22" s="20" customFormat="1" ht="13.5" thickBot="1" x14ac:dyDescent="0.25">
      <c r="A29" s="8">
        <v>22</v>
      </c>
      <c r="B29" s="14">
        <v>42356</v>
      </c>
      <c r="C29" s="15" t="s">
        <v>47</v>
      </c>
      <c r="D29" s="16" t="s">
        <v>76</v>
      </c>
      <c r="E29" s="17" t="s">
        <v>29</v>
      </c>
      <c r="F29" s="21"/>
      <c r="G29" s="11">
        <v>200</v>
      </c>
      <c r="H29" s="19">
        <f>G29*11980</f>
        <v>2396000</v>
      </c>
      <c r="I29" s="19"/>
      <c r="J29" s="22">
        <v>1750000</v>
      </c>
      <c r="K29" s="22"/>
      <c r="L29" s="22"/>
      <c r="M29" s="22"/>
      <c r="N29" s="22"/>
      <c r="O29" s="12">
        <f t="shared" si="0"/>
        <v>4146000</v>
      </c>
      <c r="P29" s="12">
        <f t="shared" si="1"/>
        <v>6460000</v>
      </c>
      <c r="Q29" s="12">
        <f t="shared" si="2"/>
        <v>2314000</v>
      </c>
      <c r="R29" s="13"/>
      <c r="S29" s="52">
        <v>6460000</v>
      </c>
      <c r="T29" s="2"/>
      <c r="U29" s="2"/>
      <c r="V29" s="2"/>
    </row>
    <row r="30" spans="1:22" s="20" customFormat="1" ht="13.5" thickBot="1" x14ac:dyDescent="0.25">
      <c r="A30" s="10">
        <v>23</v>
      </c>
      <c r="B30" s="14">
        <v>42356</v>
      </c>
      <c r="C30" s="15" t="s">
        <v>48</v>
      </c>
      <c r="D30" s="16" t="s">
        <v>77</v>
      </c>
      <c r="E30" s="17" t="s">
        <v>25</v>
      </c>
      <c r="F30" s="21"/>
      <c r="G30" s="11"/>
      <c r="H30" s="19">
        <f t="shared" ref="H30:H37" si="5">G30*11980</f>
        <v>0</v>
      </c>
      <c r="I30" s="19"/>
      <c r="J30" s="22">
        <v>0</v>
      </c>
      <c r="K30" s="22"/>
      <c r="L30" s="22"/>
      <c r="M30" s="22"/>
      <c r="N30" s="22"/>
      <c r="O30" s="12">
        <f t="shared" si="0"/>
        <v>0</v>
      </c>
      <c r="P30" s="12">
        <f t="shared" si="1"/>
        <v>0</v>
      </c>
      <c r="Q30" s="12">
        <f t="shared" si="2"/>
        <v>0</v>
      </c>
      <c r="R30" s="13"/>
      <c r="S30" s="54">
        <v>0</v>
      </c>
      <c r="T30" s="2"/>
      <c r="U30" s="2"/>
      <c r="V30" s="2"/>
    </row>
    <row r="31" spans="1:22" s="20" customFormat="1" ht="13.5" thickBot="1" x14ac:dyDescent="0.25">
      <c r="A31" s="8">
        <v>24</v>
      </c>
      <c r="B31" s="14">
        <v>42357</v>
      </c>
      <c r="C31" s="15" t="s">
        <v>49</v>
      </c>
      <c r="D31" s="16" t="s">
        <v>78</v>
      </c>
      <c r="E31" s="17" t="s">
        <v>29</v>
      </c>
      <c r="F31" s="21"/>
      <c r="G31" s="11"/>
      <c r="H31" s="19">
        <f t="shared" si="5"/>
        <v>0</v>
      </c>
      <c r="I31" s="19"/>
      <c r="J31" s="22">
        <v>1740000</v>
      </c>
      <c r="K31" s="22"/>
      <c r="L31" s="22"/>
      <c r="M31" s="22"/>
      <c r="N31" s="22"/>
      <c r="O31" s="12">
        <f t="shared" si="0"/>
        <v>1740000</v>
      </c>
      <c r="P31" s="12">
        <f t="shared" si="1"/>
        <v>3000000</v>
      </c>
      <c r="Q31" s="12">
        <f t="shared" si="2"/>
        <v>1260000</v>
      </c>
      <c r="R31" s="13"/>
      <c r="S31" s="52">
        <v>3000000</v>
      </c>
      <c r="T31" s="2"/>
      <c r="U31" s="2"/>
      <c r="V31" s="2"/>
    </row>
    <row r="32" spans="1:22" s="20" customFormat="1" ht="13.5" thickBot="1" x14ac:dyDescent="0.25">
      <c r="A32" s="8">
        <v>25</v>
      </c>
      <c r="B32" s="14">
        <v>42357</v>
      </c>
      <c r="C32" s="15" t="s">
        <v>50</v>
      </c>
      <c r="D32" s="16" t="s">
        <v>79</v>
      </c>
      <c r="E32" s="17" t="s">
        <v>88</v>
      </c>
      <c r="F32" s="21"/>
      <c r="G32" s="11"/>
      <c r="H32" s="19">
        <f t="shared" si="5"/>
        <v>0</v>
      </c>
      <c r="I32" s="19"/>
      <c r="J32" s="22">
        <v>0</v>
      </c>
      <c r="K32" s="22"/>
      <c r="L32" s="22"/>
      <c r="M32" s="22"/>
      <c r="N32" s="22"/>
      <c r="O32" s="12">
        <f t="shared" si="0"/>
        <v>0</v>
      </c>
      <c r="P32" s="12">
        <f t="shared" si="1"/>
        <v>4200000</v>
      </c>
      <c r="Q32" s="12">
        <f t="shared" si="2"/>
        <v>4200000</v>
      </c>
      <c r="R32" s="13"/>
      <c r="S32" s="52">
        <v>4200000</v>
      </c>
      <c r="T32" s="2"/>
      <c r="U32" s="2"/>
      <c r="V32" s="2"/>
    </row>
    <row r="33" spans="1:22" s="20" customFormat="1" ht="19.5" customHeight="1" thickBot="1" x14ac:dyDescent="0.25">
      <c r="A33" s="10">
        <v>26</v>
      </c>
      <c r="B33" s="14">
        <v>42358</v>
      </c>
      <c r="C33" s="15" t="s">
        <v>51</v>
      </c>
      <c r="D33" s="16" t="s">
        <v>80</v>
      </c>
      <c r="E33" s="17" t="s">
        <v>22</v>
      </c>
      <c r="F33" s="21"/>
      <c r="G33" s="11">
        <v>263</v>
      </c>
      <c r="H33" s="19">
        <f t="shared" si="5"/>
        <v>3150740</v>
      </c>
      <c r="I33" s="19"/>
      <c r="J33" s="22">
        <v>1740000</v>
      </c>
      <c r="K33" s="22"/>
      <c r="L33" s="22"/>
      <c r="M33" s="22"/>
      <c r="N33" s="22"/>
      <c r="O33" s="12">
        <f t="shared" si="0"/>
        <v>4890740</v>
      </c>
      <c r="P33" s="12">
        <f t="shared" si="1"/>
        <v>3360000</v>
      </c>
      <c r="Q33" s="12">
        <f t="shared" si="2"/>
        <v>-1530740</v>
      </c>
      <c r="R33" s="13"/>
      <c r="S33" s="52">
        <v>3360000</v>
      </c>
      <c r="T33" s="2"/>
      <c r="U33" s="2"/>
      <c r="V33" s="2"/>
    </row>
    <row r="34" spans="1:22" s="20" customFormat="1" ht="13.5" thickBot="1" x14ac:dyDescent="0.25">
      <c r="A34" s="8">
        <v>27</v>
      </c>
      <c r="B34" s="14">
        <v>42358</v>
      </c>
      <c r="C34" s="15" t="s">
        <v>52</v>
      </c>
      <c r="D34" s="16" t="s">
        <v>81</v>
      </c>
      <c r="E34" s="17" t="s">
        <v>88</v>
      </c>
      <c r="F34" s="21"/>
      <c r="G34" s="11"/>
      <c r="H34" s="19">
        <f t="shared" si="5"/>
        <v>0</v>
      </c>
      <c r="I34" s="19"/>
      <c r="J34" s="22">
        <v>0</v>
      </c>
      <c r="K34" s="22"/>
      <c r="L34" s="22"/>
      <c r="M34" s="22"/>
      <c r="N34" s="22"/>
      <c r="O34" s="12">
        <f t="shared" si="0"/>
        <v>0</v>
      </c>
      <c r="P34" s="12">
        <f t="shared" si="1"/>
        <v>4200000</v>
      </c>
      <c r="Q34" s="12">
        <f t="shared" si="2"/>
        <v>4200000</v>
      </c>
      <c r="R34" s="13"/>
      <c r="S34" s="52">
        <v>4200000</v>
      </c>
      <c r="T34" s="2"/>
      <c r="U34" s="2"/>
      <c r="V34" s="2"/>
    </row>
    <row r="35" spans="1:22" s="20" customFormat="1" ht="19.5" customHeight="1" thickBot="1" x14ac:dyDescent="0.25">
      <c r="A35" s="8">
        <v>28</v>
      </c>
      <c r="B35" s="14">
        <v>42359</v>
      </c>
      <c r="C35" s="15" t="s">
        <v>92</v>
      </c>
      <c r="D35" s="16" t="s">
        <v>82</v>
      </c>
      <c r="E35" s="17" t="s">
        <v>20</v>
      </c>
      <c r="F35" s="21"/>
      <c r="G35" s="11">
        <v>260</v>
      </c>
      <c r="H35" s="19">
        <f t="shared" si="5"/>
        <v>3114800</v>
      </c>
      <c r="I35" s="21"/>
      <c r="J35" s="22">
        <v>1750000</v>
      </c>
      <c r="K35" s="22"/>
      <c r="L35" s="23"/>
      <c r="M35" s="22"/>
      <c r="N35" s="22"/>
      <c r="O35" s="12">
        <f t="shared" si="0"/>
        <v>4864800</v>
      </c>
      <c r="P35" s="12">
        <f t="shared" si="1"/>
        <v>6060000</v>
      </c>
      <c r="Q35" s="12">
        <f t="shared" si="2"/>
        <v>1195200</v>
      </c>
      <c r="R35" s="13"/>
      <c r="S35" s="52">
        <v>6060000</v>
      </c>
      <c r="T35" s="2"/>
      <c r="U35" s="2"/>
      <c r="V35" s="2"/>
    </row>
    <row r="36" spans="1:22" s="20" customFormat="1" ht="13.5" thickBot="1" x14ac:dyDescent="0.25">
      <c r="A36" s="10">
        <v>29</v>
      </c>
      <c r="B36" s="14">
        <v>42361</v>
      </c>
      <c r="C36" s="15" t="s">
        <v>53</v>
      </c>
      <c r="D36" s="16" t="s">
        <v>83</v>
      </c>
      <c r="E36" s="17" t="s">
        <v>21</v>
      </c>
      <c r="F36" s="21"/>
      <c r="G36" s="11"/>
      <c r="H36" s="19">
        <f t="shared" si="5"/>
        <v>0</v>
      </c>
      <c r="I36" s="21"/>
      <c r="J36" s="22">
        <v>3100000</v>
      </c>
      <c r="K36" s="22"/>
      <c r="L36" s="23"/>
      <c r="M36" s="23"/>
      <c r="N36" s="22"/>
      <c r="O36" s="12">
        <f t="shared" si="0"/>
        <v>3100000</v>
      </c>
      <c r="P36" s="12">
        <f t="shared" si="1"/>
        <v>13636364</v>
      </c>
      <c r="Q36" s="12">
        <f t="shared" si="2"/>
        <v>10536364</v>
      </c>
      <c r="R36" s="13"/>
      <c r="S36" s="52">
        <v>13636364</v>
      </c>
      <c r="T36" s="2"/>
      <c r="U36" s="2"/>
      <c r="V36" s="2"/>
    </row>
    <row r="37" spans="1:22" s="20" customFormat="1" ht="20.25" customHeight="1" thickBot="1" x14ac:dyDescent="0.25">
      <c r="A37" s="8">
        <v>30</v>
      </c>
      <c r="B37" s="14">
        <v>42363</v>
      </c>
      <c r="C37" s="15" t="s">
        <v>54</v>
      </c>
      <c r="D37" s="16" t="s">
        <v>84</v>
      </c>
      <c r="E37" s="17" t="s">
        <v>91</v>
      </c>
      <c r="F37" s="21"/>
      <c r="G37" s="11">
        <v>593</v>
      </c>
      <c r="H37" s="19">
        <f t="shared" si="5"/>
        <v>7104140</v>
      </c>
      <c r="I37" s="21"/>
      <c r="J37" s="22">
        <f>8000000+8000000</f>
        <v>16000000</v>
      </c>
      <c r="K37" s="22"/>
      <c r="L37" s="23"/>
      <c r="M37" s="22"/>
      <c r="N37" s="22"/>
      <c r="O37" s="12">
        <f t="shared" si="0"/>
        <v>23104140</v>
      </c>
      <c r="P37" s="12">
        <f t="shared" si="1"/>
        <v>45000000</v>
      </c>
      <c r="Q37" s="12">
        <f t="shared" si="2"/>
        <v>21895860</v>
      </c>
      <c r="R37" s="13"/>
      <c r="S37" s="52">
        <v>45000000</v>
      </c>
      <c r="T37" s="2"/>
      <c r="U37" s="2"/>
      <c r="V37" s="2"/>
    </row>
    <row r="38" spans="1:22" s="20" customFormat="1" x14ac:dyDescent="0.2">
      <c r="A38" s="8"/>
      <c r="B38" s="51">
        <v>42353</v>
      </c>
      <c r="C38" s="25" t="s">
        <v>102</v>
      </c>
      <c r="D38" s="26"/>
      <c r="E38" s="27"/>
      <c r="F38" s="28"/>
      <c r="G38" s="29"/>
      <c r="H38" s="29"/>
      <c r="I38" s="28"/>
      <c r="J38" s="30"/>
      <c r="K38" s="30"/>
      <c r="L38" s="31">
        <v>600000</v>
      </c>
      <c r="M38" s="22"/>
      <c r="N38" s="31"/>
      <c r="O38" s="12">
        <f t="shared" si="0"/>
        <v>600000</v>
      </c>
      <c r="P38" s="12"/>
      <c r="Q38" s="12">
        <f t="shared" si="2"/>
        <v>-600000</v>
      </c>
      <c r="R38" s="13"/>
      <c r="S38" s="2"/>
      <c r="T38" s="2"/>
      <c r="U38" s="2"/>
      <c r="V38" s="2"/>
    </row>
    <row r="39" spans="1:22" s="20" customFormat="1" x14ac:dyDescent="0.2">
      <c r="A39" s="8"/>
      <c r="B39" s="51">
        <v>42357</v>
      </c>
      <c r="C39" s="25" t="s">
        <v>99</v>
      </c>
      <c r="D39" s="26"/>
      <c r="E39" s="27"/>
      <c r="F39" s="28"/>
      <c r="G39" s="29"/>
      <c r="H39" s="29"/>
      <c r="I39" s="28"/>
      <c r="J39" s="30"/>
      <c r="K39" s="30"/>
      <c r="L39" s="31">
        <v>450000</v>
      </c>
      <c r="M39" s="22"/>
      <c r="N39" s="31"/>
      <c r="O39" s="12">
        <f t="shared" si="0"/>
        <v>450000</v>
      </c>
      <c r="P39" s="12"/>
      <c r="Q39" s="12">
        <f t="shared" si="2"/>
        <v>-450000</v>
      </c>
      <c r="R39" s="13"/>
      <c r="S39" s="2"/>
      <c r="T39" s="2"/>
      <c r="U39" s="2"/>
      <c r="V39" s="2"/>
    </row>
    <row r="40" spans="1:22" s="20" customFormat="1" x14ac:dyDescent="0.2">
      <c r="A40" s="8"/>
      <c r="B40" s="51">
        <v>42364</v>
      </c>
      <c r="C40" s="25" t="s">
        <v>100</v>
      </c>
      <c r="D40" s="26"/>
      <c r="E40" s="27"/>
      <c r="F40" s="28"/>
      <c r="G40" s="29"/>
      <c r="H40" s="29"/>
      <c r="I40" s="28"/>
      <c r="J40" s="30"/>
      <c r="K40" s="30"/>
      <c r="L40" s="31"/>
      <c r="M40" s="22"/>
      <c r="N40" s="31">
        <v>2200000</v>
      </c>
      <c r="O40" s="12">
        <f t="shared" si="0"/>
        <v>2200000</v>
      </c>
      <c r="P40" s="12"/>
      <c r="Q40" s="12">
        <f t="shared" si="2"/>
        <v>-2200000</v>
      </c>
      <c r="R40" s="13"/>
      <c r="S40" s="2"/>
      <c r="T40" s="2"/>
      <c r="U40" s="2"/>
      <c r="V40" s="2"/>
    </row>
    <row r="41" spans="1:22" s="20" customFormat="1" x14ac:dyDescent="0.2">
      <c r="A41" s="8"/>
      <c r="B41" s="51"/>
      <c r="C41" s="25" t="s">
        <v>23</v>
      </c>
      <c r="D41" s="26"/>
      <c r="E41" s="27"/>
      <c r="F41" s="28"/>
      <c r="G41" s="29"/>
      <c r="H41" s="29"/>
      <c r="I41" s="28"/>
      <c r="J41" s="30"/>
      <c r="K41" s="30"/>
      <c r="L41" s="31">
        <v>1200000</v>
      </c>
      <c r="M41" s="22"/>
      <c r="N41" s="31"/>
      <c r="O41" s="12">
        <f t="shared" si="0"/>
        <v>1200000</v>
      </c>
      <c r="P41" s="12"/>
      <c r="Q41" s="12">
        <f t="shared" si="2"/>
        <v>-1200000</v>
      </c>
      <c r="R41" s="13"/>
      <c r="S41" s="2"/>
      <c r="T41" s="2"/>
      <c r="U41" s="2"/>
      <c r="V41" s="2"/>
    </row>
    <row r="42" spans="1:22" s="20" customFormat="1" x14ac:dyDescent="0.2">
      <c r="A42" s="21"/>
      <c r="B42" s="24"/>
      <c r="C42" s="32"/>
      <c r="D42" s="33"/>
      <c r="E42" s="32"/>
      <c r="F42" s="34"/>
      <c r="G42" s="35"/>
      <c r="H42" s="35"/>
      <c r="I42" s="34"/>
      <c r="J42" s="23"/>
      <c r="K42" s="23"/>
      <c r="L42" s="23"/>
      <c r="M42" s="22"/>
      <c r="N42" s="31"/>
      <c r="O42" s="12">
        <f t="shared" si="0"/>
        <v>0</v>
      </c>
      <c r="P42" s="12"/>
      <c r="Q42" s="12">
        <f t="shared" si="2"/>
        <v>0</v>
      </c>
      <c r="R42" s="13"/>
      <c r="S42" s="2"/>
      <c r="T42" s="2"/>
      <c r="U42" s="2"/>
      <c r="V42" s="2"/>
    </row>
    <row r="43" spans="1:22" s="20" customFormat="1" x14ac:dyDescent="0.2">
      <c r="A43" s="8"/>
      <c r="B43" s="24"/>
      <c r="C43" s="36" t="s">
        <v>101</v>
      </c>
      <c r="D43" s="33"/>
      <c r="E43" s="32"/>
      <c r="F43" s="34"/>
      <c r="G43" s="35"/>
      <c r="H43" s="35"/>
      <c r="I43" s="34"/>
      <c r="J43" s="23"/>
      <c r="K43" s="37">
        <v>9500000</v>
      </c>
      <c r="L43" s="23"/>
      <c r="M43" s="22"/>
      <c r="N43" s="22"/>
      <c r="O43" s="12">
        <f t="shared" si="0"/>
        <v>9500000</v>
      </c>
      <c r="P43" s="12"/>
      <c r="Q43" s="12">
        <f t="shared" si="2"/>
        <v>-9500000</v>
      </c>
      <c r="R43" s="13"/>
      <c r="S43" s="2"/>
      <c r="T43" s="2"/>
      <c r="U43" s="2"/>
      <c r="V43" s="2"/>
    </row>
    <row r="44" spans="1:22" s="20" customFormat="1" x14ac:dyDescent="0.2">
      <c r="A44" s="10"/>
      <c r="B44" s="38"/>
      <c r="C44" s="39"/>
      <c r="D44" s="21"/>
      <c r="E44" s="40"/>
      <c r="F44" s="21"/>
      <c r="G44" s="21"/>
      <c r="H44" s="11"/>
      <c r="I44" s="21"/>
      <c r="J44" s="22"/>
      <c r="K44" s="22"/>
      <c r="L44" s="41"/>
      <c r="M44" s="22"/>
      <c r="N44" s="22"/>
      <c r="O44" s="12">
        <f t="shared" si="0"/>
        <v>0</v>
      </c>
      <c r="P44" s="12"/>
      <c r="Q44" s="12">
        <f t="shared" si="2"/>
        <v>0</v>
      </c>
      <c r="R44" s="13"/>
      <c r="S44" s="2"/>
      <c r="T44" s="2"/>
      <c r="U44" s="2"/>
      <c r="V44" s="2"/>
    </row>
    <row r="45" spans="1:22" x14ac:dyDescent="0.2">
      <c r="A45" s="10"/>
      <c r="B45" s="42"/>
      <c r="C45" s="43"/>
      <c r="D45" s="44"/>
      <c r="E45" s="43"/>
      <c r="F45" s="44"/>
      <c r="G45" s="44"/>
      <c r="H45" s="11"/>
      <c r="I45" s="44"/>
      <c r="J45" s="45"/>
      <c r="K45" s="45"/>
      <c r="L45" s="45"/>
      <c r="M45" s="45"/>
      <c r="N45" s="45"/>
      <c r="O45" s="12">
        <f t="shared" si="0"/>
        <v>0</v>
      </c>
      <c r="P45" s="12"/>
      <c r="Q45" s="12">
        <f t="shared" si="2"/>
        <v>0</v>
      </c>
    </row>
    <row r="46" spans="1:22" x14ac:dyDescent="0.2">
      <c r="A46" s="523" t="s">
        <v>19</v>
      </c>
      <c r="B46" s="524"/>
      <c r="C46" s="524"/>
      <c r="D46" s="524"/>
      <c r="E46" s="524"/>
      <c r="F46" s="525"/>
      <c r="G46" s="46">
        <f t="shared" ref="G46:Q46" si="6">SUM(G7:G45)</f>
        <v>2717</v>
      </c>
      <c r="H46" s="47">
        <f t="shared" si="6"/>
        <v>34362510</v>
      </c>
      <c r="I46" s="47">
        <f t="shared" si="6"/>
        <v>0</v>
      </c>
      <c r="J46" s="47">
        <f t="shared" si="6"/>
        <v>49520000</v>
      </c>
      <c r="K46" s="47">
        <f t="shared" si="6"/>
        <v>9500000</v>
      </c>
      <c r="L46" s="47">
        <f t="shared" si="6"/>
        <v>2250000</v>
      </c>
      <c r="M46" s="47">
        <f t="shared" si="6"/>
        <v>0</v>
      </c>
      <c r="N46" s="47">
        <f t="shared" si="6"/>
        <v>2200000</v>
      </c>
      <c r="O46" s="47">
        <f t="shared" si="6"/>
        <v>97832510</v>
      </c>
      <c r="P46" s="47">
        <f t="shared" si="6"/>
        <v>176637273</v>
      </c>
      <c r="Q46" s="47">
        <f t="shared" si="6"/>
        <v>78804763</v>
      </c>
      <c r="R46" s="57" t="s">
        <v>104</v>
      </c>
    </row>
    <row r="47" spans="1:22" x14ac:dyDescent="0.2">
      <c r="H47" s="13">
        <v>37672460</v>
      </c>
      <c r="O47" s="49">
        <f>H46+J46+K46+L46+M46+N46</f>
        <v>97832510</v>
      </c>
      <c r="Q47" s="49">
        <f>P46-O46</f>
        <v>78804763</v>
      </c>
      <c r="R47" s="56" t="s">
        <v>105</v>
      </c>
      <c r="S47" s="13">
        <v>59671014.545454547</v>
      </c>
    </row>
    <row r="48" spans="1:22" x14ac:dyDescent="0.2">
      <c r="H48" s="13">
        <f>H46-H47</f>
        <v>-3309950</v>
      </c>
      <c r="O48" s="13">
        <f>O46-O47</f>
        <v>0</v>
      </c>
      <c r="Q48" s="13">
        <f>Q46-Q47</f>
        <v>0</v>
      </c>
      <c r="R48" s="56" t="s">
        <v>106</v>
      </c>
      <c r="S48" s="13">
        <v>66107925.454545453</v>
      </c>
    </row>
    <row r="49" spans="18:20" x14ac:dyDescent="0.2">
      <c r="R49" s="56" t="s">
        <v>107</v>
      </c>
      <c r="S49" s="13">
        <v>94571846.363636345</v>
      </c>
    </row>
    <row r="50" spans="18:20" x14ac:dyDescent="0.2">
      <c r="R50" s="56" t="s">
        <v>108</v>
      </c>
      <c r="S50" s="13">
        <v>97662843</v>
      </c>
    </row>
    <row r="51" spans="18:20" x14ac:dyDescent="0.2">
      <c r="R51" s="56" t="s">
        <v>109</v>
      </c>
      <c r="S51" s="13">
        <v>79840158</v>
      </c>
    </row>
    <row r="52" spans="18:20" x14ac:dyDescent="0.2">
      <c r="R52" s="56" t="s">
        <v>110</v>
      </c>
      <c r="S52" s="13">
        <v>57073230</v>
      </c>
    </row>
    <row r="53" spans="18:20" x14ac:dyDescent="0.2">
      <c r="R53" s="56" t="s">
        <v>111</v>
      </c>
      <c r="S53" s="13">
        <v>54358584</v>
      </c>
    </row>
    <row r="54" spans="18:20" x14ac:dyDescent="0.2">
      <c r="R54" s="56" t="s">
        <v>112</v>
      </c>
      <c r="S54" s="13">
        <f>Q46</f>
        <v>78804763</v>
      </c>
    </row>
    <row r="55" spans="18:20" x14ac:dyDescent="0.2">
      <c r="R55" s="57" t="s">
        <v>113</v>
      </c>
      <c r="S55" s="55">
        <f>SUM(S47:S54)</f>
        <v>588090364.36363637</v>
      </c>
      <c r="T55" s="55">
        <f>S55/8</f>
        <v>73511295.545454547</v>
      </c>
    </row>
  </sheetData>
  <mergeCells count="13">
    <mergeCell ref="P5:P6"/>
    <mergeCell ref="Q5:Q6"/>
    <mergeCell ref="A46:F46"/>
    <mergeCell ref="A1:Q1"/>
    <mergeCell ref="A2:Q2"/>
    <mergeCell ref="A5:A6"/>
    <mergeCell ref="B5:B6"/>
    <mergeCell ref="C5:C6"/>
    <mergeCell ref="D5:D6"/>
    <mergeCell ref="E5:E6"/>
    <mergeCell ref="F5:F6"/>
    <mergeCell ref="G5:N5"/>
    <mergeCell ref="O5:O6"/>
  </mergeCells>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32"/>
  <sheetViews>
    <sheetView topLeftCell="D16" workbookViewId="0">
      <selection activeCell="R24" sqref="R24"/>
    </sheetView>
  </sheetViews>
  <sheetFormatPr defaultColWidth="9.140625" defaultRowHeight="12.75" x14ac:dyDescent="0.2"/>
  <cols>
    <col min="1" max="1" width="4.5703125" style="2" customWidth="1"/>
    <col min="2" max="2" width="10.28515625" style="97" customWidth="1"/>
    <col min="3" max="3" width="30.5703125" style="2" customWidth="1"/>
    <col min="4" max="4" width="12.42578125" style="2" customWidth="1"/>
    <col min="5" max="5" width="32.85546875" style="2" customWidth="1"/>
    <col min="6" max="6" width="11.5703125" style="2" customWidth="1"/>
    <col min="7" max="7" width="8" style="2" customWidth="1"/>
    <col min="8" max="8" width="11" style="13" customWidth="1"/>
    <col min="9" max="9" width="12.28515625" style="2" customWidth="1"/>
    <col min="10" max="10" width="11.140625" style="13" customWidth="1"/>
    <col min="11" max="11" width="9.5703125" style="13" customWidth="1"/>
    <col min="12" max="12" width="9.42578125" style="13" customWidth="1"/>
    <col min="13" max="13" width="8.5703125" style="13" customWidth="1"/>
    <col min="14" max="14" width="9.5703125" style="13" customWidth="1"/>
    <col min="15" max="15" width="12.7109375" style="13" customWidth="1"/>
    <col min="16" max="16" width="13.85546875" style="13" customWidth="1"/>
    <col min="17" max="17" width="12.28515625" style="13" customWidth="1"/>
    <col min="18" max="18" width="15.85546875" style="2" customWidth="1"/>
    <col min="19" max="19" width="12.140625" style="2" customWidth="1"/>
    <col min="20" max="16384" width="9.140625" style="2"/>
  </cols>
  <sheetData>
    <row r="1" spans="1:21" ht="23.25" x14ac:dyDescent="0.35">
      <c r="A1" s="526" t="s">
        <v>0</v>
      </c>
      <c r="B1" s="526"/>
      <c r="C1" s="526"/>
      <c r="D1" s="526"/>
      <c r="E1" s="526"/>
      <c r="F1" s="526"/>
      <c r="G1" s="526"/>
      <c r="H1" s="526"/>
      <c r="I1" s="526"/>
      <c r="J1" s="526"/>
      <c r="K1" s="526"/>
      <c r="L1" s="526"/>
      <c r="M1" s="526"/>
      <c r="N1" s="526"/>
      <c r="O1" s="526"/>
      <c r="P1" s="526"/>
      <c r="Q1" s="526"/>
    </row>
    <row r="2" spans="1:21" ht="17.25" customHeight="1" x14ac:dyDescent="0.25">
      <c r="A2" s="535" t="s">
        <v>103</v>
      </c>
      <c r="B2" s="535"/>
      <c r="C2" s="535"/>
      <c r="D2" s="535"/>
      <c r="E2" s="535"/>
      <c r="F2" s="535"/>
      <c r="G2" s="535"/>
      <c r="H2" s="535"/>
      <c r="I2" s="535"/>
      <c r="J2" s="535"/>
      <c r="K2" s="535"/>
      <c r="L2" s="535"/>
      <c r="M2" s="535"/>
      <c r="N2" s="535"/>
      <c r="O2" s="535"/>
      <c r="P2" s="535"/>
      <c r="Q2" s="535"/>
    </row>
    <row r="3" spans="1:21" ht="21" customHeight="1" x14ac:dyDescent="0.25">
      <c r="A3" s="50"/>
      <c r="B3" s="535" t="s">
        <v>114</v>
      </c>
      <c r="C3" s="535"/>
      <c r="D3" s="535"/>
      <c r="E3" s="535"/>
      <c r="F3" s="535"/>
      <c r="G3" s="535"/>
      <c r="H3" s="535"/>
      <c r="I3" s="535"/>
      <c r="J3" s="535"/>
      <c r="K3" s="535"/>
      <c r="L3" s="535"/>
      <c r="M3" s="535"/>
      <c r="N3" s="535"/>
      <c r="O3" s="535"/>
      <c r="P3" s="535"/>
      <c r="Q3" s="535"/>
    </row>
    <row r="5" spans="1:21" s="5" customFormat="1" x14ac:dyDescent="0.25">
      <c r="A5" s="528" t="s">
        <v>1</v>
      </c>
      <c r="B5" s="536" t="s">
        <v>2</v>
      </c>
      <c r="C5" s="528" t="s">
        <v>3</v>
      </c>
      <c r="D5" s="528" t="s">
        <v>5</v>
      </c>
      <c r="E5" s="532" t="s">
        <v>4</v>
      </c>
      <c r="F5" s="532" t="s">
        <v>17</v>
      </c>
      <c r="G5" s="534" t="s">
        <v>6</v>
      </c>
      <c r="H5" s="534"/>
      <c r="I5" s="534"/>
      <c r="J5" s="534"/>
      <c r="K5" s="534"/>
      <c r="L5" s="534"/>
      <c r="M5" s="534"/>
      <c r="N5" s="534"/>
      <c r="O5" s="521" t="s">
        <v>18</v>
      </c>
      <c r="P5" s="521" t="s">
        <v>13</v>
      </c>
      <c r="Q5" s="521" t="s">
        <v>14</v>
      </c>
    </row>
    <row r="6" spans="1:21" s="5" customFormat="1" ht="13.5" thickBot="1" x14ac:dyDescent="0.3">
      <c r="A6" s="529"/>
      <c r="B6" s="537"/>
      <c r="C6" s="529"/>
      <c r="D6" s="529"/>
      <c r="E6" s="533"/>
      <c r="F6" s="533"/>
      <c r="G6" s="6" t="s">
        <v>7</v>
      </c>
      <c r="H6" s="7" t="s">
        <v>15</v>
      </c>
      <c r="I6" s="6" t="s">
        <v>16</v>
      </c>
      <c r="J6" s="7" t="s">
        <v>8</v>
      </c>
      <c r="K6" s="7" t="s">
        <v>9</v>
      </c>
      <c r="L6" s="7" t="s">
        <v>10</v>
      </c>
      <c r="M6" s="7" t="s">
        <v>11</v>
      </c>
      <c r="N6" s="7" t="s">
        <v>12</v>
      </c>
      <c r="O6" s="522"/>
      <c r="P6" s="522"/>
      <c r="Q6" s="522"/>
    </row>
    <row r="7" spans="1:21" s="20" customFormat="1" ht="13.5" thickBot="1" x14ac:dyDescent="0.25">
      <c r="A7" s="10"/>
      <c r="B7" s="94"/>
      <c r="C7" s="15"/>
      <c r="D7" s="16"/>
      <c r="E7" s="17"/>
      <c r="F7" s="21"/>
      <c r="G7" s="11"/>
      <c r="H7" s="19"/>
      <c r="I7" s="19"/>
      <c r="J7" s="22"/>
      <c r="K7" s="22"/>
      <c r="L7" s="22"/>
      <c r="M7" s="22"/>
      <c r="N7" s="22"/>
      <c r="O7" s="12"/>
      <c r="P7" s="12"/>
      <c r="Q7" s="12"/>
      <c r="R7" s="54"/>
      <c r="S7" s="2"/>
      <c r="T7" s="2"/>
      <c r="U7" s="2"/>
    </row>
    <row r="8" spans="1:21" s="20" customFormat="1" x14ac:dyDescent="0.2">
      <c r="A8" s="8">
        <v>1</v>
      </c>
      <c r="B8" s="94"/>
      <c r="C8" s="15" t="s">
        <v>196</v>
      </c>
      <c r="D8" s="16" t="s">
        <v>84</v>
      </c>
      <c r="E8" s="17"/>
      <c r="F8" s="21"/>
      <c r="G8" s="11"/>
      <c r="H8" s="19"/>
      <c r="I8" s="19"/>
      <c r="J8" s="22">
        <v>5200000</v>
      </c>
      <c r="K8" s="22"/>
      <c r="L8" s="22"/>
      <c r="M8" s="22"/>
      <c r="N8" s="104"/>
      <c r="O8" s="12">
        <f>N8+M8+L8+K8+J8+H8</f>
        <v>5200000</v>
      </c>
      <c r="P8" s="12">
        <f>13*1800000</f>
        <v>23400000</v>
      </c>
      <c r="Q8" s="12">
        <f>P8-O8</f>
        <v>18200000</v>
      </c>
      <c r="R8" s="105"/>
      <c r="S8" s="2"/>
      <c r="T8" s="2"/>
      <c r="U8" s="2"/>
    </row>
    <row r="9" spans="1:21" s="20" customFormat="1" ht="20.25" customHeight="1" x14ac:dyDescent="0.2">
      <c r="A9" s="8">
        <v>2</v>
      </c>
      <c r="B9" s="95">
        <v>42380</v>
      </c>
      <c r="C9" s="16" t="s">
        <v>120</v>
      </c>
      <c r="D9" s="16" t="s">
        <v>135</v>
      </c>
      <c r="E9" s="16" t="s">
        <v>24</v>
      </c>
      <c r="F9" s="11"/>
      <c r="G9" s="19">
        <v>620</v>
      </c>
      <c r="H9" s="19">
        <f>G9*11110</f>
        <v>6888200</v>
      </c>
      <c r="I9" s="22"/>
      <c r="J9" s="22">
        <v>2420000</v>
      </c>
      <c r="K9" s="22"/>
      <c r="L9" s="22"/>
      <c r="M9" s="22"/>
      <c r="N9" s="12"/>
      <c r="O9" s="12">
        <f>N9+M9+L9+K9+J9+H9</f>
        <v>9308200</v>
      </c>
      <c r="P9" s="12">
        <v>9545455</v>
      </c>
      <c r="Q9" s="12">
        <f>P9-O9</f>
        <v>237255</v>
      </c>
      <c r="R9" s="2"/>
    </row>
    <row r="10" spans="1:21" s="20" customFormat="1" ht="19.5" customHeight="1" x14ac:dyDescent="0.2">
      <c r="A10" s="8">
        <v>3</v>
      </c>
      <c r="B10" s="95">
        <v>42383</v>
      </c>
      <c r="C10" s="16" t="s">
        <v>121</v>
      </c>
      <c r="D10" s="16" t="s">
        <v>136</v>
      </c>
      <c r="E10" s="16" t="s">
        <v>116</v>
      </c>
      <c r="F10" s="11"/>
      <c r="G10" s="19"/>
      <c r="H10" s="19"/>
      <c r="I10" s="22"/>
      <c r="J10" s="22">
        <v>960000</v>
      </c>
      <c r="K10" s="22"/>
      <c r="L10" s="22"/>
      <c r="M10" s="22"/>
      <c r="N10" s="12"/>
      <c r="O10" s="12">
        <f t="shared" ref="O10:O31" si="0">N10+M10+L10+K10+J10+H10</f>
        <v>960000</v>
      </c>
      <c r="P10" s="12">
        <v>4000000</v>
      </c>
      <c r="Q10" s="12">
        <f t="shared" ref="Q10:Q31" si="1">P10-O10</f>
        <v>3040000</v>
      </c>
      <c r="R10" s="2"/>
    </row>
    <row r="11" spans="1:21" s="20" customFormat="1" ht="20.25" customHeight="1" x14ac:dyDescent="0.2">
      <c r="A11" s="8">
        <v>4</v>
      </c>
      <c r="B11" s="95">
        <v>42385</v>
      </c>
      <c r="C11" s="16" t="s">
        <v>122</v>
      </c>
      <c r="D11" s="16" t="s">
        <v>137</v>
      </c>
      <c r="E11" s="16" t="s">
        <v>117</v>
      </c>
      <c r="F11" s="11"/>
      <c r="G11" s="19"/>
      <c r="H11" s="19"/>
      <c r="I11" s="22"/>
      <c r="J11" s="22">
        <v>970000</v>
      </c>
      <c r="K11" s="22"/>
      <c r="L11" s="22"/>
      <c r="M11" s="22"/>
      <c r="N11" s="12"/>
      <c r="O11" s="12">
        <f t="shared" si="0"/>
        <v>970000</v>
      </c>
      <c r="P11" s="12">
        <v>3190909</v>
      </c>
      <c r="Q11" s="12">
        <f t="shared" si="1"/>
        <v>2220909</v>
      </c>
      <c r="R11" s="2"/>
    </row>
    <row r="12" spans="1:21" s="20" customFormat="1" ht="19.5" customHeight="1" x14ac:dyDescent="0.2">
      <c r="A12" s="8">
        <v>5</v>
      </c>
      <c r="B12" s="95">
        <v>42387</v>
      </c>
      <c r="C12" s="16" t="s">
        <v>123</v>
      </c>
      <c r="D12" s="16" t="s">
        <v>138</v>
      </c>
      <c r="E12" s="16" t="s">
        <v>27</v>
      </c>
      <c r="F12" s="11"/>
      <c r="G12" s="19"/>
      <c r="H12" s="19"/>
      <c r="I12" s="22"/>
      <c r="J12" s="22">
        <v>800000</v>
      </c>
      <c r="K12" s="22"/>
      <c r="L12" s="22"/>
      <c r="M12" s="22"/>
      <c r="N12" s="12"/>
      <c r="O12" s="12">
        <f t="shared" si="0"/>
        <v>800000</v>
      </c>
      <c r="P12" s="12">
        <v>2918182</v>
      </c>
      <c r="Q12" s="12">
        <f t="shared" si="1"/>
        <v>2118182</v>
      </c>
      <c r="R12" s="2"/>
    </row>
    <row r="13" spans="1:21" s="20" customFormat="1" ht="20.25" customHeight="1" x14ac:dyDescent="0.2">
      <c r="A13" s="8">
        <v>6</v>
      </c>
      <c r="B13" s="95">
        <v>42388</v>
      </c>
      <c r="C13" s="16" t="s">
        <v>124</v>
      </c>
      <c r="D13" s="16" t="s">
        <v>139</v>
      </c>
      <c r="E13" s="16" t="s">
        <v>24</v>
      </c>
      <c r="F13" s="11"/>
      <c r="G13" s="19"/>
      <c r="H13" s="19"/>
      <c r="I13" s="22"/>
      <c r="J13" s="22">
        <v>2300000</v>
      </c>
      <c r="K13" s="22"/>
      <c r="L13" s="22"/>
      <c r="M13" s="22"/>
      <c r="N13" s="12"/>
      <c r="O13" s="12">
        <f t="shared" si="0"/>
        <v>2300000</v>
      </c>
      <c r="P13" s="12">
        <v>9090909</v>
      </c>
      <c r="Q13" s="12">
        <f t="shared" si="1"/>
        <v>6790909</v>
      </c>
      <c r="R13" s="2"/>
    </row>
    <row r="14" spans="1:21" s="20" customFormat="1" ht="19.5" customHeight="1" x14ac:dyDescent="0.2">
      <c r="A14" s="8">
        <v>7</v>
      </c>
      <c r="B14" s="95">
        <v>42388</v>
      </c>
      <c r="C14" s="16" t="s">
        <v>125</v>
      </c>
      <c r="D14" s="16" t="s">
        <v>140</v>
      </c>
      <c r="E14" s="16" t="s">
        <v>27</v>
      </c>
      <c r="F14" s="11"/>
      <c r="G14" s="19"/>
      <c r="H14" s="19"/>
      <c r="I14" s="22"/>
      <c r="J14" s="22">
        <v>810000</v>
      </c>
      <c r="K14" s="22"/>
      <c r="L14" s="22"/>
      <c r="M14" s="22"/>
      <c r="N14" s="12"/>
      <c r="O14" s="12">
        <f t="shared" si="0"/>
        <v>810000</v>
      </c>
      <c r="P14" s="12">
        <v>3090909</v>
      </c>
      <c r="Q14" s="12">
        <f t="shared" si="1"/>
        <v>2280909</v>
      </c>
      <c r="R14" s="2"/>
    </row>
    <row r="15" spans="1:21" s="20" customFormat="1" ht="20.25" customHeight="1" x14ac:dyDescent="0.2">
      <c r="A15" s="8">
        <v>8</v>
      </c>
      <c r="B15" s="95">
        <v>42389</v>
      </c>
      <c r="C15" s="16" t="s">
        <v>126</v>
      </c>
      <c r="D15" s="16" t="s">
        <v>142</v>
      </c>
      <c r="E15" s="16" t="s">
        <v>24</v>
      </c>
      <c r="F15" s="11"/>
      <c r="G15" s="19"/>
      <c r="H15" s="19"/>
      <c r="I15" s="22"/>
      <c r="J15" s="22">
        <v>2320000</v>
      </c>
      <c r="K15" s="22"/>
      <c r="L15" s="22"/>
      <c r="M15" s="22"/>
      <c r="N15" s="12"/>
      <c r="O15" s="12">
        <f t="shared" si="0"/>
        <v>2320000</v>
      </c>
      <c r="P15" s="12">
        <v>9090909</v>
      </c>
      <c r="Q15" s="12">
        <f t="shared" si="1"/>
        <v>6770909</v>
      </c>
      <c r="R15" s="2"/>
    </row>
    <row r="16" spans="1:21" s="20" customFormat="1" ht="19.5" customHeight="1" x14ac:dyDescent="0.2">
      <c r="A16" s="8">
        <v>9</v>
      </c>
      <c r="B16" s="95">
        <v>42391</v>
      </c>
      <c r="C16" s="16" t="s">
        <v>127</v>
      </c>
      <c r="D16" s="16" t="s">
        <v>143</v>
      </c>
      <c r="E16" s="16" t="s">
        <v>152</v>
      </c>
      <c r="F16" s="11"/>
      <c r="G16" s="19">
        <v>500</v>
      </c>
      <c r="H16" s="19">
        <v>5100000</v>
      </c>
      <c r="I16" s="22"/>
      <c r="J16" s="539">
        <v>1200000</v>
      </c>
      <c r="K16" s="22"/>
      <c r="L16" s="22"/>
      <c r="M16" s="22"/>
      <c r="N16" s="12"/>
      <c r="O16" s="541">
        <f>N16+M16+L16+K16+J16+H16</f>
        <v>6300000</v>
      </c>
      <c r="P16" s="541">
        <v>5400000</v>
      </c>
      <c r="Q16" s="541">
        <f t="shared" si="1"/>
        <v>-900000</v>
      </c>
      <c r="R16" s="2"/>
    </row>
    <row r="17" spans="1:18" s="20" customFormat="1" ht="20.25" customHeight="1" x14ac:dyDescent="0.2">
      <c r="A17" s="8">
        <v>10</v>
      </c>
      <c r="B17" s="95">
        <v>42391</v>
      </c>
      <c r="C17" s="16" t="s">
        <v>127</v>
      </c>
      <c r="D17" s="16" t="s">
        <v>144</v>
      </c>
      <c r="E17" s="16" t="s">
        <v>25</v>
      </c>
      <c r="F17" s="11"/>
      <c r="G17" s="19"/>
      <c r="H17" s="19"/>
      <c r="I17" s="22"/>
      <c r="J17" s="540"/>
      <c r="K17" s="22"/>
      <c r="L17" s="22"/>
      <c r="M17" s="22"/>
      <c r="N17" s="12"/>
      <c r="O17" s="542"/>
      <c r="P17" s="542">
        <v>0</v>
      </c>
      <c r="Q17" s="542">
        <f t="shared" si="1"/>
        <v>0</v>
      </c>
      <c r="R17" s="2"/>
    </row>
    <row r="18" spans="1:18" s="20" customFormat="1" ht="19.5" customHeight="1" x14ac:dyDescent="0.2">
      <c r="A18" s="8">
        <v>11</v>
      </c>
      <c r="B18" s="95">
        <v>42392</v>
      </c>
      <c r="C18" s="16" t="s">
        <v>128</v>
      </c>
      <c r="D18" s="16" t="s">
        <v>145</v>
      </c>
      <c r="E18" s="16" t="s">
        <v>118</v>
      </c>
      <c r="F18" s="11"/>
      <c r="G18" s="19"/>
      <c r="H18" s="19"/>
      <c r="I18" s="22"/>
      <c r="J18" s="539">
        <v>1720000</v>
      </c>
      <c r="K18" s="22"/>
      <c r="L18" s="22"/>
      <c r="M18" s="22"/>
      <c r="N18" s="12"/>
      <c r="O18" s="12">
        <f t="shared" si="0"/>
        <v>1720000</v>
      </c>
      <c r="P18" s="12">
        <v>4300000</v>
      </c>
      <c r="Q18" s="12">
        <f t="shared" si="1"/>
        <v>2580000</v>
      </c>
      <c r="R18" s="2"/>
    </row>
    <row r="19" spans="1:18" s="20" customFormat="1" ht="20.25" customHeight="1" x14ac:dyDescent="0.2">
      <c r="A19" s="8">
        <v>12</v>
      </c>
      <c r="B19" s="95">
        <v>42392</v>
      </c>
      <c r="C19" s="16" t="s">
        <v>129</v>
      </c>
      <c r="D19" s="16" t="s">
        <v>146</v>
      </c>
      <c r="E19" s="16" t="s">
        <v>30</v>
      </c>
      <c r="F19" s="11"/>
      <c r="G19" s="19"/>
      <c r="H19" s="19"/>
      <c r="I19" s="22"/>
      <c r="J19" s="540"/>
      <c r="K19" s="22"/>
      <c r="L19" s="22"/>
      <c r="M19" s="22"/>
      <c r="N19" s="12"/>
      <c r="O19" s="12">
        <f t="shared" si="0"/>
        <v>0</v>
      </c>
      <c r="P19" s="12">
        <v>3050000</v>
      </c>
      <c r="Q19" s="12">
        <f t="shared" si="1"/>
        <v>3050000</v>
      </c>
      <c r="R19" s="2"/>
    </row>
    <row r="20" spans="1:18" s="20" customFormat="1" ht="19.5" customHeight="1" x14ac:dyDescent="0.2">
      <c r="A20" s="8">
        <v>13</v>
      </c>
      <c r="B20" s="95">
        <v>42394</v>
      </c>
      <c r="C20" s="16" t="s">
        <v>130</v>
      </c>
      <c r="D20" s="16" t="s">
        <v>141</v>
      </c>
      <c r="E20" s="16" t="s">
        <v>153</v>
      </c>
      <c r="F20" s="11"/>
      <c r="G20" s="19"/>
      <c r="H20" s="19"/>
      <c r="I20" s="22"/>
      <c r="J20" s="22">
        <v>1740000</v>
      </c>
      <c r="K20" s="22"/>
      <c r="L20" s="22"/>
      <c r="M20" s="22"/>
      <c r="N20" s="12"/>
      <c r="O20" s="12">
        <f t="shared" si="0"/>
        <v>1740000</v>
      </c>
      <c r="P20" s="12">
        <v>5860000</v>
      </c>
      <c r="Q20" s="12">
        <f t="shared" si="1"/>
        <v>4120000</v>
      </c>
      <c r="R20" s="2"/>
    </row>
    <row r="21" spans="1:18" s="20" customFormat="1" ht="20.25" customHeight="1" x14ac:dyDescent="0.2">
      <c r="A21" s="8">
        <v>14</v>
      </c>
      <c r="B21" s="95">
        <v>42395</v>
      </c>
      <c r="C21" s="16" t="s">
        <v>131</v>
      </c>
      <c r="D21" s="16" t="s">
        <v>147</v>
      </c>
      <c r="E21" s="16" t="s">
        <v>153</v>
      </c>
      <c r="F21" s="11"/>
      <c r="G21" s="19">
        <v>605</v>
      </c>
      <c r="H21" s="19">
        <v>6171000</v>
      </c>
      <c r="I21" s="22"/>
      <c r="J21" s="22">
        <v>1750000</v>
      </c>
      <c r="K21" s="22"/>
      <c r="L21" s="22"/>
      <c r="M21" s="22"/>
      <c r="N21" s="12"/>
      <c r="O21" s="12">
        <f t="shared" si="0"/>
        <v>7921000</v>
      </c>
      <c r="P21" s="12">
        <v>5860000</v>
      </c>
      <c r="Q21" s="12">
        <f t="shared" si="1"/>
        <v>-2061000</v>
      </c>
      <c r="R21" s="2"/>
    </row>
    <row r="22" spans="1:18" s="20" customFormat="1" ht="19.5" customHeight="1" x14ac:dyDescent="0.2">
      <c r="A22" s="8">
        <v>15</v>
      </c>
      <c r="B22" s="95">
        <v>42396</v>
      </c>
      <c r="C22" s="16" t="s">
        <v>132</v>
      </c>
      <c r="D22" s="16" t="s">
        <v>148</v>
      </c>
      <c r="E22" s="16" t="s">
        <v>154</v>
      </c>
      <c r="F22" s="11"/>
      <c r="G22" s="19"/>
      <c r="H22" s="19"/>
      <c r="I22" s="22"/>
      <c r="J22" s="22">
        <v>1100000</v>
      </c>
      <c r="K22" s="22"/>
      <c r="L22" s="22"/>
      <c r="M22" s="22"/>
      <c r="N22" s="12"/>
      <c r="O22" s="12">
        <f t="shared" si="0"/>
        <v>1100000</v>
      </c>
      <c r="P22" s="12">
        <v>4000000</v>
      </c>
      <c r="Q22" s="12">
        <f t="shared" si="1"/>
        <v>2900000</v>
      </c>
      <c r="R22" s="2"/>
    </row>
    <row r="23" spans="1:18" s="20" customFormat="1" ht="20.25" customHeight="1" x14ac:dyDescent="0.2">
      <c r="A23" s="8">
        <v>16</v>
      </c>
      <c r="B23" s="95">
        <v>42397</v>
      </c>
      <c r="C23" s="16" t="s">
        <v>133</v>
      </c>
      <c r="D23" s="16" t="s">
        <v>149</v>
      </c>
      <c r="E23" s="16" t="s">
        <v>155</v>
      </c>
      <c r="F23" s="11"/>
      <c r="G23" s="19"/>
      <c r="H23" s="19"/>
      <c r="I23" s="22"/>
      <c r="J23" s="22">
        <v>1450000</v>
      </c>
      <c r="K23" s="22"/>
      <c r="L23" s="22"/>
      <c r="M23" s="22"/>
      <c r="N23" s="12"/>
      <c r="O23" s="12">
        <f t="shared" si="0"/>
        <v>1450000</v>
      </c>
      <c r="P23" s="12">
        <v>5180000</v>
      </c>
      <c r="Q23" s="12">
        <f t="shared" si="1"/>
        <v>3730000</v>
      </c>
      <c r="R23" s="2"/>
    </row>
    <row r="24" spans="1:18" s="20" customFormat="1" ht="19.5" customHeight="1" x14ac:dyDescent="0.2">
      <c r="A24" s="8">
        <v>17</v>
      </c>
      <c r="B24" s="95">
        <v>42399</v>
      </c>
      <c r="C24" s="16" t="s">
        <v>134</v>
      </c>
      <c r="D24" s="16" t="s">
        <v>150</v>
      </c>
      <c r="E24" s="16" t="s">
        <v>156</v>
      </c>
      <c r="F24" s="11"/>
      <c r="G24" s="19"/>
      <c r="H24" s="19"/>
      <c r="I24" s="22"/>
      <c r="J24" s="22">
        <v>1400000</v>
      </c>
      <c r="K24" s="22"/>
      <c r="L24" s="22"/>
      <c r="M24" s="22"/>
      <c r="N24" s="12"/>
      <c r="O24" s="12">
        <f t="shared" si="0"/>
        <v>1400000</v>
      </c>
      <c r="P24" s="12">
        <v>5180000</v>
      </c>
      <c r="Q24" s="12">
        <f t="shared" si="1"/>
        <v>3780000</v>
      </c>
      <c r="R24" s="2"/>
    </row>
    <row r="25" spans="1:18" s="20" customFormat="1" ht="19.5" customHeight="1" x14ac:dyDescent="0.2">
      <c r="A25" s="8"/>
      <c r="B25" s="94"/>
      <c r="C25" s="16"/>
      <c r="D25" s="16"/>
      <c r="E25" s="17"/>
      <c r="F25" s="11"/>
      <c r="G25" s="19"/>
      <c r="H25" s="19"/>
      <c r="I25" s="22"/>
      <c r="J25" s="22"/>
      <c r="K25" s="22"/>
      <c r="L25" s="22"/>
      <c r="M25" s="22"/>
      <c r="N25" s="12"/>
      <c r="O25" s="12">
        <f t="shared" si="0"/>
        <v>0</v>
      </c>
      <c r="P25" s="12"/>
      <c r="Q25" s="12">
        <f t="shared" si="1"/>
        <v>0</v>
      </c>
      <c r="R25" s="2"/>
    </row>
    <row r="26" spans="1:18" s="20" customFormat="1" ht="20.25" customHeight="1" x14ac:dyDescent="0.2">
      <c r="A26" s="8"/>
      <c r="B26" s="94"/>
      <c r="C26" s="36" t="s">
        <v>119</v>
      </c>
      <c r="D26" s="63"/>
      <c r="E26" s="64"/>
      <c r="F26" s="65"/>
      <c r="G26" s="66"/>
      <c r="H26" s="66"/>
      <c r="I26" s="67"/>
      <c r="J26" s="67"/>
      <c r="K26" s="67">
        <v>9000000</v>
      </c>
      <c r="L26" s="67"/>
      <c r="M26" s="67"/>
      <c r="N26" s="12"/>
      <c r="O26" s="12">
        <f t="shared" si="0"/>
        <v>9000000</v>
      </c>
      <c r="P26" s="12"/>
      <c r="Q26" s="12">
        <f t="shared" si="1"/>
        <v>-9000000</v>
      </c>
      <c r="R26" s="2"/>
    </row>
    <row r="27" spans="1:18" s="20" customFormat="1" ht="19.5" customHeight="1" x14ac:dyDescent="0.2">
      <c r="A27" s="10"/>
      <c r="B27" s="94"/>
      <c r="C27" s="36" t="s">
        <v>157</v>
      </c>
      <c r="D27" s="63"/>
      <c r="E27" s="64"/>
      <c r="F27" s="65"/>
      <c r="G27" s="66"/>
      <c r="H27" s="66"/>
      <c r="I27" s="67"/>
      <c r="J27" s="67"/>
      <c r="K27" s="67"/>
      <c r="L27" s="67">
        <v>1100000</v>
      </c>
      <c r="M27" s="67"/>
      <c r="N27" s="12"/>
      <c r="O27" s="12">
        <f t="shared" si="0"/>
        <v>1100000</v>
      </c>
      <c r="P27" s="12"/>
      <c r="Q27" s="12">
        <f t="shared" si="1"/>
        <v>-1100000</v>
      </c>
      <c r="R27" s="2"/>
    </row>
    <row r="28" spans="1:18" s="20" customFormat="1" ht="19.5" customHeight="1" x14ac:dyDescent="0.2">
      <c r="A28" s="10"/>
      <c r="B28" s="94"/>
      <c r="C28" s="36" t="s">
        <v>190</v>
      </c>
      <c r="D28" s="63"/>
      <c r="E28" s="64"/>
      <c r="F28" s="65"/>
      <c r="G28" s="66"/>
      <c r="H28" s="66"/>
      <c r="I28" s="67"/>
      <c r="J28" s="67"/>
      <c r="K28" s="67"/>
      <c r="L28" s="67">
        <v>5000000</v>
      </c>
      <c r="M28" s="67"/>
      <c r="N28" s="12"/>
      <c r="O28" s="12">
        <f t="shared" si="0"/>
        <v>5000000</v>
      </c>
      <c r="P28" s="12"/>
      <c r="Q28" s="12">
        <f t="shared" si="1"/>
        <v>-5000000</v>
      </c>
      <c r="R28" s="2"/>
    </row>
    <row r="29" spans="1:18" s="20" customFormat="1" ht="19.5" customHeight="1" x14ac:dyDescent="0.2">
      <c r="A29" s="10"/>
      <c r="B29" s="94"/>
      <c r="C29" s="36" t="s">
        <v>195</v>
      </c>
      <c r="D29" s="63"/>
      <c r="E29" s="64"/>
      <c r="F29" s="65"/>
      <c r="G29" s="66"/>
      <c r="H29" s="66"/>
      <c r="I29" s="67"/>
      <c r="J29" s="67"/>
      <c r="K29" s="67"/>
      <c r="L29" s="67">
        <v>1200000</v>
      </c>
      <c r="M29" s="67"/>
      <c r="N29" s="12"/>
      <c r="O29" s="12">
        <f t="shared" si="0"/>
        <v>1200000</v>
      </c>
      <c r="P29" s="12"/>
      <c r="Q29" s="12">
        <f t="shared" si="1"/>
        <v>-1200000</v>
      </c>
      <c r="R29" s="2"/>
    </row>
    <row r="30" spans="1:18" s="20" customFormat="1" ht="19.5" customHeight="1" x14ac:dyDescent="0.2">
      <c r="A30" s="10"/>
      <c r="B30" s="94"/>
      <c r="C30" s="36" t="s">
        <v>197</v>
      </c>
      <c r="D30" s="63"/>
      <c r="E30" s="64"/>
      <c r="F30" s="65"/>
      <c r="G30" s="66"/>
      <c r="H30" s="66"/>
      <c r="I30" s="67"/>
      <c r="J30" s="67"/>
      <c r="K30" s="67">
        <v>7000000</v>
      </c>
      <c r="L30" s="67"/>
      <c r="M30" s="67"/>
      <c r="N30" s="12"/>
      <c r="O30" s="12">
        <f t="shared" si="0"/>
        <v>7000000</v>
      </c>
      <c r="P30" s="12"/>
      <c r="Q30" s="12">
        <f t="shared" si="1"/>
        <v>-7000000</v>
      </c>
      <c r="R30" s="2"/>
    </row>
    <row r="31" spans="1:18" s="20" customFormat="1" ht="19.5" customHeight="1" x14ac:dyDescent="0.2">
      <c r="A31" s="44"/>
      <c r="B31" s="96"/>
      <c r="C31" s="58"/>
      <c r="D31" s="43"/>
      <c r="E31" s="59"/>
      <c r="F31" s="45"/>
      <c r="G31" s="60"/>
      <c r="H31" s="60"/>
      <c r="I31" s="61"/>
      <c r="J31" s="61"/>
      <c r="K31" s="61"/>
      <c r="L31" s="61"/>
      <c r="M31" s="61"/>
      <c r="N31" s="62"/>
      <c r="O31" s="12">
        <f t="shared" si="0"/>
        <v>0</v>
      </c>
      <c r="P31" s="62"/>
      <c r="Q31" s="12">
        <f t="shared" si="1"/>
        <v>0</v>
      </c>
      <c r="R31" s="2"/>
    </row>
    <row r="32" spans="1:18" s="20" customFormat="1" ht="20.25" customHeight="1" x14ac:dyDescent="0.2">
      <c r="A32" s="538" t="s">
        <v>19</v>
      </c>
      <c r="B32" s="538"/>
      <c r="C32" s="538"/>
      <c r="D32" s="538"/>
      <c r="E32" s="538"/>
      <c r="F32" s="47">
        <f t="shared" ref="F32:I32" si="2">SUM(F9:F31)</f>
        <v>0</v>
      </c>
      <c r="G32" s="47">
        <f t="shared" si="2"/>
        <v>1725</v>
      </c>
      <c r="H32" s="47">
        <f t="shared" si="2"/>
        <v>18159200</v>
      </c>
      <c r="I32" s="47">
        <f t="shared" si="2"/>
        <v>0</v>
      </c>
      <c r="J32" s="47">
        <f>SUM(J8:J31)</f>
        <v>26140000</v>
      </c>
      <c r="K32" s="47">
        <f t="shared" ref="K32:Q32" si="3">SUM(K8:K31)</f>
        <v>16000000</v>
      </c>
      <c r="L32" s="47">
        <f t="shared" si="3"/>
        <v>7300000</v>
      </c>
      <c r="M32" s="47">
        <f t="shared" si="3"/>
        <v>0</v>
      </c>
      <c r="N32" s="47">
        <f t="shared" si="3"/>
        <v>0</v>
      </c>
      <c r="O32" s="47">
        <f t="shared" si="3"/>
        <v>67599200</v>
      </c>
      <c r="P32" s="47">
        <f t="shared" si="3"/>
        <v>103157273</v>
      </c>
      <c r="Q32" s="47">
        <f t="shared" si="3"/>
        <v>35558073</v>
      </c>
      <c r="R32" s="2"/>
    </row>
  </sheetData>
  <mergeCells count="19">
    <mergeCell ref="A32:E32"/>
    <mergeCell ref="J16:J17"/>
    <mergeCell ref="P5:P6"/>
    <mergeCell ref="Q5:Q6"/>
    <mergeCell ref="B3:Q3"/>
    <mergeCell ref="J18:J19"/>
    <mergeCell ref="O16:O17"/>
    <mergeCell ref="P16:P17"/>
    <mergeCell ref="Q16:Q17"/>
    <mergeCell ref="A1:Q1"/>
    <mergeCell ref="A2:Q2"/>
    <mergeCell ref="A5:A6"/>
    <mergeCell ref="B5:B6"/>
    <mergeCell ref="C5:C6"/>
    <mergeCell ref="D5:D6"/>
    <mergeCell ref="E5:E6"/>
    <mergeCell ref="F5:F6"/>
    <mergeCell ref="G5:N5"/>
    <mergeCell ref="O5:O6"/>
  </mergeCells>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39"/>
  <sheetViews>
    <sheetView topLeftCell="D4" workbookViewId="0">
      <selection activeCell="P26" sqref="P26"/>
    </sheetView>
  </sheetViews>
  <sheetFormatPr defaultColWidth="9.140625" defaultRowHeight="12.75" x14ac:dyDescent="0.25"/>
  <cols>
    <col min="1" max="1" width="4.5703125" style="74" customWidth="1"/>
    <col min="2" max="2" width="10.28515625" style="99" customWidth="1"/>
    <col min="3" max="3" width="29.5703125" style="74" customWidth="1"/>
    <col min="4" max="4" width="12.42578125" style="74" customWidth="1"/>
    <col min="5" max="5" width="26.7109375" style="74" customWidth="1"/>
    <col min="6" max="6" width="11.5703125" style="74" customWidth="1"/>
    <col min="7" max="7" width="8" style="74" customWidth="1"/>
    <col min="8" max="8" width="11" style="72" customWidth="1"/>
    <col min="9" max="9" width="12.28515625" style="74" customWidth="1"/>
    <col min="10" max="10" width="11.140625" style="72" customWidth="1"/>
    <col min="11" max="11" width="9.5703125" style="72" customWidth="1"/>
    <col min="12" max="12" width="9.42578125" style="72" customWidth="1"/>
    <col min="13" max="13" width="8.5703125" style="72" customWidth="1"/>
    <col min="14" max="14" width="9.5703125" style="72" customWidth="1"/>
    <col min="15" max="15" width="12.7109375" style="72" customWidth="1"/>
    <col min="16" max="16" width="13.85546875" style="72" customWidth="1"/>
    <col min="17" max="17" width="12.28515625" style="72" customWidth="1"/>
    <col min="18" max="18" width="12.5703125" style="72" customWidth="1"/>
    <col min="19" max="19" width="15.85546875" style="74" customWidth="1"/>
    <col min="20" max="20" width="12.140625" style="74" customWidth="1"/>
    <col min="21" max="16384" width="9.140625" style="74"/>
  </cols>
  <sheetData>
    <row r="1" spans="1:22" ht="23.25" x14ac:dyDescent="0.25">
      <c r="A1" s="551" t="s">
        <v>0</v>
      </c>
      <c r="B1" s="551"/>
      <c r="C1" s="551"/>
      <c r="D1" s="551"/>
      <c r="E1" s="551"/>
      <c r="F1" s="551"/>
      <c r="G1" s="551"/>
      <c r="H1" s="551"/>
      <c r="I1" s="551"/>
      <c r="J1" s="551"/>
      <c r="K1" s="551"/>
      <c r="L1" s="551"/>
      <c r="M1" s="551"/>
      <c r="N1" s="551"/>
      <c r="O1" s="551"/>
      <c r="P1" s="551"/>
      <c r="Q1" s="551"/>
      <c r="R1" s="73"/>
    </row>
    <row r="2" spans="1:22" ht="17.25" customHeight="1" x14ac:dyDescent="0.25">
      <c r="A2" s="550" t="s">
        <v>103</v>
      </c>
      <c r="B2" s="550"/>
      <c r="C2" s="550"/>
      <c r="D2" s="550"/>
      <c r="E2" s="550"/>
      <c r="F2" s="550"/>
      <c r="G2" s="550"/>
      <c r="H2" s="550"/>
      <c r="I2" s="550"/>
      <c r="J2" s="550"/>
      <c r="K2" s="550"/>
      <c r="L2" s="550"/>
      <c r="M2" s="550"/>
      <c r="N2" s="550"/>
      <c r="O2" s="550"/>
      <c r="P2" s="550"/>
      <c r="Q2" s="550"/>
      <c r="R2" s="5"/>
    </row>
    <row r="3" spans="1:22" ht="21" customHeight="1" x14ac:dyDescent="0.25">
      <c r="A3" s="550" t="s">
        <v>115</v>
      </c>
      <c r="B3" s="550"/>
      <c r="C3" s="550"/>
      <c r="D3" s="550"/>
      <c r="E3" s="550"/>
      <c r="F3" s="550"/>
      <c r="G3" s="550"/>
      <c r="H3" s="550"/>
      <c r="I3" s="550"/>
      <c r="J3" s="550"/>
      <c r="K3" s="550"/>
      <c r="L3" s="550"/>
      <c r="M3" s="550"/>
      <c r="N3" s="550"/>
      <c r="O3" s="550"/>
      <c r="P3" s="550"/>
      <c r="Q3" s="550"/>
      <c r="R3" s="5"/>
    </row>
    <row r="4" spans="1:22" x14ac:dyDescent="0.25">
      <c r="E4" s="74" t="s">
        <v>194</v>
      </c>
    </row>
    <row r="5" spans="1:22" s="5" customFormat="1" x14ac:dyDescent="0.25">
      <c r="A5" s="528" t="s">
        <v>1</v>
      </c>
      <c r="B5" s="536" t="s">
        <v>2</v>
      </c>
      <c r="C5" s="528" t="s">
        <v>3</v>
      </c>
      <c r="D5" s="528" t="s">
        <v>5</v>
      </c>
      <c r="E5" s="532" t="s">
        <v>4</v>
      </c>
      <c r="F5" s="532" t="s">
        <v>17</v>
      </c>
      <c r="G5" s="534" t="s">
        <v>6</v>
      </c>
      <c r="H5" s="534"/>
      <c r="I5" s="534"/>
      <c r="J5" s="534"/>
      <c r="K5" s="534"/>
      <c r="L5" s="534"/>
      <c r="M5" s="534"/>
      <c r="N5" s="534"/>
      <c r="O5" s="521" t="s">
        <v>18</v>
      </c>
      <c r="P5" s="521" t="s">
        <v>13</v>
      </c>
      <c r="Q5" s="521" t="s">
        <v>14</v>
      </c>
      <c r="R5" s="4"/>
    </row>
    <row r="6" spans="1:22" s="5" customFormat="1" x14ac:dyDescent="0.25">
      <c r="A6" s="529"/>
      <c r="B6" s="537"/>
      <c r="C6" s="529"/>
      <c r="D6" s="529"/>
      <c r="E6" s="533"/>
      <c r="F6" s="533"/>
      <c r="G6" s="6" t="s">
        <v>7</v>
      </c>
      <c r="H6" s="7" t="s">
        <v>15</v>
      </c>
      <c r="I6" s="6" t="s">
        <v>16</v>
      </c>
      <c r="J6" s="7" t="s">
        <v>8</v>
      </c>
      <c r="K6" s="7" t="s">
        <v>9</v>
      </c>
      <c r="L6" s="7" t="s">
        <v>10</v>
      </c>
      <c r="M6" s="7" t="s">
        <v>11</v>
      </c>
      <c r="N6" s="7" t="s">
        <v>12</v>
      </c>
      <c r="O6" s="522"/>
      <c r="P6" s="522"/>
      <c r="Q6" s="522"/>
      <c r="R6" s="4"/>
    </row>
    <row r="7" spans="1:22" ht="13.5" thickBot="1" x14ac:dyDescent="0.3">
      <c r="A7" s="75"/>
      <c r="B7" s="100"/>
      <c r="C7" s="76"/>
      <c r="D7" s="76"/>
      <c r="E7" s="75"/>
      <c r="F7" s="75"/>
      <c r="G7" s="77"/>
      <c r="H7" s="68"/>
      <c r="I7" s="75"/>
      <c r="J7" s="68"/>
      <c r="K7" s="68"/>
      <c r="L7" s="68"/>
      <c r="M7" s="68"/>
      <c r="N7" s="68"/>
      <c r="O7" s="68">
        <f>H7+J7+K7+L7+M7+N7</f>
        <v>0</v>
      </c>
      <c r="P7" s="68"/>
      <c r="Q7" s="68">
        <f>P7-O7</f>
        <v>0</v>
      </c>
    </row>
    <row r="8" spans="1:22" s="83" customFormat="1" ht="13.5" thickBot="1" x14ac:dyDescent="0.25">
      <c r="A8" s="75">
        <v>1</v>
      </c>
      <c r="B8" s="101">
        <v>42400</v>
      </c>
      <c r="C8" s="77" t="s">
        <v>192</v>
      </c>
      <c r="D8" s="77" t="s">
        <v>191</v>
      </c>
      <c r="E8" s="77" t="s">
        <v>193</v>
      </c>
      <c r="F8" s="80"/>
      <c r="G8" s="77"/>
      <c r="H8" s="81"/>
      <c r="I8" s="81"/>
      <c r="J8" s="81">
        <v>1200000</v>
      </c>
      <c r="K8" s="69"/>
      <c r="L8" s="69"/>
      <c r="M8" s="69"/>
      <c r="N8" s="69"/>
      <c r="O8" s="68">
        <f t="shared" ref="O8:O29" si="0">N8+M8+L8+K8+J8+H8</f>
        <v>1200000</v>
      </c>
      <c r="P8" s="68">
        <v>5500000</v>
      </c>
      <c r="Q8" s="68">
        <f>P8-O8</f>
        <v>4300000</v>
      </c>
      <c r="R8" s="98"/>
      <c r="S8" s="82"/>
      <c r="T8" s="74"/>
      <c r="U8" s="74"/>
      <c r="V8" s="74"/>
    </row>
    <row r="9" spans="1:22" s="83" customFormat="1" ht="13.5" thickBot="1" x14ac:dyDescent="0.25">
      <c r="A9" s="76">
        <v>2</v>
      </c>
      <c r="B9" s="101">
        <v>42401</v>
      </c>
      <c r="C9" s="77" t="s">
        <v>158</v>
      </c>
      <c r="D9" s="77" t="s">
        <v>173</v>
      </c>
      <c r="E9" s="77" t="s">
        <v>153</v>
      </c>
      <c r="F9" s="80"/>
      <c r="G9" s="77"/>
      <c r="H9" s="81"/>
      <c r="I9" s="81"/>
      <c r="J9" s="81">
        <v>1740000</v>
      </c>
      <c r="K9" s="69"/>
      <c r="L9" s="69"/>
      <c r="M9" s="69"/>
      <c r="N9" s="69"/>
      <c r="O9" s="68">
        <f t="shared" si="0"/>
        <v>1740000</v>
      </c>
      <c r="P9" s="68">
        <v>5860000</v>
      </c>
      <c r="Q9" s="68">
        <f t="shared" ref="Q9:Q26" si="1">P9-O9</f>
        <v>4120000</v>
      </c>
      <c r="R9" s="98"/>
      <c r="S9" s="84"/>
      <c r="T9" s="74"/>
      <c r="U9" s="74"/>
      <c r="V9" s="74"/>
    </row>
    <row r="10" spans="1:22" s="83" customFormat="1" ht="13.5" thickBot="1" x14ac:dyDescent="0.25">
      <c r="A10" s="75">
        <v>3</v>
      </c>
      <c r="B10" s="101">
        <v>42402</v>
      </c>
      <c r="C10" s="77" t="s">
        <v>159</v>
      </c>
      <c r="D10" s="77" t="s">
        <v>174</v>
      </c>
      <c r="E10" s="77" t="s">
        <v>153</v>
      </c>
      <c r="F10" s="80"/>
      <c r="G10" s="77"/>
      <c r="H10" s="81"/>
      <c r="I10" s="81"/>
      <c r="J10" s="81">
        <v>1740000</v>
      </c>
      <c r="K10" s="69"/>
      <c r="L10" s="69"/>
      <c r="M10" s="69"/>
      <c r="N10" s="69"/>
      <c r="O10" s="68">
        <f t="shared" si="0"/>
        <v>1740000</v>
      </c>
      <c r="P10" s="68">
        <v>5860000</v>
      </c>
      <c r="Q10" s="68">
        <f t="shared" si="1"/>
        <v>4120000</v>
      </c>
      <c r="R10" s="98"/>
      <c r="S10" s="82"/>
      <c r="T10" s="74"/>
      <c r="U10" s="74"/>
      <c r="V10" s="74"/>
    </row>
    <row r="11" spans="1:22" s="83" customFormat="1" ht="13.5" thickBot="1" x14ac:dyDescent="0.25">
      <c r="A11" s="76">
        <v>4</v>
      </c>
      <c r="B11" s="101">
        <v>42402</v>
      </c>
      <c r="C11" s="77" t="s">
        <v>160</v>
      </c>
      <c r="D11" s="77" t="s">
        <v>175</v>
      </c>
      <c r="E11" s="77" t="s">
        <v>27</v>
      </c>
      <c r="F11" s="80"/>
      <c r="G11" s="77">
        <v>530</v>
      </c>
      <c r="H11" s="81">
        <v>5406000</v>
      </c>
      <c r="I11" s="81"/>
      <c r="J11" s="81">
        <v>810000</v>
      </c>
      <c r="K11" s="69"/>
      <c r="L11" s="69"/>
      <c r="M11" s="69"/>
      <c r="N11" s="69"/>
      <c r="O11" s="68">
        <f t="shared" si="0"/>
        <v>6216000</v>
      </c>
      <c r="P11" s="68">
        <v>3400000</v>
      </c>
      <c r="Q11" s="68">
        <f t="shared" si="1"/>
        <v>-2816000</v>
      </c>
      <c r="R11" s="98"/>
      <c r="S11" s="84"/>
      <c r="T11" s="74"/>
      <c r="U11" s="74"/>
      <c r="V11" s="74"/>
    </row>
    <row r="12" spans="1:22" s="83" customFormat="1" ht="13.5" thickBot="1" x14ac:dyDescent="0.25">
      <c r="A12" s="75">
        <v>5</v>
      </c>
      <c r="B12" s="101">
        <v>42415</v>
      </c>
      <c r="C12" s="77" t="s">
        <v>161</v>
      </c>
      <c r="D12" s="77" t="s">
        <v>176</v>
      </c>
      <c r="E12" s="77" t="s">
        <v>151</v>
      </c>
      <c r="F12" s="80"/>
      <c r="G12" s="77"/>
      <c r="H12" s="81"/>
      <c r="I12" s="81"/>
      <c r="J12" s="81">
        <v>1900000</v>
      </c>
      <c r="K12" s="69"/>
      <c r="L12" s="69"/>
      <c r="M12" s="69"/>
      <c r="N12" s="69"/>
      <c r="O12" s="68">
        <f t="shared" si="0"/>
        <v>1900000</v>
      </c>
      <c r="P12" s="68">
        <v>5500000</v>
      </c>
      <c r="Q12" s="68">
        <f t="shared" si="1"/>
        <v>3600000</v>
      </c>
      <c r="R12" s="98"/>
      <c r="S12" s="82"/>
      <c r="T12" s="74"/>
      <c r="U12" s="74"/>
      <c r="V12" s="74"/>
    </row>
    <row r="13" spans="1:22" s="83" customFormat="1" ht="13.5" thickBot="1" x14ac:dyDescent="0.25">
      <c r="A13" s="76">
        <v>6</v>
      </c>
      <c r="B13" s="101">
        <v>42415</v>
      </c>
      <c r="C13" s="77" t="s">
        <v>162</v>
      </c>
      <c r="D13" s="77" t="s">
        <v>177</v>
      </c>
      <c r="E13" s="77" t="s">
        <v>118</v>
      </c>
      <c r="F13" s="80"/>
      <c r="G13" s="77"/>
      <c r="H13" s="81"/>
      <c r="I13" s="81"/>
      <c r="J13" s="543">
        <v>1740000</v>
      </c>
      <c r="K13" s="69"/>
      <c r="L13" s="69"/>
      <c r="M13" s="69"/>
      <c r="N13" s="69"/>
      <c r="O13" s="70">
        <f t="shared" si="0"/>
        <v>1740000</v>
      </c>
      <c r="P13" s="68">
        <v>4300000</v>
      </c>
      <c r="Q13" s="68">
        <f t="shared" si="1"/>
        <v>2560000</v>
      </c>
      <c r="R13" s="98"/>
      <c r="S13" s="84"/>
      <c r="T13" s="74"/>
      <c r="U13" s="74"/>
      <c r="V13" s="74"/>
    </row>
    <row r="14" spans="1:22" s="83" customFormat="1" ht="15.75" customHeight="1" thickBot="1" x14ac:dyDescent="0.25">
      <c r="A14" s="75">
        <v>7</v>
      </c>
      <c r="B14" s="101">
        <v>42415</v>
      </c>
      <c r="C14" s="77" t="s">
        <v>163</v>
      </c>
      <c r="D14" s="77" t="s">
        <v>178</v>
      </c>
      <c r="E14" s="77" t="s">
        <v>25</v>
      </c>
      <c r="F14" s="80"/>
      <c r="G14" s="77"/>
      <c r="H14" s="81"/>
      <c r="I14" s="81"/>
      <c r="J14" s="544"/>
      <c r="K14" s="69"/>
      <c r="L14" s="69"/>
      <c r="M14" s="69"/>
      <c r="N14" s="69"/>
      <c r="O14" s="70">
        <f t="shared" si="0"/>
        <v>0</v>
      </c>
      <c r="P14" s="68">
        <v>2850000</v>
      </c>
      <c r="Q14" s="68">
        <f t="shared" si="1"/>
        <v>2850000</v>
      </c>
      <c r="R14" s="98"/>
      <c r="S14" s="82"/>
      <c r="T14" s="74"/>
      <c r="U14" s="74"/>
      <c r="V14" s="74"/>
    </row>
    <row r="15" spans="1:22" s="83" customFormat="1" ht="13.5" thickBot="1" x14ac:dyDescent="0.25">
      <c r="A15" s="76">
        <v>8</v>
      </c>
      <c r="B15" s="101">
        <v>42416</v>
      </c>
      <c r="C15" s="77" t="s">
        <v>164</v>
      </c>
      <c r="D15" s="77" t="s">
        <v>179</v>
      </c>
      <c r="E15" s="77" t="s">
        <v>27</v>
      </c>
      <c r="F15" s="80"/>
      <c r="G15" s="77"/>
      <c r="H15" s="81"/>
      <c r="I15" s="81"/>
      <c r="J15" s="545">
        <v>1520000</v>
      </c>
      <c r="K15" s="69"/>
      <c r="L15" s="69"/>
      <c r="M15" s="69"/>
      <c r="N15" s="69"/>
      <c r="O15" s="70">
        <f t="shared" si="0"/>
        <v>1520000</v>
      </c>
      <c r="P15" s="68">
        <v>2918182</v>
      </c>
      <c r="Q15" s="68">
        <f t="shared" si="1"/>
        <v>1398182</v>
      </c>
      <c r="R15" s="98"/>
      <c r="S15" s="84"/>
      <c r="T15" s="74"/>
      <c r="U15" s="74"/>
      <c r="V15" s="74"/>
    </row>
    <row r="16" spans="1:22" s="83" customFormat="1" ht="15.75" customHeight="1" thickBot="1" x14ac:dyDescent="0.25">
      <c r="A16" s="75">
        <v>9</v>
      </c>
      <c r="B16" s="101">
        <v>42416</v>
      </c>
      <c r="C16" s="77" t="s">
        <v>165</v>
      </c>
      <c r="D16" s="77" t="s">
        <v>179</v>
      </c>
      <c r="E16" s="77" t="s">
        <v>116</v>
      </c>
      <c r="F16" s="80"/>
      <c r="G16" s="77">
        <v>410</v>
      </c>
      <c r="H16" s="81">
        <v>3927800</v>
      </c>
      <c r="I16" s="81"/>
      <c r="J16" s="546"/>
      <c r="K16" s="69"/>
      <c r="L16" s="69"/>
      <c r="M16" s="69"/>
      <c r="N16" s="69"/>
      <c r="O16" s="70">
        <f t="shared" si="0"/>
        <v>3927800</v>
      </c>
      <c r="P16" s="68">
        <v>3000000</v>
      </c>
      <c r="Q16" s="68">
        <f t="shared" si="1"/>
        <v>-927800</v>
      </c>
      <c r="R16" s="98"/>
      <c r="S16" s="82"/>
      <c r="T16" s="74"/>
      <c r="U16" s="74"/>
      <c r="V16" s="74"/>
    </row>
    <row r="17" spans="1:22" s="83" customFormat="1" ht="13.5" thickBot="1" x14ac:dyDescent="0.25">
      <c r="A17" s="76">
        <v>10</v>
      </c>
      <c r="B17" s="101">
        <v>42418</v>
      </c>
      <c r="C17" s="77" t="s">
        <v>166</v>
      </c>
      <c r="D17" s="77" t="s">
        <v>180</v>
      </c>
      <c r="E17" s="77" t="s">
        <v>187</v>
      </c>
      <c r="F17" s="80"/>
      <c r="G17" s="77"/>
      <c r="H17" s="81"/>
      <c r="I17" s="81"/>
      <c r="J17" s="81">
        <v>1040000</v>
      </c>
      <c r="K17" s="69"/>
      <c r="L17" s="69"/>
      <c r="M17" s="69"/>
      <c r="N17" s="69"/>
      <c r="O17" s="70">
        <f t="shared" si="0"/>
        <v>1040000</v>
      </c>
      <c r="P17" s="68">
        <v>3500000</v>
      </c>
      <c r="Q17" s="68">
        <f t="shared" si="1"/>
        <v>2460000</v>
      </c>
      <c r="R17" s="98"/>
      <c r="S17" s="84"/>
      <c r="T17" s="74"/>
      <c r="U17" s="74"/>
      <c r="V17" s="74"/>
    </row>
    <row r="18" spans="1:22" s="83" customFormat="1" ht="13.5" thickBot="1" x14ac:dyDescent="0.25">
      <c r="A18" s="75">
        <v>11</v>
      </c>
      <c r="B18" s="101">
        <v>42418</v>
      </c>
      <c r="C18" s="77" t="s">
        <v>167</v>
      </c>
      <c r="D18" s="77" t="s">
        <v>181</v>
      </c>
      <c r="E18" s="77" t="s">
        <v>24</v>
      </c>
      <c r="F18" s="80"/>
      <c r="G18" s="77"/>
      <c r="H18" s="81"/>
      <c r="I18" s="81"/>
      <c r="J18" s="81">
        <v>2320000</v>
      </c>
      <c r="K18" s="69"/>
      <c r="L18" s="69"/>
      <c r="M18" s="69"/>
      <c r="N18" s="69"/>
      <c r="O18" s="70">
        <f t="shared" si="0"/>
        <v>2320000</v>
      </c>
      <c r="P18" s="68">
        <v>9545455</v>
      </c>
      <c r="Q18" s="68">
        <f t="shared" si="1"/>
        <v>7225455</v>
      </c>
      <c r="R18" s="98"/>
      <c r="S18" s="82"/>
      <c r="T18" s="74"/>
      <c r="U18" s="74"/>
      <c r="V18" s="74"/>
    </row>
    <row r="19" spans="1:22" s="83" customFormat="1" ht="13.5" thickBot="1" x14ac:dyDescent="0.25">
      <c r="A19" s="76">
        <v>12</v>
      </c>
      <c r="B19" s="101">
        <v>42418</v>
      </c>
      <c r="C19" s="77" t="s">
        <v>168</v>
      </c>
      <c r="D19" s="77" t="s">
        <v>182</v>
      </c>
      <c r="E19" s="77" t="s">
        <v>188</v>
      </c>
      <c r="F19" s="80"/>
      <c r="G19" s="77"/>
      <c r="H19" s="81"/>
      <c r="I19" s="81"/>
      <c r="J19" s="81">
        <v>860000</v>
      </c>
      <c r="K19" s="69"/>
      <c r="L19" s="69"/>
      <c r="M19" s="69"/>
      <c r="N19" s="69"/>
      <c r="O19" s="68">
        <f t="shared" si="0"/>
        <v>860000</v>
      </c>
      <c r="P19" s="68">
        <v>3160000</v>
      </c>
      <c r="Q19" s="68">
        <f t="shared" si="1"/>
        <v>2300000</v>
      </c>
      <c r="R19" s="98"/>
      <c r="S19" s="84"/>
      <c r="T19" s="74"/>
      <c r="U19" s="74"/>
      <c r="V19" s="74"/>
    </row>
    <row r="20" spans="1:22" s="83" customFormat="1" ht="13.5" thickBot="1" x14ac:dyDescent="0.25">
      <c r="A20" s="75">
        <v>13</v>
      </c>
      <c r="B20" s="101">
        <v>42422</v>
      </c>
      <c r="C20" s="77" t="s">
        <v>169</v>
      </c>
      <c r="D20" s="77" t="s">
        <v>183</v>
      </c>
      <c r="E20" s="77" t="s">
        <v>153</v>
      </c>
      <c r="F20" s="80"/>
      <c r="G20" s="77"/>
      <c r="H20" s="81"/>
      <c r="I20" s="81"/>
      <c r="J20" s="81">
        <v>1740000</v>
      </c>
      <c r="K20" s="69"/>
      <c r="L20" s="69"/>
      <c r="M20" s="69"/>
      <c r="N20" s="69"/>
      <c r="O20" s="68">
        <f t="shared" si="0"/>
        <v>1740000</v>
      </c>
      <c r="P20" s="68">
        <v>5720000</v>
      </c>
      <c r="Q20" s="68">
        <f t="shared" si="1"/>
        <v>3980000</v>
      </c>
      <c r="R20" s="98"/>
      <c r="S20" s="82"/>
      <c r="T20" s="74"/>
      <c r="U20" s="74"/>
      <c r="V20" s="74"/>
    </row>
    <row r="21" spans="1:22" s="83" customFormat="1" ht="13.5" thickBot="1" x14ac:dyDescent="0.25">
      <c r="A21" s="76">
        <v>14</v>
      </c>
      <c r="B21" s="101">
        <v>42424</v>
      </c>
      <c r="C21" s="77" t="s">
        <v>170</v>
      </c>
      <c r="D21" s="77" t="s">
        <v>184</v>
      </c>
      <c r="E21" s="77" t="s">
        <v>189</v>
      </c>
      <c r="F21" s="80"/>
      <c r="G21" s="77">
        <v>575</v>
      </c>
      <c r="H21" s="81">
        <v>5508500</v>
      </c>
      <c r="I21" s="81"/>
      <c r="J21" s="81">
        <v>2420000</v>
      </c>
      <c r="K21" s="69"/>
      <c r="L21" s="69"/>
      <c r="M21" s="69"/>
      <c r="N21" s="69"/>
      <c r="O21" s="68">
        <f t="shared" si="0"/>
        <v>7928500</v>
      </c>
      <c r="P21" s="68">
        <v>11818182</v>
      </c>
      <c r="Q21" s="68">
        <f t="shared" si="1"/>
        <v>3889682</v>
      </c>
      <c r="R21" s="98"/>
      <c r="S21" s="84"/>
      <c r="T21" s="74"/>
      <c r="U21" s="74"/>
      <c r="V21" s="74"/>
    </row>
    <row r="22" spans="1:22" s="83" customFormat="1" ht="13.5" thickBot="1" x14ac:dyDescent="0.25">
      <c r="A22" s="75">
        <v>15</v>
      </c>
      <c r="B22" s="101">
        <v>42425</v>
      </c>
      <c r="C22" s="77" t="s">
        <v>171</v>
      </c>
      <c r="D22" s="77" t="s">
        <v>185</v>
      </c>
      <c r="E22" s="77" t="s">
        <v>87</v>
      </c>
      <c r="F22" s="80"/>
      <c r="G22" s="77"/>
      <c r="H22" s="81"/>
      <c r="I22" s="81"/>
      <c r="J22" s="81">
        <v>1740000</v>
      </c>
      <c r="K22" s="69"/>
      <c r="L22" s="69"/>
      <c r="M22" s="69"/>
      <c r="N22" s="69"/>
      <c r="O22" s="68">
        <f t="shared" si="0"/>
        <v>1740000</v>
      </c>
      <c r="P22" s="68">
        <v>5640000</v>
      </c>
      <c r="Q22" s="68">
        <f t="shared" si="1"/>
        <v>3900000</v>
      </c>
      <c r="R22" s="98"/>
      <c r="S22" s="82"/>
      <c r="T22" s="74"/>
      <c r="U22" s="74"/>
      <c r="V22" s="74"/>
    </row>
    <row r="23" spans="1:22" s="83" customFormat="1" ht="13.5" thickBot="1" x14ac:dyDescent="0.25">
      <c r="A23" s="76">
        <v>16</v>
      </c>
      <c r="B23" s="101">
        <v>42426</v>
      </c>
      <c r="C23" s="77" t="s">
        <v>172</v>
      </c>
      <c r="D23" s="77" t="s">
        <v>186</v>
      </c>
      <c r="E23" s="77" t="s">
        <v>24</v>
      </c>
      <c r="F23" s="80"/>
      <c r="G23" s="77"/>
      <c r="H23" s="81"/>
      <c r="I23" s="81"/>
      <c r="J23" s="81">
        <v>2320000</v>
      </c>
      <c r="K23" s="69"/>
      <c r="L23" s="69"/>
      <c r="M23" s="69"/>
      <c r="N23" s="69"/>
      <c r="O23" s="68">
        <f t="shared" si="0"/>
        <v>2320000</v>
      </c>
      <c r="P23" s="68">
        <v>8863636</v>
      </c>
      <c r="Q23" s="68">
        <f t="shared" si="1"/>
        <v>6543636</v>
      </c>
      <c r="R23" s="98"/>
      <c r="S23" s="84"/>
      <c r="T23" s="74"/>
      <c r="U23" s="74"/>
      <c r="V23" s="74"/>
    </row>
    <row r="24" spans="1:22" s="83" customFormat="1" ht="13.5" thickBot="1" x14ac:dyDescent="0.25">
      <c r="A24" s="75"/>
      <c r="B24" s="100"/>
      <c r="C24" s="77"/>
      <c r="D24" s="77"/>
      <c r="E24" s="68"/>
      <c r="F24" s="80"/>
      <c r="G24" s="77"/>
      <c r="H24" s="81"/>
      <c r="I24" s="81"/>
      <c r="J24" s="81"/>
      <c r="K24" s="69"/>
      <c r="L24" s="69"/>
      <c r="M24" s="69"/>
      <c r="N24" s="69"/>
      <c r="O24" s="68"/>
      <c r="P24" s="68"/>
      <c r="Q24" s="68">
        <f t="shared" si="1"/>
        <v>0</v>
      </c>
      <c r="R24" s="106"/>
      <c r="S24" s="84"/>
      <c r="T24" s="74"/>
      <c r="U24" s="74"/>
      <c r="V24" s="74"/>
    </row>
    <row r="25" spans="1:22" s="83" customFormat="1" ht="13.5" thickBot="1" x14ac:dyDescent="0.3">
      <c r="A25" s="75"/>
      <c r="B25" s="102"/>
      <c r="C25" s="85" t="s">
        <v>119</v>
      </c>
      <c r="D25" s="78"/>
      <c r="E25" s="79"/>
      <c r="F25" s="80"/>
      <c r="G25" s="77"/>
      <c r="H25" s="81"/>
      <c r="I25" s="81"/>
      <c r="J25" s="69"/>
      <c r="K25" s="86">
        <v>9000000</v>
      </c>
      <c r="L25" s="69"/>
      <c r="M25" s="69"/>
      <c r="N25" s="69"/>
      <c r="O25" s="68">
        <f t="shared" si="0"/>
        <v>9000000</v>
      </c>
      <c r="P25" s="68"/>
      <c r="Q25" s="68">
        <f t="shared" si="1"/>
        <v>-9000000</v>
      </c>
      <c r="R25" s="72"/>
      <c r="S25" s="84"/>
      <c r="T25" s="74"/>
      <c r="U25" s="74"/>
      <c r="V25" s="74"/>
    </row>
    <row r="26" spans="1:22" s="83" customFormat="1" x14ac:dyDescent="0.25">
      <c r="A26" s="75"/>
      <c r="B26" s="107"/>
      <c r="C26" s="108" t="s">
        <v>198</v>
      </c>
      <c r="D26" s="87"/>
      <c r="E26" s="109"/>
      <c r="F26" s="110"/>
      <c r="G26" s="70"/>
      <c r="H26" s="81"/>
      <c r="I26" s="111"/>
      <c r="J26" s="112"/>
      <c r="K26" s="113"/>
      <c r="L26" s="112">
        <v>1200000</v>
      </c>
      <c r="M26" s="112"/>
      <c r="N26" s="112"/>
      <c r="O26" s="68">
        <f t="shared" si="0"/>
        <v>1200000</v>
      </c>
      <c r="P26" s="68"/>
      <c r="Q26" s="68">
        <f t="shared" si="1"/>
        <v>-1200000</v>
      </c>
      <c r="R26" s="72"/>
      <c r="S26" s="114"/>
      <c r="T26" s="74"/>
      <c r="U26" s="74"/>
      <c r="V26" s="74"/>
    </row>
    <row r="27" spans="1:22" s="83" customFormat="1" x14ac:dyDescent="0.25">
      <c r="A27" s="75"/>
      <c r="B27" s="107"/>
      <c r="C27" s="108"/>
      <c r="D27" s="87"/>
      <c r="E27" s="109"/>
      <c r="F27" s="110"/>
      <c r="G27" s="70"/>
      <c r="H27" s="81"/>
      <c r="I27" s="111"/>
      <c r="J27" s="112"/>
      <c r="K27" s="113"/>
      <c r="L27" s="112"/>
      <c r="M27" s="112"/>
      <c r="N27" s="112"/>
      <c r="O27" s="68"/>
      <c r="P27" s="68"/>
      <c r="Q27" s="68"/>
      <c r="R27" s="72"/>
      <c r="S27" s="114"/>
      <c r="T27" s="74"/>
      <c r="U27" s="74"/>
      <c r="V27" s="74"/>
    </row>
    <row r="28" spans="1:22" s="83" customFormat="1" x14ac:dyDescent="0.25">
      <c r="A28" s="75"/>
      <c r="B28" s="107"/>
      <c r="C28" s="108"/>
      <c r="D28" s="87"/>
      <c r="E28" s="109"/>
      <c r="F28" s="110"/>
      <c r="G28" s="70"/>
      <c r="H28" s="81"/>
      <c r="I28" s="111"/>
      <c r="J28" s="112"/>
      <c r="K28" s="113"/>
      <c r="L28" s="112"/>
      <c r="M28" s="112"/>
      <c r="N28" s="112"/>
      <c r="O28" s="68"/>
      <c r="P28" s="68"/>
      <c r="Q28" s="68"/>
      <c r="R28" s="72"/>
      <c r="S28" s="114"/>
      <c r="T28" s="74"/>
      <c r="U28" s="74"/>
      <c r="V28" s="74"/>
    </row>
    <row r="29" spans="1:22" x14ac:dyDescent="0.25">
      <c r="A29" s="76"/>
      <c r="B29" s="103"/>
      <c r="C29" s="87"/>
      <c r="D29" s="88"/>
      <c r="E29" s="87"/>
      <c r="F29" s="88"/>
      <c r="G29" s="88"/>
      <c r="H29" s="77"/>
      <c r="I29" s="88"/>
      <c r="J29" s="70"/>
      <c r="K29" s="70"/>
      <c r="L29" s="70"/>
      <c r="M29" s="70"/>
      <c r="N29" s="70"/>
      <c r="O29" s="68">
        <f t="shared" si="0"/>
        <v>0</v>
      </c>
      <c r="P29" s="68"/>
      <c r="Q29" s="68">
        <f t="shared" ref="Q29" si="2">P29-O29</f>
        <v>0</v>
      </c>
    </row>
    <row r="30" spans="1:22" x14ac:dyDescent="0.25">
      <c r="A30" s="547" t="s">
        <v>19</v>
      </c>
      <c r="B30" s="548"/>
      <c r="C30" s="548"/>
      <c r="D30" s="548"/>
      <c r="E30" s="548"/>
      <c r="F30" s="549"/>
      <c r="G30" s="89">
        <f t="shared" ref="G30:Q30" si="3">SUM(G7:G29)</f>
        <v>1515</v>
      </c>
      <c r="H30" s="71">
        <f t="shared" si="3"/>
        <v>14842300</v>
      </c>
      <c r="I30" s="71">
        <f t="shared" si="3"/>
        <v>0</v>
      </c>
      <c r="J30" s="71">
        <f t="shared" si="3"/>
        <v>23090000</v>
      </c>
      <c r="K30" s="71">
        <f t="shared" si="3"/>
        <v>9000000</v>
      </c>
      <c r="L30" s="71">
        <f t="shared" si="3"/>
        <v>1200000</v>
      </c>
      <c r="M30" s="71">
        <f t="shared" si="3"/>
        <v>0</v>
      </c>
      <c r="N30" s="71">
        <f t="shared" si="3"/>
        <v>0</v>
      </c>
      <c r="O30" s="71">
        <f t="shared" si="3"/>
        <v>48132300</v>
      </c>
      <c r="P30" s="71">
        <f t="shared" si="3"/>
        <v>87435455</v>
      </c>
      <c r="Q30" s="71">
        <f t="shared" si="3"/>
        <v>39303155</v>
      </c>
      <c r="R30" s="90"/>
    </row>
    <row r="31" spans="1:22" x14ac:dyDescent="0.25">
      <c r="O31" s="91"/>
      <c r="Q31" s="91"/>
      <c r="R31" s="92"/>
      <c r="S31" s="72"/>
    </row>
    <row r="32" spans="1:22" x14ac:dyDescent="0.25">
      <c r="R32" s="92"/>
      <c r="S32" s="72"/>
    </row>
    <row r="33" spans="18:20" x14ac:dyDescent="0.25">
      <c r="R33" s="92"/>
      <c r="S33" s="72"/>
    </row>
    <row r="34" spans="18:20" x14ac:dyDescent="0.25">
      <c r="R34" s="92"/>
      <c r="S34" s="72"/>
    </row>
    <row r="35" spans="18:20" x14ac:dyDescent="0.25">
      <c r="R35" s="92"/>
      <c r="S35" s="72"/>
    </row>
    <row r="36" spans="18:20" x14ac:dyDescent="0.25">
      <c r="R36" s="92"/>
      <c r="S36" s="72"/>
    </row>
    <row r="37" spans="18:20" x14ac:dyDescent="0.25">
      <c r="R37" s="92"/>
      <c r="S37" s="72"/>
    </row>
    <row r="38" spans="18:20" x14ac:dyDescent="0.25">
      <c r="R38" s="92"/>
      <c r="S38" s="72"/>
    </row>
    <row r="39" spans="18:20" x14ac:dyDescent="0.25">
      <c r="R39" s="90"/>
      <c r="S39" s="93"/>
      <c r="T39" s="93"/>
    </row>
  </sheetData>
  <mergeCells count="16">
    <mergeCell ref="A3:Q3"/>
    <mergeCell ref="A1:Q1"/>
    <mergeCell ref="A2:Q2"/>
    <mergeCell ref="A5:A6"/>
    <mergeCell ref="B5:B6"/>
    <mergeCell ref="C5:C6"/>
    <mergeCell ref="D5:D6"/>
    <mergeCell ref="E5:E6"/>
    <mergeCell ref="F5:F6"/>
    <mergeCell ref="G5:N5"/>
    <mergeCell ref="O5:O6"/>
    <mergeCell ref="J13:J14"/>
    <mergeCell ref="J15:J16"/>
    <mergeCell ref="P5:P6"/>
    <mergeCell ref="Q5:Q6"/>
    <mergeCell ref="A30:F30"/>
  </mergeCell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42"/>
  <sheetViews>
    <sheetView topLeftCell="E28" workbookViewId="0">
      <selection activeCell="Q34" sqref="Q34"/>
    </sheetView>
  </sheetViews>
  <sheetFormatPr defaultColWidth="9.140625" defaultRowHeight="12.75" x14ac:dyDescent="0.25"/>
  <cols>
    <col min="1" max="1" width="4.5703125" style="74" customWidth="1"/>
    <col min="2" max="2" width="10.28515625" style="99" customWidth="1"/>
    <col min="3" max="3" width="26.28515625" style="74" customWidth="1"/>
    <col min="4" max="4" width="12.42578125" style="74" customWidth="1"/>
    <col min="5" max="5" width="26.7109375" style="74" customWidth="1"/>
    <col min="6" max="6" width="11.5703125" style="74" customWidth="1"/>
    <col min="7" max="7" width="8" style="74" customWidth="1"/>
    <col min="8" max="8" width="11" style="72" customWidth="1"/>
    <col min="9" max="9" width="12.28515625" style="74" customWidth="1"/>
    <col min="10" max="10" width="11.140625" style="72" customWidth="1"/>
    <col min="11" max="11" width="9.5703125" style="72" customWidth="1"/>
    <col min="12" max="12" width="9.42578125" style="72" customWidth="1"/>
    <col min="13" max="13" width="8.5703125" style="72" customWidth="1"/>
    <col min="14" max="14" width="9.5703125" style="72" customWidth="1"/>
    <col min="15" max="15" width="12.7109375" style="72" customWidth="1"/>
    <col min="16" max="16" width="13.85546875" style="72" customWidth="1"/>
    <col min="17" max="17" width="12.28515625" style="72" customWidth="1"/>
    <col min="18" max="18" width="12.140625" style="74" customWidth="1"/>
    <col min="19" max="16384" width="9.140625" style="74"/>
  </cols>
  <sheetData>
    <row r="1" spans="1:20" ht="23.25" x14ac:dyDescent="0.25">
      <c r="A1" s="551" t="s">
        <v>0</v>
      </c>
      <c r="B1" s="551"/>
      <c r="C1" s="551"/>
      <c r="D1" s="551"/>
      <c r="E1" s="551"/>
      <c r="F1" s="551"/>
      <c r="G1" s="551"/>
      <c r="H1" s="551"/>
      <c r="I1" s="551"/>
      <c r="J1" s="551"/>
      <c r="K1" s="551"/>
      <c r="L1" s="551"/>
      <c r="M1" s="551"/>
      <c r="N1" s="551"/>
      <c r="O1" s="551"/>
      <c r="P1" s="551"/>
      <c r="Q1" s="551"/>
    </row>
    <row r="2" spans="1:20" ht="17.25" customHeight="1" x14ac:dyDescent="0.25">
      <c r="A2" s="550" t="s">
        <v>103</v>
      </c>
      <c r="B2" s="550"/>
      <c r="C2" s="550"/>
      <c r="D2" s="550"/>
      <c r="E2" s="550"/>
      <c r="F2" s="550"/>
      <c r="G2" s="550"/>
      <c r="H2" s="550"/>
      <c r="I2" s="550"/>
      <c r="J2" s="550"/>
      <c r="K2" s="550"/>
      <c r="L2" s="550"/>
      <c r="M2" s="550"/>
      <c r="N2" s="550"/>
      <c r="O2" s="550"/>
      <c r="P2" s="550"/>
      <c r="Q2" s="550"/>
    </row>
    <row r="3" spans="1:20" ht="21" customHeight="1" x14ac:dyDescent="0.25">
      <c r="A3" s="550" t="s">
        <v>199</v>
      </c>
      <c r="B3" s="550"/>
      <c r="C3" s="550"/>
      <c r="D3" s="550"/>
      <c r="E3" s="550"/>
      <c r="F3" s="550"/>
      <c r="G3" s="550"/>
      <c r="H3" s="550"/>
      <c r="I3" s="550"/>
      <c r="J3" s="550"/>
      <c r="K3" s="550"/>
      <c r="L3" s="550"/>
      <c r="M3" s="550"/>
      <c r="N3" s="550"/>
      <c r="O3" s="550"/>
      <c r="P3" s="550"/>
      <c r="Q3" s="550"/>
    </row>
    <row r="4" spans="1:20" x14ac:dyDescent="0.25">
      <c r="E4" s="74" t="s">
        <v>194</v>
      </c>
    </row>
    <row r="5" spans="1:20" s="5" customFormat="1" ht="12.75" customHeight="1" x14ac:dyDescent="0.25">
      <c r="A5" s="115" t="s">
        <v>1</v>
      </c>
      <c r="B5" s="116" t="s">
        <v>2</v>
      </c>
      <c r="C5" s="115" t="s">
        <v>3</v>
      </c>
      <c r="D5" s="115" t="s">
        <v>5</v>
      </c>
      <c r="E5" s="117" t="s">
        <v>4</v>
      </c>
      <c r="F5" s="117" t="s">
        <v>17</v>
      </c>
      <c r="G5" s="118" t="s">
        <v>6</v>
      </c>
      <c r="H5" s="119"/>
      <c r="I5" s="119"/>
      <c r="J5" s="119"/>
      <c r="K5" s="119"/>
      <c r="L5" s="119"/>
      <c r="M5" s="119"/>
      <c r="N5" s="120"/>
      <c r="O5" s="121" t="s">
        <v>18</v>
      </c>
      <c r="P5" s="121" t="s">
        <v>13</v>
      </c>
      <c r="Q5" s="121" t="s">
        <v>14</v>
      </c>
    </row>
    <row r="6" spans="1:20" s="5" customFormat="1" x14ac:dyDescent="0.25">
      <c r="A6" s="122"/>
      <c r="B6" s="123"/>
      <c r="C6" s="122"/>
      <c r="D6" s="122"/>
      <c r="E6" s="124"/>
      <c r="F6" s="124"/>
      <c r="G6" s="6" t="s">
        <v>7</v>
      </c>
      <c r="H6" s="7" t="s">
        <v>15</v>
      </c>
      <c r="I6" s="6" t="s">
        <v>16</v>
      </c>
      <c r="J6" s="7" t="s">
        <v>8</v>
      </c>
      <c r="K6" s="7" t="s">
        <v>9</v>
      </c>
      <c r="L6" s="7" t="s">
        <v>10</v>
      </c>
      <c r="M6" s="7" t="s">
        <v>11</v>
      </c>
      <c r="N6" s="7" t="s">
        <v>12</v>
      </c>
      <c r="O6" s="125"/>
      <c r="P6" s="125"/>
      <c r="Q6" s="125"/>
    </row>
    <row r="7" spans="1:20" ht="13.5" thickBot="1" x14ac:dyDescent="0.3">
      <c r="A7" s="75"/>
      <c r="B7" s="100"/>
      <c r="C7" s="76"/>
      <c r="D7" s="76"/>
      <c r="E7" s="75"/>
      <c r="F7" s="75"/>
      <c r="G7" s="77"/>
      <c r="H7" s="68"/>
      <c r="I7" s="75"/>
      <c r="J7" s="68"/>
      <c r="K7" s="68"/>
      <c r="L7" s="68"/>
      <c r="M7" s="68"/>
      <c r="N7" s="68"/>
      <c r="O7" s="68">
        <f>H7+J7+K7+L7+M7+N7</f>
        <v>0</v>
      </c>
      <c r="P7" s="68"/>
      <c r="Q7" s="68">
        <f>P7-O7</f>
        <v>0</v>
      </c>
    </row>
    <row r="8" spans="1:20" s="83" customFormat="1" ht="13.5" thickBot="1" x14ac:dyDescent="0.25">
      <c r="A8" s="75">
        <v>1</v>
      </c>
      <c r="B8" s="101">
        <v>42426</v>
      </c>
      <c r="C8" s="77" t="s">
        <v>200</v>
      </c>
      <c r="D8" s="77" t="s">
        <v>201</v>
      </c>
      <c r="E8" s="77" t="s">
        <v>27</v>
      </c>
      <c r="F8" s="80"/>
      <c r="G8" s="77"/>
      <c r="H8" s="81"/>
      <c r="I8" s="81"/>
      <c r="J8" s="81">
        <v>800000</v>
      </c>
      <c r="K8" s="69"/>
      <c r="L8" s="69"/>
      <c r="M8" s="69"/>
      <c r="N8" s="69"/>
      <c r="O8" s="68">
        <f t="shared" ref="O8:O34" si="0">N8+M8+L8+K8+J8+H8</f>
        <v>800000</v>
      </c>
      <c r="P8" s="52">
        <v>3090909</v>
      </c>
      <c r="Q8" s="68">
        <f>P8-O8</f>
        <v>2290909</v>
      </c>
      <c r="R8" s="74"/>
      <c r="S8" s="74"/>
      <c r="T8" s="74"/>
    </row>
    <row r="9" spans="1:20" s="83" customFormat="1" ht="13.5" thickBot="1" x14ac:dyDescent="0.25">
      <c r="A9" s="76">
        <v>2</v>
      </c>
      <c r="B9" s="101">
        <v>42432</v>
      </c>
      <c r="C9" s="77" t="s">
        <v>202</v>
      </c>
      <c r="D9" s="77" t="s">
        <v>203</v>
      </c>
      <c r="E9" s="77" t="s">
        <v>204</v>
      </c>
      <c r="F9" s="80"/>
      <c r="G9" s="77"/>
      <c r="H9" s="81"/>
      <c r="I9" s="81"/>
      <c r="J9" s="81">
        <v>300000</v>
      </c>
      <c r="K9" s="69"/>
      <c r="L9" s="69"/>
      <c r="M9" s="69"/>
      <c r="N9" s="69"/>
      <c r="O9" s="68">
        <f t="shared" si="0"/>
        <v>300000</v>
      </c>
      <c r="P9" s="52">
        <v>2000000</v>
      </c>
      <c r="Q9" s="68">
        <f t="shared" ref="Q9:Q40" si="1">P9-O9</f>
        <v>1700000</v>
      </c>
      <c r="R9" s="74"/>
      <c r="S9" s="74"/>
      <c r="T9" s="74"/>
    </row>
    <row r="10" spans="1:20" s="83" customFormat="1" ht="13.5" thickBot="1" x14ac:dyDescent="0.25">
      <c r="A10" s="75">
        <v>3</v>
      </c>
      <c r="B10" s="101">
        <v>42433</v>
      </c>
      <c r="C10" s="77" t="s">
        <v>205</v>
      </c>
      <c r="D10" s="77" t="s">
        <v>206</v>
      </c>
      <c r="E10" s="77" t="s">
        <v>207</v>
      </c>
      <c r="F10" s="80"/>
      <c r="G10" s="77">
        <v>550</v>
      </c>
      <c r="H10" s="81">
        <v>5269000</v>
      </c>
      <c r="I10" s="81"/>
      <c r="J10" s="81">
        <v>1120000</v>
      </c>
      <c r="K10" s="69"/>
      <c r="L10" s="69"/>
      <c r="M10" s="69"/>
      <c r="N10" s="69"/>
      <c r="O10" s="68">
        <f t="shared" si="0"/>
        <v>6389000</v>
      </c>
      <c r="P10" s="52">
        <v>4409091</v>
      </c>
      <c r="Q10" s="68">
        <f t="shared" si="1"/>
        <v>-1979909</v>
      </c>
      <c r="R10" s="74"/>
      <c r="S10" s="74"/>
      <c r="T10" s="74"/>
    </row>
    <row r="11" spans="1:20" s="83" customFormat="1" ht="13.5" thickBot="1" x14ac:dyDescent="0.25">
      <c r="A11" s="76">
        <v>4</v>
      </c>
      <c r="B11" s="101">
        <v>42434</v>
      </c>
      <c r="C11" s="77" t="s">
        <v>208</v>
      </c>
      <c r="D11" s="77" t="s">
        <v>209</v>
      </c>
      <c r="E11" s="77" t="s">
        <v>155</v>
      </c>
      <c r="F11" s="80"/>
      <c r="G11" s="77"/>
      <c r="H11" s="81"/>
      <c r="I11" s="81"/>
      <c r="J11" s="81">
        <v>1670000</v>
      </c>
      <c r="K11" s="69"/>
      <c r="L11" s="69"/>
      <c r="M11" s="69"/>
      <c r="N11" s="69"/>
      <c r="O11" s="68">
        <f t="shared" si="0"/>
        <v>1670000</v>
      </c>
      <c r="P11" s="52">
        <v>5000000</v>
      </c>
      <c r="Q11" s="68">
        <f t="shared" si="1"/>
        <v>3330000</v>
      </c>
      <c r="R11" s="74"/>
      <c r="S11" s="74"/>
      <c r="T11" s="74"/>
    </row>
    <row r="12" spans="1:20" s="83" customFormat="1" ht="13.5" thickBot="1" x14ac:dyDescent="0.25">
      <c r="A12" s="75">
        <v>5</v>
      </c>
      <c r="B12" s="101">
        <v>42437</v>
      </c>
      <c r="C12" s="77" t="s">
        <v>210</v>
      </c>
      <c r="D12" s="77" t="s">
        <v>211</v>
      </c>
      <c r="E12" s="77" t="s">
        <v>212</v>
      </c>
      <c r="F12" s="80"/>
      <c r="G12" s="77"/>
      <c r="H12" s="81"/>
      <c r="I12" s="81"/>
      <c r="J12" s="81">
        <v>1520000</v>
      </c>
      <c r="K12" s="69"/>
      <c r="L12" s="69"/>
      <c r="M12" s="69"/>
      <c r="N12" s="69"/>
      <c r="O12" s="68">
        <f t="shared" si="0"/>
        <v>1520000</v>
      </c>
      <c r="P12" s="52">
        <v>5200000</v>
      </c>
      <c r="Q12" s="68">
        <f t="shared" si="1"/>
        <v>3680000</v>
      </c>
      <c r="R12" s="74"/>
      <c r="S12" s="74"/>
      <c r="T12" s="74"/>
    </row>
    <row r="13" spans="1:20" s="83" customFormat="1" ht="15" customHeight="1" thickBot="1" x14ac:dyDescent="0.25">
      <c r="A13" s="76">
        <v>6</v>
      </c>
      <c r="B13" s="101">
        <v>42437</v>
      </c>
      <c r="C13" s="77" t="s">
        <v>213</v>
      </c>
      <c r="D13" s="77" t="s">
        <v>214</v>
      </c>
      <c r="E13" s="77" t="s">
        <v>215</v>
      </c>
      <c r="F13" s="80"/>
      <c r="G13" s="77"/>
      <c r="H13" s="81"/>
      <c r="I13" s="81"/>
      <c r="J13" s="81">
        <v>0</v>
      </c>
      <c r="K13" s="69"/>
      <c r="L13" s="69"/>
      <c r="M13" s="69"/>
      <c r="N13" s="69"/>
      <c r="O13" s="68">
        <f t="shared" si="0"/>
        <v>0</v>
      </c>
      <c r="P13" s="53">
        <v>0</v>
      </c>
      <c r="Q13" s="68">
        <f t="shared" si="1"/>
        <v>0</v>
      </c>
      <c r="R13" s="74"/>
      <c r="S13" s="74"/>
      <c r="T13" s="74"/>
    </row>
    <row r="14" spans="1:20" s="83" customFormat="1" ht="15.75" customHeight="1" thickBot="1" x14ac:dyDescent="0.25">
      <c r="A14" s="75">
        <v>7</v>
      </c>
      <c r="B14" s="101">
        <v>42439</v>
      </c>
      <c r="C14" s="77" t="s">
        <v>216</v>
      </c>
      <c r="D14" s="77" t="s">
        <v>217</v>
      </c>
      <c r="E14" s="77" t="s">
        <v>218</v>
      </c>
      <c r="F14" s="80"/>
      <c r="G14" s="77"/>
      <c r="H14" s="81"/>
      <c r="I14" s="81"/>
      <c r="J14" s="81">
        <f>1120000+620000</f>
        <v>1740000</v>
      </c>
      <c r="K14" s="69"/>
      <c r="L14" s="69"/>
      <c r="M14" s="69"/>
      <c r="N14" s="69"/>
      <c r="O14" s="68">
        <f t="shared" si="0"/>
        <v>1740000</v>
      </c>
      <c r="P14" s="52">
        <v>5700000</v>
      </c>
      <c r="Q14" s="68">
        <f t="shared" si="1"/>
        <v>3960000</v>
      </c>
      <c r="R14" s="74"/>
      <c r="S14" s="74"/>
      <c r="T14" s="74"/>
    </row>
    <row r="15" spans="1:20" s="83" customFormat="1" ht="13.5" thickBot="1" x14ac:dyDescent="0.25">
      <c r="A15" s="76">
        <v>8</v>
      </c>
      <c r="B15" s="101">
        <v>42442</v>
      </c>
      <c r="C15" s="77" t="s">
        <v>219</v>
      </c>
      <c r="D15" s="77" t="s">
        <v>220</v>
      </c>
      <c r="E15" s="77" t="s">
        <v>221</v>
      </c>
      <c r="F15" s="80"/>
      <c r="G15" s="77"/>
      <c r="H15" s="81"/>
      <c r="I15" s="81"/>
      <c r="J15" s="81">
        <v>1200000</v>
      </c>
      <c r="K15" s="69"/>
      <c r="L15" s="69"/>
      <c r="M15" s="69"/>
      <c r="N15" s="69"/>
      <c r="O15" s="68">
        <f t="shared" si="0"/>
        <v>1200000</v>
      </c>
      <c r="P15" s="52">
        <v>5500000</v>
      </c>
      <c r="Q15" s="68">
        <f t="shared" si="1"/>
        <v>4300000</v>
      </c>
      <c r="R15" s="74"/>
      <c r="S15" s="74"/>
      <c r="T15" s="74"/>
    </row>
    <row r="16" spans="1:20" s="83" customFormat="1" ht="15.75" customHeight="1" thickBot="1" x14ac:dyDescent="0.25">
      <c r="A16" s="75">
        <v>9</v>
      </c>
      <c r="B16" s="101">
        <v>42442</v>
      </c>
      <c r="C16" s="77" t="s">
        <v>222</v>
      </c>
      <c r="D16" s="77" t="s">
        <v>223</v>
      </c>
      <c r="E16" s="77" t="s">
        <v>30</v>
      </c>
      <c r="F16" s="80"/>
      <c r="G16" s="77">
        <v>405</v>
      </c>
      <c r="H16" s="81">
        <v>3879900</v>
      </c>
      <c r="I16" s="81"/>
      <c r="J16" s="81">
        <v>0</v>
      </c>
      <c r="K16" s="69"/>
      <c r="L16" s="69"/>
      <c r="M16" s="69"/>
      <c r="N16" s="69"/>
      <c r="O16" s="68">
        <f t="shared" si="0"/>
        <v>3879900</v>
      </c>
      <c r="P16" s="53">
        <v>0</v>
      </c>
      <c r="Q16" s="68">
        <f t="shared" si="1"/>
        <v>-3879900</v>
      </c>
      <c r="R16" s="74"/>
      <c r="S16" s="74"/>
      <c r="T16" s="74"/>
    </row>
    <row r="17" spans="1:20" s="83" customFormat="1" ht="13.5" thickBot="1" x14ac:dyDescent="0.25">
      <c r="A17" s="76">
        <v>10</v>
      </c>
      <c r="B17" s="101">
        <v>42443</v>
      </c>
      <c r="C17" s="77" t="s">
        <v>224</v>
      </c>
      <c r="D17" s="77" t="s">
        <v>225</v>
      </c>
      <c r="E17" s="77" t="s">
        <v>188</v>
      </c>
      <c r="F17" s="80"/>
      <c r="G17" s="77"/>
      <c r="H17" s="81"/>
      <c r="I17" s="81"/>
      <c r="J17" s="81">
        <v>660000</v>
      </c>
      <c r="K17" s="69"/>
      <c r="L17" s="69"/>
      <c r="M17" s="69"/>
      <c r="N17" s="69"/>
      <c r="O17" s="68">
        <f t="shared" si="0"/>
        <v>660000</v>
      </c>
      <c r="P17" s="52">
        <v>3160000</v>
      </c>
      <c r="Q17" s="68">
        <f t="shared" si="1"/>
        <v>2500000</v>
      </c>
      <c r="R17" s="74"/>
      <c r="S17" s="74"/>
      <c r="T17" s="74"/>
    </row>
    <row r="18" spans="1:20" s="83" customFormat="1" ht="13.5" thickBot="1" x14ac:dyDescent="0.25">
      <c r="A18" s="75">
        <v>11</v>
      </c>
      <c r="B18" s="101">
        <v>42443</v>
      </c>
      <c r="C18" s="77" t="s">
        <v>226</v>
      </c>
      <c r="D18" s="77" t="s">
        <v>227</v>
      </c>
      <c r="E18" s="77" t="s">
        <v>118</v>
      </c>
      <c r="F18" s="80"/>
      <c r="G18" s="77"/>
      <c r="H18" s="81"/>
      <c r="I18" s="81"/>
      <c r="J18" s="81">
        <v>1740000</v>
      </c>
      <c r="K18" s="69"/>
      <c r="L18" s="69"/>
      <c r="M18" s="69"/>
      <c r="N18" s="69"/>
      <c r="O18" s="68">
        <f t="shared" si="0"/>
        <v>1740000</v>
      </c>
      <c r="P18" s="52">
        <v>4300000</v>
      </c>
      <c r="Q18" s="68">
        <f t="shared" si="1"/>
        <v>2560000</v>
      </c>
      <c r="R18" s="74"/>
      <c r="S18" s="74"/>
      <c r="T18" s="74"/>
    </row>
    <row r="19" spans="1:20" s="83" customFormat="1" ht="15" customHeight="1" thickBot="1" x14ac:dyDescent="0.25">
      <c r="A19" s="76">
        <v>12</v>
      </c>
      <c r="B19" s="101">
        <v>42443</v>
      </c>
      <c r="C19" s="77" t="s">
        <v>228</v>
      </c>
      <c r="D19" s="77" t="s">
        <v>229</v>
      </c>
      <c r="E19" s="77" t="s">
        <v>30</v>
      </c>
      <c r="F19" s="80"/>
      <c r="G19" s="77"/>
      <c r="H19" s="81"/>
      <c r="I19" s="81"/>
      <c r="J19" s="81">
        <v>0</v>
      </c>
      <c r="K19" s="69"/>
      <c r="L19" s="69"/>
      <c r="M19" s="69"/>
      <c r="N19" s="69"/>
      <c r="O19" s="68">
        <f t="shared" si="0"/>
        <v>0</v>
      </c>
      <c r="P19" s="52">
        <v>2900000</v>
      </c>
      <c r="Q19" s="68">
        <f t="shared" si="1"/>
        <v>2900000</v>
      </c>
      <c r="R19" s="74"/>
      <c r="S19" s="74"/>
      <c r="T19" s="74"/>
    </row>
    <row r="20" spans="1:20" s="83" customFormat="1" ht="13.5" thickBot="1" x14ac:dyDescent="0.25">
      <c r="A20" s="75">
        <v>13</v>
      </c>
      <c r="B20" s="101">
        <v>42445</v>
      </c>
      <c r="C20" s="77" t="s">
        <v>230</v>
      </c>
      <c r="D20" s="77" t="s">
        <v>231</v>
      </c>
      <c r="E20" s="77" t="s">
        <v>232</v>
      </c>
      <c r="F20" s="80"/>
      <c r="G20" s="77"/>
      <c r="H20" s="81"/>
      <c r="I20" s="81"/>
      <c r="J20" s="81">
        <v>1520000</v>
      </c>
      <c r="K20" s="69"/>
      <c r="L20" s="69"/>
      <c r="M20" s="69"/>
      <c r="N20" s="69"/>
      <c r="O20" s="68">
        <f t="shared" si="0"/>
        <v>1520000</v>
      </c>
      <c r="P20" s="52">
        <v>2790909</v>
      </c>
      <c r="Q20" s="68">
        <f t="shared" si="1"/>
        <v>1270909</v>
      </c>
      <c r="R20" s="74"/>
      <c r="S20" s="74"/>
      <c r="T20" s="74"/>
    </row>
    <row r="21" spans="1:20" s="83" customFormat="1" ht="15" customHeight="1" thickBot="1" x14ac:dyDescent="0.25">
      <c r="A21" s="76">
        <v>14</v>
      </c>
      <c r="B21" s="101">
        <v>42447</v>
      </c>
      <c r="C21" s="77" t="s">
        <v>233</v>
      </c>
      <c r="D21" s="77" t="s">
        <v>231</v>
      </c>
      <c r="E21" s="77" t="s">
        <v>116</v>
      </c>
      <c r="F21" s="80"/>
      <c r="G21" s="77"/>
      <c r="H21" s="81"/>
      <c r="I21" s="81"/>
      <c r="J21" s="81">
        <v>0</v>
      </c>
      <c r="K21" s="69"/>
      <c r="L21" s="69"/>
      <c r="M21" s="69"/>
      <c r="N21" s="69"/>
      <c r="O21" s="68">
        <f t="shared" si="0"/>
        <v>0</v>
      </c>
      <c r="P21" s="52">
        <v>3000000</v>
      </c>
      <c r="Q21" s="68">
        <f t="shared" si="1"/>
        <v>3000000</v>
      </c>
      <c r="R21" s="74"/>
      <c r="S21" s="74"/>
      <c r="T21" s="74"/>
    </row>
    <row r="22" spans="1:20" s="83" customFormat="1" ht="13.5" thickBot="1" x14ac:dyDescent="0.25">
      <c r="A22" s="75">
        <v>15</v>
      </c>
      <c r="B22" s="101">
        <v>42450</v>
      </c>
      <c r="C22" s="77" t="s">
        <v>234</v>
      </c>
      <c r="D22" s="77" t="s">
        <v>235</v>
      </c>
      <c r="E22" s="77" t="s">
        <v>236</v>
      </c>
      <c r="F22" s="80"/>
      <c r="G22" s="77">
        <v>540</v>
      </c>
      <c r="H22" s="81">
        <v>5173200</v>
      </c>
      <c r="I22" s="81"/>
      <c r="J22" s="126">
        <v>1740000</v>
      </c>
      <c r="K22" s="69"/>
      <c r="L22" s="69"/>
      <c r="M22" s="69"/>
      <c r="N22" s="69"/>
      <c r="O22" s="68">
        <f t="shared" si="0"/>
        <v>6913200</v>
      </c>
      <c r="P22" s="52">
        <v>3500000</v>
      </c>
      <c r="Q22" s="68">
        <f t="shared" si="1"/>
        <v>-3413200</v>
      </c>
      <c r="R22" s="74"/>
      <c r="S22" s="74"/>
      <c r="T22" s="74"/>
    </row>
    <row r="23" spans="1:20" s="83" customFormat="1" ht="13.5" thickBot="1" x14ac:dyDescent="0.25">
      <c r="A23" s="76">
        <v>16</v>
      </c>
      <c r="B23" s="101">
        <v>42450</v>
      </c>
      <c r="C23" s="77" t="s">
        <v>237</v>
      </c>
      <c r="D23" s="77" t="s">
        <v>238</v>
      </c>
      <c r="E23" s="77" t="s">
        <v>30</v>
      </c>
      <c r="F23" s="80"/>
      <c r="G23" s="77"/>
      <c r="H23" s="81"/>
      <c r="I23" s="81"/>
      <c r="J23" s="126">
        <v>0</v>
      </c>
      <c r="K23" s="69"/>
      <c r="L23" s="69"/>
      <c r="M23" s="69"/>
      <c r="N23" s="69"/>
      <c r="O23" s="68">
        <f t="shared" si="0"/>
        <v>0</v>
      </c>
      <c r="P23" s="52">
        <v>2900000</v>
      </c>
      <c r="Q23" s="68">
        <f t="shared" si="1"/>
        <v>2900000</v>
      </c>
      <c r="R23" s="74"/>
      <c r="S23" s="74"/>
      <c r="T23" s="74"/>
    </row>
    <row r="24" spans="1:20" s="83" customFormat="1" ht="13.5" thickBot="1" x14ac:dyDescent="0.25">
      <c r="A24" s="76">
        <v>17</v>
      </c>
      <c r="B24" s="101">
        <v>42450</v>
      </c>
      <c r="C24" s="77" t="s">
        <v>239</v>
      </c>
      <c r="D24" s="77" t="s">
        <v>240</v>
      </c>
      <c r="E24" s="77" t="s">
        <v>241</v>
      </c>
      <c r="F24" s="80"/>
      <c r="G24" s="77"/>
      <c r="H24" s="81"/>
      <c r="I24" s="81"/>
      <c r="J24" s="81">
        <v>1740000</v>
      </c>
      <c r="K24" s="69"/>
      <c r="L24" s="69"/>
      <c r="M24" s="69"/>
      <c r="N24" s="69"/>
      <c r="O24" s="68">
        <f t="shared" si="0"/>
        <v>1740000</v>
      </c>
      <c r="P24" s="52">
        <v>5900000</v>
      </c>
      <c r="Q24" s="68">
        <f t="shared" si="1"/>
        <v>4160000</v>
      </c>
      <c r="R24" s="74"/>
      <c r="S24" s="74"/>
      <c r="T24" s="74"/>
    </row>
    <row r="25" spans="1:20" s="83" customFormat="1" ht="15" customHeight="1" thickBot="1" x14ac:dyDescent="0.25">
      <c r="A25" s="76">
        <v>18</v>
      </c>
      <c r="B25" s="101">
        <v>42450</v>
      </c>
      <c r="C25" s="77" t="s">
        <v>239</v>
      </c>
      <c r="D25" s="77" t="s">
        <v>242</v>
      </c>
      <c r="E25" s="77" t="s">
        <v>30</v>
      </c>
      <c r="F25" s="80"/>
      <c r="G25" s="77"/>
      <c r="H25" s="81"/>
      <c r="I25" s="81"/>
      <c r="J25" s="81"/>
      <c r="K25" s="69"/>
      <c r="L25" s="69"/>
      <c r="M25" s="69"/>
      <c r="N25" s="69"/>
      <c r="O25" s="68">
        <f t="shared" si="0"/>
        <v>0</v>
      </c>
      <c r="P25" s="53">
        <v>0</v>
      </c>
      <c r="Q25" s="68">
        <f t="shared" si="1"/>
        <v>0</v>
      </c>
      <c r="R25" s="74"/>
      <c r="S25" s="74"/>
      <c r="T25" s="74"/>
    </row>
    <row r="26" spans="1:20" s="83" customFormat="1" ht="13.5" thickBot="1" x14ac:dyDescent="0.25">
      <c r="A26" s="76">
        <v>19</v>
      </c>
      <c r="B26" s="101">
        <v>42450</v>
      </c>
      <c r="C26" s="77" t="s">
        <v>243</v>
      </c>
      <c r="D26" s="77" t="s">
        <v>244</v>
      </c>
      <c r="E26" s="77" t="s">
        <v>27</v>
      </c>
      <c r="F26" s="80"/>
      <c r="G26" s="77"/>
      <c r="H26" s="81"/>
      <c r="I26" s="81"/>
      <c r="J26" s="81">
        <v>800000</v>
      </c>
      <c r="K26" s="69"/>
      <c r="L26" s="69"/>
      <c r="M26" s="69"/>
      <c r="N26" s="69"/>
      <c r="O26" s="68">
        <f t="shared" si="0"/>
        <v>800000</v>
      </c>
      <c r="P26" s="52">
        <v>2790909</v>
      </c>
      <c r="Q26" s="68">
        <f t="shared" si="1"/>
        <v>1990909</v>
      </c>
      <c r="R26" s="74"/>
      <c r="S26" s="74"/>
      <c r="T26" s="74"/>
    </row>
    <row r="27" spans="1:20" s="83" customFormat="1" ht="13.5" thickBot="1" x14ac:dyDescent="0.25">
      <c r="A27" s="76">
        <v>20</v>
      </c>
      <c r="B27" s="101">
        <v>42452</v>
      </c>
      <c r="C27" s="77" t="s">
        <v>245</v>
      </c>
      <c r="D27" s="77" t="s">
        <v>246</v>
      </c>
      <c r="E27" s="77" t="s">
        <v>247</v>
      </c>
      <c r="F27" s="80"/>
      <c r="G27" s="77"/>
      <c r="H27" s="81"/>
      <c r="I27" s="81"/>
      <c r="J27" s="81">
        <v>1120000</v>
      </c>
      <c r="K27" s="69"/>
      <c r="L27" s="69"/>
      <c r="M27" s="69"/>
      <c r="N27" s="69"/>
      <c r="O27" s="68">
        <f t="shared" si="0"/>
        <v>1120000</v>
      </c>
      <c r="P27" s="52">
        <v>3500000</v>
      </c>
      <c r="Q27" s="68">
        <f t="shared" si="1"/>
        <v>2380000</v>
      </c>
      <c r="R27" s="74"/>
      <c r="S27" s="74"/>
      <c r="T27" s="74"/>
    </row>
    <row r="28" spans="1:20" s="83" customFormat="1" ht="13.5" thickBot="1" x14ac:dyDescent="0.25">
      <c r="A28" s="76">
        <v>21</v>
      </c>
      <c r="B28" s="101">
        <v>42452</v>
      </c>
      <c r="C28" s="77" t="s">
        <v>248</v>
      </c>
      <c r="D28" s="77" t="s">
        <v>249</v>
      </c>
      <c r="E28" s="77" t="s">
        <v>250</v>
      </c>
      <c r="F28" s="80"/>
      <c r="G28" s="77"/>
      <c r="H28" s="81"/>
      <c r="I28" s="81"/>
      <c r="J28" s="81">
        <v>6500000</v>
      </c>
      <c r="K28" s="69"/>
      <c r="L28" s="69"/>
      <c r="M28" s="69"/>
      <c r="N28" s="69"/>
      <c r="O28" s="68">
        <f t="shared" si="0"/>
        <v>6500000</v>
      </c>
      <c r="P28" s="52">
        <v>25000000</v>
      </c>
      <c r="Q28" s="68">
        <f t="shared" si="1"/>
        <v>18500000</v>
      </c>
      <c r="R28" s="74"/>
      <c r="S28" s="74"/>
      <c r="T28" s="74"/>
    </row>
    <row r="29" spans="1:20" s="83" customFormat="1" ht="13.5" thickBot="1" x14ac:dyDescent="0.25">
      <c r="A29" s="76">
        <v>22</v>
      </c>
      <c r="B29" s="101">
        <v>42454</v>
      </c>
      <c r="C29" s="77" t="s">
        <v>251</v>
      </c>
      <c r="D29" s="77" t="s">
        <v>252</v>
      </c>
      <c r="E29" s="77" t="s">
        <v>253</v>
      </c>
      <c r="F29" s="80"/>
      <c r="G29" s="77">
        <v>505</v>
      </c>
      <c r="H29" s="81">
        <v>4984350</v>
      </c>
      <c r="I29" s="81"/>
      <c r="J29" s="81">
        <v>1740000</v>
      </c>
      <c r="K29" s="69"/>
      <c r="L29" s="69"/>
      <c r="M29" s="69"/>
      <c r="N29" s="69"/>
      <c r="O29" s="68">
        <f t="shared" si="0"/>
        <v>6724350</v>
      </c>
      <c r="P29" s="52">
        <v>5900000</v>
      </c>
      <c r="Q29" s="68">
        <f t="shared" si="1"/>
        <v>-824350</v>
      </c>
      <c r="R29" s="74"/>
      <c r="S29" s="74"/>
      <c r="T29" s="74"/>
    </row>
    <row r="30" spans="1:20" s="83" customFormat="1" ht="15" customHeight="1" thickBot="1" x14ac:dyDescent="0.25">
      <c r="A30" s="76">
        <v>23</v>
      </c>
      <c r="B30" s="101">
        <v>42454</v>
      </c>
      <c r="C30" s="77" t="s">
        <v>251</v>
      </c>
      <c r="D30" s="77" t="s">
        <v>254</v>
      </c>
      <c r="E30" s="77" t="s">
        <v>30</v>
      </c>
      <c r="F30" s="80"/>
      <c r="G30" s="77"/>
      <c r="H30" s="81"/>
      <c r="I30" s="81"/>
      <c r="J30" s="81"/>
      <c r="K30" s="69"/>
      <c r="L30" s="69"/>
      <c r="M30" s="69"/>
      <c r="N30" s="69"/>
      <c r="O30" s="68">
        <f t="shared" si="0"/>
        <v>0</v>
      </c>
      <c r="P30" s="53">
        <v>0</v>
      </c>
      <c r="Q30" s="68">
        <f t="shared" si="1"/>
        <v>0</v>
      </c>
      <c r="R30" s="74"/>
      <c r="S30" s="74"/>
      <c r="T30" s="74"/>
    </row>
    <row r="31" spans="1:20" s="83" customFormat="1" ht="13.5" thickBot="1" x14ac:dyDescent="0.25">
      <c r="A31" s="76">
        <v>24</v>
      </c>
      <c r="B31" s="101">
        <v>42457</v>
      </c>
      <c r="C31" s="77" t="s">
        <v>255</v>
      </c>
      <c r="D31" s="77" t="s">
        <v>256</v>
      </c>
      <c r="E31" s="77" t="s">
        <v>22</v>
      </c>
      <c r="F31" s="80"/>
      <c r="G31" s="77"/>
      <c r="H31" s="81"/>
      <c r="I31" s="81"/>
      <c r="J31" s="81">
        <v>1740000</v>
      </c>
      <c r="K31" s="69"/>
      <c r="L31" s="69"/>
      <c r="M31" s="69"/>
      <c r="N31" s="69"/>
      <c r="O31" s="68">
        <f t="shared" si="0"/>
        <v>1740000</v>
      </c>
      <c r="P31" s="52">
        <v>5500000</v>
      </c>
      <c r="Q31" s="68">
        <f t="shared" si="1"/>
        <v>3760000</v>
      </c>
      <c r="R31" s="74"/>
      <c r="S31" s="74"/>
      <c r="T31" s="74"/>
    </row>
    <row r="32" spans="1:20" s="83" customFormat="1" ht="15" customHeight="1" thickBot="1" x14ac:dyDescent="0.25">
      <c r="A32" s="76">
        <v>25</v>
      </c>
      <c r="B32" s="101">
        <v>42457</v>
      </c>
      <c r="C32" s="77" t="s">
        <v>255</v>
      </c>
      <c r="D32" s="77" t="s">
        <v>256</v>
      </c>
      <c r="E32" s="77" t="s">
        <v>25</v>
      </c>
      <c r="F32" s="80"/>
      <c r="G32" s="77"/>
      <c r="H32" s="81"/>
      <c r="I32" s="81"/>
      <c r="J32" s="81"/>
      <c r="K32" s="69"/>
      <c r="L32" s="69"/>
      <c r="M32" s="69"/>
      <c r="N32" s="69"/>
      <c r="O32" s="68">
        <f t="shared" si="0"/>
        <v>0</v>
      </c>
      <c r="P32" s="53">
        <v>0</v>
      </c>
      <c r="Q32" s="68">
        <f t="shared" si="1"/>
        <v>0</v>
      </c>
      <c r="R32" s="74"/>
      <c r="S32" s="74"/>
      <c r="T32" s="74"/>
    </row>
    <row r="33" spans="1:20" s="83" customFormat="1" ht="13.5" thickBot="1" x14ac:dyDescent="0.25">
      <c r="A33" s="76">
        <v>26</v>
      </c>
      <c r="B33" s="101">
        <v>42458</v>
      </c>
      <c r="C33" s="77" t="s">
        <v>257</v>
      </c>
      <c r="D33" s="77" t="s">
        <v>258</v>
      </c>
      <c r="E33" s="77" t="s">
        <v>259</v>
      </c>
      <c r="F33" s="80"/>
      <c r="G33" s="77"/>
      <c r="H33" s="81"/>
      <c r="I33" s="81"/>
      <c r="J33" s="81">
        <v>200000</v>
      </c>
      <c r="K33" s="69"/>
      <c r="L33" s="69"/>
      <c r="M33" s="69"/>
      <c r="N33" s="69"/>
      <c r="O33" s="68">
        <f t="shared" si="0"/>
        <v>200000</v>
      </c>
      <c r="P33" s="52">
        <v>1750000</v>
      </c>
      <c r="Q33" s="68">
        <f t="shared" si="1"/>
        <v>1550000</v>
      </c>
      <c r="R33" s="74"/>
      <c r="S33" s="74"/>
      <c r="T33" s="74"/>
    </row>
    <row r="34" spans="1:20" s="83" customFormat="1" ht="13.5" thickBot="1" x14ac:dyDescent="0.25">
      <c r="A34" s="76">
        <v>27</v>
      </c>
      <c r="B34" s="101">
        <v>42459</v>
      </c>
      <c r="C34" s="77" t="s">
        <v>260</v>
      </c>
      <c r="D34" s="77" t="s">
        <v>261</v>
      </c>
      <c r="E34" s="77" t="s">
        <v>118</v>
      </c>
      <c r="F34" s="80"/>
      <c r="G34" s="77"/>
      <c r="H34" s="81"/>
      <c r="I34" s="81"/>
      <c r="J34" s="81">
        <v>1120000</v>
      </c>
      <c r="K34" s="69"/>
      <c r="L34" s="69"/>
      <c r="M34" s="69"/>
      <c r="N34" s="69"/>
      <c r="O34" s="68">
        <f t="shared" si="0"/>
        <v>1120000</v>
      </c>
      <c r="P34" s="52">
        <v>4300000</v>
      </c>
      <c r="Q34" s="68">
        <f t="shared" si="1"/>
        <v>3180000</v>
      </c>
      <c r="R34" s="74"/>
      <c r="S34" s="74"/>
      <c r="T34" s="74"/>
    </row>
    <row r="35" spans="1:20" s="83" customFormat="1" x14ac:dyDescent="0.25">
      <c r="A35" s="75"/>
      <c r="B35" s="100"/>
      <c r="C35" s="77"/>
      <c r="D35" s="77"/>
      <c r="E35" s="68"/>
      <c r="F35" s="80"/>
      <c r="G35" s="77"/>
      <c r="H35" s="81"/>
      <c r="I35" s="81"/>
      <c r="J35" s="81"/>
      <c r="K35" s="69"/>
      <c r="L35" s="69"/>
      <c r="M35" s="69"/>
      <c r="N35" s="69"/>
      <c r="O35" s="68"/>
      <c r="P35" s="68"/>
      <c r="Q35" s="68">
        <f t="shared" si="1"/>
        <v>0</v>
      </c>
      <c r="R35" s="74"/>
      <c r="S35" s="74"/>
      <c r="T35" s="74"/>
    </row>
    <row r="36" spans="1:20" s="83" customFormat="1" x14ac:dyDescent="0.25">
      <c r="A36" s="75"/>
      <c r="B36" s="102"/>
      <c r="C36" s="85" t="s">
        <v>119</v>
      </c>
      <c r="D36" s="78"/>
      <c r="E36" s="79"/>
      <c r="F36" s="80"/>
      <c r="G36" s="77"/>
      <c r="H36" s="81"/>
      <c r="I36" s="81"/>
      <c r="J36" s="69"/>
      <c r="K36" s="86">
        <f>25/27*9000000</f>
        <v>8333333.333333333</v>
      </c>
      <c r="L36" s="69"/>
      <c r="M36" s="69"/>
      <c r="N36" s="69"/>
      <c r="O36" s="68">
        <f>N36+M36+L36+K36+J36+H36</f>
        <v>8333333.333333333</v>
      </c>
      <c r="P36" s="68"/>
      <c r="Q36" s="68">
        <f t="shared" si="1"/>
        <v>-8333333.333333333</v>
      </c>
      <c r="R36" s="74"/>
      <c r="S36" s="74"/>
      <c r="T36" s="74"/>
    </row>
    <row r="37" spans="1:20" s="83" customFormat="1" x14ac:dyDescent="0.25">
      <c r="A37" s="75"/>
      <c r="B37" s="77"/>
      <c r="C37" s="108" t="s">
        <v>262</v>
      </c>
      <c r="D37" s="87"/>
      <c r="E37" s="77"/>
      <c r="F37" s="110"/>
      <c r="G37" s="70"/>
      <c r="H37" s="81"/>
      <c r="I37" s="111"/>
      <c r="J37" s="112"/>
      <c r="K37" s="113"/>
      <c r="L37" s="86">
        <v>400000</v>
      </c>
      <c r="M37" s="112"/>
      <c r="N37" s="112"/>
      <c r="O37" s="68">
        <f>N37+M37+L37+K37+J37+H37</f>
        <v>400000</v>
      </c>
      <c r="P37" s="68"/>
      <c r="Q37" s="68">
        <f t="shared" si="1"/>
        <v>-400000</v>
      </c>
      <c r="R37" s="74"/>
      <c r="S37" s="74"/>
      <c r="T37" s="74"/>
    </row>
    <row r="38" spans="1:20" s="83" customFormat="1" x14ac:dyDescent="0.25">
      <c r="A38" s="75"/>
      <c r="B38" s="70"/>
      <c r="C38" s="108" t="s">
        <v>263</v>
      </c>
      <c r="D38" s="87"/>
      <c r="E38" s="70"/>
      <c r="F38" s="110"/>
      <c r="G38" s="70"/>
      <c r="H38" s="81"/>
      <c r="I38" s="111"/>
      <c r="J38" s="112"/>
      <c r="K38" s="113"/>
      <c r="L38" s="86">
        <f>330000+180000</f>
        <v>510000</v>
      </c>
      <c r="M38" s="112"/>
      <c r="N38" s="112"/>
      <c r="O38" s="68">
        <f>N38+M38+L38+K38+J38+H38</f>
        <v>510000</v>
      </c>
      <c r="P38" s="68"/>
      <c r="Q38" s="68">
        <f t="shared" si="1"/>
        <v>-510000</v>
      </c>
      <c r="R38" s="74"/>
      <c r="S38" s="74"/>
      <c r="T38" s="74"/>
    </row>
    <row r="39" spans="1:20" s="83" customFormat="1" x14ac:dyDescent="0.25">
      <c r="A39" s="75"/>
      <c r="B39" s="70"/>
      <c r="C39" s="108" t="s">
        <v>264</v>
      </c>
      <c r="D39" s="87"/>
      <c r="E39" s="70"/>
      <c r="F39" s="110"/>
      <c r="G39" s="70"/>
      <c r="H39" s="81"/>
      <c r="I39" s="111"/>
      <c r="J39" s="112"/>
      <c r="K39" s="113"/>
      <c r="L39" s="86">
        <f>3960000/3</f>
        <v>1320000</v>
      </c>
      <c r="M39" s="112"/>
      <c r="N39" s="112"/>
      <c r="O39" s="68">
        <f>N39+M39+L39+K39+J39+H39</f>
        <v>1320000</v>
      </c>
      <c r="P39" s="68"/>
      <c r="Q39" s="68">
        <f t="shared" si="1"/>
        <v>-1320000</v>
      </c>
      <c r="R39" s="74"/>
      <c r="S39" s="74"/>
      <c r="T39" s="74"/>
    </row>
    <row r="40" spans="1:20" x14ac:dyDescent="0.25">
      <c r="A40" s="76"/>
      <c r="B40" s="103"/>
      <c r="C40" s="87"/>
      <c r="D40" s="88"/>
      <c r="E40" s="87"/>
      <c r="F40" s="88"/>
      <c r="G40" s="88"/>
      <c r="H40" s="77"/>
      <c r="I40" s="88"/>
      <c r="J40" s="70"/>
      <c r="K40" s="70"/>
      <c r="L40" s="70"/>
      <c r="M40" s="70"/>
      <c r="N40" s="70"/>
      <c r="O40" s="68">
        <f>N40+M40+L40+K40+J40+H40</f>
        <v>0</v>
      </c>
      <c r="P40" s="68"/>
      <c r="Q40" s="68">
        <f t="shared" si="1"/>
        <v>0</v>
      </c>
      <c r="R40" s="74" t="s">
        <v>265</v>
      </c>
    </row>
    <row r="41" spans="1:20" x14ac:dyDescent="0.25">
      <c r="A41" s="547" t="s">
        <v>19</v>
      </c>
      <c r="B41" s="548"/>
      <c r="C41" s="548"/>
      <c r="D41" s="548"/>
      <c r="E41" s="548"/>
      <c r="F41" s="549"/>
      <c r="G41" s="89">
        <f t="shared" ref="G41:Q41" si="2">SUM(G7:G40)</f>
        <v>2000</v>
      </c>
      <c r="H41" s="71">
        <f t="shared" si="2"/>
        <v>19306450</v>
      </c>
      <c r="I41" s="71">
        <f t="shared" si="2"/>
        <v>0</v>
      </c>
      <c r="J41" s="71">
        <f t="shared" si="2"/>
        <v>28970000</v>
      </c>
      <c r="K41" s="71">
        <f t="shared" si="2"/>
        <v>8333333.333333333</v>
      </c>
      <c r="L41" s="71">
        <f t="shared" si="2"/>
        <v>2230000</v>
      </c>
      <c r="M41" s="71">
        <f t="shared" si="2"/>
        <v>0</v>
      </c>
      <c r="N41" s="71">
        <f t="shared" si="2"/>
        <v>0</v>
      </c>
      <c r="O41" s="71">
        <f t="shared" si="2"/>
        <v>58839783.333333336</v>
      </c>
      <c r="P41" s="71">
        <f t="shared" si="2"/>
        <v>108091818</v>
      </c>
      <c r="Q41" s="71">
        <f t="shared" si="2"/>
        <v>49252034.666666664</v>
      </c>
      <c r="R41" s="93">
        <f>'T01.2016'!Q32+'T02.2016'!Q30+'03-2016'!Q41</f>
        <v>124113262.66666666</v>
      </c>
      <c r="S41" s="74">
        <f>R41/3</f>
        <v>41371087.555555552</v>
      </c>
    </row>
    <row r="42" spans="1:20" x14ac:dyDescent="0.25">
      <c r="O42" s="91"/>
      <c r="Q42" s="91"/>
    </row>
  </sheetData>
  <mergeCells count="4">
    <mergeCell ref="A1:Q1"/>
    <mergeCell ref="A2:Q2"/>
    <mergeCell ref="A3:Q3"/>
    <mergeCell ref="A41:F41"/>
  </mergeCells>
  <pageMargins left="0.7" right="0.7" top="0.75" bottom="0.75" header="0.3" footer="0.3"/>
  <pageSetup paperSize="9" orientation="portrait" horizontalDpi="180" verticalDpi="18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43"/>
  <sheetViews>
    <sheetView topLeftCell="D25" workbookViewId="0">
      <selection activeCell="N39" sqref="N39"/>
    </sheetView>
  </sheetViews>
  <sheetFormatPr defaultColWidth="9.140625" defaultRowHeight="12.75" x14ac:dyDescent="0.25"/>
  <cols>
    <col min="1" max="1" width="4.5703125" style="74" customWidth="1"/>
    <col min="2" max="2" width="10.28515625" style="99" customWidth="1"/>
    <col min="3" max="3" width="27" style="74" customWidth="1"/>
    <col min="4" max="4" width="12.42578125" style="74" customWidth="1"/>
    <col min="5" max="5" width="30.42578125" style="74" customWidth="1"/>
    <col min="6" max="6" width="11.5703125" style="74" customWidth="1"/>
    <col min="7" max="7" width="8" style="74" customWidth="1"/>
    <col min="8" max="8" width="11" style="72" customWidth="1"/>
    <col min="9" max="9" width="12.28515625" style="74" customWidth="1"/>
    <col min="10" max="10" width="11.140625" style="72" customWidth="1"/>
    <col min="11" max="11" width="9.5703125" style="72" customWidth="1"/>
    <col min="12" max="12" width="9.42578125" style="72" customWidth="1"/>
    <col min="13" max="13" width="8.5703125" style="72" customWidth="1"/>
    <col min="14" max="14" width="9.5703125" style="72" customWidth="1"/>
    <col min="15" max="15" width="12.7109375" style="72" customWidth="1"/>
    <col min="16" max="16" width="13.85546875" style="72" customWidth="1"/>
    <col min="17" max="17" width="12.28515625" style="72" customWidth="1"/>
    <col min="18" max="16384" width="9.140625" style="74"/>
  </cols>
  <sheetData>
    <row r="1" spans="1:18" ht="23.25" x14ac:dyDescent="0.25">
      <c r="A1" s="551" t="s">
        <v>0</v>
      </c>
      <c r="B1" s="551"/>
      <c r="C1" s="551"/>
      <c r="D1" s="551"/>
      <c r="E1" s="551"/>
      <c r="F1" s="551"/>
      <c r="G1" s="551"/>
      <c r="H1" s="551"/>
      <c r="I1" s="551"/>
      <c r="J1" s="551"/>
      <c r="K1" s="551"/>
      <c r="L1" s="551"/>
      <c r="M1" s="551"/>
      <c r="N1" s="551"/>
      <c r="O1" s="551"/>
      <c r="P1" s="551"/>
      <c r="Q1" s="551"/>
    </row>
    <row r="2" spans="1:18" ht="17.25" customHeight="1" x14ac:dyDescent="0.25">
      <c r="A2" s="550" t="s">
        <v>103</v>
      </c>
      <c r="B2" s="550"/>
      <c r="C2" s="550"/>
      <c r="D2" s="550"/>
      <c r="E2" s="550"/>
      <c r="F2" s="550"/>
      <c r="G2" s="550"/>
      <c r="H2" s="550"/>
      <c r="I2" s="550"/>
      <c r="J2" s="550"/>
      <c r="K2" s="550"/>
      <c r="L2" s="550"/>
      <c r="M2" s="550"/>
      <c r="N2" s="550"/>
      <c r="O2" s="550"/>
      <c r="P2" s="550"/>
      <c r="Q2" s="550"/>
    </row>
    <row r="3" spans="1:18" ht="21" customHeight="1" x14ac:dyDescent="0.25">
      <c r="A3" s="550" t="s">
        <v>266</v>
      </c>
      <c r="B3" s="550"/>
      <c r="C3" s="550"/>
      <c r="D3" s="550"/>
      <c r="E3" s="550"/>
      <c r="F3" s="550"/>
      <c r="G3" s="550"/>
      <c r="H3" s="550"/>
      <c r="I3" s="550"/>
      <c r="J3" s="550"/>
      <c r="K3" s="550"/>
      <c r="L3" s="550"/>
      <c r="M3" s="550"/>
      <c r="N3" s="550"/>
      <c r="O3" s="550"/>
      <c r="P3" s="550"/>
      <c r="Q3" s="550"/>
    </row>
    <row r="4" spans="1:18" x14ac:dyDescent="0.25">
      <c r="E4" s="74" t="s">
        <v>194</v>
      </c>
    </row>
    <row r="5" spans="1:18" s="5" customFormat="1" ht="12.75" customHeight="1" x14ac:dyDescent="0.25">
      <c r="A5" s="115" t="s">
        <v>1</v>
      </c>
      <c r="B5" s="116" t="s">
        <v>2</v>
      </c>
      <c r="C5" s="115" t="s">
        <v>3</v>
      </c>
      <c r="D5" s="115" t="s">
        <v>5</v>
      </c>
      <c r="E5" s="117" t="s">
        <v>4</v>
      </c>
      <c r="F5" s="117" t="s">
        <v>17</v>
      </c>
      <c r="G5" s="118" t="s">
        <v>6</v>
      </c>
      <c r="H5" s="119"/>
      <c r="I5" s="119"/>
      <c r="J5" s="119"/>
      <c r="K5" s="119"/>
      <c r="L5" s="119"/>
      <c r="M5" s="119"/>
      <c r="N5" s="120"/>
      <c r="O5" s="121" t="s">
        <v>18</v>
      </c>
      <c r="P5" s="127" t="s">
        <v>13</v>
      </c>
      <c r="Q5" s="121" t="s">
        <v>14</v>
      </c>
    </row>
    <row r="6" spans="1:18" s="5" customFormat="1" x14ac:dyDescent="0.25">
      <c r="A6" s="122"/>
      <c r="B6" s="123"/>
      <c r="C6" s="122"/>
      <c r="D6" s="122"/>
      <c r="E6" s="124"/>
      <c r="F6" s="124"/>
      <c r="G6" s="6" t="s">
        <v>7</v>
      </c>
      <c r="H6" s="7" t="s">
        <v>15</v>
      </c>
      <c r="I6" s="6" t="s">
        <v>16</v>
      </c>
      <c r="J6" s="7" t="s">
        <v>8</v>
      </c>
      <c r="K6" s="7" t="s">
        <v>9</v>
      </c>
      <c r="L6" s="7" t="s">
        <v>10</v>
      </c>
      <c r="M6" s="7" t="s">
        <v>11</v>
      </c>
      <c r="N6" s="7" t="s">
        <v>12</v>
      </c>
      <c r="O6" s="125"/>
      <c r="P6" s="125"/>
      <c r="Q6" s="125"/>
    </row>
    <row r="7" spans="1:18" ht="15" customHeight="1" thickBot="1" x14ac:dyDescent="0.3">
      <c r="A7" s="75"/>
      <c r="B7" s="100"/>
      <c r="C7" s="76"/>
      <c r="D7" s="76"/>
      <c r="E7" s="75"/>
      <c r="F7" s="75"/>
      <c r="G7" s="77"/>
      <c r="H7" s="68"/>
      <c r="I7" s="75"/>
      <c r="J7" s="68"/>
      <c r="K7" s="68"/>
      <c r="L7" s="68"/>
      <c r="M7" s="68"/>
      <c r="N7" s="68"/>
      <c r="O7" s="68">
        <f t="shared" ref="O7:O33" si="0">H7+J7+K7+L7+M7+N7</f>
        <v>0</v>
      </c>
      <c r="P7" s="68"/>
      <c r="Q7" s="68">
        <f t="shared" ref="Q7:Q41" si="1">P7-O7</f>
        <v>0</v>
      </c>
    </row>
    <row r="8" spans="1:18" s="83" customFormat="1" ht="15" customHeight="1" thickBot="1" x14ac:dyDescent="0.25">
      <c r="A8" s="75">
        <v>1</v>
      </c>
      <c r="B8" s="102">
        <v>42461</v>
      </c>
      <c r="C8" s="79" t="s">
        <v>267</v>
      </c>
      <c r="D8" s="78" t="s">
        <v>268</v>
      </c>
      <c r="E8" s="79" t="s">
        <v>269</v>
      </c>
      <c r="F8" s="80"/>
      <c r="G8" s="77"/>
      <c r="H8" s="81"/>
      <c r="I8" s="81"/>
      <c r="J8" s="69">
        <v>700000</v>
      </c>
      <c r="K8" s="86"/>
      <c r="L8" s="69"/>
      <c r="M8" s="69"/>
      <c r="N8" s="69"/>
      <c r="O8" s="68">
        <f t="shared" si="0"/>
        <v>700000</v>
      </c>
      <c r="P8" s="52">
        <v>3000000</v>
      </c>
      <c r="Q8" s="68">
        <f t="shared" si="1"/>
        <v>2300000</v>
      </c>
      <c r="R8" s="74"/>
    </row>
    <row r="9" spans="1:18" s="83" customFormat="1" ht="15" customHeight="1" thickBot="1" x14ac:dyDescent="0.25">
      <c r="A9" s="75">
        <v>2</v>
      </c>
      <c r="B9" s="102">
        <v>42462</v>
      </c>
      <c r="C9" s="79" t="s">
        <v>270</v>
      </c>
      <c r="D9" s="78" t="s">
        <v>271</v>
      </c>
      <c r="E9" s="79" t="s">
        <v>272</v>
      </c>
      <c r="F9" s="80"/>
      <c r="G9" s="77"/>
      <c r="H9" s="81"/>
      <c r="I9" s="81"/>
      <c r="J9" s="69">
        <v>1640000</v>
      </c>
      <c r="K9" s="86"/>
      <c r="L9" s="69"/>
      <c r="M9" s="69"/>
      <c r="N9" s="69"/>
      <c r="O9" s="68">
        <f t="shared" si="0"/>
        <v>1640000</v>
      </c>
      <c r="P9" s="52">
        <v>2709091</v>
      </c>
      <c r="Q9" s="68">
        <f t="shared" si="1"/>
        <v>1069091</v>
      </c>
      <c r="R9" s="74"/>
    </row>
    <row r="10" spans="1:18" s="83" customFormat="1" ht="15" customHeight="1" thickBot="1" x14ac:dyDescent="0.25">
      <c r="A10" s="75">
        <v>3</v>
      </c>
      <c r="B10" s="102">
        <v>42462</v>
      </c>
      <c r="C10" s="79" t="s">
        <v>273</v>
      </c>
      <c r="D10" s="78" t="s">
        <v>271</v>
      </c>
      <c r="E10" s="79" t="s">
        <v>116</v>
      </c>
      <c r="F10" s="80"/>
      <c r="G10" s="77"/>
      <c r="H10" s="81"/>
      <c r="I10" s="81"/>
      <c r="J10" s="69">
        <v>0</v>
      </c>
      <c r="K10" s="86"/>
      <c r="L10" s="69"/>
      <c r="M10" s="69"/>
      <c r="N10" s="69"/>
      <c r="O10" s="68">
        <f t="shared" si="0"/>
        <v>0</v>
      </c>
      <c r="P10" s="52">
        <v>3000000</v>
      </c>
      <c r="Q10" s="68">
        <f t="shared" si="1"/>
        <v>3000000</v>
      </c>
      <c r="R10" s="74"/>
    </row>
    <row r="11" spans="1:18" s="83" customFormat="1" ht="15" customHeight="1" thickBot="1" x14ac:dyDescent="0.25">
      <c r="A11" s="75">
        <v>4</v>
      </c>
      <c r="B11" s="102">
        <v>42465</v>
      </c>
      <c r="C11" s="79" t="s">
        <v>274</v>
      </c>
      <c r="D11" s="78" t="s">
        <v>275</v>
      </c>
      <c r="E11" s="79" t="s">
        <v>116</v>
      </c>
      <c r="F11" s="80"/>
      <c r="G11" s="77">
        <v>555</v>
      </c>
      <c r="H11" s="81">
        <v>5477850</v>
      </c>
      <c r="I11" s="81"/>
      <c r="J11" s="69">
        <v>1040000</v>
      </c>
      <c r="K11" s="86"/>
      <c r="L11" s="69"/>
      <c r="M11" s="69"/>
      <c r="N11" s="69"/>
      <c r="O11" s="68">
        <f t="shared" si="0"/>
        <v>6517850</v>
      </c>
      <c r="P11" s="52">
        <v>3000000</v>
      </c>
      <c r="Q11" s="68">
        <f t="shared" si="1"/>
        <v>-3517850</v>
      </c>
      <c r="R11" s="74"/>
    </row>
    <row r="12" spans="1:18" s="83" customFormat="1" ht="15" customHeight="1" thickBot="1" x14ac:dyDescent="0.25">
      <c r="A12" s="75">
        <v>5</v>
      </c>
      <c r="B12" s="102">
        <v>42465</v>
      </c>
      <c r="C12" s="79" t="s">
        <v>276</v>
      </c>
      <c r="D12" s="78" t="s">
        <v>277</v>
      </c>
      <c r="E12" s="79" t="s">
        <v>278</v>
      </c>
      <c r="F12" s="80"/>
      <c r="G12" s="77"/>
      <c r="H12" s="81"/>
      <c r="I12" s="81"/>
      <c r="J12" s="69">
        <v>1400000</v>
      </c>
      <c r="K12" s="86"/>
      <c r="L12" s="69"/>
      <c r="M12" s="69"/>
      <c r="N12" s="69"/>
      <c r="O12" s="68">
        <f t="shared" si="0"/>
        <v>1400000</v>
      </c>
      <c r="P12" s="52">
        <v>5100000</v>
      </c>
      <c r="Q12" s="68">
        <f t="shared" si="1"/>
        <v>3700000</v>
      </c>
      <c r="R12" s="74"/>
    </row>
    <row r="13" spans="1:18" s="83" customFormat="1" ht="15" customHeight="1" thickBot="1" x14ac:dyDescent="0.25">
      <c r="A13" s="75">
        <v>6</v>
      </c>
      <c r="B13" s="102">
        <v>42465</v>
      </c>
      <c r="C13" s="79" t="s">
        <v>279</v>
      </c>
      <c r="D13" s="78" t="s">
        <v>280</v>
      </c>
      <c r="E13" s="79" t="s">
        <v>30</v>
      </c>
      <c r="F13" s="80"/>
      <c r="G13" s="77"/>
      <c r="H13" s="81"/>
      <c r="I13" s="81"/>
      <c r="J13" s="69">
        <v>0</v>
      </c>
      <c r="K13" s="86"/>
      <c r="L13" s="69"/>
      <c r="M13" s="69"/>
      <c r="N13" s="69"/>
      <c r="O13" s="68">
        <f t="shared" si="0"/>
        <v>0</v>
      </c>
      <c r="P13" s="53">
        <v>0</v>
      </c>
      <c r="Q13" s="68">
        <f t="shared" si="1"/>
        <v>0</v>
      </c>
      <c r="R13" s="74"/>
    </row>
    <row r="14" spans="1:18" s="83" customFormat="1" ht="15" customHeight="1" thickBot="1" x14ac:dyDescent="0.25">
      <c r="A14" s="75">
        <v>7</v>
      </c>
      <c r="B14" s="102">
        <v>42467</v>
      </c>
      <c r="C14" s="79" t="s">
        <v>281</v>
      </c>
      <c r="D14" s="78" t="s">
        <v>282</v>
      </c>
      <c r="E14" s="79" t="s">
        <v>283</v>
      </c>
      <c r="F14" s="80"/>
      <c r="G14" s="77"/>
      <c r="H14" s="81"/>
      <c r="I14" s="81"/>
      <c r="J14" s="69">
        <v>2500000</v>
      </c>
      <c r="K14" s="86"/>
      <c r="L14" s="69"/>
      <c r="M14" s="69"/>
      <c r="N14" s="69"/>
      <c r="O14" s="68">
        <f t="shared" si="0"/>
        <v>2500000</v>
      </c>
      <c r="P14" s="52">
        <v>9000000</v>
      </c>
      <c r="Q14" s="68">
        <f t="shared" si="1"/>
        <v>6500000</v>
      </c>
      <c r="R14" s="74"/>
    </row>
    <row r="15" spans="1:18" s="83" customFormat="1" ht="15" customHeight="1" thickBot="1" x14ac:dyDescent="0.25">
      <c r="A15" s="75">
        <v>8</v>
      </c>
      <c r="B15" s="102">
        <v>42468</v>
      </c>
      <c r="C15" s="79" t="s">
        <v>284</v>
      </c>
      <c r="D15" s="78" t="s">
        <v>285</v>
      </c>
      <c r="E15" s="79" t="s">
        <v>286</v>
      </c>
      <c r="F15" s="80"/>
      <c r="G15" s="77"/>
      <c r="H15" s="81"/>
      <c r="I15" s="81"/>
      <c r="J15" s="69">
        <v>1040000</v>
      </c>
      <c r="K15" s="86"/>
      <c r="L15" s="69"/>
      <c r="M15" s="69"/>
      <c r="N15" s="69"/>
      <c r="O15" s="68">
        <f t="shared" si="0"/>
        <v>1040000</v>
      </c>
      <c r="P15" s="52">
        <v>3272727</v>
      </c>
      <c r="Q15" s="68">
        <f t="shared" si="1"/>
        <v>2232727</v>
      </c>
      <c r="R15" s="74"/>
    </row>
    <row r="16" spans="1:18" s="83" customFormat="1" ht="15" customHeight="1" thickBot="1" x14ac:dyDescent="0.25">
      <c r="A16" s="75">
        <v>9</v>
      </c>
      <c r="B16" s="102">
        <v>42470</v>
      </c>
      <c r="C16" s="79" t="s">
        <v>287</v>
      </c>
      <c r="D16" s="78" t="s">
        <v>288</v>
      </c>
      <c r="E16" s="79" t="s">
        <v>289</v>
      </c>
      <c r="F16" s="80"/>
      <c r="G16" s="77"/>
      <c r="H16" s="81"/>
      <c r="I16" s="81"/>
      <c r="J16" s="69">
        <v>1200000</v>
      </c>
      <c r="K16" s="86"/>
      <c r="L16" s="69"/>
      <c r="M16" s="69"/>
      <c r="N16" s="69"/>
      <c r="O16" s="68">
        <f t="shared" si="0"/>
        <v>1200000</v>
      </c>
      <c r="P16" s="52">
        <v>5200000</v>
      </c>
      <c r="Q16" s="68">
        <f t="shared" si="1"/>
        <v>4000000</v>
      </c>
      <c r="R16" s="74"/>
    </row>
    <row r="17" spans="1:18" s="83" customFormat="1" ht="15" customHeight="1" thickBot="1" x14ac:dyDescent="0.25">
      <c r="A17" s="75">
        <v>10</v>
      </c>
      <c r="B17" s="102">
        <v>42470</v>
      </c>
      <c r="C17" s="79" t="s">
        <v>290</v>
      </c>
      <c r="D17" s="78" t="s">
        <v>291</v>
      </c>
      <c r="E17" s="79" t="s">
        <v>30</v>
      </c>
      <c r="F17" s="80"/>
      <c r="G17" s="77"/>
      <c r="H17" s="81"/>
      <c r="I17" s="81"/>
      <c r="J17" s="69">
        <v>0</v>
      </c>
      <c r="K17" s="86"/>
      <c r="L17" s="69"/>
      <c r="M17" s="69"/>
      <c r="N17" s="69"/>
      <c r="O17" s="68">
        <f t="shared" si="0"/>
        <v>0</v>
      </c>
      <c r="P17" s="53">
        <v>0</v>
      </c>
      <c r="Q17" s="68">
        <f t="shared" si="1"/>
        <v>0</v>
      </c>
      <c r="R17" s="74"/>
    </row>
    <row r="18" spans="1:18" s="83" customFormat="1" ht="15" customHeight="1" thickBot="1" x14ac:dyDescent="0.25">
      <c r="A18" s="75">
        <v>11</v>
      </c>
      <c r="B18" s="102">
        <v>42472</v>
      </c>
      <c r="C18" s="79" t="s">
        <v>292</v>
      </c>
      <c r="D18" s="78" t="s">
        <v>293</v>
      </c>
      <c r="E18" s="79" t="s">
        <v>269</v>
      </c>
      <c r="F18" s="80"/>
      <c r="G18" s="77">
        <v>520</v>
      </c>
      <c r="H18" s="81">
        <v>5132400</v>
      </c>
      <c r="I18" s="81"/>
      <c r="J18" s="69">
        <v>580000</v>
      </c>
      <c r="K18" s="86"/>
      <c r="L18" s="69"/>
      <c r="M18" s="69"/>
      <c r="N18" s="69"/>
      <c r="O18" s="68">
        <f t="shared" si="0"/>
        <v>5712400</v>
      </c>
      <c r="P18" s="52">
        <v>3000000</v>
      </c>
      <c r="Q18" s="68">
        <f t="shared" si="1"/>
        <v>-2712400</v>
      </c>
      <c r="R18" s="74"/>
    </row>
    <row r="19" spans="1:18" s="83" customFormat="1" ht="15" customHeight="1" thickBot="1" x14ac:dyDescent="0.25">
      <c r="A19" s="75">
        <v>12</v>
      </c>
      <c r="B19" s="102">
        <v>42473</v>
      </c>
      <c r="C19" s="79" t="s">
        <v>294</v>
      </c>
      <c r="D19" s="78" t="s">
        <v>295</v>
      </c>
      <c r="E19" s="79" t="s">
        <v>189</v>
      </c>
      <c r="F19" s="80"/>
      <c r="G19" s="77"/>
      <c r="H19" s="81"/>
      <c r="I19" s="81"/>
      <c r="J19" s="69">
        <v>2480000</v>
      </c>
      <c r="K19" s="86"/>
      <c r="L19" s="69"/>
      <c r="M19" s="69"/>
      <c r="N19" s="69"/>
      <c r="O19" s="68">
        <f t="shared" si="0"/>
        <v>2480000</v>
      </c>
      <c r="P19" s="52">
        <v>10909091</v>
      </c>
      <c r="Q19" s="68">
        <f t="shared" si="1"/>
        <v>8429091</v>
      </c>
      <c r="R19" s="74"/>
    </row>
    <row r="20" spans="1:18" s="83" customFormat="1" ht="15" customHeight="1" thickBot="1" x14ac:dyDescent="0.25">
      <c r="A20" s="75">
        <v>13</v>
      </c>
      <c r="B20" s="102">
        <v>42474</v>
      </c>
      <c r="C20" s="79" t="s">
        <v>296</v>
      </c>
      <c r="D20" s="78" t="s">
        <v>297</v>
      </c>
      <c r="E20" s="79" t="s">
        <v>298</v>
      </c>
      <c r="F20" s="80"/>
      <c r="G20" s="77"/>
      <c r="H20" s="81"/>
      <c r="I20" s="81"/>
      <c r="J20" s="69">
        <v>1000000</v>
      </c>
      <c r="K20" s="86"/>
      <c r="L20" s="69"/>
      <c r="M20" s="69"/>
      <c r="N20" s="69"/>
      <c r="O20" s="68">
        <f t="shared" si="0"/>
        <v>1000000</v>
      </c>
      <c r="P20" s="52">
        <v>3600000</v>
      </c>
      <c r="Q20" s="68">
        <f t="shared" si="1"/>
        <v>2600000</v>
      </c>
      <c r="R20" s="74"/>
    </row>
    <row r="21" spans="1:18" s="83" customFormat="1" ht="15" customHeight="1" thickBot="1" x14ac:dyDescent="0.25">
      <c r="A21" s="75">
        <v>14</v>
      </c>
      <c r="B21" s="102">
        <v>42479</v>
      </c>
      <c r="C21" s="79" t="s">
        <v>299</v>
      </c>
      <c r="D21" s="78" t="s">
        <v>300</v>
      </c>
      <c r="E21" s="79" t="s">
        <v>301</v>
      </c>
      <c r="F21" s="80"/>
      <c r="G21" s="77">
        <v>425</v>
      </c>
      <c r="H21" s="81">
        <v>4194750</v>
      </c>
      <c r="I21" s="81"/>
      <c r="J21" s="69">
        <v>5340000</v>
      </c>
      <c r="K21" s="86"/>
      <c r="L21" s="69"/>
      <c r="M21" s="69"/>
      <c r="N21" s="69"/>
      <c r="O21" s="68">
        <f t="shared" si="0"/>
        <v>9534750</v>
      </c>
      <c r="P21" s="52">
        <v>22727273</v>
      </c>
      <c r="Q21" s="68">
        <f t="shared" si="1"/>
        <v>13192523</v>
      </c>
      <c r="R21" s="74"/>
    </row>
    <row r="22" spans="1:18" s="83" customFormat="1" ht="15" customHeight="1" thickBot="1" x14ac:dyDescent="0.25">
      <c r="A22" s="75">
        <v>15</v>
      </c>
      <c r="B22" s="102">
        <v>42481</v>
      </c>
      <c r="C22" s="79" t="s">
        <v>302</v>
      </c>
      <c r="D22" s="78" t="s">
        <v>303</v>
      </c>
      <c r="E22" s="79" t="s">
        <v>155</v>
      </c>
      <c r="F22" s="80"/>
      <c r="G22" s="77"/>
      <c r="H22" s="81"/>
      <c r="I22" s="81"/>
      <c r="J22" s="69">
        <v>1470000</v>
      </c>
      <c r="K22" s="86"/>
      <c r="L22" s="69"/>
      <c r="M22" s="69"/>
      <c r="N22" s="69"/>
      <c r="O22" s="68">
        <f t="shared" si="0"/>
        <v>1470000</v>
      </c>
      <c r="P22" s="52">
        <v>5000000</v>
      </c>
      <c r="Q22" s="68">
        <f t="shared" si="1"/>
        <v>3530000</v>
      </c>
      <c r="R22" s="74"/>
    </row>
    <row r="23" spans="1:18" s="83" customFormat="1" ht="15" customHeight="1" thickBot="1" x14ac:dyDescent="0.25">
      <c r="A23" s="75">
        <v>16</v>
      </c>
      <c r="B23" s="102">
        <v>42482</v>
      </c>
      <c r="C23" s="79" t="s">
        <v>304</v>
      </c>
      <c r="D23" s="78" t="s">
        <v>305</v>
      </c>
      <c r="E23" s="79" t="s">
        <v>28</v>
      </c>
      <c r="F23" s="80"/>
      <c r="G23" s="77"/>
      <c r="H23" s="81"/>
      <c r="I23" s="81"/>
      <c r="J23" s="69">
        <v>1400000</v>
      </c>
      <c r="K23" s="86"/>
      <c r="L23" s="69"/>
      <c r="M23" s="69"/>
      <c r="N23" s="69"/>
      <c r="O23" s="68">
        <f t="shared" si="0"/>
        <v>1400000</v>
      </c>
      <c r="P23" s="52">
        <v>5100000</v>
      </c>
      <c r="Q23" s="68">
        <f t="shared" si="1"/>
        <v>3700000</v>
      </c>
      <c r="R23" s="74"/>
    </row>
    <row r="24" spans="1:18" s="83" customFormat="1" ht="15" customHeight="1" thickBot="1" x14ac:dyDescent="0.25">
      <c r="A24" s="75">
        <v>17</v>
      </c>
      <c r="B24" s="102">
        <v>42483</v>
      </c>
      <c r="C24" s="79" t="s">
        <v>306</v>
      </c>
      <c r="D24" s="78" t="s">
        <v>307</v>
      </c>
      <c r="E24" s="79" t="s">
        <v>259</v>
      </c>
      <c r="F24" s="80"/>
      <c r="G24" s="77"/>
      <c r="H24" s="81"/>
      <c r="I24" s="81"/>
      <c r="J24" s="69">
        <v>200000</v>
      </c>
      <c r="K24" s="86"/>
      <c r="L24" s="69"/>
      <c r="M24" s="69"/>
      <c r="N24" s="69"/>
      <c r="O24" s="68">
        <f t="shared" si="0"/>
        <v>200000</v>
      </c>
      <c r="P24" s="52">
        <v>1750000</v>
      </c>
      <c r="Q24" s="68">
        <f t="shared" si="1"/>
        <v>1550000</v>
      </c>
      <c r="R24" s="74"/>
    </row>
    <row r="25" spans="1:18" s="83" customFormat="1" ht="15" customHeight="1" thickBot="1" x14ac:dyDescent="0.25">
      <c r="A25" s="75">
        <v>18</v>
      </c>
      <c r="B25" s="102">
        <v>42484</v>
      </c>
      <c r="C25" s="79" t="s">
        <v>308</v>
      </c>
      <c r="D25" s="78" t="s">
        <v>309</v>
      </c>
      <c r="E25" s="79" t="s">
        <v>259</v>
      </c>
      <c r="F25" s="80"/>
      <c r="G25" s="77"/>
      <c r="H25" s="81"/>
      <c r="I25" s="81"/>
      <c r="J25" s="69">
        <v>200000</v>
      </c>
      <c r="K25" s="86"/>
      <c r="L25" s="69"/>
      <c r="M25" s="69"/>
      <c r="N25" s="69"/>
      <c r="O25" s="68">
        <f t="shared" si="0"/>
        <v>200000</v>
      </c>
      <c r="P25" s="52">
        <v>1750000</v>
      </c>
      <c r="Q25" s="68">
        <f t="shared" si="1"/>
        <v>1550000</v>
      </c>
      <c r="R25" s="74"/>
    </row>
    <row r="26" spans="1:18" s="83" customFormat="1" ht="15" customHeight="1" thickBot="1" x14ac:dyDescent="0.25">
      <c r="A26" s="75">
        <v>19</v>
      </c>
      <c r="B26" s="102">
        <v>42485</v>
      </c>
      <c r="C26" s="79" t="s">
        <v>310</v>
      </c>
      <c r="D26" s="78" t="s">
        <v>311</v>
      </c>
      <c r="E26" s="79" t="s">
        <v>188</v>
      </c>
      <c r="F26" s="80"/>
      <c r="G26" s="77"/>
      <c r="H26" s="81"/>
      <c r="I26" s="81"/>
      <c r="J26" s="69">
        <v>740000</v>
      </c>
      <c r="K26" s="86"/>
      <c r="L26" s="69"/>
      <c r="M26" s="69"/>
      <c r="N26" s="69"/>
      <c r="O26" s="68">
        <f t="shared" si="0"/>
        <v>740000</v>
      </c>
      <c r="P26" s="52">
        <v>3240000</v>
      </c>
      <c r="Q26" s="68">
        <f t="shared" si="1"/>
        <v>2500000</v>
      </c>
      <c r="R26" s="74"/>
    </row>
    <row r="27" spans="1:18" s="83" customFormat="1" ht="15" customHeight="1" thickBot="1" x14ac:dyDescent="0.25">
      <c r="A27" s="75">
        <v>20</v>
      </c>
      <c r="B27" s="102">
        <v>42485</v>
      </c>
      <c r="C27" s="79" t="s">
        <v>312</v>
      </c>
      <c r="D27" s="78" t="s">
        <v>313</v>
      </c>
      <c r="E27" s="79" t="s">
        <v>188</v>
      </c>
      <c r="F27" s="80"/>
      <c r="G27" s="77">
        <v>580</v>
      </c>
      <c r="H27" s="81">
        <v>6014600</v>
      </c>
      <c r="I27" s="81"/>
      <c r="J27" s="69">
        <v>740000</v>
      </c>
      <c r="K27" s="86"/>
      <c r="L27" s="69"/>
      <c r="M27" s="69"/>
      <c r="N27" s="69"/>
      <c r="O27" s="68">
        <f t="shared" si="0"/>
        <v>6754600</v>
      </c>
      <c r="P27" s="52">
        <v>3240000</v>
      </c>
      <c r="Q27" s="68">
        <f t="shared" si="1"/>
        <v>-3514600</v>
      </c>
      <c r="R27" s="74"/>
    </row>
    <row r="28" spans="1:18" s="83" customFormat="1" ht="15" customHeight="1" thickBot="1" x14ac:dyDescent="0.25">
      <c r="A28" s="75">
        <v>21</v>
      </c>
      <c r="B28" s="102">
        <v>42487</v>
      </c>
      <c r="C28" s="79" t="s">
        <v>314</v>
      </c>
      <c r="D28" s="78" t="s">
        <v>315</v>
      </c>
      <c r="E28" s="79" t="s">
        <v>27</v>
      </c>
      <c r="F28" s="80"/>
      <c r="G28" s="77"/>
      <c r="H28" s="81"/>
      <c r="I28" s="81"/>
      <c r="J28" s="69">
        <v>890000</v>
      </c>
      <c r="K28" s="86"/>
      <c r="L28" s="69"/>
      <c r="M28" s="69"/>
      <c r="N28" s="69"/>
      <c r="O28" s="68">
        <f t="shared" si="0"/>
        <v>890000</v>
      </c>
      <c r="P28" s="52">
        <v>3090909</v>
      </c>
      <c r="Q28" s="68">
        <f t="shared" si="1"/>
        <v>2200909</v>
      </c>
      <c r="R28" s="74"/>
    </row>
    <row r="29" spans="1:18" s="83" customFormat="1" ht="15" customHeight="1" thickBot="1" x14ac:dyDescent="0.25">
      <c r="A29" s="75">
        <v>22</v>
      </c>
      <c r="B29" s="102">
        <v>42488</v>
      </c>
      <c r="C29" s="79" t="s">
        <v>316</v>
      </c>
      <c r="D29" s="78" t="s">
        <v>317</v>
      </c>
      <c r="E29" s="79" t="s">
        <v>318</v>
      </c>
      <c r="F29" s="80"/>
      <c r="G29" s="77"/>
      <c r="H29" s="81"/>
      <c r="I29" s="81"/>
      <c r="J29" s="69">
        <v>1680000</v>
      </c>
      <c r="K29" s="86"/>
      <c r="L29" s="69"/>
      <c r="M29" s="69"/>
      <c r="N29" s="69"/>
      <c r="O29" s="68">
        <f t="shared" si="0"/>
        <v>1680000</v>
      </c>
      <c r="P29" s="52">
        <v>5400000</v>
      </c>
      <c r="Q29" s="68">
        <f t="shared" si="1"/>
        <v>3720000</v>
      </c>
      <c r="R29" s="74"/>
    </row>
    <row r="30" spans="1:18" s="83" customFormat="1" ht="15" customHeight="1" thickBot="1" x14ac:dyDescent="0.25">
      <c r="A30" s="75">
        <v>23</v>
      </c>
      <c r="B30" s="102">
        <v>42494</v>
      </c>
      <c r="C30" s="79" t="s">
        <v>319</v>
      </c>
      <c r="D30" s="78" t="s">
        <v>320</v>
      </c>
      <c r="E30" s="79" t="s">
        <v>259</v>
      </c>
      <c r="F30" s="80"/>
      <c r="G30" s="77"/>
      <c r="H30" s="81"/>
      <c r="I30" s="81"/>
      <c r="J30" s="69">
        <v>200000</v>
      </c>
      <c r="K30" s="86"/>
      <c r="L30" s="69"/>
      <c r="M30" s="69"/>
      <c r="N30" s="69"/>
      <c r="O30" s="68">
        <f t="shared" si="0"/>
        <v>200000</v>
      </c>
      <c r="P30" s="52">
        <v>1750000</v>
      </c>
      <c r="Q30" s="68">
        <f t="shared" si="1"/>
        <v>1550000</v>
      </c>
      <c r="R30" s="74"/>
    </row>
    <row r="31" spans="1:18" s="83" customFormat="1" ht="15" customHeight="1" x14ac:dyDescent="0.25">
      <c r="A31" s="75"/>
      <c r="B31" s="100"/>
      <c r="C31" s="77"/>
      <c r="D31" s="77"/>
      <c r="E31" s="68"/>
      <c r="F31" s="80"/>
      <c r="G31" s="77"/>
      <c r="H31" s="81"/>
      <c r="I31" s="81"/>
      <c r="J31" s="81"/>
      <c r="K31" s="69"/>
      <c r="L31" s="69"/>
      <c r="M31" s="69"/>
      <c r="N31" s="69"/>
      <c r="O31" s="68">
        <f t="shared" si="0"/>
        <v>0</v>
      </c>
      <c r="P31" s="68"/>
      <c r="Q31" s="68">
        <f t="shared" si="1"/>
        <v>0</v>
      </c>
      <c r="R31" s="74"/>
    </row>
    <row r="32" spans="1:18" s="83" customFormat="1" ht="15" customHeight="1" x14ac:dyDescent="0.25">
      <c r="A32" s="75"/>
      <c r="B32" s="102"/>
      <c r="C32" s="85" t="s">
        <v>326</v>
      </c>
      <c r="D32" s="78"/>
      <c r="E32" s="79"/>
      <c r="F32" s="80"/>
      <c r="G32" s="77"/>
      <c r="H32" s="81"/>
      <c r="I32" s="81"/>
      <c r="J32" s="69"/>
      <c r="K32" s="86"/>
      <c r="L32" s="113">
        <v>1320000</v>
      </c>
      <c r="M32" s="69"/>
      <c r="N32" s="69"/>
      <c r="O32" s="68">
        <f t="shared" si="0"/>
        <v>1320000</v>
      </c>
      <c r="P32" s="68"/>
      <c r="Q32" s="68">
        <f t="shared" si="1"/>
        <v>-1320000</v>
      </c>
      <c r="R32" s="74"/>
    </row>
    <row r="33" spans="1:18" s="83" customFormat="1" ht="15" customHeight="1" x14ac:dyDescent="0.25">
      <c r="A33" s="75"/>
      <c r="B33" s="77"/>
      <c r="C33" s="108" t="s">
        <v>328</v>
      </c>
      <c r="D33" s="87"/>
      <c r="E33" s="77"/>
      <c r="F33" s="110"/>
      <c r="G33" s="70"/>
      <c r="H33" s="81"/>
      <c r="I33" s="111"/>
      <c r="J33" s="112"/>
      <c r="K33" s="113">
        <v>9500000</v>
      </c>
      <c r="L33" s="86"/>
      <c r="M33" s="112"/>
      <c r="N33" s="112"/>
      <c r="O33" s="68">
        <f t="shared" si="0"/>
        <v>9500000</v>
      </c>
      <c r="P33" s="68"/>
      <c r="Q33" s="68">
        <f t="shared" si="1"/>
        <v>-9500000</v>
      </c>
      <c r="R33" s="74"/>
    </row>
    <row r="34" spans="1:18" s="83" customFormat="1" ht="15" customHeight="1" x14ac:dyDescent="0.25">
      <c r="A34" s="75"/>
      <c r="B34" s="70"/>
      <c r="C34" s="108" t="s">
        <v>321</v>
      </c>
      <c r="D34" s="87"/>
      <c r="E34" s="70"/>
      <c r="F34" s="110"/>
      <c r="G34" s="70"/>
      <c r="H34" s="81"/>
      <c r="I34" s="111"/>
      <c r="J34" s="112"/>
      <c r="K34" s="113"/>
      <c r="L34" s="86">
        <v>400000</v>
      </c>
      <c r="M34" s="112"/>
      <c r="N34" s="112"/>
      <c r="O34" s="68">
        <f t="shared" ref="O34:O41" si="2">N34+M34+L34+K34+J34+H34</f>
        <v>400000</v>
      </c>
      <c r="P34" s="68"/>
      <c r="Q34" s="68">
        <f t="shared" si="1"/>
        <v>-400000</v>
      </c>
      <c r="R34" s="74"/>
    </row>
    <row r="35" spans="1:18" s="83" customFormat="1" ht="15" customHeight="1" x14ac:dyDescent="0.25">
      <c r="A35" s="75"/>
      <c r="B35" s="70"/>
      <c r="C35" s="108" t="s">
        <v>322</v>
      </c>
      <c r="D35" s="87"/>
      <c r="E35" s="70"/>
      <c r="F35" s="110"/>
      <c r="G35" s="70"/>
      <c r="H35" s="81"/>
      <c r="I35" s="111"/>
      <c r="J35" s="112"/>
      <c r="K35" s="113"/>
      <c r="L35" s="86">
        <v>520000</v>
      </c>
      <c r="M35" s="112"/>
      <c r="N35" s="112"/>
      <c r="O35" s="68">
        <f t="shared" si="2"/>
        <v>520000</v>
      </c>
      <c r="P35" s="68"/>
      <c r="Q35" s="68">
        <f t="shared" si="1"/>
        <v>-520000</v>
      </c>
      <c r="R35" s="74"/>
    </row>
    <row r="36" spans="1:18" s="83" customFormat="1" ht="15" customHeight="1" x14ac:dyDescent="0.25">
      <c r="A36" s="75"/>
      <c r="B36" s="70"/>
      <c r="C36" s="108" t="s">
        <v>323</v>
      </c>
      <c r="D36" s="87"/>
      <c r="E36" s="70"/>
      <c r="F36" s="110"/>
      <c r="G36" s="70"/>
      <c r="H36" s="81"/>
      <c r="I36" s="111"/>
      <c r="J36" s="112"/>
      <c r="K36" s="113"/>
      <c r="L36" s="113"/>
      <c r="M36" s="112"/>
      <c r="N36" s="113">
        <v>17303000</v>
      </c>
      <c r="O36" s="68">
        <f t="shared" si="2"/>
        <v>17303000</v>
      </c>
      <c r="P36" s="68"/>
      <c r="Q36" s="68">
        <f t="shared" si="1"/>
        <v>-17303000</v>
      </c>
      <c r="R36" s="74"/>
    </row>
    <row r="37" spans="1:18" s="83" customFormat="1" ht="15" customHeight="1" x14ac:dyDescent="0.25">
      <c r="A37" s="75"/>
      <c r="B37" s="70"/>
      <c r="C37" s="108" t="s">
        <v>329</v>
      </c>
      <c r="D37" s="87"/>
      <c r="E37" s="70"/>
      <c r="F37" s="110"/>
      <c r="G37" s="70"/>
      <c r="H37" s="81"/>
      <c r="I37" s="111"/>
      <c r="J37" s="112"/>
      <c r="K37" s="113"/>
      <c r="L37" s="113">
        <v>610000</v>
      </c>
      <c r="M37" s="112"/>
      <c r="N37" s="112"/>
      <c r="O37" s="68">
        <f t="shared" si="2"/>
        <v>610000</v>
      </c>
      <c r="P37" s="68"/>
      <c r="Q37" s="68">
        <f t="shared" si="1"/>
        <v>-610000</v>
      </c>
      <c r="R37" s="74"/>
    </row>
    <row r="38" spans="1:18" s="83" customFormat="1" ht="15" customHeight="1" x14ac:dyDescent="0.25">
      <c r="A38" s="75"/>
      <c r="B38" s="70"/>
      <c r="C38" s="108" t="s">
        <v>324</v>
      </c>
      <c r="D38" s="87"/>
      <c r="E38" s="70"/>
      <c r="F38" s="110"/>
      <c r="G38" s="70"/>
      <c r="H38" s="81"/>
      <c r="I38" s="111"/>
      <c r="J38" s="112"/>
      <c r="K38" s="113"/>
      <c r="L38" s="113">
        <v>200000</v>
      </c>
      <c r="M38" s="112"/>
      <c r="N38" s="112"/>
      <c r="O38" s="68">
        <f t="shared" si="2"/>
        <v>200000</v>
      </c>
      <c r="P38" s="68"/>
      <c r="Q38" s="68">
        <f t="shared" si="1"/>
        <v>-200000</v>
      </c>
      <c r="R38" s="74"/>
    </row>
    <row r="39" spans="1:18" s="83" customFormat="1" ht="15" customHeight="1" x14ac:dyDescent="0.25">
      <c r="A39" s="75"/>
      <c r="B39" s="70"/>
      <c r="C39" s="108" t="s">
        <v>325</v>
      </c>
      <c r="D39" s="87"/>
      <c r="E39" s="70"/>
      <c r="F39" s="110"/>
      <c r="G39" s="70"/>
      <c r="H39" s="81"/>
      <c r="I39" s="111"/>
      <c r="J39" s="112"/>
      <c r="K39" s="113"/>
      <c r="L39" s="113"/>
      <c r="M39" s="112"/>
      <c r="N39" s="113">
        <f>26815000-3200000</f>
        <v>23615000</v>
      </c>
      <c r="O39" s="68">
        <f t="shared" si="2"/>
        <v>23615000</v>
      </c>
      <c r="P39" s="68"/>
      <c r="Q39" s="68">
        <f t="shared" si="1"/>
        <v>-23615000</v>
      </c>
      <c r="R39" s="74"/>
    </row>
    <row r="40" spans="1:18" s="83" customFormat="1" ht="15" customHeight="1" x14ac:dyDescent="0.25">
      <c r="A40" s="75"/>
      <c r="B40" s="70"/>
      <c r="C40" s="108" t="s">
        <v>327</v>
      </c>
      <c r="D40" s="87"/>
      <c r="E40" s="70"/>
      <c r="F40" s="110"/>
      <c r="G40" s="70"/>
      <c r="H40" s="81"/>
      <c r="I40" s="111"/>
      <c r="J40" s="112"/>
      <c r="K40" s="113"/>
      <c r="L40" s="113"/>
      <c r="M40" s="112"/>
      <c r="N40" s="113">
        <v>6000000</v>
      </c>
      <c r="O40" s="68">
        <f t="shared" si="2"/>
        <v>6000000</v>
      </c>
      <c r="P40" s="68"/>
      <c r="Q40" s="68">
        <f t="shared" si="1"/>
        <v>-6000000</v>
      </c>
      <c r="R40" s="74"/>
    </row>
    <row r="41" spans="1:18" ht="15" customHeight="1" x14ac:dyDescent="0.25">
      <c r="A41" s="76"/>
      <c r="B41" s="103"/>
      <c r="C41" s="87"/>
      <c r="D41" s="88"/>
      <c r="E41" s="87"/>
      <c r="F41" s="88"/>
      <c r="G41" s="88"/>
      <c r="H41" s="77"/>
      <c r="I41" s="88"/>
      <c r="J41" s="70"/>
      <c r="K41" s="70"/>
      <c r="L41" s="70"/>
      <c r="M41" s="70"/>
      <c r="N41" s="70"/>
      <c r="O41" s="68">
        <f t="shared" si="2"/>
        <v>0</v>
      </c>
      <c r="P41" s="68"/>
      <c r="Q41" s="68">
        <f t="shared" si="1"/>
        <v>0</v>
      </c>
    </row>
    <row r="42" spans="1:18" x14ac:dyDescent="0.25">
      <c r="A42" s="547" t="s">
        <v>19</v>
      </c>
      <c r="B42" s="548"/>
      <c r="C42" s="548"/>
      <c r="D42" s="548"/>
      <c r="E42" s="548"/>
      <c r="F42" s="549"/>
      <c r="G42" s="89">
        <f t="shared" ref="G42:P42" si="3">SUM(G7:G41)</f>
        <v>2080</v>
      </c>
      <c r="H42" s="71">
        <f t="shared" si="3"/>
        <v>20819600</v>
      </c>
      <c r="I42" s="71">
        <f t="shared" si="3"/>
        <v>0</v>
      </c>
      <c r="J42" s="71">
        <f t="shared" si="3"/>
        <v>26440000</v>
      </c>
      <c r="K42" s="71">
        <f t="shared" si="3"/>
        <v>9500000</v>
      </c>
      <c r="L42" s="71">
        <f t="shared" si="3"/>
        <v>3050000</v>
      </c>
      <c r="M42" s="71">
        <f t="shared" si="3"/>
        <v>0</v>
      </c>
      <c r="N42" s="71">
        <f t="shared" si="3"/>
        <v>46918000</v>
      </c>
      <c r="O42" s="71">
        <f t="shared" si="3"/>
        <v>106727600</v>
      </c>
      <c r="P42" s="71">
        <f t="shared" si="3"/>
        <v>104839091</v>
      </c>
      <c r="Q42" s="71">
        <f>SUM(Q7:Q41)</f>
        <v>-1888509</v>
      </c>
    </row>
    <row r="43" spans="1:18" x14ac:dyDescent="0.25">
      <c r="O43" s="91"/>
      <c r="Q43" s="91"/>
    </row>
  </sheetData>
  <mergeCells count="4">
    <mergeCell ref="A1:Q1"/>
    <mergeCell ref="A2:Q2"/>
    <mergeCell ref="A3:Q3"/>
    <mergeCell ref="A42:F4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40"/>
  <sheetViews>
    <sheetView topLeftCell="D19" workbookViewId="0">
      <selection activeCell="O34" sqref="O34"/>
    </sheetView>
  </sheetViews>
  <sheetFormatPr defaultColWidth="9.140625" defaultRowHeight="12.75" x14ac:dyDescent="0.25"/>
  <cols>
    <col min="1" max="1" width="4.5703125" style="74" customWidth="1"/>
    <col min="2" max="2" width="10.28515625" style="99" customWidth="1"/>
    <col min="3" max="3" width="27" style="74" customWidth="1"/>
    <col min="4" max="4" width="12.42578125" style="74" customWidth="1"/>
    <col min="5" max="5" width="30.42578125" style="74" customWidth="1"/>
    <col min="6" max="6" width="11.5703125" style="74" customWidth="1"/>
    <col min="7" max="7" width="8" style="74" customWidth="1"/>
    <col min="8" max="8" width="11" style="72" customWidth="1"/>
    <col min="9" max="9" width="12.28515625" style="74" customWidth="1"/>
    <col min="10" max="10" width="11.140625" style="72" customWidth="1"/>
    <col min="11" max="11" width="9.5703125" style="72" customWidth="1"/>
    <col min="12" max="12" width="9.42578125" style="72" customWidth="1"/>
    <col min="13" max="13" width="8.5703125" style="72" customWidth="1"/>
    <col min="14" max="14" width="9.5703125" style="72" customWidth="1"/>
    <col min="15" max="15" width="12.7109375" style="72" customWidth="1"/>
    <col min="16" max="16" width="13.85546875" style="72" customWidth="1"/>
    <col min="17" max="17" width="12.28515625" style="72" customWidth="1"/>
    <col min="18" max="16384" width="9.140625" style="74"/>
  </cols>
  <sheetData>
    <row r="1" spans="1:18" ht="23.25" x14ac:dyDescent="0.25">
      <c r="A1" s="551" t="s">
        <v>0</v>
      </c>
      <c r="B1" s="551"/>
      <c r="C1" s="551"/>
      <c r="D1" s="551"/>
      <c r="E1" s="551"/>
      <c r="F1" s="551"/>
      <c r="G1" s="551"/>
      <c r="H1" s="551"/>
      <c r="I1" s="551"/>
      <c r="J1" s="551"/>
      <c r="K1" s="551"/>
      <c r="L1" s="551"/>
      <c r="M1" s="551"/>
      <c r="N1" s="551"/>
      <c r="O1" s="551"/>
      <c r="P1" s="551"/>
      <c r="Q1" s="551"/>
    </row>
    <row r="2" spans="1:18" ht="17.25" customHeight="1" x14ac:dyDescent="0.25">
      <c r="A2" s="550" t="s">
        <v>103</v>
      </c>
      <c r="B2" s="550"/>
      <c r="C2" s="550"/>
      <c r="D2" s="550"/>
      <c r="E2" s="550"/>
      <c r="F2" s="550"/>
      <c r="G2" s="550"/>
      <c r="H2" s="550"/>
      <c r="I2" s="550"/>
      <c r="J2" s="550"/>
      <c r="K2" s="550"/>
      <c r="L2" s="550"/>
      <c r="M2" s="550"/>
      <c r="N2" s="550"/>
      <c r="O2" s="550"/>
      <c r="P2" s="550"/>
      <c r="Q2" s="550"/>
    </row>
    <row r="3" spans="1:18" ht="21" customHeight="1" x14ac:dyDescent="0.25">
      <c r="A3" s="550" t="s">
        <v>330</v>
      </c>
      <c r="B3" s="550"/>
      <c r="C3" s="550"/>
      <c r="D3" s="550"/>
      <c r="E3" s="550"/>
      <c r="F3" s="550"/>
      <c r="G3" s="550"/>
      <c r="H3" s="550"/>
      <c r="I3" s="550"/>
      <c r="J3" s="550"/>
      <c r="K3" s="550"/>
      <c r="L3" s="550"/>
      <c r="M3" s="550"/>
      <c r="N3" s="550"/>
      <c r="O3" s="550"/>
      <c r="P3" s="550"/>
      <c r="Q3" s="550"/>
    </row>
    <row r="4" spans="1:18" x14ac:dyDescent="0.25">
      <c r="E4" s="74" t="s">
        <v>194</v>
      </c>
    </row>
    <row r="5" spans="1:18" s="5" customFormat="1" ht="12.75" customHeight="1" x14ac:dyDescent="0.25">
      <c r="A5" s="115" t="s">
        <v>1</v>
      </c>
      <c r="B5" s="116" t="s">
        <v>2</v>
      </c>
      <c r="C5" s="115" t="s">
        <v>3</v>
      </c>
      <c r="D5" s="115" t="s">
        <v>5</v>
      </c>
      <c r="E5" s="117" t="s">
        <v>4</v>
      </c>
      <c r="F5" s="117" t="s">
        <v>17</v>
      </c>
      <c r="G5" s="118" t="s">
        <v>6</v>
      </c>
      <c r="H5" s="119"/>
      <c r="I5" s="119"/>
      <c r="J5" s="119"/>
      <c r="K5" s="119"/>
      <c r="L5" s="119"/>
      <c r="M5" s="119"/>
      <c r="N5" s="120"/>
      <c r="O5" s="121" t="s">
        <v>18</v>
      </c>
      <c r="P5" s="127" t="s">
        <v>13</v>
      </c>
      <c r="Q5" s="121" t="s">
        <v>14</v>
      </c>
    </row>
    <row r="6" spans="1:18" s="5" customFormat="1" x14ac:dyDescent="0.25">
      <c r="A6" s="122"/>
      <c r="B6" s="123"/>
      <c r="C6" s="122"/>
      <c r="D6" s="122"/>
      <c r="E6" s="124"/>
      <c r="F6" s="124"/>
      <c r="G6" s="6" t="s">
        <v>7</v>
      </c>
      <c r="H6" s="7" t="s">
        <v>15</v>
      </c>
      <c r="I6" s="6" t="s">
        <v>16</v>
      </c>
      <c r="J6" s="7" t="s">
        <v>8</v>
      </c>
      <c r="K6" s="7" t="s">
        <v>9</v>
      </c>
      <c r="L6" s="7" t="s">
        <v>10</v>
      </c>
      <c r="M6" s="7" t="s">
        <v>11</v>
      </c>
      <c r="N6" s="7" t="s">
        <v>12</v>
      </c>
      <c r="O6" s="125"/>
      <c r="P6" s="125"/>
      <c r="Q6" s="125"/>
    </row>
    <row r="7" spans="1:18" ht="15" customHeight="1" x14ac:dyDescent="0.25">
      <c r="A7" s="75"/>
      <c r="B7" s="100"/>
      <c r="C7" s="76"/>
      <c r="D7" s="76"/>
      <c r="E7" s="75"/>
      <c r="F7" s="75"/>
      <c r="G7" s="77"/>
      <c r="H7" s="68"/>
      <c r="I7" s="75"/>
      <c r="J7" s="68"/>
      <c r="K7" s="68"/>
      <c r="L7" s="68"/>
      <c r="M7" s="68"/>
      <c r="N7" s="68"/>
      <c r="O7" s="68">
        <f t="shared" ref="O7:O38" si="0">H7+J7+K7+L7+M7+N7</f>
        <v>0</v>
      </c>
      <c r="P7" s="68"/>
      <c r="Q7" s="68">
        <f t="shared" ref="Q7" si="1">P7-O7</f>
        <v>0</v>
      </c>
    </row>
    <row r="8" spans="1:18" s="83" customFormat="1" ht="15" customHeight="1" x14ac:dyDescent="0.25">
      <c r="A8" s="75">
        <v>1</v>
      </c>
      <c r="B8" s="102">
        <v>42494</v>
      </c>
      <c r="C8" s="79" t="s">
        <v>331</v>
      </c>
      <c r="D8" s="78" t="s">
        <v>332</v>
      </c>
      <c r="E8" s="79" t="s">
        <v>333</v>
      </c>
      <c r="F8" s="80"/>
      <c r="G8" s="77">
        <v>455</v>
      </c>
      <c r="H8" s="81">
        <v>4718350</v>
      </c>
      <c r="I8" s="81"/>
      <c r="J8" s="69">
        <v>1700000</v>
      </c>
      <c r="K8" s="86"/>
      <c r="L8" s="69"/>
      <c r="M8" s="69"/>
      <c r="N8" s="69"/>
      <c r="O8" s="68">
        <f t="shared" si="0"/>
        <v>6418350</v>
      </c>
      <c r="P8" s="68">
        <v>3100000</v>
      </c>
      <c r="Q8" s="68">
        <f>P8-O8</f>
        <v>-3318350</v>
      </c>
      <c r="R8" s="74"/>
    </row>
    <row r="9" spans="1:18" s="83" customFormat="1" ht="15" customHeight="1" x14ac:dyDescent="0.25">
      <c r="A9" s="75">
        <v>2</v>
      </c>
      <c r="B9" s="102">
        <v>42494</v>
      </c>
      <c r="C9" s="79" t="s">
        <v>334</v>
      </c>
      <c r="D9" s="78" t="s">
        <v>335</v>
      </c>
      <c r="E9" s="79" t="s">
        <v>30</v>
      </c>
      <c r="F9" s="80"/>
      <c r="G9" s="77"/>
      <c r="H9" s="81"/>
      <c r="I9" s="81"/>
      <c r="J9" s="69">
        <v>0</v>
      </c>
      <c r="K9" s="86"/>
      <c r="L9" s="69"/>
      <c r="M9" s="69"/>
      <c r="N9" s="69"/>
      <c r="O9" s="68">
        <f t="shared" si="0"/>
        <v>0</v>
      </c>
      <c r="P9" s="68">
        <v>2800000</v>
      </c>
      <c r="Q9" s="68">
        <f t="shared" ref="Q9:Q38" si="2">P9-O9</f>
        <v>2800000</v>
      </c>
      <c r="R9" s="74"/>
    </row>
    <row r="10" spans="1:18" s="83" customFormat="1" ht="15" customHeight="1" x14ac:dyDescent="0.25">
      <c r="A10" s="75">
        <v>3</v>
      </c>
      <c r="B10" s="102">
        <v>42494</v>
      </c>
      <c r="C10" s="79" t="s">
        <v>336</v>
      </c>
      <c r="D10" s="78" t="s">
        <v>337</v>
      </c>
      <c r="E10" s="79" t="s">
        <v>189</v>
      </c>
      <c r="F10" s="80"/>
      <c r="G10" s="77"/>
      <c r="H10" s="81"/>
      <c r="I10" s="81"/>
      <c r="J10" s="69">
        <v>2400000</v>
      </c>
      <c r="K10" s="86"/>
      <c r="L10" s="69"/>
      <c r="M10" s="69"/>
      <c r="N10" s="69"/>
      <c r="O10" s="68">
        <f t="shared" si="0"/>
        <v>2400000</v>
      </c>
      <c r="P10" s="68">
        <v>10909091</v>
      </c>
      <c r="Q10" s="68">
        <f t="shared" si="2"/>
        <v>8509091</v>
      </c>
      <c r="R10" s="74"/>
    </row>
    <row r="11" spans="1:18" s="83" customFormat="1" ht="15" customHeight="1" x14ac:dyDescent="0.25">
      <c r="A11" s="75">
        <v>4</v>
      </c>
      <c r="B11" s="102">
        <v>42495</v>
      </c>
      <c r="C11" s="79" t="s">
        <v>338</v>
      </c>
      <c r="D11" s="78" t="s">
        <v>339</v>
      </c>
      <c r="E11" s="79" t="s">
        <v>340</v>
      </c>
      <c r="F11" s="80"/>
      <c r="G11" s="77"/>
      <c r="H11" s="81"/>
      <c r="I11" s="81"/>
      <c r="J11" s="69">
        <v>1700000</v>
      </c>
      <c r="K11" s="86"/>
      <c r="L11" s="69"/>
      <c r="M11" s="69"/>
      <c r="N11" s="69"/>
      <c r="O11" s="68">
        <f t="shared" si="0"/>
        <v>1700000</v>
      </c>
      <c r="P11" s="68">
        <v>5700000</v>
      </c>
      <c r="Q11" s="68">
        <f t="shared" si="2"/>
        <v>4000000</v>
      </c>
      <c r="R11" s="74"/>
    </row>
    <row r="12" spans="1:18" s="83" customFormat="1" ht="15" customHeight="1" x14ac:dyDescent="0.25">
      <c r="A12" s="75">
        <v>5</v>
      </c>
      <c r="B12" s="102">
        <v>42495</v>
      </c>
      <c r="C12" s="79" t="s">
        <v>341</v>
      </c>
      <c r="D12" s="78" t="s">
        <v>342</v>
      </c>
      <c r="E12" s="79" t="s">
        <v>30</v>
      </c>
      <c r="F12" s="80"/>
      <c r="G12" s="77"/>
      <c r="H12" s="81"/>
      <c r="I12" s="81"/>
      <c r="J12" s="69">
        <v>0</v>
      </c>
      <c r="K12" s="86"/>
      <c r="L12" s="69"/>
      <c r="M12" s="69"/>
      <c r="N12" s="69"/>
      <c r="O12" s="68">
        <f t="shared" si="0"/>
        <v>0</v>
      </c>
      <c r="P12" s="68">
        <v>0</v>
      </c>
      <c r="Q12" s="68">
        <f t="shared" si="2"/>
        <v>0</v>
      </c>
      <c r="R12" s="74"/>
    </row>
    <row r="13" spans="1:18" s="83" customFormat="1" ht="15" customHeight="1" x14ac:dyDescent="0.25">
      <c r="A13" s="75">
        <v>6</v>
      </c>
      <c r="B13" s="102">
        <v>42496</v>
      </c>
      <c r="C13" s="79" t="s">
        <v>343</v>
      </c>
      <c r="D13" s="78" t="s">
        <v>344</v>
      </c>
      <c r="E13" s="79" t="s">
        <v>118</v>
      </c>
      <c r="F13" s="80"/>
      <c r="G13" s="77"/>
      <c r="H13" s="81"/>
      <c r="I13" s="81"/>
      <c r="J13" s="69">
        <v>1700000</v>
      </c>
      <c r="K13" s="86"/>
      <c r="L13" s="69"/>
      <c r="M13" s="69"/>
      <c r="N13" s="69"/>
      <c r="O13" s="68">
        <f t="shared" si="0"/>
        <v>1700000</v>
      </c>
      <c r="P13" s="68">
        <v>4300000</v>
      </c>
      <c r="Q13" s="68">
        <f t="shared" si="2"/>
        <v>2600000</v>
      </c>
      <c r="R13" s="74"/>
    </row>
    <row r="14" spans="1:18" s="83" customFormat="1" ht="15" customHeight="1" x14ac:dyDescent="0.25">
      <c r="A14" s="75">
        <v>7</v>
      </c>
      <c r="B14" s="102">
        <v>42496</v>
      </c>
      <c r="C14" s="79" t="s">
        <v>345</v>
      </c>
      <c r="D14" s="78" t="s">
        <v>346</v>
      </c>
      <c r="E14" s="79" t="s">
        <v>25</v>
      </c>
      <c r="F14" s="80"/>
      <c r="G14" s="77"/>
      <c r="H14" s="81"/>
      <c r="I14" s="81"/>
      <c r="J14" s="69">
        <v>0</v>
      </c>
      <c r="K14" s="86"/>
      <c r="L14" s="69"/>
      <c r="M14" s="69"/>
      <c r="N14" s="69"/>
      <c r="O14" s="68">
        <f t="shared" si="0"/>
        <v>0</v>
      </c>
      <c r="P14" s="68">
        <v>2600000</v>
      </c>
      <c r="Q14" s="68">
        <f t="shared" si="2"/>
        <v>2600000</v>
      </c>
      <c r="R14" s="74"/>
    </row>
    <row r="15" spans="1:18" s="83" customFormat="1" ht="15" customHeight="1" x14ac:dyDescent="0.25">
      <c r="A15" s="75">
        <v>8</v>
      </c>
      <c r="B15" s="102">
        <v>42499</v>
      </c>
      <c r="C15" s="79" t="s">
        <v>347</v>
      </c>
      <c r="D15" s="78" t="s">
        <v>173</v>
      </c>
      <c r="E15" s="79" t="s">
        <v>247</v>
      </c>
      <c r="F15" s="80"/>
      <c r="G15" s="77"/>
      <c r="H15" s="81"/>
      <c r="I15" s="81"/>
      <c r="J15" s="69">
        <v>1700000</v>
      </c>
      <c r="K15" s="86"/>
      <c r="L15" s="69"/>
      <c r="M15" s="69"/>
      <c r="N15" s="69"/>
      <c r="O15" s="68">
        <f t="shared" si="0"/>
        <v>1700000</v>
      </c>
      <c r="P15" s="68">
        <v>5600000</v>
      </c>
      <c r="Q15" s="68">
        <f t="shared" si="2"/>
        <v>3900000</v>
      </c>
      <c r="R15" s="74"/>
    </row>
    <row r="16" spans="1:18" s="83" customFormat="1" ht="15" customHeight="1" x14ac:dyDescent="0.25">
      <c r="A16" s="75">
        <v>9</v>
      </c>
      <c r="B16" s="102">
        <v>42499</v>
      </c>
      <c r="C16" s="79" t="s">
        <v>348</v>
      </c>
      <c r="D16" s="78" t="s">
        <v>349</v>
      </c>
      <c r="E16" s="79" t="s">
        <v>30</v>
      </c>
      <c r="F16" s="80"/>
      <c r="G16" s="77"/>
      <c r="H16" s="81"/>
      <c r="I16" s="81"/>
      <c r="J16" s="69">
        <v>0</v>
      </c>
      <c r="K16" s="86"/>
      <c r="L16" s="69"/>
      <c r="M16" s="69"/>
      <c r="N16" s="69"/>
      <c r="O16" s="68">
        <f t="shared" si="0"/>
        <v>0</v>
      </c>
      <c r="P16" s="68">
        <v>0</v>
      </c>
      <c r="Q16" s="68">
        <f t="shared" si="2"/>
        <v>0</v>
      </c>
      <c r="R16" s="74"/>
    </row>
    <row r="17" spans="1:18" s="83" customFormat="1" ht="15" customHeight="1" x14ac:dyDescent="0.25">
      <c r="A17" s="75">
        <v>10</v>
      </c>
      <c r="B17" s="102">
        <v>42500</v>
      </c>
      <c r="C17" s="79" t="s">
        <v>350</v>
      </c>
      <c r="D17" s="78" t="s">
        <v>351</v>
      </c>
      <c r="E17" s="79" t="s">
        <v>153</v>
      </c>
      <c r="F17" s="80"/>
      <c r="G17" s="77">
        <v>600</v>
      </c>
      <c r="H17" s="81">
        <v>6612000</v>
      </c>
      <c r="I17" s="81"/>
      <c r="J17" s="69">
        <v>1700000</v>
      </c>
      <c r="K17" s="86"/>
      <c r="L17" s="69"/>
      <c r="M17" s="69"/>
      <c r="N17" s="69"/>
      <c r="O17" s="68">
        <f t="shared" si="0"/>
        <v>8312000</v>
      </c>
      <c r="P17" s="68">
        <v>5500000</v>
      </c>
      <c r="Q17" s="68">
        <f t="shared" si="2"/>
        <v>-2812000</v>
      </c>
      <c r="R17" s="74"/>
    </row>
    <row r="18" spans="1:18" s="83" customFormat="1" ht="15" customHeight="1" x14ac:dyDescent="0.25">
      <c r="A18" s="75">
        <v>11</v>
      </c>
      <c r="B18" s="102">
        <v>42501</v>
      </c>
      <c r="C18" s="79" t="s">
        <v>352</v>
      </c>
      <c r="D18" s="78" t="s">
        <v>353</v>
      </c>
      <c r="E18" s="79" t="s">
        <v>259</v>
      </c>
      <c r="F18" s="80"/>
      <c r="G18" s="77"/>
      <c r="H18" s="81"/>
      <c r="I18" s="81"/>
      <c r="J18" s="69">
        <v>200000</v>
      </c>
      <c r="K18" s="86"/>
      <c r="L18" s="69"/>
      <c r="M18" s="69"/>
      <c r="N18" s="69"/>
      <c r="O18" s="68">
        <f t="shared" si="0"/>
        <v>200000</v>
      </c>
      <c r="P18" s="68">
        <v>1400000</v>
      </c>
      <c r="Q18" s="68">
        <f t="shared" si="2"/>
        <v>1200000</v>
      </c>
      <c r="R18" s="74"/>
    </row>
    <row r="19" spans="1:18" s="83" customFormat="1" ht="15" customHeight="1" x14ac:dyDescent="0.25">
      <c r="A19" s="75">
        <v>12</v>
      </c>
      <c r="B19" s="102">
        <v>42502</v>
      </c>
      <c r="C19" s="79" t="s">
        <v>354</v>
      </c>
      <c r="D19" s="78" t="s">
        <v>355</v>
      </c>
      <c r="E19" s="79" t="s">
        <v>356</v>
      </c>
      <c r="F19" s="80"/>
      <c r="G19" s="77"/>
      <c r="H19" s="81"/>
      <c r="I19" s="81"/>
      <c r="J19" s="69">
        <v>1280000</v>
      </c>
      <c r="K19" s="86"/>
      <c r="L19" s="69"/>
      <c r="M19" s="69"/>
      <c r="N19" s="69"/>
      <c r="O19" s="68">
        <f t="shared" si="0"/>
        <v>1280000</v>
      </c>
      <c r="P19" s="68">
        <v>4400000</v>
      </c>
      <c r="Q19" s="68">
        <f t="shared" si="2"/>
        <v>3120000</v>
      </c>
      <c r="R19" s="74"/>
    </row>
    <row r="20" spans="1:18" s="83" customFormat="1" ht="15" customHeight="1" x14ac:dyDescent="0.25">
      <c r="A20" s="75">
        <v>13</v>
      </c>
      <c r="B20" s="102">
        <v>42503</v>
      </c>
      <c r="C20" s="79" t="s">
        <v>357</v>
      </c>
      <c r="D20" s="78" t="s">
        <v>358</v>
      </c>
      <c r="E20" s="79" t="s">
        <v>359</v>
      </c>
      <c r="F20" s="80"/>
      <c r="G20" s="77"/>
      <c r="H20" s="81"/>
      <c r="I20" s="81"/>
      <c r="J20" s="69">
        <v>1700000</v>
      </c>
      <c r="K20" s="86"/>
      <c r="L20" s="69"/>
      <c r="M20" s="69"/>
      <c r="N20" s="69"/>
      <c r="O20" s="68">
        <f t="shared" si="0"/>
        <v>1700000</v>
      </c>
      <c r="P20" s="68">
        <v>5500000</v>
      </c>
      <c r="Q20" s="68">
        <f t="shared" si="2"/>
        <v>3800000</v>
      </c>
      <c r="R20" s="74"/>
    </row>
    <row r="21" spans="1:18" s="83" customFormat="1" ht="15" customHeight="1" x14ac:dyDescent="0.25">
      <c r="A21" s="75">
        <v>14</v>
      </c>
      <c r="B21" s="102">
        <v>42507</v>
      </c>
      <c r="C21" s="79" t="s">
        <v>360</v>
      </c>
      <c r="D21" s="78" t="s">
        <v>361</v>
      </c>
      <c r="E21" s="79" t="s">
        <v>118</v>
      </c>
      <c r="F21" s="80"/>
      <c r="G21" s="77"/>
      <c r="H21" s="81"/>
      <c r="I21" s="81"/>
      <c r="J21" s="69">
        <v>1280000</v>
      </c>
      <c r="K21" s="86"/>
      <c r="L21" s="69"/>
      <c r="M21" s="69"/>
      <c r="N21" s="69"/>
      <c r="O21" s="68">
        <f t="shared" si="0"/>
        <v>1280000</v>
      </c>
      <c r="P21" s="68">
        <v>4300000</v>
      </c>
      <c r="Q21" s="68">
        <f t="shared" si="2"/>
        <v>3020000</v>
      </c>
      <c r="R21" s="74"/>
    </row>
    <row r="22" spans="1:18" s="83" customFormat="1" ht="15" customHeight="1" x14ac:dyDescent="0.25">
      <c r="A22" s="75">
        <v>15</v>
      </c>
      <c r="B22" s="102">
        <v>42508</v>
      </c>
      <c r="C22" s="79" t="s">
        <v>362</v>
      </c>
      <c r="D22" s="78" t="s">
        <v>363</v>
      </c>
      <c r="E22" s="79" t="s">
        <v>364</v>
      </c>
      <c r="F22" s="80"/>
      <c r="G22" s="77"/>
      <c r="H22" s="81"/>
      <c r="I22" s="81"/>
      <c r="J22" s="69">
        <v>1400000</v>
      </c>
      <c r="K22" s="86"/>
      <c r="L22" s="69"/>
      <c r="M22" s="69"/>
      <c r="N22" s="69"/>
      <c r="O22" s="68">
        <f t="shared" si="0"/>
        <v>1400000</v>
      </c>
      <c r="P22" s="68">
        <v>5100000</v>
      </c>
      <c r="Q22" s="68">
        <f t="shared" si="2"/>
        <v>3700000</v>
      </c>
      <c r="R22" s="74"/>
    </row>
    <row r="23" spans="1:18" s="83" customFormat="1" ht="15" customHeight="1" x14ac:dyDescent="0.25">
      <c r="A23" s="75">
        <v>16</v>
      </c>
      <c r="B23" s="102">
        <v>42511</v>
      </c>
      <c r="C23" s="79" t="s">
        <v>365</v>
      </c>
      <c r="D23" s="78" t="s">
        <v>366</v>
      </c>
      <c r="E23" s="79" t="s">
        <v>367</v>
      </c>
      <c r="F23" s="80"/>
      <c r="G23" s="77">
        <v>590</v>
      </c>
      <c r="H23" s="81">
        <v>6667000</v>
      </c>
      <c r="I23" s="81"/>
      <c r="J23" s="69">
        <v>1280000</v>
      </c>
      <c r="K23" s="86"/>
      <c r="L23" s="69"/>
      <c r="M23" s="69"/>
      <c r="N23" s="69"/>
      <c r="O23" s="68">
        <f t="shared" si="0"/>
        <v>7947000</v>
      </c>
      <c r="P23" s="68">
        <v>4600000</v>
      </c>
      <c r="Q23" s="68">
        <f t="shared" si="2"/>
        <v>-3347000</v>
      </c>
      <c r="R23" s="74"/>
    </row>
    <row r="24" spans="1:18" s="83" customFormat="1" ht="15" customHeight="1" x14ac:dyDescent="0.25">
      <c r="A24" s="75">
        <v>17</v>
      </c>
      <c r="B24" s="102">
        <v>42513</v>
      </c>
      <c r="C24" s="79" t="s">
        <v>368</v>
      </c>
      <c r="D24" s="78" t="s">
        <v>369</v>
      </c>
      <c r="E24" s="79" t="s">
        <v>370</v>
      </c>
      <c r="F24" s="80"/>
      <c r="G24" s="77"/>
      <c r="H24" s="81"/>
      <c r="I24" s="81"/>
      <c r="J24" s="69">
        <v>1700000</v>
      </c>
      <c r="K24" s="86"/>
      <c r="L24" s="69"/>
      <c r="M24" s="69"/>
      <c r="N24" s="69"/>
      <c r="O24" s="68">
        <f t="shared" si="0"/>
        <v>1700000</v>
      </c>
      <c r="P24" s="68">
        <v>5600000</v>
      </c>
      <c r="Q24" s="68">
        <f t="shared" si="2"/>
        <v>3900000</v>
      </c>
      <c r="R24" s="74"/>
    </row>
    <row r="25" spans="1:18" s="83" customFormat="1" ht="15" customHeight="1" x14ac:dyDescent="0.25">
      <c r="A25" s="75">
        <v>18</v>
      </c>
      <c r="B25" s="102">
        <v>42514</v>
      </c>
      <c r="C25" s="79" t="s">
        <v>371</v>
      </c>
      <c r="D25" s="78" t="s">
        <v>372</v>
      </c>
      <c r="E25" s="79" t="s">
        <v>215</v>
      </c>
      <c r="F25" s="80"/>
      <c r="G25" s="77"/>
      <c r="H25" s="81"/>
      <c r="I25" s="81"/>
      <c r="J25" s="69">
        <v>1280000</v>
      </c>
      <c r="K25" s="86"/>
      <c r="L25" s="69"/>
      <c r="M25" s="69"/>
      <c r="N25" s="69"/>
      <c r="O25" s="68">
        <f t="shared" si="0"/>
        <v>1280000</v>
      </c>
      <c r="P25" s="68">
        <v>4300000</v>
      </c>
      <c r="Q25" s="68">
        <f t="shared" si="2"/>
        <v>3020000</v>
      </c>
      <c r="R25" s="74"/>
    </row>
    <row r="26" spans="1:18" s="83" customFormat="1" ht="15" customHeight="1" x14ac:dyDescent="0.25">
      <c r="A26" s="75">
        <v>19</v>
      </c>
      <c r="B26" s="102">
        <v>42515</v>
      </c>
      <c r="C26" s="79" t="s">
        <v>373</v>
      </c>
      <c r="D26" s="78" t="s">
        <v>374</v>
      </c>
      <c r="E26" s="79" t="s">
        <v>24</v>
      </c>
      <c r="F26" s="80"/>
      <c r="G26" s="77"/>
      <c r="H26" s="81"/>
      <c r="I26" s="81"/>
      <c r="J26" s="69">
        <v>2600000</v>
      </c>
      <c r="K26" s="86"/>
      <c r="L26" s="69"/>
      <c r="M26" s="69"/>
      <c r="N26" s="69"/>
      <c r="O26" s="68">
        <f t="shared" si="0"/>
        <v>2600000</v>
      </c>
      <c r="P26" s="68">
        <v>6318182</v>
      </c>
      <c r="Q26" s="68">
        <f t="shared" si="2"/>
        <v>3718182</v>
      </c>
      <c r="R26" s="74"/>
    </row>
    <row r="27" spans="1:18" s="83" customFormat="1" ht="15" customHeight="1" x14ac:dyDescent="0.25">
      <c r="A27" s="75">
        <v>20</v>
      </c>
      <c r="B27" s="102">
        <v>42515</v>
      </c>
      <c r="C27" s="79" t="s">
        <v>375</v>
      </c>
      <c r="D27" s="128" t="s">
        <v>374</v>
      </c>
      <c r="E27" s="129" t="s">
        <v>25</v>
      </c>
      <c r="F27" s="80"/>
      <c r="G27" s="69"/>
      <c r="H27" s="130"/>
      <c r="I27" s="130"/>
      <c r="J27" s="69">
        <v>0</v>
      </c>
      <c r="K27" s="86"/>
      <c r="L27" s="69"/>
      <c r="M27" s="69"/>
      <c r="N27" s="69"/>
      <c r="O27" s="68">
        <f t="shared" si="0"/>
        <v>0</v>
      </c>
      <c r="P27" s="68">
        <v>2600000</v>
      </c>
      <c r="Q27" s="68">
        <f t="shared" si="2"/>
        <v>2600000</v>
      </c>
      <c r="R27" s="74"/>
    </row>
    <row r="28" spans="1:18" s="83" customFormat="1" ht="15" customHeight="1" x14ac:dyDescent="0.25">
      <c r="A28" s="75">
        <v>21</v>
      </c>
      <c r="B28" s="102">
        <v>42518</v>
      </c>
      <c r="C28" s="79" t="s">
        <v>376</v>
      </c>
      <c r="D28" s="128" t="s">
        <v>377</v>
      </c>
      <c r="E28" s="129" t="s">
        <v>378</v>
      </c>
      <c r="F28" s="80"/>
      <c r="G28" s="69"/>
      <c r="H28" s="130"/>
      <c r="I28" s="130"/>
      <c r="J28" s="69">
        <v>2000000</v>
      </c>
      <c r="K28" s="86"/>
      <c r="L28" s="69"/>
      <c r="M28" s="69"/>
      <c r="N28" s="69"/>
      <c r="O28" s="68">
        <f t="shared" si="0"/>
        <v>2000000</v>
      </c>
      <c r="P28" s="68">
        <v>6000000</v>
      </c>
      <c r="Q28" s="68">
        <f t="shared" si="2"/>
        <v>4000000</v>
      </c>
      <c r="R28" s="74"/>
    </row>
    <row r="29" spans="1:18" s="83" customFormat="1" ht="15" customHeight="1" x14ac:dyDescent="0.25">
      <c r="A29" s="75">
        <v>22</v>
      </c>
      <c r="B29" s="102">
        <v>42520</v>
      </c>
      <c r="C29" s="79" t="s">
        <v>379</v>
      </c>
      <c r="D29" s="128" t="s">
        <v>377</v>
      </c>
      <c r="E29" s="129" t="s">
        <v>25</v>
      </c>
      <c r="F29" s="80"/>
      <c r="G29" s="69">
        <v>506</v>
      </c>
      <c r="H29" s="130">
        <v>5717800</v>
      </c>
      <c r="I29" s="130"/>
      <c r="J29" s="69">
        <v>0</v>
      </c>
      <c r="K29" s="86"/>
      <c r="L29" s="69"/>
      <c r="M29" s="69"/>
      <c r="N29" s="69"/>
      <c r="O29" s="68">
        <f t="shared" si="0"/>
        <v>5717800</v>
      </c>
      <c r="P29" s="68">
        <v>2600000</v>
      </c>
      <c r="Q29" s="68">
        <f>P29-O29</f>
        <v>-3117800</v>
      </c>
      <c r="R29" s="74"/>
    </row>
    <row r="30" spans="1:18" s="83" customFormat="1" ht="15" customHeight="1" x14ac:dyDescent="0.25">
      <c r="A30" s="75"/>
      <c r="B30" s="102"/>
      <c r="C30" s="85" t="s">
        <v>380</v>
      </c>
      <c r="D30" s="78"/>
      <c r="E30" s="79"/>
      <c r="F30" s="80"/>
      <c r="G30" s="77"/>
      <c r="H30" s="81"/>
      <c r="I30" s="81"/>
      <c r="J30" s="69"/>
      <c r="K30" s="86"/>
      <c r="L30" s="113">
        <v>1320000</v>
      </c>
      <c r="M30" s="69"/>
      <c r="N30" s="69"/>
      <c r="O30" s="68">
        <f>H30+J30+K30+L30+M30+N30</f>
        <v>1320000</v>
      </c>
      <c r="P30" s="68"/>
      <c r="Q30" s="68">
        <f>P30-O30</f>
        <v>-1320000</v>
      </c>
      <c r="R30" s="74"/>
    </row>
    <row r="31" spans="1:18" s="83" customFormat="1" ht="15" customHeight="1" x14ac:dyDescent="0.25">
      <c r="A31" s="75"/>
      <c r="B31" s="77"/>
      <c r="C31" s="108" t="s">
        <v>381</v>
      </c>
      <c r="D31" s="87"/>
      <c r="E31" s="77"/>
      <c r="F31" s="110"/>
      <c r="G31" s="70"/>
      <c r="H31" s="81"/>
      <c r="I31" s="111"/>
      <c r="J31" s="112"/>
      <c r="K31" s="86">
        <v>8653846</v>
      </c>
      <c r="L31" s="86"/>
      <c r="M31" s="112"/>
      <c r="N31" s="112"/>
      <c r="O31" s="68">
        <f t="shared" si="0"/>
        <v>8653846</v>
      </c>
      <c r="P31" s="68"/>
      <c r="Q31" s="68">
        <f t="shared" si="2"/>
        <v>-8653846</v>
      </c>
      <c r="R31" s="74"/>
    </row>
    <row r="32" spans="1:18" s="83" customFormat="1" ht="27" customHeight="1" x14ac:dyDescent="0.25">
      <c r="A32" s="75"/>
      <c r="B32" s="70"/>
      <c r="C32" s="108" t="s">
        <v>382</v>
      </c>
      <c r="D32" s="87"/>
      <c r="E32" s="70"/>
      <c r="F32" s="110"/>
      <c r="G32" s="70"/>
      <c r="H32" s="81"/>
      <c r="I32" s="111"/>
      <c r="J32" s="112"/>
      <c r="K32" s="113"/>
      <c r="L32" s="86">
        <v>1254000</v>
      </c>
      <c r="M32" s="112"/>
      <c r="N32" s="112"/>
      <c r="O32" s="68">
        <f>H32+J32+K32+L32+M32+N32</f>
        <v>1254000</v>
      </c>
      <c r="P32" s="68"/>
      <c r="Q32" s="68">
        <f t="shared" si="2"/>
        <v>-1254000</v>
      </c>
      <c r="R32" s="74"/>
    </row>
    <row r="33" spans="1:18" s="83" customFormat="1" ht="15" customHeight="1" x14ac:dyDescent="0.25">
      <c r="A33" s="75"/>
      <c r="B33" s="70"/>
      <c r="C33" s="108" t="s">
        <v>386</v>
      </c>
      <c r="D33" s="87"/>
      <c r="E33" s="70"/>
      <c r="F33" s="110"/>
      <c r="G33" s="70"/>
      <c r="H33" s="81"/>
      <c r="I33" s="111"/>
      <c r="J33" s="112"/>
      <c r="K33" s="113"/>
      <c r="L33" s="86"/>
      <c r="M33" s="112"/>
      <c r="N33" s="86">
        <v>2950000</v>
      </c>
      <c r="O33" s="68">
        <f t="shared" si="0"/>
        <v>2950000</v>
      </c>
      <c r="P33" s="68"/>
      <c r="Q33" s="68">
        <f t="shared" si="2"/>
        <v>-2950000</v>
      </c>
      <c r="R33" s="74"/>
    </row>
    <row r="34" spans="1:18" s="83" customFormat="1" ht="15" customHeight="1" x14ac:dyDescent="0.25">
      <c r="A34" s="75"/>
      <c r="B34" s="70"/>
      <c r="C34" s="108" t="s">
        <v>383</v>
      </c>
      <c r="D34" s="87"/>
      <c r="E34" s="70"/>
      <c r="F34" s="110"/>
      <c r="G34" s="70"/>
      <c r="H34" s="81"/>
      <c r="I34" s="111"/>
      <c r="J34" s="112"/>
      <c r="K34" s="113"/>
      <c r="L34" s="113">
        <v>5060000</v>
      </c>
      <c r="M34" s="112"/>
      <c r="N34" s="113"/>
      <c r="O34" s="68">
        <f t="shared" si="0"/>
        <v>5060000</v>
      </c>
      <c r="P34" s="68"/>
      <c r="Q34" s="68">
        <f t="shared" si="2"/>
        <v>-5060000</v>
      </c>
      <c r="R34" s="74"/>
    </row>
    <row r="35" spans="1:18" s="83" customFormat="1" ht="15" customHeight="1" x14ac:dyDescent="0.25">
      <c r="A35" s="75"/>
      <c r="B35" s="70"/>
      <c r="C35" s="108" t="s">
        <v>384</v>
      </c>
      <c r="D35" s="87"/>
      <c r="E35" s="70"/>
      <c r="F35" s="110"/>
      <c r="G35" s="70"/>
      <c r="H35" s="81"/>
      <c r="I35" s="111"/>
      <c r="J35" s="112"/>
      <c r="K35" s="113"/>
      <c r="L35" s="113">
        <v>180000</v>
      </c>
      <c r="M35" s="112"/>
      <c r="N35" s="112"/>
      <c r="O35" s="68">
        <f t="shared" si="0"/>
        <v>180000</v>
      </c>
      <c r="P35" s="68"/>
      <c r="Q35" s="68">
        <f t="shared" si="2"/>
        <v>-180000</v>
      </c>
      <c r="R35" s="74"/>
    </row>
    <row r="36" spans="1:18" s="83" customFormat="1" ht="20.25" customHeight="1" x14ac:dyDescent="0.25">
      <c r="A36" s="75"/>
      <c r="B36" s="70"/>
      <c r="C36" s="108" t="s">
        <v>385</v>
      </c>
      <c r="D36" s="87"/>
      <c r="E36" s="70"/>
      <c r="F36" s="110"/>
      <c r="G36" s="70"/>
      <c r="H36" s="81"/>
      <c r="I36" s="111"/>
      <c r="J36" s="112"/>
      <c r="K36" s="113"/>
      <c r="L36" s="113">
        <v>400000</v>
      </c>
      <c r="M36" s="112"/>
      <c r="N36" s="112"/>
      <c r="O36" s="68">
        <f t="shared" si="0"/>
        <v>400000</v>
      </c>
      <c r="P36" s="68"/>
      <c r="Q36" s="68">
        <f t="shared" si="2"/>
        <v>-400000</v>
      </c>
      <c r="R36" s="74"/>
    </row>
    <row r="37" spans="1:18" s="83" customFormat="1" ht="15" customHeight="1" x14ac:dyDescent="0.25">
      <c r="A37" s="75"/>
      <c r="B37" s="70"/>
      <c r="C37" s="108"/>
      <c r="D37" s="87"/>
      <c r="E37" s="70"/>
      <c r="F37" s="110"/>
      <c r="G37" s="70"/>
      <c r="H37" s="81"/>
      <c r="I37" s="111"/>
      <c r="J37" s="112"/>
      <c r="K37" s="113"/>
      <c r="L37" s="113"/>
      <c r="M37" s="112"/>
      <c r="N37" s="113"/>
      <c r="O37" s="68">
        <f t="shared" si="0"/>
        <v>0</v>
      </c>
      <c r="P37" s="68"/>
      <c r="Q37" s="68">
        <f t="shared" si="2"/>
        <v>0</v>
      </c>
      <c r="R37" s="74"/>
    </row>
    <row r="38" spans="1:18" ht="15" customHeight="1" x14ac:dyDescent="0.25">
      <c r="A38" s="76"/>
      <c r="B38" s="103"/>
      <c r="C38" s="87"/>
      <c r="D38" s="88"/>
      <c r="E38" s="87"/>
      <c r="F38" s="88"/>
      <c r="G38" s="88"/>
      <c r="H38" s="77"/>
      <c r="I38" s="88"/>
      <c r="J38" s="70"/>
      <c r="K38" s="70"/>
      <c r="L38" s="70"/>
      <c r="M38" s="70"/>
      <c r="N38" s="70"/>
      <c r="O38" s="68">
        <f t="shared" si="0"/>
        <v>0</v>
      </c>
      <c r="P38" s="68"/>
      <c r="Q38" s="68">
        <f t="shared" si="2"/>
        <v>0</v>
      </c>
    </row>
    <row r="39" spans="1:18" x14ac:dyDescent="0.25">
      <c r="A39" s="547" t="s">
        <v>19</v>
      </c>
      <c r="B39" s="548"/>
      <c r="C39" s="548"/>
      <c r="D39" s="548"/>
      <c r="E39" s="548"/>
      <c r="F39" s="549"/>
      <c r="G39" s="89">
        <f t="shared" ref="G39:Q39" si="3">SUM(G7:G38)</f>
        <v>2151</v>
      </c>
      <c r="H39" s="71">
        <f t="shared" si="3"/>
        <v>23715150</v>
      </c>
      <c r="I39" s="71">
        <f t="shared" si="3"/>
        <v>0</v>
      </c>
      <c r="J39" s="71">
        <f t="shared" si="3"/>
        <v>25620000</v>
      </c>
      <c r="K39" s="71">
        <f t="shared" si="3"/>
        <v>8653846</v>
      </c>
      <c r="L39" s="71">
        <f t="shared" si="3"/>
        <v>8214000</v>
      </c>
      <c r="M39" s="71">
        <f t="shared" si="3"/>
        <v>0</v>
      </c>
      <c r="N39" s="71">
        <f t="shared" si="3"/>
        <v>2950000</v>
      </c>
      <c r="O39" s="71">
        <f t="shared" si="3"/>
        <v>69152996</v>
      </c>
      <c r="P39" s="71">
        <f t="shared" si="3"/>
        <v>93227273</v>
      </c>
      <c r="Q39" s="71">
        <f t="shared" si="3"/>
        <v>24074277</v>
      </c>
    </row>
    <row r="40" spans="1:18" x14ac:dyDescent="0.25">
      <c r="O40" s="91"/>
      <c r="Q40" s="91"/>
    </row>
  </sheetData>
  <mergeCells count="4">
    <mergeCell ref="A1:Q1"/>
    <mergeCell ref="A2:Q2"/>
    <mergeCell ref="A3:Q3"/>
    <mergeCell ref="A39:F3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38"/>
  <sheetViews>
    <sheetView topLeftCell="D31" workbookViewId="0">
      <selection activeCell="G27" sqref="G27"/>
    </sheetView>
  </sheetViews>
  <sheetFormatPr defaultColWidth="9.140625" defaultRowHeight="12.75" x14ac:dyDescent="0.25"/>
  <cols>
    <col min="1" max="1" width="4.5703125" style="74" customWidth="1"/>
    <col min="2" max="2" width="10.28515625" style="99" customWidth="1"/>
    <col min="3" max="3" width="27" style="74" customWidth="1"/>
    <col min="4" max="4" width="18" style="74" customWidth="1"/>
    <col min="5" max="5" width="30.42578125" style="74" customWidth="1"/>
    <col min="6" max="6" width="11.5703125" style="74" customWidth="1"/>
    <col min="7" max="7" width="8" style="74" customWidth="1"/>
    <col min="8" max="8" width="11" style="72" customWidth="1"/>
    <col min="9" max="9" width="12.28515625" style="74" customWidth="1"/>
    <col min="10" max="10" width="11.140625" style="72" customWidth="1"/>
    <col min="11" max="11" width="9.5703125" style="72" customWidth="1"/>
    <col min="12" max="12" width="9.42578125" style="72" customWidth="1"/>
    <col min="13" max="13" width="8.5703125" style="72" customWidth="1"/>
    <col min="14" max="14" width="9.5703125" style="72" customWidth="1"/>
    <col min="15" max="15" width="12.7109375" style="72" customWidth="1"/>
    <col min="16" max="16" width="13.7109375" style="72" customWidth="1"/>
    <col min="17" max="17" width="12.28515625" style="72" customWidth="1"/>
    <col min="18" max="18" width="10.7109375" style="74" customWidth="1"/>
    <col min="19" max="16384" width="9.140625" style="74"/>
  </cols>
  <sheetData>
    <row r="1" spans="1:19" ht="23.25" x14ac:dyDescent="0.25">
      <c r="A1" s="551" t="s">
        <v>0</v>
      </c>
      <c r="B1" s="551"/>
      <c r="C1" s="551"/>
      <c r="D1" s="551"/>
      <c r="E1" s="551"/>
      <c r="F1" s="551"/>
      <c r="G1" s="551"/>
      <c r="H1" s="551"/>
      <c r="I1" s="551"/>
      <c r="J1" s="551"/>
      <c r="K1" s="551"/>
      <c r="L1" s="551"/>
      <c r="M1" s="551"/>
      <c r="N1" s="551"/>
      <c r="O1" s="551"/>
      <c r="P1" s="551"/>
      <c r="Q1" s="551"/>
    </row>
    <row r="2" spans="1:19" ht="17.25" customHeight="1" x14ac:dyDescent="0.25">
      <c r="A2" s="550" t="s">
        <v>103</v>
      </c>
      <c r="B2" s="550"/>
      <c r="C2" s="550"/>
      <c r="D2" s="550"/>
      <c r="E2" s="550"/>
      <c r="F2" s="550"/>
      <c r="G2" s="550"/>
      <c r="H2" s="550"/>
      <c r="I2" s="550"/>
      <c r="J2" s="550"/>
      <c r="K2" s="550"/>
      <c r="L2" s="550"/>
      <c r="M2" s="550"/>
      <c r="N2" s="550"/>
      <c r="O2" s="550"/>
      <c r="P2" s="550"/>
      <c r="Q2" s="550"/>
    </row>
    <row r="3" spans="1:19" ht="21" customHeight="1" x14ac:dyDescent="0.25">
      <c r="A3" s="550" t="s">
        <v>387</v>
      </c>
      <c r="B3" s="550"/>
      <c r="C3" s="550"/>
      <c r="D3" s="550"/>
      <c r="E3" s="550"/>
      <c r="F3" s="550"/>
      <c r="G3" s="550"/>
      <c r="H3" s="550"/>
      <c r="I3" s="550"/>
      <c r="J3" s="550"/>
      <c r="K3" s="550"/>
      <c r="L3" s="550"/>
      <c r="M3" s="550"/>
      <c r="N3" s="550"/>
      <c r="O3" s="550"/>
      <c r="P3" s="550"/>
      <c r="Q3" s="550"/>
    </row>
    <row r="4" spans="1:19" x14ac:dyDescent="0.25">
      <c r="E4" s="74" t="s">
        <v>194</v>
      </c>
    </row>
    <row r="5" spans="1:19" s="5" customFormat="1" ht="12.75" customHeight="1" x14ac:dyDescent="0.25">
      <c r="A5" s="115" t="s">
        <v>1</v>
      </c>
      <c r="B5" s="116" t="s">
        <v>2</v>
      </c>
      <c r="C5" s="115" t="s">
        <v>3</v>
      </c>
      <c r="D5" s="115" t="s">
        <v>5</v>
      </c>
      <c r="E5" s="117" t="s">
        <v>4</v>
      </c>
      <c r="F5" s="117" t="s">
        <v>17</v>
      </c>
      <c r="G5" s="118" t="s">
        <v>6</v>
      </c>
      <c r="H5" s="119"/>
      <c r="I5" s="119"/>
      <c r="J5" s="119"/>
      <c r="K5" s="119"/>
      <c r="L5" s="119"/>
      <c r="M5" s="119"/>
      <c r="N5" s="120"/>
      <c r="O5" s="121" t="s">
        <v>18</v>
      </c>
      <c r="P5" s="127" t="s">
        <v>13</v>
      </c>
      <c r="Q5" s="121" t="s">
        <v>14</v>
      </c>
    </row>
    <row r="6" spans="1:19" s="5" customFormat="1" x14ac:dyDescent="0.25">
      <c r="A6" s="122"/>
      <c r="B6" s="123"/>
      <c r="C6" s="122"/>
      <c r="D6" s="122"/>
      <c r="E6" s="124"/>
      <c r="F6" s="124"/>
      <c r="G6" s="6" t="s">
        <v>7</v>
      </c>
      <c r="H6" s="7" t="s">
        <v>15</v>
      </c>
      <c r="I6" s="6" t="s">
        <v>16</v>
      </c>
      <c r="J6" s="7" t="s">
        <v>8</v>
      </c>
      <c r="K6" s="7" t="s">
        <v>9</v>
      </c>
      <c r="L6" s="7" t="s">
        <v>10</v>
      </c>
      <c r="M6" s="7" t="s">
        <v>11</v>
      </c>
      <c r="N6" s="7" t="s">
        <v>12</v>
      </c>
      <c r="O6" s="125"/>
      <c r="P6" s="125"/>
      <c r="Q6" s="125"/>
    </row>
    <row r="7" spans="1:19" ht="15" customHeight="1" thickBot="1" x14ac:dyDescent="0.3">
      <c r="A7" s="75"/>
      <c r="B7" s="100"/>
      <c r="C7" s="88"/>
      <c r="D7" s="88"/>
      <c r="E7" s="134"/>
      <c r="F7" s="75"/>
      <c r="G7" s="77"/>
      <c r="H7" s="68"/>
      <c r="I7" s="75"/>
      <c r="J7" s="68"/>
      <c r="K7" s="68"/>
      <c r="L7" s="68"/>
      <c r="M7" s="68"/>
      <c r="N7" s="68"/>
      <c r="O7" s="68">
        <f>H7+J7+K7+L7+M7+N7</f>
        <v>0</v>
      </c>
      <c r="P7" s="144"/>
      <c r="Q7" s="68">
        <f>P7-O7</f>
        <v>0</v>
      </c>
    </row>
    <row r="8" spans="1:19" s="83" customFormat="1" ht="15" customHeight="1" thickBot="1" x14ac:dyDescent="0.25">
      <c r="A8" s="75">
        <v>1</v>
      </c>
      <c r="B8" s="133">
        <v>42524</v>
      </c>
      <c r="C8" s="135" t="s">
        <v>388</v>
      </c>
      <c r="D8" s="136" t="s">
        <v>404</v>
      </c>
      <c r="E8" s="78" t="s">
        <v>27</v>
      </c>
      <c r="F8" s="80"/>
      <c r="G8" s="77"/>
      <c r="H8" s="81"/>
      <c r="I8" s="81"/>
      <c r="J8" s="69">
        <v>890000</v>
      </c>
      <c r="K8" s="86"/>
      <c r="L8" s="69"/>
      <c r="M8" s="69"/>
      <c r="N8" s="69"/>
      <c r="O8" s="142">
        <f t="shared" ref="O8:O25" si="0">H8+J8+K8+L8+M8+N8</f>
        <v>890000</v>
      </c>
      <c r="P8" s="145">
        <v>2663636</v>
      </c>
      <c r="Q8" s="143">
        <f>P8-O8</f>
        <v>1773636</v>
      </c>
      <c r="R8" s="52">
        <v>2663636</v>
      </c>
      <c r="S8" s="131"/>
    </row>
    <row r="9" spans="1:19" s="83" customFormat="1" ht="15" customHeight="1" thickBot="1" x14ac:dyDescent="0.25">
      <c r="A9" s="75">
        <v>2</v>
      </c>
      <c r="B9" s="133">
        <v>42525</v>
      </c>
      <c r="C9" s="135" t="s">
        <v>389</v>
      </c>
      <c r="D9" s="136" t="s">
        <v>405</v>
      </c>
      <c r="E9" s="78" t="s">
        <v>422</v>
      </c>
      <c r="F9" s="80"/>
      <c r="G9" s="77"/>
      <c r="H9" s="81"/>
      <c r="I9" s="81"/>
      <c r="J9" s="69">
        <v>1700000</v>
      </c>
      <c r="K9" s="86"/>
      <c r="L9" s="69"/>
      <c r="M9" s="69"/>
      <c r="N9" s="69"/>
      <c r="O9" s="142">
        <f t="shared" si="0"/>
        <v>1700000</v>
      </c>
      <c r="P9" s="145">
        <v>3200000</v>
      </c>
      <c r="Q9" s="143">
        <f t="shared" ref="Q9:Q25" si="1">P9-O9</f>
        <v>1500000</v>
      </c>
      <c r="R9" s="52">
        <v>3200000</v>
      </c>
      <c r="S9" s="131"/>
    </row>
    <row r="10" spans="1:19" s="83" customFormat="1" ht="15" customHeight="1" thickBot="1" x14ac:dyDescent="0.25">
      <c r="A10" s="75">
        <v>3</v>
      </c>
      <c r="B10" s="133">
        <v>42525</v>
      </c>
      <c r="C10" s="135" t="s">
        <v>390</v>
      </c>
      <c r="D10" s="136" t="s">
        <v>406</v>
      </c>
      <c r="E10" s="78" t="s">
        <v>25</v>
      </c>
      <c r="F10" s="80"/>
      <c r="G10" s="77"/>
      <c r="H10" s="81"/>
      <c r="I10" s="81"/>
      <c r="J10" s="69"/>
      <c r="K10" s="86"/>
      <c r="L10" s="69"/>
      <c r="M10" s="69"/>
      <c r="N10" s="69"/>
      <c r="O10" s="142">
        <f t="shared" si="0"/>
        <v>0</v>
      </c>
      <c r="P10" s="145">
        <v>2600000</v>
      </c>
      <c r="Q10" s="143">
        <f t="shared" si="1"/>
        <v>2600000</v>
      </c>
      <c r="R10" s="52">
        <v>2600000</v>
      </c>
    </row>
    <row r="11" spans="1:19" s="83" customFormat="1" ht="15" customHeight="1" thickBot="1" x14ac:dyDescent="0.25">
      <c r="A11" s="75">
        <v>4</v>
      </c>
      <c r="B11" s="133">
        <v>42527</v>
      </c>
      <c r="C11" s="135" t="s">
        <v>391</v>
      </c>
      <c r="D11" s="136" t="s">
        <v>407</v>
      </c>
      <c r="E11" s="78" t="s">
        <v>423</v>
      </c>
      <c r="F11" s="80"/>
      <c r="G11" s="77"/>
      <c r="H11" s="81"/>
      <c r="I11" s="81"/>
      <c r="J11" s="69">
        <v>1680000</v>
      </c>
      <c r="K11" s="86"/>
      <c r="L11" s="69"/>
      <c r="M11" s="69"/>
      <c r="N11" s="69"/>
      <c r="O11" s="142">
        <f t="shared" si="0"/>
        <v>1680000</v>
      </c>
      <c r="P11" s="145">
        <v>5272727</v>
      </c>
      <c r="Q11" s="143">
        <f t="shared" si="1"/>
        <v>3592727</v>
      </c>
      <c r="R11" s="52">
        <v>5272727</v>
      </c>
      <c r="S11" s="131"/>
    </row>
    <row r="12" spans="1:19" s="83" customFormat="1" ht="15" customHeight="1" thickBot="1" x14ac:dyDescent="0.25">
      <c r="A12" s="75">
        <v>5</v>
      </c>
      <c r="B12" s="133">
        <v>42528</v>
      </c>
      <c r="C12" s="135" t="s">
        <v>392</v>
      </c>
      <c r="D12" s="136" t="s">
        <v>408</v>
      </c>
      <c r="E12" s="78" t="s">
        <v>424</v>
      </c>
      <c r="F12" s="80"/>
      <c r="G12" s="77">
        <v>450</v>
      </c>
      <c r="H12" s="81">
        <v>5355000</v>
      </c>
      <c r="I12" s="81"/>
      <c r="J12" s="69">
        <v>1400000</v>
      </c>
      <c r="K12" s="86"/>
      <c r="L12" s="69"/>
      <c r="M12" s="69"/>
      <c r="N12" s="69"/>
      <c r="O12" s="142">
        <f t="shared" si="0"/>
        <v>6755000</v>
      </c>
      <c r="P12" s="145">
        <v>5200000</v>
      </c>
      <c r="Q12" s="143">
        <f t="shared" si="1"/>
        <v>-1555000</v>
      </c>
      <c r="R12" s="52">
        <v>5200000</v>
      </c>
      <c r="S12" s="131"/>
    </row>
    <row r="13" spans="1:19" s="83" customFormat="1" ht="15" customHeight="1" thickBot="1" x14ac:dyDescent="0.25">
      <c r="A13" s="75">
        <v>6</v>
      </c>
      <c r="B13" s="133">
        <v>42528</v>
      </c>
      <c r="C13" s="135" t="s">
        <v>392</v>
      </c>
      <c r="D13" s="136" t="s">
        <v>409</v>
      </c>
      <c r="E13" s="78" t="s">
        <v>25</v>
      </c>
      <c r="F13" s="80"/>
      <c r="G13" s="77"/>
      <c r="H13" s="81"/>
      <c r="I13" s="81"/>
      <c r="J13" s="69"/>
      <c r="K13" s="86"/>
      <c r="L13" s="69"/>
      <c r="M13" s="69"/>
      <c r="N13" s="69"/>
      <c r="O13" s="142">
        <f t="shared" si="0"/>
        <v>0</v>
      </c>
      <c r="P13" s="146">
        <v>0</v>
      </c>
      <c r="Q13" s="143">
        <f t="shared" si="1"/>
        <v>0</v>
      </c>
      <c r="R13" s="53">
        <v>0</v>
      </c>
      <c r="S13" s="131"/>
    </row>
    <row r="14" spans="1:19" s="83" customFormat="1" ht="15" customHeight="1" thickBot="1" x14ac:dyDescent="0.25">
      <c r="A14" s="75">
        <v>7</v>
      </c>
      <c r="B14" s="133">
        <v>42528</v>
      </c>
      <c r="C14" s="135" t="s">
        <v>393</v>
      </c>
      <c r="D14" s="136" t="s">
        <v>410</v>
      </c>
      <c r="E14" s="78" t="s">
        <v>189</v>
      </c>
      <c r="F14" s="80"/>
      <c r="G14" s="77"/>
      <c r="H14" s="81"/>
      <c r="I14" s="81"/>
      <c r="J14" s="69">
        <v>2200000</v>
      </c>
      <c r="K14" s="86"/>
      <c r="L14" s="69"/>
      <c r="M14" s="69"/>
      <c r="N14" s="69"/>
      <c r="O14" s="142">
        <f t="shared" si="0"/>
        <v>2200000</v>
      </c>
      <c r="P14" s="145">
        <v>10454545</v>
      </c>
      <c r="Q14" s="143">
        <f t="shared" si="1"/>
        <v>8254545</v>
      </c>
      <c r="R14" s="52">
        <v>10454545</v>
      </c>
      <c r="S14" s="131"/>
    </row>
    <row r="15" spans="1:19" s="83" customFormat="1" ht="15" customHeight="1" thickBot="1" x14ac:dyDescent="0.25">
      <c r="A15" s="75">
        <v>8</v>
      </c>
      <c r="B15" s="133">
        <v>42530</v>
      </c>
      <c r="C15" s="135" t="s">
        <v>394</v>
      </c>
      <c r="D15" s="136" t="s">
        <v>411</v>
      </c>
      <c r="E15" s="78" t="s">
        <v>425</v>
      </c>
      <c r="F15" s="80"/>
      <c r="G15" s="77"/>
      <c r="H15" s="81"/>
      <c r="I15" s="81"/>
      <c r="J15" s="69">
        <v>1200000</v>
      </c>
      <c r="K15" s="86"/>
      <c r="L15" s="69"/>
      <c r="M15" s="69"/>
      <c r="N15" s="69"/>
      <c r="O15" s="142">
        <f t="shared" si="0"/>
        <v>1200000</v>
      </c>
      <c r="P15" s="145">
        <v>5200000</v>
      </c>
      <c r="Q15" s="143">
        <f t="shared" si="1"/>
        <v>4000000</v>
      </c>
      <c r="R15" s="52">
        <v>5200000</v>
      </c>
      <c r="S15" s="131"/>
    </row>
    <row r="16" spans="1:19" s="83" customFormat="1" ht="15" customHeight="1" thickBot="1" x14ac:dyDescent="0.25">
      <c r="A16" s="75">
        <v>9</v>
      </c>
      <c r="B16" s="133">
        <v>42532</v>
      </c>
      <c r="C16" s="135" t="s">
        <v>395</v>
      </c>
      <c r="D16" s="136" t="s">
        <v>412</v>
      </c>
      <c r="E16" s="78" t="s">
        <v>356</v>
      </c>
      <c r="F16" s="80"/>
      <c r="G16" s="77"/>
      <c r="H16" s="81"/>
      <c r="I16" s="81"/>
      <c r="J16" s="69">
        <v>1280000</v>
      </c>
      <c r="K16" s="86"/>
      <c r="L16" s="69"/>
      <c r="M16" s="69"/>
      <c r="N16" s="69"/>
      <c r="O16" s="142">
        <f t="shared" si="0"/>
        <v>1280000</v>
      </c>
      <c r="P16" s="145">
        <v>4400000</v>
      </c>
      <c r="Q16" s="143">
        <f t="shared" si="1"/>
        <v>3120000</v>
      </c>
      <c r="R16" s="52">
        <v>4400000</v>
      </c>
      <c r="S16" s="131"/>
    </row>
    <row r="17" spans="1:19" s="83" customFormat="1" ht="15" customHeight="1" thickBot="1" x14ac:dyDescent="0.25">
      <c r="A17" s="75">
        <v>10</v>
      </c>
      <c r="B17" s="133">
        <v>42534</v>
      </c>
      <c r="C17" s="135" t="s">
        <v>396</v>
      </c>
      <c r="D17" s="136" t="s">
        <v>413</v>
      </c>
      <c r="E17" s="78" t="s">
        <v>86</v>
      </c>
      <c r="F17" s="80"/>
      <c r="G17" s="77"/>
      <c r="H17" s="81"/>
      <c r="I17" s="81"/>
      <c r="J17" s="69">
        <v>1700000</v>
      </c>
      <c r="K17" s="86"/>
      <c r="L17" s="69"/>
      <c r="M17" s="69"/>
      <c r="N17" s="69"/>
      <c r="O17" s="142">
        <f t="shared" si="0"/>
        <v>1700000</v>
      </c>
      <c r="P17" s="145">
        <v>5200000</v>
      </c>
      <c r="Q17" s="143">
        <f t="shared" si="1"/>
        <v>3500000</v>
      </c>
      <c r="R17" s="52">
        <v>5200000</v>
      </c>
      <c r="S17" s="131"/>
    </row>
    <row r="18" spans="1:19" s="83" customFormat="1" ht="15" customHeight="1" thickBot="1" x14ac:dyDescent="0.25">
      <c r="A18" s="75">
        <v>11</v>
      </c>
      <c r="B18" s="133">
        <v>42535</v>
      </c>
      <c r="C18" s="135" t="s">
        <v>397</v>
      </c>
      <c r="D18" s="136" t="s">
        <v>414</v>
      </c>
      <c r="E18" s="78" t="s">
        <v>426</v>
      </c>
      <c r="F18" s="80"/>
      <c r="G18" s="77">
        <v>480</v>
      </c>
      <c r="H18" s="81">
        <v>5712000</v>
      </c>
      <c r="I18" s="81"/>
      <c r="J18" s="69">
        <v>1280000</v>
      </c>
      <c r="K18" s="86"/>
      <c r="L18" s="69"/>
      <c r="M18" s="69"/>
      <c r="N18" s="69"/>
      <c r="O18" s="142">
        <f t="shared" si="0"/>
        <v>6992000</v>
      </c>
      <c r="P18" s="145">
        <v>3327273</v>
      </c>
      <c r="Q18" s="143">
        <f t="shared" si="1"/>
        <v>-3664727</v>
      </c>
      <c r="R18" s="52">
        <v>3327273</v>
      </c>
      <c r="S18" s="131"/>
    </row>
    <row r="19" spans="1:19" s="83" customFormat="1" ht="15" customHeight="1" thickBot="1" x14ac:dyDescent="0.25">
      <c r="A19" s="75">
        <v>12</v>
      </c>
      <c r="B19" s="133">
        <v>42536</v>
      </c>
      <c r="C19" s="135" t="s">
        <v>398</v>
      </c>
      <c r="D19" s="136" t="s">
        <v>415</v>
      </c>
      <c r="E19" s="78" t="s">
        <v>427</v>
      </c>
      <c r="F19" s="80"/>
      <c r="G19" s="77"/>
      <c r="H19" s="81"/>
      <c r="I19" s="81"/>
      <c r="J19" s="69">
        <v>1400000</v>
      </c>
      <c r="K19" s="86"/>
      <c r="L19" s="69"/>
      <c r="M19" s="69"/>
      <c r="N19" s="69"/>
      <c r="O19" s="142">
        <f t="shared" si="0"/>
        <v>1400000</v>
      </c>
      <c r="P19" s="145">
        <v>5000000</v>
      </c>
      <c r="Q19" s="143">
        <f t="shared" si="1"/>
        <v>3600000</v>
      </c>
      <c r="R19" s="52">
        <v>5000000</v>
      </c>
    </row>
    <row r="20" spans="1:19" s="83" customFormat="1" ht="15" customHeight="1" thickBot="1" x14ac:dyDescent="0.25">
      <c r="A20" s="75">
        <v>13</v>
      </c>
      <c r="B20" s="133">
        <v>42537</v>
      </c>
      <c r="C20" s="135" t="s">
        <v>399</v>
      </c>
      <c r="D20" s="136" t="s">
        <v>416</v>
      </c>
      <c r="E20" s="78" t="s">
        <v>428</v>
      </c>
      <c r="F20" s="80"/>
      <c r="G20" s="77"/>
      <c r="H20" s="81"/>
      <c r="I20" s="81"/>
      <c r="J20" s="69">
        <v>1280000</v>
      </c>
      <c r="K20" s="86"/>
      <c r="L20" s="69"/>
      <c r="M20" s="69"/>
      <c r="N20" s="69"/>
      <c r="O20" s="142">
        <f t="shared" si="0"/>
        <v>1280000</v>
      </c>
      <c r="P20" s="145">
        <v>3572727</v>
      </c>
      <c r="Q20" s="143">
        <f t="shared" si="1"/>
        <v>2292727</v>
      </c>
      <c r="R20" s="52">
        <v>3572727</v>
      </c>
      <c r="S20" s="131"/>
    </row>
    <row r="21" spans="1:19" s="83" customFormat="1" ht="15" customHeight="1" thickBot="1" x14ac:dyDescent="0.25">
      <c r="A21" s="75">
        <v>14</v>
      </c>
      <c r="B21" s="133">
        <v>42538</v>
      </c>
      <c r="C21" s="135" t="s">
        <v>400</v>
      </c>
      <c r="D21" s="136" t="s">
        <v>417</v>
      </c>
      <c r="E21" s="78" t="s">
        <v>429</v>
      </c>
      <c r="F21" s="80"/>
      <c r="G21" s="77"/>
      <c r="H21" s="81"/>
      <c r="I21" s="81"/>
      <c r="J21" s="69">
        <v>1700000</v>
      </c>
      <c r="K21" s="86"/>
      <c r="L21" s="69"/>
      <c r="M21" s="69"/>
      <c r="N21" s="69"/>
      <c r="O21" s="142">
        <f t="shared" si="0"/>
        <v>1700000</v>
      </c>
      <c r="P21" s="145">
        <v>5800000</v>
      </c>
      <c r="Q21" s="143">
        <f t="shared" si="1"/>
        <v>4100000</v>
      </c>
      <c r="R21" s="52">
        <v>5800000</v>
      </c>
      <c r="S21" s="131"/>
    </row>
    <row r="22" spans="1:19" s="83" customFormat="1" ht="15" customHeight="1" thickBot="1" x14ac:dyDescent="0.25">
      <c r="A22" s="75">
        <v>15</v>
      </c>
      <c r="B22" s="133">
        <v>42538</v>
      </c>
      <c r="C22" s="135" t="s">
        <v>400</v>
      </c>
      <c r="D22" s="136" t="s">
        <v>418</v>
      </c>
      <c r="E22" s="78" t="s">
        <v>25</v>
      </c>
      <c r="F22" s="80"/>
      <c r="G22" s="77"/>
      <c r="H22" s="81"/>
      <c r="I22" s="81"/>
      <c r="J22" s="69"/>
      <c r="K22" s="86"/>
      <c r="L22" s="69"/>
      <c r="M22" s="69"/>
      <c r="N22" s="69"/>
      <c r="O22" s="142">
        <f t="shared" si="0"/>
        <v>0</v>
      </c>
      <c r="P22" s="146">
        <v>0</v>
      </c>
      <c r="Q22" s="143">
        <f t="shared" si="1"/>
        <v>0</v>
      </c>
      <c r="R22" s="53">
        <v>0</v>
      </c>
    </row>
    <row r="23" spans="1:19" s="83" customFormat="1" ht="15" customHeight="1" thickBot="1" x14ac:dyDescent="0.25">
      <c r="A23" s="75">
        <v>16</v>
      </c>
      <c r="B23" s="133">
        <v>42549</v>
      </c>
      <c r="C23" s="135" t="s">
        <v>401</v>
      </c>
      <c r="D23" s="136" t="s">
        <v>419</v>
      </c>
      <c r="E23" s="78" t="s">
        <v>153</v>
      </c>
      <c r="F23" s="80"/>
      <c r="G23" s="77">
        <v>146</v>
      </c>
      <c r="H23" s="81">
        <v>2057890</v>
      </c>
      <c r="I23" s="81"/>
      <c r="J23" s="69">
        <v>1700000</v>
      </c>
      <c r="K23" s="86"/>
      <c r="L23" s="69"/>
      <c r="M23" s="69"/>
      <c r="N23" s="69"/>
      <c r="O23" s="142">
        <f t="shared" si="0"/>
        <v>3757890</v>
      </c>
      <c r="P23" s="145">
        <v>5500000</v>
      </c>
      <c r="Q23" s="143">
        <f t="shared" si="1"/>
        <v>1742110</v>
      </c>
      <c r="R23" s="52">
        <v>5500000</v>
      </c>
    </row>
    <row r="24" spans="1:19" s="83" customFormat="1" ht="15" customHeight="1" thickBot="1" x14ac:dyDescent="0.25">
      <c r="A24" s="75">
        <v>17</v>
      </c>
      <c r="B24" s="133">
        <v>42550</v>
      </c>
      <c r="C24" s="135" t="s">
        <v>402</v>
      </c>
      <c r="D24" s="136" t="s">
        <v>420</v>
      </c>
      <c r="E24" s="78" t="s">
        <v>22</v>
      </c>
      <c r="F24" s="80"/>
      <c r="G24" s="77"/>
      <c r="H24" s="81"/>
      <c r="I24" s="81"/>
      <c r="J24" s="69">
        <v>1700000</v>
      </c>
      <c r="K24" s="86"/>
      <c r="L24" s="69"/>
      <c r="M24" s="69"/>
      <c r="N24" s="69"/>
      <c r="O24" s="142">
        <f t="shared" si="0"/>
        <v>1700000</v>
      </c>
      <c r="P24" s="145">
        <v>5400000</v>
      </c>
      <c r="Q24" s="143">
        <f t="shared" si="1"/>
        <v>3700000</v>
      </c>
      <c r="R24" s="52">
        <v>5400000</v>
      </c>
    </row>
    <row r="25" spans="1:19" s="83" customFormat="1" ht="15" customHeight="1" thickBot="1" x14ac:dyDescent="0.25">
      <c r="A25" s="75">
        <v>18</v>
      </c>
      <c r="B25" s="137">
        <v>42550</v>
      </c>
      <c r="C25" s="135" t="s">
        <v>403</v>
      </c>
      <c r="D25" s="136" t="s">
        <v>421</v>
      </c>
      <c r="E25" s="78" t="s">
        <v>25</v>
      </c>
      <c r="F25" s="80"/>
      <c r="G25" s="77"/>
      <c r="H25" s="81"/>
      <c r="I25" s="81"/>
      <c r="J25" s="69"/>
      <c r="K25" s="86"/>
      <c r="L25" s="69"/>
      <c r="M25" s="69"/>
      <c r="N25" s="69"/>
      <c r="O25" s="142">
        <f t="shared" si="0"/>
        <v>0</v>
      </c>
      <c r="P25" s="146">
        <v>0</v>
      </c>
      <c r="Q25" s="143">
        <f t="shared" si="1"/>
        <v>0</v>
      </c>
      <c r="R25" s="53">
        <v>0</v>
      </c>
    </row>
    <row r="26" spans="1:19" s="83" customFormat="1" ht="15" customHeight="1" x14ac:dyDescent="0.2">
      <c r="A26" s="75">
        <v>19</v>
      </c>
      <c r="B26" s="140">
        <v>42551</v>
      </c>
      <c r="C26" s="138"/>
      <c r="D26" s="139"/>
      <c r="E26" s="78"/>
      <c r="F26" s="110"/>
      <c r="G26" s="70">
        <v>130</v>
      </c>
      <c r="H26" s="81">
        <v>1597700</v>
      </c>
      <c r="I26" s="111"/>
      <c r="J26" s="112"/>
      <c r="K26" s="86"/>
      <c r="L26" s="69"/>
      <c r="M26" s="112"/>
      <c r="N26" s="112"/>
      <c r="O26" s="142">
        <f>H26+J26+K26+L26+M26+N26</f>
        <v>1597700</v>
      </c>
      <c r="P26" s="77"/>
      <c r="Q26" s="68">
        <f>P26-O26</f>
        <v>-1597700</v>
      </c>
      <c r="R26" s="72"/>
    </row>
    <row r="27" spans="1:19" s="83" customFormat="1" ht="15" customHeight="1" x14ac:dyDescent="0.25">
      <c r="A27" s="75"/>
      <c r="B27" s="77"/>
      <c r="C27" s="108" t="s">
        <v>438</v>
      </c>
      <c r="D27" s="87"/>
      <c r="E27" s="77"/>
      <c r="F27" s="110"/>
      <c r="G27" s="148">
        <v>130</v>
      </c>
      <c r="H27" s="126">
        <f>G27*12290</f>
        <v>1597700</v>
      </c>
      <c r="I27" s="111"/>
      <c r="J27" s="112"/>
      <c r="K27" s="86">
        <f>5538462+692308</f>
        <v>6230770</v>
      </c>
      <c r="L27" s="86"/>
      <c r="M27" s="112"/>
      <c r="N27" s="112"/>
      <c r="O27" s="68">
        <f t="shared" ref="O27:O36" si="2">H27+J27+K27+L27+M27+N27</f>
        <v>7828470</v>
      </c>
      <c r="P27" s="68"/>
      <c r="Q27" s="68">
        <f t="shared" ref="Q27:Q36" si="3">P27-O27</f>
        <v>-7828470</v>
      </c>
      <c r="R27" s="74"/>
    </row>
    <row r="28" spans="1:19" s="83" customFormat="1" ht="27" customHeight="1" x14ac:dyDescent="0.25">
      <c r="A28" s="75"/>
      <c r="B28" s="70"/>
      <c r="C28" s="108" t="s">
        <v>430</v>
      </c>
      <c r="D28" s="87"/>
      <c r="E28" s="70"/>
      <c r="F28" s="110"/>
      <c r="G28" s="70"/>
      <c r="H28" s="81"/>
      <c r="I28" s="111"/>
      <c r="J28" s="112"/>
      <c r="K28" s="113"/>
      <c r="L28" s="113">
        <v>350000</v>
      </c>
      <c r="M28" s="112"/>
      <c r="N28" s="112"/>
      <c r="O28" s="68">
        <f t="shared" si="2"/>
        <v>350000</v>
      </c>
      <c r="P28" s="68"/>
      <c r="Q28" s="68">
        <f t="shared" si="3"/>
        <v>-350000</v>
      </c>
      <c r="R28" s="74"/>
    </row>
    <row r="29" spans="1:19" s="83" customFormat="1" ht="20.25" customHeight="1" x14ac:dyDescent="0.25">
      <c r="A29" s="75"/>
      <c r="B29" s="70"/>
      <c r="C29" s="108" t="s">
        <v>431</v>
      </c>
      <c r="D29" s="87"/>
      <c r="E29" s="70"/>
      <c r="F29" s="110"/>
      <c r="G29" s="70"/>
      <c r="H29" s="81"/>
      <c r="I29" s="111"/>
      <c r="J29" s="112"/>
      <c r="K29" s="113"/>
      <c r="L29" s="113">
        <v>200000</v>
      </c>
      <c r="M29" s="112"/>
      <c r="N29" s="112"/>
      <c r="O29" s="68">
        <f t="shared" si="2"/>
        <v>200000</v>
      </c>
      <c r="P29" s="68"/>
      <c r="Q29" s="68">
        <f t="shared" si="3"/>
        <v>-200000</v>
      </c>
      <c r="R29" s="74"/>
    </row>
    <row r="30" spans="1:19" s="83" customFormat="1" ht="27" customHeight="1" thickBot="1" x14ac:dyDescent="0.3">
      <c r="A30" s="75"/>
      <c r="B30" s="70"/>
      <c r="C30" s="108" t="s">
        <v>432</v>
      </c>
      <c r="D30" s="87"/>
      <c r="E30" s="70"/>
      <c r="F30" s="110"/>
      <c r="G30" s="70"/>
      <c r="H30" s="81"/>
      <c r="I30" s="111"/>
      <c r="J30" s="112"/>
      <c r="K30" s="113"/>
      <c r="L30" s="113">
        <v>900000</v>
      </c>
      <c r="M30" s="112"/>
      <c r="N30" s="112"/>
      <c r="O30" s="68">
        <f t="shared" si="2"/>
        <v>900000</v>
      </c>
      <c r="P30" s="68"/>
      <c r="Q30" s="68">
        <f t="shared" si="3"/>
        <v>-900000</v>
      </c>
      <c r="R30" s="74"/>
    </row>
    <row r="31" spans="1:19" s="83" customFormat="1" ht="26.25" customHeight="1" thickBot="1" x14ac:dyDescent="0.25">
      <c r="A31" s="75"/>
      <c r="B31" s="70"/>
      <c r="C31" s="132" t="s">
        <v>433</v>
      </c>
      <c r="D31" s="87"/>
      <c r="E31" s="70"/>
      <c r="F31" s="110"/>
      <c r="G31" s="70"/>
      <c r="H31" s="81"/>
      <c r="I31" s="111"/>
      <c r="J31" s="112"/>
      <c r="K31" s="113"/>
      <c r="L31" s="113">
        <v>350000</v>
      </c>
      <c r="M31" s="112"/>
      <c r="N31" s="112"/>
      <c r="O31" s="68">
        <f t="shared" si="2"/>
        <v>350000</v>
      </c>
      <c r="P31" s="68"/>
      <c r="Q31" s="68">
        <f t="shared" si="3"/>
        <v>-350000</v>
      </c>
      <c r="R31" s="74"/>
    </row>
    <row r="32" spans="1:19" s="83" customFormat="1" ht="36" customHeight="1" thickBot="1" x14ac:dyDescent="0.25">
      <c r="A32" s="75"/>
      <c r="B32" s="70"/>
      <c r="C32" s="132" t="s">
        <v>434</v>
      </c>
      <c r="D32" s="87"/>
      <c r="E32" s="70"/>
      <c r="F32" s="110"/>
      <c r="G32" s="70"/>
      <c r="H32" s="81"/>
      <c r="I32" s="111"/>
      <c r="J32" s="112"/>
      <c r="K32" s="113"/>
      <c r="L32" s="113">
        <v>100000</v>
      </c>
      <c r="M32" s="112"/>
      <c r="N32" s="112"/>
      <c r="O32" s="68">
        <f t="shared" si="2"/>
        <v>100000</v>
      </c>
      <c r="P32" s="68"/>
      <c r="Q32" s="68">
        <f t="shared" si="3"/>
        <v>-100000</v>
      </c>
      <c r="R32" s="74"/>
    </row>
    <row r="33" spans="1:18" s="83" customFormat="1" ht="32.25" customHeight="1" thickBot="1" x14ac:dyDescent="0.25">
      <c r="A33" s="75"/>
      <c r="B33" s="70"/>
      <c r="C33" s="132" t="s">
        <v>435</v>
      </c>
      <c r="D33" s="87"/>
      <c r="E33" s="70"/>
      <c r="F33" s="110"/>
      <c r="G33" s="70"/>
      <c r="H33" s="81"/>
      <c r="I33" s="111"/>
      <c r="J33" s="112"/>
      <c r="K33" s="113"/>
      <c r="L33" s="113">
        <v>490000</v>
      </c>
      <c r="M33" s="112"/>
      <c r="N33" s="112"/>
      <c r="O33" s="68">
        <f t="shared" si="2"/>
        <v>490000</v>
      </c>
      <c r="P33" s="68"/>
      <c r="Q33" s="68">
        <f t="shared" si="3"/>
        <v>-490000</v>
      </c>
      <c r="R33" s="74"/>
    </row>
    <row r="34" spans="1:18" s="83" customFormat="1" ht="32.25" customHeight="1" thickBot="1" x14ac:dyDescent="0.25">
      <c r="A34" s="75"/>
      <c r="B34" s="70"/>
      <c r="C34" s="132" t="s">
        <v>436</v>
      </c>
      <c r="D34" s="87"/>
      <c r="E34" s="70"/>
      <c r="F34" s="110"/>
      <c r="G34" s="70"/>
      <c r="H34" s="81"/>
      <c r="I34" s="111"/>
      <c r="J34" s="112"/>
      <c r="K34" s="113"/>
      <c r="L34" s="113">
        <v>7800000</v>
      </c>
      <c r="M34" s="112"/>
      <c r="N34" s="112"/>
      <c r="O34" s="68">
        <f t="shared" si="2"/>
        <v>7800000</v>
      </c>
      <c r="P34" s="68"/>
      <c r="Q34" s="68">
        <f t="shared" si="3"/>
        <v>-7800000</v>
      </c>
      <c r="R34" s="74"/>
    </row>
    <row r="35" spans="1:18" s="83" customFormat="1" ht="28.5" customHeight="1" x14ac:dyDescent="0.25">
      <c r="A35" s="75"/>
      <c r="B35" s="70"/>
      <c r="C35" s="108" t="s">
        <v>437</v>
      </c>
      <c r="D35" s="87"/>
      <c r="E35" s="70"/>
      <c r="F35" s="110"/>
      <c r="G35" s="70"/>
      <c r="H35" s="81"/>
      <c r="I35" s="111"/>
      <c r="J35" s="112"/>
      <c r="K35" s="113"/>
      <c r="L35" s="113"/>
      <c r="M35" s="112"/>
      <c r="N35" s="113"/>
      <c r="O35" s="68">
        <f t="shared" si="2"/>
        <v>0</v>
      </c>
      <c r="P35" s="68"/>
      <c r="Q35" s="68">
        <v>900000</v>
      </c>
      <c r="R35" s="74"/>
    </row>
    <row r="36" spans="1:18" ht="15" customHeight="1" x14ac:dyDescent="0.25">
      <c r="A36" s="76"/>
      <c r="B36" s="103"/>
      <c r="C36" s="108" t="s">
        <v>439</v>
      </c>
      <c r="D36" s="88"/>
      <c r="E36" s="87"/>
      <c r="F36" s="88"/>
      <c r="G36" s="88"/>
      <c r="H36" s="77"/>
      <c r="I36" s="88"/>
      <c r="J36" s="70"/>
      <c r="K36" s="70"/>
      <c r="L36" s="141">
        <v>1320000</v>
      </c>
      <c r="M36" s="70"/>
      <c r="N36" s="70"/>
      <c r="O36" s="147">
        <f t="shared" si="2"/>
        <v>1320000</v>
      </c>
      <c r="P36" s="68"/>
      <c r="Q36" s="68">
        <f t="shared" si="3"/>
        <v>-1320000</v>
      </c>
    </row>
    <row r="37" spans="1:18" x14ac:dyDescent="0.25">
      <c r="A37" s="547" t="s">
        <v>19</v>
      </c>
      <c r="B37" s="548"/>
      <c r="C37" s="548"/>
      <c r="D37" s="548"/>
      <c r="E37" s="548"/>
      <c r="F37" s="549"/>
      <c r="G37" s="89">
        <f t="shared" ref="G37:N37" si="4">SUM(G7:G36)</f>
        <v>1336</v>
      </c>
      <c r="H37" s="71">
        <f t="shared" si="4"/>
        <v>16320290</v>
      </c>
      <c r="I37" s="71">
        <f t="shared" si="4"/>
        <v>0</v>
      </c>
      <c r="J37" s="71">
        <f t="shared" si="4"/>
        <v>21110000</v>
      </c>
      <c r="K37" s="71">
        <f t="shared" si="4"/>
        <v>6230770</v>
      </c>
      <c r="L37" s="71">
        <f>SUM(L7:L36)</f>
        <v>11510000</v>
      </c>
      <c r="M37" s="71">
        <f t="shared" si="4"/>
        <v>0</v>
      </c>
      <c r="N37" s="71">
        <f t="shared" si="4"/>
        <v>0</v>
      </c>
      <c r="O37" s="71">
        <f>SUM(O7:O36)</f>
        <v>55171060</v>
      </c>
      <c r="P37" s="71">
        <f>SUM(P7:P36)</f>
        <v>72790908</v>
      </c>
      <c r="Q37" s="71">
        <f>SUM(Q7:Q36)</f>
        <v>18519848</v>
      </c>
    </row>
    <row r="38" spans="1:18" x14ac:dyDescent="0.25">
      <c r="O38" s="91"/>
      <c r="Q38" s="91"/>
    </row>
  </sheetData>
  <mergeCells count="4">
    <mergeCell ref="A1:Q1"/>
    <mergeCell ref="A2:Q2"/>
    <mergeCell ref="A3:Q3"/>
    <mergeCell ref="A37:F37"/>
  </mergeCells>
  <pageMargins left="0.7" right="0.7" top="0.75" bottom="0.75" header="0.3" footer="0.3"/>
  <pageSetup paperSize="9"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47"/>
  <sheetViews>
    <sheetView topLeftCell="D34" workbookViewId="0">
      <selection activeCell="Q24" sqref="Q24"/>
    </sheetView>
  </sheetViews>
  <sheetFormatPr defaultColWidth="9.140625" defaultRowHeight="12.75" x14ac:dyDescent="0.25"/>
  <cols>
    <col min="1" max="1" width="4.5703125" style="74" customWidth="1"/>
    <col min="2" max="2" width="10.28515625" style="99" customWidth="1"/>
    <col min="3" max="3" width="32.140625" style="74" customWidth="1"/>
    <col min="4" max="4" width="18" style="74" customWidth="1"/>
    <col min="5" max="5" width="30.42578125" style="74" customWidth="1"/>
    <col min="6" max="6" width="11.5703125" style="74" customWidth="1"/>
    <col min="7" max="7" width="8" style="74" customWidth="1"/>
    <col min="8" max="8" width="11" style="72" customWidth="1"/>
    <col min="9" max="9" width="12.28515625" style="74" customWidth="1"/>
    <col min="10" max="10" width="11.140625" style="72" customWidth="1"/>
    <col min="11" max="11" width="9.5703125" style="72" customWidth="1"/>
    <col min="12" max="12" width="9.42578125" style="72" customWidth="1"/>
    <col min="13" max="13" width="8.5703125" style="72" customWidth="1"/>
    <col min="14" max="14" width="9.5703125" style="72" customWidth="1"/>
    <col min="15" max="15" width="12.7109375" style="72" customWidth="1"/>
    <col min="16" max="16" width="13.7109375" style="72" customWidth="1"/>
    <col min="17" max="17" width="12.28515625" style="72" customWidth="1"/>
    <col min="18" max="18" width="9.7109375" style="74" bestFit="1" customWidth="1"/>
    <col min="19" max="19" width="11.5703125" style="74" customWidth="1"/>
    <col min="20" max="16384" width="9.140625" style="74"/>
  </cols>
  <sheetData>
    <row r="1" spans="1:19" ht="23.25" x14ac:dyDescent="0.25">
      <c r="A1" s="551" t="s">
        <v>0</v>
      </c>
      <c r="B1" s="551"/>
      <c r="C1" s="551"/>
      <c r="D1" s="551"/>
      <c r="E1" s="551"/>
      <c r="F1" s="551"/>
      <c r="G1" s="551"/>
      <c r="H1" s="551"/>
      <c r="I1" s="551"/>
      <c r="J1" s="551"/>
      <c r="K1" s="551"/>
      <c r="L1" s="551"/>
      <c r="M1" s="551"/>
      <c r="N1" s="551"/>
      <c r="O1" s="551"/>
      <c r="P1" s="551"/>
      <c r="Q1" s="551"/>
    </row>
    <row r="2" spans="1:19" ht="17.25" customHeight="1" x14ac:dyDescent="0.25">
      <c r="A2" s="550" t="s">
        <v>103</v>
      </c>
      <c r="B2" s="550"/>
      <c r="C2" s="550"/>
      <c r="D2" s="550"/>
      <c r="E2" s="550"/>
      <c r="F2" s="550"/>
      <c r="G2" s="550"/>
      <c r="H2" s="550"/>
      <c r="I2" s="550"/>
      <c r="J2" s="550"/>
      <c r="K2" s="550"/>
      <c r="L2" s="550"/>
      <c r="M2" s="550"/>
      <c r="N2" s="550"/>
      <c r="O2" s="550"/>
      <c r="P2" s="550"/>
      <c r="Q2" s="550"/>
    </row>
    <row r="3" spans="1:19" ht="21" customHeight="1" x14ac:dyDescent="0.25">
      <c r="A3" s="550" t="s">
        <v>440</v>
      </c>
      <c r="B3" s="550"/>
      <c r="C3" s="550"/>
      <c r="D3" s="550"/>
      <c r="E3" s="550"/>
      <c r="F3" s="550"/>
      <c r="G3" s="550"/>
      <c r="H3" s="550"/>
      <c r="I3" s="550"/>
      <c r="J3" s="550"/>
      <c r="K3" s="550"/>
      <c r="L3" s="550"/>
      <c r="M3" s="550"/>
      <c r="N3" s="550"/>
      <c r="O3" s="550"/>
      <c r="P3" s="550"/>
      <c r="Q3" s="550"/>
    </row>
    <row r="4" spans="1:19" x14ac:dyDescent="0.25">
      <c r="E4" s="74" t="s">
        <v>194</v>
      </c>
    </row>
    <row r="5" spans="1:19" s="5" customFormat="1" ht="12.75" customHeight="1" x14ac:dyDescent="0.25">
      <c r="A5" s="115" t="s">
        <v>1</v>
      </c>
      <c r="B5" s="116" t="s">
        <v>2</v>
      </c>
      <c r="C5" s="115" t="s">
        <v>3</v>
      </c>
      <c r="D5" s="115" t="s">
        <v>5</v>
      </c>
      <c r="E5" s="117" t="s">
        <v>4</v>
      </c>
      <c r="F5" s="117" t="s">
        <v>17</v>
      </c>
      <c r="G5" s="118" t="s">
        <v>6</v>
      </c>
      <c r="H5" s="119"/>
      <c r="I5" s="119"/>
      <c r="J5" s="119"/>
      <c r="K5" s="119"/>
      <c r="L5" s="119"/>
      <c r="M5" s="119"/>
      <c r="N5" s="120"/>
      <c r="O5" s="121" t="s">
        <v>18</v>
      </c>
      <c r="P5" s="127" t="s">
        <v>13</v>
      </c>
      <c r="Q5" s="121" t="s">
        <v>14</v>
      </c>
    </row>
    <row r="6" spans="1:19" s="5" customFormat="1" x14ac:dyDescent="0.25">
      <c r="A6" s="122"/>
      <c r="B6" s="123"/>
      <c r="C6" s="122"/>
      <c r="D6" s="122"/>
      <c r="E6" s="124"/>
      <c r="F6" s="124"/>
      <c r="G6" s="6" t="s">
        <v>7</v>
      </c>
      <c r="H6" s="7" t="s">
        <v>15</v>
      </c>
      <c r="I6" s="6" t="s">
        <v>16</v>
      </c>
      <c r="J6" s="7" t="s">
        <v>8</v>
      </c>
      <c r="K6" s="7" t="s">
        <v>9</v>
      </c>
      <c r="L6" s="7" t="s">
        <v>10</v>
      </c>
      <c r="M6" s="7" t="s">
        <v>11</v>
      </c>
      <c r="N6" s="7" t="s">
        <v>12</v>
      </c>
      <c r="O6" s="125"/>
      <c r="P6" s="125"/>
      <c r="Q6" s="125"/>
    </row>
    <row r="7" spans="1:19" ht="15" customHeight="1" x14ac:dyDescent="0.25">
      <c r="A7" s="75"/>
      <c r="B7" s="100"/>
      <c r="C7" s="88"/>
      <c r="D7" s="88"/>
      <c r="E7" s="134"/>
      <c r="F7" s="75"/>
      <c r="G7" s="77"/>
      <c r="H7" s="68"/>
      <c r="I7" s="75"/>
      <c r="J7" s="68"/>
      <c r="K7" s="68"/>
      <c r="L7" s="68"/>
      <c r="M7" s="68"/>
      <c r="N7" s="68"/>
      <c r="O7" s="68">
        <f>H7+J7+K7+L7+M7+N7</f>
        <v>0</v>
      </c>
      <c r="P7" s="68"/>
      <c r="Q7" s="68">
        <f>P7-O7</f>
        <v>0</v>
      </c>
    </row>
    <row r="8" spans="1:19" s="83" customFormat="1" ht="15" customHeight="1" x14ac:dyDescent="0.2">
      <c r="A8" s="75">
        <v>1</v>
      </c>
      <c r="B8" s="133">
        <v>42551</v>
      </c>
      <c r="C8" s="135" t="s">
        <v>441</v>
      </c>
      <c r="D8" s="136" t="s">
        <v>468</v>
      </c>
      <c r="E8" s="78" t="s">
        <v>22</v>
      </c>
      <c r="F8" s="80"/>
      <c r="G8" s="77"/>
      <c r="H8" s="81"/>
      <c r="I8" s="81"/>
      <c r="J8" s="69">
        <v>1700000</v>
      </c>
      <c r="K8" s="86"/>
      <c r="L8" s="69"/>
      <c r="M8" s="69"/>
      <c r="N8" s="69"/>
      <c r="O8" s="142">
        <f>H8+J8+K8+L8+M8+N8</f>
        <v>1700000</v>
      </c>
      <c r="P8" s="68">
        <v>5600000</v>
      </c>
      <c r="Q8" s="68">
        <f>P8-O8</f>
        <v>3900000</v>
      </c>
      <c r="R8" s="131"/>
      <c r="S8" s="145"/>
    </row>
    <row r="9" spans="1:19" s="83" customFormat="1" ht="15" customHeight="1" x14ac:dyDescent="0.2">
      <c r="A9" s="75">
        <v>2</v>
      </c>
      <c r="B9" s="133">
        <v>42551</v>
      </c>
      <c r="C9" s="135" t="s">
        <v>442</v>
      </c>
      <c r="D9" s="136" t="s">
        <v>469</v>
      </c>
      <c r="E9" s="78" t="s">
        <v>30</v>
      </c>
      <c r="F9" s="80"/>
      <c r="G9" s="77"/>
      <c r="H9" s="81"/>
      <c r="I9" s="81"/>
      <c r="J9" s="69">
        <v>0</v>
      </c>
      <c r="K9" s="86"/>
      <c r="L9" s="69"/>
      <c r="M9" s="69"/>
      <c r="N9" s="69"/>
      <c r="O9" s="142">
        <f t="shared" ref="O9:O45" si="0">H9+J9+K9+L9+M9+N9</f>
        <v>0</v>
      </c>
      <c r="P9" s="68">
        <v>0</v>
      </c>
      <c r="Q9" s="68">
        <f t="shared" ref="Q9:Q33" si="1">P9-O9</f>
        <v>0</v>
      </c>
      <c r="R9" s="131"/>
      <c r="S9" s="145"/>
    </row>
    <row r="10" spans="1:19" s="83" customFormat="1" ht="15" customHeight="1" x14ac:dyDescent="0.2">
      <c r="A10" s="75">
        <v>3</v>
      </c>
      <c r="B10" s="133">
        <v>42555</v>
      </c>
      <c r="C10" s="135" t="s">
        <v>443</v>
      </c>
      <c r="D10" s="136" t="s">
        <v>470</v>
      </c>
      <c r="E10" s="78" t="s">
        <v>153</v>
      </c>
      <c r="F10" s="80"/>
      <c r="G10" s="77">
        <v>150</v>
      </c>
      <c r="H10" s="81">
        <v>1843500</v>
      </c>
      <c r="I10" s="81"/>
      <c r="J10" s="69">
        <v>1700000</v>
      </c>
      <c r="K10" s="86"/>
      <c r="L10" s="69"/>
      <c r="M10" s="69"/>
      <c r="N10" s="69"/>
      <c r="O10" s="142">
        <f t="shared" si="0"/>
        <v>3543500</v>
      </c>
      <c r="P10" s="68">
        <v>5500000</v>
      </c>
      <c r="Q10" s="68">
        <f t="shared" si="1"/>
        <v>1956500</v>
      </c>
      <c r="S10" s="145"/>
    </row>
    <row r="11" spans="1:19" s="83" customFormat="1" ht="15" customHeight="1" x14ac:dyDescent="0.2">
      <c r="A11" s="75">
        <v>4</v>
      </c>
      <c r="B11" s="133">
        <v>42556</v>
      </c>
      <c r="C11" s="135" t="s">
        <v>444</v>
      </c>
      <c r="D11" s="136" t="s">
        <v>471</v>
      </c>
      <c r="E11" s="78" t="s">
        <v>153</v>
      </c>
      <c r="F11" s="80"/>
      <c r="G11" s="77">
        <v>130</v>
      </c>
      <c r="H11" s="81">
        <v>1597700</v>
      </c>
      <c r="I11" s="81"/>
      <c r="J11" s="69">
        <v>1700000</v>
      </c>
      <c r="K11" s="86"/>
      <c r="L11" s="69"/>
      <c r="M11" s="69"/>
      <c r="N11" s="69"/>
      <c r="O11" s="142">
        <f t="shared" si="0"/>
        <v>3297700</v>
      </c>
      <c r="P11" s="68">
        <v>5500000</v>
      </c>
      <c r="Q11" s="68">
        <f t="shared" si="1"/>
        <v>2202300</v>
      </c>
      <c r="R11" s="131"/>
      <c r="S11" s="145"/>
    </row>
    <row r="12" spans="1:19" s="83" customFormat="1" ht="15" customHeight="1" x14ac:dyDescent="0.2">
      <c r="A12" s="75">
        <v>5</v>
      </c>
      <c r="B12" s="133">
        <v>42557</v>
      </c>
      <c r="C12" s="135" t="s">
        <v>445</v>
      </c>
      <c r="D12" s="136" t="s">
        <v>472</v>
      </c>
      <c r="E12" s="78" t="s">
        <v>86</v>
      </c>
      <c r="F12" s="80"/>
      <c r="G12" s="77">
        <v>156</v>
      </c>
      <c r="H12" s="81">
        <v>1917240</v>
      </c>
      <c r="I12" s="81"/>
      <c r="J12" s="69">
        <v>1700000</v>
      </c>
      <c r="K12" s="86"/>
      <c r="L12" s="69"/>
      <c r="M12" s="69"/>
      <c r="N12" s="69"/>
      <c r="O12" s="142">
        <f t="shared" si="0"/>
        <v>3617240</v>
      </c>
      <c r="P12" s="68">
        <v>5200000</v>
      </c>
      <c r="Q12" s="68">
        <f t="shared" si="1"/>
        <v>1582760</v>
      </c>
      <c r="R12" s="131"/>
      <c r="S12" s="145"/>
    </row>
    <row r="13" spans="1:19" s="83" customFormat="1" ht="15" customHeight="1" x14ac:dyDescent="0.2">
      <c r="A13" s="75">
        <v>6</v>
      </c>
      <c r="B13" s="133">
        <v>42557</v>
      </c>
      <c r="C13" s="135" t="s">
        <v>446</v>
      </c>
      <c r="D13" s="136" t="s">
        <v>473</v>
      </c>
      <c r="E13" s="78" t="s">
        <v>188</v>
      </c>
      <c r="F13" s="80"/>
      <c r="G13" s="77">
        <v>121</v>
      </c>
      <c r="H13" s="81">
        <v>1487090</v>
      </c>
      <c r="I13" s="81"/>
      <c r="J13" s="69">
        <v>750000</v>
      </c>
      <c r="K13" s="86"/>
      <c r="L13" s="69"/>
      <c r="M13" s="69"/>
      <c r="N13" s="69"/>
      <c r="O13" s="142">
        <f t="shared" si="0"/>
        <v>2237090</v>
      </c>
      <c r="P13" s="68">
        <v>3240000</v>
      </c>
      <c r="Q13" s="68">
        <f t="shared" si="1"/>
        <v>1002910</v>
      </c>
      <c r="R13" s="131"/>
      <c r="S13" s="145"/>
    </row>
    <row r="14" spans="1:19" s="83" customFormat="1" ht="15" customHeight="1" x14ac:dyDescent="0.2">
      <c r="A14" s="75">
        <v>7</v>
      </c>
      <c r="B14" s="133">
        <v>42559</v>
      </c>
      <c r="C14" s="135" t="s">
        <v>447</v>
      </c>
      <c r="D14" s="136" t="s">
        <v>474</v>
      </c>
      <c r="E14" s="78" t="s">
        <v>429</v>
      </c>
      <c r="F14" s="80"/>
      <c r="G14" s="77">
        <v>74</v>
      </c>
      <c r="H14" s="81">
        <v>909460</v>
      </c>
      <c r="I14" s="81"/>
      <c r="J14" s="69">
        <v>1700000</v>
      </c>
      <c r="K14" s="86"/>
      <c r="L14" s="69"/>
      <c r="M14" s="69"/>
      <c r="N14" s="69"/>
      <c r="O14" s="142">
        <f t="shared" si="0"/>
        <v>2609460</v>
      </c>
      <c r="P14" s="68">
        <v>3200000</v>
      </c>
      <c r="Q14" s="68">
        <f t="shared" si="1"/>
        <v>590540</v>
      </c>
      <c r="R14" s="131"/>
      <c r="S14" s="145"/>
    </row>
    <row r="15" spans="1:19" s="83" customFormat="1" ht="15" customHeight="1" x14ac:dyDescent="0.2">
      <c r="A15" s="75">
        <v>8</v>
      </c>
      <c r="B15" s="133">
        <v>42559</v>
      </c>
      <c r="C15" s="135" t="s">
        <v>448</v>
      </c>
      <c r="D15" s="136" t="s">
        <v>475</v>
      </c>
      <c r="E15" s="78" t="s">
        <v>25</v>
      </c>
      <c r="F15" s="80"/>
      <c r="G15" s="77">
        <v>131</v>
      </c>
      <c r="H15" s="81">
        <v>1609990</v>
      </c>
      <c r="I15" s="81"/>
      <c r="J15" s="69">
        <v>0</v>
      </c>
      <c r="K15" s="86"/>
      <c r="L15" s="69"/>
      <c r="M15" s="69"/>
      <c r="N15" s="69"/>
      <c r="O15" s="142">
        <f t="shared" si="0"/>
        <v>1609990</v>
      </c>
      <c r="P15" s="68">
        <v>2600000</v>
      </c>
      <c r="Q15" s="68">
        <f t="shared" si="1"/>
        <v>990010</v>
      </c>
      <c r="R15" s="131"/>
      <c r="S15" s="145"/>
    </row>
    <row r="16" spans="1:19" s="83" customFormat="1" ht="15" customHeight="1" x14ac:dyDescent="0.2">
      <c r="A16" s="75">
        <v>9</v>
      </c>
      <c r="B16" s="133">
        <v>42562</v>
      </c>
      <c r="C16" s="135" t="s">
        <v>449</v>
      </c>
      <c r="D16" s="136" t="s">
        <v>476</v>
      </c>
      <c r="E16" s="78" t="s">
        <v>493</v>
      </c>
      <c r="F16" s="80"/>
      <c r="G16" s="77"/>
      <c r="H16" s="81"/>
      <c r="I16" s="81"/>
      <c r="J16" s="69">
        <v>1700000</v>
      </c>
      <c r="K16" s="86"/>
      <c r="L16" s="69"/>
      <c r="M16" s="69"/>
      <c r="N16" s="69"/>
      <c r="O16" s="142">
        <f t="shared" si="0"/>
        <v>1700000</v>
      </c>
      <c r="P16" s="68">
        <v>5500000</v>
      </c>
      <c r="Q16" s="68">
        <f t="shared" si="1"/>
        <v>3800000</v>
      </c>
      <c r="R16" s="131"/>
      <c r="S16" s="145"/>
    </row>
    <row r="17" spans="1:19" s="83" customFormat="1" ht="15" customHeight="1" x14ac:dyDescent="0.2">
      <c r="A17" s="75">
        <v>10</v>
      </c>
      <c r="B17" s="133">
        <v>42562</v>
      </c>
      <c r="C17" s="135" t="s">
        <v>450</v>
      </c>
      <c r="D17" s="136" t="s">
        <v>477</v>
      </c>
      <c r="E17" s="78" t="s">
        <v>28</v>
      </c>
      <c r="F17" s="80"/>
      <c r="G17" s="77"/>
      <c r="H17" s="81"/>
      <c r="I17" s="81"/>
      <c r="J17" s="69">
        <v>1400000</v>
      </c>
      <c r="K17" s="86"/>
      <c r="L17" s="69"/>
      <c r="M17" s="69"/>
      <c r="N17" s="69"/>
      <c r="O17" s="142">
        <f t="shared" si="0"/>
        <v>1400000</v>
      </c>
      <c r="P17" s="68">
        <v>5000000</v>
      </c>
      <c r="Q17" s="68">
        <f t="shared" si="1"/>
        <v>3600000</v>
      </c>
      <c r="R17" s="131"/>
      <c r="S17" s="145"/>
    </row>
    <row r="18" spans="1:19" s="83" customFormat="1" ht="15" customHeight="1" x14ac:dyDescent="0.2">
      <c r="A18" s="75">
        <v>11</v>
      </c>
      <c r="B18" s="133">
        <v>42563</v>
      </c>
      <c r="C18" s="135" t="s">
        <v>451</v>
      </c>
      <c r="D18" s="136" t="s">
        <v>478</v>
      </c>
      <c r="E18" s="78" t="s">
        <v>494</v>
      </c>
      <c r="F18" s="80"/>
      <c r="G18" s="77">
        <v>266</v>
      </c>
      <c r="H18" s="81">
        <v>3269140</v>
      </c>
      <c r="I18" s="81"/>
      <c r="J18" s="69">
        <v>1280000</v>
      </c>
      <c r="K18" s="86"/>
      <c r="L18" s="69"/>
      <c r="M18" s="69"/>
      <c r="N18" s="69"/>
      <c r="O18" s="142">
        <f t="shared" si="0"/>
        <v>4549140</v>
      </c>
      <c r="P18" s="68">
        <v>3754545</v>
      </c>
      <c r="Q18" s="68">
        <f t="shared" si="1"/>
        <v>-794595</v>
      </c>
      <c r="R18" s="131"/>
      <c r="S18" s="145"/>
    </row>
    <row r="19" spans="1:19" s="83" customFormat="1" ht="15" customHeight="1" x14ac:dyDescent="0.2">
      <c r="A19" s="75">
        <v>12</v>
      </c>
      <c r="B19" s="133">
        <v>42564</v>
      </c>
      <c r="C19" s="135" t="s">
        <v>452</v>
      </c>
      <c r="D19" s="136" t="s">
        <v>478</v>
      </c>
      <c r="E19" s="78" t="s">
        <v>494</v>
      </c>
      <c r="F19" s="80"/>
      <c r="G19" s="77"/>
      <c r="H19" s="81"/>
      <c r="I19" s="81"/>
      <c r="J19" s="69">
        <v>0</v>
      </c>
      <c r="K19" s="86"/>
      <c r="L19" s="69"/>
      <c r="M19" s="69"/>
      <c r="N19" s="69"/>
      <c r="O19" s="142">
        <f t="shared" si="0"/>
        <v>0</v>
      </c>
      <c r="P19" s="68">
        <v>1636364</v>
      </c>
      <c r="Q19" s="68">
        <f t="shared" si="1"/>
        <v>1636364</v>
      </c>
      <c r="S19" s="145"/>
    </row>
    <row r="20" spans="1:19" s="83" customFormat="1" ht="15" customHeight="1" x14ac:dyDescent="0.2">
      <c r="A20" s="75">
        <v>13</v>
      </c>
      <c r="B20" s="133">
        <v>42564</v>
      </c>
      <c r="C20" s="135" t="s">
        <v>453</v>
      </c>
      <c r="D20" s="136" t="s">
        <v>479</v>
      </c>
      <c r="E20" s="78" t="s">
        <v>495</v>
      </c>
      <c r="F20" s="80"/>
      <c r="G20" s="77"/>
      <c r="H20" s="81"/>
      <c r="I20" s="81"/>
      <c r="J20" s="69">
        <v>3000000</v>
      </c>
      <c r="K20" s="86"/>
      <c r="L20" s="69"/>
      <c r="M20" s="69"/>
      <c r="N20" s="69"/>
      <c r="O20" s="142">
        <f t="shared" si="0"/>
        <v>3000000</v>
      </c>
      <c r="P20" s="68">
        <v>14090909</v>
      </c>
      <c r="Q20" s="68">
        <f t="shared" si="1"/>
        <v>11090909</v>
      </c>
      <c r="R20" s="131"/>
      <c r="S20" s="145"/>
    </row>
    <row r="21" spans="1:19" s="83" customFormat="1" ht="15" customHeight="1" x14ac:dyDescent="0.2">
      <c r="A21" s="75">
        <v>14</v>
      </c>
      <c r="B21" s="133">
        <v>42568</v>
      </c>
      <c r="C21" s="135" t="s">
        <v>454</v>
      </c>
      <c r="D21" s="136" t="s">
        <v>480</v>
      </c>
      <c r="E21" s="78" t="s">
        <v>496</v>
      </c>
      <c r="F21" s="80"/>
      <c r="G21" s="77">
        <v>326</v>
      </c>
      <c r="H21" s="81">
        <v>4006540</v>
      </c>
      <c r="I21" s="81"/>
      <c r="J21" s="69">
        <v>1700000</v>
      </c>
      <c r="K21" s="86"/>
      <c r="L21" s="69"/>
      <c r="M21" s="69"/>
      <c r="N21" s="69"/>
      <c r="O21" s="142">
        <f t="shared" si="0"/>
        <v>5706540</v>
      </c>
      <c r="P21" s="68">
        <v>5500000</v>
      </c>
      <c r="Q21" s="68">
        <f t="shared" si="1"/>
        <v>-206540</v>
      </c>
      <c r="R21" s="131"/>
      <c r="S21" s="145"/>
    </row>
    <row r="22" spans="1:19" s="83" customFormat="1" ht="15" customHeight="1" x14ac:dyDescent="0.2">
      <c r="A22" s="75">
        <v>15</v>
      </c>
      <c r="B22" s="133">
        <v>42569</v>
      </c>
      <c r="C22" s="135" t="s">
        <v>455</v>
      </c>
      <c r="D22" s="136" t="s">
        <v>481</v>
      </c>
      <c r="E22" s="78" t="s">
        <v>497</v>
      </c>
      <c r="F22" s="80"/>
      <c r="G22" s="77"/>
      <c r="H22" s="81"/>
      <c r="I22" s="81"/>
      <c r="J22" s="69">
        <v>1280000</v>
      </c>
      <c r="K22" s="86"/>
      <c r="L22" s="69"/>
      <c r="M22" s="69"/>
      <c r="N22" s="69"/>
      <c r="O22" s="142">
        <f t="shared" si="0"/>
        <v>1280000</v>
      </c>
      <c r="P22" s="68">
        <v>3545455</v>
      </c>
      <c r="Q22" s="68">
        <f t="shared" si="1"/>
        <v>2265455</v>
      </c>
      <c r="R22" s="131"/>
      <c r="S22" s="145"/>
    </row>
    <row r="23" spans="1:19" s="83" customFormat="1" ht="15" customHeight="1" x14ac:dyDescent="0.2">
      <c r="A23" s="75">
        <v>16</v>
      </c>
      <c r="B23" s="133">
        <v>42570</v>
      </c>
      <c r="C23" s="135" t="s">
        <v>456</v>
      </c>
      <c r="D23" s="136" t="s">
        <v>482</v>
      </c>
      <c r="E23" s="78" t="s">
        <v>498</v>
      </c>
      <c r="F23" s="80"/>
      <c r="G23" s="77"/>
      <c r="H23" s="81"/>
      <c r="I23" s="81"/>
      <c r="J23" s="69">
        <v>1600000</v>
      </c>
      <c r="K23" s="86"/>
      <c r="L23" s="69"/>
      <c r="M23" s="69"/>
      <c r="N23" s="69"/>
      <c r="O23" s="142">
        <f t="shared" si="0"/>
        <v>1600000</v>
      </c>
      <c r="P23" s="68">
        <v>5800000</v>
      </c>
      <c r="Q23" s="68">
        <f t="shared" si="1"/>
        <v>4200000</v>
      </c>
      <c r="R23" s="131"/>
      <c r="S23" s="145"/>
    </row>
    <row r="24" spans="1:19" s="83" customFormat="1" ht="15" customHeight="1" x14ac:dyDescent="0.2">
      <c r="A24" s="75">
        <v>17</v>
      </c>
      <c r="B24" s="133">
        <v>42571</v>
      </c>
      <c r="C24" s="135" t="s">
        <v>457</v>
      </c>
      <c r="D24" s="136" t="s">
        <v>483</v>
      </c>
      <c r="E24" s="78" t="s">
        <v>24</v>
      </c>
      <c r="F24" s="80"/>
      <c r="G24" s="77">
        <v>190</v>
      </c>
      <c r="H24" s="81">
        <v>2335100</v>
      </c>
      <c r="I24" s="81"/>
      <c r="J24" s="69">
        <v>1950000</v>
      </c>
      <c r="K24" s="86"/>
      <c r="L24" s="69"/>
      <c r="M24" s="69"/>
      <c r="N24" s="69"/>
      <c r="O24" s="142">
        <f t="shared" si="0"/>
        <v>4285100</v>
      </c>
      <c r="P24" s="68">
        <v>8181818</v>
      </c>
      <c r="Q24" s="68">
        <f t="shared" si="1"/>
        <v>3896718</v>
      </c>
      <c r="R24" s="131"/>
      <c r="S24" s="145"/>
    </row>
    <row r="25" spans="1:19" s="83" customFormat="1" ht="15" customHeight="1" x14ac:dyDescent="0.2">
      <c r="A25" s="75">
        <v>18</v>
      </c>
      <c r="B25" s="133">
        <v>42572</v>
      </c>
      <c r="C25" s="135" t="s">
        <v>458</v>
      </c>
      <c r="D25" s="136" t="s">
        <v>484</v>
      </c>
      <c r="E25" s="78" t="s">
        <v>499</v>
      </c>
      <c r="F25" s="80"/>
      <c r="G25" s="77"/>
      <c r="H25" s="81"/>
      <c r="I25" s="81"/>
      <c r="J25" s="69">
        <v>1600000</v>
      </c>
      <c r="K25" s="86"/>
      <c r="L25" s="69"/>
      <c r="M25" s="69"/>
      <c r="N25" s="69"/>
      <c r="O25" s="142">
        <f t="shared" si="0"/>
        <v>1600000</v>
      </c>
      <c r="P25" s="68">
        <v>5200000</v>
      </c>
      <c r="Q25" s="68">
        <f t="shared" si="1"/>
        <v>3600000</v>
      </c>
      <c r="R25" s="131"/>
      <c r="S25" s="145"/>
    </row>
    <row r="26" spans="1:19" s="83" customFormat="1" ht="15" customHeight="1" x14ac:dyDescent="0.2">
      <c r="A26" s="75">
        <v>19</v>
      </c>
      <c r="B26" s="133">
        <v>42573</v>
      </c>
      <c r="C26" s="135" t="s">
        <v>459</v>
      </c>
      <c r="D26" s="136" t="s">
        <v>485</v>
      </c>
      <c r="E26" s="78" t="s">
        <v>500</v>
      </c>
      <c r="F26" s="80"/>
      <c r="G26" s="77">
        <v>320</v>
      </c>
      <c r="H26" s="81">
        <v>3932800</v>
      </c>
      <c r="I26" s="81"/>
      <c r="J26" s="69">
        <v>1600000</v>
      </c>
      <c r="K26" s="86"/>
      <c r="L26" s="69"/>
      <c r="M26" s="69"/>
      <c r="N26" s="69"/>
      <c r="O26" s="142">
        <f t="shared" si="0"/>
        <v>5532800</v>
      </c>
      <c r="P26" s="68">
        <v>5300000</v>
      </c>
      <c r="Q26" s="68">
        <f t="shared" si="1"/>
        <v>-232800</v>
      </c>
      <c r="R26" s="131"/>
      <c r="S26" s="145"/>
    </row>
    <row r="27" spans="1:19" s="83" customFormat="1" ht="15" customHeight="1" x14ac:dyDescent="0.2">
      <c r="A27" s="75">
        <v>20</v>
      </c>
      <c r="B27" s="133">
        <v>42575</v>
      </c>
      <c r="C27" s="135" t="s">
        <v>460</v>
      </c>
      <c r="D27" s="136" t="s">
        <v>486</v>
      </c>
      <c r="E27" s="78" t="s">
        <v>501</v>
      </c>
      <c r="F27" s="80"/>
      <c r="G27" s="77">
        <v>232</v>
      </c>
      <c r="H27" s="81">
        <v>2851280</v>
      </c>
      <c r="I27" s="81"/>
      <c r="J27" s="69">
        <v>1600000</v>
      </c>
      <c r="K27" s="86"/>
      <c r="L27" s="69"/>
      <c r="M27" s="69"/>
      <c r="N27" s="69"/>
      <c r="O27" s="142">
        <f t="shared" si="0"/>
        <v>4451280</v>
      </c>
      <c r="P27" s="68">
        <v>5600000</v>
      </c>
      <c r="Q27" s="68">
        <f t="shared" si="1"/>
        <v>1148720</v>
      </c>
      <c r="R27" s="131"/>
      <c r="S27" s="145"/>
    </row>
    <row r="28" spans="1:19" s="83" customFormat="1" ht="15" customHeight="1" x14ac:dyDescent="0.2">
      <c r="A28" s="75">
        <v>21</v>
      </c>
      <c r="B28" s="133">
        <v>42575</v>
      </c>
      <c r="C28" s="135" t="s">
        <v>461</v>
      </c>
      <c r="D28" s="136" t="s">
        <v>59</v>
      </c>
      <c r="E28" s="78" t="s">
        <v>25</v>
      </c>
      <c r="F28" s="80"/>
      <c r="G28" s="77"/>
      <c r="H28" s="81"/>
      <c r="I28" s="81"/>
      <c r="J28" s="69">
        <v>0</v>
      </c>
      <c r="K28" s="86"/>
      <c r="L28" s="69"/>
      <c r="M28" s="69"/>
      <c r="N28" s="69"/>
      <c r="O28" s="142">
        <f t="shared" si="0"/>
        <v>0</v>
      </c>
      <c r="P28" s="68">
        <v>0</v>
      </c>
      <c r="Q28" s="68">
        <f t="shared" si="1"/>
        <v>0</v>
      </c>
      <c r="R28" s="131"/>
      <c r="S28" s="145"/>
    </row>
    <row r="29" spans="1:19" s="83" customFormat="1" ht="15" customHeight="1" x14ac:dyDescent="0.2">
      <c r="A29" s="75">
        <v>22</v>
      </c>
      <c r="B29" s="133">
        <v>42576</v>
      </c>
      <c r="C29" s="135" t="s">
        <v>462</v>
      </c>
      <c r="D29" s="136" t="s">
        <v>487</v>
      </c>
      <c r="E29" s="78" t="s">
        <v>24</v>
      </c>
      <c r="F29" s="80"/>
      <c r="G29" s="77"/>
      <c r="H29" s="81"/>
      <c r="I29" s="81"/>
      <c r="J29" s="69">
        <v>1950000</v>
      </c>
      <c r="K29" s="86"/>
      <c r="L29" s="69"/>
      <c r="M29" s="69"/>
      <c r="N29" s="69"/>
      <c r="O29" s="142">
        <f t="shared" si="0"/>
        <v>1950000</v>
      </c>
      <c r="P29" s="68">
        <v>8181818</v>
      </c>
      <c r="Q29" s="68">
        <f t="shared" si="1"/>
        <v>6231818</v>
      </c>
      <c r="R29" s="131"/>
      <c r="S29" s="145"/>
    </row>
    <row r="30" spans="1:19" s="83" customFormat="1" ht="15" customHeight="1" x14ac:dyDescent="0.2">
      <c r="A30" s="75">
        <v>23</v>
      </c>
      <c r="B30" s="133">
        <v>42577</v>
      </c>
      <c r="C30" s="135" t="s">
        <v>463</v>
      </c>
      <c r="D30" s="136" t="s">
        <v>488</v>
      </c>
      <c r="E30" s="78" t="s">
        <v>153</v>
      </c>
      <c r="F30" s="80"/>
      <c r="G30" s="77"/>
      <c r="H30" s="81"/>
      <c r="I30" s="81"/>
      <c r="J30" s="69">
        <v>1600000</v>
      </c>
      <c r="K30" s="86"/>
      <c r="L30" s="69"/>
      <c r="M30" s="69"/>
      <c r="N30" s="69"/>
      <c r="O30" s="142">
        <f t="shared" si="0"/>
        <v>1600000</v>
      </c>
      <c r="P30" s="68">
        <v>5200000</v>
      </c>
      <c r="Q30" s="68">
        <f t="shared" si="1"/>
        <v>3600000</v>
      </c>
      <c r="R30" s="131"/>
      <c r="S30" s="145"/>
    </row>
    <row r="31" spans="1:19" s="83" customFormat="1" ht="15" customHeight="1" x14ac:dyDescent="0.2">
      <c r="A31" s="75">
        <v>24</v>
      </c>
      <c r="B31" s="133">
        <v>42578</v>
      </c>
      <c r="C31" s="135" t="s">
        <v>464</v>
      </c>
      <c r="D31" s="136" t="s">
        <v>489</v>
      </c>
      <c r="E31" s="78" t="s">
        <v>502</v>
      </c>
      <c r="F31" s="80"/>
      <c r="G31" s="77">
        <v>295</v>
      </c>
      <c r="H31" s="81">
        <v>3625550</v>
      </c>
      <c r="I31" s="81"/>
      <c r="J31" s="69">
        <v>1600000</v>
      </c>
      <c r="K31" s="86"/>
      <c r="L31" s="69"/>
      <c r="M31" s="69"/>
      <c r="N31" s="69"/>
      <c r="O31" s="142">
        <f t="shared" si="0"/>
        <v>5225550</v>
      </c>
      <c r="P31" s="68">
        <v>4000000</v>
      </c>
      <c r="Q31" s="68">
        <f t="shared" si="1"/>
        <v>-1225550</v>
      </c>
      <c r="R31" s="131"/>
      <c r="S31" s="145"/>
    </row>
    <row r="32" spans="1:19" s="83" customFormat="1" ht="15" customHeight="1" x14ac:dyDescent="0.2">
      <c r="A32" s="75">
        <v>25</v>
      </c>
      <c r="B32" s="133">
        <v>42578</v>
      </c>
      <c r="C32" s="135" t="s">
        <v>465</v>
      </c>
      <c r="D32" s="136" t="s">
        <v>490</v>
      </c>
      <c r="E32" s="78" t="s">
        <v>25</v>
      </c>
      <c r="F32" s="80"/>
      <c r="G32" s="77">
        <v>270</v>
      </c>
      <c r="H32" s="81">
        <v>3318300</v>
      </c>
      <c r="I32" s="81"/>
      <c r="J32" s="69">
        <v>0</v>
      </c>
      <c r="K32" s="86"/>
      <c r="L32" s="69"/>
      <c r="M32" s="69"/>
      <c r="N32" s="69"/>
      <c r="O32" s="142">
        <f t="shared" si="0"/>
        <v>3318300</v>
      </c>
      <c r="P32" s="68">
        <v>2400000</v>
      </c>
      <c r="Q32" s="68">
        <f t="shared" si="1"/>
        <v>-918300</v>
      </c>
      <c r="R32" s="131"/>
      <c r="S32" s="145"/>
    </row>
    <row r="33" spans="1:19" s="83" customFormat="1" ht="15" customHeight="1" x14ac:dyDescent="0.2">
      <c r="A33" s="75">
        <v>26</v>
      </c>
      <c r="B33" s="133">
        <v>42581</v>
      </c>
      <c r="C33" s="135" t="s">
        <v>466</v>
      </c>
      <c r="D33" s="136" t="s">
        <v>491</v>
      </c>
      <c r="E33" s="78" t="s">
        <v>503</v>
      </c>
      <c r="F33" s="80"/>
      <c r="G33" s="77"/>
      <c r="H33" s="81"/>
      <c r="I33" s="81"/>
      <c r="J33" s="69">
        <v>830000</v>
      </c>
      <c r="K33" s="86"/>
      <c r="L33" s="69"/>
      <c r="M33" s="69"/>
      <c r="N33" s="69"/>
      <c r="O33" s="142">
        <f t="shared" si="0"/>
        <v>830000</v>
      </c>
      <c r="P33" s="68">
        <v>3500000</v>
      </c>
      <c r="Q33" s="68">
        <f t="shared" si="1"/>
        <v>2670000</v>
      </c>
      <c r="R33" s="131"/>
      <c r="S33" s="145"/>
    </row>
    <row r="34" spans="1:19" s="83" customFormat="1" ht="15" customHeight="1" x14ac:dyDescent="0.2">
      <c r="A34" s="75">
        <v>27</v>
      </c>
      <c r="B34" s="133">
        <v>42581</v>
      </c>
      <c r="C34" s="135" t="s">
        <v>467</v>
      </c>
      <c r="D34" s="136" t="s">
        <v>492</v>
      </c>
      <c r="E34" s="78" t="s">
        <v>502</v>
      </c>
      <c r="F34" s="80"/>
      <c r="G34" s="77">
        <v>162</v>
      </c>
      <c r="H34" s="81">
        <f>G34*12290</f>
        <v>1990980</v>
      </c>
      <c r="I34" s="81"/>
      <c r="J34" s="69">
        <v>1230000</v>
      </c>
      <c r="K34" s="86"/>
      <c r="L34" s="69"/>
      <c r="M34" s="69"/>
      <c r="N34" s="69"/>
      <c r="O34" s="142">
        <f t="shared" si="0"/>
        <v>3220980</v>
      </c>
      <c r="P34" s="68">
        <v>4000000</v>
      </c>
      <c r="Q34" s="68">
        <f>P34-O34</f>
        <v>779020</v>
      </c>
      <c r="R34" s="131"/>
      <c r="S34" s="145"/>
    </row>
    <row r="35" spans="1:19" s="83" customFormat="1" ht="15" customHeight="1" x14ac:dyDescent="0.2">
      <c r="A35" s="75"/>
      <c r="B35" s="77"/>
      <c r="C35" s="108" t="s">
        <v>438</v>
      </c>
      <c r="D35" s="87"/>
      <c r="E35" s="77"/>
      <c r="F35" s="110"/>
      <c r="G35" s="70"/>
      <c r="H35" s="149"/>
      <c r="I35" s="111"/>
      <c r="J35" s="112"/>
      <c r="K35" s="86">
        <f>346154+2711000+5884615</f>
        <v>8941769</v>
      </c>
      <c r="L35" s="86"/>
      <c r="M35" s="112"/>
      <c r="N35" s="112"/>
      <c r="O35" s="142">
        <f t="shared" si="0"/>
        <v>8941769</v>
      </c>
      <c r="P35" s="68"/>
      <c r="Q35" s="68">
        <f>P35-O35</f>
        <v>-8941769</v>
      </c>
      <c r="S35" s="145"/>
    </row>
    <row r="36" spans="1:19" s="83" customFormat="1" ht="15" customHeight="1" x14ac:dyDescent="0.2">
      <c r="A36" s="75"/>
      <c r="B36" s="70"/>
      <c r="C36" s="108" t="s">
        <v>510</v>
      </c>
      <c r="D36" s="87"/>
      <c r="E36" s="70"/>
      <c r="F36" s="110"/>
      <c r="G36" s="70"/>
      <c r="H36" s="149"/>
      <c r="I36" s="111"/>
      <c r="J36" s="112"/>
      <c r="K36" s="113"/>
      <c r="L36" s="113"/>
      <c r="M36" s="112"/>
      <c r="N36" s="112">
        <v>240000</v>
      </c>
      <c r="O36" s="142">
        <f t="shared" si="0"/>
        <v>240000</v>
      </c>
      <c r="P36" s="68"/>
      <c r="Q36" s="68">
        <f t="shared" ref="Q36:Q44" si="2">P36-O36</f>
        <v>-240000</v>
      </c>
      <c r="S36" s="145"/>
    </row>
    <row r="37" spans="1:19" s="83" customFormat="1" ht="27" customHeight="1" x14ac:dyDescent="0.2">
      <c r="A37" s="75"/>
      <c r="B37" s="70"/>
      <c r="C37" s="108" t="s">
        <v>511</v>
      </c>
      <c r="D37" s="87"/>
      <c r="E37" s="70"/>
      <c r="F37" s="110"/>
      <c r="G37" s="70"/>
      <c r="H37" s="149"/>
      <c r="I37" s="111"/>
      <c r="J37" s="112"/>
      <c r="K37" s="113"/>
      <c r="L37" s="150">
        <v>1500000</v>
      </c>
      <c r="M37" s="112"/>
      <c r="N37" s="112"/>
      <c r="O37" s="142">
        <f t="shared" si="0"/>
        <v>1500000</v>
      </c>
      <c r="P37" s="68"/>
      <c r="Q37" s="68">
        <f t="shared" si="2"/>
        <v>-1500000</v>
      </c>
      <c r="S37" s="145"/>
    </row>
    <row r="38" spans="1:19" s="83" customFormat="1" ht="20.25" customHeight="1" x14ac:dyDescent="0.25">
      <c r="A38" s="75"/>
      <c r="B38" s="70"/>
      <c r="C38" s="108" t="s">
        <v>512</v>
      </c>
      <c r="D38" s="87"/>
      <c r="E38" s="70"/>
      <c r="F38" s="110"/>
      <c r="G38" s="70"/>
      <c r="H38" s="81"/>
      <c r="I38" s="111"/>
      <c r="J38" s="112"/>
      <c r="K38" s="113"/>
      <c r="L38" s="150">
        <v>450000</v>
      </c>
      <c r="M38" s="112"/>
      <c r="N38" s="112"/>
      <c r="O38" s="142">
        <f t="shared" si="0"/>
        <v>450000</v>
      </c>
      <c r="P38" s="68"/>
      <c r="Q38" s="68">
        <f t="shared" si="2"/>
        <v>-450000</v>
      </c>
    </row>
    <row r="39" spans="1:19" s="83" customFormat="1" ht="27" customHeight="1" thickBot="1" x14ac:dyDescent="0.3">
      <c r="A39" s="75"/>
      <c r="B39" s="70"/>
      <c r="C39" s="108" t="s">
        <v>504</v>
      </c>
      <c r="D39" s="87"/>
      <c r="E39" s="70"/>
      <c r="F39" s="110"/>
      <c r="G39" s="70"/>
      <c r="H39" s="81"/>
      <c r="I39" s="111"/>
      <c r="J39" s="112"/>
      <c r="K39" s="113"/>
      <c r="L39" s="150">
        <v>700000</v>
      </c>
      <c r="M39" s="112"/>
      <c r="N39" s="112"/>
      <c r="O39" s="142">
        <f t="shared" si="0"/>
        <v>700000</v>
      </c>
      <c r="P39" s="68"/>
      <c r="Q39" s="68">
        <f t="shared" si="2"/>
        <v>-700000</v>
      </c>
    </row>
    <row r="40" spans="1:19" s="83" customFormat="1" ht="26.25" customHeight="1" thickBot="1" x14ac:dyDescent="0.25">
      <c r="A40" s="75"/>
      <c r="B40" s="70"/>
      <c r="C40" s="132" t="s">
        <v>505</v>
      </c>
      <c r="D40" s="87"/>
      <c r="E40" s="70"/>
      <c r="F40" s="110"/>
      <c r="G40" s="70"/>
      <c r="H40" s="81"/>
      <c r="I40" s="111"/>
      <c r="J40" s="112"/>
      <c r="K40" s="113"/>
      <c r="L40" s="150">
        <v>100000</v>
      </c>
      <c r="M40" s="112"/>
      <c r="N40" s="112"/>
      <c r="O40" s="142">
        <f t="shared" si="0"/>
        <v>100000</v>
      </c>
      <c r="P40" s="68"/>
      <c r="Q40" s="68">
        <f t="shared" si="2"/>
        <v>-100000</v>
      </c>
    </row>
    <row r="41" spans="1:19" s="83" customFormat="1" ht="36" customHeight="1" thickBot="1" x14ac:dyDescent="0.25">
      <c r="A41" s="75"/>
      <c r="B41" s="70"/>
      <c r="C41" s="132" t="s">
        <v>506</v>
      </c>
      <c r="D41" s="87"/>
      <c r="E41" s="70"/>
      <c r="F41" s="110"/>
      <c r="G41" s="70"/>
      <c r="H41" s="81"/>
      <c r="I41" s="111"/>
      <c r="J41" s="112"/>
      <c r="K41" s="113"/>
      <c r="L41" s="150">
        <v>980000</v>
      </c>
      <c r="M41" s="112"/>
      <c r="N41" s="112"/>
      <c r="O41" s="142">
        <f t="shared" si="0"/>
        <v>980000</v>
      </c>
      <c r="P41" s="68"/>
      <c r="Q41" s="68">
        <f t="shared" si="2"/>
        <v>-980000</v>
      </c>
    </row>
    <row r="42" spans="1:19" s="83" customFormat="1" ht="32.25" customHeight="1" thickBot="1" x14ac:dyDescent="0.25">
      <c r="A42" s="75"/>
      <c r="B42" s="70"/>
      <c r="C42" s="132" t="s">
        <v>507</v>
      </c>
      <c r="D42" s="87"/>
      <c r="E42" s="70"/>
      <c r="F42" s="110"/>
      <c r="G42" s="70"/>
      <c r="H42" s="81"/>
      <c r="I42" s="111"/>
      <c r="J42" s="112"/>
      <c r="K42" s="113"/>
      <c r="L42" s="150">
        <v>2000000</v>
      </c>
      <c r="M42" s="112"/>
      <c r="N42" s="112"/>
      <c r="O42" s="142">
        <f t="shared" si="0"/>
        <v>2000000</v>
      </c>
      <c r="P42" s="68"/>
      <c r="Q42" s="68">
        <f t="shared" si="2"/>
        <v>-2000000</v>
      </c>
    </row>
    <row r="43" spans="1:19" s="83" customFormat="1" ht="32.25" customHeight="1" thickBot="1" x14ac:dyDescent="0.25">
      <c r="A43" s="75"/>
      <c r="B43" s="70"/>
      <c r="C43" s="132" t="s">
        <v>508</v>
      </c>
      <c r="D43" s="87"/>
      <c r="E43" s="70"/>
      <c r="F43" s="110"/>
      <c r="G43" s="70"/>
      <c r="H43" s="81"/>
      <c r="I43" s="111"/>
      <c r="J43" s="112"/>
      <c r="K43" s="113"/>
      <c r="L43" s="150">
        <v>400000</v>
      </c>
      <c r="M43" s="112"/>
      <c r="N43" s="112"/>
      <c r="O43" s="142">
        <f t="shared" si="0"/>
        <v>400000</v>
      </c>
      <c r="P43" s="68"/>
      <c r="Q43" s="68">
        <f t="shared" si="2"/>
        <v>-400000</v>
      </c>
    </row>
    <row r="44" spans="1:19" s="83" customFormat="1" ht="28.5" customHeight="1" x14ac:dyDescent="0.25">
      <c r="A44" s="75"/>
      <c r="B44" s="70"/>
      <c r="C44" s="108" t="s">
        <v>509</v>
      </c>
      <c r="D44" s="87"/>
      <c r="E44" s="70"/>
      <c r="F44" s="110"/>
      <c r="G44" s="70"/>
      <c r="H44" s="81"/>
      <c r="I44" s="111"/>
      <c r="J44" s="112"/>
      <c r="K44" s="113"/>
      <c r="L44" s="150">
        <v>50000</v>
      </c>
      <c r="M44" s="112"/>
      <c r="N44" s="113"/>
      <c r="O44" s="142">
        <f t="shared" si="0"/>
        <v>50000</v>
      </c>
      <c r="P44" s="68"/>
      <c r="Q44" s="68">
        <f t="shared" si="2"/>
        <v>-50000</v>
      </c>
    </row>
    <row r="45" spans="1:19" ht="15" customHeight="1" x14ac:dyDescent="0.25">
      <c r="A45" s="76"/>
      <c r="B45" s="103"/>
      <c r="C45" s="108" t="s">
        <v>439</v>
      </c>
      <c r="D45" s="88"/>
      <c r="E45" s="87"/>
      <c r="F45" s="88"/>
      <c r="G45" s="88"/>
      <c r="H45" s="77"/>
      <c r="I45" s="88"/>
      <c r="J45" s="70"/>
      <c r="K45" s="70"/>
      <c r="L45" s="150">
        <v>1320000</v>
      </c>
      <c r="M45" s="70"/>
      <c r="N45" s="70"/>
      <c r="O45" s="142">
        <f t="shared" si="0"/>
        <v>1320000</v>
      </c>
      <c r="P45" s="68"/>
      <c r="Q45" s="68">
        <f t="shared" ref="Q45" si="3">P45-O45</f>
        <v>-1320000</v>
      </c>
      <c r="R45" s="151" t="s">
        <v>265</v>
      </c>
    </row>
    <row r="46" spans="1:19" x14ac:dyDescent="0.25">
      <c r="A46" s="547" t="s">
        <v>19</v>
      </c>
      <c r="B46" s="548"/>
      <c r="C46" s="548"/>
      <c r="D46" s="548"/>
      <c r="E46" s="548"/>
      <c r="F46" s="549"/>
      <c r="G46" s="89">
        <f t="shared" ref="G46:M46" si="4">SUM(G7:G45)</f>
        <v>2823</v>
      </c>
      <c r="H46" s="71">
        <f t="shared" si="4"/>
        <v>34694670</v>
      </c>
      <c r="I46" s="71">
        <f t="shared" si="4"/>
        <v>0</v>
      </c>
      <c r="J46" s="71">
        <f>SUM(J7:J45)</f>
        <v>35170000</v>
      </c>
      <c r="K46" s="71">
        <f>SUM(K7:K45)</f>
        <v>8941769</v>
      </c>
      <c r="L46" s="71">
        <f>SUM(L7:L45)</f>
        <v>7500000</v>
      </c>
      <c r="M46" s="71">
        <f t="shared" si="4"/>
        <v>0</v>
      </c>
      <c r="N46" s="71">
        <f>SUM(N7:N45)</f>
        <v>240000</v>
      </c>
      <c r="O46" s="71">
        <f>SUM(O7:O45)</f>
        <v>86546439</v>
      </c>
      <c r="P46" s="71">
        <f>SUM(P7:P45)</f>
        <v>127230909</v>
      </c>
      <c r="Q46" s="71">
        <f>SUM(Q7:Q45)</f>
        <v>40684470</v>
      </c>
      <c r="R46" s="152">
        <f>'03-2016'!R41+'04-2016'!Q42+'05-2016'!Q39+'06-2016'!Q37+'07-2016'!Q46</f>
        <v>205503348.66666666</v>
      </c>
    </row>
    <row r="47" spans="1:19" x14ac:dyDescent="0.25">
      <c r="O47" s="91"/>
      <c r="Q47" s="91"/>
    </row>
  </sheetData>
  <mergeCells count="4">
    <mergeCell ref="A1:Q1"/>
    <mergeCell ref="A2:Q2"/>
    <mergeCell ref="A3:Q3"/>
    <mergeCell ref="A46:F46"/>
  </mergeCells>
  <pageMargins left="0.7" right="0.7" top="0.75" bottom="0.75"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46"/>
  <sheetViews>
    <sheetView topLeftCell="D31" workbookViewId="0">
      <selection activeCell="A43" sqref="A43"/>
    </sheetView>
  </sheetViews>
  <sheetFormatPr defaultColWidth="9.140625" defaultRowHeight="12.75" x14ac:dyDescent="0.25"/>
  <cols>
    <col min="1" max="1" width="4.5703125" style="74" customWidth="1"/>
    <col min="2" max="2" width="10.28515625" style="99" customWidth="1"/>
    <col min="3" max="3" width="32.140625" style="74" customWidth="1"/>
    <col min="4" max="4" width="18" style="74" customWidth="1"/>
    <col min="5" max="5" width="30.42578125" style="74" customWidth="1"/>
    <col min="6" max="6" width="11.5703125" style="74" customWidth="1"/>
    <col min="7" max="7" width="8" style="74" customWidth="1"/>
    <col min="8" max="8" width="11" style="72" customWidth="1"/>
    <col min="9" max="9" width="12.28515625" style="74" customWidth="1"/>
    <col min="10" max="10" width="11.140625" style="72" customWidth="1"/>
    <col min="11" max="11" width="9.5703125" style="72" customWidth="1"/>
    <col min="12" max="12" width="9.42578125" style="72" customWidth="1"/>
    <col min="13" max="13" width="8.5703125" style="72" customWidth="1"/>
    <col min="14" max="14" width="9.5703125" style="72" customWidth="1"/>
    <col min="15" max="15" width="12.7109375" style="72" customWidth="1"/>
    <col min="16" max="16" width="13.7109375" style="72" customWidth="1"/>
    <col min="17" max="17" width="12.28515625" style="72" customWidth="1"/>
    <col min="18" max="18" width="9.7109375" style="74" bestFit="1" customWidth="1"/>
    <col min="19" max="19" width="11.5703125" style="74" customWidth="1"/>
    <col min="20" max="16384" width="9.140625" style="74"/>
  </cols>
  <sheetData>
    <row r="1" spans="1:19" ht="23.25" x14ac:dyDescent="0.25">
      <c r="A1" s="551" t="s">
        <v>0</v>
      </c>
      <c r="B1" s="551"/>
      <c r="C1" s="551"/>
      <c r="D1" s="551"/>
      <c r="E1" s="551"/>
      <c r="F1" s="551"/>
      <c r="G1" s="551"/>
      <c r="H1" s="551"/>
      <c r="I1" s="551"/>
      <c r="J1" s="551"/>
      <c r="K1" s="551"/>
      <c r="L1" s="551"/>
      <c r="M1" s="551"/>
      <c r="N1" s="551"/>
      <c r="O1" s="551"/>
      <c r="P1" s="551"/>
      <c r="Q1" s="551"/>
    </row>
    <row r="2" spans="1:19" ht="17.25" customHeight="1" x14ac:dyDescent="0.25">
      <c r="A2" s="550" t="s">
        <v>103</v>
      </c>
      <c r="B2" s="550"/>
      <c r="C2" s="550"/>
      <c r="D2" s="550"/>
      <c r="E2" s="550"/>
      <c r="F2" s="550"/>
      <c r="G2" s="550"/>
      <c r="H2" s="550"/>
      <c r="I2" s="550"/>
      <c r="J2" s="550"/>
      <c r="K2" s="550"/>
      <c r="L2" s="550"/>
      <c r="M2" s="550"/>
      <c r="N2" s="550"/>
      <c r="O2" s="550"/>
      <c r="P2" s="550"/>
      <c r="Q2" s="550"/>
    </row>
    <row r="3" spans="1:19" ht="21" customHeight="1" x14ac:dyDescent="0.25">
      <c r="A3" s="550" t="s">
        <v>513</v>
      </c>
      <c r="B3" s="550"/>
      <c r="C3" s="550"/>
      <c r="D3" s="550"/>
      <c r="E3" s="550"/>
      <c r="F3" s="550"/>
      <c r="G3" s="550"/>
      <c r="H3" s="550"/>
      <c r="I3" s="550"/>
      <c r="J3" s="550"/>
      <c r="K3" s="550"/>
      <c r="L3" s="550"/>
      <c r="M3" s="550"/>
      <c r="N3" s="550"/>
      <c r="O3" s="550"/>
      <c r="P3" s="550"/>
      <c r="Q3" s="550"/>
    </row>
    <row r="4" spans="1:19" x14ac:dyDescent="0.25">
      <c r="E4" s="74" t="s">
        <v>194</v>
      </c>
    </row>
    <row r="5" spans="1:19" s="5" customFormat="1" ht="12.75" customHeight="1" x14ac:dyDescent="0.25">
      <c r="A5" s="115" t="s">
        <v>1</v>
      </c>
      <c r="B5" s="116" t="s">
        <v>2</v>
      </c>
      <c r="C5" s="115" t="s">
        <v>3</v>
      </c>
      <c r="D5" s="115" t="s">
        <v>5</v>
      </c>
      <c r="E5" s="117" t="s">
        <v>4</v>
      </c>
      <c r="F5" s="117" t="s">
        <v>17</v>
      </c>
      <c r="G5" s="118" t="s">
        <v>6</v>
      </c>
      <c r="H5" s="119"/>
      <c r="I5" s="119"/>
      <c r="J5" s="119"/>
      <c r="K5" s="119"/>
      <c r="L5" s="119"/>
      <c r="M5" s="119"/>
      <c r="N5" s="120"/>
      <c r="O5" s="121" t="s">
        <v>18</v>
      </c>
      <c r="P5" s="127" t="s">
        <v>13</v>
      </c>
      <c r="Q5" s="121" t="s">
        <v>14</v>
      </c>
    </row>
    <row r="6" spans="1:19" s="5" customFormat="1" x14ac:dyDescent="0.25">
      <c r="A6" s="122"/>
      <c r="B6" s="123"/>
      <c r="C6" s="122"/>
      <c r="D6" s="122"/>
      <c r="E6" s="124"/>
      <c r="F6" s="124"/>
      <c r="G6" s="6" t="s">
        <v>7</v>
      </c>
      <c r="H6" s="7" t="s">
        <v>15</v>
      </c>
      <c r="I6" s="6" t="s">
        <v>16</v>
      </c>
      <c r="J6" s="7" t="s">
        <v>8</v>
      </c>
      <c r="K6" s="7" t="s">
        <v>9</v>
      </c>
      <c r="L6" s="7" t="s">
        <v>10</v>
      </c>
      <c r="M6" s="7" t="s">
        <v>11</v>
      </c>
      <c r="N6" s="7" t="s">
        <v>12</v>
      </c>
      <c r="O6" s="125"/>
      <c r="P6" s="125"/>
      <c r="Q6" s="125"/>
    </row>
    <row r="7" spans="1:19" ht="15" customHeight="1" x14ac:dyDescent="0.25">
      <c r="A7" s="75"/>
      <c r="B7" s="100"/>
      <c r="C7" s="88"/>
      <c r="D7" s="88"/>
      <c r="E7" s="134"/>
      <c r="F7" s="75"/>
      <c r="G7" s="77"/>
      <c r="H7" s="68"/>
      <c r="I7" s="75"/>
      <c r="J7" s="68"/>
      <c r="K7" s="68"/>
      <c r="L7" s="68"/>
      <c r="M7" s="68"/>
      <c r="N7" s="68"/>
      <c r="O7" s="68">
        <f>H7+J7+K7+L7+M7+N7</f>
        <v>0</v>
      </c>
      <c r="P7" s="68"/>
      <c r="Q7" s="68">
        <f>P7-O7</f>
        <v>0</v>
      </c>
    </row>
    <row r="8" spans="1:19" s="83" customFormat="1" ht="15" customHeight="1" x14ac:dyDescent="0.2">
      <c r="A8" s="75">
        <v>1</v>
      </c>
      <c r="B8" s="133">
        <v>42583</v>
      </c>
      <c r="C8" s="135" t="s">
        <v>514</v>
      </c>
      <c r="D8" s="136" t="s">
        <v>537</v>
      </c>
      <c r="E8" s="78" t="s">
        <v>558</v>
      </c>
      <c r="F8" s="80"/>
      <c r="G8" s="77"/>
      <c r="H8" s="81"/>
      <c r="I8" s="81"/>
      <c r="J8" s="69">
        <v>950000</v>
      </c>
      <c r="K8" s="86"/>
      <c r="L8" s="69"/>
      <c r="M8" s="69"/>
      <c r="N8" s="69"/>
      <c r="O8" s="142">
        <f>H8+J8+K8+L8+M8+N8</f>
        <v>950000</v>
      </c>
      <c r="P8" s="68">
        <v>3600000</v>
      </c>
      <c r="Q8" s="68">
        <f>P8-O8</f>
        <v>2650000</v>
      </c>
      <c r="R8" s="131"/>
      <c r="S8" s="106"/>
    </row>
    <row r="9" spans="1:19" s="83" customFormat="1" ht="15" customHeight="1" x14ac:dyDescent="0.2">
      <c r="A9" s="75">
        <v>2</v>
      </c>
      <c r="B9" s="133">
        <v>42585</v>
      </c>
      <c r="C9" s="135" t="s">
        <v>515</v>
      </c>
      <c r="D9" s="136" t="s">
        <v>538</v>
      </c>
      <c r="E9" s="78" t="s">
        <v>356</v>
      </c>
      <c r="F9" s="80"/>
      <c r="G9" s="77">
        <v>180</v>
      </c>
      <c r="H9" s="81">
        <v>2212200</v>
      </c>
      <c r="I9" s="81"/>
      <c r="J9" s="69">
        <v>850000</v>
      </c>
      <c r="K9" s="86"/>
      <c r="L9" s="69"/>
      <c r="M9" s="69"/>
      <c r="N9" s="69"/>
      <c r="O9" s="142">
        <f t="shared" ref="O9:O44" si="0">H9+J9+K9+L9+M9+N9</f>
        <v>3062200</v>
      </c>
      <c r="P9" s="68">
        <v>4200000</v>
      </c>
      <c r="Q9" s="68">
        <f t="shared" ref="Q9:Q44" si="1">P9-O9</f>
        <v>1137800</v>
      </c>
      <c r="R9" s="131"/>
      <c r="S9" s="106"/>
    </row>
    <row r="10" spans="1:19" s="83" customFormat="1" ht="15" customHeight="1" x14ac:dyDescent="0.2">
      <c r="A10" s="75">
        <v>3</v>
      </c>
      <c r="B10" s="133">
        <v>42585</v>
      </c>
      <c r="C10" s="135" t="s">
        <v>516</v>
      </c>
      <c r="D10" s="136" t="s">
        <v>539</v>
      </c>
      <c r="E10" s="78" t="s">
        <v>559</v>
      </c>
      <c r="F10" s="80"/>
      <c r="G10" s="77"/>
      <c r="H10" s="81"/>
      <c r="I10" s="81"/>
      <c r="J10" s="69">
        <v>1600000</v>
      </c>
      <c r="K10" s="86"/>
      <c r="L10" s="69"/>
      <c r="M10" s="69"/>
      <c r="N10" s="69"/>
      <c r="O10" s="142">
        <f t="shared" si="0"/>
        <v>1600000</v>
      </c>
      <c r="P10" s="68">
        <v>3100000</v>
      </c>
      <c r="Q10" s="68">
        <f t="shared" si="1"/>
        <v>1500000</v>
      </c>
      <c r="S10" s="106"/>
    </row>
    <row r="11" spans="1:19" s="83" customFormat="1" ht="15" customHeight="1" x14ac:dyDescent="0.2">
      <c r="A11" s="75">
        <v>4</v>
      </c>
      <c r="B11" s="133">
        <v>42585</v>
      </c>
      <c r="C11" s="135" t="s">
        <v>517</v>
      </c>
      <c r="D11" s="136" t="s">
        <v>540</v>
      </c>
      <c r="E11" s="78" t="s">
        <v>25</v>
      </c>
      <c r="F11" s="80"/>
      <c r="G11" s="77"/>
      <c r="H11" s="81"/>
      <c r="I11" s="81"/>
      <c r="J11" s="69">
        <v>0</v>
      </c>
      <c r="K11" s="86"/>
      <c r="L11" s="69"/>
      <c r="M11" s="69"/>
      <c r="N11" s="69"/>
      <c r="O11" s="142">
        <f t="shared" si="0"/>
        <v>0</v>
      </c>
      <c r="P11" s="68">
        <v>2500000</v>
      </c>
      <c r="Q11" s="68">
        <f t="shared" si="1"/>
        <v>2500000</v>
      </c>
      <c r="R11" s="131"/>
      <c r="S11" s="106"/>
    </row>
    <row r="12" spans="1:19" s="83" customFormat="1" ht="15" customHeight="1" x14ac:dyDescent="0.2">
      <c r="A12" s="75">
        <v>5</v>
      </c>
      <c r="B12" s="133">
        <v>42587</v>
      </c>
      <c r="C12" s="135" t="s">
        <v>518</v>
      </c>
      <c r="D12" s="136" t="s">
        <v>541</v>
      </c>
      <c r="E12" s="78" t="s">
        <v>364</v>
      </c>
      <c r="F12" s="80"/>
      <c r="G12" s="77"/>
      <c r="H12" s="81"/>
      <c r="I12" s="81"/>
      <c r="J12" s="69">
        <v>1600000</v>
      </c>
      <c r="K12" s="86"/>
      <c r="L12" s="69"/>
      <c r="M12" s="69"/>
      <c r="N12" s="69"/>
      <c r="O12" s="142">
        <f t="shared" si="0"/>
        <v>1600000</v>
      </c>
      <c r="P12" s="68">
        <v>5000000</v>
      </c>
      <c r="Q12" s="68"/>
      <c r="R12" s="131"/>
      <c r="S12" s="106"/>
    </row>
    <row r="13" spans="1:19" s="83" customFormat="1" ht="15" customHeight="1" x14ac:dyDescent="0.2">
      <c r="A13" s="75">
        <v>6</v>
      </c>
      <c r="B13" s="133">
        <v>42589</v>
      </c>
      <c r="C13" s="135" t="s">
        <v>519</v>
      </c>
      <c r="D13" s="136" t="s">
        <v>542</v>
      </c>
      <c r="E13" s="78" t="s">
        <v>494</v>
      </c>
      <c r="F13" s="80"/>
      <c r="G13" s="77">
        <v>241</v>
      </c>
      <c r="H13" s="81">
        <v>2810060</v>
      </c>
      <c r="I13" s="81"/>
      <c r="J13" s="69">
        <v>1600000</v>
      </c>
      <c r="K13" s="86"/>
      <c r="L13" s="69"/>
      <c r="M13" s="69"/>
      <c r="N13" s="69"/>
      <c r="O13" s="142">
        <f t="shared" si="0"/>
        <v>4410060</v>
      </c>
      <c r="P13" s="68">
        <v>5200000</v>
      </c>
      <c r="Q13" s="68">
        <f t="shared" si="1"/>
        <v>789940</v>
      </c>
      <c r="R13" s="131"/>
      <c r="S13" s="106"/>
    </row>
    <row r="14" spans="1:19" s="83" customFormat="1" ht="15" customHeight="1" x14ac:dyDescent="0.2">
      <c r="A14" s="75">
        <v>7</v>
      </c>
      <c r="B14" s="133">
        <v>42590</v>
      </c>
      <c r="C14" s="135" t="s">
        <v>520</v>
      </c>
      <c r="D14" s="136" t="s">
        <v>543</v>
      </c>
      <c r="E14" s="78" t="s">
        <v>560</v>
      </c>
      <c r="F14" s="80"/>
      <c r="G14" s="77"/>
      <c r="H14" s="81"/>
      <c r="I14" s="81"/>
      <c r="J14" s="69">
        <v>1600000</v>
      </c>
      <c r="K14" s="86"/>
      <c r="L14" s="69"/>
      <c r="M14" s="69"/>
      <c r="N14" s="69"/>
      <c r="O14" s="142">
        <f t="shared" si="0"/>
        <v>1600000</v>
      </c>
      <c r="P14" s="68">
        <v>5200000</v>
      </c>
      <c r="Q14" s="68">
        <f t="shared" si="1"/>
        <v>3600000</v>
      </c>
      <c r="R14" s="131"/>
      <c r="S14" s="106"/>
    </row>
    <row r="15" spans="1:19" s="83" customFormat="1" ht="15" customHeight="1" x14ac:dyDescent="0.2">
      <c r="A15" s="75">
        <v>8</v>
      </c>
      <c r="B15" s="133">
        <v>42591</v>
      </c>
      <c r="C15" s="135" t="s">
        <v>521</v>
      </c>
      <c r="D15" s="136" t="s">
        <v>544</v>
      </c>
      <c r="E15" s="78" t="s">
        <v>153</v>
      </c>
      <c r="F15" s="80"/>
      <c r="G15" s="77"/>
      <c r="H15" s="81"/>
      <c r="I15" s="81"/>
      <c r="J15" s="69">
        <v>1600000</v>
      </c>
      <c r="K15" s="86"/>
      <c r="L15" s="69"/>
      <c r="M15" s="69"/>
      <c r="N15" s="69"/>
      <c r="O15" s="142">
        <f t="shared" si="0"/>
        <v>1600000</v>
      </c>
      <c r="P15" s="68">
        <v>5200000</v>
      </c>
      <c r="Q15" s="68">
        <f t="shared" si="1"/>
        <v>3600000</v>
      </c>
      <c r="R15" s="131"/>
      <c r="S15" s="106"/>
    </row>
    <row r="16" spans="1:19" s="83" customFormat="1" ht="15" customHeight="1" x14ac:dyDescent="0.2">
      <c r="A16" s="75">
        <v>9</v>
      </c>
      <c r="B16" s="133">
        <v>42592</v>
      </c>
      <c r="C16" s="135" t="s">
        <v>522</v>
      </c>
      <c r="D16" s="136" t="s">
        <v>545</v>
      </c>
      <c r="E16" s="78" t="s">
        <v>24</v>
      </c>
      <c r="F16" s="80"/>
      <c r="G16" s="77">
        <v>250</v>
      </c>
      <c r="H16" s="81">
        <v>2915000</v>
      </c>
      <c r="I16" s="81"/>
      <c r="J16" s="69">
        <v>1950000</v>
      </c>
      <c r="K16" s="86"/>
      <c r="L16" s="69"/>
      <c r="M16" s="69"/>
      <c r="N16" s="69"/>
      <c r="O16" s="142">
        <f t="shared" si="0"/>
        <v>4865000</v>
      </c>
      <c r="P16" s="68">
        <v>8181818</v>
      </c>
      <c r="Q16" s="68">
        <f t="shared" si="1"/>
        <v>3316818</v>
      </c>
      <c r="R16" s="131"/>
      <c r="S16" s="106"/>
    </row>
    <row r="17" spans="1:19" s="83" customFormat="1" ht="15" customHeight="1" x14ac:dyDescent="0.2">
      <c r="A17" s="75">
        <v>10</v>
      </c>
      <c r="B17" s="133">
        <v>42595</v>
      </c>
      <c r="C17" s="135" t="s">
        <v>523</v>
      </c>
      <c r="D17" s="136" t="s">
        <v>546</v>
      </c>
      <c r="E17" s="78" t="s">
        <v>501</v>
      </c>
      <c r="F17" s="80"/>
      <c r="G17" s="77">
        <v>309</v>
      </c>
      <c r="H17" s="81">
        <v>3602940</v>
      </c>
      <c r="I17" s="81"/>
      <c r="J17" s="69">
        <v>1600000</v>
      </c>
      <c r="K17" s="86"/>
      <c r="L17" s="69"/>
      <c r="M17" s="69"/>
      <c r="N17" s="69"/>
      <c r="O17" s="142">
        <f t="shared" si="0"/>
        <v>5202940</v>
      </c>
      <c r="P17" s="68">
        <v>5600000</v>
      </c>
      <c r="Q17" s="68">
        <f t="shared" si="1"/>
        <v>397060</v>
      </c>
      <c r="R17" s="131"/>
      <c r="S17" s="106"/>
    </row>
    <row r="18" spans="1:19" s="83" customFormat="1" ht="15" customHeight="1" x14ac:dyDescent="0.2">
      <c r="A18" s="75">
        <v>11</v>
      </c>
      <c r="B18" s="133">
        <v>42595</v>
      </c>
      <c r="C18" s="135" t="s">
        <v>524</v>
      </c>
      <c r="D18" s="136" t="s">
        <v>547</v>
      </c>
      <c r="E18" s="78" t="s">
        <v>25</v>
      </c>
      <c r="F18" s="80"/>
      <c r="G18" s="77"/>
      <c r="H18" s="81"/>
      <c r="I18" s="81"/>
      <c r="J18" s="69">
        <v>0</v>
      </c>
      <c r="K18" s="86"/>
      <c r="L18" s="69"/>
      <c r="M18" s="69"/>
      <c r="N18" s="69"/>
      <c r="O18" s="142">
        <f t="shared" si="0"/>
        <v>0</v>
      </c>
      <c r="P18" s="68">
        <v>0</v>
      </c>
      <c r="Q18" s="68">
        <f t="shared" si="1"/>
        <v>0</v>
      </c>
      <c r="R18" s="131"/>
      <c r="S18" s="106"/>
    </row>
    <row r="19" spans="1:19" s="83" customFormat="1" ht="15" customHeight="1" x14ac:dyDescent="0.2">
      <c r="A19" s="75">
        <v>12</v>
      </c>
      <c r="B19" s="133">
        <v>42595</v>
      </c>
      <c r="C19" s="135" t="s">
        <v>525</v>
      </c>
      <c r="D19" s="136" t="s">
        <v>548</v>
      </c>
      <c r="E19" s="78" t="s">
        <v>501</v>
      </c>
      <c r="F19" s="80"/>
      <c r="G19" s="77"/>
      <c r="H19" s="81"/>
      <c r="I19" s="81"/>
      <c r="J19" s="69">
        <v>1600000</v>
      </c>
      <c r="K19" s="86"/>
      <c r="L19" s="69"/>
      <c r="M19" s="69"/>
      <c r="N19" s="69"/>
      <c r="O19" s="142">
        <f t="shared" si="0"/>
        <v>1600000</v>
      </c>
      <c r="P19" s="68">
        <v>5600000</v>
      </c>
      <c r="Q19" s="68">
        <f t="shared" si="1"/>
        <v>4000000</v>
      </c>
      <c r="S19" s="106"/>
    </row>
    <row r="20" spans="1:19" s="83" customFormat="1" ht="15" customHeight="1" x14ac:dyDescent="0.2">
      <c r="A20" s="75">
        <v>13</v>
      </c>
      <c r="B20" s="133">
        <v>42595</v>
      </c>
      <c r="C20" s="135" t="s">
        <v>526</v>
      </c>
      <c r="D20" s="136" t="s">
        <v>549</v>
      </c>
      <c r="E20" s="78" t="s">
        <v>25</v>
      </c>
      <c r="F20" s="80"/>
      <c r="G20" s="77"/>
      <c r="H20" s="81"/>
      <c r="I20" s="81"/>
      <c r="J20" s="69">
        <v>0</v>
      </c>
      <c r="K20" s="86"/>
      <c r="L20" s="69"/>
      <c r="M20" s="69"/>
      <c r="N20" s="69"/>
      <c r="O20" s="142">
        <f t="shared" si="0"/>
        <v>0</v>
      </c>
      <c r="P20" s="68">
        <v>0</v>
      </c>
      <c r="Q20" s="68">
        <f t="shared" si="1"/>
        <v>0</v>
      </c>
      <c r="R20" s="131"/>
      <c r="S20" s="106"/>
    </row>
    <row r="21" spans="1:19" s="158" customFormat="1" ht="15" customHeight="1" x14ac:dyDescent="0.2">
      <c r="A21" s="75">
        <v>14</v>
      </c>
      <c r="B21" s="160">
        <v>42597</v>
      </c>
      <c r="C21" s="135" t="s">
        <v>527</v>
      </c>
      <c r="D21" s="136" t="s">
        <v>550</v>
      </c>
      <c r="E21" s="78" t="s">
        <v>24</v>
      </c>
      <c r="F21" s="80"/>
      <c r="G21" s="77">
        <v>243</v>
      </c>
      <c r="H21" s="81">
        <v>2833380</v>
      </c>
      <c r="I21" s="81"/>
      <c r="J21" s="69">
        <v>1950000</v>
      </c>
      <c r="K21" s="161"/>
      <c r="L21" s="69"/>
      <c r="M21" s="69"/>
      <c r="N21" s="69"/>
      <c r="O21" s="142">
        <f t="shared" si="0"/>
        <v>4783380</v>
      </c>
      <c r="P21" s="68">
        <v>8181818</v>
      </c>
      <c r="Q21" s="68">
        <f t="shared" si="1"/>
        <v>3398438</v>
      </c>
      <c r="R21" s="157"/>
      <c r="S21" s="159"/>
    </row>
    <row r="22" spans="1:19" s="83" customFormat="1" ht="15" customHeight="1" x14ac:dyDescent="0.2">
      <c r="A22" s="75">
        <v>15</v>
      </c>
      <c r="B22" s="133">
        <v>42598</v>
      </c>
      <c r="C22" s="135" t="s">
        <v>528</v>
      </c>
      <c r="D22" s="136" t="s">
        <v>136</v>
      </c>
      <c r="E22" s="78" t="s">
        <v>286</v>
      </c>
      <c r="F22" s="80"/>
      <c r="G22" s="77"/>
      <c r="H22" s="81"/>
      <c r="I22" s="81"/>
      <c r="J22" s="69">
        <v>830000</v>
      </c>
      <c r="K22" s="86"/>
      <c r="L22" s="69"/>
      <c r="M22" s="69"/>
      <c r="N22" s="69"/>
      <c r="O22" s="142">
        <f t="shared" si="0"/>
        <v>830000</v>
      </c>
      <c r="P22" s="68">
        <v>3381818</v>
      </c>
      <c r="Q22" s="68">
        <f t="shared" si="1"/>
        <v>2551818</v>
      </c>
      <c r="R22" s="131"/>
      <c r="S22" s="106"/>
    </row>
    <row r="23" spans="1:19" s="83" customFormat="1" ht="15" customHeight="1" x14ac:dyDescent="0.2">
      <c r="A23" s="75">
        <v>16</v>
      </c>
      <c r="B23" s="133">
        <v>42599</v>
      </c>
      <c r="C23" s="135" t="s">
        <v>529</v>
      </c>
      <c r="D23" s="136" t="s">
        <v>551</v>
      </c>
      <c r="E23" s="78" t="s">
        <v>561</v>
      </c>
      <c r="F23" s="80"/>
      <c r="G23" s="77">
        <v>262</v>
      </c>
      <c r="H23" s="81">
        <v>3054920</v>
      </c>
      <c r="I23" s="81"/>
      <c r="J23" s="69">
        <v>1370000</v>
      </c>
      <c r="K23" s="86"/>
      <c r="L23" s="69"/>
      <c r="M23" s="69"/>
      <c r="N23" s="69"/>
      <c r="O23" s="142">
        <f t="shared" si="0"/>
        <v>4424920</v>
      </c>
      <c r="P23" s="68">
        <v>4800000</v>
      </c>
      <c r="Q23" s="68">
        <f t="shared" si="1"/>
        <v>375080</v>
      </c>
      <c r="R23" s="131"/>
      <c r="S23" s="106"/>
    </row>
    <row r="24" spans="1:19" s="83" customFormat="1" ht="15" customHeight="1" x14ac:dyDescent="0.2">
      <c r="A24" s="75">
        <v>17</v>
      </c>
      <c r="B24" s="133">
        <v>42600</v>
      </c>
      <c r="C24" s="135" t="s">
        <v>530</v>
      </c>
      <c r="D24" s="136" t="s">
        <v>552</v>
      </c>
      <c r="E24" s="78" t="s">
        <v>562</v>
      </c>
      <c r="F24" s="80"/>
      <c r="G24" s="77"/>
      <c r="H24" s="81"/>
      <c r="I24" s="81"/>
      <c r="J24" s="69">
        <v>3000000</v>
      </c>
      <c r="K24" s="86"/>
      <c r="L24" s="69"/>
      <c r="M24" s="69"/>
      <c r="N24" s="69"/>
      <c r="O24" s="142">
        <f t="shared" si="0"/>
        <v>3000000</v>
      </c>
      <c r="P24" s="68">
        <v>14090909</v>
      </c>
      <c r="Q24" s="68">
        <f t="shared" si="1"/>
        <v>11090909</v>
      </c>
      <c r="R24" s="131"/>
      <c r="S24" s="106"/>
    </row>
    <row r="25" spans="1:19" s="83" customFormat="1" ht="15" customHeight="1" x14ac:dyDescent="0.2">
      <c r="A25" s="75">
        <v>18</v>
      </c>
      <c r="B25" s="133">
        <v>42604</v>
      </c>
      <c r="C25" s="135" t="s">
        <v>531</v>
      </c>
      <c r="D25" s="136" t="s">
        <v>553</v>
      </c>
      <c r="E25" s="78" t="s">
        <v>367</v>
      </c>
      <c r="F25" s="80"/>
      <c r="G25" s="77">
        <v>134</v>
      </c>
      <c r="H25" s="81">
        <v>1595940</v>
      </c>
      <c r="I25" s="81"/>
      <c r="J25" s="69">
        <v>2030000</v>
      </c>
      <c r="K25" s="86"/>
      <c r="L25" s="69"/>
      <c r="M25" s="69"/>
      <c r="N25" s="69"/>
      <c r="O25" s="142">
        <f t="shared" si="0"/>
        <v>3625940</v>
      </c>
      <c r="P25" s="68">
        <v>3854545</v>
      </c>
      <c r="Q25" s="68">
        <f t="shared" si="1"/>
        <v>228605</v>
      </c>
      <c r="R25" s="131"/>
      <c r="S25" s="106"/>
    </row>
    <row r="26" spans="1:19" s="83" customFormat="1" ht="15" customHeight="1" x14ac:dyDescent="0.2">
      <c r="A26" s="75">
        <v>19</v>
      </c>
      <c r="B26" s="133">
        <v>42604</v>
      </c>
      <c r="C26" s="135" t="s">
        <v>532</v>
      </c>
      <c r="D26" s="136" t="s">
        <v>553</v>
      </c>
      <c r="E26" s="78" t="s">
        <v>563</v>
      </c>
      <c r="F26" s="80"/>
      <c r="G26" s="77"/>
      <c r="H26" s="81"/>
      <c r="I26" s="81"/>
      <c r="J26" s="69">
        <v>0</v>
      </c>
      <c r="K26" s="86"/>
      <c r="L26" s="69"/>
      <c r="M26" s="69"/>
      <c r="N26" s="69"/>
      <c r="O26" s="142">
        <f t="shared" si="0"/>
        <v>0</v>
      </c>
      <c r="P26" s="68">
        <v>1953636</v>
      </c>
      <c r="Q26" s="68">
        <f t="shared" si="1"/>
        <v>1953636</v>
      </c>
      <c r="R26" s="131"/>
      <c r="S26" s="106"/>
    </row>
    <row r="27" spans="1:19" s="83" customFormat="1" ht="15" customHeight="1" x14ac:dyDescent="0.2">
      <c r="A27" s="75">
        <v>20</v>
      </c>
      <c r="B27" s="133">
        <v>42604</v>
      </c>
      <c r="C27" s="135" t="s">
        <v>533</v>
      </c>
      <c r="D27" s="136" t="s">
        <v>554</v>
      </c>
      <c r="E27" s="78" t="s">
        <v>564</v>
      </c>
      <c r="F27" s="80"/>
      <c r="G27" s="77">
        <v>221</v>
      </c>
      <c r="H27" s="81">
        <v>2632110</v>
      </c>
      <c r="I27" s="81"/>
      <c r="J27" s="69">
        <v>1600000</v>
      </c>
      <c r="K27" s="86"/>
      <c r="L27" s="69"/>
      <c r="M27" s="69"/>
      <c r="N27" s="69"/>
      <c r="O27" s="142">
        <f t="shared" si="0"/>
        <v>4232110</v>
      </c>
      <c r="P27" s="68">
        <v>5200000</v>
      </c>
      <c r="Q27" s="68">
        <f t="shared" si="1"/>
        <v>967890</v>
      </c>
      <c r="R27" s="131"/>
      <c r="S27" s="106"/>
    </row>
    <row r="28" spans="1:19" s="83" customFormat="1" ht="15" customHeight="1" x14ac:dyDescent="0.2">
      <c r="A28" s="75">
        <v>21</v>
      </c>
      <c r="B28" s="133">
        <v>42605</v>
      </c>
      <c r="C28" s="135" t="s">
        <v>534</v>
      </c>
      <c r="D28" s="136" t="s">
        <v>555</v>
      </c>
      <c r="E28" s="78" t="s">
        <v>561</v>
      </c>
      <c r="F28" s="80"/>
      <c r="G28" s="77"/>
      <c r="H28" s="81"/>
      <c r="I28" s="81"/>
      <c r="J28" s="69">
        <v>1300000</v>
      </c>
      <c r="K28" s="86"/>
      <c r="L28" s="69"/>
      <c r="M28" s="69"/>
      <c r="N28" s="69"/>
      <c r="O28" s="142">
        <f t="shared" si="0"/>
        <v>1300000</v>
      </c>
      <c r="P28" s="68">
        <v>4800000</v>
      </c>
      <c r="Q28" s="68">
        <f t="shared" si="1"/>
        <v>3500000</v>
      </c>
      <c r="R28" s="131"/>
      <c r="S28" s="106"/>
    </row>
    <row r="29" spans="1:19" s="83" customFormat="1" ht="15" customHeight="1" x14ac:dyDescent="0.2">
      <c r="A29" s="75">
        <v>22</v>
      </c>
      <c r="B29" s="133">
        <v>42607</v>
      </c>
      <c r="C29" s="135" t="s">
        <v>535</v>
      </c>
      <c r="D29" s="136" t="s">
        <v>556</v>
      </c>
      <c r="E29" s="78" t="s">
        <v>565</v>
      </c>
      <c r="F29" s="80"/>
      <c r="G29" s="169">
        <v>219.48</v>
      </c>
      <c r="H29" s="81">
        <v>2614007</v>
      </c>
      <c r="I29" s="81"/>
      <c r="J29" s="69">
        <v>200000</v>
      </c>
      <c r="K29" s="86"/>
      <c r="L29" s="69"/>
      <c r="M29" s="69"/>
      <c r="N29" s="69"/>
      <c r="O29" s="142">
        <f t="shared" si="0"/>
        <v>2814007</v>
      </c>
      <c r="P29" s="68">
        <v>1400000</v>
      </c>
      <c r="Q29" s="68">
        <f t="shared" si="1"/>
        <v>-1414007</v>
      </c>
      <c r="R29" s="131"/>
      <c r="S29" s="106"/>
    </row>
    <row r="30" spans="1:19" s="83" customFormat="1" ht="15" customHeight="1" x14ac:dyDescent="0.2">
      <c r="A30" s="75">
        <v>23</v>
      </c>
      <c r="B30" s="133">
        <v>42607</v>
      </c>
      <c r="C30" s="135" t="s">
        <v>536</v>
      </c>
      <c r="D30" s="136" t="s">
        <v>557</v>
      </c>
      <c r="E30" s="78" t="s">
        <v>566</v>
      </c>
      <c r="F30" s="80"/>
      <c r="G30" s="77"/>
      <c r="H30" s="81"/>
      <c r="I30" s="81"/>
      <c r="J30" s="69">
        <v>1020000</v>
      </c>
      <c r="K30" s="86"/>
      <c r="L30" s="69"/>
      <c r="M30" s="69"/>
      <c r="N30" s="69"/>
      <c r="O30" s="142">
        <f t="shared" si="0"/>
        <v>1020000</v>
      </c>
      <c r="P30" s="68">
        <v>3545455</v>
      </c>
      <c r="Q30" s="68">
        <f t="shared" si="1"/>
        <v>2525455</v>
      </c>
      <c r="R30" s="131"/>
      <c r="S30" s="106"/>
    </row>
    <row r="31" spans="1:19" s="83" customFormat="1" ht="15" customHeight="1" x14ac:dyDescent="0.2">
      <c r="A31" s="75">
        <v>24</v>
      </c>
      <c r="B31" s="133">
        <v>42608</v>
      </c>
      <c r="C31" s="135" t="s">
        <v>567</v>
      </c>
      <c r="D31" s="136" t="s">
        <v>570</v>
      </c>
      <c r="E31" s="78" t="s">
        <v>153</v>
      </c>
      <c r="F31" s="80"/>
      <c r="G31" s="77">
        <v>229</v>
      </c>
      <c r="H31" s="81">
        <v>2727390</v>
      </c>
      <c r="I31" s="81"/>
      <c r="J31" s="69">
        <v>1600000</v>
      </c>
      <c r="K31" s="86"/>
      <c r="L31" s="69"/>
      <c r="M31" s="69"/>
      <c r="N31" s="69"/>
      <c r="O31" s="142">
        <f t="shared" si="0"/>
        <v>4327390</v>
      </c>
      <c r="P31" s="68">
        <v>5200000</v>
      </c>
      <c r="Q31" s="68">
        <f t="shared" si="1"/>
        <v>872610</v>
      </c>
      <c r="R31" s="131"/>
      <c r="S31" s="106"/>
    </row>
    <row r="32" spans="1:19" s="83" customFormat="1" ht="15" customHeight="1" x14ac:dyDescent="0.2">
      <c r="A32" s="75">
        <v>25</v>
      </c>
      <c r="B32" s="133">
        <v>42611</v>
      </c>
      <c r="C32" s="138" t="s">
        <v>568</v>
      </c>
      <c r="D32" s="139" t="s">
        <v>571</v>
      </c>
      <c r="E32" s="78" t="s">
        <v>566</v>
      </c>
      <c r="F32" s="110"/>
      <c r="G32" s="70"/>
      <c r="H32" s="81"/>
      <c r="I32" s="111"/>
      <c r="J32" s="112">
        <v>950000</v>
      </c>
      <c r="K32" s="86"/>
      <c r="L32" s="69"/>
      <c r="M32" s="112"/>
      <c r="N32" s="112"/>
      <c r="O32" s="142">
        <f t="shared" si="0"/>
        <v>950000</v>
      </c>
      <c r="P32" s="68">
        <v>3545455</v>
      </c>
      <c r="Q32" s="68">
        <f t="shared" si="1"/>
        <v>2595455</v>
      </c>
      <c r="R32" s="131"/>
      <c r="S32" s="106"/>
    </row>
    <row r="33" spans="1:19" s="83" customFormat="1" ht="15" customHeight="1" x14ac:dyDescent="0.2">
      <c r="A33" s="75">
        <v>26</v>
      </c>
      <c r="B33" s="133">
        <v>42611</v>
      </c>
      <c r="C33" s="138" t="s">
        <v>569</v>
      </c>
      <c r="D33" s="139" t="s">
        <v>572</v>
      </c>
      <c r="E33" s="78" t="s">
        <v>188</v>
      </c>
      <c r="F33" s="110"/>
      <c r="G33" s="70"/>
      <c r="H33" s="81"/>
      <c r="I33" s="111"/>
      <c r="J33" s="112">
        <v>690000</v>
      </c>
      <c r="K33" s="86"/>
      <c r="L33" s="69"/>
      <c r="M33" s="112"/>
      <c r="N33" s="112"/>
      <c r="O33" s="142">
        <f t="shared" si="0"/>
        <v>690000</v>
      </c>
      <c r="P33" s="68">
        <v>3181818</v>
      </c>
      <c r="Q33" s="68">
        <f t="shared" si="1"/>
        <v>2491818</v>
      </c>
      <c r="R33" s="131"/>
      <c r="S33" s="106"/>
    </row>
    <row r="34" spans="1:19" s="83" customFormat="1" ht="15" customHeight="1" x14ac:dyDescent="0.2">
      <c r="A34" s="75"/>
      <c r="B34" s="133"/>
      <c r="C34" s="138"/>
      <c r="D34" s="139"/>
      <c r="E34" s="78"/>
      <c r="F34" s="110"/>
      <c r="G34" s="70"/>
      <c r="H34" s="81"/>
      <c r="I34" s="111"/>
      <c r="J34" s="112"/>
      <c r="K34" s="86"/>
      <c r="L34" s="69"/>
      <c r="M34" s="112"/>
      <c r="N34" s="112"/>
      <c r="O34" s="142">
        <f t="shared" si="0"/>
        <v>0</v>
      </c>
      <c r="P34" s="68"/>
      <c r="Q34" s="68">
        <f t="shared" si="1"/>
        <v>0</v>
      </c>
      <c r="R34" s="131"/>
      <c r="S34" s="106"/>
    </row>
    <row r="35" spans="1:19" s="83" customFormat="1" ht="30" customHeight="1" x14ac:dyDescent="0.2">
      <c r="A35" s="75"/>
      <c r="B35" s="133"/>
      <c r="C35" s="171" t="s">
        <v>573</v>
      </c>
      <c r="D35" s="162"/>
      <c r="E35" s="153"/>
      <c r="F35" s="163"/>
      <c r="G35" s="164"/>
      <c r="H35" s="155"/>
      <c r="I35" s="165"/>
      <c r="J35" s="166"/>
      <c r="K35" s="86"/>
      <c r="L35" s="156">
        <v>2170000</v>
      </c>
      <c r="M35" s="112"/>
      <c r="N35" s="112"/>
      <c r="O35" s="142">
        <f t="shared" si="0"/>
        <v>2170000</v>
      </c>
      <c r="P35" s="68"/>
      <c r="Q35" s="68">
        <f t="shared" si="1"/>
        <v>-2170000</v>
      </c>
      <c r="R35" s="131"/>
      <c r="S35" s="106"/>
    </row>
    <row r="36" spans="1:19" s="83" customFormat="1" ht="15" customHeight="1" x14ac:dyDescent="0.2">
      <c r="A36" s="75"/>
      <c r="B36" s="133"/>
      <c r="C36" s="170" t="s">
        <v>574</v>
      </c>
      <c r="D36" s="162"/>
      <c r="E36" s="153"/>
      <c r="F36" s="163"/>
      <c r="G36" s="164"/>
      <c r="H36" s="155"/>
      <c r="I36" s="165"/>
      <c r="J36" s="166"/>
      <c r="K36" s="86"/>
      <c r="L36" s="156">
        <v>2780000</v>
      </c>
      <c r="M36" s="112"/>
      <c r="N36" s="112"/>
      <c r="O36" s="142">
        <f t="shared" si="0"/>
        <v>2780000</v>
      </c>
      <c r="P36" s="68"/>
      <c r="Q36" s="68">
        <f t="shared" si="1"/>
        <v>-2780000</v>
      </c>
      <c r="R36" s="131"/>
      <c r="S36" s="106"/>
    </row>
    <row r="37" spans="1:19" s="83" customFormat="1" ht="15" customHeight="1" x14ac:dyDescent="0.2">
      <c r="A37" s="75"/>
      <c r="B37" s="133"/>
      <c r="C37" s="170" t="s">
        <v>575</v>
      </c>
      <c r="D37" s="162"/>
      <c r="E37" s="153"/>
      <c r="F37" s="163"/>
      <c r="G37" s="164"/>
      <c r="H37" s="155"/>
      <c r="I37" s="165"/>
      <c r="J37" s="166"/>
      <c r="K37" s="86"/>
      <c r="L37" s="156">
        <v>1320000</v>
      </c>
      <c r="M37" s="112"/>
      <c r="N37" s="112"/>
      <c r="O37" s="142">
        <f t="shared" si="0"/>
        <v>1320000</v>
      </c>
      <c r="P37" s="68"/>
      <c r="Q37" s="68">
        <f t="shared" si="1"/>
        <v>-1320000</v>
      </c>
      <c r="R37" s="131"/>
      <c r="S37" s="106"/>
    </row>
    <row r="38" spans="1:19" s="83" customFormat="1" ht="30" customHeight="1" x14ac:dyDescent="0.2">
      <c r="A38" s="75"/>
      <c r="B38" s="133"/>
      <c r="C38" s="170" t="s">
        <v>582</v>
      </c>
      <c r="D38" s="162"/>
      <c r="E38" s="153"/>
      <c r="F38" s="163"/>
      <c r="G38" s="164"/>
      <c r="H38" s="155"/>
      <c r="I38" s="165"/>
      <c r="J38" s="166"/>
      <c r="K38" s="86"/>
      <c r="L38" s="156">
        <v>1600000</v>
      </c>
      <c r="M38" s="112"/>
      <c r="N38" s="112"/>
      <c r="O38" s="142">
        <f t="shared" si="0"/>
        <v>1600000</v>
      </c>
      <c r="P38" s="68"/>
      <c r="Q38" s="68">
        <f t="shared" si="1"/>
        <v>-1600000</v>
      </c>
      <c r="R38" s="131"/>
      <c r="S38" s="106"/>
    </row>
    <row r="39" spans="1:19" s="83" customFormat="1" ht="23.25" customHeight="1" x14ac:dyDescent="0.2">
      <c r="A39" s="75"/>
      <c r="B39" s="77"/>
      <c r="C39" s="108" t="s">
        <v>576</v>
      </c>
      <c r="D39" s="167"/>
      <c r="E39" s="154"/>
      <c r="F39" s="163"/>
      <c r="G39" s="164"/>
      <c r="H39" s="168"/>
      <c r="I39" s="165"/>
      <c r="J39" s="166"/>
      <c r="K39" s="86"/>
      <c r="L39" s="86">
        <v>800000</v>
      </c>
      <c r="M39" s="112"/>
      <c r="N39" s="112"/>
      <c r="O39" s="142">
        <f t="shared" si="0"/>
        <v>800000</v>
      </c>
      <c r="P39" s="68"/>
      <c r="Q39" s="68">
        <f t="shared" si="1"/>
        <v>-800000</v>
      </c>
      <c r="S39" s="106"/>
    </row>
    <row r="40" spans="1:19" s="83" customFormat="1" ht="55.5" customHeight="1" x14ac:dyDescent="0.2">
      <c r="A40" s="75"/>
      <c r="B40" s="70"/>
      <c r="C40" s="108" t="s">
        <v>577</v>
      </c>
      <c r="D40" s="167"/>
      <c r="E40" s="164"/>
      <c r="F40" s="163"/>
      <c r="G40" s="164"/>
      <c r="H40" s="168"/>
      <c r="I40" s="165"/>
      <c r="J40" s="166"/>
      <c r="K40" s="113"/>
      <c r="L40" s="113">
        <v>5700000</v>
      </c>
      <c r="M40" s="112"/>
      <c r="N40" s="112"/>
      <c r="O40" s="142">
        <f t="shared" si="0"/>
        <v>5700000</v>
      </c>
      <c r="P40" s="68"/>
      <c r="Q40" s="68">
        <f t="shared" si="1"/>
        <v>-5700000</v>
      </c>
      <c r="S40" s="106"/>
    </row>
    <row r="41" spans="1:19" s="83" customFormat="1" ht="27" customHeight="1" x14ac:dyDescent="0.2">
      <c r="A41" s="75"/>
      <c r="B41" s="70"/>
      <c r="C41" s="108" t="s">
        <v>578</v>
      </c>
      <c r="D41" s="87"/>
      <c r="E41" s="70"/>
      <c r="F41" s="110"/>
      <c r="G41" s="70"/>
      <c r="H41" s="149"/>
      <c r="I41" s="111"/>
      <c r="J41" s="112"/>
      <c r="K41" s="113"/>
      <c r="L41" s="141">
        <v>700000</v>
      </c>
      <c r="M41" s="112"/>
      <c r="N41" s="112"/>
      <c r="O41" s="142">
        <f t="shared" si="0"/>
        <v>700000</v>
      </c>
      <c r="P41" s="68"/>
      <c r="Q41" s="68">
        <f t="shared" si="1"/>
        <v>-700000</v>
      </c>
      <c r="S41" s="106"/>
    </row>
    <row r="42" spans="1:19" s="83" customFormat="1" ht="20.25" customHeight="1" x14ac:dyDescent="0.25">
      <c r="A42" s="75"/>
      <c r="B42" s="70"/>
      <c r="C42" s="108" t="s">
        <v>579</v>
      </c>
      <c r="D42" s="87"/>
      <c r="E42" s="70"/>
      <c r="F42" s="110"/>
      <c r="G42" s="70"/>
      <c r="H42" s="81"/>
      <c r="I42" s="111"/>
      <c r="J42" s="112"/>
      <c r="K42" s="113"/>
      <c r="L42" s="141">
        <v>50000</v>
      </c>
      <c r="M42" s="112"/>
      <c r="N42" s="112"/>
      <c r="O42" s="142">
        <f t="shared" si="0"/>
        <v>50000</v>
      </c>
      <c r="P42" s="68"/>
      <c r="Q42" s="68">
        <f t="shared" si="1"/>
        <v>-50000</v>
      </c>
    </row>
    <row r="43" spans="1:19" s="83" customFormat="1" ht="29.25" customHeight="1" x14ac:dyDescent="0.25">
      <c r="A43" s="75"/>
      <c r="B43" s="70"/>
      <c r="C43" s="108" t="s">
        <v>581</v>
      </c>
      <c r="D43" s="87"/>
      <c r="E43" s="70"/>
      <c r="F43" s="110"/>
      <c r="G43" s="70"/>
      <c r="H43" s="81"/>
      <c r="I43" s="111"/>
      <c r="J43" s="112"/>
      <c r="K43" s="113"/>
      <c r="L43" s="141">
        <v>170000</v>
      </c>
      <c r="M43" s="112"/>
      <c r="N43" s="112"/>
      <c r="O43" s="142"/>
      <c r="P43" s="68"/>
      <c r="Q43" s="68"/>
    </row>
    <row r="44" spans="1:19" s="83" customFormat="1" ht="27" customHeight="1" x14ac:dyDescent="0.25">
      <c r="A44" s="75"/>
      <c r="B44" s="70"/>
      <c r="C44" s="108" t="s">
        <v>580</v>
      </c>
      <c r="D44" s="87"/>
      <c r="E44" s="70"/>
      <c r="F44" s="110"/>
      <c r="G44" s="70"/>
      <c r="H44" s="81"/>
      <c r="I44" s="111"/>
      <c r="J44" s="112"/>
      <c r="K44" s="113">
        <v>9500000</v>
      </c>
      <c r="L44" s="141"/>
      <c r="M44" s="112"/>
      <c r="N44" s="112"/>
      <c r="O44" s="142">
        <f t="shared" si="0"/>
        <v>9500000</v>
      </c>
      <c r="P44" s="68"/>
      <c r="Q44" s="68">
        <f t="shared" si="1"/>
        <v>-9500000</v>
      </c>
    </row>
    <row r="45" spans="1:19" x14ac:dyDescent="0.25">
      <c r="A45" s="547" t="s">
        <v>19</v>
      </c>
      <c r="B45" s="548"/>
      <c r="C45" s="548"/>
      <c r="D45" s="548"/>
      <c r="E45" s="548"/>
      <c r="F45" s="549"/>
      <c r="G45" s="89">
        <f t="shared" ref="G45:Q45" si="2">SUM(G7:G44)</f>
        <v>2288.48</v>
      </c>
      <c r="H45" s="71">
        <f t="shared" si="2"/>
        <v>26997947</v>
      </c>
      <c r="I45" s="71">
        <f t="shared" si="2"/>
        <v>0</v>
      </c>
      <c r="J45" s="71">
        <f t="shared" si="2"/>
        <v>31490000</v>
      </c>
      <c r="K45" s="71">
        <f t="shared" si="2"/>
        <v>9500000</v>
      </c>
      <c r="L45" s="71">
        <f t="shared" si="2"/>
        <v>15290000</v>
      </c>
      <c r="M45" s="71">
        <f t="shared" si="2"/>
        <v>0</v>
      </c>
      <c r="N45" s="71">
        <f t="shared" si="2"/>
        <v>0</v>
      </c>
      <c r="O45" s="71">
        <f t="shared" si="2"/>
        <v>83107947</v>
      </c>
      <c r="P45" s="71">
        <f t="shared" si="2"/>
        <v>116517272</v>
      </c>
      <c r="Q45" s="71">
        <f t="shared" si="2"/>
        <v>30009325</v>
      </c>
      <c r="R45" s="152"/>
    </row>
    <row r="46" spans="1:19" x14ac:dyDescent="0.25">
      <c r="O46" s="91"/>
      <c r="Q46" s="91"/>
    </row>
  </sheetData>
  <mergeCells count="4">
    <mergeCell ref="A1:Q1"/>
    <mergeCell ref="A2:Q2"/>
    <mergeCell ref="A3:Q3"/>
    <mergeCell ref="A45:F45"/>
  </mergeCells>
  <pageMargins left="0.7" right="0.7" top="0.75" bottom="0.75"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42"/>
  <sheetViews>
    <sheetView topLeftCell="A28" workbookViewId="0">
      <selection activeCell="H37" sqref="H37"/>
    </sheetView>
  </sheetViews>
  <sheetFormatPr defaultRowHeight="15" x14ac:dyDescent="0.25"/>
  <cols>
    <col min="3" max="3" width="27.42578125" customWidth="1"/>
    <col min="4" max="4" width="14.28515625" customWidth="1"/>
    <col min="5" max="5" width="33.42578125" customWidth="1"/>
    <col min="16" max="16" width="11.7109375" customWidth="1"/>
  </cols>
  <sheetData>
    <row r="1" spans="1:17" ht="23.25" x14ac:dyDescent="0.25">
      <c r="A1" s="551" t="s">
        <v>0</v>
      </c>
      <c r="B1" s="551"/>
      <c r="C1" s="551"/>
      <c r="D1" s="551"/>
      <c r="E1" s="551"/>
      <c r="F1" s="551"/>
      <c r="G1" s="551"/>
      <c r="H1" s="551"/>
      <c r="I1" s="551"/>
      <c r="J1" s="551"/>
      <c r="K1" s="551"/>
      <c r="L1" s="551"/>
      <c r="M1" s="551"/>
      <c r="N1" s="551"/>
      <c r="O1" s="551"/>
      <c r="P1" s="551"/>
      <c r="Q1" s="551"/>
    </row>
    <row r="2" spans="1:17" ht="15.75" x14ac:dyDescent="0.25">
      <c r="A2" s="550" t="s">
        <v>103</v>
      </c>
      <c r="B2" s="550"/>
      <c r="C2" s="550"/>
      <c r="D2" s="550"/>
      <c r="E2" s="550"/>
      <c r="F2" s="550"/>
      <c r="G2" s="550"/>
      <c r="H2" s="550"/>
      <c r="I2" s="550"/>
      <c r="J2" s="550"/>
      <c r="K2" s="550"/>
      <c r="L2" s="550"/>
      <c r="M2" s="550"/>
      <c r="N2" s="550"/>
      <c r="O2" s="550"/>
      <c r="P2" s="550"/>
      <c r="Q2" s="550"/>
    </row>
    <row r="3" spans="1:17" ht="15.75" x14ac:dyDescent="0.25">
      <c r="A3" s="550" t="s">
        <v>638</v>
      </c>
      <c r="B3" s="550"/>
      <c r="C3" s="550"/>
      <c r="D3" s="550"/>
      <c r="E3" s="550"/>
      <c r="F3" s="550"/>
      <c r="G3" s="550"/>
      <c r="H3" s="550"/>
      <c r="I3" s="550"/>
      <c r="J3" s="550"/>
      <c r="K3" s="550"/>
      <c r="L3" s="550"/>
      <c r="M3" s="550"/>
      <c r="N3" s="550"/>
      <c r="O3" s="550"/>
      <c r="P3" s="550"/>
      <c r="Q3" s="550"/>
    </row>
    <row r="4" spans="1:17" x14ac:dyDescent="0.25">
      <c r="A4" s="74"/>
      <c r="B4" s="99"/>
      <c r="C4" s="74"/>
      <c r="D4" s="74"/>
      <c r="E4" s="74" t="s">
        <v>194</v>
      </c>
      <c r="F4" s="74"/>
      <c r="G4" s="74"/>
      <c r="H4" s="72"/>
      <c r="I4" s="74"/>
      <c r="J4" s="72"/>
      <c r="K4" s="72"/>
      <c r="L4" s="72"/>
      <c r="M4" s="72"/>
      <c r="N4" s="72"/>
      <c r="O4" s="72"/>
      <c r="P4" s="72"/>
      <c r="Q4" s="72"/>
    </row>
    <row r="5" spans="1:17" ht="38.25" x14ac:dyDescent="0.25">
      <c r="A5" s="115" t="s">
        <v>1</v>
      </c>
      <c r="B5" s="116" t="s">
        <v>2</v>
      </c>
      <c r="C5" s="115" t="s">
        <v>3</v>
      </c>
      <c r="D5" s="115" t="s">
        <v>5</v>
      </c>
      <c r="E5" s="117" t="s">
        <v>4</v>
      </c>
      <c r="F5" s="117" t="s">
        <v>17</v>
      </c>
      <c r="G5" s="118" t="s">
        <v>6</v>
      </c>
      <c r="H5" s="119"/>
      <c r="I5" s="119"/>
      <c r="J5" s="119"/>
      <c r="K5" s="119"/>
      <c r="L5" s="119"/>
      <c r="M5" s="119"/>
      <c r="N5" s="120"/>
      <c r="O5" s="121" t="s">
        <v>18</v>
      </c>
      <c r="P5" s="127" t="s">
        <v>13</v>
      </c>
      <c r="Q5" s="121" t="s">
        <v>14</v>
      </c>
    </row>
    <row r="6" spans="1:17" x14ac:dyDescent="0.25">
      <c r="A6" s="122"/>
      <c r="B6" s="123"/>
      <c r="C6" s="122"/>
      <c r="D6" s="122"/>
      <c r="E6" s="124"/>
      <c r="F6" s="124"/>
      <c r="G6" s="6" t="s">
        <v>7</v>
      </c>
      <c r="H6" s="7" t="s">
        <v>15</v>
      </c>
      <c r="I6" s="6" t="s">
        <v>16</v>
      </c>
      <c r="J6" s="7" t="s">
        <v>8</v>
      </c>
      <c r="K6" s="7" t="s">
        <v>9</v>
      </c>
      <c r="L6" s="7" t="s">
        <v>10</v>
      </c>
      <c r="M6" s="7" t="s">
        <v>11</v>
      </c>
      <c r="N6" s="7" t="s">
        <v>12</v>
      </c>
      <c r="O6" s="125"/>
      <c r="P6" s="125"/>
      <c r="Q6" s="125"/>
    </row>
    <row r="7" spans="1:17" x14ac:dyDescent="0.25">
      <c r="A7" s="75"/>
      <c r="B7" s="100"/>
      <c r="C7" s="88"/>
      <c r="D7" s="88"/>
      <c r="E7" s="134"/>
      <c r="F7" s="75"/>
      <c r="G7" s="77"/>
      <c r="H7" s="68"/>
      <c r="I7" s="75"/>
      <c r="J7" s="68"/>
      <c r="K7" s="68"/>
      <c r="L7" s="68"/>
      <c r="M7" s="68"/>
      <c r="N7" s="68"/>
      <c r="O7" s="68">
        <f>H7+J7+K7+L7+M7+N7</f>
        <v>0</v>
      </c>
      <c r="P7" s="68"/>
      <c r="Q7" s="68">
        <f>P7-O7</f>
        <v>0</v>
      </c>
    </row>
    <row r="8" spans="1:17" ht="21.95" customHeight="1" x14ac:dyDescent="0.25">
      <c r="A8" s="75">
        <v>1</v>
      </c>
      <c r="B8" s="133">
        <v>42613</v>
      </c>
      <c r="C8" s="135" t="s">
        <v>583</v>
      </c>
      <c r="D8" s="136" t="s">
        <v>608</v>
      </c>
      <c r="E8" s="78" t="s">
        <v>559</v>
      </c>
      <c r="F8" s="80"/>
      <c r="G8" s="77"/>
      <c r="H8" s="81"/>
      <c r="I8" s="81"/>
      <c r="J8" s="69">
        <v>1600000</v>
      </c>
      <c r="K8" s="86"/>
      <c r="L8" s="69"/>
      <c r="M8" s="69"/>
      <c r="N8" s="69"/>
      <c r="O8" s="142">
        <f>H8+J8+K8+L8+M8+N8</f>
        <v>1600000</v>
      </c>
      <c r="P8" s="68">
        <v>3300000</v>
      </c>
      <c r="Q8" s="68">
        <f>P8-O8</f>
        <v>1700000</v>
      </c>
    </row>
    <row r="9" spans="1:17" ht="21.95" customHeight="1" x14ac:dyDescent="0.25">
      <c r="A9" s="75">
        <v>2</v>
      </c>
      <c r="B9" s="133">
        <v>42613</v>
      </c>
      <c r="C9" s="135" t="s">
        <v>584</v>
      </c>
      <c r="D9" s="136" t="s">
        <v>609</v>
      </c>
      <c r="E9" s="78" t="s">
        <v>88</v>
      </c>
      <c r="F9" s="80"/>
      <c r="G9" s="77"/>
      <c r="H9" s="81"/>
      <c r="I9" s="81"/>
      <c r="J9" s="69">
        <v>0</v>
      </c>
      <c r="K9" s="86"/>
      <c r="L9" s="69"/>
      <c r="M9" s="69"/>
      <c r="N9" s="69"/>
      <c r="O9" s="142">
        <f t="shared" ref="O9:O41" si="0">H9+J9+K9+L9+M9+N9</f>
        <v>0</v>
      </c>
      <c r="P9" s="68">
        <v>2700000</v>
      </c>
      <c r="Q9" s="68">
        <f t="shared" ref="Q9:Q41" si="1">P9-O9</f>
        <v>2700000</v>
      </c>
    </row>
    <row r="10" spans="1:17" ht="21.95" customHeight="1" x14ac:dyDescent="0.25">
      <c r="A10" s="75">
        <v>3</v>
      </c>
      <c r="B10" s="133">
        <v>42614</v>
      </c>
      <c r="C10" s="135" t="s">
        <v>585</v>
      </c>
      <c r="D10" s="136" t="s">
        <v>610</v>
      </c>
      <c r="E10" s="78" t="s">
        <v>630</v>
      </c>
      <c r="F10" s="80"/>
      <c r="G10" s="77">
        <v>301</v>
      </c>
      <c r="H10" s="81">
        <v>3584910</v>
      </c>
      <c r="I10" s="81"/>
      <c r="J10" s="69">
        <v>1300000</v>
      </c>
      <c r="K10" s="86"/>
      <c r="L10" s="69"/>
      <c r="M10" s="69"/>
      <c r="N10" s="69"/>
      <c r="O10" s="142">
        <f t="shared" si="0"/>
        <v>4884910</v>
      </c>
      <c r="P10" s="68">
        <v>4800000</v>
      </c>
      <c r="Q10" s="68">
        <f t="shared" si="1"/>
        <v>-84910</v>
      </c>
    </row>
    <row r="11" spans="1:17" ht="21.95" customHeight="1" x14ac:dyDescent="0.25">
      <c r="A11" s="75">
        <v>4</v>
      </c>
      <c r="B11" s="133">
        <v>42614</v>
      </c>
      <c r="C11" s="135" t="s">
        <v>586</v>
      </c>
      <c r="D11" s="136" t="s">
        <v>611</v>
      </c>
      <c r="E11" s="78" t="s">
        <v>117</v>
      </c>
      <c r="F11" s="80"/>
      <c r="G11" s="77"/>
      <c r="H11" s="81"/>
      <c r="I11" s="81"/>
      <c r="J11" s="69">
        <v>1250000</v>
      </c>
      <c r="K11" s="86"/>
      <c r="L11" s="69"/>
      <c r="M11" s="69"/>
      <c r="N11" s="69"/>
      <c r="O11" s="142">
        <f t="shared" si="0"/>
        <v>1250000</v>
      </c>
      <c r="P11" s="68">
        <v>3400000</v>
      </c>
      <c r="Q11" s="68">
        <f t="shared" si="1"/>
        <v>2150000</v>
      </c>
    </row>
    <row r="12" spans="1:17" ht="21.95" customHeight="1" x14ac:dyDescent="0.25">
      <c r="A12" s="75">
        <v>5</v>
      </c>
      <c r="B12" s="133">
        <v>42618</v>
      </c>
      <c r="C12" s="135" t="s">
        <v>587</v>
      </c>
      <c r="D12" s="136" t="s">
        <v>612</v>
      </c>
      <c r="E12" s="78" t="s">
        <v>153</v>
      </c>
      <c r="F12" s="80"/>
      <c r="G12" s="77"/>
      <c r="H12" s="81"/>
      <c r="I12" s="81"/>
      <c r="J12" s="69">
        <v>1600000</v>
      </c>
      <c r="K12" s="86"/>
      <c r="L12" s="69"/>
      <c r="M12" s="69"/>
      <c r="N12" s="69"/>
      <c r="O12" s="142">
        <f t="shared" si="0"/>
        <v>1600000</v>
      </c>
      <c r="P12" s="68">
        <v>5200000</v>
      </c>
      <c r="Q12" s="68"/>
    </row>
    <row r="13" spans="1:17" ht="21.95" customHeight="1" x14ac:dyDescent="0.25">
      <c r="A13" s="75">
        <v>6</v>
      </c>
      <c r="B13" s="133">
        <v>42619</v>
      </c>
      <c r="C13" s="135" t="s">
        <v>588</v>
      </c>
      <c r="D13" s="136" t="s">
        <v>613</v>
      </c>
      <c r="E13" s="78" t="s">
        <v>24</v>
      </c>
      <c r="F13" s="80"/>
      <c r="G13" s="77">
        <v>330</v>
      </c>
      <c r="H13" s="81">
        <v>4085400</v>
      </c>
      <c r="I13" s="81"/>
      <c r="J13" s="69">
        <v>1950000</v>
      </c>
      <c r="K13" s="86"/>
      <c r="L13" s="69"/>
      <c r="M13" s="69"/>
      <c r="N13" s="69"/>
      <c r="O13" s="142">
        <f t="shared" si="0"/>
        <v>6035400</v>
      </c>
      <c r="P13" s="68">
        <v>8181818</v>
      </c>
      <c r="Q13" s="68">
        <f t="shared" si="1"/>
        <v>2146418</v>
      </c>
    </row>
    <row r="14" spans="1:17" ht="21.95" customHeight="1" x14ac:dyDescent="0.25">
      <c r="A14" s="75">
        <v>7</v>
      </c>
      <c r="B14" s="133">
        <v>42620</v>
      </c>
      <c r="C14" s="135" t="s">
        <v>589</v>
      </c>
      <c r="D14" s="136" t="s">
        <v>614</v>
      </c>
      <c r="E14" s="78" t="s">
        <v>286</v>
      </c>
      <c r="F14" s="80"/>
      <c r="G14" s="77"/>
      <c r="H14" s="81"/>
      <c r="I14" s="81"/>
      <c r="J14" s="69">
        <v>830000</v>
      </c>
      <c r="K14" s="86"/>
      <c r="L14" s="69"/>
      <c r="M14" s="69"/>
      <c r="N14" s="69"/>
      <c r="O14" s="142">
        <f t="shared" si="0"/>
        <v>830000</v>
      </c>
      <c r="P14" s="68">
        <v>3381818</v>
      </c>
      <c r="Q14" s="68">
        <f t="shared" si="1"/>
        <v>2551818</v>
      </c>
    </row>
    <row r="15" spans="1:17" ht="21.95" customHeight="1" x14ac:dyDescent="0.25">
      <c r="A15" s="75">
        <v>8</v>
      </c>
      <c r="B15" s="133">
        <v>42621</v>
      </c>
      <c r="C15" s="135" t="s">
        <v>590</v>
      </c>
      <c r="D15" s="136" t="s">
        <v>615</v>
      </c>
      <c r="E15" s="78" t="s">
        <v>28</v>
      </c>
      <c r="F15" s="80"/>
      <c r="G15" s="77">
        <v>285</v>
      </c>
      <c r="H15" s="81">
        <v>3528300</v>
      </c>
      <c r="I15" s="81"/>
      <c r="J15" s="69">
        <v>1300000</v>
      </c>
      <c r="K15" s="86"/>
      <c r="L15" s="69"/>
      <c r="M15" s="69"/>
      <c r="N15" s="69"/>
      <c r="O15" s="142">
        <f t="shared" si="0"/>
        <v>4828300</v>
      </c>
      <c r="P15" s="68">
        <v>4700000</v>
      </c>
      <c r="Q15" s="68">
        <f t="shared" si="1"/>
        <v>-128300</v>
      </c>
    </row>
    <row r="16" spans="1:17" ht="21.95" customHeight="1" x14ac:dyDescent="0.25">
      <c r="A16" s="75">
        <v>9</v>
      </c>
      <c r="B16" s="133">
        <v>42622</v>
      </c>
      <c r="C16" s="135" t="s">
        <v>591</v>
      </c>
      <c r="D16" s="136" t="s">
        <v>616</v>
      </c>
      <c r="E16" s="78" t="s">
        <v>631</v>
      </c>
      <c r="F16" s="80"/>
      <c r="G16" s="77"/>
      <c r="H16" s="81"/>
      <c r="I16" s="81"/>
      <c r="J16" s="69">
        <v>200000</v>
      </c>
      <c r="K16" s="86"/>
      <c r="L16" s="69"/>
      <c r="M16" s="69"/>
      <c r="N16" s="69"/>
      <c r="O16" s="142">
        <f t="shared" si="0"/>
        <v>200000</v>
      </c>
      <c r="P16" s="68">
        <v>1100000</v>
      </c>
      <c r="Q16" s="68">
        <f t="shared" si="1"/>
        <v>900000</v>
      </c>
    </row>
    <row r="17" spans="1:17" ht="21.95" customHeight="1" x14ac:dyDescent="0.25">
      <c r="A17" s="75">
        <v>10</v>
      </c>
      <c r="B17" s="133">
        <v>42623</v>
      </c>
      <c r="C17" s="135" t="s">
        <v>592</v>
      </c>
      <c r="D17" s="136" t="s">
        <v>617</v>
      </c>
      <c r="E17" s="78" t="s">
        <v>632</v>
      </c>
      <c r="F17" s="80"/>
      <c r="G17" s="77">
        <v>195</v>
      </c>
      <c r="H17" s="81">
        <v>2414100</v>
      </c>
      <c r="I17" s="81"/>
      <c r="J17" s="69">
        <v>1600000</v>
      </c>
      <c r="K17" s="86"/>
      <c r="L17" s="69"/>
      <c r="M17" s="69"/>
      <c r="N17" s="69"/>
      <c r="O17" s="142">
        <f t="shared" si="0"/>
        <v>4014100</v>
      </c>
      <c r="P17" s="68">
        <v>5200000</v>
      </c>
      <c r="Q17" s="68">
        <f t="shared" si="1"/>
        <v>1185900</v>
      </c>
    </row>
    <row r="18" spans="1:17" ht="21.95" customHeight="1" x14ac:dyDescent="0.25">
      <c r="A18" s="75">
        <v>11</v>
      </c>
      <c r="B18" s="133">
        <v>42623</v>
      </c>
      <c r="C18" s="135" t="s">
        <v>593</v>
      </c>
      <c r="D18" s="136" t="s">
        <v>618</v>
      </c>
      <c r="E18" s="78" t="s">
        <v>25</v>
      </c>
      <c r="F18" s="80"/>
      <c r="G18" s="77"/>
      <c r="H18" s="81"/>
      <c r="I18" s="81"/>
      <c r="J18" s="69">
        <v>0</v>
      </c>
      <c r="K18" s="86"/>
      <c r="L18" s="69"/>
      <c r="M18" s="69"/>
      <c r="N18" s="69"/>
      <c r="O18" s="142">
        <f t="shared" si="0"/>
        <v>0</v>
      </c>
      <c r="P18" s="68">
        <v>0</v>
      </c>
      <c r="Q18" s="68">
        <f t="shared" si="1"/>
        <v>0</v>
      </c>
    </row>
    <row r="19" spans="1:17" ht="21.95" customHeight="1" x14ac:dyDescent="0.25">
      <c r="A19" s="75">
        <v>12</v>
      </c>
      <c r="B19" s="133">
        <v>42625</v>
      </c>
      <c r="C19" s="135" t="s">
        <v>594</v>
      </c>
      <c r="D19" s="136" t="s">
        <v>619</v>
      </c>
      <c r="E19" s="78" t="s">
        <v>633</v>
      </c>
      <c r="F19" s="80"/>
      <c r="G19" s="77"/>
      <c r="H19" s="81"/>
      <c r="I19" s="81"/>
      <c r="J19" s="69">
        <v>1600000</v>
      </c>
      <c r="K19" s="86"/>
      <c r="L19" s="69"/>
      <c r="M19" s="69"/>
      <c r="N19" s="69"/>
      <c r="O19" s="142">
        <f t="shared" si="0"/>
        <v>1600000</v>
      </c>
      <c r="P19" s="68">
        <v>5300000</v>
      </c>
      <c r="Q19" s="68">
        <f t="shared" si="1"/>
        <v>3700000</v>
      </c>
    </row>
    <row r="20" spans="1:17" ht="21.95" customHeight="1" x14ac:dyDescent="0.25">
      <c r="A20" s="75">
        <v>13</v>
      </c>
      <c r="B20" s="133">
        <v>42626</v>
      </c>
      <c r="C20" s="135" t="s">
        <v>595</v>
      </c>
      <c r="D20" s="172" t="s">
        <v>620</v>
      </c>
      <c r="E20" s="78" t="s">
        <v>21</v>
      </c>
      <c r="F20" s="80"/>
      <c r="G20" s="77"/>
      <c r="H20" s="81"/>
      <c r="I20" s="81"/>
      <c r="J20" s="69">
        <v>3000000</v>
      </c>
      <c r="K20" s="86"/>
      <c r="L20" s="69"/>
      <c r="M20" s="69"/>
      <c r="N20" s="69"/>
      <c r="O20" s="142">
        <f t="shared" si="0"/>
        <v>3000000</v>
      </c>
      <c r="P20" s="68">
        <v>14318182</v>
      </c>
      <c r="Q20" s="68">
        <f t="shared" si="1"/>
        <v>11318182</v>
      </c>
    </row>
    <row r="21" spans="1:17" ht="21.95" customHeight="1" x14ac:dyDescent="0.25">
      <c r="A21" s="75">
        <v>14</v>
      </c>
      <c r="B21" s="160">
        <v>42628</v>
      </c>
      <c r="C21" s="135" t="s">
        <v>596</v>
      </c>
      <c r="D21" s="136" t="s">
        <v>621</v>
      </c>
      <c r="E21" s="78" t="s">
        <v>27</v>
      </c>
      <c r="F21" s="80"/>
      <c r="G21" s="77">
        <v>256</v>
      </c>
      <c r="H21" s="81">
        <v>3169280</v>
      </c>
      <c r="I21" s="81"/>
      <c r="J21" s="69">
        <v>840000</v>
      </c>
      <c r="K21" s="161"/>
      <c r="L21" s="69"/>
      <c r="M21" s="69"/>
      <c r="N21" s="69"/>
      <c r="O21" s="142">
        <f t="shared" si="0"/>
        <v>4009280</v>
      </c>
      <c r="P21" s="68">
        <v>2800000</v>
      </c>
      <c r="Q21" s="68">
        <f t="shared" si="1"/>
        <v>-1209280</v>
      </c>
    </row>
    <row r="22" spans="1:17" ht="21.95" customHeight="1" x14ac:dyDescent="0.25">
      <c r="A22" s="75">
        <v>15</v>
      </c>
      <c r="B22" s="133">
        <v>42628</v>
      </c>
      <c r="C22" s="135" t="s">
        <v>597</v>
      </c>
      <c r="D22" s="136" t="s">
        <v>622</v>
      </c>
      <c r="E22" s="78" t="s">
        <v>566</v>
      </c>
      <c r="F22" s="80"/>
      <c r="G22" s="77">
        <v>300</v>
      </c>
      <c r="H22" s="81">
        <v>3714000</v>
      </c>
      <c r="I22" s="81"/>
      <c r="J22" s="69">
        <f>950000+400000</f>
        <v>1350000</v>
      </c>
      <c r="K22" s="86"/>
      <c r="L22" s="69"/>
      <c r="M22" s="69"/>
      <c r="N22" s="69"/>
      <c r="O22" s="142">
        <f t="shared" si="0"/>
        <v>5064000</v>
      </c>
      <c r="P22" s="68">
        <v>3545455</v>
      </c>
      <c r="Q22" s="68">
        <f t="shared" si="1"/>
        <v>-1518545</v>
      </c>
    </row>
    <row r="23" spans="1:17" ht="21.95" customHeight="1" x14ac:dyDescent="0.25">
      <c r="A23" s="75">
        <v>16</v>
      </c>
      <c r="B23" s="133">
        <v>42628</v>
      </c>
      <c r="C23" s="135" t="s">
        <v>598</v>
      </c>
      <c r="D23" s="136" t="s">
        <v>622</v>
      </c>
      <c r="E23" s="78" t="s">
        <v>634</v>
      </c>
      <c r="F23" s="80"/>
      <c r="G23" s="77"/>
      <c r="H23" s="81"/>
      <c r="I23" s="81"/>
      <c r="J23" s="69">
        <v>0</v>
      </c>
      <c r="K23" s="86"/>
      <c r="L23" s="69"/>
      <c r="M23" s="69"/>
      <c r="N23" s="69"/>
      <c r="O23" s="142">
        <f t="shared" si="0"/>
        <v>0</v>
      </c>
      <c r="P23" s="68">
        <v>1794545</v>
      </c>
      <c r="Q23" s="68">
        <f t="shared" si="1"/>
        <v>1794545</v>
      </c>
    </row>
    <row r="24" spans="1:17" ht="21.95" customHeight="1" x14ac:dyDescent="0.25">
      <c r="A24" s="75">
        <v>17</v>
      </c>
      <c r="B24" s="133">
        <v>42629</v>
      </c>
      <c r="C24" s="135" t="s">
        <v>599</v>
      </c>
      <c r="D24" s="136" t="s">
        <v>623</v>
      </c>
      <c r="E24" s="78" t="s">
        <v>28</v>
      </c>
      <c r="F24" s="80"/>
      <c r="G24" s="77"/>
      <c r="H24" s="81"/>
      <c r="I24" s="81"/>
      <c r="J24" s="69">
        <v>1300000</v>
      </c>
      <c r="K24" s="86"/>
      <c r="L24" s="69"/>
      <c r="M24" s="69"/>
      <c r="N24" s="69"/>
      <c r="O24" s="142">
        <f t="shared" si="0"/>
        <v>1300000</v>
      </c>
      <c r="P24" s="68">
        <v>4700000</v>
      </c>
      <c r="Q24" s="68">
        <f t="shared" si="1"/>
        <v>3400000</v>
      </c>
    </row>
    <row r="25" spans="1:17" ht="21.95" customHeight="1" x14ac:dyDescent="0.25">
      <c r="A25" s="75">
        <v>18</v>
      </c>
      <c r="B25" s="133">
        <v>42631</v>
      </c>
      <c r="C25" s="135" t="s">
        <v>600</v>
      </c>
      <c r="D25" s="136" t="s">
        <v>624</v>
      </c>
      <c r="E25" s="78" t="s">
        <v>566</v>
      </c>
      <c r="F25" s="80"/>
      <c r="G25" s="77"/>
      <c r="H25" s="81"/>
      <c r="I25" s="81"/>
      <c r="J25" s="69">
        <v>950000</v>
      </c>
      <c r="K25" s="86"/>
      <c r="L25" s="69"/>
      <c r="M25" s="69"/>
      <c r="N25" s="69"/>
      <c r="O25" s="142">
        <f t="shared" si="0"/>
        <v>950000</v>
      </c>
      <c r="P25" s="68">
        <v>3545455</v>
      </c>
      <c r="Q25" s="68">
        <f t="shared" si="1"/>
        <v>2595455</v>
      </c>
    </row>
    <row r="26" spans="1:17" ht="21.95" customHeight="1" x14ac:dyDescent="0.25">
      <c r="A26" s="75">
        <v>19</v>
      </c>
      <c r="B26" s="133">
        <v>42632</v>
      </c>
      <c r="C26" s="135" t="s">
        <v>601</v>
      </c>
      <c r="D26" s="136" t="s">
        <v>625</v>
      </c>
      <c r="E26" s="78" t="s">
        <v>301</v>
      </c>
      <c r="F26" s="80"/>
      <c r="G26" s="77">
        <v>314</v>
      </c>
      <c r="H26" s="81">
        <v>3887320</v>
      </c>
      <c r="I26" s="81"/>
      <c r="J26" s="69">
        <v>4750000</v>
      </c>
      <c r="K26" s="86"/>
      <c r="L26" s="69"/>
      <c r="M26" s="69"/>
      <c r="N26" s="69"/>
      <c r="O26" s="142">
        <f t="shared" si="0"/>
        <v>8637320</v>
      </c>
      <c r="P26" s="68">
        <v>19545455</v>
      </c>
      <c r="Q26" s="68">
        <f t="shared" si="1"/>
        <v>10908135</v>
      </c>
    </row>
    <row r="27" spans="1:17" ht="21.95" customHeight="1" x14ac:dyDescent="0.25">
      <c r="A27" s="75">
        <v>20</v>
      </c>
      <c r="B27" s="133">
        <v>42635</v>
      </c>
      <c r="C27" s="135" t="s">
        <v>602</v>
      </c>
      <c r="D27" s="136" t="s">
        <v>626</v>
      </c>
      <c r="E27" s="78" t="s">
        <v>635</v>
      </c>
      <c r="F27" s="80"/>
      <c r="G27" s="77"/>
      <c r="H27" s="81"/>
      <c r="I27" s="81"/>
      <c r="J27" s="69">
        <v>1300000</v>
      </c>
      <c r="K27" s="86"/>
      <c r="L27" s="69"/>
      <c r="M27" s="69"/>
      <c r="N27" s="69"/>
      <c r="O27" s="142">
        <f t="shared" si="0"/>
        <v>1300000</v>
      </c>
      <c r="P27" s="68">
        <v>4700000</v>
      </c>
      <c r="Q27" s="68">
        <f t="shared" si="1"/>
        <v>3400000</v>
      </c>
    </row>
    <row r="28" spans="1:17" ht="21.95" customHeight="1" x14ac:dyDescent="0.25">
      <c r="A28" s="75">
        <v>21</v>
      </c>
      <c r="B28" s="133">
        <v>42637</v>
      </c>
      <c r="C28" s="135" t="s">
        <v>603</v>
      </c>
      <c r="D28" s="136" t="s">
        <v>627</v>
      </c>
      <c r="E28" s="78" t="s">
        <v>566</v>
      </c>
      <c r="F28" s="80"/>
      <c r="G28" s="77">
        <v>300</v>
      </c>
      <c r="H28" s="81">
        <v>3675000</v>
      </c>
      <c r="I28" s="81"/>
      <c r="J28" s="69">
        <f>950000+400000+70000</f>
        <v>1420000</v>
      </c>
      <c r="K28" s="86"/>
      <c r="L28" s="69"/>
      <c r="M28" s="69"/>
      <c r="N28" s="69"/>
      <c r="O28" s="142">
        <f t="shared" si="0"/>
        <v>5095000</v>
      </c>
      <c r="P28" s="68">
        <v>3545455</v>
      </c>
      <c r="Q28" s="68">
        <f t="shared" si="1"/>
        <v>-1549545</v>
      </c>
    </row>
    <row r="29" spans="1:17" ht="21.95" customHeight="1" x14ac:dyDescent="0.25">
      <c r="A29" s="75">
        <v>22</v>
      </c>
      <c r="B29" s="133">
        <v>42637</v>
      </c>
      <c r="C29" s="135" t="s">
        <v>604</v>
      </c>
      <c r="D29" s="136" t="s">
        <v>627</v>
      </c>
      <c r="E29" s="78" t="s">
        <v>636</v>
      </c>
      <c r="F29" s="80"/>
      <c r="G29" s="169"/>
      <c r="H29" s="81"/>
      <c r="I29" s="81"/>
      <c r="J29" s="69">
        <v>0</v>
      </c>
      <c r="K29" s="86"/>
      <c r="L29" s="69"/>
      <c r="M29" s="69"/>
      <c r="N29" s="69"/>
      <c r="O29" s="142">
        <f t="shared" si="0"/>
        <v>0</v>
      </c>
      <c r="P29" s="68">
        <v>2649091</v>
      </c>
      <c r="Q29" s="68">
        <f t="shared" si="1"/>
        <v>2649091</v>
      </c>
    </row>
    <row r="30" spans="1:17" ht="21.95" customHeight="1" x14ac:dyDescent="0.25">
      <c r="A30" s="75">
        <v>23</v>
      </c>
      <c r="B30" s="133">
        <v>42639</v>
      </c>
      <c r="C30" s="135" t="s">
        <v>605</v>
      </c>
      <c r="D30" s="172" t="s">
        <v>628</v>
      </c>
      <c r="E30" s="78" t="s">
        <v>566</v>
      </c>
      <c r="F30" s="80"/>
      <c r="G30" s="77">
        <v>209</v>
      </c>
      <c r="H30" s="81">
        <v>2560250</v>
      </c>
      <c r="I30" s="81"/>
      <c r="J30" s="69">
        <f>950000+70000</f>
        <v>1020000</v>
      </c>
      <c r="K30" s="86"/>
      <c r="L30" s="69"/>
      <c r="M30" s="69"/>
      <c r="N30" s="69"/>
      <c r="O30" s="142">
        <f t="shared" si="0"/>
        <v>3580250</v>
      </c>
      <c r="P30" s="68">
        <v>3545455</v>
      </c>
      <c r="Q30" s="68">
        <f t="shared" si="1"/>
        <v>-34795</v>
      </c>
    </row>
    <row r="31" spans="1:17" ht="28.5" customHeight="1" x14ac:dyDescent="0.25">
      <c r="A31" s="75">
        <v>24</v>
      </c>
      <c r="B31" s="133">
        <v>42640</v>
      </c>
      <c r="C31" s="135" t="s">
        <v>606</v>
      </c>
      <c r="D31" s="136" t="s">
        <v>629</v>
      </c>
      <c r="E31" s="78" t="s">
        <v>637</v>
      </c>
      <c r="F31" s="80"/>
      <c r="G31" s="77"/>
      <c r="H31" s="81"/>
      <c r="I31" s="81"/>
      <c r="J31" s="69">
        <v>0</v>
      </c>
      <c r="K31" s="86"/>
      <c r="L31" s="69"/>
      <c r="M31" s="69"/>
      <c r="N31" s="69"/>
      <c r="O31" s="142">
        <f t="shared" si="0"/>
        <v>0</v>
      </c>
      <c r="P31" s="68">
        <v>3090909</v>
      </c>
      <c r="Q31" s="68">
        <f>P31-O31</f>
        <v>3090909</v>
      </c>
    </row>
    <row r="32" spans="1:17" ht="21.95" customHeight="1" x14ac:dyDescent="0.25">
      <c r="A32" s="75">
        <v>25</v>
      </c>
      <c r="B32" s="133">
        <v>42640</v>
      </c>
      <c r="C32" s="138" t="s">
        <v>607</v>
      </c>
      <c r="D32" s="139" t="s">
        <v>646</v>
      </c>
      <c r="E32" s="78" t="s">
        <v>25</v>
      </c>
      <c r="F32" s="110"/>
      <c r="G32" s="70"/>
      <c r="H32" s="81"/>
      <c r="I32" s="111"/>
      <c r="J32" s="112">
        <f>1600000-200000</f>
        <v>1400000</v>
      </c>
      <c r="K32" s="86"/>
      <c r="L32" s="69"/>
      <c r="M32" s="112"/>
      <c r="N32" s="112"/>
      <c r="O32" s="142">
        <f t="shared" si="0"/>
        <v>1400000</v>
      </c>
      <c r="P32" s="68">
        <v>2400000</v>
      </c>
      <c r="Q32" s="68">
        <f t="shared" ref="Q32:Q35" si="2">P32-O32</f>
        <v>1000000</v>
      </c>
    </row>
    <row r="33" spans="1:17" ht="21.95" customHeight="1" x14ac:dyDescent="0.25">
      <c r="A33" s="75">
        <v>26</v>
      </c>
      <c r="B33" s="133">
        <v>42641</v>
      </c>
      <c r="C33" s="138" t="s">
        <v>644</v>
      </c>
      <c r="D33" s="139" t="s">
        <v>647</v>
      </c>
      <c r="E33" s="78" t="s">
        <v>498</v>
      </c>
      <c r="F33" s="110"/>
      <c r="G33" s="70"/>
      <c r="H33" s="81"/>
      <c r="I33" s="111"/>
      <c r="J33" s="112">
        <v>1600000</v>
      </c>
      <c r="K33" s="86"/>
      <c r="L33" s="69"/>
      <c r="M33" s="112"/>
      <c r="N33" s="112"/>
      <c r="O33" s="142">
        <f t="shared" si="0"/>
        <v>1600000</v>
      </c>
      <c r="P33" s="68">
        <v>5300000</v>
      </c>
      <c r="Q33" s="68">
        <f t="shared" si="2"/>
        <v>3700000</v>
      </c>
    </row>
    <row r="34" spans="1:17" ht="21.95" customHeight="1" x14ac:dyDescent="0.25">
      <c r="A34" s="75">
        <v>27</v>
      </c>
      <c r="B34" s="133">
        <v>42642</v>
      </c>
      <c r="C34" s="138" t="s">
        <v>645</v>
      </c>
      <c r="D34" s="139" t="s">
        <v>648</v>
      </c>
      <c r="E34" s="78" t="s">
        <v>498</v>
      </c>
      <c r="F34" s="110"/>
      <c r="G34" s="70">
        <v>195</v>
      </c>
      <c r="H34" s="81">
        <v>2388750</v>
      </c>
      <c r="I34" s="111"/>
      <c r="J34" s="112">
        <v>1600000</v>
      </c>
      <c r="K34" s="86"/>
      <c r="L34" s="69"/>
      <c r="M34" s="112"/>
      <c r="N34" s="112"/>
      <c r="O34" s="142">
        <f t="shared" si="0"/>
        <v>3988750</v>
      </c>
      <c r="P34" s="68">
        <v>5300000</v>
      </c>
      <c r="Q34" s="68">
        <f t="shared" si="2"/>
        <v>1311250</v>
      </c>
    </row>
    <row r="35" spans="1:17" ht="31.5" customHeight="1" x14ac:dyDescent="0.25">
      <c r="A35" s="75"/>
      <c r="B35" s="133"/>
      <c r="C35" s="138" t="s">
        <v>649</v>
      </c>
      <c r="D35" s="139" t="s">
        <v>572</v>
      </c>
      <c r="E35" s="78" t="s">
        <v>188</v>
      </c>
      <c r="F35" s="110"/>
      <c r="G35" s="70">
        <v>270</v>
      </c>
      <c r="H35" s="81">
        <f>G35*12250</f>
        <v>3307500</v>
      </c>
      <c r="I35" s="111"/>
      <c r="J35" s="112">
        <v>70000</v>
      </c>
      <c r="K35" s="86"/>
      <c r="L35" s="69"/>
      <c r="M35" s="112"/>
      <c r="N35" s="112"/>
      <c r="O35" s="142">
        <f t="shared" si="0"/>
        <v>3377500</v>
      </c>
      <c r="P35" s="68"/>
      <c r="Q35" s="68">
        <f t="shared" si="2"/>
        <v>-3377500</v>
      </c>
    </row>
    <row r="36" spans="1:17" ht="42" customHeight="1" x14ac:dyDescent="0.25">
      <c r="A36" s="75"/>
      <c r="B36" s="133"/>
      <c r="C36" s="171" t="s">
        <v>640</v>
      </c>
      <c r="D36" s="162"/>
      <c r="E36" s="153"/>
      <c r="F36" s="163"/>
      <c r="G36" s="164"/>
      <c r="H36" s="155"/>
      <c r="I36" s="165"/>
      <c r="J36" s="166"/>
      <c r="K36" s="86"/>
      <c r="L36" s="156">
        <v>150000</v>
      </c>
      <c r="M36" s="112"/>
      <c r="N36" s="112"/>
      <c r="O36" s="142">
        <f t="shared" si="0"/>
        <v>150000</v>
      </c>
      <c r="P36" s="68"/>
      <c r="Q36" s="68">
        <f t="shared" si="1"/>
        <v>-150000</v>
      </c>
    </row>
    <row r="37" spans="1:17" ht="45" customHeight="1" x14ac:dyDescent="0.25">
      <c r="A37" s="75"/>
      <c r="B37" s="133"/>
      <c r="C37" s="170" t="s">
        <v>641</v>
      </c>
      <c r="D37" s="162"/>
      <c r="E37" s="153"/>
      <c r="F37" s="163"/>
      <c r="G37" s="164"/>
      <c r="H37" s="155"/>
      <c r="I37" s="165"/>
      <c r="J37" s="166"/>
      <c r="K37" s="86"/>
      <c r="L37" s="156">
        <v>700000</v>
      </c>
      <c r="M37" s="112"/>
      <c r="N37" s="112"/>
      <c r="O37" s="142">
        <f t="shared" si="0"/>
        <v>700000</v>
      </c>
      <c r="P37" s="68"/>
      <c r="Q37" s="68">
        <f t="shared" si="1"/>
        <v>-700000</v>
      </c>
    </row>
    <row r="38" spans="1:17" ht="20.25" customHeight="1" x14ac:dyDescent="0.25">
      <c r="A38" s="75"/>
      <c r="B38" s="133"/>
      <c r="C38" s="170" t="s">
        <v>639</v>
      </c>
      <c r="D38" s="162"/>
      <c r="E38" s="153"/>
      <c r="F38" s="163"/>
      <c r="G38" s="164"/>
      <c r="H38" s="155"/>
      <c r="I38" s="165"/>
      <c r="J38" s="166"/>
      <c r="K38" s="86"/>
      <c r="L38" s="156">
        <v>1320000</v>
      </c>
      <c r="M38" s="112"/>
      <c r="N38" s="112"/>
      <c r="O38" s="142">
        <f t="shared" si="0"/>
        <v>1320000</v>
      </c>
      <c r="P38" s="68"/>
      <c r="Q38" s="68">
        <f t="shared" si="1"/>
        <v>-1320000</v>
      </c>
    </row>
    <row r="39" spans="1:17" ht="21.75" customHeight="1" x14ac:dyDescent="0.25">
      <c r="A39" s="75"/>
      <c r="B39" s="133"/>
      <c r="C39" s="170" t="s">
        <v>642</v>
      </c>
      <c r="D39" s="162"/>
      <c r="E39" s="153"/>
      <c r="F39" s="163"/>
      <c r="G39" s="164"/>
      <c r="H39" s="155"/>
      <c r="I39" s="165"/>
      <c r="J39" s="166"/>
      <c r="K39" s="86"/>
      <c r="L39" s="156">
        <v>510000</v>
      </c>
      <c r="M39" s="112"/>
      <c r="N39" s="112"/>
      <c r="O39" s="142">
        <f t="shared" si="0"/>
        <v>510000</v>
      </c>
      <c r="P39" s="68"/>
      <c r="Q39" s="68">
        <f t="shared" si="1"/>
        <v>-510000</v>
      </c>
    </row>
    <row r="40" spans="1:17" ht="42.75" customHeight="1" x14ac:dyDescent="0.25">
      <c r="A40" s="75"/>
      <c r="B40" s="137"/>
      <c r="C40" s="170" t="s">
        <v>643</v>
      </c>
      <c r="D40" s="162"/>
      <c r="E40" s="167"/>
      <c r="F40" s="163"/>
      <c r="G40" s="164"/>
      <c r="H40" s="155"/>
      <c r="I40" s="165"/>
      <c r="J40" s="166"/>
      <c r="K40" s="113"/>
      <c r="L40" s="166">
        <v>900000</v>
      </c>
      <c r="M40" s="112"/>
      <c r="N40" s="112"/>
      <c r="O40" s="142">
        <f t="shared" si="0"/>
        <v>900000</v>
      </c>
      <c r="P40" s="68"/>
      <c r="Q40" s="68">
        <f t="shared" si="1"/>
        <v>-900000</v>
      </c>
    </row>
    <row r="41" spans="1:17" ht="19.5" customHeight="1" x14ac:dyDescent="0.25">
      <c r="A41" s="75"/>
      <c r="B41" s="70"/>
      <c r="C41" s="108" t="s">
        <v>580</v>
      </c>
      <c r="D41" s="87"/>
      <c r="E41" s="70"/>
      <c r="F41" s="110"/>
      <c r="G41" s="70"/>
      <c r="H41" s="81"/>
      <c r="I41" s="111"/>
      <c r="J41" s="112"/>
      <c r="K41" s="113">
        <v>8750000</v>
      </c>
      <c r="L41" s="141"/>
      <c r="M41" s="112"/>
      <c r="N41" s="112"/>
      <c r="O41" s="142">
        <f t="shared" si="0"/>
        <v>8750000</v>
      </c>
      <c r="P41" s="68"/>
      <c r="Q41" s="68">
        <f t="shared" si="1"/>
        <v>-8750000</v>
      </c>
    </row>
    <row r="42" spans="1:17" x14ac:dyDescent="0.25">
      <c r="A42" s="547" t="s">
        <v>19</v>
      </c>
      <c r="B42" s="548"/>
      <c r="C42" s="548"/>
      <c r="D42" s="548"/>
      <c r="E42" s="548"/>
      <c r="F42" s="549"/>
      <c r="G42" s="89">
        <f t="shared" ref="G42:Q42" si="3">SUM(G7:G41)</f>
        <v>2955</v>
      </c>
      <c r="H42" s="71">
        <f t="shared" si="3"/>
        <v>36314810</v>
      </c>
      <c r="I42" s="71">
        <f t="shared" si="3"/>
        <v>0</v>
      </c>
      <c r="J42" s="71">
        <f t="shared" si="3"/>
        <v>33830000</v>
      </c>
      <c r="K42" s="71">
        <f t="shared" si="3"/>
        <v>8750000</v>
      </c>
      <c r="L42" s="71">
        <f t="shared" si="3"/>
        <v>3580000</v>
      </c>
      <c r="M42" s="71">
        <f t="shared" si="3"/>
        <v>0</v>
      </c>
      <c r="N42" s="71">
        <f t="shared" si="3"/>
        <v>0</v>
      </c>
      <c r="O42" s="71">
        <f t="shared" si="3"/>
        <v>82474810</v>
      </c>
      <c r="P42" s="71">
        <f t="shared" si="3"/>
        <v>128043638</v>
      </c>
      <c r="Q42" s="71">
        <f t="shared" si="3"/>
        <v>41968828</v>
      </c>
    </row>
  </sheetData>
  <mergeCells count="4">
    <mergeCell ref="A1:Q1"/>
    <mergeCell ref="A2:Q2"/>
    <mergeCell ref="A3:Q3"/>
    <mergeCell ref="A42:F42"/>
  </mergeCells>
  <pageMargins left="0.7" right="0.7" top="0.75" bottom="0.75"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39"/>
  <sheetViews>
    <sheetView topLeftCell="B34" workbookViewId="0">
      <selection activeCell="C35" sqref="A1:Q39"/>
    </sheetView>
  </sheetViews>
  <sheetFormatPr defaultRowHeight="15" x14ac:dyDescent="0.25"/>
  <cols>
    <col min="3" max="3" width="27.42578125" customWidth="1"/>
    <col min="4" max="4" width="14.28515625" customWidth="1"/>
    <col min="5" max="5" width="33.42578125" customWidth="1"/>
    <col min="16" max="16" width="11.7109375" customWidth="1"/>
    <col min="17" max="17" width="10.85546875" customWidth="1"/>
  </cols>
  <sheetData>
    <row r="1" spans="1:17" ht="23.25" x14ac:dyDescent="0.25">
      <c r="A1" s="551" t="s">
        <v>0</v>
      </c>
      <c r="B1" s="551"/>
      <c r="C1" s="551"/>
      <c r="D1" s="551"/>
      <c r="E1" s="551"/>
      <c r="F1" s="551"/>
      <c r="G1" s="551"/>
      <c r="H1" s="551"/>
      <c r="I1" s="551"/>
      <c r="J1" s="551"/>
      <c r="K1" s="551"/>
      <c r="L1" s="551"/>
      <c r="M1" s="551"/>
      <c r="N1" s="551"/>
      <c r="O1" s="551"/>
      <c r="P1" s="551"/>
      <c r="Q1" s="551"/>
    </row>
    <row r="2" spans="1:17" ht="15.75" x14ac:dyDescent="0.25">
      <c r="A2" s="550" t="s">
        <v>103</v>
      </c>
      <c r="B2" s="550"/>
      <c r="C2" s="550"/>
      <c r="D2" s="550"/>
      <c r="E2" s="550"/>
      <c r="F2" s="550"/>
      <c r="G2" s="550"/>
      <c r="H2" s="550"/>
      <c r="I2" s="550"/>
      <c r="J2" s="550"/>
      <c r="K2" s="550"/>
      <c r="L2" s="550"/>
      <c r="M2" s="550"/>
      <c r="N2" s="550"/>
      <c r="O2" s="550"/>
      <c r="P2" s="550"/>
      <c r="Q2" s="550"/>
    </row>
    <row r="3" spans="1:17" ht="15.75" x14ac:dyDescent="0.25">
      <c r="A3" s="550" t="s">
        <v>650</v>
      </c>
      <c r="B3" s="550"/>
      <c r="C3" s="550"/>
      <c r="D3" s="550"/>
      <c r="E3" s="550"/>
      <c r="F3" s="550"/>
      <c r="G3" s="550"/>
      <c r="H3" s="550"/>
      <c r="I3" s="550"/>
      <c r="J3" s="550"/>
      <c r="K3" s="550"/>
      <c r="L3" s="550"/>
      <c r="M3" s="550"/>
      <c r="N3" s="550"/>
      <c r="O3" s="550"/>
      <c r="P3" s="550"/>
      <c r="Q3" s="550"/>
    </row>
    <row r="4" spans="1:17" x14ac:dyDescent="0.25">
      <c r="A4" s="74"/>
      <c r="B4" s="99"/>
      <c r="C4" s="74"/>
      <c r="D4" s="74"/>
      <c r="E4" s="74" t="s">
        <v>194</v>
      </c>
      <c r="F4" s="74"/>
      <c r="G4" s="74"/>
      <c r="H4" s="72"/>
      <c r="I4" s="74"/>
      <c r="J4" s="72"/>
      <c r="K4" s="72"/>
      <c r="L4" s="72"/>
      <c r="M4" s="72"/>
      <c r="N4" s="72"/>
      <c r="O4" s="72"/>
      <c r="P4" s="72"/>
      <c r="Q4" s="72"/>
    </row>
    <row r="5" spans="1:17" ht="25.5" x14ac:dyDescent="0.25">
      <c r="A5" s="115" t="s">
        <v>1</v>
      </c>
      <c r="B5" s="116" t="s">
        <v>2</v>
      </c>
      <c r="C5" s="115" t="s">
        <v>3</v>
      </c>
      <c r="D5" s="115" t="s">
        <v>5</v>
      </c>
      <c r="E5" s="117" t="s">
        <v>4</v>
      </c>
      <c r="F5" s="117" t="s">
        <v>17</v>
      </c>
      <c r="G5" s="118" t="s">
        <v>6</v>
      </c>
      <c r="H5" s="119"/>
      <c r="I5" s="119"/>
      <c r="J5" s="119"/>
      <c r="K5" s="119"/>
      <c r="L5" s="119"/>
      <c r="M5" s="119"/>
      <c r="N5" s="120"/>
      <c r="O5" s="121" t="s">
        <v>18</v>
      </c>
      <c r="P5" s="127" t="s">
        <v>13</v>
      </c>
      <c r="Q5" s="121" t="s">
        <v>14</v>
      </c>
    </row>
    <row r="6" spans="1:17" x14ac:dyDescent="0.25">
      <c r="A6" s="122"/>
      <c r="B6" s="123"/>
      <c r="C6" s="122"/>
      <c r="D6" s="122"/>
      <c r="E6" s="124"/>
      <c r="F6" s="124"/>
      <c r="G6" s="6" t="s">
        <v>7</v>
      </c>
      <c r="H6" s="7" t="s">
        <v>15</v>
      </c>
      <c r="I6" s="6" t="s">
        <v>16</v>
      </c>
      <c r="J6" s="7" t="s">
        <v>8</v>
      </c>
      <c r="K6" s="7" t="s">
        <v>9</v>
      </c>
      <c r="L6" s="7" t="s">
        <v>10</v>
      </c>
      <c r="M6" s="7" t="s">
        <v>11</v>
      </c>
      <c r="N6" s="7" t="s">
        <v>12</v>
      </c>
      <c r="O6" s="125"/>
      <c r="P6" s="125"/>
      <c r="Q6" s="125"/>
    </row>
    <row r="7" spans="1:17" x14ac:dyDescent="0.25">
      <c r="A7" s="75"/>
      <c r="B7" s="100"/>
      <c r="C7" s="88"/>
      <c r="D7" s="88"/>
      <c r="E7" s="134"/>
      <c r="F7" s="75"/>
      <c r="G7" s="77"/>
      <c r="H7" s="68"/>
      <c r="I7" s="75"/>
      <c r="J7" s="68"/>
      <c r="K7" s="68"/>
      <c r="L7" s="68"/>
      <c r="M7" s="68"/>
      <c r="N7" s="68"/>
      <c r="O7" s="68">
        <f>H7+J7+K7+L7+M7+N7</f>
        <v>0</v>
      </c>
      <c r="P7" s="68"/>
      <c r="Q7" s="68">
        <f>P7-O7</f>
        <v>0</v>
      </c>
    </row>
    <row r="8" spans="1:17" ht="21.95" customHeight="1" x14ac:dyDescent="0.25">
      <c r="A8" s="75">
        <v>1</v>
      </c>
      <c r="B8" s="133">
        <v>42643</v>
      </c>
      <c r="C8" s="135" t="s">
        <v>651</v>
      </c>
      <c r="D8" s="136" t="s">
        <v>677</v>
      </c>
      <c r="E8" s="78" t="s">
        <v>117</v>
      </c>
      <c r="F8" s="80"/>
      <c r="G8" s="77"/>
      <c r="H8" s="81"/>
      <c r="I8" s="81"/>
      <c r="J8" s="69">
        <f>1230000+200000</f>
        <v>1430000</v>
      </c>
      <c r="K8" s="86"/>
      <c r="L8" s="69"/>
      <c r="M8" s="69"/>
      <c r="N8" s="69"/>
      <c r="O8" s="142">
        <f>H8+J8+K8+L8+M8+N8</f>
        <v>1430000</v>
      </c>
      <c r="P8" s="68">
        <v>2909091</v>
      </c>
      <c r="Q8" s="68">
        <f>P8-O8</f>
        <v>1479091</v>
      </c>
    </row>
    <row r="9" spans="1:17" ht="31.5" customHeight="1" x14ac:dyDescent="0.25">
      <c r="A9" s="75">
        <v>2</v>
      </c>
      <c r="B9" s="133">
        <v>42643</v>
      </c>
      <c r="C9" s="135" t="s">
        <v>652</v>
      </c>
      <c r="D9" s="136" t="s">
        <v>677</v>
      </c>
      <c r="E9" s="78" t="s">
        <v>701</v>
      </c>
      <c r="F9" s="80"/>
      <c r="G9" s="77"/>
      <c r="H9" s="81"/>
      <c r="I9" s="81"/>
      <c r="J9" s="69">
        <v>0</v>
      </c>
      <c r="K9" s="86"/>
      <c r="L9" s="69"/>
      <c r="M9" s="69"/>
      <c r="N9" s="69"/>
      <c r="O9" s="142">
        <f t="shared" ref="O9:O38" si="0">H9+J9+K9+L9+M9+N9</f>
        <v>0</v>
      </c>
      <c r="P9" s="68">
        <v>3000000</v>
      </c>
      <c r="Q9" s="68">
        <f t="shared" ref="Q9:Q38" si="1">P9-O9</f>
        <v>3000000</v>
      </c>
    </row>
    <row r="10" spans="1:17" ht="21.95" customHeight="1" x14ac:dyDescent="0.25">
      <c r="A10" s="75">
        <v>3</v>
      </c>
      <c r="B10" s="133">
        <v>42645</v>
      </c>
      <c r="C10" s="135" t="s">
        <v>653</v>
      </c>
      <c r="D10" s="136" t="s">
        <v>678</v>
      </c>
      <c r="E10" s="78" t="s">
        <v>702</v>
      </c>
      <c r="F10" s="80"/>
      <c r="G10" s="77"/>
      <c r="H10" s="81"/>
      <c r="I10" s="81"/>
      <c r="J10" s="69">
        <f>1300000+70000</f>
        <v>1370000</v>
      </c>
      <c r="K10" s="86"/>
      <c r="L10" s="69"/>
      <c r="M10" s="69"/>
      <c r="N10" s="69"/>
      <c r="O10" s="142">
        <f t="shared" si="0"/>
        <v>1370000</v>
      </c>
      <c r="P10" s="68">
        <v>4700000</v>
      </c>
      <c r="Q10" s="68">
        <f t="shared" si="1"/>
        <v>3330000</v>
      </c>
    </row>
    <row r="11" spans="1:17" ht="32.25" customHeight="1" x14ac:dyDescent="0.25">
      <c r="A11" s="75">
        <v>4</v>
      </c>
      <c r="B11" s="133">
        <v>42646</v>
      </c>
      <c r="C11" s="135" t="s">
        <v>654</v>
      </c>
      <c r="D11" s="136" t="s">
        <v>679</v>
      </c>
      <c r="E11" s="78" t="s">
        <v>427</v>
      </c>
      <c r="F11" s="80"/>
      <c r="G11" s="77">
        <v>128</v>
      </c>
      <c r="H11" s="81">
        <v>1568000</v>
      </c>
      <c r="I11" s="81"/>
      <c r="J11" s="69">
        <f>1300000+140000</f>
        <v>1440000</v>
      </c>
      <c r="K11" s="86"/>
      <c r="L11" s="69"/>
      <c r="M11" s="69"/>
      <c r="N11" s="69"/>
      <c r="O11" s="142">
        <f t="shared" si="0"/>
        <v>3008000</v>
      </c>
      <c r="P11" s="68">
        <v>4800000</v>
      </c>
      <c r="Q11" s="68">
        <f t="shared" si="1"/>
        <v>1792000</v>
      </c>
    </row>
    <row r="12" spans="1:17" ht="21.95" customHeight="1" x14ac:dyDescent="0.25">
      <c r="A12" s="75">
        <v>5</v>
      </c>
      <c r="B12" s="133">
        <v>42647</v>
      </c>
      <c r="C12" s="135" t="s">
        <v>655</v>
      </c>
      <c r="D12" s="136" t="s">
        <v>680</v>
      </c>
      <c r="E12" s="78" t="s">
        <v>27</v>
      </c>
      <c r="F12" s="80"/>
      <c r="G12" s="77"/>
      <c r="H12" s="81"/>
      <c r="I12" s="81"/>
      <c r="J12" s="69">
        <v>840000</v>
      </c>
      <c r="K12" s="86"/>
      <c r="L12" s="69"/>
      <c r="M12" s="69"/>
      <c r="N12" s="69"/>
      <c r="O12" s="142">
        <f t="shared" si="0"/>
        <v>840000</v>
      </c>
      <c r="P12" s="68">
        <v>3000000</v>
      </c>
      <c r="Q12" s="68"/>
    </row>
    <row r="13" spans="1:17" ht="21.95" customHeight="1" x14ac:dyDescent="0.25">
      <c r="A13" s="75">
        <v>6</v>
      </c>
      <c r="B13" s="133">
        <v>42648</v>
      </c>
      <c r="C13" s="135" t="s">
        <v>656</v>
      </c>
      <c r="D13" s="136" t="s">
        <v>681</v>
      </c>
      <c r="E13" s="78" t="s">
        <v>703</v>
      </c>
      <c r="F13" s="80"/>
      <c r="G13" s="77">
        <v>275</v>
      </c>
      <c r="H13" s="81">
        <v>3415500</v>
      </c>
      <c r="I13" s="81"/>
      <c r="J13" s="69">
        <f>1600000+140000</f>
        <v>1740000</v>
      </c>
      <c r="K13" s="86"/>
      <c r="L13" s="69"/>
      <c r="M13" s="69"/>
      <c r="N13" s="69"/>
      <c r="O13" s="142">
        <f t="shared" si="0"/>
        <v>5155500</v>
      </c>
      <c r="P13" s="68">
        <v>5200000</v>
      </c>
      <c r="Q13" s="68">
        <f t="shared" si="1"/>
        <v>44500</v>
      </c>
    </row>
    <row r="14" spans="1:17" ht="21.95" customHeight="1" x14ac:dyDescent="0.25">
      <c r="A14" s="75">
        <v>7</v>
      </c>
      <c r="B14" s="133">
        <v>42649</v>
      </c>
      <c r="C14" s="135" t="s">
        <v>657</v>
      </c>
      <c r="D14" s="136" t="s">
        <v>682</v>
      </c>
      <c r="E14" s="78" t="s">
        <v>155</v>
      </c>
      <c r="F14" s="80"/>
      <c r="G14" s="77"/>
      <c r="H14" s="81"/>
      <c r="I14" s="81"/>
      <c r="J14" s="69">
        <v>1440000</v>
      </c>
      <c r="K14" s="86"/>
      <c r="L14" s="69"/>
      <c r="M14" s="69"/>
      <c r="N14" s="69"/>
      <c r="O14" s="142">
        <f t="shared" si="0"/>
        <v>1440000</v>
      </c>
      <c r="P14" s="68">
        <v>4700000</v>
      </c>
      <c r="Q14" s="68">
        <f t="shared" si="1"/>
        <v>3260000</v>
      </c>
    </row>
    <row r="15" spans="1:17" ht="21.95" customHeight="1" x14ac:dyDescent="0.25">
      <c r="A15" s="75">
        <v>8</v>
      </c>
      <c r="B15" s="133">
        <v>42654</v>
      </c>
      <c r="C15" s="135" t="s">
        <v>658</v>
      </c>
      <c r="D15" s="136" t="s">
        <v>683</v>
      </c>
      <c r="E15" s="78" t="s">
        <v>704</v>
      </c>
      <c r="F15" s="80"/>
      <c r="G15" s="77"/>
      <c r="H15" s="81"/>
      <c r="I15" s="81"/>
      <c r="J15" s="69">
        <v>840000</v>
      </c>
      <c r="K15" s="86"/>
      <c r="L15" s="69"/>
      <c r="M15" s="69"/>
      <c r="N15" s="69"/>
      <c r="O15" s="142">
        <f t="shared" si="0"/>
        <v>840000</v>
      </c>
      <c r="P15" s="68">
        <v>3000000</v>
      </c>
      <c r="Q15" s="68">
        <f t="shared" si="1"/>
        <v>2160000</v>
      </c>
    </row>
    <row r="16" spans="1:17" ht="21.95" customHeight="1" x14ac:dyDescent="0.25">
      <c r="A16" s="75">
        <v>9</v>
      </c>
      <c r="B16" s="133">
        <v>42655</v>
      </c>
      <c r="C16" s="135" t="s">
        <v>659</v>
      </c>
      <c r="D16" s="136" t="s">
        <v>684</v>
      </c>
      <c r="E16" s="78" t="s">
        <v>24</v>
      </c>
      <c r="F16" s="80"/>
      <c r="G16" s="77">
        <v>320</v>
      </c>
      <c r="H16" s="81">
        <v>3977400</v>
      </c>
      <c r="I16" s="81"/>
      <c r="J16" s="69">
        <f>1950000+140000</f>
        <v>2090000</v>
      </c>
      <c r="K16" s="86"/>
      <c r="L16" s="69"/>
      <c r="M16" s="69"/>
      <c r="N16" s="69"/>
      <c r="O16" s="142">
        <f t="shared" si="0"/>
        <v>6067400</v>
      </c>
      <c r="P16" s="68">
        <v>8181818</v>
      </c>
      <c r="Q16" s="68">
        <f t="shared" si="1"/>
        <v>2114418</v>
      </c>
    </row>
    <row r="17" spans="1:17" ht="21.95" customHeight="1" x14ac:dyDescent="0.25">
      <c r="A17" s="75">
        <v>10</v>
      </c>
      <c r="B17" s="133">
        <v>42656</v>
      </c>
      <c r="C17" s="135" t="s">
        <v>660</v>
      </c>
      <c r="D17" s="136" t="s">
        <v>685</v>
      </c>
      <c r="E17" s="78" t="s">
        <v>426</v>
      </c>
      <c r="F17" s="80"/>
      <c r="G17" s="77"/>
      <c r="H17" s="81"/>
      <c r="I17" s="81"/>
      <c r="J17" s="69">
        <f>1230000+70000</f>
        <v>1300000</v>
      </c>
      <c r="K17" s="86"/>
      <c r="L17" s="69"/>
      <c r="M17" s="69"/>
      <c r="N17" s="69"/>
      <c r="O17" s="142">
        <f t="shared" si="0"/>
        <v>1300000</v>
      </c>
      <c r="P17" s="68">
        <v>3500000</v>
      </c>
      <c r="Q17" s="68">
        <f t="shared" si="1"/>
        <v>2200000</v>
      </c>
    </row>
    <row r="18" spans="1:17" ht="21.95" customHeight="1" x14ac:dyDescent="0.25">
      <c r="A18" s="75">
        <v>11</v>
      </c>
      <c r="B18" s="133">
        <v>42657</v>
      </c>
      <c r="C18" s="135" t="s">
        <v>661</v>
      </c>
      <c r="D18" s="136" t="s">
        <v>686</v>
      </c>
      <c r="E18" s="78" t="s">
        <v>705</v>
      </c>
      <c r="F18" s="80"/>
      <c r="G18" s="77">
        <v>270</v>
      </c>
      <c r="H18" s="81">
        <v>3353400</v>
      </c>
      <c r="I18" s="81"/>
      <c r="J18" s="69">
        <v>830000</v>
      </c>
      <c r="K18" s="86"/>
      <c r="L18" s="69"/>
      <c r="M18" s="69"/>
      <c r="N18" s="69"/>
      <c r="O18" s="142">
        <f t="shared" si="0"/>
        <v>4183400</v>
      </c>
      <c r="P18" s="68">
        <v>3272727</v>
      </c>
      <c r="Q18" s="68">
        <f t="shared" si="1"/>
        <v>-910673</v>
      </c>
    </row>
    <row r="19" spans="1:17" ht="21.95" customHeight="1" x14ac:dyDescent="0.25">
      <c r="A19" s="75">
        <v>12</v>
      </c>
      <c r="B19" s="133">
        <v>42659</v>
      </c>
      <c r="C19" s="135" t="s">
        <v>662</v>
      </c>
      <c r="D19" s="136" t="s">
        <v>687</v>
      </c>
      <c r="E19" s="78" t="s">
        <v>155</v>
      </c>
      <c r="F19" s="80"/>
      <c r="G19" s="77"/>
      <c r="H19" s="81"/>
      <c r="I19" s="81"/>
      <c r="J19" s="69">
        <f>1300000+70000</f>
        <v>1370000</v>
      </c>
      <c r="K19" s="86"/>
      <c r="L19" s="69"/>
      <c r="M19" s="69"/>
      <c r="N19" s="69"/>
      <c r="O19" s="142">
        <f t="shared" si="0"/>
        <v>1370000</v>
      </c>
      <c r="P19" s="68">
        <v>4700000</v>
      </c>
      <c r="Q19" s="68">
        <f t="shared" si="1"/>
        <v>3330000</v>
      </c>
    </row>
    <row r="20" spans="1:17" ht="21.95" customHeight="1" x14ac:dyDescent="0.25">
      <c r="A20" s="75">
        <v>13</v>
      </c>
      <c r="B20" s="133">
        <v>42660</v>
      </c>
      <c r="C20" s="135" t="s">
        <v>663</v>
      </c>
      <c r="D20" s="172" t="s">
        <v>688</v>
      </c>
      <c r="E20" s="78" t="s">
        <v>259</v>
      </c>
      <c r="F20" s="80"/>
      <c r="G20" s="77"/>
      <c r="H20" s="81"/>
      <c r="I20" s="81"/>
      <c r="J20" s="69">
        <f>200000+140000</f>
        <v>340000</v>
      </c>
      <c r="K20" s="86"/>
      <c r="L20" s="69"/>
      <c r="M20" s="69"/>
      <c r="N20" s="69"/>
      <c r="O20" s="142">
        <f t="shared" si="0"/>
        <v>340000</v>
      </c>
      <c r="P20" s="68">
        <v>1500000</v>
      </c>
      <c r="Q20" s="68">
        <f t="shared" si="1"/>
        <v>1160000</v>
      </c>
    </row>
    <row r="21" spans="1:17" ht="21.95" customHeight="1" x14ac:dyDescent="0.25">
      <c r="A21" s="75">
        <v>14</v>
      </c>
      <c r="B21" s="160">
        <v>42661</v>
      </c>
      <c r="C21" s="135" t="s">
        <v>664</v>
      </c>
      <c r="D21" s="136" t="s">
        <v>689</v>
      </c>
      <c r="E21" s="78" t="s">
        <v>706</v>
      </c>
      <c r="F21" s="80"/>
      <c r="G21" s="77">
        <v>231</v>
      </c>
      <c r="H21" s="81">
        <v>2869020</v>
      </c>
      <c r="I21" s="81"/>
      <c r="J21" s="69">
        <f>1230000+70000</f>
        <v>1300000</v>
      </c>
      <c r="K21" s="161"/>
      <c r="L21" s="69"/>
      <c r="M21" s="69"/>
      <c r="N21" s="69"/>
      <c r="O21" s="142">
        <f t="shared" si="0"/>
        <v>4169020</v>
      </c>
      <c r="P21" s="68">
        <v>3800000</v>
      </c>
      <c r="Q21" s="68">
        <f t="shared" si="1"/>
        <v>-369020</v>
      </c>
    </row>
    <row r="22" spans="1:17" ht="21.95" customHeight="1" x14ac:dyDescent="0.25">
      <c r="A22" s="75">
        <v>15</v>
      </c>
      <c r="B22" s="133">
        <v>42661</v>
      </c>
      <c r="C22" s="135" t="s">
        <v>665</v>
      </c>
      <c r="D22" s="136" t="s">
        <v>690</v>
      </c>
      <c r="E22" s="78" t="s">
        <v>707</v>
      </c>
      <c r="F22" s="80"/>
      <c r="G22" s="77"/>
      <c r="H22" s="81"/>
      <c r="I22" s="81"/>
      <c r="J22" s="69">
        <f>1230000-230000+70000</f>
        <v>1070000</v>
      </c>
      <c r="K22" s="86"/>
      <c r="L22" s="69"/>
      <c r="M22" s="69"/>
      <c r="N22" s="69"/>
      <c r="O22" s="142">
        <f t="shared" si="0"/>
        <v>1070000</v>
      </c>
      <c r="P22" s="68">
        <v>3100000</v>
      </c>
      <c r="Q22" s="68">
        <f t="shared" si="1"/>
        <v>2030000</v>
      </c>
    </row>
    <row r="23" spans="1:17" ht="21.95" customHeight="1" x14ac:dyDescent="0.25">
      <c r="A23" s="75">
        <v>16</v>
      </c>
      <c r="B23" s="133">
        <v>42664</v>
      </c>
      <c r="C23" s="135" t="s">
        <v>666</v>
      </c>
      <c r="D23" s="136" t="s">
        <v>691</v>
      </c>
      <c r="E23" s="78" t="s">
        <v>259</v>
      </c>
      <c r="F23" s="80"/>
      <c r="G23" s="77">
        <v>170</v>
      </c>
      <c r="H23" s="81">
        <v>2213400</v>
      </c>
      <c r="I23" s="81"/>
      <c r="J23" s="69">
        <v>200000</v>
      </c>
      <c r="K23" s="86"/>
      <c r="L23" s="69"/>
      <c r="M23" s="69"/>
      <c r="N23" s="69"/>
      <c r="O23" s="142">
        <f t="shared" si="0"/>
        <v>2413400</v>
      </c>
      <c r="P23" s="68">
        <v>1500000</v>
      </c>
      <c r="Q23" s="68">
        <f t="shared" si="1"/>
        <v>-913400</v>
      </c>
    </row>
    <row r="24" spans="1:17" ht="21.95" customHeight="1" x14ac:dyDescent="0.25">
      <c r="A24" s="75">
        <v>17</v>
      </c>
      <c r="B24" s="133">
        <v>42664</v>
      </c>
      <c r="C24" s="135" t="s">
        <v>667</v>
      </c>
      <c r="D24" s="136" t="s">
        <v>692</v>
      </c>
      <c r="E24" s="78" t="s">
        <v>705</v>
      </c>
      <c r="F24" s="80"/>
      <c r="G24" s="77"/>
      <c r="H24" s="81"/>
      <c r="I24" s="81"/>
      <c r="J24" s="69">
        <f>830000+70000</f>
        <v>900000</v>
      </c>
      <c r="K24" s="86"/>
      <c r="L24" s="69"/>
      <c r="M24" s="69"/>
      <c r="N24" s="69"/>
      <c r="O24" s="142">
        <f t="shared" si="0"/>
        <v>900000</v>
      </c>
      <c r="P24" s="68">
        <v>3272727</v>
      </c>
      <c r="Q24" s="68">
        <f t="shared" si="1"/>
        <v>2372727</v>
      </c>
    </row>
    <row r="25" spans="1:17" ht="21.95" customHeight="1" x14ac:dyDescent="0.25">
      <c r="A25" s="75">
        <v>18</v>
      </c>
      <c r="B25" s="133">
        <v>42665</v>
      </c>
      <c r="C25" s="135" t="s">
        <v>668</v>
      </c>
      <c r="D25" s="136" t="s">
        <v>693</v>
      </c>
      <c r="E25" s="78" t="s">
        <v>221</v>
      </c>
      <c r="F25" s="80"/>
      <c r="G25" s="77"/>
      <c r="H25" s="81"/>
      <c r="I25" s="81"/>
      <c r="J25" s="69">
        <f>140000+1000000</f>
        <v>1140000</v>
      </c>
      <c r="K25" s="86"/>
      <c r="L25" s="69"/>
      <c r="M25" s="69"/>
      <c r="N25" s="69"/>
      <c r="O25" s="142">
        <f t="shared" si="0"/>
        <v>1140000</v>
      </c>
      <c r="P25" s="68">
        <v>4090909</v>
      </c>
      <c r="Q25" s="68">
        <f t="shared" si="1"/>
        <v>2950909</v>
      </c>
    </row>
    <row r="26" spans="1:17" ht="21.95" customHeight="1" x14ac:dyDescent="0.25">
      <c r="A26" s="75">
        <v>19</v>
      </c>
      <c r="B26" s="133">
        <v>42665</v>
      </c>
      <c r="C26" s="135" t="s">
        <v>669</v>
      </c>
      <c r="D26" s="136" t="s">
        <v>694</v>
      </c>
      <c r="E26" s="78" t="s">
        <v>708</v>
      </c>
      <c r="F26" s="80"/>
      <c r="G26" s="77"/>
      <c r="H26" s="81"/>
      <c r="I26" s="81"/>
      <c r="J26" s="69">
        <f>140000+1200000</f>
        <v>1340000</v>
      </c>
      <c r="K26" s="86"/>
      <c r="L26" s="69"/>
      <c r="M26" s="69"/>
      <c r="N26" s="69"/>
      <c r="O26" s="142">
        <f t="shared" si="0"/>
        <v>1340000</v>
      </c>
      <c r="P26" s="68">
        <v>3181818</v>
      </c>
      <c r="Q26" s="68">
        <f t="shared" si="1"/>
        <v>1841818</v>
      </c>
    </row>
    <row r="27" spans="1:17" ht="21.95" customHeight="1" x14ac:dyDescent="0.25">
      <c r="A27" s="75">
        <v>20</v>
      </c>
      <c r="B27" s="133">
        <v>42667</v>
      </c>
      <c r="C27" s="135" t="s">
        <v>670</v>
      </c>
      <c r="D27" s="136" t="s">
        <v>695</v>
      </c>
      <c r="E27" s="78" t="s">
        <v>155</v>
      </c>
      <c r="F27" s="80"/>
      <c r="G27" s="77">
        <v>180</v>
      </c>
      <c r="H27" s="81">
        <v>2343600</v>
      </c>
      <c r="I27" s="81"/>
      <c r="J27" s="69">
        <f>1300000+70000</f>
        <v>1370000</v>
      </c>
      <c r="K27" s="86"/>
      <c r="L27" s="69"/>
      <c r="M27" s="69"/>
      <c r="N27" s="69"/>
      <c r="O27" s="142">
        <f t="shared" si="0"/>
        <v>3713600</v>
      </c>
      <c r="P27" s="68">
        <v>4700000</v>
      </c>
      <c r="Q27" s="68">
        <f t="shared" si="1"/>
        <v>986400</v>
      </c>
    </row>
    <row r="28" spans="1:17" ht="21.95" customHeight="1" x14ac:dyDescent="0.25">
      <c r="A28" s="75">
        <v>21</v>
      </c>
      <c r="B28" s="133">
        <v>42668</v>
      </c>
      <c r="C28" s="135" t="s">
        <v>671</v>
      </c>
      <c r="D28" s="136" t="s">
        <v>696</v>
      </c>
      <c r="E28" s="78" t="s">
        <v>28</v>
      </c>
      <c r="F28" s="80"/>
      <c r="G28" s="77"/>
      <c r="H28" s="81"/>
      <c r="I28" s="81"/>
      <c r="J28" s="69">
        <f>1300000+140000</f>
        <v>1440000</v>
      </c>
      <c r="K28" s="86"/>
      <c r="L28" s="69"/>
      <c r="M28" s="69"/>
      <c r="N28" s="69"/>
      <c r="O28" s="142">
        <f t="shared" si="0"/>
        <v>1440000</v>
      </c>
      <c r="P28" s="68">
        <v>4700000</v>
      </c>
      <c r="Q28" s="68">
        <f t="shared" si="1"/>
        <v>3260000</v>
      </c>
    </row>
    <row r="29" spans="1:17" ht="21.95" customHeight="1" x14ac:dyDescent="0.25">
      <c r="A29" s="75">
        <v>22</v>
      </c>
      <c r="B29" s="133">
        <v>42669</v>
      </c>
      <c r="C29" s="135" t="s">
        <v>672</v>
      </c>
      <c r="D29" s="136" t="s">
        <v>697</v>
      </c>
      <c r="E29" s="78" t="s">
        <v>221</v>
      </c>
      <c r="F29" s="80"/>
      <c r="G29" s="169">
        <v>185</v>
      </c>
      <c r="H29" s="81">
        <v>2408700</v>
      </c>
      <c r="I29" s="81"/>
      <c r="J29" s="69">
        <f>1000000+70000</f>
        <v>1070000</v>
      </c>
      <c r="K29" s="86"/>
      <c r="L29" s="69"/>
      <c r="M29" s="69"/>
      <c r="N29" s="69"/>
      <c r="O29" s="142">
        <f t="shared" si="0"/>
        <v>3478700</v>
      </c>
      <c r="P29" s="68">
        <v>4090909</v>
      </c>
      <c r="Q29" s="68">
        <f t="shared" si="1"/>
        <v>612209</v>
      </c>
    </row>
    <row r="30" spans="1:17" ht="21.95" customHeight="1" x14ac:dyDescent="0.25">
      <c r="A30" s="75">
        <v>23</v>
      </c>
      <c r="B30" s="133">
        <v>42670</v>
      </c>
      <c r="C30" s="135" t="s">
        <v>673</v>
      </c>
      <c r="D30" s="172" t="s">
        <v>698</v>
      </c>
      <c r="E30" s="78" t="s">
        <v>709</v>
      </c>
      <c r="F30" s="80"/>
      <c r="G30" s="77">
        <v>220</v>
      </c>
      <c r="H30" s="81">
        <v>2864400</v>
      </c>
      <c r="I30" s="81"/>
      <c r="J30" s="69">
        <f>1230000+70000+400000</f>
        <v>1700000</v>
      </c>
      <c r="K30" s="86"/>
      <c r="L30" s="69"/>
      <c r="M30" s="69"/>
      <c r="N30" s="69"/>
      <c r="O30" s="142">
        <f t="shared" si="0"/>
        <v>4564400</v>
      </c>
      <c r="P30" s="68">
        <v>3672727</v>
      </c>
      <c r="Q30" s="68">
        <f t="shared" si="1"/>
        <v>-891673</v>
      </c>
    </row>
    <row r="31" spans="1:17" ht="28.5" customHeight="1" x14ac:dyDescent="0.25">
      <c r="A31" s="75">
        <v>24</v>
      </c>
      <c r="B31" s="133">
        <v>42671</v>
      </c>
      <c r="C31" s="135" t="s">
        <v>674</v>
      </c>
      <c r="D31" s="136" t="s">
        <v>698</v>
      </c>
      <c r="E31" s="78" t="s">
        <v>710</v>
      </c>
      <c r="F31" s="80"/>
      <c r="G31" s="77"/>
      <c r="H31" s="81"/>
      <c r="I31" s="81"/>
      <c r="J31" s="69">
        <v>0</v>
      </c>
      <c r="K31" s="86"/>
      <c r="L31" s="69"/>
      <c r="M31" s="69"/>
      <c r="N31" s="69"/>
      <c r="O31" s="142">
        <f t="shared" si="0"/>
        <v>0</v>
      </c>
      <c r="P31" s="68">
        <v>3326818</v>
      </c>
      <c r="Q31" s="68">
        <f>P31-O31</f>
        <v>3326818</v>
      </c>
    </row>
    <row r="32" spans="1:17" ht="21.95" customHeight="1" x14ac:dyDescent="0.25">
      <c r="A32" s="75">
        <v>25</v>
      </c>
      <c r="B32" s="133">
        <v>42672</v>
      </c>
      <c r="C32" s="138" t="s">
        <v>675</v>
      </c>
      <c r="D32" s="139" t="s">
        <v>699</v>
      </c>
      <c r="E32" s="78" t="s">
        <v>711</v>
      </c>
      <c r="F32" s="110"/>
      <c r="G32" s="70"/>
      <c r="H32" s="81"/>
      <c r="I32" s="111"/>
      <c r="J32" s="112">
        <f>1600000+70000</f>
        <v>1670000</v>
      </c>
      <c r="K32" s="86"/>
      <c r="L32" s="69"/>
      <c r="M32" s="112"/>
      <c r="N32" s="112"/>
      <c r="O32" s="142">
        <f t="shared" si="0"/>
        <v>1670000</v>
      </c>
      <c r="P32" s="68">
        <v>5200000</v>
      </c>
      <c r="Q32" s="68">
        <f t="shared" ref="Q32:Q33" si="2">P32-O32</f>
        <v>3530000</v>
      </c>
    </row>
    <row r="33" spans="1:17" ht="21.95" customHeight="1" x14ac:dyDescent="0.25">
      <c r="A33" s="75">
        <v>26</v>
      </c>
      <c r="B33" s="133">
        <v>42673</v>
      </c>
      <c r="C33" s="138" t="s">
        <v>676</v>
      </c>
      <c r="D33" s="139" t="s">
        <v>700</v>
      </c>
      <c r="E33" s="78" t="s">
        <v>705</v>
      </c>
      <c r="F33" s="110"/>
      <c r="G33" s="70">
        <v>278</v>
      </c>
      <c r="H33" s="81">
        <v>3619560</v>
      </c>
      <c r="I33" s="111"/>
      <c r="J33" s="112">
        <f>830000+140000</f>
        <v>970000</v>
      </c>
      <c r="K33" s="86"/>
      <c r="L33" s="69"/>
      <c r="M33" s="112"/>
      <c r="N33" s="112"/>
      <c r="O33" s="142">
        <f t="shared" si="0"/>
        <v>4589560</v>
      </c>
      <c r="P33" s="68">
        <v>3472727</v>
      </c>
      <c r="Q33" s="68">
        <f t="shared" si="2"/>
        <v>-1116833</v>
      </c>
    </row>
    <row r="34" spans="1:17" ht="42" customHeight="1" x14ac:dyDescent="0.25">
      <c r="A34" s="75"/>
      <c r="B34" s="133"/>
      <c r="C34" s="171" t="s">
        <v>712</v>
      </c>
      <c r="D34" s="162"/>
      <c r="E34" s="153"/>
      <c r="F34" s="163"/>
      <c r="G34" s="164"/>
      <c r="H34" s="155"/>
      <c r="I34" s="165"/>
      <c r="J34" s="166"/>
      <c r="K34" s="86"/>
      <c r="L34" s="156">
        <v>350000</v>
      </c>
      <c r="M34" s="112"/>
      <c r="N34" s="112"/>
      <c r="O34" s="142">
        <f t="shared" si="0"/>
        <v>350000</v>
      </c>
      <c r="P34" s="68"/>
      <c r="Q34" s="68">
        <f t="shared" si="1"/>
        <v>-350000</v>
      </c>
    </row>
    <row r="35" spans="1:17" ht="28.5" customHeight="1" x14ac:dyDescent="0.25">
      <c r="A35" s="75"/>
      <c r="B35" s="133"/>
      <c r="C35" s="170" t="s">
        <v>714</v>
      </c>
      <c r="D35" s="162"/>
      <c r="E35" s="153"/>
      <c r="F35" s="163"/>
      <c r="G35" s="164"/>
      <c r="H35" s="155"/>
      <c r="I35" s="165"/>
      <c r="J35" s="166"/>
      <c r="K35" s="86"/>
      <c r="L35" s="156">
        <v>15000000</v>
      </c>
      <c r="M35" s="112"/>
      <c r="N35" s="112"/>
      <c r="O35" s="142">
        <f t="shared" si="0"/>
        <v>15000000</v>
      </c>
      <c r="P35" s="68"/>
      <c r="Q35" s="68">
        <f t="shared" si="1"/>
        <v>-15000000</v>
      </c>
    </row>
    <row r="36" spans="1:17" ht="20.25" customHeight="1" x14ac:dyDescent="0.25">
      <c r="A36" s="75"/>
      <c r="B36" s="133"/>
      <c r="C36" s="170" t="s">
        <v>713</v>
      </c>
      <c r="D36" s="162"/>
      <c r="E36" s="153"/>
      <c r="F36" s="163"/>
      <c r="G36" s="164"/>
      <c r="H36" s="155"/>
      <c r="I36" s="165"/>
      <c r="J36" s="166"/>
      <c r="K36" s="86"/>
      <c r="L36" s="156">
        <v>1320000</v>
      </c>
      <c r="M36" s="112"/>
      <c r="N36" s="112"/>
      <c r="O36" s="142">
        <f t="shared" si="0"/>
        <v>1320000</v>
      </c>
      <c r="P36" s="68"/>
      <c r="Q36" s="68">
        <f t="shared" si="1"/>
        <v>-1320000</v>
      </c>
    </row>
    <row r="37" spans="1:17" ht="42.75" customHeight="1" x14ac:dyDescent="0.25">
      <c r="A37" s="75"/>
      <c r="B37" s="137"/>
      <c r="C37" s="170" t="s">
        <v>643</v>
      </c>
      <c r="D37" s="162"/>
      <c r="E37" s="167"/>
      <c r="F37" s="163"/>
      <c r="G37" s="164"/>
      <c r="H37" s="155"/>
      <c r="I37" s="165"/>
      <c r="J37" s="166"/>
      <c r="K37" s="113"/>
      <c r="L37" s="166">
        <v>900000</v>
      </c>
      <c r="M37" s="112"/>
      <c r="N37" s="112"/>
      <c r="O37" s="142">
        <f t="shared" si="0"/>
        <v>900000</v>
      </c>
      <c r="P37" s="68"/>
      <c r="Q37" s="68">
        <f t="shared" si="1"/>
        <v>-900000</v>
      </c>
    </row>
    <row r="38" spans="1:17" ht="19.5" customHeight="1" x14ac:dyDescent="0.25">
      <c r="A38" s="75"/>
      <c r="B38" s="70"/>
      <c r="C38" s="108" t="s">
        <v>580</v>
      </c>
      <c r="D38" s="87"/>
      <c r="E38" s="70"/>
      <c r="F38" s="110"/>
      <c r="G38" s="70"/>
      <c r="H38" s="81"/>
      <c r="I38" s="111"/>
      <c r="J38" s="112"/>
      <c r="K38" s="113">
        <f>6230769+3461538</f>
        <v>9692307</v>
      </c>
      <c r="L38" s="141"/>
      <c r="M38" s="112"/>
      <c r="N38" s="112"/>
      <c r="O38" s="142">
        <f t="shared" si="0"/>
        <v>9692307</v>
      </c>
      <c r="P38" s="68"/>
      <c r="Q38" s="68">
        <f t="shared" si="1"/>
        <v>-9692307</v>
      </c>
    </row>
    <row r="39" spans="1:17" x14ac:dyDescent="0.25">
      <c r="A39" s="547" t="s">
        <v>19</v>
      </c>
      <c r="B39" s="548"/>
      <c r="C39" s="548"/>
      <c r="D39" s="548"/>
      <c r="E39" s="548"/>
      <c r="F39" s="549"/>
      <c r="G39" s="89">
        <f t="shared" ref="G39:N39" si="3">SUM(G7:G38)</f>
        <v>2257</v>
      </c>
      <c r="H39" s="71">
        <f>SUM(H7:H38)</f>
        <v>28632980</v>
      </c>
      <c r="I39" s="71">
        <f t="shared" si="3"/>
        <v>0</v>
      </c>
      <c r="J39" s="71">
        <f>SUM(J7:J38)</f>
        <v>29200000</v>
      </c>
      <c r="K39" s="71">
        <f>SUM(K7:K38)</f>
        <v>9692307</v>
      </c>
      <c r="L39" s="71">
        <f t="shared" si="3"/>
        <v>17570000</v>
      </c>
      <c r="M39" s="71">
        <f t="shared" si="3"/>
        <v>0</v>
      </c>
      <c r="N39" s="71">
        <f t="shared" si="3"/>
        <v>0</v>
      </c>
      <c r="O39" s="71">
        <f>SUM(O7:O38)</f>
        <v>85095287</v>
      </c>
      <c r="P39" s="71">
        <f>SUM(P7:P38)</f>
        <v>100572271</v>
      </c>
      <c r="Q39" s="71">
        <f>SUM(Q7:Q38)</f>
        <v>13316984</v>
      </c>
    </row>
  </sheetData>
  <mergeCells count="4">
    <mergeCell ref="A1:Q1"/>
    <mergeCell ref="A2:Q2"/>
    <mergeCell ref="A3:Q3"/>
    <mergeCell ref="A39:F39"/>
  </mergeCells>
  <pageMargins left="0.7" right="0.7" top="0.75" bottom="0.75" header="0.3" footer="0.3"/>
  <pageSetup paperSize="9" orientation="portrait" horizontalDpi="0" verticalDpi="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47"/>
  <sheetViews>
    <sheetView topLeftCell="A43" workbookViewId="0">
      <selection activeCell="A3" sqref="A3:Q3"/>
    </sheetView>
  </sheetViews>
  <sheetFormatPr defaultRowHeight="15" x14ac:dyDescent="0.25"/>
  <cols>
    <col min="1" max="1" width="7.140625" customWidth="1"/>
    <col min="2" max="2" width="11.7109375" customWidth="1"/>
    <col min="3" max="3" width="27" customWidth="1"/>
    <col min="4" max="4" width="14.85546875" customWidth="1"/>
    <col min="5" max="5" width="29.7109375" customWidth="1"/>
    <col min="16" max="16" width="10.28515625" customWidth="1"/>
  </cols>
  <sheetData>
    <row r="1" spans="1:17" ht="23.25" x14ac:dyDescent="0.25">
      <c r="A1" s="551" t="s">
        <v>0</v>
      </c>
      <c r="B1" s="551"/>
      <c r="C1" s="551"/>
      <c r="D1" s="551"/>
      <c r="E1" s="551"/>
      <c r="F1" s="551"/>
      <c r="G1" s="551"/>
      <c r="H1" s="551"/>
      <c r="I1" s="551"/>
      <c r="J1" s="551"/>
      <c r="K1" s="551"/>
      <c r="L1" s="551"/>
      <c r="M1" s="551"/>
      <c r="N1" s="551"/>
      <c r="O1" s="551"/>
      <c r="P1" s="551"/>
      <c r="Q1" s="551"/>
    </row>
    <row r="2" spans="1:17" ht="15.75" x14ac:dyDescent="0.25">
      <c r="A2" s="550" t="s">
        <v>103</v>
      </c>
      <c r="B2" s="550"/>
      <c r="C2" s="550"/>
      <c r="D2" s="550"/>
      <c r="E2" s="550"/>
      <c r="F2" s="550"/>
      <c r="G2" s="550"/>
      <c r="H2" s="550"/>
      <c r="I2" s="550"/>
      <c r="J2" s="550"/>
      <c r="K2" s="550"/>
      <c r="L2" s="550"/>
      <c r="M2" s="550"/>
      <c r="N2" s="550"/>
      <c r="O2" s="550"/>
      <c r="P2" s="550"/>
      <c r="Q2" s="550"/>
    </row>
    <row r="3" spans="1:17" ht="15.75" x14ac:dyDescent="0.25">
      <c r="A3" s="550" t="s">
        <v>782</v>
      </c>
      <c r="B3" s="550"/>
      <c r="C3" s="550"/>
      <c r="D3" s="550"/>
      <c r="E3" s="550"/>
      <c r="F3" s="550"/>
      <c r="G3" s="550"/>
      <c r="H3" s="550"/>
      <c r="I3" s="550"/>
      <c r="J3" s="550"/>
      <c r="K3" s="550"/>
      <c r="L3" s="550"/>
      <c r="M3" s="550"/>
      <c r="N3" s="550"/>
      <c r="O3" s="550"/>
      <c r="P3" s="550"/>
      <c r="Q3" s="550"/>
    </row>
    <row r="4" spans="1:17" x14ac:dyDescent="0.25">
      <c r="A4" s="74"/>
      <c r="B4" s="99"/>
      <c r="C4" s="74"/>
      <c r="D4" s="74"/>
      <c r="E4" s="74" t="s">
        <v>194</v>
      </c>
      <c r="F4" s="74"/>
      <c r="G4" s="74"/>
      <c r="H4" s="72"/>
      <c r="I4" s="74"/>
      <c r="J4" s="72"/>
      <c r="K4" s="72"/>
      <c r="L4" s="72"/>
      <c r="M4" s="72"/>
      <c r="N4" s="72"/>
      <c r="O4" s="72"/>
      <c r="P4" s="72"/>
      <c r="Q4" s="72"/>
    </row>
    <row r="5" spans="1:17" ht="38.25" x14ac:dyDescent="0.25">
      <c r="A5" s="177" t="s">
        <v>1</v>
      </c>
      <c r="B5" s="178" t="s">
        <v>2</v>
      </c>
      <c r="C5" s="177" t="s">
        <v>3</v>
      </c>
      <c r="D5" s="177" t="s">
        <v>5</v>
      </c>
      <c r="E5" s="174" t="s">
        <v>4</v>
      </c>
      <c r="F5" s="174" t="s">
        <v>17</v>
      </c>
      <c r="G5" s="552" t="s">
        <v>6</v>
      </c>
      <c r="H5" s="553"/>
      <c r="I5" s="553"/>
      <c r="J5" s="553"/>
      <c r="K5" s="553"/>
      <c r="L5" s="553"/>
      <c r="M5" s="553"/>
      <c r="N5" s="554"/>
      <c r="O5" s="127" t="s">
        <v>18</v>
      </c>
      <c r="P5" s="127" t="s">
        <v>13</v>
      </c>
      <c r="Q5" s="127" t="s">
        <v>14</v>
      </c>
    </row>
    <row r="6" spans="1:17" x14ac:dyDescent="0.25">
      <c r="A6" s="179"/>
      <c r="B6" s="180"/>
      <c r="C6" s="179"/>
      <c r="D6" s="179"/>
      <c r="E6" s="175"/>
      <c r="F6" s="175"/>
      <c r="G6" s="6" t="s">
        <v>7</v>
      </c>
      <c r="H6" s="7" t="s">
        <v>15</v>
      </c>
      <c r="I6" s="6" t="s">
        <v>16</v>
      </c>
      <c r="J6" s="7" t="s">
        <v>8</v>
      </c>
      <c r="K6" s="7" t="s">
        <v>9</v>
      </c>
      <c r="L6" s="7" t="s">
        <v>10</v>
      </c>
      <c r="M6" s="7" t="s">
        <v>11</v>
      </c>
      <c r="N6" s="7" t="s">
        <v>12</v>
      </c>
      <c r="O6" s="181"/>
      <c r="P6" s="181"/>
      <c r="Q6" s="181"/>
    </row>
    <row r="7" spans="1:17" x14ac:dyDescent="0.25">
      <c r="A7" s="75"/>
      <c r="B7" s="100"/>
      <c r="C7" s="88"/>
      <c r="D7" s="88"/>
      <c r="E7" s="134"/>
      <c r="F7" s="75"/>
      <c r="G7" s="77"/>
      <c r="H7" s="68"/>
      <c r="I7" s="75"/>
      <c r="J7" s="68"/>
      <c r="K7" s="68"/>
      <c r="L7" s="68"/>
      <c r="M7" s="68"/>
      <c r="N7" s="68"/>
      <c r="O7" s="68">
        <f>H7+J7+K7+L7+M7+N7</f>
        <v>0</v>
      </c>
      <c r="P7" s="144"/>
      <c r="Q7" s="68">
        <f>P7-O7</f>
        <v>0</v>
      </c>
    </row>
    <row r="8" spans="1:17" ht="20.100000000000001" customHeight="1" x14ac:dyDescent="0.25">
      <c r="A8" s="75">
        <v>1</v>
      </c>
      <c r="B8" s="133">
        <v>42674</v>
      </c>
      <c r="C8" s="135" t="s">
        <v>715</v>
      </c>
      <c r="D8" s="136" t="s">
        <v>745</v>
      </c>
      <c r="E8" s="78" t="s">
        <v>426</v>
      </c>
      <c r="F8" s="80"/>
      <c r="G8" s="77"/>
      <c r="H8" s="81"/>
      <c r="I8" s="81"/>
      <c r="J8" s="69">
        <f>30000+1200000+70000</f>
        <v>1300000</v>
      </c>
      <c r="K8" s="86"/>
      <c r="L8" s="69"/>
      <c r="M8" s="69"/>
      <c r="N8" s="69"/>
      <c r="O8" s="142">
        <f>H8+J8+K8+L8+M8+N8</f>
        <v>1300000</v>
      </c>
      <c r="P8" s="145">
        <v>3181818</v>
      </c>
      <c r="Q8" s="176">
        <f>P8-O8</f>
        <v>1881818</v>
      </c>
    </row>
    <row r="9" spans="1:17" ht="27.75" customHeight="1" x14ac:dyDescent="0.25">
      <c r="A9" s="75">
        <v>2</v>
      </c>
      <c r="B9" s="133">
        <v>42675</v>
      </c>
      <c r="C9" s="135" t="s">
        <v>716</v>
      </c>
      <c r="D9" s="136" t="s">
        <v>746</v>
      </c>
      <c r="E9" s="78" t="s">
        <v>704</v>
      </c>
      <c r="F9" s="80"/>
      <c r="G9" s="77"/>
      <c r="H9" s="81"/>
      <c r="I9" s="81"/>
      <c r="J9" s="69">
        <f>840000+140000</f>
        <v>980000</v>
      </c>
      <c r="K9" s="86"/>
      <c r="L9" s="69"/>
      <c r="M9" s="69"/>
      <c r="N9" s="69"/>
      <c r="O9" s="142">
        <f t="shared" ref="O9:O43" si="0">H9+J9+K9+L9+M9+N9</f>
        <v>980000</v>
      </c>
      <c r="P9" s="145">
        <v>3000000</v>
      </c>
      <c r="Q9" s="176">
        <f t="shared" ref="Q9:Q43" si="1">P9-O9</f>
        <v>2020000</v>
      </c>
    </row>
    <row r="10" spans="1:17" ht="20.100000000000001" customHeight="1" x14ac:dyDescent="0.25">
      <c r="A10" s="75">
        <v>3</v>
      </c>
      <c r="B10" s="133">
        <v>42676</v>
      </c>
      <c r="C10" s="135" t="s">
        <v>717</v>
      </c>
      <c r="D10" s="136" t="s">
        <v>747</v>
      </c>
      <c r="E10" s="78" t="s">
        <v>769</v>
      </c>
      <c r="F10" s="80"/>
      <c r="G10" s="77">
        <v>260</v>
      </c>
      <c r="H10" s="81">
        <v>3385200</v>
      </c>
      <c r="I10" s="81"/>
      <c r="J10" s="69">
        <f>840000+140000</f>
        <v>980000</v>
      </c>
      <c r="K10" s="86"/>
      <c r="L10" s="69"/>
      <c r="M10" s="69"/>
      <c r="N10" s="69"/>
      <c r="O10" s="142">
        <f t="shared" si="0"/>
        <v>4365200</v>
      </c>
      <c r="P10" s="145">
        <v>2727273</v>
      </c>
      <c r="Q10" s="176">
        <f t="shared" si="1"/>
        <v>-1637927</v>
      </c>
    </row>
    <row r="11" spans="1:17" ht="20.100000000000001" customHeight="1" x14ac:dyDescent="0.25">
      <c r="A11" s="75">
        <v>4</v>
      </c>
      <c r="B11" s="133">
        <v>42677</v>
      </c>
      <c r="C11" s="135" t="s">
        <v>718</v>
      </c>
      <c r="D11" s="136" t="s">
        <v>748</v>
      </c>
      <c r="E11" s="78" t="s">
        <v>566</v>
      </c>
      <c r="F11" s="80"/>
      <c r="G11" s="77"/>
      <c r="H11" s="81"/>
      <c r="I11" s="81"/>
      <c r="J11" s="69">
        <f>1100000+140000+150000</f>
        <v>1390000</v>
      </c>
      <c r="K11" s="86"/>
      <c r="L11" s="69"/>
      <c r="M11" s="69"/>
      <c r="N11" s="69"/>
      <c r="O11" s="142">
        <f t="shared" si="0"/>
        <v>1390000</v>
      </c>
      <c r="P11" s="145">
        <v>3381818</v>
      </c>
      <c r="Q11" s="176">
        <f t="shared" si="1"/>
        <v>1991818</v>
      </c>
    </row>
    <row r="12" spans="1:17" ht="20.100000000000001" customHeight="1" x14ac:dyDescent="0.25">
      <c r="A12" s="75">
        <v>5</v>
      </c>
      <c r="B12" s="133">
        <v>42678</v>
      </c>
      <c r="C12" s="135" t="s">
        <v>719</v>
      </c>
      <c r="D12" s="136" t="s">
        <v>748</v>
      </c>
      <c r="E12" s="78" t="s">
        <v>770</v>
      </c>
      <c r="F12" s="80"/>
      <c r="G12" s="77"/>
      <c r="H12" s="81"/>
      <c r="I12" s="81"/>
      <c r="J12" s="69">
        <v>0</v>
      </c>
      <c r="K12" s="86"/>
      <c r="L12" s="69"/>
      <c r="M12" s="69"/>
      <c r="N12" s="69"/>
      <c r="O12" s="142">
        <f t="shared" si="0"/>
        <v>0</v>
      </c>
      <c r="P12" s="145">
        <v>3272727</v>
      </c>
      <c r="Q12" s="176">
        <f t="shared" si="1"/>
        <v>3272727</v>
      </c>
    </row>
    <row r="13" spans="1:17" ht="20.100000000000001" customHeight="1" x14ac:dyDescent="0.25">
      <c r="A13" s="75">
        <v>6</v>
      </c>
      <c r="B13" s="133">
        <v>42679</v>
      </c>
      <c r="C13" s="135" t="s">
        <v>720</v>
      </c>
      <c r="D13" s="136" t="s">
        <v>749</v>
      </c>
      <c r="E13" s="78" t="s">
        <v>24</v>
      </c>
      <c r="F13" s="80"/>
      <c r="G13" s="77">
        <v>185</v>
      </c>
      <c r="H13" s="81">
        <v>2408700</v>
      </c>
      <c r="I13" s="81"/>
      <c r="J13" s="69">
        <f>1950000+140000</f>
        <v>2090000</v>
      </c>
      <c r="K13" s="86"/>
      <c r="L13" s="69"/>
      <c r="M13" s="69"/>
      <c r="N13" s="69"/>
      <c r="O13" s="142">
        <f t="shared" si="0"/>
        <v>4498700</v>
      </c>
      <c r="P13" s="145">
        <v>8181818</v>
      </c>
      <c r="Q13" s="176">
        <f t="shared" si="1"/>
        <v>3683118</v>
      </c>
    </row>
    <row r="14" spans="1:17" ht="20.100000000000001" customHeight="1" x14ac:dyDescent="0.25">
      <c r="A14" s="75">
        <v>7</v>
      </c>
      <c r="B14" s="133">
        <v>42681</v>
      </c>
      <c r="C14" s="135" t="s">
        <v>721</v>
      </c>
      <c r="D14" s="136" t="s">
        <v>750</v>
      </c>
      <c r="E14" s="78" t="s">
        <v>24</v>
      </c>
      <c r="F14" s="80"/>
      <c r="G14" s="77">
        <v>200</v>
      </c>
      <c r="H14" s="81">
        <v>2604000</v>
      </c>
      <c r="I14" s="81"/>
      <c r="J14" s="69">
        <f>1950000+140000</f>
        <v>2090000</v>
      </c>
      <c r="K14" s="86"/>
      <c r="L14" s="69"/>
      <c r="M14" s="69"/>
      <c r="N14" s="69"/>
      <c r="O14" s="142">
        <f t="shared" si="0"/>
        <v>4694000</v>
      </c>
      <c r="P14" s="145">
        <v>8181818</v>
      </c>
      <c r="Q14" s="176">
        <f t="shared" si="1"/>
        <v>3487818</v>
      </c>
    </row>
    <row r="15" spans="1:17" ht="20.100000000000001" customHeight="1" x14ac:dyDescent="0.25">
      <c r="A15" s="75">
        <v>8</v>
      </c>
      <c r="B15" s="133">
        <v>42682</v>
      </c>
      <c r="C15" s="135" t="s">
        <v>722</v>
      </c>
      <c r="D15" s="136" t="s">
        <v>751</v>
      </c>
      <c r="E15" s="78" t="s">
        <v>566</v>
      </c>
      <c r="F15" s="80"/>
      <c r="G15" s="77"/>
      <c r="H15" s="81"/>
      <c r="I15" s="81"/>
      <c r="J15" s="69">
        <f>950000+140000+400000</f>
        <v>1490000</v>
      </c>
      <c r="K15" s="86"/>
      <c r="L15" s="69"/>
      <c r="M15" s="69"/>
      <c r="N15" s="69"/>
      <c r="O15" s="142">
        <f t="shared" si="0"/>
        <v>1490000</v>
      </c>
      <c r="P15" s="145">
        <v>3381818</v>
      </c>
      <c r="Q15" s="176">
        <f t="shared" si="1"/>
        <v>1891818</v>
      </c>
    </row>
    <row r="16" spans="1:17" ht="20.100000000000001" customHeight="1" x14ac:dyDescent="0.25">
      <c r="A16" s="75">
        <v>9</v>
      </c>
      <c r="B16" s="133">
        <v>42683</v>
      </c>
      <c r="C16" s="135" t="s">
        <v>723</v>
      </c>
      <c r="D16" s="136" t="s">
        <v>751</v>
      </c>
      <c r="E16" s="78" t="s">
        <v>27</v>
      </c>
      <c r="F16" s="80"/>
      <c r="G16" s="77">
        <v>284</v>
      </c>
      <c r="H16" s="81">
        <v>3697680</v>
      </c>
      <c r="I16" s="81"/>
      <c r="J16" s="69">
        <v>0</v>
      </c>
      <c r="K16" s="86"/>
      <c r="L16" s="69"/>
      <c r="M16" s="69"/>
      <c r="N16" s="69"/>
      <c r="O16" s="142">
        <f t="shared" si="0"/>
        <v>3697680</v>
      </c>
      <c r="P16" s="145">
        <v>1781818</v>
      </c>
      <c r="Q16" s="176">
        <f t="shared" si="1"/>
        <v>-1915862</v>
      </c>
    </row>
    <row r="17" spans="1:17" ht="20.100000000000001" customHeight="1" x14ac:dyDescent="0.25">
      <c r="A17" s="75">
        <v>10</v>
      </c>
      <c r="B17" s="133">
        <v>42683</v>
      </c>
      <c r="C17" s="135" t="s">
        <v>724</v>
      </c>
      <c r="D17" s="136" t="s">
        <v>752</v>
      </c>
      <c r="E17" s="78" t="s">
        <v>705</v>
      </c>
      <c r="F17" s="80"/>
      <c r="G17" s="77"/>
      <c r="H17" s="81"/>
      <c r="I17" s="81"/>
      <c r="J17" s="69">
        <f>830000+520000+70000</f>
        <v>1420000</v>
      </c>
      <c r="K17" s="86"/>
      <c r="L17" s="69"/>
      <c r="M17" s="69"/>
      <c r="N17" s="69"/>
      <c r="O17" s="142">
        <f t="shared" si="0"/>
        <v>1420000</v>
      </c>
      <c r="P17" s="145">
        <v>3272727</v>
      </c>
      <c r="Q17" s="176">
        <f t="shared" si="1"/>
        <v>1852727</v>
      </c>
    </row>
    <row r="18" spans="1:17" ht="20.100000000000001" customHeight="1" x14ac:dyDescent="0.25">
      <c r="A18" s="75">
        <v>11</v>
      </c>
      <c r="B18" s="133">
        <v>42684</v>
      </c>
      <c r="C18" s="135" t="s">
        <v>725</v>
      </c>
      <c r="D18" s="136" t="s">
        <v>752</v>
      </c>
      <c r="E18" s="78" t="s">
        <v>770</v>
      </c>
      <c r="F18" s="80"/>
      <c r="G18" s="77"/>
      <c r="H18" s="81"/>
      <c r="I18" s="81"/>
      <c r="J18" s="69">
        <v>0</v>
      </c>
      <c r="K18" s="86"/>
      <c r="L18" s="69"/>
      <c r="M18" s="69"/>
      <c r="N18" s="69"/>
      <c r="O18" s="142">
        <f t="shared" si="0"/>
        <v>0</v>
      </c>
      <c r="P18" s="145">
        <v>3272727</v>
      </c>
      <c r="Q18" s="176">
        <f t="shared" si="1"/>
        <v>3272727</v>
      </c>
    </row>
    <row r="19" spans="1:17" ht="20.100000000000001" customHeight="1" x14ac:dyDescent="0.25">
      <c r="A19" s="75">
        <v>12</v>
      </c>
      <c r="B19" s="133">
        <v>42685</v>
      </c>
      <c r="C19" s="135" t="s">
        <v>726</v>
      </c>
      <c r="D19" s="136" t="s">
        <v>753</v>
      </c>
      <c r="E19" s="78" t="s">
        <v>426</v>
      </c>
      <c r="F19" s="80"/>
      <c r="G19" s="77">
        <v>240</v>
      </c>
      <c r="H19" s="81">
        <v>3124800</v>
      </c>
      <c r="I19" s="81"/>
      <c r="J19" s="69">
        <f>1230000+140000</f>
        <v>1370000</v>
      </c>
      <c r="K19" s="86"/>
      <c r="L19" s="69"/>
      <c r="M19" s="69"/>
      <c r="N19" s="69"/>
      <c r="O19" s="142">
        <f t="shared" si="0"/>
        <v>4494800</v>
      </c>
      <c r="P19" s="145">
        <v>3500000</v>
      </c>
      <c r="Q19" s="176">
        <f t="shared" si="1"/>
        <v>-994800</v>
      </c>
    </row>
    <row r="20" spans="1:17" ht="20.100000000000001" customHeight="1" x14ac:dyDescent="0.25">
      <c r="A20" s="75">
        <v>13</v>
      </c>
      <c r="B20" s="133">
        <v>42687</v>
      </c>
      <c r="C20" s="135" t="s">
        <v>727</v>
      </c>
      <c r="D20" s="136" t="s">
        <v>754</v>
      </c>
      <c r="E20" s="78" t="s">
        <v>501</v>
      </c>
      <c r="F20" s="80"/>
      <c r="G20" s="77"/>
      <c r="H20" s="81"/>
      <c r="I20" s="81"/>
      <c r="J20" s="69">
        <v>1040000</v>
      </c>
      <c r="K20" s="86"/>
      <c r="L20" s="69"/>
      <c r="M20" s="69"/>
      <c r="N20" s="69"/>
      <c r="O20" s="142">
        <f t="shared" si="0"/>
        <v>1040000</v>
      </c>
      <c r="P20" s="145">
        <v>3100000</v>
      </c>
      <c r="Q20" s="176">
        <f t="shared" si="1"/>
        <v>2060000</v>
      </c>
    </row>
    <row r="21" spans="1:17" ht="29.25" customHeight="1" x14ac:dyDescent="0.25">
      <c r="A21" s="75">
        <v>14</v>
      </c>
      <c r="B21" s="133">
        <v>42688</v>
      </c>
      <c r="C21" s="135" t="s">
        <v>728</v>
      </c>
      <c r="D21" s="136" t="s">
        <v>755</v>
      </c>
      <c r="E21" s="78" t="s">
        <v>771</v>
      </c>
      <c r="F21" s="80"/>
      <c r="G21" s="77"/>
      <c r="H21" s="81"/>
      <c r="I21" s="81"/>
      <c r="J21" s="69">
        <f>950000+140000</f>
        <v>1090000</v>
      </c>
      <c r="K21" s="86"/>
      <c r="L21" s="69"/>
      <c r="M21" s="69"/>
      <c r="N21" s="69"/>
      <c r="O21" s="142">
        <f t="shared" si="0"/>
        <v>1090000</v>
      </c>
      <c r="P21" s="145">
        <v>3636364</v>
      </c>
      <c r="Q21" s="176">
        <f t="shared" si="1"/>
        <v>2546364</v>
      </c>
    </row>
    <row r="22" spans="1:17" ht="20.100000000000001" customHeight="1" x14ac:dyDescent="0.25">
      <c r="A22" s="75">
        <v>15</v>
      </c>
      <c r="B22" s="133">
        <v>42688</v>
      </c>
      <c r="C22" s="135" t="s">
        <v>729</v>
      </c>
      <c r="D22" s="136" t="s">
        <v>756</v>
      </c>
      <c r="E22" s="78" t="s">
        <v>772</v>
      </c>
      <c r="F22" s="80"/>
      <c r="G22" s="77"/>
      <c r="H22" s="81"/>
      <c r="I22" s="81"/>
      <c r="J22" s="69">
        <f>1230000+140000</f>
        <v>1370000</v>
      </c>
      <c r="K22" s="86"/>
      <c r="L22" s="69"/>
      <c r="M22" s="69"/>
      <c r="N22" s="69"/>
      <c r="O22" s="142">
        <f t="shared" si="0"/>
        <v>1370000</v>
      </c>
      <c r="P22" s="145">
        <v>3400000</v>
      </c>
      <c r="Q22" s="176">
        <f t="shared" si="1"/>
        <v>2030000</v>
      </c>
    </row>
    <row r="23" spans="1:17" ht="20.100000000000001" customHeight="1" x14ac:dyDescent="0.25">
      <c r="A23" s="75">
        <v>16</v>
      </c>
      <c r="B23" s="133">
        <v>42689</v>
      </c>
      <c r="C23" s="135" t="s">
        <v>730</v>
      </c>
      <c r="D23" s="136" t="s">
        <v>757</v>
      </c>
      <c r="E23" s="78" t="s">
        <v>21</v>
      </c>
      <c r="F23" s="80"/>
      <c r="G23" s="77">
        <v>245</v>
      </c>
      <c r="H23" s="81">
        <f>3189900-600000</f>
        <v>2589900</v>
      </c>
      <c r="I23" s="81"/>
      <c r="J23" s="69">
        <f>3000000+140000</f>
        <v>3140000</v>
      </c>
      <c r="K23" s="86"/>
      <c r="L23" s="69"/>
      <c r="M23" s="69"/>
      <c r="N23" s="69"/>
      <c r="O23" s="142">
        <f t="shared" si="0"/>
        <v>5729900</v>
      </c>
      <c r="P23" s="145">
        <v>14318182</v>
      </c>
      <c r="Q23" s="176">
        <f t="shared" si="1"/>
        <v>8588282</v>
      </c>
    </row>
    <row r="24" spans="1:17" ht="20.100000000000001" customHeight="1" x14ac:dyDescent="0.25">
      <c r="A24" s="75">
        <v>17</v>
      </c>
      <c r="B24" s="133">
        <v>42691</v>
      </c>
      <c r="C24" s="135" t="s">
        <v>731</v>
      </c>
      <c r="D24" s="136" t="s">
        <v>758</v>
      </c>
      <c r="E24" s="78" t="s">
        <v>705</v>
      </c>
      <c r="F24" s="80"/>
      <c r="G24" s="77">
        <v>280</v>
      </c>
      <c r="H24" s="81">
        <v>3645600</v>
      </c>
      <c r="I24" s="81"/>
      <c r="J24" s="69">
        <f>830000+140000</f>
        <v>970000</v>
      </c>
      <c r="K24" s="86"/>
      <c r="L24" s="69"/>
      <c r="M24" s="69"/>
      <c r="N24" s="69"/>
      <c r="O24" s="142">
        <f t="shared" si="0"/>
        <v>4615600</v>
      </c>
      <c r="P24" s="145">
        <v>3272727</v>
      </c>
      <c r="Q24" s="176">
        <f t="shared" si="1"/>
        <v>-1342873</v>
      </c>
    </row>
    <row r="25" spans="1:17" ht="20.100000000000001" customHeight="1" x14ac:dyDescent="0.25">
      <c r="A25" s="75">
        <v>18</v>
      </c>
      <c r="B25" s="133">
        <v>42693</v>
      </c>
      <c r="C25" s="135" t="s">
        <v>732</v>
      </c>
      <c r="D25" s="136" t="s">
        <v>759</v>
      </c>
      <c r="E25" s="78" t="s">
        <v>426</v>
      </c>
      <c r="F25" s="80"/>
      <c r="G25" s="77"/>
      <c r="H25" s="81"/>
      <c r="I25" s="81"/>
      <c r="J25" s="69">
        <v>1150000</v>
      </c>
      <c r="K25" s="86"/>
      <c r="L25" s="69"/>
      <c r="M25" s="69"/>
      <c r="N25" s="69"/>
      <c r="O25" s="142">
        <f t="shared" si="0"/>
        <v>1150000</v>
      </c>
      <c r="P25" s="145">
        <v>3500000</v>
      </c>
      <c r="Q25" s="176">
        <f t="shared" si="1"/>
        <v>2350000</v>
      </c>
    </row>
    <row r="26" spans="1:17" ht="30.75" customHeight="1" x14ac:dyDescent="0.25">
      <c r="A26" s="75">
        <v>19</v>
      </c>
      <c r="B26" s="133">
        <v>42693</v>
      </c>
      <c r="C26" s="135" t="s">
        <v>733</v>
      </c>
      <c r="D26" s="136" t="s">
        <v>760</v>
      </c>
      <c r="E26" s="78" t="s">
        <v>773</v>
      </c>
      <c r="F26" s="80"/>
      <c r="G26" s="77"/>
      <c r="H26" s="81"/>
      <c r="I26" s="81"/>
      <c r="J26" s="69">
        <f>830000+140000</f>
        <v>970000</v>
      </c>
      <c r="K26" s="86"/>
      <c r="L26" s="69"/>
      <c r="M26" s="69"/>
      <c r="N26" s="69"/>
      <c r="O26" s="142">
        <f t="shared" si="0"/>
        <v>970000</v>
      </c>
      <c r="P26" s="145">
        <v>3800000</v>
      </c>
      <c r="Q26" s="176">
        <f t="shared" si="1"/>
        <v>2830000</v>
      </c>
    </row>
    <row r="27" spans="1:17" ht="20.100000000000001" customHeight="1" x14ac:dyDescent="0.25">
      <c r="A27" s="75">
        <v>20</v>
      </c>
      <c r="B27" s="133">
        <v>42694</v>
      </c>
      <c r="C27" s="135" t="s">
        <v>734</v>
      </c>
      <c r="D27" s="136" t="s">
        <v>761</v>
      </c>
      <c r="E27" s="78" t="s">
        <v>774</v>
      </c>
      <c r="F27" s="80"/>
      <c r="G27" s="77">
        <v>300</v>
      </c>
      <c r="H27" s="81">
        <v>3750000</v>
      </c>
      <c r="I27" s="81"/>
      <c r="J27" s="69">
        <f>1100000+140000</f>
        <v>1240000</v>
      </c>
      <c r="K27" s="86"/>
      <c r="L27" s="69"/>
      <c r="M27" s="69"/>
      <c r="N27" s="69"/>
      <c r="O27" s="142">
        <f t="shared" si="0"/>
        <v>4990000</v>
      </c>
      <c r="P27" s="145">
        <v>4500000</v>
      </c>
      <c r="Q27" s="176">
        <f t="shared" si="1"/>
        <v>-490000</v>
      </c>
    </row>
    <row r="28" spans="1:17" ht="20.100000000000001" customHeight="1" x14ac:dyDescent="0.25">
      <c r="A28" s="75">
        <v>21</v>
      </c>
      <c r="B28" s="133">
        <v>42696</v>
      </c>
      <c r="C28" s="135" t="s">
        <v>735</v>
      </c>
      <c r="D28" s="136" t="s">
        <v>762</v>
      </c>
      <c r="E28" s="78" t="s">
        <v>774</v>
      </c>
      <c r="F28" s="80"/>
      <c r="G28" s="77"/>
      <c r="H28" s="81"/>
      <c r="I28" s="81"/>
      <c r="J28" s="69">
        <f>1060000+140000</f>
        <v>1200000</v>
      </c>
      <c r="K28" s="86"/>
      <c r="L28" s="69"/>
      <c r="M28" s="69"/>
      <c r="N28" s="69"/>
      <c r="O28" s="142">
        <f t="shared" si="0"/>
        <v>1200000</v>
      </c>
      <c r="P28" s="145">
        <v>4500000</v>
      </c>
      <c r="Q28" s="176">
        <f t="shared" si="1"/>
        <v>3300000</v>
      </c>
    </row>
    <row r="29" spans="1:17" ht="20.100000000000001" customHeight="1" x14ac:dyDescent="0.25">
      <c r="A29" s="75">
        <v>22</v>
      </c>
      <c r="B29" s="133">
        <v>42697</v>
      </c>
      <c r="C29" s="135" t="s">
        <v>736</v>
      </c>
      <c r="D29" s="136" t="s">
        <v>763</v>
      </c>
      <c r="E29" s="78" t="s">
        <v>24</v>
      </c>
      <c r="F29" s="80"/>
      <c r="G29" s="77">
        <v>220</v>
      </c>
      <c r="H29" s="81">
        <v>2750000</v>
      </c>
      <c r="I29" s="81"/>
      <c r="J29" s="69">
        <f>1910000+140000</f>
        <v>2050000</v>
      </c>
      <c r="K29" s="86"/>
      <c r="L29" s="69"/>
      <c r="M29" s="69"/>
      <c r="N29" s="69"/>
      <c r="O29" s="142">
        <f t="shared" si="0"/>
        <v>4800000</v>
      </c>
      <c r="P29" s="145">
        <v>7727273</v>
      </c>
      <c r="Q29" s="176">
        <f t="shared" si="1"/>
        <v>2927273</v>
      </c>
    </row>
    <row r="30" spans="1:17" ht="20.100000000000001" customHeight="1" x14ac:dyDescent="0.25">
      <c r="A30" s="75">
        <v>23</v>
      </c>
      <c r="B30" s="133">
        <v>42698</v>
      </c>
      <c r="C30" s="135" t="s">
        <v>737</v>
      </c>
      <c r="D30" s="172" t="s">
        <v>764</v>
      </c>
      <c r="E30" s="78" t="s">
        <v>770</v>
      </c>
      <c r="F30" s="80"/>
      <c r="G30" s="77"/>
      <c r="H30" s="81"/>
      <c r="I30" s="81"/>
      <c r="J30" s="69">
        <f>950000+140000+400000</f>
        <v>1490000</v>
      </c>
      <c r="K30" s="86"/>
      <c r="L30" s="69"/>
      <c r="M30" s="69"/>
      <c r="N30" s="69"/>
      <c r="O30" s="142">
        <f t="shared" si="0"/>
        <v>1490000</v>
      </c>
      <c r="P30" s="145">
        <v>3636364</v>
      </c>
      <c r="Q30" s="176">
        <f t="shared" si="1"/>
        <v>2146364</v>
      </c>
    </row>
    <row r="31" spans="1:17" ht="20.100000000000001" customHeight="1" x14ac:dyDescent="0.25">
      <c r="A31" s="75">
        <v>24</v>
      </c>
      <c r="B31" s="160">
        <v>42699</v>
      </c>
      <c r="C31" s="135" t="s">
        <v>738</v>
      </c>
      <c r="D31" s="136" t="s">
        <v>764</v>
      </c>
      <c r="E31" s="78" t="s">
        <v>566</v>
      </c>
      <c r="F31" s="80"/>
      <c r="G31" s="77"/>
      <c r="H31" s="81"/>
      <c r="I31" s="81"/>
      <c r="J31" s="77">
        <v>0</v>
      </c>
      <c r="K31" s="161"/>
      <c r="L31" s="69"/>
      <c r="M31" s="69"/>
      <c r="N31" s="69"/>
      <c r="O31" s="142">
        <f t="shared" si="0"/>
        <v>0</v>
      </c>
      <c r="P31" s="145">
        <v>2136364</v>
      </c>
      <c r="Q31" s="176">
        <f t="shared" si="1"/>
        <v>2136364</v>
      </c>
    </row>
    <row r="32" spans="1:17" ht="20.100000000000001" customHeight="1" x14ac:dyDescent="0.25">
      <c r="A32" s="75">
        <v>25</v>
      </c>
      <c r="B32" s="133">
        <v>42699</v>
      </c>
      <c r="C32" s="135" t="s">
        <v>739</v>
      </c>
      <c r="D32" s="136" t="s">
        <v>765</v>
      </c>
      <c r="E32" s="78" t="s">
        <v>232</v>
      </c>
      <c r="F32" s="80"/>
      <c r="G32" s="77">
        <v>262</v>
      </c>
      <c r="H32" s="81">
        <v>3275000</v>
      </c>
      <c r="I32" s="81"/>
      <c r="J32" s="69">
        <f>800000+140000</f>
        <v>940000</v>
      </c>
      <c r="K32" s="86"/>
      <c r="L32" s="69"/>
      <c r="M32" s="69"/>
      <c r="N32" s="69"/>
      <c r="O32" s="142">
        <f t="shared" si="0"/>
        <v>4215000</v>
      </c>
      <c r="P32" s="145">
        <v>2545455</v>
      </c>
      <c r="Q32" s="176">
        <f t="shared" si="1"/>
        <v>-1669545</v>
      </c>
    </row>
    <row r="33" spans="1:18" ht="20.100000000000001" customHeight="1" x14ac:dyDescent="0.25">
      <c r="A33" s="75">
        <v>26</v>
      </c>
      <c r="B33" s="133">
        <v>42700</v>
      </c>
      <c r="C33" s="135" t="s">
        <v>740</v>
      </c>
      <c r="D33" s="136" t="s">
        <v>766</v>
      </c>
      <c r="E33" s="78" t="s">
        <v>774</v>
      </c>
      <c r="F33" s="80"/>
      <c r="G33" s="77"/>
      <c r="H33" s="81"/>
      <c r="I33" s="81"/>
      <c r="J33" s="182">
        <f>1100000+140000</f>
        <v>1240000</v>
      </c>
      <c r="K33" s="86"/>
      <c r="L33" s="69"/>
      <c r="M33" s="69"/>
      <c r="N33" s="69"/>
      <c r="O33" s="142">
        <f t="shared" si="0"/>
        <v>1240000</v>
      </c>
      <c r="P33" s="145">
        <v>4500000</v>
      </c>
      <c r="Q33" s="176">
        <f t="shared" si="1"/>
        <v>3260000</v>
      </c>
    </row>
    <row r="34" spans="1:18" ht="20.100000000000001" customHeight="1" x14ac:dyDescent="0.25">
      <c r="A34" s="75">
        <v>27</v>
      </c>
      <c r="B34" s="133">
        <v>42700</v>
      </c>
      <c r="C34" s="135" t="s">
        <v>741</v>
      </c>
      <c r="D34" s="136" t="s">
        <v>767</v>
      </c>
      <c r="E34" s="78" t="s">
        <v>774</v>
      </c>
      <c r="F34" s="80"/>
      <c r="G34" s="77"/>
      <c r="H34" s="81"/>
      <c r="I34" s="81"/>
      <c r="J34" s="69">
        <f>1100000+210000-70000</f>
        <v>1240000</v>
      </c>
      <c r="K34" s="86"/>
      <c r="L34" s="69"/>
      <c r="M34" s="69"/>
      <c r="N34" s="69"/>
      <c r="O34" s="142">
        <f t="shared" si="0"/>
        <v>1240000</v>
      </c>
      <c r="P34" s="145">
        <v>4500000</v>
      </c>
      <c r="Q34" s="176">
        <f t="shared" si="1"/>
        <v>3260000</v>
      </c>
      <c r="R34" s="173"/>
    </row>
    <row r="35" spans="1:18" ht="20.100000000000001" customHeight="1" x14ac:dyDescent="0.25">
      <c r="A35" s="75">
        <v>28</v>
      </c>
      <c r="B35" s="133">
        <v>42702</v>
      </c>
      <c r="C35" s="135" t="s">
        <v>742</v>
      </c>
      <c r="D35" s="136" t="s">
        <v>481</v>
      </c>
      <c r="E35" s="78" t="s">
        <v>426</v>
      </c>
      <c r="F35" s="80"/>
      <c r="G35" s="77">
        <v>300</v>
      </c>
      <c r="H35" s="81">
        <v>3750000</v>
      </c>
      <c r="I35" s="81"/>
      <c r="J35" s="69">
        <f>1150000+140000</f>
        <v>1290000</v>
      </c>
      <c r="K35" s="86"/>
      <c r="L35" s="69"/>
      <c r="M35" s="69"/>
      <c r="N35" s="69"/>
      <c r="O35" s="142">
        <f t="shared" si="0"/>
        <v>5040000</v>
      </c>
      <c r="P35" s="145">
        <v>3181818</v>
      </c>
      <c r="Q35" s="176">
        <f t="shared" si="1"/>
        <v>-1858182</v>
      </c>
    </row>
    <row r="36" spans="1:18" ht="20.100000000000001" customHeight="1" x14ac:dyDescent="0.25">
      <c r="A36" s="75">
        <v>29</v>
      </c>
      <c r="B36" s="133">
        <v>42703</v>
      </c>
      <c r="C36" s="135" t="s">
        <v>743</v>
      </c>
      <c r="D36" s="136" t="s">
        <v>768</v>
      </c>
      <c r="E36" s="78" t="s">
        <v>775</v>
      </c>
      <c r="F36" s="80"/>
      <c r="G36" s="77"/>
      <c r="H36" s="81"/>
      <c r="I36" s="81"/>
      <c r="J36" s="69">
        <f>790000+140000+400000</f>
        <v>1330000</v>
      </c>
      <c r="K36" s="86"/>
      <c r="L36" s="69"/>
      <c r="M36" s="69"/>
      <c r="N36" s="69"/>
      <c r="O36" s="142">
        <f t="shared" si="0"/>
        <v>1330000</v>
      </c>
      <c r="P36" s="145">
        <v>2727273</v>
      </c>
      <c r="Q36" s="176">
        <f t="shared" si="1"/>
        <v>1397273</v>
      </c>
    </row>
    <row r="37" spans="1:18" ht="20.100000000000001" customHeight="1" x14ac:dyDescent="0.25">
      <c r="A37" s="75">
        <v>30</v>
      </c>
      <c r="B37" s="133">
        <v>42703</v>
      </c>
      <c r="C37" s="135" t="s">
        <v>744</v>
      </c>
      <c r="D37" s="136" t="s">
        <v>768</v>
      </c>
      <c r="E37" s="78" t="s">
        <v>776</v>
      </c>
      <c r="F37" s="80"/>
      <c r="G37" s="77"/>
      <c r="H37" s="81"/>
      <c r="I37" s="81"/>
      <c r="J37" s="69">
        <v>0</v>
      </c>
      <c r="K37" s="86"/>
      <c r="L37" s="69"/>
      <c r="M37" s="69"/>
      <c r="N37" s="69"/>
      <c r="O37" s="142">
        <f t="shared" si="0"/>
        <v>0</v>
      </c>
      <c r="P37" s="145">
        <v>2500000</v>
      </c>
      <c r="Q37" s="176">
        <f t="shared" si="1"/>
        <v>2500000</v>
      </c>
    </row>
    <row r="38" spans="1:18" ht="52.5" customHeight="1" x14ac:dyDescent="0.25">
      <c r="A38" s="75"/>
      <c r="B38" s="133"/>
      <c r="C38" s="171" t="s">
        <v>778</v>
      </c>
      <c r="D38" s="162"/>
      <c r="E38" s="153"/>
      <c r="F38" s="163"/>
      <c r="G38" s="164"/>
      <c r="H38" s="155"/>
      <c r="I38" s="165"/>
      <c r="J38" s="166"/>
      <c r="K38" s="86"/>
      <c r="L38" s="156">
        <v>1056000</v>
      </c>
      <c r="M38" s="112"/>
      <c r="N38" s="112"/>
      <c r="O38" s="142">
        <f t="shared" si="0"/>
        <v>1056000</v>
      </c>
      <c r="P38" s="68"/>
      <c r="Q38" s="68">
        <f t="shared" si="1"/>
        <v>-1056000</v>
      </c>
    </row>
    <row r="39" spans="1:18" ht="44.25" customHeight="1" x14ac:dyDescent="0.25">
      <c r="A39" s="75"/>
      <c r="B39" s="133"/>
      <c r="C39" s="170" t="s">
        <v>779</v>
      </c>
      <c r="D39" s="162"/>
      <c r="E39" s="153"/>
      <c r="F39" s="163"/>
      <c r="G39" s="164"/>
      <c r="H39" s="155"/>
      <c r="I39" s="165"/>
      <c r="J39" s="166"/>
      <c r="K39" s="86"/>
      <c r="L39" s="156">
        <v>660000</v>
      </c>
      <c r="M39" s="112"/>
      <c r="N39" s="112"/>
      <c r="O39" s="142">
        <f t="shared" si="0"/>
        <v>660000</v>
      </c>
      <c r="P39" s="68"/>
      <c r="Q39" s="68">
        <f t="shared" si="1"/>
        <v>-660000</v>
      </c>
    </row>
    <row r="40" spans="1:18" ht="44.25" customHeight="1" x14ac:dyDescent="0.25">
      <c r="A40" s="75"/>
      <c r="B40" s="133"/>
      <c r="C40" s="170" t="s">
        <v>780</v>
      </c>
      <c r="D40" s="162"/>
      <c r="E40" s="153"/>
      <c r="F40" s="163"/>
      <c r="G40" s="164"/>
      <c r="H40" s="155"/>
      <c r="I40" s="165"/>
      <c r="J40" s="166"/>
      <c r="K40" s="86"/>
      <c r="L40" s="156"/>
      <c r="M40" s="112"/>
      <c r="N40" s="166">
        <f>11265000/209*40</f>
        <v>2155980.8612440191</v>
      </c>
      <c r="O40" s="142">
        <f t="shared" si="0"/>
        <v>2155980.8612440191</v>
      </c>
      <c r="P40" s="68"/>
      <c r="Q40" s="68">
        <f t="shared" si="1"/>
        <v>-2155980.8612440191</v>
      </c>
    </row>
    <row r="41" spans="1:18" ht="44.25" customHeight="1" x14ac:dyDescent="0.25">
      <c r="A41" s="75"/>
      <c r="B41" s="133"/>
      <c r="C41" s="170" t="s">
        <v>781</v>
      </c>
      <c r="D41" s="162"/>
      <c r="E41" s="153"/>
      <c r="F41" s="163"/>
      <c r="G41" s="164"/>
      <c r="H41" s="155"/>
      <c r="I41" s="165"/>
      <c r="J41" s="166"/>
      <c r="K41" s="86"/>
      <c r="L41" s="156">
        <v>1050000</v>
      </c>
      <c r="M41" s="112"/>
      <c r="N41" s="166"/>
      <c r="O41" s="142">
        <f t="shared" si="0"/>
        <v>1050000</v>
      </c>
      <c r="P41" s="68"/>
      <c r="Q41" s="68">
        <f t="shared" si="1"/>
        <v>-1050000</v>
      </c>
    </row>
    <row r="42" spans="1:18" ht="20.100000000000001" customHeight="1" x14ac:dyDescent="0.25">
      <c r="A42" s="75"/>
      <c r="B42" s="133"/>
      <c r="C42" s="170" t="s">
        <v>777</v>
      </c>
      <c r="D42" s="162"/>
      <c r="E42" s="153"/>
      <c r="F42" s="163"/>
      <c r="G42" s="164"/>
      <c r="H42" s="155"/>
      <c r="I42" s="165"/>
      <c r="J42" s="166"/>
      <c r="K42" s="86"/>
      <c r="L42" s="156">
        <v>1320000</v>
      </c>
      <c r="M42" s="112"/>
      <c r="N42" s="112"/>
      <c r="O42" s="142">
        <f t="shared" si="0"/>
        <v>1320000</v>
      </c>
      <c r="P42" s="68"/>
      <c r="Q42" s="68">
        <f t="shared" si="1"/>
        <v>-1320000</v>
      </c>
    </row>
    <row r="43" spans="1:18" ht="20.100000000000001" customHeight="1" x14ac:dyDescent="0.25">
      <c r="A43" s="75"/>
      <c r="B43" s="70"/>
      <c r="C43" s="108" t="s">
        <v>580</v>
      </c>
      <c r="D43" s="87"/>
      <c r="E43" s="70"/>
      <c r="F43" s="110"/>
      <c r="G43" s="70"/>
      <c r="H43" s="81"/>
      <c r="I43" s="111"/>
      <c r="J43" s="112"/>
      <c r="K43" s="113">
        <f>9000000+692308</f>
        <v>9692308</v>
      </c>
      <c r="L43" s="141"/>
      <c r="M43" s="112"/>
      <c r="N43" s="112"/>
      <c r="O43" s="142">
        <f t="shared" si="0"/>
        <v>9692308</v>
      </c>
      <c r="P43" s="68"/>
      <c r="Q43" s="68">
        <f t="shared" si="1"/>
        <v>-9692308</v>
      </c>
    </row>
    <row r="44" spans="1:18" ht="20.100000000000001" customHeight="1" x14ac:dyDescent="0.25">
      <c r="A44" s="547" t="s">
        <v>19</v>
      </c>
      <c r="B44" s="548"/>
      <c r="C44" s="548"/>
      <c r="D44" s="548"/>
      <c r="E44" s="548"/>
      <c r="F44" s="549"/>
      <c r="G44" s="89">
        <f t="shared" ref="G44:Q44" si="2">SUM(G7:G43)</f>
        <v>2776</v>
      </c>
      <c r="H44" s="71">
        <f t="shared" si="2"/>
        <v>34980880</v>
      </c>
      <c r="I44" s="71">
        <f t="shared" si="2"/>
        <v>0</v>
      </c>
      <c r="J44" s="71">
        <f t="shared" si="2"/>
        <v>34860000</v>
      </c>
      <c r="K44" s="71">
        <f t="shared" si="2"/>
        <v>9692308</v>
      </c>
      <c r="L44" s="71">
        <f t="shared" si="2"/>
        <v>4086000</v>
      </c>
      <c r="M44" s="71">
        <f t="shared" si="2"/>
        <v>0</v>
      </c>
      <c r="N44" s="71">
        <f t="shared" si="2"/>
        <v>2155980.8612440191</v>
      </c>
      <c r="O44" s="71">
        <f t="shared" si="2"/>
        <v>85775168.861244023</v>
      </c>
      <c r="P44" s="71">
        <f t="shared" si="2"/>
        <v>124618182</v>
      </c>
      <c r="Q44" s="71">
        <f t="shared" si="2"/>
        <v>38843013.138755977</v>
      </c>
    </row>
    <row r="45" spans="1:18" ht="20.100000000000001" customHeight="1" x14ac:dyDescent="0.25"/>
    <row r="46" spans="1:18" ht="20.100000000000001" customHeight="1" x14ac:dyDescent="0.25"/>
    <row r="47" spans="1:18" ht="20.100000000000001" customHeight="1" x14ac:dyDescent="0.25"/>
  </sheetData>
  <mergeCells count="5">
    <mergeCell ref="A1:Q1"/>
    <mergeCell ref="A2:Q2"/>
    <mergeCell ref="A3:Q3"/>
    <mergeCell ref="A44:F44"/>
    <mergeCell ref="G5:N5"/>
  </mergeCells>
  <pageMargins left="0.7" right="0.7" top="0.75" bottom="0.75" header="0.3" footer="0.3"/>
  <pageSetup paperSize="9" orientation="portrait" horizontalDpi="0" verticalDpi="0"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46"/>
  <sheetViews>
    <sheetView topLeftCell="B44" workbookViewId="0">
      <selection activeCell="J48" sqref="J48"/>
    </sheetView>
  </sheetViews>
  <sheetFormatPr defaultRowHeight="15" x14ac:dyDescent="0.25"/>
  <cols>
    <col min="3" max="3" width="36" customWidth="1"/>
    <col min="4" max="4" width="18.28515625" customWidth="1"/>
    <col min="5" max="5" width="29.140625" customWidth="1"/>
    <col min="15" max="15" width="9.7109375" customWidth="1"/>
    <col min="16" max="16" width="10.85546875" customWidth="1"/>
    <col min="17" max="17" width="11.140625" bestFit="1" customWidth="1"/>
  </cols>
  <sheetData>
    <row r="1" spans="1:17" ht="23.25" x14ac:dyDescent="0.25">
      <c r="A1" s="551" t="s">
        <v>0</v>
      </c>
      <c r="B1" s="551"/>
      <c r="C1" s="551"/>
      <c r="D1" s="551"/>
      <c r="E1" s="551"/>
      <c r="F1" s="551"/>
      <c r="G1" s="551"/>
      <c r="H1" s="551"/>
      <c r="I1" s="551"/>
      <c r="J1" s="551"/>
      <c r="K1" s="551"/>
      <c r="L1" s="551"/>
      <c r="M1" s="551"/>
      <c r="N1" s="551"/>
      <c r="O1" s="551"/>
      <c r="P1" s="551"/>
      <c r="Q1" s="551"/>
    </row>
    <row r="2" spans="1:17" ht="15.75" x14ac:dyDescent="0.25">
      <c r="A2" s="550" t="s">
        <v>103</v>
      </c>
      <c r="B2" s="550"/>
      <c r="C2" s="550"/>
      <c r="D2" s="550"/>
      <c r="E2" s="550"/>
      <c r="F2" s="550"/>
      <c r="G2" s="550"/>
      <c r="H2" s="550"/>
      <c r="I2" s="550"/>
      <c r="J2" s="550"/>
      <c r="K2" s="550"/>
      <c r="L2" s="550"/>
      <c r="M2" s="550"/>
      <c r="N2" s="550"/>
      <c r="O2" s="550"/>
      <c r="P2" s="550"/>
      <c r="Q2" s="550"/>
    </row>
    <row r="3" spans="1:17" ht="15.75" x14ac:dyDescent="0.25">
      <c r="A3" s="550" t="s">
        <v>783</v>
      </c>
      <c r="B3" s="550"/>
      <c r="C3" s="550"/>
      <c r="D3" s="550"/>
      <c r="E3" s="550"/>
      <c r="F3" s="550"/>
      <c r="G3" s="550"/>
      <c r="H3" s="550"/>
      <c r="I3" s="550"/>
      <c r="J3" s="550"/>
      <c r="K3" s="550"/>
      <c r="L3" s="550"/>
      <c r="M3" s="550"/>
      <c r="N3" s="550"/>
      <c r="O3" s="550"/>
      <c r="P3" s="550"/>
      <c r="Q3" s="550"/>
    </row>
    <row r="4" spans="1:17" x14ac:dyDescent="0.25">
      <c r="A4" s="74"/>
      <c r="B4" s="99"/>
      <c r="C4" s="74"/>
      <c r="D4" s="74"/>
      <c r="E4" s="74" t="s">
        <v>194</v>
      </c>
      <c r="F4" s="74"/>
      <c r="G4" s="74"/>
      <c r="H4" s="72"/>
      <c r="I4" s="74"/>
      <c r="J4" s="72"/>
      <c r="K4" s="72"/>
      <c r="L4" s="72"/>
      <c r="M4" s="72"/>
      <c r="N4" s="72"/>
      <c r="O4" s="72"/>
      <c r="P4" s="72"/>
      <c r="Q4" s="72"/>
    </row>
    <row r="5" spans="1:17" ht="25.5" x14ac:dyDescent="0.25">
      <c r="A5" s="177" t="s">
        <v>1</v>
      </c>
      <c r="B5" s="178" t="s">
        <v>2</v>
      </c>
      <c r="C5" s="177" t="s">
        <v>3</v>
      </c>
      <c r="D5" s="177" t="s">
        <v>5</v>
      </c>
      <c r="E5" s="174" t="s">
        <v>4</v>
      </c>
      <c r="F5" s="174" t="s">
        <v>17</v>
      </c>
      <c r="G5" s="552" t="s">
        <v>6</v>
      </c>
      <c r="H5" s="553"/>
      <c r="I5" s="553"/>
      <c r="J5" s="553"/>
      <c r="K5" s="553"/>
      <c r="L5" s="553"/>
      <c r="M5" s="553"/>
      <c r="N5" s="554"/>
      <c r="O5" s="127" t="s">
        <v>18</v>
      </c>
      <c r="P5" s="127" t="s">
        <v>13</v>
      </c>
      <c r="Q5" s="127" t="s">
        <v>14</v>
      </c>
    </row>
    <row r="6" spans="1:17" x14ac:dyDescent="0.25">
      <c r="A6" s="179"/>
      <c r="B6" s="180"/>
      <c r="C6" s="179"/>
      <c r="D6" s="179"/>
      <c r="E6" s="175"/>
      <c r="F6" s="175"/>
      <c r="G6" s="6" t="s">
        <v>7</v>
      </c>
      <c r="H6" s="7" t="s">
        <v>15</v>
      </c>
      <c r="I6" s="6" t="s">
        <v>16</v>
      </c>
      <c r="J6" s="7" t="s">
        <v>8</v>
      </c>
      <c r="K6" s="7" t="s">
        <v>9</v>
      </c>
      <c r="L6" s="7" t="s">
        <v>10</v>
      </c>
      <c r="M6" s="7" t="s">
        <v>11</v>
      </c>
      <c r="N6" s="7" t="s">
        <v>12</v>
      </c>
      <c r="O6" s="181"/>
      <c r="P6" s="181"/>
      <c r="Q6" s="181"/>
    </row>
    <row r="7" spans="1:17" x14ac:dyDescent="0.25">
      <c r="A7" s="75"/>
      <c r="B7" s="100"/>
      <c r="C7" s="88"/>
      <c r="D7" s="88"/>
      <c r="E7" s="134"/>
      <c r="F7" s="75"/>
      <c r="G7" s="77"/>
      <c r="H7" s="68"/>
      <c r="I7" s="75"/>
      <c r="J7" s="68"/>
      <c r="K7" s="68"/>
      <c r="L7" s="68"/>
      <c r="M7" s="68"/>
      <c r="N7" s="68"/>
      <c r="O7" s="68">
        <f>H7+J7+K7+L7+M7+N7</f>
        <v>0</v>
      </c>
      <c r="P7" s="144"/>
      <c r="Q7" s="68">
        <f>P7-O7</f>
        <v>0</v>
      </c>
    </row>
    <row r="8" spans="1:17" ht="18" customHeight="1" x14ac:dyDescent="0.25">
      <c r="A8" s="75">
        <v>1</v>
      </c>
      <c r="B8" s="133">
        <v>42705</v>
      </c>
      <c r="C8" s="135" t="s">
        <v>784</v>
      </c>
      <c r="D8" s="136" t="s">
        <v>814</v>
      </c>
      <c r="E8" s="78" t="s">
        <v>843</v>
      </c>
      <c r="F8" s="80"/>
      <c r="G8" s="77"/>
      <c r="H8" s="81"/>
      <c r="I8" s="81"/>
      <c r="J8" s="69">
        <v>1560000</v>
      </c>
      <c r="K8" s="86"/>
      <c r="L8" s="69"/>
      <c r="M8" s="69"/>
      <c r="N8" s="69"/>
      <c r="O8" s="142">
        <f>H8+J8+K8+L8+M8+N8</f>
        <v>1560000</v>
      </c>
      <c r="P8" s="145">
        <v>5200000</v>
      </c>
      <c r="Q8" s="176">
        <f>P8-O8</f>
        <v>3640000</v>
      </c>
    </row>
    <row r="9" spans="1:17" ht="18" customHeight="1" x14ac:dyDescent="0.25">
      <c r="A9" s="75">
        <v>2</v>
      </c>
      <c r="B9" s="133">
        <v>42706</v>
      </c>
      <c r="C9" s="135" t="s">
        <v>785</v>
      </c>
      <c r="D9" s="136" t="s">
        <v>815</v>
      </c>
      <c r="E9" s="78" t="s">
        <v>426</v>
      </c>
      <c r="F9" s="80"/>
      <c r="G9" s="77">
        <v>332</v>
      </c>
      <c r="H9" s="81">
        <v>4150000</v>
      </c>
      <c r="I9" s="81"/>
      <c r="J9" s="69">
        <f>1150000+140000</f>
        <v>1290000</v>
      </c>
      <c r="K9" s="86"/>
      <c r="L9" s="69"/>
      <c r="M9" s="69"/>
      <c r="N9" s="69"/>
      <c r="O9" s="142">
        <f t="shared" ref="O9:O43" si="0">H9+J9+K9+L9+M9+N9</f>
        <v>5440000</v>
      </c>
      <c r="P9" s="145">
        <v>3500000</v>
      </c>
      <c r="Q9" s="176">
        <f t="shared" ref="Q9:Q44" si="1">P9-O9</f>
        <v>-1940000</v>
      </c>
    </row>
    <row r="10" spans="1:17" ht="18" customHeight="1" x14ac:dyDescent="0.25">
      <c r="A10" s="75">
        <v>3</v>
      </c>
      <c r="B10" s="133">
        <v>42707</v>
      </c>
      <c r="C10" s="135" t="s">
        <v>786</v>
      </c>
      <c r="D10" s="136" t="s">
        <v>816</v>
      </c>
      <c r="E10" s="78" t="s">
        <v>633</v>
      </c>
      <c r="F10" s="80"/>
      <c r="G10" s="77"/>
      <c r="H10" s="81"/>
      <c r="I10" s="81"/>
      <c r="J10" s="69">
        <f>1700000-140000</f>
        <v>1560000</v>
      </c>
      <c r="K10" s="86"/>
      <c r="L10" s="69"/>
      <c r="M10" s="69"/>
      <c r="N10" s="69"/>
      <c r="O10" s="142">
        <f t="shared" si="0"/>
        <v>1560000</v>
      </c>
      <c r="P10" s="145">
        <v>5300000</v>
      </c>
      <c r="Q10" s="176">
        <f t="shared" si="1"/>
        <v>3740000</v>
      </c>
    </row>
    <row r="11" spans="1:17" ht="18" customHeight="1" x14ac:dyDescent="0.25">
      <c r="A11" s="75">
        <v>4</v>
      </c>
      <c r="B11" s="133">
        <v>42708</v>
      </c>
      <c r="C11" s="135" t="s">
        <v>787</v>
      </c>
      <c r="D11" s="136" t="s">
        <v>817</v>
      </c>
      <c r="E11" s="78" t="s">
        <v>774</v>
      </c>
      <c r="F11" s="80"/>
      <c r="G11" s="77"/>
      <c r="H11" s="81"/>
      <c r="I11" s="81"/>
      <c r="J11" s="69">
        <f>1100000+140000</f>
        <v>1240000</v>
      </c>
      <c r="K11" s="86"/>
      <c r="L11" s="69"/>
      <c r="M11" s="69"/>
      <c r="N11" s="69"/>
      <c r="O11" s="142">
        <f t="shared" si="0"/>
        <v>1240000</v>
      </c>
      <c r="P11" s="145">
        <v>4500000</v>
      </c>
      <c r="Q11" s="176">
        <f t="shared" si="1"/>
        <v>3260000</v>
      </c>
    </row>
    <row r="12" spans="1:17" ht="18" customHeight="1" x14ac:dyDescent="0.25">
      <c r="A12" s="75">
        <v>5</v>
      </c>
      <c r="B12" s="133">
        <v>42709</v>
      </c>
      <c r="C12" s="135" t="s">
        <v>788</v>
      </c>
      <c r="D12" s="136" t="s">
        <v>818</v>
      </c>
      <c r="E12" s="78" t="s">
        <v>844</v>
      </c>
      <c r="F12" s="80"/>
      <c r="G12" s="77">
        <v>360</v>
      </c>
      <c r="H12" s="81">
        <v>4561200</v>
      </c>
      <c r="I12" s="81"/>
      <c r="J12" s="69">
        <f>1560000+140000</f>
        <v>1700000</v>
      </c>
      <c r="K12" s="86"/>
      <c r="L12" s="69"/>
      <c r="M12" s="69"/>
      <c r="N12" s="69"/>
      <c r="O12" s="142">
        <f t="shared" si="0"/>
        <v>6261200</v>
      </c>
      <c r="P12" s="145">
        <v>5000000</v>
      </c>
      <c r="Q12" s="176">
        <f t="shared" si="1"/>
        <v>-1261200</v>
      </c>
    </row>
    <row r="13" spans="1:17" ht="18" customHeight="1" x14ac:dyDescent="0.25">
      <c r="A13" s="75">
        <v>6</v>
      </c>
      <c r="B13" s="133">
        <v>42710</v>
      </c>
      <c r="C13" s="135" t="s">
        <v>789</v>
      </c>
      <c r="D13" s="136" t="s">
        <v>819</v>
      </c>
      <c r="E13" s="78" t="s">
        <v>845</v>
      </c>
      <c r="F13" s="80"/>
      <c r="G13" s="77"/>
      <c r="H13" s="81"/>
      <c r="I13" s="81"/>
      <c r="J13" s="69">
        <f>790000+140000</f>
        <v>930000</v>
      </c>
      <c r="K13" s="86"/>
      <c r="L13" s="69"/>
      <c r="M13" s="69"/>
      <c r="N13" s="69"/>
      <c r="O13" s="142">
        <f t="shared" si="0"/>
        <v>930000</v>
      </c>
      <c r="P13" s="145">
        <v>3545455</v>
      </c>
      <c r="Q13" s="176">
        <f t="shared" si="1"/>
        <v>2615455</v>
      </c>
    </row>
    <row r="14" spans="1:17" ht="18" customHeight="1" x14ac:dyDescent="0.25">
      <c r="A14" s="75">
        <v>7</v>
      </c>
      <c r="B14" s="133">
        <v>42711</v>
      </c>
      <c r="C14" s="135" t="s">
        <v>790</v>
      </c>
      <c r="D14" s="136" t="s">
        <v>820</v>
      </c>
      <c r="E14" s="78" t="s">
        <v>333</v>
      </c>
      <c r="F14" s="80"/>
      <c r="G14" s="77"/>
      <c r="H14" s="81"/>
      <c r="I14" s="81"/>
      <c r="J14" s="69">
        <f>790000+140000</f>
        <v>930000</v>
      </c>
      <c r="K14" s="86"/>
      <c r="L14" s="69"/>
      <c r="M14" s="69"/>
      <c r="N14" s="69"/>
      <c r="O14" s="142">
        <f t="shared" si="0"/>
        <v>930000</v>
      </c>
      <c r="P14" s="145">
        <v>3000000</v>
      </c>
      <c r="Q14" s="176">
        <f t="shared" si="1"/>
        <v>2070000</v>
      </c>
    </row>
    <row r="15" spans="1:17" ht="18" customHeight="1" x14ac:dyDescent="0.25">
      <c r="A15" s="75">
        <v>8</v>
      </c>
      <c r="B15" s="133">
        <v>42712</v>
      </c>
      <c r="C15" s="135" t="s">
        <v>791</v>
      </c>
      <c r="D15" s="136" t="s">
        <v>821</v>
      </c>
      <c r="E15" s="78" t="s">
        <v>24</v>
      </c>
      <c r="F15" s="80"/>
      <c r="G15" s="77">
        <v>247</v>
      </c>
      <c r="H15" s="81">
        <v>3129490</v>
      </c>
      <c r="I15" s="81"/>
      <c r="J15" s="69">
        <v>1910000</v>
      </c>
      <c r="K15" s="86"/>
      <c r="L15" s="69"/>
      <c r="M15" s="69"/>
      <c r="N15" s="69"/>
      <c r="O15" s="142">
        <f t="shared" si="0"/>
        <v>5039490</v>
      </c>
      <c r="P15" s="145">
        <v>8181818</v>
      </c>
      <c r="Q15" s="176">
        <f t="shared" si="1"/>
        <v>3142328</v>
      </c>
    </row>
    <row r="16" spans="1:17" ht="18" customHeight="1" x14ac:dyDescent="0.25">
      <c r="A16" s="75">
        <v>9</v>
      </c>
      <c r="B16" s="133">
        <v>42713</v>
      </c>
      <c r="C16" s="135" t="s">
        <v>792</v>
      </c>
      <c r="D16" s="136" t="s">
        <v>822</v>
      </c>
      <c r="E16" s="78" t="s">
        <v>771</v>
      </c>
      <c r="F16" s="80"/>
      <c r="G16" s="77"/>
      <c r="H16" s="81"/>
      <c r="I16" s="81"/>
      <c r="J16" s="69">
        <f>960000+200000+70000</f>
        <v>1230000</v>
      </c>
      <c r="K16" s="86"/>
      <c r="L16" s="69"/>
      <c r="M16" s="69"/>
      <c r="N16" s="69"/>
      <c r="O16" s="142">
        <f t="shared" si="0"/>
        <v>1230000</v>
      </c>
      <c r="P16" s="145">
        <v>3636364</v>
      </c>
      <c r="Q16" s="176">
        <f t="shared" si="1"/>
        <v>2406364</v>
      </c>
    </row>
    <row r="17" spans="1:17" ht="18" customHeight="1" x14ac:dyDescent="0.25">
      <c r="A17" s="75">
        <v>10</v>
      </c>
      <c r="B17" s="133">
        <v>42715</v>
      </c>
      <c r="C17" s="135" t="s">
        <v>793</v>
      </c>
      <c r="D17" s="136" t="s">
        <v>823</v>
      </c>
      <c r="E17" s="78" t="s">
        <v>286</v>
      </c>
      <c r="F17" s="80"/>
      <c r="G17" s="77">
        <v>260</v>
      </c>
      <c r="H17" s="81">
        <v>3294200</v>
      </c>
      <c r="I17" s="81"/>
      <c r="J17" s="69">
        <f>790000+70000</f>
        <v>860000</v>
      </c>
      <c r="K17" s="86"/>
      <c r="L17" s="69"/>
      <c r="M17" s="69"/>
      <c r="N17" s="69"/>
      <c r="O17" s="142">
        <f t="shared" si="0"/>
        <v>4154200</v>
      </c>
      <c r="P17" s="145">
        <v>3545455</v>
      </c>
      <c r="Q17" s="176">
        <f t="shared" si="1"/>
        <v>-608745</v>
      </c>
    </row>
    <row r="18" spans="1:17" ht="18" customHeight="1" x14ac:dyDescent="0.25">
      <c r="A18" s="75">
        <v>11</v>
      </c>
      <c r="B18" s="133">
        <v>42716</v>
      </c>
      <c r="C18" s="135" t="s">
        <v>794</v>
      </c>
      <c r="D18" s="136" t="s">
        <v>824</v>
      </c>
      <c r="E18" s="78" t="s">
        <v>27</v>
      </c>
      <c r="F18" s="80"/>
      <c r="G18" s="77"/>
      <c r="H18" s="81"/>
      <c r="I18" s="81"/>
      <c r="J18" s="69">
        <f>1200000+140000</f>
        <v>1340000</v>
      </c>
      <c r="K18" s="86"/>
      <c r="L18" s="69"/>
      <c r="M18" s="69"/>
      <c r="N18" s="69"/>
      <c r="O18" s="142">
        <f t="shared" si="0"/>
        <v>1340000</v>
      </c>
      <c r="P18" s="145">
        <v>4454545</v>
      </c>
      <c r="Q18" s="176">
        <f t="shared" si="1"/>
        <v>3114545</v>
      </c>
    </row>
    <row r="19" spans="1:17" ht="18" customHeight="1" x14ac:dyDescent="0.25">
      <c r="A19" s="75">
        <v>12</v>
      </c>
      <c r="B19" s="133">
        <v>42716</v>
      </c>
      <c r="C19" s="135" t="s">
        <v>795</v>
      </c>
      <c r="D19" s="136" t="s">
        <v>825</v>
      </c>
      <c r="E19" s="78" t="s">
        <v>27</v>
      </c>
      <c r="F19" s="80"/>
      <c r="G19" s="77"/>
      <c r="H19" s="81"/>
      <c r="I19" s="81"/>
      <c r="J19" s="69">
        <v>0</v>
      </c>
      <c r="K19" s="86"/>
      <c r="L19" s="69"/>
      <c r="M19" s="69"/>
      <c r="N19" s="69"/>
      <c r="O19" s="142">
        <f t="shared" si="0"/>
        <v>0</v>
      </c>
      <c r="P19" s="145">
        <v>0</v>
      </c>
      <c r="Q19" s="176">
        <f t="shared" si="1"/>
        <v>0</v>
      </c>
    </row>
    <row r="20" spans="1:17" ht="18" customHeight="1" x14ac:dyDescent="0.25">
      <c r="A20" s="75">
        <v>13</v>
      </c>
      <c r="B20" s="133">
        <v>42717</v>
      </c>
      <c r="C20" s="135" t="s">
        <v>796</v>
      </c>
      <c r="D20" s="136" t="s">
        <v>826</v>
      </c>
      <c r="E20" s="78" t="s">
        <v>426</v>
      </c>
      <c r="F20" s="80"/>
      <c r="G20" s="77"/>
      <c r="H20" s="81"/>
      <c r="I20" s="81"/>
      <c r="J20" s="69">
        <f>1150000+400000+140000</f>
        <v>1690000</v>
      </c>
      <c r="K20" s="86"/>
      <c r="L20" s="69"/>
      <c r="M20" s="69"/>
      <c r="N20" s="69"/>
      <c r="O20" s="142">
        <f t="shared" si="0"/>
        <v>1690000</v>
      </c>
      <c r="P20" s="145">
        <v>3181818</v>
      </c>
      <c r="Q20" s="176">
        <f t="shared" si="1"/>
        <v>1491818</v>
      </c>
    </row>
    <row r="21" spans="1:17" ht="18" customHeight="1" x14ac:dyDescent="0.25">
      <c r="A21" s="75">
        <v>14</v>
      </c>
      <c r="B21" s="133">
        <v>42718</v>
      </c>
      <c r="C21" s="135" t="s">
        <v>797</v>
      </c>
      <c r="D21" s="136" t="s">
        <v>826</v>
      </c>
      <c r="E21" s="78" t="s">
        <v>29</v>
      </c>
      <c r="F21" s="80"/>
      <c r="G21" s="77"/>
      <c r="H21" s="81"/>
      <c r="I21" s="81"/>
      <c r="J21" s="69">
        <v>0</v>
      </c>
      <c r="K21" s="86"/>
      <c r="L21" s="69"/>
      <c r="M21" s="69"/>
      <c r="N21" s="69"/>
      <c r="O21" s="142">
        <f t="shared" si="0"/>
        <v>0</v>
      </c>
      <c r="P21" s="145">
        <v>3336364</v>
      </c>
      <c r="Q21" s="176">
        <f t="shared" si="1"/>
        <v>3336364</v>
      </c>
    </row>
    <row r="22" spans="1:17" ht="18" customHeight="1" x14ac:dyDescent="0.25">
      <c r="A22" s="75">
        <v>15</v>
      </c>
      <c r="B22" s="133">
        <v>42719</v>
      </c>
      <c r="C22" s="135" t="s">
        <v>798</v>
      </c>
      <c r="D22" s="136" t="s">
        <v>827</v>
      </c>
      <c r="E22" s="78" t="s">
        <v>232</v>
      </c>
      <c r="F22" s="80"/>
      <c r="G22" s="77">
        <v>270</v>
      </c>
      <c r="H22" s="81">
        <v>3420900</v>
      </c>
      <c r="I22" s="81"/>
      <c r="J22" s="69">
        <f>800000+140000</f>
        <v>940000</v>
      </c>
      <c r="K22" s="86"/>
      <c r="L22" s="69"/>
      <c r="M22" s="69"/>
      <c r="N22" s="69"/>
      <c r="O22" s="142">
        <f t="shared" si="0"/>
        <v>4360900</v>
      </c>
      <c r="P22" s="145">
        <v>2545455</v>
      </c>
      <c r="Q22" s="176">
        <f t="shared" si="1"/>
        <v>-1815445</v>
      </c>
    </row>
    <row r="23" spans="1:17" ht="18" customHeight="1" x14ac:dyDescent="0.25">
      <c r="A23" s="75">
        <v>16</v>
      </c>
      <c r="B23" s="133">
        <v>42721</v>
      </c>
      <c r="C23" s="135" t="s">
        <v>799</v>
      </c>
      <c r="D23" s="136" t="s">
        <v>828</v>
      </c>
      <c r="E23" s="78" t="s">
        <v>188</v>
      </c>
      <c r="F23" s="80"/>
      <c r="G23" s="77"/>
      <c r="H23" s="81"/>
      <c r="I23" s="81"/>
      <c r="J23" s="69">
        <f>650000+70000</f>
        <v>720000</v>
      </c>
      <c r="K23" s="86"/>
      <c r="L23" s="69"/>
      <c r="M23" s="69"/>
      <c r="N23" s="69"/>
      <c r="O23" s="142">
        <f t="shared" si="0"/>
        <v>720000</v>
      </c>
      <c r="P23" s="145">
        <v>3500000</v>
      </c>
      <c r="Q23" s="176">
        <f t="shared" si="1"/>
        <v>2780000</v>
      </c>
    </row>
    <row r="24" spans="1:17" ht="18" customHeight="1" x14ac:dyDescent="0.25">
      <c r="A24" s="75">
        <v>17</v>
      </c>
      <c r="B24" s="133">
        <v>42722</v>
      </c>
      <c r="C24" s="135" t="s">
        <v>800</v>
      </c>
      <c r="D24" s="136" t="s">
        <v>829</v>
      </c>
      <c r="E24" s="78" t="s">
        <v>24</v>
      </c>
      <c r="F24" s="80"/>
      <c r="G24" s="77">
        <v>140</v>
      </c>
      <c r="H24" s="81">
        <v>1773800</v>
      </c>
      <c r="I24" s="81"/>
      <c r="J24" s="69">
        <v>1910000</v>
      </c>
      <c r="K24" s="86"/>
      <c r="L24" s="69"/>
      <c r="M24" s="69"/>
      <c r="N24" s="69"/>
      <c r="O24" s="142">
        <f t="shared" si="0"/>
        <v>3683800</v>
      </c>
      <c r="P24" s="145">
        <v>8181818</v>
      </c>
      <c r="Q24" s="176">
        <f t="shared" si="1"/>
        <v>4498018</v>
      </c>
    </row>
    <row r="25" spans="1:17" ht="18" customHeight="1" x14ac:dyDescent="0.25">
      <c r="A25" s="75">
        <v>18</v>
      </c>
      <c r="B25" s="133">
        <v>42723</v>
      </c>
      <c r="C25" s="135" t="s">
        <v>801</v>
      </c>
      <c r="D25" s="136" t="s">
        <v>830</v>
      </c>
      <c r="E25" s="78" t="s">
        <v>24</v>
      </c>
      <c r="F25" s="80"/>
      <c r="G25" s="77"/>
      <c r="H25" s="81"/>
      <c r="I25" s="81"/>
      <c r="J25" s="69">
        <f>1910000+70000</f>
        <v>1980000</v>
      </c>
      <c r="K25" s="86"/>
      <c r="L25" s="69"/>
      <c r="M25" s="69"/>
      <c r="N25" s="69"/>
      <c r="O25" s="142">
        <f t="shared" si="0"/>
        <v>1980000</v>
      </c>
      <c r="P25" s="145">
        <v>8181818</v>
      </c>
      <c r="Q25" s="176">
        <f t="shared" si="1"/>
        <v>6201818</v>
      </c>
    </row>
    <row r="26" spans="1:17" ht="18" customHeight="1" x14ac:dyDescent="0.25">
      <c r="A26" s="75">
        <v>19</v>
      </c>
      <c r="B26" s="133">
        <v>42724</v>
      </c>
      <c r="C26" s="135" t="s">
        <v>802</v>
      </c>
      <c r="D26" s="136" t="s">
        <v>831</v>
      </c>
      <c r="E26" s="78" t="s">
        <v>846</v>
      </c>
      <c r="F26" s="80"/>
      <c r="G26" s="77">
        <v>180</v>
      </c>
      <c r="H26" s="81">
        <v>2280600</v>
      </c>
      <c r="I26" s="81"/>
      <c r="J26" s="69">
        <f>1560000+140000</f>
        <v>1700000</v>
      </c>
      <c r="K26" s="86"/>
      <c r="L26" s="69"/>
      <c r="M26" s="69"/>
      <c r="N26" s="69"/>
      <c r="O26" s="142">
        <f t="shared" si="0"/>
        <v>3980600</v>
      </c>
      <c r="P26" s="145">
        <v>5200000</v>
      </c>
      <c r="Q26" s="176">
        <f t="shared" si="1"/>
        <v>1219400</v>
      </c>
    </row>
    <row r="27" spans="1:17" ht="18" customHeight="1" x14ac:dyDescent="0.25">
      <c r="A27" s="75">
        <v>20</v>
      </c>
      <c r="B27" s="133">
        <v>42725</v>
      </c>
      <c r="C27" s="135" t="s">
        <v>803</v>
      </c>
      <c r="D27" s="136" t="s">
        <v>832</v>
      </c>
      <c r="E27" s="78" t="s">
        <v>364</v>
      </c>
      <c r="F27" s="80"/>
      <c r="G27" s="77"/>
      <c r="H27" s="81"/>
      <c r="I27" s="81"/>
      <c r="J27" s="69">
        <f>1280000+60000+140000</f>
        <v>1480000</v>
      </c>
      <c r="K27" s="86"/>
      <c r="L27" s="69"/>
      <c r="M27" s="69"/>
      <c r="N27" s="69"/>
      <c r="O27" s="142">
        <f t="shared" si="0"/>
        <v>1480000</v>
      </c>
      <c r="P27" s="145">
        <v>4700000</v>
      </c>
      <c r="Q27" s="176">
        <f t="shared" si="1"/>
        <v>3220000</v>
      </c>
    </row>
    <row r="28" spans="1:17" ht="18" customHeight="1" x14ac:dyDescent="0.25">
      <c r="A28" s="75">
        <v>21</v>
      </c>
      <c r="B28" s="133">
        <v>42726</v>
      </c>
      <c r="C28" s="135" t="s">
        <v>804</v>
      </c>
      <c r="D28" s="136" t="s">
        <v>833</v>
      </c>
      <c r="E28" s="78" t="s">
        <v>847</v>
      </c>
      <c r="F28" s="80"/>
      <c r="G28" s="77">
        <v>310</v>
      </c>
      <c r="H28" s="81">
        <v>4163300</v>
      </c>
      <c r="I28" s="81"/>
      <c r="J28" s="69">
        <f>1600000+140000</f>
        <v>1740000</v>
      </c>
      <c r="K28" s="86"/>
      <c r="L28" s="69"/>
      <c r="M28" s="69"/>
      <c r="N28" s="69"/>
      <c r="O28" s="142">
        <f t="shared" si="0"/>
        <v>5903300</v>
      </c>
      <c r="P28" s="145">
        <v>5200000</v>
      </c>
      <c r="Q28" s="176">
        <f t="shared" si="1"/>
        <v>-703300</v>
      </c>
    </row>
    <row r="29" spans="1:17" ht="18" customHeight="1" x14ac:dyDescent="0.25">
      <c r="A29" s="75">
        <v>22</v>
      </c>
      <c r="B29" s="133">
        <v>42728</v>
      </c>
      <c r="C29" s="135" t="s">
        <v>805</v>
      </c>
      <c r="D29" s="136" t="s">
        <v>834</v>
      </c>
      <c r="E29" s="78" t="s">
        <v>848</v>
      </c>
      <c r="F29" s="80"/>
      <c r="G29" s="77">
        <v>280</v>
      </c>
      <c r="H29" s="81">
        <v>3760400</v>
      </c>
      <c r="I29" s="81"/>
      <c r="J29" s="69">
        <v>1150000</v>
      </c>
      <c r="K29" s="86"/>
      <c r="L29" s="69"/>
      <c r="M29" s="69"/>
      <c r="N29" s="69"/>
      <c r="O29" s="142">
        <f t="shared" si="0"/>
        <v>4910400</v>
      </c>
      <c r="P29" s="145">
        <v>4000000</v>
      </c>
      <c r="Q29" s="176">
        <f t="shared" si="1"/>
        <v>-910400</v>
      </c>
    </row>
    <row r="30" spans="1:17" ht="18" customHeight="1" x14ac:dyDescent="0.25">
      <c r="A30" s="75">
        <v>23</v>
      </c>
      <c r="B30" s="133">
        <v>42729</v>
      </c>
      <c r="C30" s="135" t="s">
        <v>806</v>
      </c>
      <c r="D30" s="136" t="s">
        <v>835</v>
      </c>
      <c r="E30" s="78" t="s">
        <v>849</v>
      </c>
      <c r="F30" s="80"/>
      <c r="G30" s="77"/>
      <c r="H30" s="81"/>
      <c r="I30" s="81"/>
      <c r="J30" s="69">
        <f>800000+70000</f>
        <v>870000</v>
      </c>
      <c r="K30" s="86"/>
      <c r="L30" s="69"/>
      <c r="M30" s="69"/>
      <c r="N30" s="69"/>
      <c r="O30" s="142">
        <f t="shared" si="0"/>
        <v>870000</v>
      </c>
      <c r="P30" s="145">
        <v>2727273</v>
      </c>
      <c r="Q30" s="176">
        <f t="shared" si="1"/>
        <v>1857273</v>
      </c>
    </row>
    <row r="31" spans="1:17" ht="18" customHeight="1" x14ac:dyDescent="0.25">
      <c r="A31" s="75">
        <v>24</v>
      </c>
      <c r="B31" s="133">
        <v>42731</v>
      </c>
      <c r="C31" s="135" t="s">
        <v>807</v>
      </c>
      <c r="D31" s="136" t="s">
        <v>836</v>
      </c>
      <c r="E31" s="78" t="s">
        <v>24</v>
      </c>
      <c r="F31" s="80"/>
      <c r="G31" s="77">
        <v>350</v>
      </c>
      <c r="H31" s="81">
        <v>4700500</v>
      </c>
      <c r="I31" s="81"/>
      <c r="J31" s="69">
        <f>1910000+140000</f>
        <v>2050000</v>
      </c>
      <c r="K31" s="86"/>
      <c r="L31" s="69"/>
      <c r="M31" s="69"/>
      <c r="N31" s="69"/>
      <c r="O31" s="142">
        <f t="shared" si="0"/>
        <v>6750500</v>
      </c>
      <c r="P31" s="145">
        <v>8181818</v>
      </c>
      <c r="Q31" s="176">
        <f t="shared" si="1"/>
        <v>1431318</v>
      </c>
    </row>
    <row r="32" spans="1:17" ht="18" customHeight="1" x14ac:dyDescent="0.25">
      <c r="A32" s="75">
        <v>25</v>
      </c>
      <c r="B32" s="133">
        <v>42731</v>
      </c>
      <c r="C32" s="135" t="s">
        <v>808</v>
      </c>
      <c r="D32" s="136" t="s">
        <v>837</v>
      </c>
      <c r="E32" s="78" t="s">
        <v>426</v>
      </c>
      <c r="F32" s="80"/>
      <c r="G32" s="77"/>
      <c r="H32" s="81"/>
      <c r="I32" s="81"/>
      <c r="J32" s="69">
        <f>1150000+140000</f>
        <v>1290000</v>
      </c>
      <c r="K32" s="86"/>
      <c r="L32" s="69"/>
      <c r="M32" s="69"/>
      <c r="N32" s="69"/>
      <c r="O32" s="142">
        <f t="shared" si="0"/>
        <v>1290000</v>
      </c>
      <c r="P32" s="145">
        <v>3181818</v>
      </c>
      <c r="Q32" s="176">
        <f t="shared" si="1"/>
        <v>1891818</v>
      </c>
    </row>
    <row r="33" spans="1:17" ht="18" customHeight="1" x14ac:dyDescent="0.25">
      <c r="A33" s="75">
        <v>26</v>
      </c>
      <c r="B33" s="133">
        <v>42732</v>
      </c>
      <c r="C33" s="135" t="s">
        <v>809</v>
      </c>
      <c r="D33" s="136" t="s">
        <v>838</v>
      </c>
      <c r="E33" s="78" t="s">
        <v>850</v>
      </c>
      <c r="F33" s="80"/>
      <c r="G33" s="77"/>
      <c r="H33" s="81"/>
      <c r="I33" s="81"/>
      <c r="J33" s="69">
        <f>1600000+140000</f>
        <v>1740000</v>
      </c>
      <c r="K33" s="86"/>
      <c r="L33" s="69"/>
      <c r="M33" s="69"/>
      <c r="N33" s="69"/>
      <c r="O33" s="142">
        <f t="shared" si="0"/>
        <v>1740000</v>
      </c>
      <c r="P33" s="145">
        <v>5300000</v>
      </c>
      <c r="Q33" s="176">
        <f t="shared" si="1"/>
        <v>3560000</v>
      </c>
    </row>
    <row r="34" spans="1:17" ht="18" customHeight="1" x14ac:dyDescent="0.25">
      <c r="A34" s="75">
        <v>27</v>
      </c>
      <c r="B34" s="133">
        <v>42732</v>
      </c>
      <c r="C34" s="135" t="s">
        <v>810</v>
      </c>
      <c r="D34" s="136" t="s">
        <v>839</v>
      </c>
      <c r="E34" s="78" t="s">
        <v>25</v>
      </c>
      <c r="F34" s="80"/>
      <c r="G34" s="77"/>
      <c r="H34" s="81"/>
      <c r="I34" s="81"/>
      <c r="J34" s="69">
        <v>0</v>
      </c>
      <c r="K34" s="86"/>
      <c r="L34" s="69"/>
      <c r="M34" s="69"/>
      <c r="N34" s="69"/>
      <c r="O34" s="142">
        <f t="shared" si="0"/>
        <v>0</v>
      </c>
      <c r="P34" s="145">
        <v>0</v>
      </c>
      <c r="Q34" s="176">
        <f t="shared" si="1"/>
        <v>0</v>
      </c>
    </row>
    <row r="35" spans="1:17" ht="18" customHeight="1" x14ac:dyDescent="0.25">
      <c r="A35" s="75">
        <v>28</v>
      </c>
      <c r="B35" s="133">
        <v>42733</v>
      </c>
      <c r="C35" s="135" t="s">
        <v>811</v>
      </c>
      <c r="D35" s="136" t="s">
        <v>840</v>
      </c>
      <c r="E35" s="78" t="s">
        <v>851</v>
      </c>
      <c r="F35" s="80"/>
      <c r="G35" s="77"/>
      <c r="H35" s="81"/>
      <c r="I35" s="81"/>
      <c r="J35" s="69">
        <f>1600000+140000</f>
        <v>1740000</v>
      </c>
      <c r="K35" s="86"/>
      <c r="L35" s="69"/>
      <c r="M35" s="69"/>
      <c r="N35" s="69"/>
      <c r="O35" s="142">
        <f t="shared" si="0"/>
        <v>1740000</v>
      </c>
      <c r="P35" s="145">
        <v>5500000</v>
      </c>
      <c r="Q35" s="176">
        <f t="shared" si="1"/>
        <v>3760000</v>
      </c>
    </row>
    <row r="36" spans="1:17" ht="18" customHeight="1" x14ac:dyDescent="0.25">
      <c r="A36" s="75">
        <v>29</v>
      </c>
      <c r="B36" s="133">
        <v>42734</v>
      </c>
      <c r="C36" s="135" t="s">
        <v>812</v>
      </c>
      <c r="D36" s="172" t="s">
        <v>841</v>
      </c>
      <c r="E36" s="78" t="s">
        <v>852</v>
      </c>
      <c r="F36" s="80"/>
      <c r="G36" s="77">
        <v>270</v>
      </c>
      <c r="H36" s="81">
        <v>3626100</v>
      </c>
      <c r="I36" s="81"/>
      <c r="J36" s="69">
        <f>1600000+140000</f>
        <v>1740000</v>
      </c>
      <c r="K36" s="86"/>
      <c r="L36" s="69"/>
      <c r="M36" s="69"/>
      <c r="N36" s="69"/>
      <c r="O36" s="142">
        <f t="shared" si="0"/>
        <v>5366100</v>
      </c>
      <c r="P36" s="145">
        <v>5200000</v>
      </c>
      <c r="Q36" s="176">
        <f t="shared" si="1"/>
        <v>-166100</v>
      </c>
    </row>
    <row r="37" spans="1:17" ht="18" customHeight="1" x14ac:dyDescent="0.25">
      <c r="A37" s="75">
        <v>30</v>
      </c>
      <c r="B37" s="160">
        <v>42734</v>
      </c>
      <c r="C37" s="135" t="s">
        <v>813</v>
      </c>
      <c r="D37" s="136" t="s">
        <v>842</v>
      </c>
      <c r="E37" s="78" t="s">
        <v>25</v>
      </c>
      <c r="F37" s="80"/>
      <c r="G37" s="77">
        <v>325</v>
      </c>
      <c r="H37" s="81">
        <f>G37*13430</f>
        <v>4364750</v>
      </c>
      <c r="I37" s="81"/>
      <c r="J37" s="77">
        <v>0</v>
      </c>
      <c r="K37" s="161"/>
      <c r="L37" s="69"/>
      <c r="M37" s="69"/>
      <c r="N37" s="69"/>
      <c r="O37" s="142">
        <f t="shared" si="0"/>
        <v>4364750</v>
      </c>
      <c r="P37" s="145">
        <v>0</v>
      </c>
      <c r="Q37" s="176">
        <f t="shared" si="1"/>
        <v>-4364750</v>
      </c>
    </row>
    <row r="38" spans="1:17" ht="48.75" customHeight="1" x14ac:dyDescent="0.25">
      <c r="A38" s="75"/>
      <c r="B38" s="133"/>
      <c r="C38" s="171" t="s">
        <v>854</v>
      </c>
      <c r="D38" s="162"/>
      <c r="E38" s="153"/>
      <c r="F38" s="163"/>
      <c r="G38" s="164"/>
      <c r="H38" s="155"/>
      <c r="I38" s="165"/>
      <c r="J38" s="166"/>
      <c r="K38" s="86"/>
      <c r="L38" s="156">
        <v>900000</v>
      </c>
      <c r="M38" s="112"/>
      <c r="N38" s="112"/>
      <c r="O38" s="142">
        <f t="shared" si="0"/>
        <v>900000</v>
      </c>
      <c r="P38" s="68"/>
      <c r="Q38" s="176">
        <f t="shared" si="1"/>
        <v>-900000</v>
      </c>
    </row>
    <row r="39" spans="1:17" ht="48.75" customHeight="1" x14ac:dyDescent="0.25">
      <c r="A39" s="75"/>
      <c r="B39" s="133"/>
      <c r="C39" s="183" t="s">
        <v>855</v>
      </c>
      <c r="D39" s="162"/>
      <c r="E39" s="153"/>
      <c r="F39" s="163"/>
      <c r="G39" s="164"/>
      <c r="H39" s="155"/>
      <c r="I39" s="165"/>
      <c r="J39" s="166"/>
      <c r="K39" s="86"/>
      <c r="L39" s="156">
        <v>70000</v>
      </c>
      <c r="M39" s="112"/>
      <c r="N39" s="112"/>
      <c r="O39" s="142">
        <f t="shared" si="0"/>
        <v>70000</v>
      </c>
      <c r="P39" s="68"/>
      <c r="Q39" s="176">
        <f t="shared" si="1"/>
        <v>-70000</v>
      </c>
    </row>
    <row r="40" spans="1:17" ht="48.75" customHeight="1" x14ac:dyDescent="0.25">
      <c r="A40" s="75"/>
      <c r="B40" s="133"/>
      <c r="C40" s="183" t="s">
        <v>856</v>
      </c>
      <c r="D40" s="162"/>
      <c r="E40" s="153"/>
      <c r="F40" s="163"/>
      <c r="G40" s="164"/>
      <c r="H40" s="155"/>
      <c r="I40" s="165"/>
      <c r="J40" s="166"/>
      <c r="K40" s="86"/>
      <c r="L40" s="156">
        <v>116000</v>
      </c>
      <c r="M40" s="112"/>
      <c r="N40" s="112"/>
      <c r="O40" s="142">
        <f t="shared" si="0"/>
        <v>116000</v>
      </c>
      <c r="P40" s="68"/>
      <c r="Q40" s="176">
        <f t="shared" si="1"/>
        <v>-116000</v>
      </c>
    </row>
    <row r="41" spans="1:17" ht="104.25" customHeight="1" x14ac:dyDescent="0.25">
      <c r="A41" s="75"/>
      <c r="B41" s="133"/>
      <c r="C41" s="183" t="s">
        <v>857</v>
      </c>
      <c r="D41" s="162"/>
      <c r="E41" s="153"/>
      <c r="F41" s="163"/>
      <c r="G41" s="164"/>
      <c r="H41" s="155"/>
      <c r="I41" s="165"/>
      <c r="J41" s="166"/>
      <c r="K41" s="86"/>
      <c r="L41" s="156">
        <v>8790000</v>
      </c>
      <c r="M41" s="112"/>
      <c r="N41" s="112"/>
      <c r="O41" s="142">
        <f t="shared" si="0"/>
        <v>8790000</v>
      </c>
      <c r="P41" s="68"/>
      <c r="Q41" s="176">
        <f t="shared" si="1"/>
        <v>-8790000</v>
      </c>
    </row>
    <row r="42" spans="1:17" ht="18" customHeight="1" x14ac:dyDescent="0.25">
      <c r="A42" s="75"/>
      <c r="B42" s="133"/>
      <c r="C42" s="170" t="s">
        <v>858</v>
      </c>
      <c r="D42" s="162"/>
      <c r="E42" s="153"/>
      <c r="F42" s="163"/>
      <c r="G42" s="164"/>
      <c r="H42" s="155"/>
      <c r="I42" s="165"/>
      <c r="J42" s="166"/>
      <c r="K42" s="86"/>
      <c r="L42" s="156">
        <v>350000</v>
      </c>
      <c r="M42" s="112"/>
      <c r="N42" s="112"/>
      <c r="O42" s="142">
        <f t="shared" si="0"/>
        <v>350000</v>
      </c>
      <c r="P42" s="68"/>
      <c r="Q42" s="176">
        <f t="shared" si="1"/>
        <v>-350000</v>
      </c>
    </row>
    <row r="43" spans="1:17" ht="18" customHeight="1" x14ac:dyDescent="0.25">
      <c r="A43" s="75"/>
      <c r="B43" s="133"/>
      <c r="C43" s="170" t="s">
        <v>853</v>
      </c>
      <c r="D43" s="162"/>
      <c r="E43" s="153"/>
      <c r="F43" s="163"/>
      <c r="G43" s="164"/>
      <c r="H43" s="155"/>
      <c r="I43" s="165"/>
      <c r="J43" s="166"/>
      <c r="K43" s="86"/>
      <c r="L43" s="156">
        <v>1320000</v>
      </c>
      <c r="M43" s="112"/>
      <c r="N43" s="112"/>
      <c r="O43" s="142">
        <f t="shared" si="0"/>
        <v>1320000</v>
      </c>
      <c r="P43" s="68"/>
      <c r="Q43" s="176">
        <f t="shared" si="1"/>
        <v>-1320000</v>
      </c>
    </row>
    <row r="44" spans="1:17" ht="18" customHeight="1" x14ac:dyDescent="0.25">
      <c r="A44" s="75"/>
      <c r="B44" s="70"/>
      <c r="C44" s="108" t="s">
        <v>580</v>
      </c>
      <c r="D44" s="87"/>
      <c r="E44" s="70"/>
      <c r="F44" s="110"/>
      <c r="G44" s="70"/>
      <c r="H44" s="81"/>
      <c r="I44" s="111"/>
      <c r="J44" s="112"/>
      <c r="K44" s="113">
        <f>9000000+346154+500000</f>
        <v>9846154</v>
      </c>
      <c r="L44" s="141"/>
      <c r="M44" s="112"/>
      <c r="N44" s="112"/>
      <c r="O44" s="142">
        <f>H44+J44+K44+L44+M44+N44</f>
        <v>9846154</v>
      </c>
      <c r="P44" s="68"/>
      <c r="Q44" s="176">
        <f t="shared" si="1"/>
        <v>-9846154</v>
      </c>
    </row>
    <row r="45" spans="1:17" x14ac:dyDescent="0.25">
      <c r="A45" s="547" t="s">
        <v>19</v>
      </c>
      <c r="B45" s="548"/>
      <c r="C45" s="548"/>
      <c r="D45" s="548"/>
      <c r="E45" s="548"/>
      <c r="F45" s="549"/>
      <c r="G45" s="89">
        <f t="shared" ref="G45:Q45" si="2">SUM(G7:G44)</f>
        <v>3324</v>
      </c>
      <c r="H45" s="71">
        <f t="shared" si="2"/>
        <v>43225240</v>
      </c>
      <c r="I45" s="71">
        <f t="shared" si="2"/>
        <v>0</v>
      </c>
      <c r="J45" s="71">
        <f t="shared" si="2"/>
        <v>37290000</v>
      </c>
      <c r="K45" s="71">
        <f t="shared" si="2"/>
        <v>9846154</v>
      </c>
      <c r="L45" s="71">
        <f t="shared" si="2"/>
        <v>11546000</v>
      </c>
      <c r="M45" s="71">
        <f t="shared" si="2"/>
        <v>0</v>
      </c>
      <c r="N45" s="71">
        <f t="shared" si="2"/>
        <v>0</v>
      </c>
      <c r="O45" s="71">
        <f t="shared" si="2"/>
        <v>101907394</v>
      </c>
      <c r="P45" s="71">
        <f t="shared" si="2"/>
        <v>127981819</v>
      </c>
      <c r="Q45" s="71">
        <f t="shared" si="2"/>
        <v>26074425</v>
      </c>
    </row>
    <row r="46" spans="1:17" x14ac:dyDescent="0.25">
      <c r="P46" s="184" t="s">
        <v>859</v>
      </c>
      <c r="Q46" s="185">
        <f>'T01.2016'!Q32+'T02.2016'!Q30+'03-2016'!Q41+'04-2016'!Q42+'05-2016'!Q39+'06-2016'!Q37+'07-2016'!Q46+'08-2016'!Q45+'09-2016'!Q42+'10-2016'!Q39+'11-2016'!Q44+'12-2016'!Q45</f>
        <v>355715923.8054226</v>
      </c>
    </row>
  </sheetData>
  <mergeCells count="5">
    <mergeCell ref="A1:Q1"/>
    <mergeCell ref="A2:Q2"/>
    <mergeCell ref="A3:Q3"/>
    <mergeCell ref="G5:N5"/>
    <mergeCell ref="A45:F45"/>
  </mergeCells>
  <pageMargins left="0.7" right="0.7" top="0.75" bottom="0.75" header="0.3" footer="0.3"/>
  <pageSetup paperSize="9" orientation="portrait" horizontalDpi="0" verticalDpi="0"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39"/>
  <sheetViews>
    <sheetView topLeftCell="C22" workbookViewId="0">
      <selection activeCell="Q40" sqref="Q40"/>
    </sheetView>
  </sheetViews>
  <sheetFormatPr defaultRowHeight="15" x14ac:dyDescent="0.25"/>
  <cols>
    <col min="3" max="3" width="33.140625" customWidth="1"/>
    <col min="4" max="4" width="16.7109375" customWidth="1"/>
    <col min="5" max="5" width="35.140625" customWidth="1"/>
    <col min="15" max="15" width="12.42578125" customWidth="1"/>
    <col min="16" max="16" width="11.5703125" customWidth="1"/>
    <col min="17" max="17" width="15.42578125" customWidth="1"/>
  </cols>
  <sheetData>
    <row r="1" spans="1:17" ht="23.25" x14ac:dyDescent="0.25">
      <c r="A1" s="551" t="s">
        <v>0</v>
      </c>
      <c r="B1" s="551"/>
      <c r="C1" s="551"/>
      <c r="D1" s="551"/>
      <c r="E1" s="551"/>
      <c r="F1" s="551"/>
      <c r="G1" s="551"/>
      <c r="H1" s="551"/>
      <c r="I1" s="551"/>
      <c r="J1" s="551"/>
      <c r="K1" s="551"/>
      <c r="L1" s="551"/>
      <c r="M1" s="551"/>
      <c r="N1" s="551"/>
      <c r="O1" s="551"/>
      <c r="P1" s="551"/>
      <c r="Q1" s="551"/>
    </row>
    <row r="2" spans="1:17" ht="15.75" x14ac:dyDescent="0.25">
      <c r="A2" s="550" t="s">
        <v>103</v>
      </c>
      <c r="B2" s="550"/>
      <c r="C2" s="550"/>
      <c r="D2" s="550"/>
      <c r="E2" s="550"/>
      <c r="F2" s="550"/>
      <c r="G2" s="550"/>
      <c r="H2" s="550"/>
      <c r="I2" s="550"/>
      <c r="J2" s="550"/>
      <c r="K2" s="550"/>
      <c r="L2" s="550"/>
      <c r="M2" s="550"/>
      <c r="N2" s="550"/>
      <c r="O2" s="550"/>
      <c r="P2" s="550"/>
      <c r="Q2" s="550"/>
    </row>
    <row r="3" spans="1:17" ht="15.75" x14ac:dyDescent="0.25">
      <c r="A3" s="550" t="s">
        <v>860</v>
      </c>
      <c r="B3" s="550"/>
      <c r="C3" s="550"/>
      <c r="D3" s="550"/>
      <c r="E3" s="550"/>
      <c r="F3" s="550"/>
      <c r="G3" s="550"/>
      <c r="H3" s="550"/>
      <c r="I3" s="550"/>
      <c r="J3" s="550"/>
      <c r="K3" s="550"/>
      <c r="L3" s="550"/>
      <c r="M3" s="550"/>
      <c r="N3" s="550"/>
      <c r="O3" s="550"/>
      <c r="P3" s="550"/>
      <c r="Q3" s="550"/>
    </row>
    <row r="4" spans="1:17" x14ac:dyDescent="0.25">
      <c r="A4" s="74"/>
      <c r="B4" s="99"/>
      <c r="C4" s="74"/>
      <c r="D4" s="74"/>
      <c r="E4" s="74" t="s">
        <v>194</v>
      </c>
      <c r="F4" s="74"/>
      <c r="G4" s="74"/>
      <c r="H4" s="72"/>
      <c r="I4" s="74"/>
      <c r="J4" s="72"/>
      <c r="K4" s="72"/>
      <c r="L4" s="72"/>
      <c r="M4" s="72"/>
      <c r="N4" s="72"/>
      <c r="O4" s="72"/>
      <c r="P4" s="72"/>
      <c r="Q4" s="72"/>
    </row>
    <row r="5" spans="1:17" ht="25.5" x14ac:dyDescent="0.25">
      <c r="A5" s="177" t="s">
        <v>1</v>
      </c>
      <c r="B5" s="178" t="s">
        <v>2</v>
      </c>
      <c r="C5" s="177" t="s">
        <v>3</v>
      </c>
      <c r="D5" s="177" t="s">
        <v>5</v>
      </c>
      <c r="E5" s="174" t="s">
        <v>4</v>
      </c>
      <c r="F5" s="174" t="s">
        <v>17</v>
      </c>
      <c r="G5" s="552" t="s">
        <v>6</v>
      </c>
      <c r="H5" s="553"/>
      <c r="I5" s="553"/>
      <c r="J5" s="553"/>
      <c r="K5" s="553"/>
      <c r="L5" s="553"/>
      <c r="M5" s="553"/>
      <c r="N5" s="554"/>
      <c r="O5" s="127" t="s">
        <v>18</v>
      </c>
      <c r="P5" s="127" t="s">
        <v>13</v>
      </c>
      <c r="Q5" s="127" t="s">
        <v>14</v>
      </c>
    </row>
    <row r="6" spans="1:17" x14ac:dyDescent="0.25">
      <c r="A6" s="179"/>
      <c r="B6" s="180"/>
      <c r="C6" s="179"/>
      <c r="D6" s="179"/>
      <c r="E6" s="175"/>
      <c r="F6" s="175"/>
      <c r="G6" s="6" t="s">
        <v>7</v>
      </c>
      <c r="H6" s="7" t="s">
        <v>15</v>
      </c>
      <c r="I6" s="6" t="s">
        <v>16</v>
      </c>
      <c r="J6" s="7" t="s">
        <v>8</v>
      </c>
      <c r="K6" s="7" t="s">
        <v>9</v>
      </c>
      <c r="L6" s="7" t="s">
        <v>10</v>
      </c>
      <c r="M6" s="7" t="s">
        <v>11</v>
      </c>
      <c r="N6" s="7" t="s">
        <v>12</v>
      </c>
      <c r="O6" s="181"/>
      <c r="P6" s="181"/>
      <c r="Q6" s="181"/>
    </row>
    <row r="7" spans="1:17" x14ac:dyDescent="0.25">
      <c r="A7" s="75"/>
      <c r="B7" s="100"/>
      <c r="C7" s="88"/>
      <c r="D7" s="88"/>
      <c r="E7" s="134"/>
      <c r="F7" s="75"/>
      <c r="G7" s="77"/>
      <c r="H7" s="68"/>
      <c r="I7" s="75"/>
      <c r="J7" s="68"/>
      <c r="K7" s="68"/>
      <c r="L7" s="68"/>
      <c r="M7" s="68"/>
      <c r="N7" s="68"/>
      <c r="O7" s="68">
        <f>H7+J7+K7+L7+M7+N7</f>
        <v>0</v>
      </c>
      <c r="P7" s="144"/>
      <c r="Q7" s="68">
        <f>P7-O7</f>
        <v>0</v>
      </c>
    </row>
    <row r="8" spans="1:17" x14ac:dyDescent="0.25">
      <c r="A8" s="75">
        <v>1</v>
      </c>
      <c r="B8" s="133">
        <v>42737</v>
      </c>
      <c r="C8" s="135" t="s">
        <v>861</v>
      </c>
      <c r="D8" s="136" t="s">
        <v>862</v>
      </c>
      <c r="E8" s="78" t="s">
        <v>705</v>
      </c>
      <c r="F8" s="80"/>
      <c r="G8" s="77"/>
      <c r="H8" s="81"/>
      <c r="I8" s="81"/>
      <c r="J8" s="69">
        <f>1190000+140000-400000</f>
        <v>930000</v>
      </c>
      <c r="K8" s="86"/>
      <c r="L8" s="69"/>
      <c r="M8" s="69"/>
      <c r="N8" s="69"/>
      <c r="O8" s="142">
        <f>H8+J8+K8+L8+M8+N8</f>
        <v>930000</v>
      </c>
      <c r="P8" s="145">
        <v>3272727</v>
      </c>
      <c r="Q8" s="176">
        <f>P8-O8</f>
        <v>2342727</v>
      </c>
    </row>
    <row r="9" spans="1:17" x14ac:dyDescent="0.25">
      <c r="A9" s="75">
        <v>2</v>
      </c>
      <c r="B9" s="133">
        <v>42738</v>
      </c>
      <c r="C9" s="135" t="s">
        <v>863</v>
      </c>
      <c r="D9" s="136" t="s">
        <v>864</v>
      </c>
      <c r="E9" s="78" t="s">
        <v>865</v>
      </c>
      <c r="F9" s="80"/>
      <c r="G9" s="77"/>
      <c r="H9" s="81"/>
      <c r="I9" s="81"/>
      <c r="J9" s="186">
        <f>650000+600000+400000+70000</f>
        <v>1720000</v>
      </c>
      <c r="K9" s="86"/>
      <c r="L9" s="69"/>
      <c r="M9" s="69"/>
      <c r="N9" s="69"/>
      <c r="O9" s="142">
        <f t="shared" ref="O9:O36" si="0">H9+J9+K9+L9+M9+N9</f>
        <v>1720000</v>
      </c>
      <c r="P9" s="145">
        <v>2000000</v>
      </c>
      <c r="Q9" s="176">
        <f t="shared" ref="Q9:Q37" si="1">P9-O9</f>
        <v>280000</v>
      </c>
    </row>
    <row r="10" spans="1:17" x14ac:dyDescent="0.25">
      <c r="A10" s="75">
        <v>3</v>
      </c>
      <c r="B10" s="133">
        <v>42738</v>
      </c>
      <c r="C10" s="135" t="s">
        <v>866</v>
      </c>
      <c r="D10" s="136" t="s">
        <v>864</v>
      </c>
      <c r="E10" s="78" t="s">
        <v>867</v>
      </c>
      <c r="F10" s="80"/>
      <c r="G10" s="77"/>
      <c r="H10" s="81"/>
      <c r="I10" s="81"/>
      <c r="J10" s="187">
        <v>0</v>
      </c>
      <c r="K10" s="86"/>
      <c r="L10" s="69"/>
      <c r="M10" s="69"/>
      <c r="N10" s="69"/>
      <c r="O10" s="142">
        <f t="shared" si="0"/>
        <v>0</v>
      </c>
      <c r="P10" s="145">
        <v>4000000</v>
      </c>
      <c r="Q10" s="176">
        <f t="shared" si="1"/>
        <v>4000000</v>
      </c>
    </row>
    <row r="11" spans="1:17" x14ac:dyDescent="0.25">
      <c r="A11" s="75">
        <v>4</v>
      </c>
      <c r="B11" s="133">
        <v>42739</v>
      </c>
      <c r="C11" s="135" t="s">
        <v>868</v>
      </c>
      <c r="D11" s="136" t="s">
        <v>869</v>
      </c>
      <c r="E11" s="78" t="s">
        <v>117</v>
      </c>
      <c r="F11" s="80"/>
      <c r="G11" s="77"/>
      <c r="H11" s="81"/>
      <c r="I11" s="81"/>
      <c r="J11" s="69">
        <f>1150000+140000</f>
        <v>1290000</v>
      </c>
      <c r="K11" s="86"/>
      <c r="L11" s="69"/>
      <c r="M11" s="69"/>
      <c r="N11" s="69"/>
      <c r="O11" s="142">
        <f t="shared" si="0"/>
        <v>1290000</v>
      </c>
      <c r="P11" s="145">
        <v>2909091</v>
      </c>
      <c r="Q11" s="176">
        <f t="shared" si="1"/>
        <v>1619091</v>
      </c>
    </row>
    <row r="12" spans="1:17" x14ac:dyDescent="0.25">
      <c r="A12" s="75">
        <v>5</v>
      </c>
      <c r="B12" s="133">
        <v>42740</v>
      </c>
      <c r="C12" s="135" t="s">
        <v>870</v>
      </c>
      <c r="D12" s="136" t="s">
        <v>871</v>
      </c>
      <c r="E12" s="78" t="s">
        <v>426</v>
      </c>
      <c r="F12" s="80"/>
      <c r="G12" s="77">
        <v>225</v>
      </c>
      <c r="H12" s="81">
        <v>3093750</v>
      </c>
      <c r="I12" s="81"/>
      <c r="J12" s="69">
        <f>1150000+70000</f>
        <v>1220000</v>
      </c>
      <c r="K12" s="86"/>
      <c r="L12" s="69"/>
      <c r="M12" s="69"/>
      <c r="N12" s="69"/>
      <c r="O12" s="142">
        <f t="shared" si="0"/>
        <v>4313750</v>
      </c>
      <c r="P12" s="145">
        <v>3181818</v>
      </c>
      <c r="Q12" s="176">
        <f t="shared" si="1"/>
        <v>-1131932</v>
      </c>
    </row>
    <row r="13" spans="1:17" x14ac:dyDescent="0.25">
      <c r="A13" s="75">
        <v>6</v>
      </c>
      <c r="B13" s="133">
        <v>42741</v>
      </c>
      <c r="C13" s="135" t="s">
        <v>872</v>
      </c>
      <c r="D13" s="136" t="s">
        <v>873</v>
      </c>
      <c r="E13" s="78" t="s">
        <v>635</v>
      </c>
      <c r="F13" s="80"/>
      <c r="G13" s="77"/>
      <c r="H13" s="81"/>
      <c r="I13" s="81"/>
      <c r="J13" s="69">
        <v>1340000</v>
      </c>
      <c r="K13" s="86"/>
      <c r="L13" s="69"/>
      <c r="M13" s="69"/>
      <c r="N13" s="69"/>
      <c r="O13" s="142">
        <f t="shared" si="0"/>
        <v>1340000</v>
      </c>
      <c r="P13" s="145">
        <v>4700000</v>
      </c>
      <c r="Q13" s="176">
        <f t="shared" si="1"/>
        <v>3360000</v>
      </c>
    </row>
    <row r="14" spans="1:17" x14ac:dyDescent="0.25">
      <c r="A14" s="75">
        <v>7</v>
      </c>
      <c r="B14" s="133">
        <v>42742</v>
      </c>
      <c r="C14" s="135" t="s">
        <v>874</v>
      </c>
      <c r="D14" s="136" t="s">
        <v>875</v>
      </c>
      <c r="E14" s="78" t="s">
        <v>359</v>
      </c>
      <c r="F14" s="80"/>
      <c r="G14" s="77">
        <v>310</v>
      </c>
      <c r="H14" s="81">
        <v>4262500</v>
      </c>
      <c r="I14" s="81"/>
      <c r="J14" s="69">
        <f>1600000+140000</f>
        <v>1740000</v>
      </c>
      <c r="K14" s="86"/>
      <c r="L14" s="69"/>
      <c r="M14" s="69"/>
      <c r="N14" s="69"/>
      <c r="O14" s="142">
        <f t="shared" si="0"/>
        <v>6002500</v>
      </c>
      <c r="P14" s="145">
        <v>5200000</v>
      </c>
      <c r="Q14" s="176">
        <f t="shared" si="1"/>
        <v>-802500</v>
      </c>
    </row>
    <row r="15" spans="1:17" x14ac:dyDescent="0.25">
      <c r="A15" s="75">
        <v>8</v>
      </c>
      <c r="B15" s="133">
        <v>42744</v>
      </c>
      <c r="C15" s="135" t="s">
        <v>876</v>
      </c>
      <c r="D15" s="136" t="s">
        <v>877</v>
      </c>
      <c r="E15" s="78" t="s">
        <v>286</v>
      </c>
      <c r="F15" s="80"/>
      <c r="G15" s="77"/>
      <c r="H15" s="81"/>
      <c r="I15" s="81"/>
      <c r="J15" s="69">
        <f>790000+140000</f>
        <v>930000</v>
      </c>
      <c r="K15" s="86"/>
      <c r="L15" s="69"/>
      <c r="M15" s="69"/>
      <c r="N15" s="69"/>
      <c r="O15" s="142">
        <f t="shared" si="0"/>
        <v>930000</v>
      </c>
      <c r="P15" s="145">
        <v>3727273</v>
      </c>
      <c r="Q15" s="176">
        <f t="shared" si="1"/>
        <v>2797273</v>
      </c>
    </row>
    <row r="16" spans="1:17" x14ac:dyDescent="0.25">
      <c r="A16" s="75">
        <v>9</v>
      </c>
      <c r="B16" s="133">
        <v>42745</v>
      </c>
      <c r="C16" s="135" t="s">
        <v>878</v>
      </c>
      <c r="D16" s="136" t="s">
        <v>879</v>
      </c>
      <c r="E16" s="188" t="s">
        <v>847</v>
      </c>
      <c r="F16" s="80"/>
      <c r="G16" s="77"/>
      <c r="H16" s="81"/>
      <c r="I16" s="81"/>
      <c r="J16" s="69">
        <f>1600000+140000</f>
        <v>1740000</v>
      </c>
      <c r="K16" s="86"/>
      <c r="L16" s="69"/>
      <c r="M16" s="69"/>
      <c r="N16" s="69"/>
      <c r="O16" s="142">
        <f t="shared" si="0"/>
        <v>1740000</v>
      </c>
      <c r="P16" s="145">
        <v>5200000</v>
      </c>
      <c r="Q16" s="176">
        <f t="shared" si="1"/>
        <v>3460000</v>
      </c>
    </row>
    <row r="17" spans="1:17" x14ac:dyDescent="0.25">
      <c r="A17" s="75">
        <v>10</v>
      </c>
      <c r="B17" s="133">
        <v>42746</v>
      </c>
      <c r="C17" s="135" t="s">
        <v>880</v>
      </c>
      <c r="D17" s="136" t="s">
        <v>881</v>
      </c>
      <c r="E17" s="78" t="s">
        <v>882</v>
      </c>
      <c r="F17" s="80"/>
      <c r="G17" s="77"/>
      <c r="H17" s="81"/>
      <c r="I17" s="81"/>
      <c r="J17" s="69">
        <f>800000+140000</f>
        <v>940000</v>
      </c>
      <c r="K17" s="86"/>
      <c r="L17" s="69"/>
      <c r="M17" s="69"/>
      <c r="N17" s="69"/>
      <c r="O17" s="142">
        <f t="shared" si="0"/>
        <v>940000</v>
      </c>
      <c r="P17" s="145">
        <v>2963636</v>
      </c>
      <c r="Q17" s="176">
        <f t="shared" si="1"/>
        <v>2023636</v>
      </c>
    </row>
    <row r="18" spans="1:17" x14ac:dyDescent="0.25">
      <c r="A18" s="75">
        <v>11</v>
      </c>
      <c r="B18" s="133">
        <v>42747</v>
      </c>
      <c r="C18" s="135" t="s">
        <v>883</v>
      </c>
      <c r="D18" s="136" t="s">
        <v>884</v>
      </c>
      <c r="E18" s="78" t="s">
        <v>704</v>
      </c>
      <c r="F18" s="80"/>
      <c r="G18" s="77">
        <v>324</v>
      </c>
      <c r="H18" s="81">
        <v>4455000</v>
      </c>
      <c r="I18" s="81"/>
      <c r="J18" s="69">
        <f>800000+140000</f>
        <v>940000</v>
      </c>
      <c r="K18" s="86"/>
      <c r="L18" s="69"/>
      <c r="M18" s="69"/>
      <c r="N18" s="69"/>
      <c r="O18" s="142">
        <f t="shared" si="0"/>
        <v>5395000</v>
      </c>
      <c r="P18" s="145">
        <v>3154545</v>
      </c>
      <c r="Q18" s="176">
        <f t="shared" si="1"/>
        <v>-2240455</v>
      </c>
    </row>
    <row r="19" spans="1:17" x14ac:dyDescent="0.25">
      <c r="A19" s="75">
        <v>12</v>
      </c>
      <c r="B19" s="133">
        <v>42748</v>
      </c>
      <c r="C19" s="135" t="s">
        <v>885</v>
      </c>
      <c r="D19" s="136" t="s">
        <v>886</v>
      </c>
      <c r="E19" s="78" t="s">
        <v>887</v>
      </c>
      <c r="F19" s="80"/>
      <c r="G19" s="77"/>
      <c r="H19" s="81"/>
      <c r="I19" s="81"/>
      <c r="J19" s="187">
        <f>1150000+600000+80000+400000-180000+350000+70000</f>
        <v>2470000</v>
      </c>
      <c r="K19" s="86"/>
      <c r="L19" s="69"/>
      <c r="M19" s="69"/>
      <c r="N19" s="69"/>
      <c r="O19" s="142">
        <f t="shared" si="0"/>
        <v>2470000</v>
      </c>
      <c r="P19" s="145">
        <v>3140000</v>
      </c>
      <c r="Q19" s="176">
        <f t="shared" si="1"/>
        <v>670000</v>
      </c>
    </row>
    <row r="20" spans="1:17" x14ac:dyDescent="0.25">
      <c r="A20" s="75">
        <v>13</v>
      </c>
      <c r="B20" s="133">
        <v>42748</v>
      </c>
      <c r="C20" s="135" t="s">
        <v>888</v>
      </c>
      <c r="D20" s="136" t="s">
        <v>886</v>
      </c>
      <c r="E20" s="78" t="s">
        <v>867</v>
      </c>
      <c r="F20" s="80"/>
      <c r="G20" s="77"/>
      <c r="H20" s="81"/>
      <c r="I20" s="81"/>
      <c r="J20" s="187">
        <v>0</v>
      </c>
      <c r="K20" s="86"/>
      <c r="L20" s="69"/>
      <c r="M20" s="69"/>
      <c r="N20" s="69"/>
      <c r="O20" s="142">
        <f t="shared" si="0"/>
        <v>0</v>
      </c>
      <c r="P20" s="145">
        <v>4000000</v>
      </c>
      <c r="Q20" s="176">
        <f t="shared" si="1"/>
        <v>4000000</v>
      </c>
    </row>
    <row r="21" spans="1:17" x14ac:dyDescent="0.25">
      <c r="A21" s="75">
        <v>14</v>
      </c>
      <c r="B21" s="133">
        <v>42749</v>
      </c>
      <c r="C21" s="135" t="s">
        <v>889</v>
      </c>
      <c r="D21" s="136" t="s">
        <v>890</v>
      </c>
      <c r="E21" s="78" t="s">
        <v>891</v>
      </c>
      <c r="F21" s="80"/>
      <c r="G21" s="77"/>
      <c r="H21" s="81"/>
      <c r="I21" s="81"/>
      <c r="J21" s="77">
        <f>650000+140000</f>
        <v>790000</v>
      </c>
      <c r="K21" s="86"/>
      <c r="L21" s="69"/>
      <c r="M21" s="69"/>
      <c r="N21" s="69"/>
      <c r="O21" s="142">
        <f t="shared" si="0"/>
        <v>790000</v>
      </c>
      <c r="P21" s="145">
        <v>2336364</v>
      </c>
      <c r="Q21" s="176">
        <f t="shared" si="1"/>
        <v>1546364</v>
      </c>
    </row>
    <row r="22" spans="1:17" x14ac:dyDescent="0.25">
      <c r="A22" s="75">
        <v>15</v>
      </c>
      <c r="B22" s="133">
        <v>42749</v>
      </c>
      <c r="C22" s="135" t="s">
        <v>892</v>
      </c>
      <c r="D22" s="136" t="s">
        <v>893</v>
      </c>
      <c r="E22" s="78" t="s">
        <v>564</v>
      </c>
      <c r="F22" s="80"/>
      <c r="G22" s="77">
        <v>330</v>
      </c>
      <c r="H22" s="81">
        <v>4537500</v>
      </c>
      <c r="I22" s="81"/>
      <c r="J22" s="69">
        <f>1600000+140000</f>
        <v>1740000</v>
      </c>
      <c r="K22" s="86"/>
      <c r="L22" s="69"/>
      <c r="M22" s="69"/>
      <c r="N22" s="69"/>
      <c r="O22" s="142">
        <f t="shared" si="0"/>
        <v>6277500</v>
      </c>
      <c r="P22" s="145">
        <v>5200000</v>
      </c>
      <c r="Q22" s="176">
        <f t="shared" si="1"/>
        <v>-1077500</v>
      </c>
    </row>
    <row r="23" spans="1:17" x14ac:dyDescent="0.25">
      <c r="A23" s="75">
        <v>16</v>
      </c>
      <c r="B23" s="133">
        <v>42751</v>
      </c>
      <c r="C23" s="135" t="s">
        <v>894</v>
      </c>
      <c r="D23" s="136" t="s">
        <v>895</v>
      </c>
      <c r="E23" s="78" t="s">
        <v>24</v>
      </c>
      <c r="F23" s="80"/>
      <c r="G23" s="77">
        <v>180</v>
      </c>
      <c r="H23" s="81">
        <v>2475000</v>
      </c>
      <c r="I23" s="81"/>
      <c r="J23" s="69">
        <f>1910000+140000</f>
        <v>2050000</v>
      </c>
      <c r="K23" s="86"/>
      <c r="L23" s="69"/>
      <c r="M23" s="69"/>
      <c r="N23" s="69"/>
      <c r="O23" s="142">
        <f t="shared" si="0"/>
        <v>4525000</v>
      </c>
      <c r="P23" s="145">
        <v>8181818</v>
      </c>
      <c r="Q23" s="176">
        <f t="shared" si="1"/>
        <v>3656818</v>
      </c>
    </row>
    <row r="24" spans="1:17" x14ac:dyDescent="0.25">
      <c r="A24" s="75">
        <v>17</v>
      </c>
      <c r="B24" s="133">
        <v>42752</v>
      </c>
      <c r="C24" s="135" t="s">
        <v>896</v>
      </c>
      <c r="D24" s="136" t="s">
        <v>897</v>
      </c>
      <c r="E24" s="78" t="s">
        <v>898</v>
      </c>
      <c r="F24" s="80"/>
      <c r="G24" s="77">
        <v>341</v>
      </c>
      <c r="H24" s="81">
        <v>4688750</v>
      </c>
      <c r="I24" s="81"/>
      <c r="J24" s="69">
        <f>1300000+70000+40000</f>
        <v>1410000</v>
      </c>
      <c r="K24" s="86"/>
      <c r="L24" s="69"/>
      <c r="M24" s="69"/>
      <c r="N24" s="69"/>
      <c r="O24" s="142">
        <f t="shared" si="0"/>
        <v>6098750</v>
      </c>
      <c r="P24" s="145">
        <v>4700000</v>
      </c>
      <c r="Q24" s="176">
        <f t="shared" si="1"/>
        <v>-1398750</v>
      </c>
    </row>
    <row r="25" spans="1:17" x14ac:dyDescent="0.25">
      <c r="A25" s="75">
        <v>18</v>
      </c>
      <c r="B25" s="133">
        <v>42754</v>
      </c>
      <c r="C25" s="135" t="s">
        <v>123</v>
      </c>
      <c r="D25" s="136" t="s">
        <v>899</v>
      </c>
      <c r="E25" s="78" t="s">
        <v>900</v>
      </c>
      <c r="F25" s="80"/>
      <c r="G25" s="77"/>
      <c r="H25" s="81"/>
      <c r="I25" s="81"/>
      <c r="J25" s="69">
        <f>1150000+140000</f>
        <v>1290000</v>
      </c>
      <c r="K25" s="86"/>
      <c r="L25" s="69"/>
      <c r="M25" s="69"/>
      <c r="N25" s="69"/>
      <c r="O25" s="142">
        <f t="shared" si="0"/>
        <v>1290000</v>
      </c>
      <c r="P25" s="145">
        <v>3363636</v>
      </c>
      <c r="Q25" s="176">
        <f t="shared" si="1"/>
        <v>2073636</v>
      </c>
    </row>
    <row r="26" spans="1:17" x14ac:dyDescent="0.25">
      <c r="A26" s="75">
        <v>19</v>
      </c>
      <c r="B26" s="133">
        <v>42755</v>
      </c>
      <c r="C26" s="135" t="s">
        <v>901</v>
      </c>
      <c r="D26" s="136" t="s">
        <v>902</v>
      </c>
      <c r="E26" s="78" t="s">
        <v>903</v>
      </c>
      <c r="F26" s="80"/>
      <c r="G26" s="77"/>
      <c r="H26" s="81"/>
      <c r="I26" s="81"/>
      <c r="J26" s="69">
        <f>790000+70000</f>
        <v>860000</v>
      </c>
      <c r="K26" s="86"/>
      <c r="L26" s="69"/>
      <c r="M26" s="69"/>
      <c r="N26" s="69"/>
      <c r="O26" s="142">
        <f t="shared" si="0"/>
        <v>860000</v>
      </c>
      <c r="P26" s="145">
        <v>3300000</v>
      </c>
      <c r="Q26" s="176">
        <f t="shared" si="1"/>
        <v>2440000</v>
      </c>
    </row>
    <row r="27" spans="1:17" x14ac:dyDescent="0.25">
      <c r="A27" s="75">
        <v>20</v>
      </c>
      <c r="B27" s="133">
        <v>42755</v>
      </c>
      <c r="C27" s="135" t="s">
        <v>904</v>
      </c>
      <c r="D27" s="136" t="s">
        <v>905</v>
      </c>
      <c r="E27" s="78" t="s">
        <v>903</v>
      </c>
      <c r="F27" s="80"/>
      <c r="G27" s="77"/>
      <c r="H27" s="81"/>
      <c r="I27" s="81"/>
      <c r="J27" s="69">
        <f>790000+140000</f>
        <v>930000</v>
      </c>
      <c r="K27" s="86"/>
      <c r="L27" s="69"/>
      <c r="M27" s="69"/>
      <c r="N27" s="69"/>
      <c r="O27" s="142">
        <f t="shared" si="0"/>
        <v>930000</v>
      </c>
      <c r="P27" s="145">
        <v>3300000</v>
      </c>
      <c r="Q27" s="176">
        <f t="shared" si="1"/>
        <v>2370000</v>
      </c>
    </row>
    <row r="28" spans="1:17" x14ac:dyDescent="0.25">
      <c r="A28" s="75">
        <v>21</v>
      </c>
      <c r="B28" s="133">
        <v>42758</v>
      </c>
      <c r="C28" s="135" t="s">
        <v>906</v>
      </c>
      <c r="D28" s="136" t="s">
        <v>907</v>
      </c>
      <c r="E28" s="78" t="s">
        <v>908</v>
      </c>
      <c r="F28" s="80"/>
      <c r="G28" s="77">
        <v>290</v>
      </c>
      <c r="H28" s="81">
        <v>4071600</v>
      </c>
      <c r="I28" s="81"/>
      <c r="J28" s="69">
        <f>1600000+140000</f>
        <v>1740000</v>
      </c>
      <c r="K28" s="86"/>
      <c r="L28" s="69"/>
      <c r="M28" s="69"/>
      <c r="N28" s="69"/>
      <c r="O28" s="142">
        <f t="shared" si="0"/>
        <v>5811600</v>
      </c>
      <c r="P28" s="145">
        <v>6400000</v>
      </c>
      <c r="Q28" s="176">
        <f t="shared" si="1"/>
        <v>588400</v>
      </c>
    </row>
    <row r="29" spans="1:17" x14ac:dyDescent="0.25">
      <c r="A29" s="75">
        <v>22</v>
      </c>
      <c r="B29" s="133">
        <v>42758</v>
      </c>
      <c r="C29" s="135" t="s">
        <v>909</v>
      </c>
      <c r="D29" s="136" t="s">
        <v>910</v>
      </c>
      <c r="E29" s="78" t="s">
        <v>27</v>
      </c>
      <c r="F29" s="80"/>
      <c r="G29" s="182">
        <v>235</v>
      </c>
      <c r="H29" s="126">
        <f>G29*14040</f>
        <v>3299400</v>
      </c>
      <c r="I29" s="81"/>
      <c r="J29" s="69">
        <f>800000+140000</f>
        <v>940000</v>
      </c>
      <c r="K29" s="86"/>
      <c r="L29" s="69"/>
      <c r="M29" s="69"/>
      <c r="N29" s="69"/>
      <c r="O29" s="142">
        <f t="shared" si="0"/>
        <v>4239400</v>
      </c>
      <c r="P29" s="145">
        <v>3000000</v>
      </c>
      <c r="Q29" s="176">
        <f t="shared" si="1"/>
        <v>-1239400</v>
      </c>
    </row>
    <row r="30" spans="1:17" ht="20.100000000000001" customHeight="1" x14ac:dyDescent="0.25">
      <c r="A30" s="75"/>
      <c r="B30" s="133"/>
      <c r="C30" s="171"/>
      <c r="D30" s="162"/>
      <c r="E30" s="153"/>
      <c r="F30" s="163"/>
      <c r="G30" s="164"/>
      <c r="H30" s="155"/>
      <c r="I30" s="165"/>
      <c r="J30" s="166"/>
      <c r="K30" s="86"/>
      <c r="L30" s="156"/>
      <c r="M30" s="112"/>
      <c r="N30" s="112"/>
      <c r="O30" s="142">
        <f t="shared" si="0"/>
        <v>0</v>
      </c>
      <c r="P30" s="68"/>
      <c r="Q30" s="176">
        <f t="shared" si="1"/>
        <v>0</v>
      </c>
    </row>
    <row r="31" spans="1:17" x14ac:dyDescent="0.25">
      <c r="A31" s="75"/>
      <c r="B31" s="133"/>
      <c r="C31" s="183" t="s">
        <v>911</v>
      </c>
      <c r="D31" s="162"/>
      <c r="E31" s="153"/>
      <c r="F31" s="163"/>
      <c r="G31" s="164"/>
      <c r="H31" s="155"/>
      <c r="I31" s="165"/>
      <c r="J31" s="166"/>
      <c r="K31" s="86"/>
      <c r="L31" s="156">
        <v>40000</v>
      </c>
      <c r="M31" s="112"/>
      <c r="N31" s="112"/>
      <c r="O31" s="142">
        <f t="shared" si="0"/>
        <v>40000</v>
      </c>
      <c r="P31" s="68"/>
      <c r="Q31" s="176">
        <f t="shared" si="1"/>
        <v>-40000</v>
      </c>
    </row>
    <row r="32" spans="1:17" ht="20.100000000000001" customHeight="1" x14ac:dyDescent="0.25">
      <c r="A32" s="75"/>
      <c r="B32" s="133"/>
      <c r="C32" s="183" t="s">
        <v>912</v>
      </c>
      <c r="D32" s="162"/>
      <c r="E32" s="153"/>
      <c r="F32" s="163"/>
      <c r="G32" s="164"/>
      <c r="H32" s="155"/>
      <c r="I32" s="165"/>
      <c r="J32" s="166"/>
      <c r="K32" s="86"/>
      <c r="L32" s="156">
        <v>100000</v>
      </c>
      <c r="M32" s="112"/>
      <c r="N32" s="112"/>
      <c r="O32" s="142">
        <f t="shared" si="0"/>
        <v>100000</v>
      </c>
      <c r="P32" s="68"/>
      <c r="Q32" s="176">
        <f t="shared" si="1"/>
        <v>-100000</v>
      </c>
    </row>
    <row r="33" spans="1:17" ht="51.75" x14ac:dyDescent="0.25">
      <c r="A33" s="75"/>
      <c r="B33" s="133"/>
      <c r="C33" s="183" t="s">
        <v>913</v>
      </c>
      <c r="D33" s="162"/>
      <c r="E33" s="153"/>
      <c r="F33" s="163"/>
      <c r="G33" s="164"/>
      <c r="H33" s="155"/>
      <c r="I33" s="165"/>
      <c r="J33" s="166"/>
      <c r="K33" s="86"/>
      <c r="L33" s="156">
        <v>1020000</v>
      </c>
      <c r="M33" s="112"/>
      <c r="N33" s="112"/>
      <c r="O33" s="142">
        <f t="shared" si="0"/>
        <v>1020000</v>
      </c>
      <c r="P33" s="68"/>
      <c r="Q33" s="176">
        <f t="shared" si="1"/>
        <v>-1020000</v>
      </c>
    </row>
    <row r="34" spans="1:17" ht="39" x14ac:dyDescent="0.25">
      <c r="A34" s="75"/>
      <c r="B34" s="133"/>
      <c r="C34" s="170" t="s">
        <v>914</v>
      </c>
      <c r="D34" s="162"/>
      <c r="E34" s="153"/>
      <c r="F34" s="163"/>
      <c r="G34" s="164"/>
      <c r="H34" s="155"/>
      <c r="I34" s="165"/>
      <c r="J34" s="166"/>
      <c r="K34" s="86"/>
      <c r="L34" s="156">
        <v>750000</v>
      </c>
      <c r="M34" s="112"/>
      <c r="N34" s="112"/>
      <c r="O34" s="142">
        <f t="shared" si="0"/>
        <v>750000</v>
      </c>
      <c r="P34" s="68"/>
      <c r="Q34" s="176">
        <f t="shared" si="1"/>
        <v>-750000</v>
      </c>
    </row>
    <row r="35" spans="1:17" x14ac:dyDescent="0.25">
      <c r="A35" s="75"/>
      <c r="B35" s="133"/>
      <c r="C35" s="170" t="s">
        <v>915</v>
      </c>
      <c r="D35" s="162"/>
      <c r="E35" s="153"/>
      <c r="F35" s="163"/>
      <c r="G35" s="164"/>
      <c r="H35" s="155"/>
      <c r="I35" s="165"/>
      <c r="J35" s="166"/>
      <c r="K35" s="86"/>
      <c r="L35" s="156">
        <v>1320000</v>
      </c>
      <c r="M35" s="112"/>
      <c r="N35" s="112"/>
      <c r="O35" s="142">
        <f t="shared" si="0"/>
        <v>1320000</v>
      </c>
      <c r="P35" s="68"/>
      <c r="Q35" s="176">
        <f t="shared" si="1"/>
        <v>-1320000</v>
      </c>
    </row>
    <row r="36" spans="1:17" x14ac:dyDescent="0.25">
      <c r="A36" s="75"/>
      <c r="B36" s="137"/>
      <c r="C36" s="170" t="s">
        <v>916</v>
      </c>
      <c r="D36" s="162"/>
      <c r="E36" s="167"/>
      <c r="F36" s="163"/>
      <c r="G36" s="164"/>
      <c r="H36" s="155"/>
      <c r="I36" s="165"/>
      <c r="J36" s="166"/>
      <c r="K36" s="113">
        <v>4000000</v>
      </c>
      <c r="L36" s="166"/>
      <c r="M36" s="112"/>
      <c r="N36" s="112"/>
      <c r="O36" s="142">
        <f t="shared" si="0"/>
        <v>4000000</v>
      </c>
      <c r="P36" s="68"/>
      <c r="Q36" s="176">
        <f t="shared" si="1"/>
        <v>-4000000</v>
      </c>
    </row>
    <row r="37" spans="1:17" x14ac:dyDescent="0.25">
      <c r="A37" s="75"/>
      <c r="B37" s="70"/>
      <c r="C37" s="108" t="s">
        <v>580</v>
      </c>
      <c r="D37" s="87"/>
      <c r="E37" s="70"/>
      <c r="F37" s="110"/>
      <c r="G37" s="70"/>
      <c r="H37" s="81"/>
      <c r="I37" s="111"/>
      <c r="J37" s="112"/>
      <c r="K37" s="113">
        <v>9500000</v>
      </c>
      <c r="L37" s="141"/>
      <c r="M37" s="112"/>
      <c r="N37" s="112"/>
      <c r="O37" s="142">
        <f>H37+J37+K37+L37+M37+N37</f>
        <v>9500000</v>
      </c>
      <c r="P37" s="68"/>
      <c r="Q37" s="176">
        <f t="shared" si="1"/>
        <v>-9500000</v>
      </c>
    </row>
    <row r="38" spans="1:17" x14ac:dyDescent="0.25">
      <c r="A38" s="547" t="s">
        <v>19</v>
      </c>
      <c r="B38" s="548"/>
      <c r="C38" s="548"/>
      <c r="D38" s="548"/>
      <c r="E38" s="548"/>
      <c r="F38" s="549"/>
      <c r="G38" s="89">
        <f t="shared" ref="G38:Q38" si="2">SUM(G7:G37)</f>
        <v>2235</v>
      </c>
      <c r="H38" s="71">
        <f t="shared" si="2"/>
        <v>30883500</v>
      </c>
      <c r="I38" s="71">
        <f t="shared" si="2"/>
        <v>0</v>
      </c>
      <c r="J38" s="71">
        <f t="shared" si="2"/>
        <v>27010000</v>
      </c>
      <c r="K38" s="71">
        <f t="shared" si="2"/>
        <v>13500000</v>
      </c>
      <c r="L38" s="71">
        <f t="shared" si="2"/>
        <v>3230000</v>
      </c>
      <c r="M38" s="71">
        <f t="shared" si="2"/>
        <v>0</v>
      </c>
      <c r="N38" s="71">
        <f t="shared" si="2"/>
        <v>0</v>
      </c>
      <c r="O38" s="71">
        <f t="shared" si="2"/>
        <v>74623500</v>
      </c>
      <c r="P38" s="71">
        <f t="shared" si="2"/>
        <v>87230908</v>
      </c>
      <c r="Q38" s="71">
        <f t="shared" si="2"/>
        <v>12607408</v>
      </c>
    </row>
    <row r="39" spans="1:17" x14ac:dyDescent="0.25">
      <c r="P39" t="s">
        <v>1100</v>
      </c>
      <c r="Q39" s="195">
        <f>Q38</f>
        <v>12607408</v>
      </c>
    </row>
  </sheetData>
  <mergeCells count="5">
    <mergeCell ref="A1:Q1"/>
    <mergeCell ref="A2:Q2"/>
    <mergeCell ref="A3:Q3"/>
    <mergeCell ref="G5:N5"/>
    <mergeCell ref="A38:F38"/>
  </mergeCells>
  <pageMargins left="0.7" right="0.7" top="0.75" bottom="0.75" header="0.3" footer="0.3"/>
  <pageSetup paperSize="9" orientation="portrait" horizontalDpi="0" verticalDpi="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33"/>
  <sheetViews>
    <sheetView topLeftCell="A19" workbookViewId="0">
      <selection activeCell="Q34" sqref="Q34"/>
    </sheetView>
  </sheetViews>
  <sheetFormatPr defaultRowHeight="15" x14ac:dyDescent="0.25"/>
  <cols>
    <col min="3" max="3" width="34.85546875" customWidth="1"/>
    <col min="4" max="4" width="13.5703125" customWidth="1"/>
    <col min="5" max="5" width="26.42578125" customWidth="1"/>
    <col min="17" max="17" width="9.85546875" bestFit="1" customWidth="1"/>
  </cols>
  <sheetData>
    <row r="1" spans="1:17" ht="23.25" x14ac:dyDescent="0.25">
      <c r="A1" s="551" t="s">
        <v>0</v>
      </c>
      <c r="B1" s="551"/>
      <c r="C1" s="551"/>
      <c r="D1" s="551"/>
      <c r="E1" s="551"/>
      <c r="F1" s="551"/>
      <c r="G1" s="551"/>
      <c r="H1" s="551"/>
      <c r="I1" s="551"/>
      <c r="J1" s="551"/>
      <c r="K1" s="551"/>
      <c r="L1" s="551"/>
      <c r="M1" s="551"/>
      <c r="N1" s="551"/>
      <c r="O1" s="551"/>
      <c r="P1" s="551"/>
      <c r="Q1" s="551"/>
    </row>
    <row r="2" spans="1:17" ht="15.75" x14ac:dyDescent="0.25">
      <c r="A2" s="550" t="s">
        <v>103</v>
      </c>
      <c r="B2" s="550"/>
      <c r="C2" s="550"/>
      <c r="D2" s="550"/>
      <c r="E2" s="550"/>
      <c r="F2" s="550"/>
      <c r="G2" s="550"/>
      <c r="H2" s="550"/>
      <c r="I2" s="550"/>
      <c r="J2" s="550"/>
      <c r="K2" s="550"/>
      <c r="L2" s="550"/>
      <c r="M2" s="550"/>
      <c r="N2" s="550"/>
      <c r="O2" s="550"/>
      <c r="P2" s="550"/>
      <c r="Q2" s="550"/>
    </row>
    <row r="3" spans="1:17" ht="15.75" x14ac:dyDescent="0.25">
      <c r="A3" s="550" t="s">
        <v>965</v>
      </c>
      <c r="B3" s="550"/>
      <c r="C3" s="550"/>
      <c r="D3" s="550"/>
      <c r="E3" s="550"/>
      <c r="F3" s="550"/>
      <c r="G3" s="550"/>
      <c r="H3" s="550"/>
      <c r="I3" s="550"/>
      <c r="J3" s="550"/>
      <c r="K3" s="550"/>
      <c r="L3" s="550"/>
      <c r="M3" s="550"/>
      <c r="N3" s="550"/>
      <c r="O3" s="550"/>
      <c r="P3" s="550"/>
      <c r="Q3" s="550"/>
    </row>
    <row r="4" spans="1:17" x14ac:dyDescent="0.25">
      <c r="A4" s="74"/>
      <c r="B4" s="99"/>
      <c r="C4" s="74"/>
      <c r="D4" s="74"/>
      <c r="E4" s="74" t="s">
        <v>194</v>
      </c>
      <c r="F4" s="74"/>
      <c r="G4" s="74"/>
      <c r="H4" s="72"/>
      <c r="I4" s="74"/>
      <c r="J4" s="72"/>
      <c r="K4" s="72"/>
      <c r="L4" s="72"/>
      <c r="M4" s="72"/>
      <c r="N4" s="72"/>
      <c r="O4" s="72"/>
      <c r="P4" s="72"/>
      <c r="Q4" s="72"/>
    </row>
    <row r="5" spans="1:17" ht="25.5" x14ac:dyDescent="0.25">
      <c r="A5" s="177" t="s">
        <v>1</v>
      </c>
      <c r="B5" s="178" t="s">
        <v>2</v>
      </c>
      <c r="C5" s="177" t="s">
        <v>3</v>
      </c>
      <c r="D5" s="177" t="s">
        <v>5</v>
      </c>
      <c r="E5" s="174" t="s">
        <v>4</v>
      </c>
      <c r="F5" s="174" t="s">
        <v>17</v>
      </c>
      <c r="G5" s="552" t="s">
        <v>6</v>
      </c>
      <c r="H5" s="553"/>
      <c r="I5" s="553"/>
      <c r="J5" s="553"/>
      <c r="K5" s="553"/>
      <c r="L5" s="553"/>
      <c r="M5" s="553"/>
      <c r="N5" s="554"/>
      <c r="O5" s="127" t="s">
        <v>18</v>
      </c>
      <c r="P5" s="127" t="s">
        <v>13</v>
      </c>
      <c r="Q5" s="127" t="s">
        <v>14</v>
      </c>
    </row>
    <row r="6" spans="1:17" x14ac:dyDescent="0.25">
      <c r="A6" s="179"/>
      <c r="B6" s="180"/>
      <c r="C6" s="179"/>
      <c r="D6" s="179"/>
      <c r="E6" s="175"/>
      <c r="F6" s="175"/>
      <c r="G6" s="6" t="s">
        <v>7</v>
      </c>
      <c r="H6" s="7" t="s">
        <v>15</v>
      </c>
      <c r="I6" s="6" t="s">
        <v>16</v>
      </c>
      <c r="J6" s="7" t="s">
        <v>8</v>
      </c>
      <c r="K6" s="7" t="s">
        <v>9</v>
      </c>
      <c r="L6" s="7" t="s">
        <v>10</v>
      </c>
      <c r="M6" s="7" t="s">
        <v>11</v>
      </c>
      <c r="N6" s="7" t="s">
        <v>12</v>
      </c>
      <c r="O6" s="181"/>
      <c r="P6" s="181"/>
      <c r="Q6" s="181"/>
    </row>
    <row r="7" spans="1:17" x14ac:dyDescent="0.25">
      <c r="A7" s="75"/>
      <c r="B7" s="100"/>
      <c r="C7" s="88"/>
      <c r="D7" s="88"/>
      <c r="E7" s="134"/>
      <c r="F7" s="75"/>
      <c r="G7" s="77"/>
      <c r="H7" s="68"/>
      <c r="I7" s="75"/>
      <c r="J7" s="68"/>
      <c r="K7" s="68"/>
      <c r="L7" s="68"/>
      <c r="M7" s="68"/>
      <c r="N7" s="68"/>
      <c r="O7" s="68">
        <f>H7+J7+K7+L7+M7+N7</f>
        <v>0</v>
      </c>
      <c r="P7" s="144"/>
      <c r="Q7" s="68">
        <f>P7-O7</f>
        <v>0</v>
      </c>
    </row>
    <row r="8" spans="1:17" ht="20.100000000000001" customHeight="1" x14ac:dyDescent="0.25">
      <c r="A8" s="75">
        <v>1</v>
      </c>
      <c r="B8" s="133">
        <v>42768</v>
      </c>
      <c r="C8" s="135" t="s">
        <v>917</v>
      </c>
      <c r="D8" s="136" t="s">
        <v>936</v>
      </c>
      <c r="E8" s="78" t="s">
        <v>900</v>
      </c>
      <c r="F8" s="80"/>
      <c r="G8" s="77"/>
      <c r="H8" s="81"/>
      <c r="I8" s="81"/>
      <c r="J8" s="69">
        <v>1150000</v>
      </c>
      <c r="K8" s="86"/>
      <c r="L8" s="69"/>
      <c r="M8" s="69"/>
      <c r="N8" s="69"/>
      <c r="O8" s="142">
        <f>H8+J8+K8+L8+M8+N8</f>
        <v>1150000</v>
      </c>
      <c r="P8" s="145">
        <v>3700000</v>
      </c>
      <c r="Q8" s="176">
        <f>P8-O8</f>
        <v>2550000</v>
      </c>
    </row>
    <row r="9" spans="1:17" ht="20.100000000000001" customHeight="1" x14ac:dyDescent="0.25">
      <c r="A9" s="75">
        <v>2</v>
      </c>
      <c r="B9" s="133">
        <v>42768</v>
      </c>
      <c r="C9" s="135" t="s">
        <v>918</v>
      </c>
      <c r="D9" s="136" t="s">
        <v>937</v>
      </c>
      <c r="E9" s="78" t="s">
        <v>117</v>
      </c>
      <c r="F9" s="80"/>
      <c r="G9" s="77"/>
      <c r="H9" s="81"/>
      <c r="I9" s="81"/>
      <c r="J9" s="189">
        <v>1150000</v>
      </c>
      <c r="K9" s="86"/>
      <c r="L9" s="69"/>
      <c r="M9" s="69"/>
      <c r="N9" s="69"/>
      <c r="O9" s="142">
        <f t="shared" ref="O9:O31" si="0">H9+J9+K9+L9+M9+N9</f>
        <v>1150000</v>
      </c>
      <c r="P9" s="145">
        <v>3054545</v>
      </c>
      <c r="Q9" s="176">
        <f t="shared" ref="Q9:Q31" si="1">P9-O9</f>
        <v>1904545</v>
      </c>
    </row>
    <row r="10" spans="1:17" ht="20.100000000000001" customHeight="1" x14ac:dyDescent="0.25">
      <c r="A10" s="75">
        <v>3</v>
      </c>
      <c r="B10" s="133">
        <v>42769</v>
      </c>
      <c r="C10" s="135" t="s">
        <v>919</v>
      </c>
      <c r="D10" s="136" t="s">
        <v>938</v>
      </c>
      <c r="E10" s="78" t="s">
        <v>28</v>
      </c>
      <c r="F10" s="80"/>
      <c r="G10" s="77"/>
      <c r="H10" s="81"/>
      <c r="I10" s="81"/>
      <c r="J10" s="69">
        <v>1340000</v>
      </c>
      <c r="K10" s="86"/>
      <c r="L10" s="69"/>
      <c r="M10" s="69"/>
      <c r="N10" s="69"/>
      <c r="O10" s="142">
        <f t="shared" si="0"/>
        <v>1340000</v>
      </c>
      <c r="P10" s="145">
        <v>4700000</v>
      </c>
      <c r="Q10" s="176">
        <f t="shared" si="1"/>
        <v>3360000</v>
      </c>
    </row>
    <row r="11" spans="1:17" ht="20.100000000000001" customHeight="1" x14ac:dyDescent="0.25">
      <c r="A11" s="75">
        <v>4</v>
      </c>
      <c r="B11" s="133">
        <v>42770</v>
      </c>
      <c r="C11" s="135" t="s">
        <v>920</v>
      </c>
      <c r="D11" s="136" t="s">
        <v>939</v>
      </c>
      <c r="E11" s="78" t="s">
        <v>188</v>
      </c>
      <c r="F11" s="80"/>
      <c r="G11" s="77"/>
      <c r="H11" s="81"/>
      <c r="I11" s="81"/>
      <c r="J11" s="69">
        <v>650000</v>
      </c>
      <c r="K11" s="86"/>
      <c r="L11" s="69"/>
      <c r="M11" s="69"/>
      <c r="N11" s="69"/>
      <c r="O11" s="142">
        <f t="shared" si="0"/>
        <v>650000</v>
      </c>
      <c r="P11" s="145">
        <v>3181818</v>
      </c>
      <c r="Q11" s="176">
        <f t="shared" si="1"/>
        <v>2531818</v>
      </c>
    </row>
    <row r="12" spans="1:17" ht="20.100000000000001" customHeight="1" x14ac:dyDescent="0.25">
      <c r="A12" s="75">
        <v>5</v>
      </c>
      <c r="B12" s="133">
        <v>42772</v>
      </c>
      <c r="C12" s="135" t="s">
        <v>921</v>
      </c>
      <c r="D12" s="136" t="s">
        <v>940</v>
      </c>
      <c r="E12" s="78" t="s">
        <v>955</v>
      </c>
      <c r="F12" s="80"/>
      <c r="G12" s="77">
        <v>250</v>
      </c>
      <c r="H12" s="81">
        <v>3505000</v>
      </c>
      <c r="I12" s="81"/>
      <c r="J12" s="69">
        <v>1150000</v>
      </c>
      <c r="K12" s="86"/>
      <c r="L12" s="69"/>
      <c r="M12" s="69"/>
      <c r="N12" s="69"/>
      <c r="O12" s="142">
        <f t="shared" si="0"/>
        <v>4655000</v>
      </c>
      <c r="P12" s="145">
        <v>3345455</v>
      </c>
      <c r="Q12" s="176">
        <f t="shared" si="1"/>
        <v>-1309545</v>
      </c>
    </row>
    <row r="13" spans="1:17" ht="20.100000000000001" customHeight="1" x14ac:dyDescent="0.25">
      <c r="A13" s="75">
        <v>6</v>
      </c>
      <c r="B13" s="133">
        <v>42773</v>
      </c>
      <c r="C13" s="135" t="s">
        <v>922</v>
      </c>
      <c r="D13" s="136" t="s">
        <v>941</v>
      </c>
      <c r="E13" s="78" t="s">
        <v>24</v>
      </c>
      <c r="F13" s="80"/>
      <c r="G13" s="77"/>
      <c r="H13" s="81"/>
      <c r="I13" s="81"/>
      <c r="J13" s="69">
        <v>1910000</v>
      </c>
      <c r="K13" s="86"/>
      <c r="L13" s="69"/>
      <c r="M13" s="69"/>
      <c r="N13" s="69"/>
      <c r="O13" s="142">
        <f t="shared" si="0"/>
        <v>1910000</v>
      </c>
      <c r="P13" s="145">
        <v>8181818</v>
      </c>
      <c r="Q13" s="176">
        <f t="shared" si="1"/>
        <v>6271818</v>
      </c>
    </row>
    <row r="14" spans="1:17" ht="20.100000000000001" customHeight="1" x14ac:dyDescent="0.25">
      <c r="A14" s="75">
        <v>7</v>
      </c>
      <c r="B14" s="133">
        <v>42778</v>
      </c>
      <c r="C14" s="135" t="s">
        <v>923</v>
      </c>
      <c r="D14" s="136" t="s">
        <v>942</v>
      </c>
      <c r="E14" s="78" t="s">
        <v>956</v>
      </c>
      <c r="F14" s="80"/>
      <c r="G14" s="77">
        <v>302</v>
      </c>
      <c r="H14" s="81">
        <v>4234040</v>
      </c>
      <c r="I14" s="81"/>
      <c r="J14" s="69">
        <v>1600000</v>
      </c>
      <c r="K14" s="86"/>
      <c r="L14" s="69"/>
      <c r="M14" s="69"/>
      <c r="N14" s="69"/>
      <c r="O14" s="142">
        <f t="shared" si="0"/>
        <v>5834040</v>
      </c>
      <c r="P14" s="145">
        <v>5200000</v>
      </c>
      <c r="Q14" s="176">
        <f t="shared" si="1"/>
        <v>-634040</v>
      </c>
    </row>
    <row r="15" spans="1:17" ht="20.100000000000001" customHeight="1" x14ac:dyDescent="0.25">
      <c r="A15" s="75">
        <v>8</v>
      </c>
      <c r="B15" s="133">
        <v>42779</v>
      </c>
      <c r="C15" s="135" t="s">
        <v>924</v>
      </c>
      <c r="D15" s="136" t="s">
        <v>943</v>
      </c>
      <c r="E15" s="78" t="s">
        <v>957</v>
      </c>
      <c r="F15" s="80"/>
      <c r="G15" s="77"/>
      <c r="H15" s="81"/>
      <c r="I15" s="81"/>
      <c r="J15" s="69">
        <v>1100000</v>
      </c>
      <c r="K15" s="86"/>
      <c r="L15" s="69"/>
      <c r="M15" s="69"/>
      <c r="N15" s="69"/>
      <c r="O15" s="142">
        <f t="shared" si="0"/>
        <v>1100000</v>
      </c>
      <c r="P15" s="145">
        <v>4700000</v>
      </c>
      <c r="Q15" s="176">
        <f t="shared" si="1"/>
        <v>3600000</v>
      </c>
    </row>
    <row r="16" spans="1:17" ht="20.100000000000001" customHeight="1" x14ac:dyDescent="0.25">
      <c r="A16" s="75">
        <v>9</v>
      </c>
      <c r="B16" s="133">
        <v>42780</v>
      </c>
      <c r="C16" s="135" t="s">
        <v>925</v>
      </c>
      <c r="D16" s="136" t="s">
        <v>944</v>
      </c>
      <c r="E16" s="128" t="s">
        <v>958</v>
      </c>
      <c r="F16" s="80"/>
      <c r="G16" s="77"/>
      <c r="H16" s="81"/>
      <c r="I16" s="81"/>
      <c r="J16" s="69">
        <v>1600000</v>
      </c>
      <c r="K16" s="86"/>
      <c r="L16" s="69"/>
      <c r="M16" s="69"/>
      <c r="N16" s="69"/>
      <c r="O16" s="142">
        <f t="shared" si="0"/>
        <v>1600000</v>
      </c>
      <c r="P16" s="145">
        <v>5000000</v>
      </c>
      <c r="Q16" s="176">
        <f t="shared" si="1"/>
        <v>3400000</v>
      </c>
    </row>
    <row r="17" spans="1:17" ht="20.100000000000001" customHeight="1" x14ac:dyDescent="0.25">
      <c r="A17" s="75">
        <v>10</v>
      </c>
      <c r="B17" s="133">
        <v>42781</v>
      </c>
      <c r="C17" s="135" t="s">
        <v>926</v>
      </c>
      <c r="D17" s="136" t="s">
        <v>945</v>
      </c>
      <c r="E17" s="78" t="s">
        <v>155</v>
      </c>
      <c r="F17" s="80"/>
      <c r="G17" s="77">
        <v>370</v>
      </c>
      <c r="H17" s="81">
        <v>5187400</v>
      </c>
      <c r="I17" s="81"/>
      <c r="J17" s="69">
        <v>1340000</v>
      </c>
      <c r="K17" s="86"/>
      <c r="L17" s="69"/>
      <c r="M17" s="69"/>
      <c r="N17" s="69"/>
      <c r="O17" s="142">
        <f t="shared" si="0"/>
        <v>6527400</v>
      </c>
      <c r="P17" s="145">
        <v>4700000</v>
      </c>
      <c r="Q17" s="176">
        <f t="shared" si="1"/>
        <v>-1827400</v>
      </c>
    </row>
    <row r="18" spans="1:17" ht="20.100000000000001" customHeight="1" x14ac:dyDescent="0.25">
      <c r="A18" s="75">
        <v>11</v>
      </c>
      <c r="B18" s="133">
        <v>42782</v>
      </c>
      <c r="C18" s="135" t="s">
        <v>927</v>
      </c>
      <c r="D18" s="136" t="s">
        <v>946</v>
      </c>
      <c r="E18" s="78" t="s">
        <v>286</v>
      </c>
      <c r="F18" s="80"/>
      <c r="G18" s="77"/>
      <c r="H18" s="81"/>
      <c r="I18" s="81"/>
      <c r="J18" s="69">
        <v>790000</v>
      </c>
      <c r="K18" s="86"/>
      <c r="L18" s="69"/>
      <c r="M18" s="69"/>
      <c r="N18" s="69"/>
      <c r="O18" s="142">
        <f t="shared" si="0"/>
        <v>790000</v>
      </c>
      <c r="P18" s="145">
        <v>3780000</v>
      </c>
      <c r="Q18" s="176">
        <f t="shared" si="1"/>
        <v>2990000</v>
      </c>
    </row>
    <row r="19" spans="1:17" ht="20.100000000000001" customHeight="1" x14ac:dyDescent="0.25">
      <c r="A19" s="75">
        <v>12</v>
      </c>
      <c r="B19" s="133">
        <v>42786</v>
      </c>
      <c r="C19" s="135" t="s">
        <v>928</v>
      </c>
      <c r="D19" s="136" t="s">
        <v>947</v>
      </c>
      <c r="E19" s="78" t="s">
        <v>635</v>
      </c>
      <c r="F19" s="80"/>
      <c r="G19" s="77">
        <v>330</v>
      </c>
      <c r="H19" s="81">
        <v>4719000</v>
      </c>
      <c r="I19" s="81"/>
      <c r="J19" s="69">
        <v>1340000</v>
      </c>
      <c r="K19" s="86"/>
      <c r="L19" s="69"/>
      <c r="M19" s="69"/>
      <c r="N19" s="69"/>
      <c r="O19" s="142">
        <f t="shared" si="0"/>
        <v>6059000</v>
      </c>
      <c r="P19" s="145">
        <v>4700000</v>
      </c>
      <c r="Q19" s="176">
        <f t="shared" si="1"/>
        <v>-1359000</v>
      </c>
    </row>
    <row r="20" spans="1:17" ht="20.100000000000001" customHeight="1" x14ac:dyDescent="0.25">
      <c r="A20" s="75">
        <v>13</v>
      </c>
      <c r="B20" s="133">
        <v>42786</v>
      </c>
      <c r="C20" s="135" t="s">
        <v>929</v>
      </c>
      <c r="D20" s="136" t="s">
        <v>948</v>
      </c>
      <c r="E20" s="78" t="s">
        <v>959</v>
      </c>
      <c r="F20" s="80"/>
      <c r="G20" s="77"/>
      <c r="H20" s="81"/>
      <c r="I20" s="81"/>
      <c r="J20" s="69">
        <f>1100000+180000</f>
        <v>1280000</v>
      </c>
      <c r="K20" s="86"/>
      <c r="L20" s="69"/>
      <c r="M20" s="69"/>
      <c r="N20" s="69"/>
      <c r="O20" s="142">
        <f t="shared" si="0"/>
        <v>1280000</v>
      </c>
      <c r="P20" s="145">
        <v>4700000</v>
      </c>
      <c r="Q20" s="176">
        <f t="shared" si="1"/>
        <v>3420000</v>
      </c>
    </row>
    <row r="21" spans="1:17" ht="20.100000000000001" customHeight="1" x14ac:dyDescent="0.25">
      <c r="A21" s="75">
        <v>14</v>
      </c>
      <c r="B21" s="133">
        <v>42787</v>
      </c>
      <c r="C21" s="135" t="s">
        <v>930</v>
      </c>
      <c r="D21" s="136" t="s">
        <v>949</v>
      </c>
      <c r="E21" s="78" t="s">
        <v>958</v>
      </c>
      <c r="F21" s="80"/>
      <c r="G21" s="77"/>
      <c r="H21" s="81"/>
      <c r="I21" s="81"/>
      <c r="J21" s="77">
        <v>1600000</v>
      </c>
      <c r="K21" s="86"/>
      <c r="L21" s="69"/>
      <c r="M21" s="69"/>
      <c r="N21" s="69"/>
      <c r="O21" s="142">
        <f t="shared" si="0"/>
        <v>1600000</v>
      </c>
      <c r="P21" s="145">
        <v>5000000</v>
      </c>
      <c r="Q21" s="176">
        <f t="shared" si="1"/>
        <v>3400000</v>
      </c>
    </row>
    <row r="22" spans="1:17" ht="20.100000000000001" customHeight="1" x14ac:dyDescent="0.25">
      <c r="A22" s="75">
        <v>15</v>
      </c>
      <c r="B22" s="133">
        <v>42788</v>
      </c>
      <c r="C22" s="135" t="s">
        <v>931</v>
      </c>
      <c r="D22" s="136" t="s">
        <v>950</v>
      </c>
      <c r="E22" s="78" t="s">
        <v>960</v>
      </c>
      <c r="F22" s="80"/>
      <c r="G22" s="77"/>
      <c r="H22" s="81"/>
      <c r="I22" s="81"/>
      <c r="J22" s="69">
        <v>1150000</v>
      </c>
      <c r="K22" s="86"/>
      <c r="L22" s="69"/>
      <c r="M22" s="69"/>
      <c r="N22" s="69"/>
      <c r="O22" s="142">
        <f t="shared" si="0"/>
        <v>1150000</v>
      </c>
      <c r="P22" s="145">
        <v>3700000</v>
      </c>
      <c r="Q22" s="176">
        <f t="shared" si="1"/>
        <v>2550000</v>
      </c>
    </row>
    <row r="23" spans="1:17" ht="20.100000000000001" customHeight="1" x14ac:dyDescent="0.25">
      <c r="A23" s="75">
        <v>16</v>
      </c>
      <c r="B23" s="133">
        <v>42789</v>
      </c>
      <c r="C23" s="135" t="s">
        <v>932</v>
      </c>
      <c r="D23" s="136" t="s">
        <v>951</v>
      </c>
      <c r="E23" s="78" t="s">
        <v>187</v>
      </c>
      <c r="F23" s="80"/>
      <c r="G23" s="77">
        <v>270</v>
      </c>
      <c r="H23" s="81">
        <v>3861000</v>
      </c>
      <c r="I23" s="81"/>
      <c r="J23" s="69">
        <v>790000</v>
      </c>
      <c r="K23" s="86"/>
      <c r="L23" s="69"/>
      <c r="M23" s="69"/>
      <c r="N23" s="69"/>
      <c r="O23" s="142">
        <f t="shared" si="0"/>
        <v>4651000</v>
      </c>
      <c r="P23" s="145">
        <v>3400000</v>
      </c>
      <c r="Q23" s="176">
        <f t="shared" si="1"/>
        <v>-1251000</v>
      </c>
    </row>
    <row r="24" spans="1:17" ht="20.100000000000001" customHeight="1" x14ac:dyDescent="0.25">
      <c r="A24" s="75">
        <v>17</v>
      </c>
      <c r="B24" s="133">
        <v>42790</v>
      </c>
      <c r="C24" s="135" t="s">
        <v>933</v>
      </c>
      <c r="D24" s="136" t="s">
        <v>952</v>
      </c>
      <c r="E24" s="78" t="s">
        <v>564</v>
      </c>
      <c r="F24" s="80"/>
      <c r="G24" s="77"/>
      <c r="H24" s="81"/>
      <c r="I24" s="81"/>
      <c r="J24" s="69">
        <v>1600000</v>
      </c>
      <c r="K24" s="86"/>
      <c r="L24" s="69"/>
      <c r="M24" s="69"/>
      <c r="N24" s="69"/>
      <c r="O24" s="142">
        <f t="shared" si="0"/>
        <v>1600000</v>
      </c>
      <c r="P24" s="145">
        <v>5200000</v>
      </c>
      <c r="Q24" s="176">
        <f t="shared" si="1"/>
        <v>3600000</v>
      </c>
    </row>
    <row r="25" spans="1:17" ht="20.100000000000001" customHeight="1" x14ac:dyDescent="0.25">
      <c r="A25" s="75">
        <v>18</v>
      </c>
      <c r="B25" s="133">
        <v>42793</v>
      </c>
      <c r="C25" s="135" t="s">
        <v>934</v>
      </c>
      <c r="D25" s="136" t="s">
        <v>953</v>
      </c>
      <c r="E25" s="78" t="s">
        <v>961</v>
      </c>
      <c r="F25" s="80"/>
      <c r="G25" s="77">
        <v>340</v>
      </c>
      <c r="H25" s="81">
        <v>4862000</v>
      </c>
      <c r="I25" s="81"/>
      <c r="J25" s="69">
        <f>1340000+70000</f>
        <v>1410000</v>
      </c>
      <c r="K25" s="86"/>
      <c r="L25" s="69"/>
      <c r="M25" s="69"/>
      <c r="N25" s="69"/>
      <c r="O25" s="142">
        <f t="shared" si="0"/>
        <v>6272000</v>
      </c>
      <c r="P25" s="145">
        <v>4700000</v>
      </c>
      <c r="Q25" s="176">
        <f t="shared" si="1"/>
        <v>-1572000</v>
      </c>
    </row>
    <row r="26" spans="1:17" ht="20.100000000000001" customHeight="1" x14ac:dyDescent="0.25">
      <c r="A26" s="75">
        <v>19</v>
      </c>
      <c r="B26" s="133">
        <v>42794</v>
      </c>
      <c r="C26" s="135" t="s">
        <v>935</v>
      </c>
      <c r="D26" s="136" t="s">
        <v>954</v>
      </c>
      <c r="E26" s="78" t="s">
        <v>24</v>
      </c>
      <c r="F26" s="80"/>
      <c r="G26" s="77"/>
      <c r="H26" s="81"/>
      <c r="I26" s="81"/>
      <c r="J26" s="69">
        <f>1910000+70000</f>
        <v>1980000</v>
      </c>
      <c r="K26" s="86"/>
      <c r="L26" s="69"/>
      <c r="M26" s="69"/>
      <c r="N26" s="69"/>
      <c r="O26" s="142">
        <f t="shared" si="0"/>
        <v>1980000</v>
      </c>
      <c r="P26" s="145">
        <v>8181818</v>
      </c>
      <c r="Q26" s="176">
        <f t="shared" si="1"/>
        <v>6201818</v>
      </c>
    </row>
    <row r="27" spans="1:17" ht="20.100000000000001" customHeight="1" x14ac:dyDescent="0.25">
      <c r="A27" s="75"/>
      <c r="B27" s="133"/>
      <c r="C27" s="171"/>
      <c r="D27" s="162"/>
      <c r="E27" s="153"/>
      <c r="F27" s="163"/>
      <c r="G27" s="164"/>
      <c r="H27" s="155"/>
      <c r="I27" s="165"/>
      <c r="J27" s="166"/>
      <c r="K27" s="86"/>
      <c r="L27" s="156"/>
      <c r="M27" s="112"/>
      <c r="N27" s="112"/>
      <c r="O27" s="142">
        <f t="shared" si="0"/>
        <v>0</v>
      </c>
      <c r="P27" s="68"/>
      <c r="Q27" s="176">
        <f t="shared" si="1"/>
        <v>0</v>
      </c>
    </row>
    <row r="28" spans="1:17" ht="26.25" x14ac:dyDescent="0.25">
      <c r="A28" s="75"/>
      <c r="B28" s="133"/>
      <c r="C28" s="183" t="s">
        <v>962</v>
      </c>
      <c r="D28" s="162"/>
      <c r="E28" s="153"/>
      <c r="F28" s="163"/>
      <c r="G28" s="164"/>
      <c r="H28" s="155"/>
      <c r="I28" s="165"/>
      <c r="J28" s="166"/>
      <c r="K28" s="86"/>
      <c r="L28" s="156">
        <v>6800000</v>
      </c>
      <c r="M28" s="112"/>
      <c r="N28" s="112"/>
      <c r="O28" s="142">
        <f t="shared" si="0"/>
        <v>6800000</v>
      </c>
      <c r="P28" s="68"/>
      <c r="Q28" s="176">
        <f t="shared" si="1"/>
        <v>-6800000</v>
      </c>
    </row>
    <row r="29" spans="1:17" ht="77.25" x14ac:dyDescent="0.25">
      <c r="A29" s="75"/>
      <c r="B29" s="133"/>
      <c r="C29" s="183" t="s">
        <v>963</v>
      </c>
      <c r="D29" s="162"/>
      <c r="E29" s="153"/>
      <c r="F29" s="163"/>
      <c r="G29" s="164"/>
      <c r="H29" s="155"/>
      <c r="I29" s="165"/>
      <c r="J29" s="166"/>
      <c r="K29" s="86"/>
      <c r="L29" s="156">
        <v>4870000</v>
      </c>
      <c r="M29" s="112"/>
      <c r="N29" s="112"/>
      <c r="O29" s="142">
        <f t="shared" si="0"/>
        <v>4870000</v>
      </c>
      <c r="P29" s="68"/>
      <c r="Q29" s="176">
        <f t="shared" si="1"/>
        <v>-4870000</v>
      </c>
    </row>
    <row r="30" spans="1:17" ht="24" customHeight="1" x14ac:dyDescent="0.25">
      <c r="A30" s="75"/>
      <c r="B30" s="133"/>
      <c r="C30" s="170" t="s">
        <v>964</v>
      </c>
      <c r="D30" s="162"/>
      <c r="E30" s="153"/>
      <c r="F30" s="163"/>
      <c r="G30" s="164"/>
      <c r="H30" s="155"/>
      <c r="I30" s="165"/>
      <c r="J30" s="166"/>
      <c r="K30" s="86"/>
      <c r="L30" s="156">
        <v>1320000</v>
      </c>
      <c r="M30" s="112"/>
      <c r="N30" s="112"/>
      <c r="O30" s="142">
        <f t="shared" si="0"/>
        <v>1320000</v>
      </c>
      <c r="P30" s="68"/>
      <c r="Q30" s="176">
        <f t="shared" si="1"/>
        <v>-1320000</v>
      </c>
    </row>
    <row r="31" spans="1:17" x14ac:dyDescent="0.25">
      <c r="A31" s="75"/>
      <c r="B31" s="70"/>
      <c r="C31" s="108" t="s">
        <v>580</v>
      </c>
      <c r="D31" s="87"/>
      <c r="E31" s="70"/>
      <c r="F31" s="110"/>
      <c r="G31" s="70"/>
      <c r="H31" s="81"/>
      <c r="I31" s="111"/>
      <c r="J31" s="112"/>
      <c r="K31" s="113">
        <v>9000000</v>
      </c>
      <c r="L31" s="141"/>
      <c r="M31" s="112"/>
      <c r="N31" s="112"/>
      <c r="O31" s="142">
        <f t="shared" si="0"/>
        <v>9000000</v>
      </c>
      <c r="P31" s="68"/>
      <c r="Q31" s="176">
        <f t="shared" si="1"/>
        <v>-9000000</v>
      </c>
    </row>
    <row r="32" spans="1:17" x14ac:dyDescent="0.25">
      <c r="A32" s="547" t="s">
        <v>19</v>
      </c>
      <c r="B32" s="548"/>
      <c r="C32" s="548"/>
      <c r="D32" s="548"/>
      <c r="E32" s="548"/>
      <c r="F32" s="549"/>
      <c r="G32" s="89">
        <f t="shared" ref="G32:Q32" si="2">SUM(G7:G31)</f>
        <v>1862</v>
      </c>
      <c r="H32" s="71">
        <f t="shared" si="2"/>
        <v>26368440</v>
      </c>
      <c r="I32" s="71">
        <f t="shared" si="2"/>
        <v>0</v>
      </c>
      <c r="J32" s="71">
        <f t="shared" si="2"/>
        <v>24930000</v>
      </c>
      <c r="K32" s="71">
        <f t="shared" si="2"/>
        <v>9000000</v>
      </c>
      <c r="L32" s="71">
        <f t="shared" si="2"/>
        <v>12990000</v>
      </c>
      <c r="M32" s="71">
        <f t="shared" si="2"/>
        <v>0</v>
      </c>
      <c r="N32" s="71">
        <f t="shared" si="2"/>
        <v>0</v>
      </c>
      <c r="O32" s="71">
        <f t="shared" si="2"/>
        <v>73288440</v>
      </c>
      <c r="P32" s="71">
        <f t="shared" si="2"/>
        <v>89125454</v>
      </c>
      <c r="Q32" s="71">
        <f t="shared" si="2"/>
        <v>15837014</v>
      </c>
    </row>
    <row r="33" spans="16:17" x14ac:dyDescent="0.25">
      <c r="P33" t="s">
        <v>1225</v>
      </c>
      <c r="Q33" s="195">
        <f>'01-2017'!Q39+'02-2017'!Q32</f>
        <v>28444422</v>
      </c>
    </row>
  </sheetData>
  <mergeCells count="5">
    <mergeCell ref="A1:Q1"/>
    <mergeCell ref="A2:Q2"/>
    <mergeCell ref="A3:Q3"/>
    <mergeCell ref="G5:N5"/>
    <mergeCell ref="A32:F3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42"/>
  <sheetViews>
    <sheetView topLeftCell="B31" workbookViewId="0">
      <selection activeCell="Q43" sqref="Q43"/>
    </sheetView>
  </sheetViews>
  <sheetFormatPr defaultRowHeight="15" x14ac:dyDescent="0.25"/>
  <cols>
    <col min="3" max="3" width="33" customWidth="1"/>
    <col min="4" max="4" width="13.5703125" customWidth="1"/>
    <col min="5" max="5" width="30.28515625" customWidth="1"/>
    <col min="15" max="15" width="11.5703125" customWidth="1"/>
    <col min="16" max="16" width="12.5703125" customWidth="1"/>
    <col min="17" max="17" width="10.42578125" customWidth="1"/>
  </cols>
  <sheetData>
    <row r="1" spans="1:17" ht="23.25" x14ac:dyDescent="0.25">
      <c r="A1" s="551" t="s">
        <v>0</v>
      </c>
      <c r="B1" s="551"/>
      <c r="C1" s="551"/>
      <c r="D1" s="551"/>
      <c r="E1" s="551"/>
      <c r="F1" s="551"/>
      <c r="G1" s="551"/>
      <c r="H1" s="551"/>
      <c r="I1" s="551"/>
      <c r="J1" s="551"/>
      <c r="K1" s="551"/>
      <c r="L1" s="551"/>
      <c r="M1" s="551"/>
      <c r="N1" s="551"/>
      <c r="O1" s="551"/>
      <c r="P1" s="551"/>
      <c r="Q1" s="551"/>
    </row>
    <row r="2" spans="1:17" ht="15.75" x14ac:dyDescent="0.25">
      <c r="A2" s="550" t="s">
        <v>103</v>
      </c>
      <c r="B2" s="550"/>
      <c r="C2" s="550"/>
      <c r="D2" s="550"/>
      <c r="E2" s="550"/>
      <c r="F2" s="550"/>
      <c r="G2" s="550"/>
      <c r="H2" s="550"/>
      <c r="I2" s="550"/>
      <c r="J2" s="550"/>
      <c r="K2" s="550"/>
      <c r="L2" s="550"/>
      <c r="M2" s="550"/>
      <c r="N2" s="550"/>
      <c r="O2" s="550"/>
      <c r="P2" s="550"/>
      <c r="Q2" s="550"/>
    </row>
    <row r="3" spans="1:17" ht="15.75" x14ac:dyDescent="0.25">
      <c r="A3" s="550" t="s">
        <v>966</v>
      </c>
      <c r="B3" s="550"/>
      <c r="C3" s="550"/>
      <c r="D3" s="550"/>
      <c r="E3" s="550"/>
      <c r="F3" s="550"/>
      <c r="G3" s="550"/>
      <c r="H3" s="550"/>
      <c r="I3" s="550"/>
      <c r="J3" s="550"/>
      <c r="K3" s="550"/>
      <c r="L3" s="550"/>
      <c r="M3" s="550"/>
      <c r="N3" s="550"/>
      <c r="O3" s="550"/>
      <c r="P3" s="550"/>
      <c r="Q3" s="550"/>
    </row>
    <row r="4" spans="1:17" x14ac:dyDescent="0.25">
      <c r="A4" s="74"/>
      <c r="B4" s="99"/>
      <c r="C4" s="74"/>
      <c r="D4" s="74"/>
      <c r="E4" s="74" t="s">
        <v>194</v>
      </c>
      <c r="F4" s="74"/>
      <c r="G4" s="74"/>
      <c r="H4" s="72"/>
      <c r="I4" s="74"/>
      <c r="J4" s="72"/>
      <c r="K4" s="72"/>
      <c r="L4" s="72"/>
      <c r="M4" s="72"/>
      <c r="N4" s="72"/>
      <c r="O4" s="72"/>
      <c r="P4" s="72"/>
      <c r="Q4" s="72"/>
    </row>
    <row r="5" spans="1:17" ht="25.5" x14ac:dyDescent="0.25">
      <c r="A5" s="177" t="s">
        <v>1</v>
      </c>
      <c r="B5" s="178" t="s">
        <v>2</v>
      </c>
      <c r="C5" s="177" t="s">
        <v>3</v>
      </c>
      <c r="D5" s="177" t="s">
        <v>5</v>
      </c>
      <c r="E5" s="174" t="s">
        <v>4</v>
      </c>
      <c r="F5" s="174" t="s">
        <v>17</v>
      </c>
      <c r="G5" s="552" t="s">
        <v>6</v>
      </c>
      <c r="H5" s="553"/>
      <c r="I5" s="553"/>
      <c r="J5" s="553"/>
      <c r="K5" s="553"/>
      <c r="L5" s="553"/>
      <c r="M5" s="553"/>
      <c r="N5" s="554"/>
      <c r="O5" s="127" t="s">
        <v>18</v>
      </c>
      <c r="P5" s="127" t="s">
        <v>13</v>
      </c>
      <c r="Q5" s="127" t="s">
        <v>14</v>
      </c>
    </row>
    <row r="6" spans="1:17" x14ac:dyDescent="0.25">
      <c r="A6" s="179"/>
      <c r="B6" s="180"/>
      <c r="C6" s="179"/>
      <c r="D6" s="179"/>
      <c r="E6" s="175"/>
      <c r="F6" s="175"/>
      <c r="G6" s="6" t="s">
        <v>7</v>
      </c>
      <c r="H6" s="7" t="s">
        <v>15</v>
      </c>
      <c r="I6" s="6" t="s">
        <v>16</v>
      </c>
      <c r="J6" s="7" t="s">
        <v>8</v>
      </c>
      <c r="K6" s="7" t="s">
        <v>9</v>
      </c>
      <c r="L6" s="7" t="s">
        <v>10</v>
      </c>
      <c r="M6" s="7" t="s">
        <v>11</v>
      </c>
      <c r="N6" s="7" t="s">
        <v>12</v>
      </c>
      <c r="O6" s="181"/>
      <c r="P6" s="181"/>
      <c r="Q6" s="181"/>
    </row>
    <row r="7" spans="1:17" x14ac:dyDescent="0.25">
      <c r="A7" s="75"/>
      <c r="B7" s="100"/>
      <c r="C7" s="88"/>
      <c r="D7" s="88"/>
      <c r="E7" s="134"/>
      <c r="F7" s="75"/>
      <c r="G7" s="77"/>
      <c r="H7" s="68"/>
      <c r="I7" s="75"/>
      <c r="J7" s="68"/>
      <c r="K7" s="68"/>
      <c r="L7" s="68"/>
      <c r="M7" s="68"/>
      <c r="N7" s="68"/>
      <c r="O7" s="68">
        <f>H7+J7+K7+L7+M7+N7</f>
        <v>0</v>
      </c>
      <c r="P7" s="144"/>
      <c r="Q7" s="68">
        <f>P7-O7</f>
        <v>0</v>
      </c>
    </row>
    <row r="8" spans="1:17" ht="24.95" customHeight="1" x14ac:dyDescent="0.25">
      <c r="A8" s="75">
        <v>1</v>
      </c>
      <c r="B8" s="133">
        <v>42794</v>
      </c>
      <c r="C8" s="135" t="s">
        <v>967</v>
      </c>
      <c r="D8" s="136" t="s">
        <v>991</v>
      </c>
      <c r="E8" s="78" t="s">
        <v>1017</v>
      </c>
      <c r="F8" s="80"/>
      <c r="G8" s="77">
        <f>310+330</f>
        <v>640</v>
      </c>
      <c r="H8" s="81">
        <f>4433000+4563900</f>
        <v>8996900</v>
      </c>
      <c r="I8" s="81"/>
      <c r="J8" s="69">
        <f>800000+140000</f>
        <v>940000</v>
      </c>
      <c r="K8" s="86"/>
      <c r="L8" s="69"/>
      <c r="M8" s="69"/>
      <c r="N8" s="69"/>
      <c r="O8" s="142">
        <f>H8+J8+K8+L8+M8+N8</f>
        <v>9936900</v>
      </c>
      <c r="P8" s="145">
        <v>3309091</v>
      </c>
      <c r="Q8" s="176">
        <f>P8-O8</f>
        <v>-6627809</v>
      </c>
    </row>
    <row r="9" spans="1:17" ht="24.95" customHeight="1" x14ac:dyDescent="0.25">
      <c r="A9" s="75">
        <v>2</v>
      </c>
      <c r="B9" s="133">
        <v>42795</v>
      </c>
      <c r="C9" s="135" t="s">
        <v>968</v>
      </c>
      <c r="D9" s="136" t="s">
        <v>992</v>
      </c>
      <c r="E9" s="78" t="s">
        <v>1018</v>
      </c>
      <c r="F9" s="80"/>
      <c r="G9" s="77"/>
      <c r="H9" s="81"/>
      <c r="I9" s="81"/>
      <c r="J9" s="189">
        <f>1600000+70000+70000</f>
        <v>1740000</v>
      </c>
      <c r="K9" s="86"/>
      <c r="L9" s="69"/>
      <c r="M9" s="69"/>
      <c r="N9" s="69"/>
      <c r="O9" s="142">
        <f t="shared" ref="O9:O40" si="0">H9+J9+K9+L9+M9+N9</f>
        <v>1740000</v>
      </c>
      <c r="P9" s="145">
        <v>5370000</v>
      </c>
      <c r="Q9" s="176">
        <f t="shared" ref="Q9:Q40" si="1">P9-O9</f>
        <v>3630000</v>
      </c>
    </row>
    <row r="10" spans="1:17" ht="24.95" customHeight="1" x14ac:dyDescent="0.25">
      <c r="A10" s="75">
        <v>3</v>
      </c>
      <c r="B10" s="133">
        <v>42796</v>
      </c>
      <c r="C10" s="135" t="s">
        <v>969</v>
      </c>
      <c r="D10" s="136" t="s">
        <v>993</v>
      </c>
      <c r="E10" s="78" t="s">
        <v>155</v>
      </c>
      <c r="F10" s="80"/>
      <c r="G10" s="77"/>
      <c r="H10" s="81"/>
      <c r="I10" s="81"/>
      <c r="J10" s="69">
        <f>1340000+140000</f>
        <v>1480000</v>
      </c>
      <c r="K10" s="86"/>
      <c r="L10" s="69"/>
      <c r="M10" s="69"/>
      <c r="N10" s="69"/>
      <c r="O10" s="142">
        <f t="shared" si="0"/>
        <v>1480000</v>
      </c>
      <c r="P10" s="145">
        <v>4770000</v>
      </c>
      <c r="Q10" s="176">
        <f t="shared" si="1"/>
        <v>3290000</v>
      </c>
    </row>
    <row r="11" spans="1:17" ht="24.95" customHeight="1" x14ac:dyDescent="0.25">
      <c r="A11" s="75">
        <v>4</v>
      </c>
      <c r="B11" s="133">
        <v>42797</v>
      </c>
      <c r="C11" s="135" t="s">
        <v>970</v>
      </c>
      <c r="D11" s="136" t="s">
        <v>994</v>
      </c>
      <c r="E11" s="78" t="s">
        <v>155</v>
      </c>
      <c r="F11" s="80"/>
      <c r="G11" s="77">
        <v>355</v>
      </c>
      <c r="H11" s="81">
        <v>5076500</v>
      </c>
      <c r="I11" s="81"/>
      <c r="J11" s="69">
        <f>1340000+140000</f>
        <v>1480000</v>
      </c>
      <c r="K11" s="86"/>
      <c r="L11" s="69"/>
      <c r="M11" s="69"/>
      <c r="N11" s="69"/>
      <c r="O11" s="142">
        <f t="shared" si="0"/>
        <v>6556500</v>
      </c>
      <c r="P11" s="145">
        <v>4770000</v>
      </c>
      <c r="Q11" s="176">
        <f t="shared" si="1"/>
        <v>-1786500</v>
      </c>
    </row>
    <row r="12" spans="1:17" ht="24.95" customHeight="1" x14ac:dyDescent="0.25">
      <c r="A12" s="75">
        <v>5</v>
      </c>
      <c r="B12" s="133">
        <v>42798</v>
      </c>
      <c r="C12" s="135" t="s">
        <v>971</v>
      </c>
      <c r="D12" s="136" t="s">
        <v>995</v>
      </c>
      <c r="E12" s="78" t="s">
        <v>1019</v>
      </c>
      <c r="F12" s="80"/>
      <c r="G12" s="77"/>
      <c r="H12" s="81"/>
      <c r="I12" s="81"/>
      <c r="J12" s="69">
        <f>1350000+140000</f>
        <v>1490000</v>
      </c>
      <c r="K12" s="86"/>
      <c r="L12" s="69"/>
      <c r="M12" s="69"/>
      <c r="N12" s="69"/>
      <c r="O12" s="142">
        <f t="shared" si="0"/>
        <v>1490000</v>
      </c>
      <c r="P12" s="145">
        <v>5070000</v>
      </c>
      <c r="Q12" s="176">
        <f t="shared" si="1"/>
        <v>3580000</v>
      </c>
    </row>
    <row r="13" spans="1:17" ht="24.95" customHeight="1" x14ac:dyDescent="0.25">
      <c r="A13" s="75">
        <v>6</v>
      </c>
      <c r="B13" s="133">
        <v>42800</v>
      </c>
      <c r="C13" s="135" t="s">
        <v>208</v>
      </c>
      <c r="D13" s="136" t="s">
        <v>996</v>
      </c>
      <c r="E13" s="78" t="s">
        <v>364</v>
      </c>
      <c r="F13" s="80"/>
      <c r="G13" s="77">
        <v>280</v>
      </c>
      <c r="H13" s="81">
        <v>4043200</v>
      </c>
      <c r="I13" s="81"/>
      <c r="J13" s="69">
        <f>1600000+140000</f>
        <v>1740000</v>
      </c>
      <c r="K13" s="86"/>
      <c r="L13" s="69"/>
      <c r="M13" s="69"/>
      <c r="N13" s="69"/>
      <c r="O13" s="142">
        <f t="shared" si="0"/>
        <v>5783200</v>
      </c>
      <c r="P13" s="145">
        <v>4770000</v>
      </c>
      <c r="Q13" s="176">
        <f t="shared" si="1"/>
        <v>-1013200</v>
      </c>
    </row>
    <row r="14" spans="1:17" ht="24.95" customHeight="1" x14ac:dyDescent="0.25">
      <c r="A14" s="75">
        <v>7</v>
      </c>
      <c r="B14" s="133">
        <v>42801</v>
      </c>
      <c r="C14" s="135" t="s">
        <v>972</v>
      </c>
      <c r="D14" s="136" t="s">
        <v>997</v>
      </c>
      <c r="E14" s="78" t="s">
        <v>1020</v>
      </c>
      <c r="F14" s="80"/>
      <c r="G14" s="77"/>
      <c r="H14" s="81"/>
      <c r="I14" s="81"/>
      <c r="J14" s="69">
        <f>950000+140000</f>
        <v>1090000</v>
      </c>
      <c r="K14" s="86"/>
      <c r="L14" s="69"/>
      <c r="M14" s="69"/>
      <c r="N14" s="69"/>
      <c r="O14" s="142">
        <f t="shared" si="0"/>
        <v>1090000</v>
      </c>
      <c r="P14" s="145">
        <v>3972727</v>
      </c>
      <c r="Q14" s="176">
        <f t="shared" si="1"/>
        <v>2882727</v>
      </c>
    </row>
    <row r="15" spans="1:17" ht="24.95" customHeight="1" x14ac:dyDescent="0.25">
      <c r="A15" s="75">
        <v>8</v>
      </c>
      <c r="B15" s="133">
        <v>42803</v>
      </c>
      <c r="C15" s="135" t="s">
        <v>973</v>
      </c>
      <c r="D15" s="136" t="s">
        <v>998</v>
      </c>
      <c r="E15" s="78" t="s">
        <v>559</v>
      </c>
      <c r="F15" s="80"/>
      <c r="G15" s="77"/>
      <c r="H15" s="81"/>
      <c r="I15" s="81"/>
      <c r="J15" s="69">
        <f>1600000+140000</f>
        <v>1740000</v>
      </c>
      <c r="K15" s="86"/>
      <c r="L15" s="69"/>
      <c r="M15" s="69"/>
      <c r="N15" s="69"/>
      <c r="O15" s="142">
        <f t="shared" si="0"/>
        <v>1740000</v>
      </c>
      <c r="P15" s="145">
        <v>5200000</v>
      </c>
      <c r="Q15" s="176">
        <f t="shared" si="1"/>
        <v>3460000</v>
      </c>
    </row>
    <row r="16" spans="1:17" ht="24.95" customHeight="1" x14ac:dyDescent="0.25">
      <c r="A16" s="75">
        <v>9</v>
      </c>
      <c r="B16" s="133">
        <v>42805</v>
      </c>
      <c r="C16" s="135" t="s">
        <v>974</v>
      </c>
      <c r="D16" s="136" t="s">
        <v>999</v>
      </c>
      <c r="E16" s="78" t="s">
        <v>1021</v>
      </c>
      <c r="F16" s="80"/>
      <c r="G16" s="77">
        <v>370</v>
      </c>
      <c r="H16" s="81">
        <v>5342800</v>
      </c>
      <c r="I16" s="81"/>
      <c r="J16" s="69">
        <f>800000+140000</f>
        <v>940000</v>
      </c>
      <c r="K16" s="86"/>
      <c r="L16" s="69"/>
      <c r="M16" s="69"/>
      <c r="N16" s="69"/>
      <c r="O16" s="142">
        <f t="shared" si="0"/>
        <v>6282800</v>
      </c>
      <c r="P16" s="145">
        <v>2700000</v>
      </c>
      <c r="Q16" s="176">
        <f t="shared" si="1"/>
        <v>-3582800</v>
      </c>
    </row>
    <row r="17" spans="1:17" ht="24.95" customHeight="1" x14ac:dyDescent="0.25">
      <c r="A17" s="75">
        <v>10</v>
      </c>
      <c r="B17" s="133">
        <v>42807</v>
      </c>
      <c r="C17" s="135" t="s">
        <v>975</v>
      </c>
      <c r="D17" s="136" t="s">
        <v>1000</v>
      </c>
      <c r="E17" s="78" t="s">
        <v>1022</v>
      </c>
      <c r="F17" s="80"/>
      <c r="G17" s="77"/>
      <c r="H17" s="81"/>
      <c r="I17" s="81"/>
      <c r="J17" s="69">
        <v>1100000</v>
      </c>
      <c r="K17" s="86"/>
      <c r="L17" s="69"/>
      <c r="M17" s="69"/>
      <c r="N17" s="69"/>
      <c r="O17" s="142">
        <f t="shared" si="0"/>
        <v>1100000</v>
      </c>
      <c r="P17" s="145">
        <v>4700000</v>
      </c>
      <c r="Q17" s="176">
        <f t="shared" si="1"/>
        <v>3600000</v>
      </c>
    </row>
    <row r="18" spans="1:17" ht="24.95" customHeight="1" x14ac:dyDescent="0.25">
      <c r="A18" s="75">
        <v>11</v>
      </c>
      <c r="B18" s="133">
        <v>42807</v>
      </c>
      <c r="C18" s="135" t="s">
        <v>976</v>
      </c>
      <c r="D18" s="136" t="s">
        <v>1001</v>
      </c>
      <c r="E18" s="78" t="s">
        <v>155</v>
      </c>
      <c r="F18" s="80"/>
      <c r="G18" s="77"/>
      <c r="H18" s="81"/>
      <c r="I18" s="81"/>
      <c r="J18" s="69">
        <f>1340000+140000</f>
        <v>1480000</v>
      </c>
      <c r="K18" s="86"/>
      <c r="L18" s="69"/>
      <c r="M18" s="69"/>
      <c r="N18" s="69"/>
      <c r="O18" s="142">
        <f t="shared" si="0"/>
        <v>1480000</v>
      </c>
      <c r="P18" s="145">
        <v>4700000</v>
      </c>
      <c r="Q18" s="176">
        <f t="shared" si="1"/>
        <v>3220000</v>
      </c>
    </row>
    <row r="19" spans="1:17" ht="24.95" customHeight="1" x14ac:dyDescent="0.25">
      <c r="A19" s="75">
        <v>12</v>
      </c>
      <c r="B19" s="133">
        <v>42808</v>
      </c>
      <c r="C19" s="135" t="s">
        <v>977</v>
      </c>
      <c r="D19" s="136" t="s">
        <v>1002</v>
      </c>
      <c r="E19" s="78" t="s">
        <v>27</v>
      </c>
      <c r="F19" s="80"/>
      <c r="G19" s="77">
        <v>340</v>
      </c>
      <c r="H19" s="81">
        <v>4909600</v>
      </c>
      <c r="I19" s="81"/>
      <c r="J19" s="69">
        <f>800000+140000</f>
        <v>940000</v>
      </c>
      <c r="K19" s="86"/>
      <c r="L19" s="69"/>
      <c r="M19" s="69"/>
      <c r="N19" s="69"/>
      <c r="O19" s="142">
        <f t="shared" si="0"/>
        <v>5849600</v>
      </c>
      <c r="P19" s="145">
        <v>3000000</v>
      </c>
      <c r="Q19" s="176">
        <f t="shared" si="1"/>
        <v>-2849600</v>
      </c>
    </row>
    <row r="20" spans="1:17" ht="24.95" customHeight="1" x14ac:dyDescent="0.25">
      <c r="A20" s="75">
        <v>13</v>
      </c>
      <c r="B20" s="133">
        <v>42809</v>
      </c>
      <c r="C20" s="135" t="s">
        <v>978</v>
      </c>
      <c r="D20" s="136" t="s">
        <v>1003</v>
      </c>
      <c r="E20" s="78" t="s">
        <v>340</v>
      </c>
      <c r="F20" s="80"/>
      <c r="G20" s="77"/>
      <c r="H20" s="81"/>
      <c r="I20" s="81"/>
      <c r="J20" s="69">
        <f>1150000+140000</f>
        <v>1290000</v>
      </c>
      <c r="K20" s="86"/>
      <c r="L20" s="69"/>
      <c r="M20" s="69"/>
      <c r="N20" s="69"/>
      <c r="O20" s="142">
        <f t="shared" si="0"/>
        <v>1290000</v>
      </c>
      <c r="P20" s="145">
        <v>3870000</v>
      </c>
      <c r="Q20" s="176">
        <f t="shared" si="1"/>
        <v>2580000</v>
      </c>
    </row>
    <row r="21" spans="1:17" ht="24.95" customHeight="1" x14ac:dyDescent="0.25">
      <c r="A21" s="75">
        <v>14</v>
      </c>
      <c r="B21" s="133">
        <v>42810</v>
      </c>
      <c r="C21" s="135" t="s">
        <v>979</v>
      </c>
      <c r="D21" s="136" t="s">
        <v>1004</v>
      </c>
      <c r="E21" s="78" t="s">
        <v>278</v>
      </c>
      <c r="F21" s="80"/>
      <c r="G21" s="77"/>
      <c r="H21" s="81"/>
      <c r="I21" s="81"/>
      <c r="J21" s="69">
        <f>650000+140000</f>
        <v>790000</v>
      </c>
      <c r="K21" s="86"/>
      <c r="L21" s="69"/>
      <c r="M21" s="69"/>
      <c r="N21" s="69"/>
      <c r="O21" s="142">
        <f t="shared" si="0"/>
        <v>790000</v>
      </c>
      <c r="P21" s="145">
        <v>2600000</v>
      </c>
      <c r="Q21" s="176">
        <f t="shared" si="1"/>
        <v>1810000</v>
      </c>
    </row>
    <row r="22" spans="1:17" ht="24.95" customHeight="1" x14ac:dyDescent="0.25">
      <c r="A22" s="75">
        <v>15</v>
      </c>
      <c r="B22" s="133">
        <v>42811</v>
      </c>
      <c r="C22" s="135" t="s">
        <v>980</v>
      </c>
      <c r="D22" s="136" t="s">
        <v>1005</v>
      </c>
      <c r="E22" s="78" t="s">
        <v>1023</v>
      </c>
      <c r="F22" s="80"/>
      <c r="G22" s="77"/>
      <c r="H22" s="81"/>
      <c r="I22" s="81"/>
      <c r="J22" s="69">
        <f>140000+960000</f>
        <v>1100000</v>
      </c>
      <c r="K22" s="86"/>
      <c r="L22" s="69"/>
      <c r="M22" s="69"/>
      <c r="N22" s="69"/>
      <c r="O22" s="142">
        <f t="shared" si="0"/>
        <v>1100000</v>
      </c>
      <c r="P22" s="145">
        <v>3800000</v>
      </c>
      <c r="Q22" s="176">
        <f t="shared" si="1"/>
        <v>2700000</v>
      </c>
    </row>
    <row r="23" spans="1:17" ht="24.95" customHeight="1" x14ac:dyDescent="0.25">
      <c r="A23" s="75">
        <v>16</v>
      </c>
      <c r="B23" s="133">
        <v>42813</v>
      </c>
      <c r="C23" s="135" t="s">
        <v>981</v>
      </c>
      <c r="D23" s="136" t="s">
        <v>1006</v>
      </c>
      <c r="E23" s="78" t="s">
        <v>1024</v>
      </c>
      <c r="F23" s="80"/>
      <c r="G23" s="77">
        <v>350</v>
      </c>
      <c r="H23" s="81">
        <v>5054000</v>
      </c>
      <c r="I23" s="81"/>
      <c r="J23" s="69">
        <f>1340000+140000</f>
        <v>1480000</v>
      </c>
      <c r="K23" s="86"/>
      <c r="L23" s="69"/>
      <c r="M23" s="69"/>
      <c r="N23" s="69"/>
      <c r="O23" s="142">
        <f t="shared" si="0"/>
        <v>6534000</v>
      </c>
      <c r="P23" s="145">
        <v>4800000</v>
      </c>
      <c r="Q23" s="176">
        <f t="shared" si="1"/>
        <v>-1734000</v>
      </c>
    </row>
    <row r="24" spans="1:17" ht="24.95" customHeight="1" x14ac:dyDescent="0.25">
      <c r="A24" s="75">
        <v>17</v>
      </c>
      <c r="B24" s="133">
        <v>42814</v>
      </c>
      <c r="C24" s="135" t="s">
        <v>239</v>
      </c>
      <c r="D24" s="136" t="s">
        <v>1007</v>
      </c>
      <c r="E24" s="78" t="s">
        <v>1025</v>
      </c>
      <c r="F24" s="80"/>
      <c r="G24" s="77"/>
      <c r="H24" s="81"/>
      <c r="I24" s="81"/>
      <c r="J24" s="69">
        <f>1680000+140000</f>
        <v>1820000</v>
      </c>
      <c r="K24" s="86"/>
      <c r="L24" s="69"/>
      <c r="M24" s="69"/>
      <c r="N24" s="69"/>
      <c r="O24" s="142">
        <f t="shared" si="0"/>
        <v>1820000</v>
      </c>
      <c r="P24" s="145">
        <v>5200000</v>
      </c>
      <c r="Q24" s="176">
        <f t="shared" si="1"/>
        <v>3380000</v>
      </c>
    </row>
    <row r="25" spans="1:17" ht="24.95" customHeight="1" x14ac:dyDescent="0.25">
      <c r="A25" s="75">
        <v>18</v>
      </c>
      <c r="B25" s="133">
        <v>42815</v>
      </c>
      <c r="C25" s="135" t="s">
        <v>982</v>
      </c>
      <c r="D25" s="136" t="s">
        <v>1008</v>
      </c>
      <c r="E25" s="78" t="s">
        <v>635</v>
      </c>
      <c r="F25" s="80"/>
      <c r="G25" s="77">
        <v>280</v>
      </c>
      <c r="H25" s="81">
        <v>3872400</v>
      </c>
      <c r="I25" s="81"/>
      <c r="J25" s="69">
        <f>1340000+140000</f>
        <v>1480000</v>
      </c>
      <c r="K25" s="86"/>
      <c r="L25" s="69"/>
      <c r="M25" s="69"/>
      <c r="N25" s="69"/>
      <c r="O25" s="142">
        <f t="shared" si="0"/>
        <v>5352400</v>
      </c>
      <c r="P25" s="145">
        <v>4700000</v>
      </c>
      <c r="Q25" s="176">
        <f t="shared" si="1"/>
        <v>-652400</v>
      </c>
    </row>
    <row r="26" spans="1:17" ht="24.95" customHeight="1" x14ac:dyDescent="0.25">
      <c r="A26" s="75">
        <v>19</v>
      </c>
      <c r="B26" s="133">
        <v>42816</v>
      </c>
      <c r="C26" s="135" t="s">
        <v>983</v>
      </c>
      <c r="D26" s="136" t="s">
        <v>1009</v>
      </c>
      <c r="E26" s="78" t="s">
        <v>1026</v>
      </c>
      <c r="F26" s="80"/>
      <c r="G26" s="77"/>
      <c r="H26" s="81"/>
      <c r="I26" s="81"/>
      <c r="J26" s="69">
        <f>1600000+140000</f>
        <v>1740000</v>
      </c>
      <c r="K26" s="86"/>
      <c r="L26" s="69"/>
      <c r="M26" s="69"/>
      <c r="N26" s="69"/>
      <c r="O26" s="142">
        <f t="shared" si="0"/>
        <v>1740000</v>
      </c>
      <c r="P26" s="145">
        <v>5200000</v>
      </c>
      <c r="Q26" s="176">
        <f t="shared" si="1"/>
        <v>3460000</v>
      </c>
    </row>
    <row r="27" spans="1:17" ht="24.95" customHeight="1" x14ac:dyDescent="0.25">
      <c r="A27" s="75">
        <v>20</v>
      </c>
      <c r="B27" s="133">
        <v>42817</v>
      </c>
      <c r="C27" s="135" t="s">
        <v>984</v>
      </c>
      <c r="D27" s="136" t="s">
        <v>1010</v>
      </c>
      <c r="E27" s="128" t="s">
        <v>636</v>
      </c>
      <c r="F27" s="80"/>
      <c r="G27" s="77"/>
      <c r="H27" s="81"/>
      <c r="I27" s="81"/>
      <c r="J27" s="69">
        <f>800000+140000</f>
        <v>940000</v>
      </c>
      <c r="K27" s="86"/>
      <c r="L27" s="69"/>
      <c r="M27" s="69"/>
      <c r="N27" s="69"/>
      <c r="O27" s="142">
        <f t="shared" si="0"/>
        <v>940000</v>
      </c>
      <c r="P27" s="145">
        <v>2827273</v>
      </c>
      <c r="Q27" s="176">
        <f t="shared" si="1"/>
        <v>1887273</v>
      </c>
    </row>
    <row r="28" spans="1:17" ht="24.95" customHeight="1" x14ac:dyDescent="0.25">
      <c r="A28" s="75">
        <v>21</v>
      </c>
      <c r="B28" s="133">
        <v>42817</v>
      </c>
      <c r="C28" s="135" t="s">
        <v>985</v>
      </c>
      <c r="D28" s="136" t="s">
        <v>1011</v>
      </c>
      <c r="E28" s="78" t="s">
        <v>1027</v>
      </c>
      <c r="F28" s="80"/>
      <c r="G28" s="77">
        <v>360</v>
      </c>
      <c r="H28" s="81">
        <v>4978800</v>
      </c>
      <c r="I28" s="81"/>
      <c r="J28" s="69">
        <f>2020000+140000</f>
        <v>2160000</v>
      </c>
      <c r="K28" s="86"/>
      <c r="L28" s="69"/>
      <c r="M28" s="69"/>
      <c r="N28" s="69"/>
      <c r="O28" s="142">
        <f t="shared" si="0"/>
        <v>7138800</v>
      </c>
      <c r="P28" s="145">
        <v>10681818</v>
      </c>
      <c r="Q28" s="176">
        <f t="shared" si="1"/>
        <v>3543018</v>
      </c>
    </row>
    <row r="29" spans="1:17" ht="24.95" customHeight="1" x14ac:dyDescent="0.25">
      <c r="A29" s="75">
        <v>22</v>
      </c>
      <c r="B29" s="133">
        <v>42820</v>
      </c>
      <c r="C29" s="135" t="s">
        <v>986</v>
      </c>
      <c r="D29" s="136" t="s">
        <v>1012</v>
      </c>
      <c r="E29" s="78" t="s">
        <v>1028</v>
      </c>
      <c r="F29" s="80"/>
      <c r="G29" s="77"/>
      <c r="H29" s="81"/>
      <c r="I29" s="81"/>
      <c r="J29" s="69">
        <v>1600000</v>
      </c>
      <c r="K29" s="86"/>
      <c r="L29" s="69"/>
      <c r="M29" s="69"/>
      <c r="N29" s="69"/>
      <c r="O29" s="142">
        <f t="shared" si="0"/>
        <v>1600000</v>
      </c>
      <c r="P29" s="145">
        <v>5270000</v>
      </c>
      <c r="Q29" s="176">
        <f t="shared" si="1"/>
        <v>3670000</v>
      </c>
    </row>
    <row r="30" spans="1:17" ht="24.95" customHeight="1" x14ac:dyDescent="0.25">
      <c r="A30" s="75">
        <v>23</v>
      </c>
      <c r="B30" s="133">
        <v>42821</v>
      </c>
      <c r="C30" s="135" t="s">
        <v>987</v>
      </c>
      <c r="D30" s="136" t="s">
        <v>1013</v>
      </c>
      <c r="E30" s="78" t="s">
        <v>705</v>
      </c>
      <c r="F30" s="80"/>
      <c r="G30" s="77"/>
      <c r="H30" s="81"/>
      <c r="I30" s="81"/>
      <c r="J30" s="69">
        <f>790000+140000</f>
        <v>930000</v>
      </c>
      <c r="K30" s="86"/>
      <c r="L30" s="69"/>
      <c r="M30" s="69"/>
      <c r="N30" s="69"/>
      <c r="O30" s="142">
        <f t="shared" si="0"/>
        <v>930000</v>
      </c>
      <c r="P30" s="145">
        <v>3200000</v>
      </c>
      <c r="Q30" s="176">
        <f t="shared" si="1"/>
        <v>2270000</v>
      </c>
    </row>
    <row r="31" spans="1:17" ht="24.95" customHeight="1" x14ac:dyDescent="0.25">
      <c r="A31" s="75">
        <v>24</v>
      </c>
      <c r="B31" s="133">
        <v>42822</v>
      </c>
      <c r="C31" s="135" t="s">
        <v>988</v>
      </c>
      <c r="D31" s="136" t="s">
        <v>1014</v>
      </c>
      <c r="E31" s="78" t="s">
        <v>1029</v>
      </c>
      <c r="F31" s="80"/>
      <c r="G31" s="77"/>
      <c r="H31" s="81"/>
      <c r="I31" s="81"/>
      <c r="J31" s="69">
        <f>1150000+140000</f>
        <v>1290000</v>
      </c>
      <c r="K31" s="86"/>
      <c r="L31" s="69"/>
      <c r="M31" s="69"/>
      <c r="N31" s="69"/>
      <c r="O31" s="142">
        <f t="shared" si="0"/>
        <v>1290000</v>
      </c>
      <c r="P31" s="145">
        <v>3500000</v>
      </c>
      <c r="Q31" s="176">
        <f t="shared" si="1"/>
        <v>2210000</v>
      </c>
    </row>
    <row r="32" spans="1:17" ht="24.95" customHeight="1" x14ac:dyDescent="0.25">
      <c r="A32" s="75">
        <v>25</v>
      </c>
      <c r="B32" s="133">
        <v>42823</v>
      </c>
      <c r="C32" s="135" t="s">
        <v>989</v>
      </c>
      <c r="D32" s="136" t="s">
        <v>1015</v>
      </c>
      <c r="E32" s="78" t="s">
        <v>189</v>
      </c>
      <c r="F32" s="80"/>
      <c r="G32" s="77">
        <v>180</v>
      </c>
      <c r="H32" s="81">
        <v>2489400</v>
      </c>
      <c r="I32" s="81"/>
      <c r="J32" s="77">
        <f>2070000+140000</f>
        <v>2210000</v>
      </c>
      <c r="K32" s="86"/>
      <c r="L32" s="69"/>
      <c r="M32" s="69"/>
      <c r="N32" s="69"/>
      <c r="O32" s="142">
        <f t="shared" si="0"/>
        <v>4699400</v>
      </c>
      <c r="P32" s="145">
        <v>10000000</v>
      </c>
      <c r="Q32" s="176">
        <f t="shared" si="1"/>
        <v>5300600</v>
      </c>
    </row>
    <row r="33" spans="1:17" ht="24.95" customHeight="1" x14ac:dyDescent="0.25">
      <c r="A33" s="75">
        <v>26</v>
      </c>
      <c r="B33" s="133">
        <v>42824</v>
      </c>
      <c r="C33" s="190" t="s">
        <v>990</v>
      </c>
      <c r="D33" s="191" t="s">
        <v>1016</v>
      </c>
      <c r="E33" s="192" t="s">
        <v>1029</v>
      </c>
      <c r="F33" s="193"/>
      <c r="G33" s="164"/>
      <c r="H33" s="155"/>
      <c r="I33" s="165"/>
      <c r="J33" s="194">
        <f>1150000+140000</f>
        <v>1290000</v>
      </c>
      <c r="K33" s="86"/>
      <c r="L33" s="156"/>
      <c r="M33" s="112"/>
      <c r="N33" s="112"/>
      <c r="O33" s="142">
        <f t="shared" si="0"/>
        <v>1290000</v>
      </c>
      <c r="P33" s="68">
        <v>3436364</v>
      </c>
      <c r="Q33" s="176">
        <f t="shared" si="1"/>
        <v>2146364</v>
      </c>
    </row>
    <row r="34" spans="1:17" ht="29.25" customHeight="1" x14ac:dyDescent="0.25">
      <c r="A34" s="75"/>
      <c r="B34" s="133"/>
      <c r="C34" s="183" t="s">
        <v>1031</v>
      </c>
      <c r="D34" s="162"/>
      <c r="E34" s="153"/>
      <c r="F34" s="163"/>
      <c r="G34" s="164"/>
      <c r="H34" s="155"/>
      <c r="I34" s="165"/>
      <c r="J34" s="166"/>
      <c r="K34" s="86"/>
      <c r="L34" s="156">
        <v>400000</v>
      </c>
      <c r="M34" s="112"/>
      <c r="N34" s="112"/>
      <c r="O34" s="142">
        <f t="shared" si="0"/>
        <v>400000</v>
      </c>
      <c r="P34" s="68"/>
      <c r="Q34" s="176">
        <f t="shared" si="1"/>
        <v>-400000</v>
      </c>
    </row>
    <row r="35" spans="1:17" ht="63" customHeight="1" x14ac:dyDescent="0.25">
      <c r="A35" s="75"/>
      <c r="B35" s="133"/>
      <c r="C35" s="183" t="s">
        <v>1032</v>
      </c>
      <c r="D35" s="162"/>
      <c r="E35" s="153"/>
      <c r="F35" s="163"/>
      <c r="G35" s="164"/>
      <c r="H35" s="155"/>
      <c r="I35" s="165"/>
      <c r="J35" s="166"/>
      <c r="K35" s="86"/>
      <c r="L35" s="156">
        <v>1800000</v>
      </c>
      <c r="M35" s="112"/>
      <c r="N35" s="112"/>
      <c r="O35" s="142">
        <f t="shared" si="0"/>
        <v>1800000</v>
      </c>
      <c r="P35" s="68"/>
      <c r="Q35" s="176">
        <f t="shared" si="1"/>
        <v>-1800000</v>
      </c>
    </row>
    <row r="36" spans="1:17" ht="63" customHeight="1" x14ac:dyDescent="0.25">
      <c r="A36" s="75"/>
      <c r="B36" s="133"/>
      <c r="C36" s="183" t="s">
        <v>1033</v>
      </c>
      <c r="D36" s="162"/>
      <c r="E36" s="153"/>
      <c r="F36" s="163"/>
      <c r="G36" s="164"/>
      <c r="H36" s="155"/>
      <c r="I36" s="165"/>
      <c r="J36" s="166"/>
      <c r="K36" s="86"/>
      <c r="L36" s="156">
        <v>900000</v>
      </c>
      <c r="M36" s="112"/>
      <c r="N36" s="112"/>
      <c r="O36" s="142">
        <f t="shared" si="0"/>
        <v>900000</v>
      </c>
      <c r="P36" s="68"/>
      <c r="Q36" s="176">
        <f t="shared" si="1"/>
        <v>-900000</v>
      </c>
    </row>
    <row r="37" spans="1:17" ht="63" customHeight="1" x14ac:dyDescent="0.25">
      <c r="A37" s="75"/>
      <c r="B37" s="133"/>
      <c r="C37" s="183" t="s">
        <v>1034</v>
      </c>
      <c r="D37" s="162"/>
      <c r="E37" s="153"/>
      <c r="F37" s="163"/>
      <c r="G37" s="164"/>
      <c r="H37" s="155"/>
      <c r="I37" s="165"/>
      <c r="J37" s="166"/>
      <c r="K37" s="86"/>
      <c r="L37" s="156">
        <v>10750000</v>
      </c>
      <c r="M37" s="112"/>
      <c r="N37" s="112"/>
      <c r="O37" s="142">
        <f t="shared" si="0"/>
        <v>10750000</v>
      </c>
      <c r="P37" s="68"/>
      <c r="Q37" s="176">
        <f t="shared" si="1"/>
        <v>-10750000</v>
      </c>
    </row>
    <row r="38" spans="1:17" ht="63" customHeight="1" x14ac:dyDescent="0.25">
      <c r="A38" s="75"/>
      <c r="B38" s="133"/>
      <c r="C38" s="183" t="s">
        <v>1035</v>
      </c>
      <c r="D38" s="162"/>
      <c r="E38" s="153"/>
      <c r="F38" s="163"/>
      <c r="G38" s="164"/>
      <c r="H38" s="155"/>
      <c r="I38" s="165"/>
      <c r="J38" s="166"/>
      <c r="K38" s="86"/>
      <c r="L38" s="156">
        <v>400000</v>
      </c>
      <c r="M38" s="112"/>
      <c r="N38" s="112"/>
      <c r="O38" s="142">
        <f t="shared" si="0"/>
        <v>400000</v>
      </c>
      <c r="P38" s="68"/>
      <c r="Q38" s="176">
        <f t="shared" si="1"/>
        <v>-400000</v>
      </c>
    </row>
    <row r="39" spans="1:17" ht="24.95" customHeight="1" x14ac:dyDescent="0.25">
      <c r="A39" s="75"/>
      <c r="B39" s="133"/>
      <c r="C39" s="170" t="s">
        <v>1030</v>
      </c>
      <c r="D39" s="162"/>
      <c r="E39" s="153"/>
      <c r="F39" s="163"/>
      <c r="G39" s="164"/>
      <c r="H39" s="155"/>
      <c r="I39" s="165"/>
      <c r="J39" s="166"/>
      <c r="K39" s="86"/>
      <c r="L39" s="156">
        <v>1320000</v>
      </c>
      <c r="M39" s="112"/>
      <c r="N39" s="112"/>
      <c r="O39" s="142">
        <f t="shared" si="0"/>
        <v>1320000</v>
      </c>
      <c r="P39" s="68"/>
      <c r="Q39" s="176">
        <f t="shared" si="1"/>
        <v>-1320000</v>
      </c>
    </row>
    <row r="40" spans="1:17" ht="24.95" customHeight="1" x14ac:dyDescent="0.25">
      <c r="A40" s="75"/>
      <c r="B40" s="70"/>
      <c r="C40" s="108" t="s">
        <v>580</v>
      </c>
      <c r="D40" s="87"/>
      <c r="E40" s="70"/>
      <c r="F40" s="110"/>
      <c r="G40" s="70"/>
      <c r="H40" s="81"/>
      <c r="I40" s="111"/>
      <c r="J40" s="112"/>
      <c r="K40" s="113">
        <v>9000000</v>
      </c>
      <c r="L40" s="141"/>
      <c r="M40" s="112"/>
      <c r="N40" s="112"/>
      <c r="O40" s="142">
        <f t="shared" si="0"/>
        <v>9000000</v>
      </c>
      <c r="P40" s="68"/>
      <c r="Q40" s="176">
        <f t="shared" si="1"/>
        <v>-9000000</v>
      </c>
    </row>
    <row r="41" spans="1:17" x14ac:dyDescent="0.25">
      <c r="A41" s="547" t="s">
        <v>19</v>
      </c>
      <c r="B41" s="548"/>
      <c r="C41" s="548"/>
      <c r="D41" s="548"/>
      <c r="E41" s="548"/>
      <c r="F41" s="549"/>
      <c r="G41" s="89">
        <f t="shared" ref="G41:Q41" si="2">SUM(G7:G40)</f>
        <v>3155</v>
      </c>
      <c r="H41" s="71">
        <f t="shared" si="2"/>
        <v>44763600</v>
      </c>
      <c r="I41" s="71">
        <f t="shared" si="2"/>
        <v>0</v>
      </c>
      <c r="J41" s="71">
        <f t="shared" si="2"/>
        <v>36280000</v>
      </c>
      <c r="K41" s="71">
        <f t="shared" si="2"/>
        <v>9000000</v>
      </c>
      <c r="L41" s="71">
        <f t="shared" si="2"/>
        <v>15570000</v>
      </c>
      <c r="M41" s="71">
        <f t="shared" si="2"/>
        <v>0</v>
      </c>
      <c r="N41" s="71">
        <f t="shared" si="2"/>
        <v>0</v>
      </c>
      <c r="O41" s="71">
        <f t="shared" si="2"/>
        <v>105613600</v>
      </c>
      <c r="P41" s="71">
        <f t="shared" si="2"/>
        <v>121417273</v>
      </c>
      <c r="Q41" s="71">
        <f t="shared" si="2"/>
        <v>15803673</v>
      </c>
    </row>
    <row r="42" spans="1:17" x14ac:dyDescent="0.25">
      <c r="P42" t="s">
        <v>1100</v>
      </c>
      <c r="Q42" s="195">
        <f>'02-2017'!Q33+'03-2017'!Q41</f>
        <v>44248095</v>
      </c>
    </row>
  </sheetData>
  <mergeCells count="5">
    <mergeCell ref="A1:Q1"/>
    <mergeCell ref="A2:Q2"/>
    <mergeCell ref="A3:Q3"/>
    <mergeCell ref="G5:N5"/>
    <mergeCell ref="A41:F41"/>
  </mergeCells>
  <pageMargins left="0.7" right="0.7" top="0.75" bottom="0.75" header="0.3" footer="0.3"/>
  <pageSetup paperSize="9" orientation="portrait" horizontalDpi="0"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45"/>
  <sheetViews>
    <sheetView topLeftCell="B31" workbookViewId="0">
      <selection activeCell="Q46" sqref="Q46"/>
    </sheetView>
  </sheetViews>
  <sheetFormatPr defaultRowHeight="15" x14ac:dyDescent="0.25"/>
  <cols>
    <col min="3" max="3" width="33" customWidth="1"/>
    <col min="4" max="4" width="13.5703125" customWidth="1"/>
    <col min="5" max="5" width="30.28515625" customWidth="1"/>
    <col min="15" max="15" width="11.5703125" customWidth="1"/>
    <col min="16" max="16" width="12.5703125" customWidth="1"/>
    <col min="17" max="17" width="11" customWidth="1"/>
    <col min="19" max="19" width="13.5703125" customWidth="1"/>
  </cols>
  <sheetData>
    <row r="1" spans="1:21" ht="23.25" x14ac:dyDescent="0.25">
      <c r="A1" s="551" t="s">
        <v>0</v>
      </c>
      <c r="B1" s="551"/>
      <c r="C1" s="551"/>
      <c r="D1" s="551"/>
      <c r="E1" s="551"/>
      <c r="F1" s="551"/>
      <c r="G1" s="551"/>
      <c r="H1" s="551"/>
      <c r="I1" s="551"/>
      <c r="J1" s="551"/>
      <c r="K1" s="551"/>
      <c r="L1" s="551"/>
      <c r="M1" s="551"/>
      <c r="N1" s="551"/>
      <c r="O1" s="551"/>
      <c r="P1" s="551"/>
      <c r="Q1" s="551"/>
    </row>
    <row r="2" spans="1:21" ht="15.75" x14ac:dyDescent="0.25">
      <c r="A2" s="550" t="s">
        <v>103</v>
      </c>
      <c r="B2" s="550"/>
      <c r="C2" s="550"/>
      <c r="D2" s="550"/>
      <c r="E2" s="550"/>
      <c r="F2" s="550"/>
      <c r="G2" s="550"/>
      <c r="H2" s="550"/>
      <c r="I2" s="550"/>
      <c r="J2" s="550"/>
      <c r="K2" s="550"/>
      <c r="L2" s="550"/>
      <c r="M2" s="550"/>
      <c r="N2" s="550"/>
      <c r="O2" s="550"/>
      <c r="P2" s="550"/>
      <c r="Q2" s="550"/>
    </row>
    <row r="3" spans="1:21" ht="15.75" x14ac:dyDescent="0.25">
      <c r="A3" s="550" t="s">
        <v>1036</v>
      </c>
      <c r="B3" s="550"/>
      <c r="C3" s="550"/>
      <c r="D3" s="550"/>
      <c r="E3" s="550"/>
      <c r="F3" s="550"/>
      <c r="G3" s="550"/>
      <c r="H3" s="550"/>
      <c r="I3" s="550"/>
      <c r="J3" s="550"/>
      <c r="K3" s="550"/>
      <c r="L3" s="550"/>
      <c r="M3" s="550"/>
      <c r="N3" s="550"/>
      <c r="O3" s="550"/>
      <c r="P3" s="550"/>
      <c r="Q3" s="550"/>
    </row>
    <row r="4" spans="1:21" x14ac:dyDescent="0.25">
      <c r="A4" s="74"/>
      <c r="B4" s="99"/>
      <c r="C4" s="74"/>
      <c r="D4" s="74"/>
      <c r="E4" s="74" t="s">
        <v>194</v>
      </c>
      <c r="F4" s="74"/>
      <c r="G4" s="74"/>
      <c r="H4" s="72"/>
      <c r="I4" s="74"/>
      <c r="J4" s="72"/>
      <c r="K4" s="72"/>
      <c r="L4" s="72"/>
      <c r="M4" s="72"/>
      <c r="N4" s="72"/>
      <c r="O4" s="72"/>
      <c r="P4" s="72"/>
      <c r="Q4" s="72"/>
    </row>
    <row r="5" spans="1:21" ht="25.5" x14ac:dyDescent="0.25">
      <c r="A5" s="177" t="s">
        <v>1</v>
      </c>
      <c r="B5" s="178" t="s">
        <v>2</v>
      </c>
      <c r="C5" s="177" t="s">
        <v>3</v>
      </c>
      <c r="D5" s="177" t="s">
        <v>5</v>
      </c>
      <c r="E5" s="174" t="s">
        <v>4</v>
      </c>
      <c r="F5" s="174" t="s">
        <v>17</v>
      </c>
      <c r="G5" s="552" t="s">
        <v>6</v>
      </c>
      <c r="H5" s="553"/>
      <c r="I5" s="553"/>
      <c r="J5" s="553"/>
      <c r="K5" s="553"/>
      <c r="L5" s="553"/>
      <c r="M5" s="553"/>
      <c r="N5" s="554"/>
      <c r="O5" s="127" t="s">
        <v>18</v>
      </c>
      <c r="P5" s="127" t="s">
        <v>13</v>
      </c>
      <c r="Q5" s="127" t="s">
        <v>14</v>
      </c>
    </row>
    <row r="6" spans="1:21" x14ac:dyDescent="0.25">
      <c r="A6" s="179"/>
      <c r="B6" s="180"/>
      <c r="C6" s="179"/>
      <c r="D6" s="179"/>
      <c r="E6" s="175"/>
      <c r="F6" s="175"/>
      <c r="G6" s="6" t="s">
        <v>7</v>
      </c>
      <c r="H6" s="7" t="s">
        <v>15</v>
      </c>
      <c r="I6" s="6" t="s">
        <v>16</v>
      </c>
      <c r="J6" s="7" t="s">
        <v>8</v>
      </c>
      <c r="K6" s="7" t="s">
        <v>9</v>
      </c>
      <c r="L6" s="7" t="s">
        <v>10</v>
      </c>
      <c r="M6" s="7" t="s">
        <v>11</v>
      </c>
      <c r="N6" s="7" t="s">
        <v>12</v>
      </c>
      <c r="O6" s="181"/>
      <c r="P6" s="181"/>
      <c r="Q6" s="181"/>
    </row>
    <row r="7" spans="1:21" x14ac:dyDescent="0.25">
      <c r="A7" s="75"/>
      <c r="B7" s="100"/>
      <c r="C7" s="88"/>
      <c r="D7" s="88"/>
      <c r="E7" s="134"/>
      <c r="F7" s="75"/>
      <c r="G7" s="77"/>
      <c r="H7" s="68"/>
      <c r="I7" s="75"/>
      <c r="J7" s="68"/>
      <c r="K7" s="68"/>
      <c r="L7" s="68"/>
      <c r="M7" s="68"/>
      <c r="N7" s="68"/>
      <c r="O7" s="68">
        <f>H7+J7+K7+L7+M7+N7</f>
        <v>0</v>
      </c>
      <c r="P7" s="144"/>
      <c r="Q7" s="68">
        <f>P7-O7</f>
        <v>0</v>
      </c>
    </row>
    <row r="8" spans="1:21" ht="24.95" customHeight="1" x14ac:dyDescent="0.25">
      <c r="A8" s="75">
        <v>1</v>
      </c>
      <c r="B8" s="133">
        <v>42825</v>
      </c>
      <c r="C8" s="135" t="s">
        <v>267</v>
      </c>
      <c r="D8" s="136" t="s">
        <v>1056</v>
      </c>
      <c r="E8" s="78" t="s">
        <v>1076</v>
      </c>
      <c r="F8" s="80"/>
      <c r="G8" s="77"/>
      <c r="H8" s="81"/>
      <c r="I8" s="81"/>
      <c r="J8" s="69">
        <v>800000</v>
      </c>
      <c r="K8" s="86"/>
      <c r="L8" s="69"/>
      <c r="M8" s="69"/>
      <c r="N8" s="69"/>
      <c r="O8" s="142">
        <f>H8+J8+K8+L8+M8+N8</f>
        <v>800000</v>
      </c>
      <c r="P8" s="145">
        <v>3000000</v>
      </c>
      <c r="Q8" s="176">
        <f>P8-O8</f>
        <v>2200000</v>
      </c>
      <c r="S8" s="195"/>
      <c r="U8" s="195"/>
    </row>
    <row r="9" spans="1:21" ht="24.95" customHeight="1" x14ac:dyDescent="0.25">
      <c r="A9" s="75">
        <v>2</v>
      </c>
      <c r="B9" s="133">
        <v>42827</v>
      </c>
      <c r="C9" s="135" t="s">
        <v>1037</v>
      </c>
      <c r="D9" s="136" t="s">
        <v>1057</v>
      </c>
      <c r="E9" s="78" t="s">
        <v>1077</v>
      </c>
      <c r="F9" s="80"/>
      <c r="G9" s="77">
        <v>290</v>
      </c>
      <c r="H9" s="81">
        <v>4010700</v>
      </c>
      <c r="I9" s="81"/>
      <c r="J9" s="189">
        <f>1100000+140000</f>
        <v>1240000</v>
      </c>
      <c r="K9" s="86"/>
      <c r="L9" s="69"/>
      <c r="M9" s="69"/>
      <c r="N9" s="69"/>
      <c r="O9" s="142">
        <f t="shared" ref="O9:O43" si="0">H9+J9+K9+L9+M9+N9</f>
        <v>5250700</v>
      </c>
      <c r="P9" s="145">
        <v>4700000</v>
      </c>
      <c r="Q9" s="176">
        <f t="shared" ref="Q9:Q43" si="1">P9-O9</f>
        <v>-550700</v>
      </c>
      <c r="S9" s="195"/>
      <c r="U9" s="195"/>
    </row>
    <row r="10" spans="1:21" ht="24.95" customHeight="1" x14ac:dyDescent="0.25">
      <c r="A10" s="75">
        <v>3</v>
      </c>
      <c r="B10" s="133">
        <v>42828</v>
      </c>
      <c r="C10" s="135" t="s">
        <v>270</v>
      </c>
      <c r="D10" s="136" t="s">
        <v>1058</v>
      </c>
      <c r="E10" s="78" t="s">
        <v>286</v>
      </c>
      <c r="F10" s="80"/>
      <c r="G10" s="77"/>
      <c r="H10" s="81"/>
      <c r="I10" s="81"/>
      <c r="J10" s="69">
        <f>1190000-400000+140000</f>
        <v>930000</v>
      </c>
      <c r="K10" s="86"/>
      <c r="L10" s="69"/>
      <c r="M10" s="69"/>
      <c r="N10" s="69"/>
      <c r="O10" s="142">
        <f t="shared" si="0"/>
        <v>930000</v>
      </c>
      <c r="P10" s="145">
        <v>3590909</v>
      </c>
      <c r="Q10" s="176">
        <f t="shared" si="1"/>
        <v>2660909</v>
      </c>
      <c r="S10" s="195"/>
      <c r="U10" s="195"/>
    </row>
    <row r="11" spans="1:21" ht="24.95" customHeight="1" x14ac:dyDescent="0.25">
      <c r="A11" s="75">
        <v>5</v>
      </c>
      <c r="B11" s="133">
        <v>42829</v>
      </c>
      <c r="C11" s="135" t="s">
        <v>1038</v>
      </c>
      <c r="D11" s="136" t="s">
        <v>1097</v>
      </c>
      <c r="E11" s="78" t="s">
        <v>1022</v>
      </c>
      <c r="F11" s="80"/>
      <c r="G11" s="77">
        <v>273</v>
      </c>
      <c r="H11" s="81">
        <v>3775590</v>
      </c>
      <c r="I11" s="81"/>
      <c r="J11" s="69">
        <f>1100000+140000</f>
        <v>1240000</v>
      </c>
      <c r="K11" s="86"/>
      <c r="L11" s="69"/>
      <c r="M11" s="69"/>
      <c r="N11" s="69"/>
      <c r="O11" s="142">
        <f t="shared" si="0"/>
        <v>5015590</v>
      </c>
      <c r="P11" s="145">
        <v>4770000</v>
      </c>
      <c r="Q11" s="176">
        <f t="shared" si="1"/>
        <v>-245590</v>
      </c>
      <c r="S11" s="195"/>
      <c r="U11" s="195"/>
    </row>
    <row r="12" spans="1:21" ht="24.95" customHeight="1" x14ac:dyDescent="0.25">
      <c r="A12" s="75">
        <v>6</v>
      </c>
      <c r="B12" s="133">
        <v>42831</v>
      </c>
      <c r="C12" s="135" t="s">
        <v>1039</v>
      </c>
      <c r="D12" s="136" t="s">
        <v>1059</v>
      </c>
      <c r="E12" s="78" t="s">
        <v>21</v>
      </c>
      <c r="F12" s="80"/>
      <c r="G12" s="77"/>
      <c r="H12" s="81"/>
      <c r="I12" s="81"/>
      <c r="J12" s="69">
        <f>2920000+140000</f>
        <v>3060000</v>
      </c>
      <c r="K12" s="86"/>
      <c r="L12" s="69"/>
      <c r="M12" s="69"/>
      <c r="N12" s="69"/>
      <c r="O12" s="142">
        <f t="shared" si="0"/>
        <v>3060000</v>
      </c>
      <c r="P12" s="145">
        <v>12181818</v>
      </c>
      <c r="Q12" s="176">
        <f t="shared" si="1"/>
        <v>9121818</v>
      </c>
      <c r="S12" s="195"/>
      <c r="U12" s="195"/>
    </row>
    <row r="13" spans="1:21" ht="24.95" customHeight="1" x14ac:dyDescent="0.25">
      <c r="A13" s="75">
        <v>7</v>
      </c>
      <c r="B13" s="133">
        <v>42832</v>
      </c>
      <c r="C13" s="135" t="s">
        <v>1040</v>
      </c>
      <c r="D13" s="136" t="s">
        <v>1060</v>
      </c>
      <c r="E13" s="78" t="s">
        <v>187</v>
      </c>
      <c r="F13" s="80"/>
      <c r="G13" s="77"/>
      <c r="H13" s="81"/>
      <c r="I13" s="81"/>
      <c r="J13" s="69">
        <f>790000+140000</f>
        <v>930000</v>
      </c>
      <c r="K13" s="86"/>
      <c r="L13" s="69"/>
      <c r="M13" s="69"/>
      <c r="N13" s="69"/>
      <c r="O13" s="142">
        <f t="shared" si="0"/>
        <v>930000</v>
      </c>
      <c r="P13" s="145">
        <v>3200000</v>
      </c>
      <c r="Q13" s="176">
        <f t="shared" si="1"/>
        <v>2270000</v>
      </c>
      <c r="S13" s="195"/>
      <c r="U13" s="195"/>
    </row>
    <row r="14" spans="1:21" ht="24.95" customHeight="1" x14ac:dyDescent="0.25">
      <c r="A14" s="75">
        <v>8</v>
      </c>
      <c r="B14" s="133">
        <v>42833</v>
      </c>
      <c r="C14" s="135" t="s">
        <v>1041</v>
      </c>
      <c r="D14" s="136" t="s">
        <v>1061</v>
      </c>
      <c r="E14" s="78" t="s">
        <v>155</v>
      </c>
      <c r="F14" s="80"/>
      <c r="G14" s="77">
        <v>370</v>
      </c>
      <c r="H14" s="81">
        <v>4980200</v>
      </c>
      <c r="I14" s="81"/>
      <c r="J14" s="69">
        <f>1340000+140000</f>
        <v>1480000</v>
      </c>
      <c r="K14" s="86"/>
      <c r="L14" s="69"/>
      <c r="M14" s="69"/>
      <c r="N14" s="69"/>
      <c r="O14" s="142">
        <f t="shared" si="0"/>
        <v>6460200</v>
      </c>
      <c r="P14" s="145">
        <v>4770000</v>
      </c>
      <c r="Q14" s="176">
        <f t="shared" si="1"/>
        <v>-1690200</v>
      </c>
      <c r="S14" s="195"/>
      <c r="U14" s="195"/>
    </row>
    <row r="15" spans="1:21" ht="24.95" customHeight="1" x14ac:dyDescent="0.25">
      <c r="A15" s="75">
        <v>9</v>
      </c>
      <c r="B15" s="133">
        <v>42835</v>
      </c>
      <c r="C15" s="135" t="s">
        <v>1042</v>
      </c>
      <c r="D15" s="136" t="s">
        <v>1062</v>
      </c>
      <c r="E15" s="78" t="s">
        <v>1078</v>
      </c>
      <c r="F15" s="80"/>
      <c r="G15" s="77"/>
      <c r="H15" s="81"/>
      <c r="I15" s="81"/>
      <c r="J15" s="69">
        <f>1340000+140000</f>
        <v>1480000</v>
      </c>
      <c r="K15" s="86"/>
      <c r="L15" s="69"/>
      <c r="M15" s="69"/>
      <c r="N15" s="69"/>
      <c r="O15" s="142">
        <f t="shared" si="0"/>
        <v>1480000</v>
      </c>
      <c r="P15" s="145">
        <v>4770000</v>
      </c>
      <c r="Q15" s="176">
        <f t="shared" si="1"/>
        <v>3290000</v>
      </c>
      <c r="S15" s="195"/>
      <c r="U15" s="195"/>
    </row>
    <row r="16" spans="1:21" ht="24.95" customHeight="1" x14ac:dyDescent="0.25">
      <c r="A16" s="75">
        <v>10</v>
      </c>
      <c r="B16" s="133">
        <v>42836</v>
      </c>
      <c r="C16" s="135" t="s">
        <v>1043</v>
      </c>
      <c r="D16" s="136" t="s">
        <v>1063</v>
      </c>
      <c r="E16" s="78" t="s">
        <v>635</v>
      </c>
      <c r="F16" s="80"/>
      <c r="G16" s="77"/>
      <c r="H16" s="81"/>
      <c r="I16" s="81"/>
      <c r="J16" s="69">
        <v>1340000</v>
      </c>
      <c r="K16" s="86"/>
      <c r="L16" s="69"/>
      <c r="M16" s="69"/>
      <c r="N16" s="69"/>
      <c r="O16" s="142">
        <f t="shared" si="0"/>
        <v>1340000</v>
      </c>
      <c r="P16" s="145">
        <v>4700000</v>
      </c>
      <c r="Q16" s="176">
        <f t="shared" si="1"/>
        <v>3360000</v>
      </c>
      <c r="S16" s="195"/>
      <c r="U16" s="195"/>
    </row>
    <row r="17" spans="1:21" ht="24.95" customHeight="1" x14ac:dyDescent="0.25">
      <c r="A17" s="75">
        <v>11</v>
      </c>
      <c r="B17" s="133">
        <v>42838</v>
      </c>
      <c r="C17" s="135" t="s">
        <v>1044</v>
      </c>
      <c r="D17" s="136" t="s">
        <v>1064</v>
      </c>
      <c r="E17" s="78" t="s">
        <v>1079</v>
      </c>
      <c r="F17" s="80"/>
      <c r="G17" s="77">
        <v>360</v>
      </c>
      <c r="H17" s="81">
        <v>4845600</v>
      </c>
      <c r="I17" s="81"/>
      <c r="J17" s="69">
        <f>1150000+140000</f>
        <v>1290000</v>
      </c>
      <c r="K17" s="86"/>
      <c r="L17" s="69"/>
      <c r="M17" s="69"/>
      <c r="N17" s="69"/>
      <c r="O17" s="142">
        <f t="shared" si="0"/>
        <v>6135600</v>
      </c>
      <c r="P17" s="145">
        <v>4000000</v>
      </c>
      <c r="Q17" s="176">
        <f t="shared" si="1"/>
        <v>-2135600</v>
      </c>
      <c r="S17" s="195"/>
      <c r="U17" s="195"/>
    </row>
    <row r="18" spans="1:21" ht="24.95" customHeight="1" x14ac:dyDescent="0.25">
      <c r="A18" s="75">
        <v>12</v>
      </c>
      <c r="B18" s="133">
        <v>42838</v>
      </c>
      <c r="C18" s="135" t="s">
        <v>1045</v>
      </c>
      <c r="D18" s="136" t="s">
        <v>1065</v>
      </c>
      <c r="E18" s="78" t="s">
        <v>1080</v>
      </c>
      <c r="F18" s="80"/>
      <c r="G18" s="77"/>
      <c r="H18" s="81"/>
      <c r="I18" s="81"/>
      <c r="J18" s="69">
        <f>1150000+140000</f>
        <v>1290000</v>
      </c>
      <c r="K18" s="86"/>
      <c r="L18" s="69"/>
      <c r="M18" s="69"/>
      <c r="N18" s="69"/>
      <c r="O18" s="142">
        <f t="shared" si="0"/>
        <v>1290000</v>
      </c>
      <c r="P18" s="145">
        <v>3345455</v>
      </c>
      <c r="Q18" s="176">
        <f t="shared" si="1"/>
        <v>2055455</v>
      </c>
      <c r="S18" s="195"/>
      <c r="U18" s="195"/>
    </row>
    <row r="19" spans="1:21" ht="24.95" customHeight="1" x14ac:dyDescent="0.25">
      <c r="A19" s="75">
        <v>13</v>
      </c>
      <c r="B19" s="133">
        <v>42839</v>
      </c>
      <c r="C19" s="135" t="s">
        <v>1046</v>
      </c>
      <c r="D19" s="136" t="s">
        <v>1066</v>
      </c>
      <c r="E19" s="78" t="s">
        <v>1081</v>
      </c>
      <c r="F19" s="80"/>
      <c r="G19" s="77">
        <v>340</v>
      </c>
      <c r="H19" s="81">
        <v>4576400</v>
      </c>
      <c r="I19" s="81"/>
      <c r="J19" s="69">
        <f>790000+140000</f>
        <v>930000</v>
      </c>
      <c r="K19" s="86"/>
      <c r="L19" s="69"/>
      <c r="M19" s="69"/>
      <c r="N19" s="69"/>
      <c r="O19" s="142">
        <f t="shared" si="0"/>
        <v>5506400</v>
      </c>
      <c r="P19" s="145">
        <v>3700000</v>
      </c>
      <c r="Q19" s="176">
        <f t="shared" si="1"/>
        <v>-1806400</v>
      </c>
      <c r="S19" s="195"/>
      <c r="U19" s="195"/>
    </row>
    <row r="20" spans="1:21" ht="24.95" customHeight="1" x14ac:dyDescent="0.25">
      <c r="A20" s="75">
        <v>14</v>
      </c>
      <c r="B20" s="133">
        <v>42842</v>
      </c>
      <c r="C20" s="135" t="s">
        <v>1047</v>
      </c>
      <c r="D20" s="136" t="s">
        <v>1067</v>
      </c>
      <c r="E20" s="78" t="s">
        <v>21</v>
      </c>
      <c r="F20" s="80"/>
      <c r="G20" s="77"/>
      <c r="H20" s="81"/>
      <c r="I20" s="81"/>
      <c r="J20" s="69">
        <f>2920000+140000</f>
        <v>3060000</v>
      </c>
      <c r="K20" s="86"/>
      <c r="L20" s="69"/>
      <c r="M20" s="69"/>
      <c r="N20" s="69"/>
      <c r="O20" s="142">
        <f t="shared" si="0"/>
        <v>3060000</v>
      </c>
      <c r="P20" s="145">
        <v>12181818</v>
      </c>
      <c r="Q20" s="176">
        <f t="shared" si="1"/>
        <v>9121818</v>
      </c>
      <c r="S20" s="195"/>
      <c r="U20" s="195"/>
    </row>
    <row r="21" spans="1:21" ht="24.95" customHeight="1" x14ac:dyDescent="0.25">
      <c r="A21" s="75">
        <v>15</v>
      </c>
      <c r="B21" s="133">
        <v>42844</v>
      </c>
      <c r="C21" s="135" t="s">
        <v>1048</v>
      </c>
      <c r="D21" s="136" t="s">
        <v>1068</v>
      </c>
      <c r="E21" s="78" t="s">
        <v>1082</v>
      </c>
      <c r="F21" s="80"/>
      <c r="G21" s="77">
        <v>350</v>
      </c>
      <c r="H21" s="81">
        <v>4711000</v>
      </c>
      <c r="I21" s="81"/>
      <c r="J21" s="69">
        <f>1100000+140000</f>
        <v>1240000</v>
      </c>
      <c r="K21" s="86"/>
      <c r="L21" s="69"/>
      <c r="M21" s="69"/>
      <c r="N21" s="69"/>
      <c r="O21" s="142">
        <f t="shared" si="0"/>
        <v>5951000</v>
      </c>
      <c r="P21" s="145">
        <v>5700000</v>
      </c>
      <c r="Q21" s="176">
        <f t="shared" si="1"/>
        <v>-251000</v>
      </c>
      <c r="S21" s="195"/>
      <c r="U21" s="195"/>
    </row>
    <row r="22" spans="1:21" ht="24.95" customHeight="1" x14ac:dyDescent="0.25">
      <c r="A22" s="75">
        <v>16</v>
      </c>
      <c r="B22" s="133">
        <v>42845</v>
      </c>
      <c r="C22" s="135" t="s">
        <v>299</v>
      </c>
      <c r="D22" s="136" t="s">
        <v>1069</v>
      </c>
      <c r="E22" s="78" t="s">
        <v>24</v>
      </c>
      <c r="F22" s="80"/>
      <c r="G22" s="77"/>
      <c r="H22" s="81"/>
      <c r="I22" s="81"/>
      <c r="J22" s="69">
        <f>1910000+140000</f>
        <v>2050000</v>
      </c>
      <c r="K22" s="86"/>
      <c r="L22" s="69"/>
      <c r="M22" s="69"/>
      <c r="N22" s="69"/>
      <c r="O22" s="142">
        <f t="shared" si="0"/>
        <v>2050000</v>
      </c>
      <c r="P22" s="145">
        <v>8181818</v>
      </c>
      <c r="Q22" s="176">
        <f t="shared" si="1"/>
        <v>6131818</v>
      </c>
      <c r="S22" s="195"/>
      <c r="U22" s="195"/>
    </row>
    <row r="23" spans="1:21" ht="24.95" customHeight="1" x14ac:dyDescent="0.25">
      <c r="A23" s="75">
        <v>17</v>
      </c>
      <c r="B23" s="133">
        <v>42846</v>
      </c>
      <c r="C23" s="135" t="s">
        <v>1049</v>
      </c>
      <c r="D23" s="136" t="s">
        <v>1070</v>
      </c>
      <c r="E23" s="78" t="s">
        <v>1083</v>
      </c>
      <c r="F23" s="80"/>
      <c r="G23" s="77">
        <v>320</v>
      </c>
      <c r="H23" s="81">
        <v>4419200</v>
      </c>
      <c r="I23" s="81"/>
      <c r="J23" s="69">
        <f>1600000+140000</f>
        <v>1740000</v>
      </c>
      <c r="K23" s="86"/>
      <c r="L23" s="69"/>
      <c r="M23" s="69"/>
      <c r="N23" s="69"/>
      <c r="O23" s="142">
        <f t="shared" si="0"/>
        <v>6159200</v>
      </c>
      <c r="P23" s="145">
        <v>6500000</v>
      </c>
      <c r="Q23" s="176">
        <f t="shared" si="1"/>
        <v>340800</v>
      </c>
      <c r="S23" s="195"/>
      <c r="U23" s="195"/>
    </row>
    <row r="24" spans="1:21" ht="24.95" customHeight="1" x14ac:dyDescent="0.25">
      <c r="A24" s="75">
        <v>18</v>
      </c>
      <c r="B24" s="133">
        <v>42848</v>
      </c>
      <c r="C24" s="135" t="s">
        <v>1050</v>
      </c>
      <c r="D24" s="136" t="s">
        <v>1071</v>
      </c>
      <c r="E24" s="78" t="s">
        <v>24</v>
      </c>
      <c r="F24" s="80"/>
      <c r="G24" s="77">
        <v>180</v>
      </c>
      <c r="H24" s="81">
        <v>2485800</v>
      </c>
      <c r="I24" s="81"/>
      <c r="J24" s="69">
        <f>1900000+140000</f>
        <v>2040000</v>
      </c>
      <c r="K24" s="86"/>
      <c r="L24" s="69"/>
      <c r="M24" s="69"/>
      <c r="N24" s="69"/>
      <c r="O24" s="142">
        <f t="shared" si="0"/>
        <v>4525800</v>
      </c>
      <c r="P24" s="145">
        <v>8181818</v>
      </c>
      <c r="Q24" s="176">
        <f t="shared" si="1"/>
        <v>3656018</v>
      </c>
      <c r="S24" s="195"/>
      <c r="U24" s="195"/>
    </row>
    <row r="25" spans="1:21" ht="24.95" customHeight="1" x14ac:dyDescent="0.25">
      <c r="A25" s="75">
        <v>19</v>
      </c>
      <c r="B25" s="133">
        <v>42849</v>
      </c>
      <c r="C25" s="135" t="s">
        <v>306</v>
      </c>
      <c r="D25" s="136" t="s">
        <v>1072</v>
      </c>
      <c r="E25" s="78" t="s">
        <v>340</v>
      </c>
      <c r="F25" s="80"/>
      <c r="G25" s="77"/>
      <c r="H25" s="81"/>
      <c r="I25" s="81"/>
      <c r="J25" s="69">
        <f>1150000+140000</f>
        <v>1290000</v>
      </c>
      <c r="K25" s="86"/>
      <c r="L25" s="69"/>
      <c r="M25" s="69"/>
      <c r="N25" s="69"/>
      <c r="O25" s="142">
        <f t="shared" si="0"/>
        <v>1290000</v>
      </c>
      <c r="P25" s="145">
        <v>3870000</v>
      </c>
      <c r="Q25" s="176">
        <f t="shared" si="1"/>
        <v>2580000</v>
      </c>
      <c r="S25" s="195"/>
      <c r="U25" s="195"/>
    </row>
    <row r="26" spans="1:21" ht="24.95" customHeight="1" x14ac:dyDescent="0.25">
      <c r="A26" s="75">
        <v>20</v>
      </c>
      <c r="B26" s="133">
        <v>42850</v>
      </c>
      <c r="C26" s="135" t="s">
        <v>1051</v>
      </c>
      <c r="D26" s="136" t="s">
        <v>1073</v>
      </c>
      <c r="E26" s="128" t="s">
        <v>1084</v>
      </c>
      <c r="F26" s="80"/>
      <c r="G26" s="77"/>
      <c r="H26" s="81"/>
      <c r="I26" s="81"/>
      <c r="J26" s="69">
        <f>1150000+140000</f>
        <v>1290000</v>
      </c>
      <c r="K26" s="86"/>
      <c r="L26" s="69"/>
      <c r="M26" s="69"/>
      <c r="N26" s="69"/>
      <c r="O26" s="142">
        <f t="shared" si="0"/>
        <v>1290000</v>
      </c>
      <c r="P26" s="145">
        <v>3750000</v>
      </c>
      <c r="Q26" s="176">
        <f t="shared" si="1"/>
        <v>2460000</v>
      </c>
      <c r="R26" s="196"/>
      <c r="S26" s="195"/>
      <c r="U26" s="195"/>
    </row>
    <row r="27" spans="1:21" ht="24.95" customHeight="1" x14ac:dyDescent="0.25">
      <c r="A27" s="75">
        <v>21</v>
      </c>
      <c r="B27" s="133">
        <v>42851</v>
      </c>
      <c r="C27" s="135" t="s">
        <v>1052</v>
      </c>
      <c r="D27" s="136" t="s">
        <v>1074</v>
      </c>
      <c r="E27" s="78" t="s">
        <v>566</v>
      </c>
      <c r="F27" s="80"/>
      <c r="G27" s="77">
        <v>280</v>
      </c>
      <c r="H27" s="81">
        <v>3866800</v>
      </c>
      <c r="I27" s="81"/>
      <c r="J27" s="69">
        <f>950000+665000+140000</f>
        <v>1755000</v>
      </c>
      <c r="K27" s="86"/>
      <c r="L27" s="69"/>
      <c r="M27" s="69"/>
      <c r="N27" s="69"/>
      <c r="O27" s="142">
        <f t="shared" si="0"/>
        <v>5621800</v>
      </c>
      <c r="P27" s="145">
        <v>3636364</v>
      </c>
      <c r="Q27" s="176">
        <f t="shared" si="1"/>
        <v>-1985436</v>
      </c>
      <c r="S27" s="195"/>
      <c r="U27" s="195"/>
    </row>
    <row r="28" spans="1:21" ht="24.95" customHeight="1" x14ac:dyDescent="0.25">
      <c r="A28" s="75">
        <v>22</v>
      </c>
      <c r="B28" s="133">
        <v>42852</v>
      </c>
      <c r="C28" s="135" t="s">
        <v>1053</v>
      </c>
      <c r="D28" s="136" t="s">
        <v>1074</v>
      </c>
      <c r="E28" s="78" t="s">
        <v>1085</v>
      </c>
      <c r="F28" s="80"/>
      <c r="G28" s="77"/>
      <c r="H28" s="81"/>
      <c r="I28" s="81"/>
      <c r="J28" s="69">
        <v>0</v>
      </c>
      <c r="K28" s="86"/>
      <c r="L28" s="69"/>
      <c r="M28" s="69"/>
      <c r="N28" s="69"/>
      <c r="O28" s="142">
        <f t="shared" si="0"/>
        <v>0</v>
      </c>
      <c r="P28" s="145">
        <v>2341818</v>
      </c>
      <c r="Q28" s="176">
        <f t="shared" si="1"/>
        <v>2341818</v>
      </c>
      <c r="S28" s="195"/>
      <c r="U28" s="195"/>
    </row>
    <row r="29" spans="1:21" ht="24.95" customHeight="1" x14ac:dyDescent="0.25">
      <c r="A29" s="75">
        <v>23</v>
      </c>
      <c r="B29" s="133">
        <v>42852</v>
      </c>
      <c r="C29" s="135" t="s">
        <v>1054</v>
      </c>
      <c r="D29" s="136" t="s">
        <v>1075</v>
      </c>
      <c r="E29" s="78" t="s">
        <v>1086</v>
      </c>
      <c r="F29" s="80"/>
      <c r="G29" s="77"/>
      <c r="H29" s="81"/>
      <c r="I29" s="81"/>
      <c r="J29" s="69">
        <f>1150000+400000+140000</f>
        <v>1690000</v>
      </c>
      <c r="K29" s="86"/>
      <c r="L29" s="69"/>
      <c r="M29" s="69"/>
      <c r="N29" s="69"/>
      <c r="O29" s="142">
        <f t="shared" si="0"/>
        <v>1690000</v>
      </c>
      <c r="P29" s="145">
        <v>5100000</v>
      </c>
      <c r="Q29" s="176">
        <f t="shared" si="1"/>
        <v>3410000</v>
      </c>
      <c r="S29" s="195"/>
      <c r="U29" s="195"/>
    </row>
    <row r="30" spans="1:21" ht="24.95" customHeight="1" x14ac:dyDescent="0.25">
      <c r="A30" s="75">
        <v>24</v>
      </c>
      <c r="B30" s="133">
        <v>42853</v>
      </c>
      <c r="C30" s="135" t="s">
        <v>1054</v>
      </c>
      <c r="D30" s="136" t="s">
        <v>1075</v>
      </c>
      <c r="E30" s="78" t="s">
        <v>1085</v>
      </c>
      <c r="F30" s="80"/>
      <c r="G30" s="77">
        <v>350</v>
      </c>
      <c r="H30" s="81">
        <v>4833500</v>
      </c>
      <c r="I30" s="81"/>
      <c r="J30" s="69">
        <v>0</v>
      </c>
      <c r="K30" s="86"/>
      <c r="L30" s="69"/>
      <c r="M30" s="69"/>
      <c r="N30" s="69"/>
      <c r="O30" s="142">
        <f t="shared" si="0"/>
        <v>4833500</v>
      </c>
      <c r="P30" s="145">
        <v>0</v>
      </c>
      <c r="Q30" s="176">
        <f t="shared" si="1"/>
        <v>-4833500</v>
      </c>
      <c r="U30" s="195"/>
    </row>
    <row r="31" spans="1:21" ht="24.95" customHeight="1" x14ac:dyDescent="0.25">
      <c r="A31" s="75">
        <v>25</v>
      </c>
      <c r="B31" s="133">
        <v>42853</v>
      </c>
      <c r="C31" s="135" t="s">
        <v>1055</v>
      </c>
      <c r="D31" s="136" t="s">
        <v>1098</v>
      </c>
      <c r="E31" s="78" t="s">
        <v>635</v>
      </c>
      <c r="F31" s="80"/>
      <c r="G31" s="77"/>
      <c r="H31" s="81"/>
      <c r="I31" s="81"/>
      <c r="J31" s="77">
        <f>1340000+140000</f>
        <v>1480000</v>
      </c>
      <c r="K31" s="86"/>
      <c r="L31" s="69"/>
      <c r="M31" s="69"/>
      <c r="N31" s="69"/>
      <c r="O31" s="142">
        <f t="shared" si="0"/>
        <v>1480000</v>
      </c>
      <c r="P31" s="145">
        <v>4700000</v>
      </c>
      <c r="Q31" s="176">
        <f t="shared" si="1"/>
        <v>3220000</v>
      </c>
      <c r="S31" s="195"/>
      <c r="U31" s="195"/>
    </row>
    <row r="32" spans="1:21" ht="24.95" customHeight="1" x14ac:dyDescent="0.25">
      <c r="A32" s="75"/>
      <c r="B32" s="133"/>
      <c r="C32" s="190"/>
      <c r="D32" s="191"/>
      <c r="E32" s="192"/>
      <c r="F32" s="193"/>
      <c r="G32" s="164"/>
      <c r="H32" s="155"/>
      <c r="I32" s="165"/>
      <c r="J32" s="194"/>
      <c r="K32" s="86"/>
      <c r="L32" s="156"/>
      <c r="M32" s="112"/>
      <c r="N32" s="112"/>
      <c r="O32" s="142">
        <f t="shared" si="0"/>
        <v>0</v>
      </c>
      <c r="P32" s="68"/>
      <c r="Q32" s="176">
        <f t="shared" si="1"/>
        <v>0</v>
      </c>
    </row>
    <row r="33" spans="1:17" ht="29.25" customHeight="1" x14ac:dyDescent="0.25">
      <c r="A33" s="75"/>
      <c r="B33" s="133"/>
      <c r="C33" s="183" t="s">
        <v>1087</v>
      </c>
      <c r="D33" s="162"/>
      <c r="E33" s="153"/>
      <c r="F33" s="163"/>
      <c r="G33" s="164"/>
      <c r="H33" s="155"/>
      <c r="I33" s="165"/>
      <c r="J33" s="166"/>
      <c r="K33" s="86"/>
      <c r="L33" s="156">
        <v>100000</v>
      </c>
      <c r="M33" s="112"/>
      <c r="N33" s="112"/>
      <c r="O33" s="142">
        <f t="shared" si="0"/>
        <v>100000</v>
      </c>
      <c r="P33" s="68"/>
      <c r="Q33" s="176">
        <f t="shared" si="1"/>
        <v>-100000</v>
      </c>
    </row>
    <row r="34" spans="1:17" ht="34.5" customHeight="1" x14ac:dyDescent="0.25">
      <c r="A34" s="75"/>
      <c r="B34" s="133"/>
      <c r="C34" s="183" t="s">
        <v>1099</v>
      </c>
      <c r="D34" s="162"/>
      <c r="E34" s="153"/>
      <c r="F34" s="163"/>
      <c r="G34" s="164"/>
      <c r="H34" s="155"/>
      <c r="I34" s="165"/>
      <c r="J34" s="166"/>
      <c r="K34" s="86"/>
      <c r="L34" s="156">
        <v>23600000</v>
      </c>
      <c r="M34" s="112"/>
      <c r="N34" s="112"/>
      <c r="O34" s="142">
        <f t="shared" si="0"/>
        <v>23600000</v>
      </c>
      <c r="P34" s="68"/>
      <c r="Q34" s="176">
        <f t="shared" si="1"/>
        <v>-23600000</v>
      </c>
    </row>
    <row r="35" spans="1:17" ht="34.5" customHeight="1" x14ac:dyDescent="0.25">
      <c r="A35" s="75"/>
      <c r="B35" s="133"/>
      <c r="C35" s="183" t="s">
        <v>1088</v>
      </c>
      <c r="D35" s="162"/>
      <c r="E35" s="153"/>
      <c r="F35" s="163"/>
      <c r="G35" s="164"/>
      <c r="H35" s="155"/>
      <c r="I35" s="165"/>
      <c r="J35" s="166"/>
      <c r="K35" s="86"/>
      <c r="L35" s="156">
        <v>1000000</v>
      </c>
      <c r="M35" s="112"/>
      <c r="N35" s="112"/>
      <c r="O35" s="142">
        <f t="shared" si="0"/>
        <v>1000000</v>
      </c>
      <c r="P35" s="68"/>
      <c r="Q35" s="176">
        <f t="shared" si="1"/>
        <v>-1000000</v>
      </c>
    </row>
    <row r="36" spans="1:17" ht="36" customHeight="1" x14ac:dyDescent="0.25">
      <c r="A36" s="75"/>
      <c r="B36" s="133"/>
      <c r="C36" s="183" t="s">
        <v>1089</v>
      </c>
      <c r="D36" s="162"/>
      <c r="E36" s="153"/>
      <c r="F36" s="163"/>
      <c r="G36" s="164"/>
      <c r="H36" s="155"/>
      <c r="I36" s="165"/>
      <c r="J36" s="166"/>
      <c r="K36" s="86"/>
      <c r="L36" s="156">
        <v>17540045</v>
      </c>
      <c r="M36" s="112"/>
      <c r="N36" s="112"/>
      <c r="O36" s="142">
        <f t="shared" si="0"/>
        <v>17540045</v>
      </c>
      <c r="P36" s="68"/>
      <c r="Q36" s="176">
        <f t="shared" si="1"/>
        <v>-17540045</v>
      </c>
    </row>
    <row r="37" spans="1:17" ht="39" customHeight="1" x14ac:dyDescent="0.25">
      <c r="A37" s="75"/>
      <c r="B37" s="133"/>
      <c r="C37" s="183" t="s">
        <v>1090</v>
      </c>
      <c r="D37" s="162"/>
      <c r="E37" s="153"/>
      <c r="F37" s="163"/>
      <c r="G37" s="164"/>
      <c r="H37" s="155"/>
      <c r="I37" s="165"/>
      <c r="J37" s="166"/>
      <c r="K37" s="86"/>
      <c r="L37" s="156">
        <v>17065000</v>
      </c>
      <c r="M37" s="112"/>
      <c r="N37" s="112"/>
      <c r="O37" s="142">
        <f t="shared" si="0"/>
        <v>17065000</v>
      </c>
      <c r="P37" s="68"/>
      <c r="Q37" s="176">
        <f t="shared" si="1"/>
        <v>-17065000</v>
      </c>
    </row>
    <row r="38" spans="1:17" ht="32.25" customHeight="1" x14ac:dyDescent="0.25">
      <c r="A38" s="75"/>
      <c r="B38" s="133"/>
      <c r="C38" s="183" t="s">
        <v>1091</v>
      </c>
      <c r="D38" s="162"/>
      <c r="E38" s="153"/>
      <c r="F38" s="163"/>
      <c r="G38" s="164"/>
      <c r="H38" s="155"/>
      <c r="I38" s="165"/>
      <c r="J38" s="166"/>
      <c r="K38" s="86"/>
      <c r="L38" s="156">
        <v>840000</v>
      </c>
      <c r="M38" s="112"/>
      <c r="N38" s="112"/>
      <c r="O38" s="142">
        <f t="shared" si="0"/>
        <v>840000</v>
      </c>
      <c r="P38" s="68"/>
      <c r="Q38" s="176">
        <f t="shared" si="1"/>
        <v>-840000</v>
      </c>
    </row>
    <row r="39" spans="1:17" ht="36.75" customHeight="1" x14ac:dyDescent="0.25">
      <c r="A39" s="75"/>
      <c r="B39" s="133"/>
      <c r="C39" s="183" t="s">
        <v>1092</v>
      </c>
      <c r="D39" s="162"/>
      <c r="E39" s="153"/>
      <c r="F39" s="163"/>
      <c r="G39" s="164"/>
      <c r="H39" s="155"/>
      <c r="I39" s="165"/>
      <c r="J39" s="166"/>
      <c r="K39" s="86"/>
      <c r="L39" s="156">
        <v>200000</v>
      </c>
      <c r="M39" s="112"/>
      <c r="N39" s="112"/>
      <c r="O39" s="142">
        <f t="shared" si="0"/>
        <v>200000</v>
      </c>
      <c r="P39" s="68"/>
      <c r="Q39" s="176">
        <f t="shared" si="1"/>
        <v>-200000</v>
      </c>
    </row>
    <row r="40" spans="1:17" ht="34.5" customHeight="1" x14ac:dyDescent="0.25">
      <c r="A40" s="75"/>
      <c r="B40" s="133"/>
      <c r="C40" s="183" t="s">
        <v>1093</v>
      </c>
      <c r="D40" s="162"/>
      <c r="E40" s="153"/>
      <c r="F40" s="163"/>
      <c r="G40" s="164"/>
      <c r="H40" s="155"/>
      <c r="I40" s="165"/>
      <c r="J40" s="166"/>
      <c r="K40" s="86"/>
      <c r="L40" s="156">
        <v>100000</v>
      </c>
      <c r="M40" s="112"/>
      <c r="N40" s="112"/>
      <c r="O40" s="142">
        <f t="shared" si="0"/>
        <v>100000</v>
      </c>
      <c r="P40" s="68"/>
      <c r="Q40" s="176">
        <f t="shared" si="1"/>
        <v>-100000</v>
      </c>
    </row>
    <row r="41" spans="1:17" ht="34.5" customHeight="1" x14ac:dyDescent="0.25">
      <c r="A41" s="75"/>
      <c r="B41" s="133"/>
      <c r="C41" s="183" t="s">
        <v>1094</v>
      </c>
      <c r="D41" s="162"/>
      <c r="E41" s="153"/>
      <c r="F41" s="163"/>
      <c r="G41" s="164"/>
      <c r="H41" s="155"/>
      <c r="I41" s="165"/>
      <c r="J41" s="166"/>
      <c r="K41" s="86"/>
      <c r="L41" s="156">
        <v>200000</v>
      </c>
      <c r="M41" s="112"/>
      <c r="N41" s="112"/>
      <c r="O41" s="142">
        <f t="shared" si="0"/>
        <v>200000</v>
      </c>
      <c r="P41" s="68"/>
      <c r="Q41" s="176">
        <f t="shared" si="1"/>
        <v>-200000</v>
      </c>
    </row>
    <row r="42" spans="1:17" ht="24.95" customHeight="1" x14ac:dyDescent="0.25">
      <c r="A42" s="75"/>
      <c r="B42" s="133"/>
      <c r="C42" s="170" t="s">
        <v>1095</v>
      </c>
      <c r="D42" s="162"/>
      <c r="E42" s="153"/>
      <c r="F42" s="163"/>
      <c r="G42" s="164"/>
      <c r="H42" s="155"/>
      <c r="I42" s="165"/>
      <c r="J42" s="166"/>
      <c r="K42" s="86"/>
      <c r="L42" s="156">
        <v>1320000</v>
      </c>
      <c r="M42" s="112"/>
      <c r="N42" s="112"/>
      <c r="O42" s="142">
        <f t="shared" si="0"/>
        <v>1320000</v>
      </c>
      <c r="P42" s="68"/>
      <c r="Q42" s="176">
        <f t="shared" si="1"/>
        <v>-1320000</v>
      </c>
    </row>
    <row r="43" spans="1:17" ht="24.95" customHeight="1" x14ac:dyDescent="0.25">
      <c r="A43" s="75"/>
      <c r="B43" s="70"/>
      <c r="C43" s="108" t="s">
        <v>1096</v>
      </c>
      <c r="D43" s="87"/>
      <c r="E43" s="70"/>
      <c r="F43" s="110"/>
      <c r="G43" s="70"/>
      <c r="H43" s="81"/>
      <c r="I43" s="111"/>
      <c r="J43" s="112"/>
      <c r="K43" s="113">
        <v>9500000</v>
      </c>
      <c r="L43" s="141"/>
      <c r="M43" s="112"/>
      <c r="N43" s="112"/>
      <c r="O43" s="142">
        <f t="shared" si="0"/>
        <v>9500000</v>
      </c>
      <c r="P43" s="68"/>
      <c r="Q43" s="176">
        <f t="shared" si="1"/>
        <v>-9500000</v>
      </c>
    </row>
    <row r="44" spans="1:17" x14ac:dyDescent="0.25">
      <c r="A44" s="547" t="s">
        <v>19</v>
      </c>
      <c r="B44" s="548"/>
      <c r="C44" s="548"/>
      <c r="D44" s="548"/>
      <c r="E44" s="548"/>
      <c r="F44" s="549"/>
      <c r="G44" s="89">
        <f t="shared" ref="G44:Q44" si="2">SUM(G7:G43)</f>
        <v>3113</v>
      </c>
      <c r="H44" s="71">
        <f t="shared" si="2"/>
        <v>42504790</v>
      </c>
      <c r="I44" s="71">
        <f t="shared" si="2"/>
        <v>0</v>
      </c>
      <c r="J44" s="71">
        <f t="shared" si="2"/>
        <v>33645000</v>
      </c>
      <c r="K44" s="71">
        <f t="shared" si="2"/>
        <v>9500000</v>
      </c>
      <c r="L44" s="71">
        <f t="shared" si="2"/>
        <v>61965045</v>
      </c>
      <c r="M44" s="71">
        <f t="shared" si="2"/>
        <v>0</v>
      </c>
      <c r="N44" s="71">
        <f t="shared" si="2"/>
        <v>0</v>
      </c>
      <c r="O44" s="71">
        <f t="shared" si="2"/>
        <v>147614835</v>
      </c>
      <c r="P44" s="71">
        <f t="shared" si="2"/>
        <v>120871818</v>
      </c>
      <c r="Q44" s="71">
        <f t="shared" si="2"/>
        <v>-26743017</v>
      </c>
    </row>
    <row r="45" spans="1:17" x14ac:dyDescent="0.25">
      <c r="P45" t="s">
        <v>1100</v>
      </c>
      <c r="Q45" s="202">
        <f>'03-2017'!Q42+'04-2017'!Q44</f>
        <v>17505078</v>
      </c>
    </row>
  </sheetData>
  <mergeCells count="5">
    <mergeCell ref="A1:Q1"/>
    <mergeCell ref="A2:Q2"/>
    <mergeCell ref="A3:Q3"/>
    <mergeCell ref="G5:N5"/>
    <mergeCell ref="A44:F44"/>
  </mergeCells>
  <pageMargins left="0.7" right="0.7" top="0.75" bottom="0.75"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47"/>
  <sheetViews>
    <sheetView topLeftCell="C37" workbookViewId="0">
      <selection activeCell="Q48" sqref="Q48"/>
    </sheetView>
  </sheetViews>
  <sheetFormatPr defaultRowHeight="15" x14ac:dyDescent="0.25"/>
  <cols>
    <col min="3" max="3" width="33" customWidth="1"/>
    <col min="4" max="4" width="13.5703125" customWidth="1"/>
    <col min="5" max="5" width="30.28515625" customWidth="1"/>
    <col min="15" max="15" width="11.5703125" customWidth="1"/>
    <col min="16" max="16" width="12.5703125" customWidth="1"/>
    <col min="17" max="17" width="11" customWidth="1"/>
    <col min="19" max="19" width="13.5703125" customWidth="1"/>
  </cols>
  <sheetData>
    <row r="1" spans="1:21" ht="23.25" x14ac:dyDescent="0.25">
      <c r="A1" s="551" t="s">
        <v>0</v>
      </c>
      <c r="B1" s="551"/>
      <c r="C1" s="551"/>
      <c r="D1" s="551"/>
      <c r="E1" s="551"/>
      <c r="F1" s="551"/>
      <c r="G1" s="551"/>
      <c r="H1" s="551"/>
      <c r="I1" s="551"/>
      <c r="J1" s="551"/>
      <c r="K1" s="551"/>
      <c r="L1" s="551"/>
      <c r="M1" s="551"/>
      <c r="N1" s="551"/>
      <c r="O1" s="551"/>
      <c r="P1" s="551"/>
      <c r="Q1" s="551"/>
    </row>
    <row r="2" spans="1:21" ht="15.75" x14ac:dyDescent="0.25">
      <c r="A2" s="550" t="s">
        <v>103</v>
      </c>
      <c r="B2" s="550"/>
      <c r="C2" s="550"/>
      <c r="D2" s="550"/>
      <c r="E2" s="550"/>
      <c r="F2" s="550"/>
      <c r="G2" s="550"/>
      <c r="H2" s="550"/>
      <c r="I2" s="550"/>
      <c r="J2" s="550"/>
      <c r="K2" s="550"/>
      <c r="L2" s="550"/>
      <c r="M2" s="550"/>
      <c r="N2" s="550"/>
      <c r="O2" s="550"/>
      <c r="P2" s="550"/>
      <c r="Q2" s="550"/>
    </row>
    <row r="3" spans="1:21" ht="15.75" x14ac:dyDescent="0.25">
      <c r="A3" s="550" t="s">
        <v>1101</v>
      </c>
      <c r="B3" s="550"/>
      <c r="C3" s="550"/>
      <c r="D3" s="550"/>
      <c r="E3" s="550"/>
      <c r="F3" s="550"/>
      <c r="G3" s="550"/>
      <c r="H3" s="550"/>
      <c r="I3" s="550"/>
      <c r="J3" s="550"/>
      <c r="K3" s="550"/>
      <c r="L3" s="550"/>
      <c r="M3" s="550"/>
      <c r="N3" s="550"/>
      <c r="O3" s="550"/>
      <c r="P3" s="550"/>
      <c r="Q3" s="550"/>
    </row>
    <row r="4" spans="1:21" x14ac:dyDescent="0.25">
      <c r="A4" s="74"/>
      <c r="B4" s="99"/>
      <c r="C4" s="74"/>
      <c r="D4" s="74"/>
      <c r="E4" s="74" t="s">
        <v>194</v>
      </c>
      <c r="F4" s="74"/>
      <c r="G4" s="74"/>
      <c r="H4" s="72"/>
      <c r="I4" s="74"/>
      <c r="J4" s="72"/>
      <c r="K4" s="72"/>
      <c r="L4" s="72"/>
      <c r="M4" s="72"/>
      <c r="N4" s="72"/>
      <c r="O4" s="72"/>
      <c r="P4" s="72"/>
      <c r="Q4" s="72"/>
    </row>
    <row r="5" spans="1:21" ht="25.5" x14ac:dyDescent="0.25">
      <c r="A5" s="177" t="s">
        <v>1</v>
      </c>
      <c r="B5" s="178" t="s">
        <v>2</v>
      </c>
      <c r="C5" s="177" t="s">
        <v>3</v>
      </c>
      <c r="D5" s="177" t="s">
        <v>5</v>
      </c>
      <c r="E5" s="174" t="s">
        <v>4</v>
      </c>
      <c r="F5" s="174" t="s">
        <v>17</v>
      </c>
      <c r="G5" s="552" t="s">
        <v>6</v>
      </c>
      <c r="H5" s="553"/>
      <c r="I5" s="553"/>
      <c r="J5" s="553"/>
      <c r="K5" s="553"/>
      <c r="L5" s="553"/>
      <c r="M5" s="553"/>
      <c r="N5" s="554"/>
      <c r="O5" s="127" t="s">
        <v>18</v>
      </c>
      <c r="P5" s="127" t="s">
        <v>13</v>
      </c>
      <c r="Q5" s="127" t="s">
        <v>14</v>
      </c>
    </row>
    <row r="6" spans="1:21" x14ac:dyDescent="0.25">
      <c r="A6" s="179"/>
      <c r="B6" s="180"/>
      <c r="C6" s="179"/>
      <c r="D6" s="179"/>
      <c r="E6" s="175"/>
      <c r="F6" s="175"/>
      <c r="G6" s="6" t="s">
        <v>7</v>
      </c>
      <c r="H6" s="7" t="s">
        <v>15</v>
      </c>
      <c r="I6" s="6" t="s">
        <v>16</v>
      </c>
      <c r="J6" s="7" t="s">
        <v>8</v>
      </c>
      <c r="K6" s="7" t="s">
        <v>9</v>
      </c>
      <c r="L6" s="7" t="s">
        <v>10</v>
      </c>
      <c r="M6" s="7" t="s">
        <v>11</v>
      </c>
      <c r="N6" s="7" t="s">
        <v>12</v>
      </c>
      <c r="O6" s="181"/>
      <c r="P6" s="181"/>
      <c r="Q6" s="181"/>
    </row>
    <row r="7" spans="1:21" x14ac:dyDescent="0.25">
      <c r="A7" s="75"/>
      <c r="B7" s="100"/>
      <c r="C7" s="88"/>
      <c r="D7" s="88"/>
      <c r="E7" s="134"/>
      <c r="F7" s="75"/>
      <c r="G7" s="77"/>
      <c r="H7" s="68"/>
      <c r="I7" s="75"/>
      <c r="J7" s="68"/>
      <c r="K7" s="68"/>
      <c r="L7" s="68"/>
      <c r="M7" s="68"/>
      <c r="N7" s="68"/>
      <c r="O7" s="68">
        <f>H7+J7+K7+L7+M7+N7</f>
        <v>0</v>
      </c>
      <c r="P7" s="144"/>
      <c r="Q7" s="68">
        <f>P7-O7</f>
        <v>0</v>
      </c>
    </row>
    <row r="8" spans="1:21" ht="24.95" customHeight="1" x14ac:dyDescent="0.25">
      <c r="A8" s="75">
        <v>1</v>
      </c>
      <c r="B8" s="133">
        <v>42857</v>
      </c>
      <c r="C8" s="135" t="s">
        <v>1111</v>
      </c>
      <c r="D8" s="136" t="s">
        <v>1127</v>
      </c>
      <c r="E8" s="78" t="s">
        <v>155</v>
      </c>
      <c r="F8" s="80"/>
      <c r="G8" s="77"/>
      <c r="H8" s="81"/>
      <c r="I8" s="81"/>
      <c r="J8" s="69">
        <f>1340000+140000</f>
        <v>1480000</v>
      </c>
      <c r="K8" s="86"/>
      <c r="L8" s="69"/>
      <c r="M8" s="69"/>
      <c r="N8" s="69"/>
      <c r="O8" s="142">
        <f>H8+J8+K8+L8+M8+N8</f>
        <v>1480000</v>
      </c>
      <c r="P8" s="145">
        <v>4700000</v>
      </c>
      <c r="Q8" s="176">
        <f>P8-O8</f>
        <v>3220000</v>
      </c>
      <c r="S8" s="195"/>
      <c r="U8" s="195"/>
    </row>
    <row r="9" spans="1:21" ht="24.95" customHeight="1" x14ac:dyDescent="0.25">
      <c r="A9" s="75">
        <v>2</v>
      </c>
      <c r="B9" s="133">
        <v>42858</v>
      </c>
      <c r="C9" s="135" t="s">
        <v>1102</v>
      </c>
      <c r="D9" s="136" t="s">
        <v>1128</v>
      </c>
      <c r="E9" s="78" t="s">
        <v>1148</v>
      </c>
      <c r="F9" s="80"/>
      <c r="G9" s="77">
        <v>255</v>
      </c>
      <c r="H9" s="81">
        <v>3521550</v>
      </c>
      <c r="I9" s="81"/>
      <c r="J9" s="189">
        <f>1600000+140000</f>
        <v>1740000</v>
      </c>
      <c r="K9" s="86"/>
      <c r="L9" s="69"/>
      <c r="M9" s="69"/>
      <c r="N9" s="69"/>
      <c r="O9" s="142">
        <f t="shared" ref="O9:O45" si="0">H9+J9+K9+L9+M9+N9</f>
        <v>5261550</v>
      </c>
      <c r="P9" s="145">
        <v>5370000</v>
      </c>
      <c r="Q9" s="176">
        <f t="shared" ref="Q9:Q45" si="1">P9-O9</f>
        <v>108450</v>
      </c>
      <c r="S9" s="195"/>
      <c r="U9" s="195"/>
    </row>
    <row r="10" spans="1:21" ht="24.95" customHeight="1" x14ac:dyDescent="0.25">
      <c r="A10" s="75">
        <v>3</v>
      </c>
      <c r="B10" s="133">
        <v>42859</v>
      </c>
      <c r="C10" s="135" t="s">
        <v>1103</v>
      </c>
      <c r="D10" s="136" t="s">
        <v>1129</v>
      </c>
      <c r="E10" s="78" t="s">
        <v>1149</v>
      </c>
      <c r="F10" s="80"/>
      <c r="G10" s="77"/>
      <c r="H10" s="81"/>
      <c r="I10" s="81"/>
      <c r="J10" s="69">
        <f>1600000+140000</f>
        <v>1740000</v>
      </c>
      <c r="K10" s="86"/>
      <c r="L10" s="69"/>
      <c r="M10" s="69"/>
      <c r="N10" s="69"/>
      <c r="O10" s="142">
        <f t="shared" si="0"/>
        <v>1740000</v>
      </c>
      <c r="P10" s="145">
        <v>5170000</v>
      </c>
      <c r="Q10" s="176">
        <f t="shared" si="1"/>
        <v>3430000</v>
      </c>
      <c r="S10" s="195"/>
      <c r="U10" s="195"/>
    </row>
    <row r="11" spans="1:21" ht="24.95" customHeight="1" x14ac:dyDescent="0.25">
      <c r="A11" s="75">
        <v>4</v>
      </c>
      <c r="B11" s="133">
        <v>42860</v>
      </c>
      <c r="C11" s="135" t="s">
        <v>1112</v>
      </c>
      <c r="D11" s="136" t="s">
        <v>1130</v>
      </c>
      <c r="E11" s="78" t="s">
        <v>1150</v>
      </c>
      <c r="F11" s="80"/>
      <c r="G11" s="77">
        <v>290</v>
      </c>
      <c r="H11" s="81">
        <v>3944000</v>
      </c>
      <c r="I11" s="81"/>
      <c r="J11" s="69">
        <f>1600000+140000</f>
        <v>1740000</v>
      </c>
      <c r="K11" s="86"/>
      <c r="L11" s="69"/>
      <c r="M11" s="69"/>
      <c r="N11" s="69"/>
      <c r="O11" s="142">
        <f t="shared" si="0"/>
        <v>5684000</v>
      </c>
      <c r="P11" s="145">
        <v>5100000</v>
      </c>
      <c r="Q11" s="176">
        <f t="shared" si="1"/>
        <v>-584000</v>
      </c>
      <c r="S11" s="195"/>
      <c r="U11" s="195"/>
    </row>
    <row r="12" spans="1:21" ht="24.95" customHeight="1" x14ac:dyDescent="0.25">
      <c r="A12" s="75">
        <v>5</v>
      </c>
      <c r="B12" s="133">
        <v>42863</v>
      </c>
      <c r="C12" s="135" t="s">
        <v>1113</v>
      </c>
      <c r="D12" s="136" t="s">
        <v>1131</v>
      </c>
      <c r="E12" s="78" t="s">
        <v>1151</v>
      </c>
      <c r="F12" s="80"/>
      <c r="G12" s="77"/>
      <c r="H12" s="81"/>
      <c r="I12" s="81"/>
      <c r="J12" s="69">
        <f>1150000+140000</f>
        <v>1290000</v>
      </c>
      <c r="K12" s="86"/>
      <c r="L12" s="69"/>
      <c r="M12" s="69"/>
      <c r="N12" s="69"/>
      <c r="O12" s="142">
        <f t="shared" si="0"/>
        <v>1290000</v>
      </c>
      <c r="P12" s="145">
        <v>3600000</v>
      </c>
      <c r="Q12" s="176">
        <f t="shared" si="1"/>
        <v>2310000</v>
      </c>
      <c r="S12" s="195"/>
      <c r="U12" s="195"/>
    </row>
    <row r="13" spans="1:21" ht="24.95" customHeight="1" x14ac:dyDescent="0.25">
      <c r="A13" s="75">
        <v>6</v>
      </c>
      <c r="B13" s="133">
        <v>42863</v>
      </c>
      <c r="C13" s="135" t="s">
        <v>1114</v>
      </c>
      <c r="D13" s="136" t="s">
        <v>1132</v>
      </c>
      <c r="E13" s="78" t="s">
        <v>774</v>
      </c>
      <c r="F13" s="80"/>
      <c r="G13" s="77"/>
      <c r="H13" s="81"/>
      <c r="I13" s="81"/>
      <c r="J13" s="69">
        <f>1200000+140000</f>
        <v>1340000</v>
      </c>
      <c r="K13" s="86"/>
      <c r="L13" s="69"/>
      <c r="M13" s="69"/>
      <c r="N13" s="69"/>
      <c r="O13" s="142">
        <f t="shared" si="0"/>
        <v>1340000</v>
      </c>
      <c r="P13" s="145">
        <v>4500000</v>
      </c>
      <c r="Q13" s="176">
        <f t="shared" si="1"/>
        <v>3160000</v>
      </c>
      <c r="S13" s="195"/>
      <c r="U13" s="195"/>
    </row>
    <row r="14" spans="1:21" ht="24.95" customHeight="1" x14ac:dyDescent="0.25">
      <c r="A14" s="75">
        <v>7</v>
      </c>
      <c r="B14" s="133">
        <v>42864</v>
      </c>
      <c r="C14" s="135" t="s">
        <v>1115</v>
      </c>
      <c r="D14" s="136" t="s">
        <v>1133</v>
      </c>
      <c r="E14" s="78" t="s">
        <v>770</v>
      </c>
      <c r="F14" s="80"/>
      <c r="G14" s="77">
        <v>350</v>
      </c>
      <c r="H14" s="81">
        <v>4760000</v>
      </c>
      <c r="I14" s="81"/>
      <c r="J14" s="69">
        <f>950000+800000+140000</f>
        <v>1890000</v>
      </c>
      <c r="K14" s="86"/>
      <c r="L14" s="69"/>
      <c r="M14" s="69"/>
      <c r="N14" s="69"/>
      <c r="O14" s="142">
        <f t="shared" si="0"/>
        <v>6650000</v>
      </c>
      <c r="P14" s="145">
        <v>3909091</v>
      </c>
      <c r="Q14" s="176">
        <f t="shared" si="1"/>
        <v>-2740909</v>
      </c>
      <c r="S14" s="195"/>
      <c r="U14" s="195"/>
    </row>
    <row r="15" spans="1:21" ht="24.95" customHeight="1" x14ac:dyDescent="0.25">
      <c r="A15" s="75">
        <v>8</v>
      </c>
      <c r="B15" s="133">
        <v>42865</v>
      </c>
      <c r="C15" s="135" t="s">
        <v>1116</v>
      </c>
      <c r="D15" s="136" t="s">
        <v>1133</v>
      </c>
      <c r="E15" s="78" t="s">
        <v>1152</v>
      </c>
      <c r="F15" s="80"/>
      <c r="G15" s="77"/>
      <c r="H15" s="81"/>
      <c r="I15" s="81"/>
      <c r="J15" s="69">
        <v>0</v>
      </c>
      <c r="K15" s="86"/>
      <c r="L15" s="69"/>
      <c r="M15" s="69"/>
      <c r="N15" s="69"/>
      <c r="O15" s="142">
        <f t="shared" si="0"/>
        <v>0</v>
      </c>
      <c r="P15" s="145">
        <v>2201818</v>
      </c>
      <c r="Q15" s="176">
        <f t="shared" si="1"/>
        <v>2201818</v>
      </c>
      <c r="S15" s="195"/>
      <c r="U15" s="195"/>
    </row>
    <row r="16" spans="1:21" ht="24.95" customHeight="1" x14ac:dyDescent="0.25">
      <c r="A16" s="75">
        <v>9</v>
      </c>
      <c r="B16" s="133">
        <v>42866</v>
      </c>
      <c r="C16" s="135" t="s">
        <v>1117</v>
      </c>
      <c r="D16" s="136" t="s">
        <v>1134</v>
      </c>
      <c r="E16" s="78" t="s">
        <v>705</v>
      </c>
      <c r="F16" s="80"/>
      <c r="G16" s="77"/>
      <c r="H16" s="81"/>
      <c r="I16" s="81"/>
      <c r="J16" s="69">
        <f>790000+600000+140000</f>
        <v>1530000</v>
      </c>
      <c r="K16" s="86"/>
      <c r="L16" s="69"/>
      <c r="M16" s="69"/>
      <c r="N16" s="69"/>
      <c r="O16" s="142">
        <f t="shared" si="0"/>
        <v>1530000</v>
      </c>
      <c r="P16" s="145">
        <v>3527273</v>
      </c>
      <c r="Q16" s="176">
        <f t="shared" si="1"/>
        <v>1997273</v>
      </c>
      <c r="S16" s="195"/>
      <c r="U16" s="195"/>
    </row>
    <row r="17" spans="1:21" ht="24.95" customHeight="1" x14ac:dyDescent="0.25">
      <c r="A17" s="75">
        <v>10</v>
      </c>
      <c r="B17" s="133">
        <v>42866</v>
      </c>
      <c r="C17" s="135" t="s">
        <v>1118</v>
      </c>
      <c r="D17" s="136" t="s">
        <v>1134</v>
      </c>
      <c r="E17" s="78" t="s">
        <v>1109</v>
      </c>
      <c r="F17" s="80"/>
      <c r="G17" s="77"/>
      <c r="H17" s="81"/>
      <c r="I17" s="81"/>
      <c r="J17" s="69">
        <v>0</v>
      </c>
      <c r="K17" s="86"/>
      <c r="L17" s="69"/>
      <c r="M17" s="69"/>
      <c r="N17" s="69"/>
      <c r="O17" s="142">
        <f t="shared" si="0"/>
        <v>0</v>
      </c>
      <c r="P17" s="145">
        <v>4790909</v>
      </c>
      <c r="Q17" s="176">
        <f t="shared" si="1"/>
        <v>4790909</v>
      </c>
      <c r="S17" s="195"/>
      <c r="U17" s="195"/>
    </row>
    <row r="18" spans="1:21" ht="24.95" customHeight="1" x14ac:dyDescent="0.25">
      <c r="A18" s="75">
        <v>11</v>
      </c>
      <c r="B18" s="133">
        <v>42868</v>
      </c>
      <c r="C18" s="135" t="s">
        <v>1104</v>
      </c>
      <c r="D18" s="136" t="s">
        <v>1135</v>
      </c>
      <c r="E18" s="78" t="s">
        <v>1110</v>
      </c>
      <c r="F18" s="80"/>
      <c r="G18" s="77">
        <v>360</v>
      </c>
      <c r="H18" s="81">
        <v>4896000</v>
      </c>
      <c r="I18" s="81"/>
      <c r="J18" s="69">
        <f>850000+140000</f>
        <v>990000</v>
      </c>
      <c r="K18" s="86"/>
      <c r="L18" s="69"/>
      <c r="M18" s="69"/>
      <c r="N18" s="69"/>
      <c r="O18" s="142">
        <f t="shared" si="0"/>
        <v>5886000</v>
      </c>
      <c r="P18" s="145">
        <v>2800000</v>
      </c>
      <c r="Q18" s="176">
        <f t="shared" si="1"/>
        <v>-3086000</v>
      </c>
      <c r="S18" s="195"/>
      <c r="U18" s="195"/>
    </row>
    <row r="19" spans="1:21" ht="24.95" customHeight="1" x14ac:dyDescent="0.25">
      <c r="A19" s="75">
        <v>12</v>
      </c>
      <c r="B19" s="133">
        <v>42869</v>
      </c>
      <c r="C19" s="135" t="s">
        <v>1119</v>
      </c>
      <c r="D19" s="136" t="s">
        <v>1136</v>
      </c>
      <c r="E19" s="78" t="s">
        <v>705</v>
      </c>
      <c r="F19" s="80"/>
      <c r="G19" s="77"/>
      <c r="H19" s="81"/>
      <c r="I19" s="81"/>
      <c r="J19" s="69">
        <f>790000+140000</f>
        <v>930000</v>
      </c>
      <c r="K19" s="86"/>
      <c r="L19" s="69"/>
      <c r="M19" s="69"/>
      <c r="N19" s="69"/>
      <c r="O19" s="142">
        <f t="shared" si="0"/>
        <v>930000</v>
      </c>
      <c r="P19" s="145">
        <v>3590909</v>
      </c>
      <c r="Q19" s="176">
        <f t="shared" si="1"/>
        <v>2660909</v>
      </c>
      <c r="S19" s="195"/>
      <c r="U19" s="195"/>
    </row>
    <row r="20" spans="1:21" ht="24.95" customHeight="1" x14ac:dyDescent="0.25">
      <c r="A20" s="75">
        <v>13</v>
      </c>
      <c r="B20" s="133">
        <v>42870</v>
      </c>
      <c r="C20" s="135" t="s">
        <v>1105</v>
      </c>
      <c r="D20" s="136" t="s">
        <v>1137</v>
      </c>
      <c r="E20" s="78" t="s">
        <v>1153</v>
      </c>
      <c r="F20" s="80"/>
      <c r="G20" s="77"/>
      <c r="H20" s="81"/>
      <c r="I20" s="81"/>
      <c r="J20" s="69">
        <f>1600000+140000</f>
        <v>1740000</v>
      </c>
      <c r="K20" s="86"/>
      <c r="L20" s="69"/>
      <c r="M20" s="69"/>
      <c r="N20" s="69"/>
      <c r="O20" s="142">
        <f t="shared" si="0"/>
        <v>1740000</v>
      </c>
      <c r="P20" s="145">
        <v>6300000</v>
      </c>
      <c r="Q20" s="176">
        <f t="shared" si="1"/>
        <v>4560000</v>
      </c>
      <c r="S20" s="195"/>
      <c r="U20" s="195"/>
    </row>
    <row r="21" spans="1:21" ht="24.95" customHeight="1" x14ac:dyDescent="0.25">
      <c r="A21" s="75">
        <v>14</v>
      </c>
      <c r="B21" s="133">
        <v>42872</v>
      </c>
      <c r="C21" s="135" t="s">
        <v>1120</v>
      </c>
      <c r="D21" s="136" t="s">
        <v>1138</v>
      </c>
      <c r="E21" s="78" t="s">
        <v>1154</v>
      </c>
      <c r="F21" s="80"/>
      <c r="G21" s="77">
        <v>330</v>
      </c>
      <c r="H21" s="81">
        <v>4488000</v>
      </c>
      <c r="I21" s="81"/>
      <c r="J21" s="69">
        <f>1600000+140000</f>
        <v>1740000</v>
      </c>
      <c r="K21" s="86"/>
      <c r="L21" s="69"/>
      <c r="M21" s="69"/>
      <c r="N21" s="69"/>
      <c r="O21" s="142">
        <f t="shared" si="0"/>
        <v>6228000</v>
      </c>
      <c r="P21" s="145">
        <v>5170000</v>
      </c>
      <c r="Q21" s="176">
        <f t="shared" si="1"/>
        <v>-1058000</v>
      </c>
      <c r="S21" s="195"/>
      <c r="U21" s="195"/>
    </row>
    <row r="22" spans="1:21" ht="24.95" customHeight="1" x14ac:dyDescent="0.25">
      <c r="A22" s="75">
        <v>15</v>
      </c>
      <c r="B22" s="133">
        <v>42873</v>
      </c>
      <c r="C22" s="135" t="s">
        <v>362</v>
      </c>
      <c r="D22" s="136" t="s">
        <v>1139</v>
      </c>
      <c r="E22" s="78" t="s">
        <v>1155</v>
      </c>
      <c r="F22" s="80"/>
      <c r="G22" s="77"/>
      <c r="H22" s="81"/>
      <c r="I22" s="81"/>
      <c r="J22" s="69">
        <f>1600000+140000</f>
        <v>1740000</v>
      </c>
      <c r="K22" s="86"/>
      <c r="L22" s="69"/>
      <c r="M22" s="69"/>
      <c r="N22" s="69"/>
      <c r="O22" s="142">
        <f t="shared" si="0"/>
        <v>1740000</v>
      </c>
      <c r="P22" s="145">
        <v>5370000</v>
      </c>
      <c r="Q22" s="176">
        <f t="shared" si="1"/>
        <v>3630000</v>
      </c>
      <c r="S22" s="195"/>
      <c r="U22" s="195"/>
    </row>
    <row r="23" spans="1:21" ht="24.95" customHeight="1" x14ac:dyDescent="0.25">
      <c r="A23" s="75">
        <v>16</v>
      </c>
      <c r="B23" s="133">
        <v>42874</v>
      </c>
      <c r="C23" s="135" t="s">
        <v>1106</v>
      </c>
      <c r="D23" s="136" t="s">
        <v>1140</v>
      </c>
      <c r="E23" s="78" t="s">
        <v>1110</v>
      </c>
      <c r="F23" s="80"/>
      <c r="G23" s="77"/>
      <c r="H23" s="81"/>
      <c r="I23" s="81"/>
      <c r="J23" s="69">
        <f>850000+140000</f>
        <v>990000</v>
      </c>
      <c r="K23" s="86"/>
      <c r="L23" s="69"/>
      <c r="M23" s="69"/>
      <c r="N23" s="69"/>
      <c r="O23" s="142">
        <f t="shared" si="0"/>
        <v>990000</v>
      </c>
      <c r="P23" s="145">
        <v>2800000</v>
      </c>
      <c r="Q23" s="176">
        <f t="shared" si="1"/>
        <v>1810000</v>
      </c>
      <c r="S23" s="195"/>
      <c r="U23" s="195"/>
    </row>
    <row r="24" spans="1:21" ht="24.95" customHeight="1" x14ac:dyDescent="0.25">
      <c r="A24" s="75">
        <v>17</v>
      </c>
      <c r="B24" s="133">
        <v>42875</v>
      </c>
      <c r="C24" s="135" t="s">
        <v>1107</v>
      </c>
      <c r="D24" s="136" t="s">
        <v>1141</v>
      </c>
      <c r="E24" s="78" t="s">
        <v>21</v>
      </c>
      <c r="F24" s="80"/>
      <c r="G24" s="77">
        <v>350</v>
      </c>
      <c r="H24" s="81">
        <v>4641000</v>
      </c>
      <c r="I24" s="81"/>
      <c r="J24" s="69">
        <f>2920000+140000</f>
        <v>3060000</v>
      </c>
      <c r="K24" s="86"/>
      <c r="L24" s="69"/>
      <c r="M24" s="69"/>
      <c r="N24" s="69"/>
      <c r="O24" s="142">
        <f t="shared" si="0"/>
        <v>7701000</v>
      </c>
      <c r="P24" s="145">
        <v>12181818</v>
      </c>
      <c r="Q24" s="176">
        <f t="shared" si="1"/>
        <v>4480818</v>
      </c>
      <c r="S24" s="195"/>
      <c r="U24" s="195"/>
    </row>
    <row r="25" spans="1:21" ht="24.95" customHeight="1" x14ac:dyDescent="0.25">
      <c r="A25" s="75">
        <v>18</v>
      </c>
      <c r="B25" s="133">
        <v>42877</v>
      </c>
      <c r="C25" s="135" t="s">
        <v>1121</v>
      </c>
      <c r="D25" s="136" t="s">
        <v>1142</v>
      </c>
      <c r="E25" s="78" t="s">
        <v>24</v>
      </c>
      <c r="F25" s="80"/>
      <c r="G25" s="77">
        <v>230</v>
      </c>
      <c r="H25" s="81">
        <v>3049800</v>
      </c>
      <c r="I25" s="81"/>
      <c r="J25" s="69">
        <f>1910000+140000</f>
        <v>2050000</v>
      </c>
      <c r="K25" s="86"/>
      <c r="L25" s="69"/>
      <c r="M25" s="69"/>
      <c r="N25" s="69"/>
      <c r="O25" s="142">
        <f t="shared" si="0"/>
        <v>5099800</v>
      </c>
      <c r="P25" s="145">
        <v>8181818</v>
      </c>
      <c r="Q25" s="176">
        <f t="shared" si="1"/>
        <v>3082018</v>
      </c>
      <c r="S25" s="195"/>
      <c r="U25" s="195"/>
    </row>
    <row r="26" spans="1:21" ht="24.95" customHeight="1" x14ac:dyDescent="0.25">
      <c r="A26" s="75">
        <v>19</v>
      </c>
      <c r="B26" s="133">
        <v>42879</v>
      </c>
      <c r="C26" s="135" t="s">
        <v>368</v>
      </c>
      <c r="D26" s="136" t="s">
        <v>406</v>
      </c>
      <c r="E26" s="78" t="s">
        <v>1156</v>
      </c>
      <c r="F26" s="80"/>
      <c r="G26" s="77"/>
      <c r="H26" s="81"/>
      <c r="I26" s="81"/>
      <c r="J26" s="69">
        <v>1600000</v>
      </c>
      <c r="K26" s="86"/>
      <c r="L26" s="69"/>
      <c r="M26" s="69"/>
      <c r="N26" s="69"/>
      <c r="O26" s="142">
        <f t="shared" si="0"/>
        <v>1600000</v>
      </c>
      <c r="P26" s="145">
        <v>5370000</v>
      </c>
      <c r="Q26" s="176">
        <f t="shared" si="1"/>
        <v>3770000</v>
      </c>
      <c r="S26" s="195"/>
      <c r="U26" s="195"/>
    </row>
    <row r="27" spans="1:21" ht="24.95" customHeight="1" x14ac:dyDescent="0.25">
      <c r="A27" s="75">
        <v>20</v>
      </c>
      <c r="B27" s="133">
        <v>42879</v>
      </c>
      <c r="C27" s="135" t="s">
        <v>1122</v>
      </c>
      <c r="D27" s="136" t="s">
        <v>1143</v>
      </c>
      <c r="E27" s="78" t="s">
        <v>1157</v>
      </c>
      <c r="F27" s="80"/>
      <c r="G27" s="77">
        <v>330</v>
      </c>
      <c r="H27" s="81">
        <v>4375800</v>
      </c>
      <c r="I27" s="81"/>
      <c r="J27" s="69">
        <f>1150000+400000+140000</f>
        <v>1690000</v>
      </c>
      <c r="K27" s="86"/>
      <c r="L27" s="69"/>
      <c r="M27" s="69"/>
      <c r="N27" s="69"/>
      <c r="O27" s="142">
        <f t="shared" si="0"/>
        <v>6065800</v>
      </c>
      <c r="P27" s="145">
        <v>5100000</v>
      </c>
      <c r="Q27" s="176">
        <f t="shared" si="1"/>
        <v>-965800</v>
      </c>
      <c r="S27" s="195"/>
      <c r="U27" s="195"/>
    </row>
    <row r="28" spans="1:21" ht="24.95" customHeight="1" x14ac:dyDescent="0.25">
      <c r="A28" s="75">
        <v>21</v>
      </c>
      <c r="B28" s="133">
        <v>42880</v>
      </c>
      <c r="C28" s="135" t="s">
        <v>1123</v>
      </c>
      <c r="D28" s="136" t="s">
        <v>1143</v>
      </c>
      <c r="E28" s="128" t="s">
        <v>769</v>
      </c>
      <c r="F28" s="80"/>
      <c r="G28" s="77"/>
      <c r="H28" s="81"/>
      <c r="I28" s="81"/>
      <c r="J28" s="69">
        <v>0</v>
      </c>
      <c r="K28" s="86"/>
      <c r="L28" s="69"/>
      <c r="M28" s="69"/>
      <c r="N28" s="69"/>
      <c r="O28" s="142">
        <f t="shared" si="0"/>
        <v>0</v>
      </c>
      <c r="P28" s="145">
        <v>0</v>
      </c>
      <c r="Q28" s="176">
        <f t="shared" si="1"/>
        <v>0</v>
      </c>
      <c r="R28" s="196"/>
      <c r="S28" s="195"/>
      <c r="U28" s="195"/>
    </row>
    <row r="29" spans="1:21" ht="24.95" customHeight="1" x14ac:dyDescent="0.25">
      <c r="A29" s="75">
        <v>22</v>
      </c>
      <c r="B29" s="133">
        <v>42880</v>
      </c>
      <c r="C29" s="135" t="s">
        <v>1124</v>
      </c>
      <c r="D29" s="136" t="s">
        <v>1144</v>
      </c>
      <c r="E29" s="78" t="s">
        <v>21</v>
      </c>
      <c r="F29" s="80"/>
      <c r="G29" s="77"/>
      <c r="H29" s="81"/>
      <c r="I29" s="81"/>
      <c r="J29" s="69">
        <f>2920000+140000</f>
        <v>3060000</v>
      </c>
      <c r="K29" s="86"/>
      <c r="L29" s="69"/>
      <c r="M29" s="69"/>
      <c r="N29" s="69"/>
      <c r="O29" s="142">
        <f t="shared" si="0"/>
        <v>3060000</v>
      </c>
      <c r="P29" s="145">
        <v>12181818</v>
      </c>
      <c r="Q29" s="176">
        <f t="shared" si="1"/>
        <v>9121818</v>
      </c>
      <c r="S29" s="195"/>
      <c r="U29" s="195"/>
    </row>
    <row r="30" spans="1:21" ht="24.95" customHeight="1" x14ac:dyDescent="0.25">
      <c r="A30" s="75">
        <v>23</v>
      </c>
      <c r="B30" s="133">
        <v>42881</v>
      </c>
      <c r="C30" s="135" t="s">
        <v>1125</v>
      </c>
      <c r="D30" s="136" t="s">
        <v>1145</v>
      </c>
      <c r="E30" s="78" t="s">
        <v>705</v>
      </c>
      <c r="F30" s="80"/>
      <c r="G30" s="77">
        <v>350</v>
      </c>
      <c r="H30" s="81">
        <v>4641000</v>
      </c>
      <c r="I30" s="81"/>
      <c r="J30" s="69">
        <f>800000+140000+400000+640000</f>
        <v>1980000</v>
      </c>
      <c r="K30" s="86"/>
      <c r="L30" s="69"/>
      <c r="M30" s="69"/>
      <c r="N30" s="69"/>
      <c r="O30" s="142">
        <f t="shared" si="0"/>
        <v>6621000</v>
      </c>
      <c r="P30" s="145">
        <v>3527273</v>
      </c>
      <c r="Q30" s="176">
        <f t="shared" si="1"/>
        <v>-3093727</v>
      </c>
      <c r="S30" s="195"/>
      <c r="U30" s="195"/>
    </row>
    <row r="31" spans="1:21" ht="24.95" customHeight="1" x14ac:dyDescent="0.25">
      <c r="A31" s="75">
        <v>24</v>
      </c>
      <c r="B31" s="133">
        <v>42882</v>
      </c>
      <c r="C31" s="135" t="s">
        <v>1053</v>
      </c>
      <c r="D31" s="136" t="s">
        <v>1145</v>
      </c>
      <c r="E31" s="78" t="s">
        <v>1158</v>
      </c>
      <c r="F31" s="80"/>
      <c r="G31" s="77"/>
      <c r="H31" s="81"/>
      <c r="I31" s="81"/>
      <c r="J31" s="69">
        <v>0</v>
      </c>
      <c r="K31" s="86"/>
      <c r="L31" s="69"/>
      <c r="M31" s="69"/>
      <c r="N31" s="69"/>
      <c r="O31" s="142">
        <f t="shared" si="0"/>
        <v>0</v>
      </c>
      <c r="P31" s="145">
        <v>4154545</v>
      </c>
      <c r="Q31" s="176">
        <f t="shared" si="1"/>
        <v>4154545</v>
      </c>
      <c r="S31" s="195"/>
      <c r="U31" s="195"/>
    </row>
    <row r="32" spans="1:21" ht="24.95" customHeight="1" x14ac:dyDescent="0.25">
      <c r="A32" s="75">
        <v>25</v>
      </c>
      <c r="B32" s="133">
        <v>42884</v>
      </c>
      <c r="C32" s="135" t="s">
        <v>1108</v>
      </c>
      <c r="D32" s="136" t="s">
        <v>1146</v>
      </c>
      <c r="E32" s="78" t="s">
        <v>21</v>
      </c>
      <c r="F32" s="80"/>
      <c r="G32" s="77">
        <v>190</v>
      </c>
      <c r="H32" s="81">
        <v>2519400</v>
      </c>
      <c r="I32" s="81"/>
      <c r="J32" s="69">
        <f>2920000+140000</f>
        <v>3060000</v>
      </c>
      <c r="K32" s="86"/>
      <c r="L32" s="69"/>
      <c r="M32" s="69"/>
      <c r="N32" s="69"/>
      <c r="O32" s="142">
        <f t="shared" si="0"/>
        <v>5579400</v>
      </c>
      <c r="P32" s="145">
        <v>12181818</v>
      </c>
      <c r="Q32" s="176">
        <f t="shared" si="1"/>
        <v>6602418</v>
      </c>
      <c r="U32" s="195"/>
    </row>
    <row r="33" spans="1:21" ht="24.95" customHeight="1" x14ac:dyDescent="0.25">
      <c r="A33" s="75">
        <v>26</v>
      </c>
      <c r="B33" s="133">
        <v>42885</v>
      </c>
      <c r="C33" s="135" t="s">
        <v>1126</v>
      </c>
      <c r="D33" s="136" t="s">
        <v>1147</v>
      </c>
      <c r="E33" s="78" t="s">
        <v>155</v>
      </c>
      <c r="F33" s="80"/>
      <c r="G33" s="77"/>
      <c r="H33" s="81"/>
      <c r="I33" s="81"/>
      <c r="J33" s="77">
        <f>1340000+140000</f>
        <v>1480000</v>
      </c>
      <c r="K33" s="86"/>
      <c r="L33" s="69"/>
      <c r="M33" s="69"/>
      <c r="N33" s="69"/>
      <c r="O33" s="142">
        <f t="shared" si="0"/>
        <v>1480000</v>
      </c>
      <c r="P33" s="145">
        <v>4800000</v>
      </c>
      <c r="Q33" s="176">
        <f t="shared" si="1"/>
        <v>3320000</v>
      </c>
      <c r="S33" s="195"/>
      <c r="U33" s="195"/>
    </row>
    <row r="34" spans="1:21" ht="24.95" customHeight="1" x14ac:dyDescent="0.25">
      <c r="A34" s="75"/>
      <c r="B34" s="133"/>
      <c r="C34" s="138"/>
      <c r="D34" s="139"/>
      <c r="E34" s="78"/>
      <c r="F34" s="110"/>
      <c r="G34" s="148">
        <v>370</v>
      </c>
      <c r="H34" s="126">
        <f>G34*13260</f>
        <v>4906200</v>
      </c>
      <c r="I34" s="197"/>
      <c r="J34" s="148"/>
      <c r="K34" s="198"/>
      <c r="L34" s="182"/>
      <c r="M34" s="148"/>
      <c r="N34" s="148"/>
      <c r="O34" s="199">
        <f t="shared" si="0"/>
        <v>4906200</v>
      </c>
      <c r="P34" s="200"/>
      <c r="Q34" s="201">
        <f t="shared" si="1"/>
        <v>-4906200</v>
      </c>
      <c r="S34" s="195"/>
      <c r="U34" s="195"/>
    </row>
    <row r="35" spans="1:21" ht="24.95" customHeight="1" x14ac:dyDescent="0.25">
      <c r="A35" s="75"/>
      <c r="B35" s="133">
        <v>42860</v>
      </c>
      <c r="C35" s="138" t="s">
        <v>1169</v>
      </c>
      <c r="D35" s="139"/>
      <c r="E35" s="78"/>
      <c r="F35" s="110"/>
      <c r="G35" s="148"/>
      <c r="H35" s="126"/>
      <c r="I35" s="197"/>
      <c r="J35" s="148"/>
      <c r="K35" s="198"/>
      <c r="L35" s="182"/>
      <c r="M35" s="148">
        <v>800000</v>
      </c>
      <c r="N35" s="148"/>
      <c r="O35" s="199">
        <f t="shared" si="0"/>
        <v>800000</v>
      </c>
      <c r="P35" s="200"/>
      <c r="Q35" s="201">
        <f t="shared" si="1"/>
        <v>-800000</v>
      </c>
      <c r="S35" s="195"/>
      <c r="U35" s="195"/>
    </row>
    <row r="36" spans="1:21" x14ac:dyDescent="0.25">
      <c r="A36" s="75"/>
      <c r="B36" s="133"/>
      <c r="C36" s="183" t="s">
        <v>1161</v>
      </c>
      <c r="D36" s="162"/>
      <c r="E36" s="153"/>
      <c r="F36" s="163"/>
      <c r="G36" s="164"/>
      <c r="H36" s="155"/>
      <c r="I36" s="165"/>
      <c r="J36" s="166"/>
      <c r="K36" s="86"/>
      <c r="L36" s="156">
        <v>1254000</v>
      </c>
      <c r="M36" s="112"/>
      <c r="N36" s="112"/>
      <c r="O36" s="142">
        <f t="shared" si="0"/>
        <v>1254000</v>
      </c>
      <c r="P36" s="68"/>
      <c r="Q36" s="176">
        <f t="shared" si="1"/>
        <v>-1254000</v>
      </c>
    </row>
    <row r="37" spans="1:21" ht="39" x14ac:dyDescent="0.25">
      <c r="A37" s="75"/>
      <c r="B37" s="133"/>
      <c r="C37" s="183" t="s">
        <v>1162</v>
      </c>
      <c r="D37" s="162"/>
      <c r="E37" s="153"/>
      <c r="F37" s="163"/>
      <c r="G37" s="164"/>
      <c r="H37" s="155"/>
      <c r="I37" s="165"/>
      <c r="J37" s="166"/>
      <c r="K37" s="86"/>
      <c r="L37" s="156">
        <v>380000</v>
      </c>
      <c r="M37" s="112"/>
      <c r="N37" s="112"/>
      <c r="O37" s="142">
        <f t="shared" si="0"/>
        <v>380000</v>
      </c>
      <c r="P37" s="68"/>
      <c r="Q37" s="176">
        <f t="shared" si="1"/>
        <v>-380000</v>
      </c>
    </row>
    <row r="38" spans="1:21" x14ac:dyDescent="0.25">
      <c r="A38" s="75"/>
      <c r="B38" s="133"/>
      <c r="C38" s="183" t="s">
        <v>1163</v>
      </c>
      <c r="D38" s="162"/>
      <c r="E38" s="153"/>
      <c r="F38" s="163"/>
      <c r="G38" s="164"/>
      <c r="H38" s="155"/>
      <c r="I38" s="165"/>
      <c r="J38" s="166"/>
      <c r="K38" s="86"/>
      <c r="L38" s="156">
        <v>100000</v>
      </c>
      <c r="M38" s="112"/>
      <c r="N38" s="112"/>
      <c r="O38" s="142">
        <f t="shared" si="0"/>
        <v>100000</v>
      </c>
      <c r="P38" s="68"/>
      <c r="Q38" s="176">
        <f t="shared" si="1"/>
        <v>-100000</v>
      </c>
    </row>
    <row r="39" spans="1:21" ht="39" x14ac:dyDescent="0.25">
      <c r="A39" s="75"/>
      <c r="B39" s="133"/>
      <c r="C39" s="183" t="s">
        <v>1164</v>
      </c>
      <c r="D39" s="162"/>
      <c r="E39" s="153"/>
      <c r="F39" s="163"/>
      <c r="G39" s="164"/>
      <c r="H39" s="155"/>
      <c r="I39" s="165"/>
      <c r="J39" s="166"/>
      <c r="K39" s="86"/>
      <c r="L39" s="156">
        <v>3000000</v>
      </c>
      <c r="M39" s="112"/>
      <c r="N39" s="112"/>
      <c r="O39" s="142">
        <f t="shared" si="0"/>
        <v>3000000</v>
      </c>
      <c r="P39" s="68"/>
      <c r="Q39" s="176">
        <f t="shared" si="1"/>
        <v>-3000000</v>
      </c>
    </row>
    <row r="40" spans="1:21" ht="39" x14ac:dyDescent="0.25">
      <c r="A40" s="75"/>
      <c r="B40" s="133"/>
      <c r="C40" s="183" t="s">
        <v>1165</v>
      </c>
      <c r="D40" s="162"/>
      <c r="E40" s="153"/>
      <c r="F40" s="163"/>
      <c r="G40" s="164"/>
      <c r="H40" s="155"/>
      <c r="I40" s="165"/>
      <c r="J40" s="166"/>
      <c r="K40" s="86"/>
      <c r="L40" s="156">
        <v>3100000</v>
      </c>
      <c r="M40" s="112"/>
      <c r="N40" s="112"/>
      <c r="O40" s="142">
        <f t="shared" si="0"/>
        <v>3100000</v>
      </c>
      <c r="P40" s="68"/>
      <c r="Q40" s="176">
        <f t="shared" si="1"/>
        <v>-3100000</v>
      </c>
    </row>
    <row r="41" spans="1:21" ht="26.25" x14ac:dyDescent="0.25">
      <c r="A41" s="75"/>
      <c r="B41" s="133"/>
      <c r="C41" s="183" t="s">
        <v>1166</v>
      </c>
      <c r="D41" s="162"/>
      <c r="E41" s="153"/>
      <c r="F41" s="163"/>
      <c r="G41" s="164"/>
      <c r="H41" s="155"/>
      <c r="I41" s="165"/>
      <c r="J41" s="166"/>
      <c r="K41" s="86"/>
      <c r="L41" s="156">
        <v>660000</v>
      </c>
      <c r="M41" s="112"/>
      <c r="N41" s="112"/>
      <c r="O41" s="142">
        <f t="shared" si="0"/>
        <v>660000</v>
      </c>
      <c r="P41" s="68"/>
      <c r="Q41" s="176">
        <f t="shared" si="1"/>
        <v>-660000</v>
      </c>
    </row>
    <row r="42" spans="1:21" ht="26.25" x14ac:dyDescent="0.25">
      <c r="A42" s="75"/>
      <c r="B42" s="133"/>
      <c r="C42" s="183" t="s">
        <v>1167</v>
      </c>
      <c r="D42" s="162"/>
      <c r="E42" s="153"/>
      <c r="F42" s="163"/>
      <c r="G42" s="164"/>
      <c r="H42" s="155"/>
      <c r="I42" s="165"/>
      <c r="J42" s="166"/>
      <c r="K42" s="86"/>
      <c r="L42" s="156">
        <v>700000</v>
      </c>
      <c r="M42" s="112"/>
      <c r="N42" s="112"/>
      <c r="O42" s="142">
        <f t="shared" si="0"/>
        <v>700000</v>
      </c>
      <c r="P42" s="68"/>
      <c r="Q42" s="176">
        <f t="shared" si="1"/>
        <v>-700000</v>
      </c>
    </row>
    <row r="43" spans="1:21" ht="26.25" x14ac:dyDescent="0.25">
      <c r="A43" s="75"/>
      <c r="B43" s="133"/>
      <c r="C43" s="183" t="s">
        <v>1168</v>
      </c>
      <c r="D43" s="162"/>
      <c r="E43" s="153"/>
      <c r="F43" s="163"/>
      <c r="G43" s="164"/>
      <c r="H43" s="155"/>
      <c r="I43" s="165"/>
      <c r="J43" s="166"/>
      <c r="K43" s="86"/>
      <c r="L43" s="156">
        <f>7600000*50%</f>
        <v>3800000</v>
      </c>
      <c r="M43" s="112"/>
      <c r="N43" s="112"/>
      <c r="O43" s="142">
        <f t="shared" si="0"/>
        <v>3800000</v>
      </c>
      <c r="P43" s="68"/>
      <c r="Q43" s="176">
        <f t="shared" si="1"/>
        <v>-3800000</v>
      </c>
    </row>
    <row r="44" spans="1:21" x14ac:dyDescent="0.25">
      <c r="A44" s="75"/>
      <c r="B44" s="133"/>
      <c r="C44" s="170" t="s">
        <v>1160</v>
      </c>
      <c r="D44" s="162"/>
      <c r="E44" s="153"/>
      <c r="F44" s="163"/>
      <c r="G44" s="164"/>
      <c r="H44" s="155"/>
      <c r="I44" s="165"/>
      <c r="J44" s="166"/>
      <c r="K44" s="86">
        <f>1200000*1.1</f>
        <v>1320000</v>
      </c>
      <c r="L44" s="156"/>
      <c r="M44" s="112"/>
      <c r="N44" s="112"/>
      <c r="O44" s="142">
        <f t="shared" si="0"/>
        <v>1320000</v>
      </c>
      <c r="P44" s="68"/>
      <c r="Q44" s="176">
        <f t="shared" si="1"/>
        <v>-1320000</v>
      </c>
    </row>
    <row r="45" spans="1:21" x14ac:dyDescent="0.25">
      <c r="A45" s="75"/>
      <c r="B45" s="70"/>
      <c r="C45" s="108" t="s">
        <v>1159</v>
      </c>
      <c r="D45" s="87"/>
      <c r="E45" s="70"/>
      <c r="F45" s="110"/>
      <c r="G45" s="70"/>
      <c r="H45" s="81"/>
      <c r="I45" s="111"/>
      <c r="J45" s="112"/>
      <c r="K45" s="113">
        <v>9000000</v>
      </c>
      <c r="L45" s="141"/>
      <c r="M45" s="112"/>
      <c r="N45" s="112"/>
      <c r="O45" s="142">
        <f t="shared" si="0"/>
        <v>9000000</v>
      </c>
      <c r="P45" s="68"/>
      <c r="Q45" s="176">
        <f t="shared" si="1"/>
        <v>-9000000</v>
      </c>
    </row>
    <row r="46" spans="1:21" x14ac:dyDescent="0.25">
      <c r="A46" s="547" t="s">
        <v>19</v>
      </c>
      <c r="B46" s="548"/>
      <c r="C46" s="548"/>
      <c r="D46" s="548"/>
      <c r="E46" s="548"/>
      <c r="F46" s="549"/>
      <c r="G46" s="89">
        <f t="shared" ref="G46:Q46" si="2">SUM(G7:G45)</f>
        <v>3405</v>
      </c>
      <c r="H46" s="71">
        <f t="shared" si="2"/>
        <v>45742750</v>
      </c>
      <c r="I46" s="71">
        <f t="shared" si="2"/>
        <v>0</v>
      </c>
      <c r="J46" s="71">
        <f t="shared" si="2"/>
        <v>38860000</v>
      </c>
      <c r="K46" s="71">
        <f t="shared" si="2"/>
        <v>10320000</v>
      </c>
      <c r="L46" s="71">
        <f t="shared" si="2"/>
        <v>12994000</v>
      </c>
      <c r="M46" s="71">
        <f t="shared" si="2"/>
        <v>800000</v>
      </c>
      <c r="N46" s="71">
        <f t="shared" si="2"/>
        <v>0</v>
      </c>
      <c r="O46" s="71">
        <f t="shared" si="2"/>
        <v>108716750</v>
      </c>
      <c r="P46" s="71">
        <f t="shared" si="2"/>
        <v>136579090</v>
      </c>
      <c r="Q46" s="71">
        <f t="shared" si="2"/>
        <v>27862340</v>
      </c>
    </row>
    <row r="47" spans="1:21" x14ac:dyDescent="0.25">
      <c r="P47" t="s">
        <v>1100</v>
      </c>
      <c r="Q47" s="202">
        <f>'04-2017'!Q45+'05-2017'!Q46</f>
        <v>45367418</v>
      </c>
    </row>
  </sheetData>
  <mergeCells count="5">
    <mergeCell ref="A1:Q1"/>
    <mergeCell ref="A2:Q2"/>
    <mergeCell ref="A3:Q3"/>
    <mergeCell ref="G5:N5"/>
    <mergeCell ref="A46:F46"/>
  </mergeCells>
  <pageMargins left="0.7" right="0.7" top="0.75" bottom="0.75" header="0.3" footer="0.3"/>
  <pageSetup paperSize="9" orientation="portrait" horizontalDpi="0"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39"/>
  <sheetViews>
    <sheetView topLeftCell="D25" workbookViewId="0">
      <selection activeCell="G29" sqref="G29"/>
    </sheetView>
  </sheetViews>
  <sheetFormatPr defaultRowHeight="15" x14ac:dyDescent="0.25"/>
  <cols>
    <col min="3" max="3" width="33" customWidth="1"/>
    <col min="4" max="4" width="13.5703125" customWidth="1"/>
    <col min="5" max="5" width="30.28515625" customWidth="1"/>
    <col min="15" max="15" width="11.5703125" customWidth="1"/>
    <col min="16" max="16" width="12.5703125" customWidth="1"/>
    <col min="17" max="17" width="11" customWidth="1"/>
    <col min="19" max="19" width="13.5703125" customWidth="1"/>
  </cols>
  <sheetData>
    <row r="1" spans="1:21" ht="23.25" x14ac:dyDescent="0.25">
      <c r="A1" s="551" t="s">
        <v>0</v>
      </c>
      <c r="B1" s="551"/>
      <c r="C1" s="551"/>
      <c r="D1" s="551"/>
      <c r="E1" s="551"/>
      <c r="F1" s="551"/>
      <c r="G1" s="551"/>
      <c r="H1" s="551"/>
      <c r="I1" s="551"/>
      <c r="J1" s="551"/>
      <c r="K1" s="551"/>
      <c r="L1" s="551"/>
      <c r="M1" s="551"/>
      <c r="N1" s="551"/>
      <c r="O1" s="551"/>
      <c r="P1" s="551"/>
      <c r="Q1" s="551"/>
    </row>
    <row r="2" spans="1:21" ht="15.75" x14ac:dyDescent="0.25">
      <c r="A2" s="550" t="s">
        <v>103</v>
      </c>
      <c r="B2" s="550"/>
      <c r="C2" s="550"/>
      <c r="D2" s="550"/>
      <c r="E2" s="550"/>
      <c r="F2" s="550"/>
      <c r="G2" s="550"/>
      <c r="H2" s="550"/>
      <c r="I2" s="550"/>
      <c r="J2" s="550"/>
      <c r="K2" s="550"/>
      <c r="L2" s="550"/>
      <c r="M2" s="550"/>
      <c r="N2" s="550"/>
      <c r="O2" s="550"/>
      <c r="P2" s="550"/>
      <c r="Q2" s="550"/>
    </row>
    <row r="3" spans="1:21" ht="15.75" x14ac:dyDescent="0.25">
      <c r="A3" s="550" t="s">
        <v>1170</v>
      </c>
      <c r="B3" s="550"/>
      <c r="C3" s="550"/>
      <c r="D3" s="550"/>
      <c r="E3" s="550"/>
      <c r="F3" s="550"/>
      <c r="G3" s="550"/>
      <c r="H3" s="550"/>
      <c r="I3" s="550"/>
      <c r="J3" s="550"/>
      <c r="K3" s="550"/>
      <c r="L3" s="550"/>
      <c r="M3" s="550"/>
      <c r="N3" s="550"/>
      <c r="O3" s="550"/>
      <c r="P3" s="550"/>
      <c r="Q3" s="550"/>
    </row>
    <row r="4" spans="1:21" x14ac:dyDescent="0.25">
      <c r="A4" s="74"/>
      <c r="B4" s="99"/>
      <c r="C4" s="74"/>
      <c r="D4" s="74"/>
      <c r="E4" s="74" t="s">
        <v>194</v>
      </c>
      <c r="F4" s="74"/>
      <c r="G4" s="74"/>
      <c r="H4" s="72"/>
      <c r="I4" s="74"/>
      <c r="J4" s="72"/>
      <c r="K4" s="72"/>
      <c r="L4" s="72"/>
      <c r="M4" s="72"/>
      <c r="N4" s="72"/>
      <c r="O4" s="72"/>
      <c r="P4" s="72"/>
      <c r="Q4" s="72"/>
    </row>
    <row r="5" spans="1:21" ht="25.5" x14ac:dyDescent="0.25">
      <c r="A5" s="177" t="s">
        <v>1</v>
      </c>
      <c r="B5" s="178" t="s">
        <v>2</v>
      </c>
      <c r="C5" s="177" t="s">
        <v>3</v>
      </c>
      <c r="D5" s="177" t="s">
        <v>5</v>
      </c>
      <c r="E5" s="174" t="s">
        <v>4</v>
      </c>
      <c r="F5" s="174" t="s">
        <v>17</v>
      </c>
      <c r="G5" s="552" t="s">
        <v>6</v>
      </c>
      <c r="H5" s="553"/>
      <c r="I5" s="553"/>
      <c r="J5" s="553"/>
      <c r="K5" s="553"/>
      <c r="L5" s="553"/>
      <c r="M5" s="553"/>
      <c r="N5" s="554"/>
      <c r="O5" s="127" t="s">
        <v>18</v>
      </c>
      <c r="P5" s="127" t="s">
        <v>13</v>
      </c>
      <c r="Q5" s="127" t="s">
        <v>14</v>
      </c>
    </row>
    <row r="6" spans="1:21" x14ac:dyDescent="0.25">
      <c r="A6" s="179"/>
      <c r="B6" s="180"/>
      <c r="C6" s="179"/>
      <c r="D6" s="179"/>
      <c r="E6" s="175"/>
      <c r="F6" s="175"/>
      <c r="G6" s="6" t="s">
        <v>7</v>
      </c>
      <c r="H6" s="7" t="s">
        <v>15</v>
      </c>
      <c r="I6" s="6" t="s">
        <v>16</v>
      </c>
      <c r="J6" s="7" t="s">
        <v>8</v>
      </c>
      <c r="K6" s="7" t="s">
        <v>9</v>
      </c>
      <c r="L6" s="7" t="s">
        <v>10</v>
      </c>
      <c r="M6" s="7" t="s">
        <v>11</v>
      </c>
      <c r="N6" s="7" t="s">
        <v>12</v>
      </c>
      <c r="O6" s="181"/>
      <c r="P6" s="181"/>
      <c r="Q6" s="181"/>
    </row>
    <row r="7" spans="1:21" x14ac:dyDescent="0.25">
      <c r="A7" s="75"/>
      <c r="B7" s="100"/>
      <c r="C7" s="88"/>
      <c r="D7" s="88"/>
      <c r="E7" s="134"/>
      <c r="F7" s="75"/>
      <c r="G7" s="77"/>
      <c r="H7" s="68"/>
      <c r="I7" s="75"/>
      <c r="J7" s="68"/>
      <c r="K7" s="68"/>
      <c r="L7" s="68"/>
      <c r="M7" s="68"/>
      <c r="N7" s="68"/>
      <c r="O7" s="68">
        <f>H7+J7+K7+L7+M7+N7</f>
        <v>0</v>
      </c>
      <c r="P7" s="144"/>
      <c r="Q7" s="68">
        <f>P7-O7</f>
        <v>0</v>
      </c>
    </row>
    <row r="8" spans="1:21" ht="24.95" customHeight="1" x14ac:dyDescent="0.25">
      <c r="A8" s="75">
        <v>1</v>
      </c>
      <c r="B8" s="133">
        <v>42886</v>
      </c>
      <c r="C8" s="135" t="s">
        <v>1171</v>
      </c>
      <c r="D8" s="136" t="s">
        <v>1189</v>
      </c>
      <c r="E8" s="78" t="s">
        <v>1211</v>
      </c>
      <c r="F8" s="80"/>
      <c r="G8" s="77"/>
      <c r="H8" s="81"/>
      <c r="I8" s="81"/>
      <c r="J8" s="69">
        <f>1600000+140000</f>
        <v>1740000</v>
      </c>
      <c r="K8" s="86"/>
      <c r="L8" s="69"/>
      <c r="M8" s="69"/>
      <c r="N8" s="69"/>
      <c r="O8" s="142">
        <f>H8+J8+K8+L8+M8+N8</f>
        <v>1740000</v>
      </c>
      <c r="P8" s="145">
        <v>5070000</v>
      </c>
      <c r="Q8" s="176">
        <f>P8-O8</f>
        <v>3330000</v>
      </c>
      <c r="S8" s="195"/>
      <c r="U8" s="195"/>
    </row>
    <row r="9" spans="1:21" ht="24.95" customHeight="1" x14ac:dyDescent="0.25">
      <c r="A9" s="75">
        <v>2</v>
      </c>
      <c r="B9" s="133">
        <v>42887</v>
      </c>
      <c r="C9" s="135" t="s">
        <v>1172</v>
      </c>
      <c r="D9" s="136" t="s">
        <v>1190</v>
      </c>
      <c r="E9" s="78" t="s">
        <v>153</v>
      </c>
      <c r="F9" s="80"/>
      <c r="G9" s="77"/>
      <c r="H9" s="81"/>
      <c r="I9" s="81"/>
      <c r="J9" s="189">
        <f>1600000+140000</f>
        <v>1740000</v>
      </c>
      <c r="K9" s="86"/>
      <c r="L9" s="69"/>
      <c r="M9" s="69"/>
      <c r="N9" s="69"/>
      <c r="O9" s="142">
        <f t="shared" ref="O9:O37" si="0">H9+J9+K9+L9+M9+N9</f>
        <v>1740000</v>
      </c>
      <c r="P9" s="145">
        <v>5070000</v>
      </c>
      <c r="Q9" s="176">
        <f t="shared" ref="Q9:Q37" si="1">P9-O9</f>
        <v>3330000</v>
      </c>
      <c r="S9" s="195"/>
      <c r="U9" s="195"/>
    </row>
    <row r="10" spans="1:21" ht="24.95" customHeight="1" x14ac:dyDescent="0.25">
      <c r="A10" s="75">
        <v>3</v>
      </c>
      <c r="B10" s="133">
        <v>42893</v>
      </c>
      <c r="C10" s="135" t="s">
        <v>1173</v>
      </c>
      <c r="D10" s="136" t="s">
        <v>1191</v>
      </c>
      <c r="E10" s="78" t="s">
        <v>1020</v>
      </c>
      <c r="F10" s="80"/>
      <c r="G10" s="77">
        <v>280</v>
      </c>
      <c r="H10" s="81">
        <v>3712800</v>
      </c>
      <c r="I10" s="81"/>
      <c r="J10" s="69">
        <f>950000</f>
        <v>950000</v>
      </c>
      <c r="K10" s="86"/>
      <c r="L10" s="69"/>
      <c r="M10" s="69"/>
      <c r="N10" s="69"/>
      <c r="O10" s="142">
        <f t="shared" si="0"/>
        <v>4662800</v>
      </c>
      <c r="P10" s="145">
        <v>3972727</v>
      </c>
      <c r="Q10" s="176">
        <f t="shared" si="1"/>
        <v>-690073</v>
      </c>
      <c r="S10" s="195"/>
      <c r="U10" s="195"/>
    </row>
    <row r="11" spans="1:21" ht="24.95" customHeight="1" x14ac:dyDescent="0.25">
      <c r="A11" s="75">
        <v>4</v>
      </c>
      <c r="B11" s="133">
        <v>42893</v>
      </c>
      <c r="C11" s="135" t="s">
        <v>1174</v>
      </c>
      <c r="D11" s="136" t="s">
        <v>1192</v>
      </c>
      <c r="E11" s="78" t="s">
        <v>1212</v>
      </c>
      <c r="F11" s="80"/>
      <c r="G11" s="77"/>
      <c r="H11" s="81"/>
      <c r="I11" s="81"/>
      <c r="J11" s="69">
        <f>2560000+140000</f>
        <v>2700000</v>
      </c>
      <c r="K11" s="86"/>
      <c r="L11" s="69"/>
      <c r="M11" s="69"/>
      <c r="N11" s="69"/>
      <c r="O11" s="142">
        <f t="shared" si="0"/>
        <v>2700000</v>
      </c>
      <c r="P11" s="145">
        <v>13181818</v>
      </c>
      <c r="Q11" s="176">
        <f t="shared" si="1"/>
        <v>10481818</v>
      </c>
      <c r="S11" s="195"/>
      <c r="U11" s="195"/>
    </row>
    <row r="12" spans="1:21" ht="24.95" customHeight="1" x14ac:dyDescent="0.25">
      <c r="A12" s="75">
        <v>5</v>
      </c>
      <c r="B12" s="133">
        <v>42894</v>
      </c>
      <c r="C12" s="135" t="s">
        <v>1175</v>
      </c>
      <c r="D12" s="136" t="s">
        <v>1193</v>
      </c>
      <c r="E12" s="78" t="s">
        <v>27</v>
      </c>
      <c r="F12" s="80"/>
      <c r="G12" s="77">
        <v>360</v>
      </c>
      <c r="H12" s="81">
        <v>4852800</v>
      </c>
      <c r="I12" s="81"/>
      <c r="J12" s="69">
        <f>800000+140000</f>
        <v>940000</v>
      </c>
      <c r="K12" s="86"/>
      <c r="L12" s="69"/>
      <c r="M12" s="69"/>
      <c r="N12" s="69"/>
      <c r="O12" s="142">
        <f t="shared" si="0"/>
        <v>5792800</v>
      </c>
      <c r="P12" s="145">
        <v>3000000</v>
      </c>
      <c r="Q12" s="176">
        <f t="shared" si="1"/>
        <v>-2792800</v>
      </c>
      <c r="S12" s="195"/>
      <c r="U12" s="195"/>
    </row>
    <row r="13" spans="1:21" ht="24.95" customHeight="1" x14ac:dyDescent="0.25">
      <c r="A13" s="75">
        <v>6</v>
      </c>
      <c r="B13" s="133">
        <v>42896</v>
      </c>
      <c r="C13" s="135" t="s">
        <v>394</v>
      </c>
      <c r="D13" s="136" t="s">
        <v>1194</v>
      </c>
      <c r="E13" s="78" t="s">
        <v>493</v>
      </c>
      <c r="F13" s="80"/>
      <c r="G13" s="77"/>
      <c r="H13" s="81"/>
      <c r="I13" s="81"/>
      <c r="J13" s="69">
        <f>1600000+140000</f>
        <v>1740000</v>
      </c>
      <c r="K13" s="86"/>
      <c r="L13" s="69"/>
      <c r="M13" s="69"/>
      <c r="N13" s="69"/>
      <c r="O13" s="142">
        <f t="shared" si="0"/>
        <v>1740000</v>
      </c>
      <c r="P13" s="145">
        <v>5300000</v>
      </c>
      <c r="Q13" s="176">
        <f t="shared" si="1"/>
        <v>3560000</v>
      </c>
      <c r="S13" s="195"/>
      <c r="U13" s="195"/>
    </row>
    <row r="14" spans="1:21" ht="24.95" customHeight="1" x14ac:dyDescent="0.25">
      <c r="A14" s="75">
        <v>7</v>
      </c>
      <c r="B14" s="133">
        <v>42897</v>
      </c>
      <c r="C14" s="135" t="s">
        <v>1176</v>
      </c>
      <c r="D14" s="136" t="s">
        <v>1195</v>
      </c>
      <c r="E14" s="78" t="s">
        <v>633</v>
      </c>
      <c r="F14" s="80"/>
      <c r="G14" s="77"/>
      <c r="H14" s="81"/>
      <c r="I14" s="81"/>
      <c r="J14" s="69">
        <f>1600000+140000</f>
        <v>1740000</v>
      </c>
      <c r="K14" s="86"/>
      <c r="L14" s="69"/>
      <c r="M14" s="69"/>
      <c r="N14" s="69"/>
      <c r="O14" s="142">
        <f t="shared" si="0"/>
        <v>1740000</v>
      </c>
      <c r="P14" s="145">
        <v>5370000</v>
      </c>
      <c r="Q14" s="176">
        <f t="shared" si="1"/>
        <v>3630000</v>
      </c>
      <c r="S14" s="195"/>
      <c r="U14" s="195"/>
    </row>
    <row r="15" spans="1:21" ht="24.95" customHeight="1" x14ac:dyDescent="0.25">
      <c r="A15" s="75">
        <v>8</v>
      </c>
      <c r="B15" s="133">
        <v>42898</v>
      </c>
      <c r="C15" s="135" t="s">
        <v>1177</v>
      </c>
      <c r="D15" s="136" t="s">
        <v>1196</v>
      </c>
      <c r="E15" s="78" t="s">
        <v>1158</v>
      </c>
      <c r="F15" s="80"/>
      <c r="G15" s="77">
        <v>330</v>
      </c>
      <c r="H15" s="81">
        <v>4448400</v>
      </c>
      <c r="I15" s="81"/>
      <c r="J15" s="69">
        <f>1500000+140000</f>
        <v>1640000</v>
      </c>
      <c r="K15" s="86"/>
      <c r="L15" s="69"/>
      <c r="M15" s="69"/>
      <c r="N15" s="69"/>
      <c r="O15" s="142">
        <f t="shared" si="0"/>
        <v>6088400</v>
      </c>
      <c r="P15" s="145">
        <v>5300000</v>
      </c>
      <c r="Q15" s="176">
        <f t="shared" si="1"/>
        <v>-788400</v>
      </c>
      <c r="S15" s="195"/>
      <c r="U15" s="195"/>
    </row>
    <row r="16" spans="1:21" ht="24.95" customHeight="1" x14ac:dyDescent="0.25">
      <c r="A16" s="75">
        <v>9</v>
      </c>
      <c r="B16" s="133">
        <v>42899</v>
      </c>
      <c r="C16" s="135" t="s">
        <v>396</v>
      </c>
      <c r="D16" s="136" t="s">
        <v>1197</v>
      </c>
      <c r="E16" s="78" t="s">
        <v>1024</v>
      </c>
      <c r="F16" s="80"/>
      <c r="G16" s="77"/>
      <c r="H16" s="81"/>
      <c r="I16" s="81"/>
      <c r="J16" s="69">
        <f>1340000+140000</f>
        <v>1480000</v>
      </c>
      <c r="K16" s="86"/>
      <c r="L16" s="69"/>
      <c r="M16" s="69"/>
      <c r="N16" s="69"/>
      <c r="O16" s="142">
        <f t="shared" si="0"/>
        <v>1480000</v>
      </c>
      <c r="P16" s="145">
        <v>4770000</v>
      </c>
      <c r="Q16" s="176">
        <f t="shared" si="1"/>
        <v>3290000</v>
      </c>
      <c r="S16" s="195"/>
      <c r="U16" s="195"/>
    </row>
    <row r="17" spans="1:21" ht="24.95" customHeight="1" x14ac:dyDescent="0.25">
      <c r="A17" s="75">
        <v>10</v>
      </c>
      <c r="B17" s="133">
        <v>42900</v>
      </c>
      <c r="C17" s="135" t="s">
        <v>1178</v>
      </c>
      <c r="D17" s="136" t="s">
        <v>1198</v>
      </c>
      <c r="E17" s="78" t="s">
        <v>769</v>
      </c>
      <c r="F17" s="80"/>
      <c r="G17" s="77"/>
      <c r="H17" s="81"/>
      <c r="I17" s="81"/>
      <c r="J17" s="69">
        <f>800000+70000+70000</f>
        <v>940000</v>
      </c>
      <c r="K17" s="86"/>
      <c r="L17" s="69"/>
      <c r="M17" s="69"/>
      <c r="N17" s="69"/>
      <c r="O17" s="142">
        <f t="shared" si="0"/>
        <v>940000</v>
      </c>
      <c r="P17" s="145">
        <v>2900000</v>
      </c>
      <c r="Q17" s="176">
        <f t="shared" si="1"/>
        <v>1960000</v>
      </c>
      <c r="S17" s="195"/>
      <c r="U17" s="195"/>
    </row>
    <row r="18" spans="1:21" ht="24.95" customHeight="1" x14ac:dyDescent="0.25">
      <c r="A18" s="75">
        <v>11</v>
      </c>
      <c r="B18" s="133">
        <v>42901</v>
      </c>
      <c r="C18" s="135" t="s">
        <v>398</v>
      </c>
      <c r="D18" s="136" t="s">
        <v>1199</v>
      </c>
      <c r="E18" s="78" t="s">
        <v>364</v>
      </c>
      <c r="F18" s="80"/>
      <c r="G18" s="77">
        <v>330</v>
      </c>
      <c r="H18" s="81">
        <v>4448800</v>
      </c>
      <c r="I18" s="81"/>
      <c r="J18" s="69">
        <f>1600000+140000</f>
        <v>1740000</v>
      </c>
      <c r="K18" s="86"/>
      <c r="L18" s="69"/>
      <c r="M18" s="69"/>
      <c r="N18" s="69"/>
      <c r="O18" s="142">
        <f t="shared" si="0"/>
        <v>6188800</v>
      </c>
      <c r="P18" s="145">
        <v>5070000</v>
      </c>
      <c r="Q18" s="176">
        <f t="shared" si="1"/>
        <v>-1118800</v>
      </c>
      <c r="S18" s="195"/>
      <c r="U18" s="195"/>
    </row>
    <row r="19" spans="1:21" ht="24.95" customHeight="1" x14ac:dyDescent="0.25">
      <c r="A19" s="75">
        <v>12</v>
      </c>
      <c r="B19" s="133">
        <v>42904</v>
      </c>
      <c r="C19" s="135" t="s">
        <v>1179</v>
      </c>
      <c r="D19" s="136" t="s">
        <v>1200</v>
      </c>
      <c r="E19" s="78" t="s">
        <v>1024</v>
      </c>
      <c r="F19" s="80"/>
      <c r="G19" s="77"/>
      <c r="H19" s="81"/>
      <c r="I19" s="81"/>
      <c r="J19" s="69">
        <f>1340000+140000</f>
        <v>1480000</v>
      </c>
      <c r="K19" s="86"/>
      <c r="L19" s="69"/>
      <c r="M19" s="69"/>
      <c r="N19" s="69"/>
      <c r="O19" s="142">
        <f t="shared" si="0"/>
        <v>1480000</v>
      </c>
      <c r="P19" s="145">
        <v>4770000</v>
      </c>
      <c r="Q19" s="176">
        <f t="shared" si="1"/>
        <v>3290000</v>
      </c>
      <c r="S19" s="195"/>
      <c r="U19" s="195"/>
    </row>
    <row r="20" spans="1:21" ht="24.95" customHeight="1" x14ac:dyDescent="0.25">
      <c r="A20" s="75">
        <v>13</v>
      </c>
      <c r="B20" s="133">
        <v>42905</v>
      </c>
      <c r="C20" s="135" t="s">
        <v>1180</v>
      </c>
      <c r="D20" s="136" t="s">
        <v>1201</v>
      </c>
      <c r="E20" s="78" t="s">
        <v>27</v>
      </c>
      <c r="F20" s="80"/>
      <c r="G20" s="77">
        <v>260</v>
      </c>
      <c r="H20" s="81">
        <v>3504800</v>
      </c>
      <c r="I20" s="81"/>
      <c r="J20" s="69">
        <f>800000+140000</f>
        <v>940000</v>
      </c>
      <c r="K20" s="86"/>
      <c r="L20" s="69"/>
      <c r="M20" s="69"/>
      <c r="N20" s="69"/>
      <c r="O20" s="142">
        <f t="shared" si="0"/>
        <v>4444800</v>
      </c>
      <c r="P20" s="145">
        <v>2827273</v>
      </c>
      <c r="Q20" s="176">
        <f t="shared" si="1"/>
        <v>-1617527</v>
      </c>
      <c r="S20" s="195"/>
      <c r="U20" s="195"/>
    </row>
    <row r="21" spans="1:21" ht="24.95" customHeight="1" x14ac:dyDescent="0.25">
      <c r="A21" s="75">
        <v>14</v>
      </c>
      <c r="B21" s="133">
        <v>42906</v>
      </c>
      <c r="C21" s="135" t="s">
        <v>1181</v>
      </c>
      <c r="D21" s="136" t="s">
        <v>1202</v>
      </c>
      <c r="E21" s="78" t="s">
        <v>1157</v>
      </c>
      <c r="F21" s="80"/>
      <c r="G21" s="77"/>
      <c r="H21" s="81"/>
      <c r="I21" s="81"/>
      <c r="J21" s="69">
        <f>1150000+140000</f>
        <v>1290000</v>
      </c>
      <c r="K21" s="86"/>
      <c r="L21" s="69"/>
      <c r="M21" s="69"/>
      <c r="N21" s="69"/>
      <c r="O21" s="142">
        <f t="shared" si="0"/>
        <v>1290000</v>
      </c>
      <c r="P21" s="145">
        <v>3500000</v>
      </c>
      <c r="Q21" s="176">
        <f t="shared" si="1"/>
        <v>2210000</v>
      </c>
      <c r="S21" s="195"/>
      <c r="U21" s="195"/>
    </row>
    <row r="22" spans="1:21" ht="24.95" customHeight="1" x14ac:dyDescent="0.25">
      <c r="A22" s="75">
        <v>15</v>
      </c>
      <c r="B22" s="133">
        <v>42907</v>
      </c>
      <c r="C22" s="135" t="s">
        <v>1182</v>
      </c>
      <c r="D22" s="136" t="s">
        <v>1203</v>
      </c>
      <c r="E22" s="78" t="s">
        <v>1213</v>
      </c>
      <c r="F22" s="80"/>
      <c r="G22" s="77"/>
      <c r="H22" s="81"/>
      <c r="I22" s="81"/>
      <c r="J22" s="69">
        <f>1600000</f>
        <v>1600000</v>
      </c>
      <c r="K22" s="86"/>
      <c r="L22" s="69"/>
      <c r="M22" s="69"/>
      <c r="N22" s="69"/>
      <c r="O22" s="142">
        <f t="shared" si="0"/>
        <v>1600000</v>
      </c>
      <c r="P22" s="145">
        <v>5270000</v>
      </c>
      <c r="Q22" s="176">
        <f t="shared" si="1"/>
        <v>3670000</v>
      </c>
      <c r="S22" s="195"/>
      <c r="U22" s="195"/>
    </row>
    <row r="23" spans="1:21" ht="24.95" customHeight="1" x14ac:dyDescent="0.25">
      <c r="A23" s="75">
        <v>16</v>
      </c>
      <c r="B23" s="133">
        <v>42908</v>
      </c>
      <c r="C23" s="135" t="s">
        <v>1183</v>
      </c>
      <c r="D23" s="136" t="s">
        <v>1204</v>
      </c>
      <c r="E23" s="78" t="s">
        <v>1214</v>
      </c>
      <c r="F23" s="80"/>
      <c r="G23" s="77">
        <v>320</v>
      </c>
      <c r="H23" s="81">
        <v>4105600</v>
      </c>
      <c r="I23" s="81"/>
      <c r="J23" s="69">
        <f>790000+140000</f>
        <v>930000</v>
      </c>
      <c r="K23" s="86"/>
      <c r="L23" s="69"/>
      <c r="M23" s="69"/>
      <c r="N23" s="69"/>
      <c r="O23" s="142">
        <f t="shared" si="0"/>
        <v>5035600</v>
      </c>
      <c r="P23" s="145">
        <v>3300000</v>
      </c>
      <c r="Q23" s="176">
        <f t="shared" si="1"/>
        <v>-1735600</v>
      </c>
      <c r="S23" s="195"/>
      <c r="U23" s="195"/>
    </row>
    <row r="24" spans="1:21" ht="24.95" customHeight="1" x14ac:dyDescent="0.25">
      <c r="A24" s="75">
        <v>17</v>
      </c>
      <c r="B24" s="133">
        <v>42910</v>
      </c>
      <c r="C24" s="135" t="s">
        <v>1184</v>
      </c>
      <c r="D24" s="136" t="s">
        <v>1205</v>
      </c>
      <c r="E24" s="78" t="s">
        <v>1215</v>
      </c>
      <c r="F24" s="80"/>
      <c r="G24" s="77"/>
      <c r="H24" s="81"/>
      <c r="I24" s="81"/>
      <c r="J24" s="69">
        <f>810000+140000</f>
        <v>950000</v>
      </c>
      <c r="K24" s="86"/>
      <c r="L24" s="69"/>
      <c r="M24" s="69"/>
      <c r="N24" s="69"/>
      <c r="O24" s="142">
        <f t="shared" si="0"/>
        <v>950000</v>
      </c>
      <c r="P24" s="145">
        <v>3800000</v>
      </c>
      <c r="Q24" s="176">
        <f t="shared" si="1"/>
        <v>2850000</v>
      </c>
      <c r="S24" s="195"/>
      <c r="U24" s="195"/>
    </row>
    <row r="25" spans="1:21" ht="24.95" customHeight="1" x14ac:dyDescent="0.25">
      <c r="A25" s="75">
        <v>18</v>
      </c>
      <c r="B25" s="133">
        <v>42911</v>
      </c>
      <c r="C25" s="135" t="s">
        <v>1185</v>
      </c>
      <c r="D25" s="136" t="s">
        <v>1206</v>
      </c>
      <c r="E25" s="78" t="s">
        <v>188</v>
      </c>
      <c r="F25" s="80"/>
      <c r="G25" s="77"/>
      <c r="H25" s="81"/>
      <c r="I25" s="81"/>
      <c r="J25" s="69">
        <f>650000+140000</f>
        <v>790000</v>
      </c>
      <c r="K25" s="86"/>
      <c r="L25" s="69"/>
      <c r="M25" s="69"/>
      <c r="N25" s="69"/>
      <c r="O25" s="142">
        <f t="shared" si="0"/>
        <v>790000</v>
      </c>
      <c r="P25" s="145">
        <v>3181818</v>
      </c>
      <c r="Q25" s="176">
        <f t="shared" si="1"/>
        <v>2391818</v>
      </c>
      <c r="S25" s="195"/>
      <c r="U25" s="195"/>
    </row>
    <row r="26" spans="1:21" ht="24.95" customHeight="1" x14ac:dyDescent="0.25">
      <c r="A26" s="75">
        <v>19</v>
      </c>
      <c r="B26" s="133">
        <v>42912</v>
      </c>
      <c r="C26" s="135" t="s">
        <v>1186</v>
      </c>
      <c r="D26" s="136" t="s">
        <v>1207</v>
      </c>
      <c r="E26" s="78" t="s">
        <v>1216</v>
      </c>
      <c r="F26" s="80"/>
      <c r="G26" s="77">
        <v>300</v>
      </c>
      <c r="H26" s="81">
        <v>3849000</v>
      </c>
      <c r="I26" s="81"/>
      <c r="J26" s="69">
        <f>1600000+140000</f>
        <v>1740000</v>
      </c>
      <c r="K26" s="86"/>
      <c r="L26" s="69"/>
      <c r="M26" s="69"/>
      <c r="N26" s="69"/>
      <c r="O26" s="142">
        <f t="shared" si="0"/>
        <v>5589000</v>
      </c>
      <c r="P26" s="145">
        <v>6470000</v>
      </c>
      <c r="Q26" s="176">
        <f t="shared" si="1"/>
        <v>881000</v>
      </c>
      <c r="S26" s="195"/>
      <c r="U26" s="195"/>
    </row>
    <row r="27" spans="1:21" ht="24.95" customHeight="1" x14ac:dyDescent="0.25">
      <c r="A27" s="75">
        <v>20</v>
      </c>
      <c r="B27" s="133">
        <v>42913</v>
      </c>
      <c r="C27" s="135" t="s">
        <v>1187</v>
      </c>
      <c r="D27" s="136" t="s">
        <v>1208</v>
      </c>
      <c r="E27" s="78" t="s">
        <v>1217</v>
      </c>
      <c r="F27" s="80"/>
      <c r="G27" s="77"/>
      <c r="H27" s="81"/>
      <c r="I27" s="81"/>
      <c r="J27" s="69">
        <f>790000+140000</f>
        <v>930000</v>
      </c>
      <c r="K27" s="86"/>
      <c r="L27" s="69"/>
      <c r="M27" s="69"/>
      <c r="N27" s="69"/>
      <c r="O27" s="142">
        <f t="shared" si="0"/>
        <v>930000</v>
      </c>
      <c r="P27" s="145">
        <v>3300000</v>
      </c>
      <c r="Q27" s="176">
        <f t="shared" si="1"/>
        <v>2370000</v>
      </c>
      <c r="S27" s="195"/>
      <c r="U27" s="195"/>
    </row>
    <row r="28" spans="1:21" ht="24.95" customHeight="1" x14ac:dyDescent="0.25">
      <c r="A28" s="75">
        <v>21</v>
      </c>
      <c r="B28" s="133">
        <v>42914</v>
      </c>
      <c r="C28" s="135" t="s">
        <v>401</v>
      </c>
      <c r="D28" s="136" t="s">
        <v>1209</v>
      </c>
      <c r="E28" s="128" t="s">
        <v>1218</v>
      </c>
      <c r="F28" s="80"/>
      <c r="G28" s="77">
        <v>280</v>
      </c>
      <c r="H28" s="81">
        <v>3592400</v>
      </c>
      <c r="I28" s="81"/>
      <c r="J28" s="69">
        <f>1600000+140000</f>
        <v>1740000</v>
      </c>
      <c r="K28" s="86"/>
      <c r="L28" s="69"/>
      <c r="M28" s="69"/>
      <c r="N28" s="69"/>
      <c r="O28" s="142">
        <f t="shared" si="0"/>
        <v>5332400</v>
      </c>
      <c r="P28" s="145">
        <v>5270000</v>
      </c>
      <c r="Q28" s="176">
        <f t="shared" si="1"/>
        <v>-62400</v>
      </c>
      <c r="R28" s="196"/>
      <c r="S28" s="195"/>
      <c r="U28" s="195"/>
    </row>
    <row r="29" spans="1:21" ht="24.95" customHeight="1" x14ac:dyDescent="0.25">
      <c r="A29" s="75">
        <v>22</v>
      </c>
      <c r="B29" s="133">
        <v>42915</v>
      </c>
      <c r="C29" s="135" t="s">
        <v>1188</v>
      </c>
      <c r="D29" s="136" t="s">
        <v>1210</v>
      </c>
      <c r="E29" s="78" t="s">
        <v>1219</v>
      </c>
      <c r="F29" s="80"/>
      <c r="G29" s="77">
        <v>230</v>
      </c>
      <c r="H29" s="81">
        <f>G29*12830</f>
        <v>2950900</v>
      </c>
      <c r="I29" s="81"/>
      <c r="J29" s="69">
        <f>1340000-290000+140000</f>
        <v>1190000</v>
      </c>
      <c r="K29" s="86"/>
      <c r="L29" s="69"/>
      <c r="M29" s="69"/>
      <c r="N29" s="69"/>
      <c r="O29" s="142">
        <f t="shared" si="0"/>
        <v>4140900</v>
      </c>
      <c r="P29" s="145">
        <v>4100000</v>
      </c>
      <c r="Q29" s="176">
        <f t="shared" si="1"/>
        <v>-40900</v>
      </c>
      <c r="S29" s="195"/>
      <c r="U29" s="195"/>
    </row>
    <row r="30" spans="1:21" ht="24.95" customHeight="1" x14ac:dyDescent="0.25">
      <c r="A30" s="75"/>
      <c r="B30" s="133"/>
      <c r="C30" s="138"/>
      <c r="D30" s="139"/>
      <c r="E30" s="78"/>
      <c r="F30" s="110"/>
      <c r="G30" s="112"/>
      <c r="H30" s="130"/>
      <c r="I30" s="203"/>
      <c r="J30" s="112"/>
      <c r="K30" s="86"/>
      <c r="L30" s="69"/>
      <c r="M30" s="112"/>
      <c r="N30" s="112"/>
      <c r="O30" s="204"/>
      <c r="P30" s="205"/>
      <c r="Q30" s="206"/>
      <c r="S30" s="195"/>
      <c r="U30" s="195"/>
    </row>
    <row r="31" spans="1:21" ht="39" x14ac:dyDescent="0.25">
      <c r="A31" s="75"/>
      <c r="B31" s="133"/>
      <c r="C31" s="183" t="s">
        <v>1220</v>
      </c>
      <c r="D31" s="162"/>
      <c r="E31" s="153"/>
      <c r="F31" s="163"/>
      <c r="G31" s="164"/>
      <c r="H31" s="155"/>
      <c r="I31" s="165"/>
      <c r="J31" s="166"/>
      <c r="K31" s="86"/>
      <c r="L31" s="156">
        <v>2450000</v>
      </c>
      <c r="M31" s="112"/>
      <c r="N31" s="112"/>
      <c r="O31" s="142">
        <f t="shared" si="0"/>
        <v>2450000</v>
      </c>
      <c r="P31" s="68"/>
      <c r="Q31" s="176">
        <f t="shared" si="1"/>
        <v>-2450000</v>
      </c>
    </row>
    <row r="32" spans="1:21" ht="26.25" x14ac:dyDescent="0.25">
      <c r="A32" s="75"/>
      <c r="B32" s="133"/>
      <c r="C32" s="183" t="s">
        <v>1221</v>
      </c>
      <c r="D32" s="162"/>
      <c r="E32" s="153"/>
      <c r="F32" s="163"/>
      <c r="G32" s="164"/>
      <c r="H32" s="155"/>
      <c r="I32" s="165"/>
      <c r="J32" s="166"/>
      <c r="K32" s="86"/>
      <c r="L32" s="156">
        <v>200000</v>
      </c>
      <c r="M32" s="112"/>
      <c r="N32" s="112"/>
      <c r="O32" s="142">
        <f t="shared" si="0"/>
        <v>200000</v>
      </c>
      <c r="P32" s="68"/>
      <c r="Q32" s="176">
        <f t="shared" si="1"/>
        <v>-200000</v>
      </c>
    </row>
    <row r="33" spans="1:17" ht="26.25" x14ac:dyDescent="0.25">
      <c r="A33" s="75"/>
      <c r="B33" s="133"/>
      <c r="C33" s="183" t="s">
        <v>1222</v>
      </c>
      <c r="D33" s="162"/>
      <c r="E33" s="153"/>
      <c r="F33" s="163"/>
      <c r="G33" s="164"/>
      <c r="H33" s="155"/>
      <c r="I33" s="165"/>
      <c r="J33" s="166"/>
      <c r="K33" s="86"/>
      <c r="L33" s="156">
        <v>500000</v>
      </c>
      <c r="M33" s="112"/>
      <c r="N33" s="112"/>
      <c r="O33" s="142">
        <f t="shared" si="0"/>
        <v>500000</v>
      </c>
      <c r="P33" s="68"/>
      <c r="Q33" s="176">
        <f t="shared" si="1"/>
        <v>-500000</v>
      </c>
    </row>
    <row r="34" spans="1:17" ht="26.25" x14ac:dyDescent="0.25">
      <c r="A34" s="75"/>
      <c r="B34" s="133"/>
      <c r="C34" s="183" t="s">
        <v>1224</v>
      </c>
      <c r="D34" s="162"/>
      <c r="E34" s="153"/>
      <c r="F34" s="163"/>
      <c r="G34" s="164"/>
      <c r="H34" s="155"/>
      <c r="I34" s="165"/>
      <c r="J34" s="166"/>
      <c r="K34" s="86"/>
      <c r="L34" s="156">
        <f>87000/2</f>
        <v>43500</v>
      </c>
      <c r="M34" s="112"/>
      <c r="N34" s="112"/>
      <c r="O34" s="142">
        <f t="shared" si="0"/>
        <v>43500</v>
      </c>
      <c r="P34" s="68"/>
      <c r="Q34" s="176">
        <f t="shared" si="1"/>
        <v>-43500</v>
      </c>
    </row>
    <row r="35" spans="1:17" ht="26.25" x14ac:dyDescent="0.25">
      <c r="A35" s="75"/>
      <c r="B35" s="133"/>
      <c r="C35" s="183" t="s">
        <v>1223</v>
      </c>
      <c r="D35" s="162"/>
      <c r="E35" s="153"/>
      <c r="F35" s="163"/>
      <c r="G35" s="164"/>
      <c r="H35" s="155"/>
      <c r="I35" s="165"/>
      <c r="J35" s="166"/>
      <c r="K35" s="86"/>
      <c r="L35" s="156">
        <v>500000</v>
      </c>
      <c r="M35" s="112"/>
      <c r="N35" s="112"/>
      <c r="O35" s="142">
        <f t="shared" si="0"/>
        <v>500000</v>
      </c>
      <c r="P35" s="68"/>
      <c r="Q35" s="176">
        <f t="shared" si="1"/>
        <v>-500000</v>
      </c>
    </row>
    <row r="36" spans="1:17" x14ac:dyDescent="0.25">
      <c r="A36" s="75"/>
      <c r="B36" s="133"/>
      <c r="C36" s="170" t="s">
        <v>1160</v>
      </c>
      <c r="D36" s="162"/>
      <c r="E36" s="153"/>
      <c r="F36" s="163"/>
      <c r="G36" s="164"/>
      <c r="H36" s="155"/>
      <c r="I36" s="165"/>
      <c r="J36" s="166"/>
      <c r="K36" s="86">
        <f>1200000*1.1</f>
        <v>1320000</v>
      </c>
      <c r="L36" s="156"/>
      <c r="M36" s="112"/>
      <c r="N36" s="112"/>
      <c r="O36" s="142">
        <f t="shared" si="0"/>
        <v>1320000</v>
      </c>
      <c r="P36" s="68"/>
      <c r="Q36" s="176">
        <f t="shared" si="1"/>
        <v>-1320000</v>
      </c>
    </row>
    <row r="37" spans="1:17" x14ac:dyDescent="0.25">
      <c r="A37" s="75"/>
      <c r="B37" s="70"/>
      <c r="C37" s="108" t="s">
        <v>1159</v>
      </c>
      <c r="D37" s="87"/>
      <c r="E37" s="70"/>
      <c r="F37" s="110"/>
      <c r="G37" s="70"/>
      <c r="H37" s="81"/>
      <c r="I37" s="111"/>
      <c r="J37" s="112"/>
      <c r="K37" s="113">
        <v>9000000</v>
      </c>
      <c r="L37" s="141"/>
      <c r="M37" s="112"/>
      <c r="N37" s="112"/>
      <c r="O37" s="142">
        <f t="shared" si="0"/>
        <v>9000000</v>
      </c>
      <c r="P37" s="68"/>
      <c r="Q37" s="176">
        <f t="shared" si="1"/>
        <v>-9000000</v>
      </c>
    </row>
    <row r="38" spans="1:17" x14ac:dyDescent="0.25">
      <c r="A38" s="547" t="s">
        <v>19</v>
      </c>
      <c r="B38" s="548"/>
      <c r="C38" s="548"/>
      <c r="D38" s="548"/>
      <c r="E38" s="548"/>
      <c r="F38" s="549"/>
      <c r="G38" s="89">
        <f t="shared" ref="G38:Q38" si="2">SUM(G7:G37)</f>
        <v>2690</v>
      </c>
      <c r="H38" s="71">
        <f t="shared" si="2"/>
        <v>35465500</v>
      </c>
      <c r="I38" s="71">
        <f t="shared" si="2"/>
        <v>0</v>
      </c>
      <c r="J38" s="71">
        <f t="shared" si="2"/>
        <v>30930000</v>
      </c>
      <c r="K38" s="71">
        <f t="shared" si="2"/>
        <v>10320000</v>
      </c>
      <c r="L38" s="71">
        <f t="shared" si="2"/>
        <v>3693500</v>
      </c>
      <c r="M38" s="71">
        <f t="shared" si="2"/>
        <v>0</v>
      </c>
      <c r="N38" s="71">
        <f t="shared" si="2"/>
        <v>0</v>
      </c>
      <c r="O38" s="71">
        <f t="shared" si="2"/>
        <v>80409000</v>
      </c>
      <c r="P38" s="71">
        <f t="shared" si="2"/>
        <v>104793636</v>
      </c>
      <c r="Q38" s="71">
        <f t="shared" si="2"/>
        <v>24384636</v>
      </c>
    </row>
    <row r="39" spans="1:17" x14ac:dyDescent="0.25">
      <c r="P39" t="s">
        <v>1100</v>
      </c>
      <c r="Q39" s="202">
        <f>'05-2017'!Q47+'06-2017'!Q38</f>
        <v>69752054</v>
      </c>
    </row>
  </sheetData>
  <mergeCells count="5">
    <mergeCell ref="A1:Q1"/>
    <mergeCell ref="A2:Q2"/>
    <mergeCell ref="A3:Q3"/>
    <mergeCell ref="G5:N5"/>
    <mergeCell ref="A38:F3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46"/>
  <sheetViews>
    <sheetView topLeftCell="D34" workbookViewId="0">
      <selection activeCell="Q46" sqref="A1:Q46"/>
    </sheetView>
  </sheetViews>
  <sheetFormatPr defaultRowHeight="15" x14ac:dyDescent="0.25"/>
  <cols>
    <col min="3" max="3" width="33" customWidth="1"/>
    <col min="4" max="4" width="13.5703125" customWidth="1"/>
    <col min="5" max="5" width="30.28515625" customWidth="1"/>
    <col min="15" max="15" width="11.5703125" customWidth="1"/>
    <col min="16" max="16" width="12.5703125" customWidth="1"/>
    <col min="17" max="17" width="11" customWidth="1"/>
    <col min="19" max="19" width="13.5703125" customWidth="1"/>
  </cols>
  <sheetData>
    <row r="1" spans="1:21" ht="23.25" x14ac:dyDescent="0.25">
      <c r="A1" s="551" t="s">
        <v>0</v>
      </c>
      <c r="B1" s="551"/>
      <c r="C1" s="551"/>
      <c r="D1" s="551"/>
      <c r="E1" s="551"/>
      <c r="F1" s="551"/>
      <c r="G1" s="551"/>
      <c r="H1" s="551"/>
      <c r="I1" s="551"/>
      <c r="J1" s="551"/>
      <c r="K1" s="551"/>
      <c r="L1" s="551"/>
      <c r="M1" s="551"/>
      <c r="N1" s="551"/>
      <c r="O1" s="551"/>
      <c r="P1" s="551"/>
      <c r="Q1" s="551"/>
    </row>
    <row r="2" spans="1:21" ht="15.75" x14ac:dyDescent="0.25">
      <c r="A2" s="550" t="s">
        <v>103</v>
      </c>
      <c r="B2" s="550"/>
      <c r="C2" s="550"/>
      <c r="D2" s="550"/>
      <c r="E2" s="550"/>
      <c r="F2" s="550"/>
      <c r="G2" s="550"/>
      <c r="H2" s="550"/>
      <c r="I2" s="550"/>
      <c r="J2" s="550"/>
      <c r="K2" s="550"/>
      <c r="L2" s="550"/>
      <c r="M2" s="550"/>
      <c r="N2" s="550"/>
      <c r="O2" s="550"/>
      <c r="P2" s="550"/>
      <c r="Q2" s="550"/>
    </row>
    <row r="3" spans="1:21" ht="15.75" x14ac:dyDescent="0.25">
      <c r="A3" s="550" t="s">
        <v>1226</v>
      </c>
      <c r="B3" s="550"/>
      <c r="C3" s="550"/>
      <c r="D3" s="550"/>
      <c r="E3" s="550"/>
      <c r="F3" s="550"/>
      <c r="G3" s="550"/>
      <c r="H3" s="550"/>
      <c r="I3" s="550"/>
      <c r="J3" s="550"/>
      <c r="K3" s="550"/>
      <c r="L3" s="550"/>
      <c r="M3" s="550"/>
      <c r="N3" s="550"/>
      <c r="O3" s="550"/>
      <c r="P3" s="550"/>
      <c r="Q3" s="550"/>
    </row>
    <row r="4" spans="1:21" x14ac:dyDescent="0.25">
      <c r="A4" s="74"/>
      <c r="B4" s="99"/>
      <c r="C4" s="74"/>
      <c r="D4" s="74"/>
      <c r="E4" s="74" t="s">
        <v>194</v>
      </c>
      <c r="F4" s="74"/>
      <c r="G4" s="74"/>
      <c r="H4" s="72"/>
      <c r="I4" s="74"/>
      <c r="J4" s="72"/>
      <c r="K4" s="72"/>
      <c r="L4" s="72"/>
      <c r="M4" s="72"/>
      <c r="N4" s="72"/>
      <c r="O4" s="72"/>
      <c r="P4" s="72"/>
      <c r="Q4" s="72"/>
    </row>
    <row r="5" spans="1:21" ht="25.5" x14ac:dyDescent="0.25">
      <c r="A5" s="177" t="s">
        <v>1</v>
      </c>
      <c r="B5" s="178" t="s">
        <v>2</v>
      </c>
      <c r="C5" s="177" t="s">
        <v>3</v>
      </c>
      <c r="D5" s="177" t="s">
        <v>5</v>
      </c>
      <c r="E5" s="174" t="s">
        <v>4</v>
      </c>
      <c r="F5" s="174" t="s">
        <v>17</v>
      </c>
      <c r="G5" s="552" t="s">
        <v>6</v>
      </c>
      <c r="H5" s="553"/>
      <c r="I5" s="553"/>
      <c r="J5" s="553"/>
      <c r="K5" s="553"/>
      <c r="L5" s="553"/>
      <c r="M5" s="553"/>
      <c r="N5" s="554"/>
      <c r="O5" s="127" t="s">
        <v>18</v>
      </c>
      <c r="P5" s="127" t="s">
        <v>13</v>
      </c>
      <c r="Q5" s="127" t="s">
        <v>14</v>
      </c>
    </row>
    <row r="6" spans="1:21" x14ac:dyDescent="0.25">
      <c r="A6" s="179"/>
      <c r="B6" s="180"/>
      <c r="C6" s="179"/>
      <c r="D6" s="179"/>
      <c r="E6" s="175"/>
      <c r="F6" s="175"/>
      <c r="G6" s="6" t="s">
        <v>7</v>
      </c>
      <c r="H6" s="7" t="s">
        <v>15</v>
      </c>
      <c r="I6" s="6" t="s">
        <v>16</v>
      </c>
      <c r="J6" s="7" t="s">
        <v>8</v>
      </c>
      <c r="K6" s="7" t="s">
        <v>9</v>
      </c>
      <c r="L6" s="7" t="s">
        <v>10</v>
      </c>
      <c r="M6" s="7" t="s">
        <v>11</v>
      </c>
      <c r="N6" s="7" t="s">
        <v>12</v>
      </c>
      <c r="O6" s="181"/>
      <c r="P6" s="181"/>
      <c r="Q6" s="181"/>
    </row>
    <row r="7" spans="1:21" x14ac:dyDescent="0.25">
      <c r="A7" s="75"/>
      <c r="B7" s="100"/>
      <c r="C7" s="88"/>
      <c r="D7" s="88"/>
      <c r="E7" s="134"/>
      <c r="F7" s="75"/>
      <c r="G7" s="77"/>
      <c r="H7" s="68"/>
      <c r="I7" s="75"/>
      <c r="J7" s="68"/>
      <c r="K7" s="68"/>
      <c r="L7" s="68"/>
      <c r="M7" s="68"/>
      <c r="N7" s="68"/>
      <c r="O7" s="68">
        <f>H7+J7+K7+L7+M7+N7</f>
        <v>0</v>
      </c>
      <c r="P7" s="144"/>
      <c r="Q7" s="68">
        <f>P7-O7</f>
        <v>0</v>
      </c>
    </row>
    <row r="8" spans="1:21" ht="24.95" customHeight="1" x14ac:dyDescent="0.25">
      <c r="A8" s="75">
        <v>1</v>
      </c>
      <c r="B8" s="133">
        <v>42920</v>
      </c>
      <c r="C8" s="135" t="s">
        <v>1227</v>
      </c>
      <c r="D8" s="136" t="s">
        <v>1248</v>
      </c>
      <c r="E8" s="78" t="s">
        <v>116</v>
      </c>
      <c r="F8" s="80"/>
      <c r="G8" s="77"/>
      <c r="H8" s="81"/>
      <c r="I8" s="81"/>
      <c r="J8" s="69">
        <f>790000+140000</f>
        <v>930000</v>
      </c>
      <c r="K8" s="86"/>
      <c r="L8" s="69"/>
      <c r="M8" s="69"/>
      <c r="N8" s="69"/>
      <c r="O8" s="142">
        <f>H8+J8+K8+L8+M8+N8</f>
        <v>930000</v>
      </c>
      <c r="P8" s="145">
        <v>3300000</v>
      </c>
      <c r="Q8" s="176">
        <f>P8-O8</f>
        <v>2370000</v>
      </c>
      <c r="S8" s="195"/>
      <c r="U8" s="195"/>
    </row>
    <row r="9" spans="1:21" ht="24.95" customHeight="1" x14ac:dyDescent="0.25">
      <c r="A9" s="75">
        <v>2</v>
      </c>
      <c r="B9" s="133">
        <v>42921</v>
      </c>
      <c r="C9" s="135" t="s">
        <v>1228</v>
      </c>
      <c r="D9" s="136" t="s">
        <v>1249</v>
      </c>
      <c r="E9" s="78" t="s">
        <v>1215</v>
      </c>
      <c r="F9" s="80"/>
      <c r="G9" s="77"/>
      <c r="H9" s="81"/>
      <c r="I9" s="81"/>
      <c r="J9" s="189">
        <f>810000+140000</f>
        <v>950000</v>
      </c>
      <c r="K9" s="86"/>
      <c r="L9" s="69"/>
      <c r="M9" s="69"/>
      <c r="N9" s="69"/>
      <c r="O9" s="142">
        <f t="shared" ref="O9:O44" si="0">H9+J9+K9+L9+M9+N9</f>
        <v>950000</v>
      </c>
      <c r="P9" s="145">
        <v>3800000</v>
      </c>
      <c r="Q9" s="176">
        <f t="shared" ref="Q9:Q44" si="1">P9-O9</f>
        <v>2850000</v>
      </c>
      <c r="S9" s="195"/>
      <c r="U9" s="195"/>
    </row>
    <row r="10" spans="1:21" ht="24.95" customHeight="1" x14ac:dyDescent="0.25">
      <c r="A10" s="75">
        <v>3</v>
      </c>
      <c r="B10" s="133">
        <v>42922</v>
      </c>
      <c r="C10" s="135" t="s">
        <v>1229</v>
      </c>
      <c r="D10" s="136" t="s">
        <v>1250</v>
      </c>
      <c r="E10" s="78" t="s">
        <v>1079</v>
      </c>
      <c r="F10" s="80"/>
      <c r="G10" s="77">
        <v>199</v>
      </c>
      <c r="H10" s="81">
        <v>2577050</v>
      </c>
      <c r="I10" s="81"/>
      <c r="J10" s="69">
        <f>1150000+140000</f>
        <v>1290000</v>
      </c>
      <c r="K10" s="86"/>
      <c r="L10" s="69"/>
      <c r="M10" s="69"/>
      <c r="N10" s="69"/>
      <c r="O10" s="142">
        <f t="shared" si="0"/>
        <v>3867050</v>
      </c>
      <c r="P10" s="145">
        <v>3800000</v>
      </c>
      <c r="Q10" s="176">
        <f t="shared" si="1"/>
        <v>-67050</v>
      </c>
      <c r="S10" s="195"/>
      <c r="U10" s="195"/>
    </row>
    <row r="11" spans="1:21" ht="24.95" customHeight="1" x14ac:dyDescent="0.25">
      <c r="A11" s="75">
        <v>4</v>
      </c>
      <c r="B11" s="133">
        <v>42923</v>
      </c>
      <c r="C11" s="135" t="s">
        <v>1230</v>
      </c>
      <c r="D11" s="136" t="s">
        <v>1251</v>
      </c>
      <c r="E11" s="78" t="s">
        <v>1270</v>
      </c>
      <c r="F11" s="80"/>
      <c r="G11" s="77"/>
      <c r="H11" s="81"/>
      <c r="I11" s="81"/>
      <c r="J11" s="69">
        <f>1150000+140000</f>
        <v>1290000</v>
      </c>
      <c r="K11" s="86"/>
      <c r="L11" s="69"/>
      <c r="M11" s="69"/>
      <c r="N11" s="69"/>
      <c r="O11" s="142">
        <f t="shared" si="0"/>
        <v>1290000</v>
      </c>
      <c r="P11" s="145">
        <v>3200000</v>
      </c>
      <c r="Q11" s="176">
        <f t="shared" si="1"/>
        <v>1910000</v>
      </c>
      <c r="S11" s="195"/>
      <c r="U11" s="195"/>
    </row>
    <row r="12" spans="1:21" ht="24.95" customHeight="1" x14ac:dyDescent="0.25">
      <c r="A12" s="75">
        <v>5</v>
      </c>
      <c r="B12" s="133">
        <v>42924</v>
      </c>
      <c r="C12" s="135" t="s">
        <v>1231</v>
      </c>
      <c r="D12" s="136" t="s">
        <v>1252</v>
      </c>
      <c r="E12" s="78" t="s">
        <v>424</v>
      </c>
      <c r="F12" s="80"/>
      <c r="G12" s="77">
        <v>200</v>
      </c>
      <c r="H12" s="81">
        <v>2590000</v>
      </c>
      <c r="I12" s="81"/>
      <c r="J12" s="69">
        <f>800000+140000</f>
        <v>940000</v>
      </c>
      <c r="K12" s="86"/>
      <c r="L12" s="69"/>
      <c r="M12" s="69"/>
      <c r="N12" s="69"/>
      <c r="O12" s="142">
        <f t="shared" si="0"/>
        <v>3530000</v>
      </c>
      <c r="P12" s="145">
        <v>3000000</v>
      </c>
      <c r="Q12" s="176">
        <f t="shared" si="1"/>
        <v>-530000</v>
      </c>
      <c r="S12" s="195"/>
      <c r="U12" s="195"/>
    </row>
    <row r="13" spans="1:21" ht="24.95" customHeight="1" x14ac:dyDescent="0.25">
      <c r="A13" s="75">
        <v>6</v>
      </c>
      <c r="B13" s="133">
        <v>42925</v>
      </c>
      <c r="C13" s="135" t="s">
        <v>1232</v>
      </c>
      <c r="D13" s="136" t="s">
        <v>1253</v>
      </c>
      <c r="E13" s="78" t="s">
        <v>153</v>
      </c>
      <c r="F13" s="80"/>
      <c r="G13" s="77"/>
      <c r="H13" s="81"/>
      <c r="I13" s="81"/>
      <c r="J13" s="69">
        <f>1600000+140000</f>
        <v>1740000</v>
      </c>
      <c r="K13" s="86"/>
      <c r="L13" s="69"/>
      <c r="M13" s="69"/>
      <c r="N13" s="69"/>
      <c r="O13" s="142">
        <f t="shared" si="0"/>
        <v>1740000</v>
      </c>
      <c r="P13" s="145">
        <v>5070000</v>
      </c>
      <c r="Q13" s="176">
        <f t="shared" si="1"/>
        <v>3330000</v>
      </c>
      <c r="S13" s="195"/>
      <c r="U13" s="195"/>
    </row>
    <row r="14" spans="1:21" ht="24.95" customHeight="1" x14ac:dyDescent="0.25">
      <c r="A14" s="75">
        <v>7</v>
      </c>
      <c r="B14" s="133">
        <v>42926</v>
      </c>
      <c r="C14" s="135" t="s">
        <v>1233</v>
      </c>
      <c r="D14" s="136" t="s">
        <v>1254</v>
      </c>
      <c r="E14" s="78" t="s">
        <v>301</v>
      </c>
      <c r="F14" s="80"/>
      <c r="G14" s="77">
        <v>210</v>
      </c>
      <c r="H14" s="81">
        <v>2719500</v>
      </c>
      <c r="I14" s="81"/>
      <c r="J14" s="69">
        <f>4670000+140000</f>
        <v>4810000</v>
      </c>
      <c r="K14" s="86"/>
      <c r="L14" s="69"/>
      <c r="M14" s="69"/>
      <c r="N14" s="69"/>
      <c r="O14" s="142">
        <f t="shared" si="0"/>
        <v>7529500</v>
      </c>
      <c r="P14" s="145">
        <v>19545455</v>
      </c>
      <c r="Q14" s="176">
        <f t="shared" si="1"/>
        <v>12015955</v>
      </c>
      <c r="S14" s="195"/>
      <c r="U14" s="195"/>
    </row>
    <row r="15" spans="1:21" ht="24.95" customHeight="1" x14ac:dyDescent="0.25">
      <c r="A15" s="75">
        <v>8</v>
      </c>
      <c r="B15" s="133">
        <v>42929</v>
      </c>
      <c r="C15" s="135" t="s">
        <v>1234</v>
      </c>
      <c r="D15" s="136" t="s">
        <v>1255</v>
      </c>
      <c r="E15" s="78" t="s">
        <v>1271</v>
      </c>
      <c r="F15" s="80"/>
      <c r="G15" s="77">
        <v>340</v>
      </c>
      <c r="H15" s="81">
        <v>4403000</v>
      </c>
      <c r="I15" s="81"/>
      <c r="J15" s="69">
        <v>790000</v>
      </c>
      <c r="K15" s="86"/>
      <c r="L15" s="69"/>
      <c r="M15" s="69"/>
      <c r="N15" s="69"/>
      <c r="O15" s="142">
        <f t="shared" si="0"/>
        <v>5193000</v>
      </c>
      <c r="P15" s="145">
        <v>3200000</v>
      </c>
      <c r="Q15" s="176">
        <f t="shared" si="1"/>
        <v>-1993000</v>
      </c>
      <c r="S15" s="195"/>
      <c r="U15" s="195"/>
    </row>
    <row r="16" spans="1:21" ht="24.95" customHeight="1" x14ac:dyDescent="0.25">
      <c r="A16" s="75">
        <v>9</v>
      </c>
      <c r="B16" s="133">
        <v>42929</v>
      </c>
      <c r="C16" s="135" t="s">
        <v>453</v>
      </c>
      <c r="D16" s="136" t="s">
        <v>1256</v>
      </c>
      <c r="E16" s="78" t="s">
        <v>24</v>
      </c>
      <c r="F16" s="80"/>
      <c r="G16" s="77"/>
      <c r="H16" s="81"/>
      <c r="I16" s="81"/>
      <c r="J16" s="69">
        <f>1910000+140000</f>
        <v>2050000</v>
      </c>
      <c r="K16" s="86"/>
      <c r="L16" s="69"/>
      <c r="M16" s="69"/>
      <c r="N16" s="69"/>
      <c r="O16" s="142">
        <f t="shared" si="0"/>
        <v>2050000</v>
      </c>
      <c r="P16" s="145">
        <v>7500000</v>
      </c>
      <c r="Q16" s="176">
        <f t="shared" si="1"/>
        <v>5450000</v>
      </c>
      <c r="S16" s="195"/>
      <c r="U16" s="195"/>
    </row>
    <row r="17" spans="1:21" ht="24.95" customHeight="1" x14ac:dyDescent="0.25">
      <c r="A17" s="75">
        <v>10</v>
      </c>
      <c r="B17" s="133">
        <v>42930</v>
      </c>
      <c r="C17" s="135" t="s">
        <v>1235</v>
      </c>
      <c r="D17" s="136" t="s">
        <v>1257</v>
      </c>
      <c r="E17" s="78" t="s">
        <v>24</v>
      </c>
      <c r="F17" s="80"/>
      <c r="G17" s="77">
        <v>260</v>
      </c>
      <c r="H17" s="81">
        <v>3367000</v>
      </c>
      <c r="I17" s="81"/>
      <c r="J17" s="69">
        <f>1910000+140000</f>
        <v>2050000</v>
      </c>
      <c r="K17" s="86"/>
      <c r="L17" s="69"/>
      <c r="M17" s="69"/>
      <c r="N17" s="69"/>
      <c r="O17" s="142">
        <f t="shared" si="0"/>
        <v>5417000</v>
      </c>
      <c r="P17" s="145">
        <v>7500000</v>
      </c>
      <c r="Q17" s="176">
        <f t="shared" si="1"/>
        <v>2083000</v>
      </c>
      <c r="S17" s="195"/>
      <c r="U17" s="195"/>
    </row>
    <row r="18" spans="1:21" ht="24.95" customHeight="1" x14ac:dyDescent="0.25">
      <c r="A18" s="75">
        <v>11</v>
      </c>
      <c r="B18" s="133">
        <v>42933</v>
      </c>
      <c r="C18" s="135" t="s">
        <v>1236</v>
      </c>
      <c r="D18" s="136" t="s">
        <v>1258</v>
      </c>
      <c r="E18" s="78" t="s">
        <v>21</v>
      </c>
      <c r="F18" s="80"/>
      <c r="G18" s="77">
        <v>180</v>
      </c>
      <c r="H18" s="81">
        <v>2331000</v>
      </c>
      <c r="I18" s="81"/>
      <c r="J18" s="69">
        <f>2920000+140000</f>
        <v>3060000</v>
      </c>
      <c r="K18" s="86"/>
      <c r="L18" s="69"/>
      <c r="M18" s="69"/>
      <c r="N18" s="69"/>
      <c r="O18" s="142">
        <f t="shared" si="0"/>
        <v>5391000</v>
      </c>
      <c r="P18" s="145">
        <v>12181818</v>
      </c>
      <c r="Q18" s="176">
        <f t="shared" si="1"/>
        <v>6790818</v>
      </c>
      <c r="S18" s="195"/>
      <c r="U18" s="195"/>
    </row>
    <row r="19" spans="1:21" ht="24.95" customHeight="1" x14ac:dyDescent="0.25">
      <c r="A19" s="75">
        <v>12</v>
      </c>
      <c r="B19" s="133">
        <v>42933</v>
      </c>
      <c r="C19" s="135" t="s">
        <v>1237</v>
      </c>
      <c r="D19" s="136" t="s">
        <v>1259</v>
      </c>
      <c r="E19" s="78" t="s">
        <v>21</v>
      </c>
      <c r="F19" s="80"/>
      <c r="G19" s="77">
        <v>250</v>
      </c>
      <c r="H19" s="81">
        <v>3237500</v>
      </c>
      <c r="I19" s="81"/>
      <c r="J19" s="69">
        <f>2920000+140000</f>
        <v>3060000</v>
      </c>
      <c r="K19" s="86"/>
      <c r="L19" s="69"/>
      <c r="M19" s="69"/>
      <c r="N19" s="69"/>
      <c r="O19" s="142">
        <f t="shared" si="0"/>
        <v>6297500</v>
      </c>
      <c r="P19" s="145">
        <v>12181818</v>
      </c>
      <c r="Q19" s="176">
        <f t="shared" si="1"/>
        <v>5884318</v>
      </c>
      <c r="S19" s="195"/>
      <c r="U19" s="195"/>
    </row>
    <row r="20" spans="1:21" ht="24.95" customHeight="1" x14ac:dyDescent="0.25">
      <c r="A20" s="75">
        <v>13</v>
      </c>
      <c r="B20" s="133">
        <v>42935</v>
      </c>
      <c r="C20" s="135" t="s">
        <v>1238</v>
      </c>
      <c r="D20" s="136" t="s">
        <v>1260</v>
      </c>
      <c r="E20" s="78" t="s">
        <v>24</v>
      </c>
      <c r="F20" s="80"/>
      <c r="G20" s="77">
        <v>245</v>
      </c>
      <c r="H20" s="81">
        <v>3172750</v>
      </c>
      <c r="I20" s="81"/>
      <c r="J20" s="69">
        <f>1910000+140000</f>
        <v>2050000</v>
      </c>
      <c r="K20" s="86"/>
      <c r="L20" s="69"/>
      <c r="M20" s="69"/>
      <c r="N20" s="69"/>
      <c r="O20" s="142">
        <f t="shared" si="0"/>
        <v>5222750</v>
      </c>
      <c r="P20" s="145">
        <v>7500000</v>
      </c>
      <c r="Q20" s="176">
        <f t="shared" si="1"/>
        <v>2277250</v>
      </c>
      <c r="S20" s="195"/>
      <c r="U20" s="195"/>
    </row>
    <row r="21" spans="1:21" ht="24.95" customHeight="1" x14ac:dyDescent="0.25">
      <c r="A21" s="75">
        <v>14</v>
      </c>
      <c r="B21" s="133">
        <v>42936</v>
      </c>
      <c r="C21" s="135" t="s">
        <v>1239</v>
      </c>
      <c r="D21" s="136" t="s">
        <v>1261</v>
      </c>
      <c r="E21" s="78" t="s">
        <v>88</v>
      </c>
      <c r="F21" s="80"/>
      <c r="G21" s="77"/>
      <c r="H21" s="81"/>
      <c r="I21" s="81"/>
      <c r="J21" s="69">
        <f>1000000+140000-50000</f>
        <v>1090000</v>
      </c>
      <c r="K21" s="86"/>
      <c r="L21" s="69"/>
      <c r="M21" s="69"/>
      <c r="N21" s="69"/>
      <c r="O21" s="142">
        <f t="shared" si="0"/>
        <v>1090000</v>
      </c>
      <c r="P21" s="145">
        <v>3800000</v>
      </c>
      <c r="Q21" s="176">
        <f t="shared" si="1"/>
        <v>2710000</v>
      </c>
      <c r="S21" s="195"/>
      <c r="U21" s="195"/>
    </row>
    <row r="22" spans="1:21" ht="24.95" customHeight="1" x14ac:dyDescent="0.25">
      <c r="A22" s="75">
        <v>15</v>
      </c>
      <c r="B22" s="133">
        <v>42937</v>
      </c>
      <c r="C22" s="135" t="s">
        <v>1240</v>
      </c>
      <c r="D22" s="136" t="s">
        <v>1262</v>
      </c>
      <c r="E22" s="78" t="s">
        <v>88</v>
      </c>
      <c r="F22" s="80"/>
      <c r="G22" s="77">
        <v>290</v>
      </c>
      <c r="H22" s="81">
        <v>3862800</v>
      </c>
      <c r="I22" s="81"/>
      <c r="J22" s="69">
        <f>1000000+140000-50000</f>
        <v>1090000</v>
      </c>
      <c r="K22" s="86"/>
      <c r="L22" s="69"/>
      <c r="M22" s="69"/>
      <c r="N22" s="69"/>
      <c r="O22" s="142">
        <f t="shared" si="0"/>
        <v>4952800</v>
      </c>
      <c r="P22" s="145">
        <v>3800000</v>
      </c>
      <c r="Q22" s="176">
        <f t="shared" si="1"/>
        <v>-1152800</v>
      </c>
      <c r="S22" s="195"/>
      <c r="U22" s="195"/>
    </row>
    <row r="23" spans="1:21" ht="24.95" customHeight="1" x14ac:dyDescent="0.25">
      <c r="A23" s="75">
        <v>16</v>
      </c>
      <c r="B23" s="133">
        <v>42938</v>
      </c>
      <c r="C23" s="135" t="s">
        <v>1241</v>
      </c>
      <c r="D23" s="136" t="s">
        <v>1263</v>
      </c>
      <c r="E23" s="78" t="s">
        <v>88</v>
      </c>
      <c r="F23" s="80"/>
      <c r="G23" s="77"/>
      <c r="H23" s="81"/>
      <c r="I23" s="81"/>
      <c r="J23" s="69">
        <f>1000000+140000-50000</f>
        <v>1090000</v>
      </c>
      <c r="K23" s="86"/>
      <c r="L23" s="69"/>
      <c r="M23" s="69"/>
      <c r="N23" s="69"/>
      <c r="O23" s="142">
        <f t="shared" si="0"/>
        <v>1090000</v>
      </c>
      <c r="P23" s="145">
        <v>3800000</v>
      </c>
      <c r="Q23" s="176">
        <f t="shared" si="1"/>
        <v>2710000</v>
      </c>
      <c r="S23" s="195"/>
      <c r="U23" s="195"/>
    </row>
    <row r="24" spans="1:21" ht="24.95" customHeight="1" x14ac:dyDescent="0.25">
      <c r="A24" s="75">
        <v>17</v>
      </c>
      <c r="B24" s="133">
        <v>42938</v>
      </c>
      <c r="C24" s="135" t="s">
        <v>1242</v>
      </c>
      <c r="D24" s="136" t="s">
        <v>1264</v>
      </c>
      <c r="E24" s="78" t="s">
        <v>24</v>
      </c>
      <c r="F24" s="80"/>
      <c r="G24" s="77"/>
      <c r="H24" s="81"/>
      <c r="I24" s="81"/>
      <c r="J24" s="69">
        <f>1910000+140000</f>
        <v>2050000</v>
      </c>
      <c r="K24" s="86"/>
      <c r="L24" s="69"/>
      <c r="M24" s="69"/>
      <c r="N24" s="69"/>
      <c r="O24" s="142">
        <f t="shared" si="0"/>
        <v>2050000</v>
      </c>
      <c r="P24" s="145">
        <v>7500000</v>
      </c>
      <c r="Q24" s="176">
        <f t="shared" si="1"/>
        <v>5450000</v>
      </c>
      <c r="S24" s="195"/>
      <c r="U24" s="195"/>
    </row>
    <row r="25" spans="1:21" ht="24.95" customHeight="1" x14ac:dyDescent="0.25">
      <c r="A25" s="75">
        <v>18</v>
      </c>
      <c r="B25" s="133">
        <v>42940</v>
      </c>
      <c r="C25" s="135" t="s">
        <v>1243</v>
      </c>
      <c r="D25" s="136" t="s">
        <v>1265</v>
      </c>
      <c r="E25" s="78" t="s">
        <v>88</v>
      </c>
      <c r="F25" s="80"/>
      <c r="G25" s="77">
        <v>200</v>
      </c>
      <c r="H25" s="81">
        <v>2664000</v>
      </c>
      <c r="I25" s="81"/>
      <c r="J25" s="69">
        <f>1000000-50000</f>
        <v>950000</v>
      </c>
      <c r="K25" s="86"/>
      <c r="L25" s="69"/>
      <c r="M25" s="69"/>
      <c r="N25" s="69"/>
      <c r="O25" s="142">
        <f t="shared" si="0"/>
        <v>3614000</v>
      </c>
      <c r="P25" s="145">
        <v>3800000</v>
      </c>
      <c r="Q25" s="176">
        <f t="shared" si="1"/>
        <v>186000</v>
      </c>
      <c r="S25" s="195"/>
      <c r="U25" s="195"/>
    </row>
    <row r="26" spans="1:21" ht="24.95" customHeight="1" x14ac:dyDescent="0.25">
      <c r="A26" s="75">
        <v>19</v>
      </c>
      <c r="B26" s="133">
        <v>42941</v>
      </c>
      <c r="C26" s="135" t="s">
        <v>1244</v>
      </c>
      <c r="D26" s="136" t="s">
        <v>1266</v>
      </c>
      <c r="E26" s="78" t="s">
        <v>88</v>
      </c>
      <c r="F26" s="80"/>
      <c r="G26" s="77">
        <v>280</v>
      </c>
      <c r="H26" s="81">
        <v>3729600</v>
      </c>
      <c r="I26" s="81"/>
      <c r="J26" s="69">
        <f>140000+1000000-50000</f>
        <v>1090000</v>
      </c>
      <c r="K26" s="86"/>
      <c r="L26" s="69"/>
      <c r="M26" s="69"/>
      <c r="N26" s="69"/>
      <c r="O26" s="142">
        <f t="shared" si="0"/>
        <v>4819600</v>
      </c>
      <c r="P26" s="145">
        <v>3800000</v>
      </c>
      <c r="Q26" s="176">
        <f t="shared" si="1"/>
        <v>-1019600</v>
      </c>
      <c r="S26" s="195"/>
      <c r="U26" s="195"/>
    </row>
    <row r="27" spans="1:21" ht="24.95" customHeight="1" x14ac:dyDescent="0.25">
      <c r="A27" s="75">
        <v>20</v>
      </c>
      <c r="B27" s="133">
        <v>42942</v>
      </c>
      <c r="C27" s="135" t="s">
        <v>1245</v>
      </c>
      <c r="D27" s="136" t="s">
        <v>1267</v>
      </c>
      <c r="E27" s="78" t="s">
        <v>1272</v>
      </c>
      <c r="F27" s="80"/>
      <c r="G27" s="77"/>
      <c r="H27" s="81"/>
      <c r="I27" s="81"/>
      <c r="J27" s="69">
        <f>2800000+140000</f>
        <v>2940000</v>
      </c>
      <c r="K27" s="86"/>
      <c r="L27" s="69"/>
      <c r="M27" s="69"/>
      <c r="N27" s="69"/>
      <c r="O27" s="142">
        <f t="shared" si="0"/>
        <v>2940000</v>
      </c>
      <c r="P27" s="145">
        <v>8200000</v>
      </c>
      <c r="Q27" s="176">
        <f t="shared" si="1"/>
        <v>5260000</v>
      </c>
      <c r="S27" s="195"/>
      <c r="U27" s="195"/>
    </row>
    <row r="28" spans="1:21" ht="24.95" customHeight="1" x14ac:dyDescent="0.25">
      <c r="A28" s="75">
        <v>21</v>
      </c>
      <c r="B28" s="133">
        <v>42945</v>
      </c>
      <c r="C28" s="135" t="s">
        <v>1246</v>
      </c>
      <c r="D28" s="136" t="s">
        <v>1268</v>
      </c>
      <c r="E28" s="128" t="s">
        <v>561</v>
      </c>
      <c r="F28" s="80"/>
      <c r="G28" s="77">
        <v>330</v>
      </c>
      <c r="H28" s="81">
        <v>4395600</v>
      </c>
      <c r="I28" s="81"/>
      <c r="J28" s="69">
        <f>1340000+140000</f>
        <v>1480000</v>
      </c>
      <c r="K28" s="86"/>
      <c r="L28" s="69"/>
      <c r="M28" s="69"/>
      <c r="N28" s="69"/>
      <c r="O28" s="142">
        <f t="shared" si="0"/>
        <v>5875600</v>
      </c>
      <c r="P28" s="145">
        <v>4700000</v>
      </c>
      <c r="Q28" s="176">
        <f t="shared" si="1"/>
        <v>-1175600</v>
      </c>
      <c r="R28" s="196"/>
      <c r="S28" s="195"/>
      <c r="U28" s="195"/>
    </row>
    <row r="29" spans="1:21" ht="24.95" customHeight="1" x14ac:dyDescent="0.25">
      <c r="A29" s="75">
        <v>22</v>
      </c>
      <c r="B29" s="133">
        <v>42946</v>
      </c>
      <c r="C29" s="135" t="s">
        <v>1247</v>
      </c>
      <c r="D29" s="136" t="s">
        <v>1269</v>
      </c>
      <c r="E29" s="78" t="s">
        <v>1148</v>
      </c>
      <c r="F29" s="80"/>
      <c r="G29" s="77">
        <v>270</v>
      </c>
      <c r="H29" s="81">
        <f>G29*13320</f>
        <v>3596400</v>
      </c>
      <c r="I29" s="81"/>
      <c r="J29" s="69">
        <f>1600000+140000</f>
        <v>1740000</v>
      </c>
      <c r="K29" s="86"/>
      <c r="L29" s="69"/>
      <c r="M29" s="69"/>
      <c r="N29" s="69"/>
      <c r="O29" s="142">
        <f t="shared" si="0"/>
        <v>5336400</v>
      </c>
      <c r="P29" s="145">
        <v>5370000</v>
      </c>
      <c r="Q29" s="176">
        <f t="shared" si="1"/>
        <v>33600</v>
      </c>
      <c r="S29" s="195"/>
      <c r="U29" s="195"/>
    </row>
    <row r="30" spans="1:21" ht="24.95" customHeight="1" x14ac:dyDescent="0.25">
      <c r="A30" s="75"/>
      <c r="B30" s="133"/>
      <c r="C30" s="138"/>
      <c r="D30" s="139"/>
      <c r="E30" s="78"/>
      <c r="F30" s="110"/>
      <c r="G30" s="112"/>
      <c r="H30" s="130"/>
      <c r="I30" s="203"/>
      <c r="J30" s="112"/>
      <c r="K30" s="86"/>
      <c r="L30" s="69"/>
      <c r="M30" s="112"/>
      <c r="N30" s="112"/>
      <c r="O30" s="142">
        <f t="shared" si="0"/>
        <v>0</v>
      </c>
      <c r="P30" s="205"/>
      <c r="Q30" s="176">
        <f t="shared" si="1"/>
        <v>0</v>
      </c>
      <c r="S30" s="195"/>
      <c r="U30" s="195"/>
    </row>
    <row r="31" spans="1:21" ht="26.25" x14ac:dyDescent="0.25">
      <c r="A31" s="75"/>
      <c r="B31" s="133"/>
      <c r="C31" s="183" t="s">
        <v>1280</v>
      </c>
      <c r="D31" s="162"/>
      <c r="E31" s="153"/>
      <c r="F31" s="163"/>
      <c r="G31" s="164"/>
      <c r="H31" s="155"/>
      <c r="I31" s="165"/>
      <c r="J31" s="166"/>
      <c r="K31" s="86"/>
      <c r="L31" s="156">
        <v>970000</v>
      </c>
      <c r="M31" s="112"/>
      <c r="N31" s="112"/>
      <c r="O31" s="142">
        <f t="shared" si="0"/>
        <v>970000</v>
      </c>
      <c r="P31" s="68"/>
      <c r="Q31" s="176">
        <f t="shared" si="1"/>
        <v>-970000</v>
      </c>
    </row>
    <row r="32" spans="1:21" x14ac:dyDescent="0.25">
      <c r="A32" s="75"/>
      <c r="B32" s="133"/>
      <c r="C32" s="183" t="s">
        <v>1274</v>
      </c>
      <c r="D32" s="162"/>
      <c r="E32" s="153"/>
      <c r="F32" s="163"/>
      <c r="G32" s="164"/>
      <c r="H32" s="155"/>
      <c r="I32" s="165"/>
      <c r="J32" s="166"/>
      <c r="K32" s="86"/>
      <c r="L32" s="156">
        <v>7500</v>
      </c>
      <c r="M32" s="112"/>
      <c r="N32" s="112"/>
      <c r="O32" s="142">
        <f t="shared" si="0"/>
        <v>7500</v>
      </c>
      <c r="P32" s="68"/>
      <c r="Q32" s="176">
        <f t="shared" si="1"/>
        <v>-7500</v>
      </c>
    </row>
    <row r="33" spans="1:17" x14ac:dyDescent="0.25">
      <c r="A33" s="75"/>
      <c r="B33" s="133"/>
      <c r="C33" s="183" t="s">
        <v>1275</v>
      </c>
      <c r="D33" s="162"/>
      <c r="E33" s="153"/>
      <c r="F33" s="163"/>
      <c r="G33" s="164"/>
      <c r="H33" s="155"/>
      <c r="I33" s="165"/>
      <c r="J33" s="166"/>
      <c r="K33" s="86"/>
      <c r="L33" s="156"/>
      <c r="M33" s="166">
        <v>11600000</v>
      </c>
      <c r="N33" s="112"/>
      <c r="O33" s="142">
        <f t="shared" si="0"/>
        <v>11600000</v>
      </c>
      <c r="P33" s="68"/>
      <c r="Q33" s="176">
        <f t="shared" si="1"/>
        <v>-11600000</v>
      </c>
    </row>
    <row r="34" spans="1:17" x14ac:dyDescent="0.25">
      <c r="A34" s="75"/>
      <c r="B34" s="133"/>
      <c r="C34" s="183" t="s">
        <v>1276</v>
      </c>
      <c r="D34" s="162"/>
      <c r="E34" s="153"/>
      <c r="F34" s="163"/>
      <c r="G34" s="164"/>
      <c r="H34" s="155"/>
      <c r="I34" s="165"/>
      <c r="J34" s="166"/>
      <c r="K34" s="86"/>
      <c r="L34" s="166">
        <v>300000</v>
      </c>
      <c r="N34" s="112"/>
      <c r="O34" s="142">
        <f t="shared" si="0"/>
        <v>300000</v>
      </c>
      <c r="P34" s="68"/>
      <c r="Q34" s="176">
        <f t="shared" si="1"/>
        <v>-300000</v>
      </c>
    </row>
    <row r="35" spans="1:17" ht="51.75" x14ac:dyDescent="0.25">
      <c r="A35" s="75"/>
      <c r="B35" s="133"/>
      <c r="C35" s="183" t="s">
        <v>1281</v>
      </c>
      <c r="D35" s="162"/>
      <c r="E35" s="153"/>
      <c r="F35" s="163"/>
      <c r="G35" s="164"/>
      <c r="H35" s="155"/>
      <c r="I35" s="165"/>
      <c r="J35" s="166"/>
      <c r="K35" s="86"/>
      <c r="L35" s="166">
        <v>2410000</v>
      </c>
      <c r="N35" s="112"/>
      <c r="O35" s="142">
        <f t="shared" si="0"/>
        <v>2410000</v>
      </c>
      <c r="P35" s="68"/>
      <c r="Q35" s="176">
        <f t="shared" si="1"/>
        <v>-2410000</v>
      </c>
    </row>
    <row r="36" spans="1:17" x14ac:dyDescent="0.25">
      <c r="A36" s="75"/>
      <c r="B36" s="133"/>
      <c r="C36" s="183" t="s">
        <v>1277</v>
      </c>
      <c r="D36" s="162"/>
      <c r="E36" s="153"/>
      <c r="F36" s="163"/>
      <c r="G36" s="164"/>
      <c r="H36" s="155"/>
      <c r="I36" s="165"/>
      <c r="J36" s="166"/>
      <c r="K36" s="86"/>
      <c r="L36" s="166">
        <v>770000</v>
      </c>
      <c r="N36" s="112"/>
      <c r="O36" s="142">
        <f t="shared" si="0"/>
        <v>770000</v>
      </c>
      <c r="P36" s="68"/>
      <c r="Q36" s="176">
        <f t="shared" si="1"/>
        <v>-770000</v>
      </c>
    </row>
    <row r="37" spans="1:17" ht="26.25" x14ac:dyDescent="0.25">
      <c r="A37" s="75"/>
      <c r="B37" s="133"/>
      <c r="C37" s="183" t="s">
        <v>1278</v>
      </c>
      <c r="D37" s="162"/>
      <c r="E37" s="153"/>
      <c r="F37" s="163"/>
      <c r="G37" s="164"/>
      <c r="H37" s="155"/>
      <c r="I37" s="165"/>
      <c r="J37" s="166"/>
      <c r="K37" s="86"/>
      <c r="L37" s="166">
        <v>4000000</v>
      </c>
      <c r="N37" s="112"/>
      <c r="O37" s="142">
        <f t="shared" si="0"/>
        <v>4000000</v>
      </c>
      <c r="P37" s="68"/>
      <c r="Q37" s="176">
        <f t="shared" si="1"/>
        <v>-4000000</v>
      </c>
    </row>
    <row r="38" spans="1:17" ht="26.25" x14ac:dyDescent="0.25">
      <c r="A38" s="75"/>
      <c r="B38" s="133"/>
      <c r="C38" s="183" t="s">
        <v>1088</v>
      </c>
      <c r="D38" s="162"/>
      <c r="E38" s="153"/>
      <c r="F38" s="163"/>
      <c r="G38" s="164"/>
      <c r="H38" s="155"/>
      <c r="I38" s="165"/>
      <c r="J38" s="166"/>
      <c r="K38" s="86"/>
      <c r="L38" s="166">
        <v>950000</v>
      </c>
      <c r="N38" s="112"/>
      <c r="O38" s="142">
        <f t="shared" si="0"/>
        <v>950000</v>
      </c>
      <c r="P38" s="68"/>
      <c r="Q38" s="176">
        <f t="shared" si="1"/>
        <v>-950000</v>
      </c>
    </row>
    <row r="39" spans="1:17" ht="26.25" x14ac:dyDescent="0.25">
      <c r="A39" s="75"/>
      <c r="B39" s="133"/>
      <c r="C39" s="183" t="s">
        <v>1279</v>
      </c>
      <c r="D39" s="162"/>
      <c r="E39" s="153"/>
      <c r="F39" s="163"/>
      <c r="G39" s="164"/>
      <c r="H39" s="155"/>
      <c r="I39" s="165"/>
      <c r="J39" s="166"/>
      <c r="K39" s="86"/>
      <c r="L39" s="166">
        <v>300000</v>
      </c>
      <c r="N39" s="112"/>
      <c r="O39" s="142">
        <f t="shared" si="0"/>
        <v>300000</v>
      </c>
      <c r="P39" s="68"/>
      <c r="Q39" s="176">
        <f t="shared" si="1"/>
        <v>-300000</v>
      </c>
    </row>
    <row r="40" spans="1:17" ht="39" x14ac:dyDescent="0.25">
      <c r="A40" s="75"/>
      <c r="B40" s="133"/>
      <c r="C40" s="183" t="s">
        <v>1282</v>
      </c>
      <c r="D40" s="162"/>
      <c r="E40" s="153"/>
      <c r="F40" s="163"/>
      <c r="G40" s="164"/>
      <c r="H40" s="155"/>
      <c r="I40" s="165"/>
      <c r="J40" s="166"/>
      <c r="K40" s="86"/>
      <c r="L40" s="166">
        <v>100000</v>
      </c>
      <c r="N40" s="112"/>
      <c r="O40" s="142">
        <f t="shared" si="0"/>
        <v>100000</v>
      </c>
      <c r="P40" s="68"/>
      <c r="Q40" s="176">
        <f t="shared" si="1"/>
        <v>-100000</v>
      </c>
    </row>
    <row r="41" spans="1:17" ht="51.75" x14ac:dyDescent="0.25">
      <c r="A41" s="75"/>
      <c r="B41" s="133"/>
      <c r="C41" s="183" t="s">
        <v>1283</v>
      </c>
      <c r="D41" s="162"/>
      <c r="E41" s="153"/>
      <c r="F41" s="163"/>
      <c r="G41" s="164"/>
      <c r="H41" s="155"/>
      <c r="I41" s="165"/>
      <c r="J41" s="166"/>
      <c r="K41" s="86"/>
      <c r="L41" s="166">
        <v>900000</v>
      </c>
      <c r="N41" s="112"/>
      <c r="O41" s="142">
        <f t="shared" si="0"/>
        <v>900000</v>
      </c>
      <c r="P41" s="68"/>
      <c r="Q41" s="176">
        <f t="shared" si="1"/>
        <v>-900000</v>
      </c>
    </row>
    <row r="42" spans="1:17" ht="39" x14ac:dyDescent="0.25">
      <c r="A42" s="75"/>
      <c r="B42" s="133"/>
      <c r="C42" s="183" t="s">
        <v>1284</v>
      </c>
      <c r="D42" s="162"/>
      <c r="E42" s="153"/>
      <c r="F42" s="163"/>
      <c r="G42" s="164"/>
      <c r="H42" s="155"/>
      <c r="I42" s="165"/>
      <c r="J42" s="166"/>
      <c r="K42" s="86"/>
      <c r="L42" s="166">
        <v>350000</v>
      </c>
      <c r="N42" s="112"/>
      <c r="O42" s="142">
        <f t="shared" si="0"/>
        <v>350000</v>
      </c>
      <c r="P42" s="68"/>
      <c r="Q42" s="176">
        <f t="shared" si="1"/>
        <v>-350000</v>
      </c>
    </row>
    <row r="43" spans="1:17" x14ac:dyDescent="0.25">
      <c r="A43" s="75"/>
      <c r="B43" s="133"/>
      <c r="C43" s="170" t="s">
        <v>1273</v>
      </c>
      <c r="D43" s="162"/>
      <c r="E43" s="153"/>
      <c r="F43" s="163"/>
      <c r="G43" s="164"/>
      <c r="H43" s="155"/>
      <c r="I43" s="165"/>
      <c r="J43" s="166"/>
      <c r="K43" s="86">
        <f>1200000*1.1</f>
        <v>1320000</v>
      </c>
      <c r="L43" s="156"/>
      <c r="M43" s="112"/>
      <c r="N43" s="112"/>
      <c r="O43" s="142">
        <f t="shared" si="0"/>
        <v>1320000</v>
      </c>
      <c r="P43" s="68"/>
      <c r="Q43" s="176">
        <f t="shared" si="1"/>
        <v>-1320000</v>
      </c>
    </row>
    <row r="44" spans="1:17" x14ac:dyDescent="0.25">
      <c r="A44" s="75"/>
      <c r="B44" s="70"/>
      <c r="C44" s="108" t="s">
        <v>1159</v>
      </c>
      <c r="D44" s="87"/>
      <c r="E44" s="70"/>
      <c r="F44" s="110"/>
      <c r="G44" s="70"/>
      <c r="H44" s="81"/>
      <c r="I44" s="111"/>
      <c r="J44" s="112"/>
      <c r="K44" s="113">
        <v>8653846</v>
      </c>
      <c r="L44" s="141"/>
      <c r="M44" s="112"/>
      <c r="N44" s="112"/>
      <c r="O44" s="142">
        <f t="shared" si="0"/>
        <v>8653846</v>
      </c>
      <c r="P44" s="68"/>
      <c r="Q44" s="176">
        <f t="shared" si="1"/>
        <v>-8653846</v>
      </c>
    </row>
    <row r="45" spans="1:17" x14ac:dyDescent="0.25">
      <c r="A45" s="547" t="s">
        <v>19</v>
      </c>
      <c r="B45" s="548"/>
      <c r="C45" s="548"/>
      <c r="D45" s="548"/>
      <c r="E45" s="548"/>
      <c r="F45" s="549"/>
      <c r="G45" s="89">
        <f t="shared" ref="G45:Q45" si="2">SUM(G7:G44)</f>
        <v>3254</v>
      </c>
      <c r="H45" s="71">
        <f t="shared" si="2"/>
        <v>42646200</v>
      </c>
      <c r="I45" s="71">
        <f t="shared" si="2"/>
        <v>0</v>
      </c>
      <c r="J45" s="71">
        <f t="shared" si="2"/>
        <v>38530000</v>
      </c>
      <c r="K45" s="71">
        <f t="shared" si="2"/>
        <v>9973846</v>
      </c>
      <c r="L45" s="71">
        <f t="shared" si="2"/>
        <v>11057500</v>
      </c>
      <c r="M45" s="71">
        <f t="shared" si="2"/>
        <v>11600000</v>
      </c>
      <c r="N45" s="71">
        <f t="shared" si="2"/>
        <v>0</v>
      </c>
      <c r="O45" s="71">
        <f t="shared" si="2"/>
        <v>113807546</v>
      </c>
      <c r="P45" s="71">
        <f t="shared" si="2"/>
        <v>136549091</v>
      </c>
      <c r="Q45" s="71">
        <f t="shared" si="2"/>
        <v>22741545</v>
      </c>
    </row>
    <row r="46" spans="1:17" x14ac:dyDescent="0.25">
      <c r="P46" t="s">
        <v>1100</v>
      </c>
      <c r="Q46" s="202">
        <f>'06-2017'!Q39+'07-2017'!Q45</f>
        <v>92493599</v>
      </c>
    </row>
  </sheetData>
  <mergeCells count="5">
    <mergeCell ref="A1:Q1"/>
    <mergeCell ref="A2:Q2"/>
    <mergeCell ref="A3:Q3"/>
    <mergeCell ref="G5:N5"/>
    <mergeCell ref="A45:F45"/>
  </mergeCells>
  <pageMargins left="0.7" right="0.7" top="0.75" bottom="0.75" header="0.3" footer="0.3"/>
  <pageSetup paperSize="9" orientation="portrait" horizontalDpi="0"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37"/>
  <sheetViews>
    <sheetView topLeftCell="C19" workbookViewId="0">
      <selection activeCell="Q37" sqref="Q37"/>
    </sheetView>
  </sheetViews>
  <sheetFormatPr defaultRowHeight="15" x14ac:dyDescent="0.25"/>
  <cols>
    <col min="1" max="1" width="4.5703125" customWidth="1"/>
    <col min="3" max="3" width="36.7109375" customWidth="1"/>
    <col min="4" max="4" width="16.5703125" customWidth="1"/>
    <col min="5" max="5" width="33.140625" customWidth="1"/>
    <col min="15" max="15" width="11.140625" customWidth="1"/>
    <col min="16" max="16" width="10.7109375" customWidth="1"/>
    <col min="17" max="17" width="12" customWidth="1"/>
  </cols>
  <sheetData>
    <row r="1" spans="1:17" ht="23.25" x14ac:dyDescent="0.25">
      <c r="A1" s="551" t="s">
        <v>0</v>
      </c>
      <c r="B1" s="551"/>
      <c r="C1" s="551"/>
      <c r="D1" s="551"/>
      <c r="E1" s="551"/>
      <c r="F1" s="551"/>
      <c r="G1" s="551"/>
      <c r="H1" s="551"/>
      <c r="I1" s="551"/>
      <c r="J1" s="551"/>
      <c r="K1" s="551"/>
      <c r="L1" s="551"/>
      <c r="M1" s="551"/>
      <c r="N1" s="551"/>
      <c r="O1" s="551"/>
      <c r="P1" s="551"/>
      <c r="Q1" s="551"/>
    </row>
    <row r="2" spans="1:17" ht="15.75" x14ac:dyDescent="0.25">
      <c r="A2" s="550" t="s">
        <v>103</v>
      </c>
      <c r="B2" s="550"/>
      <c r="C2" s="550"/>
      <c r="D2" s="550"/>
      <c r="E2" s="550"/>
      <c r="F2" s="550"/>
      <c r="G2" s="550"/>
      <c r="H2" s="550"/>
      <c r="I2" s="550"/>
      <c r="J2" s="550"/>
      <c r="K2" s="550"/>
      <c r="L2" s="550"/>
      <c r="M2" s="550"/>
      <c r="N2" s="550"/>
      <c r="O2" s="550"/>
      <c r="P2" s="550"/>
      <c r="Q2" s="550"/>
    </row>
    <row r="3" spans="1:17" ht="15.75" x14ac:dyDescent="0.25">
      <c r="A3" s="550" t="s">
        <v>1285</v>
      </c>
      <c r="B3" s="550"/>
      <c r="C3" s="550"/>
      <c r="D3" s="550"/>
      <c r="E3" s="550"/>
      <c r="F3" s="550"/>
      <c r="G3" s="550"/>
      <c r="H3" s="550"/>
      <c r="I3" s="550"/>
      <c r="J3" s="550"/>
      <c r="K3" s="550"/>
      <c r="L3" s="550"/>
      <c r="M3" s="550"/>
      <c r="N3" s="550"/>
      <c r="O3" s="550"/>
      <c r="P3" s="550"/>
      <c r="Q3" s="550"/>
    </row>
    <row r="4" spans="1:17" x14ac:dyDescent="0.25">
      <c r="A4" s="74"/>
      <c r="B4" s="99"/>
      <c r="C4" s="74"/>
      <c r="D4" s="74"/>
      <c r="E4" s="74" t="s">
        <v>194</v>
      </c>
      <c r="F4" s="74"/>
      <c r="G4" s="74"/>
      <c r="H4" s="72"/>
      <c r="I4" s="74"/>
      <c r="J4" s="72"/>
      <c r="K4" s="72"/>
      <c r="L4" s="72"/>
      <c r="M4" s="72"/>
      <c r="N4" s="72"/>
      <c r="O4" s="72"/>
      <c r="P4" s="72"/>
      <c r="Q4" s="72"/>
    </row>
    <row r="5" spans="1:17" ht="25.5" x14ac:dyDescent="0.25">
      <c r="A5" s="177" t="s">
        <v>1</v>
      </c>
      <c r="B5" s="178" t="s">
        <v>2</v>
      </c>
      <c r="C5" s="177" t="s">
        <v>3</v>
      </c>
      <c r="D5" s="177" t="s">
        <v>5</v>
      </c>
      <c r="E5" s="174" t="s">
        <v>4</v>
      </c>
      <c r="F5" s="174" t="s">
        <v>17</v>
      </c>
      <c r="G5" s="552" t="s">
        <v>6</v>
      </c>
      <c r="H5" s="553"/>
      <c r="I5" s="553"/>
      <c r="J5" s="553"/>
      <c r="K5" s="553"/>
      <c r="L5" s="553"/>
      <c r="M5" s="553"/>
      <c r="N5" s="554"/>
      <c r="O5" s="127" t="s">
        <v>18</v>
      </c>
      <c r="P5" s="127" t="s">
        <v>13</v>
      </c>
      <c r="Q5" s="127" t="s">
        <v>14</v>
      </c>
    </row>
    <row r="6" spans="1:17" x14ac:dyDescent="0.25">
      <c r="A6" s="179"/>
      <c r="B6" s="180"/>
      <c r="C6" s="179"/>
      <c r="D6" s="179"/>
      <c r="E6" s="175"/>
      <c r="F6" s="175"/>
      <c r="G6" s="6" t="s">
        <v>7</v>
      </c>
      <c r="H6" s="7" t="s">
        <v>15</v>
      </c>
      <c r="I6" s="6" t="s">
        <v>16</v>
      </c>
      <c r="J6" s="7" t="s">
        <v>8</v>
      </c>
      <c r="K6" s="7" t="s">
        <v>9</v>
      </c>
      <c r="L6" s="7" t="s">
        <v>10</v>
      </c>
      <c r="M6" s="7" t="s">
        <v>11</v>
      </c>
      <c r="N6" s="7" t="s">
        <v>12</v>
      </c>
      <c r="O6" s="181"/>
      <c r="P6" s="181"/>
      <c r="Q6" s="181"/>
    </row>
    <row r="7" spans="1:17" x14ac:dyDescent="0.25">
      <c r="A7" s="75"/>
      <c r="B7" s="100"/>
      <c r="C7" s="88"/>
      <c r="D7" s="88"/>
      <c r="E7" s="134"/>
      <c r="F7" s="75"/>
      <c r="G7" s="77"/>
      <c r="H7" s="68"/>
      <c r="I7" s="75"/>
      <c r="J7" s="68"/>
      <c r="K7" s="68"/>
      <c r="L7" s="68"/>
      <c r="M7" s="68"/>
      <c r="N7" s="68"/>
      <c r="O7" s="68">
        <f>H7+J7+K7+L7+M7+N7</f>
        <v>0</v>
      </c>
      <c r="P7" s="144"/>
      <c r="Q7" s="68">
        <f>P7-O7</f>
        <v>0</v>
      </c>
    </row>
    <row r="8" spans="1:17" ht="20.100000000000001" customHeight="1" x14ac:dyDescent="0.25">
      <c r="A8" s="75">
        <v>1</v>
      </c>
      <c r="B8" s="133">
        <v>42948</v>
      </c>
      <c r="C8" s="135" t="s">
        <v>1286</v>
      </c>
      <c r="D8" s="136" t="s">
        <v>1307</v>
      </c>
      <c r="E8" s="78" t="s">
        <v>21</v>
      </c>
      <c r="F8" s="80"/>
      <c r="G8" s="77"/>
      <c r="H8" s="81"/>
      <c r="I8" s="81"/>
      <c r="J8" s="69">
        <f>2920000+140000</f>
        <v>3060000</v>
      </c>
      <c r="K8" s="86"/>
      <c r="L8" s="69"/>
      <c r="M8" s="69"/>
      <c r="N8" s="69"/>
      <c r="O8" s="142">
        <f>H8+J8+K8+L8+M8+N8</f>
        <v>3060000</v>
      </c>
      <c r="P8" s="145">
        <v>12181818</v>
      </c>
      <c r="Q8" s="176">
        <f>P8-O8</f>
        <v>9121818</v>
      </c>
    </row>
    <row r="9" spans="1:17" ht="20.100000000000001" customHeight="1" x14ac:dyDescent="0.25">
      <c r="A9" s="75">
        <v>2</v>
      </c>
      <c r="B9" s="133">
        <v>42949</v>
      </c>
      <c r="C9" s="135" t="s">
        <v>1287</v>
      </c>
      <c r="D9" s="136" t="s">
        <v>1308</v>
      </c>
      <c r="E9" s="78" t="s">
        <v>958</v>
      </c>
      <c r="F9" s="80"/>
      <c r="G9" s="77">
        <v>230</v>
      </c>
      <c r="H9" s="81">
        <v>3063600</v>
      </c>
      <c r="I9" s="81"/>
      <c r="J9" s="189">
        <f>1600000+140000</f>
        <v>1740000</v>
      </c>
      <c r="K9" s="86"/>
      <c r="L9" s="69"/>
      <c r="M9" s="69"/>
      <c r="N9" s="69"/>
      <c r="O9" s="142">
        <f t="shared" ref="O9:O35" si="0">H9+J9+K9+L9+M9+N9</f>
        <v>4803600</v>
      </c>
      <c r="P9" s="145">
        <v>5070000</v>
      </c>
      <c r="Q9" s="176">
        <f t="shared" ref="Q9:Q35" si="1">P9-O9</f>
        <v>266400</v>
      </c>
    </row>
    <row r="10" spans="1:17" ht="20.100000000000001" customHeight="1" x14ac:dyDescent="0.25">
      <c r="A10" s="75">
        <v>3</v>
      </c>
      <c r="B10" s="133">
        <v>42950</v>
      </c>
      <c r="C10" s="135" t="s">
        <v>1288</v>
      </c>
      <c r="D10" s="136" t="s">
        <v>1309</v>
      </c>
      <c r="E10" s="78" t="s">
        <v>1329</v>
      </c>
      <c r="F10" s="80"/>
      <c r="G10" s="77"/>
      <c r="H10" s="81"/>
      <c r="I10" s="81"/>
      <c r="J10" s="69">
        <f>1340000+140000</f>
        <v>1480000</v>
      </c>
      <c r="K10" s="86"/>
      <c r="L10" s="69"/>
      <c r="M10" s="69"/>
      <c r="N10" s="69"/>
      <c r="O10" s="142">
        <f t="shared" si="0"/>
        <v>1480000</v>
      </c>
      <c r="P10" s="145">
        <v>4700000</v>
      </c>
      <c r="Q10" s="176">
        <f t="shared" si="1"/>
        <v>3220000</v>
      </c>
    </row>
    <row r="11" spans="1:17" ht="20.100000000000001" customHeight="1" x14ac:dyDescent="0.25">
      <c r="A11" s="75">
        <v>4</v>
      </c>
      <c r="B11" s="133">
        <v>42951</v>
      </c>
      <c r="C11" s="135" t="s">
        <v>1289</v>
      </c>
      <c r="D11" s="136" t="s">
        <v>1310</v>
      </c>
      <c r="E11" s="78" t="s">
        <v>21</v>
      </c>
      <c r="F11" s="80"/>
      <c r="G11" s="77">
        <v>270</v>
      </c>
      <c r="H11" s="81">
        <v>3723300</v>
      </c>
      <c r="I11" s="81"/>
      <c r="J11" s="69">
        <f>2900000+140000</f>
        <v>3040000</v>
      </c>
      <c r="K11" s="86"/>
      <c r="L11" s="69"/>
      <c r="M11" s="69"/>
      <c r="N11" s="69"/>
      <c r="O11" s="142">
        <f t="shared" si="0"/>
        <v>6763300</v>
      </c>
      <c r="P11" s="145">
        <v>12181818</v>
      </c>
      <c r="Q11" s="176">
        <f t="shared" si="1"/>
        <v>5418518</v>
      </c>
    </row>
    <row r="12" spans="1:17" ht="20.100000000000001" customHeight="1" x14ac:dyDescent="0.25">
      <c r="A12" s="75">
        <v>5</v>
      </c>
      <c r="B12" s="133">
        <v>42952</v>
      </c>
      <c r="C12" s="135" t="s">
        <v>1290</v>
      </c>
      <c r="D12" s="136" t="s">
        <v>1311</v>
      </c>
      <c r="E12" s="78" t="s">
        <v>88</v>
      </c>
      <c r="F12" s="80"/>
      <c r="G12" s="77"/>
      <c r="H12" s="81"/>
      <c r="I12" s="81"/>
      <c r="J12" s="69">
        <f>950000+140000</f>
        <v>1090000</v>
      </c>
      <c r="K12" s="86"/>
      <c r="L12" s="69"/>
      <c r="M12" s="69"/>
      <c r="N12" s="69"/>
      <c r="O12" s="142">
        <f t="shared" si="0"/>
        <v>1090000</v>
      </c>
      <c r="P12" s="145">
        <v>3800000</v>
      </c>
      <c r="Q12" s="176">
        <f t="shared" si="1"/>
        <v>2710000</v>
      </c>
    </row>
    <row r="13" spans="1:17" ht="20.100000000000001" customHeight="1" x14ac:dyDescent="0.25">
      <c r="A13" s="75">
        <v>6</v>
      </c>
      <c r="B13" s="133">
        <v>42952</v>
      </c>
      <c r="C13" s="135" t="s">
        <v>1291</v>
      </c>
      <c r="D13" s="136" t="s">
        <v>1312</v>
      </c>
      <c r="E13" s="78" t="s">
        <v>88</v>
      </c>
      <c r="F13" s="80"/>
      <c r="G13" s="77"/>
      <c r="H13" s="81"/>
      <c r="I13" s="81"/>
      <c r="J13" s="69">
        <f>950000+140000</f>
        <v>1090000</v>
      </c>
      <c r="K13" s="86"/>
      <c r="L13" s="69"/>
      <c r="M13" s="69"/>
      <c r="N13" s="69"/>
      <c r="O13" s="142">
        <f t="shared" si="0"/>
        <v>1090000</v>
      </c>
      <c r="P13" s="145">
        <v>3800000</v>
      </c>
      <c r="Q13" s="176">
        <f t="shared" si="1"/>
        <v>2710000</v>
      </c>
    </row>
    <row r="14" spans="1:17" ht="20.100000000000001" customHeight="1" x14ac:dyDescent="0.25">
      <c r="A14" s="75">
        <v>7</v>
      </c>
      <c r="B14" s="133">
        <v>42954</v>
      </c>
      <c r="C14" s="135" t="s">
        <v>1292</v>
      </c>
      <c r="D14" s="136" t="s">
        <v>1313</v>
      </c>
      <c r="E14" s="78" t="s">
        <v>562</v>
      </c>
      <c r="F14" s="80"/>
      <c r="G14" s="77">
        <v>360</v>
      </c>
      <c r="H14" s="81">
        <v>4964400</v>
      </c>
      <c r="I14" s="81"/>
      <c r="J14" s="69">
        <f>2920000+140000</f>
        <v>3060000</v>
      </c>
      <c r="K14" s="86"/>
      <c r="L14" s="69"/>
      <c r="M14" s="69"/>
      <c r="N14" s="69"/>
      <c r="O14" s="142">
        <f t="shared" si="0"/>
        <v>8024400</v>
      </c>
      <c r="P14" s="145">
        <v>14090909</v>
      </c>
      <c r="Q14" s="176">
        <f t="shared" si="1"/>
        <v>6066509</v>
      </c>
    </row>
    <row r="15" spans="1:17" ht="20.100000000000001" customHeight="1" x14ac:dyDescent="0.25">
      <c r="A15" s="75">
        <v>8</v>
      </c>
      <c r="B15" s="133">
        <v>42958</v>
      </c>
      <c r="C15" s="135" t="s">
        <v>1293</v>
      </c>
      <c r="D15" s="136" t="s">
        <v>1314</v>
      </c>
      <c r="E15" s="78" t="s">
        <v>562</v>
      </c>
      <c r="F15" s="80"/>
      <c r="G15" s="77">
        <v>250</v>
      </c>
      <c r="H15" s="81">
        <v>3447500</v>
      </c>
      <c r="I15" s="81"/>
      <c r="J15" s="69">
        <f>2920000+140000</f>
        <v>3060000</v>
      </c>
      <c r="K15" s="86"/>
      <c r="L15" s="69"/>
      <c r="M15" s="69"/>
      <c r="N15" s="69"/>
      <c r="O15" s="142">
        <f t="shared" si="0"/>
        <v>6507500</v>
      </c>
      <c r="P15" s="145">
        <v>14090909</v>
      </c>
      <c r="Q15" s="176">
        <f t="shared" si="1"/>
        <v>7583409</v>
      </c>
    </row>
    <row r="16" spans="1:17" ht="20.100000000000001" customHeight="1" x14ac:dyDescent="0.25">
      <c r="A16" s="75">
        <v>9</v>
      </c>
      <c r="B16" s="133">
        <v>42959</v>
      </c>
      <c r="C16" s="135" t="s">
        <v>1294</v>
      </c>
      <c r="D16" s="136" t="s">
        <v>1315</v>
      </c>
      <c r="E16" s="78" t="s">
        <v>24</v>
      </c>
      <c r="F16" s="80"/>
      <c r="G16" s="77">
        <v>350</v>
      </c>
      <c r="H16" s="81">
        <v>4826500</v>
      </c>
      <c r="I16" s="81"/>
      <c r="J16" s="69">
        <f>1910000+140000-210000</f>
        <v>1840000</v>
      </c>
      <c r="K16" s="86"/>
      <c r="L16" s="69"/>
      <c r="M16" s="69"/>
      <c r="N16" s="69"/>
      <c r="O16" s="142">
        <f t="shared" si="0"/>
        <v>6666500</v>
      </c>
      <c r="P16" s="145">
        <v>7500000</v>
      </c>
      <c r="Q16" s="176">
        <f t="shared" si="1"/>
        <v>833500</v>
      </c>
    </row>
    <row r="17" spans="1:17" ht="20.100000000000001" customHeight="1" x14ac:dyDescent="0.25">
      <c r="A17" s="75">
        <v>10</v>
      </c>
      <c r="B17" s="133">
        <v>42962</v>
      </c>
      <c r="C17" s="135" t="s">
        <v>1295</v>
      </c>
      <c r="D17" s="136" t="s">
        <v>1316</v>
      </c>
      <c r="E17" s="78" t="s">
        <v>27</v>
      </c>
      <c r="F17" s="80"/>
      <c r="G17" s="77"/>
      <c r="H17" s="81"/>
      <c r="I17" s="81"/>
      <c r="J17" s="69">
        <f>800000+140000</f>
        <v>940000</v>
      </c>
      <c r="K17" s="86"/>
      <c r="L17" s="69"/>
      <c r="M17" s="69"/>
      <c r="N17" s="69"/>
      <c r="O17" s="142">
        <f t="shared" si="0"/>
        <v>940000</v>
      </c>
      <c r="P17" s="145">
        <v>3000000</v>
      </c>
      <c r="Q17" s="176">
        <f t="shared" si="1"/>
        <v>2060000</v>
      </c>
    </row>
    <row r="18" spans="1:17" ht="20.100000000000001" customHeight="1" x14ac:dyDescent="0.25">
      <c r="A18" s="75">
        <v>11</v>
      </c>
      <c r="B18" s="133">
        <v>42963</v>
      </c>
      <c r="C18" s="135" t="s">
        <v>1296</v>
      </c>
      <c r="D18" s="136" t="s">
        <v>1317</v>
      </c>
      <c r="E18" s="78" t="s">
        <v>232</v>
      </c>
      <c r="F18" s="80"/>
      <c r="G18" s="77">
        <v>260</v>
      </c>
      <c r="H18" s="81">
        <v>3585400</v>
      </c>
      <c r="I18" s="81"/>
      <c r="J18" s="69">
        <f>800000+140000</f>
        <v>940000</v>
      </c>
      <c r="K18" s="86"/>
      <c r="L18" s="69"/>
      <c r="M18" s="69"/>
      <c r="N18" s="69"/>
      <c r="O18" s="142">
        <f t="shared" si="0"/>
        <v>4525400</v>
      </c>
      <c r="P18" s="145">
        <v>2827273</v>
      </c>
      <c r="Q18" s="176">
        <f t="shared" si="1"/>
        <v>-1698127</v>
      </c>
    </row>
    <row r="19" spans="1:17" ht="20.100000000000001" customHeight="1" x14ac:dyDescent="0.25">
      <c r="A19" s="75">
        <v>12</v>
      </c>
      <c r="B19" s="133">
        <v>42964</v>
      </c>
      <c r="C19" s="135" t="s">
        <v>1297</v>
      </c>
      <c r="D19" s="136" t="s">
        <v>1318</v>
      </c>
      <c r="E19" s="78" t="s">
        <v>24</v>
      </c>
      <c r="F19" s="80"/>
      <c r="G19" s="77"/>
      <c r="H19" s="81"/>
      <c r="I19" s="81"/>
      <c r="J19" s="69">
        <f>1700000+140000</f>
        <v>1840000</v>
      </c>
      <c r="K19" s="86"/>
      <c r="L19" s="69"/>
      <c r="M19" s="69"/>
      <c r="N19" s="69"/>
      <c r="O19" s="142">
        <f t="shared" si="0"/>
        <v>1840000</v>
      </c>
      <c r="P19" s="145">
        <v>7500000</v>
      </c>
      <c r="Q19" s="176">
        <f t="shared" si="1"/>
        <v>5660000</v>
      </c>
    </row>
    <row r="20" spans="1:17" ht="20.100000000000001" customHeight="1" x14ac:dyDescent="0.25">
      <c r="A20" s="75">
        <v>13</v>
      </c>
      <c r="B20" s="133">
        <v>42966</v>
      </c>
      <c r="C20" s="135" t="s">
        <v>1298</v>
      </c>
      <c r="D20" s="136" t="s">
        <v>1319</v>
      </c>
      <c r="E20" s="78" t="s">
        <v>1330</v>
      </c>
      <c r="F20" s="80"/>
      <c r="G20" s="77"/>
      <c r="H20" s="81"/>
      <c r="I20" s="81"/>
      <c r="J20" s="69">
        <f>1150000+140000</f>
        <v>1290000</v>
      </c>
      <c r="K20" s="86"/>
      <c r="L20" s="69"/>
      <c r="M20" s="69"/>
      <c r="N20" s="69"/>
      <c r="O20" s="142">
        <f t="shared" si="0"/>
        <v>1290000</v>
      </c>
      <c r="P20" s="145">
        <v>3700000</v>
      </c>
      <c r="Q20" s="176">
        <f t="shared" si="1"/>
        <v>2410000</v>
      </c>
    </row>
    <row r="21" spans="1:17" ht="20.100000000000001" customHeight="1" x14ac:dyDescent="0.25">
      <c r="A21" s="75">
        <v>14</v>
      </c>
      <c r="B21" s="133">
        <v>42967</v>
      </c>
      <c r="C21" s="135" t="s">
        <v>1299</v>
      </c>
      <c r="D21" s="136" t="s">
        <v>1320</v>
      </c>
      <c r="E21" s="78" t="s">
        <v>1331</v>
      </c>
      <c r="F21" s="80"/>
      <c r="G21" s="77">
        <v>360</v>
      </c>
      <c r="H21" s="81">
        <v>4964400</v>
      </c>
      <c r="I21" s="81"/>
      <c r="J21" s="69">
        <f>1340000+140000</f>
        <v>1480000</v>
      </c>
      <c r="K21" s="86"/>
      <c r="L21" s="69"/>
      <c r="M21" s="69"/>
      <c r="N21" s="69"/>
      <c r="O21" s="142">
        <f t="shared" si="0"/>
        <v>6444400</v>
      </c>
      <c r="P21" s="145">
        <v>4700000</v>
      </c>
      <c r="Q21" s="176">
        <f t="shared" si="1"/>
        <v>-1744400</v>
      </c>
    </row>
    <row r="22" spans="1:17" ht="20.100000000000001" customHeight="1" x14ac:dyDescent="0.25">
      <c r="A22" s="75">
        <v>15</v>
      </c>
      <c r="B22" s="133">
        <v>42968</v>
      </c>
      <c r="C22" s="135" t="s">
        <v>1300</v>
      </c>
      <c r="D22" s="136" t="s">
        <v>1321</v>
      </c>
      <c r="E22" s="78" t="s">
        <v>426</v>
      </c>
      <c r="F22" s="80"/>
      <c r="G22" s="77"/>
      <c r="H22" s="81"/>
      <c r="I22" s="81"/>
      <c r="J22" s="69">
        <f>1150000+140000</f>
        <v>1290000</v>
      </c>
      <c r="K22" s="86"/>
      <c r="L22" s="69"/>
      <c r="M22" s="69"/>
      <c r="N22" s="69"/>
      <c r="O22" s="142">
        <f t="shared" si="0"/>
        <v>1290000</v>
      </c>
      <c r="P22" s="145">
        <v>3500000</v>
      </c>
      <c r="Q22" s="176">
        <f t="shared" si="1"/>
        <v>2210000</v>
      </c>
    </row>
    <row r="23" spans="1:17" ht="20.100000000000001" customHeight="1" x14ac:dyDescent="0.25">
      <c r="A23" s="75">
        <v>16</v>
      </c>
      <c r="B23" s="133">
        <v>42969</v>
      </c>
      <c r="C23" s="135" t="s">
        <v>1301</v>
      </c>
      <c r="D23" s="136" t="s">
        <v>1322</v>
      </c>
      <c r="E23" s="78" t="s">
        <v>21</v>
      </c>
      <c r="F23" s="80"/>
      <c r="G23" s="77">
        <v>230</v>
      </c>
      <c r="H23" s="81">
        <v>3171700</v>
      </c>
      <c r="I23" s="81"/>
      <c r="J23" s="69">
        <f>2920000+140000</f>
        <v>3060000</v>
      </c>
      <c r="K23" s="86"/>
      <c r="L23" s="69"/>
      <c r="M23" s="69"/>
      <c r="N23" s="69"/>
      <c r="O23" s="142">
        <f t="shared" si="0"/>
        <v>6231700</v>
      </c>
      <c r="P23" s="145">
        <v>12727273</v>
      </c>
      <c r="Q23" s="176">
        <f t="shared" si="1"/>
        <v>6495573</v>
      </c>
    </row>
    <row r="24" spans="1:17" ht="20.100000000000001" customHeight="1" x14ac:dyDescent="0.25">
      <c r="A24" s="75">
        <v>17</v>
      </c>
      <c r="B24" s="133">
        <v>42970</v>
      </c>
      <c r="C24" s="135" t="s">
        <v>534</v>
      </c>
      <c r="D24" s="136" t="s">
        <v>1323</v>
      </c>
      <c r="E24" s="78" t="s">
        <v>561</v>
      </c>
      <c r="F24" s="80"/>
      <c r="G24" s="77"/>
      <c r="H24" s="81"/>
      <c r="I24" s="81"/>
      <c r="J24" s="69">
        <f>1340000+140000</f>
        <v>1480000</v>
      </c>
      <c r="K24" s="86"/>
      <c r="L24" s="69"/>
      <c r="M24" s="69"/>
      <c r="N24" s="69"/>
      <c r="O24" s="142">
        <f t="shared" si="0"/>
        <v>1480000</v>
      </c>
      <c r="P24" s="145">
        <v>4700000</v>
      </c>
      <c r="Q24" s="176">
        <f t="shared" si="1"/>
        <v>3220000</v>
      </c>
    </row>
    <row r="25" spans="1:17" ht="20.100000000000001" customHeight="1" x14ac:dyDescent="0.25">
      <c r="A25" s="75">
        <v>18</v>
      </c>
      <c r="B25" s="133">
        <v>42971</v>
      </c>
      <c r="C25" s="135" t="s">
        <v>1302</v>
      </c>
      <c r="D25" s="136" t="s">
        <v>1324</v>
      </c>
      <c r="E25" s="78" t="s">
        <v>1332</v>
      </c>
      <c r="F25" s="80"/>
      <c r="G25" s="77">
        <v>245</v>
      </c>
      <c r="H25" s="81">
        <v>3378500</v>
      </c>
      <c r="I25" s="81"/>
      <c r="J25" s="69">
        <f>800000+140000</f>
        <v>940000</v>
      </c>
      <c r="K25" s="86"/>
      <c r="L25" s="69"/>
      <c r="M25" s="69"/>
      <c r="N25" s="69"/>
      <c r="O25" s="142">
        <f t="shared" si="0"/>
        <v>4318500</v>
      </c>
      <c r="P25" s="145">
        <v>2827273</v>
      </c>
      <c r="Q25" s="176">
        <f t="shared" si="1"/>
        <v>-1491227</v>
      </c>
    </row>
    <row r="26" spans="1:17" ht="20.100000000000001" customHeight="1" x14ac:dyDescent="0.25">
      <c r="A26" s="75">
        <v>19</v>
      </c>
      <c r="B26" s="133">
        <v>42972</v>
      </c>
      <c r="C26" s="135" t="s">
        <v>1303</v>
      </c>
      <c r="D26" s="136" t="s">
        <v>1325</v>
      </c>
      <c r="E26" s="78" t="s">
        <v>1330</v>
      </c>
      <c r="F26" s="80"/>
      <c r="G26" s="77"/>
      <c r="H26" s="81"/>
      <c r="I26" s="81"/>
      <c r="J26" s="69">
        <f>1150000+140000</f>
        <v>1290000</v>
      </c>
      <c r="K26" s="86"/>
      <c r="L26" s="69"/>
      <c r="M26" s="69"/>
      <c r="N26" s="69"/>
      <c r="O26" s="142">
        <f t="shared" si="0"/>
        <v>1290000</v>
      </c>
      <c r="P26" s="145">
        <v>3870000</v>
      </c>
      <c r="Q26" s="176">
        <f t="shared" si="1"/>
        <v>2580000</v>
      </c>
    </row>
    <row r="27" spans="1:17" ht="20.100000000000001" customHeight="1" x14ac:dyDescent="0.25">
      <c r="A27" s="75">
        <v>20</v>
      </c>
      <c r="B27" s="133">
        <v>42975</v>
      </c>
      <c r="C27" s="135" t="s">
        <v>1304</v>
      </c>
      <c r="D27" s="136" t="s">
        <v>1326</v>
      </c>
      <c r="E27" s="78" t="s">
        <v>188</v>
      </c>
      <c r="F27" s="80"/>
      <c r="G27">
        <v>280</v>
      </c>
      <c r="H27" s="77">
        <v>3861200</v>
      </c>
      <c r="I27" s="81"/>
      <c r="J27" s="69">
        <f>690000+70000+100000</f>
        <v>860000</v>
      </c>
      <c r="K27" s="86"/>
      <c r="L27" s="69"/>
      <c r="M27" s="69"/>
      <c r="N27" s="69"/>
      <c r="O27" s="142">
        <f t="shared" si="0"/>
        <v>4721200</v>
      </c>
      <c r="P27" s="145">
        <v>3181818</v>
      </c>
      <c r="Q27" s="176">
        <f t="shared" si="1"/>
        <v>-1539382</v>
      </c>
    </row>
    <row r="28" spans="1:17" ht="20.100000000000001" customHeight="1" x14ac:dyDescent="0.25">
      <c r="A28" s="75">
        <v>21</v>
      </c>
      <c r="B28" s="133">
        <v>42975</v>
      </c>
      <c r="C28" s="135" t="s">
        <v>1305</v>
      </c>
      <c r="D28" s="136" t="s">
        <v>1327</v>
      </c>
      <c r="E28" s="128" t="s">
        <v>21</v>
      </c>
      <c r="F28" s="80"/>
      <c r="G28" s="77"/>
      <c r="H28" s="81"/>
      <c r="I28" s="81"/>
      <c r="J28" s="69">
        <f>2920000+140000</f>
        <v>3060000</v>
      </c>
      <c r="K28" s="86"/>
      <c r="L28" s="69"/>
      <c r="M28" s="69"/>
      <c r="N28" s="69"/>
      <c r="O28" s="142">
        <f t="shared" si="0"/>
        <v>3060000</v>
      </c>
      <c r="P28" s="145">
        <v>12181818</v>
      </c>
      <c r="Q28" s="176">
        <f t="shared" si="1"/>
        <v>9121818</v>
      </c>
    </row>
    <row r="29" spans="1:17" ht="20.100000000000001" customHeight="1" x14ac:dyDescent="0.25">
      <c r="A29" s="75">
        <v>22</v>
      </c>
      <c r="B29" s="133">
        <v>42977</v>
      </c>
      <c r="C29" s="135" t="s">
        <v>1306</v>
      </c>
      <c r="D29" s="136" t="s">
        <v>1328</v>
      </c>
      <c r="E29" s="78" t="s">
        <v>21</v>
      </c>
      <c r="F29" s="80"/>
      <c r="G29" s="77">
        <v>300</v>
      </c>
      <c r="H29" s="81">
        <v>4137000</v>
      </c>
      <c r="I29" s="81"/>
      <c r="J29" s="69">
        <f>2920000+140000</f>
        <v>3060000</v>
      </c>
      <c r="K29" s="86"/>
      <c r="L29" s="69"/>
      <c r="M29" s="69"/>
      <c r="N29" s="69"/>
      <c r="O29" s="142">
        <f t="shared" si="0"/>
        <v>7197000</v>
      </c>
      <c r="P29" s="145">
        <v>13181818</v>
      </c>
      <c r="Q29" s="176">
        <f t="shared" si="1"/>
        <v>5984818</v>
      </c>
    </row>
    <row r="30" spans="1:17" x14ac:dyDescent="0.25">
      <c r="A30" s="75"/>
      <c r="B30" s="133"/>
      <c r="C30" s="138"/>
      <c r="D30" s="139"/>
      <c r="E30" s="78"/>
      <c r="F30" s="110"/>
      <c r="G30" s="112">
        <v>240</v>
      </c>
      <c r="H30" s="130">
        <f>G30*13790</f>
        <v>3309600</v>
      </c>
      <c r="I30" s="203"/>
      <c r="J30" s="112"/>
      <c r="K30" s="86"/>
      <c r="L30" s="69"/>
      <c r="M30" s="112"/>
      <c r="N30" s="112"/>
      <c r="O30" s="142">
        <f t="shared" si="0"/>
        <v>3309600</v>
      </c>
      <c r="P30" s="205"/>
      <c r="Q30" s="176">
        <f t="shared" si="1"/>
        <v>-3309600</v>
      </c>
    </row>
    <row r="31" spans="1:17" ht="57.75" customHeight="1" x14ac:dyDescent="0.25">
      <c r="A31" s="75"/>
      <c r="B31" s="133"/>
      <c r="C31" s="183" t="s">
        <v>1333</v>
      </c>
      <c r="D31" s="162"/>
      <c r="E31" s="153"/>
      <c r="F31" s="163"/>
      <c r="G31" s="164"/>
      <c r="H31" s="155"/>
      <c r="I31" s="165"/>
      <c r="J31" s="166"/>
      <c r="K31" s="86"/>
      <c r="L31" s="156">
        <v>250000</v>
      </c>
      <c r="M31" s="112"/>
      <c r="N31" s="112"/>
      <c r="O31" s="142">
        <f t="shared" si="0"/>
        <v>250000</v>
      </c>
      <c r="P31" s="68"/>
      <c r="Q31" s="176">
        <f t="shared" si="1"/>
        <v>-250000</v>
      </c>
    </row>
    <row r="32" spans="1:17" ht="30" customHeight="1" x14ac:dyDescent="0.25">
      <c r="A32" s="75"/>
      <c r="B32" s="133"/>
      <c r="C32" s="183" t="s">
        <v>1334</v>
      </c>
      <c r="D32" s="162"/>
      <c r="E32" s="153"/>
      <c r="F32" s="163"/>
      <c r="G32" s="164"/>
      <c r="H32" s="155"/>
      <c r="I32" s="165"/>
      <c r="J32" s="166"/>
      <c r="K32" s="86"/>
      <c r="L32" s="156">
        <v>100000</v>
      </c>
      <c r="M32" s="112"/>
      <c r="N32" s="112"/>
      <c r="O32" s="142">
        <f t="shared" si="0"/>
        <v>100000</v>
      </c>
      <c r="P32" s="68"/>
      <c r="Q32" s="176">
        <f t="shared" si="1"/>
        <v>-100000</v>
      </c>
    </row>
    <row r="33" spans="1:17" ht="30" customHeight="1" x14ac:dyDescent="0.25">
      <c r="A33" s="75"/>
      <c r="B33" s="133"/>
      <c r="C33" s="183" t="s">
        <v>1335</v>
      </c>
      <c r="D33" s="162"/>
      <c r="E33" s="153"/>
      <c r="F33" s="163"/>
      <c r="G33" s="164"/>
      <c r="H33" s="155"/>
      <c r="I33" s="165"/>
      <c r="J33" s="166"/>
      <c r="K33" s="86"/>
      <c r="L33" s="166"/>
      <c r="N33" s="113">
        <f>11500000/208*40</f>
        <v>2211538.4615384615</v>
      </c>
      <c r="O33" s="142">
        <f t="shared" si="0"/>
        <v>2211538.4615384615</v>
      </c>
      <c r="P33" s="68"/>
      <c r="Q33" s="176">
        <f t="shared" si="1"/>
        <v>-2211538.4615384615</v>
      </c>
    </row>
    <row r="34" spans="1:17" ht="30" customHeight="1" x14ac:dyDescent="0.25">
      <c r="A34" s="75"/>
      <c r="B34" s="133"/>
      <c r="C34" s="170" t="s">
        <v>1273</v>
      </c>
      <c r="D34" s="162"/>
      <c r="E34" s="153"/>
      <c r="F34" s="163"/>
      <c r="G34" s="164"/>
      <c r="H34" s="155"/>
      <c r="I34" s="165"/>
      <c r="J34" s="166"/>
      <c r="K34" s="86">
        <v>1320000</v>
      </c>
      <c r="L34" s="156"/>
      <c r="M34" s="112"/>
      <c r="N34" s="112"/>
      <c r="O34" s="142">
        <f t="shared" si="0"/>
        <v>1320000</v>
      </c>
      <c r="P34" s="68"/>
      <c r="Q34" s="176">
        <f t="shared" si="1"/>
        <v>-1320000</v>
      </c>
    </row>
    <row r="35" spans="1:17" ht="30" customHeight="1" x14ac:dyDescent="0.25">
      <c r="A35" s="75"/>
      <c r="B35" s="70"/>
      <c r="C35" s="108" t="s">
        <v>1336</v>
      </c>
      <c r="D35" s="87"/>
      <c r="E35" s="70"/>
      <c r="F35" s="110"/>
      <c r="G35" s="70"/>
      <c r="H35" s="81"/>
      <c r="I35" s="111"/>
      <c r="J35" s="112"/>
      <c r="K35" s="113">
        <v>10192308</v>
      </c>
      <c r="L35" s="141"/>
      <c r="M35" s="112"/>
      <c r="N35" s="112"/>
      <c r="O35" s="142">
        <f t="shared" si="0"/>
        <v>10192308</v>
      </c>
      <c r="P35" s="68"/>
      <c r="Q35" s="176">
        <f t="shared" si="1"/>
        <v>-10192308</v>
      </c>
    </row>
    <row r="36" spans="1:17" x14ac:dyDescent="0.25">
      <c r="A36" s="547" t="s">
        <v>19</v>
      </c>
      <c r="B36" s="548"/>
      <c r="C36" s="548"/>
      <c r="D36" s="548"/>
      <c r="E36" s="548"/>
      <c r="F36" s="549"/>
      <c r="G36" s="89">
        <f t="shared" ref="G36:Q36" si="2">SUM(G7:G35)</f>
        <v>3375</v>
      </c>
      <c r="H36" s="71">
        <f t="shared" si="2"/>
        <v>46433100</v>
      </c>
      <c r="I36" s="71">
        <f t="shared" si="2"/>
        <v>0</v>
      </c>
      <c r="J36" s="71">
        <f t="shared" si="2"/>
        <v>40990000</v>
      </c>
      <c r="K36" s="71">
        <f t="shared" si="2"/>
        <v>11512308</v>
      </c>
      <c r="L36" s="71">
        <f t="shared" si="2"/>
        <v>350000</v>
      </c>
      <c r="M36" s="71">
        <f t="shared" si="2"/>
        <v>0</v>
      </c>
      <c r="N36" s="71">
        <f t="shared" si="2"/>
        <v>2211538.4615384615</v>
      </c>
      <c r="O36" s="71">
        <f t="shared" si="2"/>
        <v>101496946.46153846</v>
      </c>
      <c r="P36" s="71">
        <f t="shared" si="2"/>
        <v>155312727</v>
      </c>
      <c r="Q36" s="71">
        <f t="shared" si="2"/>
        <v>53815780.538461536</v>
      </c>
    </row>
    <row r="37" spans="1:17" x14ac:dyDescent="0.25">
      <c r="P37" t="s">
        <v>1100</v>
      </c>
      <c r="Q37" s="202">
        <f>'[1]07-2017'!Q46+'[1]08-2017'!Q36</f>
        <v>146309379.53846154</v>
      </c>
    </row>
  </sheetData>
  <mergeCells count="5">
    <mergeCell ref="A1:Q1"/>
    <mergeCell ref="A2:Q2"/>
    <mergeCell ref="A3:Q3"/>
    <mergeCell ref="G5:N5"/>
    <mergeCell ref="A36:F36"/>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Q36"/>
  <sheetViews>
    <sheetView topLeftCell="C22" workbookViewId="0">
      <selection activeCell="I33" sqref="I33"/>
    </sheetView>
  </sheetViews>
  <sheetFormatPr defaultRowHeight="15" x14ac:dyDescent="0.25"/>
  <cols>
    <col min="1" max="1" width="4.5703125" customWidth="1"/>
    <col min="3" max="3" width="36.7109375" customWidth="1"/>
    <col min="4" max="4" width="16.5703125" customWidth="1"/>
    <col min="5" max="5" width="33.140625" customWidth="1"/>
    <col min="15" max="15" width="11.140625" customWidth="1"/>
    <col min="16" max="16" width="10.7109375" customWidth="1"/>
    <col min="17" max="17" width="12.28515625" customWidth="1"/>
  </cols>
  <sheetData>
    <row r="1" spans="1:17" ht="23.25" x14ac:dyDescent="0.25">
      <c r="A1" s="551" t="s">
        <v>0</v>
      </c>
      <c r="B1" s="551"/>
      <c r="C1" s="551"/>
      <c r="D1" s="551"/>
      <c r="E1" s="551"/>
      <c r="F1" s="551"/>
      <c r="G1" s="551"/>
      <c r="H1" s="551"/>
      <c r="I1" s="551"/>
      <c r="J1" s="551"/>
      <c r="K1" s="551"/>
      <c r="L1" s="551"/>
      <c r="M1" s="551"/>
      <c r="N1" s="551"/>
      <c r="O1" s="551"/>
      <c r="P1" s="551"/>
      <c r="Q1" s="551"/>
    </row>
    <row r="2" spans="1:17" ht="15.75" x14ac:dyDescent="0.25">
      <c r="A2" s="550" t="s">
        <v>103</v>
      </c>
      <c r="B2" s="550"/>
      <c r="C2" s="550"/>
      <c r="D2" s="550"/>
      <c r="E2" s="550"/>
      <c r="F2" s="550"/>
      <c r="G2" s="550"/>
      <c r="H2" s="550"/>
      <c r="I2" s="550"/>
      <c r="J2" s="550"/>
      <c r="K2" s="550"/>
      <c r="L2" s="550"/>
      <c r="M2" s="550"/>
      <c r="N2" s="550"/>
      <c r="O2" s="550"/>
      <c r="P2" s="550"/>
      <c r="Q2" s="550"/>
    </row>
    <row r="3" spans="1:17" ht="15.75" x14ac:dyDescent="0.25">
      <c r="A3" s="550" t="s">
        <v>1337</v>
      </c>
      <c r="B3" s="550"/>
      <c r="C3" s="550"/>
      <c r="D3" s="550"/>
      <c r="E3" s="550"/>
      <c r="F3" s="550"/>
      <c r="G3" s="550"/>
      <c r="H3" s="550"/>
      <c r="I3" s="550"/>
      <c r="J3" s="550"/>
      <c r="K3" s="550"/>
      <c r="L3" s="550"/>
      <c r="M3" s="550"/>
      <c r="N3" s="550"/>
      <c r="O3" s="550"/>
      <c r="P3" s="550"/>
      <c r="Q3" s="550"/>
    </row>
    <row r="4" spans="1:17" x14ac:dyDescent="0.25">
      <c r="A4" s="74"/>
      <c r="B4" s="99"/>
      <c r="C4" s="74"/>
      <c r="D4" s="74"/>
      <c r="E4" s="74" t="s">
        <v>194</v>
      </c>
      <c r="F4" s="74"/>
      <c r="G4" s="74"/>
      <c r="H4" s="72"/>
      <c r="I4" s="74"/>
      <c r="J4" s="72"/>
      <c r="K4" s="72"/>
      <c r="L4" s="72"/>
      <c r="M4" s="72"/>
      <c r="N4" s="72"/>
      <c r="O4" s="72"/>
      <c r="P4" s="72"/>
      <c r="Q4" s="72"/>
    </row>
    <row r="5" spans="1:17" ht="25.5" x14ac:dyDescent="0.25">
      <c r="A5" s="177" t="s">
        <v>1</v>
      </c>
      <c r="B5" s="178" t="s">
        <v>2</v>
      </c>
      <c r="C5" s="177" t="s">
        <v>3</v>
      </c>
      <c r="D5" s="177" t="s">
        <v>5</v>
      </c>
      <c r="E5" s="174" t="s">
        <v>4</v>
      </c>
      <c r="F5" s="174" t="s">
        <v>17</v>
      </c>
      <c r="G5" s="552" t="s">
        <v>6</v>
      </c>
      <c r="H5" s="553"/>
      <c r="I5" s="553"/>
      <c r="J5" s="553"/>
      <c r="K5" s="553"/>
      <c r="L5" s="553"/>
      <c r="M5" s="553"/>
      <c r="N5" s="554"/>
      <c r="O5" s="127" t="s">
        <v>18</v>
      </c>
      <c r="P5" s="127" t="s">
        <v>13</v>
      </c>
      <c r="Q5" s="127" t="s">
        <v>14</v>
      </c>
    </row>
    <row r="6" spans="1:17" x14ac:dyDescent="0.25">
      <c r="A6" s="179"/>
      <c r="B6" s="180"/>
      <c r="C6" s="179"/>
      <c r="D6" s="179"/>
      <c r="E6" s="175"/>
      <c r="F6" s="175"/>
      <c r="G6" s="6" t="s">
        <v>7</v>
      </c>
      <c r="H6" s="7" t="s">
        <v>15</v>
      </c>
      <c r="I6" s="6" t="s">
        <v>16</v>
      </c>
      <c r="J6" s="7" t="s">
        <v>8</v>
      </c>
      <c r="K6" s="7" t="s">
        <v>9</v>
      </c>
      <c r="L6" s="7" t="s">
        <v>10</v>
      </c>
      <c r="M6" s="7" t="s">
        <v>11</v>
      </c>
      <c r="N6" s="7" t="s">
        <v>12</v>
      </c>
      <c r="O6" s="181"/>
      <c r="P6" s="181"/>
      <c r="Q6" s="181"/>
    </row>
    <row r="7" spans="1:17" x14ac:dyDescent="0.25">
      <c r="A7" s="75"/>
      <c r="B7" s="100"/>
      <c r="C7" s="88"/>
      <c r="D7" s="88"/>
      <c r="E7" s="134"/>
      <c r="F7" s="75"/>
      <c r="G7" s="77"/>
      <c r="H7" s="68"/>
      <c r="I7" s="75"/>
      <c r="J7" s="68"/>
      <c r="K7" s="68"/>
      <c r="L7" s="68"/>
      <c r="M7" s="68"/>
      <c r="N7" s="68"/>
      <c r="O7" s="68">
        <f>H7+J7+K7+L7+M7+N7</f>
        <v>0</v>
      </c>
      <c r="P7" s="144"/>
      <c r="Q7" s="68">
        <f>P7-O7</f>
        <v>0</v>
      </c>
    </row>
    <row r="8" spans="1:17" ht="20.100000000000001" customHeight="1" x14ac:dyDescent="0.25">
      <c r="A8" s="75">
        <v>1</v>
      </c>
      <c r="B8" s="133">
        <v>42978</v>
      </c>
      <c r="C8" s="135" t="s">
        <v>1338</v>
      </c>
      <c r="D8" s="136" t="s">
        <v>1348</v>
      </c>
      <c r="E8" s="78" t="s">
        <v>1330</v>
      </c>
      <c r="F8" s="80"/>
      <c r="G8" s="77"/>
      <c r="H8" s="81"/>
      <c r="I8" s="81"/>
      <c r="J8" s="69">
        <v>1150000</v>
      </c>
      <c r="K8" s="86"/>
      <c r="L8" s="69"/>
      <c r="M8" s="69"/>
      <c r="N8" s="69"/>
      <c r="O8" s="142">
        <f>H8+J8+K8+L8+M8+N8</f>
        <v>1150000</v>
      </c>
      <c r="P8" s="145">
        <v>3870000</v>
      </c>
      <c r="Q8" s="176">
        <f>P8-O8</f>
        <v>2720000</v>
      </c>
    </row>
    <row r="9" spans="1:17" ht="20.100000000000001" customHeight="1" x14ac:dyDescent="0.25">
      <c r="A9" s="75">
        <v>2</v>
      </c>
      <c r="B9" s="133">
        <v>42979</v>
      </c>
      <c r="C9" s="135" t="s">
        <v>1339</v>
      </c>
      <c r="D9" s="136" t="s">
        <v>1349</v>
      </c>
      <c r="E9" s="78" t="s">
        <v>24</v>
      </c>
      <c r="F9" s="80"/>
      <c r="G9" s="77"/>
      <c r="H9" s="81"/>
      <c r="I9" s="81"/>
      <c r="J9" s="189">
        <f>1910000-200000+140000</f>
        <v>1850000</v>
      </c>
      <c r="K9" s="86"/>
      <c r="L9" s="69"/>
      <c r="M9" s="69"/>
      <c r="N9" s="69"/>
      <c r="O9" s="142">
        <f t="shared" ref="O9:O34" si="0">H9+J9+K9+L9+M9+N9</f>
        <v>1850000</v>
      </c>
      <c r="P9" s="145">
        <v>7500000</v>
      </c>
      <c r="Q9" s="176">
        <f t="shared" ref="Q9:Q34" si="1">P9-O9</f>
        <v>5650000</v>
      </c>
    </row>
    <row r="10" spans="1:17" ht="20.100000000000001" customHeight="1" x14ac:dyDescent="0.25">
      <c r="A10" s="75">
        <v>3</v>
      </c>
      <c r="B10" s="133">
        <v>42982</v>
      </c>
      <c r="C10" s="135" t="s">
        <v>1340</v>
      </c>
      <c r="D10" s="136" t="s">
        <v>1350</v>
      </c>
      <c r="E10" s="78" t="s">
        <v>561</v>
      </c>
      <c r="F10" s="80"/>
      <c r="G10" s="77">
        <v>280</v>
      </c>
      <c r="H10" s="81">
        <v>3861200</v>
      </c>
      <c r="I10" s="81"/>
      <c r="J10" s="69">
        <f>1340000+140000</f>
        <v>1480000</v>
      </c>
      <c r="K10" s="86"/>
      <c r="L10" s="69"/>
      <c r="M10" s="69"/>
      <c r="N10" s="69"/>
      <c r="O10" s="142">
        <f t="shared" si="0"/>
        <v>5341200</v>
      </c>
      <c r="P10" s="145">
        <v>4770000</v>
      </c>
      <c r="Q10" s="176">
        <f t="shared" si="1"/>
        <v>-571200</v>
      </c>
    </row>
    <row r="11" spans="1:17" ht="20.100000000000001" customHeight="1" x14ac:dyDescent="0.25">
      <c r="A11" s="75">
        <v>4</v>
      </c>
      <c r="B11" s="133">
        <v>42983</v>
      </c>
      <c r="C11" s="135" t="s">
        <v>1341</v>
      </c>
      <c r="D11" s="136" t="s">
        <v>1351</v>
      </c>
      <c r="E11" s="78" t="s">
        <v>24</v>
      </c>
      <c r="F11" s="80"/>
      <c r="G11" s="77"/>
      <c r="H11" s="81"/>
      <c r="I11" s="81"/>
      <c r="J11" s="69">
        <f>1700000+140000</f>
        <v>1840000</v>
      </c>
      <c r="K11" s="86"/>
      <c r="L11" s="69"/>
      <c r="M11" s="69"/>
      <c r="N11" s="69"/>
      <c r="O11" s="142">
        <f t="shared" si="0"/>
        <v>1840000</v>
      </c>
      <c r="P11" s="145">
        <v>7500000</v>
      </c>
      <c r="Q11" s="176">
        <f t="shared" si="1"/>
        <v>5660000</v>
      </c>
    </row>
    <row r="12" spans="1:17" ht="20.100000000000001" customHeight="1" x14ac:dyDescent="0.25">
      <c r="A12" s="75">
        <v>5</v>
      </c>
      <c r="B12" s="133">
        <v>42984</v>
      </c>
      <c r="C12" s="135" t="s">
        <v>1342</v>
      </c>
      <c r="D12" s="136" t="s">
        <v>1352</v>
      </c>
      <c r="E12" s="78" t="s">
        <v>1217</v>
      </c>
      <c r="F12" s="80"/>
      <c r="G12" s="77">
        <v>310</v>
      </c>
      <c r="H12" s="81">
        <v>4324500</v>
      </c>
      <c r="I12" s="81"/>
      <c r="J12" s="69">
        <f>790000+140000</f>
        <v>930000</v>
      </c>
      <c r="K12" s="86"/>
      <c r="L12" s="69"/>
      <c r="M12" s="69"/>
      <c r="N12" s="69"/>
      <c r="O12" s="142">
        <f t="shared" si="0"/>
        <v>5254500</v>
      </c>
      <c r="P12" s="145">
        <v>3300000</v>
      </c>
      <c r="Q12" s="176">
        <f t="shared" si="1"/>
        <v>-1954500</v>
      </c>
    </row>
    <row r="13" spans="1:17" ht="20.100000000000001" customHeight="1" x14ac:dyDescent="0.25">
      <c r="A13" s="75">
        <v>6</v>
      </c>
      <c r="B13" s="133">
        <v>42985</v>
      </c>
      <c r="C13" s="135" t="s">
        <v>1343</v>
      </c>
      <c r="D13" s="136" t="s">
        <v>1353</v>
      </c>
      <c r="E13" s="78" t="s">
        <v>1217</v>
      </c>
      <c r="F13" s="80"/>
      <c r="G13" s="77"/>
      <c r="H13" s="81"/>
      <c r="I13" s="81"/>
      <c r="J13" s="69">
        <f>790000+140000</f>
        <v>930000</v>
      </c>
      <c r="K13" s="86"/>
      <c r="L13" s="69"/>
      <c r="M13" s="69"/>
      <c r="N13" s="69"/>
      <c r="O13" s="142">
        <f t="shared" si="0"/>
        <v>930000</v>
      </c>
      <c r="P13" s="145">
        <v>3300000</v>
      </c>
      <c r="Q13" s="176">
        <f t="shared" si="1"/>
        <v>2370000</v>
      </c>
    </row>
    <row r="14" spans="1:17" ht="20.100000000000001" customHeight="1" x14ac:dyDescent="0.25">
      <c r="A14" s="75">
        <v>7</v>
      </c>
      <c r="B14" s="133">
        <v>42986</v>
      </c>
      <c r="C14" s="135" t="s">
        <v>1344</v>
      </c>
      <c r="D14" s="136" t="s">
        <v>1354</v>
      </c>
      <c r="E14" s="78" t="s">
        <v>562</v>
      </c>
      <c r="F14" s="80"/>
      <c r="G14" s="77">
        <v>190</v>
      </c>
      <c r="H14" s="81">
        <v>2650500</v>
      </c>
      <c r="I14" s="81"/>
      <c r="J14" s="69">
        <f>3920000+140000</f>
        <v>4060000</v>
      </c>
      <c r="K14" s="86"/>
      <c r="L14" s="69"/>
      <c r="M14" s="69"/>
      <c r="N14" s="69"/>
      <c r="O14" s="142">
        <f t="shared" si="0"/>
        <v>6710500</v>
      </c>
      <c r="P14" s="145">
        <v>18181818</v>
      </c>
      <c r="Q14" s="176">
        <f t="shared" si="1"/>
        <v>11471318</v>
      </c>
    </row>
    <row r="15" spans="1:17" ht="20.100000000000001" customHeight="1" x14ac:dyDescent="0.25">
      <c r="A15" s="75">
        <v>8</v>
      </c>
      <c r="B15" s="133">
        <v>42986</v>
      </c>
      <c r="C15" s="135" t="s">
        <v>1344</v>
      </c>
      <c r="D15" s="136" t="s">
        <v>1355</v>
      </c>
      <c r="E15" s="78" t="s">
        <v>562</v>
      </c>
      <c r="F15" s="80"/>
      <c r="G15" s="77"/>
      <c r="H15" s="81"/>
      <c r="I15" s="81"/>
      <c r="J15" s="69">
        <v>0</v>
      </c>
      <c r="K15" s="86"/>
      <c r="L15" s="69"/>
      <c r="M15" s="69"/>
      <c r="N15" s="69"/>
      <c r="O15" s="142">
        <f t="shared" si="0"/>
        <v>0</v>
      </c>
      <c r="P15" s="145">
        <v>0</v>
      </c>
      <c r="Q15" s="176">
        <f t="shared" si="1"/>
        <v>0</v>
      </c>
    </row>
    <row r="16" spans="1:17" ht="20.100000000000001" customHeight="1" x14ac:dyDescent="0.25">
      <c r="A16" s="75">
        <v>9</v>
      </c>
      <c r="B16" s="133">
        <v>42989</v>
      </c>
      <c r="C16" s="135" t="s">
        <v>1345</v>
      </c>
      <c r="D16" s="136" t="s">
        <v>1356</v>
      </c>
      <c r="E16" s="78" t="s">
        <v>426</v>
      </c>
      <c r="F16" s="80"/>
      <c r="G16" s="77">
        <v>250</v>
      </c>
      <c r="H16" s="81">
        <v>3487500</v>
      </c>
      <c r="I16" s="81"/>
      <c r="J16" s="69">
        <f>1150000+140000</f>
        <v>1290000</v>
      </c>
      <c r="K16" s="86"/>
      <c r="L16" s="69"/>
      <c r="M16" s="69"/>
      <c r="N16" s="69"/>
      <c r="O16" s="142">
        <f t="shared" si="0"/>
        <v>4777500</v>
      </c>
      <c r="P16" s="145">
        <v>3500000</v>
      </c>
      <c r="Q16" s="176">
        <f t="shared" si="1"/>
        <v>-1277500</v>
      </c>
    </row>
    <row r="17" spans="1:17" ht="20.100000000000001" customHeight="1" x14ac:dyDescent="0.25">
      <c r="A17" s="75">
        <v>10</v>
      </c>
      <c r="B17" s="133">
        <v>42989</v>
      </c>
      <c r="C17" s="135" t="s">
        <v>1346</v>
      </c>
      <c r="D17" s="136" t="s">
        <v>1357</v>
      </c>
      <c r="E17" s="78" t="s">
        <v>1360</v>
      </c>
      <c r="F17" s="80"/>
      <c r="G17" s="77"/>
      <c r="H17" s="81"/>
      <c r="I17" s="81"/>
      <c r="J17" s="69">
        <f>1100000+140000+200000</f>
        <v>1440000</v>
      </c>
      <c r="K17" s="86"/>
      <c r="L17" s="69"/>
      <c r="M17" s="69"/>
      <c r="N17" s="69"/>
      <c r="O17" s="142">
        <f t="shared" si="0"/>
        <v>1440000</v>
      </c>
      <c r="P17" s="145">
        <v>4900000</v>
      </c>
      <c r="Q17" s="176">
        <f t="shared" si="1"/>
        <v>3460000</v>
      </c>
    </row>
    <row r="18" spans="1:17" ht="20.100000000000001" customHeight="1" x14ac:dyDescent="0.25">
      <c r="A18" s="75">
        <v>11</v>
      </c>
      <c r="B18" s="133">
        <v>42990</v>
      </c>
      <c r="C18" s="135" t="s">
        <v>1347</v>
      </c>
      <c r="D18" s="136" t="s">
        <v>1358</v>
      </c>
      <c r="E18" s="78" t="s">
        <v>1212</v>
      </c>
      <c r="F18" s="80"/>
      <c r="G18" s="77">
        <v>230</v>
      </c>
      <c r="H18" s="81">
        <v>3208500</v>
      </c>
      <c r="I18" s="81"/>
      <c r="J18" s="69">
        <f>2560000+100000</f>
        <v>2660000</v>
      </c>
      <c r="K18" s="86"/>
      <c r="L18" s="69"/>
      <c r="M18" s="69"/>
      <c r="N18" s="69"/>
      <c r="O18" s="142">
        <f t="shared" si="0"/>
        <v>5868500</v>
      </c>
      <c r="P18" s="145">
        <v>13181818</v>
      </c>
      <c r="Q18" s="176">
        <f t="shared" si="1"/>
        <v>7313318</v>
      </c>
    </row>
    <row r="19" spans="1:17" ht="20.100000000000001" customHeight="1" x14ac:dyDescent="0.25">
      <c r="A19" s="75">
        <v>12</v>
      </c>
      <c r="B19" s="133">
        <v>42991</v>
      </c>
      <c r="C19" s="135" t="s">
        <v>595</v>
      </c>
      <c r="D19" s="136" t="s">
        <v>1359</v>
      </c>
      <c r="E19" s="78" t="s">
        <v>21</v>
      </c>
      <c r="F19" s="80"/>
      <c r="G19" s="77">
        <v>240</v>
      </c>
      <c r="H19" s="81">
        <v>3348000</v>
      </c>
      <c r="I19" s="81"/>
      <c r="J19" s="69">
        <f>2920000+140000</f>
        <v>3060000</v>
      </c>
      <c r="K19" s="86"/>
      <c r="L19" s="69"/>
      <c r="M19" s="69"/>
      <c r="N19" s="69"/>
      <c r="O19" s="142">
        <f t="shared" si="0"/>
        <v>6408000</v>
      </c>
      <c r="P19" s="145">
        <v>12181818</v>
      </c>
      <c r="Q19" s="176">
        <f t="shared" si="1"/>
        <v>5773818</v>
      </c>
    </row>
    <row r="20" spans="1:17" ht="20.100000000000001" customHeight="1" x14ac:dyDescent="0.25">
      <c r="A20" s="75">
        <v>13</v>
      </c>
      <c r="B20" s="133">
        <v>42993</v>
      </c>
      <c r="C20" s="135" t="s">
        <v>1361</v>
      </c>
      <c r="D20" s="136" t="s">
        <v>1371</v>
      </c>
      <c r="E20" s="78" t="s">
        <v>153</v>
      </c>
      <c r="F20" s="80"/>
      <c r="G20" s="77">
        <v>240</v>
      </c>
      <c r="H20" s="81">
        <v>3348000</v>
      </c>
      <c r="I20" s="81"/>
      <c r="J20" s="69">
        <f>1600000+140000+200000</f>
        <v>1940000</v>
      </c>
      <c r="K20" s="86"/>
      <c r="L20" s="69"/>
      <c r="M20" s="69"/>
      <c r="N20" s="69"/>
      <c r="O20" s="142">
        <f t="shared" si="0"/>
        <v>5288000</v>
      </c>
      <c r="P20" s="145">
        <v>5300000</v>
      </c>
      <c r="Q20" s="176">
        <f t="shared" si="1"/>
        <v>12000</v>
      </c>
    </row>
    <row r="21" spans="1:17" ht="20.100000000000001" customHeight="1" x14ac:dyDescent="0.25">
      <c r="A21" s="75"/>
      <c r="B21" s="133">
        <v>42996</v>
      </c>
      <c r="C21" s="135" t="s">
        <v>1362</v>
      </c>
      <c r="D21" s="136" t="s">
        <v>1372</v>
      </c>
      <c r="E21" s="78" t="s">
        <v>24</v>
      </c>
      <c r="F21" s="80"/>
      <c r="G21" s="77"/>
      <c r="H21" s="81"/>
      <c r="I21" s="81"/>
      <c r="J21" s="69">
        <f>1710000+140000</f>
        <v>1850000</v>
      </c>
      <c r="K21" s="86"/>
      <c r="L21" s="69"/>
      <c r="M21" s="69"/>
      <c r="N21" s="69"/>
      <c r="O21" s="142">
        <f t="shared" si="0"/>
        <v>1850000</v>
      </c>
      <c r="P21" s="145">
        <v>7500000</v>
      </c>
      <c r="Q21" s="176">
        <f t="shared" si="1"/>
        <v>5650000</v>
      </c>
    </row>
    <row r="22" spans="1:17" ht="20.100000000000001" customHeight="1" x14ac:dyDescent="0.25">
      <c r="A22" s="75"/>
      <c r="B22" s="133">
        <v>42997</v>
      </c>
      <c r="C22" s="135" t="s">
        <v>1363</v>
      </c>
      <c r="D22" s="136" t="s">
        <v>1373</v>
      </c>
      <c r="E22" s="78" t="s">
        <v>1381</v>
      </c>
      <c r="F22" s="80"/>
      <c r="G22" s="77">
        <v>320</v>
      </c>
      <c r="H22" s="81">
        <v>4464000</v>
      </c>
      <c r="I22" s="81"/>
      <c r="J22" s="69">
        <v>340000</v>
      </c>
      <c r="K22" s="86"/>
      <c r="L22" s="69"/>
      <c r="M22" s="69"/>
      <c r="N22" s="69"/>
      <c r="O22" s="142">
        <f t="shared" si="0"/>
        <v>4804000</v>
      </c>
      <c r="P22" s="145">
        <v>3636364</v>
      </c>
      <c r="Q22" s="176">
        <f t="shared" si="1"/>
        <v>-1167636</v>
      </c>
    </row>
    <row r="23" spans="1:17" ht="20.100000000000001" customHeight="1" x14ac:dyDescent="0.25">
      <c r="A23" s="75"/>
      <c r="B23" s="133">
        <v>42998</v>
      </c>
      <c r="C23" s="135" t="s">
        <v>1364</v>
      </c>
      <c r="D23" s="136" t="s">
        <v>1374</v>
      </c>
      <c r="E23" s="78" t="s">
        <v>427</v>
      </c>
      <c r="F23" s="80"/>
      <c r="G23" s="77"/>
      <c r="H23" s="81"/>
      <c r="I23" s="81"/>
      <c r="J23" s="69">
        <f>150000+1340000+140000+200000</f>
        <v>1830000</v>
      </c>
      <c r="K23" s="86"/>
      <c r="L23" s="69"/>
      <c r="M23" s="69"/>
      <c r="N23" s="69"/>
      <c r="O23" s="142">
        <f t="shared" si="0"/>
        <v>1830000</v>
      </c>
      <c r="P23" s="145">
        <v>5350000</v>
      </c>
      <c r="Q23" s="176">
        <f t="shared" si="1"/>
        <v>3520000</v>
      </c>
    </row>
    <row r="24" spans="1:17" ht="20.100000000000001" customHeight="1" x14ac:dyDescent="0.25">
      <c r="A24" s="75"/>
      <c r="B24" s="133">
        <v>42998</v>
      </c>
      <c r="C24" s="135" t="s">
        <v>1365</v>
      </c>
      <c r="D24" s="136" t="s">
        <v>1375</v>
      </c>
      <c r="E24" s="78" t="s">
        <v>22</v>
      </c>
      <c r="F24" s="80"/>
      <c r="G24" s="77"/>
      <c r="H24" s="81"/>
      <c r="I24" s="81"/>
      <c r="J24" s="69">
        <v>930000</v>
      </c>
      <c r="K24" s="86"/>
      <c r="L24" s="69"/>
      <c r="M24" s="69"/>
      <c r="N24" s="69"/>
      <c r="O24" s="142">
        <f t="shared" si="0"/>
        <v>930000</v>
      </c>
      <c r="P24" s="145">
        <v>3200000</v>
      </c>
      <c r="Q24" s="176">
        <f t="shared" si="1"/>
        <v>2270000</v>
      </c>
    </row>
    <row r="25" spans="1:17" ht="20.100000000000001" customHeight="1" x14ac:dyDescent="0.25">
      <c r="A25" s="75"/>
      <c r="B25" s="133">
        <v>42999</v>
      </c>
      <c r="C25" s="135" t="s">
        <v>1366</v>
      </c>
      <c r="D25" s="136" t="s">
        <v>1376</v>
      </c>
      <c r="E25" s="78" t="s">
        <v>24</v>
      </c>
      <c r="F25" s="80"/>
      <c r="G25" s="77">
        <v>220</v>
      </c>
      <c r="H25" s="81">
        <v>3176800</v>
      </c>
      <c r="I25" s="81"/>
      <c r="J25" s="69">
        <v>1850000</v>
      </c>
      <c r="K25" s="86"/>
      <c r="L25" s="69"/>
      <c r="M25" s="69"/>
      <c r="N25" s="69"/>
      <c r="O25" s="142">
        <f t="shared" si="0"/>
        <v>5026800</v>
      </c>
      <c r="P25" s="145">
        <v>7500000</v>
      </c>
      <c r="Q25" s="176">
        <f t="shared" si="1"/>
        <v>2473200</v>
      </c>
    </row>
    <row r="26" spans="1:17" ht="20.100000000000001" customHeight="1" x14ac:dyDescent="0.25">
      <c r="A26" s="75"/>
      <c r="B26" s="133">
        <v>43000</v>
      </c>
      <c r="C26" s="135" t="s">
        <v>1367</v>
      </c>
      <c r="D26" s="136" t="s">
        <v>1377</v>
      </c>
      <c r="E26" s="78" t="s">
        <v>1381</v>
      </c>
      <c r="F26" s="80"/>
      <c r="G26" s="77"/>
      <c r="H26" s="81"/>
      <c r="I26" s="81"/>
      <c r="J26" s="69">
        <v>340000</v>
      </c>
      <c r="K26" s="86"/>
      <c r="L26" s="69"/>
      <c r="M26" s="69"/>
      <c r="N26" s="69"/>
      <c r="O26" s="142">
        <f t="shared" si="0"/>
        <v>340000</v>
      </c>
      <c r="P26" s="145">
        <v>1700000</v>
      </c>
      <c r="Q26" s="176">
        <f t="shared" si="1"/>
        <v>1360000</v>
      </c>
    </row>
    <row r="27" spans="1:17" ht="20.100000000000001" customHeight="1" x14ac:dyDescent="0.25">
      <c r="A27" s="75"/>
      <c r="B27" s="133">
        <v>43000</v>
      </c>
      <c r="C27" s="135" t="s">
        <v>1368</v>
      </c>
      <c r="D27" s="136" t="s">
        <v>1378</v>
      </c>
      <c r="E27" s="78" t="s">
        <v>1382</v>
      </c>
      <c r="F27" s="80"/>
      <c r="G27" s="77">
        <v>200</v>
      </c>
      <c r="H27" s="81">
        <v>2888000</v>
      </c>
      <c r="I27" s="81"/>
      <c r="J27" s="69">
        <v>3060000</v>
      </c>
      <c r="K27" s="86"/>
      <c r="L27" s="69"/>
      <c r="M27" s="69"/>
      <c r="N27" s="69"/>
      <c r="O27" s="142">
        <f t="shared" si="0"/>
        <v>5948000</v>
      </c>
      <c r="P27" s="145">
        <v>14545455</v>
      </c>
      <c r="Q27" s="176">
        <f t="shared" si="1"/>
        <v>8597455</v>
      </c>
    </row>
    <row r="28" spans="1:17" ht="20.100000000000001" customHeight="1" x14ac:dyDescent="0.25">
      <c r="A28" s="75"/>
      <c r="B28" s="133">
        <v>43004</v>
      </c>
      <c r="C28" s="135" t="s">
        <v>1369</v>
      </c>
      <c r="D28" s="136" t="s">
        <v>1379</v>
      </c>
      <c r="E28" s="78" t="s">
        <v>1212</v>
      </c>
      <c r="F28" s="80"/>
      <c r="G28" s="77">
        <v>290</v>
      </c>
      <c r="H28" s="81">
        <v>4187600</v>
      </c>
      <c r="I28" s="81"/>
      <c r="J28" s="69">
        <v>2690000</v>
      </c>
      <c r="K28" s="86"/>
      <c r="L28" s="69"/>
      <c r="M28" s="69"/>
      <c r="N28" s="69"/>
      <c r="O28" s="142">
        <f t="shared" si="0"/>
        <v>6877600</v>
      </c>
      <c r="P28" s="145">
        <v>13181818</v>
      </c>
      <c r="Q28" s="176">
        <f t="shared" si="1"/>
        <v>6304218</v>
      </c>
    </row>
    <row r="29" spans="1:17" ht="20.100000000000001" customHeight="1" x14ac:dyDescent="0.25">
      <c r="A29" s="75"/>
      <c r="B29" s="133">
        <v>43006</v>
      </c>
      <c r="C29" s="135" t="s">
        <v>1370</v>
      </c>
      <c r="D29" s="136" t="s">
        <v>1380</v>
      </c>
      <c r="E29" s="78" t="s">
        <v>898</v>
      </c>
      <c r="F29" s="80"/>
      <c r="G29" s="77">
        <v>240</v>
      </c>
      <c r="H29" s="81">
        <v>3465600</v>
      </c>
      <c r="I29" s="81"/>
      <c r="J29" s="69">
        <v>1275000</v>
      </c>
      <c r="K29" s="86"/>
      <c r="L29" s="69"/>
      <c r="M29" s="69"/>
      <c r="N29" s="69"/>
      <c r="O29" s="142">
        <f t="shared" si="0"/>
        <v>4740600</v>
      </c>
      <c r="P29" s="145">
        <v>4900000</v>
      </c>
      <c r="Q29" s="176">
        <f t="shared" si="1"/>
        <v>159400</v>
      </c>
    </row>
    <row r="30" spans="1:17" ht="57.75" customHeight="1" x14ac:dyDescent="0.25">
      <c r="A30" s="75"/>
      <c r="B30" s="133"/>
      <c r="C30" s="183" t="s">
        <v>1383</v>
      </c>
      <c r="D30" s="162"/>
      <c r="E30" s="153"/>
      <c r="F30" s="163"/>
      <c r="G30" s="164"/>
      <c r="H30" s="155"/>
      <c r="I30" s="165"/>
      <c r="J30" s="166"/>
      <c r="K30" s="86"/>
      <c r="L30" s="156">
        <v>1000000</v>
      </c>
      <c r="M30" s="112"/>
      <c r="N30" s="112"/>
      <c r="O30" s="142">
        <f t="shared" si="0"/>
        <v>1000000</v>
      </c>
      <c r="P30" s="68"/>
      <c r="Q30" s="176">
        <f t="shared" si="1"/>
        <v>-1000000</v>
      </c>
    </row>
    <row r="31" spans="1:17" ht="30" customHeight="1" x14ac:dyDescent="0.25">
      <c r="A31" s="75"/>
      <c r="B31" s="133"/>
      <c r="C31" s="183" t="s">
        <v>1384</v>
      </c>
      <c r="D31" s="162"/>
      <c r="E31" s="153"/>
      <c r="F31" s="163"/>
      <c r="G31" s="164"/>
      <c r="H31" s="155"/>
      <c r="I31" s="165"/>
      <c r="J31" s="166"/>
      <c r="K31" s="86"/>
      <c r="L31" s="156"/>
      <c r="M31" s="166">
        <v>11800000</v>
      </c>
      <c r="N31" s="112"/>
      <c r="O31" s="142">
        <f t="shared" si="0"/>
        <v>11800000</v>
      </c>
      <c r="P31" s="68"/>
      <c r="Q31" s="176">
        <f t="shared" si="1"/>
        <v>-11800000</v>
      </c>
    </row>
    <row r="32" spans="1:17" ht="30" customHeight="1" x14ac:dyDescent="0.25">
      <c r="A32" s="75"/>
      <c r="B32" s="133"/>
      <c r="C32" s="183" t="s">
        <v>1385</v>
      </c>
      <c r="D32" s="162"/>
      <c r="E32" s="153"/>
      <c r="F32" s="163"/>
      <c r="G32" s="164"/>
      <c r="H32" s="155"/>
      <c r="I32" s="165"/>
      <c r="J32" s="166"/>
      <c r="K32" s="86"/>
      <c r="L32" s="166">
        <v>550000</v>
      </c>
      <c r="N32" s="113"/>
      <c r="O32" s="142">
        <f t="shared" si="0"/>
        <v>550000</v>
      </c>
      <c r="P32" s="68"/>
      <c r="Q32" s="176">
        <f t="shared" si="1"/>
        <v>-550000</v>
      </c>
    </row>
    <row r="33" spans="1:17" ht="30" customHeight="1" x14ac:dyDescent="0.25">
      <c r="A33" s="75"/>
      <c r="B33" s="133"/>
      <c r="C33" s="170" t="s">
        <v>1273</v>
      </c>
      <c r="D33" s="162"/>
      <c r="E33" s="153"/>
      <c r="F33" s="163"/>
      <c r="G33" s="164"/>
      <c r="H33" s="155"/>
      <c r="I33" s="165"/>
      <c r="J33" s="166"/>
      <c r="K33" s="86">
        <v>1320000</v>
      </c>
      <c r="L33" s="156"/>
      <c r="M33" s="112"/>
      <c r="N33" s="112"/>
      <c r="O33" s="142">
        <f t="shared" si="0"/>
        <v>1320000</v>
      </c>
      <c r="P33" s="68"/>
      <c r="Q33" s="176">
        <f t="shared" si="1"/>
        <v>-1320000</v>
      </c>
    </row>
    <row r="34" spans="1:17" ht="30" customHeight="1" x14ac:dyDescent="0.25">
      <c r="A34" s="75"/>
      <c r="B34" s="70"/>
      <c r="C34" s="108" t="s">
        <v>1386</v>
      </c>
      <c r="D34" s="87"/>
      <c r="E34" s="70"/>
      <c r="F34" s="110"/>
      <c r="G34" s="70"/>
      <c r="H34" s="81"/>
      <c r="I34" s="111"/>
      <c r="J34" s="112"/>
      <c r="K34" s="113">
        <v>8653846</v>
      </c>
      <c r="L34" s="141"/>
      <c r="M34" s="112"/>
      <c r="N34" s="112"/>
      <c r="O34" s="142">
        <f t="shared" si="0"/>
        <v>8653846</v>
      </c>
      <c r="P34" s="68"/>
      <c r="Q34" s="176">
        <f t="shared" si="1"/>
        <v>-8653846</v>
      </c>
    </row>
    <row r="35" spans="1:17" x14ac:dyDescent="0.25">
      <c r="A35" s="547" t="s">
        <v>19</v>
      </c>
      <c r="B35" s="548"/>
      <c r="C35" s="548"/>
      <c r="D35" s="548"/>
      <c r="E35" s="548"/>
      <c r="F35" s="549"/>
      <c r="G35" s="89">
        <f t="shared" ref="G35:Q35" si="2">SUM(G7:G34)</f>
        <v>3010</v>
      </c>
      <c r="H35" s="71">
        <f t="shared" si="2"/>
        <v>42410200</v>
      </c>
      <c r="I35" s="71">
        <f t="shared" si="2"/>
        <v>0</v>
      </c>
      <c r="J35" s="71">
        <f t="shared" si="2"/>
        <v>36795000</v>
      </c>
      <c r="K35" s="71">
        <f t="shared" si="2"/>
        <v>9973846</v>
      </c>
      <c r="L35" s="71">
        <f t="shared" si="2"/>
        <v>1550000</v>
      </c>
      <c r="M35" s="71">
        <f t="shared" si="2"/>
        <v>11800000</v>
      </c>
      <c r="N35" s="71">
        <f t="shared" si="2"/>
        <v>0</v>
      </c>
      <c r="O35" s="71">
        <f t="shared" si="2"/>
        <v>102529046</v>
      </c>
      <c r="P35" s="71">
        <f t="shared" si="2"/>
        <v>148999091</v>
      </c>
      <c r="Q35" s="71">
        <f t="shared" si="2"/>
        <v>46470045</v>
      </c>
    </row>
    <row r="36" spans="1:17" x14ac:dyDescent="0.25">
      <c r="P36" t="s">
        <v>1100</v>
      </c>
      <c r="Q36" s="202">
        <f>'08-2017'!Q37+'09-2017'!Q35</f>
        <v>192779424.53846154</v>
      </c>
    </row>
  </sheetData>
  <mergeCells count="5">
    <mergeCell ref="A1:Q1"/>
    <mergeCell ref="A2:Q2"/>
    <mergeCell ref="A3:Q3"/>
    <mergeCell ref="G5:N5"/>
    <mergeCell ref="A35:F35"/>
  </mergeCells>
  <pageMargins left="0.7" right="0.7" top="0.75" bottom="0.75" header="0.3" footer="0.3"/>
  <pageSetup paperSize="9" orientation="portrait" horizontalDpi="0"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S38"/>
  <sheetViews>
    <sheetView topLeftCell="D19" workbookViewId="0">
      <selection activeCell="O41" sqref="O41"/>
    </sheetView>
  </sheetViews>
  <sheetFormatPr defaultRowHeight="15" x14ac:dyDescent="0.25"/>
  <cols>
    <col min="1" max="1" width="4.5703125" customWidth="1"/>
    <col min="3" max="3" width="36.7109375" customWidth="1"/>
    <col min="4" max="4" width="16.5703125" customWidth="1"/>
    <col min="5" max="5" width="33.140625" customWidth="1"/>
    <col min="15" max="15" width="11.140625" customWidth="1"/>
    <col min="16" max="16" width="10.7109375" customWidth="1"/>
    <col min="17" max="17" width="12.28515625" customWidth="1"/>
    <col min="19" max="19" width="9.85546875" bestFit="1" customWidth="1"/>
  </cols>
  <sheetData>
    <row r="1" spans="1:17" ht="23.25" x14ac:dyDescent="0.25">
      <c r="A1" s="551" t="s">
        <v>0</v>
      </c>
      <c r="B1" s="551"/>
      <c r="C1" s="551"/>
      <c r="D1" s="551"/>
      <c r="E1" s="551"/>
      <c r="F1" s="551"/>
      <c r="G1" s="551"/>
      <c r="H1" s="551"/>
      <c r="I1" s="551"/>
      <c r="J1" s="551"/>
      <c r="K1" s="551"/>
      <c r="L1" s="551"/>
      <c r="M1" s="551"/>
      <c r="N1" s="551"/>
      <c r="O1" s="551"/>
      <c r="P1" s="551"/>
      <c r="Q1" s="551"/>
    </row>
    <row r="2" spans="1:17" ht="15.75" x14ac:dyDescent="0.25">
      <c r="A2" s="550" t="s">
        <v>103</v>
      </c>
      <c r="B2" s="550"/>
      <c r="C2" s="550"/>
      <c r="D2" s="550"/>
      <c r="E2" s="550"/>
      <c r="F2" s="550"/>
      <c r="G2" s="550"/>
      <c r="H2" s="550"/>
      <c r="I2" s="550"/>
      <c r="J2" s="550"/>
      <c r="K2" s="550"/>
      <c r="L2" s="550"/>
      <c r="M2" s="550"/>
      <c r="N2" s="550"/>
      <c r="O2" s="550"/>
      <c r="P2" s="550"/>
      <c r="Q2" s="550"/>
    </row>
    <row r="3" spans="1:17" ht="15.75" x14ac:dyDescent="0.25">
      <c r="A3" s="550" t="s">
        <v>1387</v>
      </c>
      <c r="B3" s="550"/>
      <c r="C3" s="550"/>
      <c r="D3" s="550"/>
      <c r="E3" s="550"/>
      <c r="F3" s="550"/>
      <c r="G3" s="550"/>
      <c r="H3" s="550"/>
      <c r="I3" s="550"/>
      <c r="J3" s="550"/>
      <c r="K3" s="550"/>
      <c r="L3" s="550"/>
      <c r="M3" s="550"/>
      <c r="N3" s="550"/>
      <c r="O3" s="550"/>
      <c r="P3" s="550"/>
      <c r="Q3" s="550"/>
    </row>
    <row r="4" spans="1:17" x14ac:dyDescent="0.25">
      <c r="A4" s="74"/>
      <c r="B4" s="99"/>
      <c r="C4" s="74"/>
      <c r="D4" s="74"/>
      <c r="E4" s="74" t="s">
        <v>194</v>
      </c>
      <c r="F4" s="74"/>
      <c r="G4" s="74"/>
      <c r="H4" s="72"/>
      <c r="I4" s="74"/>
      <c r="J4" s="72"/>
      <c r="K4" s="72"/>
      <c r="L4" s="72"/>
      <c r="M4" s="72"/>
      <c r="N4" s="72"/>
      <c r="O4" s="72"/>
      <c r="P4" s="72"/>
      <c r="Q4" s="72"/>
    </row>
    <row r="5" spans="1:17" ht="25.5" x14ac:dyDescent="0.25">
      <c r="A5" s="177" t="s">
        <v>1</v>
      </c>
      <c r="B5" s="178" t="s">
        <v>2</v>
      </c>
      <c r="C5" s="177" t="s">
        <v>3</v>
      </c>
      <c r="D5" s="177" t="s">
        <v>5</v>
      </c>
      <c r="E5" s="174" t="s">
        <v>4</v>
      </c>
      <c r="F5" s="174" t="s">
        <v>17</v>
      </c>
      <c r="G5" s="552" t="s">
        <v>6</v>
      </c>
      <c r="H5" s="553"/>
      <c r="I5" s="553"/>
      <c r="J5" s="553"/>
      <c r="K5" s="553"/>
      <c r="L5" s="553"/>
      <c r="M5" s="553"/>
      <c r="N5" s="554"/>
      <c r="O5" s="127" t="s">
        <v>18</v>
      </c>
      <c r="P5" s="127" t="s">
        <v>13</v>
      </c>
      <c r="Q5" s="127" t="s">
        <v>14</v>
      </c>
    </row>
    <row r="6" spans="1:17" x14ac:dyDescent="0.25">
      <c r="A6" s="179"/>
      <c r="B6" s="180"/>
      <c r="C6" s="179"/>
      <c r="D6" s="179"/>
      <c r="E6" s="175"/>
      <c r="F6" s="175"/>
      <c r="G6" s="6" t="s">
        <v>7</v>
      </c>
      <c r="H6" s="7" t="s">
        <v>15</v>
      </c>
      <c r="I6" s="6" t="s">
        <v>16</v>
      </c>
      <c r="J6" s="7" t="s">
        <v>8</v>
      </c>
      <c r="K6" s="7" t="s">
        <v>9</v>
      </c>
      <c r="L6" s="7" t="s">
        <v>10</v>
      </c>
      <c r="M6" s="7" t="s">
        <v>11</v>
      </c>
      <c r="N6" s="7" t="s">
        <v>12</v>
      </c>
      <c r="O6" s="181"/>
      <c r="P6" s="181"/>
      <c r="Q6" s="181"/>
    </row>
    <row r="7" spans="1:17" x14ac:dyDescent="0.25">
      <c r="A7" s="75"/>
      <c r="B7" s="100"/>
      <c r="C7" s="88"/>
      <c r="D7" s="88"/>
      <c r="E7" s="134"/>
      <c r="F7" s="75"/>
      <c r="G7" s="77"/>
      <c r="H7" s="68"/>
      <c r="I7" s="75"/>
      <c r="J7" s="68"/>
      <c r="K7" s="68"/>
      <c r="L7" s="68"/>
      <c r="M7" s="68"/>
      <c r="N7" s="68"/>
      <c r="O7" s="68">
        <f>H7+J7+K7+L7+M7+N7</f>
        <v>0</v>
      </c>
      <c r="P7" s="144"/>
      <c r="Q7" s="68">
        <f>P7-O7</f>
        <v>0</v>
      </c>
    </row>
    <row r="8" spans="1:17" ht="20.100000000000001" customHeight="1" x14ac:dyDescent="0.25">
      <c r="A8" s="75">
        <v>1</v>
      </c>
      <c r="B8" s="133">
        <v>43010</v>
      </c>
      <c r="C8" s="135" t="s">
        <v>1388</v>
      </c>
      <c r="D8" s="136" t="s">
        <v>1409</v>
      </c>
      <c r="E8" s="78" t="s">
        <v>188</v>
      </c>
      <c r="F8" s="80"/>
      <c r="G8" s="81">
        <v>290</v>
      </c>
      <c r="H8" s="81">
        <v>4187600</v>
      </c>
      <c r="J8" s="69">
        <v>790000</v>
      </c>
      <c r="K8" s="86"/>
      <c r="L8" s="69"/>
      <c r="M8" s="69"/>
      <c r="N8" s="69"/>
      <c r="O8" s="142">
        <f>H8+J8+K8+L8+M8+N8</f>
        <v>4977600</v>
      </c>
      <c r="P8" s="145">
        <v>3000000</v>
      </c>
      <c r="Q8" s="176">
        <f>P8-O8</f>
        <v>-1977600</v>
      </c>
    </row>
    <row r="9" spans="1:17" ht="20.100000000000001" customHeight="1" x14ac:dyDescent="0.25">
      <c r="A9" s="75">
        <v>2</v>
      </c>
      <c r="B9" s="133">
        <v>43010</v>
      </c>
      <c r="C9" s="135" t="s">
        <v>1389</v>
      </c>
      <c r="D9" s="136" t="s">
        <v>1410</v>
      </c>
      <c r="E9" s="78" t="s">
        <v>188</v>
      </c>
      <c r="F9" s="80"/>
      <c r="G9" s="81"/>
      <c r="H9" s="81"/>
      <c r="J9" s="189">
        <v>790000</v>
      </c>
      <c r="K9" s="86"/>
      <c r="L9" s="69"/>
      <c r="M9" s="69"/>
      <c r="N9" s="69"/>
      <c r="O9" s="142">
        <f t="shared" ref="O9:O36" si="0">H9+J9+K9+L9+M9+N9</f>
        <v>790000</v>
      </c>
      <c r="P9" s="145">
        <v>3000000</v>
      </c>
      <c r="Q9" s="176">
        <f t="shared" ref="Q9:Q36" si="1">P9-O9</f>
        <v>2210000</v>
      </c>
    </row>
    <row r="10" spans="1:17" ht="20.100000000000001" customHeight="1" x14ac:dyDescent="0.25">
      <c r="A10" s="75">
        <v>3</v>
      </c>
      <c r="B10" s="133">
        <v>43011</v>
      </c>
      <c r="C10" s="135" t="s">
        <v>1390</v>
      </c>
      <c r="D10" s="136" t="s">
        <v>1411</v>
      </c>
      <c r="E10" s="78" t="s">
        <v>187</v>
      </c>
      <c r="F10" s="80"/>
      <c r="G10" s="81"/>
      <c r="H10" s="81"/>
      <c r="J10" s="69">
        <v>570000</v>
      </c>
      <c r="K10" s="86"/>
      <c r="L10" s="69"/>
      <c r="M10" s="69"/>
      <c r="N10" s="69"/>
      <c r="O10" s="142">
        <f t="shared" si="0"/>
        <v>570000</v>
      </c>
      <c r="P10" s="145">
        <v>3200000</v>
      </c>
      <c r="Q10" s="176">
        <f t="shared" si="1"/>
        <v>2630000</v>
      </c>
    </row>
    <row r="11" spans="1:17" ht="20.100000000000001" customHeight="1" x14ac:dyDescent="0.25">
      <c r="A11" s="75">
        <v>4</v>
      </c>
      <c r="B11" s="133">
        <v>43012</v>
      </c>
      <c r="C11" s="135" t="s">
        <v>1391</v>
      </c>
      <c r="D11" s="136" t="s">
        <v>1412</v>
      </c>
      <c r="E11" s="78" t="s">
        <v>1029</v>
      </c>
      <c r="F11" s="80"/>
      <c r="G11" s="81"/>
      <c r="H11" s="81"/>
      <c r="J11" s="69">
        <f>930000+400000</f>
        <v>1330000</v>
      </c>
      <c r="K11" s="86"/>
      <c r="L11" s="69"/>
      <c r="M11" s="69"/>
      <c r="N11" s="69"/>
      <c r="O11" s="142">
        <f t="shared" si="0"/>
        <v>1330000</v>
      </c>
      <c r="P11" s="145">
        <v>3500000</v>
      </c>
      <c r="Q11" s="176">
        <f t="shared" si="1"/>
        <v>2170000</v>
      </c>
    </row>
    <row r="12" spans="1:17" ht="20.100000000000001" customHeight="1" x14ac:dyDescent="0.25">
      <c r="A12" s="75">
        <v>5</v>
      </c>
      <c r="B12" s="133">
        <v>43013</v>
      </c>
      <c r="C12" s="135" t="s">
        <v>1392</v>
      </c>
      <c r="D12" s="136" t="s">
        <v>1412</v>
      </c>
      <c r="E12" s="78" t="s">
        <v>1085</v>
      </c>
      <c r="F12" s="80"/>
      <c r="G12" s="81">
        <v>230</v>
      </c>
      <c r="H12" s="81">
        <v>3321200</v>
      </c>
      <c r="J12" s="69">
        <v>0</v>
      </c>
      <c r="K12" s="86"/>
      <c r="L12" s="69"/>
      <c r="M12" s="69"/>
      <c r="N12" s="69"/>
      <c r="O12" s="142">
        <f t="shared" si="0"/>
        <v>3321200</v>
      </c>
      <c r="P12" s="145">
        <v>2000000</v>
      </c>
      <c r="Q12" s="176">
        <f t="shared" si="1"/>
        <v>-1321200</v>
      </c>
    </row>
    <row r="13" spans="1:17" ht="20.100000000000001" customHeight="1" x14ac:dyDescent="0.25">
      <c r="A13" s="75">
        <v>6</v>
      </c>
      <c r="B13" s="133">
        <v>43013</v>
      </c>
      <c r="C13" s="135" t="s">
        <v>1393</v>
      </c>
      <c r="D13" s="136" t="s">
        <v>1413</v>
      </c>
      <c r="E13" s="78" t="s">
        <v>1029</v>
      </c>
      <c r="F13" s="80"/>
      <c r="G13" s="81"/>
      <c r="H13" s="81"/>
      <c r="J13" s="69">
        <v>930000</v>
      </c>
      <c r="K13" s="86"/>
      <c r="L13" s="69"/>
      <c r="M13" s="69"/>
      <c r="N13" s="69"/>
      <c r="O13" s="142">
        <f t="shared" si="0"/>
        <v>930000</v>
      </c>
      <c r="P13" s="145">
        <v>3500000</v>
      </c>
      <c r="Q13" s="176">
        <f t="shared" si="1"/>
        <v>2570000</v>
      </c>
    </row>
    <row r="14" spans="1:17" ht="20.100000000000001" customHeight="1" x14ac:dyDescent="0.25">
      <c r="A14" s="75">
        <v>7</v>
      </c>
      <c r="B14" s="133">
        <v>43014</v>
      </c>
      <c r="C14" s="135" t="s">
        <v>1394</v>
      </c>
      <c r="D14" s="136" t="s">
        <v>1414</v>
      </c>
      <c r="E14" s="78" t="s">
        <v>21</v>
      </c>
      <c r="F14" s="80"/>
      <c r="G14" s="81">
        <v>220</v>
      </c>
      <c r="H14" s="81">
        <v>3207600</v>
      </c>
      <c r="J14" s="69">
        <v>2700000</v>
      </c>
      <c r="K14" s="86"/>
      <c r="L14" s="69"/>
      <c r="M14" s="69"/>
      <c r="N14" s="69"/>
      <c r="O14" s="142">
        <f t="shared" si="0"/>
        <v>5907600</v>
      </c>
      <c r="P14" s="145">
        <v>12181818</v>
      </c>
      <c r="Q14" s="176">
        <f t="shared" si="1"/>
        <v>6274218</v>
      </c>
    </row>
    <row r="15" spans="1:17" ht="20.100000000000001" customHeight="1" x14ac:dyDescent="0.25">
      <c r="A15" s="75">
        <v>8</v>
      </c>
      <c r="B15" s="133">
        <v>43017</v>
      </c>
      <c r="C15" s="135" t="s">
        <v>1395</v>
      </c>
      <c r="D15" s="136" t="s">
        <v>1415</v>
      </c>
      <c r="E15" s="78" t="s">
        <v>187</v>
      </c>
      <c r="F15" s="80"/>
      <c r="G15" s="81">
        <v>245</v>
      </c>
      <c r="H15" s="81">
        <v>3572100</v>
      </c>
      <c r="J15" s="69">
        <v>900000</v>
      </c>
      <c r="K15" s="86"/>
      <c r="L15" s="69"/>
      <c r="M15" s="69"/>
      <c r="N15" s="69"/>
      <c r="O15" s="142">
        <f t="shared" si="0"/>
        <v>4472100</v>
      </c>
      <c r="P15" s="145">
        <v>3200000</v>
      </c>
      <c r="Q15" s="176">
        <f t="shared" si="1"/>
        <v>-1272100</v>
      </c>
    </row>
    <row r="16" spans="1:17" ht="20.100000000000001" customHeight="1" x14ac:dyDescent="0.25">
      <c r="A16" s="75">
        <v>9</v>
      </c>
      <c r="B16" s="133">
        <v>43019</v>
      </c>
      <c r="C16" s="135" t="s">
        <v>1396</v>
      </c>
      <c r="D16" s="136" t="s">
        <v>1416</v>
      </c>
      <c r="E16" s="78" t="s">
        <v>22</v>
      </c>
      <c r="F16" s="80"/>
      <c r="G16" s="81">
        <v>170</v>
      </c>
      <c r="H16" s="81">
        <v>2478600</v>
      </c>
      <c r="J16" s="69">
        <v>570000</v>
      </c>
      <c r="K16" s="86"/>
      <c r="L16" s="69"/>
      <c r="M16" s="69"/>
      <c r="N16" s="69"/>
      <c r="O16" s="142">
        <f t="shared" si="0"/>
        <v>3048600</v>
      </c>
      <c r="P16" s="145">
        <v>3200000</v>
      </c>
      <c r="Q16" s="176">
        <f t="shared" si="1"/>
        <v>151400</v>
      </c>
    </row>
    <row r="17" spans="1:17" ht="20.100000000000001" customHeight="1" x14ac:dyDescent="0.25">
      <c r="A17" s="75">
        <v>10</v>
      </c>
      <c r="B17" s="133">
        <v>43019</v>
      </c>
      <c r="C17" s="135" t="s">
        <v>1397</v>
      </c>
      <c r="D17" s="136" t="s">
        <v>1417</v>
      </c>
      <c r="E17" s="78" t="s">
        <v>24</v>
      </c>
      <c r="F17" s="80"/>
      <c r="G17" s="81"/>
      <c r="H17" s="81"/>
      <c r="J17" s="69">
        <v>1480000</v>
      </c>
      <c r="K17" s="86"/>
      <c r="L17" s="69"/>
      <c r="M17" s="69"/>
      <c r="N17" s="69"/>
      <c r="O17" s="142">
        <f t="shared" si="0"/>
        <v>1480000</v>
      </c>
      <c r="P17" s="145">
        <v>7500000</v>
      </c>
      <c r="Q17" s="176">
        <f t="shared" si="1"/>
        <v>6020000</v>
      </c>
    </row>
    <row r="18" spans="1:17" ht="20.100000000000001" customHeight="1" x14ac:dyDescent="0.25">
      <c r="A18" s="75">
        <v>11</v>
      </c>
      <c r="B18" s="133">
        <v>43020</v>
      </c>
      <c r="C18" s="135" t="s">
        <v>1398</v>
      </c>
      <c r="D18" s="136" t="s">
        <v>1418</v>
      </c>
      <c r="E18" s="78" t="s">
        <v>1429</v>
      </c>
      <c r="F18" s="80"/>
      <c r="G18" s="81"/>
      <c r="H18" s="81"/>
      <c r="J18" s="69">
        <v>930000</v>
      </c>
      <c r="K18" s="86"/>
      <c r="L18" s="69"/>
      <c r="M18" s="69"/>
      <c r="N18" s="69"/>
      <c r="O18" s="142">
        <f t="shared" si="0"/>
        <v>930000</v>
      </c>
      <c r="P18" s="145">
        <v>3700000</v>
      </c>
      <c r="Q18" s="176">
        <f t="shared" si="1"/>
        <v>2770000</v>
      </c>
    </row>
    <row r="19" spans="1:17" ht="20.100000000000001" customHeight="1" x14ac:dyDescent="0.25">
      <c r="A19" s="75">
        <v>12</v>
      </c>
      <c r="B19" s="133">
        <v>43021</v>
      </c>
      <c r="C19" s="135" t="s">
        <v>1399</v>
      </c>
      <c r="D19" s="136" t="s">
        <v>1419</v>
      </c>
      <c r="E19" s="78" t="s">
        <v>1029</v>
      </c>
      <c r="F19" s="80"/>
      <c r="G19" s="81"/>
      <c r="H19" s="81"/>
      <c r="J19" s="69">
        <v>930000</v>
      </c>
      <c r="K19" s="86"/>
      <c r="L19" s="69"/>
      <c r="M19" s="69"/>
      <c r="N19" s="69"/>
      <c r="O19" s="142">
        <f t="shared" si="0"/>
        <v>930000</v>
      </c>
      <c r="P19" s="145">
        <v>3500000</v>
      </c>
      <c r="Q19" s="176">
        <f t="shared" si="1"/>
        <v>2570000</v>
      </c>
    </row>
    <row r="20" spans="1:17" ht="20.100000000000001" customHeight="1" x14ac:dyDescent="0.25">
      <c r="A20" s="75">
        <v>13</v>
      </c>
      <c r="B20" s="133">
        <v>43022</v>
      </c>
      <c r="C20" s="135" t="s">
        <v>1400</v>
      </c>
      <c r="D20" s="136" t="s">
        <v>1420</v>
      </c>
      <c r="E20" s="78" t="s">
        <v>24</v>
      </c>
      <c r="F20" s="80"/>
      <c r="G20" s="81">
        <v>280</v>
      </c>
      <c r="H20" s="81">
        <v>4082400</v>
      </c>
      <c r="J20" s="69">
        <v>1480000</v>
      </c>
      <c r="K20" s="86"/>
      <c r="L20" s="69"/>
      <c r="M20" s="69"/>
      <c r="N20" s="69"/>
      <c r="O20" s="142">
        <f t="shared" si="0"/>
        <v>5562400</v>
      </c>
      <c r="P20" s="145">
        <v>7500000</v>
      </c>
      <c r="Q20" s="176">
        <f t="shared" si="1"/>
        <v>1937600</v>
      </c>
    </row>
    <row r="21" spans="1:17" ht="20.100000000000001" customHeight="1" x14ac:dyDescent="0.25">
      <c r="A21" s="75"/>
      <c r="B21" s="133">
        <v>43025</v>
      </c>
      <c r="C21" s="135" t="s">
        <v>1401</v>
      </c>
      <c r="D21" s="136" t="s">
        <v>1421</v>
      </c>
      <c r="E21" s="78" t="s">
        <v>21</v>
      </c>
      <c r="F21" s="80"/>
      <c r="G21" s="81">
        <v>280</v>
      </c>
      <c r="H21" s="81">
        <v>4082400</v>
      </c>
      <c r="J21" s="69">
        <v>2700000</v>
      </c>
      <c r="K21" s="86"/>
      <c r="L21" s="69"/>
      <c r="M21" s="69"/>
      <c r="N21" s="69"/>
      <c r="O21" s="142">
        <f t="shared" si="0"/>
        <v>6782400</v>
      </c>
      <c r="P21" s="145">
        <v>12181818</v>
      </c>
      <c r="Q21" s="176">
        <f t="shared" si="1"/>
        <v>5399418</v>
      </c>
    </row>
    <row r="22" spans="1:17" ht="20.100000000000001" customHeight="1" x14ac:dyDescent="0.25">
      <c r="A22" s="75"/>
      <c r="B22" s="133">
        <v>43026</v>
      </c>
      <c r="C22" s="135" t="s">
        <v>1402</v>
      </c>
      <c r="D22" s="136" t="s">
        <v>1422</v>
      </c>
      <c r="E22" s="78" t="s">
        <v>501</v>
      </c>
      <c r="F22" s="80"/>
      <c r="G22" s="81">
        <v>240</v>
      </c>
      <c r="H22" s="81">
        <v>3499200</v>
      </c>
      <c r="J22" s="69">
        <v>780000</v>
      </c>
      <c r="K22" s="86"/>
      <c r="L22" s="69"/>
      <c r="M22" s="69"/>
      <c r="N22" s="69"/>
      <c r="O22" s="142">
        <f t="shared" si="0"/>
        <v>4279200</v>
      </c>
      <c r="P22" s="145">
        <v>3100000</v>
      </c>
      <c r="Q22" s="176">
        <f t="shared" si="1"/>
        <v>-1179200</v>
      </c>
    </row>
    <row r="23" spans="1:17" ht="20.100000000000001" customHeight="1" x14ac:dyDescent="0.25">
      <c r="A23" s="75"/>
      <c r="B23" s="133">
        <v>43029</v>
      </c>
      <c r="C23" s="135" t="s">
        <v>1403</v>
      </c>
      <c r="D23" s="136" t="s">
        <v>1423</v>
      </c>
      <c r="E23" s="78" t="s">
        <v>24</v>
      </c>
      <c r="F23" s="80"/>
      <c r="G23" s="81"/>
      <c r="H23" s="81"/>
      <c r="J23" s="69">
        <v>1480000</v>
      </c>
      <c r="K23" s="86"/>
      <c r="L23" s="69"/>
      <c r="M23" s="69"/>
      <c r="N23" s="69"/>
      <c r="O23" s="142">
        <f t="shared" si="0"/>
        <v>1480000</v>
      </c>
      <c r="P23" s="145">
        <v>7500000</v>
      </c>
      <c r="Q23" s="176">
        <f t="shared" si="1"/>
        <v>6020000</v>
      </c>
    </row>
    <row r="24" spans="1:17" ht="20.100000000000001" customHeight="1" x14ac:dyDescent="0.25">
      <c r="A24" s="75"/>
      <c r="B24" s="133">
        <v>43031</v>
      </c>
      <c r="C24" s="135" t="s">
        <v>1404</v>
      </c>
      <c r="D24" s="136" t="s">
        <v>1424</v>
      </c>
      <c r="E24" s="78" t="s">
        <v>1430</v>
      </c>
      <c r="F24" s="80"/>
      <c r="G24" s="81">
        <v>280</v>
      </c>
      <c r="H24" s="81">
        <v>4034800</v>
      </c>
      <c r="J24" s="69">
        <v>2450000</v>
      </c>
      <c r="K24" s="86"/>
      <c r="L24" s="69"/>
      <c r="M24" s="69"/>
      <c r="N24" s="69"/>
      <c r="O24" s="142">
        <f t="shared" si="0"/>
        <v>6484800</v>
      </c>
      <c r="P24" s="145">
        <v>8000000</v>
      </c>
      <c r="Q24" s="176">
        <f t="shared" si="1"/>
        <v>1515200</v>
      </c>
    </row>
    <row r="25" spans="1:17" ht="20.100000000000001" customHeight="1" x14ac:dyDescent="0.25">
      <c r="A25" s="75"/>
      <c r="B25" s="133">
        <v>43033</v>
      </c>
      <c r="C25" s="135" t="s">
        <v>1405</v>
      </c>
      <c r="D25" s="136" t="s">
        <v>1425</v>
      </c>
      <c r="E25" s="78" t="s">
        <v>422</v>
      </c>
      <c r="F25" s="80"/>
      <c r="G25" s="81">
        <v>210</v>
      </c>
      <c r="H25" s="81">
        <v>3026100</v>
      </c>
      <c r="J25" s="69">
        <f>2440000-1660000</f>
        <v>780000</v>
      </c>
      <c r="K25" s="86"/>
      <c r="L25" s="69"/>
      <c r="M25" s="69"/>
      <c r="N25" s="69"/>
      <c r="O25" s="142">
        <f t="shared" si="0"/>
        <v>3806100</v>
      </c>
      <c r="P25" s="145">
        <v>4000000</v>
      </c>
      <c r="Q25" s="176">
        <f t="shared" si="1"/>
        <v>193900</v>
      </c>
    </row>
    <row r="26" spans="1:17" ht="20.100000000000001" customHeight="1" x14ac:dyDescent="0.25">
      <c r="A26" s="75"/>
      <c r="B26" s="133">
        <v>43034</v>
      </c>
      <c r="C26" s="135" t="s">
        <v>1406</v>
      </c>
      <c r="D26" s="136" t="s">
        <v>1426</v>
      </c>
      <c r="E26" s="78" t="s">
        <v>562</v>
      </c>
      <c r="F26" s="80"/>
      <c r="G26" s="81"/>
      <c r="H26" s="81"/>
      <c r="J26" s="182">
        <f>2700000+500000</f>
        <v>3200000</v>
      </c>
      <c r="K26" s="86"/>
      <c r="L26" s="69"/>
      <c r="M26" s="69"/>
      <c r="N26" s="69"/>
      <c r="O26" s="142">
        <f t="shared" si="0"/>
        <v>3200000</v>
      </c>
      <c r="P26" s="207">
        <v>16090909</v>
      </c>
      <c r="Q26" s="176">
        <f t="shared" si="1"/>
        <v>12890909</v>
      </c>
    </row>
    <row r="27" spans="1:17" ht="20.100000000000001" customHeight="1" x14ac:dyDescent="0.25">
      <c r="A27" s="75"/>
      <c r="B27" s="133">
        <v>43038</v>
      </c>
      <c r="C27" s="135" t="s">
        <v>1407</v>
      </c>
      <c r="D27" s="136" t="s">
        <v>1427</v>
      </c>
      <c r="E27" s="78" t="s">
        <v>286</v>
      </c>
      <c r="F27" s="80"/>
      <c r="G27" s="81">
        <v>310</v>
      </c>
      <c r="H27" s="81">
        <v>4467100</v>
      </c>
      <c r="J27" s="69">
        <v>570000</v>
      </c>
      <c r="K27" s="86"/>
      <c r="L27" s="69"/>
      <c r="M27" s="69"/>
      <c r="N27" s="69"/>
      <c r="O27" s="142">
        <f t="shared" si="0"/>
        <v>5037100</v>
      </c>
      <c r="P27" s="145">
        <v>3590909</v>
      </c>
      <c r="Q27" s="176">
        <f t="shared" si="1"/>
        <v>-1446191</v>
      </c>
    </row>
    <row r="28" spans="1:17" ht="20.100000000000001" customHeight="1" x14ac:dyDescent="0.25">
      <c r="A28" s="75"/>
      <c r="B28" s="133">
        <v>43038</v>
      </c>
      <c r="C28" s="135" t="s">
        <v>1408</v>
      </c>
      <c r="D28" s="136" t="s">
        <v>1428</v>
      </c>
      <c r="E28" s="78" t="s">
        <v>21</v>
      </c>
      <c r="F28" s="80"/>
      <c r="G28" s="77">
        <v>320</v>
      </c>
      <c r="H28" s="81">
        <f>G28*14410</f>
        <v>4611200</v>
      </c>
      <c r="I28" s="81"/>
      <c r="J28" s="69">
        <v>2700000</v>
      </c>
      <c r="K28" s="86"/>
      <c r="L28" s="69"/>
      <c r="M28" s="69"/>
      <c r="N28" s="69"/>
      <c r="O28" s="142">
        <f t="shared" si="0"/>
        <v>7311200</v>
      </c>
      <c r="P28" s="145">
        <v>12181818</v>
      </c>
      <c r="Q28" s="176">
        <f t="shared" si="1"/>
        <v>4870618</v>
      </c>
    </row>
    <row r="29" spans="1:17" ht="20.100000000000001" customHeight="1" x14ac:dyDescent="0.25">
      <c r="A29" s="75"/>
      <c r="B29" s="133"/>
      <c r="C29" s="135"/>
      <c r="D29" s="136"/>
      <c r="E29" s="78"/>
      <c r="F29" s="80"/>
      <c r="G29" s="77"/>
      <c r="H29" s="81"/>
      <c r="I29" s="81"/>
      <c r="J29" s="69"/>
      <c r="K29" s="86"/>
      <c r="L29" s="69"/>
      <c r="M29" s="69"/>
      <c r="N29" s="69"/>
      <c r="O29" s="142">
        <f t="shared" si="0"/>
        <v>0</v>
      </c>
      <c r="P29" s="145"/>
      <c r="Q29" s="176">
        <f t="shared" si="1"/>
        <v>0</v>
      </c>
    </row>
    <row r="30" spans="1:17" ht="18" customHeight="1" x14ac:dyDescent="0.25">
      <c r="A30" s="75"/>
      <c r="B30" s="133"/>
      <c r="C30" s="183" t="s">
        <v>1431</v>
      </c>
      <c r="D30" s="162"/>
      <c r="E30" s="153"/>
      <c r="F30" s="163"/>
      <c r="G30" s="164"/>
      <c r="H30" s="155"/>
      <c r="I30" s="165"/>
      <c r="J30" s="166"/>
      <c r="K30" s="86"/>
      <c r="L30" s="156">
        <v>5400000</v>
      </c>
      <c r="M30" s="112"/>
      <c r="N30" s="112"/>
      <c r="O30" s="142">
        <f t="shared" si="0"/>
        <v>5400000</v>
      </c>
      <c r="P30" s="68"/>
      <c r="Q30" s="176">
        <f t="shared" si="1"/>
        <v>-5400000</v>
      </c>
    </row>
    <row r="31" spans="1:17" ht="18" customHeight="1" x14ac:dyDescent="0.25">
      <c r="A31" s="75"/>
      <c r="B31" s="133"/>
      <c r="C31" s="183" t="s">
        <v>1432</v>
      </c>
      <c r="D31" s="162"/>
      <c r="E31" s="153"/>
      <c r="F31" s="163"/>
      <c r="G31" s="164"/>
      <c r="H31" s="155"/>
      <c r="I31" s="165"/>
      <c r="J31" s="166"/>
      <c r="K31" s="86"/>
      <c r="L31" s="156"/>
      <c r="M31" s="112">
        <v>11600000</v>
      </c>
      <c r="N31" s="112"/>
      <c r="O31" s="142">
        <f t="shared" si="0"/>
        <v>11600000</v>
      </c>
      <c r="P31" s="68"/>
      <c r="Q31" s="176">
        <f t="shared" si="1"/>
        <v>-11600000</v>
      </c>
    </row>
    <row r="32" spans="1:17" ht="30" customHeight="1" x14ac:dyDescent="0.25">
      <c r="A32" s="75"/>
      <c r="B32" s="133"/>
      <c r="C32" s="183" t="s">
        <v>1433</v>
      </c>
      <c r="D32" s="162"/>
      <c r="E32" s="153"/>
      <c r="F32" s="163"/>
      <c r="G32" s="164"/>
      <c r="H32" s="155"/>
      <c r="I32" s="165"/>
      <c r="J32" s="166"/>
      <c r="K32" s="86"/>
      <c r="L32" s="156">
        <v>200000</v>
      </c>
      <c r="M32" s="112"/>
      <c r="N32" s="112"/>
      <c r="O32" s="142">
        <f t="shared" si="0"/>
        <v>200000</v>
      </c>
      <c r="P32" s="68"/>
      <c r="Q32" s="176">
        <f t="shared" si="1"/>
        <v>-200000</v>
      </c>
    </row>
    <row r="33" spans="1:19" ht="18" customHeight="1" x14ac:dyDescent="0.25">
      <c r="A33" s="75"/>
      <c r="B33" s="133"/>
      <c r="C33" s="183" t="s">
        <v>1434</v>
      </c>
      <c r="D33" s="162"/>
      <c r="E33" s="153"/>
      <c r="F33" s="163"/>
      <c r="G33" s="164"/>
      <c r="H33" s="155"/>
      <c r="I33" s="165"/>
      <c r="J33" s="166"/>
      <c r="K33" s="86"/>
      <c r="L33" s="156">
        <v>183000</v>
      </c>
      <c r="M33" s="112"/>
      <c r="N33" s="112"/>
      <c r="O33" s="142">
        <f t="shared" si="0"/>
        <v>183000</v>
      </c>
      <c r="P33" s="68"/>
      <c r="Q33" s="176">
        <f t="shared" si="1"/>
        <v>-183000</v>
      </c>
    </row>
    <row r="34" spans="1:19" ht="48" customHeight="1" x14ac:dyDescent="0.25">
      <c r="A34" s="75"/>
      <c r="B34" s="133"/>
      <c r="C34" s="183" t="s">
        <v>1435</v>
      </c>
      <c r="D34" s="162"/>
      <c r="E34" s="153"/>
      <c r="F34" s="163"/>
      <c r="G34" s="164"/>
      <c r="H34" s="155"/>
      <c r="I34" s="165"/>
      <c r="J34" s="166"/>
      <c r="K34" s="86"/>
      <c r="L34" s="156">
        <v>150000</v>
      </c>
      <c r="M34" s="112"/>
      <c r="N34" s="112"/>
      <c r="O34" s="142">
        <f t="shared" si="0"/>
        <v>150000</v>
      </c>
      <c r="P34" s="68"/>
      <c r="Q34" s="176">
        <f t="shared" si="1"/>
        <v>-150000</v>
      </c>
    </row>
    <row r="35" spans="1:19" ht="18" customHeight="1" x14ac:dyDescent="0.25">
      <c r="A35" s="75"/>
      <c r="B35" s="133"/>
      <c r="C35" s="170" t="s">
        <v>1273</v>
      </c>
      <c r="D35" s="162"/>
      <c r="E35" s="153"/>
      <c r="F35" s="163"/>
      <c r="G35" s="164"/>
      <c r="H35" s="155"/>
      <c r="I35" s="165"/>
      <c r="J35" s="166"/>
      <c r="K35" s="86">
        <v>1320000</v>
      </c>
      <c r="L35" s="156"/>
      <c r="M35" s="112"/>
      <c r="N35" s="112"/>
      <c r="O35" s="142">
        <f t="shared" si="0"/>
        <v>1320000</v>
      </c>
      <c r="P35" s="68"/>
      <c r="Q35" s="176">
        <f t="shared" si="1"/>
        <v>-1320000</v>
      </c>
    </row>
    <row r="36" spans="1:19" ht="18" customHeight="1" x14ac:dyDescent="0.25">
      <c r="A36" s="75"/>
      <c r="B36" s="70"/>
      <c r="C36" s="108" t="s">
        <v>1386</v>
      </c>
      <c r="D36" s="87"/>
      <c r="E36" s="70"/>
      <c r="F36" s="110"/>
      <c r="G36" s="70"/>
      <c r="H36" s="81"/>
      <c r="I36" s="111"/>
      <c r="J36" s="112"/>
      <c r="K36" s="113">
        <v>8307692</v>
      </c>
      <c r="L36" s="141"/>
      <c r="M36" s="112"/>
      <c r="N36" s="112"/>
      <c r="O36" s="142">
        <f t="shared" si="0"/>
        <v>8307692</v>
      </c>
      <c r="P36" s="68"/>
      <c r="Q36" s="176">
        <f t="shared" si="1"/>
        <v>-8307692</v>
      </c>
    </row>
    <row r="37" spans="1:19" x14ac:dyDescent="0.25">
      <c r="A37" s="547" t="s">
        <v>19</v>
      </c>
      <c r="B37" s="548"/>
      <c r="C37" s="548"/>
      <c r="D37" s="548"/>
      <c r="E37" s="548"/>
      <c r="F37" s="549"/>
      <c r="G37" s="89">
        <f t="shared" ref="G37:Q37" si="2">SUM(G7:G36)</f>
        <v>3075</v>
      </c>
      <c r="H37" s="71">
        <f t="shared" si="2"/>
        <v>44570300</v>
      </c>
      <c r="I37" s="71">
        <f t="shared" si="2"/>
        <v>0</v>
      </c>
      <c r="J37" s="71">
        <f t="shared" si="2"/>
        <v>28060000</v>
      </c>
      <c r="K37" s="71">
        <f t="shared" si="2"/>
        <v>9627692</v>
      </c>
      <c r="L37" s="71">
        <f t="shared" si="2"/>
        <v>5933000</v>
      </c>
      <c r="M37" s="71">
        <f t="shared" si="2"/>
        <v>11600000</v>
      </c>
      <c r="N37" s="71">
        <f t="shared" si="2"/>
        <v>0</v>
      </c>
      <c r="O37" s="71">
        <f t="shared" si="2"/>
        <v>99790992</v>
      </c>
      <c r="P37" s="71">
        <f t="shared" si="2"/>
        <v>125627272</v>
      </c>
      <c r="Q37" s="71">
        <f t="shared" si="2"/>
        <v>25836280</v>
      </c>
      <c r="S37" s="195"/>
    </row>
    <row r="38" spans="1:19" x14ac:dyDescent="0.25">
      <c r="P38" t="s">
        <v>1100</v>
      </c>
      <c r="Q38" s="202">
        <f>'09-2017'!Q36+'10-2017'!Q37</f>
        <v>218615704.53846154</v>
      </c>
    </row>
  </sheetData>
  <mergeCells count="5">
    <mergeCell ref="A1:Q1"/>
    <mergeCell ref="A2:Q2"/>
    <mergeCell ref="A3:Q3"/>
    <mergeCell ref="G5:N5"/>
    <mergeCell ref="A37:F37"/>
  </mergeCells>
  <pageMargins left="0.7" right="0.7" top="0.75" bottom="0.75" header="0.3" footer="0.3"/>
  <pageSetup paperSize="9" orientation="portrait" horizontalDpi="180" verticalDpi="18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S39"/>
  <sheetViews>
    <sheetView topLeftCell="D25" workbookViewId="0">
      <selection activeCell="Q38" sqref="Q38"/>
    </sheetView>
  </sheetViews>
  <sheetFormatPr defaultRowHeight="15" x14ac:dyDescent="0.25"/>
  <cols>
    <col min="1" max="1" width="4.5703125" customWidth="1"/>
    <col min="3" max="3" width="36.7109375" customWidth="1"/>
    <col min="4" max="4" width="16.5703125" customWidth="1"/>
    <col min="5" max="5" width="33.140625" customWidth="1"/>
    <col min="15" max="15" width="11.140625" customWidth="1"/>
    <col min="16" max="16" width="10.7109375" customWidth="1"/>
    <col min="17" max="17" width="12.28515625" customWidth="1"/>
    <col min="18" max="18" width="11.7109375" customWidth="1"/>
    <col min="19" max="19" width="9.8554687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1436</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74"/>
      <c r="H4" s="72"/>
      <c r="I4" s="74"/>
      <c r="J4" s="72"/>
      <c r="K4" s="72"/>
      <c r="L4" s="72"/>
      <c r="M4" s="72"/>
      <c r="N4" s="72"/>
      <c r="O4" s="72"/>
      <c r="P4" s="72"/>
      <c r="Q4" s="72"/>
    </row>
    <row r="5" spans="1:19" ht="25.5" x14ac:dyDescent="0.25">
      <c r="A5" s="177" t="s">
        <v>1</v>
      </c>
      <c r="B5" s="178" t="s">
        <v>2</v>
      </c>
      <c r="C5" s="177" t="s">
        <v>3</v>
      </c>
      <c r="D5" s="177" t="s">
        <v>5</v>
      </c>
      <c r="E5" s="174" t="s">
        <v>4</v>
      </c>
      <c r="F5" s="174" t="s">
        <v>17</v>
      </c>
      <c r="G5" s="552" t="s">
        <v>6</v>
      </c>
      <c r="H5" s="553"/>
      <c r="I5" s="553"/>
      <c r="J5" s="553"/>
      <c r="K5" s="553"/>
      <c r="L5" s="553"/>
      <c r="M5" s="553"/>
      <c r="N5" s="554"/>
      <c r="O5" s="127" t="s">
        <v>18</v>
      </c>
      <c r="P5" s="127" t="s">
        <v>13</v>
      </c>
      <c r="Q5" s="127" t="s">
        <v>14</v>
      </c>
    </row>
    <row r="6" spans="1:19" x14ac:dyDescent="0.25">
      <c r="A6" s="179"/>
      <c r="B6" s="180"/>
      <c r="C6" s="179"/>
      <c r="D6" s="179"/>
      <c r="E6" s="175"/>
      <c r="F6" s="175"/>
      <c r="G6" s="6" t="s">
        <v>7</v>
      </c>
      <c r="H6" s="7" t="s">
        <v>15</v>
      </c>
      <c r="I6" s="6" t="s">
        <v>16</v>
      </c>
      <c r="J6" s="7" t="s">
        <v>8</v>
      </c>
      <c r="K6" s="7" t="s">
        <v>9</v>
      </c>
      <c r="L6" s="7" t="s">
        <v>10</v>
      </c>
      <c r="M6" s="7" t="s">
        <v>11</v>
      </c>
      <c r="N6" s="7" t="s">
        <v>12</v>
      </c>
      <c r="O6" s="181"/>
      <c r="P6" s="181"/>
      <c r="Q6" s="181"/>
    </row>
    <row r="7" spans="1:19" x14ac:dyDescent="0.25">
      <c r="A7" s="75"/>
      <c r="B7" s="100"/>
      <c r="C7" s="88"/>
      <c r="D7" s="88"/>
      <c r="E7" s="134"/>
      <c r="F7" s="75"/>
      <c r="G7" s="77"/>
      <c r="H7" s="68"/>
      <c r="I7" s="75"/>
      <c r="J7" s="68"/>
      <c r="K7" s="68"/>
      <c r="L7" s="68"/>
      <c r="M7" s="68"/>
      <c r="N7" s="68"/>
      <c r="O7" s="68">
        <f>H7+J7+K7+L7+M7+N7</f>
        <v>0</v>
      </c>
      <c r="P7" s="144"/>
      <c r="Q7" s="68">
        <f>P7-O7</f>
        <v>0</v>
      </c>
    </row>
    <row r="8" spans="1:19" ht="20.100000000000001" customHeight="1" x14ac:dyDescent="0.25">
      <c r="A8" s="75">
        <v>1</v>
      </c>
      <c r="B8" s="133">
        <v>43039</v>
      </c>
      <c r="C8" s="135" t="s">
        <v>1437</v>
      </c>
      <c r="D8" s="136" t="s">
        <v>1457</v>
      </c>
      <c r="E8" s="78" t="s">
        <v>1478</v>
      </c>
      <c r="F8" s="80"/>
      <c r="G8" s="81"/>
      <c r="H8" s="81"/>
      <c r="J8" s="69">
        <v>2440000</v>
      </c>
      <c r="K8" s="86"/>
      <c r="L8" s="69"/>
      <c r="M8" s="69"/>
      <c r="N8" s="69"/>
      <c r="O8" s="142">
        <f>H8+J8+K8+L8+M8+N8</f>
        <v>2440000</v>
      </c>
      <c r="P8" s="145">
        <v>13181818</v>
      </c>
      <c r="Q8" s="176">
        <f>P8-O8</f>
        <v>10741818</v>
      </c>
      <c r="R8" s="195"/>
      <c r="S8" s="195"/>
    </row>
    <row r="9" spans="1:19" ht="20.100000000000001" customHeight="1" x14ac:dyDescent="0.25">
      <c r="A9" s="75">
        <v>2</v>
      </c>
      <c r="B9" s="133">
        <v>43041</v>
      </c>
      <c r="C9" s="135" t="s">
        <v>1438</v>
      </c>
      <c r="D9" s="136" t="s">
        <v>1458</v>
      </c>
      <c r="E9" s="78" t="s">
        <v>1479</v>
      </c>
      <c r="F9" s="80"/>
      <c r="G9" s="81">
        <v>240</v>
      </c>
      <c r="H9" s="81">
        <v>3458400</v>
      </c>
      <c r="J9" s="189">
        <v>930000</v>
      </c>
      <c r="K9" s="86"/>
      <c r="L9" s="69"/>
      <c r="M9" s="69"/>
      <c r="N9" s="69"/>
      <c r="O9" s="142">
        <f t="shared" ref="O9:O37" si="0">H9+J9+K9+L9+M9+N9</f>
        <v>4388400</v>
      </c>
      <c r="P9" s="145">
        <v>3600000</v>
      </c>
      <c r="Q9" s="176">
        <f t="shared" ref="Q9:Q37" si="1">P9-O9</f>
        <v>-788400</v>
      </c>
      <c r="R9" s="195"/>
      <c r="S9" s="195"/>
    </row>
    <row r="10" spans="1:19" ht="20.100000000000001" customHeight="1" x14ac:dyDescent="0.25">
      <c r="A10" s="75">
        <v>3</v>
      </c>
      <c r="B10" s="133">
        <v>43043</v>
      </c>
      <c r="C10" s="135" t="s">
        <v>1439</v>
      </c>
      <c r="D10" s="136" t="s">
        <v>1459</v>
      </c>
      <c r="E10" s="78" t="s">
        <v>21</v>
      </c>
      <c r="F10" s="80"/>
      <c r="G10" s="81"/>
      <c r="H10" s="81"/>
      <c r="J10" s="69">
        <v>2700000</v>
      </c>
      <c r="K10" s="86"/>
      <c r="L10" s="69"/>
      <c r="M10" s="69"/>
      <c r="N10" s="69"/>
      <c r="O10" s="142">
        <f t="shared" si="0"/>
        <v>2700000</v>
      </c>
      <c r="P10" s="145">
        <v>12181818</v>
      </c>
      <c r="Q10" s="176">
        <f t="shared" si="1"/>
        <v>9481818</v>
      </c>
      <c r="R10" s="195"/>
      <c r="S10" s="195"/>
    </row>
    <row r="11" spans="1:19" ht="20.100000000000001" customHeight="1" x14ac:dyDescent="0.25">
      <c r="A11" s="75">
        <v>4</v>
      </c>
      <c r="B11" s="133">
        <v>43045</v>
      </c>
      <c r="C11" s="135" t="s">
        <v>1440</v>
      </c>
      <c r="D11" s="136" t="s">
        <v>1460</v>
      </c>
      <c r="E11" s="78" t="s">
        <v>1480</v>
      </c>
      <c r="F11" s="80"/>
      <c r="G11" s="81">
        <v>350</v>
      </c>
      <c r="H11" s="81">
        <v>5113500</v>
      </c>
      <c r="J11" s="69">
        <v>570000</v>
      </c>
      <c r="K11" s="86"/>
      <c r="L11" s="69"/>
      <c r="M11" s="69"/>
      <c r="N11" s="69"/>
      <c r="O11" s="142">
        <f t="shared" si="0"/>
        <v>5683500</v>
      </c>
      <c r="P11" s="145">
        <v>2800000</v>
      </c>
      <c r="Q11" s="176">
        <f t="shared" si="1"/>
        <v>-2883500</v>
      </c>
      <c r="R11" s="195"/>
      <c r="S11" s="195"/>
    </row>
    <row r="12" spans="1:19" ht="20.100000000000001" customHeight="1" x14ac:dyDescent="0.25">
      <c r="A12" s="75">
        <v>5</v>
      </c>
      <c r="B12" s="133">
        <v>43045</v>
      </c>
      <c r="C12" s="135" t="s">
        <v>1441</v>
      </c>
      <c r="D12" s="136" t="s">
        <v>760</v>
      </c>
      <c r="E12" s="78" t="s">
        <v>1481</v>
      </c>
      <c r="F12" s="80"/>
      <c r="G12" s="81"/>
      <c r="H12" s="81"/>
      <c r="J12" s="69">
        <v>1840000</v>
      </c>
      <c r="K12" s="86"/>
      <c r="L12" s="69"/>
      <c r="M12" s="69"/>
      <c r="N12" s="69"/>
      <c r="O12" s="142">
        <f t="shared" si="0"/>
        <v>1840000</v>
      </c>
      <c r="P12" s="145">
        <v>10000000</v>
      </c>
      <c r="Q12" s="176">
        <f t="shared" si="1"/>
        <v>8160000</v>
      </c>
      <c r="R12" s="195"/>
      <c r="S12" s="195"/>
    </row>
    <row r="13" spans="1:19" ht="20.100000000000001" customHeight="1" x14ac:dyDescent="0.25">
      <c r="A13" s="75">
        <v>6</v>
      </c>
      <c r="B13" s="133">
        <v>43047</v>
      </c>
      <c r="C13" s="135" t="s">
        <v>722</v>
      </c>
      <c r="D13" s="136" t="s">
        <v>1461</v>
      </c>
      <c r="E13" s="78" t="s">
        <v>1482</v>
      </c>
      <c r="F13" s="80"/>
      <c r="G13" s="81">
        <v>280</v>
      </c>
      <c r="H13" s="81">
        <v>4090800</v>
      </c>
      <c r="J13" s="69">
        <v>570000</v>
      </c>
      <c r="K13" s="86"/>
      <c r="L13" s="69"/>
      <c r="M13" s="69"/>
      <c r="N13" s="69"/>
      <c r="O13" s="142">
        <f t="shared" si="0"/>
        <v>4660800</v>
      </c>
      <c r="P13" s="145">
        <v>3590909</v>
      </c>
      <c r="Q13" s="176">
        <f t="shared" si="1"/>
        <v>-1069891</v>
      </c>
      <c r="R13" s="195"/>
      <c r="S13" s="195"/>
    </row>
    <row r="14" spans="1:19" ht="20.100000000000001" customHeight="1" x14ac:dyDescent="0.25">
      <c r="A14" s="75">
        <v>7</v>
      </c>
      <c r="B14" s="133">
        <v>43048</v>
      </c>
      <c r="C14" s="135" t="s">
        <v>1442</v>
      </c>
      <c r="D14" s="136" t="s">
        <v>1462</v>
      </c>
      <c r="E14" s="78" t="s">
        <v>24</v>
      </c>
      <c r="F14" s="80"/>
      <c r="G14" s="81"/>
      <c r="H14" s="81"/>
      <c r="J14" s="69">
        <v>1480000</v>
      </c>
      <c r="K14" s="86"/>
      <c r="L14" s="69"/>
      <c r="M14" s="69"/>
      <c r="N14" s="69"/>
      <c r="O14" s="142">
        <f t="shared" si="0"/>
        <v>1480000</v>
      </c>
      <c r="P14" s="145">
        <v>7500000</v>
      </c>
      <c r="Q14" s="176">
        <f t="shared" si="1"/>
        <v>6020000</v>
      </c>
      <c r="R14" s="195"/>
      <c r="S14" s="195"/>
    </row>
    <row r="15" spans="1:19" ht="20.100000000000001" customHeight="1" x14ac:dyDescent="0.25">
      <c r="A15" s="75">
        <v>8</v>
      </c>
      <c r="B15" s="133">
        <v>43049</v>
      </c>
      <c r="C15" s="135" t="s">
        <v>1443</v>
      </c>
      <c r="D15" s="136" t="s">
        <v>1463</v>
      </c>
      <c r="E15" s="78" t="s">
        <v>1329</v>
      </c>
      <c r="F15" s="80"/>
      <c r="G15" s="81">
        <v>280</v>
      </c>
      <c r="H15" s="81">
        <v>4090800</v>
      </c>
      <c r="J15" s="69">
        <v>1300000</v>
      </c>
      <c r="K15" s="86"/>
      <c r="L15" s="69"/>
      <c r="M15" s="69"/>
      <c r="N15" s="69"/>
      <c r="O15" s="142">
        <f t="shared" si="0"/>
        <v>5390800</v>
      </c>
      <c r="P15" s="145">
        <v>4700000</v>
      </c>
      <c r="Q15" s="176">
        <f t="shared" si="1"/>
        <v>-690800</v>
      </c>
      <c r="R15" s="195"/>
      <c r="S15" s="195"/>
    </row>
    <row r="16" spans="1:19" ht="20.100000000000001" customHeight="1" x14ac:dyDescent="0.25">
      <c r="A16" s="75">
        <v>9</v>
      </c>
      <c r="B16" s="133">
        <v>43051</v>
      </c>
      <c r="C16" s="135" t="s">
        <v>1444</v>
      </c>
      <c r="D16" s="136" t="s">
        <v>1464</v>
      </c>
      <c r="E16" s="78" t="s">
        <v>188</v>
      </c>
      <c r="F16" s="80"/>
      <c r="G16" s="81"/>
      <c r="H16" s="81"/>
      <c r="J16" s="69">
        <v>430000</v>
      </c>
      <c r="K16" s="86"/>
      <c r="L16" s="69"/>
      <c r="M16" s="69"/>
      <c r="N16" s="69"/>
      <c r="O16" s="142">
        <f t="shared" si="0"/>
        <v>430000</v>
      </c>
      <c r="P16" s="145">
        <v>3181818</v>
      </c>
      <c r="Q16" s="176">
        <f t="shared" si="1"/>
        <v>2751818</v>
      </c>
      <c r="R16" s="195"/>
      <c r="S16" s="195"/>
    </row>
    <row r="17" spans="1:19" ht="20.100000000000001" customHeight="1" x14ac:dyDescent="0.25">
      <c r="A17" s="75">
        <v>10</v>
      </c>
      <c r="B17" s="133">
        <v>43052</v>
      </c>
      <c r="C17" s="135" t="s">
        <v>1445</v>
      </c>
      <c r="D17" s="136" t="s">
        <v>1465</v>
      </c>
      <c r="E17" s="78" t="s">
        <v>24</v>
      </c>
      <c r="F17" s="80"/>
      <c r="G17" s="81">
        <v>185</v>
      </c>
      <c r="H17" s="81">
        <v>2702850</v>
      </c>
      <c r="J17" s="69">
        <v>1480000</v>
      </c>
      <c r="K17" s="86"/>
      <c r="L17" s="69"/>
      <c r="M17" s="69"/>
      <c r="N17" s="69"/>
      <c r="O17" s="142">
        <f t="shared" si="0"/>
        <v>4182850</v>
      </c>
      <c r="P17" s="145">
        <v>7500000</v>
      </c>
      <c r="Q17" s="176">
        <f t="shared" si="1"/>
        <v>3317150</v>
      </c>
      <c r="R17" s="195"/>
      <c r="S17" s="195"/>
    </row>
    <row r="18" spans="1:19" ht="20.100000000000001" customHeight="1" x14ac:dyDescent="0.25">
      <c r="A18" s="75">
        <v>11</v>
      </c>
      <c r="B18" s="133">
        <v>43054</v>
      </c>
      <c r="C18" s="135" t="s">
        <v>730</v>
      </c>
      <c r="D18" s="136" t="s">
        <v>1466</v>
      </c>
      <c r="E18" s="78" t="s">
        <v>21</v>
      </c>
      <c r="F18" s="80"/>
      <c r="G18" s="81">
        <v>180</v>
      </c>
      <c r="H18" s="81">
        <v>2629800</v>
      </c>
      <c r="J18" s="69">
        <v>2700000</v>
      </c>
      <c r="K18" s="86"/>
      <c r="L18" s="69"/>
      <c r="M18" s="69"/>
      <c r="N18" s="69"/>
      <c r="O18" s="142">
        <f t="shared" si="0"/>
        <v>5329800</v>
      </c>
      <c r="P18" s="145">
        <v>14090909</v>
      </c>
      <c r="Q18" s="176">
        <f t="shared" si="1"/>
        <v>8761109</v>
      </c>
      <c r="R18" s="195"/>
      <c r="S18" s="195"/>
    </row>
    <row r="19" spans="1:19" ht="20.100000000000001" customHeight="1" x14ac:dyDescent="0.25">
      <c r="A19" s="75">
        <v>12</v>
      </c>
      <c r="B19" s="133">
        <v>43055</v>
      </c>
      <c r="C19" s="135" t="s">
        <v>1446</v>
      </c>
      <c r="D19" s="136" t="s">
        <v>1467</v>
      </c>
      <c r="E19" s="78" t="s">
        <v>1483</v>
      </c>
      <c r="F19" s="80"/>
      <c r="G19" s="81"/>
      <c r="H19" s="81"/>
      <c r="J19" s="69">
        <v>1300000</v>
      </c>
      <c r="K19" s="86"/>
      <c r="L19" s="69"/>
      <c r="M19" s="69"/>
      <c r="N19" s="69"/>
      <c r="O19" s="142">
        <f t="shared" si="0"/>
        <v>1300000</v>
      </c>
      <c r="P19" s="145">
        <v>4800000</v>
      </c>
      <c r="Q19" s="176">
        <f t="shared" si="1"/>
        <v>3500000</v>
      </c>
      <c r="R19" s="195"/>
      <c r="S19" s="195"/>
    </row>
    <row r="20" spans="1:19" ht="20.100000000000001" customHeight="1" x14ac:dyDescent="0.25">
      <c r="A20" s="75">
        <v>13</v>
      </c>
      <c r="B20" s="133">
        <v>43056</v>
      </c>
      <c r="C20" s="135" t="s">
        <v>1447</v>
      </c>
      <c r="D20" s="136" t="s">
        <v>1468</v>
      </c>
      <c r="E20" s="78" t="s">
        <v>427</v>
      </c>
      <c r="F20" s="80"/>
      <c r="G20" s="81">
        <v>250</v>
      </c>
      <c r="H20" s="81">
        <v>3652500</v>
      </c>
      <c r="J20" s="69">
        <v>1300000</v>
      </c>
      <c r="K20" s="86"/>
      <c r="L20" s="69"/>
      <c r="M20" s="69"/>
      <c r="N20" s="69"/>
      <c r="O20" s="142">
        <f t="shared" si="0"/>
        <v>4952500</v>
      </c>
      <c r="P20" s="145">
        <v>4770000</v>
      </c>
      <c r="Q20" s="176">
        <f t="shared" si="1"/>
        <v>-182500</v>
      </c>
      <c r="R20" s="195"/>
      <c r="S20" s="195"/>
    </row>
    <row r="21" spans="1:19" ht="20.100000000000001" customHeight="1" x14ac:dyDescent="0.25">
      <c r="A21" s="75">
        <v>14</v>
      </c>
      <c r="B21" s="133">
        <v>43057</v>
      </c>
      <c r="C21" s="135" t="s">
        <v>1448</v>
      </c>
      <c r="D21" s="136" t="s">
        <v>1469</v>
      </c>
      <c r="E21" s="78" t="s">
        <v>155</v>
      </c>
      <c r="F21" s="80"/>
      <c r="G21" s="81">
        <v>260</v>
      </c>
      <c r="H21" s="81">
        <v>3798600</v>
      </c>
      <c r="J21" s="69">
        <v>1300000</v>
      </c>
      <c r="K21" s="86"/>
      <c r="L21" s="69"/>
      <c r="M21" s="69"/>
      <c r="N21" s="69"/>
      <c r="O21" s="142">
        <f t="shared" si="0"/>
        <v>5098600</v>
      </c>
      <c r="P21" s="145">
        <v>4800000</v>
      </c>
      <c r="Q21" s="176">
        <f t="shared" si="1"/>
        <v>-298600</v>
      </c>
      <c r="R21" s="195"/>
      <c r="S21" s="195"/>
    </row>
    <row r="22" spans="1:19" ht="20.100000000000001" customHeight="1" x14ac:dyDescent="0.25">
      <c r="A22" s="75">
        <v>15</v>
      </c>
      <c r="B22" s="133">
        <v>43059</v>
      </c>
      <c r="C22" s="135" t="s">
        <v>1449</v>
      </c>
      <c r="D22" s="136" t="s">
        <v>1470</v>
      </c>
      <c r="E22" s="78" t="s">
        <v>155</v>
      </c>
      <c r="F22" s="80"/>
      <c r="G22" s="81"/>
      <c r="H22" s="81"/>
      <c r="J22" s="69">
        <v>1300000</v>
      </c>
      <c r="K22" s="86"/>
      <c r="L22" s="69"/>
      <c r="M22" s="69"/>
      <c r="N22" s="69"/>
      <c r="O22" s="142">
        <f t="shared" si="0"/>
        <v>1300000</v>
      </c>
      <c r="P22" s="145">
        <v>4800000</v>
      </c>
      <c r="Q22" s="176">
        <f t="shared" si="1"/>
        <v>3500000</v>
      </c>
      <c r="R22" s="195"/>
      <c r="S22" s="195"/>
    </row>
    <row r="23" spans="1:19" ht="20.100000000000001" customHeight="1" x14ac:dyDescent="0.25">
      <c r="A23" s="75">
        <v>16</v>
      </c>
      <c r="B23" s="133">
        <v>43060</v>
      </c>
      <c r="C23" s="135" t="s">
        <v>1450</v>
      </c>
      <c r="D23" s="136" t="s">
        <v>1471</v>
      </c>
      <c r="E23" s="78" t="s">
        <v>21</v>
      </c>
      <c r="F23" s="80"/>
      <c r="G23" s="81">
        <v>250</v>
      </c>
      <c r="H23" s="81">
        <v>3752500</v>
      </c>
      <c r="J23" s="69">
        <f>2700000-260000</f>
        <v>2440000</v>
      </c>
      <c r="K23" s="86"/>
      <c r="L23" s="69"/>
      <c r="M23" s="69"/>
      <c r="N23" s="69"/>
      <c r="O23" s="142">
        <f t="shared" si="0"/>
        <v>6192500</v>
      </c>
      <c r="P23" s="145">
        <v>13181818</v>
      </c>
      <c r="Q23" s="176">
        <f t="shared" si="1"/>
        <v>6989318</v>
      </c>
      <c r="R23" s="195"/>
      <c r="S23" s="195"/>
    </row>
    <row r="24" spans="1:19" ht="20.100000000000001" customHeight="1" x14ac:dyDescent="0.25">
      <c r="A24" s="75">
        <v>17</v>
      </c>
      <c r="B24" s="133">
        <v>43061</v>
      </c>
      <c r="C24" s="135" t="s">
        <v>1451</v>
      </c>
      <c r="D24" s="136" t="s">
        <v>1472</v>
      </c>
      <c r="E24" s="78" t="s">
        <v>1429</v>
      </c>
      <c r="F24" s="80"/>
      <c r="G24" s="81"/>
      <c r="H24" s="81"/>
      <c r="J24" s="69">
        <v>930000</v>
      </c>
      <c r="K24" s="86"/>
      <c r="L24" s="69"/>
      <c r="M24" s="69"/>
      <c r="N24" s="69"/>
      <c r="O24" s="142">
        <f t="shared" si="0"/>
        <v>930000</v>
      </c>
      <c r="P24" s="145">
        <v>3700000</v>
      </c>
      <c r="Q24" s="176">
        <f t="shared" si="1"/>
        <v>2770000</v>
      </c>
      <c r="R24" s="195"/>
      <c r="S24" s="195"/>
    </row>
    <row r="25" spans="1:19" ht="20.100000000000001" customHeight="1" x14ac:dyDescent="0.25">
      <c r="A25" s="75">
        <v>18</v>
      </c>
      <c r="B25" s="133">
        <v>43062</v>
      </c>
      <c r="C25" s="135" t="s">
        <v>1452</v>
      </c>
      <c r="D25" s="136" t="s">
        <v>1473</v>
      </c>
      <c r="E25" s="78" t="s">
        <v>21</v>
      </c>
      <c r="F25" s="80"/>
      <c r="G25" s="81">
        <v>230</v>
      </c>
      <c r="H25" s="81">
        <v>3452300</v>
      </c>
      <c r="J25" s="69">
        <v>2700000</v>
      </c>
      <c r="K25" s="86"/>
      <c r="L25" s="69"/>
      <c r="M25" s="69"/>
      <c r="N25" s="69"/>
      <c r="O25" s="142">
        <f t="shared" si="0"/>
        <v>6152300</v>
      </c>
      <c r="P25" s="145">
        <v>12181818</v>
      </c>
      <c r="Q25" s="176">
        <f t="shared" si="1"/>
        <v>6029518</v>
      </c>
      <c r="R25" s="195"/>
      <c r="S25" s="195"/>
    </row>
    <row r="26" spans="1:19" ht="20.100000000000001" customHeight="1" x14ac:dyDescent="0.25">
      <c r="A26" s="75">
        <v>19</v>
      </c>
      <c r="B26" s="133">
        <v>43064</v>
      </c>
      <c r="C26" s="135" t="s">
        <v>1453</v>
      </c>
      <c r="D26" s="136" t="s">
        <v>1474</v>
      </c>
      <c r="E26" s="78" t="s">
        <v>1148</v>
      </c>
      <c r="F26" s="80"/>
      <c r="G26" s="81">
        <v>323</v>
      </c>
      <c r="H26" s="81">
        <v>4848230</v>
      </c>
      <c r="J26" s="69">
        <v>1560000</v>
      </c>
      <c r="K26" s="86"/>
      <c r="L26" s="69"/>
      <c r="M26" s="69"/>
      <c r="N26" s="69"/>
      <c r="O26" s="142">
        <f t="shared" si="0"/>
        <v>6408230</v>
      </c>
      <c r="P26" s="209">
        <v>5370000</v>
      </c>
      <c r="Q26" s="176">
        <f t="shared" si="1"/>
        <v>-1038230</v>
      </c>
      <c r="R26" s="195"/>
      <c r="S26" s="195"/>
    </row>
    <row r="27" spans="1:19" ht="20.100000000000001" customHeight="1" x14ac:dyDescent="0.25">
      <c r="A27" s="75">
        <v>20</v>
      </c>
      <c r="B27" s="133">
        <v>43066</v>
      </c>
      <c r="C27" s="135" t="s">
        <v>1454</v>
      </c>
      <c r="D27" s="136" t="s">
        <v>1475</v>
      </c>
      <c r="E27" s="78" t="s">
        <v>1484</v>
      </c>
      <c r="F27" s="80"/>
      <c r="G27" s="81"/>
      <c r="H27" s="81"/>
      <c r="J27" s="69">
        <v>930000</v>
      </c>
      <c r="K27" s="86"/>
      <c r="L27" s="69"/>
      <c r="M27" s="69"/>
      <c r="N27" s="69"/>
      <c r="O27" s="142">
        <f t="shared" si="0"/>
        <v>930000</v>
      </c>
      <c r="P27" s="145">
        <v>3609091</v>
      </c>
      <c r="Q27" s="176">
        <f t="shared" si="1"/>
        <v>2679091</v>
      </c>
      <c r="R27" s="195"/>
      <c r="S27" s="195"/>
    </row>
    <row r="28" spans="1:19" ht="20.100000000000001" customHeight="1" x14ac:dyDescent="0.25">
      <c r="A28" s="75">
        <v>21</v>
      </c>
      <c r="B28" s="133">
        <v>43067</v>
      </c>
      <c r="C28" s="135" t="s">
        <v>1455</v>
      </c>
      <c r="D28" s="136" t="s">
        <v>1476</v>
      </c>
      <c r="E28" s="78" t="s">
        <v>155</v>
      </c>
      <c r="F28" s="80"/>
      <c r="G28" s="77">
        <v>260</v>
      </c>
      <c r="H28" s="81">
        <v>3902600</v>
      </c>
      <c r="I28" s="81"/>
      <c r="J28" s="69">
        <v>1300000</v>
      </c>
      <c r="K28" s="86"/>
      <c r="L28" s="69"/>
      <c r="M28" s="69"/>
      <c r="N28" s="69"/>
      <c r="O28" s="142">
        <f t="shared" si="0"/>
        <v>5202600</v>
      </c>
      <c r="P28" s="145">
        <v>4800000</v>
      </c>
      <c r="Q28" s="176">
        <f t="shared" si="1"/>
        <v>-402600</v>
      </c>
      <c r="R28" s="195"/>
      <c r="S28" s="195"/>
    </row>
    <row r="29" spans="1:19" ht="20.100000000000001" customHeight="1" x14ac:dyDescent="0.25">
      <c r="A29" s="75">
        <v>22</v>
      </c>
      <c r="B29" s="133">
        <v>43068</v>
      </c>
      <c r="C29" s="135" t="s">
        <v>1456</v>
      </c>
      <c r="D29" s="136" t="s">
        <v>1477</v>
      </c>
      <c r="E29" s="78" t="s">
        <v>24</v>
      </c>
      <c r="F29" s="80"/>
      <c r="G29" s="77">
        <v>300</v>
      </c>
      <c r="H29" s="81">
        <f>G29*15010</f>
        <v>4503000</v>
      </c>
      <c r="I29" s="81"/>
      <c r="J29" s="69">
        <v>1480000</v>
      </c>
      <c r="K29" s="86"/>
      <c r="L29" s="69"/>
      <c r="M29" s="69"/>
      <c r="N29" s="69"/>
      <c r="O29" s="142">
        <f t="shared" si="0"/>
        <v>5983000</v>
      </c>
      <c r="P29" s="145">
        <v>7500000</v>
      </c>
      <c r="Q29" s="176">
        <f t="shared" si="1"/>
        <v>1517000</v>
      </c>
      <c r="R29" s="195"/>
      <c r="S29" s="195"/>
    </row>
    <row r="30" spans="1:19" ht="18" customHeight="1" x14ac:dyDescent="0.25">
      <c r="A30" s="75"/>
      <c r="B30" s="133"/>
      <c r="C30" s="183" t="s">
        <v>1485</v>
      </c>
      <c r="D30" s="162"/>
      <c r="E30" s="153"/>
      <c r="F30" s="163"/>
      <c r="G30" s="164"/>
      <c r="H30" s="155"/>
      <c r="I30" s="165"/>
      <c r="J30" s="166"/>
      <c r="K30" s="86"/>
      <c r="L30" s="156">
        <v>5400000</v>
      </c>
      <c r="M30" s="112"/>
      <c r="N30" s="112"/>
      <c r="O30" s="142">
        <f t="shared" si="0"/>
        <v>5400000</v>
      </c>
      <c r="P30" s="68"/>
      <c r="Q30" s="176">
        <f t="shared" si="1"/>
        <v>-5400000</v>
      </c>
    </row>
    <row r="31" spans="1:19" ht="18" customHeight="1" x14ac:dyDescent="0.25">
      <c r="A31" s="75"/>
      <c r="B31" s="133"/>
      <c r="C31" s="183" t="s">
        <v>1432</v>
      </c>
      <c r="D31" s="162"/>
      <c r="E31" s="153"/>
      <c r="F31" s="163"/>
      <c r="G31" s="164"/>
      <c r="H31" s="155"/>
      <c r="I31" s="165"/>
      <c r="J31" s="166"/>
      <c r="K31" s="86"/>
      <c r="L31" s="156"/>
      <c r="M31" s="113">
        <v>11700000</v>
      </c>
      <c r="N31" s="112"/>
      <c r="O31" s="142">
        <f t="shared" si="0"/>
        <v>11700000</v>
      </c>
      <c r="P31" s="68"/>
      <c r="Q31" s="176">
        <f t="shared" si="1"/>
        <v>-11700000</v>
      </c>
    </row>
    <row r="32" spans="1:19" ht="30" customHeight="1" x14ac:dyDescent="0.25">
      <c r="A32" s="75"/>
      <c r="B32" s="133"/>
      <c r="C32" s="183" t="s">
        <v>1486</v>
      </c>
      <c r="D32" s="162"/>
      <c r="E32" s="153"/>
      <c r="F32" s="163"/>
      <c r="G32" s="164"/>
      <c r="H32" s="155"/>
      <c r="I32" s="165"/>
      <c r="J32" s="166"/>
      <c r="K32" s="86"/>
      <c r="L32" s="156">
        <v>300000</v>
      </c>
      <c r="M32" s="113"/>
      <c r="N32" s="112"/>
      <c r="O32" s="142">
        <f t="shared" si="0"/>
        <v>300000</v>
      </c>
      <c r="P32" s="68"/>
      <c r="Q32" s="176">
        <f t="shared" si="1"/>
        <v>-300000</v>
      </c>
    </row>
    <row r="33" spans="1:19" ht="18" customHeight="1" x14ac:dyDescent="0.25">
      <c r="A33" s="75"/>
      <c r="B33" s="133"/>
      <c r="C33" s="183" t="s">
        <v>1487</v>
      </c>
      <c r="D33" s="162"/>
      <c r="E33" s="153"/>
      <c r="F33" s="163"/>
      <c r="G33" s="164"/>
      <c r="H33" s="155"/>
      <c r="I33" s="165"/>
      <c r="J33" s="166"/>
      <c r="K33" s="86"/>
      <c r="L33" s="156"/>
      <c r="M33" s="113">
        <v>11700000</v>
      </c>
      <c r="N33" s="112"/>
      <c r="O33" s="142">
        <f t="shared" si="0"/>
        <v>11700000</v>
      </c>
      <c r="P33" s="68"/>
      <c r="Q33" s="176">
        <f t="shared" si="1"/>
        <v>-11700000</v>
      </c>
    </row>
    <row r="34" spans="1:19" ht="24" customHeight="1" x14ac:dyDescent="0.25">
      <c r="A34" s="75"/>
      <c r="B34" s="133"/>
      <c r="C34" s="208" t="s">
        <v>1488</v>
      </c>
      <c r="D34" s="162"/>
      <c r="E34" s="153"/>
      <c r="F34" s="163"/>
      <c r="G34" s="164"/>
      <c r="H34" s="155"/>
      <c r="I34" s="165"/>
      <c r="J34" s="166"/>
      <c r="K34" s="86"/>
      <c r="L34" s="156">
        <f>11500000/4</f>
        <v>2875000</v>
      </c>
      <c r="M34" s="112"/>
      <c r="N34" s="112"/>
      <c r="O34" s="142">
        <f t="shared" si="0"/>
        <v>2875000</v>
      </c>
      <c r="P34" s="68"/>
      <c r="Q34" s="176">
        <f t="shared" si="1"/>
        <v>-2875000</v>
      </c>
    </row>
    <row r="35" spans="1:19" ht="24" customHeight="1" x14ac:dyDescent="0.25">
      <c r="A35" s="75"/>
      <c r="B35" s="133"/>
      <c r="C35" s="210" t="s">
        <v>157</v>
      </c>
      <c r="D35" s="162"/>
      <c r="E35" s="153"/>
      <c r="F35" s="163"/>
      <c r="G35" s="164"/>
      <c r="H35" s="155"/>
      <c r="I35" s="165"/>
      <c r="J35" s="166"/>
      <c r="K35" s="86"/>
      <c r="L35" s="156">
        <v>1150000</v>
      </c>
      <c r="M35" s="112"/>
      <c r="N35" s="112"/>
      <c r="O35" s="142">
        <f t="shared" si="0"/>
        <v>1150000</v>
      </c>
      <c r="P35" s="68"/>
      <c r="Q35" s="176">
        <f t="shared" si="1"/>
        <v>-1150000</v>
      </c>
    </row>
    <row r="36" spans="1:19" ht="18" customHeight="1" x14ac:dyDescent="0.25">
      <c r="A36" s="75"/>
      <c r="B36" s="133"/>
      <c r="C36" s="170" t="s">
        <v>1273</v>
      </c>
      <c r="D36" s="162"/>
      <c r="E36" s="153"/>
      <c r="F36" s="163"/>
      <c r="G36" s="164"/>
      <c r="H36" s="155"/>
      <c r="I36" s="165"/>
      <c r="J36" s="166"/>
      <c r="K36" s="86">
        <v>1320000</v>
      </c>
      <c r="L36" s="156"/>
      <c r="M36" s="112"/>
      <c r="N36" s="112"/>
      <c r="O36" s="142">
        <f t="shared" si="0"/>
        <v>1320000</v>
      </c>
      <c r="P36" s="68"/>
      <c r="Q36" s="176">
        <f t="shared" si="1"/>
        <v>-1320000</v>
      </c>
    </row>
    <row r="37" spans="1:19" ht="18" customHeight="1" x14ac:dyDescent="0.25">
      <c r="A37" s="75"/>
      <c r="B37" s="70"/>
      <c r="C37" s="108" t="s">
        <v>1386</v>
      </c>
      <c r="D37" s="87"/>
      <c r="E37" s="70"/>
      <c r="F37" s="110"/>
      <c r="G37" s="70"/>
      <c r="H37" s="81"/>
      <c r="I37" s="111"/>
      <c r="J37" s="112"/>
      <c r="K37" s="113">
        <f>9000000/26*28</f>
        <v>9692307.692307692</v>
      </c>
      <c r="L37" s="141"/>
      <c r="M37" s="112"/>
      <c r="N37" s="112"/>
      <c r="O37" s="142">
        <f t="shared" si="0"/>
        <v>9692307.692307692</v>
      </c>
      <c r="P37" s="68"/>
      <c r="Q37" s="176">
        <f t="shared" si="1"/>
        <v>-9692307.692307692</v>
      </c>
    </row>
    <row r="38" spans="1:19" x14ac:dyDescent="0.25">
      <c r="A38" s="547" t="s">
        <v>19</v>
      </c>
      <c r="B38" s="548"/>
      <c r="C38" s="548"/>
      <c r="D38" s="548"/>
      <c r="E38" s="548"/>
      <c r="F38" s="549"/>
      <c r="G38" s="89">
        <f t="shared" ref="G38:P38" si="2">SUM(G7:G37)</f>
        <v>3388</v>
      </c>
      <c r="H38" s="71">
        <f t="shared" si="2"/>
        <v>49995880</v>
      </c>
      <c r="I38" s="71">
        <f t="shared" si="2"/>
        <v>0</v>
      </c>
      <c r="J38" s="71">
        <f t="shared" si="2"/>
        <v>32980000</v>
      </c>
      <c r="K38" s="71">
        <f t="shared" si="2"/>
        <v>11012307.692307692</v>
      </c>
      <c r="L38" s="71">
        <f t="shared" si="2"/>
        <v>9725000</v>
      </c>
      <c r="M38" s="71">
        <f t="shared" si="2"/>
        <v>23400000</v>
      </c>
      <c r="N38" s="71">
        <f t="shared" si="2"/>
        <v>0</v>
      </c>
      <c r="O38" s="71">
        <f>SUM(O7:O37)</f>
        <v>127113187.6923077</v>
      </c>
      <c r="P38" s="71">
        <f t="shared" si="2"/>
        <v>151839999</v>
      </c>
      <c r="Q38" s="71">
        <f>SUM(Q7:Q37)</f>
        <v>24726811.307692308</v>
      </c>
      <c r="R38" s="195"/>
      <c r="S38" s="195"/>
    </row>
    <row r="39" spans="1:19" x14ac:dyDescent="0.25">
      <c r="P39" t="s">
        <v>1100</v>
      </c>
      <c r="Q39" s="202">
        <f>'10-2017'!Q38+'11-2017'!Q38</f>
        <v>243342515.84615386</v>
      </c>
    </row>
  </sheetData>
  <mergeCells count="5">
    <mergeCell ref="A1:Q1"/>
    <mergeCell ref="A2:Q2"/>
    <mergeCell ref="A3:Q3"/>
    <mergeCell ref="G5:N5"/>
    <mergeCell ref="A38:F38"/>
  </mergeCells>
  <pageMargins left="0.7" right="0.7" top="0.75" bottom="0.75" header="0.3" footer="0.3"/>
  <pageSetup paperSize="9" orientation="portrait" horizontalDpi="180" verticalDpi="18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S47"/>
  <sheetViews>
    <sheetView topLeftCell="A27" workbookViewId="0">
      <selection activeCell="C40" sqref="C40"/>
    </sheetView>
  </sheetViews>
  <sheetFormatPr defaultRowHeight="15" x14ac:dyDescent="0.25"/>
  <cols>
    <col min="1" max="1" width="4.5703125" customWidth="1"/>
    <col min="3" max="3" width="41.28515625" customWidth="1"/>
    <col min="4" max="4" width="16.5703125" customWidth="1"/>
    <col min="5" max="5" width="33.140625" customWidth="1"/>
    <col min="15" max="15" width="11.140625" customWidth="1"/>
    <col min="16" max="16" width="10.7109375" customWidth="1"/>
    <col min="17" max="17" width="12.28515625" customWidth="1"/>
    <col min="18" max="18" width="11.7109375" customWidth="1"/>
    <col min="19" max="19" width="9.8554687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1489</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74"/>
      <c r="H4" s="72"/>
      <c r="I4" s="74"/>
      <c r="J4" s="72"/>
      <c r="K4" s="72"/>
      <c r="L4" s="72"/>
      <c r="M4" s="72"/>
      <c r="N4" s="72"/>
      <c r="O4" s="72"/>
      <c r="P4" s="72"/>
      <c r="Q4" s="72"/>
    </row>
    <row r="5" spans="1:19" ht="25.5" x14ac:dyDescent="0.25">
      <c r="A5" s="177" t="s">
        <v>1</v>
      </c>
      <c r="B5" s="178" t="s">
        <v>2</v>
      </c>
      <c r="C5" s="177" t="s">
        <v>3</v>
      </c>
      <c r="D5" s="177" t="s">
        <v>5</v>
      </c>
      <c r="E5" s="174" t="s">
        <v>4</v>
      </c>
      <c r="F5" s="174" t="s">
        <v>17</v>
      </c>
      <c r="G5" s="552" t="s">
        <v>6</v>
      </c>
      <c r="H5" s="553"/>
      <c r="I5" s="553"/>
      <c r="J5" s="553"/>
      <c r="K5" s="553"/>
      <c r="L5" s="553"/>
      <c r="M5" s="553"/>
      <c r="N5" s="554"/>
      <c r="O5" s="127" t="s">
        <v>18</v>
      </c>
      <c r="P5" s="127" t="s">
        <v>13</v>
      </c>
      <c r="Q5" s="127" t="s">
        <v>14</v>
      </c>
    </row>
    <row r="6" spans="1:19" x14ac:dyDescent="0.25">
      <c r="A6" s="179"/>
      <c r="B6" s="180"/>
      <c r="C6" s="179"/>
      <c r="D6" s="179"/>
      <c r="E6" s="175"/>
      <c r="F6" s="175"/>
      <c r="G6" s="6" t="s">
        <v>7</v>
      </c>
      <c r="H6" s="7" t="s">
        <v>15</v>
      </c>
      <c r="I6" s="6" t="s">
        <v>16</v>
      </c>
      <c r="J6" s="7" t="s">
        <v>8</v>
      </c>
      <c r="K6" s="7" t="s">
        <v>9</v>
      </c>
      <c r="L6" s="7" t="s">
        <v>10</v>
      </c>
      <c r="M6" s="7" t="s">
        <v>11</v>
      </c>
      <c r="N6" s="7" t="s">
        <v>12</v>
      </c>
      <c r="O6" s="181"/>
      <c r="P6" s="181"/>
      <c r="Q6" s="181"/>
    </row>
    <row r="7" spans="1:19" x14ac:dyDescent="0.25">
      <c r="A7" s="75"/>
      <c r="B7" s="100"/>
      <c r="C7" s="88"/>
      <c r="D7" s="88"/>
      <c r="E7" s="134"/>
      <c r="F7" s="75"/>
      <c r="G7" s="77"/>
      <c r="H7" s="68"/>
      <c r="I7" s="75"/>
      <c r="J7" s="68"/>
      <c r="K7" s="68"/>
      <c r="L7" s="68"/>
      <c r="M7" s="68"/>
      <c r="N7" s="68"/>
      <c r="O7" s="68">
        <f>H7+J7+K7+L7+M7+N7</f>
        <v>0</v>
      </c>
      <c r="P7" s="144"/>
      <c r="Q7" s="68">
        <f>P7-O7</f>
        <v>0</v>
      </c>
    </row>
    <row r="8" spans="1:19" ht="20.100000000000001" customHeight="1" x14ac:dyDescent="0.25">
      <c r="A8" s="75">
        <v>1</v>
      </c>
      <c r="B8" s="133">
        <v>43069</v>
      </c>
      <c r="C8" s="135" t="s">
        <v>1490</v>
      </c>
      <c r="D8" s="136" t="s">
        <v>1513</v>
      </c>
      <c r="E8" s="78" t="s">
        <v>155</v>
      </c>
      <c r="F8" s="80"/>
      <c r="G8" s="81"/>
      <c r="H8" s="81"/>
      <c r="J8" s="222">
        <v>1300000</v>
      </c>
      <c r="K8" s="86"/>
      <c r="L8" s="69"/>
      <c r="M8" s="69"/>
      <c r="N8" s="69"/>
      <c r="O8" s="142">
        <f>H8+J8+K8+L8+M8+N8</f>
        <v>1300000</v>
      </c>
      <c r="P8" s="145">
        <v>4800000</v>
      </c>
      <c r="Q8" s="176">
        <f>P8-O8</f>
        <v>3500000</v>
      </c>
      <c r="R8" s="195"/>
      <c r="S8" s="195"/>
    </row>
    <row r="9" spans="1:19" ht="20.100000000000001" customHeight="1" x14ac:dyDescent="0.25">
      <c r="A9" s="75">
        <v>2</v>
      </c>
      <c r="B9" s="133">
        <v>43070</v>
      </c>
      <c r="C9" s="135" t="s">
        <v>1491</v>
      </c>
      <c r="D9" s="136" t="s">
        <v>1514</v>
      </c>
      <c r="E9" s="78" t="s">
        <v>1540</v>
      </c>
      <c r="F9" s="80"/>
      <c r="G9" s="81"/>
      <c r="H9" s="81"/>
      <c r="J9" s="223">
        <v>1330000</v>
      </c>
      <c r="K9" s="86"/>
      <c r="L9" s="69"/>
      <c r="M9" s="69"/>
      <c r="N9" s="69"/>
      <c r="O9" s="142">
        <f t="shared" ref="O9:O45" si="0">H9+J9+K9+L9+M9+N9</f>
        <v>1330000</v>
      </c>
      <c r="P9" s="145">
        <v>4318182</v>
      </c>
      <c r="Q9" s="176">
        <f t="shared" ref="Q9:Q45" si="1">P9-O9</f>
        <v>2988182</v>
      </c>
      <c r="R9" s="195"/>
      <c r="S9" s="195"/>
    </row>
    <row r="10" spans="1:19" ht="20.100000000000001" customHeight="1" x14ac:dyDescent="0.25">
      <c r="A10" s="75">
        <v>3</v>
      </c>
      <c r="B10" s="133">
        <v>43070</v>
      </c>
      <c r="C10" s="135" t="s">
        <v>1492</v>
      </c>
      <c r="D10" s="136" t="s">
        <v>1515</v>
      </c>
      <c r="E10" s="78" t="s">
        <v>27</v>
      </c>
      <c r="F10" s="80"/>
      <c r="G10" s="81"/>
      <c r="H10" s="81"/>
      <c r="J10" s="187">
        <v>0</v>
      </c>
      <c r="K10" s="86"/>
      <c r="L10" s="69"/>
      <c r="M10" s="69"/>
      <c r="N10" s="69"/>
      <c r="O10" s="142">
        <f t="shared" si="0"/>
        <v>0</v>
      </c>
      <c r="P10" s="145">
        <v>3000000</v>
      </c>
      <c r="Q10" s="176">
        <f t="shared" si="1"/>
        <v>3000000</v>
      </c>
      <c r="R10" s="195"/>
      <c r="S10" s="195"/>
    </row>
    <row r="11" spans="1:19" ht="20.100000000000001" customHeight="1" x14ac:dyDescent="0.25">
      <c r="A11" s="75">
        <v>4</v>
      </c>
      <c r="B11" s="133">
        <v>43070</v>
      </c>
      <c r="C11" s="135" t="s">
        <v>1493</v>
      </c>
      <c r="D11" s="136" t="s">
        <v>1516</v>
      </c>
      <c r="E11" s="78" t="s">
        <v>21</v>
      </c>
      <c r="F11" s="80"/>
      <c r="G11" s="81">
        <v>245</v>
      </c>
      <c r="H11" s="81">
        <v>3677450</v>
      </c>
      <c r="J11" s="222">
        <v>2700000</v>
      </c>
      <c r="K11" s="86"/>
      <c r="L11" s="69"/>
      <c r="M11" s="69"/>
      <c r="N11" s="69"/>
      <c r="O11" s="142">
        <f t="shared" si="0"/>
        <v>6377450</v>
      </c>
      <c r="P11" s="145">
        <v>12181818</v>
      </c>
      <c r="Q11" s="176">
        <f t="shared" si="1"/>
        <v>5804368</v>
      </c>
      <c r="R11" s="195"/>
      <c r="S11" s="195"/>
    </row>
    <row r="12" spans="1:19" ht="20.100000000000001" customHeight="1" x14ac:dyDescent="0.25">
      <c r="A12" s="75">
        <v>5</v>
      </c>
      <c r="B12" s="133">
        <v>43073</v>
      </c>
      <c r="C12" s="135" t="s">
        <v>787</v>
      </c>
      <c r="D12" s="136" t="s">
        <v>1517</v>
      </c>
      <c r="E12" s="78" t="s">
        <v>1429</v>
      </c>
      <c r="F12" s="80"/>
      <c r="G12" s="81"/>
      <c r="H12" s="81"/>
      <c r="J12" s="222">
        <v>790000</v>
      </c>
      <c r="K12" s="86"/>
      <c r="L12" s="69"/>
      <c r="M12" s="69"/>
      <c r="N12" s="69"/>
      <c r="O12" s="142">
        <f t="shared" si="0"/>
        <v>790000</v>
      </c>
      <c r="P12" s="145">
        <v>3700000</v>
      </c>
      <c r="Q12" s="176">
        <f t="shared" si="1"/>
        <v>2910000</v>
      </c>
      <c r="R12" s="195"/>
      <c r="S12" s="195"/>
    </row>
    <row r="13" spans="1:19" ht="20.100000000000001" customHeight="1" x14ac:dyDescent="0.25">
      <c r="A13" s="75">
        <v>6</v>
      </c>
      <c r="B13" s="133">
        <v>43074</v>
      </c>
      <c r="C13" s="135" t="s">
        <v>788</v>
      </c>
      <c r="D13" s="136" t="s">
        <v>1518</v>
      </c>
      <c r="E13" s="78" t="s">
        <v>85</v>
      </c>
      <c r="F13" s="80"/>
      <c r="G13" s="81">
        <v>330</v>
      </c>
      <c r="H13" s="81">
        <v>5002800</v>
      </c>
      <c r="J13" s="222">
        <v>1420000</v>
      </c>
      <c r="K13" s="86"/>
      <c r="L13" s="69"/>
      <c r="M13" s="69"/>
      <c r="N13" s="69"/>
      <c r="O13" s="142">
        <f t="shared" si="0"/>
        <v>6422800</v>
      </c>
      <c r="P13" s="145">
        <v>5000000</v>
      </c>
      <c r="Q13" s="176">
        <f t="shared" si="1"/>
        <v>-1422800</v>
      </c>
      <c r="R13" s="195"/>
      <c r="S13" s="195"/>
    </row>
    <row r="14" spans="1:19" ht="20.100000000000001" customHeight="1" x14ac:dyDescent="0.25">
      <c r="A14" s="75">
        <v>7</v>
      </c>
      <c r="B14" s="133">
        <v>43075</v>
      </c>
      <c r="C14" s="135" t="s">
        <v>1494</v>
      </c>
      <c r="D14" s="136" t="s">
        <v>1519</v>
      </c>
      <c r="E14" s="78" t="s">
        <v>898</v>
      </c>
      <c r="F14" s="80"/>
      <c r="G14" s="81"/>
      <c r="H14" s="81"/>
      <c r="J14" s="222">
        <v>1160000</v>
      </c>
      <c r="K14" s="86"/>
      <c r="L14" s="69"/>
      <c r="M14" s="69"/>
      <c r="N14" s="69"/>
      <c r="O14" s="142">
        <f t="shared" si="0"/>
        <v>1160000</v>
      </c>
      <c r="P14" s="145">
        <v>4900000</v>
      </c>
      <c r="Q14" s="176">
        <f t="shared" si="1"/>
        <v>3740000</v>
      </c>
      <c r="R14" s="195"/>
      <c r="S14" s="195"/>
    </row>
    <row r="15" spans="1:19" ht="20.100000000000001" customHeight="1" x14ac:dyDescent="0.25">
      <c r="A15" s="75">
        <v>8</v>
      </c>
      <c r="B15" s="133">
        <v>43076</v>
      </c>
      <c r="C15" s="135" t="s">
        <v>1495</v>
      </c>
      <c r="D15" s="136" t="s">
        <v>1520</v>
      </c>
      <c r="E15" s="78" t="s">
        <v>1541</v>
      </c>
      <c r="F15" s="80"/>
      <c r="G15" s="81">
        <v>260</v>
      </c>
      <c r="H15" s="81">
        <v>3941600</v>
      </c>
      <c r="J15" s="222">
        <v>830000</v>
      </c>
      <c r="K15" s="86"/>
      <c r="L15" s="69"/>
      <c r="M15" s="69"/>
      <c r="N15" s="69"/>
      <c r="O15" s="142">
        <f t="shared" si="0"/>
        <v>4771600</v>
      </c>
      <c r="P15" s="145">
        <v>4200000</v>
      </c>
      <c r="Q15" s="176">
        <f t="shared" si="1"/>
        <v>-571600</v>
      </c>
      <c r="R15" s="195"/>
      <c r="S15" s="195"/>
    </row>
    <row r="16" spans="1:19" ht="20.100000000000001" customHeight="1" x14ac:dyDescent="0.25">
      <c r="A16" s="75">
        <v>9</v>
      </c>
      <c r="B16" s="133">
        <v>43076</v>
      </c>
      <c r="C16" s="135" t="s">
        <v>1496</v>
      </c>
      <c r="D16" s="136" t="s">
        <v>1521</v>
      </c>
      <c r="E16" s="78" t="s">
        <v>1542</v>
      </c>
      <c r="F16" s="80"/>
      <c r="G16" s="81"/>
      <c r="H16" s="81"/>
      <c r="J16" s="222">
        <v>0</v>
      </c>
      <c r="K16" s="86"/>
      <c r="L16" s="69"/>
      <c r="M16" s="69"/>
      <c r="N16" s="69"/>
      <c r="O16" s="142">
        <f t="shared" si="0"/>
        <v>0</v>
      </c>
      <c r="P16" s="145">
        <v>2500000</v>
      </c>
      <c r="Q16" s="176">
        <f t="shared" si="1"/>
        <v>2500000</v>
      </c>
      <c r="R16" s="195"/>
      <c r="S16" s="195"/>
    </row>
    <row r="17" spans="1:19" ht="20.100000000000001" customHeight="1" x14ac:dyDescent="0.25">
      <c r="A17" s="75">
        <v>10</v>
      </c>
      <c r="B17" s="133">
        <v>43076</v>
      </c>
      <c r="C17" s="135" t="s">
        <v>1497</v>
      </c>
      <c r="D17" s="136" t="s">
        <v>1522</v>
      </c>
      <c r="E17" s="78" t="s">
        <v>1429</v>
      </c>
      <c r="F17" s="80"/>
      <c r="G17" s="81"/>
      <c r="H17" s="81"/>
      <c r="J17" s="222">
        <v>790000</v>
      </c>
      <c r="K17" s="86"/>
      <c r="L17" s="69"/>
      <c r="M17" s="69"/>
      <c r="N17" s="69"/>
      <c r="O17" s="142">
        <f t="shared" si="0"/>
        <v>790000</v>
      </c>
      <c r="P17" s="145">
        <v>3700000</v>
      </c>
      <c r="Q17" s="176">
        <f t="shared" si="1"/>
        <v>2910000</v>
      </c>
      <c r="R17" s="195"/>
      <c r="S17" s="195"/>
    </row>
    <row r="18" spans="1:19" ht="20.100000000000001" customHeight="1" x14ac:dyDescent="0.25">
      <c r="A18" s="75">
        <v>11</v>
      </c>
      <c r="B18" s="133">
        <v>43079</v>
      </c>
      <c r="C18" s="135" t="s">
        <v>1498</v>
      </c>
      <c r="D18" s="136" t="s">
        <v>1523</v>
      </c>
      <c r="E18" s="78" t="s">
        <v>1149</v>
      </c>
      <c r="F18" s="80"/>
      <c r="G18" s="81"/>
      <c r="H18" s="81"/>
      <c r="J18" s="222">
        <f>1380000-120000</f>
        <v>1260000</v>
      </c>
      <c r="K18" s="86"/>
      <c r="L18" s="69"/>
      <c r="M18" s="69"/>
      <c r="N18" s="69"/>
      <c r="O18" s="142">
        <f t="shared" si="0"/>
        <v>1260000</v>
      </c>
      <c r="P18" s="145">
        <v>5000000</v>
      </c>
      <c r="Q18" s="176">
        <f t="shared" si="1"/>
        <v>3740000</v>
      </c>
      <c r="R18" s="195"/>
      <c r="S18" s="195"/>
    </row>
    <row r="19" spans="1:19" ht="20.100000000000001" customHeight="1" x14ac:dyDescent="0.25">
      <c r="A19" s="75">
        <v>12</v>
      </c>
      <c r="B19" s="133">
        <v>43080</v>
      </c>
      <c r="C19" s="135" t="s">
        <v>1499</v>
      </c>
      <c r="D19" s="136" t="s">
        <v>1524</v>
      </c>
      <c r="E19" s="78" t="s">
        <v>1543</v>
      </c>
      <c r="F19" s="80"/>
      <c r="G19" s="81">
        <v>250</v>
      </c>
      <c r="H19" s="81">
        <v>3790000</v>
      </c>
      <c r="J19" s="222">
        <v>1420000</v>
      </c>
      <c r="K19" s="86"/>
      <c r="L19" s="69"/>
      <c r="M19" s="69"/>
      <c r="N19" s="69"/>
      <c r="O19" s="142">
        <f t="shared" si="0"/>
        <v>5210000</v>
      </c>
      <c r="P19" s="145">
        <v>5200000</v>
      </c>
      <c r="Q19" s="176">
        <f t="shared" si="1"/>
        <v>-10000</v>
      </c>
      <c r="R19" s="195"/>
      <c r="S19" s="195"/>
    </row>
    <row r="20" spans="1:19" ht="20.100000000000001" customHeight="1" x14ac:dyDescent="0.25">
      <c r="A20" s="75">
        <v>13</v>
      </c>
      <c r="B20" s="133">
        <v>43081</v>
      </c>
      <c r="C20" s="135" t="s">
        <v>1500</v>
      </c>
      <c r="D20" s="136" t="s">
        <v>1525</v>
      </c>
      <c r="E20" s="78" t="s">
        <v>21</v>
      </c>
      <c r="F20" s="80"/>
      <c r="G20" s="81">
        <v>266</v>
      </c>
      <c r="H20" s="81">
        <v>4032560</v>
      </c>
      <c r="J20" s="222">
        <v>2560000</v>
      </c>
      <c r="K20" s="86"/>
      <c r="L20" s="69"/>
      <c r="M20" s="69"/>
      <c r="N20" s="69"/>
      <c r="O20" s="142">
        <f t="shared" si="0"/>
        <v>6592560</v>
      </c>
      <c r="P20" s="145">
        <v>12727273</v>
      </c>
      <c r="Q20" s="176">
        <f t="shared" si="1"/>
        <v>6134713</v>
      </c>
      <c r="R20" s="195"/>
      <c r="S20" s="195"/>
    </row>
    <row r="21" spans="1:19" ht="20.100000000000001" customHeight="1" x14ac:dyDescent="0.25">
      <c r="A21" s="75">
        <v>14</v>
      </c>
      <c r="B21" s="133">
        <v>43083</v>
      </c>
      <c r="C21" s="135" t="s">
        <v>1501</v>
      </c>
      <c r="D21" s="136" t="s">
        <v>1526</v>
      </c>
      <c r="E21" s="78" t="s">
        <v>1544</v>
      </c>
      <c r="F21" s="80"/>
      <c r="G21" s="81">
        <v>251</v>
      </c>
      <c r="H21" s="81">
        <v>3805160</v>
      </c>
      <c r="J21" s="222">
        <v>950000</v>
      </c>
      <c r="K21" s="86"/>
      <c r="L21" s="69"/>
      <c r="M21" s="69"/>
      <c r="N21" s="69"/>
      <c r="O21" s="142">
        <f t="shared" si="0"/>
        <v>4755160</v>
      </c>
      <c r="P21" s="145">
        <v>3600000</v>
      </c>
      <c r="Q21" s="176">
        <f t="shared" si="1"/>
        <v>-1155160</v>
      </c>
      <c r="R21" s="195"/>
      <c r="S21" s="195"/>
    </row>
    <row r="22" spans="1:19" ht="20.100000000000001" customHeight="1" x14ac:dyDescent="0.25">
      <c r="A22" s="75">
        <v>15</v>
      </c>
      <c r="B22" s="133">
        <v>43084</v>
      </c>
      <c r="C22" s="135" t="s">
        <v>798</v>
      </c>
      <c r="D22" s="136" t="s">
        <v>1527</v>
      </c>
      <c r="E22" s="78" t="s">
        <v>882</v>
      </c>
      <c r="F22" s="80"/>
      <c r="G22" s="81"/>
      <c r="H22" s="81"/>
      <c r="J22" s="222">
        <v>800000</v>
      </c>
      <c r="K22" s="86"/>
      <c r="L22" s="69"/>
      <c r="M22" s="69"/>
      <c r="N22" s="69"/>
      <c r="O22" s="142">
        <f t="shared" si="0"/>
        <v>800000</v>
      </c>
      <c r="P22" s="145">
        <v>3260000</v>
      </c>
      <c r="Q22" s="176">
        <f t="shared" si="1"/>
        <v>2460000</v>
      </c>
      <c r="R22" s="195"/>
      <c r="S22" s="195"/>
    </row>
    <row r="23" spans="1:19" ht="20.100000000000001" customHeight="1" x14ac:dyDescent="0.25">
      <c r="A23" s="75">
        <v>16</v>
      </c>
      <c r="B23" s="133">
        <v>43087</v>
      </c>
      <c r="C23" s="135" t="s">
        <v>1502</v>
      </c>
      <c r="D23" s="136" t="s">
        <v>1528</v>
      </c>
      <c r="E23" s="78" t="s">
        <v>635</v>
      </c>
      <c r="F23" s="80"/>
      <c r="G23" s="81">
        <v>310</v>
      </c>
      <c r="H23" s="81">
        <v>4699600</v>
      </c>
      <c r="J23" s="222">
        <f>1160000-90000</f>
        <v>1070000</v>
      </c>
      <c r="K23" s="86"/>
      <c r="L23" s="69"/>
      <c r="M23" s="69"/>
      <c r="N23" s="69"/>
      <c r="O23" s="142">
        <f t="shared" si="0"/>
        <v>5769600</v>
      </c>
      <c r="P23" s="145">
        <v>4800000</v>
      </c>
      <c r="Q23" s="176">
        <f t="shared" si="1"/>
        <v>-969600</v>
      </c>
      <c r="R23" s="195"/>
      <c r="S23" s="195"/>
    </row>
    <row r="24" spans="1:19" ht="20.100000000000001" customHeight="1" x14ac:dyDescent="0.25">
      <c r="A24" s="75">
        <v>17</v>
      </c>
      <c r="B24" s="133">
        <v>43087</v>
      </c>
      <c r="C24" s="135" t="s">
        <v>1503</v>
      </c>
      <c r="D24" s="136" t="s">
        <v>1529</v>
      </c>
      <c r="E24" s="78" t="s">
        <v>1545</v>
      </c>
      <c r="F24" s="80"/>
      <c r="G24" s="81"/>
      <c r="H24" s="81"/>
      <c r="J24" s="222">
        <f>1190000-180000</f>
        <v>1010000</v>
      </c>
      <c r="K24" s="86"/>
      <c r="L24" s="69"/>
      <c r="M24" s="69"/>
      <c r="N24" s="69"/>
      <c r="O24" s="142">
        <f t="shared" si="0"/>
        <v>1010000</v>
      </c>
      <c r="P24" s="145">
        <v>3000000</v>
      </c>
      <c r="Q24" s="176">
        <f t="shared" si="1"/>
        <v>1990000</v>
      </c>
      <c r="R24" s="195"/>
      <c r="S24" s="195"/>
    </row>
    <row r="25" spans="1:19" ht="20.100000000000001" customHeight="1" x14ac:dyDescent="0.25">
      <c r="A25" s="75">
        <v>18</v>
      </c>
      <c r="B25" s="133">
        <v>43087</v>
      </c>
      <c r="C25" s="135" t="s">
        <v>1504</v>
      </c>
      <c r="D25" s="136" t="s">
        <v>1530</v>
      </c>
      <c r="E25" s="78" t="s">
        <v>1542</v>
      </c>
      <c r="F25" s="80"/>
      <c r="G25" s="81"/>
      <c r="H25" s="81"/>
      <c r="J25" s="222">
        <v>0</v>
      </c>
      <c r="K25" s="86"/>
      <c r="L25" s="69"/>
      <c r="M25" s="69"/>
      <c r="N25" s="69"/>
      <c r="O25" s="142">
        <f t="shared" si="0"/>
        <v>0</v>
      </c>
      <c r="P25" s="145">
        <v>2500000</v>
      </c>
      <c r="Q25" s="176">
        <f t="shared" si="1"/>
        <v>2500000</v>
      </c>
      <c r="R25" s="195"/>
      <c r="S25" s="195"/>
    </row>
    <row r="26" spans="1:19" ht="20.100000000000001" customHeight="1" x14ac:dyDescent="0.25">
      <c r="A26" s="75">
        <v>19</v>
      </c>
      <c r="B26" s="133">
        <v>43088</v>
      </c>
      <c r="C26" s="135" t="s">
        <v>1505</v>
      </c>
      <c r="D26" s="136" t="s">
        <v>1468</v>
      </c>
      <c r="E26" s="78" t="s">
        <v>711</v>
      </c>
      <c r="F26" s="80"/>
      <c r="G26" s="81">
        <v>280</v>
      </c>
      <c r="H26" s="81">
        <v>4244800</v>
      </c>
      <c r="J26" s="222">
        <f>1420000-90000</f>
        <v>1330000</v>
      </c>
      <c r="K26" s="86"/>
      <c r="L26" s="69"/>
      <c r="M26" s="69"/>
      <c r="N26" s="69"/>
      <c r="O26" s="142">
        <f t="shared" si="0"/>
        <v>5574800</v>
      </c>
      <c r="P26" s="145">
        <v>5300000</v>
      </c>
      <c r="Q26" s="176">
        <f t="shared" si="1"/>
        <v>-274800</v>
      </c>
      <c r="R26" s="195"/>
      <c r="S26" s="195"/>
    </row>
    <row r="27" spans="1:19" ht="20.100000000000001" customHeight="1" x14ac:dyDescent="0.25">
      <c r="A27" s="75">
        <v>20</v>
      </c>
      <c r="B27" s="133">
        <v>43090</v>
      </c>
      <c r="C27" s="135" t="s">
        <v>1506</v>
      </c>
      <c r="D27" s="136" t="s">
        <v>1531</v>
      </c>
      <c r="E27" s="78" t="s">
        <v>1546</v>
      </c>
      <c r="F27" s="80"/>
      <c r="G27" s="81"/>
      <c r="H27" s="81"/>
      <c r="J27" s="222">
        <v>600000</v>
      </c>
      <c r="K27" s="86"/>
      <c r="L27" s="69"/>
      <c r="M27" s="69"/>
      <c r="N27" s="69"/>
      <c r="O27" s="142">
        <f t="shared" si="0"/>
        <v>600000</v>
      </c>
      <c r="P27" s="145">
        <v>4500000</v>
      </c>
      <c r="Q27" s="176">
        <f t="shared" si="1"/>
        <v>3900000</v>
      </c>
      <c r="R27" s="195"/>
      <c r="S27" s="195"/>
    </row>
    <row r="28" spans="1:19" ht="20.100000000000001" customHeight="1" x14ac:dyDescent="0.25">
      <c r="A28" s="75">
        <v>21</v>
      </c>
      <c r="B28" s="133">
        <v>43090</v>
      </c>
      <c r="C28" s="135" t="s">
        <v>1507</v>
      </c>
      <c r="D28" s="136" t="s">
        <v>1532</v>
      </c>
      <c r="E28" s="78" t="s">
        <v>1547</v>
      </c>
      <c r="F28" s="80"/>
      <c r="G28" s="81">
        <v>260</v>
      </c>
      <c r="H28" s="81">
        <v>3941600</v>
      </c>
      <c r="J28" s="187">
        <f>1160000-90000</f>
        <v>1070000</v>
      </c>
      <c r="K28" s="86"/>
      <c r="L28" s="69"/>
      <c r="M28" s="69"/>
      <c r="N28" s="69"/>
      <c r="O28" s="142">
        <f t="shared" si="0"/>
        <v>5011600</v>
      </c>
      <c r="P28" s="145">
        <v>4800000</v>
      </c>
      <c r="Q28" s="176">
        <f t="shared" si="1"/>
        <v>-211600</v>
      </c>
      <c r="R28" s="195"/>
      <c r="S28" s="195"/>
    </row>
    <row r="29" spans="1:19" ht="20.100000000000001" customHeight="1" x14ac:dyDescent="0.25">
      <c r="A29" s="75">
        <v>22</v>
      </c>
      <c r="B29" s="133">
        <v>43092</v>
      </c>
      <c r="C29" s="135" t="s">
        <v>804</v>
      </c>
      <c r="D29" s="136" t="s">
        <v>555</v>
      </c>
      <c r="E29" s="78" t="s">
        <v>364</v>
      </c>
      <c r="F29" s="80"/>
      <c r="G29" s="81"/>
      <c r="H29" s="81"/>
      <c r="J29" s="187">
        <f>1420000-90000</f>
        <v>1330000</v>
      </c>
      <c r="K29" s="86"/>
      <c r="L29" s="69"/>
      <c r="M29" s="69"/>
      <c r="N29" s="69"/>
      <c r="O29" s="142">
        <f t="shared" si="0"/>
        <v>1330000</v>
      </c>
      <c r="P29" s="145">
        <v>5000000</v>
      </c>
      <c r="Q29" s="176">
        <f t="shared" si="1"/>
        <v>3670000</v>
      </c>
      <c r="R29" s="195"/>
      <c r="S29" s="195"/>
    </row>
    <row r="30" spans="1:19" ht="20.100000000000001" customHeight="1" x14ac:dyDescent="0.25">
      <c r="A30" s="75">
        <v>23</v>
      </c>
      <c r="B30" s="133">
        <v>43092</v>
      </c>
      <c r="C30" s="135" t="s">
        <v>1508</v>
      </c>
      <c r="D30" s="136" t="s">
        <v>1533</v>
      </c>
      <c r="E30" s="78" t="s">
        <v>24</v>
      </c>
      <c r="F30" s="80"/>
      <c r="G30" s="81"/>
      <c r="H30" s="81"/>
      <c r="J30" s="222">
        <v>1350000</v>
      </c>
      <c r="K30" s="86"/>
      <c r="L30" s="69"/>
      <c r="M30" s="69"/>
      <c r="N30" s="69"/>
      <c r="O30" s="142">
        <f t="shared" si="0"/>
        <v>1350000</v>
      </c>
      <c r="P30" s="145">
        <v>7500000</v>
      </c>
      <c r="Q30" s="176">
        <f t="shared" si="1"/>
        <v>6150000</v>
      </c>
      <c r="R30" s="195"/>
      <c r="S30" s="195"/>
    </row>
    <row r="31" spans="1:19" ht="20.100000000000001" customHeight="1" x14ac:dyDescent="0.25">
      <c r="A31" s="75">
        <v>24</v>
      </c>
      <c r="B31" s="133">
        <v>43094</v>
      </c>
      <c r="C31" s="135" t="s">
        <v>807</v>
      </c>
      <c r="D31" s="136" t="s">
        <v>1534</v>
      </c>
      <c r="E31" s="78" t="s">
        <v>24</v>
      </c>
      <c r="F31" s="80"/>
      <c r="G31" s="81">
        <v>312</v>
      </c>
      <c r="H31" s="81">
        <v>4729920</v>
      </c>
      <c r="J31" s="222">
        <v>1350000</v>
      </c>
      <c r="K31" s="86"/>
      <c r="L31" s="69"/>
      <c r="M31" s="69"/>
      <c r="N31" s="69"/>
      <c r="O31" s="142">
        <f t="shared" si="0"/>
        <v>6079920</v>
      </c>
      <c r="P31" s="145">
        <v>7500000</v>
      </c>
      <c r="Q31" s="176">
        <f t="shared" si="1"/>
        <v>1420080</v>
      </c>
      <c r="R31" s="195"/>
      <c r="S31" s="195"/>
    </row>
    <row r="32" spans="1:19" ht="20.100000000000001" customHeight="1" x14ac:dyDescent="0.25">
      <c r="A32" s="75">
        <v>25</v>
      </c>
      <c r="B32" s="133">
        <v>43094</v>
      </c>
      <c r="C32" s="135" t="s">
        <v>1509</v>
      </c>
      <c r="D32" s="136" t="s">
        <v>1535</v>
      </c>
      <c r="E32" s="78" t="s">
        <v>1429</v>
      </c>
      <c r="F32" s="80"/>
      <c r="G32" s="81"/>
      <c r="H32" s="81"/>
      <c r="J32" s="222">
        <f>790000-180000</f>
        <v>610000</v>
      </c>
      <c r="K32" s="86"/>
      <c r="L32" s="69"/>
      <c r="M32" s="69"/>
      <c r="N32" s="69"/>
      <c r="O32" s="142">
        <f t="shared" si="0"/>
        <v>610000</v>
      </c>
      <c r="P32" s="145">
        <v>3345455</v>
      </c>
      <c r="Q32" s="176">
        <f t="shared" si="1"/>
        <v>2735455</v>
      </c>
      <c r="R32" s="195"/>
      <c r="S32" s="195"/>
    </row>
    <row r="33" spans="1:19" ht="20.100000000000001" customHeight="1" x14ac:dyDescent="0.25">
      <c r="A33" s="75">
        <v>26</v>
      </c>
      <c r="B33" s="133">
        <v>43096</v>
      </c>
      <c r="C33" s="135" t="s">
        <v>1510</v>
      </c>
      <c r="D33" s="136" t="s">
        <v>1536</v>
      </c>
      <c r="E33" s="78" t="s">
        <v>188</v>
      </c>
      <c r="F33" s="80"/>
      <c r="G33" s="81"/>
      <c r="H33" s="81"/>
      <c r="J33" s="222">
        <v>290000</v>
      </c>
      <c r="K33" s="86"/>
      <c r="L33" s="69"/>
      <c r="M33" s="69"/>
      <c r="N33" s="69"/>
      <c r="O33" s="142">
        <f t="shared" si="0"/>
        <v>290000</v>
      </c>
      <c r="P33" s="145">
        <v>3181818</v>
      </c>
      <c r="Q33" s="176">
        <f t="shared" si="1"/>
        <v>2891818</v>
      </c>
      <c r="R33" s="195"/>
      <c r="S33" s="195"/>
    </row>
    <row r="34" spans="1:19" ht="20.100000000000001" customHeight="1" x14ac:dyDescent="0.25">
      <c r="A34" s="75">
        <v>27</v>
      </c>
      <c r="B34" s="133">
        <v>43097</v>
      </c>
      <c r="C34" s="135" t="s">
        <v>1511</v>
      </c>
      <c r="D34" s="136" t="s">
        <v>1537</v>
      </c>
      <c r="E34" s="78" t="s">
        <v>1548</v>
      </c>
      <c r="F34" s="80"/>
      <c r="G34" s="81">
        <v>325</v>
      </c>
      <c r="H34" s="81">
        <v>4927000</v>
      </c>
      <c r="J34" s="187">
        <f>1420000-90000</f>
        <v>1330000</v>
      </c>
      <c r="K34" s="86"/>
      <c r="L34" s="69"/>
      <c r="M34" s="69"/>
      <c r="N34" s="69"/>
      <c r="O34" s="142">
        <f t="shared" si="0"/>
        <v>6257000</v>
      </c>
      <c r="P34" s="145">
        <v>5000000</v>
      </c>
      <c r="Q34" s="176">
        <f t="shared" si="1"/>
        <v>-1257000</v>
      </c>
      <c r="R34" s="195"/>
      <c r="S34" s="195"/>
    </row>
    <row r="35" spans="1:19" ht="20.100000000000001" customHeight="1" x14ac:dyDescent="0.25">
      <c r="A35" s="75">
        <v>28</v>
      </c>
      <c r="B35" s="133">
        <v>43102</v>
      </c>
      <c r="C35" s="135" t="s">
        <v>811</v>
      </c>
      <c r="D35" s="136" t="s">
        <v>1538</v>
      </c>
      <c r="E35" s="78" t="s">
        <v>364</v>
      </c>
      <c r="F35" s="80"/>
      <c r="G35" s="81">
        <v>270</v>
      </c>
      <c r="H35" s="81">
        <f>G35*15160</f>
        <v>4093200</v>
      </c>
      <c r="J35" s="222">
        <f>1420000-90000</f>
        <v>1330000</v>
      </c>
      <c r="K35" s="86"/>
      <c r="L35" s="69"/>
      <c r="M35" s="69"/>
      <c r="N35" s="69"/>
      <c r="O35" s="142">
        <f t="shared" si="0"/>
        <v>5423200</v>
      </c>
      <c r="P35" s="145">
        <v>5000000</v>
      </c>
      <c r="Q35" s="176">
        <f t="shared" si="1"/>
        <v>-423200</v>
      </c>
      <c r="R35" s="195"/>
      <c r="S35" s="195"/>
    </row>
    <row r="36" spans="1:19" ht="20.100000000000001" customHeight="1" x14ac:dyDescent="0.25">
      <c r="A36" s="75">
        <v>29</v>
      </c>
      <c r="B36" s="133">
        <v>43102</v>
      </c>
      <c r="C36" s="135" t="s">
        <v>1512</v>
      </c>
      <c r="D36" s="136" t="s">
        <v>1539</v>
      </c>
      <c r="E36" s="78" t="s">
        <v>21</v>
      </c>
      <c r="F36" s="80"/>
      <c r="G36" s="81">
        <v>250</v>
      </c>
      <c r="H36" s="81">
        <f>G36*15160</f>
        <v>3790000</v>
      </c>
      <c r="J36" s="222">
        <f>2560000+180000</f>
        <v>2740000</v>
      </c>
      <c r="K36" s="86"/>
      <c r="L36" s="69"/>
      <c r="M36" s="69"/>
      <c r="N36" s="69"/>
      <c r="O36" s="142">
        <f t="shared" si="0"/>
        <v>6530000</v>
      </c>
      <c r="P36" s="145">
        <v>12181818</v>
      </c>
      <c r="Q36" s="176">
        <f t="shared" si="1"/>
        <v>5651818</v>
      </c>
      <c r="R36" s="195"/>
      <c r="S36" s="195"/>
    </row>
    <row r="37" spans="1:19" ht="18" customHeight="1" x14ac:dyDescent="0.25">
      <c r="A37" s="75"/>
      <c r="B37" s="133"/>
      <c r="C37" s="183" t="s">
        <v>1555</v>
      </c>
      <c r="D37" s="162"/>
      <c r="E37" s="153"/>
      <c r="F37" s="163"/>
      <c r="G37" s="164"/>
      <c r="H37" s="155"/>
      <c r="I37" s="165"/>
      <c r="J37" s="166"/>
      <c r="K37" s="86"/>
      <c r="L37" s="156">
        <v>5400000</v>
      </c>
      <c r="M37" s="112"/>
      <c r="N37" s="112"/>
      <c r="O37" s="142">
        <f t="shared" si="0"/>
        <v>5400000</v>
      </c>
      <c r="P37" s="68"/>
      <c r="Q37" s="176">
        <f t="shared" si="1"/>
        <v>-5400000</v>
      </c>
    </row>
    <row r="38" spans="1:19" ht="18" customHeight="1" x14ac:dyDescent="0.25">
      <c r="A38" s="75"/>
      <c r="B38" s="133"/>
      <c r="C38" s="183" t="s">
        <v>1550</v>
      </c>
      <c r="D38" s="162"/>
      <c r="E38" s="153"/>
      <c r="F38" s="163"/>
      <c r="G38" s="164"/>
      <c r="H38" s="155"/>
      <c r="I38" s="165"/>
      <c r="J38" s="166"/>
      <c r="K38" s="86"/>
      <c r="L38" s="156">
        <f>6160000/4</f>
        <v>1540000</v>
      </c>
      <c r="M38" s="113"/>
      <c r="N38" s="112"/>
      <c r="O38" s="142">
        <f t="shared" si="0"/>
        <v>1540000</v>
      </c>
      <c r="P38" s="68"/>
      <c r="Q38" s="176">
        <f t="shared" si="1"/>
        <v>-1540000</v>
      </c>
    </row>
    <row r="39" spans="1:19" ht="30" customHeight="1" x14ac:dyDescent="0.25">
      <c r="A39" s="75"/>
      <c r="B39" s="133"/>
      <c r="C39" s="183" t="s">
        <v>1551</v>
      </c>
      <c r="D39" s="162"/>
      <c r="E39" s="153"/>
      <c r="F39" s="163"/>
      <c r="G39" s="164"/>
      <c r="H39" s="155"/>
      <c r="I39" s="165"/>
      <c r="J39" s="166"/>
      <c r="K39" s="86"/>
      <c r="L39" s="156">
        <v>270000</v>
      </c>
      <c r="M39" s="113"/>
      <c r="N39" s="112"/>
      <c r="O39" s="142">
        <f t="shared" si="0"/>
        <v>270000</v>
      </c>
      <c r="P39" s="68"/>
      <c r="Q39" s="176">
        <f t="shared" si="1"/>
        <v>-270000</v>
      </c>
    </row>
    <row r="40" spans="1:19" ht="42" customHeight="1" x14ac:dyDescent="0.25">
      <c r="A40" s="75"/>
      <c r="B40" s="133"/>
      <c r="C40" s="183" t="s">
        <v>1552</v>
      </c>
      <c r="D40" s="162"/>
      <c r="E40" s="153"/>
      <c r="F40" s="163"/>
      <c r="G40" s="164"/>
      <c r="H40" s="155"/>
      <c r="I40" s="165"/>
      <c r="J40" s="166"/>
      <c r="K40" s="86"/>
      <c r="L40" s="156">
        <v>870000</v>
      </c>
      <c r="M40" s="113"/>
      <c r="N40" s="112"/>
      <c r="O40" s="142">
        <f t="shared" si="0"/>
        <v>870000</v>
      </c>
      <c r="P40" s="68"/>
      <c r="Q40" s="176">
        <f t="shared" si="1"/>
        <v>-870000</v>
      </c>
    </row>
    <row r="41" spans="1:19" ht="24" customHeight="1" x14ac:dyDescent="0.25">
      <c r="A41" s="75"/>
      <c r="B41" s="133"/>
      <c r="C41" s="208" t="s">
        <v>1553</v>
      </c>
      <c r="D41" s="162"/>
      <c r="E41" s="153"/>
      <c r="F41" s="163"/>
      <c r="G41" s="164"/>
      <c r="H41" s="155"/>
      <c r="I41" s="165"/>
      <c r="J41" s="166"/>
      <c r="K41" s="86"/>
      <c r="L41" s="156">
        <v>180000</v>
      </c>
      <c r="M41" s="112"/>
      <c r="N41" s="112"/>
      <c r="O41" s="142">
        <f t="shared" si="0"/>
        <v>180000</v>
      </c>
      <c r="P41" s="68"/>
      <c r="Q41" s="176">
        <f t="shared" si="1"/>
        <v>-180000</v>
      </c>
    </row>
    <row r="42" spans="1:19" ht="40.5" customHeight="1" x14ac:dyDescent="0.25">
      <c r="A42" s="75"/>
      <c r="B42" s="133"/>
      <c r="C42" s="183" t="s">
        <v>1554</v>
      </c>
      <c r="D42" s="162"/>
      <c r="E42" s="153"/>
      <c r="F42" s="163"/>
      <c r="G42" s="164"/>
      <c r="H42" s="155"/>
      <c r="I42" s="165"/>
      <c r="J42" s="166"/>
      <c r="K42" s="86"/>
      <c r="L42" s="156">
        <v>4550000</v>
      </c>
      <c r="M42" s="112"/>
      <c r="N42" s="112"/>
      <c r="O42" s="142">
        <f t="shared" si="0"/>
        <v>4550000</v>
      </c>
      <c r="P42" s="68"/>
      <c r="Q42" s="176">
        <f t="shared" si="1"/>
        <v>-4550000</v>
      </c>
    </row>
    <row r="43" spans="1:19" ht="18" customHeight="1" x14ac:dyDescent="0.25">
      <c r="A43" s="75"/>
      <c r="B43" s="133"/>
      <c r="C43" s="170" t="s">
        <v>1273</v>
      </c>
      <c r="D43" s="162"/>
      <c r="E43" s="153"/>
      <c r="F43" s="163"/>
      <c r="G43" s="164"/>
      <c r="H43" s="155"/>
      <c r="I43" s="165"/>
      <c r="J43" s="166"/>
      <c r="K43" s="86">
        <f>1200000*1.1</f>
        <v>1320000</v>
      </c>
      <c r="L43" s="156"/>
      <c r="M43" s="112"/>
      <c r="N43" s="112"/>
      <c r="O43" s="142">
        <f t="shared" si="0"/>
        <v>1320000</v>
      </c>
      <c r="P43" s="68"/>
      <c r="Q43" s="176">
        <f t="shared" si="1"/>
        <v>-1320000</v>
      </c>
    </row>
    <row r="44" spans="1:19" ht="18" customHeight="1" x14ac:dyDescent="0.25">
      <c r="A44" s="134"/>
      <c r="B44" s="70"/>
      <c r="C44" s="108" t="s">
        <v>1386</v>
      </c>
      <c r="D44" s="87"/>
      <c r="E44" s="70"/>
      <c r="F44" s="110"/>
      <c r="G44" s="70"/>
      <c r="H44" s="111"/>
      <c r="I44" s="111"/>
      <c r="J44" s="112"/>
      <c r="K44" s="113">
        <v>9346154</v>
      </c>
      <c r="L44" s="141"/>
      <c r="M44" s="112"/>
      <c r="N44" s="112"/>
      <c r="O44" s="211">
        <f t="shared" si="0"/>
        <v>9346154</v>
      </c>
      <c r="P44" s="144"/>
      <c r="Q44" s="212">
        <f t="shared" si="1"/>
        <v>-9346154</v>
      </c>
    </row>
    <row r="45" spans="1:19" ht="18" customHeight="1" x14ac:dyDescent="0.25">
      <c r="A45" s="213"/>
      <c r="B45" s="214"/>
      <c r="C45" s="215" t="s">
        <v>1549</v>
      </c>
      <c r="D45" s="216"/>
      <c r="E45" s="214"/>
      <c r="F45" s="217"/>
      <c r="G45" s="214"/>
      <c r="H45" s="218"/>
      <c r="I45" s="218"/>
      <c r="J45" s="219"/>
      <c r="K45" s="220">
        <v>300000</v>
      </c>
      <c r="L45" s="221"/>
      <c r="M45" s="219"/>
      <c r="N45" s="219"/>
      <c r="O45" s="214">
        <f t="shared" si="0"/>
        <v>300000</v>
      </c>
      <c r="P45" s="214"/>
      <c r="Q45" s="214">
        <f t="shared" si="1"/>
        <v>-300000</v>
      </c>
    </row>
    <row r="46" spans="1:19" x14ac:dyDescent="0.25">
      <c r="A46" s="547" t="s">
        <v>19</v>
      </c>
      <c r="B46" s="548"/>
      <c r="C46" s="548"/>
      <c r="D46" s="548"/>
      <c r="E46" s="548"/>
      <c r="F46" s="549"/>
      <c r="G46" s="89">
        <f>SUM(G7:G44)</f>
        <v>3609</v>
      </c>
      <c r="H46" s="71">
        <f>SUM(H7:H44)</f>
        <v>54675690</v>
      </c>
      <c r="I46" s="71">
        <f>SUM(I7:I44)</f>
        <v>0</v>
      </c>
      <c r="J46" s="71">
        <f>SUM(J7:J45)</f>
        <v>32720000</v>
      </c>
      <c r="K46" s="71">
        <f>SUM(K7:K45)</f>
        <v>10966154</v>
      </c>
      <c r="L46" s="71">
        <f>SUM(L7:L45)</f>
        <v>12810000</v>
      </c>
      <c r="M46" s="71">
        <f>SUM(M7:M44)</f>
        <v>0</v>
      </c>
      <c r="N46" s="71">
        <f>SUM(N7:N44)</f>
        <v>0</v>
      </c>
      <c r="O46" s="71">
        <f>SUM(O7:O45)</f>
        <v>111171844</v>
      </c>
      <c r="P46" s="71">
        <f>SUM(P7:P44)</f>
        <v>151696364</v>
      </c>
      <c r="Q46" s="71">
        <f>SUM(Q7:Q45)</f>
        <v>40524520</v>
      </c>
      <c r="R46" s="195"/>
      <c r="S46" s="195"/>
    </row>
    <row r="47" spans="1:19" x14ac:dyDescent="0.25">
      <c r="P47" t="s">
        <v>1100</v>
      </c>
      <c r="Q47" s="202">
        <f>'11-2017'!Q39+'12-2017'!Q46</f>
        <v>283867035.84615386</v>
      </c>
    </row>
  </sheetData>
  <mergeCells count="5">
    <mergeCell ref="A1:Q1"/>
    <mergeCell ref="A2:Q2"/>
    <mergeCell ref="A3:Q3"/>
    <mergeCell ref="G5:N5"/>
    <mergeCell ref="A46:F46"/>
  </mergeCells>
  <pageMargins left="0.7" right="0.7" top="0.75" bottom="0.75" header="0.3" footer="0.3"/>
  <pageSetup paperSize="9" orientation="portrait" horizontalDpi="180" verticalDpi="180"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47"/>
  <sheetViews>
    <sheetView topLeftCell="D34" workbookViewId="0">
      <selection activeCell="Q46" sqref="Q46"/>
    </sheetView>
  </sheetViews>
  <sheetFormatPr defaultRowHeight="15" x14ac:dyDescent="0.25"/>
  <cols>
    <col min="1" max="1" width="4.5703125" customWidth="1"/>
    <col min="3" max="3" width="41.28515625" customWidth="1"/>
    <col min="4" max="4" width="16.5703125" customWidth="1"/>
    <col min="5" max="5" width="33.140625" customWidth="1"/>
    <col min="15" max="15" width="11.140625" customWidth="1"/>
    <col min="16" max="16" width="10.7109375" customWidth="1"/>
    <col min="17" max="17" width="12.28515625" customWidth="1"/>
    <col min="18" max="18" width="11.7109375" customWidth="1"/>
    <col min="19" max="19" width="9.8554687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1556</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74"/>
      <c r="H4" s="72"/>
      <c r="I4" s="74"/>
      <c r="J4" s="72"/>
      <c r="K4" s="72"/>
      <c r="L4" s="72"/>
      <c r="M4" s="72"/>
      <c r="N4" s="72"/>
      <c r="O4" s="72"/>
      <c r="P4" s="72"/>
      <c r="Q4" s="72"/>
    </row>
    <row r="5" spans="1:19" ht="25.5" x14ac:dyDescent="0.25">
      <c r="A5" s="177" t="s">
        <v>1</v>
      </c>
      <c r="B5" s="178" t="s">
        <v>2</v>
      </c>
      <c r="C5" s="177" t="s">
        <v>3</v>
      </c>
      <c r="D5" s="177" t="s">
        <v>5</v>
      </c>
      <c r="E5" s="174" t="s">
        <v>4</v>
      </c>
      <c r="F5" s="174" t="s">
        <v>17</v>
      </c>
      <c r="G5" s="552" t="s">
        <v>6</v>
      </c>
      <c r="H5" s="553"/>
      <c r="I5" s="553"/>
      <c r="J5" s="553"/>
      <c r="K5" s="553"/>
      <c r="L5" s="553"/>
      <c r="M5" s="553"/>
      <c r="N5" s="554"/>
      <c r="O5" s="127" t="s">
        <v>18</v>
      </c>
      <c r="P5" s="127" t="s">
        <v>13</v>
      </c>
      <c r="Q5" s="127" t="s">
        <v>14</v>
      </c>
    </row>
    <row r="6" spans="1:19" x14ac:dyDescent="0.25">
      <c r="A6" s="179"/>
      <c r="B6" s="180"/>
      <c r="C6" s="179"/>
      <c r="D6" s="179"/>
      <c r="E6" s="175"/>
      <c r="F6" s="175"/>
      <c r="G6" s="6" t="s">
        <v>7</v>
      </c>
      <c r="H6" s="7" t="s">
        <v>15</v>
      </c>
      <c r="I6" s="6" t="s">
        <v>16</v>
      </c>
      <c r="J6" s="7" t="s">
        <v>8</v>
      </c>
      <c r="K6" s="7" t="s">
        <v>9</v>
      </c>
      <c r="L6" s="7" t="s">
        <v>10</v>
      </c>
      <c r="M6" s="7" t="s">
        <v>11</v>
      </c>
      <c r="N6" s="7" t="s">
        <v>12</v>
      </c>
      <c r="O6" s="181"/>
      <c r="P6" s="181"/>
      <c r="Q6" s="181"/>
    </row>
    <row r="7" spans="1:19" x14ac:dyDescent="0.25">
      <c r="A7" s="75"/>
      <c r="B7" s="100"/>
      <c r="C7" s="88"/>
      <c r="D7" s="88"/>
      <c r="E7" s="134"/>
      <c r="F7" s="75"/>
      <c r="G7" s="77"/>
      <c r="H7" s="68"/>
      <c r="I7" s="75"/>
      <c r="J7" s="68"/>
      <c r="K7" s="68"/>
      <c r="L7" s="68"/>
      <c r="M7" s="68"/>
      <c r="N7" s="68"/>
      <c r="O7" s="68">
        <f>H7+J7+K7+L7+M7+N7</f>
        <v>0</v>
      </c>
      <c r="P7" s="144"/>
      <c r="Q7" s="68">
        <f>P7-O7</f>
        <v>0</v>
      </c>
    </row>
    <row r="8" spans="1:19" ht="20.100000000000001" customHeight="1" x14ac:dyDescent="0.25">
      <c r="A8" s="75">
        <v>1</v>
      </c>
      <c r="B8" s="133">
        <v>43102</v>
      </c>
      <c r="C8" s="135" t="s">
        <v>1557</v>
      </c>
      <c r="D8" s="136" t="s">
        <v>1587</v>
      </c>
      <c r="E8" s="78" t="s">
        <v>635</v>
      </c>
      <c r="F8" s="80"/>
      <c r="G8" s="81"/>
      <c r="H8" s="81"/>
      <c r="J8" s="222">
        <f>1160000-90000</f>
        <v>1070000</v>
      </c>
      <c r="K8" s="86"/>
      <c r="L8" s="69"/>
      <c r="M8" s="69"/>
      <c r="N8" s="69"/>
      <c r="O8" s="142">
        <f>H8+J8+K8+L8+M8+N8</f>
        <v>1070000</v>
      </c>
      <c r="P8" s="145">
        <v>4800000</v>
      </c>
      <c r="Q8" s="176">
        <f>P8-O8</f>
        <v>3730000</v>
      </c>
      <c r="R8" s="195"/>
      <c r="S8" s="195"/>
    </row>
    <row r="9" spans="1:19" ht="20.100000000000001" customHeight="1" x14ac:dyDescent="0.25">
      <c r="A9" s="75">
        <v>2</v>
      </c>
      <c r="B9" s="133">
        <v>43103</v>
      </c>
      <c r="C9" s="135" t="s">
        <v>1558</v>
      </c>
      <c r="D9" s="136" t="s">
        <v>1588</v>
      </c>
      <c r="E9" s="78" t="s">
        <v>1613</v>
      </c>
      <c r="F9" s="80"/>
      <c r="G9" s="81"/>
      <c r="H9" s="81"/>
      <c r="J9" s="223">
        <f>1420000-180000</f>
        <v>1240000</v>
      </c>
      <c r="K9" s="86"/>
      <c r="L9" s="69"/>
      <c r="M9" s="69"/>
      <c r="N9" s="69"/>
      <c r="O9" s="142">
        <f t="shared" ref="O9:O43" si="0">H9+J9+K9+L9+M9+N9</f>
        <v>1240000</v>
      </c>
      <c r="P9" s="145">
        <v>5300000</v>
      </c>
      <c r="Q9" s="176">
        <f t="shared" ref="Q9:Q43" si="1">P9-O9</f>
        <v>4060000</v>
      </c>
      <c r="R9" s="195"/>
      <c r="S9" s="195"/>
    </row>
    <row r="10" spans="1:19" ht="20.100000000000001" customHeight="1" x14ac:dyDescent="0.25">
      <c r="A10" s="75">
        <v>3</v>
      </c>
      <c r="B10" s="133">
        <v>43104</v>
      </c>
      <c r="C10" s="135" t="s">
        <v>1559</v>
      </c>
      <c r="D10" s="136" t="s">
        <v>1589</v>
      </c>
      <c r="E10" s="78" t="s">
        <v>1614</v>
      </c>
      <c r="F10" s="80"/>
      <c r="G10" s="81"/>
      <c r="H10" s="81"/>
      <c r="J10" s="222">
        <v>840000</v>
      </c>
      <c r="K10" s="86"/>
      <c r="L10" s="69"/>
      <c r="M10" s="69"/>
      <c r="N10" s="69"/>
      <c r="O10" s="142">
        <f t="shared" si="0"/>
        <v>840000</v>
      </c>
      <c r="P10" s="145">
        <v>2500000</v>
      </c>
      <c r="Q10" s="176">
        <f t="shared" si="1"/>
        <v>1660000</v>
      </c>
      <c r="R10" s="195"/>
      <c r="S10" s="195"/>
    </row>
    <row r="11" spans="1:19" ht="20.100000000000001" customHeight="1" x14ac:dyDescent="0.25">
      <c r="A11" s="75">
        <v>4</v>
      </c>
      <c r="B11" s="133">
        <v>43104</v>
      </c>
      <c r="C11" s="135" t="s">
        <v>1560</v>
      </c>
      <c r="D11" s="136" t="s">
        <v>1590</v>
      </c>
      <c r="E11" s="78" t="s">
        <v>1542</v>
      </c>
      <c r="F11" s="80"/>
      <c r="G11" s="81"/>
      <c r="H11" s="81"/>
      <c r="J11" s="222"/>
      <c r="K11" s="86"/>
      <c r="L11" s="69"/>
      <c r="M11" s="69"/>
      <c r="N11" s="69"/>
      <c r="O11" s="142">
        <f t="shared" si="0"/>
        <v>0</v>
      </c>
      <c r="P11" s="145">
        <v>2500000</v>
      </c>
      <c r="Q11" s="176">
        <f t="shared" si="1"/>
        <v>2500000</v>
      </c>
      <c r="R11" s="195"/>
      <c r="S11" s="195"/>
    </row>
    <row r="12" spans="1:19" ht="20.100000000000001" customHeight="1" x14ac:dyDescent="0.25">
      <c r="A12" s="75">
        <v>5</v>
      </c>
      <c r="B12" s="133">
        <v>43105</v>
      </c>
      <c r="C12" s="135" t="s">
        <v>1561</v>
      </c>
      <c r="D12" s="136" t="s">
        <v>1591</v>
      </c>
      <c r="E12" s="78" t="s">
        <v>1615</v>
      </c>
      <c r="F12" s="80"/>
      <c r="G12" s="81">
        <v>265</v>
      </c>
      <c r="H12" s="81">
        <v>4112800</v>
      </c>
      <c r="J12" s="182">
        <f>1210000-90000</f>
        <v>1120000</v>
      </c>
      <c r="K12" s="86"/>
      <c r="L12" s="69"/>
      <c r="M12" s="69"/>
      <c r="N12" s="69"/>
      <c r="O12" s="142">
        <f t="shared" si="0"/>
        <v>5232800</v>
      </c>
      <c r="P12" s="145">
        <v>2727273</v>
      </c>
      <c r="Q12" s="176">
        <f t="shared" si="1"/>
        <v>-2505527</v>
      </c>
      <c r="R12" s="195"/>
      <c r="S12" s="195"/>
    </row>
    <row r="13" spans="1:19" ht="20.100000000000001" customHeight="1" x14ac:dyDescent="0.25">
      <c r="A13" s="75">
        <v>6</v>
      </c>
      <c r="B13" s="133">
        <v>43105</v>
      </c>
      <c r="C13" s="135" t="s">
        <v>1562</v>
      </c>
      <c r="D13" s="136" t="s">
        <v>1592</v>
      </c>
      <c r="E13" s="78" t="s">
        <v>1542</v>
      </c>
      <c r="F13" s="80"/>
      <c r="G13" s="81"/>
      <c r="H13" s="81"/>
      <c r="J13" s="182"/>
      <c r="K13" s="86"/>
      <c r="L13" s="69"/>
      <c r="M13" s="69"/>
      <c r="N13" s="69"/>
      <c r="O13" s="142">
        <f t="shared" si="0"/>
        <v>0</v>
      </c>
      <c r="P13" s="145">
        <v>2500000</v>
      </c>
      <c r="Q13" s="176">
        <f t="shared" si="1"/>
        <v>2500000</v>
      </c>
      <c r="R13" s="195"/>
      <c r="S13" s="195"/>
    </row>
    <row r="14" spans="1:19" ht="20.100000000000001" customHeight="1" x14ac:dyDescent="0.25">
      <c r="A14" s="75">
        <v>7</v>
      </c>
      <c r="B14" s="133">
        <v>43107</v>
      </c>
      <c r="C14" s="135" t="s">
        <v>1563</v>
      </c>
      <c r="D14" s="136" t="s">
        <v>1593</v>
      </c>
      <c r="E14" s="78" t="s">
        <v>1616</v>
      </c>
      <c r="F14" s="80"/>
      <c r="G14" s="81"/>
      <c r="H14" s="81"/>
      <c r="J14" s="222">
        <v>690000</v>
      </c>
      <c r="K14" s="86"/>
      <c r="L14" s="69"/>
      <c r="M14" s="69"/>
      <c r="N14" s="69"/>
      <c r="O14" s="142">
        <f t="shared" si="0"/>
        <v>690000</v>
      </c>
      <c r="P14" s="145">
        <v>2290909</v>
      </c>
      <c r="Q14" s="176">
        <f t="shared" si="1"/>
        <v>1600909</v>
      </c>
      <c r="R14" s="195"/>
      <c r="S14" s="195"/>
    </row>
    <row r="15" spans="1:19" ht="20.100000000000001" customHeight="1" x14ac:dyDescent="0.25">
      <c r="A15" s="75">
        <v>8</v>
      </c>
      <c r="B15" s="133">
        <v>43107</v>
      </c>
      <c r="C15" s="135" t="s">
        <v>1564</v>
      </c>
      <c r="D15" s="136" t="s">
        <v>1593</v>
      </c>
      <c r="E15" s="78" t="s">
        <v>116</v>
      </c>
      <c r="F15" s="80"/>
      <c r="G15" s="81"/>
      <c r="H15" s="81"/>
      <c r="J15" s="222"/>
      <c r="K15" s="86"/>
      <c r="L15" s="69"/>
      <c r="M15" s="69"/>
      <c r="N15" s="69"/>
      <c r="O15" s="142">
        <f t="shared" si="0"/>
        <v>0</v>
      </c>
      <c r="P15" s="145">
        <v>2500000</v>
      </c>
      <c r="Q15" s="176">
        <f t="shared" si="1"/>
        <v>2500000</v>
      </c>
      <c r="R15" s="195"/>
      <c r="S15" s="195"/>
    </row>
    <row r="16" spans="1:19" ht="20.100000000000001" customHeight="1" x14ac:dyDescent="0.25">
      <c r="A16" s="75">
        <v>9</v>
      </c>
      <c r="B16" s="133">
        <v>43108</v>
      </c>
      <c r="C16" s="135" t="s">
        <v>1565</v>
      </c>
      <c r="D16" s="136" t="s">
        <v>1594</v>
      </c>
      <c r="E16" s="78" t="s">
        <v>706</v>
      </c>
      <c r="F16" s="80"/>
      <c r="G16" s="81">
        <v>300</v>
      </c>
      <c r="H16" s="81">
        <v>4656000</v>
      </c>
      <c r="J16" s="222">
        <f>1210000-90000</f>
        <v>1120000</v>
      </c>
      <c r="K16" s="86"/>
      <c r="L16" s="69"/>
      <c r="M16" s="69"/>
      <c r="N16" s="69"/>
      <c r="O16" s="142">
        <f t="shared" si="0"/>
        <v>5776000</v>
      </c>
      <c r="P16" s="145">
        <v>3509091</v>
      </c>
      <c r="Q16" s="176">
        <f t="shared" si="1"/>
        <v>-2266909</v>
      </c>
      <c r="R16" s="195"/>
      <c r="S16" s="195"/>
    </row>
    <row r="17" spans="1:19" ht="20.100000000000001" customHeight="1" x14ac:dyDescent="0.25">
      <c r="A17" s="75">
        <v>10</v>
      </c>
      <c r="B17" s="133">
        <v>43108</v>
      </c>
      <c r="C17" s="135" t="s">
        <v>1566</v>
      </c>
      <c r="D17" s="136" t="s">
        <v>1594</v>
      </c>
      <c r="E17" s="78" t="s">
        <v>116</v>
      </c>
      <c r="F17" s="80"/>
      <c r="G17" s="81"/>
      <c r="H17" s="81"/>
      <c r="J17" s="222"/>
      <c r="K17" s="86"/>
      <c r="L17" s="69"/>
      <c r="M17" s="69"/>
      <c r="N17" s="69"/>
      <c r="O17" s="142">
        <f t="shared" si="0"/>
        <v>0</v>
      </c>
      <c r="P17" s="145">
        <v>2500000</v>
      </c>
      <c r="Q17" s="176">
        <f t="shared" si="1"/>
        <v>2500000</v>
      </c>
      <c r="R17" s="195"/>
      <c r="S17" s="195"/>
    </row>
    <row r="18" spans="1:19" ht="20.100000000000001" customHeight="1" x14ac:dyDescent="0.25">
      <c r="A18" s="75">
        <v>11</v>
      </c>
      <c r="B18" s="133">
        <v>43109</v>
      </c>
      <c r="C18" s="135" t="s">
        <v>1567</v>
      </c>
      <c r="D18" s="136" t="s">
        <v>1595</v>
      </c>
      <c r="E18" s="78" t="s">
        <v>1617</v>
      </c>
      <c r="F18" s="80"/>
      <c r="G18" s="81"/>
      <c r="H18" s="81"/>
      <c r="J18" s="222">
        <f>1210000-90000</f>
        <v>1120000</v>
      </c>
      <c r="K18" s="86"/>
      <c r="L18" s="69"/>
      <c r="M18" s="69"/>
      <c r="N18" s="69"/>
      <c r="O18" s="142">
        <f t="shared" si="0"/>
        <v>1120000</v>
      </c>
      <c r="P18" s="145">
        <v>3100000</v>
      </c>
      <c r="Q18" s="176">
        <f t="shared" si="1"/>
        <v>1980000</v>
      </c>
      <c r="R18" s="195"/>
      <c r="S18" s="195"/>
    </row>
    <row r="19" spans="1:19" ht="20.100000000000001" customHeight="1" x14ac:dyDescent="0.25">
      <c r="A19" s="75">
        <v>12</v>
      </c>
      <c r="B19" s="133">
        <v>43109</v>
      </c>
      <c r="C19" s="135" t="s">
        <v>1568</v>
      </c>
      <c r="D19" s="136" t="s">
        <v>1596</v>
      </c>
      <c r="E19" s="78" t="s">
        <v>1542</v>
      </c>
      <c r="F19" s="80"/>
      <c r="G19" s="81"/>
      <c r="H19" s="81"/>
      <c r="J19" s="222"/>
      <c r="K19" s="86"/>
      <c r="L19" s="69"/>
      <c r="M19" s="69"/>
      <c r="N19" s="69"/>
      <c r="O19" s="142">
        <f t="shared" si="0"/>
        <v>0</v>
      </c>
      <c r="P19" s="145">
        <v>2500000</v>
      </c>
      <c r="Q19" s="176">
        <f t="shared" si="1"/>
        <v>2500000</v>
      </c>
      <c r="R19" s="195"/>
      <c r="S19" s="195"/>
    </row>
    <row r="20" spans="1:19" ht="20.100000000000001" customHeight="1" x14ac:dyDescent="0.25">
      <c r="A20" s="75">
        <v>13</v>
      </c>
      <c r="B20" s="133">
        <v>43110</v>
      </c>
      <c r="C20" s="135" t="s">
        <v>1569</v>
      </c>
      <c r="D20" s="136" t="s">
        <v>1597</v>
      </c>
      <c r="E20" s="78" t="s">
        <v>705</v>
      </c>
      <c r="F20" s="80"/>
      <c r="G20" s="81">
        <v>230</v>
      </c>
      <c r="H20" s="81">
        <v>3569600</v>
      </c>
      <c r="J20" s="222">
        <v>830000</v>
      </c>
      <c r="K20" s="86"/>
      <c r="L20" s="69"/>
      <c r="M20" s="69"/>
      <c r="N20" s="69"/>
      <c r="O20" s="142">
        <f t="shared" si="0"/>
        <v>4399600</v>
      </c>
      <c r="P20" s="145">
        <v>3000000</v>
      </c>
      <c r="Q20" s="176">
        <f t="shared" si="1"/>
        <v>-1399600</v>
      </c>
      <c r="R20" s="195"/>
      <c r="S20" s="195"/>
    </row>
    <row r="21" spans="1:19" ht="20.100000000000001" customHeight="1" x14ac:dyDescent="0.25">
      <c r="A21" s="75">
        <v>14</v>
      </c>
      <c r="B21" s="133">
        <v>43110</v>
      </c>
      <c r="C21" s="135" t="s">
        <v>1570</v>
      </c>
      <c r="D21" s="136" t="s">
        <v>1598</v>
      </c>
      <c r="E21" s="78" t="s">
        <v>1542</v>
      </c>
      <c r="F21" s="80"/>
      <c r="G21" s="81"/>
      <c r="H21" s="81"/>
      <c r="J21" s="222"/>
      <c r="K21" s="86"/>
      <c r="L21" s="69"/>
      <c r="M21" s="69"/>
      <c r="N21" s="69"/>
      <c r="O21" s="142">
        <f t="shared" si="0"/>
        <v>0</v>
      </c>
      <c r="P21" s="145">
        <v>2500000</v>
      </c>
      <c r="Q21" s="176">
        <f t="shared" si="1"/>
        <v>2500000</v>
      </c>
      <c r="R21" s="195"/>
      <c r="S21" s="195"/>
    </row>
    <row r="22" spans="1:19" ht="20.100000000000001" customHeight="1" x14ac:dyDescent="0.25">
      <c r="A22" s="75">
        <v>15</v>
      </c>
      <c r="B22" s="133">
        <v>43112</v>
      </c>
      <c r="C22" s="135" t="s">
        <v>1571</v>
      </c>
      <c r="D22" s="136" t="s">
        <v>1599</v>
      </c>
      <c r="E22" s="78" t="s">
        <v>1618</v>
      </c>
      <c r="F22" s="80"/>
      <c r="G22" s="81">
        <v>265</v>
      </c>
      <c r="H22" s="81">
        <v>4112800</v>
      </c>
      <c r="J22" s="187">
        <v>1420000</v>
      </c>
      <c r="K22" s="86"/>
      <c r="L22" s="69"/>
      <c r="M22" s="69"/>
      <c r="N22" s="69"/>
      <c r="O22" s="142">
        <f t="shared" si="0"/>
        <v>5532800</v>
      </c>
      <c r="P22" s="145">
        <v>5300000</v>
      </c>
      <c r="Q22" s="176">
        <f t="shared" si="1"/>
        <v>-232800</v>
      </c>
      <c r="R22" s="195"/>
      <c r="S22" s="195"/>
    </row>
    <row r="23" spans="1:19" ht="20.100000000000001" customHeight="1" x14ac:dyDescent="0.25">
      <c r="A23" s="75">
        <v>16</v>
      </c>
      <c r="B23" s="133">
        <v>43115</v>
      </c>
      <c r="C23" s="135" t="s">
        <v>1572</v>
      </c>
      <c r="D23" s="136" t="s">
        <v>1624</v>
      </c>
      <c r="E23" s="78" t="s">
        <v>1619</v>
      </c>
      <c r="F23" s="80"/>
      <c r="G23" s="81">
        <v>280</v>
      </c>
      <c r="H23" s="81">
        <v>4345600</v>
      </c>
      <c r="J23" s="222">
        <v>1010000</v>
      </c>
      <c r="K23" s="86"/>
      <c r="L23" s="69"/>
      <c r="M23" s="69"/>
      <c r="N23" s="69"/>
      <c r="O23" s="142">
        <f t="shared" si="0"/>
        <v>5355600</v>
      </c>
      <c r="P23" s="145">
        <v>4700000</v>
      </c>
      <c r="Q23" s="176">
        <f t="shared" si="1"/>
        <v>-655600</v>
      </c>
      <c r="R23" s="195"/>
      <c r="S23" s="195"/>
    </row>
    <row r="24" spans="1:19" ht="20.100000000000001" customHeight="1" x14ac:dyDescent="0.25">
      <c r="A24" s="75">
        <v>17</v>
      </c>
      <c r="B24" s="133">
        <v>43115</v>
      </c>
      <c r="C24" s="135" t="s">
        <v>1573</v>
      </c>
      <c r="D24" s="136" t="s">
        <v>1600</v>
      </c>
      <c r="E24" s="78" t="s">
        <v>24</v>
      </c>
      <c r="F24" s="80"/>
      <c r="G24" s="81"/>
      <c r="H24" s="81"/>
      <c r="J24" s="222">
        <v>1350000</v>
      </c>
      <c r="K24" s="86"/>
      <c r="L24" s="69"/>
      <c r="M24" s="69"/>
      <c r="N24" s="69"/>
      <c r="O24" s="142">
        <f t="shared" si="0"/>
        <v>1350000</v>
      </c>
      <c r="P24" s="145">
        <v>7500000</v>
      </c>
      <c r="Q24" s="176">
        <f t="shared" si="1"/>
        <v>6150000</v>
      </c>
      <c r="R24" s="195"/>
      <c r="S24" s="195"/>
    </row>
    <row r="25" spans="1:19" ht="20.100000000000001" customHeight="1" x14ac:dyDescent="0.25">
      <c r="A25" s="75">
        <v>18</v>
      </c>
      <c r="B25" s="133">
        <v>43116</v>
      </c>
      <c r="C25" s="135" t="s">
        <v>1574</v>
      </c>
      <c r="D25" s="136" t="s">
        <v>1513</v>
      </c>
      <c r="E25" s="78" t="s">
        <v>635</v>
      </c>
      <c r="F25" s="80"/>
      <c r="G25" s="81"/>
      <c r="H25" s="81"/>
      <c r="J25" s="222">
        <f>1160000-90000</f>
        <v>1070000</v>
      </c>
      <c r="K25" s="86"/>
      <c r="L25" s="69"/>
      <c r="M25" s="69"/>
      <c r="N25" s="69"/>
      <c r="O25" s="142">
        <f t="shared" si="0"/>
        <v>1070000</v>
      </c>
      <c r="P25" s="145">
        <v>4800000</v>
      </c>
      <c r="Q25" s="176">
        <f t="shared" si="1"/>
        <v>3730000</v>
      </c>
      <c r="R25" s="195"/>
      <c r="S25" s="195"/>
    </row>
    <row r="26" spans="1:19" s="226" customFormat="1" ht="20.100000000000001" customHeight="1" x14ac:dyDescent="0.25">
      <c r="A26" s="225">
        <v>19</v>
      </c>
      <c r="B26" s="133">
        <v>43117</v>
      </c>
      <c r="C26" s="135" t="s">
        <v>1575</v>
      </c>
      <c r="D26" s="136" t="s">
        <v>1601</v>
      </c>
      <c r="E26" s="128" t="s">
        <v>1620</v>
      </c>
      <c r="F26" s="80"/>
      <c r="G26" s="130"/>
      <c r="H26" s="130"/>
      <c r="J26" s="222">
        <f>1210000-95000</f>
        <v>1115000</v>
      </c>
      <c r="K26" s="86"/>
      <c r="L26" s="69"/>
      <c r="M26" s="69"/>
      <c r="N26" s="69"/>
      <c r="O26" s="204">
        <f t="shared" si="0"/>
        <v>1115000</v>
      </c>
      <c r="P26" s="209">
        <v>3300000</v>
      </c>
      <c r="Q26" s="206">
        <f t="shared" si="1"/>
        <v>2185000</v>
      </c>
      <c r="R26" s="227"/>
      <c r="S26" s="227"/>
    </row>
    <row r="27" spans="1:19" ht="20.100000000000001" customHeight="1" x14ac:dyDescent="0.25">
      <c r="A27" s="75">
        <v>20</v>
      </c>
      <c r="B27" s="133">
        <v>43117</v>
      </c>
      <c r="C27" s="135" t="s">
        <v>1576</v>
      </c>
      <c r="D27" s="136" t="s">
        <v>1602</v>
      </c>
      <c r="E27" s="78" t="s">
        <v>1542</v>
      </c>
      <c r="F27" s="80"/>
      <c r="G27" s="81"/>
      <c r="H27" s="81"/>
      <c r="J27" s="222"/>
      <c r="K27" s="86"/>
      <c r="L27" s="69"/>
      <c r="M27" s="69"/>
      <c r="N27" s="69"/>
      <c r="O27" s="142">
        <f t="shared" si="0"/>
        <v>0</v>
      </c>
      <c r="P27" s="145">
        <v>2500000</v>
      </c>
      <c r="Q27" s="176">
        <f t="shared" si="1"/>
        <v>2500000</v>
      </c>
      <c r="R27" s="195"/>
      <c r="S27" s="195"/>
    </row>
    <row r="28" spans="1:19" ht="20.100000000000001" customHeight="1" x14ac:dyDescent="0.25">
      <c r="A28" s="75">
        <v>21</v>
      </c>
      <c r="B28" s="133">
        <v>43118</v>
      </c>
      <c r="C28" s="135" t="s">
        <v>1577</v>
      </c>
      <c r="D28" s="136" t="s">
        <v>1603</v>
      </c>
      <c r="E28" s="78" t="s">
        <v>1621</v>
      </c>
      <c r="F28" s="80"/>
      <c r="G28" s="81">
        <v>295</v>
      </c>
      <c r="H28" s="81">
        <v>4578400</v>
      </c>
      <c r="J28" s="222">
        <f>830000-95000</f>
        <v>735000</v>
      </c>
      <c r="K28" s="86"/>
      <c r="L28" s="69"/>
      <c r="M28" s="69"/>
      <c r="N28" s="69"/>
      <c r="O28" s="142">
        <f t="shared" si="0"/>
        <v>5313400</v>
      </c>
      <c r="P28" s="145">
        <v>3200000</v>
      </c>
      <c r="Q28" s="176">
        <f t="shared" si="1"/>
        <v>-2113400</v>
      </c>
      <c r="R28" s="195"/>
      <c r="S28" s="195"/>
    </row>
    <row r="29" spans="1:19" ht="20.100000000000001" customHeight="1" x14ac:dyDescent="0.25">
      <c r="A29" s="75">
        <v>22</v>
      </c>
      <c r="B29" s="133">
        <v>43118</v>
      </c>
      <c r="C29" s="135" t="s">
        <v>1578</v>
      </c>
      <c r="D29" s="136" t="s">
        <v>1604</v>
      </c>
      <c r="E29" s="78" t="s">
        <v>1542</v>
      </c>
      <c r="F29" s="80"/>
      <c r="G29" s="81"/>
      <c r="H29" s="81"/>
      <c r="J29" s="222"/>
      <c r="K29" s="86"/>
      <c r="L29" s="69"/>
      <c r="M29" s="69"/>
      <c r="N29" s="69"/>
      <c r="O29" s="142">
        <f t="shared" si="0"/>
        <v>0</v>
      </c>
      <c r="P29" s="145">
        <v>2100000</v>
      </c>
      <c r="Q29" s="176">
        <f t="shared" si="1"/>
        <v>2100000</v>
      </c>
      <c r="R29" s="195"/>
      <c r="S29" s="195"/>
    </row>
    <row r="30" spans="1:19" ht="20.100000000000001" customHeight="1" x14ac:dyDescent="0.25">
      <c r="A30" s="75">
        <v>23</v>
      </c>
      <c r="B30" s="133">
        <v>43119</v>
      </c>
      <c r="C30" s="135" t="s">
        <v>1579</v>
      </c>
      <c r="D30" s="136" t="s">
        <v>1605</v>
      </c>
      <c r="E30" s="78" t="s">
        <v>898</v>
      </c>
      <c r="F30" s="80"/>
      <c r="G30" s="81"/>
      <c r="H30" s="81"/>
      <c r="J30" s="222">
        <f>1340000-270000</f>
        <v>1070000</v>
      </c>
      <c r="K30" s="86"/>
      <c r="L30" s="69"/>
      <c r="M30" s="69"/>
      <c r="N30" s="69"/>
      <c r="O30" s="142">
        <f t="shared" si="0"/>
        <v>1070000</v>
      </c>
      <c r="P30" s="145">
        <v>4700000</v>
      </c>
      <c r="Q30" s="176">
        <f t="shared" si="1"/>
        <v>3630000</v>
      </c>
      <c r="R30" s="195"/>
      <c r="S30" s="195"/>
    </row>
    <row r="31" spans="1:19" ht="20.100000000000001" customHeight="1" x14ac:dyDescent="0.25">
      <c r="A31" s="75">
        <v>24</v>
      </c>
      <c r="B31" s="133">
        <v>43120</v>
      </c>
      <c r="C31" s="135" t="s">
        <v>1580</v>
      </c>
      <c r="D31" s="136" t="s">
        <v>1606</v>
      </c>
      <c r="E31" s="78" t="s">
        <v>1622</v>
      </c>
      <c r="F31" s="80"/>
      <c r="G31" s="81">
        <v>270</v>
      </c>
      <c r="H31" s="81">
        <f>4306500+120000</f>
        <v>4426500</v>
      </c>
      <c r="J31" s="222">
        <v>4000000</v>
      </c>
      <c r="K31" s="86"/>
      <c r="L31" s="69"/>
      <c r="M31" s="69"/>
      <c r="N31" s="69"/>
      <c r="O31" s="142">
        <f t="shared" si="0"/>
        <v>8426500</v>
      </c>
      <c r="P31" s="145">
        <v>17272727</v>
      </c>
      <c r="Q31" s="176">
        <f t="shared" si="1"/>
        <v>8846227</v>
      </c>
      <c r="R31" s="195"/>
      <c r="S31" s="195"/>
    </row>
    <row r="32" spans="1:19" ht="20.100000000000001" customHeight="1" x14ac:dyDescent="0.25">
      <c r="A32" s="75">
        <v>25</v>
      </c>
      <c r="B32" s="133">
        <v>43123</v>
      </c>
      <c r="C32" s="135" t="s">
        <v>1581</v>
      </c>
      <c r="D32" s="136" t="s">
        <v>1607</v>
      </c>
      <c r="E32" s="78" t="s">
        <v>24</v>
      </c>
      <c r="F32" s="80"/>
      <c r="G32" s="81">
        <v>123</v>
      </c>
      <c r="H32" s="81">
        <v>1961850</v>
      </c>
      <c r="J32" s="222">
        <v>1350000</v>
      </c>
      <c r="K32" s="86"/>
      <c r="L32" s="69"/>
      <c r="M32" s="69"/>
      <c r="N32" s="69"/>
      <c r="O32" s="142">
        <f t="shared" si="0"/>
        <v>3311850</v>
      </c>
      <c r="P32" s="145">
        <v>7500000</v>
      </c>
      <c r="Q32" s="176">
        <f t="shared" si="1"/>
        <v>4188150</v>
      </c>
      <c r="R32" s="195"/>
      <c r="S32" s="195"/>
    </row>
    <row r="33" spans="1:19" ht="20.100000000000001" customHeight="1" x14ac:dyDescent="0.25">
      <c r="A33" s="75">
        <v>26</v>
      </c>
      <c r="B33" s="133">
        <v>43124</v>
      </c>
      <c r="C33" s="135" t="s">
        <v>1582</v>
      </c>
      <c r="D33" s="136" t="s">
        <v>1608</v>
      </c>
      <c r="E33" s="78" t="s">
        <v>635</v>
      </c>
      <c r="F33" s="80"/>
      <c r="G33" s="81">
        <v>325</v>
      </c>
      <c r="H33" s="81">
        <v>5183750</v>
      </c>
      <c r="J33" s="222">
        <v>1070000</v>
      </c>
      <c r="K33" s="86"/>
      <c r="L33" s="69"/>
      <c r="M33" s="69"/>
      <c r="N33" s="69"/>
      <c r="O33" s="142">
        <f t="shared" si="0"/>
        <v>6253750</v>
      </c>
      <c r="P33" s="145">
        <v>4800000</v>
      </c>
      <c r="Q33" s="176">
        <f t="shared" si="1"/>
        <v>-1453750</v>
      </c>
      <c r="R33" s="195"/>
      <c r="S33" s="195"/>
    </row>
    <row r="34" spans="1:19" ht="20.100000000000001" customHeight="1" x14ac:dyDescent="0.25">
      <c r="A34" s="75">
        <v>27</v>
      </c>
      <c r="B34" s="133">
        <v>43125</v>
      </c>
      <c r="C34" s="135" t="s">
        <v>1583</v>
      </c>
      <c r="D34" s="136" t="s">
        <v>1609</v>
      </c>
      <c r="E34" s="78" t="s">
        <v>153</v>
      </c>
      <c r="F34" s="80"/>
      <c r="G34" s="81">
        <v>300</v>
      </c>
      <c r="H34" s="81">
        <v>4785000</v>
      </c>
      <c r="J34" s="222">
        <v>1330000</v>
      </c>
      <c r="K34" s="86"/>
      <c r="L34" s="69"/>
      <c r="M34" s="69"/>
      <c r="N34" s="69"/>
      <c r="O34" s="142">
        <f t="shared" si="0"/>
        <v>6115000</v>
      </c>
      <c r="P34" s="145">
        <v>5200000</v>
      </c>
      <c r="Q34" s="176">
        <f t="shared" si="1"/>
        <v>-915000</v>
      </c>
      <c r="R34" s="195"/>
      <c r="S34" s="195"/>
    </row>
    <row r="35" spans="1:19" ht="20.100000000000001" customHeight="1" x14ac:dyDescent="0.25">
      <c r="A35" s="75">
        <v>28</v>
      </c>
      <c r="B35" s="133">
        <v>43126</v>
      </c>
      <c r="C35" s="135" t="s">
        <v>1584</v>
      </c>
      <c r="D35" s="136" t="s">
        <v>1610</v>
      </c>
      <c r="E35" s="78" t="s">
        <v>153</v>
      </c>
      <c r="F35" s="80"/>
      <c r="G35" s="81"/>
      <c r="H35" s="81"/>
      <c r="J35" s="222">
        <f>1330000+90000</f>
        <v>1420000</v>
      </c>
      <c r="K35" s="86"/>
      <c r="L35" s="69"/>
      <c r="M35" s="69"/>
      <c r="N35" s="69"/>
      <c r="O35" s="142">
        <f t="shared" si="0"/>
        <v>1420000</v>
      </c>
      <c r="P35" s="145">
        <v>5200000</v>
      </c>
      <c r="Q35" s="176">
        <f t="shared" si="1"/>
        <v>3780000</v>
      </c>
      <c r="R35" s="195"/>
      <c r="S35" s="195"/>
    </row>
    <row r="36" spans="1:19" ht="20.100000000000001" customHeight="1" x14ac:dyDescent="0.25">
      <c r="A36" s="75">
        <v>29</v>
      </c>
      <c r="B36" s="133">
        <v>43129</v>
      </c>
      <c r="C36" s="135" t="s">
        <v>1585</v>
      </c>
      <c r="D36" s="136" t="s">
        <v>1611</v>
      </c>
      <c r="E36" s="78" t="s">
        <v>1623</v>
      </c>
      <c r="F36" s="80"/>
      <c r="G36" s="81">
        <v>265</v>
      </c>
      <c r="H36" s="81">
        <v>4226750</v>
      </c>
      <c r="J36" s="222">
        <v>1100000</v>
      </c>
      <c r="K36" s="86"/>
      <c r="L36" s="69"/>
      <c r="M36" s="69"/>
      <c r="N36" s="69"/>
      <c r="O36" s="142">
        <f t="shared" si="0"/>
        <v>5326750</v>
      </c>
      <c r="P36" s="145">
        <v>5000000</v>
      </c>
      <c r="Q36" s="176">
        <f t="shared" si="1"/>
        <v>-326750</v>
      </c>
      <c r="R36" s="195"/>
      <c r="S36" s="195"/>
    </row>
    <row r="37" spans="1:19" ht="20.100000000000001" customHeight="1" x14ac:dyDescent="0.25">
      <c r="A37" s="75">
        <v>30</v>
      </c>
      <c r="B37" s="133">
        <v>43129</v>
      </c>
      <c r="C37" s="138" t="s">
        <v>1586</v>
      </c>
      <c r="D37" s="139" t="s">
        <v>1612</v>
      </c>
      <c r="E37" s="78" t="s">
        <v>24</v>
      </c>
      <c r="F37" s="110"/>
      <c r="G37" s="111">
        <v>320</v>
      </c>
      <c r="H37" s="81">
        <f>G37*15590</f>
        <v>4988800</v>
      </c>
      <c r="J37" s="228">
        <v>1350000</v>
      </c>
      <c r="K37" s="86"/>
      <c r="L37" s="69"/>
      <c r="M37" s="112"/>
      <c r="N37" s="112"/>
      <c r="O37" s="142">
        <f t="shared" si="0"/>
        <v>6338800</v>
      </c>
      <c r="P37" s="224">
        <v>7500000</v>
      </c>
      <c r="Q37" s="176">
        <f t="shared" si="1"/>
        <v>1161200</v>
      </c>
      <c r="R37" s="195"/>
      <c r="S37" s="195"/>
    </row>
    <row r="38" spans="1:19" ht="18" customHeight="1" x14ac:dyDescent="0.25">
      <c r="A38" s="75"/>
      <c r="B38" s="133"/>
      <c r="C38" s="183" t="s">
        <v>1555</v>
      </c>
      <c r="D38" s="162"/>
      <c r="E38" s="153"/>
      <c r="F38" s="163"/>
      <c r="G38" s="164"/>
      <c r="H38" s="155"/>
      <c r="I38" s="165"/>
      <c r="J38" s="166"/>
      <c r="K38" s="86"/>
      <c r="L38" s="156">
        <v>5400000</v>
      </c>
      <c r="M38" s="112"/>
      <c r="N38" s="112"/>
      <c r="O38" s="142">
        <f t="shared" si="0"/>
        <v>5400000</v>
      </c>
      <c r="P38" s="68"/>
      <c r="Q38" s="176">
        <f t="shared" si="1"/>
        <v>-5400000</v>
      </c>
    </row>
    <row r="39" spans="1:19" ht="18" customHeight="1" x14ac:dyDescent="0.25">
      <c r="A39" s="75"/>
      <c r="B39" s="133"/>
      <c r="C39" s="183" t="s">
        <v>1625</v>
      </c>
      <c r="D39" s="162"/>
      <c r="E39" s="153"/>
      <c r="F39" s="163"/>
      <c r="G39" s="164"/>
      <c r="H39" s="155"/>
      <c r="I39" s="165"/>
      <c r="J39" s="166"/>
      <c r="K39" s="86"/>
      <c r="L39" s="156">
        <v>320000</v>
      </c>
      <c r="M39" s="113"/>
      <c r="N39" s="112"/>
      <c r="O39" s="142">
        <f t="shared" si="0"/>
        <v>320000</v>
      </c>
      <c r="P39" s="68"/>
      <c r="Q39" s="176">
        <f t="shared" si="1"/>
        <v>-320000</v>
      </c>
    </row>
    <row r="40" spans="1:19" ht="30" customHeight="1" x14ac:dyDescent="0.25">
      <c r="A40" s="75"/>
      <c r="B40" s="133"/>
      <c r="C40" s="183" t="s">
        <v>1626</v>
      </c>
      <c r="D40" s="162"/>
      <c r="E40" s="153"/>
      <c r="F40" s="163"/>
      <c r="G40" s="164"/>
      <c r="H40" s="155"/>
      <c r="I40" s="165"/>
      <c r="J40" s="166"/>
      <c r="K40" s="86"/>
      <c r="L40" s="156">
        <v>50000</v>
      </c>
      <c r="M40" s="113"/>
      <c r="N40" s="112"/>
      <c r="O40" s="142">
        <f t="shared" si="0"/>
        <v>50000</v>
      </c>
      <c r="P40" s="68"/>
      <c r="Q40" s="176">
        <f t="shared" si="1"/>
        <v>-50000</v>
      </c>
    </row>
    <row r="41" spans="1:19" ht="42" customHeight="1" x14ac:dyDescent="0.25">
      <c r="A41" s="75"/>
      <c r="B41" s="133"/>
      <c r="C41" s="183" t="s">
        <v>1627</v>
      </c>
      <c r="D41" s="162"/>
      <c r="E41" s="153"/>
      <c r="F41" s="163"/>
      <c r="G41" s="164"/>
      <c r="H41" s="155"/>
      <c r="I41" s="165"/>
      <c r="J41" s="166"/>
      <c r="K41" s="86"/>
      <c r="L41" s="156">
        <v>2000000</v>
      </c>
      <c r="M41" s="113"/>
      <c r="N41" s="112"/>
      <c r="O41" s="142">
        <f t="shared" si="0"/>
        <v>2000000</v>
      </c>
      <c r="P41" s="68"/>
      <c r="Q41" s="176">
        <f t="shared" si="1"/>
        <v>-2000000</v>
      </c>
    </row>
    <row r="42" spans="1:19" ht="18" customHeight="1" x14ac:dyDescent="0.25">
      <c r="A42" s="75"/>
      <c r="B42" s="133"/>
      <c r="C42" s="170" t="s">
        <v>1273</v>
      </c>
      <c r="D42" s="162"/>
      <c r="E42" s="153"/>
      <c r="F42" s="163"/>
      <c r="G42" s="164"/>
      <c r="H42" s="155"/>
      <c r="I42" s="165"/>
      <c r="J42" s="166"/>
      <c r="K42" s="86">
        <f>1200000*1.1</f>
        <v>1320000</v>
      </c>
      <c r="L42" s="156"/>
      <c r="M42" s="112"/>
      <c r="N42" s="112"/>
      <c r="O42" s="142">
        <f t="shared" si="0"/>
        <v>1320000</v>
      </c>
      <c r="P42" s="68"/>
      <c r="Q42" s="176">
        <f t="shared" si="1"/>
        <v>-1320000</v>
      </c>
    </row>
    <row r="43" spans="1:19" ht="18" customHeight="1" x14ac:dyDescent="0.25">
      <c r="A43" s="134"/>
      <c r="B43" s="70"/>
      <c r="C43" s="108" t="s">
        <v>1386</v>
      </c>
      <c r="D43" s="87"/>
      <c r="E43" s="70"/>
      <c r="F43" s="110"/>
      <c r="G43" s="70"/>
      <c r="H43" s="111"/>
      <c r="I43" s="111"/>
      <c r="J43" s="112"/>
      <c r="K43" s="113">
        <v>9153846</v>
      </c>
      <c r="L43" s="141"/>
      <c r="M43" s="112"/>
      <c r="N43" s="112"/>
      <c r="O43" s="142">
        <f t="shared" si="0"/>
        <v>9153846</v>
      </c>
      <c r="P43" s="144"/>
      <c r="Q43" s="176">
        <f t="shared" si="1"/>
        <v>-9153846</v>
      </c>
    </row>
    <row r="44" spans="1:19" x14ac:dyDescent="0.25">
      <c r="A44" s="547" t="s">
        <v>19</v>
      </c>
      <c r="B44" s="548"/>
      <c r="C44" s="548"/>
      <c r="D44" s="548"/>
      <c r="E44" s="548"/>
      <c r="F44" s="549"/>
      <c r="G44" s="89">
        <f t="shared" ref="G44:L44" si="2">SUM(G7:G43)</f>
        <v>3238</v>
      </c>
      <c r="H44" s="71">
        <f t="shared" si="2"/>
        <v>50947850</v>
      </c>
      <c r="I44" s="71">
        <f t="shared" si="2"/>
        <v>0</v>
      </c>
      <c r="J44" s="71">
        <f t="shared" si="2"/>
        <v>27420000</v>
      </c>
      <c r="K44" s="71">
        <f t="shared" si="2"/>
        <v>10473846</v>
      </c>
      <c r="L44" s="71">
        <f t="shared" si="2"/>
        <v>7770000</v>
      </c>
      <c r="M44" s="71">
        <f t="shared" ref="M44:N44" si="3">SUM(M7:M43)</f>
        <v>0</v>
      </c>
      <c r="N44" s="71">
        <f t="shared" si="3"/>
        <v>0</v>
      </c>
      <c r="O44" s="71">
        <f>SUM(O7:O43)</f>
        <v>96611696</v>
      </c>
      <c r="P44" s="71">
        <f>SUM(P7:P43)</f>
        <v>132800000</v>
      </c>
      <c r="Q44" s="71">
        <f>SUM(Q7:Q43)</f>
        <v>36188304</v>
      </c>
      <c r="R44" s="195"/>
      <c r="S44" s="195"/>
    </row>
    <row r="45" spans="1:19" x14ac:dyDescent="0.25">
      <c r="Q45" s="202"/>
    </row>
    <row r="46" spans="1:19" x14ac:dyDescent="0.25">
      <c r="P46" s="229" t="s">
        <v>1225</v>
      </c>
      <c r="Q46" s="230">
        <f>Q44</f>
        <v>36188304</v>
      </c>
    </row>
    <row r="47" spans="1:19" x14ac:dyDescent="0.25">
      <c r="Q47" s="195"/>
    </row>
  </sheetData>
  <mergeCells count="5">
    <mergeCell ref="A1:Q1"/>
    <mergeCell ref="A2:Q2"/>
    <mergeCell ref="A3:Q3"/>
    <mergeCell ref="G5:N5"/>
    <mergeCell ref="A44:F44"/>
  </mergeCells>
  <pageMargins left="0.7" right="0.7" top="0.75" bottom="0.75" header="0.3" footer="0.3"/>
  <pageSetup paperSize="9" orientation="portrait" horizontalDpi="180" verticalDpi="180" r:id="rId1"/>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S36"/>
  <sheetViews>
    <sheetView topLeftCell="C22" workbookViewId="0">
      <selection activeCell="Q35" sqref="Q35"/>
    </sheetView>
  </sheetViews>
  <sheetFormatPr defaultRowHeight="15" x14ac:dyDescent="0.25"/>
  <cols>
    <col min="1" max="1" width="4.5703125" customWidth="1"/>
    <col min="3" max="3" width="41.28515625" customWidth="1"/>
    <col min="4" max="4" width="16.5703125" customWidth="1"/>
    <col min="5" max="5" width="33.140625" customWidth="1"/>
    <col min="15" max="15" width="11.140625" customWidth="1"/>
    <col min="16" max="16" width="10.7109375" customWidth="1"/>
    <col min="17" max="17" width="12.28515625" customWidth="1"/>
    <col min="18" max="18" width="11.7109375" customWidth="1"/>
    <col min="19" max="19" width="9.8554687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1628</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74"/>
      <c r="H4" s="72"/>
      <c r="I4" s="74"/>
      <c r="J4" s="72"/>
      <c r="K4" s="72"/>
      <c r="L4" s="72"/>
      <c r="M4" s="72"/>
      <c r="N4" s="72"/>
      <c r="O4" s="72"/>
      <c r="P4" s="72"/>
      <c r="Q4" s="72"/>
    </row>
    <row r="5" spans="1:19" ht="25.5" x14ac:dyDescent="0.25">
      <c r="A5" s="177" t="s">
        <v>1</v>
      </c>
      <c r="B5" s="178" t="s">
        <v>2</v>
      </c>
      <c r="C5" s="177" t="s">
        <v>3</v>
      </c>
      <c r="D5" s="177" t="s">
        <v>5</v>
      </c>
      <c r="E5" s="174" t="s">
        <v>4</v>
      </c>
      <c r="F5" s="174" t="s">
        <v>17</v>
      </c>
      <c r="G5" s="552" t="s">
        <v>6</v>
      </c>
      <c r="H5" s="553"/>
      <c r="I5" s="553"/>
      <c r="J5" s="553"/>
      <c r="K5" s="553"/>
      <c r="L5" s="553"/>
      <c r="M5" s="553"/>
      <c r="N5" s="554"/>
      <c r="O5" s="127" t="s">
        <v>18</v>
      </c>
      <c r="P5" s="127" t="s">
        <v>13</v>
      </c>
      <c r="Q5" s="127" t="s">
        <v>14</v>
      </c>
    </row>
    <row r="6" spans="1:19" x14ac:dyDescent="0.25">
      <c r="A6" s="179"/>
      <c r="B6" s="180"/>
      <c r="C6" s="179"/>
      <c r="D6" s="179"/>
      <c r="E6" s="175"/>
      <c r="F6" s="175"/>
      <c r="G6" s="6" t="s">
        <v>7</v>
      </c>
      <c r="H6" s="7" t="s">
        <v>15</v>
      </c>
      <c r="I6" s="6" t="s">
        <v>16</v>
      </c>
      <c r="J6" s="7" t="s">
        <v>8</v>
      </c>
      <c r="K6" s="7" t="s">
        <v>9</v>
      </c>
      <c r="L6" s="7" t="s">
        <v>10</v>
      </c>
      <c r="M6" s="7" t="s">
        <v>11</v>
      </c>
      <c r="N6" s="7" t="s">
        <v>12</v>
      </c>
      <c r="O6" s="181"/>
      <c r="P6" s="181"/>
      <c r="Q6" s="181"/>
    </row>
    <row r="7" spans="1:19" x14ac:dyDescent="0.25">
      <c r="A7" s="75"/>
      <c r="B7" s="100"/>
      <c r="C7" s="88"/>
      <c r="D7" s="88"/>
      <c r="E7" s="134"/>
      <c r="F7" s="75"/>
      <c r="G7" s="77"/>
      <c r="H7" s="68"/>
      <c r="I7" s="75"/>
      <c r="J7" s="68"/>
      <c r="K7" s="68"/>
      <c r="L7" s="68"/>
      <c r="M7" s="68"/>
      <c r="N7" s="68"/>
      <c r="O7" s="68">
        <f>H7+J7+K7+L7+M7+N7</f>
        <v>0</v>
      </c>
      <c r="P7" s="144"/>
      <c r="Q7" s="68">
        <f>P7-O7</f>
        <v>0</v>
      </c>
    </row>
    <row r="8" spans="1:19" ht="20.100000000000001" customHeight="1" x14ac:dyDescent="0.25">
      <c r="A8" s="75">
        <v>1</v>
      </c>
      <c r="B8" s="133">
        <v>43131</v>
      </c>
      <c r="C8" s="135" t="s">
        <v>1629</v>
      </c>
      <c r="D8" s="136" t="s">
        <v>1646</v>
      </c>
      <c r="E8" s="78" t="s">
        <v>188</v>
      </c>
      <c r="F8" s="80"/>
      <c r="G8" s="81"/>
      <c r="H8" s="81"/>
      <c r="J8" s="222">
        <f>290000+360000</f>
        <v>650000</v>
      </c>
      <c r="K8" s="86"/>
      <c r="L8" s="69"/>
      <c r="M8" s="69"/>
      <c r="N8" s="69"/>
      <c r="O8" s="142">
        <f>H8+J8+K8+L8+M8+N8</f>
        <v>650000</v>
      </c>
      <c r="P8" s="145">
        <v>3181818</v>
      </c>
      <c r="Q8" s="176">
        <f>P8-O8</f>
        <v>2531818</v>
      </c>
      <c r="R8" s="195"/>
      <c r="S8" s="195"/>
    </row>
    <row r="9" spans="1:19" ht="20.100000000000001" customHeight="1" x14ac:dyDescent="0.25">
      <c r="A9" s="75">
        <v>2</v>
      </c>
      <c r="B9" s="133">
        <v>43132</v>
      </c>
      <c r="C9" s="135" t="s">
        <v>1630</v>
      </c>
      <c r="D9" s="136" t="s">
        <v>1647</v>
      </c>
      <c r="E9" s="78" t="s">
        <v>1663</v>
      </c>
      <c r="F9" s="80"/>
      <c r="G9" s="81"/>
      <c r="H9" s="81"/>
      <c r="J9" s="223">
        <v>1260000</v>
      </c>
      <c r="K9" s="86"/>
      <c r="L9" s="69"/>
      <c r="M9" s="69"/>
      <c r="N9" s="69"/>
      <c r="O9" s="142">
        <f t="shared" ref="O9:O32" si="0">H9+J9+K9+L9+M9+N9</f>
        <v>1260000</v>
      </c>
      <c r="P9" s="145">
        <v>4700000</v>
      </c>
      <c r="Q9" s="176">
        <f t="shared" ref="Q9:Q32" si="1">P9-O9</f>
        <v>3440000</v>
      </c>
      <c r="R9" s="195"/>
      <c r="S9" s="195"/>
    </row>
    <row r="10" spans="1:19" ht="20.100000000000001" customHeight="1" x14ac:dyDescent="0.25">
      <c r="A10" s="75">
        <v>3</v>
      </c>
      <c r="B10" s="133">
        <v>43133</v>
      </c>
      <c r="C10" s="135" t="s">
        <v>1631</v>
      </c>
      <c r="D10" s="136" t="s">
        <v>1648</v>
      </c>
      <c r="E10" s="78" t="s">
        <v>1664</v>
      </c>
      <c r="F10" s="80"/>
      <c r="G10" s="81"/>
      <c r="H10" s="81"/>
      <c r="J10" s="222">
        <v>1190000</v>
      </c>
      <c r="K10" s="86"/>
      <c r="L10" s="69"/>
      <c r="M10" s="69"/>
      <c r="N10" s="69"/>
      <c r="O10" s="142">
        <f t="shared" si="0"/>
        <v>1190000</v>
      </c>
      <c r="P10" s="145">
        <v>3200000</v>
      </c>
      <c r="Q10" s="176">
        <f t="shared" si="1"/>
        <v>2010000</v>
      </c>
      <c r="R10" s="195"/>
      <c r="S10" s="195"/>
    </row>
    <row r="11" spans="1:19" ht="20.100000000000001" customHeight="1" x14ac:dyDescent="0.25">
      <c r="A11" s="75">
        <v>4</v>
      </c>
      <c r="B11" s="133">
        <v>43133</v>
      </c>
      <c r="C11" s="135" t="s">
        <v>1632</v>
      </c>
      <c r="D11" s="136" t="s">
        <v>1649</v>
      </c>
      <c r="E11" s="78" t="s">
        <v>1542</v>
      </c>
      <c r="F11" s="80"/>
      <c r="G11" s="81"/>
      <c r="H11" s="81"/>
      <c r="J11" s="222">
        <v>0</v>
      </c>
      <c r="K11" s="86"/>
      <c r="L11" s="69"/>
      <c r="M11" s="69"/>
      <c r="N11" s="69"/>
      <c r="O11" s="142">
        <f t="shared" si="0"/>
        <v>0</v>
      </c>
      <c r="P11" s="145">
        <v>2500000</v>
      </c>
      <c r="Q11" s="176">
        <f t="shared" si="1"/>
        <v>2500000</v>
      </c>
      <c r="R11" s="195"/>
      <c r="S11" s="195"/>
    </row>
    <row r="12" spans="1:19" ht="20.100000000000001" customHeight="1" x14ac:dyDescent="0.25">
      <c r="A12" s="75">
        <v>5</v>
      </c>
      <c r="B12" s="133">
        <v>43136</v>
      </c>
      <c r="C12" s="135" t="s">
        <v>1633</v>
      </c>
      <c r="D12" s="136" t="s">
        <v>1650</v>
      </c>
      <c r="E12" s="78" t="s">
        <v>1665</v>
      </c>
      <c r="F12" s="80"/>
      <c r="G12" s="81">
        <v>330</v>
      </c>
      <c r="H12" s="81">
        <v>5263500</v>
      </c>
      <c r="J12" s="222">
        <v>610000</v>
      </c>
      <c r="K12" s="86"/>
      <c r="L12" s="69"/>
      <c r="M12" s="69"/>
      <c r="N12" s="69"/>
      <c r="O12" s="142">
        <f t="shared" si="0"/>
        <v>5873500</v>
      </c>
      <c r="P12" s="145">
        <v>3600000</v>
      </c>
      <c r="Q12" s="176">
        <f t="shared" si="1"/>
        <v>-2273500</v>
      </c>
      <c r="R12" s="195"/>
      <c r="S12" s="195"/>
    </row>
    <row r="13" spans="1:19" ht="20.100000000000001" customHeight="1" x14ac:dyDescent="0.25">
      <c r="A13" s="75">
        <v>6</v>
      </c>
      <c r="B13" s="133">
        <v>43136</v>
      </c>
      <c r="C13" s="135" t="s">
        <v>1634</v>
      </c>
      <c r="D13" s="136" t="s">
        <v>1651</v>
      </c>
      <c r="E13" s="78" t="s">
        <v>1158</v>
      </c>
      <c r="F13" s="80"/>
      <c r="G13" s="81"/>
      <c r="H13" s="81"/>
      <c r="J13" s="222">
        <v>1400000</v>
      </c>
      <c r="K13" s="86"/>
      <c r="L13" s="69"/>
      <c r="M13" s="69"/>
      <c r="N13" s="69"/>
      <c r="O13" s="142">
        <f t="shared" si="0"/>
        <v>1400000</v>
      </c>
      <c r="P13" s="145">
        <v>6136364</v>
      </c>
      <c r="Q13" s="176">
        <f t="shared" si="1"/>
        <v>4736364</v>
      </c>
      <c r="R13" s="195"/>
      <c r="S13" s="195"/>
    </row>
    <row r="14" spans="1:19" ht="20.100000000000001" customHeight="1" x14ac:dyDescent="0.25">
      <c r="A14" s="75">
        <v>7</v>
      </c>
      <c r="B14" s="133">
        <v>43137</v>
      </c>
      <c r="C14" s="135" t="s">
        <v>1635</v>
      </c>
      <c r="D14" s="136" t="s">
        <v>1652</v>
      </c>
      <c r="E14" s="78" t="s">
        <v>1666</v>
      </c>
      <c r="F14" s="80"/>
      <c r="G14" s="81"/>
      <c r="H14" s="81"/>
      <c r="J14" s="222">
        <v>1420000</v>
      </c>
      <c r="K14" s="86"/>
      <c r="L14" s="69"/>
      <c r="M14" s="69"/>
      <c r="N14" s="69"/>
      <c r="O14" s="142">
        <f t="shared" si="0"/>
        <v>1420000</v>
      </c>
      <c r="P14" s="145">
        <v>5200000</v>
      </c>
      <c r="Q14" s="176">
        <f t="shared" si="1"/>
        <v>3780000</v>
      </c>
      <c r="R14" s="195"/>
      <c r="S14" s="195"/>
    </row>
    <row r="15" spans="1:19" ht="20.100000000000001" customHeight="1" x14ac:dyDescent="0.25">
      <c r="A15" s="75">
        <v>8</v>
      </c>
      <c r="B15" s="133">
        <v>43138</v>
      </c>
      <c r="C15" s="135" t="s">
        <v>1636</v>
      </c>
      <c r="D15" s="136" t="s">
        <v>1653</v>
      </c>
      <c r="E15" s="78" t="s">
        <v>364</v>
      </c>
      <c r="F15" s="80"/>
      <c r="G15" s="81">
        <v>240</v>
      </c>
      <c r="H15" s="81">
        <v>3828000</v>
      </c>
      <c r="J15" s="222">
        <f>1510000-90000</f>
        <v>1420000</v>
      </c>
      <c r="K15" s="86"/>
      <c r="L15" s="69"/>
      <c r="M15" s="69"/>
      <c r="N15" s="69"/>
      <c r="O15" s="142">
        <f t="shared" si="0"/>
        <v>5248000</v>
      </c>
      <c r="P15" s="145">
        <v>5000000</v>
      </c>
      <c r="Q15" s="176">
        <f t="shared" si="1"/>
        <v>-248000</v>
      </c>
      <c r="R15" s="195"/>
      <c r="S15" s="195"/>
    </row>
    <row r="16" spans="1:19" ht="20.100000000000001" customHeight="1" x14ac:dyDescent="0.25">
      <c r="A16" s="75">
        <v>9</v>
      </c>
      <c r="B16" s="133">
        <v>43139</v>
      </c>
      <c r="C16" s="135" t="s">
        <v>1637</v>
      </c>
      <c r="D16" s="136" t="s">
        <v>1654</v>
      </c>
      <c r="E16" s="78" t="s">
        <v>364</v>
      </c>
      <c r="F16" s="80"/>
      <c r="G16" s="81"/>
      <c r="H16" s="81"/>
      <c r="J16" s="222">
        <v>1420000</v>
      </c>
      <c r="K16" s="86"/>
      <c r="L16" s="69"/>
      <c r="M16" s="69"/>
      <c r="N16" s="69"/>
      <c r="O16" s="142">
        <f t="shared" si="0"/>
        <v>1420000</v>
      </c>
      <c r="P16" s="145">
        <v>5000000</v>
      </c>
      <c r="Q16" s="176">
        <f t="shared" si="1"/>
        <v>3580000</v>
      </c>
      <c r="R16" s="195"/>
      <c r="S16" s="195"/>
    </row>
    <row r="17" spans="1:19" ht="20.100000000000001" customHeight="1" x14ac:dyDescent="0.25">
      <c r="A17" s="75">
        <v>10</v>
      </c>
      <c r="B17" s="133">
        <v>43140</v>
      </c>
      <c r="C17" s="135" t="s">
        <v>1638</v>
      </c>
      <c r="D17" s="136" t="s">
        <v>1655</v>
      </c>
      <c r="E17" s="78" t="s">
        <v>364</v>
      </c>
      <c r="F17" s="80"/>
      <c r="G17" s="81">
        <v>280</v>
      </c>
      <c r="H17" s="81">
        <v>4466000</v>
      </c>
      <c r="J17" s="222">
        <v>1510000</v>
      </c>
      <c r="K17" s="86"/>
      <c r="L17" s="69"/>
      <c r="M17" s="69"/>
      <c r="N17" s="69"/>
      <c r="O17" s="142">
        <f t="shared" si="0"/>
        <v>5976000</v>
      </c>
      <c r="P17" s="145">
        <v>5000000</v>
      </c>
      <c r="Q17" s="176">
        <f t="shared" si="1"/>
        <v>-976000</v>
      </c>
      <c r="R17" s="195"/>
      <c r="S17" s="195"/>
    </row>
    <row r="18" spans="1:19" ht="20.100000000000001" customHeight="1" x14ac:dyDescent="0.25">
      <c r="A18" s="75">
        <v>11</v>
      </c>
      <c r="B18" s="133">
        <v>43152</v>
      </c>
      <c r="C18" s="135" t="s">
        <v>1639</v>
      </c>
      <c r="D18" s="136" t="s">
        <v>1656</v>
      </c>
      <c r="E18" s="78" t="s">
        <v>1429</v>
      </c>
      <c r="F18" s="80"/>
      <c r="G18" s="81">
        <v>270</v>
      </c>
      <c r="H18" s="81">
        <v>4306500</v>
      </c>
      <c r="J18" s="222">
        <v>970000</v>
      </c>
      <c r="K18" s="86"/>
      <c r="L18" s="69"/>
      <c r="M18" s="69"/>
      <c r="N18" s="69"/>
      <c r="O18" s="142">
        <f t="shared" si="0"/>
        <v>5276500</v>
      </c>
      <c r="P18" s="145">
        <v>3700000</v>
      </c>
      <c r="Q18" s="176">
        <f t="shared" si="1"/>
        <v>-1576500</v>
      </c>
      <c r="R18" s="195"/>
      <c r="S18" s="195"/>
    </row>
    <row r="19" spans="1:19" ht="20.100000000000001" customHeight="1" x14ac:dyDescent="0.25">
      <c r="A19" s="75">
        <v>12</v>
      </c>
      <c r="B19" s="133">
        <v>43153</v>
      </c>
      <c r="C19" s="135" t="s">
        <v>1640</v>
      </c>
      <c r="D19" s="136" t="s">
        <v>1657</v>
      </c>
      <c r="E19" s="78" t="s">
        <v>633</v>
      </c>
      <c r="F19" s="80"/>
      <c r="G19" s="81"/>
      <c r="H19" s="81"/>
      <c r="J19" s="222">
        <v>1420000</v>
      </c>
      <c r="K19" s="86"/>
      <c r="L19" s="69"/>
      <c r="M19" s="69"/>
      <c r="N19" s="69"/>
      <c r="O19" s="142">
        <f t="shared" si="0"/>
        <v>1420000</v>
      </c>
      <c r="P19" s="145">
        <v>5300000</v>
      </c>
      <c r="Q19" s="176">
        <f t="shared" si="1"/>
        <v>3880000</v>
      </c>
      <c r="R19" s="195"/>
      <c r="S19" s="195"/>
    </row>
    <row r="20" spans="1:19" ht="20.100000000000001" customHeight="1" x14ac:dyDescent="0.25">
      <c r="A20" s="75">
        <v>13</v>
      </c>
      <c r="B20" s="133">
        <v>43154</v>
      </c>
      <c r="C20" s="135" t="s">
        <v>1641</v>
      </c>
      <c r="D20" s="136" t="s">
        <v>1658</v>
      </c>
      <c r="E20" s="78" t="s">
        <v>566</v>
      </c>
      <c r="F20" s="80"/>
      <c r="G20" s="81"/>
      <c r="H20" s="81"/>
      <c r="J20" s="222">
        <v>790000</v>
      </c>
      <c r="K20" s="86"/>
      <c r="L20" s="69"/>
      <c r="M20" s="69"/>
      <c r="N20" s="69"/>
      <c r="O20" s="142">
        <f t="shared" si="0"/>
        <v>790000</v>
      </c>
      <c r="P20" s="145">
        <v>3800000</v>
      </c>
      <c r="Q20" s="176">
        <f t="shared" si="1"/>
        <v>3010000</v>
      </c>
      <c r="R20" s="195"/>
      <c r="S20" s="195"/>
    </row>
    <row r="21" spans="1:19" ht="20.100000000000001" customHeight="1" x14ac:dyDescent="0.25">
      <c r="A21" s="75">
        <v>14</v>
      </c>
      <c r="B21" s="133">
        <v>43155</v>
      </c>
      <c r="C21" s="135" t="s">
        <v>1642</v>
      </c>
      <c r="D21" s="136" t="s">
        <v>1659</v>
      </c>
      <c r="E21" s="78" t="s">
        <v>24</v>
      </c>
      <c r="F21" s="80"/>
      <c r="G21" s="81">
        <v>335</v>
      </c>
      <c r="H21" s="81">
        <v>5262850</v>
      </c>
      <c r="J21" s="222">
        <v>1710000</v>
      </c>
      <c r="K21" s="86"/>
      <c r="L21" s="69"/>
      <c r="M21" s="69"/>
      <c r="N21" s="69"/>
      <c r="O21" s="142">
        <f t="shared" si="0"/>
        <v>6972850</v>
      </c>
      <c r="P21" s="145">
        <v>4950000</v>
      </c>
      <c r="Q21" s="176">
        <f t="shared" si="1"/>
        <v>-2022850</v>
      </c>
      <c r="R21" s="195"/>
      <c r="S21" s="195"/>
    </row>
    <row r="22" spans="1:19" ht="20.100000000000001" customHeight="1" x14ac:dyDescent="0.25">
      <c r="A22" s="75">
        <v>15</v>
      </c>
      <c r="B22" s="133">
        <v>43157</v>
      </c>
      <c r="C22" s="135" t="s">
        <v>1643</v>
      </c>
      <c r="D22" s="136" t="s">
        <v>1660</v>
      </c>
      <c r="E22" s="78" t="s">
        <v>364</v>
      </c>
      <c r="F22" s="80"/>
      <c r="G22" s="81">
        <v>315</v>
      </c>
      <c r="H22" s="81">
        <v>4948650</v>
      </c>
      <c r="J22" s="222">
        <v>1420000</v>
      </c>
      <c r="K22" s="86"/>
      <c r="L22" s="69"/>
      <c r="M22" s="69"/>
      <c r="N22" s="69"/>
      <c r="O22" s="142">
        <f t="shared" si="0"/>
        <v>6368650</v>
      </c>
      <c r="P22" s="145">
        <v>5000000</v>
      </c>
      <c r="Q22" s="176">
        <f t="shared" si="1"/>
        <v>-1368650</v>
      </c>
      <c r="R22" s="195"/>
      <c r="S22" s="195"/>
    </row>
    <row r="23" spans="1:19" ht="20.100000000000001" customHeight="1" x14ac:dyDescent="0.25">
      <c r="A23" s="75">
        <v>16</v>
      </c>
      <c r="B23" s="133">
        <v>43158</v>
      </c>
      <c r="C23" s="135" t="s">
        <v>1644</v>
      </c>
      <c r="D23" s="136" t="s">
        <v>1661</v>
      </c>
      <c r="E23" s="78" t="s">
        <v>1158</v>
      </c>
      <c r="F23" s="80"/>
      <c r="G23" s="81"/>
      <c r="H23" s="81"/>
      <c r="J23" s="222">
        <v>1400000</v>
      </c>
      <c r="K23" s="86"/>
      <c r="L23" s="69"/>
      <c r="M23" s="69"/>
      <c r="N23" s="69"/>
      <c r="O23" s="142">
        <f t="shared" si="0"/>
        <v>1400000</v>
      </c>
      <c r="P23" s="145">
        <v>6209091</v>
      </c>
      <c r="Q23" s="176">
        <f t="shared" si="1"/>
        <v>4809091</v>
      </c>
      <c r="R23" s="195"/>
      <c r="S23" s="195"/>
    </row>
    <row r="24" spans="1:19" ht="20.100000000000001" customHeight="1" x14ac:dyDescent="0.25">
      <c r="A24" s="75">
        <v>17</v>
      </c>
      <c r="B24" s="133">
        <v>43158</v>
      </c>
      <c r="C24" s="135" t="s">
        <v>1645</v>
      </c>
      <c r="D24" s="136" t="s">
        <v>1662</v>
      </c>
      <c r="E24" s="78" t="s">
        <v>635</v>
      </c>
      <c r="F24" s="80"/>
      <c r="G24" s="81">
        <v>235</v>
      </c>
      <c r="H24" s="81">
        <f>G24*15710</f>
        <v>3691850</v>
      </c>
      <c r="J24" s="222">
        <v>1250000</v>
      </c>
      <c r="K24" s="86"/>
      <c r="L24" s="69"/>
      <c r="M24" s="69"/>
      <c r="N24" s="69"/>
      <c r="O24" s="142">
        <f t="shared" si="0"/>
        <v>4941850</v>
      </c>
      <c r="P24" s="145">
        <v>4800000</v>
      </c>
      <c r="Q24" s="176">
        <f t="shared" si="1"/>
        <v>-141850</v>
      </c>
      <c r="R24" s="195"/>
      <c r="S24" s="195"/>
    </row>
    <row r="25" spans="1:19" ht="18" customHeight="1" x14ac:dyDescent="0.25">
      <c r="A25" s="75"/>
      <c r="B25" s="133"/>
      <c r="C25" s="183" t="s">
        <v>1667</v>
      </c>
      <c r="D25" s="162"/>
      <c r="E25" s="153"/>
      <c r="F25" s="163"/>
      <c r="G25" s="164"/>
      <c r="H25" s="155"/>
      <c r="I25" s="165"/>
      <c r="J25" s="166"/>
      <c r="K25" s="86"/>
      <c r="L25" s="156"/>
      <c r="M25" s="166">
        <v>4700000</v>
      </c>
      <c r="N25" s="112"/>
      <c r="O25" s="142">
        <f t="shared" si="0"/>
        <v>4700000</v>
      </c>
      <c r="P25" s="68"/>
      <c r="Q25" s="176">
        <f t="shared" si="1"/>
        <v>-4700000</v>
      </c>
    </row>
    <row r="26" spans="1:19" ht="18" customHeight="1" x14ac:dyDescent="0.25">
      <c r="A26" s="75"/>
      <c r="B26" s="133"/>
      <c r="C26" s="183" t="s">
        <v>1668</v>
      </c>
      <c r="D26" s="162"/>
      <c r="E26" s="153"/>
      <c r="F26" s="163"/>
      <c r="G26" s="164"/>
      <c r="H26" s="155"/>
      <c r="I26" s="165"/>
      <c r="J26" s="166"/>
      <c r="K26" s="86"/>
      <c r="L26" s="156">
        <v>150000</v>
      </c>
      <c r="M26" s="113"/>
      <c r="N26" s="112"/>
      <c r="O26" s="142">
        <f t="shared" si="0"/>
        <v>150000</v>
      </c>
      <c r="P26" s="68"/>
      <c r="Q26" s="176">
        <f t="shared" si="1"/>
        <v>-150000</v>
      </c>
    </row>
    <row r="27" spans="1:19" ht="30" customHeight="1" x14ac:dyDescent="0.25">
      <c r="A27" s="75"/>
      <c r="B27" s="133"/>
      <c r="C27" s="183" t="s">
        <v>1669</v>
      </c>
      <c r="D27" s="162"/>
      <c r="E27" s="153"/>
      <c r="F27" s="163"/>
      <c r="G27" s="164"/>
      <c r="H27" s="155"/>
      <c r="I27" s="165"/>
      <c r="J27" s="166"/>
      <c r="K27" s="86"/>
      <c r="L27" s="156">
        <v>250000</v>
      </c>
      <c r="M27" s="113"/>
      <c r="N27" s="112"/>
      <c r="O27" s="142">
        <f t="shared" si="0"/>
        <v>250000</v>
      </c>
      <c r="P27" s="68"/>
      <c r="Q27" s="176">
        <f t="shared" si="1"/>
        <v>-250000</v>
      </c>
    </row>
    <row r="28" spans="1:19" ht="42" customHeight="1" x14ac:dyDescent="0.25">
      <c r="A28" s="75"/>
      <c r="B28" s="133"/>
      <c r="C28" s="183" t="s">
        <v>1670</v>
      </c>
      <c r="D28" s="162"/>
      <c r="E28" s="153"/>
      <c r="F28" s="163"/>
      <c r="G28" s="164"/>
      <c r="H28" s="155"/>
      <c r="I28" s="165"/>
      <c r="J28" s="166"/>
      <c r="K28" s="86"/>
      <c r="L28" s="156">
        <v>7000000</v>
      </c>
      <c r="M28" s="113"/>
      <c r="N28" s="112"/>
      <c r="O28" s="142">
        <f t="shared" si="0"/>
        <v>7000000</v>
      </c>
      <c r="P28" s="68"/>
      <c r="Q28" s="176">
        <f t="shared" si="1"/>
        <v>-7000000</v>
      </c>
    </row>
    <row r="29" spans="1:19" ht="42" customHeight="1" x14ac:dyDescent="0.25">
      <c r="A29" s="75"/>
      <c r="B29" s="133"/>
      <c r="C29" s="208" t="s">
        <v>1671</v>
      </c>
      <c r="D29" s="162"/>
      <c r="E29" s="153"/>
      <c r="F29" s="163"/>
      <c r="G29" s="164"/>
      <c r="H29" s="155"/>
      <c r="I29" s="165"/>
      <c r="J29" s="166"/>
      <c r="K29" s="86"/>
      <c r="L29" s="156">
        <v>600000</v>
      </c>
      <c r="M29" s="113"/>
      <c r="N29" s="112"/>
      <c r="O29" s="142">
        <f t="shared" si="0"/>
        <v>600000</v>
      </c>
      <c r="P29" s="68"/>
      <c r="Q29" s="176">
        <f t="shared" si="1"/>
        <v>-600000</v>
      </c>
    </row>
    <row r="30" spans="1:19" ht="18" customHeight="1" x14ac:dyDescent="0.25">
      <c r="A30" s="75"/>
      <c r="B30" s="133"/>
      <c r="C30" s="170" t="s">
        <v>1273</v>
      </c>
      <c r="D30" s="162"/>
      <c r="E30" s="153"/>
      <c r="F30" s="163"/>
      <c r="G30" s="164"/>
      <c r="H30" s="155"/>
      <c r="I30" s="165"/>
      <c r="J30" s="166"/>
      <c r="K30" s="86"/>
      <c r="L30" s="156">
        <v>1320000</v>
      </c>
      <c r="M30" s="112"/>
      <c r="N30" s="112"/>
      <c r="O30" s="142">
        <f t="shared" si="0"/>
        <v>1320000</v>
      </c>
      <c r="P30" s="68"/>
      <c r="Q30" s="176">
        <f t="shared" si="1"/>
        <v>-1320000</v>
      </c>
    </row>
    <row r="31" spans="1:19" ht="18" customHeight="1" x14ac:dyDescent="0.25">
      <c r="A31" s="134"/>
      <c r="B31" s="137"/>
      <c r="C31" s="170" t="s">
        <v>1672</v>
      </c>
      <c r="D31" s="162"/>
      <c r="E31" s="167"/>
      <c r="F31" s="163"/>
      <c r="G31" s="164"/>
      <c r="H31" s="165"/>
      <c r="I31" s="165"/>
      <c r="J31" s="166"/>
      <c r="K31" s="113">
        <v>3000000</v>
      </c>
      <c r="L31" s="166"/>
      <c r="M31" s="112"/>
      <c r="N31" s="112"/>
      <c r="O31" s="142"/>
      <c r="P31" s="144"/>
      <c r="Q31" s="176"/>
    </row>
    <row r="32" spans="1:19" ht="18" customHeight="1" x14ac:dyDescent="0.25">
      <c r="A32" s="134"/>
      <c r="B32" s="70"/>
      <c r="C32" s="108" t="s">
        <v>1386</v>
      </c>
      <c r="D32" s="87"/>
      <c r="E32" s="70"/>
      <c r="F32" s="110"/>
      <c r="G32" s="70"/>
      <c r="H32" s="111"/>
      <c r="I32" s="111"/>
      <c r="J32" s="112"/>
      <c r="K32" s="113">
        <v>7875000</v>
      </c>
      <c r="L32" s="141"/>
      <c r="M32" s="112"/>
      <c r="N32" s="112"/>
      <c r="O32" s="142">
        <f t="shared" si="0"/>
        <v>7875000</v>
      </c>
      <c r="P32" s="144"/>
      <c r="Q32" s="176">
        <f t="shared" si="1"/>
        <v>-7875000</v>
      </c>
    </row>
    <row r="33" spans="1:19" x14ac:dyDescent="0.25">
      <c r="A33" s="547" t="s">
        <v>19</v>
      </c>
      <c r="B33" s="548"/>
      <c r="C33" s="548"/>
      <c r="D33" s="548"/>
      <c r="E33" s="548"/>
      <c r="F33" s="549"/>
      <c r="G33" s="89">
        <f t="shared" ref="G33:L33" si="2">SUM(G7:G32)</f>
        <v>2005</v>
      </c>
      <c r="H33" s="71">
        <f t="shared" si="2"/>
        <v>31767350</v>
      </c>
      <c r="I33" s="71">
        <f t="shared" si="2"/>
        <v>0</v>
      </c>
      <c r="J33" s="71">
        <f t="shared" si="2"/>
        <v>19840000</v>
      </c>
      <c r="K33" s="71">
        <f t="shared" si="2"/>
        <v>10875000</v>
      </c>
      <c r="L33" s="71">
        <f t="shared" si="2"/>
        <v>9320000</v>
      </c>
      <c r="M33" s="71">
        <f>SUM(M7:M32)</f>
        <v>4700000</v>
      </c>
      <c r="N33" s="71">
        <f>SUM(N7:N32)</f>
        <v>0</v>
      </c>
      <c r="O33" s="71">
        <f>SUM(O7:O32)</f>
        <v>73502350</v>
      </c>
      <c r="P33" s="71">
        <f>SUM(P7:P32)</f>
        <v>77277273</v>
      </c>
      <c r="Q33" s="71">
        <f>SUM(Q7:Q32)</f>
        <v>3774923</v>
      </c>
      <c r="R33" s="195"/>
      <c r="S33" s="195"/>
    </row>
    <row r="34" spans="1:19" x14ac:dyDescent="0.25">
      <c r="P34" s="195"/>
      <c r="Q34" s="202"/>
    </row>
    <row r="35" spans="1:19" x14ac:dyDescent="0.25">
      <c r="P35" s="229" t="s">
        <v>1225</v>
      </c>
      <c r="Q35" s="230">
        <f>'01-2018'!Q46+'02-2018'!Q33</f>
        <v>39963227</v>
      </c>
    </row>
    <row r="36" spans="1:19" x14ac:dyDescent="0.25">
      <c r="Q36" s="195"/>
    </row>
  </sheetData>
  <mergeCells count="5">
    <mergeCell ref="A1:Q1"/>
    <mergeCell ref="A2:Q2"/>
    <mergeCell ref="A3:Q3"/>
    <mergeCell ref="G5:N5"/>
    <mergeCell ref="A33:F33"/>
  </mergeCells>
  <pageMargins left="0.7" right="0.7" top="0.75" bottom="0.75" header="0.3" footer="0.3"/>
  <pageSetup paperSize="9" orientation="portrait" horizontalDpi="180" verticalDpi="18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S48"/>
  <sheetViews>
    <sheetView topLeftCell="D37" workbookViewId="0">
      <selection activeCell="G45" sqref="G45"/>
    </sheetView>
  </sheetViews>
  <sheetFormatPr defaultRowHeight="15" x14ac:dyDescent="0.25"/>
  <cols>
    <col min="1" max="1" width="4.5703125" customWidth="1"/>
    <col min="3" max="3" width="41.28515625" customWidth="1"/>
    <col min="4" max="4" width="16.5703125" customWidth="1"/>
    <col min="5" max="5" width="33.140625" customWidth="1"/>
    <col min="15" max="15" width="11.140625" customWidth="1"/>
    <col min="16" max="16" width="10.7109375" customWidth="1"/>
    <col min="17" max="17" width="12.28515625" customWidth="1"/>
    <col min="18" max="18" width="11.7109375" customWidth="1"/>
    <col min="19" max="19" width="9.8554687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1673</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74"/>
      <c r="H4" s="72"/>
      <c r="I4" s="74"/>
      <c r="J4" s="72"/>
      <c r="K4" s="72"/>
      <c r="L4" s="72"/>
      <c r="M4" s="72"/>
      <c r="N4" s="72"/>
      <c r="O4" s="72"/>
      <c r="P4" s="72"/>
      <c r="Q4" s="72"/>
    </row>
    <row r="5" spans="1:19" ht="25.5" x14ac:dyDescent="0.25">
      <c r="A5" s="177" t="s">
        <v>1</v>
      </c>
      <c r="B5" s="178" t="s">
        <v>2</v>
      </c>
      <c r="C5" s="177" t="s">
        <v>3</v>
      </c>
      <c r="D5" s="177" t="s">
        <v>5</v>
      </c>
      <c r="E5" s="174" t="s">
        <v>4</v>
      </c>
      <c r="F5" s="174" t="s">
        <v>17</v>
      </c>
      <c r="G5" s="552" t="s">
        <v>6</v>
      </c>
      <c r="H5" s="553"/>
      <c r="I5" s="553"/>
      <c r="J5" s="553"/>
      <c r="K5" s="553"/>
      <c r="L5" s="553"/>
      <c r="M5" s="553"/>
      <c r="N5" s="554"/>
      <c r="O5" s="127" t="s">
        <v>18</v>
      </c>
      <c r="P5" s="127" t="s">
        <v>13</v>
      </c>
      <c r="Q5" s="127" t="s">
        <v>14</v>
      </c>
    </row>
    <row r="6" spans="1:19" x14ac:dyDescent="0.25">
      <c r="A6" s="179"/>
      <c r="B6" s="180"/>
      <c r="C6" s="179"/>
      <c r="D6" s="179"/>
      <c r="E6" s="175"/>
      <c r="F6" s="175"/>
      <c r="G6" s="6" t="s">
        <v>7</v>
      </c>
      <c r="H6" s="7" t="s">
        <v>15</v>
      </c>
      <c r="I6" s="6" t="s">
        <v>16</v>
      </c>
      <c r="J6" s="7" t="s">
        <v>8</v>
      </c>
      <c r="K6" s="7" t="s">
        <v>9</v>
      </c>
      <c r="L6" s="7" t="s">
        <v>10</v>
      </c>
      <c r="M6" s="7" t="s">
        <v>11</v>
      </c>
      <c r="N6" s="7" t="s">
        <v>12</v>
      </c>
      <c r="O6" s="181"/>
      <c r="P6" s="181"/>
      <c r="Q6" s="181"/>
    </row>
    <row r="7" spans="1:19" x14ac:dyDescent="0.25">
      <c r="A7" s="75"/>
      <c r="B7" s="100"/>
      <c r="C7" s="88"/>
      <c r="D7" s="88"/>
      <c r="E7" s="134"/>
      <c r="F7" s="75"/>
      <c r="G7" s="77"/>
      <c r="H7" s="68"/>
      <c r="I7" s="75"/>
      <c r="J7" s="68"/>
      <c r="K7" s="68"/>
      <c r="L7" s="68"/>
      <c r="M7" s="68"/>
      <c r="N7" s="68"/>
      <c r="O7" s="68">
        <f>H7+J7+K7+L7+M7+N7</f>
        <v>0</v>
      </c>
      <c r="P7" s="144"/>
      <c r="Q7" s="68">
        <f>P7-O7</f>
        <v>0</v>
      </c>
    </row>
    <row r="8" spans="1:19" ht="20.100000000000001" customHeight="1" x14ac:dyDescent="0.25">
      <c r="A8" s="75">
        <v>1</v>
      </c>
      <c r="B8" s="133">
        <v>43159</v>
      </c>
      <c r="C8" s="135" t="s">
        <v>1674</v>
      </c>
      <c r="D8" s="136" t="s">
        <v>1691</v>
      </c>
      <c r="E8" s="78" t="s">
        <v>635</v>
      </c>
      <c r="F8" s="80"/>
      <c r="G8" s="81"/>
      <c r="H8" s="81"/>
      <c r="J8" s="222">
        <v>1250000</v>
      </c>
      <c r="K8" s="86"/>
      <c r="L8" s="69"/>
      <c r="M8" s="69"/>
      <c r="N8" s="69"/>
      <c r="O8" s="142">
        <f>H8+J8+K8+L8+M8+N8</f>
        <v>1250000</v>
      </c>
      <c r="P8" s="145">
        <v>4800000</v>
      </c>
      <c r="Q8" s="176">
        <f>P8-O8</f>
        <v>3550000</v>
      </c>
      <c r="R8" s="195"/>
      <c r="S8" s="195"/>
    </row>
    <row r="9" spans="1:19" ht="20.100000000000001" customHeight="1" x14ac:dyDescent="0.25">
      <c r="A9" s="75">
        <v>2</v>
      </c>
      <c r="B9" s="133">
        <v>43160</v>
      </c>
      <c r="C9" s="135" t="s">
        <v>1675</v>
      </c>
      <c r="D9" s="136" t="s">
        <v>1692</v>
      </c>
      <c r="E9" s="78" t="s">
        <v>1716</v>
      </c>
      <c r="F9" s="80"/>
      <c r="G9" s="81"/>
      <c r="H9" s="81"/>
      <c r="J9" s="186">
        <v>790000</v>
      </c>
      <c r="K9" s="86"/>
      <c r="L9" s="69"/>
      <c r="M9" s="69"/>
      <c r="N9" s="69"/>
      <c r="O9" s="142">
        <f t="shared" ref="O9:O44" si="0">H9+J9+K9+L9+M9+N9</f>
        <v>790000</v>
      </c>
      <c r="P9" s="145">
        <v>3300000</v>
      </c>
      <c r="Q9" s="176">
        <f t="shared" ref="Q9:Q44" si="1">P9-O9</f>
        <v>2510000</v>
      </c>
      <c r="R9" s="195"/>
      <c r="S9" s="195"/>
    </row>
    <row r="10" spans="1:19" ht="20.100000000000001" customHeight="1" x14ac:dyDescent="0.25">
      <c r="A10" s="75">
        <v>3</v>
      </c>
      <c r="B10" s="133">
        <v>43161</v>
      </c>
      <c r="C10" s="135" t="s">
        <v>1676</v>
      </c>
      <c r="D10" s="136" t="s">
        <v>1693</v>
      </c>
      <c r="E10" s="78" t="s">
        <v>1717</v>
      </c>
      <c r="F10" s="80"/>
      <c r="G10" s="81"/>
      <c r="H10" s="81"/>
      <c r="J10" s="222">
        <v>810000</v>
      </c>
      <c r="K10" s="86"/>
      <c r="L10" s="69"/>
      <c r="M10" s="69"/>
      <c r="N10" s="69"/>
      <c r="O10" s="142">
        <f t="shared" si="0"/>
        <v>810000</v>
      </c>
      <c r="P10" s="145">
        <v>3750000</v>
      </c>
      <c r="Q10" s="176">
        <f t="shared" si="1"/>
        <v>2940000</v>
      </c>
      <c r="R10" s="195"/>
      <c r="S10" s="195"/>
    </row>
    <row r="11" spans="1:19" ht="20.100000000000001" customHeight="1" x14ac:dyDescent="0.25">
      <c r="A11" s="75">
        <v>4</v>
      </c>
      <c r="B11" s="133">
        <v>43163</v>
      </c>
      <c r="C11" s="135" t="s">
        <v>205</v>
      </c>
      <c r="D11" s="136" t="s">
        <v>1694</v>
      </c>
      <c r="E11" s="78" t="s">
        <v>1429</v>
      </c>
      <c r="F11" s="80"/>
      <c r="G11" s="231">
        <v>285</v>
      </c>
      <c r="H11" s="81">
        <v>4477350</v>
      </c>
      <c r="J11" s="222">
        <v>970000</v>
      </c>
      <c r="K11" s="86"/>
      <c r="L11" s="69"/>
      <c r="M11" s="69"/>
      <c r="N11" s="69"/>
      <c r="O11" s="142">
        <f t="shared" si="0"/>
        <v>5447350</v>
      </c>
      <c r="P11" s="145">
        <v>3800000</v>
      </c>
      <c r="Q11" s="176">
        <f t="shared" si="1"/>
        <v>-1647350</v>
      </c>
      <c r="R11" s="195"/>
      <c r="S11" s="195"/>
    </row>
    <row r="12" spans="1:19" ht="20.100000000000001" customHeight="1" x14ac:dyDescent="0.25">
      <c r="A12" s="75">
        <v>5</v>
      </c>
      <c r="B12" s="133">
        <v>43164</v>
      </c>
      <c r="C12" s="135" t="s">
        <v>1677</v>
      </c>
      <c r="D12" s="136" t="s">
        <v>1695</v>
      </c>
      <c r="E12" s="78" t="s">
        <v>1718</v>
      </c>
      <c r="F12" s="80"/>
      <c r="G12" s="81"/>
      <c r="H12" s="81"/>
      <c r="J12" s="222">
        <v>650000</v>
      </c>
      <c r="K12" s="86"/>
      <c r="L12" s="69"/>
      <c r="M12" s="69"/>
      <c r="N12" s="69"/>
      <c r="O12" s="142">
        <f t="shared" si="0"/>
        <v>650000</v>
      </c>
      <c r="P12" s="145">
        <v>2409091</v>
      </c>
      <c r="Q12" s="176">
        <f t="shared" si="1"/>
        <v>1759091</v>
      </c>
      <c r="R12" s="195"/>
      <c r="S12" s="195"/>
    </row>
    <row r="13" spans="1:19" ht="20.100000000000001" customHeight="1" x14ac:dyDescent="0.25">
      <c r="A13" s="75">
        <v>6</v>
      </c>
      <c r="B13" s="133">
        <v>43164</v>
      </c>
      <c r="C13" s="135" t="s">
        <v>1678</v>
      </c>
      <c r="D13" s="136" t="s">
        <v>1695</v>
      </c>
      <c r="E13" s="78" t="s">
        <v>1719</v>
      </c>
      <c r="F13" s="80"/>
      <c r="G13" s="81"/>
      <c r="H13" s="81"/>
      <c r="J13" s="222">
        <v>200000</v>
      </c>
      <c r="K13" s="86"/>
      <c r="L13" s="69"/>
      <c r="M13" s="69"/>
      <c r="N13" s="69"/>
      <c r="O13" s="142">
        <f t="shared" si="0"/>
        <v>200000</v>
      </c>
      <c r="P13" s="145">
        <v>1500000</v>
      </c>
      <c r="Q13" s="176">
        <f t="shared" si="1"/>
        <v>1300000</v>
      </c>
      <c r="R13" s="195"/>
      <c r="S13" s="195"/>
    </row>
    <row r="14" spans="1:19" ht="20.100000000000001" customHeight="1" x14ac:dyDescent="0.25">
      <c r="A14" s="75">
        <v>7</v>
      </c>
      <c r="B14" s="133">
        <v>43166</v>
      </c>
      <c r="C14" s="135" t="s">
        <v>1679</v>
      </c>
      <c r="D14" s="136" t="s">
        <v>1696</v>
      </c>
      <c r="E14" s="78" t="s">
        <v>1720</v>
      </c>
      <c r="F14" s="80"/>
      <c r="G14" s="81"/>
      <c r="H14" s="81"/>
      <c r="J14" s="222">
        <v>1150000</v>
      </c>
      <c r="K14" s="86"/>
      <c r="L14" s="69"/>
      <c r="M14" s="69"/>
      <c r="N14" s="69"/>
      <c r="O14" s="142">
        <f t="shared" si="0"/>
        <v>1150000</v>
      </c>
      <c r="P14" s="145">
        <v>6000000</v>
      </c>
      <c r="Q14" s="176">
        <f t="shared" si="1"/>
        <v>4850000</v>
      </c>
      <c r="R14" s="195"/>
      <c r="S14" s="195"/>
    </row>
    <row r="15" spans="1:19" ht="20.100000000000001" customHeight="1" x14ac:dyDescent="0.25">
      <c r="A15" s="75">
        <v>8</v>
      </c>
      <c r="B15" s="133">
        <v>43167</v>
      </c>
      <c r="C15" s="135" t="s">
        <v>1680</v>
      </c>
      <c r="D15" s="136" t="s">
        <v>1697</v>
      </c>
      <c r="E15" s="78" t="s">
        <v>635</v>
      </c>
      <c r="F15" s="80"/>
      <c r="G15" s="81">
        <v>320</v>
      </c>
      <c r="H15" s="81">
        <v>5027200</v>
      </c>
      <c r="J15" s="222">
        <v>1250000</v>
      </c>
      <c r="K15" s="86"/>
      <c r="L15" s="69"/>
      <c r="M15" s="69"/>
      <c r="N15" s="69"/>
      <c r="O15" s="142">
        <f t="shared" si="0"/>
        <v>6277200</v>
      </c>
      <c r="P15" s="145">
        <v>4800000</v>
      </c>
      <c r="Q15" s="176">
        <f t="shared" si="1"/>
        <v>-1477200</v>
      </c>
      <c r="R15" s="195"/>
      <c r="S15" s="195"/>
    </row>
    <row r="16" spans="1:19" ht="20.100000000000001" customHeight="1" x14ac:dyDescent="0.25">
      <c r="A16" s="75">
        <v>9</v>
      </c>
      <c r="B16" s="133">
        <v>43168</v>
      </c>
      <c r="C16" s="135" t="s">
        <v>973</v>
      </c>
      <c r="D16" s="136" t="s">
        <v>1698</v>
      </c>
      <c r="E16" s="78" t="s">
        <v>1721</v>
      </c>
      <c r="F16" s="80"/>
      <c r="G16" s="81">
        <v>240</v>
      </c>
      <c r="H16" s="81">
        <v>3770400</v>
      </c>
      <c r="J16" s="187">
        <f>1420000</f>
        <v>1420000</v>
      </c>
      <c r="K16" s="86"/>
      <c r="L16" s="69"/>
      <c r="M16" s="69"/>
      <c r="N16" s="69"/>
      <c r="O16" s="142">
        <f t="shared" si="0"/>
        <v>5190400</v>
      </c>
      <c r="P16" s="145">
        <v>5200000</v>
      </c>
      <c r="Q16" s="176">
        <f t="shared" si="1"/>
        <v>9600</v>
      </c>
      <c r="R16" s="195"/>
      <c r="S16" s="195"/>
    </row>
    <row r="17" spans="1:19" ht="20.100000000000001" customHeight="1" x14ac:dyDescent="0.25">
      <c r="A17" s="75">
        <v>10</v>
      </c>
      <c r="B17" s="133">
        <v>43171</v>
      </c>
      <c r="C17" s="135" t="s">
        <v>216</v>
      </c>
      <c r="D17" s="136" t="s">
        <v>1699</v>
      </c>
      <c r="E17" s="78" t="s">
        <v>635</v>
      </c>
      <c r="F17" s="80"/>
      <c r="G17" s="81"/>
      <c r="H17" s="81"/>
      <c r="J17" s="222">
        <v>1110000</v>
      </c>
      <c r="K17" s="86"/>
      <c r="L17" s="69"/>
      <c r="M17" s="69"/>
      <c r="N17" s="69"/>
      <c r="O17" s="142">
        <f t="shared" si="0"/>
        <v>1110000</v>
      </c>
      <c r="P17" s="145">
        <v>4800000</v>
      </c>
      <c r="Q17" s="176">
        <f t="shared" si="1"/>
        <v>3690000</v>
      </c>
      <c r="R17" s="195"/>
      <c r="S17" s="195"/>
    </row>
    <row r="18" spans="1:19" ht="20.100000000000001" customHeight="1" x14ac:dyDescent="0.25">
      <c r="A18" s="75">
        <v>11</v>
      </c>
      <c r="B18" s="133">
        <v>43171</v>
      </c>
      <c r="C18" s="135" t="s">
        <v>975</v>
      </c>
      <c r="D18" s="136" t="s">
        <v>1700</v>
      </c>
      <c r="E18" s="78" t="s">
        <v>635</v>
      </c>
      <c r="F18" s="80"/>
      <c r="G18" s="81"/>
      <c r="H18" s="81"/>
      <c r="J18" s="222">
        <v>1250000</v>
      </c>
      <c r="K18" s="86"/>
      <c r="L18" s="69"/>
      <c r="M18" s="69"/>
      <c r="N18" s="69"/>
      <c r="O18" s="142">
        <f t="shared" si="0"/>
        <v>1250000</v>
      </c>
      <c r="P18" s="145">
        <v>4800000</v>
      </c>
      <c r="Q18" s="176">
        <f t="shared" si="1"/>
        <v>3550000</v>
      </c>
      <c r="R18" s="195"/>
      <c r="S18" s="195"/>
    </row>
    <row r="19" spans="1:19" ht="20.100000000000001" customHeight="1" x14ac:dyDescent="0.25">
      <c r="A19" s="75">
        <v>12</v>
      </c>
      <c r="B19" s="133">
        <v>43172</v>
      </c>
      <c r="C19" s="135" t="s">
        <v>976</v>
      </c>
      <c r="D19" s="136" t="s">
        <v>1701</v>
      </c>
      <c r="E19" s="78" t="s">
        <v>1722</v>
      </c>
      <c r="F19" s="80"/>
      <c r="G19" s="81"/>
      <c r="H19" s="81"/>
      <c r="J19" s="222">
        <v>1250000</v>
      </c>
      <c r="K19" s="86"/>
      <c r="L19" s="69"/>
      <c r="M19" s="69"/>
      <c r="N19" s="69"/>
      <c r="O19" s="142">
        <f t="shared" si="0"/>
        <v>1250000</v>
      </c>
      <c r="P19" s="145">
        <v>4700000</v>
      </c>
      <c r="Q19" s="176">
        <f t="shared" si="1"/>
        <v>3450000</v>
      </c>
      <c r="R19" s="195"/>
      <c r="S19" s="195"/>
    </row>
    <row r="20" spans="1:19" ht="20.100000000000001" customHeight="1" x14ac:dyDescent="0.25">
      <c r="A20" s="75">
        <v>13</v>
      </c>
      <c r="B20" s="133">
        <v>43173</v>
      </c>
      <c r="C20" s="135" t="s">
        <v>1681</v>
      </c>
      <c r="D20" s="136" t="s">
        <v>1702</v>
      </c>
      <c r="E20" s="78" t="s">
        <v>635</v>
      </c>
      <c r="F20" s="80"/>
      <c r="G20" s="81">
        <v>230</v>
      </c>
      <c r="H20" s="81">
        <v>3613300</v>
      </c>
      <c r="J20" s="222">
        <v>1250000</v>
      </c>
      <c r="K20" s="86"/>
      <c r="L20" s="69"/>
      <c r="M20" s="69"/>
      <c r="N20" s="69"/>
      <c r="O20" s="142">
        <f t="shared" si="0"/>
        <v>4863300</v>
      </c>
      <c r="P20" s="145">
        <v>4800000</v>
      </c>
      <c r="Q20" s="176">
        <f t="shared" si="1"/>
        <v>-63300</v>
      </c>
      <c r="R20" s="195"/>
      <c r="S20" s="195"/>
    </row>
    <row r="21" spans="1:19" ht="20.100000000000001" customHeight="1" x14ac:dyDescent="0.25">
      <c r="A21" s="75">
        <v>14</v>
      </c>
      <c r="B21" s="133">
        <v>43174</v>
      </c>
      <c r="C21" s="135" t="s">
        <v>1682</v>
      </c>
      <c r="D21" s="136" t="s">
        <v>1703</v>
      </c>
      <c r="E21" s="78" t="s">
        <v>635</v>
      </c>
      <c r="F21" s="80"/>
      <c r="G21" s="81"/>
      <c r="H21" s="81"/>
      <c r="J21" s="222">
        <v>1250000</v>
      </c>
      <c r="K21" s="86"/>
      <c r="L21" s="69"/>
      <c r="M21" s="69"/>
      <c r="N21" s="69"/>
      <c r="O21" s="142">
        <f t="shared" si="0"/>
        <v>1250000</v>
      </c>
      <c r="P21" s="145">
        <v>4800000</v>
      </c>
      <c r="Q21" s="176">
        <f t="shared" si="1"/>
        <v>3550000</v>
      </c>
      <c r="R21" s="195"/>
      <c r="S21" s="195"/>
    </row>
    <row r="22" spans="1:19" ht="20.100000000000001" customHeight="1" x14ac:dyDescent="0.25">
      <c r="A22" s="75">
        <v>15</v>
      </c>
      <c r="B22" s="133">
        <v>43175</v>
      </c>
      <c r="C22" s="135" t="s">
        <v>1683</v>
      </c>
      <c r="D22" s="136" t="s">
        <v>1528</v>
      </c>
      <c r="E22" s="78" t="s">
        <v>635</v>
      </c>
      <c r="F22" s="80"/>
      <c r="G22" s="81">
        <v>235</v>
      </c>
      <c r="H22" s="81">
        <v>3691850</v>
      </c>
      <c r="J22" s="222">
        <v>1250000</v>
      </c>
      <c r="K22" s="86"/>
      <c r="L22" s="69"/>
      <c r="M22" s="69"/>
      <c r="N22" s="69"/>
      <c r="O22" s="142">
        <f t="shared" si="0"/>
        <v>4941850</v>
      </c>
      <c r="P22" s="145">
        <v>4800000</v>
      </c>
      <c r="Q22" s="176">
        <f t="shared" si="1"/>
        <v>-141850</v>
      </c>
      <c r="R22" s="195"/>
      <c r="S22" s="195"/>
    </row>
    <row r="23" spans="1:19" ht="20.100000000000001" customHeight="1" x14ac:dyDescent="0.25">
      <c r="A23" s="75">
        <v>16</v>
      </c>
      <c r="B23" s="133">
        <v>43178</v>
      </c>
      <c r="C23" s="135" t="s">
        <v>1684</v>
      </c>
      <c r="D23" s="136" t="s">
        <v>1704</v>
      </c>
      <c r="E23" s="78" t="s">
        <v>635</v>
      </c>
      <c r="F23" s="80"/>
      <c r="G23" s="81">
        <v>240</v>
      </c>
      <c r="H23" s="81">
        <v>3770400</v>
      </c>
      <c r="J23" s="222">
        <v>1250000</v>
      </c>
      <c r="K23" s="86"/>
      <c r="L23" s="69"/>
      <c r="M23" s="69"/>
      <c r="N23" s="69"/>
      <c r="O23" s="142">
        <f t="shared" si="0"/>
        <v>5020400</v>
      </c>
      <c r="P23" s="145">
        <v>4800000</v>
      </c>
      <c r="Q23" s="176">
        <f t="shared" si="1"/>
        <v>-220400</v>
      </c>
      <c r="R23" s="195"/>
      <c r="S23" s="195"/>
    </row>
    <row r="24" spans="1:19" ht="20.100000000000001" customHeight="1" x14ac:dyDescent="0.25">
      <c r="A24" s="75">
        <v>17</v>
      </c>
      <c r="B24" s="133">
        <v>43178</v>
      </c>
      <c r="C24" s="135" t="s">
        <v>981</v>
      </c>
      <c r="D24" s="136" t="s">
        <v>1705</v>
      </c>
      <c r="E24" s="78" t="s">
        <v>635</v>
      </c>
      <c r="F24" s="80"/>
      <c r="G24" s="81"/>
      <c r="H24" s="81"/>
      <c r="J24" s="222">
        <v>1250000</v>
      </c>
      <c r="K24" s="86"/>
      <c r="L24" s="69"/>
      <c r="M24" s="69"/>
      <c r="N24" s="69"/>
      <c r="O24" s="142">
        <f t="shared" si="0"/>
        <v>1250000</v>
      </c>
      <c r="P24" s="145">
        <v>4800000</v>
      </c>
      <c r="Q24" s="176">
        <f t="shared" si="1"/>
        <v>3550000</v>
      </c>
      <c r="R24" s="195"/>
      <c r="S24" s="195"/>
    </row>
    <row r="25" spans="1:19" ht="20.100000000000001" customHeight="1" x14ac:dyDescent="0.25">
      <c r="A25" s="75">
        <v>18</v>
      </c>
      <c r="B25" s="133">
        <v>43179</v>
      </c>
      <c r="C25" s="135" t="s">
        <v>1685</v>
      </c>
      <c r="D25" s="136" t="s">
        <v>1706</v>
      </c>
      <c r="E25" s="78" t="s">
        <v>1429</v>
      </c>
      <c r="F25" s="80"/>
      <c r="G25" s="81"/>
      <c r="H25" s="81"/>
      <c r="J25" s="222">
        <v>970000</v>
      </c>
      <c r="K25" s="86"/>
      <c r="L25" s="69"/>
      <c r="M25" s="69"/>
      <c r="N25" s="69"/>
      <c r="O25" s="142">
        <f t="shared" si="0"/>
        <v>970000</v>
      </c>
      <c r="P25" s="145">
        <v>3700000</v>
      </c>
      <c r="Q25" s="176">
        <f t="shared" si="1"/>
        <v>2730000</v>
      </c>
      <c r="R25" s="195"/>
      <c r="S25" s="195"/>
    </row>
    <row r="26" spans="1:19" ht="20.100000000000001" customHeight="1" x14ac:dyDescent="0.25">
      <c r="A26" s="75">
        <v>19</v>
      </c>
      <c r="B26" s="133">
        <v>43180</v>
      </c>
      <c r="C26" s="135" t="s">
        <v>1686</v>
      </c>
      <c r="D26" s="136" t="s">
        <v>1707</v>
      </c>
      <c r="E26" s="78" t="s">
        <v>21</v>
      </c>
      <c r="F26" s="80"/>
      <c r="G26" s="81">
        <v>240</v>
      </c>
      <c r="H26" s="81">
        <v>3770400</v>
      </c>
      <c r="J26" s="187">
        <f>2920000-180000</f>
        <v>2740000</v>
      </c>
      <c r="K26" s="86"/>
      <c r="L26" s="69"/>
      <c r="M26" s="69"/>
      <c r="N26" s="69"/>
      <c r="O26" s="142">
        <f t="shared" si="0"/>
        <v>6510400</v>
      </c>
      <c r="P26" s="145">
        <v>14090909</v>
      </c>
      <c r="Q26" s="176">
        <f t="shared" si="1"/>
        <v>7580509</v>
      </c>
      <c r="R26" s="195"/>
      <c r="S26" s="195"/>
    </row>
    <row r="27" spans="1:19" ht="20.100000000000001" customHeight="1" x14ac:dyDescent="0.25">
      <c r="A27" s="75">
        <v>20</v>
      </c>
      <c r="B27" s="133">
        <v>43181</v>
      </c>
      <c r="C27" s="135" t="s">
        <v>983</v>
      </c>
      <c r="D27" s="136" t="s">
        <v>1708</v>
      </c>
      <c r="E27" s="78" t="s">
        <v>364</v>
      </c>
      <c r="F27" s="80"/>
      <c r="G27" s="81"/>
      <c r="H27" s="81"/>
      <c r="J27" s="222">
        <v>1420000</v>
      </c>
      <c r="K27" s="86"/>
      <c r="L27" s="69"/>
      <c r="M27" s="69"/>
      <c r="N27" s="69"/>
      <c r="O27" s="142">
        <f t="shared" si="0"/>
        <v>1420000</v>
      </c>
      <c r="P27" s="145">
        <v>5000000</v>
      </c>
      <c r="Q27" s="176">
        <f t="shared" si="1"/>
        <v>3580000</v>
      </c>
      <c r="R27" s="195"/>
      <c r="S27" s="195"/>
    </row>
    <row r="28" spans="1:19" ht="20.100000000000001" customHeight="1" x14ac:dyDescent="0.25">
      <c r="A28" s="75">
        <v>21</v>
      </c>
      <c r="B28" s="133">
        <v>43182</v>
      </c>
      <c r="C28" s="135" t="s">
        <v>1687</v>
      </c>
      <c r="D28" s="136" t="s">
        <v>1709</v>
      </c>
      <c r="E28" s="78" t="s">
        <v>1663</v>
      </c>
      <c r="F28" s="80"/>
      <c r="G28" s="81">
        <v>320</v>
      </c>
      <c r="H28" s="81">
        <v>5027200</v>
      </c>
      <c r="J28" s="222">
        <v>1250000</v>
      </c>
      <c r="K28" s="86"/>
      <c r="L28" s="69"/>
      <c r="M28" s="69"/>
      <c r="N28" s="69"/>
      <c r="O28" s="142">
        <f t="shared" si="0"/>
        <v>6277200</v>
      </c>
      <c r="P28" s="145">
        <v>4700000</v>
      </c>
      <c r="Q28" s="176">
        <f t="shared" si="1"/>
        <v>-1577200</v>
      </c>
      <c r="R28" s="195"/>
      <c r="S28" s="195"/>
    </row>
    <row r="29" spans="1:19" ht="20.100000000000001" customHeight="1" x14ac:dyDescent="0.25">
      <c r="A29" s="75">
        <v>22</v>
      </c>
      <c r="B29" s="133">
        <v>43184</v>
      </c>
      <c r="C29" s="135" t="s">
        <v>251</v>
      </c>
      <c r="D29" s="136" t="s">
        <v>1710</v>
      </c>
      <c r="E29" s="78" t="s">
        <v>364</v>
      </c>
      <c r="F29" s="80"/>
      <c r="G29" s="81">
        <v>250</v>
      </c>
      <c r="H29" s="81">
        <v>3927500</v>
      </c>
      <c r="J29" s="222">
        <v>1420000</v>
      </c>
      <c r="K29" s="86"/>
      <c r="L29" s="69"/>
      <c r="M29" s="69"/>
      <c r="N29" s="69"/>
      <c r="O29" s="142">
        <f t="shared" si="0"/>
        <v>5347500</v>
      </c>
      <c r="P29" s="145">
        <v>5000000</v>
      </c>
      <c r="Q29" s="176">
        <f t="shared" si="1"/>
        <v>-347500</v>
      </c>
      <c r="R29" s="195"/>
      <c r="S29" s="195"/>
    </row>
    <row r="30" spans="1:19" ht="20.100000000000001" customHeight="1" x14ac:dyDescent="0.25">
      <c r="A30" s="75">
        <v>23</v>
      </c>
      <c r="B30" s="133">
        <v>43185</v>
      </c>
      <c r="C30" s="135" t="s">
        <v>986</v>
      </c>
      <c r="D30" s="136" t="s">
        <v>1711</v>
      </c>
      <c r="E30" s="78" t="s">
        <v>635</v>
      </c>
      <c r="F30" s="80"/>
      <c r="G30" s="81"/>
      <c r="H30" s="81"/>
      <c r="J30" s="222">
        <v>1250000</v>
      </c>
      <c r="K30" s="86"/>
      <c r="L30" s="69"/>
      <c r="M30" s="69"/>
      <c r="N30" s="69"/>
      <c r="O30" s="142">
        <f t="shared" si="0"/>
        <v>1250000</v>
      </c>
      <c r="P30" s="145">
        <v>4800000</v>
      </c>
      <c r="Q30" s="176">
        <f t="shared" si="1"/>
        <v>3550000</v>
      </c>
      <c r="R30" s="195"/>
      <c r="S30" s="195"/>
    </row>
    <row r="31" spans="1:19" ht="20.100000000000001" customHeight="1" x14ac:dyDescent="0.25">
      <c r="A31" s="75">
        <v>24</v>
      </c>
      <c r="B31" s="133">
        <v>43186</v>
      </c>
      <c r="C31" s="135" t="s">
        <v>987</v>
      </c>
      <c r="D31" s="136" t="s">
        <v>1712</v>
      </c>
      <c r="E31" s="78" t="s">
        <v>1429</v>
      </c>
      <c r="F31" s="80"/>
      <c r="G31" s="81">
        <v>250</v>
      </c>
      <c r="H31" s="81">
        <v>3927500</v>
      </c>
      <c r="J31" s="222">
        <v>970000</v>
      </c>
      <c r="K31" s="86"/>
      <c r="L31" s="69"/>
      <c r="M31" s="69"/>
      <c r="N31" s="69"/>
      <c r="O31" s="142">
        <f t="shared" si="0"/>
        <v>4897500</v>
      </c>
      <c r="P31" s="145">
        <v>3700000</v>
      </c>
      <c r="Q31" s="176">
        <f t="shared" si="1"/>
        <v>-1197500</v>
      </c>
      <c r="R31" s="195"/>
      <c r="S31" s="195"/>
    </row>
    <row r="32" spans="1:19" ht="20.100000000000001" customHeight="1" x14ac:dyDescent="0.25">
      <c r="A32" s="75">
        <v>25</v>
      </c>
      <c r="B32" s="133">
        <v>43187</v>
      </c>
      <c r="C32" s="135" t="s">
        <v>1688</v>
      </c>
      <c r="D32" s="136" t="s">
        <v>1713</v>
      </c>
      <c r="E32" s="78" t="s">
        <v>189</v>
      </c>
      <c r="F32" s="80"/>
      <c r="G32" s="81"/>
      <c r="H32" s="81"/>
      <c r="J32" s="222">
        <f>2070000+180000</f>
        <v>2250000</v>
      </c>
      <c r="K32" s="86"/>
      <c r="L32" s="69"/>
      <c r="M32" s="69"/>
      <c r="N32" s="69"/>
      <c r="O32" s="142">
        <f t="shared" si="0"/>
        <v>2250000</v>
      </c>
      <c r="P32" s="145">
        <v>9090909</v>
      </c>
      <c r="Q32" s="176">
        <f t="shared" si="1"/>
        <v>6840909</v>
      </c>
      <c r="R32" s="195"/>
      <c r="S32" s="195"/>
    </row>
    <row r="33" spans="1:19" ht="20.100000000000001" customHeight="1" x14ac:dyDescent="0.25">
      <c r="A33" s="75">
        <v>26</v>
      </c>
      <c r="B33" s="133">
        <v>43188</v>
      </c>
      <c r="C33" s="135" t="s">
        <v>1689</v>
      </c>
      <c r="D33" s="136" t="s">
        <v>1714</v>
      </c>
      <c r="E33" s="78" t="s">
        <v>635</v>
      </c>
      <c r="F33" s="80"/>
      <c r="G33" s="81"/>
      <c r="H33" s="81"/>
      <c r="J33" s="222">
        <v>1250000</v>
      </c>
      <c r="K33" s="86"/>
      <c r="L33" s="69"/>
      <c r="M33" s="69"/>
      <c r="N33" s="69"/>
      <c r="O33" s="142">
        <f t="shared" si="0"/>
        <v>1250000</v>
      </c>
      <c r="P33" s="145">
        <v>4800000</v>
      </c>
      <c r="Q33" s="176">
        <f t="shared" si="1"/>
        <v>3550000</v>
      </c>
      <c r="R33" s="195"/>
      <c r="S33" s="195"/>
    </row>
    <row r="34" spans="1:19" ht="20.100000000000001" customHeight="1" x14ac:dyDescent="0.25">
      <c r="A34" s="75">
        <v>27</v>
      </c>
      <c r="B34" s="133">
        <v>43189</v>
      </c>
      <c r="C34" s="135" t="s">
        <v>1690</v>
      </c>
      <c r="D34" s="136" t="s">
        <v>1715</v>
      </c>
      <c r="E34" s="78" t="s">
        <v>635</v>
      </c>
      <c r="F34" s="80"/>
      <c r="G34" s="81">
        <v>280</v>
      </c>
      <c r="H34" s="81">
        <v>4398800</v>
      </c>
      <c r="J34" s="222">
        <v>1250000</v>
      </c>
      <c r="K34" s="86"/>
      <c r="L34" s="69"/>
      <c r="M34" s="69"/>
      <c r="N34" s="69"/>
      <c r="O34" s="142">
        <f t="shared" si="0"/>
        <v>5648800</v>
      </c>
      <c r="P34" s="145">
        <v>4800000</v>
      </c>
      <c r="Q34" s="176">
        <f t="shared" si="1"/>
        <v>-848800</v>
      </c>
      <c r="R34" s="195"/>
      <c r="S34" s="195"/>
    </row>
    <row r="35" spans="1:19" ht="18" customHeight="1" x14ac:dyDescent="0.25">
      <c r="A35" s="75"/>
      <c r="B35" s="133"/>
      <c r="C35" s="183" t="s">
        <v>1553</v>
      </c>
      <c r="D35" s="162"/>
      <c r="E35" s="153"/>
      <c r="F35" s="163"/>
      <c r="G35" s="232">
        <v>230</v>
      </c>
      <c r="H35" s="233">
        <f>G35*15710</f>
        <v>3613300</v>
      </c>
      <c r="I35" s="165"/>
      <c r="J35" s="166"/>
      <c r="K35" s="86"/>
      <c r="L35" s="156">
        <v>180000</v>
      </c>
      <c r="M35" s="166"/>
      <c r="N35" s="112"/>
      <c r="O35" s="142">
        <f t="shared" si="0"/>
        <v>3793300</v>
      </c>
      <c r="P35" s="68"/>
      <c r="Q35" s="176">
        <f t="shared" si="1"/>
        <v>-3793300</v>
      </c>
    </row>
    <row r="36" spans="1:19" ht="28.5" customHeight="1" x14ac:dyDescent="0.25">
      <c r="A36" s="75"/>
      <c r="B36" s="133"/>
      <c r="C36" s="183" t="s">
        <v>1723</v>
      </c>
      <c r="D36" s="162"/>
      <c r="E36" s="153"/>
      <c r="F36" s="163"/>
      <c r="G36" s="164"/>
      <c r="H36" s="155"/>
      <c r="I36" s="165"/>
      <c r="J36" s="166"/>
      <c r="K36" s="86"/>
      <c r="L36" s="156">
        <v>2150000</v>
      </c>
      <c r="M36" s="113"/>
      <c r="N36" s="112"/>
      <c r="O36" s="142">
        <f t="shared" si="0"/>
        <v>2150000</v>
      </c>
      <c r="P36" s="68"/>
      <c r="Q36" s="176">
        <f t="shared" si="1"/>
        <v>-2150000</v>
      </c>
    </row>
    <row r="37" spans="1:19" ht="30" customHeight="1" x14ac:dyDescent="0.25">
      <c r="A37" s="75"/>
      <c r="B37" s="133"/>
      <c r="C37" s="183" t="s">
        <v>1724</v>
      </c>
      <c r="D37" s="162"/>
      <c r="E37" s="153"/>
      <c r="F37" s="163"/>
      <c r="G37" s="164"/>
      <c r="H37" s="155"/>
      <c r="I37" s="165"/>
      <c r="J37" s="166"/>
      <c r="K37" s="86"/>
      <c r="L37" s="156">
        <v>200000</v>
      </c>
      <c r="M37" s="113"/>
      <c r="N37" s="112"/>
      <c r="O37" s="142">
        <f t="shared" si="0"/>
        <v>200000</v>
      </c>
      <c r="P37" s="68"/>
      <c r="Q37" s="176">
        <f t="shared" si="1"/>
        <v>-200000</v>
      </c>
    </row>
    <row r="38" spans="1:19" ht="42" customHeight="1" x14ac:dyDescent="0.25">
      <c r="A38" s="75"/>
      <c r="B38" s="133"/>
      <c r="C38" s="183" t="s">
        <v>1725</v>
      </c>
      <c r="D38" s="162"/>
      <c r="E38" s="153"/>
      <c r="F38" s="163"/>
      <c r="G38" s="164"/>
      <c r="H38" s="155"/>
      <c r="I38" s="165"/>
      <c r="J38" s="166"/>
      <c r="K38" s="86"/>
      <c r="L38" s="156">
        <v>800000</v>
      </c>
      <c r="M38" s="113"/>
      <c r="N38" s="112"/>
      <c r="O38" s="142">
        <f t="shared" si="0"/>
        <v>800000</v>
      </c>
      <c r="P38" s="68"/>
      <c r="Q38" s="176">
        <f t="shared" si="1"/>
        <v>-800000</v>
      </c>
    </row>
    <row r="39" spans="1:19" ht="42" customHeight="1" x14ac:dyDescent="0.25">
      <c r="A39" s="75"/>
      <c r="B39" s="133"/>
      <c r="C39" s="183" t="s">
        <v>1726</v>
      </c>
      <c r="D39" s="162"/>
      <c r="E39" s="153"/>
      <c r="F39" s="163"/>
      <c r="G39" s="164"/>
      <c r="H39" s="155"/>
      <c r="I39" s="165"/>
      <c r="J39" s="166"/>
      <c r="K39" s="86"/>
      <c r="L39" s="156">
        <v>1370000</v>
      </c>
      <c r="M39" s="113"/>
      <c r="N39" s="112"/>
      <c r="O39" s="142">
        <f t="shared" si="0"/>
        <v>1370000</v>
      </c>
      <c r="P39" s="68"/>
      <c r="Q39" s="176">
        <f t="shared" si="1"/>
        <v>-1370000</v>
      </c>
    </row>
    <row r="40" spans="1:19" ht="42" customHeight="1" x14ac:dyDescent="0.25">
      <c r="A40" s="75"/>
      <c r="B40" s="133"/>
      <c r="C40" s="183" t="s">
        <v>1727</v>
      </c>
      <c r="D40" s="162"/>
      <c r="E40" s="153"/>
      <c r="F40" s="163"/>
      <c r="G40" s="164"/>
      <c r="H40" s="155"/>
      <c r="I40" s="165"/>
      <c r="J40" s="166"/>
      <c r="K40" s="86"/>
      <c r="L40" s="156">
        <v>1400000</v>
      </c>
      <c r="M40" s="113"/>
      <c r="N40" s="112"/>
      <c r="O40" s="142">
        <f t="shared" si="0"/>
        <v>1400000</v>
      </c>
      <c r="P40" s="68"/>
      <c r="Q40" s="176">
        <f t="shared" si="1"/>
        <v>-1400000</v>
      </c>
    </row>
    <row r="41" spans="1:19" ht="42" customHeight="1" x14ac:dyDescent="0.25">
      <c r="A41" s="75"/>
      <c r="B41" s="133"/>
      <c r="C41" s="183" t="s">
        <v>1728</v>
      </c>
      <c r="D41" s="162"/>
      <c r="E41" s="153"/>
      <c r="F41" s="163"/>
      <c r="G41" s="164"/>
      <c r="H41" s="155"/>
      <c r="I41" s="165"/>
      <c r="J41" s="166"/>
      <c r="K41" s="86"/>
      <c r="L41" s="156">
        <v>350000</v>
      </c>
      <c r="M41" s="113"/>
      <c r="N41" s="112"/>
      <c r="O41" s="142">
        <f t="shared" si="0"/>
        <v>350000</v>
      </c>
      <c r="P41" s="68"/>
      <c r="Q41" s="176">
        <f t="shared" si="1"/>
        <v>-350000</v>
      </c>
    </row>
    <row r="42" spans="1:19" ht="42" customHeight="1" x14ac:dyDescent="0.25">
      <c r="A42" s="75"/>
      <c r="B42" s="133"/>
      <c r="C42" s="183" t="s">
        <v>1729</v>
      </c>
      <c r="D42" s="162"/>
      <c r="E42" s="153"/>
      <c r="F42" s="163"/>
      <c r="G42" s="164"/>
      <c r="H42" s="155"/>
      <c r="I42" s="165"/>
      <c r="J42" s="166"/>
      <c r="K42" s="86"/>
      <c r="L42" s="156">
        <v>550000</v>
      </c>
      <c r="M42" s="113"/>
      <c r="N42" s="112"/>
      <c r="O42" s="142">
        <f t="shared" si="0"/>
        <v>550000</v>
      </c>
      <c r="P42" s="68"/>
      <c r="Q42" s="176">
        <f t="shared" si="1"/>
        <v>-550000</v>
      </c>
    </row>
    <row r="43" spans="1:19" ht="18" customHeight="1" x14ac:dyDescent="0.25">
      <c r="A43" s="75"/>
      <c r="B43" s="133"/>
      <c r="C43" s="170" t="s">
        <v>1273</v>
      </c>
      <c r="D43" s="162"/>
      <c r="E43" s="153"/>
      <c r="F43" s="163"/>
      <c r="G43" s="164"/>
      <c r="H43" s="155"/>
      <c r="I43" s="165"/>
      <c r="J43" s="166"/>
      <c r="K43" s="86"/>
      <c r="L43" s="156">
        <v>1320000</v>
      </c>
      <c r="M43" s="112"/>
      <c r="N43" s="112"/>
      <c r="O43" s="142">
        <f t="shared" si="0"/>
        <v>1320000</v>
      </c>
      <c r="P43" s="68"/>
      <c r="Q43" s="176">
        <f t="shared" si="1"/>
        <v>-1320000</v>
      </c>
    </row>
    <row r="44" spans="1:19" ht="18" customHeight="1" x14ac:dyDescent="0.25">
      <c r="A44" s="134"/>
      <c r="B44" s="70"/>
      <c r="C44" s="108" t="s">
        <v>1386</v>
      </c>
      <c r="D44" s="87"/>
      <c r="E44" s="70"/>
      <c r="F44" s="110"/>
      <c r="G44" s="70"/>
      <c r="H44" s="111"/>
      <c r="I44" s="111"/>
      <c r="J44" s="112"/>
      <c r="K44" s="113">
        <v>9692308</v>
      </c>
      <c r="L44" s="141"/>
      <c r="M44" s="112"/>
      <c r="N44" s="112"/>
      <c r="O44" s="142">
        <f t="shared" si="0"/>
        <v>9692308</v>
      </c>
      <c r="P44" s="144"/>
      <c r="Q44" s="176">
        <f t="shared" si="1"/>
        <v>-9692308</v>
      </c>
    </row>
    <row r="45" spans="1:19" x14ac:dyDescent="0.25">
      <c r="A45" s="547" t="s">
        <v>19</v>
      </c>
      <c r="B45" s="548"/>
      <c r="C45" s="548"/>
      <c r="D45" s="548"/>
      <c r="E45" s="548"/>
      <c r="F45" s="549"/>
      <c r="G45" s="89">
        <f t="shared" ref="G45:O45" si="2">SUM(G7:G44)</f>
        <v>3120</v>
      </c>
      <c r="H45" s="71">
        <f t="shared" si="2"/>
        <v>49015200</v>
      </c>
      <c r="I45" s="71">
        <f t="shared" si="2"/>
        <v>0</v>
      </c>
      <c r="J45" s="71">
        <f t="shared" si="2"/>
        <v>33120000</v>
      </c>
      <c r="K45" s="71">
        <f t="shared" si="2"/>
        <v>9692308</v>
      </c>
      <c r="L45" s="71">
        <f>SUM(L7:L44)</f>
        <v>8320000</v>
      </c>
      <c r="M45" s="71">
        <f t="shared" si="2"/>
        <v>0</v>
      </c>
      <c r="N45" s="71">
        <f t="shared" si="2"/>
        <v>0</v>
      </c>
      <c r="O45" s="71">
        <f t="shared" si="2"/>
        <v>100147508</v>
      </c>
      <c r="P45" s="71">
        <f>SUM(P7:P44)</f>
        <v>133540909</v>
      </c>
      <c r="Q45" s="71">
        <f>SUM(Q7:Q44)</f>
        <v>33393401</v>
      </c>
      <c r="R45" s="195"/>
      <c r="S45" s="195"/>
    </row>
    <row r="46" spans="1:19" x14ac:dyDescent="0.25">
      <c r="P46" s="195"/>
      <c r="Q46" s="202"/>
    </row>
    <row r="47" spans="1:19" x14ac:dyDescent="0.25">
      <c r="P47" s="229" t="s">
        <v>1225</v>
      </c>
      <c r="Q47" s="230">
        <f>'02-2018'!Q35+'03-2018'!Q45</f>
        <v>73356628</v>
      </c>
    </row>
    <row r="48" spans="1:19" x14ac:dyDescent="0.25">
      <c r="Q48" s="195"/>
    </row>
  </sheetData>
  <mergeCells count="5">
    <mergeCell ref="A1:Q1"/>
    <mergeCell ref="A2:Q2"/>
    <mergeCell ref="A3:Q3"/>
    <mergeCell ref="G5:N5"/>
    <mergeCell ref="A45:F45"/>
  </mergeCells>
  <pageMargins left="0.7" right="0.7" top="0.75" bottom="0.75" header="0.3" footer="0.3"/>
  <pageSetup paperSize="9" orientation="portrait" horizontalDpi="180" verticalDpi="18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T49"/>
  <sheetViews>
    <sheetView topLeftCell="C40" workbookViewId="0">
      <selection activeCell="G45" sqref="G45"/>
    </sheetView>
  </sheetViews>
  <sheetFormatPr defaultRowHeight="15" x14ac:dyDescent="0.25"/>
  <cols>
    <col min="1" max="1" width="4.5703125" customWidth="1"/>
    <col min="3" max="3" width="41.28515625" customWidth="1"/>
    <col min="4" max="4" width="16.5703125" customWidth="1"/>
    <col min="5" max="5" width="33.140625" customWidth="1"/>
    <col min="15" max="15" width="11.140625" customWidth="1"/>
    <col min="16" max="16" width="10.7109375" customWidth="1"/>
    <col min="17" max="17" width="12.28515625" customWidth="1"/>
    <col min="18" max="18" width="11.7109375" customWidth="1"/>
    <col min="19" max="19" width="9.85546875" bestFit="1"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1730</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74"/>
      <c r="H4" s="72"/>
      <c r="I4" s="74"/>
      <c r="J4" s="72"/>
      <c r="K4" s="72"/>
      <c r="L4" s="72"/>
      <c r="M4" s="72"/>
      <c r="N4" s="72"/>
      <c r="O4" s="72"/>
      <c r="P4" s="72"/>
      <c r="Q4" s="72"/>
    </row>
    <row r="5" spans="1:20" ht="25.5" x14ac:dyDescent="0.25">
      <c r="A5" s="177" t="s">
        <v>1</v>
      </c>
      <c r="B5" s="178" t="s">
        <v>2</v>
      </c>
      <c r="C5" s="177" t="s">
        <v>3</v>
      </c>
      <c r="D5" s="177" t="s">
        <v>5</v>
      </c>
      <c r="E5" s="174" t="s">
        <v>4</v>
      </c>
      <c r="F5" s="174" t="s">
        <v>17</v>
      </c>
      <c r="G5" s="552" t="s">
        <v>6</v>
      </c>
      <c r="H5" s="553"/>
      <c r="I5" s="553"/>
      <c r="J5" s="553"/>
      <c r="K5" s="553"/>
      <c r="L5" s="553"/>
      <c r="M5" s="553"/>
      <c r="N5" s="554"/>
      <c r="O5" s="127" t="s">
        <v>18</v>
      </c>
      <c r="P5" s="127" t="s">
        <v>13</v>
      </c>
      <c r="Q5" s="127" t="s">
        <v>14</v>
      </c>
    </row>
    <row r="6" spans="1:20" x14ac:dyDescent="0.25">
      <c r="A6" s="179"/>
      <c r="B6" s="180"/>
      <c r="C6" s="179"/>
      <c r="D6" s="179"/>
      <c r="E6" s="175"/>
      <c r="F6" s="175"/>
      <c r="G6" s="6" t="s">
        <v>7</v>
      </c>
      <c r="H6" s="7" t="s">
        <v>15</v>
      </c>
      <c r="I6" s="6" t="s">
        <v>16</v>
      </c>
      <c r="J6" s="7" t="s">
        <v>8</v>
      </c>
      <c r="K6" s="7" t="s">
        <v>9</v>
      </c>
      <c r="L6" s="7" t="s">
        <v>10</v>
      </c>
      <c r="M6" s="7" t="s">
        <v>11</v>
      </c>
      <c r="N6" s="7" t="s">
        <v>12</v>
      </c>
      <c r="O6" s="181"/>
      <c r="P6" s="181"/>
      <c r="Q6" s="181"/>
    </row>
    <row r="7" spans="1:20" x14ac:dyDescent="0.25">
      <c r="A7" s="75"/>
      <c r="B7" s="100"/>
      <c r="C7" s="88"/>
      <c r="D7" s="88"/>
      <c r="E7" s="134"/>
      <c r="F7" s="75"/>
      <c r="G7" s="77"/>
      <c r="H7" s="68"/>
      <c r="I7" s="75"/>
      <c r="J7" s="68"/>
      <c r="K7" s="68"/>
      <c r="L7" s="68"/>
      <c r="M7" s="68"/>
      <c r="N7" s="68"/>
      <c r="O7" s="68">
        <f>H7+J7+K7+L7+M7+N7</f>
        <v>0</v>
      </c>
      <c r="P7" s="144"/>
      <c r="Q7" s="68">
        <f>P7-O7</f>
        <v>0</v>
      </c>
    </row>
    <row r="8" spans="1:20" ht="20.100000000000001" customHeight="1" x14ac:dyDescent="0.25">
      <c r="A8" s="75">
        <v>1</v>
      </c>
      <c r="B8" s="133">
        <v>43192</v>
      </c>
      <c r="C8" s="135" t="s">
        <v>1731</v>
      </c>
      <c r="D8" s="136" t="s">
        <v>1747</v>
      </c>
      <c r="E8" s="78" t="s">
        <v>1767</v>
      </c>
      <c r="F8" s="80"/>
      <c r="G8" s="81"/>
      <c r="H8" s="81"/>
      <c r="J8" s="222">
        <v>1420000</v>
      </c>
      <c r="K8" s="86"/>
      <c r="L8" s="69"/>
      <c r="M8" s="69"/>
      <c r="N8" s="69"/>
      <c r="O8" s="142">
        <f>H8+J8+K8+L8+M8+N8</f>
        <v>1420000</v>
      </c>
      <c r="P8" s="145">
        <v>5200000</v>
      </c>
      <c r="Q8" s="176">
        <f>P8-O8</f>
        <v>3780000</v>
      </c>
      <c r="R8" s="195"/>
      <c r="S8" s="195"/>
      <c r="T8" s="195"/>
    </row>
    <row r="9" spans="1:20" ht="20.100000000000001" customHeight="1" x14ac:dyDescent="0.25">
      <c r="A9" s="75">
        <v>2</v>
      </c>
      <c r="B9" s="133">
        <v>43192</v>
      </c>
      <c r="C9" s="135" t="s">
        <v>1037</v>
      </c>
      <c r="D9" s="136" t="s">
        <v>1748</v>
      </c>
      <c r="E9" s="78" t="s">
        <v>635</v>
      </c>
      <c r="F9" s="80"/>
      <c r="G9" s="81"/>
      <c r="H9" s="81"/>
      <c r="J9" s="223">
        <v>1250000</v>
      </c>
      <c r="K9" s="86"/>
      <c r="L9" s="69"/>
      <c r="M9" s="69"/>
      <c r="N9" s="69"/>
      <c r="O9" s="142">
        <f t="shared" ref="O9:O44" si="0">H9+J9+K9+L9+M9+N9</f>
        <v>1250000</v>
      </c>
      <c r="P9" s="145">
        <v>4800000</v>
      </c>
      <c r="Q9" s="176">
        <f t="shared" ref="Q9:Q44" si="1">P9-O9</f>
        <v>3550000</v>
      </c>
      <c r="R9" s="195"/>
      <c r="S9" s="195"/>
      <c r="T9" s="195"/>
    </row>
    <row r="10" spans="1:20" ht="20.100000000000001" customHeight="1" x14ac:dyDescent="0.25">
      <c r="A10" s="75">
        <v>3</v>
      </c>
      <c r="B10" s="133">
        <v>43193</v>
      </c>
      <c r="C10" s="135" t="s">
        <v>1732</v>
      </c>
      <c r="D10" s="136" t="s">
        <v>1749</v>
      </c>
      <c r="E10" s="78" t="s">
        <v>1540</v>
      </c>
      <c r="F10" s="80"/>
      <c r="G10" s="81"/>
      <c r="H10" s="81"/>
      <c r="J10" s="222">
        <v>810000</v>
      </c>
      <c r="K10" s="86"/>
      <c r="L10" s="69"/>
      <c r="M10" s="69"/>
      <c r="N10" s="69"/>
      <c r="O10" s="142">
        <f t="shared" si="0"/>
        <v>810000</v>
      </c>
      <c r="P10" s="145">
        <v>4318182</v>
      </c>
      <c r="Q10" s="176">
        <f t="shared" si="1"/>
        <v>3508182</v>
      </c>
      <c r="R10" s="195"/>
      <c r="S10" s="195"/>
      <c r="T10" s="195"/>
    </row>
    <row r="11" spans="1:20" ht="20.100000000000001" customHeight="1" x14ac:dyDescent="0.25">
      <c r="A11" s="75">
        <v>4</v>
      </c>
      <c r="B11" s="133">
        <v>43194</v>
      </c>
      <c r="C11" s="135" t="s">
        <v>1733</v>
      </c>
      <c r="D11" s="136" t="s">
        <v>1750</v>
      </c>
      <c r="E11" s="78" t="s">
        <v>1212</v>
      </c>
      <c r="F11" s="80"/>
      <c r="G11" s="130" t="s">
        <v>1770</v>
      </c>
      <c r="H11" s="81">
        <f>4194570+95000</f>
        <v>4289570</v>
      </c>
      <c r="J11" s="222">
        <f>2560000+300000-120000</f>
        <v>2740000</v>
      </c>
      <c r="K11" s="86"/>
      <c r="L11" s="69"/>
      <c r="M11" s="69"/>
      <c r="N11" s="69"/>
      <c r="O11" s="142">
        <f t="shared" si="0"/>
        <v>7029570</v>
      </c>
      <c r="P11" s="145">
        <v>14090909</v>
      </c>
      <c r="Q11" s="176">
        <f t="shared" si="1"/>
        <v>7061339</v>
      </c>
      <c r="R11" s="195"/>
      <c r="S11" s="195"/>
      <c r="T11" s="195"/>
    </row>
    <row r="12" spans="1:20" ht="20.100000000000001" customHeight="1" x14ac:dyDescent="0.25">
      <c r="A12" s="75">
        <v>5</v>
      </c>
      <c r="B12" s="133">
        <v>43196</v>
      </c>
      <c r="C12" s="135" t="s">
        <v>1734</v>
      </c>
      <c r="D12" s="136" t="s">
        <v>1751</v>
      </c>
      <c r="E12" s="78" t="s">
        <v>21</v>
      </c>
      <c r="F12" s="80"/>
      <c r="G12" s="81">
        <v>300</v>
      </c>
      <c r="H12" s="81">
        <v>4713000</v>
      </c>
      <c r="J12" s="222">
        <f>2920000-180000</f>
        <v>2740000</v>
      </c>
      <c r="K12" s="86"/>
      <c r="L12" s="69"/>
      <c r="M12" s="69"/>
      <c r="N12" s="69"/>
      <c r="O12" s="142">
        <f t="shared" si="0"/>
        <v>7453000</v>
      </c>
      <c r="P12" s="145">
        <v>12181818</v>
      </c>
      <c r="Q12" s="176">
        <f t="shared" si="1"/>
        <v>4728818</v>
      </c>
      <c r="R12" s="195"/>
      <c r="S12" s="195"/>
      <c r="T12" s="195"/>
    </row>
    <row r="13" spans="1:20" ht="20.100000000000001" customHeight="1" x14ac:dyDescent="0.25">
      <c r="A13" s="75">
        <v>6</v>
      </c>
      <c r="B13" s="133">
        <v>43199</v>
      </c>
      <c r="C13" s="135" t="s">
        <v>1735</v>
      </c>
      <c r="D13" s="136" t="s">
        <v>1752</v>
      </c>
      <c r="E13" s="78" t="s">
        <v>1020</v>
      </c>
      <c r="F13" s="80"/>
      <c r="G13" s="81"/>
      <c r="H13" s="81"/>
      <c r="J13" s="222">
        <f>790000-180000</f>
        <v>610000</v>
      </c>
      <c r="K13" s="86"/>
      <c r="L13" s="69"/>
      <c r="M13" s="69"/>
      <c r="N13" s="69"/>
      <c r="O13" s="142">
        <f t="shared" si="0"/>
        <v>610000</v>
      </c>
      <c r="P13" s="145">
        <v>4009091</v>
      </c>
      <c r="Q13" s="176">
        <f t="shared" si="1"/>
        <v>3399091</v>
      </c>
      <c r="R13" s="195"/>
      <c r="S13" s="195"/>
      <c r="T13" s="195"/>
    </row>
    <row r="14" spans="1:20" ht="20.100000000000001" customHeight="1" x14ac:dyDescent="0.25">
      <c r="A14" s="75">
        <v>7</v>
      </c>
      <c r="B14" s="133">
        <v>43199</v>
      </c>
      <c r="C14" s="135" t="s">
        <v>1736</v>
      </c>
      <c r="D14" s="136" t="s">
        <v>1753</v>
      </c>
      <c r="E14" s="78" t="s">
        <v>21</v>
      </c>
      <c r="F14" s="80"/>
      <c r="G14" s="81">
        <v>340</v>
      </c>
      <c r="H14" s="81">
        <v>5559000</v>
      </c>
      <c r="J14" s="222">
        <v>2740000</v>
      </c>
      <c r="K14" s="86"/>
      <c r="L14" s="69"/>
      <c r="M14" s="69"/>
      <c r="N14" s="69"/>
      <c r="O14" s="142">
        <f t="shared" si="0"/>
        <v>8299000</v>
      </c>
      <c r="P14" s="145">
        <v>12181818</v>
      </c>
      <c r="Q14" s="176">
        <f t="shared" si="1"/>
        <v>3882818</v>
      </c>
      <c r="R14" s="195"/>
      <c r="S14" s="195"/>
      <c r="T14" s="195"/>
    </row>
    <row r="15" spans="1:20" ht="20.100000000000001" customHeight="1" x14ac:dyDescent="0.25">
      <c r="A15" s="75">
        <v>8</v>
      </c>
      <c r="B15" s="133">
        <v>43201</v>
      </c>
      <c r="C15" s="135" t="s">
        <v>1737</v>
      </c>
      <c r="D15" s="136" t="s">
        <v>1754</v>
      </c>
      <c r="E15" s="78" t="s">
        <v>21</v>
      </c>
      <c r="F15" s="80"/>
      <c r="G15" s="81">
        <v>230</v>
      </c>
      <c r="H15" s="81">
        <v>3760500</v>
      </c>
      <c r="J15" s="222">
        <v>2740000</v>
      </c>
      <c r="K15" s="86"/>
      <c r="L15" s="69"/>
      <c r="M15" s="69"/>
      <c r="N15" s="69"/>
      <c r="O15" s="142">
        <f t="shared" si="0"/>
        <v>6500500</v>
      </c>
      <c r="P15" s="145">
        <v>12181818</v>
      </c>
      <c r="Q15" s="176">
        <f t="shared" si="1"/>
        <v>5681318</v>
      </c>
      <c r="R15" s="195"/>
      <c r="S15" s="195"/>
      <c r="T15" s="195"/>
    </row>
    <row r="16" spans="1:20" ht="20.100000000000001" customHeight="1" x14ac:dyDescent="0.25">
      <c r="A16" s="75">
        <v>9</v>
      </c>
      <c r="B16" s="133">
        <v>43202</v>
      </c>
      <c r="C16" s="135" t="s">
        <v>1738</v>
      </c>
      <c r="D16" s="136" t="s">
        <v>1755</v>
      </c>
      <c r="E16" s="78" t="s">
        <v>21</v>
      </c>
      <c r="F16" s="80"/>
      <c r="G16" s="81">
        <v>240</v>
      </c>
      <c r="H16" s="81">
        <v>3924000</v>
      </c>
      <c r="J16" s="222">
        <v>2740000</v>
      </c>
      <c r="K16" s="86"/>
      <c r="L16" s="69"/>
      <c r="M16" s="69"/>
      <c r="N16" s="69"/>
      <c r="O16" s="142">
        <f t="shared" si="0"/>
        <v>6664000</v>
      </c>
      <c r="P16" s="145">
        <v>12181818</v>
      </c>
      <c r="Q16" s="176">
        <f t="shared" si="1"/>
        <v>5517818</v>
      </c>
      <c r="R16" s="195"/>
      <c r="S16" s="195"/>
      <c r="T16" s="195"/>
    </row>
    <row r="17" spans="1:20" ht="20.100000000000001" customHeight="1" x14ac:dyDescent="0.25">
      <c r="A17" s="75">
        <v>10</v>
      </c>
      <c r="B17" s="133">
        <v>43206</v>
      </c>
      <c r="C17" s="135" t="s">
        <v>1739</v>
      </c>
      <c r="D17" s="136" t="s">
        <v>1756</v>
      </c>
      <c r="E17" s="78" t="s">
        <v>1717</v>
      </c>
      <c r="F17" s="80"/>
      <c r="G17" s="81"/>
      <c r="H17" s="81"/>
      <c r="J17" s="222">
        <v>810000</v>
      </c>
      <c r="K17" s="86"/>
      <c r="L17" s="69"/>
      <c r="M17" s="69"/>
      <c r="N17" s="69"/>
      <c r="O17" s="142">
        <f t="shared" si="0"/>
        <v>810000</v>
      </c>
      <c r="P17" s="145">
        <v>4400000</v>
      </c>
      <c r="Q17" s="176">
        <f t="shared" si="1"/>
        <v>3590000</v>
      </c>
      <c r="R17" s="195"/>
      <c r="S17" s="195"/>
      <c r="T17" s="195"/>
    </row>
    <row r="18" spans="1:20" ht="20.100000000000001" customHeight="1" x14ac:dyDescent="0.25">
      <c r="A18" s="75">
        <v>11</v>
      </c>
      <c r="B18" s="133">
        <v>43207</v>
      </c>
      <c r="C18" s="135" t="s">
        <v>1047</v>
      </c>
      <c r="D18" s="136" t="s">
        <v>1757</v>
      </c>
      <c r="E18" s="78" t="s">
        <v>189</v>
      </c>
      <c r="F18" s="80"/>
      <c r="G18" s="81">
        <v>350</v>
      </c>
      <c r="H18" s="81">
        <v>5722500</v>
      </c>
      <c r="J18" s="222">
        <f>2070000-180000+360000</f>
        <v>2250000</v>
      </c>
      <c r="K18" s="86"/>
      <c r="L18" s="69"/>
      <c r="M18" s="69"/>
      <c r="N18" s="69"/>
      <c r="O18" s="142">
        <f t="shared" si="0"/>
        <v>7972500</v>
      </c>
      <c r="P18" s="145">
        <v>9090909</v>
      </c>
      <c r="Q18" s="176">
        <f t="shared" si="1"/>
        <v>1118409</v>
      </c>
      <c r="R18" s="195"/>
      <c r="S18" s="195"/>
      <c r="T18" s="195"/>
    </row>
    <row r="19" spans="1:20" ht="20.100000000000001" customHeight="1" x14ac:dyDescent="0.25">
      <c r="A19" s="75">
        <v>12</v>
      </c>
      <c r="B19" s="133">
        <v>43208</v>
      </c>
      <c r="C19" s="135" t="s">
        <v>1740</v>
      </c>
      <c r="D19" s="136" t="s">
        <v>1758</v>
      </c>
      <c r="E19" s="78" t="s">
        <v>21</v>
      </c>
      <c r="F19" s="80"/>
      <c r="G19" s="81">
        <v>190</v>
      </c>
      <c r="H19" s="81">
        <v>3100800</v>
      </c>
      <c r="J19" s="222">
        <f>2920000-180000</f>
        <v>2740000</v>
      </c>
      <c r="K19" s="86"/>
      <c r="L19" s="69"/>
      <c r="M19" s="69"/>
      <c r="N19" s="69"/>
      <c r="O19" s="142">
        <f t="shared" si="0"/>
        <v>5840800</v>
      </c>
      <c r="P19" s="145">
        <v>12181818</v>
      </c>
      <c r="Q19" s="176">
        <f t="shared" si="1"/>
        <v>6341018</v>
      </c>
      <c r="R19" s="195"/>
      <c r="S19" s="195"/>
      <c r="T19" s="195"/>
    </row>
    <row r="20" spans="1:20" ht="20.100000000000001" customHeight="1" x14ac:dyDescent="0.25">
      <c r="A20" s="75">
        <v>13</v>
      </c>
      <c r="B20" s="133">
        <v>43209</v>
      </c>
      <c r="C20" s="135" t="s">
        <v>1741</v>
      </c>
      <c r="D20" s="136" t="s">
        <v>1759</v>
      </c>
      <c r="E20" s="78" t="s">
        <v>635</v>
      </c>
      <c r="F20" s="80"/>
      <c r="G20" s="81">
        <v>350</v>
      </c>
      <c r="H20" s="81">
        <v>5722500</v>
      </c>
      <c r="J20" s="222">
        <v>1250000</v>
      </c>
      <c r="K20" s="86"/>
      <c r="L20" s="69"/>
      <c r="M20" s="69"/>
      <c r="N20" s="69"/>
      <c r="O20" s="142">
        <f t="shared" si="0"/>
        <v>6972500</v>
      </c>
      <c r="P20" s="145">
        <v>4800000</v>
      </c>
      <c r="Q20" s="176">
        <f t="shared" si="1"/>
        <v>-2172500</v>
      </c>
      <c r="R20" s="195"/>
      <c r="S20" s="195"/>
      <c r="T20" s="195"/>
    </row>
    <row r="21" spans="1:20" ht="20.100000000000001" customHeight="1" x14ac:dyDescent="0.25">
      <c r="A21" s="75">
        <v>14</v>
      </c>
      <c r="B21" s="133">
        <v>43212</v>
      </c>
      <c r="C21" s="135" t="s">
        <v>1742</v>
      </c>
      <c r="D21" s="136" t="s">
        <v>1760</v>
      </c>
      <c r="E21" s="78" t="s">
        <v>21</v>
      </c>
      <c r="F21" s="80"/>
      <c r="G21" s="81"/>
      <c r="H21" s="81"/>
      <c r="J21" s="222">
        <v>2740000</v>
      </c>
      <c r="K21" s="86"/>
      <c r="L21" s="69"/>
      <c r="M21" s="69"/>
      <c r="N21" s="69"/>
      <c r="O21" s="142">
        <f t="shared" si="0"/>
        <v>2740000</v>
      </c>
      <c r="P21" s="145">
        <v>12181818</v>
      </c>
      <c r="Q21" s="176">
        <f t="shared" si="1"/>
        <v>9441818</v>
      </c>
      <c r="R21" s="195"/>
      <c r="S21" s="195"/>
      <c r="T21" s="195"/>
    </row>
    <row r="22" spans="1:20" ht="20.100000000000001" customHeight="1" x14ac:dyDescent="0.25">
      <c r="A22" s="75">
        <v>15</v>
      </c>
      <c r="B22" s="133">
        <v>43213</v>
      </c>
      <c r="C22" s="135" t="s">
        <v>1743</v>
      </c>
      <c r="D22" s="136" t="s">
        <v>1761</v>
      </c>
      <c r="E22" s="78" t="s">
        <v>1079</v>
      </c>
      <c r="F22" s="80"/>
      <c r="G22" s="81">
        <v>245</v>
      </c>
      <c r="H22" s="81">
        <v>4005750</v>
      </c>
      <c r="J22" s="222">
        <v>970000</v>
      </c>
      <c r="K22" s="86"/>
      <c r="L22" s="69"/>
      <c r="M22" s="69"/>
      <c r="N22" s="69"/>
      <c r="O22" s="142">
        <f t="shared" si="0"/>
        <v>4975750</v>
      </c>
      <c r="P22" s="145">
        <v>4400000</v>
      </c>
      <c r="Q22" s="176">
        <f t="shared" si="1"/>
        <v>-575750</v>
      </c>
      <c r="R22" s="195"/>
      <c r="S22" s="195"/>
      <c r="T22" s="195"/>
    </row>
    <row r="23" spans="1:20" ht="20.100000000000001" customHeight="1" x14ac:dyDescent="0.25">
      <c r="A23" s="75">
        <v>16</v>
      </c>
      <c r="B23" s="133">
        <v>43214</v>
      </c>
      <c r="C23" s="135" t="s">
        <v>306</v>
      </c>
      <c r="D23" s="136" t="s">
        <v>1762</v>
      </c>
      <c r="E23" s="78" t="s">
        <v>1768</v>
      </c>
      <c r="F23" s="80"/>
      <c r="G23" s="81">
        <v>200</v>
      </c>
      <c r="H23" s="81">
        <v>3346000</v>
      </c>
      <c r="J23" s="222">
        <v>790000</v>
      </c>
      <c r="K23" s="86"/>
      <c r="L23" s="69"/>
      <c r="M23" s="69"/>
      <c r="N23" s="69"/>
      <c r="O23" s="142">
        <f t="shared" si="0"/>
        <v>4136000</v>
      </c>
      <c r="P23" s="145">
        <v>3200000</v>
      </c>
      <c r="Q23" s="176">
        <f t="shared" si="1"/>
        <v>-936000</v>
      </c>
      <c r="R23" s="195"/>
      <c r="S23" s="195"/>
      <c r="T23" s="195"/>
    </row>
    <row r="24" spans="1:20" ht="20.100000000000001" customHeight="1" x14ac:dyDescent="0.25">
      <c r="A24" s="75">
        <v>17</v>
      </c>
      <c r="B24" s="133">
        <v>43214</v>
      </c>
      <c r="C24" s="135" t="s">
        <v>1744</v>
      </c>
      <c r="D24" s="136" t="s">
        <v>1763</v>
      </c>
      <c r="E24" s="78" t="s">
        <v>189</v>
      </c>
      <c r="F24" s="80"/>
      <c r="G24" s="81"/>
      <c r="H24" s="81"/>
      <c r="J24" s="222">
        <f>2250000+500000</f>
        <v>2750000</v>
      </c>
      <c r="K24" s="86"/>
      <c r="L24" s="69"/>
      <c r="M24" s="69"/>
      <c r="N24" s="69"/>
      <c r="O24" s="142">
        <f t="shared" si="0"/>
        <v>2750000</v>
      </c>
      <c r="P24" s="145">
        <v>5454545</v>
      </c>
      <c r="Q24" s="176">
        <f t="shared" si="1"/>
        <v>2704545</v>
      </c>
      <c r="R24" s="195"/>
      <c r="S24" s="195"/>
      <c r="T24" s="195"/>
    </row>
    <row r="25" spans="1:20" ht="20.100000000000001" customHeight="1" x14ac:dyDescent="0.25">
      <c r="A25" s="75">
        <v>18</v>
      </c>
      <c r="B25" s="133">
        <v>43214</v>
      </c>
      <c r="C25" s="135" t="s">
        <v>1744</v>
      </c>
      <c r="D25" s="136" t="s">
        <v>1764</v>
      </c>
      <c r="E25" s="78" t="s">
        <v>189</v>
      </c>
      <c r="F25" s="80"/>
      <c r="G25" s="81"/>
      <c r="H25" s="81"/>
      <c r="J25" s="222">
        <v>0</v>
      </c>
      <c r="K25" s="86"/>
      <c r="L25" s="69"/>
      <c r="M25" s="69"/>
      <c r="N25" s="69"/>
      <c r="O25" s="142">
        <f t="shared" si="0"/>
        <v>0</v>
      </c>
      <c r="P25" s="145">
        <v>5454545</v>
      </c>
      <c r="Q25" s="176">
        <f t="shared" si="1"/>
        <v>5454545</v>
      </c>
      <c r="R25" s="195"/>
      <c r="S25" s="195"/>
      <c r="T25" s="195"/>
    </row>
    <row r="26" spans="1:20" ht="20.100000000000001" customHeight="1" x14ac:dyDescent="0.25">
      <c r="A26" s="75">
        <v>19</v>
      </c>
      <c r="B26" s="133">
        <v>43216</v>
      </c>
      <c r="C26" s="135" t="s">
        <v>1745</v>
      </c>
      <c r="D26" s="136" t="s">
        <v>1765</v>
      </c>
      <c r="E26" s="78" t="s">
        <v>1429</v>
      </c>
      <c r="F26" s="80"/>
      <c r="G26" s="81"/>
      <c r="H26" s="81"/>
      <c r="J26" s="222">
        <v>970000</v>
      </c>
      <c r="K26" s="86"/>
      <c r="L26" s="69"/>
      <c r="M26" s="69"/>
      <c r="N26" s="69"/>
      <c r="O26" s="142">
        <f t="shared" si="0"/>
        <v>970000</v>
      </c>
      <c r="P26" s="145">
        <v>3700000</v>
      </c>
      <c r="Q26" s="176">
        <f t="shared" si="1"/>
        <v>2730000</v>
      </c>
      <c r="R26" s="195"/>
      <c r="S26" s="195"/>
      <c r="T26" s="195"/>
    </row>
    <row r="27" spans="1:20" ht="20.100000000000001" customHeight="1" x14ac:dyDescent="0.25">
      <c r="A27" s="75">
        <v>20</v>
      </c>
      <c r="B27" s="133">
        <v>43217</v>
      </c>
      <c r="C27" s="135" t="s">
        <v>1746</v>
      </c>
      <c r="D27" s="136" t="s">
        <v>1766</v>
      </c>
      <c r="E27" s="78" t="s">
        <v>1769</v>
      </c>
      <c r="F27" s="80"/>
      <c r="G27" s="81">
        <v>306</v>
      </c>
      <c r="H27" s="81">
        <v>5119380</v>
      </c>
      <c r="J27" s="222">
        <v>970000</v>
      </c>
      <c r="K27" s="86"/>
      <c r="L27" s="69"/>
      <c r="M27" s="69"/>
      <c r="N27" s="69"/>
      <c r="O27" s="142">
        <f t="shared" si="0"/>
        <v>6089380</v>
      </c>
      <c r="P27" s="145">
        <v>3800000</v>
      </c>
      <c r="Q27" s="176">
        <f t="shared" si="1"/>
        <v>-2289380</v>
      </c>
      <c r="R27" s="195"/>
      <c r="S27" s="195"/>
      <c r="T27" s="195"/>
    </row>
    <row r="28" spans="1:20" ht="18" customHeight="1" x14ac:dyDescent="0.25">
      <c r="A28" s="75"/>
      <c r="B28" s="133"/>
      <c r="C28" s="183" t="s">
        <v>1088</v>
      </c>
      <c r="D28" s="162"/>
      <c r="E28" s="153"/>
      <c r="F28" s="163"/>
      <c r="G28" s="194"/>
      <c r="H28" s="234"/>
      <c r="I28" s="165"/>
      <c r="J28" s="166"/>
      <c r="K28" s="86"/>
      <c r="L28" s="156">
        <v>850000</v>
      </c>
      <c r="M28" s="166"/>
      <c r="N28" s="112"/>
      <c r="O28" s="142">
        <f t="shared" si="0"/>
        <v>850000</v>
      </c>
      <c r="P28" s="68"/>
      <c r="Q28" s="176">
        <f t="shared" si="1"/>
        <v>-850000</v>
      </c>
    </row>
    <row r="29" spans="1:20" ht="18" customHeight="1" x14ac:dyDescent="0.25">
      <c r="A29" s="75"/>
      <c r="B29" s="133"/>
      <c r="C29" s="183" t="s">
        <v>1784</v>
      </c>
      <c r="D29" s="162"/>
      <c r="E29" s="153"/>
      <c r="F29" s="163"/>
      <c r="G29" s="194"/>
      <c r="H29" s="234"/>
      <c r="I29" s="165"/>
      <c r="J29" s="166"/>
      <c r="K29" s="86"/>
      <c r="L29" s="156"/>
      <c r="M29" s="166"/>
      <c r="N29" s="112">
        <f>11500000/4</f>
        <v>2875000</v>
      </c>
      <c r="O29" s="142">
        <f t="shared" si="0"/>
        <v>2875000</v>
      </c>
      <c r="P29" s="68"/>
      <c r="Q29" s="176">
        <f t="shared" si="1"/>
        <v>-2875000</v>
      </c>
    </row>
    <row r="30" spans="1:20" ht="28.5" customHeight="1" x14ac:dyDescent="0.25">
      <c r="A30" s="75"/>
      <c r="B30" s="133"/>
      <c r="C30" s="183" t="s">
        <v>1771</v>
      </c>
      <c r="D30" s="162"/>
      <c r="E30" s="153"/>
      <c r="F30" s="163"/>
      <c r="G30" s="166"/>
      <c r="H30" s="235"/>
      <c r="I30" s="165"/>
      <c r="J30" s="166"/>
      <c r="K30" s="86"/>
      <c r="L30" s="156">
        <f>2508000/2</f>
        <v>1254000</v>
      </c>
      <c r="M30" s="113"/>
      <c r="N30" s="112"/>
      <c r="O30" s="142">
        <f t="shared" si="0"/>
        <v>1254000</v>
      </c>
      <c r="P30" s="68"/>
      <c r="Q30" s="176">
        <f t="shared" si="1"/>
        <v>-1254000</v>
      </c>
    </row>
    <row r="31" spans="1:20" ht="30" customHeight="1" x14ac:dyDescent="0.25">
      <c r="A31" s="75"/>
      <c r="B31" s="133"/>
      <c r="C31" s="183" t="s">
        <v>1772</v>
      </c>
      <c r="D31" s="162"/>
      <c r="E31" s="153"/>
      <c r="F31" s="163"/>
      <c r="G31" s="164"/>
      <c r="H31" s="155"/>
      <c r="I31" s="165"/>
      <c r="J31" s="166"/>
      <c r="K31" s="86"/>
      <c r="L31" s="156">
        <v>300000</v>
      </c>
      <c r="M31" s="113"/>
      <c r="N31" s="112"/>
      <c r="O31" s="142">
        <f t="shared" si="0"/>
        <v>300000</v>
      </c>
      <c r="P31" s="68"/>
      <c r="Q31" s="176">
        <f t="shared" si="1"/>
        <v>-300000</v>
      </c>
    </row>
    <row r="32" spans="1:20" ht="42" customHeight="1" x14ac:dyDescent="0.25">
      <c r="A32" s="75"/>
      <c r="B32" s="133"/>
      <c r="C32" s="183" t="s">
        <v>1773</v>
      </c>
      <c r="D32" s="162"/>
      <c r="E32" s="153"/>
      <c r="F32" s="163"/>
      <c r="G32" s="164"/>
      <c r="H32" s="155"/>
      <c r="I32" s="165"/>
      <c r="J32" s="166"/>
      <c r="K32" s="86"/>
      <c r="L32" s="156">
        <v>50000</v>
      </c>
      <c r="M32" s="113"/>
      <c r="N32" s="112"/>
      <c r="O32" s="142">
        <f t="shared" si="0"/>
        <v>50000</v>
      </c>
      <c r="P32" s="68"/>
      <c r="Q32" s="176">
        <f t="shared" si="1"/>
        <v>-50000</v>
      </c>
    </row>
    <row r="33" spans="1:19" ht="42" customHeight="1" x14ac:dyDescent="0.25">
      <c r="A33" s="75"/>
      <c r="B33" s="133"/>
      <c r="C33" s="183" t="s">
        <v>1774</v>
      </c>
      <c r="D33" s="162"/>
      <c r="E33" s="153"/>
      <c r="F33" s="163"/>
      <c r="G33" s="164"/>
      <c r="H33" s="155"/>
      <c r="I33" s="165"/>
      <c r="J33" s="166"/>
      <c r="K33" s="86"/>
      <c r="L33" s="156">
        <v>250000</v>
      </c>
      <c r="M33" s="113"/>
      <c r="N33" s="112"/>
      <c r="O33" s="142">
        <f t="shared" si="0"/>
        <v>250000</v>
      </c>
      <c r="P33" s="68"/>
      <c r="Q33" s="176">
        <f t="shared" si="1"/>
        <v>-250000</v>
      </c>
    </row>
    <row r="34" spans="1:19" ht="42" customHeight="1" x14ac:dyDescent="0.25">
      <c r="A34" s="75"/>
      <c r="B34" s="133"/>
      <c r="C34" s="183" t="s">
        <v>1775</v>
      </c>
      <c r="D34" s="162"/>
      <c r="E34" s="153"/>
      <c r="F34" s="163"/>
      <c r="G34" s="164"/>
      <c r="H34" s="155"/>
      <c r="I34" s="165"/>
      <c r="J34" s="166"/>
      <c r="K34" s="86"/>
      <c r="L34" s="156">
        <v>170000</v>
      </c>
      <c r="M34" s="113"/>
      <c r="N34" s="112"/>
      <c r="O34" s="142">
        <f t="shared" si="0"/>
        <v>170000</v>
      </c>
      <c r="P34" s="68"/>
      <c r="Q34" s="176">
        <f t="shared" si="1"/>
        <v>-170000</v>
      </c>
    </row>
    <row r="35" spans="1:19" ht="42" customHeight="1" x14ac:dyDescent="0.25">
      <c r="A35" s="75"/>
      <c r="B35" s="133"/>
      <c r="C35" s="183" t="s">
        <v>1776</v>
      </c>
      <c r="D35" s="162"/>
      <c r="E35" s="153"/>
      <c r="F35" s="163"/>
      <c r="G35" s="164"/>
      <c r="H35" s="155"/>
      <c r="I35" s="165"/>
      <c r="J35" s="166"/>
      <c r="K35" s="86"/>
      <c r="L35" s="156">
        <v>600000</v>
      </c>
      <c r="M35" s="113"/>
      <c r="N35" s="112"/>
      <c r="O35" s="142">
        <f t="shared" si="0"/>
        <v>600000</v>
      </c>
      <c r="P35" s="68"/>
      <c r="Q35" s="176">
        <f t="shared" si="1"/>
        <v>-600000</v>
      </c>
    </row>
    <row r="36" spans="1:19" ht="42" customHeight="1" x14ac:dyDescent="0.25">
      <c r="A36" s="75"/>
      <c r="B36" s="133"/>
      <c r="C36" s="183" t="s">
        <v>1777</v>
      </c>
      <c r="D36" s="162"/>
      <c r="E36" s="153"/>
      <c r="F36" s="163"/>
      <c r="G36" s="164"/>
      <c r="H36" s="155"/>
      <c r="I36" s="165"/>
      <c r="J36" s="166"/>
      <c r="K36" s="86"/>
      <c r="L36" s="156">
        <v>950000</v>
      </c>
      <c r="M36" s="113"/>
      <c r="N36" s="112"/>
      <c r="O36" s="142">
        <f t="shared" si="0"/>
        <v>950000</v>
      </c>
      <c r="P36" s="68"/>
      <c r="Q36" s="176">
        <f t="shared" si="1"/>
        <v>-950000</v>
      </c>
    </row>
    <row r="37" spans="1:19" ht="42" customHeight="1" x14ac:dyDescent="0.25">
      <c r="A37" s="75"/>
      <c r="B37" s="133"/>
      <c r="C37" s="183" t="s">
        <v>1778</v>
      </c>
      <c r="D37" s="162"/>
      <c r="E37" s="153"/>
      <c r="F37" s="163"/>
      <c r="G37" s="164"/>
      <c r="H37" s="155"/>
      <c r="I37" s="165"/>
      <c r="J37" s="166"/>
      <c r="K37" s="86"/>
      <c r="L37" s="156">
        <v>550000</v>
      </c>
      <c r="M37" s="113"/>
      <c r="N37" s="112"/>
      <c r="O37" s="142">
        <f t="shared" si="0"/>
        <v>550000</v>
      </c>
      <c r="P37" s="68"/>
      <c r="Q37" s="176">
        <f t="shared" si="1"/>
        <v>-550000</v>
      </c>
    </row>
    <row r="38" spans="1:19" ht="42" customHeight="1" x14ac:dyDescent="0.25">
      <c r="A38" s="75"/>
      <c r="B38" s="133"/>
      <c r="C38" s="183" t="s">
        <v>1779</v>
      </c>
      <c r="D38" s="162"/>
      <c r="E38" s="153"/>
      <c r="F38" s="163"/>
      <c r="G38" s="164"/>
      <c r="H38" s="155"/>
      <c r="I38" s="165"/>
      <c r="J38" s="166"/>
      <c r="K38" s="86"/>
      <c r="L38" s="156">
        <v>8580000</v>
      </c>
      <c r="M38" s="113"/>
      <c r="N38" s="112"/>
      <c r="O38" s="142">
        <f t="shared" si="0"/>
        <v>8580000</v>
      </c>
      <c r="P38" s="68"/>
      <c r="Q38" s="176">
        <f t="shared" si="1"/>
        <v>-8580000</v>
      </c>
    </row>
    <row r="39" spans="1:19" ht="42" customHeight="1" x14ac:dyDescent="0.25">
      <c r="A39" s="75"/>
      <c r="B39" s="133"/>
      <c r="C39" s="183" t="s">
        <v>1780</v>
      </c>
      <c r="D39" s="162"/>
      <c r="E39" s="153"/>
      <c r="F39" s="163"/>
      <c r="G39" s="164"/>
      <c r="H39" s="155"/>
      <c r="I39" s="165"/>
      <c r="J39" s="166"/>
      <c r="K39" s="86"/>
      <c r="L39" s="156">
        <v>840000</v>
      </c>
      <c r="M39" s="113"/>
      <c r="N39" s="112"/>
      <c r="O39" s="142">
        <f t="shared" si="0"/>
        <v>840000</v>
      </c>
      <c r="P39" s="68"/>
      <c r="Q39" s="176">
        <f t="shared" si="1"/>
        <v>-840000</v>
      </c>
    </row>
    <row r="40" spans="1:19" ht="42" customHeight="1" x14ac:dyDescent="0.25">
      <c r="A40" s="75"/>
      <c r="B40" s="133"/>
      <c r="C40" s="183" t="s">
        <v>1781</v>
      </c>
      <c r="D40" s="162"/>
      <c r="E40" s="153"/>
      <c r="F40" s="163"/>
      <c r="G40" s="164"/>
      <c r="H40" s="155"/>
      <c r="I40" s="165"/>
      <c r="J40" s="166"/>
      <c r="K40" s="86"/>
      <c r="L40" s="156">
        <v>300000</v>
      </c>
      <c r="M40" s="113"/>
      <c r="N40" s="112"/>
      <c r="O40" s="142">
        <f t="shared" si="0"/>
        <v>300000</v>
      </c>
      <c r="P40" s="68"/>
      <c r="Q40" s="176">
        <f t="shared" si="1"/>
        <v>-300000</v>
      </c>
    </row>
    <row r="41" spans="1:19" ht="42" customHeight="1" x14ac:dyDescent="0.25">
      <c r="A41" s="75"/>
      <c r="B41" s="133"/>
      <c r="C41" s="183" t="s">
        <v>1782</v>
      </c>
      <c r="D41" s="162"/>
      <c r="E41" s="153"/>
      <c r="F41" s="163"/>
      <c r="G41" s="164"/>
      <c r="H41" s="155"/>
      <c r="I41" s="165"/>
      <c r="J41" s="166"/>
      <c r="K41" s="86"/>
      <c r="L41" s="156">
        <v>16600000</v>
      </c>
      <c r="M41" s="113"/>
      <c r="N41" s="112"/>
      <c r="O41" s="142">
        <f t="shared" si="0"/>
        <v>16600000</v>
      </c>
      <c r="P41" s="68"/>
      <c r="Q41" s="176">
        <f t="shared" si="1"/>
        <v>-16600000</v>
      </c>
    </row>
    <row r="42" spans="1:19" ht="18" customHeight="1" x14ac:dyDescent="0.25">
      <c r="A42" s="75"/>
      <c r="B42" s="133"/>
      <c r="C42" s="170" t="s">
        <v>1273</v>
      </c>
      <c r="D42" s="162"/>
      <c r="E42" s="153"/>
      <c r="F42" s="163"/>
      <c r="G42" s="164"/>
      <c r="H42" s="155"/>
      <c r="I42" s="165"/>
      <c r="J42" s="166"/>
      <c r="K42" s="86"/>
      <c r="L42" s="156">
        <v>1320000</v>
      </c>
      <c r="M42" s="112"/>
      <c r="N42" s="112"/>
      <c r="O42" s="142">
        <f t="shared" si="0"/>
        <v>1320000</v>
      </c>
      <c r="P42" s="68"/>
      <c r="Q42" s="176">
        <f t="shared" si="1"/>
        <v>-1320000</v>
      </c>
    </row>
    <row r="43" spans="1:19" ht="18" customHeight="1" x14ac:dyDescent="0.25">
      <c r="A43" s="134"/>
      <c r="B43" s="70"/>
      <c r="C43" s="108" t="s">
        <v>1386</v>
      </c>
      <c r="D43" s="87"/>
      <c r="E43" s="70"/>
      <c r="F43" s="110"/>
      <c r="G43" s="70"/>
      <c r="H43" s="111"/>
      <c r="I43" s="111"/>
      <c r="J43" s="112"/>
      <c r="K43" s="113">
        <v>8653846</v>
      </c>
      <c r="L43" s="141"/>
      <c r="M43" s="112"/>
      <c r="N43" s="112"/>
      <c r="O43" s="142">
        <f t="shared" si="0"/>
        <v>8653846</v>
      </c>
      <c r="P43" s="144"/>
      <c r="Q43" s="176">
        <f t="shared" si="1"/>
        <v>-8653846</v>
      </c>
    </row>
    <row r="44" spans="1:19" ht="18" customHeight="1" x14ac:dyDescent="0.25">
      <c r="A44" s="213"/>
      <c r="B44" s="214"/>
      <c r="C44" s="215" t="s">
        <v>1783</v>
      </c>
      <c r="D44" s="216"/>
      <c r="E44" s="214"/>
      <c r="F44" s="217"/>
      <c r="G44" s="214"/>
      <c r="H44" s="218"/>
      <c r="I44" s="218"/>
      <c r="J44" s="219"/>
      <c r="K44" s="220">
        <v>500000</v>
      </c>
      <c r="L44" s="221"/>
      <c r="M44" s="219"/>
      <c r="N44" s="219"/>
      <c r="O44" s="142">
        <f t="shared" si="0"/>
        <v>500000</v>
      </c>
      <c r="P44" s="214"/>
      <c r="Q44" s="176">
        <f t="shared" si="1"/>
        <v>-500000</v>
      </c>
    </row>
    <row r="45" spans="1:19" x14ac:dyDescent="0.25">
      <c r="A45" s="547" t="s">
        <v>19</v>
      </c>
      <c r="B45" s="548"/>
      <c r="C45" s="548"/>
      <c r="D45" s="548"/>
      <c r="E45" s="548"/>
      <c r="F45" s="549"/>
      <c r="G45" s="89">
        <f>SUM(G7:G43)+267</f>
        <v>3018</v>
      </c>
      <c r="H45" s="71">
        <f>SUM(H7:H43)</f>
        <v>49263000</v>
      </c>
      <c r="I45" s="71">
        <f>SUM(I7:I43)</f>
        <v>0</v>
      </c>
      <c r="J45" s="71">
        <f>SUM(J7:J43)</f>
        <v>34030000</v>
      </c>
      <c r="K45" s="71">
        <f>SUM(K7:K44)</f>
        <v>9153846</v>
      </c>
      <c r="L45" s="71">
        <f>SUM(L7:L44)</f>
        <v>32614000</v>
      </c>
      <c r="M45" s="71">
        <f>SUM(M7:M43)</f>
        <v>0</v>
      </c>
      <c r="N45" s="71">
        <f>SUM(N7:N43)</f>
        <v>2875000</v>
      </c>
      <c r="O45" s="71">
        <f>SUM(O7:O44)</f>
        <v>127935846</v>
      </c>
      <c r="P45" s="71">
        <f>SUM(P7:P43)</f>
        <v>149809089</v>
      </c>
      <c r="Q45" s="71">
        <f>SUM(Q7:Q44)</f>
        <v>21873243</v>
      </c>
      <c r="R45" s="195"/>
      <c r="S45" s="195"/>
    </row>
    <row r="46" spans="1:19" x14ac:dyDescent="0.25">
      <c r="P46" s="195"/>
      <c r="Q46" s="202"/>
    </row>
    <row r="47" spans="1:19" x14ac:dyDescent="0.25">
      <c r="P47" s="229" t="s">
        <v>1225</v>
      </c>
      <c r="Q47" s="185">
        <f>'03-2018'!Q47+'04-2018'!Q45</f>
        <v>95229871</v>
      </c>
    </row>
    <row r="48" spans="1:19" x14ac:dyDescent="0.25">
      <c r="Q48" s="195"/>
    </row>
    <row r="49" spans="18:18" x14ac:dyDescent="0.25">
      <c r="R49" s="195"/>
    </row>
  </sheetData>
  <mergeCells count="5">
    <mergeCell ref="A1:Q1"/>
    <mergeCell ref="A2:Q2"/>
    <mergeCell ref="A3:Q3"/>
    <mergeCell ref="G5:N5"/>
    <mergeCell ref="A45:F45"/>
  </mergeCells>
  <pageMargins left="0.7" right="0.7" top="0.75" bottom="0.75" header="0.3" footer="0.3"/>
  <pageSetup paperSize="9" orientation="portrait" horizontalDpi="180" verticalDpi="18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T41"/>
  <sheetViews>
    <sheetView topLeftCell="D25" workbookViewId="0">
      <selection activeCell="G37" sqref="G37"/>
    </sheetView>
  </sheetViews>
  <sheetFormatPr defaultRowHeight="15" x14ac:dyDescent="0.25"/>
  <cols>
    <col min="1" max="1" width="4.5703125" customWidth="1"/>
    <col min="3" max="3" width="41.28515625" customWidth="1"/>
    <col min="4" max="4" width="16.5703125" customWidth="1"/>
    <col min="5" max="5" width="33.140625" customWidth="1"/>
    <col min="15" max="15" width="11.140625" customWidth="1"/>
    <col min="16" max="16" width="10.7109375" customWidth="1"/>
    <col min="17" max="17" width="12.28515625" customWidth="1"/>
    <col min="18" max="18" width="11.7109375" customWidth="1"/>
    <col min="19" max="19" width="18"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1785</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74"/>
      <c r="H4" s="72"/>
      <c r="I4" s="74"/>
      <c r="J4" s="72"/>
      <c r="K4" s="72"/>
      <c r="L4" s="72"/>
      <c r="M4" s="72"/>
      <c r="N4" s="72"/>
      <c r="O4" s="72"/>
      <c r="P4" s="72"/>
      <c r="Q4" s="72"/>
    </row>
    <row r="5" spans="1:20" ht="25.5" x14ac:dyDescent="0.25">
      <c r="A5" s="177" t="s">
        <v>1</v>
      </c>
      <c r="B5" s="178" t="s">
        <v>2</v>
      </c>
      <c r="C5" s="177" t="s">
        <v>3</v>
      </c>
      <c r="D5" s="177" t="s">
        <v>5</v>
      </c>
      <c r="E5" s="174" t="s">
        <v>4</v>
      </c>
      <c r="F5" s="174" t="s">
        <v>17</v>
      </c>
      <c r="G5" s="552" t="s">
        <v>6</v>
      </c>
      <c r="H5" s="553"/>
      <c r="I5" s="553"/>
      <c r="J5" s="553"/>
      <c r="K5" s="553"/>
      <c r="L5" s="553"/>
      <c r="M5" s="553"/>
      <c r="N5" s="554"/>
      <c r="O5" s="127" t="s">
        <v>18</v>
      </c>
      <c r="P5" s="127" t="s">
        <v>13</v>
      </c>
      <c r="Q5" s="127" t="s">
        <v>14</v>
      </c>
    </row>
    <row r="6" spans="1:20" x14ac:dyDescent="0.25">
      <c r="A6" s="179"/>
      <c r="B6" s="180"/>
      <c r="C6" s="179"/>
      <c r="D6" s="179"/>
      <c r="E6" s="175"/>
      <c r="F6" s="175"/>
      <c r="G6" s="6" t="s">
        <v>7</v>
      </c>
      <c r="H6" s="7" t="s">
        <v>15</v>
      </c>
      <c r="I6" s="6" t="s">
        <v>16</v>
      </c>
      <c r="J6" s="7" t="s">
        <v>8</v>
      </c>
      <c r="K6" s="7" t="s">
        <v>9</v>
      </c>
      <c r="L6" s="7" t="s">
        <v>10</v>
      </c>
      <c r="M6" s="7" t="s">
        <v>11</v>
      </c>
      <c r="N6" s="7" t="s">
        <v>12</v>
      </c>
      <c r="O6" s="181"/>
      <c r="P6" s="181"/>
      <c r="Q6" s="181"/>
    </row>
    <row r="7" spans="1:20" x14ac:dyDescent="0.25">
      <c r="A7" s="75"/>
      <c r="B7" s="100"/>
      <c r="C7" s="88"/>
      <c r="D7" s="88"/>
      <c r="E7" s="134"/>
      <c r="F7" s="75"/>
      <c r="G7" s="77"/>
      <c r="H7" s="68"/>
      <c r="I7" s="75"/>
      <c r="J7" s="68"/>
      <c r="K7" s="68"/>
      <c r="L7" s="68"/>
      <c r="M7" s="68"/>
      <c r="N7" s="68"/>
      <c r="O7" s="68">
        <f>H7+J7+K7+L7+M7+N7</f>
        <v>0</v>
      </c>
      <c r="P7" s="144"/>
      <c r="Q7" s="68">
        <f>P7-O7</f>
        <v>0</v>
      </c>
    </row>
    <row r="8" spans="1:20" ht="20.100000000000001" customHeight="1" x14ac:dyDescent="0.25">
      <c r="A8" s="75">
        <v>1</v>
      </c>
      <c r="B8" s="133">
        <v>43222</v>
      </c>
      <c r="C8" s="135" t="s">
        <v>1786</v>
      </c>
      <c r="D8" s="136" t="s">
        <v>1804</v>
      </c>
      <c r="E8" s="78" t="s">
        <v>635</v>
      </c>
      <c r="F8" s="80"/>
      <c r="G8" s="81"/>
      <c r="H8" s="81"/>
      <c r="J8" s="222">
        <v>1250000</v>
      </c>
      <c r="K8" s="86"/>
      <c r="L8" s="69"/>
      <c r="M8" s="69"/>
      <c r="N8" s="69"/>
      <c r="O8" s="142">
        <f>H8+J8+K8+L8+M8+N8</f>
        <v>1250000</v>
      </c>
      <c r="P8" s="145">
        <v>4800000</v>
      </c>
      <c r="Q8" s="176">
        <f>P8-O8</f>
        <v>3550000</v>
      </c>
      <c r="R8" s="195"/>
      <c r="S8" s="195"/>
      <c r="T8" s="195"/>
    </row>
    <row r="9" spans="1:20" ht="20.100000000000001" customHeight="1" x14ac:dyDescent="0.25">
      <c r="A9" s="75">
        <v>2</v>
      </c>
      <c r="B9" s="133">
        <v>43222</v>
      </c>
      <c r="C9" s="135" t="s">
        <v>1111</v>
      </c>
      <c r="D9" s="136" t="s">
        <v>1805</v>
      </c>
      <c r="E9" s="78" t="s">
        <v>1825</v>
      </c>
      <c r="F9" s="80"/>
      <c r="G9" s="81"/>
      <c r="H9" s="81"/>
      <c r="J9" s="223">
        <v>1420000</v>
      </c>
      <c r="K9" s="86"/>
      <c r="L9" s="69"/>
      <c r="M9" s="69"/>
      <c r="N9" s="69"/>
      <c r="O9" s="142">
        <f t="shared" ref="O9:O32" si="0">H9+J9+K9+L9+M9+N9</f>
        <v>1420000</v>
      </c>
      <c r="P9" s="145">
        <v>5200000</v>
      </c>
      <c r="Q9" s="176">
        <f t="shared" ref="Q9:Q32" si="1">P9-O9</f>
        <v>3780000</v>
      </c>
      <c r="R9" s="195"/>
      <c r="S9" s="195"/>
      <c r="T9" s="195"/>
    </row>
    <row r="10" spans="1:20" ht="20.100000000000001" customHeight="1" x14ac:dyDescent="0.25">
      <c r="A10" s="75">
        <v>3</v>
      </c>
      <c r="B10" s="133">
        <v>43223</v>
      </c>
      <c r="C10" s="135" t="s">
        <v>1102</v>
      </c>
      <c r="D10" s="136" t="s">
        <v>1806</v>
      </c>
      <c r="E10" s="78" t="s">
        <v>635</v>
      </c>
      <c r="F10" s="80"/>
      <c r="G10" s="81"/>
      <c r="H10" s="81"/>
      <c r="J10" s="222">
        <v>1250000</v>
      </c>
      <c r="K10" s="86"/>
      <c r="L10" s="69"/>
      <c r="M10" s="69"/>
      <c r="N10" s="69"/>
      <c r="O10" s="142">
        <f t="shared" si="0"/>
        <v>1250000</v>
      </c>
      <c r="P10" s="145">
        <v>4800000</v>
      </c>
      <c r="Q10" s="176">
        <f t="shared" si="1"/>
        <v>3550000</v>
      </c>
      <c r="R10" s="195"/>
      <c r="S10" s="195"/>
      <c r="T10" s="195"/>
    </row>
    <row r="11" spans="1:20" ht="20.100000000000001" customHeight="1" x14ac:dyDescent="0.25">
      <c r="A11" s="75">
        <v>4</v>
      </c>
      <c r="B11" s="133">
        <v>43224</v>
      </c>
      <c r="C11" s="135" t="s">
        <v>1103</v>
      </c>
      <c r="D11" s="136" t="s">
        <v>1807</v>
      </c>
      <c r="E11" s="78" t="s">
        <v>1618</v>
      </c>
      <c r="F11" s="80"/>
      <c r="G11" s="130">
        <v>370</v>
      </c>
      <c r="H11" s="81">
        <v>6190100</v>
      </c>
      <c r="J11" s="222">
        <v>1420000</v>
      </c>
      <c r="K11" s="86"/>
      <c r="L11" s="69"/>
      <c r="M11" s="69"/>
      <c r="N11" s="69"/>
      <c r="O11" s="142">
        <f t="shared" si="0"/>
        <v>7610100</v>
      </c>
      <c r="P11" s="145">
        <v>5300000</v>
      </c>
      <c r="Q11" s="176">
        <f t="shared" si="1"/>
        <v>-2310100</v>
      </c>
      <c r="R11" s="195"/>
      <c r="S11" s="195"/>
      <c r="T11" s="195"/>
    </row>
    <row r="12" spans="1:20" ht="20.100000000000001" customHeight="1" x14ac:dyDescent="0.25">
      <c r="A12" s="75">
        <v>5</v>
      </c>
      <c r="B12" s="133">
        <v>43227</v>
      </c>
      <c r="C12" s="135" t="s">
        <v>1787</v>
      </c>
      <c r="D12" s="136" t="s">
        <v>1808</v>
      </c>
      <c r="E12" s="78" t="s">
        <v>153</v>
      </c>
      <c r="F12" s="80"/>
      <c r="G12" s="81">
        <v>260</v>
      </c>
      <c r="H12" s="81">
        <v>4349800</v>
      </c>
      <c r="J12" s="222">
        <v>1510000</v>
      </c>
      <c r="K12" s="86"/>
      <c r="L12" s="69"/>
      <c r="M12" s="69"/>
      <c r="N12" s="69"/>
      <c r="O12" s="142">
        <f t="shared" si="0"/>
        <v>5859800</v>
      </c>
      <c r="P12" s="145">
        <v>5200000</v>
      </c>
      <c r="Q12" s="176">
        <f t="shared" si="1"/>
        <v>-659800</v>
      </c>
      <c r="R12" s="195"/>
      <c r="S12" s="195"/>
      <c r="T12" s="195"/>
    </row>
    <row r="13" spans="1:20" ht="20.100000000000001" customHeight="1" x14ac:dyDescent="0.25">
      <c r="A13" s="75">
        <v>6</v>
      </c>
      <c r="B13" s="133">
        <v>43227</v>
      </c>
      <c r="C13" s="135" t="s">
        <v>1788</v>
      </c>
      <c r="D13" s="136" t="s">
        <v>1809</v>
      </c>
      <c r="E13" s="78" t="s">
        <v>1826</v>
      </c>
      <c r="F13" s="80"/>
      <c r="G13" s="81"/>
      <c r="H13" s="81"/>
      <c r="J13" s="222">
        <v>650000</v>
      </c>
      <c r="K13" s="86"/>
      <c r="L13" s="69"/>
      <c r="M13" s="69"/>
      <c r="N13" s="69"/>
      <c r="O13" s="142">
        <f t="shared" si="0"/>
        <v>650000</v>
      </c>
      <c r="P13" s="145">
        <v>2409091</v>
      </c>
      <c r="Q13" s="176">
        <f t="shared" si="1"/>
        <v>1759091</v>
      </c>
      <c r="R13" s="195"/>
      <c r="S13" s="195"/>
      <c r="T13" s="195"/>
    </row>
    <row r="14" spans="1:20" ht="20.100000000000001" customHeight="1" x14ac:dyDescent="0.25">
      <c r="A14" s="75">
        <v>7</v>
      </c>
      <c r="B14" s="133">
        <v>43228</v>
      </c>
      <c r="C14" s="135" t="s">
        <v>1789</v>
      </c>
      <c r="D14" s="136" t="s">
        <v>1810</v>
      </c>
      <c r="E14" s="78" t="s">
        <v>1827</v>
      </c>
      <c r="F14" s="80"/>
      <c r="G14" s="81"/>
      <c r="H14" s="81"/>
      <c r="J14" s="222">
        <v>790000</v>
      </c>
      <c r="K14" s="86"/>
      <c r="L14" s="69"/>
      <c r="M14" s="69"/>
      <c r="N14" s="69"/>
      <c r="O14" s="142">
        <f t="shared" si="0"/>
        <v>790000</v>
      </c>
      <c r="P14" s="145">
        <v>2809091</v>
      </c>
      <c r="Q14" s="176">
        <f t="shared" si="1"/>
        <v>2019091</v>
      </c>
      <c r="R14" s="195"/>
      <c r="S14" s="195"/>
      <c r="T14" s="195"/>
    </row>
    <row r="15" spans="1:20" ht="20.100000000000001" customHeight="1" x14ac:dyDescent="0.25">
      <c r="A15" s="75">
        <v>8</v>
      </c>
      <c r="B15" s="133">
        <v>43229</v>
      </c>
      <c r="C15" s="135" t="s">
        <v>1790</v>
      </c>
      <c r="D15" s="136" t="s">
        <v>1811</v>
      </c>
      <c r="E15" s="78" t="s">
        <v>189</v>
      </c>
      <c r="F15" s="80"/>
      <c r="G15" s="81">
        <v>260</v>
      </c>
      <c r="H15" s="81">
        <v>4446000</v>
      </c>
      <c r="J15" s="222">
        <v>2250000</v>
      </c>
      <c r="K15" s="86"/>
      <c r="L15" s="69"/>
      <c r="M15" s="69"/>
      <c r="N15" s="69"/>
      <c r="O15" s="142">
        <f t="shared" si="0"/>
        <v>6696000</v>
      </c>
      <c r="P15" s="145">
        <v>10000000</v>
      </c>
      <c r="Q15" s="176">
        <f t="shared" si="1"/>
        <v>3304000</v>
      </c>
      <c r="R15" s="195"/>
      <c r="S15" s="195"/>
      <c r="T15" s="195"/>
    </row>
    <row r="16" spans="1:20" ht="20.100000000000001" customHeight="1" x14ac:dyDescent="0.25">
      <c r="A16" s="75">
        <v>9</v>
      </c>
      <c r="B16" s="133">
        <v>43230</v>
      </c>
      <c r="C16" s="135" t="s">
        <v>1791</v>
      </c>
      <c r="D16" s="136" t="s">
        <v>1812</v>
      </c>
      <c r="E16" s="78" t="s">
        <v>562</v>
      </c>
      <c r="F16" s="80"/>
      <c r="G16" s="81">
        <v>185</v>
      </c>
      <c r="H16" s="81">
        <v>3163500</v>
      </c>
      <c r="J16" s="222">
        <v>2740000</v>
      </c>
      <c r="K16" s="86"/>
      <c r="L16" s="69"/>
      <c r="M16" s="69"/>
      <c r="N16" s="69"/>
      <c r="O16" s="142">
        <f t="shared" si="0"/>
        <v>5903500</v>
      </c>
      <c r="P16" s="145">
        <v>13181818</v>
      </c>
      <c r="Q16" s="176">
        <f t="shared" si="1"/>
        <v>7278318</v>
      </c>
      <c r="R16" s="195"/>
      <c r="S16" s="195"/>
      <c r="T16" s="195"/>
    </row>
    <row r="17" spans="1:20" ht="20.100000000000001" customHeight="1" x14ac:dyDescent="0.25">
      <c r="A17" s="75">
        <v>10</v>
      </c>
      <c r="B17" s="133">
        <v>43232</v>
      </c>
      <c r="C17" s="135" t="s">
        <v>1792</v>
      </c>
      <c r="D17" s="136" t="s">
        <v>1813</v>
      </c>
      <c r="E17" s="78" t="s">
        <v>188</v>
      </c>
      <c r="F17" s="80"/>
      <c r="G17" s="81"/>
      <c r="H17" s="81"/>
      <c r="J17" s="222">
        <v>650000</v>
      </c>
      <c r="K17" s="86"/>
      <c r="L17" s="69"/>
      <c r="M17" s="69"/>
      <c r="N17" s="69"/>
      <c r="O17" s="142">
        <f t="shared" si="0"/>
        <v>650000</v>
      </c>
      <c r="P17" s="145">
        <v>3100000</v>
      </c>
      <c r="Q17" s="176">
        <f t="shared" si="1"/>
        <v>2450000</v>
      </c>
      <c r="R17" s="195"/>
      <c r="S17" s="195"/>
      <c r="T17" s="195"/>
    </row>
    <row r="18" spans="1:20" ht="20.100000000000001" customHeight="1" x14ac:dyDescent="0.25">
      <c r="A18" s="75">
        <v>11</v>
      </c>
      <c r="B18" s="133">
        <v>43234</v>
      </c>
      <c r="C18" s="135" t="s">
        <v>1793</v>
      </c>
      <c r="D18" s="136" t="s">
        <v>1814</v>
      </c>
      <c r="E18" s="78" t="s">
        <v>1828</v>
      </c>
      <c r="F18" s="80"/>
      <c r="G18" s="81">
        <v>300</v>
      </c>
      <c r="H18" s="81">
        <v>5130000</v>
      </c>
      <c r="J18" s="222">
        <v>1510000</v>
      </c>
      <c r="K18" s="86"/>
      <c r="L18" s="69"/>
      <c r="M18" s="69"/>
      <c r="N18" s="69"/>
      <c r="O18" s="142">
        <f t="shared" si="0"/>
        <v>6640000</v>
      </c>
      <c r="P18" s="145">
        <v>6100000</v>
      </c>
      <c r="Q18" s="176">
        <f t="shared" si="1"/>
        <v>-540000</v>
      </c>
      <c r="R18" s="195"/>
      <c r="S18" s="195"/>
      <c r="T18" s="195"/>
    </row>
    <row r="19" spans="1:20" ht="20.100000000000001" customHeight="1" x14ac:dyDescent="0.25">
      <c r="A19" s="75">
        <v>12</v>
      </c>
      <c r="B19" s="133">
        <v>43235</v>
      </c>
      <c r="C19" s="135" t="s">
        <v>1794</v>
      </c>
      <c r="D19" s="136" t="s">
        <v>1815</v>
      </c>
      <c r="E19" s="78" t="s">
        <v>1081</v>
      </c>
      <c r="F19" s="80"/>
      <c r="G19" s="81"/>
      <c r="H19" s="81"/>
      <c r="J19" s="222">
        <v>790000</v>
      </c>
      <c r="K19" s="86"/>
      <c r="L19" s="69"/>
      <c r="M19" s="69"/>
      <c r="N19" s="69"/>
      <c r="O19" s="142">
        <f t="shared" si="0"/>
        <v>790000</v>
      </c>
      <c r="P19" s="145">
        <v>3300000</v>
      </c>
      <c r="Q19" s="176">
        <f t="shared" si="1"/>
        <v>2510000</v>
      </c>
      <c r="R19" s="195"/>
      <c r="S19" s="195"/>
      <c r="T19" s="195"/>
    </row>
    <row r="20" spans="1:20" ht="20.100000000000001" customHeight="1" x14ac:dyDescent="0.25">
      <c r="A20" s="75">
        <v>13</v>
      </c>
      <c r="B20" s="133">
        <v>43236</v>
      </c>
      <c r="C20" s="135" t="s">
        <v>1795</v>
      </c>
      <c r="D20" s="136" t="s">
        <v>1816</v>
      </c>
      <c r="E20" s="78" t="s">
        <v>21</v>
      </c>
      <c r="F20" s="80"/>
      <c r="G20" s="81">
        <v>260</v>
      </c>
      <c r="H20" s="81">
        <v>4446000</v>
      </c>
      <c r="J20" s="222">
        <v>2740000</v>
      </c>
      <c r="K20" s="86"/>
      <c r="L20" s="69"/>
      <c r="M20" s="69"/>
      <c r="N20" s="69"/>
      <c r="O20" s="142">
        <f t="shared" si="0"/>
        <v>7186000</v>
      </c>
      <c r="P20" s="145">
        <v>13181818</v>
      </c>
      <c r="Q20" s="176">
        <f t="shared" si="1"/>
        <v>5995818</v>
      </c>
      <c r="R20" s="195"/>
      <c r="S20" s="195"/>
      <c r="T20" s="195"/>
    </row>
    <row r="21" spans="1:20" ht="20.100000000000001" customHeight="1" x14ac:dyDescent="0.25">
      <c r="A21" s="75">
        <v>14</v>
      </c>
      <c r="B21" s="133">
        <v>43237</v>
      </c>
      <c r="C21" s="135" t="s">
        <v>360</v>
      </c>
      <c r="D21" s="136" t="s">
        <v>1817</v>
      </c>
      <c r="E21" s="78" t="s">
        <v>1829</v>
      </c>
      <c r="F21" s="80"/>
      <c r="G21" s="81"/>
      <c r="H21" s="81"/>
      <c r="J21" s="222">
        <v>970000</v>
      </c>
      <c r="K21" s="86"/>
      <c r="L21" s="69"/>
      <c r="M21" s="69"/>
      <c r="N21" s="69"/>
      <c r="O21" s="142">
        <f t="shared" si="0"/>
        <v>970000</v>
      </c>
      <c r="P21" s="145">
        <v>3600000</v>
      </c>
      <c r="Q21" s="176">
        <f t="shared" si="1"/>
        <v>2630000</v>
      </c>
      <c r="R21" s="195"/>
      <c r="S21" s="195"/>
      <c r="T21" s="195"/>
    </row>
    <row r="22" spans="1:20" ht="20.100000000000001" customHeight="1" x14ac:dyDescent="0.25">
      <c r="A22" s="75">
        <v>15</v>
      </c>
      <c r="B22" s="133">
        <v>43239</v>
      </c>
      <c r="C22" s="135" t="s">
        <v>1796</v>
      </c>
      <c r="D22" s="136" t="s">
        <v>1818</v>
      </c>
      <c r="E22" s="78" t="s">
        <v>1621</v>
      </c>
      <c r="F22" s="80"/>
      <c r="G22" s="81">
        <v>320</v>
      </c>
      <c r="H22" s="81">
        <v>5472000</v>
      </c>
      <c r="J22" s="222">
        <v>790000</v>
      </c>
      <c r="K22" s="86"/>
      <c r="L22" s="69"/>
      <c r="M22" s="69"/>
      <c r="N22" s="69"/>
      <c r="O22" s="142">
        <f t="shared" si="0"/>
        <v>6262000</v>
      </c>
      <c r="P22" s="145">
        <v>3200000</v>
      </c>
      <c r="Q22" s="176">
        <f t="shared" si="1"/>
        <v>-3062000</v>
      </c>
      <c r="R22" s="195"/>
      <c r="S22" s="195"/>
      <c r="T22" s="195"/>
    </row>
    <row r="23" spans="1:20" ht="20.100000000000001" customHeight="1" x14ac:dyDescent="0.25">
      <c r="A23" s="75">
        <v>16</v>
      </c>
      <c r="B23" s="133">
        <v>43242</v>
      </c>
      <c r="C23" s="135" t="s">
        <v>1797</v>
      </c>
      <c r="D23" s="136" t="s">
        <v>1819</v>
      </c>
      <c r="E23" s="78" t="s">
        <v>232</v>
      </c>
      <c r="F23" s="80"/>
      <c r="G23" s="81"/>
      <c r="H23" s="81"/>
      <c r="J23" s="222">
        <f>790000+300000+400000</f>
        <v>1490000</v>
      </c>
      <c r="K23" s="86"/>
      <c r="L23" s="69"/>
      <c r="M23" s="69"/>
      <c r="N23" s="69"/>
      <c r="O23" s="142">
        <f t="shared" si="0"/>
        <v>1490000</v>
      </c>
      <c r="P23" s="145">
        <v>2809091</v>
      </c>
      <c r="Q23" s="176">
        <f t="shared" si="1"/>
        <v>1319091</v>
      </c>
      <c r="R23" s="195"/>
      <c r="S23" s="195"/>
      <c r="T23" s="195"/>
    </row>
    <row r="24" spans="1:20" ht="20.100000000000001" customHeight="1" x14ac:dyDescent="0.25">
      <c r="A24" s="75">
        <v>17</v>
      </c>
      <c r="B24" s="133">
        <v>43242</v>
      </c>
      <c r="C24" s="135" t="s">
        <v>1798</v>
      </c>
      <c r="D24" s="136" t="s">
        <v>1819</v>
      </c>
      <c r="E24" s="78" t="s">
        <v>1830</v>
      </c>
      <c r="F24" s="80"/>
      <c r="G24" s="81"/>
      <c r="H24" s="81"/>
      <c r="J24" s="222"/>
      <c r="K24" s="86"/>
      <c r="L24" s="69"/>
      <c r="M24" s="69"/>
      <c r="N24" s="69"/>
      <c r="O24" s="142">
        <f t="shared" si="0"/>
        <v>0</v>
      </c>
      <c r="P24" s="145">
        <v>2490909</v>
      </c>
      <c r="Q24" s="176">
        <f t="shared" si="1"/>
        <v>2490909</v>
      </c>
      <c r="R24" s="195"/>
      <c r="S24" s="195"/>
      <c r="T24" s="195"/>
    </row>
    <row r="25" spans="1:20" ht="20.100000000000001" customHeight="1" x14ac:dyDescent="0.25">
      <c r="A25" s="75">
        <v>18</v>
      </c>
      <c r="B25" s="133">
        <v>43242</v>
      </c>
      <c r="C25" s="135" t="s">
        <v>1121</v>
      </c>
      <c r="D25" s="136" t="s">
        <v>1820</v>
      </c>
      <c r="E25" s="78" t="s">
        <v>24</v>
      </c>
      <c r="F25" s="80"/>
      <c r="G25" s="81"/>
      <c r="H25" s="81"/>
      <c r="J25" s="222">
        <f>1530000+180000</f>
        <v>1710000</v>
      </c>
      <c r="K25" s="86"/>
      <c r="L25" s="69"/>
      <c r="M25" s="69"/>
      <c r="N25" s="69"/>
      <c r="O25" s="142">
        <f t="shared" si="0"/>
        <v>1710000</v>
      </c>
      <c r="P25" s="145">
        <v>7500000</v>
      </c>
      <c r="Q25" s="176">
        <f t="shared" si="1"/>
        <v>5790000</v>
      </c>
      <c r="R25" s="195"/>
      <c r="S25" s="195"/>
      <c r="T25" s="195"/>
    </row>
    <row r="26" spans="1:20" ht="20.100000000000001" customHeight="1" x14ac:dyDescent="0.25">
      <c r="A26" s="75">
        <v>19</v>
      </c>
      <c r="B26" s="133">
        <v>43243</v>
      </c>
      <c r="C26" s="135" t="s">
        <v>1799</v>
      </c>
      <c r="D26" s="136" t="s">
        <v>1821</v>
      </c>
      <c r="E26" s="78" t="s">
        <v>1429</v>
      </c>
      <c r="F26" s="80"/>
      <c r="G26" s="81">
        <v>215</v>
      </c>
      <c r="H26" s="81">
        <v>3676500</v>
      </c>
      <c r="J26" s="222">
        <v>970000</v>
      </c>
      <c r="K26" s="86"/>
      <c r="L26" s="69"/>
      <c r="M26" s="69"/>
      <c r="N26" s="69"/>
      <c r="O26" s="142">
        <f t="shared" si="0"/>
        <v>4646500</v>
      </c>
      <c r="P26" s="145">
        <v>3700000</v>
      </c>
      <c r="Q26" s="176">
        <f t="shared" si="1"/>
        <v>-946500</v>
      </c>
      <c r="R26" s="195"/>
      <c r="S26" s="195"/>
      <c r="T26" s="195"/>
    </row>
    <row r="27" spans="1:20" ht="20.100000000000001" customHeight="1" x14ac:dyDescent="0.25">
      <c r="A27" s="75">
        <v>20</v>
      </c>
      <c r="B27" s="133">
        <v>43244</v>
      </c>
      <c r="C27" s="135" t="s">
        <v>1800</v>
      </c>
      <c r="D27" s="136" t="s">
        <v>1822</v>
      </c>
      <c r="E27" s="78" t="s">
        <v>566</v>
      </c>
      <c r="F27" s="80"/>
      <c r="G27" s="81">
        <v>282</v>
      </c>
      <c r="H27" s="81">
        <v>4988580</v>
      </c>
      <c r="J27" s="222">
        <v>610000</v>
      </c>
      <c r="K27" s="86"/>
      <c r="L27" s="69"/>
      <c r="M27" s="69"/>
      <c r="N27" s="69"/>
      <c r="O27" s="142">
        <f t="shared" si="0"/>
        <v>5598580</v>
      </c>
      <c r="P27" s="145">
        <v>3718182</v>
      </c>
      <c r="Q27" s="176">
        <f t="shared" si="1"/>
        <v>-1880398</v>
      </c>
      <c r="R27" s="195"/>
      <c r="S27" s="195"/>
      <c r="T27" s="195"/>
    </row>
    <row r="28" spans="1:20" ht="20.100000000000001" customHeight="1" x14ac:dyDescent="0.25">
      <c r="A28" s="75">
        <v>21</v>
      </c>
      <c r="B28" s="133">
        <v>43245</v>
      </c>
      <c r="C28" s="138" t="s">
        <v>1801</v>
      </c>
      <c r="D28" s="139" t="s">
        <v>1823</v>
      </c>
      <c r="E28" s="78" t="s">
        <v>635</v>
      </c>
      <c r="F28" s="110"/>
      <c r="G28" s="111">
        <v>216</v>
      </c>
      <c r="H28" s="81">
        <v>3821040</v>
      </c>
      <c r="J28" s="228">
        <v>1250000</v>
      </c>
      <c r="K28" s="86"/>
      <c r="L28" s="69"/>
      <c r="M28" s="112"/>
      <c r="N28" s="112"/>
      <c r="O28" s="142">
        <f t="shared" si="0"/>
        <v>5071040</v>
      </c>
      <c r="P28" s="224">
        <v>4800000</v>
      </c>
      <c r="Q28" s="176">
        <f t="shared" si="1"/>
        <v>-271040</v>
      </c>
      <c r="R28" s="195"/>
      <c r="S28" s="195"/>
      <c r="T28" s="195"/>
    </row>
    <row r="29" spans="1:20" ht="20.100000000000001" customHeight="1" x14ac:dyDescent="0.25">
      <c r="A29" s="75">
        <v>22</v>
      </c>
      <c r="B29" s="133">
        <v>43248</v>
      </c>
      <c r="C29" s="138" t="s">
        <v>1802</v>
      </c>
      <c r="D29" s="139" t="s">
        <v>1824</v>
      </c>
      <c r="E29" s="78" t="s">
        <v>1828</v>
      </c>
      <c r="F29" s="110"/>
      <c r="G29" s="111"/>
      <c r="H29" s="81"/>
      <c r="J29" s="228">
        <v>1510000</v>
      </c>
      <c r="K29" s="86"/>
      <c r="L29" s="69"/>
      <c r="M29" s="112"/>
      <c r="N29" s="112"/>
      <c r="O29" s="142">
        <f t="shared" si="0"/>
        <v>1510000</v>
      </c>
      <c r="P29" s="224">
        <v>6100000</v>
      </c>
      <c r="Q29" s="176">
        <f t="shared" si="1"/>
        <v>4590000</v>
      </c>
      <c r="R29" s="195"/>
      <c r="S29" s="195"/>
      <c r="T29" s="195"/>
    </row>
    <row r="30" spans="1:20" ht="20.100000000000001" customHeight="1" x14ac:dyDescent="0.25">
      <c r="A30" s="75">
        <v>23</v>
      </c>
      <c r="B30" s="133">
        <v>43248</v>
      </c>
      <c r="C30" s="138" t="s">
        <v>1803</v>
      </c>
      <c r="D30" s="139" t="s">
        <v>1833</v>
      </c>
      <c r="E30" s="78" t="s">
        <v>1212</v>
      </c>
      <c r="F30" s="110"/>
      <c r="G30" s="111">
        <v>165</v>
      </c>
      <c r="H30" s="81">
        <v>2918850</v>
      </c>
      <c r="J30" s="228">
        <v>2440000</v>
      </c>
      <c r="K30" s="86"/>
      <c r="L30" s="69"/>
      <c r="M30" s="112"/>
      <c r="N30" s="112"/>
      <c r="O30" s="142">
        <f t="shared" si="0"/>
        <v>5358850</v>
      </c>
      <c r="P30" s="224">
        <v>13181818</v>
      </c>
      <c r="Q30" s="176">
        <f t="shared" si="1"/>
        <v>7822968</v>
      </c>
      <c r="R30" s="195"/>
      <c r="S30" s="195"/>
      <c r="T30" s="195"/>
    </row>
    <row r="31" spans="1:20" ht="20.100000000000001" customHeight="1" x14ac:dyDescent="0.25">
      <c r="A31" s="75">
        <v>24</v>
      </c>
      <c r="B31" s="133">
        <v>43249</v>
      </c>
      <c r="C31" s="138" t="s">
        <v>1832</v>
      </c>
      <c r="D31" s="139" t="s">
        <v>1834</v>
      </c>
      <c r="E31" s="78" t="s">
        <v>21</v>
      </c>
      <c r="F31" s="110"/>
      <c r="G31" s="111">
        <v>210</v>
      </c>
      <c r="H31" s="81">
        <v>3714900</v>
      </c>
      <c r="J31" s="228">
        <v>2740000</v>
      </c>
      <c r="K31" s="86"/>
      <c r="L31" s="69"/>
      <c r="M31" s="112"/>
      <c r="N31" s="112"/>
      <c r="O31" s="142">
        <f t="shared" si="0"/>
        <v>6454900</v>
      </c>
      <c r="P31" s="224">
        <v>12090909</v>
      </c>
      <c r="Q31" s="176">
        <f t="shared" si="1"/>
        <v>5636009</v>
      </c>
      <c r="R31" s="195"/>
      <c r="S31" s="195"/>
      <c r="T31" s="195"/>
    </row>
    <row r="32" spans="1:20" ht="20.100000000000001" customHeight="1" x14ac:dyDescent="0.25">
      <c r="A32" s="75"/>
      <c r="B32" s="133"/>
      <c r="C32" s="138"/>
      <c r="D32" s="139"/>
      <c r="E32" s="78"/>
      <c r="F32" s="110"/>
      <c r="G32" s="197">
        <v>245</v>
      </c>
      <c r="H32" s="126">
        <f>G32*17690</f>
        <v>4334050</v>
      </c>
      <c r="J32" s="112"/>
      <c r="K32" s="86"/>
      <c r="L32" s="69"/>
      <c r="M32" s="112"/>
      <c r="N32" s="112"/>
      <c r="O32" s="142">
        <f t="shared" si="0"/>
        <v>4334050</v>
      </c>
      <c r="P32" s="224"/>
      <c r="Q32" s="176">
        <f t="shared" si="1"/>
        <v>-4334050</v>
      </c>
      <c r="R32" s="195"/>
      <c r="S32" s="195"/>
      <c r="T32" s="195"/>
    </row>
    <row r="33" spans="1:19" ht="27" customHeight="1" x14ac:dyDescent="0.25">
      <c r="A33" s="75"/>
      <c r="B33" s="133"/>
      <c r="C33" s="183" t="s">
        <v>1831</v>
      </c>
      <c r="D33" s="162"/>
      <c r="E33" s="153"/>
      <c r="F33" s="163"/>
      <c r="G33" s="194"/>
      <c r="H33" s="234"/>
      <c r="I33" s="165"/>
      <c r="J33" s="166"/>
      <c r="K33" s="86"/>
      <c r="L33" s="156"/>
      <c r="M33" s="166">
        <v>860000</v>
      </c>
      <c r="N33" s="112"/>
      <c r="O33" s="142">
        <f t="shared" ref="O33:O35" si="2">H33+J33+K33+L33+M33+N33</f>
        <v>860000</v>
      </c>
      <c r="P33" s="68"/>
      <c r="Q33" s="176">
        <f t="shared" ref="Q33:Q35" si="3">P33-O33</f>
        <v>-860000</v>
      </c>
    </row>
    <row r="34" spans="1:19" ht="18" customHeight="1" x14ac:dyDescent="0.25">
      <c r="A34" s="75"/>
      <c r="B34" s="133"/>
      <c r="C34" s="170" t="s">
        <v>1273</v>
      </c>
      <c r="D34" s="162"/>
      <c r="E34" s="153"/>
      <c r="F34" s="163"/>
      <c r="G34" s="164"/>
      <c r="H34" s="155"/>
      <c r="I34" s="165"/>
      <c r="J34" s="166"/>
      <c r="K34" s="86"/>
      <c r="L34" s="156">
        <v>1320000</v>
      </c>
      <c r="M34" s="112"/>
      <c r="N34" s="112"/>
      <c r="O34" s="142">
        <f t="shared" si="2"/>
        <v>1320000</v>
      </c>
      <c r="P34" s="68"/>
      <c r="Q34" s="176">
        <f t="shared" si="3"/>
        <v>-1320000</v>
      </c>
    </row>
    <row r="35" spans="1:19" ht="18" customHeight="1" x14ac:dyDescent="0.25">
      <c r="A35" s="134"/>
      <c r="B35" s="70"/>
      <c r="C35" s="108" t="s">
        <v>1386</v>
      </c>
      <c r="D35" s="87"/>
      <c r="E35" s="70"/>
      <c r="F35" s="110"/>
      <c r="G35" s="70"/>
      <c r="H35" s="111"/>
      <c r="I35" s="111"/>
      <c r="J35" s="112"/>
      <c r="K35" s="113">
        <v>9692308</v>
      </c>
      <c r="L35" s="141"/>
      <c r="M35" s="112"/>
      <c r="N35" s="112"/>
      <c r="O35" s="142">
        <f t="shared" si="2"/>
        <v>9692308</v>
      </c>
      <c r="P35" s="144"/>
      <c r="Q35" s="176">
        <f t="shared" si="3"/>
        <v>-9692308</v>
      </c>
    </row>
    <row r="36" spans="1:19" ht="18" customHeight="1" x14ac:dyDescent="0.25">
      <c r="A36" s="213"/>
      <c r="B36" s="214"/>
      <c r="C36" s="215"/>
      <c r="D36" s="216"/>
      <c r="E36" s="214"/>
      <c r="F36" s="217"/>
      <c r="G36" s="214"/>
      <c r="H36" s="218"/>
      <c r="I36" s="218"/>
      <c r="J36" s="219"/>
      <c r="K36" s="220"/>
      <c r="L36" s="221"/>
      <c r="M36" s="219"/>
      <c r="N36" s="219"/>
      <c r="O36" s="142"/>
      <c r="P36" s="214"/>
      <c r="Q36" s="176"/>
    </row>
    <row r="37" spans="1:19" x14ac:dyDescent="0.25">
      <c r="A37" s="547" t="s">
        <v>19</v>
      </c>
      <c r="B37" s="548"/>
      <c r="C37" s="548"/>
      <c r="D37" s="548"/>
      <c r="E37" s="548"/>
      <c r="F37" s="549"/>
      <c r="G37" s="236">
        <f>SUM(G7:G35)</f>
        <v>3288</v>
      </c>
      <c r="H37" s="71">
        <f>SUM(H7:H35)</f>
        <v>56651320</v>
      </c>
      <c r="I37" s="71">
        <f>SUM(I7:I35)</f>
        <v>0</v>
      </c>
      <c r="J37" s="71">
        <f>SUM(J7:J35)</f>
        <v>33450000</v>
      </c>
      <c r="K37" s="71">
        <f>SUM(K7:K36)</f>
        <v>9692308</v>
      </c>
      <c r="L37" s="71">
        <f>SUM(L7:L36)</f>
        <v>1320000</v>
      </c>
      <c r="M37" s="71">
        <f>SUM(M7:M35)</f>
        <v>860000</v>
      </c>
      <c r="N37" s="71">
        <f>SUM(N7:N35)</f>
        <v>0</v>
      </c>
      <c r="O37" s="71">
        <f>SUM(O7:O36)</f>
        <v>101973628</v>
      </c>
      <c r="P37" s="71">
        <f>SUM(P7:P35)</f>
        <v>142572727</v>
      </c>
      <c r="Q37" s="71">
        <f>SUM(Q7:Q36)</f>
        <v>40599099</v>
      </c>
      <c r="R37" s="195"/>
      <c r="S37" s="195"/>
    </row>
    <row r="38" spans="1:19" x14ac:dyDescent="0.25">
      <c r="P38" s="195"/>
      <c r="Q38" s="202"/>
    </row>
    <row r="39" spans="1:19" x14ac:dyDescent="0.25">
      <c r="P39" s="229" t="s">
        <v>1225</v>
      </c>
      <c r="Q39" s="185">
        <f>'04-2018'!Q47+'05-2018'!Q37</f>
        <v>135828970</v>
      </c>
    </row>
    <row r="40" spans="1:19" x14ac:dyDescent="0.25">
      <c r="Q40" s="195"/>
    </row>
    <row r="41" spans="1:19" x14ac:dyDescent="0.25">
      <c r="R41" s="195"/>
    </row>
  </sheetData>
  <mergeCells count="5">
    <mergeCell ref="A1:Q1"/>
    <mergeCell ref="A2:Q2"/>
    <mergeCell ref="A3:Q3"/>
    <mergeCell ref="G5:N5"/>
    <mergeCell ref="A37:F37"/>
  </mergeCells>
  <pageMargins left="0.7" right="0.7" top="0.75" bottom="0.75" header="0.3" footer="0.3"/>
  <pageSetup paperSize="9" orientation="portrait" horizontalDpi="180" verticalDpi="18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T45"/>
  <sheetViews>
    <sheetView topLeftCell="C27" workbookViewId="0">
      <selection activeCell="M13" sqref="M13"/>
    </sheetView>
  </sheetViews>
  <sheetFormatPr defaultRowHeight="15" x14ac:dyDescent="0.25"/>
  <cols>
    <col min="1" max="1" width="4.5703125" customWidth="1"/>
    <col min="3" max="3" width="41.28515625" customWidth="1"/>
    <col min="4" max="4" width="16.5703125" customWidth="1"/>
    <col min="5" max="5" width="33.140625" customWidth="1"/>
    <col min="15" max="15" width="11.140625" customWidth="1"/>
    <col min="16" max="16" width="10.7109375" customWidth="1"/>
    <col min="17" max="17" width="12.28515625" customWidth="1"/>
    <col min="18" max="18" width="11.7109375" customWidth="1"/>
    <col min="19" max="19" width="18"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1835</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74"/>
      <c r="H4" s="72"/>
      <c r="I4" s="74"/>
      <c r="J4" s="72"/>
      <c r="K4" s="72"/>
      <c r="L4" s="72"/>
      <c r="M4" s="72"/>
      <c r="N4" s="72"/>
      <c r="O4" s="72"/>
      <c r="P4" s="72"/>
      <c r="Q4" s="72"/>
    </row>
    <row r="5" spans="1:20" ht="25.5" x14ac:dyDescent="0.25">
      <c r="A5" s="177" t="s">
        <v>1</v>
      </c>
      <c r="B5" s="178" t="s">
        <v>2</v>
      </c>
      <c r="C5" s="177" t="s">
        <v>3</v>
      </c>
      <c r="D5" s="177" t="s">
        <v>5</v>
      </c>
      <c r="E5" s="174" t="s">
        <v>4</v>
      </c>
      <c r="F5" s="174" t="s">
        <v>17</v>
      </c>
      <c r="G5" s="552" t="s">
        <v>6</v>
      </c>
      <c r="H5" s="553"/>
      <c r="I5" s="553"/>
      <c r="J5" s="553"/>
      <c r="K5" s="553"/>
      <c r="L5" s="553"/>
      <c r="M5" s="553"/>
      <c r="N5" s="554"/>
      <c r="O5" s="127" t="s">
        <v>18</v>
      </c>
      <c r="P5" s="127" t="s">
        <v>13</v>
      </c>
      <c r="Q5" s="127" t="s">
        <v>14</v>
      </c>
    </row>
    <row r="6" spans="1:20" x14ac:dyDescent="0.25">
      <c r="A6" s="179"/>
      <c r="B6" s="180"/>
      <c r="C6" s="179"/>
      <c r="D6" s="179"/>
      <c r="E6" s="175"/>
      <c r="F6" s="175"/>
      <c r="G6" s="6" t="s">
        <v>7</v>
      </c>
      <c r="H6" s="7" t="s">
        <v>15</v>
      </c>
      <c r="I6" s="6" t="s">
        <v>16</v>
      </c>
      <c r="J6" s="7" t="s">
        <v>8</v>
      </c>
      <c r="K6" s="7" t="s">
        <v>9</v>
      </c>
      <c r="L6" s="7" t="s">
        <v>10</v>
      </c>
      <c r="M6" s="7" t="s">
        <v>11</v>
      </c>
      <c r="N6" s="7" t="s">
        <v>12</v>
      </c>
      <c r="O6" s="181"/>
      <c r="P6" s="181"/>
      <c r="Q6" s="181"/>
    </row>
    <row r="7" spans="1:20" x14ac:dyDescent="0.25">
      <c r="A7" s="75"/>
      <c r="B7" s="100"/>
      <c r="C7" s="88"/>
      <c r="D7" s="88"/>
      <c r="E7" s="134"/>
      <c r="F7" s="75"/>
      <c r="G7" s="77"/>
      <c r="H7" s="68"/>
      <c r="I7" s="75"/>
      <c r="J7" s="68"/>
      <c r="K7" s="68"/>
      <c r="L7" s="68"/>
      <c r="M7" s="68"/>
      <c r="N7" s="68"/>
      <c r="O7" s="68">
        <f>H7+J7+K7+L7+M7+N7</f>
        <v>0</v>
      </c>
      <c r="P7" s="144"/>
      <c r="Q7" s="68">
        <f>P7-O7</f>
        <v>0</v>
      </c>
    </row>
    <row r="8" spans="1:20" ht="20.100000000000001" customHeight="1" x14ac:dyDescent="0.25">
      <c r="A8" s="75">
        <v>1</v>
      </c>
      <c r="B8" s="133">
        <v>43251</v>
      </c>
      <c r="C8" s="135" t="s">
        <v>1836</v>
      </c>
      <c r="D8" s="136" t="s">
        <v>1837</v>
      </c>
      <c r="E8" s="78" t="s">
        <v>21</v>
      </c>
      <c r="F8" s="80"/>
      <c r="G8" s="81"/>
      <c r="H8" s="81"/>
      <c r="J8" s="222">
        <v>2740000</v>
      </c>
      <c r="K8" s="86"/>
      <c r="L8" s="69"/>
      <c r="M8" s="69"/>
      <c r="N8" s="69"/>
      <c r="O8" s="142">
        <f>H8+J8+K8+L8+M8+N8</f>
        <v>2740000</v>
      </c>
      <c r="P8" s="145">
        <v>12090909</v>
      </c>
      <c r="Q8" s="176">
        <f>P8-O8</f>
        <v>9350909</v>
      </c>
      <c r="R8" s="195"/>
      <c r="S8" s="195"/>
      <c r="T8" s="195"/>
    </row>
    <row r="9" spans="1:20" ht="20.100000000000001" customHeight="1" x14ac:dyDescent="0.25">
      <c r="A9" s="75">
        <v>2</v>
      </c>
      <c r="B9" s="133">
        <v>43252</v>
      </c>
      <c r="C9" s="135" t="s">
        <v>1838</v>
      </c>
      <c r="D9" s="136" t="s">
        <v>1839</v>
      </c>
      <c r="E9" s="78" t="s">
        <v>1840</v>
      </c>
      <c r="F9" s="80"/>
      <c r="G9" s="81">
        <v>242</v>
      </c>
      <c r="H9" s="81">
        <v>4280980</v>
      </c>
      <c r="J9" s="223">
        <v>790000</v>
      </c>
      <c r="K9" s="86"/>
      <c r="L9" s="69"/>
      <c r="M9" s="69"/>
      <c r="N9" s="69"/>
      <c r="O9" s="142">
        <f t="shared" ref="O9:O32" si="0">H9+J9+K9+L9+M9+N9</f>
        <v>5070980</v>
      </c>
      <c r="P9" s="145">
        <v>3209091</v>
      </c>
      <c r="Q9" s="176">
        <f t="shared" ref="Q9:Q40" si="1">P9-O9</f>
        <v>-1861889</v>
      </c>
      <c r="R9" s="195"/>
      <c r="S9" s="195"/>
      <c r="T9" s="195"/>
    </row>
    <row r="10" spans="1:20" ht="20.100000000000001" customHeight="1" x14ac:dyDescent="0.25">
      <c r="A10" s="75">
        <v>3</v>
      </c>
      <c r="B10" s="133">
        <v>43253</v>
      </c>
      <c r="C10" s="135" t="s">
        <v>1841</v>
      </c>
      <c r="D10" s="136" t="s">
        <v>1842</v>
      </c>
      <c r="E10" s="78" t="s">
        <v>562</v>
      </c>
      <c r="F10" s="80"/>
      <c r="G10" s="81"/>
      <c r="H10" s="81"/>
      <c r="J10" s="222">
        <v>2740000</v>
      </c>
      <c r="K10" s="86"/>
      <c r="L10" s="69"/>
      <c r="M10" s="69"/>
      <c r="N10" s="69"/>
      <c r="O10" s="142">
        <f t="shared" si="0"/>
        <v>2740000</v>
      </c>
      <c r="P10" s="145">
        <v>13181818</v>
      </c>
      <c r="Q10" s="176">
        <f t="shared" si="1"/>
        <v>10441818</v>
      </c>
      <c r="R10" s="195"/>
      <c r="S10" s="195"/>
      <c r="T10" s="195"/>
    </row>
    <row r="11" spans="1:20" ht="20.100000000000001" customHeight="1" x14ac:dyDescent="0.25">
      <c r="A11" s="75">
        <v>4</v>
      </c>
      <c r="B11" s="133">
        <v>43255</v>
      </c>
      <c r="C11" s="135" t="s">
        <v>1843</v>
      </c>
      <c r="D11" s="136" t="s">
        <v>1844</v>
      </c>
      <c r="E11" s="78" t="s">
        <v>1845</v>
      </c>
      <c r="F11" s="80"/>
      <c r="G11" s="130">
        <v>295</v>
      </c>
      <c r="H11" s="81">
        <v>5218550</v>
      </c>
      <c r="J11" s="222">
        <v>960000</v>
      </c>
      <c r="K11" s="86"/>
      <c r="L11" s="69"/>
      <c r="M11" s="69"/>
      <c r="N11" s="69"/>
      <c r="O11" s="142">
        <f t="shared" si="0"/>
        <v>6178550</v>
      </c>
      <c r="P11" s="207">
        <v>5200000</v>
      </c>
      <c r="Q11" s="176">
        <f t="shared" si="1"/>
        <v>-978550</v>
      </c>
      <c r="R11" s="195"/>
      <c r="S11" s="195"/>
      <c r="T11" s="195"/>
    </row>
    <row r="12" spans="1:20" ht="20.100000000000001" customHeight="1" x14ac:dyDescent="0.25">
      <c r="A12" s="75">
        <v>5</v>
      </c>
      <c r="B12" s="133">
        <v>43257</v>
      </c>
      <c r="C12" s="135" t="s">
        <v>391</v>
      </c>
      <c r="D12" s="136" t="s">
        <v>1846</v>
      </c>
      <c r="E12" s="78" t="s">
        <v>21</v>
      </c>
      <c r="F12" s="80"/>
      <c r="G12" s="81"/>
      <c r="H12" s="81"/>
      <c r="J12" s="222">
        <v>2740000</v>
      </c>
      <c r="K12" s="86"/>
      <c r="L12" s="69"/>
      <c r="M12" s="69"/>
      <c r="N12" s="69"/>
      <c r="O12" s="142">
        <f t="shared" si="0"/>
        <v>2740000</v>
      </c>
      <c r="P12" s="145">
        <v>12090909</v>
      </c>
      <c r="Q12" s="176">
        <f t="shared" si="1"/>
        <v>9350909</v>
      </c>
      <c r="R12" s="195"/>
      <c r="S12" s="195"/>
      <c r="T12" s="195"/>
    </row>
    <row r="13" spans="1:20" ht="20.100000000000001" customHeight="1" x14ac:dyDescent="0.25">
      <c r="A13" s="75">
        <v>6</v>
      </c>
      <c r="B13" s="133">
        <v>43258</v>
      </c>
      <c r="C13" s="135" t="s">
        <v>1847</v>
      </c>
      <c r="D13" s="136" t="s">
        <v>1848</v>
      </c>
      <c r="E13" s="78" t="s">
        <v>1429</v>
      </c>
      <c r="F13" s="80"/>
      <c r="G13" s="81"/>
      <c r="H13" s="81"/>
      <c r="J13" s="222">
        <v>970000</v>
      </c>
      <c r="K13" s="86"/>
      <c r="L13" s="69"/>
      <c r="M13" s="69"/>
      <c r="N13" s="69"/>
      <c r="O13" s="142">
        <f t="shared" si="0"/>
        <v>970000</v>
      </c>
      <c r="P13" s="145">
        <v>3700000</v>
      </c>
      <c r="Q13" s="176">
        <f t="shared" si="1"/>
        <v>2730000</v>
      </c>
      <c r="R13" s="195"/>
      <c r="S13" s="195"/>
      <c r="T13" s="195"/>
    </row>
    <row r="14" spans="1:20" ht="20.100000000000001" customHeight="1" x14ac:dyDescent="0.25">
      <c r="A14" s="75">
        <v>7</v>
      </c>
      <c r="B14" s="133">
        <v>43259</v>
      </c>
      <c r="C14" s="135" t="s">
        <v>1849</v>
      </c>
      <c r="D14" s="136" t="s">
        <v>1757</v>
      </c>
      <c r="E14" s="78" t="s">
        <v>189</v>
      </c>
      <c r="F14" s="80"/>
      <c r="G14" s="81">
        <v>366</v>
      </c>
      <c r="H14" s="81">
        <v>6474540</v>
      </c>
      <c r="J14" s="222">
        <v>2750000</v>
      </c>
      <c r="K14" s="86"/>
      <c r="L14" s="69"/>
      <c r="M14" s="69"/>
      <c r="N14" s="69"/>
      <c r="O14" s="142">
        <f t="shared" si="0"/>
        <v>9224540</v>
      </c>
      <c r="P14" s="145">
        <v>6500000</v>
      </c>
      <c r="Q14" s="176">
        <f t="shared" si="1"/>
        <v>-2724540</v>
      </c>
      <c r="R14" s="195"/>
      <c r="S14" s="195"/>
      <c r="T14" s="195"/>
    </row>
    <row r="15" spans="1:20" ht="20.100000000000001" customHeight="1" x14ac:dyDescent="0.25">
      <c r="A15" s="75">
        <v>8</v>
      </c>
      <c r="B15" s="133">
        <v>43260</v>
      </c>
      <c r="C15" s="135" t="s">
        <v>1850</v>
      </c>
      <c r="D15" s="136" t="s">
        <v>1851</v>
      </c>
      <c r="E15" s="78" t="s">
        <v>189</v>
      </c>
      <c r="F15" s="80"/>
      <c r="G15" s="81"/>
      <c r="H15" s="81"/>
      <c r="J15" s="222">
        <v>0</v>
      </c>
      <c r="K15" s="86"/>
      <c r="L15" s="69"/>
      <c r="M15" s="69"/>
      <c r="N15" s="69"/>
      <c r="O15" s="142">
        <f t="shared" si="0"/>
        <v>0</v>
      </c>
      <c r="P15" s="145">
        <v>6500000</v>
      </c>
      <c r="Q15" s="176">
        <f t="shared" si="1"/>
        <v>6500000</v>
      </c>
      <c r="R15" s="195"/>
      <c r="S15" s="195"/>
      <c r="T15" s="195"/>
    </row>
    <row r="16" spans="1:20" ht="20.100000000000001" customHeight="1" x14ac:dyDescent="0.25">
      <c r="A16" s="75">
        <v>9</v>
      </c>
      <c r="B16" s="133">
        <v>43262</v>
      </c>
      <c r="C16" s="135" t="s">
        <v>1852</v>
      </c>
      <c r="D16" s="136" t="s">
        <v>1853</v>
      </c>
      <c r="E16" s="78" t="s">
        <v>21</v>
      </c>
      <c r="F16" s="80"/>
      <c r="G16" s="81">
        <v>301</v>
      </c>
      <c r="H16" s="81">
        <v>5324690</v>
      </c>
      <c r="J16" s="222">
        <v>2740000</v>
      </c>
      <c r="K16" s="86"/>
      <c r="L16" s="69"/>
      <c r="M16" s="69"/>
      <c r="N16" s="69"/>
      <c r="O16" s="142">
        <f t="shared" si="0"/>
        <v>8064690</v>
      </c>
      <c r="P16" s="145">
        <v>12090909</v>
      </c>
      <c r="Q16" s="176">
        <f t="shared" si="1"/>
        <v>4026219</v>
      </c>
      <c r="R16" s="195"/>
      <c r="S16" s="195"/>
      <c r="T16" s="195"/>
    </row>
    <row r="17" spans="1:20" ht="20.100000000000001" customHeight="1" x14ac:dyDescent="0.25">
      <c r="A17" s="75">
        <v>10</v>
      </c>
      <c r="B17" s="133">
        <v>43263</v>
      </c>
      <c r="C17" s="135" t="s">
        <v>1854</v>
      </c>
      <c r="D17" s="136" t="s">
        <v>1855</v>
      </c>
      <c r="E17" s="78" t="s">
        <v>21</v>
      </c>
      <c r="F17" s="80"/>
      <c r="G17" s="81">
        <v>240</v>
      </c>
      <c r="H17" s="81">
        <v>4245600</v>
      </c>
      <c r="J17" s="222">
        <v>2740000</v>
      </c>
      <c r="K17" s="86"/>
      <c r="L17" s="69"/>
      <c r="M17" s="69"/>
      <c r="N17" s="69"/>
      <c r="O17" s="142">
        <f t="shared" si="0"/>
        <v>6985600</v>
      </c>
      <c r="P17" s="145">
        <v>12090909</v>
      </c>
      <c r="Q17" s="176">
        <f t="shared" si="1"/>
        <v>5105309</v>
      </c>
      <c r="R17" s="195"/>
      <c r="S17" s="195"/>
      <c r="T17" s="195"/>
    </row>
    <row r="18" spans="1:20" ht="20.100000000000001" customHeight="1" x14ac:dyDescent="0.25">
      <c r="A18" s="75">
        <v>11</v>
      </c>
      <c r="B18" s="133">
        <v>43265</v>
      </c>
      <c r="C18" s="135" t="s">
        <v>1178</v>
      </c>
      <c r="D18" s="136" t="s">
        <v>1856</v>
      </c>
      <c r="E18" s="78" t="s">
        <v>215</v>
      </c>
      <c r="F18" s="80"/>
      <c r="G18" s="81"/>
      <c r="H18" s="81"/>
      <c r="J18" s="222">
        <v>970000</v>
      </c>
      <c r="K18" s="86"/>
      <c r="L18" s="69"/>
      <c r="M18" s="69"/>
      <c r="N18" s="69"/>
      <c r="O18" s="142">
        <f t="shared" si="0"/>
        <v>970000</v>
      </c>
      <c r="P18" s="145">
        <v>3700000</v>
      </c>
      <c r="Q18" s="176">
        <f t="shared" si="1"/>
        <v>2730000</v>
      </c>
      <c r="R18" s="195"/>
      <c r="S18" s="195"/>
      <c r="T18" s="195"/>
    </row>
    <row r="19" spans="1:20" ht="20.100000000000001" customHeight="1" x14ac:dyDescent="0.25">
      <c r="A19" s="75">
        <v>12</v>
      </c>
      <c r="B19" s="133">
        <v>43266</v>
      </c>
      <c r="C19" s="135" t="s">
        <v>1857</v>
      </c>
      <c r="D19" s="136" t="s">
        <v>1858</v>
      </c>
      <c r="E19" s="78" t="s">
        <v>633</v>
      </c>
      <c r="F19" s="80"/>
      <c r="G19" s="81">
        <v>326</v>
      </c>
      <c r="H19" s="81">
        <v>5766940</v>
      </c>
      <c r="J19" s="222">
        <v>970000</v>
      </c>
      <c r="K19" s="86"/>
      <c r="L19" s="69"/>
      <c r="M19" s="69"/>
      <c r="N19" s="69"/>
      <c r="O19" s="142">
        <f t="shared" si="0"/>
        <v>6736940</v>
      </c>
      <c r="P19" s="145">
        <v>3800000</v>
      </c>
      <c r="Q19" s="176">
        <f t="shared" si="1"/>
        <v>-2936940</v>
      </c>
      <c r="R19" s="195"/>
      <c r="S19" s="195"/>
      <c r="T19" s="195"/>
    </row>
    <row r="20" spans="1:20" ht="20.100000000000001" customHeight="1" x14ac:dyDescent="0.25">
      <c r="A20" s="75">
        <v>13</v>
      </c>
      <c r="B20" s="133">
        <v>43269</v>
      </c>
      <c r="C20" s="135" t="s">
        <v>1859</v>
      </c>
      <c r="D20" s="136" t="s">
        <v>1860</v>
      </c>
      <c r="E20" s="78" t="s">
        <v>232</v>
      </c>
      <c r="F20" s="80"/>
      <c r="G20" s="81"/>
      <c r="H20" s="81"/>
      <c r="J20" s="222">
        <v>790000</v>
      </c>
      <c r="K20" s="86"/>
      <c r="L20" s="69"/>
      <c r="M20" s="69"/>
      <c r="N20" s="69"/>
      <c r="O20" s="142">
        <f t="shared" si="0"/>
        <v>790000</v>
      </c>
      <c r="P20" s="145">
        <v>2809091</v>
      </c>
      <c r="Q20" s="176">
        <f t="shared" si="1"/>
        <v>2019091</v>
      </c>
      <c r="R20" s="195"/>
      <c r="S20" s="195"/>
      <c r="T20" s="195"/>
    </row>
    <row r="21" spans="1:20" ht="20.100000000000001" customHeight="1" x14ac:dyDescent="0.25">
      <c r="A21" s="75">
        <v>14</v>
      </c>
      <c r="B21" s="133">
        <v>43269</v>
      </c>
      <c r="C21" s="135" t="s">
        <v>1179</v>
      </c>
      <c r="D21" s="136" t="s">
        <v>1861</v>
      </c>
      <c r="E21" s="78" t="s">
        <v>1862</v>
      </c>
      <c r="F21" s="80"/>
      <c r="G21" s="81"/>
      <c r="H21" s="81"/>
      <c r="J21" s="222">
        <v>1420000</v>
      </c>
      <c r="K21" s="86"/>
      <c r="L21" s="69"/>
      <c r="M21" s="69"/>
      <c r="N21" s="69"/>
      <c r="O21" s="142">
        <f t="shared" si="0"/>
        <v>1420000</v>
      </c>
      <c r="P21" s="145">
        <v>5300000</v>
      </c>
      <c r="Q21" s="176">
        <f t="shared" si="1"/>
        <v>3880000</v>
      </c>
      <c r="R21" s="195"/>
      <c r="S21" s="195"/>
      <c r="T21" s="195"/>
    </row>
    <row r="22" spans="1:20" ht="20.100000000000001" customHeight="1" x14ac:dyDescent="0.25">
      <c r="A22" s="75">
        <v>15</v>
      </c>
      <c r="B22" s="133">
        <v>43270</v>
      </c>
      <c r="C22" s="135" t="s">
        <v>1863</v>
      </c>
      <c r="D22" s="136" t="s">
        <v>1864</v>
      </c>
      <c r="E22" s="78" t="s">
        <v>1828</v>
      </c>
      <c r="F22" s="80"/>
      <c r="G22" s="81"/>
      <c r="H22" s="81"/>
      <c r="J22" s="222">
        <v>1510000</v>
      </c>
      <c r="K22" s="86"/>
      <c r="L22" s="69"/>
      <c r="M22" s="69"/>
      <c r="N22" s="69"/>
      <c r="O22" s="142">
        <f t="shared" si="0"/>
        <v>1510000</v>
      </c>
      <c r="P22" s="145">
        <v>6100000</v>
      </c>
      <c r="Q22" s="176">
        <f t="shared" si="1"/>
        <v>4590000</v>
      </c>
      <c r="R22" s="195"/>
      <c r="S22" s="195"/>
      <c r="T22" s="195"/>
    </row>
    <row r="23" spans="1:20" ht="20.100000000000001" customHeight="1" x14ac:dyDescent="0.25">
      <c r="A23" s="75">
        <v>16</v>
      </c>
      <c r="B23" s="133">
        <v>43271</v>
      </c>
      <c r="C23" s="135" t="s">
        <v>1865</v>
      </c>
      <c r="D23" s="136" t="s">
        <v>1866</v>
      </c>
      <c r="E23" s="78" t="s">
        <v>1212</v>
      </c>
      <c r="F23" s="80"/>
      <c r="G23" s="81">
        <v>320</v>
      </c>
      <c r="H23" s="81">
        <v>5660800</v>
      </c>
      <c r="J23" s="222">
        <v>2440000</v>
      </c>
      <c r="K23" s="86"/>
      <c r="L23" s="69"/>
      <c r="M23" s="69"/>
      <c r="N23" s="69"/>
      <c r="O23" s="142">
        <f t="shared" si="0"/>
        <v>8100800</v>
      </c>
      <c r="P23" s="145">
        <v>13181818</v>
      </c>
      <c r="Q23" s="176">
        <f t="shared" si="1"/>
        <v>5081018</v>
      </c>
      <c r="R23" s="195"/>
      <c r="S23" s="195"/>
      <c r="T23" s="195"/>
    </row>
    <row r="24" spans="1:20" ht="20.100000000000001" customHeight="1" x14ac:dyDescent="0.25">
      <c r="A24" s="75">
        <v>17</v>
      </c>
      <c r="B24" s="133">
        <v>43273</v>
      </c>
      <c r="C24" s="135" t="s">
        <v>1867</v>
      </c>
      <c r="D24" s="136" t="s">
        <v>1868</v>
      </c>
      <c r="E24" s="78" t="s">
        <v>25</v>
      </c>
      <c r="F24" s="80"/>
      <c r="G24" s="81">
        <v>154</v>
      </c>
      <c r="H24" s="81">
        <v>2724260</v>
      </c>
      <c r="J24" s="222">
        <v>560000</v>
      </c>
      <c r="K24" s="86"/>
      <c r="L24" s="69"/>
      <c r="M24" s="69"/>
      <c r="N24" s="69"/>
      <c r="O24" s="142">
        <f t="shared" si="0"/>
        <v>3284260</v>
      </c>
      <c r="P24" s="145">
        <v>3200000</v>
      </c>
      <c r="Q24" s="176">
        <f t="shared" si="1"/>
        <v>-84260</v>
      </c>
      <c r="R24" s="195"/>
      <c r="S24" s="195"/>
      <c r="T24" s="195"/>
    </row>
    <row r="25" spans="1:20" ht="20.100000000000001" customHeight="1" x14ac:dyDescent="0.25">
      <c r="A25" s="75">
        <v>18</v>
      </c>
      <c r="B25" s="133">
        <v>43273</v>
      </c>
      <c r="C25" s="135" t="s">
        <v>1869</v>
      </c>
      <c r="D25" s="136" t="s">
        <v>1870</v>
      </c>
      <c r="E25" s="78" t="s">
        <v>1871</v>
      </c>
      <c r="F25" s="80"/>
      <c r="G25" s="81"/>
      <c r="H25" s="81"/>
      <c r="J25" s="222">
        <v>1170000</v>
      </c>
      <c r="K25" s="86"/>
      <c r="L25" s="69"/>
      <c r="M25" s="69"/>
      <c r="N25" s="69"/>
      <c r="O25" s="142">
        <f t="shared" si="0"/>
        <v>1170000</v>
      </c>
      <c r="P25" s="145">
        <v>4700000</v>
      </c>
      <c r="Q25" s="176">
        <f t="shared" si="1"/>
        <v>3530000</v>
      </c>
      <c r="R25" s="195"/>
      <c r="S25" s="195"/>
      <c r="T25" s="195"/>
    </row>
    <row r="26" spans="1:20" ht="20.100000000000001" customHeight="1" x14ac:dyDescent="0.25">
      <c r="A26" s="75">
        <v>19</v>
      </c>
      <c r="B26" s="133">
        <v>43274</v>
      </c>
      <c r="C26" s="135" t="s">
        <v>1872</v>
      </c>
      <c r="D26" s="136" t="s">
        <v>1873</v>
      </c>
      <c r="E26" s="78" t="s">
        <v>215</v>
      </c>
      <c r="F26" s="80"/>
      <c r="G26" s="81">
        <v>310</v>
      </c>
      <c r="H26" s="81">
        <v>5412600</v>
      </c>
      <c r="J26" s="222">
        <v>970000</v>
      </c>
      <c r="K26" s="86"/>
      <c r="L26" s="69"/>
      <c r="M26" s="69"/>
      <c r="N26" s="69"/>
      <c r="O26" s="142">
        <f t="shared" si="0"/>
        <v>6382600</v>
      </c>
      <c r="P26" s="145">
        <v>3700000</v>
      </c>
      <c r="Q26" s="176">
        <f t="shared" si="1"/>
        <v>-2682600</v>
      </c>
      <c r="R26" s="195"/>
      <c r="S26" s="195"/>
      <c r="T26" s="195"/>
    </row>
    <row r="27" spans="1:20" ht="20.100000000000001" customHeight="1" x14ac:dyDescent="0.25">
      <c r="A27" s="75">
        <v>20</v>
      </c>
      <c r="B27" s="133">
        <v>43276</v>
      </c>
      <c r="C27" s="135" t="s">
        <v>1874</v>
      </c>
      <c r="D27" s="136" t="s">
        <v>1875</v>
      </c>
      <c r="E27" s="78" t="s">
        <v>1876</v>
      </c>
      <c r="F27" s="80"/>
      <c r="G27" s="81"/>
      <c r="H27" s="81"/>
      <c r="J27" s="222">
        <v>1510000</v>
      </c>
      <c r="K27" s="86"/>
      <c r="L27" s="69"/>
      <c r="M27" s="69"/>
      <c r="N27" s="69"/>
      <c r="O27" s="142">
        <f t="shared" si="0"/>
        <v>1510000</v>
      </c>
      <c r="P27" s="207">
        <v>5400000</v>
      </c>
      <c r="Q27" s="201">
        <f t="shared" si="1"/>
        <v>3890000</v>
      </c>
      <c r="R27" s="195"/>
      <c r="S27" s="195"/>
      <c r="T27" s="195"/>
    </row>
    <row r="28" spans="1:20" ht="20.100000000000001" customHeight="1" x14ac:dyDescent="0.25">
      <c r="A28" s="75">
        <v>21</v>
      </c>
      <c r="B28" s="133">
        <v>43277</v>
      </c>
      <c r="C28" s="138" t="s">
        <v>1877</v>
      </c>
      <c r="D28" s="139" t="s">
        <v>1878</v>
      </c>
      <c r="E28" s="78" t="s">
        <v>29</v>
      </c>
      <c r="F28" s="110"/>
      <c r="G28" s="111">
        <v>220</v>
      </c>
      <c r="H28" s="81">
        <v>3841200</v>
      </c>
      <c r="J28" s="228">
        <v>970000</v>
      </c>
      <c r="K28" s="86"/>
      <c r="L28" s="69"/>
      <c r="M28" s="112"/>
      <c r="N28" s="112"/>
      <c r="O28" s="142">
        <f t="shared" si="0"/>
        <v>4811200</v>
      </c>
      <c r="P28" s="224">
        <v>3900000</v>
      </c>
      <c r="Q28" s="176">
        <f t="shared" si="1"/>
        <v>-911200</v>
      </c>
      <c r="R28" s="195"/>
      <c r="S28" s="195"/>
      <c r="T28" s="195"/>
    </row>
    <row r="29" spans="1:20" ht="20.100000000000001" customHeight="1" x14ac:dyDescent="0.25">
      <c r="A29" s="75">
        <v>22</v>
      </c>
      <c r="B29" s="133">
        <v>43278</v>
      </c>
      <c r="C29" s="138" t="s">
        <v>1187</v>
      </c>
      <c r="D29" s="139" t="s">
        <v>1879</v>
      </c>
      <c r="E29" s="78" t="s">
        <v>215</v>
      </c>
      <c r="F29" s="110"/>
      <c r="G29" s="111">
        <v>262</v>
      </c>
      <c r="H29" s="81">
        <v>4574520</v>
      </c>
      <c r="J29" s="228">
        <v>970000</v>
      </c>
      <c r="K29" s="86"/>
      <c r="L29" s="69"/>
      <c r="M29" s="112"/>
      <c r="N29" s="112"/>
      <c r="O29" s="142">
        <f t="shared" si="0"/>
        <v>5544520</v>
      </c>
      <c r="P29" s="224">
        <v>3700000</v>
      </c>
      <c r="Q29" s="176">
        <f t="shared" si="1"/>
        <v>-1844520</v>
      </c>
      <c r="R29" s="195"/>
      <c r="S29" s="195"/>
      <c r="T29" s="195"/>
    </row>
    <row r="30" spans="1:20" ht="20.100000000000001" customHeight="1" x14ac:dyDescent="0.25">
      <c r="A30" s="75">
        <v>23</v>
      </c>
      <c r="B30" s="133">
        <v>43279</v>
      </c>
      <c r="C30" s="138" t="s">
        <v>1880</v>
      </c>
      <c r="D30" s="139" t="s">
        <v>1881</v>
      </c>
      <c r="E30" s="78" t="s">
        <v>188</v>
      </c>
      <c r="F30" s="110"/>
      <c r="G30" s="111"/>
      <c r="H30" s="81"/>
      <c r="J30" s="228">
        <v>650000</v>
      </c>
      <c r="K30" s="86"/>
      <c r="L30" s="69"/>
      <c r="M30" s="112"/>
      <c r="N30" s="112"/>
      <c r="O30" s="142">
        <f t="shared" si="0"/>
        <v>650000</v>
      </c>
      <c r="P30" s="224">
        <v>3100000</v>
      </c>
      <c r="Q30" s="176">
        <f t="shared" si="1"/>
        <v>2450000</v>
      </c>
      <c r="R30" s="195"/>
      <c r="S30" s="195"/>
      <c r="T30" s="195"/>
    </row>
    <row r="31" spans="1:20" ht="20.100000000000001" customHeight="1" x14ac:dyDescent="0.25">
      <c r="A31" s="75">
        <v>24</v>
      </c>
      <c r="B31" s="133">
        <v>43280</v>
      </c>
      <c r="C31" s="138" t="s">
        <v>1882</v>
      </c>
      <c r="D31" s="139" t="s">
        <v>1883</v>
      </c>
      <c r="E31" s="78" t="s">
        <v>232</v>
      </c>
      <c r="F31" s="110"/>
      <c r="G31" s="111"/>
      <c r="H31" s="81"/>
      <c r="J31" s="228">
        <f>790000+400000+180000</f>
        <v>1370000</v>
      </c>
      <c r="K31" s="86"/>
      <c r="L31" s="69"/>
      <c r="M31" s="112"/>
      <c r="N31" s="112"/>
      <c r="O31" s="142">
        <f t="shared" si="0"/>
        <v>1370000</v>
      </c>
      <c r="P31" s="224">
        <v>2809091</v>
      </c>
      <c r="Q31" s="176">
        <f t="shared" si="1"/>
        <v>1439091</v>
      </c>
      <c r="R31" s="195"/>
      <c r="S31" s="195"/>
      <c r="T31" s="195"/>
    </row>
    <row r="32" spans="1:20" ht="20.100000000000001" customHeight="1" x14ac:dyDescent="0.25">
      <c r="A32" s="75"/>
      <c r="B32" s="133">
        <v>43280</v>
      </c>
      <c r="C32" s="138" t="s">
        <v>403</v>
      </c>
      <c r="D32" s="139" t="s">
        <v>1883</v>
      </c>
      <c r="E32" s="78" t="s">
        <v>1884</v>
      </c>
      <c r="F32" s="110"/>
      <c r="G32" s="197">
        <v>276</v>
      </c>
      <c r="H32" s="126">
        <f>G32*17460</f>
        <v>4818960</v>
      </c>
      <c r="J32" s="228">
        <v>0</v>
      </c>
      <c r="K32" s="86"/>
      <c r="L32" s="69"/>
      <c r="M32" s="112"/>
      <c r="N32" s="112"/>
      <c r="O32" s="142">
        <f t="shared" si="0"/>
        <v>4818960</v>
      </c>
      <c r="P32" s="224">
        <v>2490909</v>
      </c>
      <c r="Q32" s="176">
        <f t="shared" si="1"/>
        <v>-2328051</v>
      </c>
      <c r="R32" s="195"/>
      <c r="S32" s="195"/>
      <c r="T32" s="195"/>
    </row>
    <row r="33" spans="1:19" ht="27" customHeight="1" x14ac:dyDescent="0.25">
      <c r="A33" s="75"/>
      <c r="B33" s="133"/>
      <c r="C33" s="183" t="s">
        <v>1885</v>
      </c>
      <c r="D33" s="162"/>
      <c r="E33" s="153"/>
      <c r="F33" s="163"/>
      <c r="G33" s="194"/>
      <c r="H33" s="234"/>
      <c r="I33" s="165"/>
      <c r="J33" s="166"/>
      <c r="K33" s="86"/>
      <c r="L33" s="156"/>
      <c r="M33" s="166">
        <v>1530000</v>
      </c>
      <c r="N33" s="112"/>
      <c r="O33" s="142">
        <f t="shared" ref="O33:O39" si="2">H33+J33+K33+L33+M33+N33</f>
        <v>1530000</v>
      </c>
      <c r="P33" s="68"/>
      <c r="Q33" s="176">
        <f t="shared" si="1"/>
        <v>-1530000</v>
      </c>
    </row>
    <row r="34" spans="1:19" ht="27" customHeight="1" x14ac:dyDescent="0.25">
      <c r="A34" s="75"/>
      <c r="B34" s="133"/>
      <c r="C34" s="183" t="s">
        <v>1886</v>
      </c>
      <c r="D34" s="162"/>
      <c r="E34" s="153"/>
      <c r="F34" s="163"/>
      <c r="G34" s="194"/>
      <c r="H34" s="234"/>
      <c r="I34" s="165"/>
      <c r="J34" s="166"/>
      <c r="K34" s="86"/>
      <c r="L34" s="156"/>
      <c r="M34" s="166">
        <v>850000</v>
      </c>
      <c r="N34" s="112"/>
      <c r="O34" s="142">
        <f t="shared" si="2"/>
        <v>850000</v>
      </c>
      <c r="P34" s="68"/>
      <c r="Q34" s="176">
        <f t="shared" si="1"/>
        <v>-850000</v>
      </c>
    </row>
    <row r="35" spans="1:19" ht="27" customHeight="1" x14ac:dyDescent="0.25">
      <c r="A35" s="75"/>
      <c r="B35" s="133"/>
      <c r="C35" s="183" t="s">
        <v>1887</v>
      </c>
      <c r="D35" s="162"/>
      <c r="E35" s="153"/>
      <c r="F35" s="163"/>
      <c r="G35" s="194"/>
      <c r="H35" s="234"/>
      <c r="I35" s="165"/>
      <c r="J35" s="166"/>
      <c r="K35" s="86"/>
      <c r="L35" s="156"/>
      <c r="M35" s="166">
        <v>6950000</v>
      </c>
      <c r="N35" s="112"/>
      <c r="O35" s="142">
        <f t="shared" si="2"/>
        <v>6950000</v>
      </c>
      <c r="P35" s="68"/>
      <c r="Q35" s="176">
        <f t="shared" si="1"/>
        <v>-6950000</v>
      </c>
    </row>
    <row r="36" spans="1:19" ht="27" customHeight="1" x14ac:dyDescent="0.25">
      <c r="A36" s="75"/>
      <c r="B36" s="133"/>
      <c r="C36" s="183" t="s">
        <v>1888</v>
      </c>
      <c r="D36" s="162"/>
      <c r="E36" s="153"/>
      <c r="F36" s="163"/>
      <c r="G36" s="194"/>
      <c r="H36" s="234"/>
      <c r="I36" s="165"/>
      <c r="J36" s="166"/>
      <c r="K36" s="86"/>
      <c r="L36" s="156"/>
      <c r="M36" s="166">
        <v>3100000</v>
      </c>
      <c r="N36" s="112"/>
      <c r="O36" s="142">
        <f t="shared" si="2"/>
        <v>3100000</v>
      </c>
      <c r="P36" s="68"/>
      <c r="Q36" s="176">
        <f t="shared" si="1"/>
        <v>-3100000</v>
      </c>
    </row>
    <row r="37" spans="1:19" ht="41.25" customHeight="1" x14ac:dyDescent="0.25">
      <c r="A37" s="75"/>
      <c r="B37" s="133"/>
      <c r="C37" s="183" t="s">
        <v>1889</v>
      </c>
      <c r="D37" s="162"/>
      <c r="E37" s="153"/>
      <c r="F37" s="163"/>
      <c r="G37" s="194"/>
      <c r="H37" s="234"/>
      <c r="I37" s="165"/>
      <c r="J37" s="166"/>
      <c r="K37" s="86"/>
      <c r="L37" s="156"/>
      <c r="M37" s="166">
        <v>350000</v>
      </c>
      <c r="N37" s="112"/>
      <c r="O37" s="142">
        <f t="shared" si="2"/>
        <v>350000</v>
      </c>
      <c r="P37" s="68"/>
      <c r="Q37" s="176">
        <f t="shared" si="1"/>
        <v>-350000</v>
      </c>
    </row>
    <row r="38" spans="1:19" ht="18" customHeight="1" x14ac:dyDescent="0.25">
      <c r="A38" s="75"/>
      <c r="B38" s="133"/>
      <c r="C38" s="170" t="s">
        <v>1273</v>
      </c>
      <c r="D38" s="162"/>
      <c r="E38" s="153"/>
      <c r="F38" s="163"/>
      <c r="G38" s="164"/>
      <c r="H38" s="155"/>
      <c r="I38" s="165"/>
      <c r="J38" s="166"/>
      <c r="K38" s="86"/>
      <c r="L38" s="156">
        <v>1320000</v>
      </c>
      <c r="M38" s="112"/>
      <c r="N38" s="112"/>
      <c r="O38" s="142">
        <f t="shared" si="2"/>
        <v>1320000</v>
      </c>
      <c r="P38" s="68"/>
      <c r="Q38" s="176">
        <f t="shared" si="1"/>
        <v>-1320000</v>
      </c>
    </row>
    <row r="39" spans="1:19" ht="18" customHeight="1" x14ac:dyDescent="0.25">
      <c r="A39" s="134"/>
      <c r="B39" s="70"/>
      <c r="C39" s="108" t="s">
        <v>1386</v>
      </c>
      <c r="D39" s="87"/>
      <c r="E39" s="70"/>
      <c r="F39" s="110"/>
      <c r="G39" s="70"/>
      <c r="H39" s="111"/>
      <c r="I39" s="111"/>
      <c r="J39" s="112"/>
      <c r="K39" s="113">
        <v>10038462</v>
      </c>
      <c r="L39" s="141"/>
      <c r="M39" s="112"/>
      <c r="N39" s="112"/>
      <c r="O39" s="142">
        <f t="shared" si="2"/>
        <v>10038462</v>
      </c>
      <c r="P39" s="144"/>
      <c r="Q39" s="176">
        <f t="shared" si="1"/>
        <v>-10038462</v>
      </c>
    </row>
    <row r="40" spans="1:19" ht="18" customHeight="1" x14ac:dyDescent="0.25">
      <c r="A40" s="213"/>
      <c r="B40" s="214"/>
      <c r="C40" s="215"/>
      <c r="D40" s="216"/>
      <c r="E40" s="214"/>
      <c r="F40" s="217"/>
      <c r="G40" s="214"/>
      <c r="H40" s="218"/>
      <c r="I40" s="218"/>
      <c r="J40" s="219"/>
      <c r="K40" s="220"/>
      <c r="L40" s="221"/>
      <c r="M40" s="219"/>
      <c r="N40" s="219"/>
      <c r="O40" s="142"/>
      <c r="P40" s="214"/>
      <c r="Q40" s="176">
        <f t="shared" si="1"/>
        <v>0</v>
      </c>
    </row>
    <row r="41" spans="1:19" x14ac:dyDescent="0.25">
      <c r="A41" s="547" t="s">
        <v>19</v>
      </c>
      <c r="B41" s="548"/>
      <c r="C41" s="548"/>
      <c r="D41" s="548"/>
      <c r="E41" s="548"/>
      <c r="F41" s="549"/>
      <c r="G41" s="236">
        <f>SUM(G7:G39)</f>
        <v>3312</v>
      </c>
      <c r="H41" s="71">
        <f>SUM(H7:H39)</f>
        <v>58343640</v>
      </c>
      <c r="I41" s="71">
        <f>SUM(I7:I39)</f>
        <v>0</v>
      </c>
      <c r="J41" s="71">
        <f>SUM(J7:J39)</f>
        <v>35440000</v>
      </c>
      <c r="K41" s="71">
        <f>SUM(K7:K40)</f>
        <v>10038462</v>
      </c>
      <c r="L41" s="71">
        <f>SUM(L7:L40)</f>
        <v>1320000</v>
      </c>
      <c r="M41" s="71">
        <f>SUM(M7:M39)</f>
        <v>12780000</v>
      </c>
      <c r="N41" s="71">
        <f>SUM(N7:N39)</f>
        <v>0</v>
      </c>
      <c r="O41" s="71">
        <f>SUM(O7:O40)</f>
        <v>117922102</v>
      </c>
      <c r="P41" s="71">
        <f>SUM(P7:P39)</f>
        <v>154545454</v>
      </c>
      <c r="Q41" s="71">
        <f>SUM(Q7:Q40)</f>
        <v>36623352</v>
      </c>
      <c r="R41" s="195"/>
      <c r="S41" s="195"/>
    </row>
    <row r="42" spans="1:19" x14ac:dyDescent="0.25">
      <c r="P42" s="195"/>
      <c r="Q42" s="202"/>
    </row>
    <row r="43" spans="1:19" x14ac:dyDescent="0.25">
      <c r="P43" s="229" t="s">
        <v>1225</v>
      </c>
      <c r="Q43" s="185">
        <f>'05-2018'!Q39+'06-2018'!Q41</f>
        <v>172452322</v>
      </c>
    </row>
    <row r="44" spans="1:19" x14ac:dyDescent="0.25">
      <c r="Q44" s="195"/>
    </row>
    <row r="45" spans="1:19" x14ac:dyDescent="0.25">
      <c r="R45" s="195"/>
    </row>
  </sheetData>
  <mergeCells count="5">
    <mergeCell ref="A1:Q1"/>
    <mergeCell ref="A2:Q2"/>
    <mergeCell ref="A3:Q3"/>
    <mergeCell ref="G5:N5"/>
    <mergeCell ref="A41:F4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T51"/>
  <sheetViews>
    <sheetView topLeftCell="C33" workbookViewId="0">
      <selection activeCell="H8" sqref="H8:N46"/>
    </sheetView>
  </sheetViews>
  <sheetFormatPr defaultRowHeight="15" x14ac:dyDescent="0.25"/>
  <cols>
    <col min="1" max="1" width="4.5703125" customWidth="1"/>
    <col min="3" max="3" width="41.28515625" customWidth="1"/>
    <col min="4" max="4" width="16.5703125" customWidth="1"/>
    <col min="5" max="5" width="33.140625" customWidth="1"/>
    <col min="9" max="9" width="9.140625" style="13"/>
    <col min="15" max="15" width="11.140625" customWidth="1"/>
    <col min="16" max="16" width="10.7109375" customWidth="1"/>
    <col min="17" max="17" width="12.28515625" customWidth="1"/>
    <col min="18" max="18" width="11.7109375" customWidth="1"/>
    <col min="19" max="19" width="18"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1890</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74"/>
      <c r="H4" s="72"/>
      <c r="I4" s="72"/>
      <c r="J4" s="72"/>
      <c r="K4" s="72"/>
      <c r="L4" s="72"/>
      <c r="M4" s="72"/>
      <c r="N4" s="72"/>
      <c r="O4" s="72"/>
      <c r="P4" s="72"/>
      <c r="Q4" s="72"/>
    </row>
    <row r="5" spans="1:20" ht="25.5" x14ac:dyDescent="0.25">
      <c r="A5" s="177" t="s">
        <v>1</v>
      </c>
      <c r="B5" s="178" t="s">
        <v>2</v>
      </c>
      <c r="C5" s="177" t="s">
        <v>3</v>
      </c>
      <c r="D5" s="177" t="s">
        <v>5</v>
      </c>
      <c r="E5" s="174" t="s">
        <v>4</v>
      </c>
      <c r="F5" s="174" t="s">
        <v>17</v>
      </c>
      <c r="G5" s="552" t="s">
        <v>6</v>
      </c>
      <c r="H5" s="553"/>
      <c r="I5" s="553"/>
      <c r="J5" s="553"/>
      <c r="K5" s="553"/>
      <c r="L5" s="553"/>
      <c r="M5" s="553"/>
      <c r="N5" s="554"/>
      <c r="O5" s="127" t="s">
        <v>18</v>
      </c>
      <c r="P5" s="127" t="s">
        <v>13</v>
      </c>
      <c r="Q5" s="127" t="s">
        <v>14</v>
      </c>
    </row>
    <row r="6" spans="1:20" x14ac:dyDescent="0.25">
      <c r="A6" s="179"/>
      <c r="B6" s="180"/>
      <c r="C6" s="179"/>
      <c r="D6" s="179"/>
      <c r="E6" s="175"/>
      <c r="F6" s="175"/>
      <c r="G6" s="6" t="s">
        <v>7</v>
      </c>
      <c r="H6" s="7" t="s">
        <v>15</v>
      </c>
      <c r="I6" s="7" t="s">
        <v>16</v>
      </c>
      <c r="J6" s="7" t="s">
        <v>8</v>
      </c>
      <c r="K6" s="7" t="s">
        <v>9</v>
      </c>
      <c r="L6" s="7" t="s">
        <v>10</v>
      </c>
      <c r="M6" s="7" t="s">
        <v>11</v>
      </c>
      <c r="N6" s="7" t="s">
        <v>12</v>
      </c>
      <c r="O6" s="181"/>
      <c r="P6" s="181"/>
      <c r="Q6" s="181"/>
    </row>
    <row r="7" spans="1:20" x14ac:dyDescent="0.25">
      <c r="A7" s="75"/>
      <c r="B7" s="100"/>
      <c r="C7" s="88"/>
      <c r="D7" s="88"/>
      <c r="E7" s="134"/>
      <c r="F7" s="75"/>
      <c r="G7" s="77"/>
      <c r="H7" s="68"/>
      <c r="I7" s="68"/>
      <c r="J7" s="68"/>
      <c r="K7" s="68"/>
      <c r="L7" s="68"/>
      <c r="M7" s="68"/>
      <c r="N7" s="68"/>
      <c r="O7" s="68">
        <f>H7+J7+K7+L7+M7+N7</f>
        <v>0</v>
      </c>
      <c r="P7" s="144"/>
      <c r="Q7" s="68">
        <f>P7-O7</f>
        <v>0</v>
      </c>
    </row>
    <row r="8" spans="1:20" ht="20.100000000000001" customHeight="1" x14ac:dyDescent="0.25">
      <c r="A8" s="75">
        <v>1</v>
      </c>
      <c r="B8" s="133">
        <v>43282</v>
      </c>
      <c r="C8" s="135" t="s">
        <v>1891</v>
      </c>
      <c r="D8" s="136" t="s">
        <v>823</v>
      </c>
      <c r="E8" s="78" t="s">
        <v>27</v>
      </c>
      <c r="F8" s="80"/>
      <c r="G8" s="81"/>
      <c r="H8" s="81"/>
      <c r="J8" s="222">
        <f>790000+400000</f>
        <v>1190000</v>
      </c>
      <c r="K8" s="86"/>
      <c r="L8" s="69"/>
      <c r="M8" s="69"/>
      <c r="N8" s="69"/>
      <c r="O8" s="142">
        <f>H8+J8+K8+L8+M8+N8</f>
        <v>1190000</v>
      </c>
      <c r="P8" s="145">
        <v>2809091</v>
      </c>
      <c r="Q8" s="176">
        <f>P8-O8</f>
        <v>1619091</v>
      </c>
      <c r="R8" s="195"/>
      <c r="S8" s="195"/>
      <c r="T8" s="195"/>
    </row>
    <row r="9" spans="1:20" ht="20.100000000000001" customHeight="1" x14ac:dyDescent="0.25">
      <c r="A9" s="75">
        <v>2</v>
      </c>
      <c r="B9" s="133">
        <v>43282</v>
      </c>
      <c r="C9" s="135" t="s">
        <v>1892</v>
      </c>
      <c r="D9" s="136" t="s">
        <v>823</v>
      </c>
      <c r="E9" s="78" t="s">
        <v>636</v>
      </c>
      <c r="F9" s="80"/>
      <c r="G9" s="81"/>
      <c r="H9" s="81"/>
      <c r="J9" s="223">
        <v>0</v>
      </c>
      <c r="K9" s="86"/>
      <c r="L9" s="69"/>
      <c r="M9" s="69"/>
      <c r="N9" s="69"/>
      <c r="O9" s="142">
        <f t="shared" ref="O9:O46" si="0">H9+J9+K9+L9+M9+N9</f>
        <v>0</v>
      </c>
      <c r="P9" s="145">
        <v>1500000</v>
      </c>
      <c r="Q9" s="176">
        <f t="shared" ref="Q9:Q46" si="1">P9-O9</f>
        <v>1500000</v>
      </c>
      <c r="R9" s="195"/>
      <c r="S9" s="195"/>
      <c r="T9" s="195"/>
    </row>
    <row r="10" spans="1:20" ht="20.100000000000001" customHeight="1" x14ac:dyDescent="0.25">
      <c r="A10" s="75">
        <v>3</v>
      </c>
      <c r="B10" s="133">
        <v>43283</v>
      </c>
      <c r="C10" s="135" t="s">
        <v>1893</v>
      </c>
      <c r="D10" s="136" t="s">
        <v>1916</v>
      </c>
      <c r="E10" s="78" t="s">
        <v>1664</v>
      </c>
      <c r="F10" s="80"/>
      <c r="G10" s="81"/>
      <c r="H10" s="11"/>
      <c r="J10" s="222">
        <v>790000</v>
      </c>
      <c r="K10" s="86"/>
      <c r="L10" s="69"/>
      <c r="M10" s="69"/>
      <c r="N10" s="69"/>
      <c r="O10" s="142">
        <f t="shared" si="0"/>
        <v>790000</v>
      </c>
      <c r="P10" s="145">
        <v>3300000</v>
      </c>
      <c r="Q10" s="176">
        <f t="shared" si="1"/>
        <v>2510000</v>
      </c>
      <c r="R10" s="195"/>
      <c r="S10" s="195"/>
      <c r="T10" s="195"/>
    </row>
    <row r="11" spans="1:20" ht="20.100000000000001" customHeight="1" x14ac:dyDescent="0.25">
      <c r="A11" s="75">
        <v>4</v>
      </c>
      <c r="B11" s="133">
        <v>43284</v>
      </c>
      <c r="C11" s="135" t="s">
        <v>1894</v>
      </c>
      <c r="D11" s="136" t="s">
        <v>1917</v>
      </c>
      <c r="E11" s="78" t="s">
        <v>882</v>
      </c>
      <c r="F11" s="80"/>
      <c r="G11" s="81"/>
      <c r="H11" s="11"/>
      <c r="J11" s="222">
        <v>800000</v>
      </c>
      <c r="K11" s="86"/>
      <c r="L11" s="69"/>
      <c r="M11" s="69"/>
      <c r="N11" s="69"/>
      <c r="O11" s="142">
        <f t="shared" si="0"/>
        <v>800000</v>
      </c>
      <c r="P11" s="209">
        <v>3427273</v>
      </c>
      <c r="Q11" s="176">
        <f t="shared" si="1"/>
        <v>2627273</v>
      </c>
      <c r="R11" s="195"/>
      <c r="S11" s="195"/>
      <c r="T11" s="195"/>
    </row>
    <row r="12" spans="1:20" ht="20.100000000000001" customHeight="1" x14ac:dyDescent="0.25">
      <c r="A12" s="75">
        <v>5</v>
      </c>
      <c r="B12" s="133">
        <v>43285</v>
      </c>
      <c r="C12" s="135" t="s">
        <v>1895</v>
      </c>
      <c r="D12" s="136" t="s">
        <v>1918</v>
      </c>
      <c r="E12" s="78" t="s">
        <v>21</v>
      </c>
      <c r="F12" s="80"/>
      <c r="G12" s="81">
        <v>240</v>
      </c>
      <c r="H12" s="11">
        <v>4190400</v>
      </c>
      <c r="J12" s="222">
        <v>2740000</v>
      </c>
      <c r="K12" s="86"/>
      <c r="L12" s="69"/>
      <c r="M12" s="69"/>
      <c r="N12" s="69"/>
      <c r="O12" s="142">
        <f t="shared" si="0"/>
        <v>6930400</v>
      </c>
      <c r="P12" s="145">
        <v>14090909</v>
      </c>
      <c r="Q12" s="176">
        <f t="shared" si="1"/>
        <v>7160509</v>
      </c>
      <c r="R12" s="195"/>
      <c r="S12" s="195"/>
      <c r="T12" s="195"/>
    </row>
    <row r="13" spans="1:20" ht="20.100000000000001" customHeight="1" x14ac:dyDescent="0.25">
      <c r="A13" s="75">
        <v>6</v>
      </c>
      <c r="B13" s="133">
        <v>43287</v>
      </c>
      <c r="C13" s="135" t="s">
        <v>1228</v>
      </c>
      <c r="D13" s="136" t="s">
        <v>1919</v>
      </c>
      <c r="E13" s="78" t="s">
        <v>1940</v>
      </c>
      <c r="F13" s="80"/>
      <c r="G13" s="81"/>
      <c r="H13" s="11"/>
      <c r="J13" s="222">
        <v>450000</v>
      </c>
      <c r="K13" s="86"/>
      <c r="L13" s="69"/>
      <c r="M13" s="69"/>
      <c r="N13" s="69"/>
      <c r="O13" s="142">
        <f t="shared" si="0"/>
        <v>450000</v>
      </c>
      <c r="P13" s="145">
        <v>2600000</v>
      </c>
      <c r="Q13" s="176">
        <f t="shared" si="1"/>
        <v>2150000</v>
      </c>
      <c r="R13" s="195"/>
      <c r="S13" s="195"/>
      <c r="T13" s="195"/>
    </row>
    <row r="14" spans="1:20" ht="20.100000000000001" customHeight="1" x14ac:dyDescent="0.25">
      <c r="A14" s="75">
        <v>7</v>
      </c>
      <c r="B14" s="133">
        <v>43287</v>
      </c>
      <c r="C14" s="135" t="s">
        <v>1896</v>
      </c>
      <c r="D14" s="136" t="s">
        <v>1920</v>
      </c>
      <c r="E14" s="78" t="s">
        <v>1941</v>
      </c>
      <c r="F14" s="80"/>
      <c r="G14" s="81"/>
      <c r="H14" s="11"/>
      <c r="J14" s="222">
        <f>970000+180000</f>
        <v>1150000</v>
      </c>
      <c r="K14" s="86"/>
      <c r="L14" s="69"/>
      <c r="M14" s="69"/>
      <c r="N14" s="69"/>
      <c r="O14" s="142">
        <f t="shared" si="0"/>
        <v>1150000</v>
      </c>
      <c r="P14" s="145">
        <v>3509091</v>
      </c>
      <c r="Q14" s="176">
        <f t="shared" si="1"/>
        <v>2359091</v>
      </c>
      <c r="R14" s="195"/>
      <c r="S14" s="195"/>
      <c r="T14" s="195"/>
    </row>
    <row r="15" spans="1:20" ht="20.100000000000001" customHeight="1" x14ac:dyDescent="0.25">
      <c r="A15" s="75">
        <v>8</v>
      </c>
      <c r="B15" s="133">
        <v>43288</v>
      </c>
      <c r="C15" s="135" t="s">
        <v>1231</v>
      </c>
      <c r="D15" s="136" t="s">
        <v>1921</v>
      </c>
      <c r="E15" s="78" t="s">
        <v>1942</v>
      </c>
      <c r="F15" s="80"/>
      <c r="G15" s="81">
        <v>300</v>
      </c>
      <c r="H15" s="11">
        <v>5238000</v>
      </c>
      <c r="J15" s="222">
        <v>650000</v>
      </c>
      <c r="K15" s="86"/>
      <c r="L15" s="69"/>
      <c r="M15" s="69"/>
      <c r="N15" s="69"/>
      <c r="O15" s="142">
        <f t="shared" si="0"/>
        <v>5888000</v>
      </c>
      <c r="P15" s="145">
        <v>2700000</v>
      </c>
      <c r="Q15" s="176">
        <f t="shared" si="1"/>
        <v>-3188000</v>
      </c>
      <c r="R15" s="195"/>
      <c r="S15" s="195"/>
      <c r="T15" s="195"/>
    </row>
    <row r="16" spans="1:20" ht="20.100000000000001" customHeight="1" x14ac:dyDescent="0.25">
      <c r="A16" s="75">
        <v>9</v>
      </c>
      <c r="B16" s="133">
        <v>43290</v>
      </c>
      <c r="C16" s="135" t="s">
        <v>1897</v>
      </c>
      <c r="D16" s="136" t="s">
        <v>1922</v>
      </c>
      <c r="E16" s="78" t="s">
        <v>562</v>
      </c>
      <c r="F16" s="80"/>
      <c r="G16" s="81"/>
      <c r="H16" s="11"/>
      <c r="J16" s="222">
        <v>2740000</v>
      </c>
      <c r="K16" s="86"/>
      <c r="L16" s="69"/>
      <c r="M16" s="69"/>
      <c r="N16" s="69"/>
      <c r="O16" s="142">
        <f t="shared" si="0"/>
        <v>2740000</v>
      </c>
      <c r="P16" s="145">
        <v>14090909</v>
      </c>
      <c r="Q16" s="176">
        <f t="shared" si="1"/>
        <v>11350909</v>
      </c>
      <c r="R16" s="195"/>
      <c r="S16" s="195"/>
      <c r="T16" s="195"/>
    </row>
    <row r="17" spans="1:20" ht="20.100000000000001" customHeight="1" x14ac:dyDescent="0.25">
      <c r="A17" s="75">
        <v>10</v>
      </c>
      <c r="B17" s="133">
        <v>43291</v>
      </c>
      <c r="C17" s="135" t="s">
        <v>1898</v>
      </c>
      <c r="D17" s="136" t="s">
        <v>1923</v>
      </c>
      <c r="E17" s="78" t="s">
        <v>1943</v>
      </c>
      <c r="F17" s="80"/>
      <c r="G17" s="81"/>
      <c r="H17" s="11"/>
      <c r="J17" s="222">
        <f>790000+400000</f>
        <v>1190000</v>
      </c>
      <c r="K17" s="86"/>
      <c r="L17" s="69"/>
      <c r="M17" s="69"/>
      <c r="N17" s="69"/>
      <c r="O17" s="142">
        <f t="shared" si="0"/>
        <v>1190000</v>
      </c>
      <c r="P17" s="145">
        <v>3009091</v>
      </c>
      <c r="Q17" s="176">
        <f t="shared" si="1"/>
        <v>1819091</v>
      </c>
      <c r="R17" s="195"/>
      <c r="S17" s="195"/>
      <c r="T17" s="195"/>
    </row>
    <row r="18" spans="1:20" ht="20.100000000000001" customHeight="1" x14ac:dyDescent="0.25">
      <c r="A18" s="75">
        <v>11</v>
      </c>
      <c r="B18" s="133">
        <v>43292</v>
      </c>
      <c r="C18" s="135" t="s">
        <v>1899</v>
      </c>
      <c r="D18" s="136" t="s">
        <v>1923</v>
      </c>
      <c r="E18" s="78" t="s">
        <v>1944</v>
      </c>
      <c r="F18" s="80"/>
      <c r="G18" s="81">
        <v>310</v>
      </c>
      <c r="H18" s="11">
        <v>5409500</v>
      </c>
      <c r="J18" s="222">
        <v>0</v>
      </c>
      <c r="K18" s="86"/>
      <c r="L18" s="69"/>
      <c r="M18" s="69"/>
      <c r="N18" s="69"/>
      <c r="O18" s="142">
        <f t="shared" si="0"/>
        <v>5409500</v>
      </c>
      <c r="P18" s="145">
        <v>2036364</v>
      </c>
      <c r="Q18" s="176">
        <f t="shared" si="1"/>
        <v>-3373136</v>
      </c>
      <c r="R18" s="195"/>
      <c r="S18" s="195"/>
      <c r="T18" s="195"/>
    </row>
    <row r="19" spans="1:20" ht="20.100000000000001" customHeight="1" x14ac:dyDescent="0.25">
      <c r="A19" s="75">
        <v>12</v>
      </c>
      <c r="B19" s="133">
        <v>43292</v>
      </c>
      <c r="C19" s="135" t="s">
        <v>1900</v>
      </c>
      <c r="D19" s="136" t="s">
        <v>1011</v>
      </c>
      <c r="E19" s="78" t="s">
        <v>1945</v>
      </c>
      <c r="F19" s="80"/>
      <c r="G19" s="81"/>
      <c r="H19" s="11"/>
      <c r="J19" s="222">
        <v>1800000</v>
      </c>
      <c r="K19" s="86"/>
      <c r="L19" s="69"/>
      <c r="M19" s="69"/>
      <c r="N19" s="69"/>
      <c r="O19" s="142">
        <f t="shared" si="0"/>
        <v>1800000</v>
      </c>
      <c r="P19" s="145">
        <v>8500000</v>
      </c>
      <c r="Q19" s="176">
        <f t="shared" si="1"/>
        <v>6700000</v>
      </c>
      <c r="R19" s="195"/>
      <c r="S19" s="195"/>
      <c r="T19" s="195"/>
    </row>
    <row r="20" spans="1:20" ht="20.100000000000001" customHeight="1" x14ac:dyDescent="0.25">
      <c r="A20" s="75">
        <v>13</v>
      </c>
      <c r="B20" s="133">
        <v>43293</v>
      </c>
      <c r="C20" s="135" t="s">
        <v>1901</v>
      </c>
      <c r="D20" s="136" t="s">
        <v>1924</v>
      </c>
      <c r="E20" s="78" t="s">
        <v>215</v>
      </c>
      <c r="F20" s="80"/>
      <c r="G20" s="81"/>
      <c r="H20" s="11"/>
      <c r="J20" s="222">
        <v>970000</v>
      </c>
      <c r="K20" s="86"/>
      <c r="L20" s="69"/>
      <c r="M20" s="69"/>
      <c r="N20" s="69"/>
      <c r="O20" s="142">
        <f t="shared" si="0"/>
        <v>970000</v>
      </c>
      <c r="P20" s="145">
        <v>3700000</v>
      </c>
      <c r="Q20" s="176">
        <f t="shared" si="1"/>
        <v>2730000</v>
      </c>
      <c r="R20" s="195"/>
      <c r="S20" s="195"/>
      <c r="T20" s="195"/>
    </row>
    <row r="21" spans="1:20" ht="20.100000000000001" customHeight="1" x14ac:dyDescent="0.25">
      <c r="A21" s="75">
        <v>14</v>
      </c>
      <c r="B21" s="133">
        <v>43294</v>
      </c>
      <c r="C21" s="135" t="s">
        <v>1902</v>
      </c>
      <c r="D21" s="136" t="s">
        <v>1925</v>
      </c>
      <c r="E21" s="78" t="s">
        <v>286</v>
      </c>
      <c r="F21" s="80"/>
      <c r="G21" s="81">
        <v>241</v>
      </c>
      <c r="H21" s="11">
        <v>4205450</v>
      </c>
      <c r="J21" s="222">
        <v>790000</v>
      </c>
      <c r="K21" s="86"/>
      <c r="L21" s="69"/>
      <c r="M21" s="69"/>
      <c r="N21" s="69"/>
      <c r="O21" s="142">
        <f t="shared" si="0"/>
        <v>4995450</v>
      </c>
      <c r="P21" s="145">
        <v>3300000</v>
      </c>
      <c r="Q21" s="176">
        <f t="shared" si="1"/>
        <v>-1695450</v>
      </c>
      <c r="R21" s="195"/>
      <c r="S21" s="195"/>
      <c r="T21" s="195"/>
    </row>
    <row r="22" spans="1:20" ht="20.100000000000001" customHeight="1" x14ac:dyDescent="0.25">
      <c r="A22" s="75">
        <v>15</v>
      </c>
      <c r="B22" s="133">
        <v>43295</v>
      </c>
      <c r="C22" s="135" t="s">
        <v>1903</v>
      </c>
      <c r="D22" s="136" t="s">
        <v>1926</v>
      </c>
      <c r="E22" s="78" t="s">
        <v>88</v>
      </c>
      <c r="F22" s="80"/>
      <c r="G22" s="81"/>
      <c r="H22" s="11"/>
      <c r="J22" s="222">
        <v>800000</v>
      </c>
      <c r="K22" s="86"/>
      <c r="L22" s="69"/>
      <c r="M22" s="69"/>
      <c r="N22" s="69"/>
      <c r="O22" s="142">
        <f t="shared" si="0"/>
        <v>800000</v>
      </c>
      <c r="P22" s="145">
        <v>3600000</v>
      </c>
      <c r="Q22" s="176">
        <f t="shared" si="1"/>
        <v>2800000</v>
      </c>
      <c r="R22" s="195"/>
      <c r="S22" s="195"/>
      <c r="T22" s="195"/>
    </row>
    <row r="23" spans="1:20" ht="20.100000000000001" customHeight="1" x14ac:dyDescent="0.25">
      <c r="A23" s="75">
        <v>16</v>
      </c>
      <c r="B23" s="133">
        <v>43297</v>
      </c>
      <c r="C23" s="135" t="s">
        <v>1904</v>
      </c>
      <c r="D23" s="136" t="s">
        <v>1927</v>
      </c>
      <c r="E23" s="78" t="s">
        <v>1946</v>
      </c>
      <c r="F23" s="80"/>
      <c r="G23" s="81"/>
      <c r="H23" s="11"/>
      <c r="J23" s="222">
        <v>1510000</v>
      </c>
      <c r="K23" s="86"/>
      <c r="L23" s="69"/>
      <c r="M23" s="69"/>
      <c r="N23" s="69"/>
      <c r="O23" s="142">
        <f t="shared" si="0"/>
        <v>1510000</v>
      </c>
      <c r="P23" s="145">
        <v>6100000</v>
      </c>
      <c r="Q23" s="176">
        <f t="shared" si="1"/>
        <v>4590000</v>
      </c>
      <c r="R23" s="195"/>
      <c r="S23" s="195"/>
      <c r="T23" s="195"/>
    </row>
    <row r="24" spans="1:20" ht="20.100000000000001" customHeight="1" x14ac:dyDescent="0.25">
      <c r="A24" s="75">
        <v>17</v>
      </c>
      <c r="B24" s="133">
        <v>43297</v>
      </c>
      <c r="C24" s="135" t="s">
        <v>1905</v>
      </c>
      <c r="D24" s="136" t="s">
        <v>1928</v>
      </c>
      <c r="E24" s="78" t="s">
        <v>562</v>
      </c>
      <c r="F24" s="80"/>
      <c r="G24" s="81">
        <v>360</v>
      </c>
      <c r="H24" s="11">
        <v>6282000</v>
      </c>
      <c r="J24" s="222">
        <v>2740000</v>
      </c>
      <c r="K24" s="86"/>
      <c r="L24" s="69"/>
      <c r="M24" s="69"/>
      <c r="N24" s="69"/>
      <c r="O24" s="142">
        <f t="shared" si="0"/>
        <v>9022000</v>
      </c>
      <c r="P24" s="145">
        <v>14090909</v>
      </c>
      <c r="Q24" s="176">
        <f t="shared" si="1"/>
        <v>5068909</v>
      </c>
      <c r="R24" s="195"/>
      <c r="S24" s="195"/>
      <c r="T24" s="195"/>
    </row>
    <row r="25" spans="1:20" ht="20.100000000000001" customHeight="1" x14ac:dyDescent="0.25">
      <c r="A25" s="75">
        <v>18</v>
      </c>
      <c r="B25" s="133">
        <v>43299</v>
      </c>
      <c r="C25" s="135" t="s">
        <v>1906</v>
      </c>
      <c r="D25" s="136" t="s">
        <v>1929</v>
      </c>
      <c r="E25" s="78" t="s">
        <v>189</v>
      </c>
      <c r="F25" s="80"/>
      <c r="G25" s="81">
        <v>250</v>
      </c>
      <c r="H25" s="11">
        <v>4362500</v>
      </c>
      <c r="J25" s="222">
        <v>2250000</v>
      </c>
      <c r="K25" s="86"/>
      <c r="L25" s="69"/>
      <c r="M25" s="69"/>
      <c r="N25" s="69"/>
      <c r="O25" s="142">
        <f t="shared" si="0"/>
        <v>6612500</v>
      </c>
      <c r="P25" s="145">
        <v>9545455</v>
      </c>
      <c r="Q25" s="176">
        <f t="shared" si="1"/>
        <v>2932955</v>
      </c>
      <c r="R25" s="195"/>
      <c r="S25" s="195"/>
      <c r="T25" s="195"/>
    </row>
    <row r="26" spans="1:20" ht="20.100000000000001" customHeight="1" x14ac:dyDescent="0.25">
      <c r="A26" s="75">
        <v>19</v>
      </c>
      <c r="B26" s="133">
        <v>43300</v>
      </c>
      <c r="C26" s="135" t="s">
        <v>1907</v>
      </c>
      <c r="D26" s="136" t="s">
        <v>1930</v>
      </c>
      <c r="E26" s="78" t="s">
        <v>1085</v>
      </c>
      <c r="F26" s="80"/>
      <c r="G26" s="81"/>
      <c r="H26" s="11"/>
      <c r="J26" s="222">
        <f>970000+400000+90000</f>
        <v>1460000</v>
      </c>
      <c r="K26" s="86"/>
      <c r="L26" s="69"/>
      <c r="M26" s="69"/>
      <c r="N26" s="69"/>
      <c r="O26" s="142">
        <f t="shared" si="0"/>
        <v>1460000</v>
      </c>
      <c r="P26" s="145">
        <v>0</v>
      </c>
      <c r="Q26" s="176">
        <f t="shared" si="1"/>
        <v>-1460000</v>
      </c>
      <c r="R26" s="195"/>
      <c r="S26" s="195"/>
      <c r="T26" s="195"/>
    </row>
    <row r="27" spans="1:20" ht="20.100000000000001" customHeight="1" x14ac:dyDescent="0.25">
      <c r="A27" s="75">
        <v>20</v>
      </c>
      <c r="B27" s="133">
        <v>43301</v>
      </c>
      <c r="C27" s="135" t="s">
        <v>1908</v>
      </c>
      <c r="D27" s="136" t="s">
        <v>1930</v>
      </c>
      <c r="E27" s="78" t="s">
        <v>1947</v>
      </c>
      <c r="F27" s="80"/>
      <c r="G27" s="81"/>
      <c r="H27" s="11"/>
      <c r="J27" s="222">
        <v>0</v>
      </c>
      <c r="K27" s="86"/>
      <c r="L27" s="69"/>
      <c r="M27" s="69"/>
      <c r="N27" s="69"/>
      <c r="O27" s="142">
        <f t="shared" si="0"/>
        <v>0</v>
      </c>
      <c r="P27" s="145">
        <v>5500000</v>
      </c>
      <c r="Q27" s="176">
        <f t="shared" si="1"/>
        <v>5500000</v>
      </c>
      <c r="R27" s="195"/>
      <c r="S27" s="195"/>
      <c r="T27" s="195"/>
    </row>
    <row r="28" spans="1:20" ht="20.100000000000001" customHeight="1" x14ac:dyDescent="0.25">
      <c r="A28" s="75">
        <v>21</v>
      </c>
      <c r="B28" s="133">
        <v>43301</v>
      </c>
      <c r="C28" s="135" t="s">
        <v>1909</v>
      </c>
      <c r="D28" s="136" t="s">
        <v>1931</v>
      </c>
      <c r="E28" s="78" t="s">
        <v>1948</v>
      </c>
      <c r="F28" s="80"/>
      <c r="G28" s="81">
        <v>340</v>
      </c>
      <c r="H28" s="11">
        <v>5933000</v>
      </c>
      <c r="J28" s="222">
        <v>790000</v>
      </c>
      <c r="K28" s="86"/>
      <c r="L28" s="69"/>
      <c r="M28" s="69"/>
      <c r="N28" s="69"/>
      <c r="O28" s="142">
        <f t="shared" si="0"/>
        <v>6723000</v>
      </c>
      <c r="P28" s="145">
        <v>3300000</v>
      </c>
      <c r="Q28" s="176">
        <f t="shared" si="1"/>
        <v>-3423000</v>
      </c>
      <c r="R28" s="195"/>
      <c r="S28" s="195"/>
      <c r="T28" s="195"/>
    </row>
    <row r="29" spans="1:20" ht="20.100000000000001" customHeight="1" x14ac:dyDescent="0.25">
      <c r="A29" s="75">
        <v>22</v>
      </c>
      <c r="B29" s="133">
        <v>43304</v>
      </c>
      <c r="C29" s="135" t="s">
        <v>1910</v>
      </c>
      <c r="D29" s="136" t="s">
        <v>1932</v>
      </c>
      <c r="E29" s="78" t="s">
        <v>24</v>
      </c>
      <c r="F29" s="80"/>
      <c r="G29" s="81">
        <v>281</v>
      </c>
      <c r="H29" s="11">
        <v>4844440</v>
      </c>
      <c r="J29" s="222">
        <v>1710000</v>
      </c>
      <c r="K29" s="86"/>
      <c r="L29" s="69"/>
      <c r="M29" s="69"/>
      <c r="N29" s="69"/>
      <c r="O29" s="142">
        <f t="shared" si="0"/>
        <v>6554440</v>
      </c>
      <c r="P29" s="145">
        <v>7500000</v>
      </c>
      <c r="Q29" s="176">
        <f t="shared" si="1"/>
        <v>945560</v>
      </c>
      <c r="R29" s="195"/>
      <c r="S29" s="195"/>
      <c r="T29" s="195"/>
    </row>
    <row r="30" spans="1:20" ht="20.100000000000001" customHeight="1" x14ac:dyDescent="0.25">
      <c r="A30" s="75">
        <v>23</v>
      </c>
      <c r="B30" s="133">
        <v>43304</v>
      </c>
      <c r="C30" s="135" t="s">
        <v>1911</v>
      </c>
      <c r="D30" s="136" t="s">
        <v>1933</v>
      </c>
      <c r="E30" s="78" t="s">
        <v>1949</v>
      </c>
      <c r="F30" s="80"/>
      <c r="G30" s="81"/>
      <c r="H30" s="11"/>
      <c r="J30" s="222">
        <f>1600000-180000</f>
        <v>1420000</v>
      </c>
      <c r="K30" s="86"/>
      <c r="L30" s="69"/>
      <c r="M30" s="69"/>
      <c r="N30" s="69"/>
      <c r="O30" s="142">
        <f t="shared" si="0"/>
        <v>1420000</v>
      </c>
      <c r="P30" s="145">
        <v>6500000</v>
      </c>
      <c r="Q30" s="176">
        <f t="shared" si="1"/>
        <v>5080000</v>
      </c>
      <c r="R30" s="195"/>
      <c r="S30" s="195"/>
      <c r="T30" s="195"/>
    </row>
    <row r="31" spans="1:20" ht="20.100000000000001" customHeight="1" x14ac:dyDescent="0.25">
      <c r="A31" s="75">
        <v>24</v>
      </c>
      <c r="B31" s="133">
        <v>43305</v>
      </c>
      <c r="C31" s="135" t="s">
        <v>1912</v>
      </c>
      <c r="D31" s="136" t="s">
        <v>1934</v>
      </c>
      <c r="E31" s="78" t="s">
        <v>1663</v>
      </c>
      <c r="F31" s="80"/>
      <c r="G31" s="81"/>
      <c r="H31" s="11"/>
      <c r="J31" s="222">
        <v>1160000</v>
      </c>
      <c r="K31" s="86"/>
      <c r="L31" s="69"/>
      <c r="M31" s="69"/>
      <c r="N31" s="69"/>
      <c r="O31" s="142">
        <f t="shared" si="0"/>
        <v>1160000</v>
      </c>
      <c r="P31" s="145">
        <v>4700000</v>
      </c>
      <c r="Q31" s="176">
        <f t="shared" si="1"/>
        <v>3540000</v>
      </c>
      <c r="R31" s="195"/>
      <c r="S31" s="195"/>
      <c r="T31" s="195"/>
    </row>
    <row r="32" spans="1:20" ht="20.100000000000001" customHeight="1" x14ac:dyDescent="0.25">
      <c r="A32" s="75">
        <v>25</v>
      </c>
      <c r="B32" s="133">
        <v>43306</v>
      </c>
      <c r="C32" s="135" t="s">
        <v>462</v>
      </c>
      <c r="D32" s="136" t="s">
        <v>1935</v>
      </c>
      <c r="E32" s="78" t="s">
        <v>1212</v>
      </c>
      <c r="F32" s="80"/>
      <c r="G32" s="81">
        <v>290</v>
      </c>
      <c r="H32" s="11">
        <v>4999600</v>
      </c>
      <c r="J32" s="222">
        <v>2440000</v>
      </c>
      <c r="K32" s="86"/>
      <c r="L32" s="69"/>
      <c r="M32" s="69"/>
      <c r="N32" s="69"/>
      <c r="O32" s="142">
        <f t="shared" si="0"/>
        <v>7439600</v>
      </c>
      <c r="P32" s="145">
        <v>13181818</v>
      </c>
      <c r="Q32" s="176">
        <f t="shared" si="1"/>
        <v>5742218</v>
      </c>
      <c r="R32" s="195"/>
      <c r="S32" s="195"/>
      <c r="T32" s="195"/>
    </row>
    <row r="33" spans="1:20" ht="20.100000000000001" customHeight="1" x14ac:dyDescent="0.25">
      <c r="A33" s="75">
        <v>26</v>
      </c>
      <c r="B33" s="133">
        <v>43308</v>
      </c>
      <c r="C33" s="135" t="s">
        <v>1913</v>
      </c>
      <c r="D33" s="136" t="s">
        <v>1936</v>
      </c>
      <c r="E33" s="78" t="s">
        <v>25</v>
      </c>
      <c r="F33" s="80"/>
      <c r="G33" s="81"/>
      <c r="H33" s="11"/>
      <c r="J33" s="222">
        <v>440000</v>
      </c>
      <c r="K33" s="86"/>
      <c r="L33" s="69"/>
      <c r="M33" s="69"/>
      <c r="N33" s="69"/>
      <c r="O33" s="142">
        <f t="shared" si="0"/>
        <v>440000</v>
      </c>
      <c r="P33" s="145">
        <v>3200000</v>
      </c>
      <c r="Q33" s="176">
        <f t="shared" si="1"/>
        <v>2760000</v>
      </c>
      <c r="R33" s="195"/>
      <c r="S33" s="195"/>
      <c r="T33" s="195"/>
    </row>
    <row r="34" spans="1:20" ht="20.100000000000001" customHeight="1" x14ac:dyDescent="0.25">
      <c r="A34" s="75">
        <v>27</v>
      </c>
      <c r="B34" s="133">
        <v>43308</v>
      </c>
      <c r="C34" s="135" t="s">
        <v>1914</v>
      </c>
      <c r="D34" s="136" t="s">
        <v>1937</v>
      </c>
      <c r="E34" s="78" t="s">
        <v>1950</v>
      </c>
      <c r="F34" s="80"/>
      <c r="G34" s="81">
        <v>310</v>
      </c>
      <c r="H34" s="11">
        <v>5344400</v>
      </c>
      <c r="J34" s="222">
        <v>1200000</v>
      </c>
      <c r="K34" s="86"/>
      <c r="L34" s="69"/>
      <c r="M34" s="69"/>
      <c r="N34" s="69"/>
      <c r="O34" s="142">
        <f t="shared" si="0"/>
        <v>6544400</v>
      </c>
      <c r="P34" s="145">
        <v>5300000</v>
      </c>
      <c r="Q34" s="176">
        <f t="shared" si="1"/>
        <v>-1244400</v>
      </c>
      <c r="R34" s="195"/>
      <c r="S34" s="195"/>
      <c r="T34" s="195"/>
    </row>
    <row r="35" spans="1:20" ht="20.100000000000001" customHeight="1" x14ac:dyDescent="0.25">
      <c r="A35" s="75">
        <v>28</v>
      </c>
      <c r="B35" s="133">
        <v>43311</v>
      </c>
      <c r="C35" s="135" t="s">
        <v>1915</v>
      </c>
      <c r="D35" s="136" t="s">
        <v>1938</v>
      </c>
      <c r="E35" s="78" t="s">
        <v>1621</v>
      </c>
      <c r="F35" s="80"/>
      <c r="G35" s="81"/>
      <c r="H35" s="81"/>
      <c r="J35" s="222">
        <v>790000</v>
      </c>
      <c r="K35" s="86"/>
      <c r="L35" s="69"/>
      <c r="M35" s="69"/>
      <c r="N35" s="69"/>
      <c r="O35" s="142">
        <f t="shared" si="0"/>
        <v>790000</v>
      </c>
      <c r="P35" s="209">
        <v>3300000</v>
      </c>
      <c r="Q35" s="176">
        <f t="shared" si="1"/>
        <v>2510000</v>
      </c>
      <c r="R35" s="195"/>
      <c r="S35" s="195"/>
      <c r="T35" s="195"/>
    </row>
    <row r="36" spans="1:20" ht="20.100000000000001" customHeight="1" x14ac:dyDescent="0.25">
      <c r="A36" s="75">
        <v>29</v>
      </c>
      <c r="B36" s="133">
        <v>43311</v>
      </c>
      <c r="C36" s="138" t="s">
        <v>467</v>
      </c>
      <c r="D36" s="139" t="s">
        <v>1939</v>
      </c>
      <c r="E36" s="78" t="s">
        <v>215</v>
      </c>
      <c r="F36" s="110"/>
      <c r="G36" s="111">
        <v>300</v>
      </c>
      <c r="H36" s="81">
        <f>G36*17240</f>
        <v>5172000</v>
      </c>
      <c r="J36" s="228">
        <v>970000</v>
      </c>
      <c r="K36" s="86"/>
      <c r="L36" s="69"/>
      <c r="M36" s="112"/>
      <c r="N36" s="112"/>
      <c r="O36" s="142">
        <f t="shared" si="0"/>
        <v>6142000</v>
      </c>
      <c r="P36" s="224">
        <v>3700000</v>
      </c>
      <c r="Q36" s="176">
        <f t="shared" si="1"/>
        <v>-2442000</v>
      </c>
      <c r="R36" s="195"/>
      <c r="S36" s="195"/>
      <c r="T36" s="195"/>
    </row>
    <row r="37" spans="1:20" ht="20.100000000000001" customHeight="1" x14ac:dyDescent="0.25">
      <c r="A37" s="75"/>
      <c r="B37" s="133"/>
      <c r="C37" s="138"/>
      <c r="D37" s="139"/>
      <c r="E37" s="78"/>
      <c r="F37" s="110"/>
      <c r="G37" s="203"/>
      <c r="H37" s="130"/>
      <c r="I37" s="237"/>
      <c r="J37" s="112"/>
      <c r="K37" s="86"/>
      <c r="L37" s="69"/>
      <c r="M37" s="112"/>
      <c r="N37" s="112"/>
      <c r="O37" s="142">
        <f t="shared" si="0"/>
        <v>0</v>
      </c>
      <c r="P37" s="224"/>
      <c r="Q37" s="176">
        <f t="shared" si="1"/>
        <v>0</v>
      </c>
      <c r="R37" s="195"/>
      <c r="S37" s="195"/>
      <c r="T37" s="195"/>
    </row>
    <row r="38" spans="1:20" ht="27" customHeight="1" x14ac:dyDescent="0.25">
      <c r="A38" s="75"/>
      <c r="B38" s="133"/>
      <c r="C38" s="183" t="s">
        <v>1951</v>
      </c>
      <c r="D38" s="162"/>
      <c r="E38" s="153"/>
      <c r="F38" s="163"/>
      <c r="G38" s="194"/>
      <c r="H38" s="234"/>
      <c r="I38" s="239"/>
      <c r="J38" s="166"/>
      <c r="K38" s="86"/>
      <c r="L38" s="156"/>
      <c r="M38" s="166">
        <v>250000</v>
      </c>
      <c r="N38" s="112"/>
      <c r="O38" s="142">
        <f t="shared" si="0"/>
        <v>250000</v>
      </c>
      <c r="P38" s="68"/>
      <c r="Q38" s="176">
        <f t="shared" si="1"/>
        <v>-250000</v>
      </c>
    </row>
    <row r="39" spans="1:20" ht="27" customHeight="1" x14ac:dyDescent="0.25">
      <c r="A39" s="75"/>
      <c r="B39" s="133"/>
      <c r="C39" s="183" t="s">
        <v>1952</v>
      </c>
      <c r="D39" s="162"/>
      <c r="E39" s="153"/>
      <c r="F39" s="163"/>
      <c r="G39" s="194"/>
      <c r="H39" s="234"/>
      <c r="I39" s="240"/>
      <c r="J39" s="166"/>
      <c r="K39" s="86"/>
      <c r="L39" s="156"/>
      <c r="M39" s="166">
        <v>50000</v>
      </c>
      <c r="N39" s="112"/>
      <c r="O39" s="142">
        <f t="shared" si="0"/>
        <v>50000</v>
      </c>
      <c r="P39" s="68"/>
      <c r="Q39" s="176">
        <f t="shared" si="1"/>
        <v>-50000</v>
      </c>
    </row>
    <row r="40" spans="1:20" ht="27" customHeight="1" x14ac:dyDescent="0.25">
      <c r="A40" s="75"/>
      <c r="B40" s="133"/>
      <c r="C40" s="183" t="s">
        <v>1953</v>
      </c>
      <c r="D40" s="162"/>
      <c r="E40" s="153"/>
      <c r="F40" s="163"/>
      <c r="G40" s="194"/>
      <c r="H40" s="234"/>
      <c r="I40" s="240"/>
      <c r="J40" s="166"/>
      <c r="K40" s="86"/>
      <c r="L40" s="156"/>
      <c r="M40" s="166">
        <v>170000</v>
      </c>
      <c r="N40" s="112"/>
      <c r="O40" s="142">
        <f t="shared" si="0"/>
        <v>170000</v>
      </c>
      <c r="P40" s="68"/>
      <c r="Q40" s="176">
        <f t="shared" si="1"/>
        <v>-170000</v>
      </c>
    </row>
    <row r="41" spans="1:20" ht="27" customHeight="1" x14ac:dyDescent="0.25">
      <c r="A41" s="75"/>
      <c r="B41" s="133"/>
      <c r="C41" s="183" t="s">
        <v>1954</v>
      </c>
      <c r="D41" s="162"/>
      <c r="E41" s="153"/>
      <c r="F41" s="163"/>
      <c r="G41" s="194"/>
      <c r="H41" s="234"/>
      <c r="I41" s="240"/>
      <c r="J41" s="166"/>
      <c r="K41" s="86"/>
      <c r="L41" s="156"/>
      <c r="M41" s="166">
        <v>240000</v>
      </c>
      <c r="N41" s="112"/>
      <c r="O41" s="142">
        <f t="shared" si="0"/>
        <v>240000</v>
      </c>
      <c r="P41" s="68"/>
      <c r="Q41" s="176">
        <f t="shared" si="1"/>
        <v>-240000</v>
      </c>
    </row>
    <row r="42" spans="1:20" ht="41.25" customHeight="1" x14ac:dyDescent="0.25">
      <c r="A42" s="75"/>
      <c r="B42" s="133"/>
      <c r="C42" s="183" t="s">
        <v>1088</v>
      </c>
      <c r="D42" s="162"/>
      <c r="E42" s="153"/>
      <c r="F42" s="163"/>
      <c r="G42" s="194"/>
      <c r="H42" s="234"/>
      <c r="I42" s="240"/>
      <c r="J42" s="166"/>
      <c r="K42" s="86"/>
      <c r="L42" s="156"/>
      <c r="M42" s="166">
        <v>850000</v>
      </c>
      <c r="N42" s="112"/>
      <c r="O42" s="142">
        <f t="shared" si="0"/>
        <v>850000</v>
      </c>
      <c r="P42" s="68"/>
      <c r="Q42" s="176">
        <f t="shared" si="1"/>
        <v>-850000</v>
      </c>
    </row>
    <row r="43" spans="1:20" ht="18" customHeight="1" x14ac:dyDescent="0.25">
      <c r="A43" s="75"/>
      <c r="B43" s="133"/>
      <c r="C43" s="183" t="s">
        <v>1955</v>
      </c>
      <c r="D43" s="162"/>
      <c r="E43" s="153"/>
      <c r="F43" s="163"/>
      <c r="G43" s="194"/>
      <c r="H43" s="234"/>
      <c r="I43" s="240"/>
      <c r="J43" s="166"/>
      <c r="K43" s="86"/>
      <c r="L43" s="156"/>
      <c r="M43" s="166"/>
      <c r="N43" s="112">
        <f>11500000/4</f>
        <v>2875000</v>
      </c>
      <c r="O43" s="142">
        <f t="shared" si="0"/>
        <v>2875000</v>
      </c>
      <c r="P43" s="68"/>
      <c r="Q43" s="176">
        <f t="shared" si="1"/>
        <v>-2875000</v>
      </c>
    </row>
    <row r="44" spans="1:20" ht="18" customHeight="1" x14ac:dyDescent="0.25">
      <c r="A44" s="75"/>
      <c r="B44" s="133"/>
      <c r="C44" s="170" t="s">
        <v>1273</v>
      </c>
      <c r="D44" s="162"/>
      <c r="E44" s="153"/>
      <c r="F44" s="163"/>
      <c r="G44" s="164"/>
      <c r="H44" s="155"/>
      <c r="I44" s="240"/>
      <c r="J44" s="166"/>
      <c r="K44" s="86"/>
      <c r="L44" s="156">
        <v>1320000</v>
      </c>
      <c r="M44" s="112"/>
      <c r="N44" s="112"/>
      <c r="O44" s="142">
        <f t="shared" si="0"/>
        <v>1320000</v>
      </c>
      <c r="P44" s="68"/>
      <c r="Q44" s="176">
        <f t="shared" si="1"/>
        <v>-1320000</v>
      </c>
    </row>
    <row r="45" spans="1:20" ht="18" customHeight="1" x14ac:dyDescent="0.25">
      <c r="A45" s="134"/>
      <c r="B45" s="70"/>
      <c r="C45" s="108" t="s">
        <v>1386</v>
      </c>
      <c r="D45" s="87"/>
      <c r="E45" s="70"/>
      <c r="F45" s="110"/>
      <c r="G45" s="70"/>
      <c r="H45" s="81"/>
      <c r="I45" s="241"/>
      <c r="J45" s="112"/>
      <c r="K45" s="113">
        <v>10384615</v>
      </c>
      <c r="L45" s="141"/>
      <c r="M45" s="112"/>
      <c r="N45" s="112"/>
      <c r="O45" s="142">
        <f t="shared" si="0"/>
        <v>10384615</v>
      </c>
      <c r="P45" s="144"/>
      <c r="Q45" s="176">
        <f t="shared" si="1"/>
        <v>-10384615</v>
      </c>
    </row>
    <row r="46" spans="1:20" ht="18" customHeight="1" x14ac:dyDescent="0.25">
      <c r="A46" s="213"/>
      <c r="B46" s="214"/>
      <c r="C46" s="215"/>
      <c r="D46" s="216"/>
      <c r="E46" s="214"/>
      <c r="F46" s="217"/>
      <c r="G46" s="214"/>
      <c r="H46" s="218"/>
      <c r="I46" s="238"/>
      <c r="J46" s="219"/>
      <c r="K46" s="220"/>
      <c r="L46" s="221"/>
      <c r="M46" s="219"/>
      <c r="N46" s="219"/>
      <c r="O46" s="142">
        <f t="shared" si="0"/>
        <v>0</v>
      </c>
      <c r="P46" s="214"/>
      <c r="Q46" s="176">
        <f t="shared" si="1"/>
        <v>0</v>
      </c>
    </row>
    <row r="47" spans="1:20" x14ac:dyDescent="0.25">
      <c r="A47" s="547" t="s">
        <v>19</v>
      </c>
      <c r="B47" s="548"/>
      <c r="C47" s="548"/>
      <c r="D47" s="548"/>
      <c r="E47" s="548"/>
      <c r="F47" s="549"/>
      <c r="G47" s="236">
        <f>SUM(G8:G46)</f>
        <v>3222</v>
      </c>
      <c r="H47" s="71">
        <f>SUM(H7:H45)</f>
        <v>55981290</v>
      </c>
      <c r="I47" s="71">
        <f>SUM(I7:I45)</f>
        <v>0</v>
      </c>
      <c r="J47" s="71">
        <f>SUM(J7:J45)</f>
        <v>34940000</v>
      </c>
      <c r="K47" s="71">
        <f>SUM(K7:K46)</f>
        <v>10384615</v>
      </c>
      <c r="L47" s="71">
        <f>SUM(L7:L46)</f>
        <v>1320000</v>
      </c>
      <c r="M47" s="71">
        <f>SUM(M7:M45)</f>
        <v>1560000</v>
      </c>
      <c r="N47" s="71">
        <f>SUM(N7:N45)</f>
        <v>2875000</v>
      </c>
      <c r="O47" s="71">
        <f>SUM(O7:O46)</f>
        <v>107060905</v>
      </c>
      <c r="P47" s="71">
        <f>SUM(P7:P45)</f>
        <v>158090910</v>
      </c>
      <c r="Q47" s="71">
        <f>SUM(Q7:Q46)</f>
        <v>51030005</v>
      </c>
      <c r="R47" s="195"/>
      <c r="S47" s="195"/>
    </row>
    <row r="48" spans="1:20" x14ac:dyDescent="0.25">
      <c r="P48" s="195"/>
      <c r="Q48" s="202"/>
    </row>
    <row r="49" spans="16:18" x14ac:dyDescent="0.25">
      <c r="P49" s="229" t="s">
        <v>1225</v>
      </c>
      <c r="Q49" s="185">
        <f>'06-2018'!Q43+'07-2018'!Q47</f>
        <v>223482327</v>
      </c>
    </row>
    <row r="50" spans="16:18" x14ac:dyDescent="0.25">
      <c r="Q50" s="195"/>
    </row>
    <row r="51" spans="16:18" x14ac:dyDescent="0.25">
      <c r="R51" s="195"/>
    </row>
  </sheetData>
  <mergeCells count="5">
    <mergeCell ref="A1:Q1"/>
    <mergeCell ref="A2:Q2"/>
    <mergeCell ref="A3:Q3"/>
    <mergeCell ref="G5:N5"/>
    <mergeCell ref="A47:F47"/>
  </mergeCells>
  <pageMargins left="0.7" right="0.7" top="0.75" bottom="0.75" header="0.3" footer="0.3"/>
  <pageSetup paperSize="9" orientation="portrait" horizontalDpi="0" verticalDpi="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T50"/>
  <sheetViews>
    <sheetView topLeftCell="D43" workbookViewId="0">
      <selection activeCell="Q46" sqref="Q46"/>
    </sheetView>
  </sheetViews>
  <sheetFormatPr defaultRowHeight="15" x14ac:dyDescent="0.25"/>
  <cols>
    <col min="1" max="1" width="4.5703125" customWidth="1"/>
    <col min="3" max="3" width="41.28515625" customWidth="1"/>
    <col min="4" max="4" width="16.5703125" customWidth="1"/>
    <col min="5" max="5" width="33.140625" customWidth="1"/>
    <col min="9" max="9" width="9.140625" style="13"/>
    <col min="15" max="15" width="11.140625" customWidth="1"/>
    <col min="16" max="16" width="10.7109375" customWidth="1"/>
    <col min="17" max="17" width="12.28515625" customWidth="1"/>
    <col min="18" max="18" width="11.7109375" customWidth="1"/>
    <col min="19" max="19" width="18"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2020</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74"/>
      <c r="H4" s="72"/>
      <c r="I4" s="72"/>
      <c r="J4" s="72"/>
      <c r="K4" s="72"/>
      <c r="L4" s="72"/>
      <c r="M4" s="72"/>
      <c r="N4" s="72"/>
      <c r="O4" s="72"/>
      <c r="P4" s="72"/>
      <c r="Q4" s="72"/>
    </row>
    <row r="5" spans="1:20" ht="25.5" x14ac:dyDescent="0.25">
      <c r="A5" s="177" t="s">
        <v>1</v>
      </c>
      <c r="B5" s="178" t="s">
        <v>2</v>
      </c>
      <c r="C5" s="177" t="s">
        <v>3</v>
      </c>
      <c r="D5" s="177" t="s">
        <v>5</v>
      </c>
      <c r="E5" s="174" t="s">
        <v>4</v>
      </c>
      <c r="F5" s="174" t="s">
        <v>17</v>
      </c>
      <c r="G5" s="552" t="s">
        <v>6</v>
      </c>
      <c r="H5" s="553"/>
      <c r="I5" s="553"/>
      <c r="J5" s="553"/>
      <c r="K5" s="553"/>
      <c r="L5" s="553"/>
      <c r="M5" s="553"/>
      <c r="N5" s="554"/>
      <c r="O5" s="127" t="s">
        <v>18</v>
      </c>
      <c r="P5" s="127" t="s">
        <v>13</v>
      </c>
      <c r="Q5" s="127" t="s">
        <v>14</v>
      </c>
    </row>
    <row r="6" spans="1:20" x14ac:dyDescent="0.25">
      <c r="A6" s="179"/>
      <c r="B6" s="180"/>
      <c r="C6" s="179"/>
      <c r="D6" s="179"/>
      <c r="E6" s="175"/>
      <c r="F6" s="175"/>
      <c r="G6" s="6" t="s">
        <v>7</v>
      </c>
      <c r="H6" s="7" t="s">
        <v>15</v>
      </c>
      <c r="I6" s="7" t="s">
        <v>16</v>
      </c>
      <c r="J6" s="7" t="s">
        <v>8</v>
      </c>
      <c r="K6" s="7" t="s">
        <v>9</v>
      </c>
      <c r="L6" s="7" t="s">
        <v>10</v>
      </c>
      <c r="M6" s="7" t="s">
        <v>11</v>
      </c>
      <c r="N6" s="7" t="s">
        <v>12</v>
      </c>
      <c r="O6" s="181"/>
      <c r="P6" s="181"/>
      <c r="Q6" s="181"/>
    </row>
    <row r="7" spans="1:20" x14ac:dyDescent="0.25">
      <c r="A7" s="75"/>
      <c r="B7" s="100"/>
      <c r="C7" s="88"/>
      <c r="D7" s="88"/>
      <c r="E7" s="134"/>
      <c r="F7" s="75"/>
      <c r="G7" s="77"/>
      <c r="H7" s="68"/>
      <c r="I7" s="68"/>
      <c r="J7" s="68"/>
      <c r="K7" s="68"/>
      <c r="L7" s="68"/>
      <c r="M7" s="68"/>
      <c r="N7" s="68"/>
      <c r="O7" s="68">
        <f>H7+J7+K7+L7+M7+N7</f>
        <v>0</v>
      </c>
      <c r="P7" s="144"/>
      <c r="Q7" s="68">
        <f>P7-O7</f>
        <v>0</v>
      </c>
    </row>
    <row r="8" spans="1:20" ht="20.100000000000001" customHeight="1" x14ac:dyDescent="0.25">
      <c r="A8" s="75">
        <v>1</v>
      </c>
      <c r="B8" s="133">
        <v>43312</v>
      </c>
      <c r="C8" s="135" t="s">
        <v>1956</v>
      </c>
      <c r="D8" s="136" t="s">
        <v>1978</v>
      </c>
      <c r="E8" s="78" t="s">
        <v>301</v>
      </c>
      <c r="F8" s="80"/>
      <c r="G8" s="130"/>
      <c r="H8" s="130"/>
      <c r="I8" s="237"/>
      <c r="J8" s="253">
        <v>4490000</v>
      </c>
      <c r="K8" s="86"/>
      <c r="L8" s="69"/>
      <c r="M8" s="69"/>
      <c r="N8" s="69"/>
      <c r="O8" s="142">
        <f>H8+J8+K8+L8+M8+N8</f>
        <v>4490000</v>
      </c>
      <c r="P8" s="145">
        <v>19545455</v>
      </c>
      <c r="Q8" s="176">
        <f>P8-O8</f>
        <v>15055455</v>
      </c>
      <c r="R8" s="195"/>
      <c r="S8" s="195"/>
      <c r="T8" s="195"/>
    </row>
    <row r="9" spans="1:20" ht="20.100000000000001" customHeight="1" x14ac:dyDescent="0.25">
      <c r="A9" s="75">
        <v>2</v>
      </c>
      <c r="B9" s="133">
        <v>43314</v>
      </c>
      <c r="C9" s="135" t="s">
        <v>1957</v>
      </c>
      <c r="D9" s="172" t="s">
        <v>1979</v>
      </c>
      <c r="E9" s="78" t="s">
        <v>21</v>
      </c>
      <c r="F9" s="80"/>
      <c r="G9" s="130">
        <v>362</v>
      </c>
      <c r="H9" s="130">
        <v>6240880</v>
      </c>
      <c r="I9" s="237"/>
      <c r="J9" s="254">
        <v>2740000</v>
      </c>
      <c r="K9" s="86"/>
      <c r="L9" s="69"/>
      <c r="M9" s="69"/>
      <c r="N9" s="69"/>
      <c r="O9" s="142">
        <f t="shared" ref="O9:O45" si="0">H9+J9+K9+L9+M9+N9</f>
        <v>8980880</v>
      </c>
      <c r="P9" s="145">
        <v>12090909</v>
      </c>
      <c r="Q9" s="176">
        <f t="shared" ref="Q9:Q45" si="1">P9-O9</f>
        <v>3110029</v>
      </c>
      <c r="R9" s="195"/>
      <c r="S9" s="195"/>
      <c r="T9" s="195"/>
    </row>
    <row r="10" spans="1:20" ht="20.100000000000001" customHeight="1" x14ac:dyDescent="0.25">
      <c r="A10" s="75">
        <v>3</v>
      </c>
      <c r="B10" s="133">
        <v>43315</v>
      </c>
      <c r="C10" s="135" t="s">
        <v>1958</v>
      </c>
      <c r="D10" s="136" t="s">
        <v>1980</v>
      </c>
      <c r="E10" s="78" t="s">
        <v>25</v>
      </c>
      <c r="F10" s="80"/>
      <c r="G10" s="130"/>
      <c r="H10" s="22"/>
      <c r="I10" s="237"/>
      <c r="J10" s="253">
        <v>430000</v>
      </c>
      <c r="K10" s="86"/>
      <c r="L10" s="69"/>
      <c r="M10" s="69"/>
      <c r="N10" s="69"/>
      <c r="O10" s="142">
        <f t="shared" si="0"/>
        <v>430000</v>
      </c>
      <c r="P10" s="145">
        <v>3200000</v>
      </c>
      <c r="Q10" s="176">
        <f t="shared" si="1"/>
        <v>2770000</v>
      </c>
      <c r="R10" s="195"/>
      <c r="S10" s="195"/>
      <c r="T10" s="195"/>
    </row>
    <row r="11" spans="1:20" ht="20.100000000000001" customHeight="1" x14ac:dyDescent="0.25">
      <c r="A11" s="75">
        <v>4</v>
      </c>
      <c r="B11" s="133">
        <v>43316</v>
      </c>
      <c r="C11" s="135" t="s">
        <v>1959</v>
      </c>
      <c r="D11" s="136" t="s">
        <v>1981</v>
      </c>
      <c r="E11" s="78" t="s">
        <v>215</v>
      </c>
      <c r="F11" s="80"/>
      <c r="G11" s="130">
        <v>242</v>
      </c>
      <c r="H11" s="22">
        <v>4172080</v>
      </c>
      <c r="I11" s="237"/>
      <c r="J11" s="253">
        <v>970000</v>
      </c>
      <c r="K11" s="86"/>
      <c r="L11" s="69"/>
      <c r="M11" s="69"/>
      <c r="N11" s="69"/>
      <c r="O11" s="142">
        <f t="shared" si="0"/>
        <v>5142080</v>
      </c>
      <c r="P11" s="209">
        <v>3700000</v>
      </c>
      <c r="Q11" s="176">
        <f t="shared" si="1"/>
        <v>-1442080</v>
      </c>
      <c r="R11" s="195"/>
      <c r="S11" s="195"/>
      <c r="T11" s="195"/>
    </row>
    <row r="12" spans="1:20" ht="20.100000000000001" customHeight="1" x14ac:dyDescent="0.25">
      <c r="A12" s="75">
        <v>5</v>
      </c>
      <c r="B12" s="133">
        <v>43318</v>
      </c>
      <c r="C12" s="135" t="s">
        <v>1960</v>
      </c>
      <c r="D12" s="136" t="s">
        <v>1982</v>
      </c>
      <c r="E12" s="78" t="s">
        <v>2003</v>
      </c>
      <c r="F12" s="80"/>
      <c r="G12" s="130">
        <v>190</v>
      </c>
      <c r="H12" s="22">
        <v>3275600</v>
      </c>
      <c r="I12" s="237"/>
      <c r="J12" s="253">
        <v>1420000</v>
      </c>
      <c r="K12" s="86"/>
      <c r="L12" s="69"/>
      <c r="M12" s="69"/>
      <c r="N12" s="69"/>
      <c r="O12" s="142">
        <f t="shared" si="0"/>
        <v>4695600</v>
      </c>
      <c r="P12" s="209">
        <v>5200000</v>
      </c>
      <c r="Q12" s="176">
        <f t="shared" si="1"/>
        <v>504400</v>
      </c>
      <c r="R12" s="195"/>
      <c r="S12" s="195"/>
      <c r="T12" s="195"/>
    </row>
    <row r="13" spans="1:20" ht="20.100000000000001" customHeight="1" x14ac:dyDescent="0.25">
      <c r="A13" s="75">
        <v>6</v>
      </c>
      <c r="B13" s="133">
        <v>43319</v>
      </c>
      <c r="C13" s="135" t="s">
        <v>1961</v>
      </c>
      <c r="D13" s="136" t="s">
        <v>1983</v>
      </c>
      <c r="E13" s="78" t="s">
        <v>1271</v>
      </c>
      <c r="F13" s="80"/>
      <c r="G13" s="130"/>
      <c r="H13" s="22"/>
      <c r="I13" s="237"/>
      <c r="J13" s="253">
        <v>790000</v>
      </c>
      <c r="K13" s="86"/>
      <c r="L13" s="69"/>
      <c r="M13" s="69"/>
      <c r="N13" s="69"/>
      <c r="O13" s="142">
        <f t="shared" si="0"/>
        <v>790000</v>
      </c>
      <c r="P13" s="145">
        <v>3200000</v>
      </c>
      <c r="Q13" s="176">
        <f t="shared" si="1"/>
        <v>2410000</v>
      </c>
      <c r="R13" s="195"/>
      <c r="S13" s="195"/>
      <c r="T13" s="195"/>
    </row>
    <row r="14" spans="1:20" ht="20.100000000000001" customHeight="1" x14ac:dyDescent="0.25">
      <c r="A14" s="75">
        <v>7</v>
      </c>
      <c r="B14" s="133">
        <v>43320</v>
      </c>
      <c r="C14" s="135" t="s">
        <v>1962</v>
      </c>
      <c r="D14" s="136" t="s">
        <v>1984</v>
      </c>
      <c r="E14" s="78" t="s">
        <v>2004</v>
      </c>
      <c r="F14" s="80"/>
      <c r="G14" s="130"/>
      <c r="H14" s="22"/>
      <c r="I14" s="237"/>
      <c r="J14" s="253">
        <v>790000</v>
      </c>
      <c r="K14" s="86"/>
      <c r="L14" s="69"/>
      <c r="M14" s="69"/>
      <c r="N14" s="69"/>
      <c r="O14" s="142">
        <f t="shared" si="0"/>
        <v>790000</v>
      </c>
      <c r="P14" s="145">
        <v>2800000</v>
      </c>
      <c r="Q14" s="176">
        <f t="shared" si="1"/>
        <v>2010000</v>
      </c>
      <c r="R14" s="195"/>
      <c r="S14" s="195"/>
      <c r="T14" s="195"/>
    </row>
    <row r="15" spans="1:20" ht="20.100000000000001" customHeight="1" x14ac:dyDescent="0.25">
      <c r="A15" s="75">
        <v>8</v>
      </c>
      <c r="B15" s="133">
        <v>43321</v>
      </c>
      <c r="C15" s="135" t="s">
        <v>1963</v>
      </c>
      <c r="D15" s="136" t="s">
        <v>1985</v>
      </c>
      <c r="E15" s="78" t="s">
        <v>24</v>
      </c>
      <c r="F15" s="80"/>
      <c r="G15" s="130">
        <v>310</v>
      </c>
      <c r="H15" s="22">
        <v>5434300</v>
      </c>
      <c r="I15" s="237"/>
      <c r="J15" s="253">
        <v>1710000</v>
      </c>
      <c r="K15" s="86"/>
      <c r="L15" s="69"/>
      <c r="M15" s="69"/>
      <c r="N15" s="69"/>
      <c r="O15" s="142">
        <f t="shared" si="0"/>
        <v>7144300</v>
      </c>
      <c r="P15" s="145">
        <v>7500000</v>
      </c>
      <c r="Q15" s="176">
        <f t="shared" si="1"/>
        <v>355700</v>
      </c>
      <c r="R15" s="195"/>
      <c r="S15" s="195"/>
      <c r="T15" s="195"/>
    </row>
    <row r="16" spans="1:20" ht="20.100000000000001" customHeight="1" x14ac:dyDescent="0.25">
      <c r="A16" s="75">
        <v>9</v>
      </c>
      <c r="B16" s="133">
        <v>43322</v>
      </c>
      <c r="C16" s="135" t="s">
        <v>1964</v>
      </c>
      <c r="D16" s="136" t="s">
        <v>1986</v>
      </c>
      <c r="E16" s="78" t="s">
        <v>2005</v>
      </c>
      <c r="F16" s="80"/>
      <c r="G16" s="130"/>
      <c r="H16" s="22"/>
      <c r="I16" s="237"/>
      <c r="J16" s="253">
        <v>1010000</v>
      </c>
      <c r="K16" s="86"/>
      <c r="L16" s="69"/>
      <c r="M16" s="69"/>
      <c r="N16" s="69"/>
      <c r="O16" s="142">
        <f t="shared" si="0"/>
        <v>1010000</v>
      </c>
      <c r="P16" s="145">
        <v>4200000</v>
      </c>
      <c r="Q16" s="176">
        <f t="shared" si="1"/>
        <v>3190000</v>
      </c>
      <c r="R16" s="195"/>
      <c r="S16" s="195"/>
      <c r="T16" s="195"/>
    </row>
    <row r="17" spans="1:20" ht="20.100000000000001" customHeight="1" x14ac:dyDescent="0.25">
      <c r="A17" s="75">
        <v>10</v>
      </c>
      <c r="B17" s="133">
        <v>43325</v>
      </c>
      <c r="C17" s="135" t="s">
        <v>1965</v>
      </c>
      <c r="D17" s="136" t="s">
        <v>173</v>
      </c>
      <c r="E17" s="78" t="s">
        <v>2006</v>
      </c>
      <c r="F17" s="80"/>
      <c r="G17" s="130">
        <v>305</v>
      </c>
      <c r="H17" s="22">
        <v>5346650</v>
      </c>
      <c r="I17" s="237"/>
      <c r="J17" s="253">
        <v>1450000</v>
      </c>
      <c r="K17" s="86"/>
      <c r="L17" s="69"/>
      <c r="M17" s="69"/>
      <c r="N17" s="69"/>
      <c r="O17" s="142">
        <f t="shared" si="0"/>
        <v>6796650</v>
      </c>
      <c r="P17" s="145">
        <v>6100000</v>
      </c>
      <c r="Q17" s="176">
        <f t="shared" si="1"/>
        <v>-696650</v>
      </c>
      <c r="R17" s="195"/>
      <c r="S17" s="195"/>
      <c r="T17" s="195"/>
    </row>
    <row r="18" spans="1:20" ht="20.100000000000001" customHeight="1" x14ac:dyDescent="0.25">
      <c r="A18" s="75">
        <v>11</v>
      </c>
      <c r="B18" s="133">
        <v>43325</v>
      </c>
      <c r="C18" s="135" t="s">
        <v>1293</v>
      </c>
      <c r="D18" s="136" t="s">
        <v>1987</v>
      </c>
      <c r="E18" s="78" t="s">
        <v>21</v>
      </c>
      <c r="F18" s="80"/>
      <c r="G18" s="130">
        <v>150</v>
      </c>
      <c r="H18" s="22">
        <v>2629500</v>
      </c>
      <c r="I18" s="237"/>
      <c r="J18" s="253">
        <v>2740000</v>
      </c>
      <c r="K18" s="86"/>
      <c r="L18" s="69"/>
      <c r="M18" s="69"/>
      <c r="N18" s="69"/>
      <c r="O18" s="142">
        <f t="shared" si="0"/>
        <v>5369500</v>
      </c>
      <c r="P18" s="145">
        <v>12090909</v>
      </c>
      <c r="Q18" s="176">
        <f t="shared" si="1"/>
        <v>6721409</v>
      </c>
      <c r="R18" s="195"/>
      <c r="S18" s="195"/>
      <c r="T18" s="195"/>
    </row>
    <row r="19" spans="1:20" ht="20.100000000000001" customHeight="1" x14ac:dyDescent="0.25">
      <c r="A19" s="75">
        <v>12</v>
      </c>
      <c r="B19" s="133">
        <v>43326</v>
      </c>
      <c r="C19" s="135" t="s">
        <v>1966</v>
      </c>
      <c r="D19" s="136" t="s">
        <v>1988</v>
      </c>
      <c r="E19" s="78" t="s">
        <v>2007</v>
      </c>
      <c r="F19" s="80"/>
      <c r="G19" s="130"/>
      <c r="H19" s="22"/>
      <c r="I19" s="237"/>
      <c r="J19" s="253">
        <v>790000</v>
      </c>
      <c r="K19" s="86"/>
      <c r="L19" s="69"/>
      <c r="M19" s="69"/>
      <c r="N19" s="69"/>
      <c r="O19" s="142">
        <f t="shared" si="0"/>
        <v>790000</v>
      </c>
      <c r="P19" s="145">
        <v>3300000</v>
      </c>
      <c r="Q19" s="176">
        <f t="shared" si="1"/>
        <v>2510000</v>
      </c>
      <c r="R19" s="195"/>
      <c r="S19" s="195"/>
      <c r="T19" s="195"/>
    </row>
    <row r="20" spans="1:20" ht="20.100000000000001" customHeight="1" x14ac:dyDescent="0.25">
      <c r="A20" s="75">
        <v>13</v>
      </c>
      <c r="B20" s="133">
        <v>43327</v>
      </c>
      <c r="C20" s="135" t="s">
        <v>1967</v>
      </c>
      <c r="D20" s="136" t="s">
        <v>1989</v>
      </c>
      <c r="E20" s="78" t="s">
        <v>2008</v>
      </c>
      <c r="F20" s="80"/>
      <c r="G20" s="130">
        <v>243</v>
      </c>
      <c r="H20" s="22">
        <v>4259790</v>
      </c>
      <c r="I20" s="237"/>
      <c r="J20" s="253">
        <v>970000</v>
      </c>
      <c r="K20" s="86"/>
      <c r="L20" s="69"/>
      <c r="M20" s="69"/>
      <c r="N20" s="69"/>
      <c r="O20" s="142">
        <f t="shared" si="0"/>
        <v>5229790</v>
      </c>
      <c r="P20" s="145">
        <v>3600000</v>
      </c>
      <c r="Q20" s="176">
        <f t="shared" si="1"/>
        <v>-1629790</v>
      </c>
      <c r="R20" s="195"/>
      <c r="S20" s="195"/>
      <c r="T20" s="195"/>
    </row>
    <row r="21" spans="1:20" ht="20.100000000000001" customHeight="1" x14ac:dyDescent="0.25">
      <c r="A21" s="75">
        <v>14</v>
      </c>
      <c r="B21" s="133">
        <v>43328</v>
      </c>
      <c r="C21" s="135" t="s">
        <v>1296</v>
      </c>
      <c r="D21" s="136" t="s">
        <v>1990</v>
      </c>
      <c r="E21" s="78" t="s">
        <v>2009</v>
      </c>
      <c r="F21" s="80"/>
      <c r="G21" s="130">
        <v>180</v>
      </c>
      <c r="H21" s="22">
        <v>3155400</v>
      </c>
      <c r="I21" s="237"/>
      <c r="J21" s="253">
        <v>640000</v>
      </c>
      <c r="K21" s="86"/>
      <c r="L21" s="69"/>
      <c r="M21" s="69"/>
      <c r="N21" s="69"/>
      <c r="O21" s="142">
        <f t="shared" si="0"/>
        <v>3795400</v>
      </c>
      <c r="P21" s="145">
        <v>5209091</v>
      </c>
      <c r="Q21" s="176">
        <f t="shared" si="1"/>
        <v>1413691</v>
      </c>
      <c r="R21" s="195"/>
      <c r="S21" s="195"/>
      <c r="T21" s="195"/>
    </row>
    <row r="22" spans="1:20" ht="20.100000000000001" customHeight="1" x14ac:dyDescent="0.25">
      <c r="A22" s="75">
        <v>15</v>
      </c>
      <c r="B22" s="133">
        <v>43329</v>
      </c>
      <c r="C22" s="135" t="s">
        <v>1968</v>
      </c>
      <c r="D22" s="136" t="s">
        <v>1991</v>
      </c>
      <c r="E22" s="78" t="s">
        <v>636</v>
      </c>
      <c r="F22" s="80"/>
      <c r="G22" s="130"/>
      <c r="H22" s="22"/>
      <c r="I22" s="237"/>
      <c r="J22" s="253">
        <v>790000</v>
      </c>
      <c r="K22" s="86"/>
      <c r="L22" s="69"/>
      <c r="M22" s="69"/>
      <c r="N22" s="69"/>
      <c r="O22" s="142">
        <f t="shared" si="0"/>
        <v>790000</v>
      </c>
      <c r="P22" s="145">
        <v>2809091</v>
      </c>
      <c r="Q22" s="176">
        <f t="shared" si="1"/>
        <v>2019091</v>
      </c>
      <c r="R22" s="195"/>
      <c r="S22" s="195"/>
      <c r="T22" s="195"/>
    </row>
    <row r="23" spans="1:20" ht="20.100000000000001" customHeight="1" x14ac:dyDescent="0.25">
      <c r="A23" s="75">
        <v>16</v>
      </c>
      <c r="B23" s="133">
        <v>43332</v>
      </c>
      <c r="C23" s="135" t="s">
        <v>1969</v>
      </c>
      <c r="D23" s="136" t="s">
        <v>1992</v>
      </c>
      <c r="E23" s="78" t="s">
        <v>1157</v>
      </c>
      <c r="F23" s="80"/>
      <c r="G23" s="130">
        <v>180</v>
      </c>
      <c r="H23" s="22">
        <v>3155400</v>
      </c>
      <c r="I23" s="237"/>
      <c r="J23" s="253">
        <f>1520000+400000</f>
        <v>1920000</v>
      </c>
      <c r="K23" s="86"/>
      <c r="L23" s="69"/>
      <c r="M23" s="69"/>
      <c r="N23" s="69"/>
      <c r="O23" s="142">
        <f t="shared" si="0"/>
        <v>5075400</v>
      </c>
      <c r="P23" s="145">
        <v>7000000</v>
      </c>
      <c r="Q23" s="176">
        <f t="shared" si="1"/>
        <v>1924600</v>
      </c>
      <c r="R23" s="195"/>
      <c r="S23" s="195"/>
      <c r="T23" s="195"/>
    </row>
    <row r="24" spans="1:20" ht="20.100000000000001" customHeight="1" x14ac:dyDescent="0.25">
      <c r="A24" s="75">
        <v>17</v>
      </c>
      <c r="B24" s="133">
        <v>43332</v>
      </c>
      <c r="C24" s="135" t="s">
        <v>1970</v>
      </c>
      <c r="D24" s="136" t="s">
        <v>1992</v>
      </c>
      <c r="E24" s="78" t="s">
        <v>1158</v>
      </c>
      <c r="F24" s="80"/>
      <c r="G24" s="130"/>
      <c r="H24" s="22"/>
      <c r="I24" s="237"/>
      <c r="J24" s="253">
        <v>0</v>
      </c>
      <c r="K24" s="86"/>
      <c r="L24" s="69"/>
      <c r="M24" s="69"/>
      <c r="N24" s="69"/>
      <c r="O24" s="142">
        <f t="shared" si="0"/>
        <v>0</v>
      </c>
      <c r="P24" s="145">
        <v>0</v>
      </c>
      <c r="Q24" s="176">
        <f t="shared" si="1"/>
        <v>0</v>
      </c>
      <c r="R24" s="195"/>
      <c r="S24" s="195"/>
      <c r="T24" s="195"/>
    </row>
    <row r="25" spans="1:20" ht="20.100000000000001" customHeight="1" x14ac:dyDescent="0.25">
      <c r="A25" s="75">
        <v>18</v>
      </c>
      <c r="B25" s="133">
        <v>43332</v>
      </c>
      <c r="C25" s="135" t="s">
        <v>1299</v>
      </c>
      <c r="D25" s="136" t="s">
        <v>1993</v>
      </c>
      <c r="E25" s="78" t="s">
        <v>364</v>
      </c>
      <c r="F25" s="80"/>
      <c r="G25" s="130"/>
      <c r="H25" s="22"/>
      <c r="I25" s="237"/>
      <c r="J25" s="253">
        <v>1330000</v>
      </c>
      <c r="K25" s="86"/>
      <c r="L25" s="69"/>
      <c r="M25" s="69"/>
      <c r="N25" s="69"/>
      <c r="O25" s="142">
        <f t="shared" si="0"/>
        <v>1330000</v>
      </c>
      <c r="P25" s="145">
        <v>5000000</v>
      </c>
      <c r="Q25" s="176">
        <f t="shared" si="1"/>
        <v>3670000</v>
      </c>
      <c r="R25" s="195"/>
      <c r="S25" s="195"/>
      <c r="T25" s="195"/>
    </row>
    <row r="26" spans="1:20" ht="20.100000000000001" customHeight="1" x14ac:dyDescent="0.25">
      <c r="A26" s="75">
        <v>19</v>
      </c>
      <c r="B26" s="133">
        <v>43333</v>
      </c>
      <c r="C26" s="135" t="s">
        <v>1971</v>
      </c>
      <c r="D26" s="136" t="s">
        <v>1994</v>
      </c>
      <c r="E26" s="78" t="s">
        <v>564</v>
      </c>
      <c r="F26" s="80"/>
      <c r="G26" s="130">
        <v>285</v>
      </c>
      <c r="H26" s="22">
        <v>4996050</v>
      </c>
      <c r="I26" s="237"/>
      <c r="J26" s="254">
        <v>1330000</v>
      </c>
      <c r="K26" s="86"/>
      <c r="L26" s="69"/>
      <c r="M26" s="69"/>
      <c r="N26" s="69"/>
      <c r="O26" s="142">
        <f t="shared" si="0"/>
        <v>6326050</v>
      </c>
      <c r="P26" s="145">
        <v>5300000</v>
      </c>
      <c r="Q26" s="176">
        <f t="shared" si="1"/>
        <v>-1026050</v>
      </c>
      <c r="R26" s="195"/>
      <c r="S26" s="195"/>
      <c r="T26" s="195"/>
    </row>
    <row r="27" spans="1:20" ht="20.100000000000001" customHeight="1" x14ac:dyDescent="0.25">
      <c r="A27" s="75">
        <v>20</v>
      </c>
      <c r="B27" s="133">
        <v>43334</v>
      </c>
      <c r="C27" s="135" t="s">
        <v>1972</v>
      </c>
      <c r="D27" s="136" t="s">
        <v>1995</v>
      </c>
      <c r="E27" s="78" t="s">
        <v>215</v>
      </c>
      <c r="F27" s="80"/>
      <c r="G27" s="130"/>
      <c r="H27" s="22"/>
      <c r="I27" s="237"/>
      <c r="J27" s="253">
        <v>970000</v>
      </c>
      <c r="K27" s="86"/>
      <c r="L27" s="69"/>
      <c r="M27" s="69"/>
      <c r="N27" s="69"/>
      <c r="O27" s="142">
        <f t="shared" si="0"/>
        <v>970000</v>
      </c>
      <c r="P27" s="145">
        <v>3800000</v>
      </c>
      <c r="Q27" s="176">
        <f t="shared" si="1"/>
        <v>2830000</v>
      </c>
      <c r="R27" s="195"/>
      <c r="S27" s="195"/>
      <c r="T27" s="195"/>
    </row>
    <row r="28" spans="1:20" ht="20.100000000000001" customHeight="1" x14ac:dyDescent="0.25">
      <c r="A28" s="75">
        <v>21</v>
      </c>
      <c r="B28" s="133">
        <v>43335</v>
      </c>
      <c r="C28" s="135" t="s">
        <v>1973</v>
      </c>
      <c r="D28" s="136" t="s">
        <v>1996</v>
      </c>
      <c r="E28" s="78" t="s">
        <v>24</v>
      </c>
      <c r="F28" s="80"/>
      <c r="G28" s="130">
        <v>230</v>
      </c>
      <c r="H28" s="22">
        <v>4066400</v>
      </c>
      <c r="I28" s="237"/>
      <c r="J28" s="253">
        <v>1710000</v>
      </c>
      <c r="K28" s="86"/>
      <c r="L28" s="69"/>
      <c r="M28" s="69"/>
      <c r="N28" s="69"/>
      <c r="O28" s="142">
        <f t="shared" si="0"/>
        <v>5776400</v>
      </c>
      <c r="P28" s="145">
        <v>7500000</v>
      </c>
      <c r="Q28" s="176">
        <f t="shared" si="1"/>
        <v>1723600</v>
      </c>
      <c r="R28" s="195"/>
      <c r="S28" s="195"/>
      <c r="T28" s="195"/>
    </row>
    <row r="29" spans="1:20" ht="20.100000000000001" customHeight="1" x14ac:dyDescent="0.25">
      <c r="A29" s="75">
        <v>22</v>
      </c>
      <c r="B29" s="133">
        <v>43336</v>
      </c>
      <c r="C29" s="135" t="s">
        <v>1974</v>
      </c>
      <c r="D29" s="136" t="s">
        <v>1997</v>
      </c>
      <c r="E29" s="78" t="s">
        <v>2010</v>
      </c>
      <c r="F29" s="80"/>
      <c r="G29" s="130"/>
      <c r="H29" s="22"/>
      <c r="I29" s="237"/>
      <c r="J29" s="253">
        <v>970000</v>
      </c>
      <c r="K29" s="86"/>
      <c r="L29" s="69"/>
      <c r="M29" s="69"/>
      <c r="N29" s="69"/>
      <c r="O29" s="142">
        <f t="shared" si="0"/>
        <v>970000</v>
      </c>
      <c r="P29" s="145">
        <v>3300000</v>
      </c>
      <c r="Q29" s="176">
        <f t="shared" si="1"/>
        <v>2330000</v>
      </c>
      <c r="R29" s="195"/>
      <c r="S29" s="195"/>
      <c r="T29" s="195"/>
    </row>
    <row r="30" spans="1:20" ht="20.100000000000001" customHeight="1" x14ac:dyDescent="0.25">
      <c r="A30" s="75">
        <v>23</v>
      </c>
      <c r="B30" s="133">
        <v>43339</v>
      </c>
      <c r="C30" s="135" t="s">
        <v>567</v>
      </c>
      <c r="D30" s="136" t="s">
        <v>1998</v>
      </c>
      <c r="E30" s="78" t="s">
        <v>1828</v>
      </c>
      <c r="F30" s="80"/>
      <c r="G30" s="130">
        <v>260</v>
      </c>
      <c r="H30" s="22">
        <v>4596800</v>
      </c>
      <c r="I30" s="237"/>
      <c r="J30" s="253">
        <v>1330000</v>
      </c>
      <c r="K30" s="86"/>
      <c r="L30" s="69"/>
      <c r="M30" s="69"/>
      <c r="N30" s="69"/>
      <c r="O30" s="142">
        <f t="shared" si="0"/>
        <v>5926800</v>
      </c>
      <c r="P30" s="145">
        <v>6100000</v>
      </c>
      <c r="Q30" s="176">
        <f t="shared" si="1"/>
        <v>173200</v>
      </c>
      <c r="R30" s="195"/>
      <c r="S30" s="195"/>
      <c r="T30" s="195"/>
    </row>
    <row r="31" spans="1:20" ht="20.100000000000001" customHeight="1" x14ac:dyDescent="0.25">
      <c r="A31" s="75">
        <v>24</v>
      </c>
      <c r="B31" s="133">
        <v>43339</v>
      </c>
      <c r="C31" s="135" t="s">
        <v>1975</v>
      </c>
      <c r="D31" s="136" t="s">
        <v>1999</v>
      </c>
      <c r="E31" s="78" t="s">
        <v>2011</v>
      </c>
      <c r="F31" s="80"/>
      <c r="G31" s="130"/>
      <c r="H31" s="22"/>
      <c r="I31" s="237"/>
      <c r="J31" s="253">
        <v>1150000</v>
      </c>
      <c r="K31" s="86"/>
      <c r="L31" s="69"/>
      <c r="M31" s="69"/>
      <c r="N31" s="69"/>
      <c r="O31" s="142">
        <f t="shared" si="0"/>
        <v>1150000</v>
      </c>
      <c r="P31" s="207">
        <v>4300000</v>
      </c>
      <c r="Q31" s="176">
        <f t="shared" si="1"/>
        <v>3150000</v>
      </c>
      <c r="R31" s="195"/>
      <c r="S31" s="195"/>
      <c r="T31" s="195"/>
    </row>
    <row r="32" spans="1:20" ht="20.100000000000001" customHeight="1" x14ac:dyDescent="0.25">
      <c r="A32" s="75">
        <v>25</v>
      </c>
      <c r="B32" s="133">
        <v>43340</v>
      </c>
      <c r="C32" s="135" t="s">
        <v>1305</v>
      </c>
      <c r="D32" s="136" t="s">
        <v>2000</v>
      </c>
      <c r="E32" s="78" t="s">
        <v>24</v>
      </c>
      <c r="F32" s="80"/>
      <c r="G32" s="130">
        <v>260</v>
      </c>
      <c r="H32" s="22">
        <v>4596800</v>
      </c>
      <c r="I32" s="237"/>
      <c r="J32" s="253">
        <v>1710000</v>
      </c>
      <c r="K32" s="86"/>
      <c r="L32" s="69"/>
      <c r="M32" s="69"/>
      <c r="N32" s="69"/>
      <c r="O32" s="142">
        <f t="shared" si="0"/>
        <v>6306800</v>
      </c>
      <c r="P32" s="145">
        <v>7227273</v>
      </c>
      <c r="Q32" s="176">
        <f t="shared" si="1"/>
        <v>920473</v>
      </c>
      <c r="R32" s="195"/>
      <c r="S32" s="195"/>
      <c r="T32" s="195"/>
    </row>
    <row r="33" spans="1:20" ht="20.100000000000001" customHeight="1" x14ac:dyDescent="0.25">
      <c r="A33" s="75">
        <v>26</v>
      </c>
      <c r="B33" s="133">
        <v>43341</v>
      </c>
      <c r="C33" s="135" t="s">
        <v>1976</v>
      </c>
      <c r="D33" s="136" t="s">
        <v>2001</v>
      </c>
      <c r="E33" s="78" t="s">
        <v>2012</v>
      </c>
      <c r="F33" s="80"/>
      <c r="G33" s="130"/>
      <c r="H33" s="22"/>
      <c r="I33" s="237"/>
      <c r="J33" s="182">
        <f>960000+400000</f>
        <v>1360000</v>
      </c>
      <c r="K33" s="86"/>
      <c r="L33" s="69"/>
      <c r="M33" s="69"/>
      <c r="N33" s="69"/>
      <c r="O33" s="142">
        <f t="shared" si="0"/>
        <v>1360000</v>
      </c>
      <c r="P33" s="209">
        <v>5900000</v>
      </c>
      <c r="Q33" s="176">
        <f t="shared" si="1"/>
        <v>4540000</v>
      </c>
      <c r="R33" s="195"/>
      <c r="S33" s="195"/>
      <c r="T33" s="195"/>
    </row>
    <row r="34" spans="1:20" ht="20.100000000000001" customHeight="1" x14ac:dyDescent="0.25">
      <c r="A34" s="75">
        <v>27</v>
      </c>
      <c r="B34" s="133">
        <v>43342</v>
      </c>
      <c r="C34" s="135" t="s">
        <v>1977</v>
      </c>
      <c r="D34" s="136" t="s">
        <v>2002</v>
      </c>
      <c r="E34" s="78" t="s">
        <v>1157</v>
      </c>
      <c r="F34" s="80"/>
      <c r="G34" s="130">
        <v>320</v>
      </c>
      <c r="H34" s="22">
        <v>5657600</v>
      </c>
      <c r="I34" s="237"/>
      <c r="J34" s="222">
        <v>970000</v>
      </c>
      <c r="K34" s="86"/>
      <c r="L34" s="69"/>
      <c r="M34" s="69"/>
      <c r="N34" s="69"/>
      <c r="O34" s="142">
        <f t="shared" si="0"/>
        <v>6627600</v>
      </c>
      <c r="P34" s="145">
        <v>3800000</v>
      </c>
      <c r="Q34" s="176">
        <f t="shared" si="1"/>
        <v>-2827600</v>
      </c>
      <c r="R34" s="195"/>
      <c r="S34" s="195"/>
      <c r="T34" s="195"/>
    </row>
    <row r="35" spans="1:20" ht="20.100000000000001" customHeight="1" x14ac:dyDescent="0.25">
      <c r="A35" s="75"/>
      <c r="B35" s="133"/>
      <c r="C35" s="135"/>
      <c r="D35" s="136"/>
      <c r="E35" s="78"/>
      <c r="F35" s="80"/>
      <c r="G35" s="130"/>
      <c r="H35" s="130"/>
      <c r="I35" s="237"/>
      <c r="J35" s="69"/>
      <c r="K35" s="86"/>
      <c r="L35" s="69"/>
      <c r="M35" s="69"/>
      <c r="N35" s="69"/>
      <c r="O35" s="142"/>
      <c r="P35" s="209"/>
      <c r="Q35" s="176"/>
      <c r="R35" s="195"/>
      <c r="S35" s="195"/>
      <c r="T35" s="195"/>
    </row>
    <row r="36" spans="1:20" ht="20.100000000000001" customHeight="1" x14ac:dyDescent="0.25">
      <c r="A36" s="75"/>
      <c r="B36" s="133"/>
      <c r="C36" s="138"/>
      <c r="D36" s="139"/>
      <c r="E36" s="78"/>
      <c r="F36" s="110"/>
      <c r="G36" s="203"/>
      <c r="H36" s="130"/>
      <c r="I36" s="237"/>
      <c r="J36" s="112"/>
      <c r="K36" s="86"/>
      <c r="L36" s="69"/>
      <c r="M36" s="112"/>
      <c r="N36" s="112"/>
      <c r="O36" s="142"/>
      <c r="P36" s="224"/>
      <c r="Q36" s="176"/>
      <c r="R36" s="195"/>
      <c r="S36" s="195"/>
      <c r="T36" s="195"/>
    </row>
    <row r="37" spans="1:20" ht="39.75" customHeight="1" x14ac:dyDescent="0.25">
      <c r="A37" s="75"/>
      <c r="B37" s="133"/>
      <c r="C37" s="170" t="s">
        <v>2018</v>
      </c>
      <c r="D37" s="247"/>
      <c r="E37" s="85"/>
      <c r="F37" s="248"/>
      <c r="G37" s="249"/>
      <c r="H37" s="250"/>
      <c r="I37" s="251"/>
      <c r="J37" s="113"/>
      <c r="K37" s="86"/>
      <c r="L37" s="86"/>
      <c r="M37" s="113">
        <v>1670000</v>
      </c>
      <c r="N37" s="243"/>
      <c r="O37" s="244">
        <f t="shared" si="0"/>
        <v>1670000</v>
      </c>
      <c r="P37" s="245"/>
      <c r="Q37" s="246">
        <f t="shared" si="1"/>
        <v>-1670000</v>
      </c>
      <c r="R37" s="252" t="s">
        <v>2019</v>
      </c>
      <c r="S37" s="195"/>
      <c r="T37" s="195"/>
    </row>
    <row r="38" spans="1:20" ht="39.75" customHeight="1" x14ac:dyDescent="0.25">
      <c r="A38" s="75"/>
      <c r="B38" s="133"/>
      <c r="C38" s="183" t="s">
        <v>2013</v>
      </c>
      <c r="D38" s="162"/>
      <c r="E38" s="153"/>
      <c r="F38" s="163"/>
      <c r="G38" s="194"/>
      <c r="H38" s="234"/>
      <c r="I38" s="239"/>
      <c r="J38" s="166"/>
      <c r="K38" s="86"/>
      <c r="L38" s="156"/>
      <c r="M38" s="166">
        <v>1150000</v>
      </c>
      <c r="N38" s="112"/>
      <c r="O38" s="142">
        <f t="shared" si="0"/>
        <v>1150000</v>
      </c>
      <c r="P38" s="68"/>
      <c r="Q38" s="176">
        <f t="shared" si="1"/>
        <v>-1150000</v>
      </c>
    </row>
    <row r="39" spans="1:20" ht="27" customHeight="1" x14ac:dyDescent="0.25">
      <c r="A39" s="75"/>
      <c r="B39" s="133"/>
      <c r="C39" s="183" t="s">
        <v>2014</v>
      </c>
      <c r="D39" s="162"/>
      <c r="E39" s="153"/>
      <c r="F39" s="163"/>
      <c r="G39" s="194"/>
      <c r="H39" s="234"/>
      <c r="I39" s="240"/>
      <c r="J39" s="166"/>
      <c r="K39" s="86"/>
      <c r="L39" s="156"/>
      <c r="M39" s="166">
        <v>1200000</v>
      </c>
      <c r="N39" s="112"/>
      <c r="O39" s="142">
        <f t="shared" si="0"/>
        <v>1200000</v>
      </c>
      <c r="P39" s="68"/>
      <c r="Q39" s="176">
        <f t="shared" si="1"/>
        <v>-1200000</v>
      </c>
    </row>
    <row r="40" spans="1:20" ht="27" customHeight="1" x14ac:dyDescent="0.25">
      <c r="A40" s="75"/>
      <c r="B40" s="133"/>
      <c r="C40" s="183" t="s">
        <v>2015</v>
      </c>
      <c r="D40" s="162"/>
      <c r="E40" s="153"/>
      <c r="F40" s="163"/>
      <c r="G40" s="194"/>
      <c r="H40" s="234"/>
      <c r="I40" s="240"/>
      <c r="J40" s="166"/>
      <c r="K40" s="86"/>
      <c r="L40" s="156"/>
      <c r="M40" s="166">
        <v>1300000</v>
      </c>
      <c r="N40" s="112"/>
      <c r="O40" s="142">
        <f t="shared" si="0"/>
        <v>1300000</v>
      </c>
      <c r="P40" s="68"/>
      <c r="Q40" s="176">
        <f t="shared" si="1"/>
        <v>-1300000</v>
      </c>
    </row>
    <row r="41" spans="1:20" ht="27" customHeight="1" x14ac:dyDescent="0.25">
      <c r="A41" s="75"/>
      <c r="B41" s="133"/>
      <c r="C41" s="183" t="s">
        <v>2016</v>
      </c>
      <c r="D41" s="162"/>
      <c r="E41" s="153"/>
      <c r="F41" s="163"/>
      <c r="G41" s="194"/>
      <c r="H41" s="234"/>
      <c r="I41" s="240"/>
      <c r="J41" s="166"/>
      <c r="K41" s="86"/>
      <c r="L41" s="156"/>
      <c r="M41" s="166">
        <v>180000</v>
      </c>
      <c r="N41" s="112"/>
      <c r="O41" s="142">
        <f t="shared" si="0"/>
        <v>180000</v>
      </c>
      <c r="P41" s="68"/>
      <c r="Q41" s="176">
        <f t="shared" si="1"/>
        <v>-180000</v>
      </c>
    </row>
    <row r="42" spans="1:20" ht="41.25" customHeight="1" x14ac:dyDescent="0.25">
      <c r="A42" s="75"/>
      <c r="B42" s="133"/>
      <c r="C42" s="183" t="s">
        <v>2017</v>
      </c>
      <c r="D42" s="162"/>
      <c r="E42" s="153"/>
      <c r="F42" s="163"/>
      <c r="G42" s="194"/>
      <c r="H42" s="234"/>
      <c r="I42" s="240"/>
      <c r="J42" s="166"/>
      <c r="K42" s="86"/>
      <c r="L42" s="156"/>
      <c r="M42" s="166">
        <v>600000</v>
      </c>
      <c r="N42" s="112"/>
      <c r="O42" s="142">
        <f t="shared" si="0"/>
        <v>600000</v>
      </c>
      <c r="P42" s="68"/>
      <c r="Q42" s="176">
        <f t="shared" si="1"/>
        <v>-600000</v>
      </c>
    </row>
    <row r="43" spans="1:20" ht="18" customHeight="1" x14ac:dyDescent="0.25">
      <c r="A43" s="75"/>
      <c r="B43" s="133"/>
      <c r="C43" s="170" t="s">
        <v>1273</v>
      </c>
      <c r="D43" s="162"/>
      <c r="E43" s="153"/>
      <c r="F43" s="163"/>
      <c r="G43" s="164"/>
      <c r="H43" s="155"/>
      <c r="I43" s="240"/>
      <c r="J43" s="166"/>
      <c r="K43" s="86"/>
      <c r="L43" s="156">
        <v>1320000</v>
      </c>
      <c r="M43" s="112"/>
      <c r="N43" s="112"/>
      <c r="O43" s="142">
        <f t="shared" si="0"/>
        <v>1320000</v>
      </c>
      <c r="P43" s="68"/>
      <c r="Q43" s="176">
        <f t="shared" si="1"/>
        <v>-1320000</v>
      </c>
    </row>
    <row r="44" spans="1:20" ht="18" customHeight="1" x14ac:dyDescent="0.25">
      <c r="A44" s="134"/>
      <c r="B44" s="70"/>
      <c r="C44" s="108" t="s">
        <v>1386</v>
      </c>
      <c r="D44" s="87"/>
      <c r="E44" s="70"/>
      <c r="F44" s="110"/>
      <c r="G44" s="70"/>
      <c r="H44" s="81"/>
      <c r="I44" s="241"/>
      <c r="J44" s="112"/>
      <c r="K44" s="242">
        <v>9438462</v>
      </c>
      <c r="L44" s="141"/>
      <c r="M44" s="112"/>
      <c r="N44" s="112"/>
      <c r="O44" s="142">
        <f t="shared" si="0"/>
        <v>9438462</v>
      </c>
      <c r="P44" s="144"/>
      <c r="Q44" s="176">
        <f t="shared" si="1"/>
        <v>-9438462</v>
      </c>
    </row>
    <row r="45" spans="1:20" ht="18" customHeight="1" x14ac:dyDescent="0.25">
      <c r="A45" s="213"/>
      <c r="B45" s="214"/>
      <c r="C45" s="215"/>
      <c r="D45" s="216"/>
      <c r="E45" s="214"/>
      <c r="F45" s="217"/>
      <c r="G45" s="214"/>
      <c r="H45" s="218"/>
      <c r="I45" s="238"/>
      <c r="J45" s="219"/>
      <c r="K45" s="220"/>
      <c r="L45" s="221"/>
      <c r="M45" s="219"/>
      <c r="N45" s="219"/>
      <c r="O45" s="142">
        <f t="shared" si="0"/>
        <v>0</v>
      </c>
      <c r="P45" s="214"/>
      <c r="Q45" s="176">
        <f t="shared" si="1"/>
        <v>0</v>
      </c>
    </row>
    <row r="46" spans="1:20" x14ac:dyDescent="0.25">
      <c r="A46" s="547" t="s">
        <v>19</v>
      </c>
      <c r="B46" s="548"/>
      <c r="C46" s="548"/>
      <c r="D46" s="548"/>
      <c r="E46" s="548"/>
      <c r="F46" s="549"/>
      <c r="G46" s="236">
        <f>SUM(G8:G45)</f>
        <v>3517</v>
      </c>
      <c r="H46" s="71">
        <f>SUM(H7:H44)</f>
        <v>61583250</v>
      </c>
      <c r="I46" s="71">
        <f>SUM(I7:I44)</f>
        <v>0</v>
      </c>
      <c r="J46" s="71">
        <f>SUM(J7:J44)</f>
        <v>36480000</v>
      </c>
      <c r="K46" s="71">
        <f>SUM(K7:K45)</f>
        <v>9438462</v>
      </c>
      <c r="L46" s="71">
        <f>SUM(L7:L45)</f>
        <v>1320000</v>
      </c>
      <c r="M46" s="71">
        <f>SUM(M7:M44)</f>
        <v>6100000</v>
      </c>
      <c r="N46" s="71">
        <f>SUM(N7:N44)</f>
        <v>0</v>
      </c>
      <c r="O46" s="71">
        <f>SUM(O7:O45)</f>
        <v>114921712</v>
      </c>
      <c r="P46" s="71">
        <f>SUM(P7:P44)</f>
        <v>153772728</v>
      </c>
      <c r="Q46" s="71">
        <f>SUM(Q7:Q45)</f>
        <v>38851016</v>
      </c>
      <c r="R46" s="195"/>
      <c r="S46" s="195"/>
    </row>
    <row r="47" spans="1:20" x14ac:dyDescent="0.25">
      <c r="P47" s="195"/>
      <c r="Q47" s="202">
        <f>P46-O46</f>
        <v>38851016</v>
      </c>
    </row>
    <row r="48" spans="1:20" x14ac:dyDescent="0.25">
      <c r="P48" s="229" t="s">
        <v>1225</v>
      </c>
      <c r="Q48" s="185">
        <f>'07-2018'!Q49+'08-2018'!Q47</f>
        <v>262333343</v>
      </c>
    </row>
    <row r="49" spans="17:18" x14ac:dyDescent="0.25">
      <c r="Q49" s="195"/>
    </row>
    <row r="50" spans="17:18" x14ac:dyDescent="0.25">
      <c r="R50" s="195"/>
    </row>
  </sheetData>
  <mergeCells count="5">
    <mergeCell ref="A1:Q1"/>
    <mergeCell ref="A2:Q2"/>
    <mergeCell ref="A3:Q3"/>
    <mergeCell ref="G5:N5"/>
    <mergeCell ref="A46:F46"/>
  </mergeCells>
  <pageMargins left="0.7" right="0.7" top="0.75" bottom="0.75" header="0.3" footer="0.3"/>
  <pageSetup paperSize="9" orientation="portrait" horizontalDpi="0" verticalDpi="0"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T40"/>
  <sheetViews>
    <sheetView topLeftCell="D25" workbookViewId="0">
      <selection activeCell="J27" sqref="J27"/>
    </sheetView>
  </sheetViews>
  <sheetFormatPr defaultRowHeight="15" x14ac:dyDescent="0.25"/>
  <cols>
    <col min="1" max="1" width="4.5703125" customWidth="1"/>
    <col min="3" max="3" width="41.28515625" customWidth="1"/>
    <col min="4" max="4" width="16.5703125" customWidth="1"/>
    <col min="5" max="5" width="33.140625" customWidth="1"/>
    <col min="9" max="9" width="9.140625" style="13"/>
    <col min="15" max="15" width="11.140625" customWidth="1"/>
    <col min="16" max="16" width="10.7109375" customWidth="1"/>
    <col min="17" max="17" width="12.28515625" customWidth="1"/>
    <col min="18" max="18" width="11.7109375" customWidth="1"/>
    <col min="19" max="19" width="18"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2021</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74"/>
      <c r="H4" s="72"/>
      <c r="I4" s="72"/>
      <c r="J4" s="72"/>
      <c r="K4" s="72"/>
      <c r="L4" s="72"/>
      <c r="M4" s="72"/>
      <c r="N4" s="72"/>
      <c r="O4" s="72"/>
      <c r="P4" s="72"/>
      <c r="Q4" s="72"/>
    </row>
    <row r="5" spans="1:20" ht="25.5" x14ac:dyDescent="0.25">
      <c r="A5" s="177" t="s">
        <v>1</v>
      </c>
      <c r="B5" s="178" t="s">
        <v>2</v>
      </c>
      <c r="C5" s="177" t="s">
        <v>3</v>
      </c>
      <c r="D5" s="177" t="s">
        <v>5</v>
      </c>
      <c r="E5" s="174" t="s">
        <v>4</v>
      </c>
      <c r="F5" s="174" t="s">
        <v>17</v>
      </c>
      <c r="G5" s="552" t="s">
        <v>6</v>
      </c>
      <c r="H5" s="553"/>
      <c r="I5" s="553"/>
      <c r="J5" s="553"/>
      <c r="K5" s="553"/>
      <c r="L5" s="553"/>
      <c r="M5" s="553"/>
      <c r="N5" s="554"/>
      <c r="O5" s="127" t="s">
        <v>18</v>
      </c>
      <c r="P5" s="127" t="s">
        <v>13</v>
      </c>
      <c r="Q5" s="127" t="s">
        <v>14</v>
      </c>
    </row>
    <row r="6" spans="1:20" x14ac:dyDescent="0.25">
      <c r="A6" s="179"/>
      <c r="B6" s="180"/>
      <c r="C6" s="179"/>
      <c r="D6" s="179"/>
      <c r="E6" s="175"/>
      <c r="F6" s="175"/>
      <c r="G6" s="6" t="s">
        <v>7</v>
      </c>
      <c r="H6" s="7" t="s">
        <v>15</v>
      </c>
      <c r="I6" s="7" t="s">
        <v>16</v>
      </c>
      <c r="J6" s="7" t="s">
        <v>8</v>
      </c>
      <c r="K6" s="7" t="s">
        <v>9</v>
      </c>
      <c r="L6" s="7" t="s">
        <v>10</v>
      </c>
      <c r="M6" s="7" t="s">
        <v>11</v>
      </c>
      <c r="N6" s="7" t="s">
        <v>12</v>
      </c>
      <c r="O6" s="181"/>
      <c r="P6" s="181"/>
      <c r="Q6" s="181"/>
    </row>
    <row r="7" spans="1:20" x14ac:dyDescent="0.25">
      <c r="A7" s="75"/>
      <c r="B7" s="100"/>
      <c r="C7" s="88"/>
      <c r="D7" s="88"/>
      <c r="E7" s="134"/>
      <c r="F7" s="75"/>
      <c r="G7" s="77"/>
      <c r="H7" s="68"/>
      <c r="I7" s="68"/>
      <c r="J7" s="68"/>
      <c r="K7" s="68"/>
      <c r="L7" s="68"/>
      <c r="M7" s="68"/>
      <c r="N7" s="68"/>
      <c r="O7" s="68">
        <f>H7+J7+K7+L7+M7+N7</f>
        <v>0</v>
      </c>
      <c r="P7" s="144"/>
      <c r="Q7" s="68">
        <f>P7-O7</f>
        <v>0</v>
      </c>
    </row>
    <row r="8" spans="1:20" ht="20.100000000000001" customHeight="1" x14ac:dyDescent="0.25">
      <c r="A8" s="75">
        <v>1</v>
      </c>
      <c r="B8" s="133">
        <v>43343</v>
      </c>
      <c r="C8" s="135" t="s">
        <v>1338</v>
      </c>
      <c r="D8" s="136" t="s">
        <v>2040</v>
      </c>
      <c r="E8" s="78" t="s">
        <v>2007</v>
      </c>
      <c r="F8" s="80"/>
      <c r="G8" s="130"/>
      <c r="H8" s="130"/>
      <c r="I8" s="237"/>
      <c r="J8" s="222">
        <v>790000</v>
      </c>
      <c r="K8" s="86"/>
      <c r="L8" s="69"/>
      <c r="M8" s="69"/>
      <c r="N8" s="69"/>
      <c r="O8" s="142">
        <f>H8+J8+K8+L8+M8+N8</f>
        <v>790000</v>
      </c>
      <c r="P8" s="145">
        <v>3300000</v>
      </c>
      <c r="Q8" s="176">
        <f>P8-O8</f>
        <v>2510000</v>
      </c>
      <c r="R8" s="195"/>
      <c r="S8" s="195"/>
      <c r="T8" s="195"/>
    </row>
    <row r="9" spans="1:20" ht="20.100000000000001" customHeight="1" x14ac:dyDescent="0.25">
      <c r="A9" s="75">
        <v>2</v>
      </c>
      <c r="B9" s="133">
        <v>43347</v>
      </c>
      <c r="C9" s="135" t="s">
        <v>2022</v>
      </c>
      <c r="D9" s="172" t="s">
        <v>2041</v>
      </c>
      <c r="E9" s="78" t="s">
        <v>427</v>
      </c>
      <c r="F9" s="80"/>
      <c r="G9" s="130">
        <v>190</v>
      </c>
      <c r="H9" s="130">
        <v>3359200</v>
      </c>
      <c r="I9" s="237"/>
      <c r="J9" s="223">
        <v>1160000</v>
      </c>
      <c r="K9" s="86"/>
      <c r="L9" s="69"/>
      <c r="M9" s="69"/>
      <c r="N9" s="69"/>
      <c r="O9" s="142">
        <f t="shared" ref="O9:O35" si="0">H9+J9+K9+L9+M9+N9</f>
        <v>4519200</v>
      </c>
      <c r="P9" s="145">
        <v>4700000</v>
      </c>
      <c r="Q9" s="176">
        <f t="shared" ref="Q9:Q35" si="1">P9-O9</f>
        <v>180800</v>
      </c>
      <c r="R9" s="195"/>
      <c r="S9" s="195"/>
      <c r="T9" s="195"/>
    </row>
    <row r="10" spans="1:20" ht="20.100000000000001" customHeight="1" x14ac:dyDescent="0.25">
      <c r="A10" s="75">
        <v>3</v>
      </c>
      <c r="B10" s="133">
        <v>43347</v>
      </c>
      <c r="C10" s="135" t="s">
        <v>2023</v>
      </c>
      <c r="D10" s="136" t="s">
        <v>2042</v>
      </c>
      <c r="E10" s="78" t="s">
        <v>24</v>
      </c>
      <c r="F10" s="80"/>
      <c r="G10" s="130"/>
      <c r="H10" s="22"/>
      <c r="I10" s="237"/>
      <c r="J10" s="222">
        <v>1710000</v>
      </c>
      <c r="K10" s="86"/>
      <c r="L10" s="69"/>
      <c r="M10" s="69"/>
      <c r="N10" s="69"/>
      <c r="O10" s="142">
        <f t="shared" si="0"/>
        <v>1710000</v>
      </c>
      <c r="P10" s="145">
        <v>7500000</v>
      </c>
      <c r="Q10" s="176">
        <f t="shared" si="1"/>
        <v>5790000</v>
      </c>
      <c r="R10" s="195"/>
      <c r="S10" s="195"/>
      <c r="T10" s="195"/>
    </row>
    <row r="11" spans="1:20" ht="20.100000000000001" customHeight="1" x14ac:dyDescent="0.25">
      <c r="A11" s="75">
        <v>4</v>
      </c>
      <c r="B11" s="133">
        <v>43348</v>
      </c>
      <c r="C11" s="135" t="s">
        <v>2024</v>
      </c>
      <c r="D11" s="136" t="s">
        <v>2043</v>
      </c>
      <c r="E11" s="78" t="s">
        <v>2061</v>
      </c>
      <c r="F11" s="80"/>
      <c r="G11" s="130"/>
      <c r="H11" s="22"/>
      <c r="I11" s="237"/>
      <c r="J11" s="222">
        <v>450000</v>
      </c>
      <c r="K11" s="86"/>
      <c r="L11" s="69"/>
      <c r="M11" s="69"/>
      <c r="N11" s="69"/>
      <c r="O11" s="142">
        <f t="shared" si="0"/>
        <v>450000</v>
      </c>
      <c r="P11" s="209">
        <v>3300000</v>
      </c>
      <c r="Q11" s="176">
        <f t="shared" si="1"/>
        <v>2850000</v>
      </c>
      <c r="R11" s="195"/>
      <c r="S11" s="195"/>
      <c r="T11" s="195"/>
    </row>
    <row r="12" spans="1:20" ht="20.100000000000001" customHeight="1" x14ac:dyDescent="0.25">
      <c r="A12" s="75">
        <v>5</v>
      </c>
      <c r="B12" s="133">
        <v>43349</v>
      </c>
      <c r="C12" s="135" t="s">
        <v>2025</v>
      </c>
      <c r="D12" s="136" t="s">
        <v>2044</v>
      </c>
      <c r="E12" s="78" t="s">
        <v>356</v>
      </c>
      <c r="F12" s="80"/>
      <c r="G12" s="130">
        <v>300</v>
      </c>
      <c r="H12" s="22">
        <v>5304000</v>
      </c>
      <c r="I12" s="237"/>
      <c r="J12" s="222">
        <v>810000</v>
      </c>
      <c r="K12" s="86"/>
      <c r="L12" s="69"/>
      <c r="M12" s="69"/>
      <c r="N12" s="69"/>
      <c r="O12" s="142">
        <f t="shared" si="0"/>
        <v>6114000</v>
      </c>
      <c r="P12" s="209">
        <v>4200000</v>
      </c>
      <c r="Q12" s="176">
        <f t="shared" si="1"/>
        <v>-1914000</v>
      </c>
      <c r="R12" s="195"/>
      <c r="S12" s="195"/>
      <c r="T12" s="195"/>
    </row>
    <row r="13" spans="1:20" ht="20.100000000000001" customHeight="1" x14ac:dyDescent="0.25">
      <c r="A13" s="75">
        <v>6</v>
      </c>
      <c r="B13" s="133">
        <v>43350</v>
      </c>
      <c r="C13" s="135" t="s">
        <v>2026</v>
      </c>
      <c r="D13" s="136" t="s">
        <v>2045</v>
      </c>
      <c r="E13" s="78" t="s">
        <v>2062</v>
      </c>
      <c r="F13" s="80"/>
      <c r="G13" s="130"/>
      <c r="H13" s="22"/>
      <c r="I13" s="237"/>
      <c r="J13" s="182">
        <f>790000+380000+400000</f>
        <v>1570000</v>
      </c>
      <c r="K13" s="86"/>
      <c r="L13" s="69"/>
      <c r="M13" s="69"/>
      <c r="N13" s="69"/>
      <c r="O13" s="142">
        <f t="shared" si="0"/>
        <v>1570000</v>
      </c>
      <c r="P13" s="145">
        <v>5300000</v>
      </c>
      <c r="Q13" s="176">
        <f t="shared" si="1"/>
        <v>3730000</v>
      </c>
      <c r="R13" s="195"/>
      <c r="S13" s="195"/>
      <c r="T13" s="195"/>
    </row>
    <row r="14" spans="1:20" ht="20.100000000000001" customHeight="1" x14ac:dyDescent="0.25">
      <c r="A14" s="75">
        <v>7</v>
      </c>
      <c r="B14" s="133">
        <v>43351</v>
      </c>
      <c r="C14" s="135" t="s">
        <v>2027</v>
      </c>
      <c r="D14" s="136" t="s">
        <v>2046</v>
      </c>
      <c r="E14" s="78" t="s">
        <v>21</v>
      </c>
      <c r="F14" s="80"/>
      <c r="G14" s="130">
        <v>290</v>
      </c>
      <c r="H14" s="22">
        <v>5237400</v>
      </c>
      <c r="I14" s="237"/>
      <c r="J14" s="222">
        <v>2740000</v>
      </c>
      <c r="K14" s="86"/>
      <c r="L14" s="69"/>
      <c r="M14" s="69"/>
      <c r="N14" s="69"/>
      <c r="O14" s="142">
        <f t="shared" si="0"/>
        <v>7977400</v>
      </c>
      <c r="P14" s="145">
        <v>12181818</v>
      </c>
      <c r="Q14" s="176">
        <f t="shared" si="1"/>
        <v>4204418</v>
      </c>
      <c r="R14" s="195"/>
      <c r="S14" s="195"/>
      <c r="T14" s="195"/>
    </row>
    <row r="15" spans="1:20" ht="20.100000000000001" customHeight="1" x14ac:dyDescent="0.25">
      <c r="A15" s="75">
        <v>8</v>
      </c>
      <c r="B15" s="133">
        <v>43353</v>
      </c>
      <c r="C15" s="135" t="s">
        <v>2028</v>
      </c>
      <c r="D15" s="136" t="s">
        <v>2047</v>
      </c>
      <c r="E15" s="78" t="s">
        <v>849</v>
      </c>
      <c r="F15" s="80"/>
      <c r="G15" s="130"/>
      <c r="H15" s="22"/>
      <c r="I15" s="237"/>
      <c r="J15" s="222">
        <v>790000</v>
      </c>
      <c r="K15" s="86"/>
      <c r="L15" s="69"/>
      <c r="M15" s="69"/>
      <c r="N15" s="69"/>
      <c r="O15" s="142">
        <f t="shared" si="0"/>
        <v>790000</v>
      </c>
      <c r="P15" s="145">
        <v>2800000</v>
      </c>
      <c r="Q15" s="176">
        <f t="shared" si="1"/>
        <v>2010000</v>
      </c>
      <c r="R15" s="195"/>
      <c r="S15" s="195"/>
      <c r="T15" s="195"/>
    </row>
    <row r="16" spans="1:20" ht="20.100000000000001" customHeight="1" x14ac:dyDescent="0.25">
      <c r="A16" s="75">
        <v>9</v>
      </c>
      <c r="B16" s="133">
        <v>43354</v>
      </c>
      <c r="C16" s="135" t="s">
        <v>2029</v>
      </c>
      <c r="D16" s="136" t="s">
        <v>2048</v>
      </c>
      <c r="E16" s="78" t="s">
        <v>24</v>
      </c>
      <c r="F16" s="80"/>
      <c r="G16" s="130">
        <v>320</v>
      </c>
      <c r="H16" s="22">
        <v>5779200</v>
      </c>
      <c r="I16" s="237"/>
      <c r="J16" s="222">
        <v>1710000</v>
      </c>
      <c r="K16" s="86"/>
      <c r="L16" s="69"/>
      <c r="M16" s="69"/>
      <c r="N16" s="69"/>
      <c r="O16" s="142">
        <f t="shared" si="0"/>
        <v>7489200</v>
      </c>
      <c r="P16" s="145">
        <v>7500000</v>
      </c>
      <c r="Q16" s="176">
        <f t="shared" si="1"/>
        <v>10800</v>
      </c>
      <c r="R16" s="195"/>
      <c r="S16" s="195"/>
      <c r="T16" s="195"/>
    </row>
    <row r="17" spans="1:20" ht="20.100000000000001" customHeight="1" x14ac:dyDescent="0.25">
      <c r="A17" s="75">
        <v>10</v>
      </c>
      <c r="B17" s="133">
        <v>43355</v>
      </c>
      <c r="C17" s="135" t="s">
        <v>2030</v>
      </c>
      <c r="D17" s="136" t="s">
        <v>2049</v>
      </c>
      <c r="E17" s="78" t="s">
        <v>2007</v>
      </c>
      <c r="F17" s="80"/>
      <c r="G17" s="130"/>
      <c r="H17" s="22"/>
      <c r="I17" s="237"/>
      <c r="J17" s="222">
        <v>790000</v>
      </c>
      <c r="K17" s="86"/>
      <c r="L17" s="69"/>
      <c r="M17" s="69"/>
      <c r="N17" s="69"/>
      <c r="O17" s="142">
        <f t="shared" si="0"/>
        <v>790000</v>
      </c>
      <c r="P17" s="145">
        <v>3300000</v>
      </c>
      <c r="Q17" s="176">
        <f t="shared" si="1"/>
        <v>2510000</v>
      </c>
      <c r="R17" s="195"/>
      <c r="S17" s="195"/>
      <c r="T17" s="195"/>
    </row>
    <row r="18" spans="1:20" ht="20.100000000000001" customHeight="1" x14ac:dyDescent="0.25">
      <c r="A18" s="75">
        <v>11</v>
      </c>
      <c r="B18" s="133">
        <v>43356</v>
      </c>
      <c r="C18" s="135" t="s">
        <v>2031</v>
      </c>
      <c r="D18" s="136" t="s">
        <v>2050</v>
      </c>
      <c r="E18" s="78" t="s">
        <v>898</v>
      </c>
      <c r="F18" s="80"/>
      <c r="G18" s="130">
        <v>270</v>
      </c>
      <c r="H18" s="22">
        <v>4876200</v>
      </c>
      <c r="I18" s="237"/>
      <c r="J18" s="222">
        <v>1160000</v>
      </c>
      <c r="K18" s="86"/>
      <c r="L18" s="69"/>
      <c r="M18" s="69"/>
      <c r="N18" s="69"/>
      <c r="O18" s="142">
        <f t="shared" si="0"/>
        <v>6036200</v>
      </c>
      <c r="P18" s="145">
        <v>4700000</v>
      </c>
      <c r="Q18" s="176">
        <f t="shared" si="1"/>
        <v>-1336200</v>
      </c>
      <c r="R18" s="195"/>
      <c r="S18" s="195"/>
      <c r="T18" s="195"/>
    </row>
    <row r="19" spans="1:20" ht="20.100000000000001" customHeight="1" x14ac:dyDescent="0.25">
      <c r="A19" s="75">
        <v>12</v>
      </c>
      <c r="B19" s="133">
        <v>43357</v>
      </c>
      <c r="C19" s="135" t="s">
        <v>2032</v>
      </c>
      <c r="D19" s="136" t="s">
        <v>2051</v>
      </c>
      <c r="E19" s="78" t="s">
        <v>1948</v>
      </c>
      <c r="F19" s="80"/>
      <c r="G19" s="130"/>
      <c r="H19" s="22"/>
      <c r="I19" s="237"/>
      <c r="J19" s="222">
        <v>790000</v>
      </c>
      <c r="K19" s="86"/>
      <c r="L19" s="69"/>
      <c r="M19" s="69"/>
      <c r="N19" s="69"/>
      <c r="O19" s="142">
        <f t="shared" si="0"/>
        <v>790000</v>
      </c>
      <c r="P19" s="145">
        <v>3500000</v>
      </c>
      <c r="Q19" s="176">
        <f t="shared" si="1"/>
        <v>2710000</v>
      </c>
      <c r="R19" s="195"/>
      <c r="S19" s="195"/>
      <c r="T19" s="195"/>
    </row>
    <row r="20" spans="1:20" ht="20.100000000000001" customHeight="1" x14ac:dyDescent="0.25">
      <c r="A20" s="75">
        <v>13</v>
      </c>
      <c r="B20" s="133">
        <v>43360</v>
      </c>
      <c r="C20" s="135" t="s">
        <v>2033</v>
      </c>
      <c r="D20" s="136" t="s">
        <v>2052</v>
      </c>
      <c r="E20" s="78" t="s">
        <v>24</v>
      </c>
      <c r="F20" s="80"/>
      <c r="G20" s="130">
        <v>230</v>
      </c>
      <c r="H20" s="22">
        <v>4153800</v>
      </c>
      <c r="I20" s="237"/>
      <c r="J20" s="222">
        <v>1710000</v>
      </c>
      <c r="K20" s="86"/>
      <c r="L20" s="69"/>
      <c r="M20" s="69"/>
      <c r="N20" s="69"/>
      <c r="O20" s="142">
        <f t="shared" si="0"/>
        <v>5863800</v>
      </c>
      <c r="P20" s="145">
        <v>7227273</v>
      </c>
      <c r="Q20" s="176">
        <f t="shared" si="1"/>
        <v>1363473</v>
      </c>
      <c r="R20" s="195"/>
      <c r="S20" s="195"/>
      <c r="T20" s="195"/>
    </row>
    <row r="21" spans="1:20" ht="20.100000000000001" customHeight="1" x14ac:dyDescent="0.25">
      <c r="A21" s="75">
        <v>14</v>
      </c>
      <c r="B21" s="133">
        <v>43361</v>
      </c>
      <c r="C21" s="135" t="s">
        <v>2034</v>
      </c>
      <c r="D21" s="136" t="s">
        <v>2053</v>
      </c>
      <c r="E21" s="78" t="s">
        <v>188</v>
      </c>
      <c r="F21" s="80"/>
      <c r="G21" s="130"/>
      <c r="H21" s="22"/>
      <c r="I21" s="237"/>
      <c r="J21" s="222">
        <v>650000</v>
      </c>
      <c r="K21" s="86"/>
      <c r="L21" s="69"/>
      <c r="M21" s="69"/>
      <c r="N21" s="69"/>
      <c r="O21" s="142">
        <f t="shared" si="0"/>
        <v>650000</v>
      </c>
      <c r="P21" s="145">
        <v>3100000</v>
      </c>
      <c r="Q21" s="176">
        <f t="shared" si="1"/>
        <v>2450000</v>
      </c>
      <c r="R21" s="195"/>
      <c r="S21" s="195"/>
      <c r="T21" s="195"/>
    </row>
    <row r="22" spans="1:20" ht="20.100000000000001" customHeight="1" x14ac:dyDescent="0.25">
      <c r="A22" s="75">
        <v>15</v>
      </c>
      <c r="B22" s="133">
        <v>43362</v>
      </c>
      <c r="C22" s="135" t="s">
        <v>1363</v>
      </c>
      <c r="D22" s="136" t="s">
        <v>2054</v>
      </c>
      <c r="E22" s="78" t="s">
        <v>21</v>
      </c>
      <c r="F22" s="80"/>
      <c r="G22" s="130">
        <v>222</v>
      </c>
      <c r="H22" s="22">
        <v>4009320</v>
      </c>
      <c r="I22" s="237"/>
      <c r="J22" s="222">
        <v>2740000</v>
      </c>
      <c r="K22" s="86"/>
      <c r="L22" s="69"/>
      <c r="M22" s="69"/>
      <c r="N22" s="69"/>
      <c r="O22" s="142">
        <f t="shared" si="0"/>
        <v>6749320</v>
      </c>
      <c r="P22" s="145">
        <v>12727273</v>
      </c>
      <c r="Q22" s="176">
        <f t="shared" si="1"/>
        <v>5977953</v>
      </c>
      <c r="R22" s="195"/>
      <c r="S22" s="195"/>
      <c r="T22" s="195"/>
    </row>
    <row r="23" spans="1:20" ht="20.100000000000001" customHeight="1" x14ac:dyDescent="0.25">
      <c r="A23" s="75">
        <v>16</v>
      </c>
      <c r="B23" s="133">
        <v>43363</v>
      </c>
      <c r="C23" s="135" t="s">
        <v>2035</v>
      </c>
      <c r="D23" s="136" t="s">
        <v>2055</v>
      </c>
      <c r="E23" s="78" t="s">
        <v>2063</v>
      </c>
      <c r="F23" s="80"/>
      <c r="G23" s="130"/>
      <c r="H23" s="22"/>
      <c r="I23" s="237"/>
      <c r="J23" s="222">
        <v>790000</v>
      </c>
      <c r="K23" s="86"/>
      <c r="L23" s="69"/>
      <c r="M23" s="69"/>
      <c r="N23" s="69"/>
      <c r="O23" s="142">
        <f t="shared" si="0"/>
        <v>790000</v>
      </c>
      <c r="P23" s="145">
        <v>3400000</v>
      </c>
      <c r="Q23" s="176">
        <f t="shared" si="1"/>
        <v>2610000</v>
      </c>
      <c r="R23" s="195"/>
      <c r="S23" s="195"/>
      <c r="T23" s="195"/>
    </row>
    <row r="24" spans="1:20" ht="20.100000000000001" customHeight="1" x14ac:dyDescent="0.25">
      <c r="A24" s="75">
        <v>17</v>
      </c>
      <c r="B24" s="133">
        <v>43364</v>
      </c>
      <c r="C24" s="135" t="s">
        <v>2036</v>
      </c>
      <c r="D24" s="136" t="s">
        <v>2056</v>
      </c>
      <c r="E24" s="78" t="s">
        <v>1542</v>
      </c>
      <c r="F24" s="80"/>
      <c r="G24" s="130">
        <v>245</v>
      </c>
      <c r="H24" s="22">
        <v>4424700</v>
      </c>
      <c r="I24" s="237"/>
      <c r="J24" s="222">
        <v>790000</v>
      </c>
      <c r="K24" s="86"/>
      <c r="L24" s="69"/>
      <c r="M24" s="69"/>
      <c r="N24" s="69"/>
      <c r="O24" s="142">
        <f t="shared" si="0"/>
        <v>5214700</v>
      </c>
      <c r="P24" s="145">
        <v>3570000</v>
      </c>
      <c r="Q24" s="176">
        <f t="shared" si="1"/>
        <v>-1644700</v>
      </c>
      <c r="R24" s="195"/>
      <c r="S24" s="195"/>
      <c r="T24" s="195"/>
    </row>
    <row r="25" spans="1:20" ht="20.100000000000001" customHeight="1" x14ac:dyDescent="0.25">
      <c r="A25" s="75">
        <v>18</v>
      </c>
      <c r="B25" s="133">
        <v>43365</v>
      </c>
      <c r="C25" s="135" t="s">
        <v>2037</v>
      </c>
      <c r="D25" s="136" t="s">
        <v>2057</v>
      </c>
      <c r="E25" s="78" t="s">
        <v>562</v>
      </c>
      <c r="F25" s="80"/>
      <c r="G25" s="130">
        <v>200</v>
      </c>
      <c r="H25" s="22">
        <v>3624000</v>
      </c>
      <c r="I25" s="237"/>
      <c r="J25" s="222">
        <v>2740000</v>
      </c>
      <c r="K25" s="86"/>
      <c r="L25" s="69"/>
      <c r="M25" s="69"/>
      <c r="N25" s="69"/>
      <c r="O25" s="142">
        <f t="shared" si="0"/>
        <v>6364000</v>
      </c>
      <c r="P25" s="145">
        <v>14090909</v>
      </c>
      <c r="Q25" s="176">
        <f t="shared" si="1"/>
        <v>7726909</v>
      </c>
      <c r="R25" s="195"/>
      <c r="S25" s="195"/>
      <c r="T25" s="195"/>
    </row>
    <row r="26" spans="1:20" ht="20.100000000000001" customHeight="1" x14ac:dyDescent="0.25">
      <c r="A26" s="75">
        <v>19</v>
      </c>
      <c r="B26" s="133">
        <v>43367</v>
      </c>
      <c r="C26" s="135" t="s">
        <v>2038</v>
      </c>
      <c r="D26" s="136" t="s">
        <v>2058</v>
      </c>
      <c r="E26" s="78" t="s">
        <v>2064</v>
      </c>
      <c r="F26" s="80"/>
      <c r="G26" s="130"/>
      <c r="H26" s="22"/>
      <c r="I26" s="237"/>
      <c r="J26" s="256">
        <f>970000+400000+250000</f>
        <v>1620000</v>
      </c>
      <c r="K26" s="86"/>
      <c r="L26" s="69"/>
      <c r="M26" s="69"/>
      <c r="N26" s="69"/>
      <c r="O26" s="142">
        <f t="shared" si="0"/>
        <v>1620000</v>
      </c>
      <c r="P26" s="145">
        <v>5450000</v>
      </c>
      <c r="Q26" s="176">
        <f t="shared" si="1"/>
        <v>3830000</v>
      </c>
      <c r="R26" s="195"/>
      <c r="S26" s="195"/>
      <c r="T26" s="195"/>
    </row>
    <row r="27" spans="1:20" ht="20.100000000000001" customHeight="1" x14ac:dyDescent="0.25">
      <c r="A27" s="75">
        <v>20</v>
      </c>
      <c r="B27" s="133">
        <v>43368</v>
      </c>
      <c r="C27" s="135" t="s">
        <v>2039</v>
      </c>
      <c r="D27" s="136" t="s">
        <v>2059</v>
      </c>
      <c r="E27" s="78" t="s">
        <v>24</v>
      </c>
      <c r="F27" s="80"/>
      <c r="G27" s="130">
        <v>240</v>
      </c>
      <c r="H27" s="22">
        <v>4348800</v>
      </c>
      <c r="I27" s="237"/>
      <c r="J27" s="222">
        <v>1710000</v>
      </c>
      <c r="K27" s="86"/>
      <c r="L27" s="69"/>
      <c r="M27" s="69"/>
      <c r="N27" s="69"/>
      <c r="O27" s="142">
        <f t="shared" si="0"/>
        <v>6058800</v>
      </c>
      <c r="P27" s="145">
        <v>7500000</v>
      </c>
      <c r="Q27" s="176">
        <f t="shared" si="1"/>
        <v>1441200</v>
      </c>
      <c r="R27" s="195"/>
      <c r="S27" s="195"/>
      <c r="T27" s="195"/>
    </row>
    <row r="28" spans="1:20" ht="20.100000000000001" customHeight="1" x14ac:dyDescent="0.25">
      <c r="A28" s="75">
        <v>21</v>
      </c>
      <c r="B28" s="133">
        <v>43370</v>
      </c>
      <c r="C28" s="135" t="s">
        <v>606</v>
      </c>
      <c r="D28" s="136" t="s">
        <v>2060</v>
      </c>
      <c r="E28" s="78" t="s">
        <v>215</v>
      </c>
      <c r="F28" s="80"/>
      <c r="G28" s="130">
        <v>292</v>
      </c>
      <c r="H28" s="22">
        <v>5291040</v>
      </c>
      <c r="I28" s="237"/>
      <c r="J28" s="222">
        <v>970000</v>
      </c>
      <c r="K28" s="86"/>
      <c r="L28" s="69"/>
      <c r="M28" s="69"/>
      <c r="N28" s="69"/>
      <c r="O28" s="142">
        <f t="shared" si="0"/>
        <v>6261040</v>
      </c>
      <c r="P28" s="145">
        <v>4000000</v>
      </c>
      <c r="Q28" s="176">
        <f t="shared" si="1"/>
        <v>-2261040</v>
      </c>
      <c r="R28" s="195"/>
      <c r="S28" s="195"/>
      <c r="T28" s="195"/>
    </row>
    <row r="29" spans="1:20" ht="20.100000000000001" customHeight="1" x14ac:dyDescent="0.25">
      <c r="A29" s="75"/>
      <c r="B29" s="133"/>
      <c r="C29" s="135"/>
      <c r="D29" s="136"/>
      <c r="E29" s="78"/>
      <c r="F29" s="80"/>
      <c r="G29" s="130"/>
      <c r="H29" s="130"/>
      <c r="I29" s="237"/>
      <c r="J29" s="69"/>
      <c r="K29" s="86"/>
      <c r="L29" s="69"/>
      <c r="M29" s="69"/>
      <c r="N29" s="69"/>
      <c r="O29" s="142"/>
      <c r="P29" s="209"/>
      <c r="Q29" s="176">
        <f t="shared" si="1"/>
        <v>0</v>
      </c>
      <c r="R29" s="195"/>
      <c r="S29" s="195"/>
      <c r="T29" s="195"/>
    </row>
    <row r="30" spans="1:20" ht="20.100000000000001" customHeight="1" x14ac:dyDescent="0.25">
      <c r="A30" s="75"/>
      <c r="B30" s="133"/>
      <c r="C30" s="138"/>
      <c r="D30" s="139"/>
      <c r="E30" s="78"/>
      <c r="F30" s="110"/>
      <c r="G30" s="203"/>
      <c r="H30" s="130"/>
      <c r="I30" s="237"/>
      <c r="J30" s="112"/>
      <c r="K30" s="86"/>
      <c r="L30" s="69"/>
      <c r="M30" s="112"/>
      <c r="N30" s="112"/>
      <c r="O30" s="142"/>
      <c r="P30" s="224"/>
      <c r="Q30" s="176">
        <f t="shared" si="1"/>
        <v>0</v>
      </c>
      <c r="R30" s="195"/>
      <c r="S30" s="195"/>
      <c r="T30" s="195"/>
    </row>
    <row r="31" spans="1:20" ht="39.75" customHeight="1" x14ac:dyDescent="0.25">
      <c r="A31" s="75"/>
      <c r="B31" s="133"/>
      <c r="C31" s="170" t="s">
        <v>2065</v>
      </c>
      <c r="D31" s="247"/>
      <c r="E31" s="85"/>
      <c r="F31" s="248"/>
      <c r="G31" s="249"/>
      <c r="H31" s="250"/>
      <c r="I31" s="251"/>
      <c r="J31" s="113"/>
      <c r="K31" s="86"/>
      <c r="L31" s="86">
        <v>170000</v>
      </c>
      <c r="M31" s="113"/>
      <c r="N31" s="113"/>
      <c r="O31" s="255">
        <f t="shared" si="0"/>
        <v>170000</v>
      </c>
      <c r="P31" s="245"/>
      <c r="Q31" s="176">
        <f t="shared" si="1"/>
        <v>-170000</v>
      </c>
      <c r="R31" s="252"/>
      <c r="S31" s="195"/>
      <c r="T31" s="195"/>
    </row>
    <row r="32" spans="1:20" ht="27" customHeight="1" x14ac:dyDescent="0.25">
      <c r="A32" s="75"/>
      <c r="B32" s="133"/>
      <c r="C32" s="183" t="s">
        <v>2066</v>
      </c>
      <c r="D32" s="162"/>
      <c r="E32" s="153"/>
      <c r="F32" s="163"/>
      <c r="G32" s="194"/>
      <c r="H32" s="234"/>
      <c r="I32" s="240"/>
      <c r="J32" s="166"/>
      <c r="K32" s="86"/>
      <c r="L32" s="156">
        <v>120000</v>
      </c>
      <c r="M32" s="166"/>
      <c r="N32" s="112"/>
      <c r="O32" s="142">
        <f t="shared" si="0"/>
        <v>120000</v>
      </c>
      <c r="P32" s="68"/>
      <c r="Q32" s="176">
        <f t="shared" si="1"/>
        <v>-120000</v>
      </c>
    </row>
    <row r="33" spans="1:19" ht="18" customHeight="1" x14ac:dyDescent="0.25">
      <c r="A33" s="75"/>
      <c r="B33" s="133"/>
      <c r="C33" s="170" t="s">
        <v>1273</v>
      </c>
      <c r="D33" s="162"/>
      <c r="E33" s="153"/>
      <c r="F33" s="163"/>
      <c r="G33" s="164"/>
      <c r="H33" s="155"/>
      <c r="I33" s="240"/>
      <c r="J33" s="166"/>
      <c r="K33" s="86"/>
      <c r="L33" s="156">
        <v>1320000</v>
      </c>
      <c r="M33" s="112"/>
      <c r="N33" s="112"/>
      <c r="O33" s="142">
        <f t="shared" si="0"/>
        <v>1320000</v>
      </c>
      <c r="P33" s="68"/>
      <c r="Q33" s="176">
        <f t="shared" si="1"/>
        <v>-1320000</v>
      </c>
    </row>
    <row r="34" spans="1:19" ht="18" customHeight="1" x14ac:dyDescent="0.25">
      <c r="A34" s="134"/>
      <c r="B34" s="70"/>
      <c r="C34" s="108" t="s">
        <v>1386</v>
      </c>
      <c r="D34" s="87"/>
      <c r="E34" s="70"/>
      <c r="F34" s="110"/>
      <c r="G34" s="70"/>
      <c r="H34" s="81"/>
      <c r="I34" s="241"/>
      <c r="J34" s="112"/>
      <c r="K34" s="242">
        <v>8653846.153846154</v>
      </c>
      <c r="L34" s="141"/>
      <c r="M34" s="112"/>
      <c r="N34" s="112"/>
      <c r="O34" s="142">
        <f t="shared" si="0"/>
        <v>8653846.153846154</v>
      </c>
      <c r="P34" s="144"/>
      <c r="Q34" s="176">
        <f t="shared" si="1"/>
        <v>-8653846.153846154</v>
      </c>
    </row>
    <row r="35" spans="1:19" ht="18" customHeight="1" x14ac:dyDescent="0.25">
      <c r="A35" s="213"/>
      <c r="B35" s="214"/>
      <c r="C35" s="215"/>
      <c r="D35" s="216"/>
      <c r="E35" s="214"/>
      <c r="F35" s="217"/>
      <c r="G35" s="214"/>
      <c r="H35" s="218"/>
      <c r="I35" s="238"/>
      <c r="J35" s="219"/>
      <c r="K35" s="220"/>
      <c r="L35" s="221"/>
      <c r="M35" s="219"/>
      <c r="N35" s="219"/>
      <c r="O35" s="142">
        <f t="shared" si="0"/>
        <v>0</v>
      </c>
      <c r="P35" s="214"/>
      <c r="Q35" s="176">
        <f t="shared" si="1"/>
        <v>0</v>
      </c>
    </row>
    <row r="36" spans="1:19" x14ac:dyDescent="0.25">
      <c r="A36" s="547" t="s">
        <v>19</v>
      </c>
      <c r="B36" s="548"/>
      <c r="C36" s="548"/>
      <c r="D36" s="548"/>
      <c r="E36" s="548"/>
      <c r="F36" s="549"/>
      <c r="G36" s="236">
        <f>SUM(G8:G35)</f>
        <v>2799</v>
      </c>
      <c r="H36" s="71">
        <f>SUM(H7:H34)</f>
        <v>50407660</v>
      </c>
      <c r="I36" s="71">
        <f>SUM(I7:I34)</f>
        <v>0</v>
      </c>
      <c r="J36" s="71">
        <f>SUM(J7:J34)</f>
        <v>28190000</v>
      </c>
      <c r="K36" s="71">
        <f>SUM(K7:K35)</f>
        <v>8653846.153846154</v>
      </c>
      <c r="L36" s="71">
        <f>SUM(L7:L35)</f>
        <v>1610000</v>
      </c>
      <c r="M36" s="71">
        <f>SUM(M7:M34)</f>
        <v>0</v>
      </c>
      <c r="N36" s="71">
        <f>SUM(N7:N34)</f>
        <v>0</v>
      </c>
      <c r="O36" s="71">
        <f>SUM(O7:O35)</f>
        <v>88861506.15384616</v>
      </c>
      <c r="P36" s="71">
        <f>SUM(P7:P34)</f>
        <v>123347273</v>
      </c>
      <c r="Q36" s="71">
        <f>SUM(Q7:Q35)</f>
        <v>34485766.846153848</v>
      </c>
      <c r="R36" s="195"/>
      <c r="S36" s="195"/>
    </row>
    <row r="37" spans="1:19" x14ac:dyDescent="0.25">
      <c r="P37" s="195"/>
      <c r="Q37" s="202">
        <f>P36-O36</f>
        <v>34485766.84615384</v>
      </c>
    </row>
    <row r="38" spans="1:19" x14ac:dyDescent="0.25">
      <c r="P38" s="229" t="s">
        <v>1225</v>
      </c>
      <c r="Q38" s="185">
        <f>'08-2018'!Q48+'09-2018'!Q36</f>
        <v>296819109.84615386</v>
      </c>
    </row>
    <row r="39" spans="1:19" x14ac:dyDescent="0.25">
      <c r="Q39" s="195"/>
    </row>
    <row r="40" spans="1:19" x14ac:dyDescent="0.25">
      <c r="R40" s="195"/>
    </row>
  </sheetData>
  <mergeCells count="5">
    <mergeCell ref="A1:Q1"/>
    <mergeCell ref="A2:Q2"/>
    <mergeCell ref="A3:Q3"/>
    <mergeCell ref="G5:N5"/>
    <mergeCell ref="A36:F36"/>
  </mergeCells>
  <pageMargins left="0.7" right="0.7" top="0.75" bottom="0.75" header="0.3" footer="0.3"/>
  <pageSetup paperSize="9" orientation="portrait" horizontalDpi="0" verticalDpi="0" r:id="rId1"/>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T55"/>
  <sheetViews>
    <sheetView topLeftCell="D46" workbookViewId="0">
      <selection activeCell="C10" sqref="C10"/>
    </sheetView>
  </sheetViews>
  <sheetFormatPr defaultRowHeight="15" x14ac:dyDescent="0.25"/>
  <cols>
    <col min="1" max="1" width="4.5703125" customWidth="1"/>
    <col min="3" max="3" width="41.28515625" customWidth="1"/>
    <col min="4" max="4" width="16.5703125" customWidth="1"/>
    <col min="5" max="5" width="33.140625" customWidth="1"/>
    <col min="8" max="8" width="10.140625" bestFit="1" customWidth="1"/>
    <col min="9" max="9" width="9.140625" style="13"/>
    <col min="15" max="15" width="11.140625" customWidth="1"/>
    <col min="16" max="16" width="10.7109375" customWidth="1"/>
    <col min="17" max="17" width="12.28515625" customWidth="1"/>
    <col min="18" max="18" width="11.7109375" customWidth="1"/>
    <col min="19" max="19" width="18"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2067</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74"/>
      <c r="H4" s="72"/>
      <c r="I4" s="72"/>
      <c r="J4" s="72"/>
      <c r="K4" s="72"/>
      <c r="L4" s="72"/>
      <c r="M4" s="72"/>
      <c r="N4" s="72"/>
      <c r="O4" s="72"/>
      <c r="P4" s="72"/>
      <c r="Q4" s="72"/>
    </row>
    <row r="5" spans="1:20" ht="25.5" x14ac:dyDescent="0.25">
      <c r="A5" s="177" t="s">
        <v>1</v>
      </c>
      <c r="B5" s="178" t="s">
        <v>2</v>
      </c>
      <c r="C5" s="177" t="s">
        <v>3</v>
      </c>
      <c r="D5" s="177" t="s">
        <v>5</v>
      </c>
      <c r="E5" s="174" t="s">
        <v>4</v>
      </c>
      <c r="F5" s="174" t="s">
        <v>17</v>
      </c>
      <c r="G5" s="552" t="s">
        <v>6</v>
      </c>
      <c r="H5" s="553"/>
      <c r="I5" s="553"/>
      <c r="J5" s="553"/>
      <c r="K5" s="553"/>
      <c r="L5" s="553"/>
      <c r="M5" s="553"/>
      <c r="N5" s="554"/>
      <c r="O5" s="127" t="s">
        <v>18</v>
      </c>
      <c r="P5" s="127" t="s">
        <v>13</v>
      </c>
      <c r="Q5" s="127" t="s">
        <v>14</v>
      </c>
    </row>
    <row r="6" spans="1:20" x14ac:dyDescent="0.25">
      <c r="A6" s="179"/>
      <c r="B6" s="180"/>
      <c r="C6" s="179"/>
      <c r="D6" s="179"/>
      <c r="E6" s="175"/>
      <c r="F6" s="175"/>
      <c r="G6" s="6" t="s">
        <v>7</v>
      </c>
      <c r="H6" s="7" t="s">
        <v>15</v>
      </c>
      <c r="I6" s="7" t="s">
        <v>16</v>
      </c>
      <c r="J6" s="7" t="s">
        <v>8</v>
      </c>
      <c r="K6" s="7" t="s">
        <v>9</v>
      </c>
      <c r="L6" s="7" t="s">
        <v>10</v>
      </c>
      <c r="M6" s="7" t="s">
        <v>11</v>
      </c>
      <c r="N6" s="7" t="s">
        <v>12</v>
      </c>
      <c r="O6" s="181"/>
      <c r="P6" s="181"/>
      <c r="Q6" s="181"/>
    </row>
    <row r="7" spans="1:20" x14ac:dyDescent="0.25">
      <c r="A7" s="75"/>
      <c r="B7" s="100"/>
      <c r="C7" s="88"/>
      <c r="D7" s="88"/>
      <c r="E7" s="134"/>
      <c r="F7" s="75"/>
      <c r="G7" s="77"/>
      <c r="H7" s="68"/>
      <c r="I7" s="68"/>
      <c r="J7" s="68"/>
      <c r="K7" s="68"/>
      <c r="L7" s="68"/>
      <c r="M7" s="68"/>
      <c r="N7" s="68"/>
      <c r="O7" s="68">
        <f>H7+J7+K7+L7+M7+N7</f>
        <v>0</v>
      </c>
      <c r="P7" s="144"/>
      <c r="Q7" s="68">
        <f>P7-O7</f>
        <v>0</v>
      </c>
    </row>
    <row r="8" spans="1:20" ht="20.100000000000001" customHeight="1" x14ac:dyDescent="0.25">
      <c r="A8" s="75">
        <v>1</v>
      </c>
      <c r="B8" s="133">
        <v>43372</v>
      </c>
      <c r="C8" s="135" t="s">
        <v>2068</v>
      </c>
      <c r="D8" s="136" t="s">
        <v>2090</v>
      </c>
      <c r="E8" s="78" t="s">
        <v>2117</v>
      </c>
      <c r="F8" s="80"/>
      <c r="G8" s="130"/>
      <c r="H8" s="130"/>
      <c r="I8" s="237"/>
      <c r="J8" s="69">
        <v>1500000</v>
      </c>
      <c r="K8" s="86"/>
      <c r="L8" s="69"/>
      <c r="M8" s="69"/>
      <c r="N8" s="69"/>
      <c r="O8" s="142">
        <f>H8+J8+K8+L8+M8+N8</f>
        <v>1500000</v>
      </c>
      <c r="P8" s="145">
        <v>7200000</v>
      </c>
      <c r="Q8" s="176">
        <f>P8-O8</f>
        <v>5700000</v>
      </c>
      <c r="R8" s="195"/>
      <c r="S8" s="195"/>
      <c r="T8" s="195"/>
    </row>
    <row r="9" spans="1:20" ht="20.100000000000001" customHeight="1" x14ac:dyDescent="0.25">
      <c r="A9" s="75">
        <v>2</v>
      </c>
      <c r="B9" s="133">
        <v>43374</v>
      </c>
      <c r="C9" s="135" t="s">
        <v>2069</v>
      </c>
      <c r="D9" s="172" t="s">
        <v>2091</v>
      </c>
      <c r="E9" s="78" t="s">
        <v>882</v>
      </c>
      <c r="F9" s="80"/>
      <c r="G9" s="130"/>
      <c r="H9" s="130"/>
      <c r="I9" s="237"/>
      <c r="J9" s="189">
        <v>440000</v>
      </c>
      <c r="K9" s="86"/>
      <c r="L9" s="69"/>
      <c r="M9" s="69"/>
      <c r="N9" s="69"/>
      <c r="O9" s="142">
        <f t="shared" ref="O9:O50" si="0">H9+J9+K9+L9+M9+N9</f>
        <v>440000</v>
      </c>
      <c r="P9" s="145">
        <v>3427273</v>
      </c>
      <c r="Q9" s="176">
        <f t="shared" ref="Q9:Q50" si="1">P9-O9</f>
        <v>2987273</v>
      </c>
      <c r="R9" s="195"/>
      <c r="S9" s="195"/>
      <c r="T9" s="195"/>
    </row>
    <row r="10" spans="1:20" ht="20.100000000000001" customHeight="1" x14ac:dyDescent="0.25">
      <c r="A10" s="75">
        <v>3</v>
      </c>
      <c r="B10" s="133">
        <v>43375</v>
      </c>
      <c r="C10" s="135" t="s">
        <v>2070</v>
      </c>
      <c r="D10" s="136" t="s">
        <v>2092</v>
      </c>
      <c r="E10" s="78" t="s">
        <v>2118</v>
      </c>
      <c r="F10" s="80"/>
      <c r="G10" s="130">
        <v>300</v>
      </c>
      <c r="H10" s="22">
        <v>5436000</v>
      </c>
      <c r="I10" s="237"/>
      <c r="J10" s="69">
        <v>1360000</v>
      </c>
      <c r="K10" s="86"/>
      <c r="L10" s="69"/>
      <c r="M10" s="69"/>
      <c r="N10" s="69"/>
      <c r="O10" s="142">
        <f t="shared" si="0"/>
        <v>6796000</v>
      </c>
      <c r="P10" s="145">
        <v>6000000</v>
      </c>
      <c r="Q10" s="176">
        <f t="shared" si="1"/>
        <v>-796000</v>
      </c>
      <c r="R10" s="195"/>
      <c r="S10" s="195"/>
      <c r="T10" s="195"/>
    </row>
    <row r="11" spans="1:20" ht="20.100000000000001" customHeight="1" x14ac:dyDescent="0.25">
      <c r="A11" s="75">
        <v>4</v>
      </c>
      <c r="B11" s="133">
        <v>43375</v>
      </c>
      <c r="C11" s="135" t="s">
        <v>2070</v>
      </c>
      <c r="D11" s="136" t="s">
        <v>2093</v>
      </c>
      <c r="E11" s="78" t="s">
        <v>2119</v>
      </c>
      <c r="F11" s="80"/>
      <c r="G11" s="130"/>
      <c r="H11" s="22"/>
      <c r="I11" s="237"/>
      <c r="J11" s="69">
        <v>0</v>
      </c>
      <c r="K11" s="86"/>
      <c r="L11" s="69"/>
      <c r="M11" s="69"/>
      <c r="N11" s="69"/>
      <c r="O11" s="142">
        <f t="shared" si="0"/>
        <v>0</v>
      </c>
      <c r="P11" s="209">
        <v>0</v>
      </c>
      <c r="Q11" s="176">
        <f t="shared" si="1"/>
        <v>0</v>
      </c>
      <c r="R11" s="195"/>
      <c r="S11" s="195"/>
      <c r="T11" s="195"/>
    </row>
    <row r="12" spans="1:20" ht="20.100000000000001" customHeight="1" x14ac:dyDescent="0.25">
      <c r="A12" s="75">
        <v>5</v>
      </c>
      <c r="B12" s="133">
        <v>43376</v>
      </c>
      <c r="C12" s="135" t="s">
        <v>2071</v>
      </c>
      <c r="D12" s="136" t="s">
        <v>2094</v>
      </c>
      <c r="E12" s="78" t="s">
        <v>301</v>
      </c>
      <c r="F12" s="80"/>
      <c r="G12" s="130">
        <v>100</v>
      </c>
      <c r="H12" s="22">
        <v>1812000</v>
      </c>
      <c r="I12" s="237"/>
      <c r="J12" s="69">
        <v>3820000</v>
      </c>
      <c r="K12" s="86"/>
      <c r="L12" s="69"/>
      <c r="M12" s="69"/>
      <c r="N12" s="69"/>
      <c r="O12" s="142">
        <f t="shared" si="0"/>
        <v>5632000</v>
      </c>
      <c r="P12" s="209">
        <v>19545455</v>
      </c>
      <c r="Q12" s="176">
        <f t="shared" si="1"/>
        <v>13913455</v>
      </c>
      <c r="R12" s="195"/>
      <c r="S12" s="195"/>
      <c r="T12" s="195"/>
    </row>
    <row r="13" spans="1:20" ht="20.100000000000001" customHeight="1" x14ac:dyDescent="0.25">
      <c r="A13" s="75">
        <v>6</v>
      </c>
      <c r="B13" s="133">
        <v>43378</v>
      </c>
      <c r="C13" s="135" t="s">
        <v>2072</v>
      </c>
      <c r="D13" s="136" t="s">
        <v>2095</v>
      </c>
      <c r="E13" s="78" t="s">
        <v>422</v>
      </c>
      <c r="F13" s="80"/>
      <c r="G13" s="130">
        <v>350</v>
      </c>
      <c r="H13" s="22">
        <v>6342000</v>
      </c>
      <c r="I13" s="237"/>
      <c r="J13" s="69">
        <v>1270000</v>
      </c>
      <c r="K13" s="86"/>
      <c r="L13" s="69"/>
      <c r="M13" s="69"/>
      <c r="N13" s="69"/>
      <c r="O13" s="142">
        <f t="shared" si="0"/>
        <v>7612000</v>
      </c>
      <c r="P13" s="145">
        <v>5300000</v>
      </c>
      <c r="Q13" s="176">
        <f t="shared" si="1"/>
        <v>-2312000</v>
      </c>
      <c r="R13" s="195"/>
      <c r="S13" s="195"/>
      <c r="T13" s="195"/>
    </row>
    <row r="14" spans="1:20" ht="20.100000000000001" customHeight="1" x14ac:dyDescent="0.25">
      <c r="A14" s="75">
        <v>7</v>
      </c>
      <c r="B14" s="133">
        <v>43378</v>
      </c>
      <c r="C14" s="135" t="s">
        <v>2072</v>
      </c>
      <c r="D14" s="136" t="s">
        <v>2096</v>
      </c>
      <c r="E14" s="78" t="s">
        <v>367</v>
      </c>
      <c r="F14" s="80"/>
      <c r="G14" s="130"/>
      <c r="H14" s="22"/>
      <c r="I14" s="237"/>
      <c r="J14" s="69"/>
      <c r="K14" s="86"/>
      <c r="L14" s="69"/>
      <c r="M14" s="69"/>
      <c r="N14" s="69"/>
      <c r="O14" s="142">
        <f t="shared" si="0"/>
        <v>0</v>
      </c>
      <c r="P14" s="145">
        <v>0</v>
      </c>
      <c r="Q14" s="176">
        <f t="shared" si="1"/>
        <v>0</v>
      </c>
      <c r="R14" s="195"/>
      <c r="S14" s="195"/>
      <c r="T14" s="195"/>
    </row>
    <row r="15" spans="1:20" ht="20.100000000000001" customHeight="1" x14ac:dyDescent="0.25">
      <c r="A15" s="75">
        <v>8</v>
      </c>
      <c r="B15" s="133">
        <v>43379</v>
      </c>
      <c r="C15" s="135" t="s">
        <v>2073</v>
      </c>
      <c r="D15" s="136" t="s">
        <v>2097</v>
      </c>
      <c r="E15" s="78" t="s">
        <v>24</v>
      </c>
      <c r="F15" s="80"/>
      <c r="G15" s="130"/>
      <c r="H15" s="22"/>
      <c r="I15" s="237"/>
      <c r="J15" s="69">
        <v>1710000</v>
      </c>
      <c r="K15" s="86"/>
      <c r="L15" s="69"/>
      <c r="M15" s="69"/>
      <c r="N15" s="69"/>
      <c r="O15" s="142">
        <f t="shared" si="0"/>
        <v>1710000</v>
      </c>
      <c r="P15" s="145">
        <v>7500000</v>
      </c>
      <c r="Q15" s="176">
        <f t="shared" si="1"/>
        <v>5790000</v>
      </c>
      <c r="R15" s="195"/>
      <c r="S15" s="195"/>
      <c r="T15" s="195"/>
    </row>
    <row r="16" spans="1:20" ht="20.100000000000001" customHeight="1" x14ac:dyDescent="0.25">
      <c r="A16" s="75">
        <v>9</v>
      </c>
      <c r="B16" s="133">
        <v>43381</v>
      </c>
      <c r="C16" s="135" t="s">
        <v>2074</v>
      </c>
      <c r="D16" s="136" t="s">
        <v>2098</v>
      </c>
      <c r="E16" s="78" t="s">
        <v>2120</v>
      </c>
      <c r="F16" s="80"/>
      <c r="G16" s="130">
        <v>300</v>
      </c>
      <c r="H16" s="22">
        <v>5583000</v>
      </c>
      <c r="I16" s="237"/>
      <c r="J16" s="69">
        <v>1360000</v>
      </c>
      <c r="K16" s="86"/>
      <c r="L16" s="69"/>
      <c r="M16" s="69"/>
      <c r="N16" s="69"/>
      <c r="O16" s="142">
        <f t="shared" si="0"/>
        <v>6943000</v>
      </c>
      <c r="P16" s="145">
        <v>8000000</v>
      </c>
      <c r="Q16" s="176">
        <f t="shared" si="1"/>
        <v>1057000</v>
      </c>
      <c r="R16" s="195"/>
      <c r="S16" s="195"/>
      <c r="T16" s="195"/>
    </row>
    <row r="17" spans="1:20" ht="20.100000000000001" customHeight="1" x14ac:dyDescent="0.25">
      <c r="A17" s="75">
        <v>10</v>
      </c>
      <c r="B17" s="133">
        <v>43382</v>
      </c>
      <c r="C17" s="135" t="s">
        <v>2075</v>
      </c>
      <c r="D17" s="136" t="s">
        <v>2099</v>
      </c>
      <c r="E17" s="78" t="s">
        <v>215</v>
      </c>
      <c r="F17" s="80"/>
      <c r="G17" s="130"/>
      <c r="H17" s="22"/>
      <c r="I17" s="237"/>
      <c r="J17" s="69">
        <v>970000</v>
      </c>
      <c r="K17" s="86"/>
      <c r="L17" s="69"/>
      <c r="M17" s="69"/>
      <c r="N17" s="69"/>
      <c r="O17" s="142">
        <f t="shared" si="0"/>
        <v>970000</v>
      </c>
      <c r="P17" s="145">
        <v>4000000</v>
      </c>
      <c r="Q17" s="176">
        <f t="shared" si="1"/>
        <v>3030000</v>
      </c>
      <c r="R17" s="195"/>
      <c r="S17" s="195"/>
      <c r="T17" s="195"/>
    </row>
    <row r="18" spans="1:20" ht="20.100000000000001" customHeight="1" x14ac:dyDescent="0.25">
      <c r="A18" s="75">
        <v>11</v>
      </c>
      <c r="B18" s="133">
        <v>43383</v>
      </c>
      <c r="C18" s="135" t="s">
        <v>2076</v>
      </c>
      <c r="D18" s="136" t="s">
        <v>2100</v>
      </c>
      <c r="E18" s="78" t="s">
        <v>215</v>
      </c>
      <c r="F18" s="80"/>
      <c r="G18" s="130">
        <v>310</v>
      </c>
      <c r="H18" s="22">
        <f>G18*18610</f>
        <v>5769100</v>
      </c>
      <c r="I18" s="237"/>
      <c r="J18" s="69">
        <v>970000</v>
      </c>
      <c r="K18" s="86"/>
      <c r="L18" s="69"/>
      <c r="M18" s="69"/>
      <c r="N18" s="69"/>
      <c r="O18" s="142">
        <f t="shared" si="0"/>
        <v>6739100</v>
      </c>
      <c r="P18" s="145">
        <v>4000000</v>
      </c>
      <c r="Q18" s="176">
        <f t="shared" si="1"/>
        <v>-2739100</v>
      </c>
      <c r="R18" s="195"/>
      <c r="S18" s="195"/>
      <c r="T18" s="195"/>
    </row>
    <row r="19" spans="1:20" ht="20.100000000000001" customHeight="1" x14ac:dyDescent="0.25">
      <c r="A19" s="75">
        <v>12</v>
      </c>
      <c r="B19" s="133">
        <v>43384</v>
      </c>
      <c r="C19" s="135" t="s">
        <v>1397</v>
      </c>
      <c r="D19" s="136" t="s">
        <v>2101</v>
      </c>
      <c r="E19" s="78" t="s">
        <v>21</v>
      </c>
      <c r="F19" s="80"/>
      <c r="G19" s="130"/>
      <c r="H19" s="22"/>
      <c r="I19" s="237"/>
      <c r="J19" s="187">
        <f>2740000-360000</f>
        <v>2380000</v>
      </c>
      <c r="K19" s="86"/>
      <c r="L19" s="69"/>
      <c r="M19" s="69"/>
      <c r="N19" s="69"/>
      <c r="O19" s="142">
        <f t="shared" si="0"/>
        <v>2380000</v>
      </c>
      <c r="P19" s="145">
        <v>12727273</v>
      </c>
      <c r="Q19" s="176">
        <f t="shared" si="1"/>
        <v>10347273</v>
      </c>
      <c r="R19" s="195"/>
      <c r="S19" s="195"/>
      <c r="T19" s="195"/>
    </row>
    <row r="20" spans="1:20" ht="20.100000000000001" customHeight="1" x14ac:dyDescent="0.25">
      <c r="A20" s="75">
        <v>13</v>
      </c>
      <c r="B20" s="133">
        <v>43385</v>
      </c>
      <c r="C20" s="135" t="s">
        <v>2077</v>
      </c>
      <c r="D20" s="136" t="s">
        <v>2102</v>
      </c>
      <c r="E20" s="78" t="s">
        <v>25</v>
      </c>
      <c r="F20" s="80"/>
      <c r="G20" s="130">
        <v>340</v>
      </c>
      <c r="H20" s="22">
        <f t="shared" ref="H20:H34" si="2">G20*18610</f>
        <v>6327400</v>
      </c>
      <c r="I20" s="237"/>
      <c r="J20" s="69">
        <v>430000</v>
      </c>
      <c r="K20" s="86"/>
      <c r="L20" s="69"/>
      <c r="M20" s="69"/>
      <c r="N20" s="69"/>
      <c r="O20" s="142">
        <f t="shared" si="0"/>
        <v>6757400</v>
      </c>
      <c r="P20" s="145">
        <v>3200000</v>
      </c>
      <c r="Q20" s="176">
        <f t="shared" si="1"/>
        <v>-3557400</v>
      </c>
      <c r="R20" s="195"/>
      <c r="S20" s="195"/>
      <c r="T20" s="195"/>
    </row>
    <row r="21" spans="1:20" ht="20.100000000000001" customHeight="1" x14ac:dyDescent="0.25">
      <c r="A21" s="75">
        <v>14</v>
      </c>
      <c r="B21" s="133">
        <v>43388</v>
      </c>
      <c r="C21" s="135" t="s">
        <v>2078</v>
      </c>
      <c r="D21" s="136" t="s">
        <v>2103</v>
      </c>
      <c r="E21" s="78" t="s">
        <v>559</v>
      </c>
      <c r="F21" s="80"/>
      <c r="G21" s="130"/>
      <c r="H21" s="22"/>
      <c r="I21" s="237"/>
      <c r="J21" s="69">
        <v>970000</v>
      </c>
      <c r="K21" s="86"/>
      <c r="L21" s="69"/>
      <c r="M21" s="69"/>
      <c r="N21" s="69"/>
      <c r="O21" s="142">
        <f t="shared" si="0"/>
        <v>970000</v>
      </c>
      <c r="P21" s="145">
        <v>4100000</v>
      </c>
      <c r="Q21" s="176">
        <f t="shared" si="1"/>
        <v>3130000</v>
      </c>
      <c r="R21" s="195"/>
      <c r="S21" s="195"/>
      <c r="T21" s="195"/>
    </row>
    <row r="22" spans="1:20" ht="20.100000000000001" customHeight="1" x14ac:dyDescent="0.25">
      <c r="A22" s="75">
        <v>15</v>
      </c>
      <c r="B22" s="133">
        <v>43388</v>
      </c>
      <c r="C22" s="135" t="s">
        <v>2079</v>
      </c>
      <c r="D22" s="136" t="s">
        <v>2104</v>
      </c>
      <c r="E22" s="78" t="s">
        <v>189</v>
      </c>
      <c r="F22" s="80"/>
      <c r="G22" s="130"/>
      <c r="H22" s="22"/>
      <c r="I22" s="237"/>
      <c r="J22" s="69">
        <v>2250000</v>
      </c>
      <c r="K22" s="86"/>
      <c r="L22" s="69"/>
      <c r="M22" s="69"/>
      <c r="N22" s="69"/>
      <c r="O22" s="142">
        <f t="shared" si="0"/>
        <v>2250000</v>
      </c>
      <c r="P22" s="145">
        <v>10000000</v>
      </c>
      <c r="Q22" s="176">
        <f t="shared" si="1"/>
        <v>7750000</v>
      </c>
      <c r="R22" s="195"/>
      <c r="S22" s="195"/>
      <c r="T22" s="195"/>
    </row>
    <row r="23" spans="1:20" ht="20.100000000000001" customHeight="1" x14ac:dyDescent="0.25">
      <c r="A23" s="75">
        <v>16</v>
      </c>
      <c r="B23" s="133">
        <v>43389</v>
      </c>
      <c r="C23" s="135" t="s">
        <v>2080</v>
      </c>
      <c r="D23" s="136" t="s">
        <v>2105</v>
      </c>
      <c r="E23" s="78" t="s">
        <v>29</v>
      </c>
      <c r="F23" s="80"/>
      <c r="G23" s="130">
        <v>195</v>
      </c>
      <c r="H23" s="22">
        <f t="shared" si="2"/>
        <v>3628950</v>
      </c>
      <c r="I23" s="237"/>
      <c r="J23" s="69">
        <v>970000</v>
      </c>
      <c r="K23" s="86"/>
      <c r="L23" s="69"/>
      <c r="M23" s="69"/>
      <c r="N23" s="69"/>
      <c r="O23" s="142">
        <f t="shared" si="0"/>
        <v>4598950</v>
      </c>
      <c r="P23" s="145">
        <v>3900000</v>
      </c>
      <c r="Q23" s="176">
        <f t="shared" si="1"/>
        <v>-698950</v>
      </c>
      <c r="R23" s="195"/>
      <c r="S23" s="195"/>
      <c r="T23" s="195"/>
    </row>
    <row r="24" spans="1:20" ht="20.100000000000001" customHeight="1" x14ac:dyDescent="0.25">
      <c r="A24" s="75">
        <v>17</v>
      </c>
      <c r="B24" s="133">
        <v>43391</v>
      </c>
      <c r="C24" s="135" t="s">
        <v>2081</v>
      </c>
      <c r="D24" s="136" t="s">
        <v>2106</v>
      </c>
      <c r="E24" s="78" t="s">
        <v>356</v>
      </c>
      <c r="F24" s="80"/>
      <c r="G24" s="130">
        <v>290</v>
      </c>
      <c r="H24" s="22">
        <f t="shared" si="2"/>
        <v>5396900</v>
      </c>
      <c r="I24" s="237"/>
      <c r="J24" s="69">
        <v>810000</v>
      </c>
      <c r="K24" s="86"/>
      <c r="L24" s="69"/>
      <c r="M24" s="69"/>
      <c r="N24" s="69"/>
      <c r="O24" s="142">
        <f t="shared" si="0"/>
        <v>6206900</v>
      </c>
      <c r="P24" s="145">
        <v>4200000</v>
      </c>
      <c r="Q24" s="176">
        <f t="shared" si="1"/>
        <v>-2006900</v>
      </c>
      <c r="R24" s="195"/>
      <c r="S24" s="195"/>
      <c r="T24" s="195"/>
    </row>
    <row r="25" spans="1:20" ht="20.100000000000001" customHeight="1" x14ac:dyDescent="0.25">
      <c r="A25" s="75">
        <v>18</v>
      </c>
      <c r="B25" s="133">
        <v>43392</v>
      </c>
      <c r="C25" s="135" t="s">
        <v>2082</v>
      </c>
      <c r="D25" s="136" t="s">
        <v>2107</v>
      </c>
      <c r="E25" s="78" t="s">
        <v>2121</v>
      </c>
      <c r="F25" s="80"/>
      <c r="G25" s="130"/>
      <c r="H25" s="22"/>
      <c r="I25" s="237"/>
      <c r="J25" s="69">
        <v>1330000</v>
      </c>
      <c r="K25" s="86"/>
      <c r="L25" s="69"/>
      <c r="M25" s="69"/>
      <c r="N25" s="69"/>
      <c r="O25" s="142">
        <f t="shared" si="0"/>
        <v>1330000</v>
      </c>
      <c r="P25" s="145">
        <v>5500000</v>
      </c>
      <c r="Q25" s="176">
        <f t="shared" si="1"/>
        <v>4170000</v>
      </c>
      <c r="R25" s="195"/>
      <c r="S25" s="195"/>
      <c r="T25" s="195"/>
    </row>
    <row r="26" spans="1:20" ht="20.100000000000001" customHeight="1" x14ac:dyDescent="0.25">
      <c r="A26" s="75">
        <v>19</v>
      </c>
      <c r="B26" s="133">
        <v>43393</v>
      </c>
      <c r="C26" s="135" t="s">
        <v>2083</v>
      </c>
      <c r="D26" s="136" t="s">
        <v>2108</v>
      </c>
      <c r="E26" s="78" t="s">
        <v>559</v>
      </c>
      <c r="F26" s="80"/>
      <c r="G26" s="130">
        <v>240</v>
      </c>
      <c r="H26" s="22">
        <f t="shared" si="2"/>
        <v>4466400</v>
      </c>
      <c r="I26" s="237"/>
      <c r="J26" s="189">
        <v>970000</v>
      </c>
      <c r="K26" s="86"/>
      <c r="L26" s="69"/>
      <c r="M26" s="69"/>
      <c r="N26" s="69"/>
      <c r="O26" s="142">
        <f t="shared" si="0"/>
        <v>5436400</v>
      </c>
      <c r="P26" s="145">
        <v>4100000</v>
      </c>
      <c r="Q26" s="176">
        <f t="shared" si="1"/>
        <v>-1336400</v>
      </c>
      <c r="R26" s="195"/>
      <c r="S26" s="195"/>
      <c r="T26" s="195"/>
    </row>
    <row r="27" spans="1:20" ht="20.100000000000001" customHeight="1" x14ac:dyDescent="0.25">
      <c r="A27" s="75">
        <v>20</v>
      </c>
      <c r="B27" s="133">
        <v>43395</v>
      </c>
      <c r="C27" s="135" t="s">
        <v>2084</v>
      </c>
      <c r="D27" s="136" t="s">
        <v>2109</v>
      </c>
      <c r="E27" s="78" t="s">
        <v>2122</v>
      </c>
      <c r="F27" s="80"/>
      <c r="G27" s="130"/>
      <c r="H27" s="22"/>
      <c r="I27" s="237"/>
      <c r="J27" s="69">
        <v>400000</v>
      </c>
      <c r="K27" s="86"/>
      <c r="L27" s="69"/>
      <c r="M27" s="69"/>
      <c r="N27" s="69"/>
      <c r="O27" s="142">
        <f t="shared" si="0"/>
        <v>400000</v>
      </c>
      <c r="P27" s="145">
        <v>2800000</v>
      </c>
      <c r="Q27" s="176">
        <f t="shared" si="1"/>
        <v>2400000</v>
      </c>
      <c r="R27" s="195"/>
      <c r="S27" s="195"/>
      <c r="T27" s="195"/>
    </row>
    <row r="28" spans="1:20" ht="20.100000000000001" customHeight="1" x14ac:dyDescent="0.25">
      <c r="A28" s="75">
        <v>21</v>
      </c>
      <c r="B28" s="133">
        <v>43396</v>
      </c>
      <c r="C28" s="135" t="s">
        <v>2085</v>
      </c>
      <c r="D28" s="136" t="s">
        <v>2110</v>
      </c>
      <c r="E28" s="78" t="s">
        <v>2117</v>
      </c>
      <c r="F28" s="80"/>
      <c r="G28" s="130"/>
      <c r="H28" s="22"/>
      <c r="I28" s="237"/>
      <c r="J28" s="69">
        <f>1500000-360000</f>
        <v>1140000</v>
      </c>
      <c r="K28" s="86"/>
      <c r="L28" s="69"/>
      <c r="M28" s="69"/>
      <c r="N28" s="69"/>
      <c r="O28" s="142">
        <f t="shared" si="0"/>
        <v>1140000</v>
      </c>
      <c r="P28" s="145">
        <v>7200000</v>
      </c>
      <c r="Q28" s="176">
        <f t="shared" si="1"/>
        <v>6060000</v>
      </c>
      <c r="R28" s="195"/>
      <c r="S28" s="195"/>
      <c r="T28" s="195"/>
    </row>
    <row r="29" spans="1:20" ht="20.100000000000001" customHeight="1" x14ac:dyDescent="0.25">
      <c r="A29" s="75">
        <v>22</v>
      </c>
      <c r="B29" s="133">
        <v>43397</v>
      </c>
      <c r="C29" s="135" t="s">
        <v>2086</v>
      </c>
      <c r="D29" s="136" t="s">
        <v>2111</v>
      </c>
      <c r="E29" s="78" t="s">
        <v>21</v>
      </c>
      <c r="F29" s="80"/>
      <c r="G29" s="130">
        <v>300</v>
      </c>
      <c r="H29" s="22">
        <f t="shared" si="2"/>
        <v>5583000</v>
      </c>
      <c r="I29" s="237"/>
      <c r="J29" s="69">
        <v>2380000</v>
      </c>
      <c r="K29" s="86"/>
      <c r="L29" s="69"/>
      <c r="M29" s="69"/>
      <c r="N29" s="69"/>
      <c r="O29" s="142">
        <f t="shared" si="0"/>
        <v>7963000</v>
      </c>
      <c r="P29" s="209">
        <v>14090909</v>
      </c>
      <c r="Q29" s="176">
        <f t="shared" si="1"/>
        <v>6127909</v>
      </c>
      <c r="R29" s="195"/>
      <c r="S29" s="195"/>
      <c r="T29" s="195"/>
    </row>
    <row r="30" spans="1:20" ht="20.100000000000001" customHeight="1" x14ac:dyDescent="0.25">
      <c r="A30" s="75">
        <v>23</v>
      </c>
      <c r="B30" s="133">
        <v>43398</v>
      </c>
      <c r="C30" s="138" t="s">
        <v>671</v>
      </c>
      <c r="D30" s="139" t="s">
        <v>2112</v>
      </c>
      <c r="E30" s="78" t="s">
        <v>2123</v>
      </c>
      <c r="F30" s="110"/>
      <c r="G30" s="203">
        <v>250</v>
      </c>
      <c r="H30" s="22">
        <f t="shared" si="2"/>
        <v>4652500</v>
      </c>
      <c r="I30" s="237"/>
      <c r="J30" s="112">
        <v>740000</v>
      </c>
      <c r="K30" s="86"/>
      <c r="L30" s="69"/>
      <c r="M30" s="112"/>
      <c r="N30" s="112"/>
      <c r="O30" s="142">
        <f t="shared" si="0"/>
        <v>5392500</v>
      </c>
      <c r="P30" s="205">
        <v>4800000</v>
      </c>
      <c r="Q30" s="176">
        <f t="shared" si="1"/>
        <v>-592500</v>
      </c>
      <c r="R30" s="195"/>
      <c r="S30" s="195"/>
      <c r="T30" s="195"/>
    </row>
    <row r="31" spans="1:20" ht="20.100000000000001" customHeight="1" x14ac:dyDescent="0.25">
      <c r="A31" s="75">
        <v>24</v>
      </c>
      <c r="B31" s="133">
        <v>43399</v>
      </c>
      <c r="C31" s="138" t="s">
        <v>2087</v>
      </c>
      <c r="D31" s="139" t="s">
        <v>2113</v>
      </c>
      <c r="E31" s="78" t="s">
        <v>559</v>
      </c>
      <c r="F31" s="110"/>
      <c r="G31" s="203"/>
      <c r="H31" s="22"/>
      <c r="I31" s="237"/>
      <c r="J31" s="112">
        <v>970000</v>
      </c>
      <c r="K31" s="86"/>
      <c r="L31" s="69"/>
      <c r="M31" s="112"/>
      <c r="N31" s="112"/>
      <c r="O31" s="142">
        <f t="shared" si="0"/>
        <v>970000</v>
      </c>
      <c r="P31" s="205">
        <v>4100000</v>
      </c>
      <c r="Q31" s="176">
        <f t="shared" si="1"/>
        <v>3130000</v>
      </c>
      <c r="R31" s="195"/>
      <c r="S31" s="195"/>
      <c r="T31" s="195"/>
    </row>
    <row r="32" spans="1:20" ht="20.100000000000001" customHeight="1" x14ac:dyDescent="0.25">
      <c r="A32" s="75">
        <v>25</v>
      </c>
      <c r="B32" s="133">
        <v>43402</v>
      </c>
      <c r="C32" s="138" t="s">
        <v>2088</v>
      </c>
      <c r="D32" s="139" t="s">
        <v>2114</v>
      </c>
      <c r="E32" s="78" t="s">
        <v>2124</v>
      </c>
      <c r="F32" s="110"/>
      <c r="G32" s="203">
        <v>200</v>
      </c>
      <c r="H32" s="22">
        <f t="shared" si="2"/>
        <v>3722000</v>
      </c>
      <c r="I32" s="237"/>
      <c r="J32" s="112">
        <v>430000</v>
      </c>
      <c r="K32" s="86"/>
      <c r="L32" s="69"/>
      <c r="M32" s="112"/>
      <c r="N32" s="112"/>
      <c r="O32" s="142">
        <f t="shared" si="0"/>
        <v>4152000</v>
      </c>
      <c r="P32" s="205">
        <v>3809091</v>
      </c>
      <c r="Q32" s="176">
        <f t="shared" si="1"/>
        <v>-342909</v>
      </c>
      <c r="R32" s="195"/>
      <c r="S32" s="195"/>
      <c r="T32" s="195"/>
    </row>
    <row r="33" spans="1:20" ht="20.100000000000001" customHeight="1" x14ac:dyDescent="0.25">
      <c r="A33" s="75">
        <v>26</v>
      </c>
      <c r="B33" s="133">
        <v>43402</v>
      </c>
      <c r="C33" s="138" t="s">
        <v>2089</v>
      </c>
      <c r="D33" s="139" t="s">
        <v>2115</v>
      </c>
      <c r="E33" s="78" t="s">
        <v>24</v>
      </c>
      <c r="F33" s="110"/>
      <c r="G33" s="203">
        <v>270</v>
      </c>
      <c r="H33" s="22">
        <f t="shared" si="2"/>
        <v>5024700</v>
      </c>
      <c r="I33" s="237"/>
      <c r="J33" s="112">
        <v>1710000</v>
      </c>
      <c r="K33" s="86"/>
      <c r="L33" s="69"/>
      <c r="M33" s="112"/>
      <c r="N33" s="112"/>
      <c r="O33" s="142">
        <f t="shared" si="0"/>
        <v>6734700</v>
      </c>
      <c r="P33" s="205">
        <v>7500000</v>
      </c>
      <c r="Q33" s="176">
        <f t="shared" si="1"/>
        <v>765300</v>
      </c>
      <c r="R33" s="195"/>
      <c r="S33" s="195"/>
      <c r="T33" s="195"/>
    </row>
    <row r="34" spans="1:20" ht="20.100000000000001" customHeight="1" x14ac:dyDescent="0.25">
      <c r="A34" s="75">
        <v>27</v>
      </c>
      <c r="B34" s="133">
        <v>43403</v>
      </c>
      <c r="C34" s="138" t="s">
        <v>676</v>
      </c>
      <c r="D34" s="139" t="s">
        <v>2116</v>
      </c>
      <c r="E34" s="78" t="s">
        <v>2011</v>
      </c>
      <c r="F34" s="110"/>
      <c r="G34" s="203">
        <v>120</v>
      </c>
      <c r="H34" s="130">
        <f t="shared" si="2"/>
        <v>2233200</v>
      </c>
      <c r="I34" s="237"/>
      <c r="J34" s="112">
        <v>790000</v>
      </c>
      <c r="K34" s="86"/>
      <c r="L34" s="69"/>
      <c r="M34" s="112"/>
      <c r="N34" s="112"/>
      <c r="O34" s="142">
        <f t="shared" si="0"/>
        <v>3023200</v>
      </c>
      <c r="P34" s="205">
        <v>4300000</v>
      </c>
      <c r="Q34" s="176">
        <f t="shared" si="1"/>
        <v>1276800</v>
      </c>
      <c r="R34" s="195"/>
      <c r="S34" s="195"/>
      <c r="T34" s="195"/>
    </row>
    <row r="35" spans="1:20" ht="39.75" customHeight="1" x14ac:dyDescent="0.25">
      <c r="A35" s="75"/>
      <c r="B35" s="133"/>
      <c r="C35" s="170" t="s">
        <v>2125</v>
      </c>
      <c r="D35" s="247"/>
      <c r="E35" s="85"/>
      <c r="F35" s="248"/>
      <c r="G35" s="249"/>
      <c r="H35" s="250"/>
      <c r="I35" s="251"/>
      <c r="J35" s="113"/>
      <c r="K35" s="86"/>
      <c r="L35" s="86">
        <v>350000</v>
      </c>
      <c r="M35" s="113"/>
      <c r="N35" s="113"/>
      <c r="O35" s="142">
        <f t="shared" si="0"/>
        <v>350000</v>
      </c>
      <c r="P35" s="245"/>
      <c r="Q35" s="176">
        <f t="shared" si="1"/>
        <v>-350000</v>
      </c>
      <c r="R35" s="252"/>
      <c r="S35" s="195"/>
      <c r="T35" s="195"/>
    </row>
    <row r="36" spans="1:20" ht="39.75" customHeight="1" x14ac:dyDescent="0.25">
      <c r="A36" s="75"/>
      <c r="B36" s="133"/>
      <c r="C36" s="170" t="s">
        <v>2126</v>
      </c>
      <c r="D36" s="247"/>
      <c r="E36" s="85"/>
      <c r="F36" s="248"/>
      <c r="G36" s="249"/>
      <c r="H36" s="250"/>
      <c r="I36" s="251"/>
      <c r="J36" s="113"/>
      <c r="K36" s="86"/>
      <c r="L36" s="86">
        <v>650000</v>
      </c>
      <c r="M36" s="113"/>
      <c r="N36" s="113"/>
      <c r="O36" s="142">
        <f t="shared" si="0"/>
        <v>650000</v>
      </c>
      <c r="P36" s="245"/>
      <c r="Q36" s="176">
        <f t="shared" si="1"/>
        <v>-650000</v>
      </c>
      <c r="R36" s="252"/>
      <c r="S36" s="195"/>
      <c r="T36" s="195"/>
    </row>
    <row r="37" spans="1:20" ht="39.75" customHeight="1" x14ac:dyDescent="0.25">
      <c r="A37" s="75"/>
      <c r="B37" s="133"/>
      <c r="C37" s="170" t="s">
        <v>2127</v>
      </c>
      <c r="D37" s="247"/>
      <c r="E37" s="85"/>
      <c r="F37" s="248"/>
      <c r="G37" s="249"/>
      <c r="H37" s="250"/>
      <c r="I37" s="251"/>
      <c r="J37" s="113"/>
      <c r="K37" s="86"/>
      <c r="L37" s="86">
        <v>500000</v>
      </c>
      <c r="M37" s="113"/>
      <c r="N37" s="113"/>
      <c r="O37" s="142">
        <f t="shared" si="0"/>
        <v>500000</v>
      </c>
      <c r="P37" s="245"/>
      <c r="Q37" s="176">
        <f t="shared" si="1"/>
        <v>-500000</v>
      </c>
      <c r="R37" s="252"/>
      <c r="S37" s="195"/>
      <c r="T37" s="195"/>
    </row>
    <row r="38" spans="1:20" ht="39.75" customHeight="1" x14ac:dyDescent="0.25">
      <c r="A38" s="75"/>
      <c r="B38" s="133"/>
      <c r="C38" s="170" t="s">
        <v>1090</v>
      </c>
      <c r="D38" s="247"/>
      <c r="E38" s="85"/>
      <c r="F38" s="248"/>
      <c r="G38" s="249"/>
      <c r="H38" s="250"/>
      <c r="I38" s="251"/>
      <c r="J38" s="113"/>
      <c r="K38" s="86"/>
      <c r="L38" s="86">
        <v>8580000</v>
      </c>
      <c r="M38" s="113"/>
      <c r="N38" s="113"/>
      <c r="O38" s="142">
        <f t="shared" si="0"/>
        <v>8580000</v>
      </c>
      <c r="P38" s="245"/>
      <c r="Q38" s="176">
        <f t="shared" si="1"/>
        <v>-8580000</v>
      </c>
      <c r="R38" s="252"/>
      <c r="S38" s="195"/>
      <c r="T38" s="195"/>
    </row>
    <row r="39" spans="1:20" ht="39.75" customHeight="1" x14ac:dyDescent="0.25">
      <c r="A39" s="75"/>
      <c r="B39" s="133"/>
      <c r="C39" s="170" t="s">
        <v>1091</v>
      </c>
      <c r="D39" s="247"/>
      <c r="E39" s="85"/>
      <c r="F39" s="248"/>
      <c r="G39" s="249"/>
      <c r="H39" s="250"/>
      <c r="I39" s="251"/>
      <c r="J39" s="113"/>
      <c r="K39" s="86"/>
      <c r="L39" s="86">
        <v>610000</v>
      </c>
      <c r="M39" s="113"/>
      <c r="N39" s="113"/>
      <c r="O39" s="142">
        <f t="shared" si="0"/>
        <v>610000</v>
      </c>
      <c r="P39" s="245"/>
      <c r="Q39" s="176">
        <f t="shared" si="1"/>
        <v>-610000</v>
      </c>
      <c r="R39" s="252"/>
      <c r="S39" s="195"/>
      <c r="T39" s="195"/>
    </row>
    <row r="40" spans="1:20" ht="39.75" customHeight="1" x14ac:dyDescent="0.25">
      <c r="A40" s="75"/>
      <c r="B40" s="133"/>
      <c r="C40" s="170" t="s">
        <v>1092</v>
      </c>
      <c r="D40" s="247"/>
      <c r="E40" s="85"/>
      <c r="F40" s="248"/>
      <c r="G40" s="249"/>
      <c r="H40" s="250"/>
      <c r="I40" s="251"/>
      <c r="J40" s="113"/>
      <c r="K40" s="86"/>
      <c r="L40" s="86">
        <v>200000</v>
      </c>
      <c r="M40" s="113"/>
      <c r="N40" s="113"/>
      <c r="O40" s="142">
        <f t="shared" si="0"/>
        <v>200000</v>
      </c>
      <c r="P40" s="245"/>
      <c r="Q40" s="176">
        <f t="shared" si="1"/>
        <v>-200000</v>
      </c>
      <c r="R40" s="252"/>
      <c r="S40" s="195"/>
      <c r="T40" s="195"/>
    </row>
    <row r="41" spans="1:20" ht="39.75" customHeight="1" x14ac:dyDescent="0.25">
      <c r="A41" s="75"/>
      <c r="B41" s="133"/>
      <c r="C41" s="170" t="s">
        <v>2128</v>
      </c>
      <c r="D41" s="247"/>
      <c r="E41" s="85"/>
      <c r="F41" s="248"/>
      <c r="G41" s="249"/>
      <c r="H41" s="250"/>
      <c r="I41" s="251"/>
      <c r="J41" s="113"/>
      <c r="K41" s="86"/>
      <c r="L41" s="86">
        <v>2000000</v>
      </c>
      <c r="M41" s="113"/>
      <c r="N41" s="113"/>
      <c r="O41" s="142">
        <f t="shared" si="0"/>
        <v>2000000</v>
      </c>
      <c r="P41" s="245"/>
      <c r="Q41" s="176">
        <f t="shared" si="1"/>
        <v>-2000000</v>
      </c>
      <c r="R41" s="252"/>
      <c r="S41" s="195"/>
      <c r="T41" s="195"/>
    </row>
    <row r="42" spans="1:20" ht="27" customHeight="1" x14ac:dyDescent="0.25">
      <c r="A42" s="75"/>
      <c r="B42" s="133"/>
      <c r="C42" s="183" t="s">
        <v>2129</v>
      </c>
      <c r="D42" s="162"/>
      <c r="E42" s="153"/>
      <c r="F42" s="163"/>
      <c r="G42" s="194"/>
      <c r="H42" s="234"/>
      <c r="I42" s="240"/>
      <c r="J42" s="166"/>
      <c r="K42" s="86"/>
      <c r="L42" s="156"/>
      <c r="M42" s="166">
        <v>10000000</v>
      </c>
      <c r="N42" s="112"/>
      <c r="O42" s="142">
        <f t="shared" si="0"/>
        <v>10000000</v>
      </c>
      <c r="P42" s="68"/>
      <c r="Q42" s="176">
        <f t="shared" si="1"/>
        <v>-10000000</v>
      </c>
    </row>
    <row r="43" spans="1:20" ht="72.75" customHeight="1" x14ac:dyDescent="0.25">
      <c r="A43" s="75"/>
      <c r="B43" s="133"/>
      <c r="C43" s="183" t="s">
        <v>2130</v>
      </c>
      <c r="D43" s="162"/>
      <c r="E43" s="153"/>
      <c r="F43" s="163"/>
      <c r="G43" s="194"/>
      <c r="H43" s="234"/>
      <c r="I43" s="240"/>
      <c r="J43" s="166"/>
      <c r="K43" s="86"/>
      <c r="L43" s="156">
        <v>1000000</v>
      </c>
      <c r="M43" s="166"/>
      <c r="N43" s="112"/>
      <c r="O43" s="142">
        <f t="shared" si="0"/>
        <v>1000000</v>
      </c>
      <c r="P43" s="68"/>
      <c r="Q43" s="176">
        <f t="shared" si="1"/>
        <v>-1000000</v>
      </c>
    </row>
    <row r="44" spans="1:20" ht="59.25" customHeight="1" x14ac:dyDescent="0.25">
      <c r="A44" s="75"/>
      <c r="B44" s="133"/>
      <c r="C44" s="183" t="s">
        <v>2131</v>
      </c>
      <c r="D44" s="162"/>
      <c r="E44" s="153"/>
      <c r="F44" s="163"/>
      <c r="G44" s="194"/>
      <c r="H44" s="234"/>
      <c r="I44" s="240"/>
      <c r="J44" s="166"/>
      <c r="K44" s="86"/>
      <c r="L44" s="156">
        <v>2000000</v>
      </c>
      <c r="M44" s="166"/>
      <c r="N44" s="112"/>
      <c r="O44" s="142">
        <f t="shared" si="0"/>
        <v>2000000</v>
      </c>
      <c r="P44" s="68"/>
      <c r="Q44" s="176">
        <f t="shared" si="1"/>
        <v>-2000000</v>
      </c>
    </row>
    <row r="45" spans="1:20" ht="59.25" customHeight="1" x14ac:dyDescent="0.25">
      <c r="A45" s="75"/>
      <c r="B45" s="133"/>
      <c r="C45" s="183" t="s">
        <v>2132</v>
      </c>
      <c r="D45" s="162"/>
      <c r="E45" s="153"/>
      <c r="F45" s="163"/>
      <c r="G45" s="194"/>
      <c r="H45" s="234"/>
      <c r="I45" s="240"/>
      <c r="J45" s="166"/>
      <c r="K45" s="86"/>
      <c r="L45" s="156">
        <v>300000</v>
      </c>
      <c r="M45" s="166"/>
      <c r="N45" s="112"/>
      <c r="O45" s="142">
        <f t="shared" si="0"/>
        <v>300000</v>
      </c>
      <c r="P45" s="68"/>
      <c r="Q45" s="176">
        <f t="shared" si="1"/>
        <v>-300000</v>
      </c>
    </row>
    <row r="46" spans="1:20" ht="59.25" customHeight="1" x14ac:dyDescent="0.25">
      <c r="A46" s="75"/>
      <c r="B46" s="133"/>
      <c r="C46" s="183" t="s">
        <v>2133</v>
      </c>
      <c r="D46" s="162"/>
      <c r="E46" s="153"/>
      <c r="F46" s="163"/>
      <c r="G46" s="194"/>
      <c r="H46" s="234"/>
      <c r="I46" s="240"/>
      <c r="J46" s="166"/>
      <c r="K46" s="86"/>
      <c r="L46" s="156">
        <v>170000</v>
      </c>
      <c r="M46" s="166"/>
      <c r="N46" s="112"/>
      <c r="O46" s="142">
        <f t="shared" si="0"/>
        <v>170000</v>
      </c>
      <c r="P46" s="68"/>
      <c r="Q46" s="176">
        <f t="shared" si="1"/>
        <v>-170000</v>
      </c>
    </row>
    <row r="47" spans="1:20" ht="59.25" customHeight="1" x14ac:dyDescent="0.25">
      <c r="A47" s="75"/>
      <c r="B47" s="133"/>
      <c r="C47" s="183" t="s">
        <v>2134</v>
      </c>
      <c r="D47" s="162"/>
      <c r="E47" s="153"/>
      <c r="F47" s="163"/>
      <c r="G47" s="194"/>
      <c r="H47" s="234"/>
      <c r="I47" s="240"/>
      <c r="J47" s="166"/>
      <c r="K47" s="86"/>
      <c r="L47" s="156">
        <v>120000</v>
      </c>
      <c r="M47" s="166"/>
      <c r="N47" s="112"/>
      <c r="O47" s="142">
        <f t="shared" si="0"/>
        <v>120000</v>
      </c>
      <c r="P47" s="68"/>
      <c r="Q47" s="176">
        <f t="shared" si="1"/>
        <v>-120000</v>
      </c>
    </row>
    <row r="48" spans="1:20" ht="18" customHeight="1" x14ac:dyDescent="0.25">
      <c r="A48" s="75"/>
      <c r="B48" s="133"/>
      <c r="C48" s="170" t="s">
        <v>1273</v>
      </c>
      <c r="D48" s="162"/>
      <c r="E48" s="153"/>
      <c r="F48" s="163"/>
      <c r="G48" s="164"/>
      <c r="H48" s="155"/>
      <c r="I48" s="240"/>
      <c r="J48" s="166"/>
      <c r="K48" s="86"/>
      <c r="L48" s="156">
        <v>1320000</v>
      </c>
      <c r="M48" s="112"/>
      <c r="N48" s="112"/>
      <c r="O48" s="142">
        <f t="shared" si="0"/>
        <v>1320000</v>
      </c>
      <c r="P48" s="68"/>
      <c r="Q48" s="176">
        <f t="shared" si="1"/>
        <v>-1320000</v>
      </c>
    </row>
    <row r="49" spans="1:19" ht="18" customHeight="1" x14ac:dyDescent="0.25">
      <c r="A49" s="134"/>
      <c r="B49" s="70"/>
      <c r="C49" s="108" t="s">
        <v>1386</v>
      </c>
      <c r="D49" s="87"/>
      <c r="E49" s="70"/>
      <c r="F49" s="110"/>
      <c r="G49" s="70"/>
      <c r="H49" s="81"/>
      <c r="I49" s="241"/>
      <c r="J49" s="112"/>
      <c r="K49" s="242">
        <v>9692308</v>
      </c>
      <c r="L49" s="141"/>
      <c r="M49" s="112"/>
      <c r="N49" s="112"/>
      <c r="O49" s="142">
        <f t="shared" si="0"/>
        <v>9692308</v>
      </c>
      <c r="P49" s="144"/>
      <c r="Q49" s="176">
        <f t="shared" si="1"/>
        <v>-9692308</v>
      </c>
    </row>
    <row r="50" spans="1:19" ht="18" customHeight="1" x14ac:dyDescent="0.25">
      <c r="A50" s="213"/>
      <c r="B50" s="214"/>
      <c r="C50" s="215"/>
      <c r="D50" s="216"/>
      <c r="E50" s="214"/>
      <c r="F50" s="217"/>
      <c r="G50" s="214"/>
      <c r="H50" s="218"/>
      <c r="I50" s="238"/>
      <c r="J50" s="219"/>
      <c r="K50" s="220"/>
      <c r="L50" s="221"/>
      <c r="M50" s="219"/>
      <c r="N50" s="219"/>
      <c r="O50" s="142">
        <f t="shared" si="0"/>
        <v>0</v>
      </c>
      <c r="P50" s="214"/>
      <c r="Q50" s="176">
        <f t="shared" si="1"/>
        <v>0</v>
      </c>
    </row>
    <row r="51" spans="1:19" x14ac:dyDescent="0.25">
      <c r="A51" s="547" t="s">
        <v>19</v>
      </c>
      <c r="B51" s="548"/>
      <c r="C51" s="548"/>
      <c r="D51" s="548"/>
      <c r="E51" s="548"/>
      <c r="F51" s="549"/>
      <c r="G51" s="236">
        <f>SUM(G8:G50)</f>
        <v>3565</v>
      </c>
      <c r="H51" s="71">
        <f>SUM(H7:H49)</f>
        <v>65977150</v>
      </c>
      <c r="I51" s="71">
        <f>SUM(I7:I49)</f>
        <v>0</v>
      </c>
      <c r="J51" s="71">
        <f>SUM(J7:J49)</f>
        <v>32070000</v>
      </c>
      <c r="K51" s="71">
        <f>SUM(K7:K50)</f>
        <v>9692308</v>
      </c>
      <c r="L51" s="71">
        <f>SUM(L7:L50)</f>
        <v>17800000</v>
      </c>
      <c r="M51" s="71">
        <f>SUM(M7:M49)</f>
        <v>10000000</v>
      </c>
      <c r="N51" s="71">
        <f>SUM(N7:N49)</f>
        <v>0</v>
      </c>
      <c r="O51" s="71">
        <f>SUM(O7:O50)</f>
        <v>135539458</v>
      </c>
      <c r="P51" s="71">
        <f>SUM(P7:P49)</f>
        <v>161300001</v>
      </c>
      <c r="Q51" s="71">
        <f>SUM(Q7:Q50)</f>
        <v>25760543</v>
      </c>
      <c r="R51" s="195"/>
      <c r="S51" s="195"/>
    </row>
    <row r="52" spans="1:19" x14ac:dyDescent="0.25">
      <c r="P52" s="195"/>
      <c r="Q52" s="202">
        <f>P51-O51</f>
        <v>25760543</v>
      </c>
    </row>
    <row r="53" spans="1:19" x14ac:dyDescent="0.25">
      <c r="H53" s="195"/>
      <c r="P53" s="229" t="s">
        <v>1225</v>
      </c>
      <c r="Q53" s="185">
        <f>'09-2018'!Q38+'10-2018'!Q51</f>
        <v>322579652.84615386</v>
      </c>
    </row>
    <row r="54" spans="1:19" x14ac:dyDescent="0.25">
      <c r="Q54" s="195"/>
    </row>
    <row r="55" spans="1:19" x14ac:dyDescent="0.25">
      <c r="R55" s="195"/>
    </row>
  </sheetData>
  <mergeCells count="5">
    <mergeCell ref="A1:Q1"/>
    <mergeCell ref="A2:Q2"/>
    <mergeCell ref="A3:Q3"/>
    <mergeCell ref="G5:N5"/>
    <mergeCell ref="A51:F51"/>
  </mergeCells>
  <pageMargins left="0.7" right="0.7" top="0.75" bottom="0.75" header="0.3" footer="0.3"/>
  <pageSetup paperSize="9" orientation="portrait" horizontalDpi="0" verticalDpi="0" r:id="rId1"/>
  <legacy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T50"/>
  <sheetViews>
    <sheetView topLeftCell="D37" workbookViewId="0">
      <selection activeCell="H56" sqref="H56"/>
    </sheetView>
  </sheetViews>
  <sheetFormatPr defaultRowHeight="15" x14ac:dyDescent="0.25"/>
  <cols>
    <col min="1" max="1" width="4.5703125" customWidth="1"/>
    <col min="3" max="3" width="41.28515625" customWidth="1"/>
    <col min="4" max="4" width="16.5703125" customWidth="1"/>
    <col min="5" max="5" width="33.140625" customWidth="1"/>
    <col min="7" max="7" width="9.140625" style="292"/>
    <col min="8" max="8" width="10.140625" style="292" bestFit="1" customWidth="1"/>
    <col min="9" max="9" width="9.140625" style="293"/>
    <col min="10" max="14" width="9.140625" style="292"/>
    <col min="15" max="15" width="11.140625" style="292" customWidth="1"/>
    <col min="16" max="16" width="10.7109375" style="292" customWidth="1"/>
    <col min="17" max="17" width="12.28515625" style="292" customWidth="1"/>
    <col min="18" max="18" width="11.7109375" customWidth="1"/>
    <col min="19" max="19" width="18"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2135</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257"/>
      <c r="H4" s="258"/>
      <c r="I4" s="258"/>
      <c r="J4" s="258"/>
      <c r="K4" s="258"/>
      <c r="L4" s="258"/>
      <c r="M4" s="258"/>
      <c r="N4" s="258"/>
      <c r="O4" s="258"/>
      <c r="P4" s="258"/>
      <c r="Q4" s="258"/>
    </row>
    <row r="5" spans="1:20"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20" x14ac:dyDescent="0.25">
      <c r="A6" s="179"/>
      <c r="B6" s="180"/>
      <c r="C6" s="179"/>
      <c r="D6" s="179"/>
      <c r="E6" s="175"/>
      <c r="F6" s="175"/>
      <c r="G6" s="260" t="s">
        <v>7</v>
      </c>
      <c r="H6" s="261" t="s">
        <v>15</v>
      </c>
      <c r="I6" s="261" t="s">
        <v>16</v>
      </c>
      <c r="J6" s="261" t="s">
        <v>8</v>
      </c>
      <c r="K6" s="261" t="s">
        <v>9</v>
      </c>
      <c r="L6" s="261" t="s">
        <v>10</v>
      </c>
      <c r="M6" s="261" t="s">
        <v>11</v>
      </c>
      <c r="N6" s="261" t="s">
        <v>12</v>
      </c>
      <c r="O6" s="262"/>
      <c r="P6" s="262"/>
      <c r="Q6" s="262"/>
    </row>
    <row r="7" spans="1:20" x14ac:dyDescent="0.25">
      <c r="A7" s="75"/>
      <c r="B7" s="100"/>
      <c r="C7" s="88"/>
      <c r="D7" s="88"/>
      <c r="E7" s="134"/>
      <c r="F7" s="75"/>
      <c r="G7" s="263"/>
      <c r="H7" s="264"/>
      <c r="I7" s="264"/>
      <c r="J7" s="264"/>
      <c r="K7" s="264"/>
      <c r="L7" s="264"/>
      <c r="M7" s="264"/>
      <c r="N7" s="264"/>
      <c r="O7" s="264">
        <f>H7+J7+K7+L7+M7+N7</f>
        <v>0</v>
      </c>
      <c r="P7" s="265"/>
      <c r="Q7" s="264">
        <f>P7-O7</f>
        <v>0</v>
      </c>
    </row>
    <row r="8" spans="1:20" ht="20.100000000000001" customHeight="1" x14ac:dyDescent="0.25">
      <c r="A8" s="75">
        <v>1</v>
      </c>
      <c r="B8" s="133">
        <v>43405</v>
      </c>
      <c r="C8" s="135" t="s">
        <v>2136</v>
      </c>
      <c r="D8" s="136" t="s">
        <v>2157</v>
      </c>
      <c r="E8" s="78" t="s">
        <v>301</v>
      </c>
      <c r="F8" s="80"/>
      <c r="G8" s="234"/>
      <c r="H8" s="234">
        <f>G8*18610</f>
        <v>0</v>
      </c>
      <c r="I8" s="266"/>
      <c r="J8" s="223">
        <v>3640000</v>
      </c>
      <c r="K8" s="267"/>
      <c r="L8" s="189"/>
      <c r="M8" s="189"/>
      <c r="N8" s="189"/>
      <c r="O8" s="268">
        <f>H8+J8+K8+L8+M8+N8</f>
        <v>3640000</v>
      </c>
      <c r="P8" s="269">
        <v>19545455</v>
      </c>
      <c r="Q8" s="270">
        <f>P8-O8</f>
        <v>15905455</v>
      </c>
      <c r="R8" s="195"/>
      <c r="S8" s="195"/>
      <c r="T8" s="195"/>
    </row>
    <row r="9" spans="1:20" ht="20.100000000000001" customHeight="1" x14ac:dyDescent="0.25">
      <c r="A9" s="75">
        <v>2</v>
      </c>
      <c r="B9" s="133">
        <v>43407</v>
      </c>
      <c r="C9" s="135" t="s">
        <v>1438</v>
      </c>
      <c r="D9" s="172" t="s">
        <v>2158</v>
      </c>
      <c r="E9" s="78" t="s">
        <v>2007</v>
      </c>
      <c r="F9" s="80"/>
      <c r="G9" s="234">
        <v>330</v>
      </c>
      <c r="H9" s="234">
        <f t="shared" ref="H9:H10" si="0">G9*18610</f>
        <v>6141300</v>
      </c>
      <c r="I9" s="266"/>
      <c r="J9" s="223">
        <v>790000</v>
      </c>
      <c r="K9" s="267"/>
      <c r="L9" s="189"/>
      <c r="M9" s="189"/>
      <c r="N9" s="189"/>
      <c r="O9" s="268">
        <f t="shared" ref="O9:O45" si="1">H9+J9+K9+L9+M9+N9</f>
        <v>6931300</v>
      </c>
      <c r="P9" s="269">
        <v>3500000</v>
      </c>
      <c r="Q9" s="270">
        <f t="shared" ref="Q9:Q45" si="2">P9-O9</f>
        <v>-3431300</v>
      </c>
      <c r="R9" s="195"/>
      <c r="S9" s="195"/>
      <c r="T9" s="195"/>
    </row>
    <row r="10" spans="1:20" ht="20.100000000000001" customHeight="1" x14ac:dyDescent="0.25">
      <c r="A10" s="75">
        <v>3</v>
      </c>
      <c r="B10" s="133">
        <v>43409</v>
      </c>
      <c r="C10" s="135" t="s">
        <v>2137</v>
      </c>
      <c r="D10" s="136" t="s">
        <v>137</v>
      </c>
      <c r="E10" s="78" t="s">
        <v>232</v>
      </c>
      <c r="F10" s="80"/>
      <c r="G10" s="234">
        <v>160</v>
      </c>
      <c r="H10" s="234">
        <f t="shared" si="0"/>
        <v>2977600</v>
      </c>
      <c r="I10" s="266"/>
      <c r="J10" s="223">
        <v>790000</v>
      </c>
      <c r="K10" s="267"/>
      <c r="L10" s="189"/>
      <c r="M10" s="189"/>
      <c r="N10" s="189"/>
      <c r="O10" s="268">
        <f t="shared" si="1"/>
        <v>3767600</v>
      </c>
      <c r="P10" s="269">
        <v>2945455</v>
      </c>
      <c r="Q10" s="270">
        <f t="shared" si="2"/>
        <v>-822145</v>
      </c>
      <c r="R10" s="195"/>
      <c r="S10" s="195"/>
      <c r="T10" s="195"/>
    </row>
    <row r="11" spans="1:20" ht="20.100000000000001" customHeight="1" x14ac:dyDescent="0.25">
      <c r="A11" s="75">
        <v>4</v>
      </c>
      <c r="B11" s="133">
        <v>43410</v>
      </c>
      <c r="C11" s="135" t="s">
        <v>2138</v>
      </c>
      <c r="D11" s="136" t="s">
        <v>2159</v>
      </c>
      <c r="E11" s="78" t="s">
        <v>21</v>
      </c>
      <c r="F11" s="80"/>
      <c r="G11" s="234">
        <v>240</v>
      </c>
      <c r="H11" s="271">
        <f>G11*18540</f>
        <v>4449600</v>
      </c>
      <c r="I11" s="266"/>
      <c r="J11" s="223">
        <v>2380000</v>
      </c>
      <c r="K11" s="267"/>
      <c r="L11" s="189"/>
      <c r="M11" s="189"/>
      <c r="N11" s="189"/>
      <c r="O11" s="268">
        <f t="shared" si="1"/>
        <v>6829600</v>
      </c>
      <c r="P11" s="272">
        <v>12090909</v>
      </c>
      <c r="Q11" s="270">
        <f t="shared" si="2"/>
        <v>5261309</v>
      </c>
      <c r="R11" s="195"/>
      <c r="S11" s="195"/>
      <c r="T11" s="195"/>
    </row>
    <row r="12" spans="1:20" ht="20.100000000000001" customHeight="1" x14ac:dyDescent="0.25">
      <c r="A12" s="75">
        <v>5</v>
      </c>
      <c r="B12" s="133">
        <v>43411</v>
      </c>
      <c r="C12" s="135" t="s">
        <v>720</v>
      </c>
      <c r="D12" s="136" t="s">
        <v>2160</v>
      </c>
      <c r="E12" s="78" t="s">
        <v>24</v>
      </c>
      <c r="F12" s="80"/>
      <c r="G12" s="234"/>
      <c r="H12" s="271"/>
      <c r="I12" s="266"/>
      <c r="J12" s="223">
        <v>1710000</v>
      </c>
      <c r="K12" s="267"/>
      <c r="L12" s="189"/>
      <c r="M12" s="189"/>
      <c r="N12" s="189"/>
      <c r="O12" s="268">
        <f t="shared" si="1"/>
        <v>1710000</v>
      </c>
      <c r="P12" s="272">
        <v>7500000</v>
      </c>
      <c r="Q12" s="270">
        <f t="shared" si="2"/>
        <v>5790000</v>
      </c>
      <c r="R12" s="195"/>
      <c r="S12" s="195"/>
      <c r="T12" s="195"/>
    </row>
    <row r="13" spans="1:20" ht="20.100000000000001" customHeight="1" x14ac:dyDescent="0.25">
      <c r="A13" s="75">
        <v>6</v>
      </c>
      <c r="B13" s="133">
        <v>43412</v>
      </c>
      <c r="C13" s="135" t="s">
        <v>2139</v>
      </c>
      <c r="D13" s="136" t="s">
        <v>871</v>
      </c>
      <c r="E13" s="78" t="s">
        <v>2181</v>
      </c>
      <c r="F13" s="80"/>
      <c r="G13" s="234">
        <v>280</v>
      </c>
      <c r="H13" s="271">
        <f t="shared" ref="H13:H24" si="3">G13*18540</f>
        <v>5191200</v>
      </c>
      <c r="I13" s="266"/>
      <c r="J13" s="223">
        <v>430000</v>
      </c>
      <c r="K13" s="267"/>
      <c r="L13" s="189"/>
      <c r="M13" s="189"/>
      <c r="N13" s="189"/>
      <c r="O13" s="268">
        <f t="shared" si="1"/>
        <v>5621200</v>
      </c>
      <c r="P13" s="269">
        <v>4490909</v>
      </c>
      <c r="Q13" s="270">
        <f t="shared" si="2"/>
        <v>-1130291</v>
      </c>
      <c r="R13" s="195"/>
      <c r="S13" s="195"/>
      <c r="T13" s="195"/>
    </row>
    <row r="14" spans="1:20" ht="20.100000000000001" customHeight="1" x14ac:dyDescent="0.25">
      <c r="A14" s="75">
        <v>7</v>
      </c>
      <c r="B14" s="133">
        <v>43413</v>
      </c>
      <c r="C14" s="135" t="s">
        <v>2140</v>
      </c>
      <c r="D14" s="136" t="s">
        <v>2161</v>
      </c>
      <c r="E14" s="78" t="s">
        <v>356</v>
      </c>
      <c r="F14" s="80"/>
      <c r="G14" s="234"/>
      <c r="H14" s="271"/>
      <c r="I14" s="266"/>
      <c r="J14" s="223">
        <v>810000</v>
      </c>
      <c r="K14" s="267"/>
      <c r="L14" s="189"/>
      <c r="M14" s="189"/>
      <c r="N14" s="189"/>
      <c r="O14" s="268">
        <f t="shared" si="1"/>
        <v>810000</v>
      </c>
      <c r="P14" s="269">
        <v>4200000</v>
      </c>
      <c r="Q14" s="270">
        <f t="shared" si="2"/>
        <v>3390000</v>
      </c>
      <c r="R14" s="195"/>
      <c r="S14" s="195"/>
      <c r="T14" s="195"/>
    </row>
    <row r="15" spans="1:20" ht="20.100000000000001" customHeight="1" x14ac:dyDescent="0.25">
      <c r="A15" s="75">
        <v>8</v>
      </c>
      <c r="B15" s="133">
        <v>43414</v>
      </c>
      <c r="C15" s="135" t="s">
        <v>2141</v>
      </c>
      <c r="D15" s="136" t="s">
        <v>2162</v>
      </c>
      <c r="E15" s="78" t="s">
        <v>2182</v>
      </c>
      <c r="F15" s="80"/>
      <c r="G15" s="234">
        <v>240</v>
      </c>
      <c r="H15" s="271">
        <f t="shared" si="3"/>
        <v>4449600</v>
      </c>
      <c r="I15" s="266"/>
      <c r="J15" s="223">
        <v>1420000</v>
      </c>
      <c r="K15" s="267"/>
      <c r="L15" s="189"/>
      <c r="M15" s="189"/>
      <c r="N15" s="189"/>
      <c r="O15" s="268">
        <f t="shared" si="1"/>
        <v>5869600</v>
      </c>
      <c r="P15" s="269">
        <v>5400000</v>
      </c>
      <c r="Q15" s="270">
        <f t="shared" si="2"/>
        <v>-469600</v>
      </c>
      <c r="R15" s="195"/>
      <c r="S15" s="195"/>
      <c r="T15" s="195"/>
    </row>
    <row r="16" spans="1:20" ht="20.100000000000001" customHeight="1" x14ac:dyDescent="0.25">
      <c r="A16" s="75">
        <v>9</v>
      </c>
      <c r="B16" s="133">
        <v>43415</v>
      </c>
      <c r="C16" s="135" t="s">
        <v>2142</v>
      </c>
      <c r="D16" s="136" t="s">
        <v>2163</v>
      </c>
      <c r="E16" s="78" t="s">
        <v>21</v>
      </c>
      <c r="F16" s="80"/>
      <c r="G16" s="234"/>
      <c r="H16" s="271"/>
      <c r="I16" s="266"/>
      <c r="J16" s="223">
        <v>2380000</v>
      </c>
      <c r="K16" s="267"/>
      <c r="L16" s="189"/>
      <c r="M16" s="189"/>
      <c r="N16" s="189"/>
      <c r="O16" s="268">
        <f t="shared" si="1"/>
        <v>2380000</v>
      </c>
      <c r="P16" s="269">
        <v>12090909</v>
      </c>
      <c r="Q16" s="270">
        <f t="shared" si="2"/>
        <v>9710909</v>
      </c>
      <c r="R16" s="195"/>
      <c r="S16" s="195"/>
      <c r="T16" s="195"/>
    </row>
    <row r="17" spans="1:20" ht="20.100000000000001" customHeight="1" x14ac:dyDescent="0.25">
      <c r="A17" s="75">
        <v>10</v>
      </c>
      <c r="B17" s="133">
        <v>43416</v>
      </c>
      <c r="C17" s="135" t="s">
        <v>2143</v>
      </c>
      <c r="D17" s="136" t="s">
        <v>2164</v>
      </c>
      <c r="E17" s="78" t="s">
        <v>215</v>
      </c>
      <c r="F17" s="80"/>
      <c r="G17" s="234">
        <v>240</v>
      </c>
      <c r="H17" s="271">
        <f t="shared" si="3"/>
        <v>4449600</v>
      </c>
      <c r="I17" s="266"/>
      <c r="J17" s="223">
        <v>970000</v>
      </c>
      <c r="K17" s="267"/>
      <c r="L17" s="189"/>
      <c r="M17" s="189"/>
      <c r="N17" s="189"/>
      <c r="O17" s="268">
        <f t="shared" si="1"/>
        <v>5419600</v>
      </c>
      <c r="P17" s="269">
        <v>4000000</v>
      </c>
      <c r="Q17" s="270">
        <f t="shared" si="2"/>
        <v>-1419600</v>
      </c>
      <c r="R17" s="195"/>
      <c r="S17" s="195"/>
      <c r="T17" s="195"/>
    </row>
    <row r="18" spans="1:20" ht="20.100000000000001" customHeight="1" x14ac:dyDescent="0.25">
      <c r="A18" s="75">
        <v>11</v>
      </c>
      <c r="B18" s="133">
        <v>43417</v>
      </c>
      <c r="C18" s="135" t="s">
        <v>727</v>
      </c>
      <c r="D18" s="136" t="s">
        <v>2165</v>
      </c>
      <c r="E18" s="78" t="s">
        <v>2183</v>
      </c>
      <c r="F18" s="80"/>
      <c r="G18" s="234"/>
      <c r="H18" s="271"/>
      <c r="I18" s="266"/>
      <c r="J18" s="223">
        <f>960000+240000</f>
        <v>1200000</v>
      </c>
      <c r="K18" s="267"/>
      <c r="L18" s="189"/>
      <c r="M18" s="189"/>
      <c r="N18" s="189"/>
      <c r="O18" s="268">
        <f t="shared" si="1"/>
        <v>1200000</v>
      </c>
      <c r="P18" s="269">
        <v>4500000</v>
      </c>
      <c r="Q18" s="270">
        <f t="shared" si="2"/>
        <v>3300000</v>
      </c>
      <c r="R18" s="195"/>
      <c r="S18" s="195"/>
      <c r="T18" s="195"/>
    </row>
    <row r="19" spans="1:20" ht="20.100000000000001" customHeight="1" x14ac:dyDescent="0.25">
      <c r="A19" s="75">
        <v>12</v>
      </c>
      <c r="B19" s="133">
        <v>43418</v>
      </c>
      <c r="C19" s="135" t="s">
        <v>2144</v>
      </c>
      <c r="D19" s="136" t="s">
        <v>2166</v>
      </c>
      <c r="E19" s="78" t="s">
        <v>2007</v>
      </c>
      <c r="F19" s="80"/>
      <c r="G19" s="234">
        <v>310</v>
      </c>
      <c r="H19" s="271">
        <f t="shared" si="3"/>
        <v>5747400</v>
      </c>
      <c r="I19" s="266"/>
      <c r="J19" s="223">
        <v>790000</v>
      </c>
      <c r="K19" s="267"/>
      <c r="L19" s="189"/>
      <c r="M19" s="189"/>
      <c r="N19" s="189"/>
      <c r="O19" s="268">
        <f t="shared" si="1"/>
        <v>6537400</v>
      </c>
      <c r="P19" s="269">
        <v>3500000</v>
      </c>
      <c r="Q19" s="270">
        <f t="shared" si="2"/>
        <v>-3037400</v>
      </c>
      <c r="R19" s="195"/>
      <c r="S19" s="195"/>
      <c r="T19" s="195"/>
    </row>
    <row r="20" spans="1:20" ht="20.100000000000001" customHeight="1" x14ac:dyDescent="0.25">
      <c r="A20" s="75">
        <v>13</v>
      </c>
      <c r="B20" s="133">
        <v>43419</v>
      </c>
      <c r="C20" s="135" t="s">
        <v>2145</v>
      </c>
      <c r="D20" s="136" t="s">
        <v>2167</v>
      </c>
      <c r="E20" s="78" t="s">
        <v>898</v>
      </c>
      <c r="F20" s="80"/>
      <c r="G20" s="234"/>
      <c r="H20" s="271"/>
      <c r="I20" s="266"/>
      <c r="J20" s="223">
        <v>1160000</v>
      </c>
      <c r="K20" s="267"/>
      <c r="L20" s="189"/>
      <c r="M20" s="189"/>
      <c r="N20" s="189"/>
      <c r="O20" s="268">
        <f t="shared" si="1"/>
        <v>1160000</v>
      </c>
      <c r="P20" s="269">
        <v>4900000</v>
      </c>
      <c r="Q20" s="270">
        <f t="shared" si="2"/>
        <v>3740000</v>
      </c>
      <c r="R20" s="195"/>
      <c r="S20" s="195"/>
      <c r="T20" s="195"/>
    </row>
    <row r="21" spans="1:20" ht="20.100000000000001" customHeight="1" x14ac:dyDescent="0.25">
      <c r="A21" s="75">
        <v>14</v>
      </c>
      <c r="B21" s="133">
        <v>43420</v>
      </c>
      <c r="C21" s="135" t="s">
        <v>730</v>
      </c>
      <c r="D21" s="136" t="s">
        <v>2168</v>
      </c>
      <c r="E21" s="78" t="s">
        <v>356</v>
      </c>
      <c r="F21" s="80"/>
      <c r="G21" s="234"/>
      <c r="H21" s="271"/>
      <c r="I21" s="266"/>
      <c r="J21" s="223">
        <v>810000</v>
      </c>
      <c r="K21" s="267"/>
      <c r="L21" s="189"/>
      <c r="M21" s="189"/>
      <c r="N21" s="189"/>
      <c r="O21" s="268">
        <f t="shared" si="1"/>
        <v>810000</v>
      </c>
      <c r="P21" s="269">
        <v>4200000</v>
      </c>
      <c r="Q21" s="270">
        <f t="shared" si="2"/>
        <v>3390000</v>
      </c>
      <c r="R21" s="195"/>
      <c r="S21" s="195"/>
      <c r="T21" s="195"/>
    </row>
    <row r="22" spans="1:20" ht="20.100000000000001" customHeight="1" x14ac:dyDescent="0.25">
      <c r="A22" s="75">
        <v>15</v>
      </c>
      <c r="B22" s="133">
        <v>43421</v>
      </c>
      <c r="C22" s="135" t="s">
        <v>2146</v>
      </c>
      <c r="D22" s="136" t="s">
        <v>2169</v>
      </c>
      <c r="E22" s="78" t="s">
        <v>215</v>
      </c>
      <c r="F22" s="80"/>
      <c r="G22" s="234">
        <v>320</v>
      </c>
      <c r="H22" s="271">
        <f t="shared" si="3"/>
        <v>5932800</v>
      </c>
      <c r="I22" s="266"/>
      <c r="J22" s="223">
        <v>970000</v>
      </c>
      <c r="K22" s="267"/>
      <c r="L22" s="189"/>
      <c r="M22" s="189"/>
      <c r="N22" s="189"/>
      <c r="O22" s="268">
        <f t="shared" si="1"/>
        <v>6902800</v>
      </c>
      <c r="P22" s="269">
        <v>4000000</v>
      </c>
      <c r="Q22" s="270">
        <f t="shared" si="2"/>
        <v>-2902800</v>
      </c>
      <c r="R22" s="195"/>
      <c r="S22" s="195"/>
      <c r="T22" s="195"/>
    </row>
    <row r="23" spans="1:20" ht="20.100000000000001" customHeight="1" x14ac:dyDescent="0.25">
      <c r="A23" s="75">
        <v>16</v>
      </c>
      <c r="B23" s="133">
        <v>43423</v>
      </c>
      <c r="C23" s="135" t="s">
        <v>2147</v>
      </c>
      <c r="D23" s="136" t="s">
        <v>2170</v>
      </c>
      <c r="E23" s="78" t="s">
        <v>215</v>
      </c>
      <c r="F23" s="80"/>
      <c r="G23" s="234"/>
      <c r="H23" s="271"/>
      <c r="I23" s="266"/>
      <c r="J23" s="223">
        <v>970000</v>
      </c>
      <c r="K23" s="267"/>
      <c r="L23" s="189"/>
      <c r="M23" s="189"/>
      <c r="N23" s="189"/>
      <c r="O23" s="268">
        <f t="shared" si="1"/>
        <v>970000</v>
      </c>
      <c r="P23" s="269">
        <v>4000000</v>
      </c>
      <c r="Q23" s="270">
        <f t="shared" si="2"/>
        <v>3030000</v>
      </c>
      <c r="R23" s="195"/>
      <c r="S23" s="195"/>
      <c r="T23" s="195"/>
    </row>
    <row r="24" spans="1:20" ht="20.100000000000001" customHeight="1" x14ac:dyDescent="0.25">
      <c r="A24" s="75">
        <v>17</v>
      </c>
      <c r="B24" s="133">
        <v>43424</v>
      </c>
      <c r="C24" s="135" t="s">
        <v>2148</v>
      </c>
      <c r="D24" s="136" t="s">
        <v>2171</v>
      </c>
      <c r="E24" s="78" t="s">
        <v>29</v>
      </c>
      <c r="F24" s="80"/>
      <c r="G24" s="234">
        <v>200</v>
      </c>
      <c r="H24" s="271">
        <f t="shared" si="3"/>
        <v>3708000</v>
      </c>
      <c r="I24" s="266"/>
      <c r="J24" s="223">
        <v>970000</v>
      </c>
      <c r="K24" s="267"/>
      <c r="L24" s="189"/>
      <c r="M24" s="189"/>
      <c r="N24" s="189"/>
      <c r="O24" s="268">
        <f t="shared" si="1"/>
        <v>4678000</v>
      </c>
      <c r="P24" s="269">
        <v>4327273</v>
      </c>
      <c r="Q24" s="270">
        <f t="shared" si="2"/>
        <v>-350727</v>
      </c>
      <c r="R24" s="195"/>
      <c r="S24" s="195"/>
      <c r="T24" s="195"/>
    </row>
    <row r="25" spans="1:20" ht="20.100000000000001" customHeight="1" x14ac:dyDescent="0.25">
      <c r="A25" s="75">
        <v>18</v>
      </c>
      <c r="B25" s="133">
        <v>43425</v>
      </c>
      <c r="C25" s="135" t="s">
        <v>2149</v>
      </c>
      <c r="D25" s="136" t="s">
        <v>2172</v>
      </c>
      <c r="E25" s="78" t="s">
        <v>24</v>
      </c>
      <c r="F25" s="80"/>
      <c r="G25" s="234"/>
      <c r="H25" s="271"/>
      <c r="I25" s="266"/>
      <c r="J25" s="223">
        <v>1710000</v>
      </c>
      <c r="K25" s="267"/>
      <c r="L25" s="189"/>
      <c r="M25" s="189"/>
      <c r="N25" s="189"/>
      <c r="O25" s="268">
        <f t="shared" si="1"/>
        <v>1710000</v>
      </c>
      <c r="P25" s="269">
        <v>8000000</v>
      </c>
      <c r="Q25" s="270">
        <f t="shared" si="2"/>
        <v>6290000</v>
      </c>
      <c r="R25" s="195"/>
      <c r="S25" s="195"/>
      <c r="T25" s="195"/>
    </row>
    <row r="26" spans="1:20" ht="20.100000000000001" customHeight="1" x14ac:dyDescent="0.25">
      <c r="A26" s="75">
        <v>19</v>
      </c>
      <c r="B26" s="133">
        <v>43426</v>
      </c>
      <c r="C26" s="135" t="s">
        <v>2150</v>
      </c>
      <c r="D26" s="136" t="s">
        <v>2173</v>
      </c>
      <c r="E26" s="78" t="s">
        <v>2007</v>
      </c>
      <c r="F26" s="80"/>
      <c r="G26" s="234">
        <v>300</v>
      </c>
      <c r="H26" s="271">
        <f>G26*17630</f>
        <v>5289000</v>
      </c>
      <c r="I26" s="266"/>
      <c r="J26" s="223">
        <v>790000</v>
      </c>
      <c r="K26" s="267"/>
      <c r="L26" s="189"/>
      <c r="M26" s="189"/>
      <c r="N26" s="189"/>
      <c r="O26" s="268">
        <f t="shared" si="1"/>
        <v>6079000</v>
      </c>
      <c r="P26" s="269">
        <v>3500000</v>
      </c>
      <c r="Q26" s="270">
        <f t="shared" si="2"/>
        <v>-2579000</v>
      </c>
      <c r="R26" s="195"/>
      <c r="S26" s="195"/>
      <c r="T26" s="195"/>
    </row>
    <row r="27" spans="1:20" ht="20.100000000000001" customHeight="1" x14ac:dyDescent="0.25">
      <c r="A27" s="75">
        <v>20</v>
      </c>
      <c r="B27" s="133">
        <v>43427</v>
      </c>
      <c r="C27" s="135" t="s">
        <v>2151</v>
      </c>
      <c r="D27" s="136" t="s">
        <v>2174</v>
      </c>
      <c r="E27" s="78" t="s">
        <v>88</v>
      </c>
      <c r="F27" s="80"/>
      <c r="G27" s="234"/>
      <c r="H27" s="271"/>
      <c r="I27" s="266"/>
      <c r="J27" s="223">
        <v>430000</v>
      </c>
      <c r="K27" s="267"/>
      <c r="L27" s="189"/>
      <c r="M27" s="189"/>
      <c r="N27" s="189"/>
      <c r="O27" s="268">
        <f t="shared" si="1"/>
        <v>430000</v>
      </c>
      <c r="P27" s="269">
        <v>3800000</v>
      </c>
      <c r="Q27" s="270">
        <f t="shared" si="2"/>
        <v>3370000</v>
      </c>
      <c r="R27" s="195"/>
      <c r="S27" s="195"/>
      <c r="T27" s="195"/>
    </row>
    <row r="28" spans="1:20" ht="20.100000000000001" customHeight="1" x14ac:dyDescent="0.25">
      <c r="A28" s="75">
        <v>21</v>
      </c>
      <c r="B28" s="133">
        <v>43428</v>
      </c>
      <c r="C28" s="135" t="s">
        <v>2152</v>
      </c>
      <c r="D28" s="136" t="s">
        <v>2175</v>
      </c>
      <c r="E28" s="78" t="s">
        <v>88</v>
      </c>
      <c r="F28" s="80"/>
      <c r="G28" s="234">
        <v>200</v>
      </c>
      <c r="H28" s="271">
        <f t="shared" ref="H28:H32" si="4">G28*17630</f>
        <v>3526000</v>
      </c>
      <c r="I28" s="266"/>
      <c r="J28" s="223">
        <v>430000</v>
      </c>
      <c r="K28" s="267"/>
      <c r="L28" s="189"/>
      <c r="M28" s="189"/>
      <c r="N28" s="189"/>
      <c r="O28" s="268">
        <f t="shared" si="1"/>
        <v>3956000</v>
      </c>
      <c r="P28" s="269">
        <v>3800000</v>
      </c>
      <c r="Q28" s="270">
        <f t="shared" si="2"/>
        <v>-156000</v>
      </c>
      <c r="R28" s="195"/>
      <c r="S28" s="195"/>
      <c r="T28" s="195"/>
    </row>
    <row r="29" spans="1:20" ht="20.100000000000001" customHeight="1" x14ac:dyDescent="0.25">
      <c r="A29" s="75">
        <v>22</v>
      </c>
      <c r="B29" s="133">
        <v>43430</v>
      </c>
      <c r="C29" s="135" t="s">
        <v>739</v>
      </c>
      <c r="D29" s="136" t="s">
        <v>2176</v>
      </c>
      <c r="E29" s="78" t="s">
        <v>2184</v>
      </c>
      <c r="F29" s="80"/>
      <c r="G29" s="234"/>
      <c r="H29" s="271"/>
      <c r="I29" s="266"/>
      <c r="J29" s="223">
        <v>970000</v>
      </c>
      <c r="K29" s="267"/>
      <c r="L29" s="189"/>
      <c r="M29" s="189"/>
      <c r="N29" s="189"/>
      <c r="O29" s="268">
        <f t="shared" si="1"/>
        <v>970000</v>
      </c>
      <c r="P29" s="272">
        <v>3663636</v>
      </c>
      <c r="Q29" s="270">
        <f t="shared" si="2"/>
        <v>2693636</v>
      </c>
      <c r="R29" s="195"/>
      <c r="S29" s="195"/>
      <c r="T29" s="195"/>
    </row>
    <row r="30" spans="1:20" ht="20.100000000000001" customHeight="1" x14ac:dyDescent="0.25">
      <c r="A30" s="75">
        <v>23</v>
      </c>
      <c r="B30" s="133">
        <v>43431</v>
      </c>
      <c r="C30" s="138" t="s">
        <v>2153</v>
      </c>
      <c r="D30" s="139" t="s">
        <v>2177</v>
      </c>
      <c r="E30" s="78" t="s">
        <v>2185</v>
      </c>
      <c r="F30" s="110"/>
      <c r="G30" s="273"/>
      <c r="H30" s="271"/>
      <c r="I30" s="266"/>
      <c r="J30" s="301">
        <v>1360000</v>
      </c>
      <c r="K30" s="267"/>
      <c r="L30" s="189"/>
      <c r="M30" s="194"/>
      <c r="N30" s="194"/>
      <c r="O30" s="268">
        <f t="shared" si="1"/>
        <v>1360000</v>
      </c>
      <c r="P30" s="274">
        <v>8909091</v>
      </c>
      <c r="Q30" s="270">
        <f t="shared" si="2"/>
        <v>7549091</v>
      </c>
      <c r="R30" s="195"/>
      <c r="S30" s="195"/>
      <c r="T30" s="195"/>
    </row>
    <row r="31" spans="1:20" ht="20.100000000000001" customHeight="1" x14ac:dyDescent="0.25">
      <c r="A31" s="75">
        <v>24</v>
      </c>
      <c r="B31" s="133">
        <v>43432</v>
      </c>
      <c r="C31" s="138" t="s">
        <v>2154</v>
      </c>
      <c r="D31" s="139" t="s">
        <v>2178</v>
      </c>
      <c r="E31" s="78" t="s">
        <v>356</v>
      </c>
      <c r="F31" s="110"/>
      <c r="G31" s="273">
        <v>310</v>
      </c>
      <c r="H31" s="271">
        <f t="shared" si="4"/>
        <v>5465300</v>
      </c>
      <c r="I31" s="266"/>
      <c r="J31" s="301">
        <v>810000</v>
      </c>
      <c r="K31" s="267"/>
      <c r="L31" s="189"/>
      <c r="M31" s="194"/>
      <c r="N31" s="194"/>
      <c r="O31" s="268">
        <f t="shared" si="1"/>
        <v>6275300</v>
      </c>
      <c r="P31" s="274">
        <v>4200000</v>
      </c>
      <c r="Q31" s="270">
        <f t="shared" si="2"/>
        <v>-2075300</v>
      </c>
      <c r="R31" s="195"/>
      <c r="S31" s="195"/>
      <c r="T31" s="195"/>
    </row>
    <row r="32" spans="1:20" ht="20.100000000000001" customHeight="1" x14ac:dyDescent="0.25">
      <c r="A32" s="75">
        <v>25</v>
      </c>
      <c r="B32" s="133">
        <v>43433</v>
      </c>
      <c r="C32" s="138" t="s">
        <v>2155</v>
      </c>
      <c r="D32" s="139" t="s">
        <v>2179</v>
      </c>
      <c r="E32" s="78" t="s">
        <v>21</v>
      </c>
      <c r="F32" s="110"/>
      <c r="G32" s="273">
        <v>100</v>
      </c>
      <c r="H32" s="271">
        <f t="shared" si="4"/>
        <v>1763000</v>
      </c>
      <c r="I32" s="266"/>
      <c r="J32" s="301">
        <v>2380000</v>
      </c>
      <c r="K32" s="267"/>
      <c r="L32" s="189"/>
      <c r="M32" s="194"/>
      <c r="N32" s="194"/>
      <c r="O32" s="268">
        <f t="shared" si="1"/>
        <v>4143000</v>
      </c>
      <c r="P32" s="274">
        <v>12090909</v>
      </c>
      <c r="Q32" s="270">
        <f t="shared" si="2"/>
        <v>7947909</v>
      </c>
      <c r="R32" s="195"/>
      <c r="S32" s="195"/>
      <c r="T32" s="195"/>
    </row>
    <row r="33" spans="1:20" ht="20.100000000000001" customHeight="1" x14ac:dyDescent="0.25">
      <c r="A33" s="75">
        <v>26</v>
      </c>
      <c r="B33" s="133">
        <v>43434</v>
      </c>
      <c r="C33" s="138" t="s">
        <v>2156</v>
      </c>
      <c r="D33" s="139" t="s">
        <v>2180</v>
      </c>
      <c r="E33" s="78" t="s">
        <v>2007</v>
      </c>
      <c r="F33" s="110"/>
      <c r="G33" s="298">
        <v>245</v>
      </c>
      <c r="H33" s="299">
        <f>G33*17630</f>
        <v>4319350</v>
      </c>
      <c r="I33" s="266"/>
      <c r="J33" s="301">
        <v>790000</v>
      </c>
      <c r="K33" s="267"/>
      <c r="L33" s="189"/>
      <c r="M33" s="194"/>
      <c r="N33" s="194"/>
      <c r="O33" s="268">
        <f t="shared" si="1"/>
        <v>5109350</v>
      </c>
      <c r="P33" s="274">
        <v>3500000</v>
      </c>
      <c r="Q33" s="270">
        <f t="shared" si="2"/>
        <v>-1609350</v>
      </c>
      <c r="R33" s="195"/>
      <c r="S33" s="195"/>
      <c r="T33" s="195"/>
    </row>
    <row r="34" spans="1:20" ht="20.100000000000001" customHeight="1" x14ac:dyDescent="0.25">
      <c r="A34" s="75"/>
      <c r="B34" s="133"/>
      <c r="C34" s="138"/>
      <c r="D34" s="139"/>
      <c r="E34" s="78"/>
      <c r="F34" s="110"/>
      <c r="G34" s="298">
        <v>95</v>
      </c>
      <c r="H34" s="299">
        <f>G34*17630</f>
        <v>1674850</v>
      </c>
      <c r="I34" s="266"/>
      <c r="J34" s="194"/>
      <c r="K34" s="267"/>
      <c r="L34" s="189"/>
      <c r="M34" s="194"/>
      <c r="N34" s="194"/>
      <c r="O34" s="268">
        <f t="shared" si="1"/>
        <v>1674850</v>
      </c>
      <c r="P34" s="274"/>
      <c r="Q34" s="270">
        <f t="shared" si="2"/>
        <v>-1674850</v>
      </c>
      <c r="R34" s="195"/>
      <c r="S34" s="195"/>
      <c r="T34" s="195"/>
    </row>
    <row r="35" spans="1:20" ht="39.75" customHeight="1" x14ac:dyDescent="0.25">
      <c r="A35" s="75"/>
      <c r="B35" s="133"/>
      <c r="C35" s="170" t="s">
        <v>2186</v>
      </c>
      <c r="D35" s="247"/>
      <c r="E35" s="85"/>
      <c r="F35" s="248"/>
      <c r="G35" s="275"/>
      <c r="H35" s="276"/>
      <c r="I35" s="277"/>
      <c r="J35" s="278"/>
      <c r="K35" s="267"/>
      <c r="L35" s="302">
        <v>1760000</v>
      </c>
      <c r="M35" s="278"/>
      <c r="N35" s="278"/>
      <c r="O35" s="268">
        <f t="shared" si="1"/>
        <v>1760000</v>
      </c>
      <c r="P35" s="279"/>
      <c r="Q35" s="270">
        <f t="shared" si="2"/>
        <v>-1760000</v>
      </c>
      <c r="R35" s="252"/>
      <c r="S35" s="195"/>
      <c r="T35" s="195"/>
    </row>
    <row r="36" spans="1:20" ht="39.75" customHeight="1" x14ac:dyDescent="0.25">
      <c r="A36" s="75"/>
      <c r="B36" s="133"/>
      <c r="C36" s="170" t="s">
        <v>2187</v>
      </c>
      <c r="D36" s="247"/>
      <c r="E36" s="85"/>
      <c r="F36" s="248"/>
      <c r="G36" s="275"/>
      <c r="H36" s="276"/>
      <c r="I36" s="277"/>
      <c r="J36" s="278"/>
      <c r="K36" s="267"/>
      <c r="L36" s="267"/>
      <c r="M36" s="278"/>
      <c r="N36" s="303">
        <f>11700000/4</f>
        <v>2925000</v>
      </c>
      <c r="O36" s="268">
        <f t="shared" si="1"/>
        <v>2925000</v>
      </c>
      <c r="P36" s="279"/>
      <c r="Q36" s="270">
        <f t="shared" si="2"/>
        <v>-2925000</v>
      </c>
      <c r="R36" s="252"/>
      <c r="S36" s="195"/>
      <c r="T36" s="195"/>
    </row>
    <row r="37" spans="1:20" ht="39.75" customHeight="1" x14ac:dyDescent="0.25">
      <c r="A37" s="75"/>
      <c r="B37" s="133"/>
      <c r="C37" s="170" t="s">
        <v>2188</v>
      </c>
      <c r="D37" s="247"/>
      <c r="E37" s="85"/>
      <c r="F37" s="248"/>
      <c r="G37" s="275"/>
      <c r="H37" s="276"/>
      <c r="I37" s="277"/>
      <c r="J37" s="278"/>
      <c r="K37" s="267"/>
      <c r="L37" s="302">
        <v>350000</v>
      </c>
      <c r="M37" s="278"/>
      <c r="N37" s="278"/>
      <c r="O37" s="268">
        <f t="shared" si="1"/>
        <v>350000</v>
      </c>
      <c r="P37" s="279"/>
      <c r="Q37" s="270">
        <f t="shared" si="2"/>
        <v>-350000</v>
      </c>
      <c r="R37" s="252"/>
      <c r="S37" s="195"/>
      <c r="T37" s="195"/>
    </row>
    <row r="38" spans="1:20" ht="39.75" customHeight="1" x14ac:dyDescent="0.25">
      <c r="A38" s="75"/>
      <c r="B38" s="133"/>
      <c r="C38" s="170" t="s">
        <v>2189</v>
      </c>
      <c r="D38" s="247"/>
      <c r="E38" s="85"/>
      <c r="F38" s="248"/>
      <c r="G38" s="275"/>
      <c r="H38" s="276"/>
      <c r="I38" s="277"/>
      <c r="J38" s="278"/>
      <c r="K38" s="267"/>
      <c r="L38" s="302">
        <v>2000000</v>
      </c>
      <c r="M38" s="278"/>
      <c r="N38" s="278"/>
      <c r="O38" s="268">
        <f t="shared" si="1"/>
        <v>2000000</v>
      </c>
      <c r="P38" s="279"/>
      <c r="Q38" s="270">
        <f t="shared" si="2"/>
        <v>-2000000</v>
      </c>
      <c r="R38" s="252"/>
      <c r="S38" s="195"/>
      <c r="T38" s="195"/>
    </row>
    <row r="39" spans="1:20" ht="39.75" customHeight="1" x14ac:dyDescent="0.25">
      <c r="A39" s="75"/>
      <c r="B39" s="133"/>
      <c r="C39" s="170" t="s">
        <v>1725</v>
      </c>
      <c r="D39" s="247"/>
      <c r="E39" s="85"/>
      <c r="F39" s="248"/>
      <c r="G39" s="275"/>
      <c r="H39" s="276"/>
      <c r="I39" s="277"/>
      <c r="J39" s="278"/>
      <c r="K39" s="267"/>
      <c r="L39" s="302">
        <v>850000</v>
      </c>
      <c r="M39" s="278"/>
      <c r="N39" s="278"/>
      <c r="O39" s="268">
        <f t="shared" si="1"/>
        <v>850000</v>
      </c>
      <c r="P39" s="279"/>
      <c r="Q39" s="270">
        <f t="shared" si="2"/>
        <v>-850000</v>
      </c>
      <c r="R39" s="252"/>
      <c r="S39" s="195"/>
      <c r="T39" s="195"/>
    </row>
    <row r="40" spans="1:20" ht="39.75" customHeight="1" x14ac:dyDescent="0.25">
      <c r="A40" s="75"/>
      <c r="B40" s="133"/>
      <c r="C40" s="170" t="s">
        <v>2190</v>
      </c>
      <c r="D40" s="247"/>
      <c r="E40" s="85"/>
      <c r="F40" s="248"/>
      <c r="G40" s="275"/>
      <c r="H40" s="276"/>
      <c r="I40" s="277"/>
      <c r="J40" s="278"/>
      <c r="K40" s="267"/>
      <c r="L40" s="302">
        <v>4000000</v>
      </c>
      <c r="M40" s="278"/>
      <c r="N40" s="278"/>
      <c r="O40" s="268">
        <f t="shared" si="1"/>
        <v>4000000</v>
      </c>
      <c r="P40" s="279"/>
      <c r="Q40" s="270">
        <f t="shared" si="2"/>
        <v>-4000000</v>
      </c>
      <c r="R40" s="252"/>
      <c r="S40" s="195"/>
      <c r="T40" s="195"/>
    </row>
    <row r="41" spans="1:20" ht="39.75" customHeight="1" x14ac:dyDescent="0.25">
      <c r="A41" s="75"/>
      <c r="B41" s="133"/>
      <c r="C41" s="170" t="s">
        <v>2191</v>
      </c>
      <c r="D41" s="247"/>
      <c r="E41" s="85"/>
      <c r="F41" s="248"/>
      <c r="G41" s="275"/>
      <c r="H41" s="276"/>
      <c r="I41" s="277"/>
      <c r="J41" s="278"/>
      <c r="K41" s="267"/>
      <c r="L41" s="302">
        <v>170000</v>
      </c>
      <c r="M41" s="278"/>
      <c r="N41" s="278"/>
      <c r="O41" s="268">
        <f t="shared" si="1"/>
        <v>170000</v>
      </c>
      <c r="P41" s="279"/>
      <c r="Q41" s="270">
        <f t="shared" si="2"/>
        <v>-170000</v>
      </c>
      <c r="R41" s="252"/>
      <c r="S41" s="195"/>
      <c r="T41" s="195"/>
    </row>
    <row r="42" spans="1:20" ht="27" customHeight="1" x14ac:dyDescent="0.25">
      <c r="A42" s="75"/>
      <c r="B42" s="133"/>
      <c r="C42" s="183" t="s">
        <v>2192</v>
      </c>
      <c r="D42" s="162"/>
      <c r="E42" s="153"/>
      <c r="F42" s="163"/>
      <c r="G42" s="194"/>
      <c r="H42" s="234"/>
      <c r="I42" s="280"/>
      <c r="J42" s="194"/>
      <c r="K42" s="267"/>
      <c r="L42" s="223">
        <v>150000</v>
      </c>
      <c r="M42" s="194"/>
      <c r="N42" s="194"/>
      <c r="O42" s="268">
        <f t="shared" si="1"/>
        <v>150000</v>
      </c>
      <c r="P42" s="264"/>
      <c r="Q42" s="270">
        <f t="shared" si="2"/>
        <v>-150000</v>
      </c>
    </row>
    <row r="43" spans="1:20" ht="18" customHeight="1" x14ac:dyDescent="0.25">
      <c r="A43" s="75"/>
      <c r="B43" s="133"/>
      <c r="C43" s="170" t="s">
        <v>1273</v>
      </c>
      <c r="D43" s="162"/>
      <c r="E43" s="153"/>
      <c r="F43" s="163"/>
      <c r="G43" s="281"/>
      <c r="H43" s="282"/>
      <c r="I43" s="280"/>
      <c r="J43" s="194"/>
      <c r="K43" s="267"/>
      <c r="L43" s="189">
        <v>1320000</v>
      </c>
      <c r="M43" s="194"/>
      <c r="N43" s="194"/>
      <c r="O43" s="268">
        <f t="shared" si="1"/>
        <v>1320000</v>
      </c>
      <c r="P43" s="264"/>
      <c r="Q43" s="270">
        <f t="shared" si="2"/>
        <v>-1320000</v>
      </c>
    </row>
    <row r="44" spans="1:20" ht="18" customHeight="1" x14ac:dyDescent="0.25">
      <c r="A44" s="134"/>
      <c r="B44" s="70"/>
      <c r="C44" s="108" t="s">
        <v>1386</v>
      </c>
      <c r="D44" s="87"/>
      <c r="E44" s="70"/>
      <c r="F44" s="110"/>
      <c r="G44" s="281"/>
      <c r="H44" s="282"/>
      <c r="I44" s="280"/>
      <c r="J44" s="194"/>
      <c r="K44" s="283">
        <v>10384615</v>
      </c>
      <c r="L44" s="284"/>
      <c r="M44" s="194"/>
      <c r="N44" s="194"/>
      <c r="O44" s="268">
        <f t="shared" si="1"/>
        <v>10384615</v>
      </c>
      <c r="P44" s="265"/>
      <c r="Q44" s="270">
        <f t="shared" si="2"/>
        <v>-10384615</v>
      </c>
    </row>
    <row r="45" spans="1:20" ht="18" customHeight="1" x14ac:dyDescent="0.25">
      <c r="A45" s="213"/>
      <c r="B45" s="214"/>
      <c r="C45" s="215"/>
      <c r="D45" s="216"/>
      <c r="E45" s="214"/>
      <c r="F45" s="217"/>
      <c r="G45" s="285"/>
      <c r="H45" s="286"/>
      <c r="I45" s="287"/>
      <c r="J45" s="288"/>
      <c r="K45" s="289"/>
      <c r="L45" s="290"/>
      <c r="M45" s="288"/>
      <c r="N45" s="288"/>
      <c r="O45" s="268">
        <f t="shared" si="1"/>
        <v>0</v>
      </c>
      <c r="P45" s="285"/>
      <c r="Q45" s="270">
        <f t="shared" si="2"/>
        <v>0</v>
      </c>
    </row>
    <row r="46" spans="1:20" x14ac:dyDescent="0.25">
      <c r="A46" s="547" t="s">
        <v>19</v>
      </c>
      <c r="B46" s="548"/>
      <c r="C46" s="548"/>
      <c r="D46" s="548"/>
      <c r="E46" s="548"/>
      <c r="F46" s="549"/>
      <c r="G46" s="300">
        <f>SUM(G8:G45)</f>
        <v>3570</v>
      </c>
      <c r="H46" s="291">
        <f>SUM(H7:H44)</f>
        <v>65084600</v>
      </c>
      <c r="I46" s="291">
        <f>SUM(I7:I44)</f>
        <v>0</v>
      </c>
      <c r="J46" s="291">
        <f>SUM(J7:J44)</f>
        <v>31860000</v>
      </c>
      <c r="K46" s="291">
        <f>SUM(K7:K45)</f>
        <v>10384615</v>
      </c>
      <c r="L46" s="291">
        <f>SUM(L7:L45)</f>
        <v>10600000</v>
      </c>
      <c r="M46" s="291">
        <f>SUM(M7:M44)</f>
        <v>0</v>
      </c>
      <c r="N46" s="291">
        <f>SUM(N7:N44)</f>
        <v>2925000</v>
      </c>
      <c r="O46" s="291">
        <f>SUM(O7:O45)</f>
        <v>120854215</v>
      </c>
      <c r="P46" s="297">
        <f>SUM(P7:P44)</f>
        <v>156654546</v>
      </c>
      <c r="Q46" s="297">
        <f>SUM(Q7:Q45)</f>
        <v>35800331</v>
      </c>
      <c r="R46" s="195"/>
      <c r="S46" s="195"/>
    </row>
    <row r="47" spans="1:20" x14ac:dyDescent="0.25">
      <c r="P47" s="294"/>
      <c r="Q47" s="295">
        <f>P46-O46</f>
        <v>35800331</v>
      </c>
    </row>
    <row r="48" spans="1:20" x14ac:dyDescent="0.25">
      <c r="H48" s="294"/>
      <c r="P48" s="296" t="s">
        <v>1225</v>
      </c>
      <c r="Q48" s="304">
        <f>'10-2018'!Q53+'11.2018'!Q46</f>
        <v>358379983.84615386</v>
      </c>
    </row>
    <row r="49" spans="17:18" x14ac:dyDescent="0.25">
      <c r="Q49" s="294"/>
    </row>
    <row r="50" spans="17:18" x14ac:dyDescent="0.25">
      <c r="R50" s="195"/>
    </row>
  </sheetData>
  <mergeCells count="5">
    <mergeCell ref="A1:Q1"/>
    <mergeCell ref="A2:Q2"/>
    <mergeCell ref="A3:Q3"/>
    <mergeCell ref="G5:N5"/>
    <mergeCell ref="A46:F46"/>
  </mergeCells>
  <pageMargins left="0.7" right="0.7" top="0.75" bottom="0.75" header="0.3" footer="0.3"/>
  <pageSetup paperSize="9" orientation="portrait" horizontalDpi="0" verticalDpi="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T50"/>
  <sheetViews>
    <sheetView topLeftCell="D39" workbookViewId="0">
      <selection activeCell="Q47" sqref="Q47"/>
    </sheetView>
  </sheetViews>
  <sheetFormatPr defaultRowHeight="15" x14ac:dyDescent="0.25"/>
  <cols>
    <col min="1" max="1" width="4.5703125" customWidth="1"/>
    <col min="3" max="3" width="41.28515625" customWidth="1"/>
    <col min="4" max="4" width="16.5703125" customWidth="1"/>
    <col min="5" max="5" width="33.140625" customWidth="1"/>
    <col min="7" max="7" width="9.140625" style="292"/>
    <col min="8" max="8" width="10.140625" style="292" bestFit="1" customWidth="1"/>
    <col min="9" max="9" width="9.140625" style="293"/>
    <col min="10" max="14" width="9.140625" style="292"/>
    <col min="15" max="15" width="11.140625" style="292" customWidth="1"/>
    <col min="16" max="16" width="10.7109375" style="292" customWidth="1"/>
    <col min="17" max="17" width="12.28515625" style="292" customWidth="1"/>
    <col min="18" max="18" width="11.7109375" customWidth="1"/>
    <col min="19" max="19" width="18"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2193</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257"/>
      <c r="H4" s="258"/>
      <c r="I4" s="258"/>
      <c r="J4" s="258"/>
      <c r="K4" s="258"/>
      <c r="L4" s="258"/>
      <c r="M4" s="258"/>
      <c r="N4" s="258"/>
      <c r="O4" s="258"/>
      <c r="P4" s="258"/>
      <c r="Q4" s="258"/>
    </row>
    <row r="5" spans="1:20"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20" x14ac:dyDescent="0.25">
      <c r="A6" s="179"/>
      <c r="B6" s="180"/>
      <c r="C6" s="179"/>
      <c r="D6" s="179"/>
      <c r="E6" s="175"/>
      <c r="F6" s="175"/>
      <c r="G6" s="260" t="s">
        <v>7</v>
      </c>
      <c r="H6" s="261" t="s">
        <v>15</v>
      </c>
      <c r="I6" s="261" t="s">
        <v>16</v>
      </c>
      <c r="J6" s="261" t="s">
        <v>8</v>
      </c>
      <c r="K6" s="261" t="s">
        <v>9</v>
      </c>
      <c r="L6" s="261" t="s">
        <v>10</v>
      </c>
      <c r="M6" s="261" t="s">
        <v>11</v>
      </c>
      <c r="N6" s="261" t="s">
        <v>12</v>
      </c>
      <c r="O6" s="262"/>
      <c r="P6" s="262"/>
      <c r="Q6" s="262"/>
    </row>
    <row r="7" spans="1:20" x14ac:dyDescent="0.25">
      <c r="A7" s="75"/>
      <c r="B7" s="100"/>
      <c r="C7" s="88"/>
      <c r="D7" s="88"/>
      <c r="E7" s="134"/>
      <c r="F7" s="75"/>
      <c r="G7" s="263"/>
      <c r="H7" s="264"/>
      <c r="I7" s="264"/>
      <c r="J7" s="264"/>
      <c r="K7" s="264"/>
      <c r="L7" s="264"/>
      <c r="M7" s="264"/>
      <c r="N7" s="264"/>
      <c r="O7" s="264">
        <f>H7+J7+K7+L7+M7+N7</f>
        <v>0</v>
      </c>
      <c r="P7" s="265"/>
      <c r="Q7" s="264">
        <f>P7-O7</f>
        <v>0</v>
      </c>
    </row>
    <row r="8" spans="1:20" ht="20.100000000000001" customHeight="1" x14ac:dyDescent="0.25">
      <c r="A8" s="75">
        <v>1</v>
      </c>
      <c r="B8" s="133">
        <v>43435</v>
      </c>
      <c r="C8" s="135" t="s">
        <v>2194</v>
      </c>
      <c r="D8" s="136" t="s">
        <v>2214</v>
      </c>
      <c r="E8" s="78" t="s">
        <v>562</v>
      </c>
      <c r="F8" s="80"/>
      <c r="G8" s="234"/>
      <c r="H8" s="234"/>
      <c r="I8" s="266"/>
      <c r="J8" s="263">
        <v>2380000</v>
      </c>
      <c r="K8" s="267"/>
      <c r="L8" s="189"/>
      <c r="M8" s="189"/>
      <c r="N8" s="189"/>
      <c r="O8" s="268">
        <f>H8+J8+K8+L8+M8+N8</f>
        <v>2380000</v>
      </c>
      <c r="P8" s="272">
        <v>14090909</v>
      </c>
      <c r="Q8" s="270">
        <f>P8-O8</f>
        <v>11710909</v>
      </c>
      <c r="R8" s="195"/>
      <c r="S8" s="195"/>
      <c r="T8" s="195"/>
    </row>
    <row r="9" spans="1:20" ht="20.100000000000001" customHeight="1" x14ac:dyDescent="0.25">
      <c r="A9" s="75">
        <v>2</v>
      </c>
      <c r="B9" s="133">
        <v>43437</v>
      </c>
      <c r="C9" s="135" t="s">
        <v>2195</v>
      </c>
      <c r="D9" s="172" t="s">
        <v>2215</v>
      </c>
      <c r="E9" s="78" t="s">
        <v>2240</v>
      </c>
      <c r="F9" s="80"/>
      <c r="G9" s="234">
        <v>230</v>
      </c>
      <c r="H9" s="234">
        <f>G9*17630</f>
        <v>4054900</v>
      </c>
      <c r="I9" s="266"/>
      <c r="J9" s="263">
        <v>790000</v>
      </c>
      <c r="K9" s="267"/>
      <c r="L9" s="189"/>
      <c r="M9" s="189"/>
      <c r="N9" s="189"/>
      <c r="O9" s="268">
        <f t="shared" ref="O9:O45" si="0">H9+J9+K9+L9+M9+N9</f>
        <v>4844900</v>
      </c>
      <c r="P9" s="272">
        <v>3163636</v>
      </c>
      <c r="Q9" s="270">
        <f t="shared" ref="Q9:Q45" si="1">P9-O9</f>
        <v>-1681264</v>
      </c>
      <c r="R9" s="195"/>
      <c r="S9" s="195"/>
      <c r="T9" s="195"/>
    </row>
    <row r="10" spans="1:20" ht="20.100000000000001" customHeight="1" x14ac:dyDescent="0.25">
      <c r="A10" s="75">
        <v>3</v>
      </c>
      <c r="B10" s="133">
        <v>43438</v>
      </c>
      <c r="C10" s="135" t="s">
        <v>1493</v>
      </c>
      <c r="D10" s="136" t="s">
        <v>2216</v>
      </c>
      <c r="E10" s="78" t="s">
        <v>21</v>
      </c>
      <c r="F10" s="80"/>
      <c r="G10" s="234">
        <v>310</v>
      </c>
      <c r="H10" s="234">
        <f>G10*17630</f>
        <v>5465300</v>
      </c>
      <c r="I10" s="266"/>
      <c r="J10" s="263">
        <v>2380000</v>
      </c>
      <c r="K10" s="267"/>
      <c r="L10" s="189"/>
      <c r="M10" s="189"/>
      <c r="N10" s="189"/>
      <c r="O10" s="268">
        <f t="shared" si="0"/>
        <v>7845300</v>
      </c>
      <c r="P10" s="272">
        <v>12090909</v>
      </c>
      <c r="Q10" s="270">
        <f t="shared" si="1"/>
        <v>4245609</v>
      </c>
      <c r="R10" s="195"/>
      <c r="S10" s="195"/>
      <c r="T10" s="195"/>
    </row>
    <row r="11" spans="1:20" ht="20.100000000000001" customHeight="1" x14ac:dyDescent="0.25">
      <c r="A11" s="75">
        <v>4</v>
      </c>
      <c r="B11" s="133">
        <v>43439</v>
      </c>
      <c r="C11" s="135" t="s">
        <v>787</v>
      </c>
      <c r="D11" s="136" t="s">
        <v>2217</v>
      </c>
      <c r="E11" s="78" t="s">
        <v>215</v>
      </c>
      <c r="F11" s="80"/>
      <c r="G11" s="234"/>
      <c r="H11" s="271"/>
      <c r="I11" s="266"/>
      <c r="J11" s="263">
        <v>970000</v>
      </c>
      <c r="K11" s="267"/>
      <c r="L11" s="189"/>
      <c r="M11" s="189"/>
      <c r="N11" s="189"/>
      <c r="O11" s="268">
        <f t="shared" si="0"/>
        <v>970000</v>
      </c>
      <c r="P11" s="272">
        <v>4000000</v>
      </c>
      <c r="Q11" s="270">
        <f t="shared" si="1"/>
        <v>3030000</v>
      </c>
      <c r="R11" s="195"/>
      <c r="S11" s="195"/>
      <c r="T11" s="195"/>
    </row>
    <row r="12" spans="1:20" ht="20.100000000000001" customHeight="1" x14ac:dyDescent="0.25">
      <c r="A12" s="75">
        <v>5</v>
      </c>
      <c r="B12" s="133">
        <v>43440</v>
      </c>
      <c r="C12" s="135" t="s">
        <v>2196</v>
      </c>
      <c r="D12" s="136" t="s">
        <v>2218</v>
      </c>
      <c r="E12" s="78" t="s">
        <v>189</v>
      </c>
      <c r="F12" s="80"/>
      <c r="G12" s="234">
        <v>290</v>
      </c>
      <c r="H12" s="271">
        <f>G12*16250</f>
        <v>4712500</v>
      </c>
      <c r="I12" s="266"/>
      <c r="J12" s="263">
        <v>2250000</v>
      </c>
      <c r="K12" s="267"/>
      <c r="L12" s="189"/>
      <c r="M12" s="189"/>
      <c r="N12" s="189"/>
      <c r="O12" s="268">
        <f t="shared" si="0"/>
        <v>6962500</v>
      </c>
      <c r="P12" s="272">
        <v>10000000</v>
      </c>
      <c r="Q12" s="270">
        <f t="shared" si="1"/>
        <v>3037500</v>
      </c>
      <c r="R12" s="195"/>
      <c r="S12" s="195"/>
      <c r="T12" s="195"/>
    </row>
    <row r="13" spans="1:20" ht="20.100000000000001" customHeight="1" x14ac:dyDescent="0.25">
      <c r="A13" s="75">
        <v>6</v>
      </c>
      <c r="B13" s="133">
        <v>43441</v>
      </c>
      <c r="C13" s="135" t="s">
        <v>2197</v>
      </c>
      <c r="D13" s="136" t="s">
        <v>2219</v>
      </c>
      <c r="E13" s="78" t="s">
        <v>356</v>
      </c>
      <c r="F13" s="80"/>
      <c r="G13" s="234"/>
      <c r="H13" s="271"/>
      <c r="I13" s="266"/>
      <c r="J13" s="263">
        <v>810000</v>
      </c>
      <c r="K13" s="267"/>
      <c r="L13" s="189"/>
      <c r="M13" s="189"/>
      <c r="N13" s="189"/>
      <c r="O13" s="268">
        <f t="shared" si="0"/>
        <v>810000</v>
      </c>
      <c r="P13" s="272">
        <v>4200000</v>
      </c>
      <c r="Q13" s="270">
        <f t="shared" si="1"/>
        <v>3390000</v>
      </c>
      <c r="R13" s="195"/>
      <c r="S13" s="195"/>
      <c r="T13" s="195"/>
    </row>
    <row r="14" spans="1:20" ht="20.100000000000001" customHeight="1" x14ac:dyDescent="0.25">
      <c r="A14" s="75">
        <v>7</v>
      </c>
      <c r="B14" s="133">
        <v>43442</v>
      </c>
      <c r="C14" s="135" t="s">
        <v>2198</v>
      </c>
      <c r="D14" s="136" t="s">
        <v>2220</v>
      </c>
      <c r="E14" s="78" t="s">
        <v>2241</v>
      </c>
      <c r="F14" s="80"/>
      <c r="G14" s="234">
        <v>230</v>
      </c>
      <c r="H14" s="271">
        <f t="shared" ref="H14:H25" si="2">G14*16250</f>
        <v>3737500</v>
      </c>
      <c r="I14" s="266"/>
      <c r="J14" s="263">
        <f>790000+300000</f>
        <v>1090000</v>
      </c>
      <c r="K14" s="267"/>
      <c r="L14" s="189"/>
      <c r="M14" s="189"/>
      <c r="N14" s="189"/>
      <c r="O14" s="268">
        <f t="shared" si="0"/>
        <v>4827500</v>
      </c>
      <c r="P14" s="272">
        <v>5500000</v>
      </c>
      <c r="Q14" s="270">
        <f t="shared" si="1"/>
        <v>672500</v>
      </c>
      <c r="R14" s="195"/>
      <c r="S14" s="195"/>
      <c r="T14" s="195"/>
    </row>
    <row r="15" spans="1:20" ht="20.100000000000001" customHeight="1" x14ac:dyDescent="0.25">
      <c r="A15" s="75">
        <v>8</v>
      </c>
      <c r="B15" s="133">
        <v>43444</v>
      </c>
      <c r="C15" s="135" t="s">
        <v>2199</v>
      </c>
      <c r="D15" s="136" t="s">
        <v>2221</v>
      </c>
      <c r="E15" s="78" t="s">
        <v>24</v>
      </c>
      <c r="F15" s="80"/>
      <c r="G15" s="234"/>
      <c r="H15" s="271"/>
      <c r="I15" s="266"/>
      <c r="J15" s="263">
        <v>1710000</v>
      </c>
      <c r="K15" s="267"/>
      <c r="L15" s="189"/>
      <c r="M15" s="189"/>
      <c r="N15" s="189"/>
      <c r="O15" s="268">
        <f t="shared" si="0"/>
        <v>1710000</v>
      </c>
      <c r="P15" s="272">
        <v>7500000</v>
      </c>
      <c r="Q15" s="270">
        <f t="shared" si="1"/>
        <v>5790000</v>
      </c>
      <c r="R15" s="195"/>
      <c r="S15" s="195"/>
      <c r="T15" s="195"/>
    </row>
    <row r="16" spans="1:20" ht="20.100000000000001" customHeight="1" x14ac:dyDescent="0.25">
      <c r="A16" s="75">
        <v>9</v>
      </c>
      <c r="B16" s="133">
        <v>43445</v>
      </c>
      <c r="C16" s="135" t="s">
        <v>2200</v>
      </c>
      <c r="D16" s="136" t="s">
        <v>2222</v>
      </c>
      <c r="E16" s="78" t="s">
        <v>2242</v>
      </c>
      <c r="F16" s="80"/>
      <c r="G16" s="234">
        <v>245</v>
      </c>
      <c r="H16" s="271">
        <f t="shared" si="2"/>
        <v>3981250</v>
      </c>
      <c r="I16" s="266"/>
      <c r="J16" s="263">
        <v>430000</v>
      </c>
      <c r="K16" s="267"/>
      <c r="L16" s="189"/>
      <c r="M16" s="189"/>
      <c r="N16" s="189"/>
      <c r="O16" s="268">
        <f t="shared" si="0"/>
        <v>4411250</v>
      </c>
      <c r="P16" s="272">
        <v>2945455</v>
      </c>
      <c r="Q16" s="270">
        <f t="shared" si="1"/>
        <v>-1465795</v>
      </c>
      <c r="R16" s="195"/>
      <c r="S16" s="195"/>
      <c r="T16" s="195"/>
    </row>
    <row r="17" spans="1:20" ht="20.100000000000001" customHeight="1" x14ac:dyDescent="0.25">
      <c r="A17" s="75">
        <v>10</v>
      </c>
      <c r="B17" s="133">
        <v>43445</v>
      </c>
      <c r="C17" s="135" t="s">
        <v>2201</v>
      </c>
      <c r="D17" s="136" t="s">
        <v>2223</v>
      </c>
      <c r="E17" s="78" t="s">
        <v>1621</v>
      </c>
      <c r="F17" s="80"/>
      <c r="G17" s="234"/>
      <c r="H17" s="271"/>
      <c r="I17" s="266"/>
      <c r="J17" s="263">
        <v>790000</v>
      </c>
      <c r="K17" s="267"/>
      <c r="L17" s="189"/>
      <c r="M17" s="189"/>
      <c r="N17" s="189"/>
      <c r="O17" s="268">
        <f t="shared" si="0"/>
        <v>790000</v>
      </c>
      <c r="P17" s="272">
        <v>3790909</v>
      </c>
      <c r="Q17" s="270">
        <f t="shared" si="1"/>
        <v>3000909</v>
      </c>
      <c r="R17" s="195"/>
      <c r="S17" s="195"/>
      <c r="T17" s="195"/>
    </row>
    <row r="18" spans="1:20" ht="20.100000000000001" customHeight="1" x14ac:dyDescent="0.25">
      <c r="A18" s="75">
        <v>11</v>
      </c>
      <c r="B18" s="133">
        <v>43446</v>
      </c>
      <c r="C18" s="135" t="s">
        <v>2202</v>
      </c>
      <c r="D18" s="136" t="s">
        <v>2224</v>
      </c>
      <c r="E18" s="78" t="s">
        <v>215</v>
      </c>
      <c r="F18" s="80"/>
      <c r="G18" s="234"/>
      <c r="H18" s="271"/>
      <c r="I18" s="266"/>
      <c r="J18" s="263">
        <v>970000</v>
      </c>
      <c r="K18" s="267"/>
      <c r="L18" s="189"/>
      <c r="M18" s="189"/>
      <c r="N18" s="189"/>
      <c r="O18" s="268">
        <f t="shared" si="0"/>
        <v>970000</v>
      </c>
      <c r="P18" s="272">
        <v>4000000</v>
      </c>
      <c r="Q18" s="270">
        <f t="shared" si="1"/>
        <v>3030000</v>
      </c>
      <c r="R18" s="195"/>
      <c r="S18" s="195"/>
      <c r="T18" s="195"/>
    </row>
    <row r="19" spans="1:20" ht="20.100000000000001" customHeight="1" x14ac:dyDescent="0.25">
      <c r="A19" s="75">
        <v>12</v>
      </c>
      <c r="B19" s="133">
        <v>43447</v>
      </c>
      <c r="C19" s="135" t="s">
        <v>2203</v>
      </c>
      <c r="D19" s="136" t="s">
        <v>2225</v>
      </c>
      <c r="E19" s="78" t="s">
        <v>88</v>
      </c>
      <c r="F19" s="80"/>
      <c r="G19" s="234">
        <v>280</v>
      </c>
      <c r="H19" s="271">
        <f t="shared" si="2"/>
        <v>4550000</v>
      </c>
      <c r="I19" s="266"/>
      <c r="J19" s="263">
        <v>430000</v>
      </c>
      <c r="K19" s="267"/>
      <c r="L19" s="189"/>
      <c r="M19" s="189"/>
      <c r="N19" s="189"/>
      <c r="O19" s="268">
        <f t="shared" si="0"/>
        <v>4980000</v>
      </c>
      <c r="P19" s="272">
        <v>3800000</v>
      </c>
      <c r="Q19" s="270">
        <f t="shared" si="1"/>
        <v>-1180000</v>
      </c>
      <c r="R19" s="195"/>
      <c r="S19" s="195"/>
      <c r="T19" s="195"/>
    </row>
    <row r="20" spans="1:20" ht="20.100000000000001" customHeight="1" x14ac:dyDescent="0.25">
      <c r="A20" s="75">
        <v>13</v>
      </c>
      <c r="B20" s="133">
        <v>43448</v>
      </c>
      <c r="C20" s="135" t="s">
        <v>2204</v>
      </c>
      <c r="D20" s="136" t="s">
        <v>2226</v>
      </c>
      <c r="E20" s="78" t="s">
        <v>356</v>
      </c>
      <c r="F20" s="80"/>
      <c r="G20" s="234"/>
      <c r="H20" s="271"/>
      <c r="I20" s="266"/>
      <c r="J20" s="263">
        <v>810000</v>
      </c>
      <c r="K20" s="267"/>
      <c r="L20" s="189"/>
      <c r="M20" s="189"/>
      <c r="N20" s="189"/>
      <c r="O20" s="268">
        <f t="shared" si="0"/>
        <v>810000</v>
      </c>
      <c r="P20" s="272">
        <v>4200000</v>
      </c>
      <c r="Q20" s="270">
        <f t="shared" si="1"/>
        <v>3390000</v>
      </c>
      <c r="R20" s="195"/>
      <c r="S20" s="195"/>
      <c r="T20" s="195"/>
    </row>
    <row r="21" spans="1:20" ht="20.100000000000001" customHeight="1" x14ac:dyDescent="0.25">
      <c r="A21" s="75">
        <v>14</v>
      </c>
      <c r="B21" s="133">
        <v>43449</v>
      </c>
      <c r="C21" s="135" t="s">
        <v>1501</v>
      </c>
      <c r="D21" s="136" t="s">
        <v>2227</v>
      </c>
      <c r="E21" s="78" t="s">
        <v>117</v>
      </c>
      <c r="F21" s="80"/>
      <c r="G21" s="234"/>
      <c r="H21" s="271"/>
      <c r="I21" s="266"/>
      <c r="J21" s="263">
        <v>1150000</v>
      </c>
      <c r="K21" s="267"/>
      <c r="L21" s="189"/>
      <c r="M21" s="189"/>
      <c r="N21" s="189"/>
      <c r="O21" s="268">
        <f t="shared" si="0"/>
        <v>1150000</v>
      </c>
      <c r="P21" s="272">
        <v>3600000</v>
      </c>
      <c r="Q21" s="270">
        <f t="shared" si="1"/>
        <v>2450000</v>
      </c>
      <c r="R21" s="195"/>
      <c r="S21" s="195"/>
      <c r="T21" s="195"/>
    </row>
    <row r="22" spans="1:20" ht="20.100000000000001" customHeight="1" x14ac:dyDescent="0.25">
      <c r="A22" s="75">
        <v>15</v>
      </c>
      <c r="B22" s="133">
        <v>43451</v>
      </c>
      <c r="C22" s="135" t="s">
        <v>2205</v>
      </c>
      <c r="D22" s="136" t="s">
        <v>2228</v>
      </c>
      <c r="E22" s="78" t="s">
        <v>2243</v>
      </c>
      <c r="F22" s="80"/>
      <c r="G22" s="234">
        <v>230</v>
      </c>
      <c r="H22" s="271">
        <f t="shared" si="2"/>
        <v>3737500</v>
      </c>
      <c r="I22" s="266"/>
      <c r="J22" s="263">
        <v>790000</v>
      </c>
      <c r="K22" s="267"/>
      <c r="L22" s="189"/>
      <c r="M22" s="189"/>
      <c r="N22" s="189"/>
      <c r="O22" s="268">
        <f t="shared" si="0"/>
        <v>4527500</v>
      </c>
      <c r="P22" s="272">
        <v>4300000</v>
      </c>
      <c r="Q22" s="270">
        <f t="shared" si="1"/>
        <v>-227500</v>
      </c>
      <c r="R22" s="195"/>
      <c r="S22" s="195"/>
      <c r="T22" s="195"/>
    </row>
    <row r="23" spans="1:20" ht="20.100000000000001" customHeight="1" x14ac:dyDescent="0.25">
      <c r="A23" s="75">
        <v>16</v>
      </c>
      <c r="B23" s="133">
        <v>43452</v>
      </c>
      <c r="C23" s="135" t="s">
        <v>2206</v>
      </c>
      <c r="D23" s="136" t="s">
        <v>2229</v>
      </c>
      <c r="E23" s="78" t="s">
        <v>2120</v>
      </c>
      <c r="F23" s="80"/>
      <c r="G23" s="234"/>
      <c r="H23" s="271"/>
      <c r="I23" s="266"/>
      <c r="J23" s="263">
        <v>1360000</v>
      </c>
      <c r="K23" s="267"/>
      <c r="L23" s="189"/>
      <c r="M23" s="189"/>
      <c r="N23" s="189"/>
      <c r="O23" s="268">
        <f t="shared" si="0"/>
        <v>1360000</v>
      </c>
      <c r="P23" s="272">
        <v>8000000</v>
      </c>
      <c r="Q23" s="270">
        <f t="shared" si="1"/>
        <v>6640000</v>
      </c>
      <c r="R23" s="195"/>
      <c r="S23" s="195"/>
      <c r="T23" s="195"/>
    </row>
    <row r="24" spans="1:20" ht="20.100000000000001" customHeight="1" x14ac:dyDescent="0.25">
      <c r="A24" s="75">
        <v>17</v>
      </c>
      <c r="B24" s="133">
        <v>43453</v>
      </c>
      <c r="C24" s="135" t="s">
        <v>1503</v>
      </c>
      <c r="D24" s="136" t="s">
        <v>2230</v>
      </c>
      <c r="E24" s="78" t="s">
        <v>559</v>
      </c>
      <c r="F24" s="80"/>
      <c r="G24" s="234"/>
      <c r="H24" s="271"/>
      <c r="I24" s="266"/>
      <c r="J24" s="263">
        <v>970000</v>
      </c>
      <c r="K24" s="267"/>
      <c r="L24" s="189"/>
      <c r="M24" s="189"/>
      <c r="N24" s="189"/>
      <c r="O24" s="268">
        <f t="shared" si="0"/>
        <v>970000</v>
      </c>
      <c r="P24" s="272">
        <v>4100000</v>
      </c>
      <c r="Q24" s="270">
        <f t="shared" si="1"/>
        <v>3130000</v>
      </c>
      <c r="R24" s="195"/>
      <c r="S24" s="195"/>
      <c r="T24" s="195"/>
    </row>
    <row r="25" spans="1:20" ht="20.100000000000001" customHeight="1" x14ac:dyDescent="0.25">
      <c r="A25" s="75">
        <v>18</v>
      </c>
      <c r="B25" s="133">
        <v>43454</v>
      </c>
      <c r="C25" s="135" t="s">
        <v>2207</v>
      </c>
      <c r="D25" s="136" t="s">
        <v>2231</v>
      </c>
      <c r="E25" s="78" t="s">
        <v>566</v>
      </c>
      <c r="F25" s="80"/>
      <c r="G25" s="234">
        <v>295</v>
      </c>
      <c r="H25" s="271">
        <f t="shared" si="2"/>
        <v>4793750</v>
      </c>
      <c r="I25" s="266"/>
      <c r="J25" s="263">
        <v>430000</v>
      </c>
      <c r="K25" s="267"/>
      <c r="L25" s="189"/>
      <c r="M25" s="189"/>
      <c r="N25" s="189"/>
      <c r="O25" s="268">
        <f t="shared" si="0"/>
        <v>5223750</v>
      </c>
      <c r="P25" s="272">
        <v>4000000</v>
      </c>
      <c r="Q25" s="270">
        <f t="shared" si="1"/>
        <v>-1223750</v>
      </c>
      <c r="R25" s="195"/>
      <c r="S25" s="195"/>
      <c r="T25" s="195"/>
    </row>
    <row r="26" spans="1:20" ht="20.100000000000001" customHeight="1" x14ac:dyDescent="0.25">
      <c r="A26" s="75">
        <v>19</v>
      </c>
      <c r="B26" s="133">
        <v>43455</v>
      </c>
      <c r="C26" s="135" t="s">
        <v>2208</v>
      </c>
      <c r="D26" s="136" t="s">
        <v>2232</v>
      </c>
      <c r="E26" s="78" t="s">
        <v>636</v>
      </c>
      <c r="F26" s="80"/>
      <c r="G26" s="234"/>
      <c r="H26" s="271"/>
      <c r="I26" s="266"/>
      <c r="J26" s="263">
        <v>790000</v>
      </c>
      <c r="K26" s="267"/>
      <c r="L26" s="189"/>
      <c r="M26" s="189"/>
      <c r="N26" s="189"/>
      <c r="O26" s="268">
        <f t="shared" si="0"/>
        <v>790000</v>
      </c>
      <c r="P26" s="272">
        <v>3000000</v>
      </c>
      <c r="Q26" s="270">
        <f t="shared" si="1"/>
        <v>2210000</v>
      </c>
      <c r="R26" s="195"/>
      <c r="S26" s="195"/>
      <c r="T26" s="195"/>
    </row>
    <row r="27" spans="1:20" ht="20.100000000000001" customHeight="1" x14ac:dyDescent="0.25">
      <c r="A27" s="75">
        <v>20</v>
      </c>
      <c r="B27" s="133">
        <v>43456</v>
      </c>
      <c r="C27" s="135" t="s">
        <v>2209</v>
      </c>
      <c r="D27" s="136" t="s">
        <v>2233</v>
      </c>
      <c r="E27" s="78" t="s">
        <v>566</v>
      </c>
      <c r="F27" s="80"/>
      <c r="G27" s="234">
        <v>270</v>
      </c>
      <c r="H27" s="271">
        <f>G27*16000</f>
        <v>4320000</v>
      </c>
      <c r="I27" s="266"/>
      <c r="J27" s="263">
        <v>430000</v>
      </c>
      <c r="K27" s="267"/>
      <c r="L27" s="189"/>
      <c r="M27" s="189"/>
      <c r="N27" s="189"/>
      <c r="O27" s="268">
        <f t="shared" si="0"/>
        <v>4750000</v>
      </c>
      <c r="P27" s="272">
        <v>4000000</v>
      </c>
      <c r="Q27" s="270">
        <f t="shared" si="1"/>
        <v>-750000</v>
      </c>
      <c r="R27" s="195"/>
      <c r="S27" s="195"/>
      <c r="T27" s="195"/>
    </row>
    <row r="28" spans="1:20" ht="20.100000000000001" customHeight="1" x14ac:dyDescent="0.25">
      <c r="A28" s="75">
        <v>21</v>
      </c>
      <c r="B28" s="133">
        <v>43458</v>
      </c>
      <c r="C28" s="135" t="s">
        <v>53</v>
      </c>
      <c r="D28" s="136" t="s">
        <v>2234</v>
      </c>
      <c r="E28" s="78" t="s">
        <v>559</v>
      </c>
      <c r="F28" s="80"/>
      <c r="G28" s="234"/>
      <c r="H28" s="271"/>
      <c r="I28" s="266"/>
      <c r="J28" s="263">
        <v>970000</v>
      </c>
      <c r="K28" s="267"/>
      <c r="L28" s="189"/>
      <c r="M28" s="189"/>
      <c r="N28" s="189"/>
      <c r="O28" s="268">
        <f t="shared" si="0"/>
        <v>970000</v>
      </c>
      <c r="P28" s="272">
        <v>4100000</v>
      </c>
      <c r="Q28" s="270">
        <f t="shared" si="1"/>
        <v>3130000</v>
      </c>
      <c r="R28" s="195"/>
      <c r="S28" s="195"/>
      <c r="T28" s="195"/>
    </row>
    <row r="29" spans="1:20" ht="20.100000000000001" customHeight="1" x14ac:dyDescent="0.25">
      <c r="A29" s="75">
        <v>22</v>
      </c>
      <c r="B29" s="133">
        <v>43459</v>
      </c>
      <c r="C29" s="135" t="s">
        <v>2210</v>
      </c>
      <c r="D29" s="136" t="s">
        <v>2235</v>
      </c>
      <c r="E29" s="78" t="s">
        <v>2244</v>
      </c>
      <c r="F29" s="80"/>
      <c r="G29" s="234">
        <v>205</v>
      </c>
      <c r="H29" s="271">
        <f t="shared" ref="H29:H31" si="3">G29*16000</f>
        <v>3280000</v>
      </c>
      <c r="I29" s="266"/>
      <c r="J29" s="263">
        <f>1150000+300000</f>
        <v>1450000</v>
      </c>
      <c r="K29" s="267"/>
      <c r="L29" s="189"/>
      <c r="M29" s="189"/>
      <c r="N29" s="189"/>
      <c r="O29" s="268">
        <f t="shared" si="0"/>
        <v>4730000</v>
      </c>
      <c r="P29" s="272">
        <v>5500000</v>
      </c>
      <c r="Q29" s="270">
        <f t="shared" si="1"/>
        <v>770000</v>
      </c>
      <c r="R29" s="195"/>
      <c r="S29" s="195"/>
      <c r="T29" s="195"/>
    </row>
    <row r="30" spans="1:20" ht="20.100000000000001" customHeight="1" x14ac:dyDescent="0.25">
      <c r="A30" s="75">
        <v>23</v>
      </c>
      <c r="B30" s="133">
        <v>43460</v>
      </c>
      <c r="C30" s="138" t="s">
        <v>2211</v>
      </c>
      <c r="D30" s="139" t="s">
        <v>2236</v>
      </c>
      <c r="E30" s="78" t="s">
        <v>88</v>
      </c>
      <c r="F30" s="110"/>
      <c r="G30" s="273"/>
      <c r="H30" s="271"/>
      <c r="I30" s="266"/>
      <c r="J30" s="281">
        <v>430000</v>
      </c>
      <c r="K30" s="267"/>
      <c r="L30" s="189"/>
      <c r="M30" s="194"/>
      <c r="N30" s="194"/>
      <c r="O30" s="268">
        <f t="shared" si="0"/>
        <v>430000</v>
      </c>
      <c r="P30" s="274">
        <v>3800000</v>
      </c>
      <c r="Q30" s="270">
        <f t="shared" si="1"/>
        <v>3370000</v>
      </c>
      <c r="R30" s="195"/>
      <c r="S30" s="195"/>
      <c r="T30" s="195"/>
    </row>
    <row r="31" spans="1:20" ht="20.100000000000001" customHeight="1" x14ac:dyDescent="0.25">
      <c r="A31" s="75">
        <v>24</v>
      </c>
      <c r="B31" s="133">
        <v>43461</v>
      </c>
      <c r="C31" s="138" t="s">
        <v>807</v>
      </c>
      <c r="D31" s="139" t="s">
        <v>2237</v>
      </c>
      <c r="E31" s="78" t="s">
        <v>24</v>
      </c>
      <c r="F31" s="110"/>
      <c r="G31" s="273">
        <v>280</v>
      </c>
      <c r="H31" s="271">
        <f t="shared" si="3"/>
        <v>4480000</v>
      </c>
      <c r="I31" s="266"/>
      <c r="J31" s="281">
        <f>1710000+180000</f>
        <v>1890000</v>
      </c>
      <c r="K31" s="267"/>
      <c r="L31" s="189"/>
      <c r="M31" s="194"/>
      <c r="N31" s="194"/>
      <c r="O31" s="268">
        <f t="shared" si="0"/>
        <v>6370000</v>
      </c>
      <c r="P31" s="274">
        <v>7500000</v>
      </c>
      <c r="Q31" s="270">
        <f t="shared" si="1"/>
        <v>1130000</v>
      </c>
      <c r="R31" s="195"/>
      <c r="S31" s="195"/>
      <c r="T31" s="195"/>
    </row>
    <row r="32" spans="1:20" ht="20.100000000000001" customHeight="1" x14ac:dyDescent="0.25">
      <c r="A32" s="75">
        <v>25</v>
      </c>
      <c r="B32" s="133">
        <v>43462</v>
      </c>
      <c r="C32" s="138" t="s">
        <v>2212</v>
      </c>
      <c r="D32" s="139" t="s">
        <v>2238</v>
      </c>
      <c r="E32" s="78" t="s">
        <v>88</v>
      </c>
      <c r="F32" s="110"/>
      <c r="G32" s="273"/>
      <c r="H32" s="271"/>
      <c r="I32" s="266"/>
      <c r="J32" s="281">
        <v>450000</v>
      </c>
      <c r="K32" s="267"/>
      <c r="L32" s="189"/>
      <c r="M32" s="194"/>
      <c r="N32" s="194"/>
      <c r="O32" s="268">
        <f t="shared" si="0"/>
        <v>450000</v>
      </c>
      <c r="P32" s="274">
        <v>3800000</v>
      </c>
      <c r="Q32" s="270">
        <f t="shared" si="1"/>
        <v>3350000</v>
      </c>
      <c r="R32" s="195"/>
      <c r="S32" s="195"/>
      <c r="T32" s="195"/>
    </row>
    <row r="33" spans="1:20" ht="20.100000000000001" customHeight="1" x14ac:dyDescent="0.25">
      <c r="A33" s="75">
        <v>26</v>
      </c>
      <c r="B33" s="133">
        <v>43463</v>
      </c>
      <c r="C33" s="138" t="s">
        <v>2213</v>
      </c>
      <c r="D33" s="139" t="s">
        <v>2239</v>
      </c>
      <c r="E33" s="78" t="s">
        <v>88</v>
      </c>
      <c r="F33" s="110"/>
      <c r="G33" s="273"/>
      <c r="H33" s="271"/>
      <c r="I33" s="266"/>
      <c r="J33" s="281">
        <v>450000</v>
      </c>
      <c r="K33" s="267"/>
      <c r="L33" s="189"/>
      <c r="M33" s="194"/>
      <c r="N33" s="194"/>
      <c r="O33" s="268">
        <f t="shared" si="0"/>
        <v>450000</v>
      </c>
      <c r="P33" s="274">
        <v>3800000</v>
      </c>
      <c r="Q33" s="270">
        <f t="shared" si="1"/>
        <v>3350000</v>
      </c>
      <c r="R33" s="195"/>
      <c r="S33" s="195"/>
      <c r="T33" s="195"/>
    </row>
    <row r="34" spans="1:20" ht="20.100000000000001" customHeight="1" x14ac:dyDescent="0.25">
      <c r="A34" s="75"/>
      <c r="B34" s="133"/>
      <c r="C34" s="138"/>
      <c r="D34" s="139"/>
      <c r="E34" s="78"/>
      <c r="F34" s="110"/>
      <c r="G34" s="273"/>
      <c r="H34" s="271"/>
      <c r="I34" s="266"/>
      <c r="J34" s="194"/>
      <c r="K34" s="267"/>
      <c r="L34" s="189"/>
      <c r="M34" s="194"/>
      <c r="N34" s="194"/>
      <c r="O34" s="268">
        <f t="shared" si="0"/>
        <v>0</v>
      </c>
      <c r="P34" s="274"/>
      <c r="Q34" s="270">
        <f t="shared" si="1"/>
        <v>0</v>
      </c>
      <c r="R34" s="195"/>
      <c r="S34" s="195"/>
      <c r="T34" s="195"/>
    </row>
    <row r="35" spans="1:20" ht="39.75" customHeight="1" x14ac:dyDescent="0.25">
      <c r="A35" s="75"/>
      <c r="B35" s="133"/>
      <c r="C35" s="170" t="s">
        <v>2245</v>
      </c>
      <c r="D35" s="247"/>
      <c r="E35" s="85"/>
      <c r="F35" s="248"/>
      <c r="G35" s="275"/>
      <c r="H35" s="276"/>
      <c r="I35" s="277"/>
      <c r="J35" s="278"/>
      <c r="K35" s="267"/>
      <c r="L35" s="302">
        <f>150000/4</f>
        <v>37500</v>
      </c>
      <c r="M35" s="278"/>
      <c r="N35" s="278"/>
      <c r="O35" s="268">
        <f t="shared" si="0"/>
        <v>37500</v>
      </c>
      <c r="P35" s="279"/>
      <c r="Q35" s="270">
        <f t="shared" si="1"/>
        <v>-37500</v>
      </c>
      <c r="R35" s="252"/>
      <c r="S35" s="195"/>
      <c r="T35" s="195"/>
    </row>
    <row r="36" spans="1:20" ht="39.75" customHeight="1" x14ac:dyDescent="0.25">
      <c r="A36" s="75"/>
      <c r="B36" s="133"/>
      <c r="C36" s="170" t="s">
        <v>2246</v>
      </c>
      <c r="D36" s="247"/>
      <c r="E36" s="85"/>
      <c r="F36" s="248"/>
      <c r="G36" s="275"/>
      <c r="H36" s="276"/>
      <c r="I36" s="277"/>
      <c r="J36" s="278"/>
      <c r="K36" s="267"/>
      <c r="L36" s="302">
        <f>80000/4</f>
        <v>20000</v>
      </c>
      <c r="M36" s="278"/>
      <c r="N36" s="278"/>
      <c r="O36" s="268">
        <f t="shared" si="0"/>
        <v>20000</v>
      </c>
      <c r="P36" s="279"/>
      <c r="Q36" s="270">
        <f t="shared" si="1"/>
        <v>-20000</v>
      </c>
      <c r="R36" s="252"/>
      <c r="S36" s="195"/>
      <c r="T36" s="195"/>
    </row>
    <row r="37" spans="1:20" ht="39.75" customHeight="1" x14ac:dyDescent="0.25">
      <c r="A37" s="75"/>
      <c r="B37" s="133"/>
      <c r="C37" s="170" t="s">
        <v>2247</v>
      </c>
      <c r="D37" s="247"/>
      <c r="E37" s="85"/>
      <c r="F37" s="248"/>
      <c r="G37" s="275"/>
      <c r="H37" s="276"/>
      <c r="I37" s="277"/>
      <c r="J37" s="278"/>
      <c r="K37" s="267"/>
      <c r="L37" s="302">
        <f>2200000/4</f>
        <v>550000</v>
      </c>
      <c r="M37" s="278"/>
      <c r="N37" s="278"/>
      <c r="O37" s="268">
        <f t="shared" si="0"/>
        <v>550000</v>
      </c>
      <c r="P37" s="279"/>
      <c r="Q37" s="270">
        <f t="shared" si="1"/>
        <v>-550000</v>
      </c>
      <c r="R37" s="252"/>
      <c r="S37" s="195"/>
      <c r="T37" s="195"/>
    </row>
    <row r="38" spans="1:20" ht="39.75" customHeight="1" x14ac:dyDescent="0.25">
      <c r="A38" s="75"/>
      <c r="B38" s="133"/>
      <c r="C38" s="170" t="s">
        <v>2016</v>
      </c>
      <c r="D38" s="247"/>
      <c r="E38" s="85"/>
      <c r="F38" s="248"/>
      <c r="G38" s="275"/>
      <c r="H38" s="276"/>
      <c r="I38" s="277"/>
      <c r="J38" s="278"/>
      <c r="K38" s="267"/>
      <c r="L38" s="302">
        <v>500000</v>
      </c>
      <c r="M38" s="278"/>
      <c r="N38" s="278"/>
      <c r="O38" s="268">
        <f t="shared" si="0"/>
        <v>500000</v>
      </c>
      <c r="P38" s="279"/>
      <c r="Q38" s="270">
        <f t="shared" si="1"/>
        <v>-500000</v>
      </c>
      <c r="R38" s="252"/>
      <c r="S38" s="195"/>
      <c r="T38" s="195"/>
    </row>
    <row r="39" spans="1:20" ht="39.75" customHeight="1" x14ac:dyDescent="0.25">
      <c r="A39" s="75"/>
      <c r="B39" s="133"/>
      <c r="C39" s="170" t="s">
        <v>2248</v>
      </c>
      <c r="D39" s="247"/>
      <c r="E39" s="85"/>
      <c r="F39" s="248"/>
      <c r="G39" s="275"/>
      <c r="H39" s="276"/>
      <c r="I39" s="277"/>
      <c r="J39" s="278"/>
      <c r="K39" s="267"/>
      <c r="L39" s="302">
        <v>850000</v>
      </c>
      <c r="M39" s="278"/>
      <c r="N39" s="278"/>
      <c r="O39" s="268">
        <f t="shared" si="0"/>
        <v>850000</v>
      </c>
      <c r="P39" s="279"/>
      <c r="Q39" s="270">
        <f t="shared" si="1"/>
        <v>-850000</v>
      </c>
      <c r="R39" s="252"/>
      <c r="S39" s="195"/>
      <c r="T39" s="195"/>
    </row>
    <row r="40" spans="1:20" ht="39.75" customHeight="1" x14ac:dyDescent="0.25">
      <c r="A40" s="75"/>
      <c r="B40" s="133"/>
      <c r="C40" s="170" t="s">
        <v>2249</v>
      </c>
      <c r="D40" s="247"/>
      <c r="E40" s="85"/>
      <c r="F40" s="248"/>
      <c r="G40" s="275"/>
      <c r="H40" s="276"/>
      <c r="I40" s="277"/>
      <c r="J40" s="278"/>
      <c r="K40" s="267"/>
      <c r="L40" s="302">
        <v>1240000</v>
      </c>
      <c r="M40" s="278"/>
      <c r="N40" s="278"/>
      <c r="O40" s="268">
        <f t="shared" si="0"/>
        <v>1240000</v>
      </c>
      <c r="P40" s="279"/>
      <c r="Q40" s="270">
        <f t="shared" si="1"/>
        <v>-1240000</v>
      </c>
      <c r="R40" s="252"/>
      <c r="S40" s="195"/>
      <c r="T40" s="195"/>
    </row>
    <row r="41" spans="1:20" ht="39.75" customHeight="1" x14ac:dyDescent="0.25">
      <c r="A41" s="75"/>
      <c r="B41" s="133"/>
      <c r="C41" s="170" t="s">
        <v>2250</v>
      </c>
      <c r="D41" s="247"/>
      <c r="E41" s="85"/>
      <c r="F41" s="248"/>
      <c r="G41" s="275"/>
      <c r="H41" s="276"/>
      <c r="I41" s="277"/>
      <c r="J41" s="278"/>
      <c r="K41" s="267"/>
      <c r="L41" s="302">
        <f>8000000/4</f>
        <v>2000000</v>
      </c>
      <c r="M41" s="278"/>
      <c r="N41" s="278"/>
      <c r="O41" s="268">
        <f t="shared" si="0"/>
        <v>2000000</v>
      </c>
      <c r="P41" s="279"/>
      <c r="Q41" s="270">
        <f t="shared" si="1"/>
        <v>-2000000</v>
      </c>
      <c r="R41" s="252"/>
      <c r="S41" s="195"/>
      <c r="T41" s="195"/>
    </row>
    <row r="42" spans="1:20" ht="27" customHeight="1" x14ac:dyDescent="0.25">
      <c r="A42" s="75"/>
      <c r="B42" s="133"/>
      <c r="C42" s="183" t="s">
        <v>2251</v>
      </c>
      <c r="D42" s="162"/>
      <c r="E42" s="153"/>
      <c r="F42" s="163"/>
      <c r="G42" s="194"/>
      <c r="H42" s="234"/>
      <c r="I42" s="280"/>
      <c r="J42" s="194"/>
      <c r="K42" s="267"/>
      <c r="L42" s="223">
        <v>170000</v>
      </c>
      <c r="M42" s="194"/>
      <c r="N42" s="194"/>
      <c r="O42" s="268">
        <f t="shared" si="0"/>
        <v>170000</v>
      </c>
      <c r="P42" s="264"/>
      <c r="Q42" s="270">
        <f t="shared" si="1"/>
        <v>-170000</v>
      </c>
    </row>
    <row r="43" spans="1:20" ht="18" customHeight="1" x14ac:dyDescent="0.25">
      <c r="A43" s="75"/>
      <c r="B43" s="133"/>
      <c r="C43" s="170" t="s">
        <v>1273</v>
      </c>
      <c r="D43" s="162"/>
      <c r="E43" s="153"/>
      <c r="F43" s="163"/>
      <c r="G43" s="281"/>
      <c r="H43" s="282"/>
      <c r="I43" s="280"/>
      <c r="J43" s="194"/>
      <c r="K43" s="267"/>
      <c r="L43" s="189">
        <v>1320000</v>
      </c>
      <c r="M43" s="194"/>
      <c r="N43" s="194"/>
      <c r="O43" s="268">
        <f t="shared" si="0"/>
        <v>1320000</v>
      </c>
      <c r="P43" s="264"/>
      <c r="Q43" s="270">
        <f t="shared" si="1"/>
        <v>-1320000</v>
      </c>
    </row>
    <row r="44" spans="1:20" ht="18" customHeight="1" x14ac:dyDescent="0.25">
      <c r="A44" s="134"/>
      <c r="B44" s="70"/>
      <c r="C44" s="108" t="s">
        <v>1386</v>
      </c>
      <c r="D44" s="87"/>
      <c r="E44" s="70"/>
      <c r="F44" s="110"/>
      <c r="G44" s="281"/>
      <c r="H44" s="282"/>
      <c r="I44" s="280"/>
      <c r="J44" s="194"/>
      <c r="K44" s="283">
        <v>9346154</v>
      </c>
      <c r="L44" s="284"/>
      <c r="M44" s="194"/>
      <c r="N44" s="194"/>
      <c r="O44" s="268">
        <f t="shared" si="0"/>
        <v>9346154</v>
      </c>
      <c r="P44" s="265"/>
      <c r="Q44" s="270">
        <f t="shared" si="1"/>
        <v>-9346154</v>
      </c>
    </row>
    <row r="45" spans="1:20" ht="18" customHeight="1" x14ac:dyDescent="0.25">
      <c r="A45" s="213"/>
      <c r="B45" s="214"/>
      <c r="C45" s="215" t="s">
        <v>1549</v>
      </c>
      <c r="D45" s="216"/>
      <c r="E45" s="214"/>
      <c r="F45" s="217"/>
      <c r="G45" s="285"/>
      <c r="H45" s="286"/>
      <c r="I45" s="287"/>
      <c r="J45" s="288"/>
      <c r="K45" s="289">
        <v>500000</v>
      </c>
      <c r="L45" s="290"/>
      <c r="M45" s="288"/>
      <c r="N45" s="288"/>
      <c r="O45" s="268">
        <f t="shared" si="0"/>
        <v>500000</v>
      </c>
      <c r="P45" s="285"/>
      <c r="Q45" s="270">
        <f t="shared" si="1"/>
        <v>-500000</v>
      </c>
    </row>
    <row r="46" spans="1:20" x14ac:dyDescent="0.25">
      <c r="A46" s="547" t="s">
        <v>19</v>
      </c>
      <c r="B46" s="548"/>
      <c r="C46" s="548"/>
      <c r="D46" s="548"/>
      <c r="E46" s="548"/>
      <c r="F46" s="549"/>
      <c r="G46" s="305">
        <f>SUM(G8:G45)</f>
        <v>2865</v>
      </c>
      <c r="H46" s="291">
        <f>SUM(H7:H44)</f>
        <v>47112700</v>
      </c>
      <c r="I46" s="291">
        <f>SUM(I7:I44)</f>
        <v>0</v>
      </c>
      <c r="J46" s="291">
        <f>SUM(J7:J44)</f>
        <v>27370000</v>
      </c>
      <c r="K46" s="291">
        <f>SUM(K7:K45)</f>
        <v>9846154</v>
      </c>
      <c r="L46" s="291">
        <f>SUM(L7:L45)</f>
        <v>6687500</v>
      </c>
      <c r="M46" s="291">
        <f>SUM(M7:M44)</f>
        <v>0</v>
      </c>
      <c r="N46" s="291">
        <f>SUM(N7:N44)</f>
        <v>0</v>
      </c>
      <c r="O46" s="291">
        <f>SUM(O7:O45)</f>
        <v>91016354</v>
      </c>
      <c r="P46" s="291">
        <f>SUM(P7:P44)</f>
        <v>138781818</v>
      </c>
      <c r="Q46" s="297">
        <f>SUM(Q7:Q45)</f>
        <v>47765464</v>
      </c>
      <c r="R46" s="195"/>
      <c r="S46" s="195"/>
    </row>
    <row r="47" spans="1:20" x14ac:dyDescent="0.25">
      <c r="P47" s="294"/>
      <c r="Q47" s="295"/>
    </row>
    <row r="48" spans="1:20" x14ac:dyDescent="0.25">
      <c r="H48" s="294"/>
      <c r="P48" s="296" t="s">
        <v>1225</v>
      </c>
      <c r="Q48" s="304">
        <f>'11.2018'!Q48+'12.2018'!Q46</f>
        <v>406145447.84615386</v>
      </c>
    </row>
    <row r="49" spans="17:18" x14ac:dyDescent="0.25">
      <c r="Q49" s="294"/>
    </row>
    <row r="50" spans="17:18" x14ac:dyDescent="0.25">
      <c r="R50" s="195"/>
    </row>
  </sheetData>
  <mergeCells count="5">
    <mergeCell ref="A1:Q1"/>
    <mergeCell ref="A2:Q2"/>
    <mergeCell ref="A3:Q3"/>
    <mergeCell ref="G5:N5"/>
    <mergeCell ref="A46:F46"/>
  </mergeCells>
  <pageMargins left="0.7" right="0.7" top="0.75" bottom="0.75" header="0.3" footer="0.3"/>
  <pageSetup paperSize="9" orientation="portrait" horizontalDpi="0" verticalDpi="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T48"/>
  <sheetViews>
    <sheetView topLeftCell="D40" workbookViewId="0">
      <selection activeCell="Q47" sqref="Q47"/>
    </sheetView>
  </sheetViews>
  <sheetFormatPr defaultRowHeight="15" x14ac:dyDescent="0.25"/>
  <cols>
    <col min="1" max="1" width="4.5703125" customWidth="1"/>
    <col min="3" max="3" width="41.28515625" customWidth="1"/>
    <col min="4" max="4" width="16.5703125" customWidth="1"/>
    <col min="5" max="5" width="33.140625" customWidth="1"/>
    <col min="7" max="7" width="9.140625" style="292"/>
    <col min="8" max="8" width="10.140625" style="292" bestFit="1" customWidth="1"/>
    <col min="9" max="9" width="9.140625" style="293"/>
    <col min="10" max="14" width="9.140625" style="292"/>
    <col min="15" max="15" width="11.140625" style="292" customWidth="1"/>
    <col min="16" max="16" width="10.7109375" style="292" customWidth="1"/>
    <col min="17" max="17" width="12.28515625" style="292" customWidth="1"/>
    <col min="18" max="18" width="11.7109375" customWidth="1"/>
    <col min="19" max="19" width="18"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2252</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257"/>
      <c r="H4" s="258"/>
      <c r="I4" s="258"/>
      <c r="J4" s="258"/>
      <c r="K4" s="258"/>
      <c r="L4" s="258"/>
      <c r="M4" s="258"/>
      <c r="N4" s="258"/>
      <c r="O4" s="258"/>
      <c r="P4" s="258"/>
      <c r="Q4" s="258"/>
    </row>
    <row r="5" spans="1:20"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20" x14ac:dyDescent="0.25">
      <c r="A6" s="179"/>
      <c r="B6" s="180"/>
      <c r="C6" s="179"/>
      <c r="D6" s="179"/>
      <c r="E6" s="175"/>
      <c r="F6" s="175"/>
      <c r="G6" s="260" t="s">
        <v>7</v>
      </c>
      <c r="H6" s="261" t="s">
        <v>15</v>
      </c>
      <c r="I6" s="261" t="s">
        <v>16</v>
      </c>
      <c r="J6" s="261" t="s">
        <v>8</v>
      </c>
      <c r="K6" s="261" t="s">
        <v>9</v>
      </c>
      <c r="L6" s="261" t="s">
        <v>10</v>
      </c>
      <c r="M6" s="261" t="s">
        <v>11</v>
      </c>
      <c r="N6" s="261" t="s">
        <v>12</v>
      </c>
      <c r="O6" s="262"/>
      <c r="P6" s="262"/>
      <c r="Q6" s="262"/>
    </row>
    <row r="7" spans="1:20" x14ac:dyDescent="0.25">
      <c r="A7" s="75"/>
      <c r="B7" s="100"/>
      <c r="C7" s="88"/>
      <c r="D7" s="88"/>
      <c r="E7" s="134"/>
      <c r="F7" s="75"/>
      <c r="G7" s="263"/>
      <c r="H7" s="264"/>
      <c r="I7" s="264"/>
      <c r="J7" s="264"/>
      <c r="K7" s="264"/>
      <c r="L7" s="264"/>
      <c r="M7" s="264"/>
      <c r="N7" s="264"/>
      <c r="O7" s="264">
        <f>H7+J7+K7+L7+M7+N7</f>
        <v>0</v>
      </c>
      <c r="P7" s="265"/>
      <c r="Q7" s="264">
        <f>P7-O7</f>
        <v>0</v>
      </c>
    </row>
    <row r="8" spans="1:20" ht="20.100000000000001" customHeight="1" x14ac:dyDescent="0.25">
      <c r="A8" s="75">
        <v>1</v>
      </c>
      <c r="B8" s="133">
        <v>43467</v>
      </c>
      <c r="C8" s="135" t="s">
        <v>2253</v>
      </c>
      <c r="D8" s="136" t="s">
        <v>2275</v>
      </c>
      <c r="E8" s="78" t="s">
        <v>88</v>
      </c>
      <c r="F8" s="80"/>
      <c r="G8" s="234">
        <v>305</v>
      </c>
      <c r="H8" s="234">
        <f>G8*14900</f>
        <v>4544500</v>
      </c>
      <c r="I8" s="266"/>
      <c r="J8" s="263">
        <v>450000</v>
      </c>
      <c r="K8" s="267"/>
      <c r="L8" s="189"/>
      <c r="M8" s="189"/>
      <c r="N8" s="189"/>
      <c r="O8" s="268">
        <f>H8+J8+K8+L8+M8+N8</f>
        <v>4994500</v>
      </c>
      <c r="P8" s="272">
        <v>3800000</v>
      </c>
      <c r="Q8" s="270">
        <f>P8-O8</f>
        <v>-1194500</v>
      </c>
      <c r="R8" s="195"/>
      <c r="S8" s="195"/>
      <c r="T8" s="195"/>
    </row>
    <row r="9" spans="1:20" ht="20.100000000000001" customHeight="1" x14ac:dyDescent="0.25">
      <c r="A9" s="75">
        <v>2</v>
      </c>
      <c r="B9" s="133">
        <v>43468</v>
      </c>
      <c r="C9" s="135" t="s">
        <v>2254</v>
      </c>
      <c r="D9" s="172" t="s">
        <v>2276</v>
      </c>
      <c r="E9" s="78" t="s">
        <v>189</v>
      </c>
      <c r="F9" s="80"/>
      <c r="G9" s="234"/>
      <c r="H9" s="234"/>
      <c r="I9" s="266"/>
      <c r="J9" s="263">
        <v>2250000</v>
      </c>
      <c r="K9" s="267"/>
      <c r="L9" s="189"/>
      <c r="M9" s="189"/>
      <c r="N9" s="189"/>
      <c r="O9" s="268">
        <f t="shared" ref="O9:O43" si="0">H9+J9+K9+L9+M9+N9</f>
        <v>2250000</v>
      </c>
      <c r="P9" s="272">
        <v>9545455</v>
      </c>
      <c r="Q9" s="270">
        <f t="shared" ref="Q9:Q43" si="1">P9-O9</f>
        <v>7295455</v>
      </c>
      <c r="R9" s="195"/>
      <c r="S9" s="195"/>
      <c r="T9" s="195"/>
    </row>
    <row r="10" spans="1:20" ht="20.100000000000001" customHeight="1" x14ac:dyDescent="0.25">
      <c r="A10" s="75">
        <v>3</v>
      </c>
      <c r="B10" s="133">
        <v>43469</v>
      </c>
      <c r="C10" s="135" t="s">
        <v>2255</v>
      </c>
      <c r="D10" s="136" t="s">
        <v>2277</v>
      </c>
      <c r="E10" s="78" t="s">
        <v>356</v>
      </c>
      <c r="F10" s="80"/>
      <c r="G10" s="234">
        <v>275</v>
      </c>
      <c r="H10" s="234">
        <f t="shared" ref="H10:H31" si="2">G10*14900</f>
        <v>4097500</v>
      </c>
      <c r="I10" s="266"/>
      <c r="J10" s="263">
        <v>970000</v>
      </c>
      <c r="K10" s="267"/>
      <c r="L10" s="189"/>
      <c r="M10" s="189"/>
      <c r="N10" s="189"/>
      <c r="O10" s="268">
        <f t="shared" si="0"/>
        <v>5067500</v>
      </c>
      <c r="P10" s="272">
        <v>4560000</v>
      </c>
      <c r="Q10" s="270">
        <f t="shared" si="1"/>
        <v>-507500</v>
      </c>
      <c r="R10" s="195"/>
      <c r="S10" s="195"/>
      <c r="T10" s="195"/>
    </row>
    <row r="11" spans="1:20" ht="20.100000000000001" customHeight="1" x14ac:dyDescent="0.25">
      <c r="A11" s="75">
        <v>4</v>
      </c>
      <c r="B11" s="133">
        <v>43470</v>
      </c>
      <c r="C11" s="135" t="s">
        <v>1559</v>
      </c>
      <c r="D11" s="136" t="s">
        <v>2278</v>
      </c>
      <c r="E11" s="78" t="s">
        <v>1215</v>
      </c>
      <c r="F11" s="80"/>
      <c r="G11" s="234"/>
      <c r="H11" s="234"/>
      <c r="I11" s="266"/>
      <c r="J11" s="263">
        <v>970000</v>
      </c>
      <c r="K11" s="267"/>
      <c r="L11" s="189"/>
      <c r="M11" s="189"/>
      <c r="N11" s="189"/>
      <c r="O11" s="268">
        <f t="shared" si="0"/>
        <v>970000</v>
      </c>
      <c r="P11" s="272">
        <v>4000000</v>
      </c>
      <c r="Q11" s="270">
        <f t="shared" si="1"/>
        <v>3030000</v>
      </c>
      <c r="R11" s="195"/>
      <c r="S11" s="195"/>
      <c r="T11" s="195"/>
    </row>
    <row r="12" spans="1:20" ht="20.100000000000001" customHeight="1" x14ac:dyDescent="0.25">
      <c r="A12" s="75">
        <v>5</v>
      </c>
      <c r="B12" s="133">
        <v>43471</v>
      </c>
      <c r="C12" s="135" t="s">
        <v>2256</v>
      </c>
      <c r="D12" s="136" t="s">
        <v>2279</v>
      </c>
      <c r="E12" s="78" t="s">
        <v>1023</v>
      </c>
      <c r="F12" s="80"/>
      <c r="G12" s="234">
        <v>230</v>
      </c>
      <c r="H12" s="234">
        <f t="shared" si="2"/>
        <v>3427000</v>
      </c>
      <c r="I12" s="266"/>
      <c r="J12" s="263">
        <v>1140000</v>
      </c>
      <c r="K12" s="267"/>
      <c r="L12" s="189"/>
      <c r="M12" s="189"/>
      <c r="N12" s="189"/>
      <c r="O12" s="268">
        <f t="shared" si="0"/>
        <v>4567000</v>
      </c>
      <c r="P12" s="272">
        <v>4500000</v>
      </c>
      <c r="Q12" s="270">
        <f t="shared" si="1"/>
        <v>-67000</v>
      </c>
      <c r="R12" s="195"/>
      <c r="S12" s="195"/>
      <c r="T12" s="195"/>
    </row>
    <row r="13" spans="1:20" ht="20.100000000000001" customHeight="1" x14ac:dyDescent="0.25">
      <c r="A13" s="75">
        <v>6</v>
      </c>
      <c r="B13" s="133">
        <v>43472</v>
      </c>
      <c r="C13" s="135" t="s">
        <v>872</v>
      </c>
      <c r="D13" s="136" t="s">
        <v>2280</v>
      </c>
      <c r="E13" s="78" t="s">
        <v>1618</v>
      </c>
      <c r="F13" s="80"/>
      <c r="G13" s="234"/>
      <c r="H13" s="234"/>
      <c r="I13" s="266"/>
      <c r="J13" s="263">
        <v>1510000</v>
      </c>
      <c r="K13" s="267"/>
      <c r="L13" s="189"/>
      <c r="M13" s="189"/>
      <c r="N13" s="189"/>
      <c r="O13" s="268">
        <f t="shared" si="0"/>
        <v>1510000</v>
      </c>
      <c r="P13" s="272">
        <v>5500000</v>
      </c>
      <c r="Q13" s="270">
        <f t="shared" si="1"/>
        <v>3990000</v>
      </c>
      <c r="R13" s="195"/>
      <c r="S13" s="195"/>
      <c r="T13" s="195"/>
    </row>
    <row r="14" spans="1:20" ht="20.100000000000001" customHeight="1" x14ac:dyDescent="0.25">
      <c r="A14" s="75">
        <v>7</v>
      </c>
      <c r="B14" s="133">
        <v>43473</v>
      </c>
      <c r="C14" s="135" t="s">
        <v>2257</v>
      </c>
      <c r="D14" s="136" t="s">
        <v>2281</v>
      </c>
      <c r="E14" s="78" t="s">
        <v>1214</v>
      </c>
      <c r="F14" s="80"/>
      <c r="G14" s="234">
        <v>240</v>
      </c>
      <c r="H14" s="234">
        <f t="shared" si="2"/>
        <v>3576000</v>
      </c>
      <c r="I14" s="266"/>
      <c r="J14" s="263">
        <v>1150000</v>
      </c>
      <c r="K14" s="267"/>
      <c r="L14" s="189"/>
      <c r="M14" s="189"/>
      <c r="N14" s="189"/>
      <c r="O14" s="268">
        <f t="shared" si="0"/>
        <v>4726000</v>
      </c>
      <c r="P14" s="272">
        <v>3850000</v>
      </c>
      <c r="Q14" s="270">
        <f t="shared" si="1"/>
        <v>-876000</v>
      </c>
      <c r="R14" s="195"/>
      <c r="S14" s="195"/>
      <c r="T14" s="195"/>
    </row>
    <row r="15" spans="1:20" ht="20.100000000000001" customHeight="1" x14ac:dyDescent="0.25">
      <c r="A15" s="75">
        <v>8</v>
      </c>
      <c r="B15" s="133">
        <v>43474</v>
      </c>
      <c r="C15" s="135" t="s">
        <v>874</v>
      </c>
      <c r="D15" s="136" t="s">
        <v>2282</v>
      </c>
      <c r="E15" s="78" t="s">
        <v>2300</v>
      </c>
      <c r="F15" s="80"/>
      <c r="G15" s="234"/>
      <c r="H15" s="234"/>
      <c r="I15" s="266"/>
      <c r="J15" s="263">
        <f>970000+300000</f>
        <v>1270000</v>
      </c>
      <c r="K15" s="267"/>
      <c r="L15" s="189"/>
      <c r="M15" s="189"/>
      <c r="N15" s="189"/>
      <c r="O15" s="268">
        <f t="shared" si="0"/>
        <v>1270000</v>
      </c>
      <c r="P15" s="306">
        <v>5200000</v>
      </c>
      <c r="Q15" s="270">
        <f t="shared" si="1"/>
        <v>3930000</v>
      </c>
      <c r="R15" s="195"/>
      <c r="S15" s="195"/>
      <c r="T15" s="195"/>
    </row>
    <row r="16" spans="1:20" ht="20.100000000000001" customHeight="1" x14ac:dyDescent="0.25">
      <c r="A16" s="75">
        <v>9</v>
      </c>
      <c r="B16" s="133">
        <v>43475</v>
      </c>
      <c r="C16" s="135" t="s">
        <v>2258</v>
      </c>
      <c r="D16" s="136" t="s">
        <v>2283</v>
      </c>
      <c r="E16" s="78" t="s">
        <v>188</v>
      </c>
      <c r="F16" s="80"/>
      <c r="G16" s="234"/>
      <c r="H16" s="234"/>
      <c r="I16" s="266"/>
      <c r="J16" s="263">
        <v>650000</v>
      </c>
      <c r="K16" s="267"/>
      <c r="L16" s="189"/>
      <c r="M16" s="189"/>
      <c r="N16" s="189"/>
      <c r="O16" s="268">
        <f t="shared" si="0"/>
        <v>650000</v>
      </c>
      <c r="P16" s="272">
        <v>3100000</v>
      </c>
      <c r="Q16" s="270">
        <f t="shared" si="1"/>
        <v>2450000</v>
      </c>
      <c r="R16" s="195"/>
      <c r="S16" s="195"/>
      <c r="T16" s="195"/>
    </row>
    <row r="17" spans="1:20" ht="20.100000000000001" customHeight="1" x14ac:dyDescent="0.25">
      <c r="A17" s="75">
        <v>10</v>
      </c>
      <c r="B17" s="133">
        <v>43476</v>
      </c>
      <c r="C17" s="135" t="s">
        <v>2259</v>
      </c>
      <c r="D17" s="136" t="s">
        <v>2284</v>
      </c>
      <c r="E17" s="78" t="s">
        <v>2301</v>
      </c>
      <c r="F17" s="80"/>
      <c r="G17" s="234">
        <v>270</v>
      </c>
      <c r="H17" s="234">
        <f t="shared" si="2"/>
        <v>4023000</v>
      </c>
      <c r="I17" s="266"/>
      <c r="J17" s="263">
        <f>1150000-360000</f>
        <v>790000</v>
      </c>
      <c r="K17" s="267"/>
      <c r="L17" s="189"/>
      <c r="M17" s="189"/>
      <c r="N17" s="189"/>
      <c r="O17" s="268">
        <f t="shared" si="0"/>
        <v>4813000</v>
      </c>
      <c r="P17" s="272">
        <v>4100000</v>
      </c>
      <c r="Q17" s="270">
        <f t="shared" si="1"/>
        <v>-713000</v>
      </c>
      <c r="R17" s="195"/>
      <c r="S17" s="195"/>
      <c r="T17" s="195"/>
    </row>
    <row r="18" spans="1:20" ht="20.100000000000001" customHeight="1" x14ac:dyDescent="0.25">
      <c r="A18" s="75">
        <v>11</v>
      </c>
      <c r="B18" s="133">
        <v>43477</v>
      </c>
      <c r="C18" s="135" t="s">
        <v>2260</v>
      </c>
      <c r="D18" s="136" t="s">
        <v>2285</v>
      </c>
      <c r="E18" s="78" t="s">
        <v>301</v>
      </c>
      <c r="F18" s="80"/>
      <c r="G18" s="234">
        <v>320</v>
      </c>
      <c r="H18" s="234">
        <f t="shared" si="2"/>
        <v>4768000</v>
      </c>
      <c r="I18" s="266"/>
      <c r="J18" s="263">
        <v>3640000</v>
      </c>
      <c r="K18" s="267"/>
      <c r="L18" s="189"/>
      <c r="M18" s="189"/>
      <c r="N18" s="189"/>
      <c r="O18" s="268">
        <f t="shared" si="0"/>
        <v>8408000</v>
      </c>
      <c r="P18" s="272">
        <v>19545455</v>
      </c>
      <c r="Q18" s="270">
        <f t="shared" si="1"/>
        <v>11137455</v>
      </c>
      <c r="R18" s="195"/>
      <c r="S18" s="195"/>
      <c r="T18" s="195"/>
    </row>
    <row r="19" spans="1:20" ht="20.100000000000001" customHeight="1" x14ac:dyDescent="0.25">
      <c r="A19" s="75">
        <v>12</v>
      </c>
      <c r="B19" s="133">
        <v>43479</v>
      </c>
      <c r="C19" s="135" t="s">
        <v>2261</v>
      </c>
      <c r="D19" s="136" t="s">
        <v>2286</v>
      </c>
      <c r="E19" s="78" t="s">
        <v>2302</v>
      </c>
      <c r="F19" s="80"/>
      <c r="G19" s="234"/>
      <c r="H19" s="234"/>
      <c r="I19" s="266"/>
      <c r="J19" s="263">
        <v>970000</v>
      </c>
      <c r="K19" s="267"/>
      <c r="L19" s="189"/>
      <c r="M19" s="189"/>
      <c r="N19" s="189"/>
      <c r="O19" s="268">
        <f t="shared" si="0"/>
        <v>970000</v>
      </c>
      <c r="P19" s="272">
        <v>4000000</v>
      </c>
      <c r="Q19" s="270">
        <f t="shared" si="1"/>
        <v>3030000</v>
      </c>
      <c r="R19" s="195"/>
      <c r="S19" s="195"/>
      <c r="T19" s="195"/>
    </row>
    <row r="20" spans="1:20" ht="20.100000000000001" customHeight="1" x14ac:dyDescent="0.25">
      <c r="A20" s="75">
        <v>13</v>
      </c>
      <c r="B20" s="133">
        <v>43480</v>
      </c>
      <c r="C20" s="135" t="s">
        <v>2262</v>
      </c>
      <c r="D20" s="136" t="s">
        <v>2287</v>
      </c>
      <c r="E20" s="78" t="s">
        <v>1621</v>
      </c>
      <c r="F20" s="80"/>
      <c r="G20" s="234"/>
      <c r="H20" s="234"/>
      <c r="I20" s="266"/>
      <c r="J20" s="263">
        <v>1150000</v>
      </c>
      <c r="K20" s="267"/>
      <c r="L20" s="189"/>
      <c r="M20" s="189"/>
      <c r="N20" s="189"/>
      <c r="O20" s="268">
        <f t="shared" si="0"/>
        <v>1150000</v>
      </c>
      <c r="P20" s="272">
        <v>3790909</v>
      </c>
      <c r="Q20" s="270">
        <f t="shared" si="1"/>
        <v>2640909</v>
      </c>
      <c r="R20" s="195"/>
      <c r="S20" s="195"/>
      <c r="T20" s="195"/>
    </row>
    <row r="21" spans="1:20" ht="20.100000000000001" customHeight="1" x14ac:dyDescent="0.25">
      <c r="A21" s="75">
        <v>14</v>
      </c>
      <c r="B21" s="133">
        <v>43481</v>
      </c>
      <c r="C21" s="135" t="s">
        <v>2263</v>
      </c>
      <c r="D21" s="136" t="s">
        <v>2288</v>
      </c>
      <c r="E21" s="78" t="s">
        <v>88</v>
      </c>
      <c r="F21" s="80"/>
      <c r="G21" s="234">
        <v>300</v>
      </c>
      <c r="H21" s="234">
        <f t="shared" si="2"/>
        <v>4470000</v>
      </c>
      <c r="I21" s="266"/>
      <c r="J21" s="263">
        <v>790000</v>
      </c>
      <c r="K21" s="267"/>
      <c r="L21" s="189"/>
      <c r="M21" s="189"/>
      <c r="N21" s="189"/>
      <c r="O21" s="268">
        <f t="shared" si="0"/>
        <v>5260000</v>
      </c>
      <c r="P21" s="272">
        <v>4000000</v>
      </c>
      <c r="Q21" s="270">
        <f t="shared" si="1"/>
        <v>-1260000</v>
      </c>
      <c r="R21" s="195"/>
      <c r="S21" s="195"/>
      <c r="T21" s="195"/>
    </row>
    <row r="22" spans="1:20" ht="20.100000000000001" customHeight="1" x14ac:dyDescent="0.25">
      <c r="A22" s="75">
        <v>15</v>
      </c>
      <c r="B22" s="133">
        <v>43482</v>
      </c>
      <c r="C22" s="135" t="s">
        <v>2264</v>
      </c>
      <c r="D22" s="136" t="s">
        <v>2289</v>
      </c>
      <c r="E22" s="78" t="s">
        <v>88</v>
      </c>
      <c r="F22" s="80"/>
      <c r="G22" s="234"/>
      <c r="H22" s="234"/>
      <c r="I22" s="266"/>
      <c r="J22" s="263">
        <v>790000</v>
      </c>
      <c r="K22" s="267"/>
      <c r="L22" s="189"/>
      <c r="M22" s="189"/>
      <c r="N22" s="189"/>
      <c r="O22" s="268">
        <f t="shared" si="0"/>
        <v>790000</v>
      </c>
      <c r="P22" s="272">
        <v>4000000</v>
      </c>
      <c r="Q22" s="270">
        <f t="shared" si="1"/>
        <v>3210000</v>
      </c>
      <c r="R22" s="195"/>
      <c r="S22" s="195"/>
      <c r="T22" s="195"/>
    </row>
    <row r="23" spans="1:20" ht="20.100000000000001" customHeight="1" x14ac:dyDescent="0.25">
      <c r="A23" s="75">
        <v>16</v>
      </c>
      <c r="B23" s="133">
        <v>43484</v>
      </c>
      <c r="C23" s="135" t="s">
        <v>2265</v>
      </c>
      <c r="D23" s="136" t="s">
        <v>2290</v>
      </c>
      <c r="E23" s="78" t="s">
        <v>88</v>
      </c>
      <c r="F23" s="80"/>
      <c r="G23" s="234">
        <v>310</v>
      </c>
      <c r="H23" s="234">
        <f t="shared" si="2"/>
        <v>4619000</v>
      </c>
      <c r="I23" s="266"/>
      <c r="J23" s="263">
        <v>790000</v>
      </c>
      <c r="K23" s="267"/>
      <c r="L23" s="189"/>
      <c r="M23" s="189"/>
      <c r="N23" s="189"/>
      <c r="O23" s="268">
        <f t="shared" si="0"/>
        <v>5409000</v>
      </c>
      <c r="P23" s="272">
        <v>4000000</v>
      </c>
      <c r="Q23" s="270">
        <f t="shared" si="1"/>
        <v>-1409000</v>
      </c>
      <c r="R23" s="195"/>
      <c r="S23" s="195"/>
      <c r="T23" s="195"/>
    </row>
    <row r="24" spans="1:20" ht="20.100000000000001" customHeight="1" x14ac:dyDescent="0.25">
      <c r="A24" s="75">
        <v>17</v>
      </c>
      <c r="B24" s="133">
        <v>43483</v>
      </c>
      <c r="C24" s="135" t="s">
        <v>2266</v>
      </c>
      <c r="D24" s="136" t="s">
        <v>2291</v>
      </c>
      <c r="E24" s="78" t="s">
        <v>356</v>
      </c>
      <c r="F24" s="80"/>
      <c r="G24" s="234"/>
      <c r="H24" s="234"/>
      <c r="I24" s="266"/>
      <c r="J24" s="263">
        <v>970000</v>
      </c>
      <c r="K24" s="267"/>
      <c r="L24" s="189"/>
      <c r="M24" s="189"/>
      <c r="N24" s="189"/>
      <c r="O24" s="268">
        <f t="shared" si="0"/>
        <v>970000</v>
      </c>
      <c r="P24" s="272">
        <v>4560000</v>
      </c>
      <c r="Q24" s="270">
        <f t="shared" si="1"/>
        <v>3590000</v>
      </c>
      <c r="R24" s="195"/>
      <c r="S24" s="195"/>
      <c r="T24" s="195"/>
    </row>
    <row r="25" spans="1:20" ht="20.100000000000001" customHeight="1" x14ac:dyDescent="0.25">
      <c r="A25" s="75">
        <v>18</v>
      </c>
      <c r="B25" s="133">
        <v>43486</v>
      </c>
      <c r="C25" s="135" t="s">
        <v>2267</v>
      </c>
      <c r="D25" s="136" t="s">
        <v>2292</v>
      </c>
      <c r="E25" s="78" t="s">
        <v>2303</v>
      </c>
      <c r="F25" s="80"/>
      <c r="G25" s="234"/>
      <c r="H25" s="234"/>
      <c r="I25" s="266"/>
      <c r="J25" s="263">
        <v>1100000</v>
      </c>
      <c r="K25" s="267"/>
      <c r="L25" s="189"/>
      <c r="M25" s="189"/>
      <c r="N25" s="189"/>
      <c r="O25" s="268">
        <f t="shared" si="0"/>
        <v>1100000</v>
      </c>
      <c r="P25" s="306">
        <v>4900000</v>
      </c>
      <c r="Q25" s="270">
        <f t="shared" si="1"/>
        <v>3800000</v>
      </c>
      <c r="R25" s="195"/>
      <c r="S25" s="195"/>
      <c r="T25" s="195"/>
    </row>
    <row r="26" spans="1:20" ht="20.100000000000001" customHeight="1" x14ac:dyDescent="0.25">
      <c r="A26" s="75">
        <v>19</v>
      </c>
      <c r="B26" s="133">
        <v>43487</v>
      </c>
      <c r="C26" s="135" t="s">
        <v>2268</v>
      </c>
      <c r="D26" s="136" t="s">
        <v>2293</v>
      </c>
      <c r="E26" s="78" t="s">
        <v>88</v>
      </c>
      <c r="F26" s="80"/>
      <c r="G26" s="234">
        <v>215</v>
      </c>
      <c r="H26" s="234">
        <f t="shared" si="2"/>
        <v>3203500</v>
      </c>
      <c r="I26" s="266"/>
      <c r="J26" s="263">
        <v>790000</v>
      </c>
      <c r="K26" s="267"/>
      <c r="L26" s="189"/>
      <c r="M26" s="189"/>
      <c r="N26" s="189"/>
      <c r="O26" s="268">
        <f t="shared" si="0"/>
        <v>3993500</v>
      </c>
      <c r="P26" s="272">
        <v>4000000</v>
      </c>
      <c r="Q26" s="270">
        <f t="shared" si="1"/>
        <v>6500</v>
      </c>
      <c r="R26" s="195"/>
      <c r="S26" s="195"/>
      <c r="T26" s="195"/>
    </row>
    <row r="27" spans="1:20" ht="20.100000000000001" customHeight="1" x14ac:dyDescent="0.25">
      <c r="A27" s="75">
        <v>20</v>
      </c>
      <c r="B27" s="133">
        <v>43489</v>
      </c>
      <c r="C27" s="135" t="s">
        <v>2269</v>
      </c>
      <c r="D27" s="136" t="s">
        <v>2294</v>
      </c>
      <c r="E27" s="78" t="s">
        <v>301</v>
      </c>
      <c r="F27" s="80"/>
      <c r="G27" s="234">
        <v>330</v>
      </c>
      <c r="H27" s="234">
        <f t="shared" si="2"/>
        <v>4917000</v>
      </c>
      <c r="I27" s="266"/>
      <c r="J27" s="263">
        <v>3640000</v>
      </c>
      <c r="K27" s="267"/>
      <c r="L27" s="189"/>
      <c r="M27" s="189"/>
      <c r="N27" s="189"/>
      <c r="O27" s="268">
        <f t="shared" si="0"/>
        <v>8557000</v>
      </c>
      <c r="P27" s="272">
        <v>19545455</v>
      </c>
      <c r="Q27" s="270">
        <f t="shared" si="1"/>
        <v>10988455</v>
      </c>
      <c r="R27" s="195"/>
      <c r="S27" s="195"/>
      <c r="T27" s="195"/>
    </row>
    <row r="28" spans="1:20" ht="20.100000000000001" customHeight="1" x14ac:dyDescent="0.25">
      <c r="A28" s="75">
        <v>21</v>
      </c>
      <c r="B28" s="133">
        <v>43489</v>
      </c>
      <c r="C28" s="135" t="s">
        <v>2270</v>
      </c>
      <c r="D28" s="136" t="s">
        <v>2295</v>
      </c>
      <c r="E28" s="78" t="s">
        <v>88</v>
      </c>
      <c r="F28" s="80"/>
      <c r="G28" s="234"/>
      <c r="H28" s="234"/>
      <c r="I28" s="266"/>
      <c r="J28" s="263">
        <v>790000</v>
      </c>
      <c r="K28" s="267"/>
      <c r="L28" s="189"/>
      <c r="M28" s="189"/>
      <c r="N28" s="189"/>
      <c r="O28" s="268">
        <f t="shared" si="0"/>
        <v>790000</v>
      </c>
      <c r="P28" s="272">
        <v>4000000</v>
      </c>
      <c r="Q28" s="270">
        <f t="shared" si="1"/>
        <v>3210000</v>
      </c>
      <c r="R28" s="195"/>
      <c r="S28" s="195"/>
      <c r="T28" s="195"/>
    </row>
    <row r="29" spans="1:20" ht="20.100000000000001" customHeight="1" x14ac:dyDescent="0.25">
      <c r="A29" s="75">
        <v>22</v>
      </c>
      <c r="B29" s="133">
        <v>43492</v>
      </c>
      <c r="C29" s="135" t="s">
        <v>2271</v>
      </c>
      <c r="D29" s="136" t="s">
        <v>2296</v>
      </c>
      <c r="E29" s="78" t="s">
        <v>2304</v>
      </c>
      <c r="F29" s="80"/>
      <c r="G29" s="234">
        <v>100</v>
      </c>
      <c r="H29" s="234">
        <f t="shared" si="2"/>
        <v>1490000</v>
      </c>
      <c r="I29" s="266"/>
      <c r="J29" s="263">
        <v>2380000</v>
      </c>
      <c r="K29" s="267"/>
      <c r="L29" s="189"/>
      <c r="M29" s="189"/>
      <c r="N29" s="189"/>
      <c r="O29" s="268">
        <f t="shared" si="0"/>
        <v>3870000</v>
      </c>
      <c r="P29" s="272">
        <v>14545455</v>
      </c>
      <c r="Q29" s="270">
        <f t="shared" si="1"/>
        <v>10675455</v>
      </c>
      <c r="R29" s="195"/>
      <c r="S29" s="195"/>
      <c r="T29" s="195"/>
    </row>
    <row r="30" spans="1:20" ht="20.100000000000001" customHeight="1" x14ac:dyDescent="0.25">
      <c r="A30" s="75">
        <v>23</v>
      </c>
      <c r="B30" s="133">
        <v>43493</v>
      </c>
      <c r="C30" s="138" t="s">
        <v>2272</v>
      </c>
      <c r="D30" s="139" t="s">
        <v>2297</v>
      </c>
      <c r="E30" s="78" t="s">
        <v>2305</v>
      </c>
      <c r="F30" s="110"/>
      <c r="G30" s="273">
        <v>270</v>
      </c>
      <c r="H30" s="234">
        <f t="shared" si="2"/>
        <v>4023000</v>
      </c>
      <c r="I30" s="266"/>
      <c r="J30" s="281">
        <v>1600000</v>
      </c>
      <c r="K30" s="267"/>
      <c r="L30" s="189"/>
      <c r="M30" s="194"/>
      <c r="N30" s="194"/>
      <c r="O30" s="268">
        <f t="shared" si="0"/>
        <v>5623000</v>
      </c>
      <c r="P30" s="274">
        <v>6300000</v>
      </c>
      <c r="Q30" s="270">
        <f t="shared" si="1"/>
        <v>677000</v>
      </c>
      <c r="R30" s="195"/>
      <c r="S30" s="195"/>
      <c r="T30" s="195"/>
    </row>
    <row r="31" spans="1:20" ht="20.100000000000001" customHeight="1" x14ac:dyDescent="0.25">
      <c r="A31" s="75">
        <v>24</v>
      </c>
      <c r="B31" s="133">
        <v>43495</v>
      </c>
      <c r="C31" s="138" t="s">
        <v>2273</v>
      </c>
      <c r="D31" s="139" t="s">
        <v>2298</v>
      </c>
      <c r="E31" s="78" t="s">
        <v>1214</v>
      </c>
      <c r="F31" s="110"/>
      <c r="G31" s="273">
        <v>260</v>
      </c>
      <c r="H31" s="234">
        <f t="shared" si="2"/>
        <v>3874000</v>
      </c>
      <c r="I31" s="266"/>
      <c r="J31" s="281">
        <v>1150000</v>
      </c>
      <c r="K31" s="267"/>
      <c r="L31" s="189"/>
      <c r="M31" s="194"/>
      <c r="N31" s="194"/>
      <c r="O31" s="268">
        <f t="shared" si="0"/>
        <v>5024000</v>
      </c>
      <c r="P31" s="274">
        <v>3850000</v>
      </c>
      <c r="Q31" s="270">
        <f t="shared" si="1"/>
        <v>-1174000</v>
      </c>
      <c r="R31" s="195"/>
      <c r="S31" s="195"/>
      <c r="T31" s="195"/>
    </row>
    <row r="32" spans="1:20" ht="20.100000000000001" customHeight="1" x14ac:dyDescent="0.25">
      <c r="A32" s="75">
        <v>25</v>
      </c>
      <c r="B32" s="133">
        <v>43496</v>
      </c>
      <c r="C32" s="138" t="s">
        <v>2274</v>
      </c>
      <c r="D32" s="139" t="s">
        <v>2299</v>
      </c>
      <c r="E32" s="78" t="s">
        <v>633</v>
      </c>
      <c r="F32" s="110"/>
      <c r="G32" s="273"/>
      <c r="H32" s="271"/>
      <c r="I32" s="266"/>
      <c r="J32" s="281">
        <v>1510000</v>
      </c>
      <c r="K32" s="267"/>
      <c r="L32" s="189"/>
      <c r="M32" s="194"/>
      <c r="N32" s="194"/>
      <c r="O32" s="268">
        <f t="shared" si="0"/>
        <v>1510000</v>
      </c>
      <c r="P32" s="274">
        <v>5600000</v>
      </c>
      <c r="Q32" s="270">
        <f t="shared" si="1"/>
        <v>4090000</v>
      </c>
      <c r="R32" s="195"/>
      <c r="S32" s="195"/>
      <c r="T32" s="195"/>
    </row>
    <row r="33" spans="1:20" ht="20.100000000000001" customHeight="1" x14ac:dyDescent="0.25">
      <c r="A33" s="75"/>
      <c r="B33" s="133"/>
      <c r="C33" s="138"/>
      <c r="D33" s="139"/>
      <c r="E33" s="78"/>
      <c r="F33" s="110"/>
      <c r="G33" s="273"/>
      <c r="H33" s="271"/>
      <c r="I33" s="266"/>
      <c r="J33" s="281"/>
      <c r="K33" s="267"/>
      <c r="L33" s="189"/>
      <c r="M33" s="194"/>
      <c r="N33" s="194"/>
      <c r="O33" s="268">
        <f t="shared" si="0"/>
        <v>0</v>
      </c>
      <c r="P33" s="274"/>
      <c r="Q33" s="270">
        <f t="shared" si="1"/>
        <v>0</v>
      </c>
      <c r="R33" s="195"/>
      <c r="S33" s="195"/>
      <c r="T33" s="195"/>
    </row>
    <row r="34" spans="1:20" ht="20.100000000000001" customHeight="1" x14ac:dyDescent="0.25">
      <c r="A34" s="75"/>
      <c r="B34" s="133"/>
      <c r="C34" s="138"/>
      <c r="D34" s="139"/>
      <c r="E34" s="78"/>
      <c r="F34" s="110"/>
      <c r="G34" s="273"/>
      <c r="H34" s="271"/>
      <c r="I34" s="266"/>
      <c r="J34" s="194"/>
      <c r="K34" s="267"/>
      <c r="L34" s="189"/>
      <c r="M34" s="194"/>
      <c r="N34" s="194"/>
      <c r="O34" s="268">
        <f t="shared" si="0"/>
        <v>0</v>
      </c>
      <c r="P34" s="274"/>
      <c r="Q34" s="270">
        <f t="shared" si="1"/>
        <v>0</v>
      </c>
      <c r="R34" s="195"/>
      <c r="S34" s="195"/>
      <c r="T34" s="195"/>
    </row>
    <row r="35" spans="1:20" ht="39.75" customHeight="1" x14ac:dyDescent="0.25">
      <c r="A35" s="75"/>
      <c r="B35" s="133"/>
      <c r="C35" s="170" t="s">
        <v>2306</v>
      </c>
      <c r="D35" s="247"/>
      <c r="E35" s="85"/>
      <c r="F35" s="248"/>
      <c r="G35" s="275"/>
      <c r="H35" s="276"/>
      <c r="I35" s="277"/>
      <c r="J35" s="278"/>
      <c r="K35" s="267"/>
      <c r="L35" s="302">
        <v>350000</v>
      </c>
      <c r="M35" s="278"/>
      <c r="N35" s="278"/>
      <c r="O35" s="268">
        <f t="shared" si="0"/>
        <v>350000</v>
      </c>
      <c r="P35" s="279"/>
      <c r="Q35" s="270">
        <f t="shared" si="1"/>
        <v>-350000</v>
      </c>
      <c r="R35" s="252"/>
      <c r="S35" s="195"/>
      <c r="T35" s="195"/>
    </row>
    <row r="36" spans="1:20" ht="39.75" customHeight="1" x14ac:dyDescent="0.25">
      <c r="A36" s="75"/>
      <c r="B36" s="133"/>
      <c r="C36" s="170" t="s">
        <v>2307</v>
      </c>
      <c r="D36" s="247"/>
      <c r="E36" s="85"/>
      <c r="F36" s="248"/>
      <c r="G36" s="275"/>
      <c r="H36" s="276"/>
      <c r="I36" s="277"/>
      <c r="J36" s="278"/>
      <c r="K36" s="267"/>
      <c r="L36" s="302">
        <v>700000</v>
      </c>
      <c r="M36" s="278"/>
      <c r="N36" s="278"/>
      <c r="O36" s="268">
        <f t="shared" si="0"/>
        <v>700000</v>
      </c>
      <c r="P36" s="279"/>
      <c r="Q36" s="270">
        <f t="shared" si="1"/>
        <v>-700000</v>
      </c>
      <c r="R36" s="252"/>
      <c r="S36" s="195"/>
      <c r="T36" s="195"/>
    </row>
    <row r="37" spans="1:20" ht="39.75" customHeight="1" x14ac:dyDescent="0.25">
      <c r="A37" s="75"/>
      <c r="B37" s="133"/>
      <c r="C37" s="170" t="s">
        <v>2308</v>
      </c>
      <c r="D37" s="247"/>
      <c r="E37" s="85"/>
      <c r="F37" s="248"/>
      <c r="G37" s="275"/>
      <c r="H37" s="276"/>
      <c r="I37" s="277"/>
      <c r="J37" s="278"/>
      <c r="K37" s="267"/>
      <c r="L37" s="302">
        <v>4000000</v>
      </c>
      <c r="M37" s="278"/>
      <c r="N37" s="278"/>
      <c r="O37" s="268">
        <f t="shared" si="0"/>
        <v>4000000</v>
      </c>
      <c r="P37" s="279"/>
      <c r="Q37" s="270">
        <f t="shared" si="1"/>
        <v>-4000000</v>
      </c>
      <c r="R37" s="252"/>
      <c r="S37" s="195"/>
      <c r="T37" s="195"/>
    </row>
    <row r="38" spans="1:20" ht="39.75" customHeight="1" x14ac:dyDescent="0.25">
      <c r="A38" s="75"/>
      <c r="B38" s="133"/>
      <c r="C38" s="170" t="s">
        <v>2309</v>
      </c>
      <c r="D38" s="247"/>
      <c r="E38" s="85"/>
      <c r="F38" s="248"/>
      <c r="G38" s="275"/>
      <c r="H38" s="276"/>
      <c r="I38" s="277"/>
      <c r="J38" s="278"/>
      <c r="K38" s="267"/>
      <c r="L38" s="302">
        <v>2700000</v>
      </c>
      <c r="M38" s="278"/>
      <c r="N38" s="278"/>
      <c r="O38" s="268">
        <f t="shared" si="0"/>
        <v>2700000</v>
      </c>
      <c r="P38" s="279"/>
      <c r="Q38" s="270">
        <f t="shared" si="1"/>
        <v>-2700000</v>
      </c>
      <c r="R38" s="252"/>
      <c r="S38" s="195"/>
      <c r="T38" s="195"/>
    </row>
    <row r="39" spans="1:20" ht="39.75" customHeight="1" x14ac:dyDescent="0.25">
      <c r="A39" s="75"/>
      <c r="B39" s="133"/>
      <c r="C39" s="170" t="s">
        <v>2310</v>
      </c>
      <c r="D39" s="247"/>
      <c r="E39" s="85"/>
      <c r="F39" s="248"/>
      <c r="G39" s="275"/>
      <c r="H39" s="276"/>
      <c r="I39" s="277"/>
      <c r="J39" s="278"/>
      <c r="K39" s="267"/>
      <c r="L39" s="302"/>
      <c r="M39" s="278">
        <v>11600000</v>
      </c>
      <c r="N39" s="278"/>
      <c r="O39" s="268">
        <f t="shared" si="0"/>
        <v>11600000</v>
      </c>
      <c r="P39" s="279"/>
      <c r="Q39" s="270">
        <f t="shared" si="1"/>
        <v>-11600000</v>
      </c>
      <c r="R39" s="252"/>
      <c r="S39" s="195"/>
      <c r="T39" s="195"/>
    </row>
    <row r="40" spans="1:20" ht="39.75" customHeight="1" x14ac:dyDescent="0.25">
      <c r="A40" s="75"/>
      <c r="B40" s="133"/>
      <c r="C40" s="170" t="s">
        <v>2311</v>
      </c>
      <c r="D40" s="247"/>
      <c r="E40" s="85"/>
      <c r="F40" s="248"/>
      <c r="G40" s="275"/>
      <c r="H40" s="276"/>
      <c r="I40" s="277"/>
      <c r="J40" s="278"/>
      <c r="K40" s="267"/>
      <c r="L40" s="302">
        <v>5700000</v>
      </c>
      <c r="M40" s="278"/>
      <c r="N40" s="278"/>
      <c r="O40" s="268">
        <f t="shared" si="0"/>
        <v>5700000</v>
      </c>
      <c r="P40" s="279"/>
      <c r="Q40" s="270">
        <f t="shared" si="1"/>
        <v>-5700000</v>
      </c>
      <c r="R40" s="252"/>
      <c r="S40" s="195"/>
      <c r="T40" s="195"/>
    </row>
    <row r="41" spans="1:20" ht="18" customHeight="1" x14ac:dyDescent="0.25">
      <c r="A41" s="75"/>
      <c r="B41" s="133"/>
      <c r="C41" s="170" t="s">
        <v>1273</v>
      </c>
      <c r="D41" s="162"/>
      <c r="E41" s="153"/>
      <c r="F41" s="163"/>
      <c r="G41" s="281"/>
      <c r="H41" s="282"/>
      <c r="I41" s="280"/>
      <c r="J41" s="194"/>
      <c r="K41" s="267"/>
      <c r="L41" s="189">
        <v>1320000</v>
      </c>
      <c r="M41" s="194"/>
      <c r="N41" s="194"/>
      <c r="O41" s="268">
        <f t="shared" si="0"/>
        <v>1320000</v>
      </c>
      <c r="P41" s="264"/>
      <c r="Q41" s="270">
        <f t="shared" si="1"/>
        <v>-1320000</v>
      </c>
    </row>
    <row r="42" spans="1:20" ht="18" customHeight="1" x14ac:dyDescent="0.25">
      <c r="A42" s="134"/>
      <c r="B42" s="70"/>
      <c r="C42" s="108" t="s">
        <v>1386</v>
      </c>
      <c r="D42" s="87"/>
      <c r="E42" s="70"/>
      <c r="F42" s="110"/>
      <c r="G42" s="281"/>
      <c r="H42" s="282"/>
      <c r="I42" s="280"/>
      <c r="J42" s="194"/>
      <c r="K42" s="283">
        <v>9692308</v>
      </c>
      <c r="L42" s="284"/>
      <c r="M42" s="194"/>
      <c r="N42" s="194"/>
      <c r="O42" s="268">
        <f t="shared" si="0"/>
        <v>9692308</v>
      </c>
      <c r="P42" s="265"/>
      <c r="Q42" s="270">
        <f t="shared" si="1"/>
        <v>-9692308</v>
      </c>
    </row>
    <row r="43" spans="1:20" ht="18" customHeight="1" x14ac:dyDescent="0.25">
      <c r="A43" s="213"/>
      <c r="B43" s="214"/>
      <c r="C43" s="215" t="s">
        <v>2312</v>
      </c>
      <c r="D43" s="216"/>
      <c r="E43" s="214"/>
      <c r="F43" s="217"/>
      <c r="G43" s="285"/>
      <c r="H43" s="286"/>
      <c r="I43" s="287"/>
      <c r="J43" s="288"/>
      <c r="K43" s="289">
        <v>5000000</v>
      </c>
      <c r="L43" s="290"/>
      <c r="M43" s="288"/>
      <c r="N43" s="288"/>
      <c r="O43" s="268">
        <f t="shared" si="0"/>
        <v>5000000</v>
      </c>
      <c r="P43" s="285"/>
      <c r="Q43" s="270">
        <f t="shared" si="1"/>
        <v>-5000000</v>
      </c>
    </row>
    <row r="44" spans="1:20" x14ac:dyDescent="0.25">
      <c r="A44" s="547" t="s">
        <v>19</v>
      </c>
      <c r="B44" s="548"/>
      <c r="C44" s="548"/>
      <c r="D44" s="548"/>
      <c r="E44" s="548"/>
      <c r="F44" s="549"/>
      <c r="G44" s="305">
        <f>SUM(G8:G43)</f>
        <v>3425</v>
      </c>
      <c r="H44" s="291">
        <f>SUM(H7:H42)</f>
        <v>51032500</v>
      </c>
      <c r="I44" s="291">
        <f>SUM(I7:I42)</f>
        <v>0</v>
      </c>
      <c r="J44" s="291">
        <f>SUM(J7:J42)</f>
        <v>33210000</v>
      </c>
      <c r="K44" s="291">
        <f>SUM(K7:K43)</f>
        <v>14692308</v>
      </c>
      <c r="L44" s="291">
        <f>SUM(L7:L43)</f>
        <v>14770000</v>
      </c>
      <c r="M44" s="291">
        <f>SUM(M7:M42)</f>
        <v>11600000</v>
      </c>
      <c r="N44" s="291">
        <f>SUM(N7:N42)</f>
        <v>0</v>
      </c>
      <c r="O44" s="291">
        <f>SUM(O7:O43)</f>
        <v>125304808</v>
      </c>
      <c r="P44" s="291">
        <f>SUM(P7:P42)</f>
        <v>154792729</v>
      </c>
      <c r="Q44" s="297">
        <f>SUM(Q7:Q43)</f>
        <v>29487921</v>
      </c>
      <c r="R44" s="195"/>
      <c r="S44" s="195"/>
    </row>
    <row r="45" spans="1:20" x14ac:dyDescent="0.25">
      <c r="P45" s="294"/>
      <c r="Q45" s="295"/>
    </row>
    <row r="46" spans="1:20" x14ac:dyDescent="0.25">
      <c r="H46" s="294"/>
      <c r="P46" s="296" t="s">
        <v>1225</v>
      </c>
      <c r="Q46" s="304">
        <f>Q44</f>
        <v>29487921</v>
      </c>
    </row>
    <row r="47" spans="1:20" x14ac:dyDescent="0.25">
      <c r="Q47" s="294"/>
    </row>
    <row r="48" spans="1:20" x14ac:dyDescent="0.25">
      <c r="R48" s="195"/>
    </row>
  </sheetData>
  <mergeCells count="5">
    <mergeCell ref="A1:Q1"/>
    <mergeCell ref="A2:Q2"/>
    <mergeCell ref="A3:Q3"/>
    <mergeCell ref="G5:N5"/>
    <mergeCell ref="A44:F44"/>
  </mergeCells>
  <pageMargins left="0.7" right="0.7" top="0.75" bottom="0.75" header="0.3" footer="0.3"/>
  <pageSetup paperSize="9" orientation="portrait" horizontalDpi="0" verticalDpi="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T30"/>
  <sheetViews>
    <sheetView topLeftCell="D13" workbookViewId="0">
      <selection activeCell="Q29" sqref="Q29"/>
    </sheetView>
  </sheetViews>
  <sheetFormatPr defaultRowHeight="15" x14ac:dyDescent="0.25"/>
  <cols>
    <col min="1" max="1" width="4.5703125" customWidth="1"/>
    <col min="3" max="3" width="41.28515625" customWidth="1"/>
    <col min="4" max="4" width="16.5703125" customWidth="1"/>
    <col min="5" max="5" width="33.140625" customWidth="1"/>
    <col min="7" max="7" width="9.140625" style="292"/>
    <col min="8" max="8" width="10.140625" style="292" bestFit="1" customWidth="1"/>
    <col min="9" max="9" width="9.140625" style="293"/>
    <col min="10" max="14" width="9.140625" style="292"/>
    <col min="15" max="15" width="11.140625" style="292" customWidth="1"/>
    <col min="16" max="16" width="10.7109375" style="292" customWidth="1"/>
    <col min="17" max="17" width="12.28515625" style="292" customWidth="1"/>
    <col min="18" max="18" width="11.7109375" customWidth="1"/>
    <col min="19" max="19" width="18"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2313</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257"/>
      <c r="H4" s="258"/>
      <c r="I4" s="258"/>
      <c r="J4" s="258"/>
      <c r="K4" s="258"/>
      <c r="L4" s="258"/>
      <c r="M4" s="258"/>
      <c r="N4" s="258"/>
      <c r="O4" s="258"/>
      <c r="P4" s="258"/>
      <c r="Q4" s="258"/>
    </row>
    <row r="5" spans="1:20"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20" x14ac:dyDescent="0.25">
      <c r="A6" s="179"/>
      <c r="B6" s="180"/>
      <c r="C6" s="179"/>
      <c r="D6" s="179"/>
      <c r="E6" s="175"/>
      <c r="F6" s="175"/>
      <c r="G6" s="260" t="s">
        <v>7</v>
      </c>
      <c r="H6" s="261" t="s">
        <v>15</v>
      </c>
      <c r="I6" s="261" t="s">
        <v>16</v>
      </c>
      <c r="J6" s="261" t="s">
        <v>8</v>
      </c>
      <c r="K6" s="261" t="s">
        <v>9</v>
      </c>
      <c r="L6" s="261" t="s">
        <v>10</v>
      </c>
      <c r="M6" s="261" t="s">
        <v>11</v>
      </c>
      <c r="N6" s="261" t="s">
        <v>12</v>
      </c>
      <c r="O6" s="262"/>
      <c r="P6" s="262"/>
      <c r="Q6" s="262"/>
    </row>
    <row r="7" spans="1:20" x14ac:dyDescent="0.25">
      <c r="A7" s="75"/>
      <c r="B7" s="100"/>
      <c r="C7" s="88"/>
      <c r="D7" s="88"/>
      <c r="E7" s="134"/>
      <c r="F7" s="75"/>
      <c r="G7" s="263"/>
      <c r="H7" s="264"/>
      <c r="I7" s="264"/>
      <c r="J7" s="264"/>
      <c r="K7" s="264"/>
      <c r="L7" s="264"/>
      <c r="M7" s="264"/>
      <c r="N7" s="264"/>
      <c r="O7" s="264">
        <f>H7+J7+K7+L7+M7+N7</f>
        <v>0</v>
      </c>
      <c r="P7" s="265"/>
      <c r="Q7" s="264">
        <f>P7-O7</f>
        <v>0</v>
      </c>
    </row>
    <row r="8" spans="1:20" ht="20.100000000000001" customHeight="1" x14ac:dyDescent="0.25">
      <c r="A8" s="75">
        <v>1</v>
      </c>
      <c r="B8" s="133">
        <v>43508</v>
      </c>
      <c r="C8" s="135" t="s">
        <v>2314</v>
      </c>
      <c r="D8" s="136" t="s">
        <v>2322</v>
      </c>
      <c r="E8" s="78" t="s">
        <v>24</v>
      </c>
      <c r="F8" s="80"/>
      <c r="G8" s="234">
        <v>320</v>
      </c>
      <c r="H8" s="234">
        <f>G8*14900</f>
        <v>4768000</v>
      </c>
      <c r="I8" s="266"/>
      <c r="J8" s="223">
        <v>1890000</v>
      </c>
      <c r="K8" s="267"/>
      <c r="L8" s="189"/>
      <c r="M8" s="189"/>
      <c r="N8" s="189"/>
      <c r="O8" s="268">
        <f>H8+J8+K8+L8+M8+N8</f>
        <v>6658000</v>
      </c>
      <c r="P8" s="272">
        <v>7500000</v>
      </c>
      <c r="Q8" s="270">
        <f>P8-O8</f>
        <v>842000</v>
      </c>
      <c r="R8" s="195"/>
      <c r="S8" s="195"/>
      <c r="T8" s="195"/>
    </row>
    <row r="9" spans="1:20" ht="20.100000000000001" customHeight="1" x14ac:dyDescent="0.25">
      <c r="A9" s="75">
        <v>2</v>
      </c>
      <c r="B9" s="133">
        <v>43509</v>
      </c>
      <c r="C9" s="135" t="s">
        <v>2315</v>
      </c>
      <c r="D9" s="172" t="s">
        <v>2323</v>
      </c>
      <c r="E9" s="78" t="s">
        <v>88</v>
      </c>
      <c r="F9" s="80"/>
      <c r="G9" s="234"/>
      <c r="H9" s="234"/>
      <c r="I9" s="266"/>
      <c r="J9" s="223">
        <v>790000</v>
      </c>
      <c r="K9" s="267"/>
      <c r="L9" s="189"/>
      <c r="M9" s="189"/>
      <c r="N9" s="189"/>
      <c r="O9" s="268">
        <f t="shared" ref="O9:O25" si="0">H9+J9+K9+L9+M9+N9</f>
        <v>790000</v>
      </c>
      <c r="P9" s="272">
        <v>4000000</v>
      </c>
      <c r="Q9" s="270">
        <f t="shared" ref="Q9:Q25" si="1">P9-O9</f>
        <v>3210000</v>
      </c>
      <c r="R9" s="195"/>
      <c r="S9" s="195"/>
      <c r="T9" s="195"/>
    </row>
    <row r="10" spans="1:20" ht="20.100000000000001" customHeight="1" x14ac:dyDescent="0.25">
      <c r="A10" s="75">
        <v>3</v>
      </c>
      <c r="B10" s="133">
        <v>43510</v>
      </c>
      <c r="C10" s="135" t="s">
        <v>2316</v>
      </c>
      <c r="D10" s="136" t="s">
        <v>2324</v>
      </c>
      <c r="E10" s="78" t="s">
        <v>2334</v>
      </c>
      <c r="F10" s="80"/>
      <c r="G10" s="234">
        <v>255</v>
      </c>
      <c r="H10" s="234">
        <f t="shared" ref="H10:H20" si="2">G10*14900</f>
        <v>3799500</v>
      </c>
      <c r="I10" s="266"/>
      <c r="J10" s="223">
        <v>1000000</v>
      </c>
      <c r="K10" s="267"/>
      <c r="L10" s="189"/>
      <c r="M10" s="189"/>
      <c r="N10" s="189"/>
      <c r="O10" s="268">
        <f t="shared" si="0"/>
        <v>4799500</v>
      </c>
      <c r="P10" s="272">
        <v>6600000</v>
      </c>
      <c r="Q10" s="270">
        <f t="shared" si="1"/>
        <v>1800500</v>
      </c>
      <c r="R10" s="195"/>
      <c r="S10" s="195"/>
      <c r="T10" s="195"/>
    </row>
    <row r="11" spans="1:20" ht="20.100000000000001" customHeight="1" x14ac:dyDescent="0.25">
      <c r="A11" s="75">
        <v>4</v>
      </c>
      <c r="B11" s="133">
        <v>43511</v>
      </c>
      <c r="C11" s="135" t="s">
        <v>2317</v>
      </c>
      <c r="D11" s="136" t="s">
        <v>946</v>
      </c>
      <c r="E11" s="78" t="s">
        <v>1617</v>
      </c>
      <c r="F11" s="80"/>
      <c r="G11" s="234"/>
      <c r="H11" s="234"/>
      <c r="I11" s="266"/>
      <c r="J11" s="223">
        <f>790000+360000</f>
        <v>1150000</v>
      </c>
      <c r="K11" s="267"/>
      <c r="L11" s="189"/>
      <c r="M11" s="189"/>
      <c r="N11" s="189"/>
      <c r="O11" s="268">
        <f t="shared" si="0"/>
        <v>1150000</v>
      </c>
      <c r="P11" s="272">
        <v>3530000</v>
      </c>
      <c r="Q11" s="270">
        <f t="shared" si="1"/>
        <v>2380000</v>
      </c>
      <c r="R11" s="195"/>
      <c r="S11" s="195"/>
      <c r="T11" s="195"/>
    </row>
    <row r="12" spans="1:20" ht="20.100000000000001" customHeight="1" x14ac:dyDescent="0.25">
      <c r="A12" s="75">
        <v>5</v>
      </c>
      <c r="B12" s="133">
        <v>43512</v>
      </c>
      <c r="C12" s="135" t="s">
        <v>162</v>
      </c>
      <c r="D12" s="136" t="s">
        <v>2325</v>
      </c>
      <c r="E12" s="78" t="s">
        <v>29</v>
      </c>
      <c r="F12" s="80"/>
      <c r="G12" s="234"/>
      <c r="H12" s="234"/>
      <c r="I12" s="266"/>
      <c r="J12" s="223">
        <v>970000</v>
      </c>
      <c r="K12" s="267"/>
      <c r="L12" s="189"/>
      <c r="M12" s="189"/>
      <c r="N12" s="189"/>
      <c r="O12" s="268">
        <f t="shared" si="0"/>
        <v>970000</v>
      </c>
      <c r="P12" s="272">
        <v>3900000</v>
      </c>
      <c r="Q12" s="270">
        <f t="shared" si="1"/>
        <v>2930000</v>
      </c>
      <c r="R12" s="195"/>
      <c r="S12" s="195"/>
      <c r="T12" s="195"/>
    </row>
    <row r="13" spans="1:20" ht="20.100000000000001" customHeight="1" x14ac:dyDescent="0.25">
      <c r="A13" s="75">
        <v>6</v>
      </c>
      <c r="B13" s="133">
        <v>43515</v>
      </c>
      <c r="C13" s="135" t="s">
        <v>167</v>
      </c>
      <c r="D13" s="136" t="s">
        <v>2326</v>
      </c>
      <c r="E13" s="78" t="s">
        <v>29</v>
      </c>
      <c r="F13" s="80"/>
      <c r="G13" s="234">
        <v>275</v>
      </c>
      <c r="H13" s="234">
        <f t="shared" si="2"/>
        <v>4097500</v>
      </c>
      <c r="I13" s="266"/>
      <c r="J13" s="223">
        <v>970000</v>
      </c>
      <c r="K13" s="267"/>
      <c r="L13" s="189"/>
      <c r="M13" s="189"/>
      <c r="N13" s="189"/>
      <c r="O13" s="268">
        <f t="shared" si="0"/>
        <v>5067500</v>
      </c>
      <c r="P13" s="272">
        <v>3900000</v>
      </c>
      <c r="Q13" s="270">
        <f t="shared" si="1"/>
        <v>-1167500</v>
      </c>
      <c r="R13" s="195"/>
      <c r="S13" s="195"/>
      <c r="T13" s="195"/>
    </row>
    <row r="14" spans="1:20" ht="20.100000000000001" customHeight="1" x14ac:dyDescent="0.25">
      <c r="A14" s="75">
        <v>7</v>
      </c>
      <c r="B14" s="133">
        <v>43516</v>
      </c>
      <c r="C14" s="135" t="s">
        <v>2318</v>
      </c>
      <c r="D14" s="136" t="s">
        <v>2327</v>
      </c>
      <c r="E14" s="78" t="s">
        <v>2120</v>
      </c>
      <c r="F14" s="80"/>
      <c r="G14" s="234"/>
      <c r="H14" s="234"/>
      <c r="I14" s="266"/>
      <c r="J14" s="223">
        <v>1720000</v>
      </c>
      <c r="K14" s="267"/>
      <c r="L14" s="189"/>
      <c r="M14" s="189"/>
      <c r="N14" s="189"/>
      <c r="O14" s="268">
        <f t="shared" si="0"/>
        <v>1720000</v>
      </c>
      <c r="P14" s="272">
        <v>8300000</v>
      </c>
      <c r="Q14" s="270">
        <f t="shared" si="1"/>
        <v>6580000</v>
      </c>
      <c r="R14" s="195"/>
      <c r="S14" s="195"/>
      <c r="T14" s="195"/>
    </row>
    <row r="15" spans="1:20" ht="20.100000000000001" customHeight="1" x14ac:dyDescent="0.25">
      <c r="A15" s="75">
        <v>8</v>
      </c>
      <c r="B15" s="133">
        <v>43517</v>
      </c>
      <c r="C15" s="135" t="s">
        <v>2319</v>
      </c>
      <c r="D15" s="136" t="s">
        <v>2328</v>
      </c>
      <c r="E15" s="78" t="s">
        <v>88</v>
      </c>
      <c r="F15" s="80"/>
      <c r="G15" s="234">
        <v>300</v>
      </c>
      <c r="H15" s="234">
        <f t="shared" si="2"/>
        <v>4470000</v>
      </c>
      <c r="I15" s="266"/>
      <c r="J15" s="223">
        <v>790000</v>
      </c>
      <c r="K15" s="267"/>
      <c r="L15" s="189"/>
      <c r="M15" s="189"/>
      <c r="N15" s="189"/>
      <c r="O15" s="268">
        <f t="shared" si="0"/>
        <v>5260000</v>
      </c>
      <c r="P15" s="272">
        <v>4000000</v>
      </c>
      <c r="Q15" s="270">
        <f t="shared" si="1"/>
        <v>-1260000</v>
      </c>
      <c r="R15" s="195"/>
      <c r="S15" s="195"/>
      <c r="T15" s="195"/>
    </row>
    <row r="16" spans="1:20" ht="20.100000000000001" customHeight="1" x14ac:dyDescent="0.25">
      <c r="A16" s="75">
        <v>9</v>
      </c>
      <c r="B16" s="133">
        <v>43518</v>
      </c>
      <c r="C16" s="135" t="s">
        <v>2320</v>
      </c>
      <c r="D16" s="136" t="s">
        <v>2329</v>
      </c>
      <c r="E16" s="78" t="s">
        <v>88</v>
      </c>
      <c r="F16" s="80"/>
      <c r="G16" s="234">
        <v>100</v>
      </c>
      <c r="H16" s="234">
        <f t="shared" si="2"/>
        <v>1490000</v>
      </c>
      <c r="I16" s="266"/>
      <c r="J16" s="223">
        <v>790000</v>
      </c>
      <c r="K16" s="267"/>
      <c r="L16" s="189"/>
      <c r="M16" s="189"/>
      <c r="N16" s="189"/>
      <c r="O16" s="268">
        <f t="shared" si="0"/>
        <v>2280000</v>
      </c>
      <c r="P16" s="272">
        <v>4000000</v>
      </c>
      <c r="Q16" s="270">
        <f t="shared" si="1"/>
        <v>1720000</v>
      </c>
      <c r="R16" s="195"/>
      <c r="S16" s="195"/>
      <c r="T16" s="195"/>
    </row>
    <row r="17" spans="1:20" ht="20.100000000000001" customHeight="1" x14ac:dyDescent="0.25">
      <c r="A17" s="75">
        <v>10</v>
      </c>
      <c r="B17" s="133">
        <v>43519</v>
      </c>
      <c r="C17" s="135" t="s">
        <v>931</v>
      </c>
      <c r="D17" s="136" t="s">
        <v>2330</v>
      </c>
      <c r="E17" s="78" t="s">
        <v>2335</v>
      </c>
      <c r="F17" s="80"/>
      <c r="G17" s="234"/>
      <c r="H17" s="234"/>
      <c r="I17" s="266"/>
      <c r="J17" s="223">
        <v>650000</v>
      </c>
      <c r="K17" s="267"/>
      <c r="L17" s="189"/>
      <c r="M17" s="189"/>
      <c r="N17" s="189"/>
      <c r="O17" s="268">
        <f t="shared" si="0"/>
        <v>650000</v>
      </c>
      <c r="P17" s="272">
        <v>2800000</v>
      </c>
      <c r="Q17" s="270">
        <f t="shared" si="1"/>
        <v>2150000</v>
      </c>
      <c r="R17" s="195"/>
      <c r="S17" s="195"/>
      <c r="T17" s="195"/>
    </row>
    <row r="18" spans="1:20" ht="20.100000000000001" customHeight="1" x14ac:dyDescent="0.25">
      <c r="A18" s="75">
        <v>11</v>
      </c>
      <c r="B18" s="133">
        <v>43521</v>
      </c>
      <c r="C18" s="135" t="s">
        <v>170</v>
      </c>
      <c r="D18" s="136" t="s">
        <v>2331</v>
      </c>
      <c r="E18" s="78" t="s">
        <v>566</v>
      </c>
      <c r="F18" s="80"/>
      <c r="G18" s="234"/>
      <c r="H18" s="234"/>
      <c r="I18" s="266"/>
      <c r="J18" s="223">
        <v>790000</v>
      </c>
      <c r="K18" s="267"/>
      <c r="L18" s="189"/>
      <c r="M18" s="189"/>
      <c r="N18" s="189"/>
      <c r="O18" s="268">
        <f t="shared" si="0"/>
        <v>790000</v>
      </c>
      <c r="P18" s="272">
        <v>4000000</v>
      </c>
      <c r="Q18" s="270">
        <f t="shared" si="1"/>
        <v>3210000</v>
      </c>
      <c r="R18" s="195"/>
      <c r="S18" s="195"/>
      <c r="T18" s="195"/>
    </row>
    <row r="19" spans="1:20" ht="20.100000000000001" customHeight="1" x14ac:dyDescent="0.25">
      <c r="A19" s="75">
        <v>12</v>
      </c>
      <c r="B19" s="133">
        <v>43522</v>
      </c>
      <c r="C19" s="135" t="s">
        <v>1643</v>
      </c>
      <c r="D19" s="136" t="s">
        <v>2332</v>
      </c>
      <c r="E19" s="78" t="s">
        <v>2336</v>
      </c>
      <c r="F19" s="80"/>
      <c r="G19" s="234"/>
      <c r="H19" s="234"/>
      <c r="I19" s="266"/>
      <c r="J19" s="223">
        <v>1510000</v>
      </c>
      <c r="K19" s="267"/>
      <c r="L19" s="189"/>
      <c r="M19" s="189"/>
      <c r="N19" s="189"/>
      <c r="O19" s="268">
        <f t="shared" si="0"/>
        <v>1510000</v>
      </c>
      <c r="P19" s="272">
        <v>5800000</v>
      </c>
      <c r="Q19" s="270">
        <f t="shared" si="1"/>
        <v>4290000</v>
      </c>
      <c r="R19" s="195"/>
      <c r="S19" s="195"/>
      <c r="T19" s="195"/>
    </row>
    <row r="20" spans="1:20" ht="20.100000000000001" customHeight="1" x14ac:dyDescent="0.25">
      <c r="A20" s="75">
        <v>13</v>
      </c>
      <c r="B20" s="133">
        <v>43523</v>
      </c>
      <c r="C20" s="135" t="s">
        <v>2321</v>
      </c>
      <c r="D20" s="136" t="s">
        <v>2333</v>
      </c>
      <c r="E20" s="78" t="s">
        <v>29</v>
      </c>
      <c r="F20" s="80"/>
      <c r="G20" s="234">
        <v>310</v>
      </c>
      <c r="H20" s="234">
        <f t="shared" si="2"/>
        <v>4619000</v>
      </c>
      <c r="I20" s="266"/>
      <c r="J20" s="223">
        <v>970000</v>
      </c>
      <c r="K20" s="267"/>
      <c r="L20" s="189"/>
      <c r="M20" s="189"/>
      <c r="N20" s="189"/>
      <c r="O20" s="268">
        <f t="shared" si="0"/>
        <v>5589000</v>
      </c>
      <c r="P20" s="272">
        <v>3900000</v>
      </c>
      <c r="Q20" s="270">
        <f t="shared" si="1"/>
        <v>-1689000</v>
      </c>
      <c r="R20" s="195"/>
      <c r="S20" s="195"/>
      <c r="T20" s="195"/>
    </row>
    <row r="21" spans="1:20" ht="20.100000000000001" customHeight="1" x14ac:dyDescent="0.25">
      <c r="A21" s="75"/>
      <c r="B21" s="133"/>
      <c r="C21" s="138"/>
      <c r="D21" s="139"/>
      <c r="E21" s="78"/>
      <c r="F21" s="110"/>
      <c r="G21" s="273"/>
      <c r="H21" s="271"/>
      <c r="I21" s="266"/>
      <c r="J21" s="281"/>
      <c r="K21" s="267"/>
      <c r="L21" s="189"/>
      <c r="M21" s="194"/>
      <c r="N21" s="194"/>
      <c r="O21" s="268">
        <f t="shared" si="0"/>
        <v>0</v>
      </c>
      <c r="P21" s="274"/>
      <c r="Q21" s="270">
        <f t="shared" si="1"/>
        <v>0</v>
      </c>
      <c r="R21" s="195"/>
      <c r="S21" s="195"/>
      <c r="T21" s="195"/>
    </row>
    <row r="22" spans="1:20" ht="20.100000000000001" customHeight="1" x14ac:dyDescent="0.25">
      <c r="A22" s="75"/>
      <c r="B22" s="133"/>
      <c r="C22" s="138"/>
      <c r="D22" s="139"/>
      <c r="E22" s="78"/>
      <c r="F22" s="110"/>
      <c r="G22" s="273"/>
      <c r="H22" s="271"/>
      <c r="I22" s="266"/>
      <c r="J22" s="194"/>
      <c r="K22" s="267"/>
      <c r="L22" s="189"/>
      <c r="M22" s="194"/>
      <c r="N22" s="194"/>
      <c r="O22" s="268">
        <f t="shared" si="0"/>
        <v>0</v>
      </c>
      <c r="P22" s="274"/>
      <c r="Q22" s="270">
        <f t="shared" si="1"/>
        <v>0</v>
      </c>
      <c r="R22" s="195"/>
      <c r="S22" s="195"/>
      <c r="T22" s="195"/>
    </row>
    <row r="23" spans="1:20" ht="18" customHeight="1" x14ac:dyDescent="0.25">
      <c r="A23" s="75"/>
      <c r="B23" s="133"/>
      <c r="C23" s="170" t="s">
        <v>1273</v>
      </c>
      <c r="D23" s="162"/>
      <c r="E23" s="153"/>
      <c r="F23" s="163"/>
      <c r="G23" s="281"/>
      <c r="H23" s="282"/>
      <c r="I23" s="280"/>
      <c r="J23" s="194"/>
      <c r="K23" s="267"/>
      <c r="L23" s="189">
        <v>1320000</v>
      </c>
      <c r="M23" s="194"/>
      <c r="N23" s="194"/>
      <c r="O23" s="268">
        <f t="shared" si="0"/>
        <v>1320000</v>
      </c>
      <c r="P23" s="264"/>
      <c r="Q23" s="270">
        <f t="shared" si="1"/>
        <v>-1320000</v>
      </c>
    </row>
    <row r="24" spans="1:20" ht="18" customHeight="1" x14ac:dyDescent="0.25">
      <c r="A24" s="134"/>
      <c r="B24" s="70"/>
      <c r="C24" s="108" t="s">
        <v>1386</v>
      </c>
      <c r="D24" s="87"/>
      <c r="E24" s="70"/>
      <c r="F24" s="110"/>
      <c r="G24" s="281"/>
      <c r="H24" s="282"/>
      <c r="I24" s="280"/>
      <c r="J24" s="194"/>
      <c r="K24" s="283">
        <v>4875000</v>
      </c>
      <c r="L24" s="284"/>
      <c r="M24" s="194"/>
      <c r="N24" s="194"/>
      <c r="O24" s="268">
        <f t="shared" si="0"/>
        <v>4875000</v>
      </c>
      <c r="P24" s="265"/>
      <c r="Q24" s="270">
        <f t="shared" si="1"/>
        <v>-4875000</v>
      </c>
    </row>
    <row r="25" spans="1:20" ht="18" customHeight="1" x14ac:dyDescent="0.25">
      <c r="A25" s="213"/>
      <c r="B25" s="214"/>
      <c r="C25" s="215" t="s">
        <v>2337</v>
      </c>
      <c r="D25" s="216"/>
      <c r="E25" s="214"/>
      <c r="F25" s="217"/>
      <c r="G25" s="285"/>
      <c r="H25" s="286"/>
      <c r="I25" s="287"/>
      <c r="J25" s="288"/>
      <c r="K25" s="289">
        <v>300000</v>
      </c>
      <c r="L25" s="290"/>
      <c r="M25" s="288"/>
      <c r="N25" s="288"/>
      <c r="O25" s="268">
        <f t="shared" si="0"/>
        <v>300000</v>
      </c>
      <c r="P25" s="285"/>
      <c r="Q25" s="270">
        <f t="shared" si="1"/>
        <v>-300000</v>
      </c>
    </row>
    <row r="26" spans="1:20" x14ac:dyDescent="0.25">
      <c r="A26" s="547" t="s">
        <v>19</v>
      </c>
      <c r="B26" s="548"/>
      <c r="C26" s="548"/>
      <c r="D26" s="548"/>
      <c r="E26" s="548"/>
      <c r="F26" s="549"/>
      <c r="G26" s="305">
        <f>SUM(G8:G25)</f>
        <v>1560</v>
      </c>
      <c r="H26" s="291">
        <f>SUM(H7:H24)</f>
        <v>23244000</v>
      </c>
      <c r="I26" s="291">
        <f>SUM(I7:I24)</f>
        <v>0</v>
      </c>
      <c r="J26" s="291">
        <f>SUM(J7:J24)</f>
        <v>13990000</v>
      </c>
      <c r="K26" s="291">
        <f>SUM(K7:K25)</f>
        <v>5175000</v>
      </c>
      <c r="L26" s="291">
        <f>SUM(L7:L25)</f>
        <v>1320000</v>
      </c>
      <c r="M26" s="291">
        <f>SUM(M7:M24)</f>
        <v>0</v>
      </c>
      <c r="N26" s="291">
        <f>SUM(N7:N24)</f>
        <v>0</v>
      </c>
      <c r="O26" s="291">
        <f>SUM(O7:O25)</f>
        <v>43729000</v>
      </c>
      <c r="P26" s="291">
        <f>SUM(P7:P24)</f>
        <v>62230000</v>
      </c>
      <c r="Q26" s="297">
        <f>SUM(Q7:Q25)</f>
        <v>18501000</v>
      </c>
      <c r="R26" s="195"/>
      <c r="S26" s="195"/>
    </row>
    <row r="27" spans="1:20" x14ac:dyDescent="0.25">
      <c r="P27" s="294"/>
      <c r="Q27" s="295"/>
    </row>
    <row r="28" spans="1:20" x14ac:dyDescent="0.25">
      <c r="H28" s="294"/>
      <c r="P28" s="296" t="s">
        <v>1225</v>
      </c>
      <c r="Q28" s="304">
        <f>'1.2019'!Q46+'2.2019'!Q26</f>
        <v>47988921</v>
      </c>
    </row>
    <row r="29" spans="1:20" x14ac:dyDescent="0.25">
      <c r="Q29" s="294"/>
    </row>
    <row r="30" spans="1:20" x14ac:dyDescent="0.25">
      <c r="R30" s="195"/>
    </row>
  </sheetData>
  <mergeCells count="5">
    <mergeCell ref="A1:Q1"/>
    <mergeCell ref="A2:Q2"/>
    <mergeCell ref="A3:Q3"/>
    <mergeCell ref="G5:N5"/>
    <mergeCell ref="A26:F26"/>
  </mergeCells>
  <pageMargins left="0.7" right="0.7" top="0.75" bottom="0.75" header="0.3" footer="0.3"/>
  <pageSetup paperSize="9" orientation="portrait" horizontalDpi="0" verticalDpi="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T50"/>
  <sheetViews>
    <sheetView topLeftCell="D37" workbookViewId="0">
      <selection activeCell="K25" sqref="K25"/>
    </sheetView>
  </sheetViews>
  <sheetFormatPr defaultRowHeight="15" x14ac:dyDescent="0.25"/>
  <cols>
    <col min="1" max="1" width="4.5703125" customWidth="1"/>
    <col min="3" max="3" width="41.28515625" customWidth="1"/>
    <col min="4" max="4" width="16.5703125" customWidth="1"/>
    <col min="5" max="5" width="33.140625" customWidth="1"/>
    <col min="7" max="7" width="9.140625" style="292"/>
    <col min="8" max="8" width="10.140625" style="292" bestFit="1" customWidth="1"/>
    <col min="9" max="9" width="9.140625" style="293"/>
    <col min="10" max="10" width="9.140625" style="292"/>
    <col min="11" max="11" width="9.42578125" style="292" bestFit="1" customWidth="1"/>
    <col min="12" max="12" width="9.140625" style="173"/>
    <col min="13" max="14" width="9.140625" style="292"/>
    <col min="15" max="15" width="11.140625" style="292" customWidth="1"/>
    <col min="16" max="16" width="10.7109375" style="292" customWidth="1"/>
    <col min="17" max="17" width="12.28515625" style="292" customWidth="1"/>
    <col min="18" max="18" width="11.7109375" customWidth="1"/>
    <col min="19" max="19" width="18"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2338</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257"/>
      <c r="H4" s="258"/>
      <c r="I4" s="258"/>
      <c r="J4" s="258"/>
      <c r="K4" s="258"/>
      <c r="L4" s="91"/>
      <c r="M4" s="258"/>
      <c r="N4" s="258"/>
      <c r="O4" s="258"/>
      <c r="P4" s="258"/>
      <c r="Q4" s="258"/>
    </row>
    <row r="5" spans="1:20"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20"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20" ht="15.75" thickBot="1" x14ac:dyDescent="0.3">
      <c r="A7" s="75"/>
      <c r="B7" s="100"/>
      <c r="C7" s="88"/>
      <c r="D7" s="88"/>
      <c r="E7" s="134"/>
      <c r="F7" s="75"/>
      <c r="G7" s="263"/>
      <c r="H7" s="264"/>
      <c r="I7" s="264"/>
      <c r="J7" s="264"/>
      <c r="K7" s="264"/>
      <c r="L7" s="308"/>
      <c r="M7" s="264"/>
      <c r="N7" s="264"/>
      <c r="O7" s="264">
        <f>H7+J7+K7+L7+M7+N7</f>
        <v>0</v>
      </c>
      <c r="P7" s="265"/>
      <c r="Q7" s="264">
        <f>P7-O7</f>
        <v>0</v>
      </c>
    </row>
    <row r="8" spans="1:20" ht="20.100000000000001" customHeight="1" thickBot="1" x14ac:dyDescent="0.3">
      <c r="A8" s="75">
        <v>1</v>
      </c>
      <c r="B8" s="133">
        <v>43525</v>
      </c>
      <c r="C8" s="135" t="s">
        <v>2339</v>
      </c>
      <c r="D8" s="136" t="s">
        <v>2357</v>
      </c>
      <c r="E8" s="78" t="s">
        <v>1212</v>
      </c>
      <c r="F8" s="80"/>
      <c r="G8" s="234">
        <v>320</v>
      </c>
      <c r="H8" s="234">
        <f>G8*14900</f>
        <v>4768000</v>
      </c>
      <c r="I8" s="266"/>
      <c r="J8" s="263">
        <f>2380000+2000000</f>
        <v>4380000</v>
      </c>
      <c r="K8" s="267"/>
      <c r="L8" s="156"/>
      <c r="M8" s="189"/>
      <c r="N8" s="189"/>
      <c r="O8" s="268">
        <f>H8+J8+K8+L8+M8+N8</f>
        <v>9148000</v>
      </c>
      <c r="P8" s="272">
        <v>14090909</v>
      </c>
      <c r="Q8" s="270">
        <f>P8-O8</f>
        <v>4942909</v>
      </c>
      <c r="R8" s="195"/>
      <c r="S8" s="310"/>
      <c r="T8" s="195"/>
    </row>
    <row r="9" spans="1:20" ht="20.100000000000001" customHeight="1" thickBot="1" x14ac:dyDescent="0.3">
      <c r="A9" s="75">
        <v>2</v>
      </c>
      <c r="B9" s="133">
        <v>43526</v>
      </c>
      <c r="C9" s="135" t="s">
        <v>2340</v>
      </c>
      <c r="D9" s="172" t="s">
        <v>2358</v>
      </c>
      <c r="E9" s="78" t="s">
        <v>88</v>
      </c>
      <c r="F9" s="80"/>
      <c r="G9" s="234"/>
      <c r="H9" s="234"/>
      <c r="I9" s="266"/>
      <c r="J9" s="263">
        <v>790000</v>
      </c>
      <c r="K9" s="267"/>
      <c r="L9" s="156"/>
      <c r="M9" s="189"/>
      <c r="N9" s="189"/>
      <c r="O9" s="268">
        <f t="shared" ref="O9:O45" si="0">H9+J9+K9+L9+M9+N9</f>
        <v>790000</v>
      </c>
      <c r="P9" s="272">
        <v>4000000</v>
      </c>
      <c r="Q9" s="270">
        <f t="shared" ref="Q9:Q45" si="1">P9-O9</f>
        <v>3210000</v>
      </c>
      <c r="R9" s="195"/>
      <c r="S9" s="310"/>
      <c r="T9" s="195"/>
    </row>
    <row r="10" spans="1:20" ht="20.100000000000001" customHeight="1" thickBot="1" x14ac:dyDescent="0.3">
      <c r="A10" s="75">
        <v>3</v>
      </c>
      <c r="B10" s="133">
        <v>43528</v>
      </c>
      <c r="C10" s="135" t="s">
        <v>2341</v>
      </c>
      <c r="D10" s="136" t="s">
        <v>2359</v>
      </c>
      <c r="E10" s="78" t="s">
        <v>501</v>
      </c>
      <c r="F10" s="80"/>
      <c r="G10" s="234">
        <v>200</v>
      </c>
      <c r="H10" s="234">
        <f>G10*15860</f>
        <v>3172000</v>
      </c>
      <c r="I10" s="266"/>
      <c r="J10" s="263">
        <v>1270000</v>
      </c>
      <c r="K10" s="267"/>
      <c r="L10" s="156"/>
      <c r="M10" s="189"/>
      <c r="N10" s="189"/>
      <c r="O10" s="268">
        <f t="shared" si="0"/>
        <v>4442000</v>
      </c>
      <c r="P10" s="272">
        <v>3100000</v>
      </c>
      <c r="Q10" s="270">
        <f t="shared" si="1"/>
        <v>-1342000</v>
      </c>
      <c r="R10" s="195"/>
      <c r="S10" s="310"/>
      <c r="T10" s="195"/>
    </row>
    <row r="11" spans="1:20" ht="20.100000000000001" customHeight="1" thickBot="1" x14ac:dyDescent="0.3">
      <c r="A11" s="75">
        <v>4</v>
      </c>
      <c r="B11" s="133">
        <v>43528</v>
      </c>
      <c r="C11" s="135" t="s">
        <v>2342</v>
      </c>
      <c r="D11" s="136" t="s">
        <v>2360</v>
      </c>
      <c r="E11" s="78" t="s">
        <v>1540</v>
      </c>
      <c r="F11" s="80"/>
      <c r="G11" s="234"/>
      <c r="H11" s="234"/>
      <c r="I11" s="266"/>
      <c r="J11" s="263">
        <v>0</v>
      </c>
      <c r="K11" s="267"/>
      <c r="L11" s="156"/>
      <c r="M11" s="189"/>
      <c r="N11" s="189"/>
      <c r="O11" s="268">
        <f t="shared" si="0"/>
        <v>0</v>
      </c>
      <c r="P11" s="272">
        <v>4318182</v>
      </c>
      <c r="Q11" s="270">
        <f t="shared" si="1"/>
        <v>4318182</v>
      </c>
      <c r="R11" s="195"/>
      <c r="S11" s="310"/>
      <c r="T11" s="195"/>
    </row>
    <row r="12" spans="1:20" ht="20.100000000000001" customHeight="1" thickBot="1" x14ac:dyDescent="0.3">
      <c r="A12" s="75">
        <v>5</v>
      </c>
      <c r="B12" s="133">
        <v>43529</v>
      </c>
      <c r="C12" s="135" t="s">
        <v>2343</v>
      </c>
      <c r="D12" s="136" t="s">
        <v>2361</v>
      </c>
      <c r="E12" s="78" t="s">
        <v>2382</v>
      </c>
      <c r="F12" s="80"/>
      <c r="G12" s="234"/>
      <c r="H12" s="234"/>
      <c r="I12" s="266"/>
      <c r="J12" s="263">
        <v>1510000</v>
      </c>
      <c r="K12" s="267"/>
      <c r="L12" s="156"/>
      <c r="M12" s="189"/>
      <c r="N12" s="189"/>
      <c r="O12" s="268">
        <f t="shared" si="0"/>
        <v>1510000</v>
      </c>
      <c r="P12" s="272">
        <v>6300000</v>
      </c>
      <c r="Q12" s="270">
        <f t="shared" si="1"/>
        <v>4790000</v>
      </c>
      <c r="R12" s="195"/>
      <c r="S12" s="310"/>
      <c r="T12" s="195"/>
    </row>
    <row r="13" spans="1:20" ht="20.100000000000001" customHeight="1" thickBot="1" x14ac:dyDescent="0.3">
      <c r="A13" s="75">
        <v>6</v>
      </c>
      <c r="B13" s="133">
        <v>43530</v>
      </c>
      <c r="C13" s="135" t="s">
        <v>971</v>
      </c>
      <c r="D13" s="136" t="s">
        <v>2362</v>
      </c>
      <c r="E13" s="78" t="s">
        <v>1663</v>
      </c>
      <c r="F13" s="80"/>
      <c r="G13" s="234">
        <v>290</v>
      </c>
      <c r="H13" s="234">
        <f t="shared" ref="H13:H33" si="2">G13*15860</f>
        <v>4599400</v>
      </c>
      <c r="I13" s="266"/>
      <c r="J13" s="263">
        <v>1160000</v>
      </c>
      <c r="K13" s="267"/>
      <c r="L13" s="156"/>
      <c r="M13" s="189"/>
      <c r="N13" s="189"/>
      <c r="O13" s="268">
        <f t="shared" si="0"/>
        <v>5759400</v>
      </c>
      <c r="P13" s="272">
        <v>4900000</v>
      </c>
      <c r="Q13" s="270">
        <f t="shared" si="1"/>
        <v>-859400</v>
      </c>
      <c r="R13" s="195"/>
      <c r="S13" s="310"/>
      <c r="T13" s="195"/>
    </row>
    <row r="14" spans="1:20" ht="20.100000000000001" customHeight="1" thickBot="1" x14ac:dyDescent="0.3">
      <c r="A14" s="75">
        <v>7</v>
      </c>
      <c r="B14" s="133">
        <v>43531</v>
      </c>
      <c r="C14" s="135" t="s">
        <v>208</v>
      </c>
      <c r="D14" s="136" t="s">
        <v>2363</v>
      </c>
      <c r="E14" s="78" t="s">
        <v>2383</v>
      </c>
      <c r="F14" s="80"/>
      <c r="G14" s="234"/>
      <c r="H14" s="234"/>
      <c r="I14" s="266"/>
      <c r="J14" s="263">
        <f>1750000-120000</f>
        <v>1630000</v>
      </c>
      <c r="K14" s="267"/>
      <c r="L14" s="156"/>
      <c r="M14" s="189"/>
      <c r="N14" s="189"/>
      <c r="O14" s="268">
        <f t="shared" si="0"/>
        <v>1630000</v>
      </c>
      <c r="P14" s="272">
        <v>6100000</v>
      </c>
      <c r="Q14" s="270">
        <f t="shared" si="1"/>
        <v>4470000</v>
      </c>
      <c r="R14" s="195"/>
      <c r="S14" s="310"/>
      <c r="T14" s="195"/>
    </row>
    <row r="15" spans="1:20" ht="20.100000000000001" customHeight="1" thickBot="1" x14ac:dyDescent="0.3">
      <c r="A15" s="75">
        <v>8</v>
      </c>
      <c r="B15" s="133">
        <v>43532</v>
      </c>
      <c r="C15" s="135" t="s">
        <v>2344</v>
      </c>
      <c r="D15" s="136" t="s">
        <v>2364</v>
      </c>
      <c r="E15" s="78" t="s">
        <v>2007</v>
      </c>
      <c r="F15" s="80"/>
      <c r="G15" s="234">
        <v>250</v>
      </c>
      <c r="H15" s="234">
        <f t="shared" si="2"/>
        <v>3965000</v>
      </c>
      <c r="I15" s="266"/>
      <c r="J15" s="263">
        <v>1150000</v>
      </c>
      <c r="K15" s="267"/>
      <c r="L15" s="156"/>
      <c r="M15" s="189"/>
      <c r="N15" s="189"/>
      <c r="O15" s="268">
        <f t="shared" si="0"/>
        <v>5115000</v>
      </c>
      <c r="P15" s="272">
        <v>4360000</v>
      </c>
      <c r="Q15" s="270">
        <f t="shared" si="1"/>
        <v>-755000</v>
      </c>
      <c r="R15" s="195"/>
      <c r="S15" s="310"/>
      <c r="T15" s="195"/>
    </row>
    <row r="16" spans="1:20" ht="20.100000000000001" customHeight="1" thickBot="1" x14ac:dyDescent="0.3">
      <c r="A16" s="75">
        <v>9</v>
      </c>
      <c r="B16" s="133">
        <v>43533</v>
      </c>
      <c r="C16" s="135" t="s">
        <v>210</v>
      </c>
      <c r="D16" s="136" t="s">
        <v>2365</v>
      </c>
      <c r="E16" s="78" t="s">
        <v>559</v>
      </c>
      <c r="F16" s="80"/>
      <c r="G16" s="234"/>
      <c r="H16" s="234"/>
      <c r="I16" s="266"/>
      <c r="J16" s="263">
        <v>970000</v>
      </c>
      <c r="K16" s="267"/>
      <c r="L16" s="156"/>
      <c r="M16" s="189"/>
      <c r="N16" s="189"/>
      <c r="O16" s="268">
        <f t="shared" si="0"/>
        <v>970000</v>
      </c>
      <c r="P16" s="272">
        <v>4000000</v>
      </c>
      <c r="Q16" s="270">
        <f t="shared" si="1"/>
        <v>3030000</v>
      </c>
      <c r="R16" s="195"/>
      <c r="S16" s="310"/>
      <c r="T16" s="195"/>
    </row>
    <row r="17" spans="1:20" ht="20.100000000000001" customHeight="1" thickBot="1" x14ac:dyDescent="0.3">
      <c r="A17" s="75">
        <v>10</v>
      </c>
      <c r="B17" s="133">
        <v>43535</v>
      </c>
      <c r="C17" s="135" t="s">
        <v>216</v>
      </c>
      <c r="D17" s="136" t="s">
        <v>2366</v>
      </c>
      <c r="E17" s="78" t="s">
        <v>2384</v>
      </c>
      <c r="F17" s="80"/>
      <c r="G17" s="234"/>
      <c r="H17" s="234"/>
      <c r="I17" s="266"/>
      <c r="J17" s="263">
        <v>1750000</v>
      </c>
      <c r="K17" s="267"/>
      <c r="L17" s="156"/>
      <c r="M17" s="189"/>
      <c r="N17" s="189"/>
      <c r="O17" s="268">
        <f t="shared" si="0"/>
        <v>1750000</v>
      </c>
      <c r="P17" s="272">
        <v>6100000</v>
      </c>
      <c r="Q17" s="270">
        <f t="shared" si="1"/>
        <v>4350000</v>
      </c>
      <c r="R17" s="195"/>
      <c r="S17" s="310"/>
      <c r="T17" s="195"/>
    </row>
    <row r="18" spans="1:20" ht="20.100000000000001" customHeight="1" thickBot="1" x14ac:dyDescent="0.3">
      <c r="A18" s="75">
        <v>11</v>
      </c>
      <c r="B18" s="133">
        <v>43536</v>
      </c>
      <c r="C18" s="135" t="s">
        <v>2345</v>
      </c>
      <c r="D18" s="136" t="s">
        <v>2367</v>
      </c>
      <c r="E18" s="78" t="s">
        <v>769</v>
      </c>
      <c r="F18" s="80"/>
      <c r="G18" s="234">
        <v>250</v>
      </c>
      <c r="H18" s="234">
        <f t="shared" si="2"/>
        <v>3965000</v>
      </c>
      <c r="I18" s="266"/>
      <c r="J18" s="263">
        <v>790000</v>
      </c>
      <c r="K18" s="267"/>
      <c r="L18" s="156"/>
      <c r="M18" s="189"/>
      <c r="N18" s="189"/>
      <c r="O18" s="268">
        <f t="shared" si="0"/>
        <v>4755000</v>
      </c>
      <c r="P18" s="272">
        <v>3009091</v>
      </c>
      <c r="Q18" s="270">
        <f t="shared" si="1"/>
        <v>-1745909</v>
      </c>
      <c r="R18" s="195"/>
      <c r="S18" s="310"/>
      <c r="T18" s="195"/>
    </row>
    <row r="19" spans="1:20" ht="20.100000000000001" customHeight="1" thickBot="1" x14ac:dyDescent="0.3">
      <c r="A19" s="75">
        <v>12</v>
      </c>
      <c r="B19" s="133">
        <v>43537</v>
      </c>
      <c r="C19" s="135" t="s">
        <v>2346</v>
      </c>
      <c r="D19" s="136" t="s">
        <v>2368</v>
      </c>
      <c r="E19" s="78" t="s">
        <v>278</v>
      </c>
      <c r="F19" s="80"/>
      <c r="G19" s="234">
        <v>120</v>
      </c>
      <c r="H19" s="234">
        <f t="shared" si="2"/>
        <v>1903200</v>
      </c>
      <c r="I19" s="266"/>
      <c r="J19" s="263">
        <v>650000</v>
      </c>
      <c r="K19" s="267"/>
      <c r="L19" s="156"/>
      <c r="M19" s="189"/>
      <c r="N19" s="189"/>
      <c r="O19" s="268">
        <f t="shared" si="0"/>
        <v>2553200</v>
      </c>
      <c r="P19" s="272">
        <v>2745455</v>
      </c>
      <c r="Q19" s="270">
        <f t="shared" si="1"/>
        <v>192255</v>
      </c>
      <c r="R19" s="195"/>
      <c r="S19" s="310"/>
      <c r="T19" s="195"/>
    </row>
    <row r="20" spans="1:20" ht="20.100000000000001" customHeight="1" thickBot="1" x14ac:dyDescent="0.3">
      <c r="A20" s="75">
        <v>13</v>
      </c>
      <c r="B20" s="133">
        <v>43538</v>
      </c>
      <c r="C20" s="135" t="s">
        <v>2347</v>
      </c>
      <c r="D20" s="136" t="s">
        <v>2369</v>
      </c>
      <c r="E20" s="78" t="s">
        <v>301</v>
      </c>
      <c r="F20" s="80"/>
      <c r="G20" s="234">
        <v>320</v>
      </c>
      <c r="H20" s="234">
        <f t="shared" si="2"/>
        <v>5075200</v>
      </c>
      <c r="I20" s="266"/>
      <c r="J20" s="263">
        <v>3640000</v>
      </c>
      <c r="K20" s="267"/>
      <c r="L20" s="156"/>
      <c r="M20" s="189"/>
      <c r="N20" s="189"/>
      <c r="O20" s="268">
        <f t="shared" si="0"/>
        <v>8715200</v>
      </c>
      <c r="P20" s="272">
        <v>18636364</v>
      </c>
      <c r="Q20" s="270">
        <f t="shared" si="1"/>
        <v>9921164</v>
      </c>
      <c r="R20" s="195"/>
      <c r="S20" s="310"/>
      <c r="T20" s="195"/>
    </row>
    <row r="21" spans="1:20" ht="20.100000000000001" customHeight="1" thickBot="1" x14ac:dyDescent="0.3">
      <c r="A21" s="75">
        <v>14</v>
      </c>
      <c r="B21" s="133">
        <v>43540</v>
      </c>
      <c r="C21" s="135" t="s">
        <v>1682</v>
      </c>
      <c r="D21" s="136" t="s">
        <v>2370</v>
      </c>
      <c r="E21" s="78" t="s">
        <v>1663</v>
      </c>
      <c r="F21" s="80"/>
      <c r="G21" s="234"/>
      <c r="H21" s="234"/>
      <c r="I21" s="266"/>
      <c r="J21" s="263">
        <v>1160000</v>
      </c>
      <c r="K21" s="267"/>
      <c r="L21" s="156"/>
      <c r="M21" s="189"/>
      <c r="N21" s="189"/>
      <c r="O21" s="268">
        <f t="shared" si="0"/>
        <v>1160000</v>
      </c>
      <c r="P21" s="272">
        <v>5000000</v>
      </c>
      <c r="Q21" s="270">
        <f t="shared" si="1"/>
        <v>3840000</v>
      </c>
      <c r="R21" s="195"/>
      <c r="S21" s="310"/>
      <c r="T21" s="195"/>
    </row>
    <row r="22" spans="1:20" ht="20.100000000000001" customHeight="1" thickBot="1" x14ac:dyDescent="0.3">
      <c r="A22" s="75">
        <v>15</v>
      </c>
      <c r="B22" s="133">
        <v>43542</v>
      </c>
      <c r="C22" s="135" t="s">
        <v>2348</v>
      </c>
      <c r="D22" s="136" t="s">
        <v>2371</v>
      </c>
      <c r="E22" s="78" t="s">
        <v>88</v>
      </c>
      <c r="F22" s="80"/>
      <c r="G22" s="234"/>
      <c r="H22" s="234"/>
      <c r="I22" s="266"/>
      <c r="J22" s="263">
        <v>790000</v>
      </c>
      <c r="K22" s="267"/>
      <c r="L22" s="156"/>
      <c r="M22" s="189"/>
      <c r="N22" s="189"/>
      <c r="O22" s="268">
        <f t="shared" si="0"/>
        <v>790000</v>
      </c>
      <c r="P22" s="272">
        <v>4000000</v>
      </c>
      <c r="Q22" s="270">
        <f t="shared" si="1"/>
        <v>3210000</v>
      </c>
      <c r="R22" s="195"/>
      <c r="S22" s="310"/>
      <c r="T22" s="195"/>
    </row>
    <row r="23" spans="1:20" ht="20.100000000000001" customHeight="1" thickBot="1" x14ac:dyDescent="0.3">
      <c r="A23" s="75">
        <v>16</v>
      </c>
      <c r="B23" s="133">
        <v>43543</v>
      </c>
      <c r="C23" s="135" t="s">
        <v>2349</v>
      </c>
      <c r="D23" s="136" t="s">
        <v>2372</v>
      </c>
      <c r="E23" s="78" t="s">
        <v>88</v>
      </c>
      <c r="F23" s="80"/>
      <c r="G23" s="234">
        <v>330</v>
      </c>
      <c r="H23" s="234">
        <f t="shared" si="2"/>
        <v>5233800</v>
      </c>
      <c r="I23" s="266"/>
      <c r="J23" s="263">
        <v>790000</v>
      </c>
      <c r="K23" s="267"/>
      <c r="L23" s="156"/>
      <c r="M23" s="189"/>
      <c r="N23" s="189"/>
      <c r="O23" s="268">
        <f t="shared" si="0"/>
        <v>6023800</v>
      </c>
      <c r="P23" s="272">
        <v>4000000</v>
      </c>
      <c r="Q23" s="270">
        <f t="shared" si="1"/>
        <v>-2023800</v>
      </c>
      <c r="R23" s="195"/>
      <c r="S23" s="310"/>
      <c r="T23" s="195"/>
    </row>
    <row r="24" spans="1:20" ht="20.100000000000001" customHeight="1" thickBot="1" x14ac:dyDescent="0.3">
      <c r="A24" s="75">
        <v>17</v>
      </c>
      <c r="B24" s="133">
        <v>43544</v>
      </c>
      <c r="C24" s="135" t="s">
        <v>2350</v>
      </c>
      <c r="D24" s="136" t="s">
        <v>2373</v>
      </c>
      <c r="E24" s="78" t="s">
        <v>356</v>
      </c>
      <c r="F24" s="80"/>
      <c r="G24" s="234"/>
      <c r="H24" s="234"/>
      <c r="I24" s="266"/>
      <c r="J24" s="263">
        <v>970000</v>
      </c>
      <c r="K24" s="267"/>
      <c r="L24" s="156"/>
      <c r="M24" s="189"/>
      <c r="N24" s="189"/>
      <c r="O24" s="268">
        <f t="shared" si="0"/>
        <v>970000</v>
      </c>
      <c r="P24" s="272">
        <v>4560000</v>
      </c>
      <c r="Q24" s="270">
        <f t="shared" si="1"/>
        <v>3590000</v>
      </c>
      <c r="R24" s="195"/>
      <c r="S24" s="310"/>
      <c r="T24" s="195"/>
    </row>
    <row r="25" spans="1:20" ht="20.100000000000001" customHeight="1" thickBot="1" x14ac:dyDescent="0.3">
      <c r="A25" s="75">
        <v>18</v>
      </c>
      <c r="B25" s="133">
        <v>43545</v>
      </c>
      <c r="C25" s="135" t="s">
        <v>239</v>
      </c>
      <c r="D25" s="136" t="s">
        <v>2162</v>
      </c>
      <c r="E25" s="78" t="s">
        <v>2385</v>
      </c>
      <c r="F25" s="80"/>
      <c r="G25" s="234"/>
      <c r="H25" s="234"/>
      <c r="I25" s="266"/>
      <c r="J25" s="186">
        <v>1240000</v>
      </c>
      <c r="K25" s="267"/>
      <c r="L25" s="156"/>
      <c r="M25" s="189"/>
      <c r="N25" s="189"/>
      <c r="O25" s="268">
        <f t="shared" si="0"/>
        <v>1240000</v>
      </c>
      <c r="P25" s="272">
        <v>6400000</v>
      </c>
      <c r="Q25" s="270">
        <f t="shared" si="1"/>
        <v>5160000</v>
      </c>
      <c r="R25" s="195"/>
      <c r="S25" s="310"/>
      <c r="T25" s="195"/>
    </row>
    <row r="26" spans="1:20" ht="20.100000000000001" customHeight="1" thickBot="1" x14ac:dyDescent="0.3">
      <c r="A26" s="75">
        <v>19</v>
      </c>
      <c r="B26" s="133">
        <v>43546</v>
      </c>
      <c r="C26" s="135" t="s">
        <v>982</v>
      </c>
      <c r="D26" s="136" t="s">
        <v>2374</v>
      </c>
      <c r="E26" s="78" t="s">
        <v>2386</v>
      </c>
      <c r="F26" s="80"/>
      <c r="G26" s="234">
        <v>355</v>
      </c>
      <c r="H26" s="234">
        <f t="shared" si="2"/>
        <v>5630300</v>
      </c>
      <c r="I26" s="266"/>
      <c r="J26" s="263">
        <v>1160000</v>
      </c>
      <c r="K26" s="267"/>
      <c r="L26" s="156"/>
      <c r="M26" s="189"/>
      <c r="N26" s="189"/>
      <c r="O26" s="268">
        <f t="shared" si="0"/>
        <v>6790300</v>
      </c>
      <c r="P26" s="272">
        <v>5000000</v>
      </c>
      <c r="Q26" s="270">
        <f t="shared" si="1"/>
        <v>-1790300</v>
      </c>
      <c r="R26" s="195"/>
      <c r="S26" s="310"/>
      <c r="T26" s="195"/>
    </row>
    <row r="27" spans="1:20" ht="20.100000000000001" customHeight="1" thickBot="1" x14ac:dyDescent="0.3">
      <c r="A27" s="75">
        <v>20</v>
      </c>
      <c r="B27" s="133">
        <v>43547</v>
      </c>
      <c r="C27" s="135" t="s">
        <v>2351</v>
      </c>
      <c r="D27" s="136" t="s">
        <v>2375</v>
      </c>
      <c r="E27" s="78" t="s">
        <v>1540</v>
      </c>
      <c r="F27" s="80"/>
      <c r="G27" s="234"/>
      <c r="H27" s="234"/>
      <c r="I27" s="266"/>
      <c r="J27" s="263">
        <v>970000</v>
      </c>
      <c r="K27" s="267"/>
      <c r="L27" s="156"/>
      <c r="M27" s="189"/>
      <c r="N27" s="189"/>
      <c r="O27" s="268">
        <f t="shared" si="0"/>
        <v>970000</v>
      </c>
      <c r="P27" s="272">
        <v>4000000</v>
      </c>
      <c r="Q27" s="270">
        <f t="shared" si="1"/>
        <v>3030000</v>
      </c>
      <c r="R27" s="195"/>
      <c r="S27" s="310"/>
      <c r="T27" s="195"/>
    </row>
    <row r="28" spans="1:20" ht="20.100000000000001" customHeight="1" thickBot="1" x14ac:dyDescent="0.3">
      <c r="A28" s="75">
        <v>21</v>
      </c>
      <c r="B28" s="133">
        <v>43549</v>
      </c>
      <c r="C28" s="135" t="s">
        <v>2352</v>
      </c>
      <c r="D28" s="136" t="s">
        <v>2376</v>
      </c>
      <c r="E28" s="78" t="s">
        <v>1544</v>
      </c>
      <c r="F28" s="80"/>
      <c r="G28" s="234"/>
      <c r="H28" s="234"/>
      <c r="I28" s="266"/>
      <c r="J28" s="263">
        <v>790000</v>
      </c>
      <c r="K28" s="267"/>
      <c r="L28" s="156"/>
      <c r="M28" s="189"/>
      <c r="N28" s="189"/>
      <c r="O28" s="268">
        <f t="shared" si="0"/>
        <v>790000</v>
      </c>
      <c r="P28" s="272">
        <v>3800000</v>
      </c>
      <c r="Q28" s="270">
        <f t="shared" si="1"/>
        <v>3010000</v>
      </c>
      <c r="R28" s="195"/>
      <c r="S28" s="310"/>
      <c r="T28" s="195"/>
    </row>
    <row r="29" spans="1:20" ht="20.100000000000001" customHeight="1" thickBot="1" x14ac:dyDescent="0.3">
      <c r="A29" s="75">
        <v>22</v>
      </c>
      <c r="B29" s="133">
        <v>43550</v>
      </c>
      <c r="C29" s="135" t="s">
        <v>251</v>
      </c>
      <c r="D29" s="136" t="s">
        <v>2377</v>
      </c>
      <c r="E29" s="78" t="s">
        <v>2387</v>
      </c>
      <c r="F29" s="80"/>
      <c r="G29" s="234">
        <v>330</v>
      </c>
      <c r="H29" s="234">
        <f t="shared" si="2"/>
        <v>5233800</v>
      </c>
      <c r="I29" s="266"/>
      <c r="J29" s="263">
        <v>1100000</v>
      </c>
      <c r="K29" s="267"/>
      <c r="L29" s="156"/>
      <c r="M29" s="189"/>
      <c r="N29" s="189"/>
      <c r="O29" s="268">
        <f t="shared" si="0"/>
        <v>6333800</v>
      </c>
      <c r="P29" s="272">
        <v>4900000</v>
      </c>
      <c r="Q29" s="270">
        <f t="shared" si="1"/>
        <v>-1433800</v>
      </c>
      <c r="R29" s="195"/>
      <c r="S29" s="310"/>
      <c r="T29" s="195"/>
    </row>
    <row r="30" spans="1:20" ht="20.100000000000001" customHeight="1" thickBot="1" x14ac:dyDescent="0.3">
      <c r="A30" s="75">
        <v>23</v>
      </c>
      <c r="B30" s="133">
        <v>43551</v>
      </c>
      <c r="C30" s="135" t="s">
        <v>2353</v>
      </c>
      <c r="D30" s="136" t="s">
        <v>2378</v>
      </c>
      <c r="E30" s="78" t="s">
        <v>88</v>
      </c>
      <c r="F30" s="80"/>
      <c r="G30" s="234"/>
      <c r="H30" s="234"/>
      <c r="I30" s="266"/>
      <c r="J30" s="263">
        <v>790000</v>
      </c>
      <c r="K30" s="267"/>
      <c r="L30" s="156"/>
      <c r="M30" s="189"/>
      <c r="N30" s="189"/>
      <c r="O30" s="268">
        <f t="shared" si="0"/>
        <v>790000</v>
      </c>
      <c r="P30" s="272">
        <v>4000000</v>
      </c>
      <c r="Q30" s="270">
        <f t="shared" si="1"/>
        <v>3210000</v>
      </c>
      <c r="R30" s="195"/>
      <c r="S30" s="310"/>
      <c r="T30" s="195"/>
    </row>
    <row r="31" spans="1:20" ht="20.100000000000001" customHeight="1" thickBot="1" x14ac:dyDescent="0.3">
      <c r="A31" s="75">
        <v>24</v>
      </c>
      <c r="B31" s="133">
        <v>43552</v>
      </c>
      <c r="C31" s="135" t="s">
        <v>2354</v>
      </c>
      <c r="D31" s="136" t="s">
        <v>2379</v>
      </c>
      <c r="E31" s="78" t="s">
        <v>188</v>
      </c>
      <c r="F31" s="80"/>
      <c r="G31" s="234">
        <v>155</v>
      </c>
      <c r="H31" s="234">
        <f t="shared" si="2"/>
        <v>2458300</v>
      </c>
      <c r="I31" s="266"/>
      <c r="J31" s="263">
        <v>650000</v>
      </c>
      <c r="K31" s="267"/>
      <c r="L31" s="156"/>
      <c r="M31" s="189"/>
      <c r="N31" s="189"/>
      <c r="O31" s="268">
        <f t="shared" si="0"/>
        <v>3108300</v>
      </c>
      <c r="P31" s="272">
        <v>3100000</v>
      </c>
      <c r="Q31" s="270">
        <f t="shared" si="1"/>
        <v>-8300</v>
      </c>
      <c r="R31" s="195"/>
      <c r="S31" s="310"/>
      <c r="T31" s="195"/>
    </row>
    <row r="32" spans="1:20" ht="20.100000000000001" customHeight="1" thickBot="1" x14ac:dyDescent="0.3">
      <c r="A32" s="75">
        <v>25</v>
      </c>
      <c r="B32" s="133">
        <v>43553</v>
      </c>
      <c r="C32" s="135" t="s">
        <v>2355</v>
      </c>
      <c r="D32" s="136" t="s">
        <v>2380</v>
      </c>
      <c r="E32" s="78" t="s">
        <v>1212</v>
      </c>
      <c r="F32" s="80"/>
      <c r="G32" s="234"/>
      <c r="H32" s="234"/>
      <c r="I32" s="266"/>
      <c r="J32" s="263">
        <f>2380000+2000000</f>
        <v>4380000</v>
      </c>
      <c r="K32" s="267"/>
      <c r="L32" s="156"/>
      <c r="M32" s="189"/>
      <c r="N32" s="189"/>
      <c r="O32" s="268">
        <f t="shared" si="0"/>
        <v>4380000</v>
      </c>
      <c r="P32" s="272">
        <v>14090909</v>
      </c>
      <c r="Q32" s="270">
        <f t="shared" si="1"/>
        <v>9710909</v>
      </c>
      <c r="R32" s="195"/>
      <c r="S32" s="310"/>
      <c r="T32" s="195"/>
    </row>
    <row r="33" spans="1:20" ht="20.100000000000001" customHeight="1" thickBot="1" x14ac:dyDescent="0.3">
      <c r="A33" s="75">
        <v>26</v>
      </c>
      <c r="B33" s="133">
        <v>43554</v>
      </c>
      <c r="C33" s="135" t="s">
        <v>2356</v>
      </c>
      <c r="D33" s="136" t="s">
        <v>2381</v>
      </c>
      <c r="E33" s="78" t="s">
        <v>2388</v>
      </c>
      <c r="F33" s="80"/>
      <c r="G33" s="234">
        <v>235</v>
      </c>
      <c r="H33" s="234">
        <f t="shared" si="2"/>
        <v>3727100</v>
      </c>
      <c r="I33" s="266"/>
      <c r="J33" s="263">
        <v>970000</v>
      </c>
      <c r="K33" s="267"/>
      <c r="L33" s="156"/>
      <c r="M33" s="189"/>
      <c r="N33" s="189"/>
      <c r="O33" s="268">
        <f t="shared" si="0"/>
        <v>4697100</v>
      </c>
      <c r="P33" s="272">
        <v>3900000</v>
      </c>
      <c r="Q33" s="270">
        <f t="shared" si="1"/>
        <v>-797100</v>
      </c>
      <c r="R33" s="195"/>
      <c r="S33" s="310"/>
      <c r="T33" s="195"/>
    </row>
    <row r="34" spans="1:20" ht="20.100000000000001" customHeight="1" x14ac:dyDescent="0.25">
      <c r="A34" s="75"/>
      <c r="B34" s="133"/>
      <c r="C34" s="138"/>
      <c r="D34" s="139"/>
      <c r="E34" s="78"/>
      <c r="F34" s="110"/>
      <c r="G34" s="273"/>
      <c r="H34" s="271"/>
      <c r="I34" s="266"/>
      <c r="J34" s="281"/>
      <c r="K34" s="267"/>
      <c r="L34" s="156"/>
      <c r="M34" s="194"/>
      <c r="N34" s="194"/>
      <c r="O34" s="268">
        <f t="shared" si="0"/>
        <v>0</v>
      </c>
      <c r="P34" s="274"/>
      <c r="Q34" s="270">
        <f t="shared" si="1"/>
        <v>0</v>
      </c>
      <c r="R34" s="195"/>
      <c r="S34" s="195"/>
      <c r="T34" s="195"/>
    </row>
    <row r="35" spans="1:20" ht="20.100000000000001" customHeight="1" x14ac:dyDescent="0.25">
      <c r="A35" s="75"/>
      <c r="B35" s="133"/>
      <c r="C35" s="138"/>
      <c r="D35" s="139"/>
      <c r="E35" s="78"/>
      <c r="F35" s="110"/>
      <c r="G35" s="273"/>
      <c r="H35" s="271"/>
      <c r="I35" s="266"/>
      <c r="J35" s="194"/>
      <c r="K35" s="267"/>
      <c r="L35" s="156"/>
      <c r="M35" s="194"/>
      <c r="N35" s="194"/>
      <c r="O35" s="268">
        <f t="shared" si="0"/>
        <v>0</v>
      </c>
      <c r="P35" s="274"/>
      <c r="Q35" s="270">
        <f t="shared" si="1"/>
        <v>0</v>
      </c>
      <c r="R35" s="195"/>
      <c r="S35" s="195"/>
      <c r="T35" s="195"/>
    </row>
    <row r="36" spans="1:20" ht="18" customHeight="1" x14ac:dyDescent="0.25">
      <c r="A36" s="75"/>
      <c r="B36" s="133"/>
      <c r="C36" s="170" t="s">
        <v>1273</v>
      </c>
      <c r="D36" s="162"/>
      <c r="E36" s="153"/>
      <c r="F36" s="163"/>
      <c r="G36" s="281"/>
      <c r="H36" s="282"/>
      <c r="I36" s="280"/>
      <c r="J36" s="194"/>
      <c r="K36" s="267"/>
      <c r="L36" s="156">
        <v>1320000</v>
      </c>
      <c r="M36" s="194"/>
      <c r="N36" s="194"/>
      <c r="O36" s="268">
        <f t="shared" si="0"/>
        <v>1320000</v>
      </c>
      <c r="P36" s="264"/>
      <c r="Q36" s="270">
        <f t="shared" si="1"/>
        <v>-1320000</v>
      </c>
    </row>
    <row r="37" spans="1:20" ht="18" customHeight="1" x14ac:dyDescent="0.25">
      <c r="A37" s="134"/>
      <c r="B37" s="137"/>
      <c r="C37" s="170" t="s">
        <v>1088</v>
      </c>
      <c r="D37" s="162"/>
      <c r="E37" s="167"/>
      <c r="F37" s="163"/>
      <c r="G37" s="281"/>
      <c r="H37" s="282"/>
      <c r="I37" s="280"/>
      <c r="J37" s="194"/>
      <c r="K37" s="278"/>
      <c r="L37" s="166">
        <v>620000</v>
      </c>
      <c r="M37" s="194"/>
      <c r="N37" s="194"/>
      <c r="O37" s="268">
        <f t="shared" si="0"/>
        <v>620000</v>
      </c>
      <c r="P37" s="265"/>
      <c r="Q37" s="270">
        <f t="shared" si="1"/>
        <v>-620000</v>
      </c>
    </row>
    <row r="38" spans="1:20" ht="18" customHeight="1" x14ac:dyDescent="0.25">
      <c r="A38" s="134"/>
      <c r="B38" s="137"/>
      <c r="C38" s="170" t="s">
        <v>2389</v>
      </c>
      <c r="D38" s="162"/>
      <c r="E38" s="167"/>
      <c r="F38" s="163"/>
      <c r="G38" s="281"/>
      <c r="H38" s="282"/>
      <c r="I38" s="280"/>
      <c r="J38" s="194"/>
      <c r="K38" s="278"/>
      <c r="L38" s="166">
        <v>390000</v>
      </c>
      <c r="M38" s="194"/>
      <c r="N38" s="194"/>
      <c r="O38" s="268">
        <f t="shared" si="0"/>
        <v>390000</v>
      </c>
      <c r="P38" s="265"/>
      <c r="Q38" s="270">
        <f t="shared" si="1"/>
        <v>-390000</v>
      </c>
    </row>
    <row r="39" spans="1:20" ht="18" customHeight="1" x14ac:dyDescent="0.25">
      <c r="A39" s="134"/>
      <c r="B39" s="137"/>
      <c r="C39" s="170" t="s">
        <v>2390</v>
      </c>
      <c r="D39" s="162"/>
      <c r="E39" s="167"/>
      <c r="F39" s="163"/>
      <c r="G39" s="281"/>
      <c r="H39" s="282"/>
      <c r="I39" s="280"/>
      <c r="J39" s="194"/>
      <c r="K39" s="278"/>
      <c r="L39" s="166">
        <v>130000</v>
      </c>
      <c r="M39" s="194"/>
      <c r="N39" s="194"/>
      <c r="O39" s="268">
        <f t="shared" si="0"/>
        <v>130000</v>
      </c>
      <c r="P39" s="265"/>
      <c r="Q39" s="270">
        <f t="shared" si="1"/>
        <v>-130000</v>
      </c>
    </row>
    <row r="40" spans="1:20" ht="18" customHeight="1" x14ac:dyDescent="0.25">
      <c r="A40" s="134"/>
      <c r="B40" s="137"/>
      <c r="C40" s="170" t="s">
        <v>2391</v>
      </c>
      <c r="D40" s="162"/>
      <c r="E40" s="167"/>
      <c r="F40" s="163"/>
      <c r="G40" s="281"/>
      <c r="H40" s="282"/>
      <c r="I40" s="280"/>
      <c r="J40" s="194"/>
      <c r="K40" s="278"/>
      <c r="L40" s="166"/>
      <c r="M40" s="194"/>
      <c r="N40" s="113">
        <f>11700000/4</f>
        <v>2925000</v>
      </c>
      <c r="O40" s="268">
        <f t="shared" si="0"/>
        <v>2925000</v>
      </c>
      <c r="P40" s="265"/>
      <c r="Q40" s="270">
        <f t="shared" si="1"/>
        <v>-2925000</v>
      </c>
    </row>
    <row r="41" spans="1:20" ht="42" customHeight="1" x14ac:dyDescent="0.25">
      <c r="A41" s="134"/>
      <c r="B41" s="137"/>
      <c r="C41" s="170" t="s">
        <v>2392</v>
      </c>
      <c r="D41" s="162"/>
      <c r="E41" s="167"/>
      <c r="F41" s="163"/>
      <c r="G41" s="281"/>
      <c r="H41" s="282"/>
      <c r="I41" s="280"/>
      <c r="J41" s="194"/>
      <c r="K41" s="278"/>
      <c r="L41" s="166">
        <v>3000000</v>
      </c>
      <c r="M41" s="194"/>
      <c r="N41" s="194"/>
      <c r="O41" s="268">
        <f t="shared" si="0"/>
        <v>3000000</v>
      </c>
      <c r="P41" s="265"/>
      <c r="Q41" s="270">
        <f t="shared" si="1"/>
        <v>-3000000</v>
      </c>
    </row>
    <row r="42" spans="1:20" ht="36" customHeight="1" x14ac:dyDescent="0.25">
      <c r="A42" s="134"/>
      <c r="B42" s="137"/>
      <c r="C42" s="170" t="s">
        <v>2393</v>
      </c>
      <c r="D42" s="162"/>
      <c r="E42" s="167"/>
      <c r="F42" s="163"/>
      <c r="G42" s="281"/>
      <c r="H42" s="282"/>
      <c r="I42" s="280"/>
      <c r="J42" s="194"/>
      <c r="K42" s="278"/>
      <c r="L42" s="166">
        <v>400000</v>
      </c>
      <c r="M42" s="194"/>
      <c r="N42" s="194"/>
      <c r="O42" s="268">
        <f t="shared" si="0"/>
        <v>400000</v>
      </c>
      <c r="P42" s="265"/>
      <c r="Q42" s="270">
        <f t="shared" si="1"/>
        <v>-400000</v>
      </c>
    </row>
    <row r="43" spans="1:20" ht="33" customHeight="1" x14ac:dyDescent="0.25">
      <c r="A43" s="134"/>
      <c r="B43" s="137"/>
      <c r="C43" s="170" t="s">
        <v>2394</v>
      </c>
      <c r="D43" s="162"/>
      <c r="E43" s="167"/>
      <c r="F43" s="163"/>
      <c r="G43" s="281"/>
      <c r="H43" s="282"/>
      <c r="I43" s="280"/>
      <c r="J43" s="194"/>
      <c r="K43" s="278"/>
      <c r="L43" s="166">
        <v>170000</v>
      </c>
      <c r="M43" s="194"/>
      <c r="N43" s="194"/>
      <c r="O43" s="268">
        <f t="shared" si="0"/>
        <v>170000</v>
      </c>
      <c r="P43" s="265"/>
      <c r="Q43" s="270">
        <f t="shared" si="1"/>
        <v>-170000</v>
      </c>
    </row>
    <row r="44" spans="1:20" ht="46.5" customHeight="1" x14ac:dyDescent="0.25">
      <c r="A44" s="134"/>
      <c r="B44" s="137"/>
      <c r="C44" s="170" t="s">
        <v>2395</v>
      </c>
      <c r="D44" s="162"/>
      <c r="E44" s="167"/>
      <c r="F44" s="163"/>
      <c r="G44" s="281"/>
      <c r="H44" s="282"/>
      <c r="I44" s="280"/>
      <c r="J44" s="194"/>
      <c r="K44" s="278"/>
      <c r="L44" s="166">
        <v>620000</v>
      </c>
      <c r="M44" s="194"/>
      <c r="N44" s="194"/>
      <c r="O44" s="268">
        <f t="shared" si="0"/>
        <v>620000</v>
      </c>
      <c r="P44" s="265"/>
      <c r="Q44" s="270">
        <f t="shared" si="1"/>
        <v>-620000</v>
      </c>
    </row>
    <row r="45" spans="1:20" ht="18" customHeight="1" x14ac:dyDescent="0.25">
      <c r="A45" s="134"/>
      <c r="B45" s="70"/>
      <c r="C45" s="108" t="s">
        <v>1386</v>
      </c>
      <c r="D45" s="87"/>
      <c r="E45" s="70"/>
      <c r="F45" s="110"/>
      <c r="G45" s="281"/>
      <c r="H45" s="282"/>
      <c r="I45" s="280"/>
      <c r="J45" s="194"/>
      <c r="K45" s="283">
        <f>28/26*9000000+500000</f>
        <v>10192307.692307692</v>
      </c>
      <c r="L45" s="141"/>
      <c r="M45" s="194"/>
      <c r="N45" s="194"/>
      <c r="O45" s="268">
        <f t="shared" si="0"/>
        <v>10192307.692307692</v>
      </c>
      <c r="P45" s="265"/>
      <c r="Q45" s="270">
        <f t="shared" si="1"/>
        <v>-10192307.692307692</v>
      </c>
    </row>
    <row r="46" spans="1:20" x14ac:dyDescent="0.25">
      <c r="A46" s="547" t="s">
        <v>19</v>
      </c>
      <c r="B46" s="548"/>
      <c r="C46" s="548"/>
      <c r="D46" s="548"/>
      <c r="E46" s="548"/>
      <c r="F46" s="549"/>
      <c r="G46" s="305">
        <f>SUM(G8:G45)</f>
        <v>3155</v>
      </c>
      <c r="H46" s="291">
        <f t="shared" ref="H46:Q46" si="3">SUM(H7:H45)</f>
        <v>49731100</v>
      </c>
      <c r="I46" s="291">
        <f t="shared" si="3"/>
        <v>0</v>
      </c>
      <c r="J46" s="291">
        <f t="shared" si="3"/>
        <v>35450000</v>
      </c>
      <c r="K46" s="291">
        <f t="shared" si="3"/>
        <v>10192307.692307692</v>
      </c>
      <c r="L46" s="309">
        <f t="shared" si="3"/>
        <v>6650000</v>
      </c>
      <c r="M46" s="291">
        <f t="shared" si="3"/>
        <v>0</v>
      </c>
      <c r="N46" s="291">
        <f t="shared" si="3"/>
        <v>2925000</v>
      </c>
      <c r="O46" s="291">
        <f t="shared" si="3"/>
        <v>104948407.6923077</v>
      </c>
      <c r="P46" s="291">
        <f t="shared" si="3"/>
        <v>148410910</v>
      </c>
      <c r="Q46" s="297">
        <f t="shared" si="3"/>
        <v>43462502.307692304</v>
      </c>
      <c r="R46" s="195"/>
      <c r="S46" s="195"/>
    </row>
    <row r="47" spans="1:20" x14ac:dyDescent="0.25">
      <c r="P47" s="294"/>
      <c r="Q47" s="295"/>
    </row>
    <row r="48" spans="1:20" x14ac:dyDescent="0.25">
      <c r="H48" s="294"/>
      <c r="P48" s="296" t="s">
        <v>1225</v>
      </c>
      <c r="Q48" s="304">
        <f>'2.2019'!Q28+'3.2019'!Q46</f>
        <v>91451423.307692304</v>
      </c>
    </row>
    <row r="49" spans="17:18" x14ac:dyDescent="0.25">
      <c r="Q49" s="294"/>
    </row>
    <row r="50" spans="17:18" x14ac:dyDescent="0.25">
      <c r="R50" s="195"/>
    </row>
  </sheetData>
  <mergeCells count="5">
    <mergeCell ref="A1:Q1"/>
    <mergeCell ref="A2:Q2"/>
    <mergeCell ref="A3:Q3"/>
    <mergeCell ref="G5:N5"/>
    <mergeCell ref="A46:F46"/>
  </mergeCells>
  <pageMargins left="0.7" right="0.7" top="0.75" bottom="0.75" header="0.3" footer="0.3"/>
  <pageSetup paperSize="9" orientation="portrait" horizontalDpi="0" verticalDpi="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T50"/>
  <sheetViews>
    <sheetView topLeftCell="D28" workbookViewId="0">
      <selection activeCell="J13" sqref="J13"/>
    </sheetView>
  </sheetViews>
  <sheetFormatPr defaultRowHeight="15" x14ac:dyDescent="0.25"/>
  <cols>
    <col min="1" max="1" width="4.5703125" customWidth="1"/>
    <col min="3" max="3" width="41.28515625" customWidth="1"/>
    <col min="4" max="4" width="16.5703125" customWidth="1"/>
    <col min="5" max="5" width="33.140625" customWidth="1"/>
    <col min="7" max="7" width="9.140625" style="292"/>
    <col min="8" max="8" width="10.140625" style="292" bestFit="1" customWidth="1"/>
    <col min="9" max="9" width="9.140625" style="293"/>
    <col min="10" max="10" width="9.140625" style="292"/>
    <col min="11" max="11" width="9.42578125" style="292" bestFit="1" customWidth="1"/>
    <col min="12" max="12" width="9.140625" style="173"/>
    <col min="13" max="14" width="9.140625" style="292"/>
    <col min="15" max="15" width="11.140625" style="292" customWidth="1"/>
    <col min="16" max="16" width="10.7109375" style="292" customWidth="1"/>
    <col min="17" max="17" width="12.28515625" style="292" customWidth="1"/>
    <col min="18" max="18" width="11.7109375" customWidth="1"/>
    <col min="19" max="19" width="18"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2396</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257"/>
      <c r="H4" s="258"/>
      <c r="I4" s="258"/>
      <c r="J4" s="258"/>
      <c r="K4" s="258"/>
      <c r="L4" s="91"/>
      <c r="M4" s="258"/>
      <c r="N4" s="258"/>
      <c r="O4" s="258"/>
      <c r="P4" s="258"/>
      <c r="Q4" s="258"/>
    </row>
    <row r="5" spans="1:20"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20"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20" ht="15.75" thickBot="1" x14ac:dyDescent="0.3">
      <c r="A7" s="75"/>
      <c r="B7" s="100"/>
      <c r="C7" s="88"/>
      <c r="D7" s="88"/>
      <c r="E7" s="134"/>
      <c r="F7" s="75"/>
      <c r="G7" s="263"/>
      <c r="H7" s="264"/>
      <c r="I7" s="264"/>
      <c r="J7" s="264"/>
      <c r="K7" s="264"/>
      <c r="L7" s="308"/>
      <c r="M7" s="264"/>
      <c r="N7" s="264"/>
      <c r="O7" s="264">
        <f>H7+J7+K7+L7+M7+N7</f>
        <v>0</v>
      </c>
      <c r="P7" s="265"/>
      <c r="Q7" s="264">
        <f>P7-O7</f>
        <v>0</v>
      </c>
    </row>
    <row r="8" spans="1:20" ht="20.100000000000001" customHeight="1" thickBot="1" x14ac:dyDescent="0.3">
      <c r="A8" s="75">
        <v>1</v>
      </c>
      <c r="B8" s="133">
        <v>43556</v>
      </c>
      <c r="C8" s="135" t="s">
        <v>2397</v>
      </c>
      <c r="D8" s="136" t="s">
        <v>2417</v>
      </c>
      <c r="E8" s="78" t="s">
        <v>2439</v>
      </c>
      <c r="F8" s="80"/>
      <c r="G8" s="234">
        <v>175</v>
      </c>
      <c r="H8" s="234">
        <f>G8*15860</f>
        <v>2775500</v>
      </c>
      <c r="I8" s="266"/>
      <c r="J8" s="223">
        <v>970000</v>
      </c>
      <c r="K8" s="267"/>
      <c r="L8" s="156"/>
      <c r="M8" s="189"/>
      <c r="N8" s="189"/>
      <c r="O8" s="268">
        <f>H8+J8+K8+L8+M8+N8</f>
        <v>3745500</v>
      </c>
      <c r="P8" s="272">
        <v>4000000</v>
      </c>
      <c r="Q8" s="270">
        <f>P8-O8</f>
        <v>254500</v>
      </c>
      <c r="R8" s="195"/>
      <c r="S8" s="310"/>
      <c r="T8" s="195"/>
    </row>
    <row r="9" spans="1:20" ht="20.100000000000001" customHeight="1" thickBot="1" x14ac:dyDescent="0.3">
      <c r="A9" s="75">
        <v>2</v>
      </c>
      <c r="B9" s="133">
        <v>43557</v>
      </c>
      <c r="C9" s="135" t="s">
        <v>2398</v>
      </c>
      <c r="D9" s="172" t="s">
        <v>2418</v>
      </c>
      <c r="E9" s="78" t="s">
        <v>189</v>
      </c>
      <c r="F9" s="80"/>
      <c r="G9" s="234"/>
      <c r="H9" s="234"/>
      <c r="I9" s="266"/>
      <c r="J9" s="223">
        <v>2250000</v>
      </c>
      <c r="K9" s="267"/>
      <c r="L9" s="156"/>
      <c r="M9" s="189"/>
      <c r="N9" s="189"/>
      <c r="O9" s="268">
        <f t="shared" ref="O9:O45" si="0">H9+J9+K9+L9+M9+N9</f>
        <v>2250000</v>
      </c>
      <c r="P9" s="272">
        <v>10000000</v>
      </c>
      <c r="Q9" s="270">
        <f t="shared" ref="Q9:Q45" si="1">P9-O9</f>
        <v>7750000</v>
      </c>
      <c r="R9" s="195"/>
      <c r="S9" s="310"/>
      <c r="T9" s="195"/>
    </row>
    <row r="10" spans="1:20" ht="20.100000000000001" customHeight="1" thickBot="1" x14ac:dyDescent="0.3">
      <c r="A10" s="75">
        <v>3</v>
      </c>
      <c r="B10" s="133">
        <v>43558</v>
      </c>
      <c r="C10" s="135" t="s">
        <v>2399</v>
      </c>
      <c r="D10" s="136" t="s">
        <v>2419</v>
      </c>
      <c r="E10" s="78" t="s">
        <v>88</v>
      </c>
      <c r="F10" s="80"/>
      <c r="G10" s="234">
        <v>280</v>
      </c>
      <c r="H10" s="234">
        <f>G10*17080</f>
        <v>4782400</v>
      </c>
      <c r="I10" s="266"/>
      <c r="J10" s="223">
        <v>790000</v>
      </c>
      <c r="K10" s="267"/>
      <c r="L10" s="156"/>
      <c r="M10" s="189"/>
      <c r="N10" s="189"/>
      <c r="O10" s="268">
        <f t="shared" si="0"/>
        <v>5572400</v>
      </c>
      <c r="P10" s="272">
        <v>4000000</v>
      </c>
      <c r="Q10" s="270">
        <f t="shared" si="1"/>
        <v>-1572400</v>
      </c>
      <c r="R10" s="195"/>
      <c r="S10" s="310"/>
      <c r="T10" s="195"/>
    </row>
    <row r="11" spans="1:20" ht="20.100000000000001" customHeight="1" thickBot="1" x14ac:dyDescent="0.3">
      <c r="A11" s="75">
        <v>4</v>
      </c>
      <c r="B11" s="133">
        <v>43559</v>
      </c>
      <c r="C11" s="135" t="s">
        <v>270</v>
      </c>
      <c r="D11" s="136" t="s">
        <v>692</v>
      </c>
      <c r="E11" s="78" t="s">
        <v>2440</v>
      </c>
      <c r="F11" s="80"/>
      <c r="G11" s="234"/>
      <c r="H11" s="234"/>
      <c r="I11" s="266"/>
      <c r="J11" s="223">
        <f>2040000+400000</f>
        <v>2440000</v>
      </c>
      <c r="K11" s="267"/>
      <c r="L11" s="156"/>
      <c r="M11" s="189"/>
      <c r="N11" s="189"/>
      <c r="O11" s="268">
        <f t="shared" si="0"/>
        <v>2440000</v>
      </c>
      <c r="P11" s="272">
        <v>2409091</v>
      </c>
      <c r="Q11" s="270">
        <f t="shared" si="1"/>
        <v>-30909</v>
      </c>
      <c r="R11" s="195"/>
      <c r="S11" s="310"/>
      <c r="T11" s="195"/>
    </row>
    <row r="12" spans="1:20" ht="20.100000000000001" customHeight="1" thickBot="1" x14ac:dyDescent="0.3">
      <c r="A12" s="75">
        <v>5</v>
      </c>
      <c r="B12" s="133">
        <v>43559</v>
      </c>
      <c r="C12" s="135" t="s">
        <v>2400</v>
      </c>
      <c r="D12" s="136" t="s">
        <v>692</v>
      </c>
      <c r="E12" s="78" t="s">
        <v>2185</v>
      </c>
      <c r="F12" s="80"/>
      <c r="G12" s="234"/>
      <c r="H12" s="234"/>
      <c r="I12" s="266"/>
      <c r="J12" s="223">
        <v>0</v>
      </c>
      <c r="K12" s="267"/>
      <c r="L12" s="156"/>
      <c r="M12" s="189"/>
      <c r="N12" s="189"/>
      <c r="O12" s="268">
        <f t="shared" si="0"/>
        <v>0</v>
      </c>
      <c r="P12" s="272">
        <v>8300000</v>
      </c>
      <c r="Q12" s="270">
        <f t="shared" si="1"/>
        <v>8300000</v>
      </c>
      <c r="R12" s="195"/>
      <c r="S12" s="310"/>
      <c r="T12" s="195"/>
    </row>
    <row r="13" spans="1:20" ht="20.100000000000001" customHeight="1" thickBot="1" x14ac:dyDescent="0.3">
      <c r="A13" s="75">
        <v>6</v>
      </c>
      <c r="B13" s="133">
        <v>43561</v>
      </c>
      <c r="C13" s="135" t="s">
        <v>2401</v>
      </c>
      <c r="D13" s="136" t="s">
        <v>2420</v>
      </c>
      <c r="E13" s="78" t="s">
        <v>2441</v>
      </c>
      <c r="F13" s="80"/>
      <c r="G13" s="234">
        <v>225</v>
      </c>
      <c r="H13" s="234">
        <f t="shared" ref="H13:H19" si="2">G13*17080</f>
        <v>3843000</v>
      </c>
      <c r="I13" s="266"/>
      <c r="J13" s="223">
        <f>1150000-90000</f>
        <v>1060000</v>
      </c>
      <c r="K13" s="267"/>
      <c r="L13" s="156"/>
      <c r="M13" s="189"/>
      <c r="N13" s="189"/>
      <c r="O13" s="268">
        <f t="shared" si="0"/>
        <v>4903000</v>
      </c>
      <c r="P13" s="272">
        <v>3009091</v>
      </c>
      <c r="Q13" s="270">
        <f t="shared" si="1"/>
        <v>-1893909</v>
      </c>
      <c r="R13" s="195"/>
      <c r="S13" s="310"/>
      <c r="T13" s="195"/>
    </row>
    <row r="14" spans="1:20" ht="20.100000000000001" customHeight="1" thickBot="1" x14ac:dyDescent="0.3">
      <c r="A14" s="75">
        <v>7</v>
      </c>
      <c r="B14" s="133">
        <v>43563</v>
      </c>
      <c r="C14" s="135" t="s">
        <v>2402</v>
      </c>
      <c r="D14" s="136" t="s">
        <v>2421</v>
      </c>
      <c r="E14" s="78" t="s">
        <v>703</v>
      </c>
      <c r="F14" s="80"/>
      <c r="G14" s="234"/>
      <c r="H14" s="234"/>
      <c r="I14" s="266"/>
      <c r="J14" s="223">
        <v>1720000</v>
      </c>
      <c r="K14" s="267"/>
      <c r="L14" s="156"/>
      <c r="M14" s="189"/>
      <c r="N14" s="189"/>
      <c r="O14" s="268">
        <f t="shared" si="0"/>
        <v>1720000</v>
      </c>
      <c r="P14" s="272">
        <v>5580000</v>
      </c>
      <c r="Q14" s="270">
        <f t="shared" si="1"/>
        <v>3860000</v>
      </c>
      <c r="R14" s="195"/>
      <c r="S14" s="310"/>
      <c r="T14" s="195"/>
    </row>
    <row r="15" spans="1:20" ht="20.100000000000001" customHeight="1" thickBot="1" x14ac:dyDescent="0.3">
      <c r="A15" s="75">
        <v>8</v>
      </c>
      <c r="B15" s="133">
        <v>43564</v>
      </c>
      <c r="C15" s="135" t="s">
        <v>284</v>
      </c>
      <c r="D15" s="136" t="s">
        <v>2422</v>
      </c>
      <c r="E15" s="78" t="s">
        <v>2442</v>
      </c>
      <c r="F15" s="80"/>
      <c r="G15" s="234">
        <v>320</v>
      </c>
      <c r="H15" s="234">
        <f t="shared" si="2"/>
        <v>5465600</v>
      </c>
      <c r="I15" s="266"/>
      <c r="J15" s="223">
        <v>970000</v>
      </c>
      <c r="K15" s="267"/>
      <c r="L15" s="156"/>
      <c r="M15" s="189"/>
      <c r="N15" s="189"/>
      <c r="O15" s="268">
        <f t="shared" si="0"/>
        <v>6435600</v>
      </c>
      <c r="P15" s="272">
        <v>4627273</v>
      </c>
      <c r="Q15" s="270">
        <f t="shared" si="1"/>
        <v>-1808327</v>
      </c>
      <c r="R15" s="195"/>
      <c r="S15" s="310"/>
      <c r="T15" s="195"/>
    </row>
    <row r="16" spans="1:20" ht="20.100000000000001" customHeight="1" thickBot="1" x14ac:dyDescent="0.3">
      <c r="A16" s="75">
        <v>9</v>
      </c>
      <c r="B16" s="133">
        <v>43565</v>
      </c>
      <c r="C16" s="135" t="s">
        <v>1041</v>
      </c>
      <c r="D16" s="136" t="s">
        <v>2423</v>
      </c>
      <c r="E16" s="78" t="s">
        <v>2384</v>
      </c>
      <c r="F16" s="80"/>
      <c r="G16" s="234"/>
      <c r="H16" s="234"/>
      <c r="I16" s="266"/>
      <c r="J16" s="223">
        <f>1750000-120000</f>
        <v>1630000</v>
      </c>
      <c r="K16" s="267"/>
      <c r="L16" s="156"/>
      <c r="M16" s="189"/>
      <c r="N16" s="189"/>
      <c r="O16" s="268">
        <f t="shared" si="0"/>
        <v>1630000</v>
      </c>
      <c r="P16" s="272">
        <v>6100000</v>
      </c>
      <c r="Q16" s="270">
        <f t="shared" si="1"/>
        <v>4470000</v>
      </c>
      <c r="R16" s="195"/>
      <c r="S16" s="310"/>
      <c r="T16" s="195"/>
    </row>
    <row r="17" spans="1:20" ht="20.100000000000001" customHeight="1" thickBot="1" x14ac:dyDescent="0.3">
      <c r="A17" s="75">
        <v>10</v>
      </c>
      <c r="B17" s="133">
        <v>43566</v>
      </c>
      <c r="C17" s="135" t="s">
        <v>2403</v>
      </c>
      <c r="D17" s="136" t="s">
        <v>2424</v>
      </c>
      <c r="E17" s="78" t="s">
        <v>2443</v>
      </c>
      <c r="F17" s="80"/>
      <c r="G17" s="234">
        <v>355</v>
      </c>
      <c r="H17" s="234">
        <f t="shared" si="2"/>
        <v>6063400</v>
      </c>
      <c r="I17" s="266"/>
      <c r="J17" s="223">
        <v>2120000</v>
      </c>
      <c r="K17" s="267"/>
      <c r="L17" s="156"/>
      <c r="M17" s="189"/>
      <c r="N17" s="189"/>
      <c r="O17" s="268">
        <f t="shared" si="0"/>
        <v>8183400</v>
      </c>
      <c r="P17" s="272">
        <v>8500000</v>
      </c>
      <c r="Q17" s="270">
        <f t="shared" si="1"/>
        <v>316600</v>
      </c>
      <c r="R17" s="195"/>
      <c r="S17" s="310"/>
      <c r="T17" s="195"/>
    </row>
    <row r="18" spans="1:20" ht="20.100000000000001" customHeight="1" thickBot="1" x14ac:dyDescent="0.3">
      <c r="A18" s="75">
        <v>11</v>
      </c>
      <c r="B18" s="133">
        <v>43567</v>
      </c>
      <c r="C18" s="135" t="s">
        <v>2404</v>
      </c>
      <c r="D18" s="136" t="s">
        <v>2425</v>
      </c>
      <c r="E18" s="78" t="s">
        <v>2443</v>
      </c>
      <c r="F18" s="80"/>
      <c r="G18" s="234"/>
      <c r="H18" s="234"/>
      <c r="I18" s="266"/>
      <c r="J18" s="223">
        <v>2120000</v>
      </c>
      <c r="K18" s="267"/>
      <c r="L18" s="156"/>
      <c r="M18" s="189"/>
      <c r="N18" s="189"/>
      <c r="O18" s="268">
        <f t="shared" si="0"/>
        <v>2120000</v>
      </c>
      <c r="P18" s="272">
        <v>8500000</v>
      </c>
      <c r="Q18" s="270">
        <f t="shared" si="1"/>
        <v>6380000</v>
      </c>
      <c r="R18" s="195"/>
      <c r="S18" s="310"/>
      <c r="T18" s="195"/>
    </row>
    <row r="19" spans="1:20" ht="20.100000000000001" customHeight="1" thickBot="1" x14ac:dyDescent="0.3">
      <c r="A19" s="75">
        <v>12</v>
      </c>
      <c r="B19" s="133">
        <v>43568</v>
      </c>
      <c r="C19" s="135" t="s">
        <v>1044</v>
      </c>
      <c r="D19" s="136" t="s">
        <v>2426</v>
      </c>
      <c r="E19" s="78" t="s">
        <v>1665</v>
      </c>
      <c r="F19" s="80"/>
      <c r="G19" s="234">
        <v>290</v>
      </c>
      <c r="H19" s="234">
        <f t="shared" si="2"/>
        <v>4953200</v>
      </c>
      <c r="I19" s="266"/>
      <c r="J19" s="223">
        <f>790000+180000+180000</f>
        <v>1150000</v>
      </c>
      <c r="K19" s="267"/>
      <c r="L19" s="156"/>
      <c r="M19" s="189"/>
      <c r="N19" s="189"/>
      <c r="O19" s="268">
        <f t="shared" si="0"/>
        <v>6103200</v>
      </c>
      <c r="P19" s="272">
        <v>3800000</v>
      </c>
      <c r="Q19" s="270">
        <f t="shared" si="1"/>
        <v>-2303200</v>
      </c>
      <c r="R19" s="195"/>
      <c r="S19" s="310"/>
      <c r="T19" s="195"/>
    </row>
    <row r="20" spans="1:20" ht="20.100000000000001" customHeight="1" thickBot="1" x14ac:dyDescent="0.3">
      <c r="A20" s="75">
        <v>13</v>
      </c>
      <c r="B20" s="133">
        <v>43572</v>
      </c>
      <c r="C20" s="135" t="s">
        <v>2405</v>
      </c>
      <c r="D20" s="136" t="s">
        <v>2427</v>
      </c>
      <c r="E20" s="78" t="s">
        <v>24</v>
      </c>
      <c r="F20" s="80"/>
      <c r="G20" s="234"/>
      <c r="H20" s="234"/>
      <c r="I20" s="266"/>
      <c r="J20" s="223">
        <v>1890000</v>
      </c>
      <c r="K20" s="267"/>
      <c r="L20" s="156"/>
      <c r="M20" s="189"/>
      <c r="N20" s="189"/>
      <c r="O20" s="268">
        <f t="shared" si="0"/>
        <v>1890000</v>
      </c>
      <c r="P20" s="272">
        <v>7500000</v>
      </c>
      <c r="Q20" s="270">
        <f t="shared" si="1"/>
        <v>5610000</v>
      </c>
      <c r="R20" s="195"/>
      <c r="S20" s="310"/>
      <c r="T20" s="195"/>
    </row>
    <row r="21" spans="1:20" ht="20.100000000000001" customHeight="1" thickBot="1" x14ac:dyDescent="0.3">
      <c r="A21" s="75">
        <v>14</v>
      </c>
      <c r="B21" s="133">
        <v>43573</v>
      </c>
      <c r="C21" s="135" t="s">
        <v>2406</v>
      </c>
      <c r="D21" s="136" t="s">
        <v>2428</v>
      </c>
      <c r="E21" s="78" t="s">
        <v>633</v>
      </c>
      <c r="F21" s="80"/>
      <c r="G21" s="234"/>
      <c r="H21" s="234"/>
      <c r="I21" s="266"/>
      <c r="J21" s="223">
        <v>1510000</v>
      </c>
      <c r="K21" s="267"/>
      <c r="L21" s="156"/>
      <c r="M21" s="189"/>
      <c r="N21" s="189"/>
      <c r="O21" s="268">
        <f t="shared" si="0"/>
        <v>1510000</v>
      </c>
      <c r="P21" s="272">
        <v>5600000</v>
      </c>
      <c r="Q21" s="270">
        <f t="shared" si="1"/>
        <v>4090000</v>
      </c>
      <c r="R21" s="195"/>
      <c r="S21" s="310"/>
      <c r="T21" s="195"/>
    </row>
    <row r="22" spans="1:20" ht="20.100000000000001" customHeight="1" thickBot="1" x14ac:dyDescent="0.3">
      <c r="A22" s="75">
        <v>15</v>
      </c>
      <c r="B22" s="133">
        <v>43574</v>
      </c>
      <c r="C22" s="135" t="s">
        <v>2407</v>
      </c>
      <c r="D22" s="136" t="s">
        <v>2429</v>
      </c>
      <c r="E22" s="78" t="s">
        <v>2444</v>
      </c>
      <c r="F22" s="80"/>
      <c r="G22" s="234">
        <v>330</v>
      </c>
      <c r="H22" s="234">
        <f>G22*17380</f>
        <v>5735400</v>
      </c>
      <c r="I22" s="266"/>
      <c r="J22" s="223">
        <v>790000</v>
      </c>
      <c r="K22" s="267"/>
      <c r="L22" s="156"/>
      <c r="M22" s="189"/>
      <c r="N22" s="189"/>
      <c r="O22" s="268">
        <f t="shared" si="0"/>
        <v>6525400</v>
      </c>
      <c r="P22" s="272">
        <v>3000000</v>
      </c>
      <c r="Q22" s="270">
        <f t="shared" si="1"/>
        <v>-3525400</v>
      </c>
      <c r="R22" s="195"/>
      <c r="S22" s="310"/>
      <c r="T22" s="195"/>
    </row>
    <row r="23" spans="1:20" ht="20.100000000000001" customHeight="1" thickBot="1" x14ac:dyDescent="0.3">
      <c r="A23" s="75">
        <v>16</v>
      </c>
      <c r="B23" s="133">
        <v>43575</v>
      </c>
      <c r="C23" s="135" t="s">
        <v>2408</v>
      </c>
      <c r="D23" s="136" t="s">
        <v>2430</v>
      </c>
      <c r="E23" s="78" t="s">
        <v>1079</v>
      </c>
      <c r="F23" s="80"/>
      <c r="G23" s="234"/>
      <c r="H23" s="234"/>
      <c r="I23" s="266"/>
      <c r="J23" s="223">
        <v>970000</v>
      </c>
      <c r="K23" s="267"/>
      <c r="L23" s="156"/>
      <c r="M23" s="189"/>
      <c r="N23" s="189"/>
      <c r="O23" s="268">
        <f t="shared" si="0"/>
        <v>970000</v>
      </c>
      <c r="P23" s="272">
        <v>4000000</v>
      </c>
      <c r="Q23" s="270">
        <f t="shared" si="1"/>
        <v>3030000</v>
      </c>
      <c r="R23" s="195"/>
      <c r="S23" s="310"/>
      <c r="T23" s="195"/>
    </row>
    <row r="24" spans="1:20" ht="20.100000000000001" customHeight="1" thickBot="1" x14ac:dyDescent="0.3">
      <c r="A24" s="75">
        <v>17</v>
      </c>
      <c r="B24" s="133">
        <v>43576</v>
      </c>
      <c r="C24" s="135" t="s">
        <v>2409</v>
      </c>
      <c r="D24" s="136" t="s">
        <v>2431</v>
      </c>
      <c r="E24" s="78" t="s">
        <v>2445</v>
      </c>
      <c r="F24" s="80"/>
      <c r="G24" s="234">
        <v>310</v>
      </c>
      <c r="H24" s="234">
        <f t="shared" ref="H24:H31" si="3">G24*17380</f>
        <v>5387800</v>
      </c>
      <c r="I24" s="266"/>
      <c r="J24" s="223">
        <v>1210000</v>
      </c>
      <c r="K24" s="267"/>
      <c r="L24" s="156"/>
      <c r="M24" s="189"/>
      <c r="N24" s="189"/>
      <c r="O24" s="268">
        <f t="shared" si="0"/>
        <v>6597800</v>
      </c>
      <c r="P24" s="272">
        <v>4600000</v>
      </c>
      <c r="Q24" s="270">
        <f t="shared" si="1"/>
        <v>-1997800</v>
      </c>
      <c r="R24" s="195"/>
      <c r="S24" s="310"/>
      <c r="T24" s="195"/>
    </row>
    <row r="25" spans="1:20" ht="20.100000000000001" customHeight="1" thickBot="1" x14ac:dyDescent="0.3">
      <c r="A25" s="75">
        <v>18</v>
      </c>
      <c r="B25" s="133">
        <v>43577</v>
      </c>
      <c r="C25" s="135" t="s">
        <v>2410</v>
      </c>
      <c r="D25" s="136" t="s">
        <v>2432</v>
      </c>
      <c r="E25" s="78" t="s">
        <v>2446</v>
      </c>
      <c r="F25" s="80"/>
      <c r="G25" s="234"/>
      <c r="H25" s="234"/>
      <c r="I25" s="266"/>
      <c r="J25" s="223">
        <v>970000</v>
      </c>
      <c r="K25" s="267"/>
      <c r="L25" s="156"/>
      <c r="M25" s="189"/>
      <c r="N25" s="189"/>
      <c r="O25" s="268">
        <f t="shared" si="0"/>
        <v>970000</v>
      </c>
      <c r="P25" s="272">
        <v>3890909</v>
      </c>
      <c r="Q25" s="270">
        <f t="shared" si="1"/>
        <v>2920909</v>
      </c>
      <c r="R25" s="195"/>
      <c r="S25" s="310"/>
      <c r="T25" s="195"/>
    </row>
    <row r="26" spans="1:20" ht="20.100000000000001" customHeight="1" thickBot="1" x14ac:dyDescent="0.3">
      <c r="A26" s="75">
        <v>19</v>
      </c>
      <c r="B26" s="133">
        <v>43578</v>
      </c>
      <c r="C26" s="135" t="s">
        <v>2411</v>
      </c>
      <c r="D26" s="136" t="s">
        <v>2433</v>
      </c>
      <c r="E26" s="78" t="s">
        <v>562</v>
      </c>
      <c r="F26" s="80"/>
      <c r="G26" s="234"/>
      <c r="H26" s="234"/>
      <c r="I26" s="266"/>
      <c r="J26" s="223">
        <v>2380000</v>
      </c>
      <c r="K26" s="267"/>
      <c r="L26" s="156"/>
      <c r="M26" s="189"/>
      <c r="N26" s="189"/>
      <c r="O26" s="268">
        <f t="shared" si="0"/>
        <v>2380000</v>
      </c>
      <c r="P26" s="272">
        <v>14090909</v>
      </c>
      <c r="Q26" s="270">
        <f t="shared" si="1"/>
        <v>11710909</v>
      </c>
      <c r="R26" s="195"/>
      <c r="S26" s="310"/>
      <c r="T26" s="195"/>
    </row>
    <row r="27" spans="1:20" ht="20.100000000000001" customHeight="1" thickBot="1" x14ac:dyDescent="0.3">
      <c r="A27" s="75">
        <v>20</v>
      </c>
      <c r="B27" s="133">
        <v>43579</v>
      </c>
      <c r="C27" s="135" t="s">
        <v>2412</v>
      </c>
      <c r="D27" s="136" t="s">
        <v>2434</v>
      </c>
      <c r="E27" s="78" t="s">
        <v>2007</v>
      </c>
      <c r="F27" s="80"/>
      <c r="G27" s="234">
        <v>340</v>
      </c>
      <c r="H27" s="234">
        <f t="shared" si="3"/>
        <v>5909200</v>
      </c>
      <c r="I27" s="266"/>
      <c r="J27" s="223">
        <v>1150000</v>
      </c>
      <c r="K27" s="267"/>
      <c r="L27" s="156"/>
      <c r="M27" s="189"/>
      <c r="N27" s="189"/>
      <c r="O27" s="268">
        <f t="shared" si="0"/>
        <v>7059200</v>
      </c>
      <c r="P27" s="272">
        <v>3860000</v>
      </c>
      <c r="Q27" s="270">
        <f t="shared" si="1"/>
        <v>-3199200</v>
      </c>
      <c r="R27" s="195"/>
      <c r="S27" s="310"/>
      <c r="T27" s="195"/>
    </row>
    <row r="28" spans="1:20" ht="20.100000000000001" customHeight="1" thickBot="1" x14ac:dyDescent="0.3">
      <c r="A28" s="75">
        <v>21</v>
      </c>
      <c r="B28" s="133">
        <v>43580</v>
      </c>
      <c r="C28" s="135" t="s">
        <v>2413</v>
      </c>
      <c r="D28" s="136" t="s">
        <v>2435</v>
      </c>
      <c r="E28" s="78" t="s">
        <v>2447</v>
      </c>
      <c r="F28" s="80"/>
      <c r="G28" s="234"/>
      <c r="H28" s="234"/>
      <c r="I28" s="266"/>
      <c r="J28" s="223">
        <v>1450000</v>
      </c>
      <c r="K28" s="267"/>
      <c r="L28" s="156"/>
      <c r="M28" s="189"/>
      <c r="N28" s="189"/>
      <c r="O28" s="268">
        <f t="shared" si="0"/>
        <v>1450000</v>
      </c>
      <c r="P28" s="272">
        <v>5700000</v>
      </c>
      <c r="Q28" s="270">
        <f t="shared" si="1"/>
        <v>4250000</v>
      </c>
      <c r="R28" s="195"/>
      <c r="S28" s="310"/>
      <c r="T28" s="195"/>
    </row>
    <row r="29" spans="1:20" ht="20.100000000000001" customHeight="1" thickBot="1" x14ac:dyDescent="0.3">
      <c r="A29" s="75">
        <v>22</v>
      </c>
      <c r="B29" s="133">
        <v>43581</v>
      </c>
      <c r="C29" s="135" t="s">
        <v>2414</v>
      </c>
      <c r="D29" s="136" t="s">
        <v>2436</v>
      </c>
      <c r="E29" s="78" t="s">
        <v>2007</v>
      </c>
      <c r="F29" s="80"/>
      <c r="G29" s="234">
        <v>310</v>
      </c>
      <c r="H29" s="234">
        <f t="shared" si="3"/>
        <v>5387800</v>
      </c>
      <c r="I29" s="266"/>
      <c r="J29" s="223">
        <v>1150000</v>
      </c>
      <c r="K29" s="267"/>
      <c r="L29" s="156"/>
      <c r="M29" s="189"/>
      <c r="N29" s="189"/>
      <c r="O29" s="268">
        <f t="shared" si="0"/>
        <v>6537800</v>
      </c>
      <c r="P29" s="272">
        <v>3860000</v>
      </c>
      <c r="Q29" s="270">
        <f t="shared" si="1"/>
        <v>-2677800</v>
      </c>
      <c r="R29" s="195"/>
      <c r="S29" s="310"/>
      <c r="T29" s="195"/>
    </row>
    <row r="30" spans="1:20" ht="20.100000000000001" customHeight="1" thickBot="1" x14ac:dyDescent="0.3">
      <c r="A30" s="75">
        <v>23</v>
      </c>
      <c r="B30" s="133">
        <v>43582</v>
      </c>
      <c r="C30" s="135" t="s">
        <v>2415</v>
      </c>
      <c r="D30" s="136" t="s">
        <v>2437</v>
      </c>
      <c r="E30" s="78" t="s">
        <v>2006</v>
      </c>
      <c r="F30" s="80"/>
      <c r="G30" s="234"/>
      <c r="H30" s="234"/>
      <c r="I30" s="266"/>
      <c r="J30" s="223">
        <v>1750000</v>
      </c>
      <c r="K30" s="267"/>
      <c r="L30" s="156"/>
      <c r="M30" s="189"/>
      <c r="N30" s="189"/>
      <c r="O30" s="268">
        <f t="shared" si="0"/>
        <v>1750000</v>
      </c>
      <c r="P30" s="272">
        <v>6100000</v>
      </c>
      <c r="Q30" s="270">
        <f t="shared" si="1"/>
        <v>4350000</v>
      </c>
      <c r="R30" s="195"/>
      <c r="S30" s="310"/>
      <c r="T30" s="195"/>
    </row>
    <row r="31" spans="1:20" ht="20.100000000000001" customHeight="1" thickBot="1" x14ac:dyDescent="0.3">
      <c r="A31" s="75">
        <v>24</v>
      </c>
      <c r="B31" s="133">
        <v>43584</v>
      </c>
      <c r="C31" s="135" t="s">
        <v>2416</v>
      </c>
      <c r="D31" s="136" t="s">
        <v>2438</v>
      </c>
      <c r="E31" s="78" t="s">
        <v>286</v>
      </c>
      <c r="F31" s="80"/>
      <c r="G31" s="234">
        <v>250</v>
      </c>
      <c r="H31" s="234">
        <f t="shared" si="3"/>
        <v>4345000</v>
      </c>
      <c r="I31" s="266"/>
      <c r="J31" s="223">
        <v>1150000</v>
      </c>
      <c r="K31" s="267"/>
      <c r="L31" s="156"/>
      <c r="M31" s="189"/>
      <c r="N31" s="189"/>
      <c r="O31" s="268">
        <f t="shared" si="0"/>
        <v>5495000</v>
      </c>
      <c r="P31" s="272">
        <v>3700000</v>
      </c>
      <c r="Q31" s="270">
        <f t="shared" si="1"/>
        <v>-1795000</v>
      </c>
      <c r="R31" s="195"/>
      <c r="S31" s="310"/>
      <c r="T31" s="195"/>
    </row>
    <row r="32" spans="1:20" ht="20.100000000000001" customHeight="1" thickBot="1" x14ac:dyDescent="0.3">
      <c r="A32" s="75"/>
      <c r="B32" s="133"/>
      <c r="C32" s="135"/>
      <c r="D32" s="136"/>
      <c r="E32" s="78"/>
      <c r="F32" s="80"/>
      <c r="G32" s="234"/>
      <c r="H32" s="234"/>
      <c r="I32" s="266"/>
      <c r="J32" s="263"/>
      <c r="K32" s="267"/>
      <c r="L32" s="156"/>
      <c r="M32" s="189"/>
      <c r="N32" s="189"/>
      <c r="O32" s="268">
        <f t="shared" si="0"/>
        <v>0</v>
      </c>
      <c r="P32" s="272"/>
      <c r="Q32" s="270">
        <f t="shared" si="1"/>
        <v>0</v>
      </c>
      <c r="R32" s="195"/>
      <c r="S32" s="310"/>
      <c r="T32" s="195"/>
    </row>
    <row r="33" spans="1:20" ht="20.100000000000001" customHeight="1" thickBot="1" x14ac:dyDescent="0.3">
      <c r="A33" s="75"/>
      <c r="B33" s="133"/>
      <c r="C33" s="135"/>
      <c r="D33" s="136"/>
      <c r="E33" s="78"/>
      <c r="F33" s="80"/>
      <c r="G33" s="234"/>
      <c r="H33" s="234"/>
      <c r="I33" s="266"/>
      <c r="J33" s="263"/>
      <c r="K33" s="267"/>
      <c r="L33" s="156"/>
      <c r="M33" s="189"/>
      <c r="N33" s="189"/>
      <c r="O33" s="268">
        <f t="shared" si="0"/>
        <v>0</v>
      </c>
      <c r="P33" s="272"/>
      <c r="Q33" s="270">
        <f t="shared" si="1"/>
        <v>0</v>
      </c>
      <c r="R33" s="195"/>
      <c r="S33" s="310"/>
      <c r="T33" s="195"/>
    </row>
    <row r="34" spans="1:20" ht="20.100000000000001" customHeight="1" x14ac:dyDescent="0.25">
      <c r="A34" s="75"/>
      <c r="B34" s="133"/>
      <c r="C34" s="138"/>
      <c r="D34" s="139"/>
      <c r="E34" s="78"/>
      <c r="F34" s="110"/>
      <c r="G34" s="273"/>
      <c r="H34" s="271"/>
      <c r="I34" s="266"/>
      <c r="J34" s="281"/>
      <c r="K34" s="267"/>
      <c r="L34" s="156"/>
      <c r="M34" s="194"/>
      <c r="N34" s="194"/>
      <c r="O34" s="268">
        <f t="shared" si="0"/>
        <v>0</v>
      </c>
      <c r="P34" s="274"/>
      <c r="Q34" s="270">
        <f t="shared" si="1"/>
        <v>0</v>
      </c>
      <c r="R34" s="195"/>
      <c r="S34" s="195"/>
      <c r="T34" s="195"/>
    </row>
    <row r="35" spans="1:20" ht="20.100000000000001" customHeight="1" x14ac:dyDescent="0.25">
      <c r="A35" s="75"/>
      <c r="B35" s="133"/>
      <c r="C35" s="138"/>
      <c r="D35" s="139"/>
      <c r="E35" s="78"/>
      <c r="F35" s="110"/>
      <c r="G35" s="273"/>
      <c r="H35" s="271"/>
      <c r="I35" s="266"/>
      <c r="J35" s="194"/>
      <c r="K35" s="267"/>
      <c r="L35" s="156"/>
      <c r="M35" s="194"/>
      <c r="N35" s="194"/>
      <c r="O35" s="268">
        <f t="shared" si="0"/>
        <v>0</v>
      </c>
      <c r="P35" s="274"/>
      <c r="Q35" s="270">
        <f t="shared" si="1"/>
        <v>0</v>
      </c>
      <c r="R35" s="195"/>
      <c r="S35" s="195"/>
      <c r="T35" s="195"/>
    </row>
    <row r="36" spans="1:20" ht="18" customHeight="1" x14ac:dyDescent="0.25">
      <c r="A36" s="75"/>
      <c r="B36" s="133"/>
      <c r="C36" s="170" t="s">
        <v>1273</v>
      </c>
      <c r="D36" s="162"/>
      <c r="E36" s="153"/>
      <c r="F36" s="163"/>
      <c r="G36" s="281"/>
      <c r="H36" s="282"/>
      <c r="I36" s="280"/>
      <c r="J36" s="194"/>
      <c r="K36" s="267"/>
      <c r="L36" s="156">
        <v>1320000</v>
      </c>
      <c r="M36" s="194"/>
      <c r="N36" s="194"/>
      <c r="O36" s="268">
        <f t="shared" si="0"/>
        <v>1320000</v>
      </c>
      <c r="P36" s="264"/>
      <c r="Q36" s="270">
        <f t="shared" si="1"/>
        <v>-1320000</v>
      </c>
    </row>
    <row r="37" spans="1:20" ht="27.75" customHeight="1" x14ac:dyDescent="0.25">
      <c r="A37" s="134"/>
      <c r="B37" s="137"/>
      <c r="C37" s="170" t="s">
        <v>2448</v>
      </c>
      <c r="D37" s="162"/>
      <c r="E37" s="167"/>
      <c r="F37" s="163"/>
      <c r="G37" s="281"/>
      <c r="H37" s="282"/>
      <c r="I37" s="280"/>
      <c r="J37" s="194"/>
      <c r="K37" s="278"/>
      <c r="L37" s="166">
        <v>1254000</v>
      </c>
      <c r="M37" s="194"/>
      <c r="N37" s="194"/>
      <c r="O37" s="268">
        <f t="shared" si="0"/>
        <v>1254000</v>
      </c>
      <c r="P37" s="265"/>
      <c r="Q37" s="270">
        <f t="shared" si="1"/>
        <v>-1254000</v>
      </c>
    </row>
    <row r="38" spans="1:20" ht="36.75" customHeight="1" x14ac:dyDescent="0.25">
      <c r="A38" s="134"/>
      <c r="B38" s="137"/>
      <c r="C38" s="170" t="s">
        <v>1090</v>
      </c>
      <c r="D38" s="162"/>
      <c r="E38" s="167"/>
      <c r="F38" s="163"/>
      <c r="G38" s="281"/>
      <c r="H38" s="282"/>
      <c r="I38" s="280"/>
      <c r="J38" s="194"/>
      <c r="K38" s="278"/>
      <c r="L38" s="166">
        <v>8532000</v>
      </c>
      <c r="M38" s="194"/>
      <c r="N38" s="194"/>
      <c r="O38" s="268">
        <f t="shared" si="0"/>
        <v>8532000</v>
      </c>
      <c r="P38" s="265"/>
      <c r="Q38" s="270">
        <f t="shared" si="1"/>
        <v>-8532000</v>
      </c>
    </row>
    <row r="39" spans="1:20" ht="27.75" customHeight="1" x14ac:dyDescent="0.25">
      <c r="A39" s="134"/>
      <c r="B39" s="137"/>
      <c r="C39" s="170" t="s">
        <v>2449</v>
      </c>
      <c r="D39" s="162"/>
      <c r="E39" s="167"/>
      <c r="F39" s="163"/>
      <c r="G39" s="281"/>
      <c r="H39" s="282"/>
      <c r="I39" s="280"/>
      <c r="J39" s="194"/>
      <c r="K39" s="278"/>
      <c r="L39" s="166">
        <v>840000</v>
      </c>
      <c r="M39" s="194"/>
      <c r="N39" s="194"/>
      <c r="O39" s="268">
        <f t="shared" si="0"/>
        <v>840000</v>
      </c>
      <c r="P39" s="265"/>
      <c r="Q39" s="270">
        <f t="shared" si="1"/>
        <v>-840000</v>
      </c>
    </row>
    <row r="40" spans="1:20" ht="18" customHeight="1" x14ac:dyDescent="0.25">
      <c r="A40" s="134"/>
      <c r="B40" s="137"/>
      <c r="C40" s="170" t="s">
        <v>2450</v>
      </c>
      <c r="D40" s="162"/>
      <c r="E40" s="167"/>
      <c r="F40" s="163"/>
      <c r="G40" s="281"/>
      <c r="H40" s="282"/>
      <c r="I40" s="280"/>
      <c r="J40" s="194"/>
      <c r="K40" s="278"/>
      <c r="L40" s="166">
        <v>300000</v>
      </c>
      <c r="M40" s="194"/>
      <c r="N40" s="113"/>
      <c r="O40" s="268">
        <f t="shared" si="0"/>
        <v>300000</v>
      </c>
      <c r="P40" s="265"/>
      <c r="Q40" s="270">
        <f t="shared" si="1"/>
        <v>-300000</v>
      </c>
    </row>
    <row r="41" spans="1:20" ht="70.5" customHeight="1" x14ac:dyDescent="0.25">
      <c r="A41" s="134"/>
      <c r="B41" s="137"/>
      <c r="C41" s="170" t="s">
        <v>2451</v>
      </c>
      <c r="D41" s="162"/>
      <c r="E41" s="167"/>
      <c r="F41" s="163"/>
      <c r="G41" s="281"/>
      <c r="H41" s="282"/>
      <c r="I41" s="280"/>
      <c r="J41" s="194"/>
      <c r="K41" s="278"/>
      <c r="L41" s="166">
        <v>5280000</v>
      </c>
      <c r="M41" s="194"/>
      <c r="N41" s="113"/>
      <c r="O41" s="268">
        <f t="shared" si="0"/>
        <v>5280000</v>
      </c>
      <c r="P41" s="265"/>
      <c r="Q41" s="270">
        <f t="shared" si="1"/>
        <v>-5280000</v>
      </c>
    </row>
    <row r="42" spans="1:20" ht="34.5" customHeight="1" x14ac:dyDescent="0.25">
      <c r="A42" s="134"/>
      <c r="B42" s="137"/>
      <c r="C42" s="170" t="s">
        <v>2452</v>
      </c>
      <c r="D42" s="162"/>
      <c r="E42" s="167"/>
      <c r="F42" s="163"/>
      <c r="G42" s="281"/>
      <c r="H42" s="282"/>
      <c r="I42" s="280"/>
      <c r="J42" s="194"/>
      <c r="K42" s="278"/>
      <c r="L42" s="166">
        <v>800000</v>
      </c>
      <c r="M42" s="194"/>
      <c r="N42" s="113"/>
      <c r="O42" s="268">
        <f t="shared" si="0"/>
        <v>800000</v>
      </c>
      <c r="P42" s="265"/>
      <c r="Q42" s="270">
        <f t="shared" si="1"/>
        <v>-800000</v>
      </c>
    </row>
    <row r="43" spans="1:20" ht="36.75" customHeight="1" x14ac:dyDescent="0.25">
      <c r="A43" s="134"/>
      <c r="B43" s="137"/>
      <c r="C43" s="170" t="s">
        <v>2453</v>
      </c>
      <c r="D43" s="162"/>
      <c r="E43" s="167"/>
      <c r="F43" s="163"/>
      <c r="G43" s="281"/>
      <c r="H43" s="282"/>
      <c r="I43" s="280"/>
      <c r="J43" s="194"/>
      <c r="K43" s="278"/>
      <c r="L43" s="166">
        <v>170000</v>
      </c>
      <c r="M43" s="194"/>
      <c r="N43" s="113"/>
      <c r="O43" s="268">
        <f t="shared" si="0"/>
        <v>170000</v>
      </c>
      <c r="P43" s="265"/>
      <c r="Q43" s="270">
        <f t="shared" si="1"/>
        <v>-170000</v>
      </c>
    </row>
    <row r="44" spans="1:20" ht="42" customHeight="1" x14ac:dyDescent="0.25">
      <c r="A44" s="134"/>
      <c r="B44" s="137"/>
      <c r="C44" s="170" t="s">
        <v>2454</v>
      </c>
      <c r="D44" s="162"/>
      <c r="E44" s="167"/>
      <c r="F44" s="163"/>
      <c r="G44" s="281"/>
      <c r="H44" s="282"/>
      <c r="I44" s="280"/>
      <c r="J44" s="194"/>
      <c r="K44" s="278"/>
      <c r="L44" s="166">
        <v>300000</v>
      </c>
      <c r="M44" s="194"/>
      <c r="N44" s="194"/>
      <c r="O44" s="268">
        <f t="shared" si="0"/>
        <v>300000</v>
      </c>
      <c r="P44" s="265"/>
      <c r="Q44" s="270">
        <f t="shared" si="1"/>
        <v>-300000</v>
      </c>
    </row>
    <row r="45" spans="1:20" ht="18" customHeight="1" x14ac:dyDescent="0.25">
      <c r="A45" s="134"/>
      <c r="B45" s="70"/>
      <c r="C45" s="108" t="s">
        <v>1386</v>
      </c>
      <c r="D45" s="87"/>
      <c r="E45" s="70"/>
      <c r="F45" s="110"/>
      <c r="G45" s="281"/>
      <c r="H45" s="282"/>
      <c r="I45" s="280"/>
      <c r="J45" s="194"/>
      <c r="K45" s="283">
        <f>9000000/26*25</f>
        <v>8653846.153846154</v>
      </c>
      <c r="L45" s="141"/>
      <c r="M45" s="194"/>
      <c r="N45" s="194"/>
      <c r="O45" s="268">
        <f t="shared" si="0"/>
        <v>8653846.153846154</v>
      </c>
      <c r="P45" s="265"/>
      <c r="Q45" s="270">
        <f t="shared" si="1"/>
        <v>-8653846.153846154</v>
      </c>
    </row>
    <row r="46" spans="1:20" x14ac:dyDescent="0.25">
      <c r="A46" s="547" t="s">
        <v>19</v>
      </c>
      <c r="B46" s="548"/>
      <c r="C46" s="548"/>
      <c r="D46" s="548"/>
      <c r="E46" s="548"/>
      <c r="F46" s="549"/>
      <c r="G46" s="305">
        <f>SUM(G8:G45)</f>
        <v>3185</v>
      </c>
      <c r="H46" s="291">
        <f t="shared" ref="H46:Q46" si="4">SUM(H7:H45)</f>
        <v>54648300</v>
      </c>
      <c r="I46" s="291">
        <f t="shared" si="4"/>
        <v>0</v>
      </c>
      <c r="J46" s="291">
        <f t="shared" si="4"/>
        <v>33590000</v>
      </c>
      <c r="K46" s="291">
        <f t="shared" si="4"/>
        <v>8653846.153846154</v>
      </c>
      <c r="L46" s="309">
        <f t="shared" si="4"/>
        <v>18796000</v>
      </c>
      <c r="M46" s="291">
        <f t="shared" si="4"/>
        <v>0</v>
      </c>
      <c r="N46" s="291">
        <f t="shared" si="4"/>
        <v>0</v>
      </c>
      <c r="O46" s="291">
        <f t="shared" si="4"/>
        <v>115688146.15384616</v>
      </c>
      <c r="P46" s="291">
        <f t="shared" si="4"/>
        <v>134727273</v>
      </c>
      <c r="Q46" s="297">
        <f t="shared" si="4"/>
        <v>19039126.846153848</v>
      </c>
      <c r="R46" s="195"/>
      <c r="S46" s="195"/>
    </row>
    <row r="47" spans="1:20" x14ac:dyDescent="0.25">
      <c r="P47" s="294"/>
      <c r="Q47" s="295"/>
    </row>
    <row r="48" spans="1:20" x14ac:dyDescent="0.25">
      <c r="H48" s="294"/>
      <c r="P48" s="296" t="s">
        <v>1225</v>
      </c>
      <c r="Q48" s="304">
        <f>'3.2019'!Q48+'4.2019'!Q46</f>
        <v>110490550.15384614</v>
      </c>
    </row>
    <row r="49" spans="17:18" x14ac:dyDescent="0.25">
      <c r="Q49" s="294"/>
    </row>
    <row r="50" spans="17:18" x14ac:dyDescent="0.25">
      <c r="R50" s="195"/>
    </row>
  </sheetData>
  <mergeCells count="5">
    <mergeCell ref="A1:Q1"/>
    <mergeCell ref="A2:Q2"/>
    <mergeCell ref="A3:Q3"/>
    <mergeCell ref="G5:N5"/>
    <mergeCell ref="A46:F46"/>
  </mergeCells>
  <pageMargins left="0.7" right="0.7" top="0.75" bottom="0.75" header="0.3" footer="0.3"/>
  <pageSetup paperSize="9" orientation="portrait" horizontalDpi="0" verticalDpi="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T50"/>
  <sheetViews>
    <sheetView topLeftCell="D35" workbookViewId="0">
      <selection activeCell="L37" sqref="L37:L39"/>
    </sheetView>
  </sheetViews>
  <sheetFormatPr defaultRowHeight="15" x14ac:dyDescent="0.25"/>
  <cols>
    <col min="1" max="1" width="4.5703125" customWidth="1"/>
    <col min="3" max="3" width="41.28515625" customWidth="1"/>
    <col min="4" max="4" width="16.5703125" customWidth="1"/>
    <col min="5" max="5" width="33.140625" customWidth="1"/>
    <col min="7" max="7" width="9.140625" style="292"/>
    <col min="8" max="8" width="10.140625" style="292" bestFit="1" customWidth="1"/>
    <col min="9" max="9" width="9.140625" style="293"/>
    <col min="10" max="10" width="9.140625" style="292"/>
    <col min="11" max="11" width="9.42578125" style="292" bestFit="1" customWidth="1"/>
    <col min="12" max="12" width="9.42578125" style="173" bestFit="1" customWidth="1"/>
    <col min="13" max="14" width="9.140625" style="292"/>
    <col min="15" max="15" width="11.140625" style="292" customWidth="1"/>
    <col min="16" max="16" width="10.7109375" style="292" customWidth="1"/>
    <col min="17" max="17" width="12.28515625" style="292" customWidth="1"/>
    <col min="18" max="18" width="11.7109375" customWidth="1"/>
    <col min="19" max="19" width="18"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2455</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257"/>
      <c r="H4" s="258"/>
      <c r="I4" s="258"/>
      <c r="J4" s="258"/>
      <c r="K4" s="258"/>
      <c r="L4" s="91"/>
      <c r="M4" s="258"/>
      <c r="N4" s="258"/>
      <c r="O4" s="258"/>
      <c r="P4" s="258"/>
      <c r="Q4" s="258"/>
    </row>
    <row r="5" spans="1:20"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20"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20" ht="15.75" thickBot="1" x14ac:dyDescent="0.3">
      <c r="A7" s="311"/>
      <c r="B7" s="312"/>
      <c r="C7" s="311"/>
      <c r="D7" s="311"/>
      <c r="E7" s="311"/>
      <c r="F7" s="311"/>
      <c r="G7" s="313"/>
      <c r="H7" s="313"/>
      <c r="I7" s="313"/>
      <c r="J7" s="313"/>
      <c r="K7" s="313"/>
      <c r="L7" s="314"/>
      <c r="M7" s="313"/>
      <c r="N7" s="313"/>
      <c r="O7" s="313"/>
      <c r="P7" s="313"/>
      <c r="Q7" s="313">
        <f>P7-O7</f>
        <v>0</v>
      </c>
    </row>
    <row r="8" spans="1:20" ht="20.100000000000001" customHeight="1" thickBot="1" x14ac:dyDescent="0.3">
      <c r="A8" s="76">
        <v>1</v>
      </c>
      <c r="B8" s="315">
        <v>43587</v>
      </c>
      <c r="C8" s="40" t="s">
        <v>1786</v>
      </c>
      <c r="D8" s="319" t="s">
        <v>2472</v>
      </c>
      <c r="E8" s="78" t="s">
        <v>2500</v>
      </c>
      <c r="F8" s="80"/>
      <c r="G8" s="234">
        <v>0</v>
      </c>
      <c r="H8" s="234">
        <f>+G8*$H$7</f>
        <v>0</v>
      </c>
      <c r="I8" s="156"/>
      <c r="J8" s="223">
        <v>1780000</v>
      </c>
      <c r="K8" s="267"/>
      <c r="L8" s="156"/>
      <c r="M8" s="189"/>
      <c r="N8" s="189"/>
      <c r="O8" s="263">
        <f>SUM(H8:N8)</f>
        <v>1780000</v>
      </c>
      <c r="P8" s="320">
        <v>5580000</v>
      </c>
      <c r="Q8" s="263">
        <f>P8-O8</f>
        <v>3800000</v>
      </c>
      <c r="R8" s="195"/>
      <c r="S8" s="310">
        <f>COUNTIF($D$8:$D$35,D8)</f>
        <v>1</v>
      </c>
      <c r="T8" s="195"/>
    </row>
    <row r="9" spans="1:20" ht="20.100000000000001" customHeight="1" thickBot="1" x14ac:dyDescent="0.3">
      <c r="A9" s="76">
        <v>2</v>
      </c>
      <c r="B9" s="315">
        <v>43587</v>
      </c>
      <c r="C9" s="40" t="s">
        <v>2456</v>
      </c>
      <c r="D9" s="321" t="s">
        <v>2473</v>
      </c>
      <c r="E9" s="78" t="s">
        <v>356</v>
      </c>
      <c r="F9" s="80"/>
      <c r="G9" s="234">
        <v>0</v>
      </c>
      <c r="H9" s="234">
        <f t="shared" ref="H9:H33" si="0">+G9*$H$7</f>
        <v>0</v>
      </c>
      <c r="I9" s="156"/>
      <c r="J9" s="223">
        <v>0</v>
      </c>
      <c r="K9" s="267"/>
      <c r="L9" s="156"/>
      <c r="M9" s="189"/>
      <c r="N9" s="189"/>
      <c r="O9" s="263">
        <f>SUM(H9:N9)</f>
        <v>0</v>
      </c>
      <c r="P9" s="320">
        <v>5560000</v>
      </c>
      <c r="Q9" s="263">
        <f t="shared" ref="Q9:Q45" si="1">P9-O9</f>
        <v>5560000</v>
      </c>
      <c r="R9" s="195"/>
      <c r="S9" s="310">
        <f>COUNTIF($D$8:$D$35,D9)</f>
        <v>1</v>
      </c>
      <c r="T9" s="195"/>
    </row>
    <row r="10" spans="1:20" ht="20.100000000000001" customHeight="1" thickBot="1" x14ac:dyDescent="0.3">
      <c r="A10" s="76">
        <v>3</v>
      </c>
      <c r="B10" s="315">
        <v>43587</v>
      </c>
      <c r="C10" s="40" t="s">
        <v>2456</v>
      </c>
      <c r="D10" s="319" t="s">
        <v>2474</v>
      </c>
      <c r="E10" s="78" t="s">
        <v>356</v>
      </c>
      <c r="F10" s="80"/>
      <c r="G10" s="234">
        <v>230</v>
      </c>
      <c r="H10" s="234">
        <f>+G10*17690</f>
        <v>4068700</v>
      </c>
      <c r="I10" s="156"/>
      <c r="J10" s="223">
        <f>VLOOKUP(D10,'[2]05.2019'!$H$5:$K$334,4,0)</f>
        <v>1270000</v>
      </c>
      <c r="K10" s="267"/>
      <c r="L10" s="156"/>
      <c r="M10" s="189"/>
      <c r="N10" s="189"/>
      <c r="O10" s="263">
        <f t="shared" ref="O10:O45" si="2">SUM(H10:N10)</f>
        <v>5338700</v>
      </c>
      <c r="P10" s="322">
        <v>0</v>
      </c>
      <c r="Q10" s="263">
        <f t="shared" si="1"/>
        <v>-5338700</v>
      </c>
      <c r="R10" s="195"/>
      <c r="S10" s="310">
        <f t="shared" ref="S10:S35" si="3">COUNTIF($D$8:$D$35,D10)</f>
        <v>1</v>
      </c>
      <c r="T10" s="195"/>
    </row>
    <row r="11" spans="1:20" ht="20.100000000000001" customHeight="1" thickBot="1" x14ac:dyDescent="0.3">
      <c r="A11" s="76">
        <v>4</v>
      </c>
      <c r="B11" s="315">
        <v>43588</v>
      </c>
      <c r="C11" s="40" t="s">
        <v>1102</v>
      </c>
      <c r="D11" s="319" t="s">
        <v>2475</v>
      </c>
      <c r="E11" s="78" t="s">
        <v>2501</v>
      </c>
      <c r="F11" s="80"/>
      <c r="G11" s="234">
        <v>0</v>
      </c>
      <c r="H11" s="234">
        <f t="shared" si="0"/>
        <v>0</v>
      </c>
      <c r="I11" s="156"/>
      <c r="J11" s="256">
        <v>1970000</v>
      </c>
      <c r="K11" s="267"/>
      <c r="L11" s="156"/>
      <c r="M11" s="189"/>
      <c r="N11" s="189"/>
      <c r="O11" s="263">
        <f t="shared" si="2"/>
        <v>1970000</v>
      </c>
      <c r="P11" s="320">
        <v>6900000</v>
      </c>
      <c r="Q11" s="263">
        <f t="shared" si="1"/>
        <v>4930000</v>
      </c>
      <c r="R11" s="195"/>
      <c r="S11" s="310">
        <f t="shared" si="3"/>
        <v>1</v>
      </c>
      <c r="T11" s="195"/>
    </row>
    <row r="12" spans="1:20" ht="20.100000000000001" customHeight="1" thickBot="1" x14ac:dyDescent="0.3">
      <c r="A12" s="76">
        <v>5</v>
      </c>
      <c r="B12" s="315">
        <v>43591</v>
      </c>
      <c r="C12" s="40" t="s">
        <v>2457</v>
      </c>
      <c r="D12" s="319" t="s">
        <v>2476</v>
      </c>
      <c r="E12" s="78" t="s">
        <v>2502</v>
      </c>
      <c r="F12" s="80"/>
      <c r="G12" s="234">
        <v>270</v>
      </c>
      <c r="H12" s="234">
        <f>+G12*17690</f>
        <v>4776300</v>
      </c>
      <c r="I12" s="156"/>
      <c r="J12" s="223">
        <f>VLOOKUP(D12,'[2]05.2019'!$H$5:$K$334,4,0)</f>
        <v>1170000</v>
      </c>
      <c r="K12" s="267"/>
      <c r="L12" s="156"/>
      <c r="M12" s="189"/>
      <c r="N12" s="189"/>
      <c r="O12" s="263">
        <f t="shared" si="2"/>
        <v>5946300</v>
      </c>
      <c r="P12" s="320">
        <v>5000000</v>
      </c>
      <c r="Q12" s="263">
        <f t="shared" si="1"/>
        <v>-946300</v>
      </c>
      <c r="R12" s="195"/>
      <c r="S12" s="310">
        <f t="shared" si="3"/>
        <v>1</v>
      </c>
      <c r="T12" s="195"/>
    </row>
    <row r="13" spans="1:20" ht="20.100000000000001" customHeight="1" thickBot="1" x14ac:dyDescent="0.3">
      <c r="A13" s="76">
        <v>6</v>
      </c>
      <c r="B13" s="315">
        <v>43591</v>
      </c>
      <c r="C13" s="40" t="s">
        <v>1787</v>
      </c>
      <c r="D13" s="319" t="s">
        <v>2477</v>
      </c>
      <c r="E13" s="78" t="s">
        <v>2503</v>
      </c>
      <c r="F13" s="80"/>
      <c r="G13" s="234">
        <v>0</v>
      </c>
      <c r="H13" s="234">
        <f t="shared" si="0"/>
        <v>0</v>
      </c>
      <c r="I13" s="156"/>
      <c r="J13" s="223">
        <f>VLOOKUP(D13,'[2]05.2019'!$H$5:$K$334,4,0)</f>
        <v>1240000</v>
      </c>
      <c r="K13" s="267"/>
      <c r="L13" s="156"/>
      <c r="M13" s="189"/>
      <c r="N13" s="189"/>
      <c r="O13" s="263">
        <f t="shared" si="2"/>
        <v>1240000</v>
      </c>
      <c r="P13" s="320">
        <v>6400000</v>
      </c>
      <c r="Q13" s="263">
        <f t="shared" si="1"/>
        <v>5160000</v>
      </c>
      <c r="R13" s="195"/>
      <c r="S13" s="310">
        <f t="shared" si="3"/>
        <v>1</v>
      </c>
      <c r="T13" s="195"/>
    </row>
    <row r="14" spans="1:20" ht="20.100000000000001" customHeight="1" thickBot="1" x14ac:dyDescent="0.3">
      <c r="A14" s="76">
        <v>7</v>
      </c>
      <c r="B14" s="315">
        <v>43591</v>
      </c>
      <c r="C14" s="40" t="s">
        <v>2458</v>
      </c>
      <c r="D14" s="319" t="s">
        <v>2478</v>
      </c>
      <c r="E14" s="78" t="s">
        <v>2007</v>
      </c>
      <c r="F14" s="80"/>
      <c r="G14" s="234">
        <v>240</v>
      </c>
      <c r="H14" s="234">
        <f>+G14*17690</f>
        <v>4245600</v>
      </c>
      <c r="I14" s="156"/>
      <c r="J14" s="223">
        <f>VLOOKUP(D14,'[2]05.2019'!$H$5:$K$334,4,0)</f>
        <v>1150000</v>
      </c>
      <c r="K14" s="267"/>
      <c r="L14" s="156"/>
      <c r="M14" s="189"/>
      <c r="N14" s="189"/>
      <c r="O14" s="263">
        <f t="shared" si="2"/>
        <v>5395600</v>
      </c>
      <c r="P14" s="320">
        <v>3860000</v>
      </c>
      <c r="Q14" s="263">
        <f t="shared" si="1"/>
        <v>-1535600</v>
      </c>
      <c r="R14" s="195"/>
      <c r="S14" s="310">
        <f t="shared" si="3"/>
        <v>1</v>
      </c>
      <c r="T14" s="195"/>
    </row>
    <row r="15" spans="1:20" ht="20.100000000000001" customHeight="1" thickBot="1" x14ac:dyDescent="0.3">
      <c r="A15" s="76">
        <v>8</v>
      </c>
      <c r="B15" s="315">
        <v>43593</v>
      </c>
      <c r="C15" s="40" t="s">
        <v>2459</v>
      </c>
      <c r="D15" s="319" t="s">
        <v>2479</v>
      </c>
      <c r="E15" s="78" t="s">
        <v>562</v>
      </c>
      <c r="F15" s="80"/>
      <c r="G15" s="234">
        <v>270</v>
      </c>
      <c r="H15" s="234">
        <f>+G15*17690</f>
        <v>4776300</v>
      </c>
      <c r="I15" s="156"/>
      <c r="J15" s="223">
        <f>VLOOKUP(D15,'[2]05.2019'!$H$5:$K$334,4,0)</f>
        <v>2740000</v>
      </c>
      <c r="K15" s="267"/>
      <c r="L15" s="156"/>
      <c r="M15" s="189"/>
      <c r="N15" s="189"/>
      <c r="O15" s="263">
        <f t="shared" si="2"/>
        <v>7516300</v>
      </c>
      <c r="P15" s="320">
        <v>15000000</v>
      </c>
      <c r="Q15" s="263">
        <f t="shared" si="1"/>
        <v>7483700</v>
      </c>
      <c r="R15" s="195"/>
      <c r="S15" s="310">
        <f t="shared" si="3"/>
        <v>1</v>
      </c>
      <c r="T15" s="195"/>
    </row>
    <row r="16" spans="1:20" ht="20.100000000000001" customHeight="1" thickBot="1" x14ac:dyDescent="0.3">
      <c r="A16" s="76">
        <v>9</v>
      </c>
      <c r="B16" s="315">
        <v>43594</v>
      </c>
      <c r="C16" s="40" t="s">
        <v>2460</v>
      </c>
      <c r="D16" s="319" t="s">
        <v>2480</v>
      </c>
      <c r="E16" s="78" t="s">
        <v>2504</v>
      </c>
      <c r="F16" s="80"/>
      <c r="G16" s="234">
        <v>0</v>
      </c>
      <c r="H16" s="234">
        <f t="shared" si="0"/>
        <v>0</v>
      </c>
      <c r="I16" s="156"/>
      <c r="J16" s="223">
        <f>VLOOKUP(D16,'[2]05.2019'!$H$5:$K$334,4,0)</f>
        <v>1270000</v>
      </c>
      <c r="K16" s="267"/>
      <c r="L16" s="156"/>
      <c r="M16" s="189"/>
      <c r="N16" s="189"/>
      <c r="O16" s="263">
        <f t="shared" si="2"/>
        <v>1270000</v>
      </c>
      <c r="P16" s="320">
        <v>5200000</v>
      </c>
      <c r="Q16" s="263">
        <f t="shared" si="1"/>
        <v>3930000</v>
      </c>
      <c r="R16" s="195"/>
      <c r="S16" s="310">
        <f t="shared" si="3"/>
        <v>1</v>
      </c>
      <c r="T16" s="195"/>
    </row>
    <row r="17" spans="1:20" ht="20.100000000000001" customHeight="1" thickBot="1" x14ac:dyDescent="0.3">
      <c r="A17" s="76">
        <v>10</v>
      </c>
      <c r="B17" s="315">
        <v>43595</v>
      </c>
      <c r="C17" s="40" t="s">
        <v>350</v>
      </c>
      <c r="D17" s="319" t="s">
        <v>2481</v>
      </c>
      <c r="E17" s="78" t="s">
        <v>2505</v>
      </c>
      <c r="F17" s="80"/>
      <c r="G17" s="234">
        <v>240</v>
      </c>
      <c r="H17" s="234">
        <f>+G17*17690</f>
        <v>4245600</v>
      </c>
      <c r="I17" s="156"/>
      <c r="J17" s="223">
        <f>VLOOKUP(D17,'[2]05.2019'!$H$5:$K$334,4,0)</f>
        <v>1160000</v>
      </c>
      <c r="K17" s="267"/>
      <c r="L17" s="156"/>
      <c r="M17" s="189"/>
      <c r="N17" s="189"/>
      <c r="O17" s="263">
        <f t="shared" si="2"/>
        <v>5405600</v>
      </c>
      <c r="P17" s="320">
        <v>5000000</v>
      </c>
      <c r="Q17" s="263">
        <f t="shared" si="1"/>
        <v>-405600</v>
      </c>
      <c r="R17" s="195"/>
      <c r="S17" s="310">
        <f t="shared" si="3"/>
        <v>1</v>
      </c>
      <c r="T17" s="195"/>
    </row>
    <row r="18" spans="1:20" ht="20.100000000000001" customHeight="1" thickBot="1" x14ac:dyDescent="0.3">
      <c r="A18" s="76">
        <v>11</v>
      </c>
      <c r="B18" s="315">
        <v>43596</v>
      </c>
      <c r="C18" s="40" t="s">
        <v>2461</v>
      </c>
      <c r="D18" s="319" t="s">
        <v>2482</v>
      </c>
      <c r="E18" s="78" t="s">
        <v>566</v>
      </c>
      <c r="F18" s="80"/>
      <c r="G18" s="234">
        <v>0</v>
      </c>
      <c r="H18" s="234">
        <f t="shared" si="0"/>
        <v>0</v>
      </c>
      <c r="I18" s="156"/>
      <c r="J18" s="223">
        <f>VLOOKUP(D18,'[2]05.2019'!$H$5:$K$334,4,0)</f>
        <v>790000</v>
      </c>
      <c r="K18" s="267"/>
      <c r="L18" s="156"/>
      <c r="M18" s="189"/>
      <c r="N18" s="189"/>
      <c r="O18" s="263">
        <f t="shared" si="2"/>
        <v>790000</v>
      </c>
      <c r="P18" s="320">
        <v>4000000</v>
      </c>
      <c r="Q18" s="263">
        <f t="shared" si="1"/>
        <v>3210000</v>
      </c>
      <c r="R18" s="195"/>
      <c r="S18" s="310">
        <f t="shared" si="3"/>
        <v>1</v>
      </c>
      <c r="T18" s="195"/>
    </row>
    <row r="19" spans="1:20" ht="20.100000000000001" customHeight="1" thickBot="1" x14ac:dyDescent="0.3">
      <c r="A19" s="76">
        <v>12</v>
      </c>
      <c r="B19" s="315">
        <v>43598</v>
      </c>
      <c r="C19" s="40" t="s">
        <v>2462</v>
      </c>
      <c r="D19" s="319" t="s">
        <v>2483</v>
      </c>
      <c r="E19" s="78" t="s">
        <v>356</v>
      </c>
      <c r="F19" s="80"/>
      <c r="G19" s="234">
        <v>180</v>
      </c>
      <c r="H19" s="234">
        <f>+G19*17690</f>
        <v>3184200</v>
      </c>
      <c r="I19" s="156"/>
      <c r="J19" s="223">
        <f>VLOOKUP(D19,'[2]05.2019'!$H$5:$K$334,4,0)</f>
        <v>970000</v>
      </c>
      <c r="K19" s="267"/>
      <c r="L19" s="156"/>
      <c r="M19" s="189"/>
      <c r="N19" s="189"/>
      <c r="O19" s="263">
        <f t="shared" si="2"/>
        <v>4154200</v>
      </c>
      <c r="P19" s="320">
        <v>4560000</v>
      </c>
      <c r="Q19" s="263">
        <f t="shared" si="1"/>
        <v>405800</v>
      </c>
      <c r="R19" s="195"/>
      <c r="S19" s="310">
        <f t="shared" si="3"/>
        <v>1</v>
      </c>
      <c r="T19" s="195"/>
    </row>
    <row r="20" spans="1:20" ht="20.100000000000001" customHeight="1" thickBot="1" x14ac:dyDescent="0.3">
      <c r="A20" s="76">
        <v>13</v>
      </c>
      <c r="B20" s="315">
        <v>43599</v>
      </c>
      <c r="C20" s="40" t="s">
        <v>2463</v>
      </c>
      <c r="D20" s="319" t="s">
        <v>2484</v>
      </c>
      <c r="E20" s="78" t="s">
        <v>24</v>
      </c>
      <c r="F20" s="80"/>
      <c r="G20" s="234">
        <v>0</v>
      </c>
      <c r="H20" s="234">
        <f t="shared" si="0"/>
        <v>0</v>
      </c>
      <c r="I20" s="156"/>
      <c r="J20" s="223">
        <f>VLOOKUP(D20,'[2]05.2019'!$H$5:$K$334,4,0)</f>
        <v>1890000</v>
      </c>
      <c r="K20" s="267"/>
      <c r="L20" s="156"/>
      <c r="M20" s="189"/>
      <c r="N20" s="189"/>
      <c r="O20" s="263">
        <f t="shared" si="2"/>
        <v>1890000</v>
      </c>
      <c r="P20" s="320">
        <v>8045455</v>
      </c>
      <c r="Q20" s="263">
        <f t="shared" si="1"/>
        <v>6155455</v>
      </c>
      <c r="R20" s="195"/>
      <c r="S20" s="310">
        <f t="shared" si="3"/>
        <v>1</v>
      </c>
      <c r="T20" s="195"/>
    </row>
    <row r="21" spans="1:20" ht="20.100000000000001" customHeight="1" thickBot="1" x14ac:dyDescent="0.3">
      <c r="A21" s="76">
        <v>14</v>
      </c>
      <c r="B21" s="315">
        <v>43600</v>
      </c>
      <c r="C21" s="40" t="s">
        <v>2464</v>
      </c>
      <c r="D21" s="319" t="s">
        <v>2485</v>
      </c>
      <c r="E21" s="78" t="s">
        <v>367</v>
      </c>
      <c r="F21" s="80"/>
      <c r="G21" s="233">
        <v>300</v>
      </c>
      <c r="H21" s="234">
        <f>+G21*17690</f>
        <v>5307000</v>
      </c>
      <c r="I21" s="156"/>
      <c r="J21" s="223">
        <f>VLOOKUP(D21,'[2]05.2019'!$H$5:$K$334,4,0)</f>
        <v>970000</v>
      </c>
      <c r="K21" s="267"/>
      <c r="L21" s="156"/>
      <c r="M21" s="189"/>
      <c r="N21" s="189"/>
      <c r="O21" s="263">
        <f t="shared" si="2"/>
        <v>6277000</v>
      </c>
      <c r="P21" s="320">
        <v>4500000</v>
      </c>
      <c r="Q21" s="263">
        <f t="shared" si="1"/>
        <v>-1777000</v>
      </c>
      <c r="R21" s="195"/>
      <c r="S21" s="310">
        <f t="shared" si="3"/>
        <v>1</v>
      </c>
      <c r="T21" s="195"/>
    </row>
    <row r="22" spans="1:20" ht="20.100000000000001" customHeight="1" thickBot="1" x14ac:dyDescent="0.3">
      <c r="A22" s="76">
        <v>15</v>
      </c>
      <c r="B22" s="315">
        <v>43601</v>
      </c>
      <c r="C22" s="40" t="s">
        <v>1795</v>
      </c>
      <c r="D22" s="319" t="s">
        <v>2486</v>
      </c>
      <c r="E22" s="78" t="s">
        <v>356</v>
      </c>
      <c r="F22" s="80"/>
      <c r="G22" s="234">
        <v>0</v>
      </c>
      <c r="H22" s="234">
        <f t="shared" si="0"/>
        <v>0</v>
      </c>
      <c r="I22" s="156"/>
      <c r="J22" s="223">
        <f>VLOOKUP(D22,'[2]05.2019'!$H$5:$K$334,4,0)</f>
        <v>970000</v>
      </c>
      <c r="K22" s="267"/>
      <c r="L22" s="156"/>
      <c r="M22" s="189"/>
      <c r="N22" s="189"/>
      <c r="O22" s="263">
        <f t="shared" si="2"/>
        <v>970000</v>
      </c>
      <c r="P22" s="320">
        <v>4560000</v>
      </c>
      <c r="Q22" s="263">
        <f t="shared" si="1"/>
        <v>3590000</v>
      </c>
      <c r="R22" s="195"/>
      <c r="S22" s="310">
        <f t="shared" si="3"/>
        <v>1</v>
      </c>
      <c r="T22" s="195"/>
    </row>
    <row r="23" spans="1:20" ht="20.100000000000001" customHeight="1" thickBot="1" x14ac:dyDescent="0.3">
      <c r="A23" s="76">
        <v>16</v>
      </c>
      <c r="B23" s="315">
        <v>43602</v>
      </c>
      <c r="C23" s="40" t="s">
        <v>2465</v>
      </c>
      <c r="D23" s="319" t="s">
        <v>2487</v>
      </c>
      <c r="E23" s="78" t="s">
        <v>88</v>
      </c>
      <c r="F23" s="80"/>
      <c r="G23" s="234">
        <v>0</v>
      </c>
      <c r="H23" s="234">
        <f t="shared" si="0"/>
        <v>0</v>
      </c>
      <c r="I23" s="156"/>
      <c r="J23" s="223">
        <f>VLOOKUP(D23,'[2]05.2019'!$H$5:$K$334,4,0)</f>
        <v>790000</v>
      </c>
      <c r="K23" s="267"/>
      <c r="L23" s="156"/>
      <c r="M23" s="189"/>
      <c r="N23" s="189"/>
      <c r="O23" s="263">
        <f t="shared" si="2"/>
        <v>790000</v>
      </c>
      <c r="P23" s="320">
        <v>4000000</v>
      </c>
      <c r="Q23" s="263">
        <f t="shared" si="1"/>
        <v>3210000</v>
      </c>
      <c r="R23" s="195"/>
      <c r="S23" s="310">
        <f t="shared" si="3"/>
        <v>1</v>
      </c>
      <c r="T23" s="195"/>
    </row>
    <row r="24" spans="1:20" ht="20.100000000000001" customHeight="1" thickBot="1" x14ac:dyDescent="0.3">
      <c r="A24" s="76">
        <v>17</v>
      </c>
      <c r="B24" s="315">
        <v>43603</v>
      </c>
      <c r="C24" s="40" t="s">
        <v>2466</v>
      </c>
      <c r="D24" s="319" t="s">
        <v>2488</v>
      </c>
      <c r="E24" s="78" t="s">
        <v>88</v>
      </c>
      <c r="F24" s="80"/>
      <c r="G24" s="234">
        <v>305</v>
      </c>
      <c r="H24" s="234">
        <f>+G24*17610</f>
        <v>5371050</v>
      </c>
      <c r="I24" s="156"/>
      <c r="J24" s="223">
        <f>VLOOKUP(D24,'[2]05.2019'!$H$5:$K$334,4,0)</f>
        <v>790000</v>
      </c>
      <c r="K24" s="267"/>
      <c r="L24" s="156"/>
      <c r="M24" s="189"/>
      <c r="N24" s="189"/>
      <c r="O24" s="263">
        <f t="shared" si="2"/>
        <v>6161050</v>
      </c>
      <c r="P24" s="320">
        <v>4000000</v>
      </c>
      <c r="Q24" s="263">
        <f t="shared" si="1"/>
        <v>-2161050</v>
      </c>
      <c r="R24" s="195"/>
      <c r="S24" s="310">
        <f t="shared" si="3"/>
        <v>1</v>
      </c>
      <c r="T24" s="195"/>
    </row>
    <row r="25" spans="1:20" ht="20.100000000000001" customHeight="1" thickBot="1" x14ac:dyDescent="0.3">
      <c r="A25" s="76">
        <v>18</v>
      </c>
      <c r="B25" s="315">
        <v>43605</v>
      </c>
      <c r="C25" s="40" t="s">
        <v>1106</v>
      </c>
      <c r="D25" s="319" t="s">
        <v>2489</v>
      </c>
      <c r="E25" s="78" t="s">
        <v>1621</v>
      </c>
      <c r="F25" s="80"/>
      <c r="G25" s="234">
        <v>0</v>
      </c>
      <c r="H25" s="234">
        <f t="shared" si="0"/>
        <v>0</v>
      </c>
      <c r="I25" s="156"/>
      <c r="J25" s="223">
        <f>VLOOKUP(D25,'[2]05.2019'!$H$5:$K$334,4,0)</f>
        <v>1150000</v>
      </c>
      <c r="K25" s="267"/>
      <c r="L25" s="156"/>
      <c r="M25" s="189"/>
      <c r="N25" s="189"/>
      <c r="O25" s="263">
        <f t="shared" si="2"/>
        <v>1150000</v>
      </c>
      <c r="P25" s="320">
        <v>3900000</v>
      </c>
      <c r="Q25" s="263">
        <f t="shared" si="1"/>
        <v>2750000</v>
      </c>
      <c r="R25" s="195"/>
      <c r="S25" s="310">
        <f t="shared" si="3"/>
        <v>1</v>
      </c>
      <c r="T25" s="195"/>
    </row>
    <row r="26" spans="1:20" ht="20.100000000000001" customHeight="1" thickBot="1" x14ac:dyDescent="0.3">
      <c r="A26" s="76">
        <v>19</v>
      </c>
      <c r="B26" s="315">
        <v>43605</v>
      </c>
      <c r="C26" s="40" t="s">
        <v>1107</v>
      </c>
      <c r="D26" s="319" t="s">
        <v>2490</v>
      </c>
      <c r="E26" s="78" t="s">
        <v>1212</v>
      </c>
      <c r="F26" s="80"/>
      <c r="G26" s="234">
        <v>310</v>
      </c>
      <c r="H26" s="234">
        <f>+G26*17610</f>
        <v>5459100</v>
      </c>
      <c r="I26" s="156"/>
      <c r="J26" s="223">
        <f>VLOOKUP(D26,'[2]05.2019'!$H$5:$K$334,4,0)</f>
        <v>2470000</v>
      </c>
      <c r="K26" s="267"/>
      <c r="L26" s="156"/>
      <c r="M26" s="189"/>
      <c r="N26" s="189"/>
      <c r="O26" s="263">
        <f t="shared" si="2"/>
        <v>7929100</v>
      </c>
      <c r="P26" s="320">
        <v>13181818</v>
      </c>
      <c r="Q26" s="263">
        <f t="shared" si="1"/>
        <v>5252718</v>
      </c>
      <c r="R26" s="195"/>
      <c r="S26" s="310">
        <f t="shared" si="3"/>
        <v>1</v>
      </c>
      <c r="T26" s="195"/>
    </row>
    <row r="27" spans="1:20" ht="20.100000000000001" customHeight="1" thickBot="1" x14ac:dyDescent="0.3">
      <c r="A27" s="76">
        <v>20</v>
      </c>
      <c r="B27" s="315">
        <v>43606</v>
      </c>
      <c r="C27" s="40" t="s">
        <v>1121</v>
      </c>
      <c r="D27" s="319" t="s">
        <v>2491</v>
      </c>
      <c r="E27" s="78" t="s">
        <v>1212</v>
      </c>
      <c r="F27" s="80"/>
      <c r="G27" s="234">
        <v>0</v>
      </c>
      <c r="H27" s="234">
        <f t="shared" si="0"/>
        <v>0</v>
      </c>
      <c r="I27" s="156"/>
      <c r="J27" s="223">
        <f>VLOOKUP(D27,'[2]05.2019'!$H$5:$K$334,4,0)</f>
        <v>2470000</v>
      </c>
      <c r="K27" s="267"/>
      <c r="L27" s="156"/>
      <c r="M27" s="189"/>
      <c r="N27" s="189"/>
      <c r="O27" s="263">
        <f t="shared" si="2"/>
        <v>2470000</v>
      </c>
      <c r="P27" s="320">
        <v>13181818</v>
      </c>
      <c r="Q27" s="263">
        <f t="shared" si="1"/>
        <v>10711818</v>
      </c>
      <c r="R27" s="195"/>
      <c r="S27" s="310">
        <f t="shared" si="3"/>
        <v>1</v>
      </c>
      <c r="T27" s="195"/>
    </row>
    <row r="28" spans="1:20" ht="20.100000000000001" customHeight="1" thickBot="1" x14ac:dyDescent="0.3">
      <c r="A28" s="76">
        <v>21</v>
      </c>
      <c r="B28" s="315">
        <v>43608</v>
      </c>
      <c r="C28" s="40" t="s">
        <v>2467</v>
      </c>
      <c r="D28" s="319" t="s">
        <v>2492</v>
      </c>
      <c r="E28" s="78" t="s">
        <v>356</v>
      </c>
      <c r="F28" s="80"/>
      <c r="G28" s="234">
        <v>290</v>
      </c>
      <c r="H28" s="234">
        <f>+G28*17610</f>
        <v>5106900</v>
      </c>
      <c r="I28" s="156"/>
      <c r="J28" s="223">
        <f>VLOOKUP(D28,'[2]05.2019'!$H$5:$K$334,4,0)</f>
        <v>690000</v>
      </c>
      <c r="K28" s="267"/>
      <c r="L28" s="156"/>
      <c r="M28" s="189"/>
      <c r="N28" s="189"/>
      <c r="O28" s="263">
        <f t="shared" si="2"/>
        <v>5796900</v>
      </c>
      <c r="P28" s="320">
        <v>4560000</v>
      </c>
      <c r="Q28" s="263">
        <f t="shared" si="1"/>
        <v>-1236900</v>
      </c>
      <c r="R28" s="195"/>
      <c r="S28" s="310">
        <f t="shared" si="3"/>
        <v>1</v>
      </c>
      <c r="T28" s="195"/>
    </row>
    <row r="29" spans="1:20" ht="20.100000000000001" customHeight="1" thickBot="1" x14ac:dyDescent="0.3">
      <c r="A29" s="76">
        <v>22</v>
      </c>
      <c r="B29" s="315">
        <v>43609</v>
      </c>
      <c r="C29" s="40" t="s">
        <v>2468</v>
      </c>
      <c r="D29" s="319" t="s">
        <v>2493</v>
      </c>
      <c r="E29" s="78" t="s">
        <v>562</v>
      </c>
      <c r="F29" s="80"/>
      <c r="G29" s="234">
        <v>0</v>
      </c>
      <c r="H29" s="234">
        <f t="shared" si="0"/>
        <v>0</v>
      </c>
      <c r="I29" s="156"/>
      <c r="J29" s="223">
        <f>VLOOKUP(D29,'[2]05.2019'!$H$5:$K$334,4,0)</f>
        <v>2590000</v>
      </c>
      <c r="K29" s="267"/>
      <c r="L29" s="156"/>
      <c r="M29" s="189"/>
      <c r="N29" s="189"/>
      <c r="O29" s="263">
        <f t="shared" si="2"/>
        <v>2590000</v>
      </c>
      <c r="P29" s="320">
        <v>13181818</v>
      </c>
      <c r="Q29" s="263">
        <f t="shared" si="1"/>
        <v>10591818</v>
      </c>
      <c r="R29" s="195"/>
      <c r="S29" s="310">
        <f t="shared" si="3"/>
        <v>1</v>
      </c>
      <c r="T29" s="195"/>
    </row>
    <row r="30" spans="1:20" ht="20.100000000000001" customHeight="1" thickBot="1" x14ac:dyDescent="0.3">
      <c r="A30" s="76">
        <v>23</v>
      </c>
      <c r="B30" s="315">
        <v>43612</v>
      </c>
      <c r="C30" s="40" t="s">
        <v>2469</v>
      </c>
      <c r="D30" s="319" t="s">
        <v>2494</v>
      </c>
      <c r="E30" s="78" t="s">
        <v>2506</v>
      </c>
      <c r="F30" s="80"/>
      <c r="G30" s="234">
        <v>260</v>
      </c>
      <c r="H30" s="234">
        <f>+G30*17610</f>
        <v>4578600</v>
      </c>
      <c r="I30" s="156"/>
      <c r="J30" s="223">
        <f>VLOOKUP(D30,'[2]05.2019'!$H$5:$K$334,4,0)</f>
        <v>650000</v>
      </c>
      <c r="K30" s="267"/>
      <c r="L30" s="156"/>
      <c r="M30" s="189"/>
      <c r="N30" s="189"/>
      <c r="O30" s="263">
        <f t="shared" si="2"/>
        <v>5228600</v>
      </c>
      <c r="P30" s="320">
        <v>2800000</v>
      </c>
      <c r="Q30" s="263">
        <f t="shared" si="1"/>
        <v>-2428600</v>
      </c>
      <c r="R30" s="195"/>
      <c r="S30" s="310">
        <f t="shared" si="3"/>
        <v>1</v>
      </c>
      <c r="T30" s="195"/>
    </row>
    <row r="31" spans="1:20" ht="20.100000000000001" customHeight="1" thickBot="1" x14ac:dyDescent="0.3">
      <c r="A31" s="76">
        <v>24</v>
      </c>
      <c r="B31" s="315">
        <v>43612</v>
      </c>
      <c r="C31" s="40" t="s">
        <v>2470</v>
      </c>
      <c r="D31" s="319" t="s">
        <v>2495</v>
      </c>
      <c r="E31" s="78" t="s">
        <v>21</v>
      </c>
      <c r="F31" s="80"/>
      <c r="G31" s="234">
        <v>240</v>
      </c>
      <c r="H31" s="234">
        <f>+G31*17610</f>
        <v>4226400</v>
      </c>
      <c r="I31" s="156"/>
      <c r="J31" s="223">
        <f>VLOOKUP(D31,'[2]05.2019'!$H$5:$K$334,4,0)</f>
        <v>2740000</v>
      </c>
      <c r="K31" s="267"/>
      <c r="L31" s="156"/>
      <c r="M31" s="189"/>
      <c r="N31" s="189"/>
      <c r="O31" s="263">
        <f t="shared" si="2"/>
        <v>6966400</v>
      </c>
      <c r="P31" s="320">
        <v>12181818</v>
      </c>
      <c r="Q31" s="263">
        <f t="shared" si="1"/>
        <v>5215418</v>
      </c>
      <c r="R31" s="195"/>
      <c r="S31" s="310">
        <f t="shared" si="3"/>
        <v>1</v>
      </c>
      <c r="T31" s="195"/>
    </row>
    <row r="32" spans="1:20" ht="20.100000000000001" customHeight="1" thickBot="1" x14ac:dyDescent="0.3">
      <c r="A32" s="76">
        <v>25</v>
      </c>
      <c r="B32" s="315">
        <v>43613</v>
      </c>
      <c r="C32" s="40" t="s">
        <v>1803</v>
      </c>
      <c r="D32" s="319" t="s">
        <v>2496</v>
      </c>
      <c r="E32" s="78" t="s">
        <v>2507</v>
      </c>
      <c r="F32" s="80"/>
      <c r="G32" s="234">
        <v>0</v>
      </c>
      <c r="H32" s="234">
        <f t="shared" si="0"/>
        <v>0</v>
      </c>
      <c r="I32" s="156"/>
      <c r="J32" s="223">
        <v>0</v>
      </c>
      <c r="K32" s="267"/>
      <c r="L32" s="156"/>
      <c r="M32" s="189"/>
      <c r="N32" s="189"/>
      <c r="O32" s="263">
        <f t="shared" si="2"/>
        <v>0</v>
      </c>
      <c r="P32" s="320">
        <v>3636364</v>
      </c>
      <c r="Q32" s="263">
        <f t="shared" si="1"/>
        <v>3636364</v>
      </c>
      <c r="R32" s="195"/>
      <c r="S32" s="310">
        <f t="shared" si="3"/>
        <v>1</v>
      </c>
      <c r="T32" s="195"/>
    </row>
    <row r="33" spans="1:20" ht="20.100000000000001" customHeight="1" thickBot="1" x14ac:dyDescent="0.3">
      <c r="A33" s="76">
        <v>26</v>
      </c>
      <c r="B33" s="315">
        <v>43613</v>
      </c>
      <c r="C33" s="40" t="s">
        <v>1803</v>
      </c>
      <c r="D33" s="319" t="s">
        <v>2497</v>
      </c>
      <c r="E33" s="78" t="s">
        <v>2507</v>
      </c>
      <c r="F33" s="80"/>
      <c r="G33" s="234">
        <v>0</v>
      </c>
      <c r="H33" s="234">
        <f t="shared" si="0"/>
        <v>0</v>
      </c>
      <c r="I33" s="156"/>
      <c r="J33" s="223">
        <f>VLOOKUP(D33,'[2]05.2019'!$H$5:$K$334,4,0)</f>
        <v>1650000</v>
      </c>
      <c r="K33" s="267"/>
      <c r="L33" s="156"/>
      <c r="M33" s="189"/>
      <c r="N33" s="189"/>
      <c r="O33" s="263">
        <f t="shared" si="2"/>
        <v>1650000</v>
      </c>
      <c r="P33" s="320">
        <v>3636364</v>
      </c>
      <c r="Q33" s="263">
        <f t="shared" si="1"/>
        <v>1986364</v>
      </c>
      <c r="R33" s="195"/>
      <c r="S33" s="310">
        <f t="shared" si="3"/>
        <v>1</v>
      </c>
      <c r="T33" s="195"/>
    </row>
    <row r="34" spans="1:20" ht="20.100000000000001" customHeight="1" thickBot="1" x14ac:dyDescent="0.3">
      <c r="A34" s="76">
        <v>27</v>
      </c>
      <c r="B34" s="315">
        <v>43614</v>
      </c>
      <c r="C34" s="40" t="s">
        <v>1108</v>
      </c>
      <c r="D34" s="319" t="s">
        <v>2498</v>
      </c>
      <c r="E34" s="78" t="s">
        <v>356</v>
      </c>
      <c r="F34" s="80"/>
      <c r="G34" s="234">
        <v>205</v>
      </c>
      <c r="H34" s="234">
        <f>+G34*17610</f>
        <v>3610050</v>
      </c>
      <c r="I34" s="156"/>
      <c r="J34" s="223">
        <f>VLOOKUP(D34,'[2]05.2019'!$H$5:$K$334,4,0)</f>
        <v>970000</v>
      </c>
      <c r="K34" s="267"/>
      <c r="L34" s="156"/>
      <c r="M34" s="189"/>
      <c r="N34" s="189"/>
      <c r="O34" s="263">
        <f t="shared" si="2"/>
        <v>4580050</v>
      </c>
      <c r="P34" s="320">
        <v>4560000</v>
      </c>
      <c r="Q34" s="263">
        <f t="shared" si="1"/>
        <v>-20050</v>
      </c>
      <c r="R34" s="195"/>
      <c r="S34" s="310">
        <f t="shared" si="3"/>
        <v>1</v>
      </c>
      <c r="T34" s="195"/>
    </row>
    <row r="35" spans="1:20" ht="20.100000000000001" customHeight="1" thickBot="1" x14ac:dyDescent="0.3">
      <c r="A35" s="76">
        <v>28</v>
      </c>
      <c r="B35" s="315">
        <v>43615</v>
      </c>
      <c r="C35" s="40" t="s">
        <v>2471</v>
      </c>
      <c r="D35" s="319" t="s">
        <v>2499</v>
      </c>
      <c r="E35" s="78" t="s">
        <v>301</v>
      </c>
      <c r="F35" s="80"/>
      <c r="G35" s="234">
        <v>320</v>
      </c>
      <c r="H35" s="234">
        <f>+G35*17610</f>
        <v>5635200</v>
      </c>
      <c r="I35" s="156"/>
      <c r="J35" s="223">
        <f>VLOOKUP(D35,'[2]05.2019'!$H$5:$K$334,4,0)</f>
        <v>3820000</v>
      </c>
      <c r="K35" s="267"/>
      <c r="L35" s="156"/>
      <c r="M35" s="189"/>
      <c r="N35" s="189"/>
      <c r="O35" s="263">
        <f t="shared" si="2"/>
        <v>9455200</v>
      </c>
      <c r="P35" s="320">
        <v>19545455</v>
      </c>
      <c r="Q35" s="263">
        <f t="shared" si="1"/>
        <v>10090255</v>
      </c>
      <c r="R35" s="195"/>
      <c r="S35" s="310">
        <f t="shared" si="3"/>
        <v>1</v>
      </c>
      <c r="T35" s="195"/>
    </row>
    <row r="36" spans="1:20" ht="18" customHeight="1" x14ac:dyDescent="0.25">
      <c r="A36" s="76"/>
      <c r="B36" s="315"/>
      <c r="C36" s="323"/>
      <c r="D36" s="324"/>
      <c r="E36" s="153"/>
      <c r="F36" s="316"/>
      <c r="G36" s="263"/>
      <c r="H36" s="282"/>
      <c r="I36" s="317"/>
      <c r="J36" s="189"/>
      <c r="K36" s="267"/>
      <c r="L36" s="156"/>
      <c r="M36" s="189"/>
      <c r="N36" s="189"/>
      <c r="O36" s="263">
        <f t="shared" si="2"/>
        <v>0</v>
      </c>
      <c r="P36" s="263"/>
      <c r="Q36" s="263">
        <f t="shared" si="1"/>
        <v>0</v>
      </c>
    </row>
    <row r="37" spans="1:20" ht="27.75" customHeight="1" x14ac:dyDescent="0.25">
      <c r="A37" s="76"/>
      <c r="B37" s="324"/>
      <c r="C37" s="558" t="s">
        <v>2451</v>
      </c>
      <c r="D37" s="559"/>
      <c r="E37" s="559"/>
      <c r="F37" s="560"/>
      <c r="G37" s="323"/>
      <c r="H37" s="282"/>
      <c r="I37" s="317"/>
      <c r="J37" s="189"/>
      <c r="K37" s="267"/>
      <c r="L37" s="318">
        <v>6010000</v>
      </c>
      <c r="M37" s="189"/>
      <c r="N37" s="189"/>
      <c r="O37" s="263">
        <f t="shared" si="2"/>
        <v>6010000</v>
      </c>
      <c r="P37" s="263"/>
      <c r="Q37" s="263">
        <f t="shared" si="1"/>
        <v>-6010000</v>
      </c>
    </row>
    <row r="38" spans="1:20" ht="16.899999999999999" customHeight="1" x14ac:dyDescent="0.25">
      <c r="A38" s="76"/>
      <c r="B38" s="324"/>
      <c r="C38" s="558" t="s">
        <v>2452</v>
      </c>
      <c r="D38" s="559"/>
      <c r="E38" s="559"/>
      <c r="F38" s="560"/>
      <c r="G38" s="323"/>
      <c r="H38" s="282"/>
      <c r="I38" s="317"/>
      <c r="J38" s="189"/>
      <c r="K38" s="267"/>
      <c r="L38" s="318">
        <v>800000</v>
      </c>
      <c r="M38" s="189"/>
      <c r="N38" s="189"/>
      <c r="O38" s="263">
        <f t="shared" si="2"/>
        <v>800000</v>
      </c>
      <c r="P38" s="263"/>
      <c r="Q38" s="263">
        <f t="shared" si="1"/>
        <v>-800000</v>
      </c>
    </row>
    <row r="39" spans="1:20" ht="17.45" customHeight="1" x14ac:dyDescent="0.25">
      <c r="A39" s="76"/>
      <c r="B39" s="324"/>
      <c r="C39" s="558" t="s">
        <v>2453</v>
      </c>
      <c r="D39" s="559"/>
      <c r="E39" s="559"/>
      <c r="F39" s="560"/>
      <c r="G39" s="323"/>
      <c r="H39" s="282"/>
      <c r="I39" s="317"/>
      <c r="J39" s="189"/>
      <c r="K39" s="267"/>
      <c r="L39" s="318">
        <v>170000</v>
      </c>
      <c r="M39" s="189"/>
      <c r="N39" s="189"/>
      <c r="O39" s="263">
        <f t="shared" si="2"/>
        <v>170000</v>
      </c>
      <c r="P39" s="263"/>
      <c r="Q39" s="263">
        <f t="shared" si="1"/>
        <v>-170000</v>
      </c>
    </row>
    <row r="40" spans="1:20" ht="18" customHeight="1" x14ac:dyDescent="0.25">
      <c r="A40" s="76"/>
      <c r="B40" s="324"/>
      <c r="C40" s="561" t="s">
        <v>2508</v>
      </c>
      <c r="D40" s="562"/>
      <c r="E40" s="562"/>
      <c r="F40" s="563"/>
      <c r="G40" s="323"/>
      <c r="H40" s="282"/>
      <c r="I40" s="317"/>
      <c r="J40" s="189"/>
      <c r="K40" s="267"/>
      <c r="L40" s="156"/>
      <c r="M40" s="256">
        <v>16600000</v>
      </c>
      <c r="N40" s="86"/>
      <c r="O40" s="263">
        <f t="shared" si="2"/>
        <v>16600000</v>
      </c>
      <c r="P40" s="263"/>
      <c r="Q40" s="263">
        <f t="shared" si="1"/>
        <v>-16600000</v>
      </c>
    </row>
    <row r="41" spans="1:20" ht="21" customHeight="1" x14ac:dyDescent="0.25">
      <c r="A41" s="76"/>
      <c r="B41" s="324"/>
      <c r="C41" s="323" t="s">
        <v>2509</v>
      </c>
      <c r="D41" s="324"/>
      <c r="E41" s="153"/>
      <c r="F41" s="316"/>
      <c r="G41" s="263"/>
      <c r="H41" s="282"/>
      <c r="I41" s="317"/>
      <c r="J41" s="189"/>
      <c r="K41" s="267"/>
      <c r="L41" s="156">
        <v>150000</v>
      </c>
      <c r="M41" s="189"/>
      <c r="N41" s="86"/>
      <c r="O41" s="263">
        <f t="shared" si="2"/>
        <v>150000</v>
      </c>
      <c r="P41" s="263"/>
      <c r="Q41" s="263">
        <f t="shared" si="1"/>
        <v>-150000</v>
      </c>
    </row>
    <row r="42" spans="1:20" ht="16.899999999999999" customHeight="1" x14ac:dyDescent="0.25">
      <c r="A42" s="76"/>
      <c r="B42" s="324"/>
      <c r="C42" s="323" t="s">
        <v>2510</v>
      </c>
      <c r="D42" s="324"/>
      <c r="E42" s="153"/>
      <c r="F42" s="316"/>
      <c r="G42" s="263"/>
      <c r="H42" s="282"/>
      <c r="I42" s="317"/>
      <c r="J42" s="189"/>
      <c r="K42" s="267"/>
      <c r="L42" s="156">
        <v>3000000</v>
      </c>
      <c r="M42" s="189"/>
      <c r="N42" s="86"/>
      <c r="O42" s="263">
        <f t="shared" si="2"/>
        <v>3000000</v>
      </c>
      <c r="P42" s="263"/>
      <c r="Q42" s="263">
        <f t="shared" si="1"/>
        <v>-3000000</v>
      </c>
    </row>
    <row r="43" spans="1:20" ht="16.899999999999999" customHeight="1" x14ac:dyDescent="0.25">
      <c r="A43" s="76"/>
      <c r="B43" s="324"/>
      <c r="C43" s="325" t="s">
        <v>2511</v>
      </c>
      <c r="D43" s="324"/>
      <c r="E43" s="153"/>
      <c r="F43" s="316"/>
      <c r="G43" s="263"/>
      <c r="H43" s="282"/>
      <c r="I43" s="317"/>
      <c r="J43" s="189"/>
      <c r="K43" s="267"/>
      <c r="L43" s="156"/>
      <c r="M43" s="256">
        <v>10000000</v>
      </c>
      <c r="N43" s="86"/>
      <c r="O43" s="263">
        <f t="shared" si="2"/>
        <v>10000000</v>
      </c>
      <c r="P43" s="263"/>
      <c r="Q43" s="263">
        <f t="shared" si="1"/>
        <v>-10000000</v>
      </c>
    </row>
    <row r="44" spans="1:20" ht="18.600000000000001" customHeight="1" x14ac:dyDescent="0.25">
      <c r="A44" s="76"/>
      <c r="B44" s="324"/>
      <c r="C44" s="323" t="s">
        <v>1273</v>
      </c>
      <c r="D44" s="324"/>
      <c r="E44" s="153"/>
      <c r="F44" s="316"/>
      <c r="G44" s="263"/>
      <c r="H44" s="282"/>
      <c r="I44" s="317"/>
      <c r="J44" s="189"/>
      <c r="K44" s="267"/>
      <c r="L44" s="156">
        <v>1320000</v>
      </c>
      <c r="M44" s="189"/>
      <c r="N44" s="189"/>
      <c r="O44" s="263">
        <f t="shared" si="2"/>
        <v>1320000</v>
      </c>
      <c r="P44" s="263"/>
      <c r="Q44" s="263">
        <f t="shared" si="1"/>
        <v>-1320000</v>
      </c>
    </row>
    <row r="45" spans="1:20" ht="18" customHeight="1" x14ac:dyDescent="0.25">
      <c r="A45" s="213"/>
      <c r="B45" s="214"/>
      <c r="C45" s="215" t="s">
        <v>1386</v>
      </c>
      <c r="D45" s="216"/>
      <c r="E45" s="214"/>
      <c r="F45" s="217"/>
      <c r="G45" s="285"/>
      <c r="H45" s="286"/>
      <c r="I45" s="287"/>
      <c r="J45" s="288"/>
      <c r="K45" s="221">
        <f>32*9000000/26</f>
        <v>11076923.076923076</v>
      </c>
      <c r="L45" s="221"/>
      <c r="M45" s="288"/>
      <c r="N45" s="288"/>
      <c r="O45" s="285">
        <f t="shared" si="2"/>
        <v>11076923.076923076</v>
      </c>
      <c r="P45" s="285"/>
      <c r="Q45" s="285">
        <f t="shared" si="1"/>
        <v>-11076923.076923076</v>
      </c>
    </row>
    <row r="46" spans="1:20" x14ac:dyDescent="0.25">
      <c r="A46" s="547" t="s">
        <v>19</v>
      </c>
      <c r="B46" s="548"/>
      <c r="C46" s="548"/>
      <c r="D46" s="548"/>
      <c r="E46" s="548"/>
      <c r="F46" s="549"/>
      <c r="G46" s="305">
        <f>SUM(G8:G45)</f>
        <v>3660</v>
      </c>
      <c r="H46" s="291">
        <f t="shared" ref="H46:Q46" si="4">SUM(H7:H45)</f>
        <v>64591000</v>
      </c>
      <c r="I46" s="291">
        <f t="shared" si="4"/>
        <v>0</v>
      </c>
      <c r="J46" s="291">
        <f t="shared" si="4"/>
        <v>40120000</v>
      </c>
      <c r="K46" s="291">
        <f t="shared" si="4"/>
        <v>11076923.076923076</v>
      </c>
      <c r="L46" s="309">
        <f t="shared" si="4"/>
        <v>11450000</v>
      </c>
      <c r="M46" s="291">
        <f t="shared" si="4"/>
        <v>26600000</v>
      </c>
      <c r="N46" s="291">
        <f t="shared" si="4"/>
        <v>0</v>
      </c>
      <c r="O46" s="291">
        <f t="shared" si="4"/>
        <v>153837923.07692307</v>
      </c>
      <c r="P46" s="291">
        <f t="shared" si="4"/>
        <v>186530910</v>
      </c>
      <c r="Q46" s="297">
        <f t="shared" si="4"/>
        <v>32692986.923076924</v>
      </c>
      <c r="R46" s="195"/>
      <c r="S46" s="195"/>
    </row>
    <row r="47" spans="1:20" x14ac:dyDescent="0.25">
      <c r="P47" s="294"/>
      <c r="Q47" s="295"/>
    </row>
    <row r="48" spans="1:20" x14ac:dyDescent="0.25">
      <c r="H48" s="294"/>
      <c r="P48" s="296" t="s">
        <v>1225</v>
      </c>
      <c r="Q48" s="304">
        <f>'4.2019'!Q48+'05.2019'!Q46</f>
        <v>143183537.07692307</v>
      </c>
    </row>
    <row r="49" spans="17:18" x14ac:dyDescent="0.25">
      <c r="Q49" s="294"/>
    </row>
    <row r="50" spans="17:18" x14ac:dyDescent="0.25">
      <c r="R50" s="195"/>
    </row>
  </sheetData>
  <mergeCells count="9">
    <mergeCell ref="A1:Q1"/>
    <mergeCell ref="A2:Q2"/>
    <mergeCell ref="A3:Q3"/>
    <mergeCell ref="G5:N5"/>
    <mergeCell ref="A46:F46"/>
    <mergeCell ref="C37:F37"/>
    <mergeCell ref="C38:F38"/>
    <mergeCell ref="C39:F39"/>
    <mergeCell ref="C40:F40"/>
  </mergeCells>
  <pageMargins left="0.7" right="0.7" top="0.75" bottom="0.75" header="0.3" footer="0.3"/>
  <pageSetup paperSize="9" orientation="portrait" horizontalDpi="0" verticalDpi="0"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R40"/>
  <sheetViews>
    <sheetView topLeftCell="A25" workbookViewId="0">
      <selection activeCell="Q48" sqref="Q48"/>
    </sheetView>
  </sheetViews>
  <sheetFormatPr defaultRowHeight="15" x14ac:dyDescent="0.25"/>
  <cols>
    <col min="1" max="1" width="4.5703125" customWidth="1"/>
    <col min="3" max="3" width="41.28515625" customWidth="1"/>
    <col min="4" max="4" width="16.5703125" customWidth="1"/>
    <col min="5" max="5" width="33.140625" customWidth="1"/>
    <col min="7" max="7" width="9.140625" style="292"/>
    <col min="8" max="8" width="10.140625" style="292" bestFit="1" customWidth="1"/>
    <col min="9" max="9" width="9.140625" style="293"/>
    <col min="10" max="10" width="9.140625" style="292"/>
    <col min="11" max="11" width="9.42578125" style="292" bestFit="1" customWidth="1"/>
    <col min="12" max="12" width="9.42578125" style="173" bestFit="1" customWidth="1"/>
    <col min="13" max="14" width="9.140625" style="292"/>
    <col min="15" max="15" width="11.140625" style="292" customWidth="1"/>
    <col min="16" max="16" width="10.7109375" style="292" customWidth="1"/>
    <col min="17" max="17" width="12.28515625" style="292" customWidth="1"/>
  </cols>
  <sheetData>
    <row r="1" spans="1:18" ht="23.25" x14ac:dyDescent="0.25">
      <c r="A1" s="551" t="s">
        <v>0</v>
      </c>
      <c r="B1" s="551"/>
      <c r="C1" s="551"/>
      <c r="D1" s="551"/>
      <c r="E1" s="551"/>
      <c r="F1" s="551"/>
      <c r="G1" s="551"/>
      <c r="H1" s="551"/>
      <c r="I1" s="551"/>
      <c r="J1" s="551"/>
      <c r="K1" s="551"/>
      <c r="L1" s="551"/>
      <c r="M1" s="551"/>
      <c r="N1" s="551"/>
      <c r="O1" s="551"/>
      <c r="P1" s="551"/>
      <c r="Q1" s="551"/>
    </row>
    <row r="2" spans="1:18" ht="15.75" x14ac:dyDescent="0.25">
      <c r="A2" s="550" t="s">
        <v>103</v>
      </c>
      <c r="B2" s="550"/>
      <c r="C2" s="550"/>
      <c r="D2" s="550"/>
      <c r="E2" s="550"/>
      <c r="F2" s="550"/>
      <c r="G2" s="550"/>
      <c r="H2" s="550"/>
      <c r="I2" s="550"/>
      <c r="J2" s="550"/>
      <c r="K2" s="550"/>
      <c r="L2" s="550"/>
      <c r="M2" s="550"/>
      <c r="N2" s="550"/>
      <c r="O2" s="550"/>
      <c r="P2" s="550"/>
      <c r="Q2" s="550"/>
    </row>
    <row r="3" spans="1:18" ht="15.75" x14ac:dyDescent="0.25">
      <c r="A3" s="550" t="s">
        <v>2512</v>
      </c>
      <c r="B3" s="550"/>
      <c r="C3" s="550"/>
      <c r="D3" s="550"/>
      <c r="E3" s="550"/>
      <c r="F3" s="550"/>
      <c r="G3" s="550"/>
      <c r="H3" s="550"/>
      <c r="I3" s="550"/>
      <c r="J3" s="550"/>
      <c r="K3" s="550"/>
      <c r="L3" s="550"/>
      <c r="M3" s="550"/>
      <c r="N3" s="550"/>
      <c r="O3" s="550"/>
      <c r="P3" s="550"/>
      <c r="Q3" s="550"/>
    </row>
    <row r="4" spans="1:18" x14ac:dyDescent="0.25">
      <c r="A4" s="74"/>
      <c r="B4" s="99"/>
      <c r="C4" s="74"/>
      <c r="D4" s="74"/>
      <c r="E4" s="74" t="s">
        <v>194</v>
      </c>
      <c r="F4" s="74"/>
      <c r="G4" s="257"/>
      <c r="H4" s="258"/>
      <c r="I4" s="258"/>
      <c r="J4" s="258"/>
      <c r="K4" s="258"/>
      <c r="L4" s="91"/>
      <c r="M4" s="258"/>
      <c r="N4" s="258"/>
      <c r="O4" s="258"/>
      <c r="P4" s="258"/>
      <c r="Q4" s="258"/>
    </row>
    <row r="5" spans="1:18"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18"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18" x14ac:dyDescent="0.25">
      <c r="A7" s="311"/>
      <c r="B7" s="312"/>
      <c r="C7" s="311"/>
      <c r="D7" s="311"/>
      <c r="E7" s="311"/>
      <c r="F7" s="311"/>
      <c r="G7" s="313"/>
      <c r="H7" s="313"/>
      <c r="I7" s="313"/>
      <c r="J7" s="313"/>
      <c r="K7" s="313"/>
      <c r="L7" s="314"/>
      <c r="M7" s="313"/>
      <c r="N7" s="313"/>
      <c r="O7" s="313"/>
      <c r="P7" s="313"/>
      <c r="Q7" s="313">
        <f>P7-O7</f>
        <v>0</v>
      </c>
    </row>
    <row r="8" spans="1:18" ht="20.100000000000001" customHeight="1" x14ac:dyDescent="0.25">
      <c r="A8" s="76">
        <v>1</v>
      </c>
      <c r="B8" s="315">
        <v>43619</v>
      </c>
      <c r="C8" s="40" t="s">
        <v>2513</v>
      </c>
      <c r="D8" s="319" t="s">
        <v>2528</v>
      </c>
      <c r="E8" s="78" t="s">
        <v>2550</v>
      </c>
      <c r="F8" s="80"/>
      <c r="G8" s="234"/>
      <c r="H8" s="234"/>
      <c r="I8" s="156"/>
      <c r="J8" s="263">
        <v>1270000</v>
      </c>
      <c r="K8" s="267"/>
      <c r="L8" s="156"/>
      <c r="M8" s="189"/>
      <c r="N8" s="189"/>
      <c r="O8" s="263">
        <f>SUM(H8:N8)</f>
        <v>1270000</v>
      </c>
      <c r="P8" s="263">
        <v>5800000</v>
      </c>
      <c r="Q8" s="263">
        <f>P8-O8</f>
        <v>4530000</v>
      </c>
      <c r="R8" s="195"/>
    </row>
    <row r="9" spans="1:18" ht="20.100000000000001" customHeight="1" x14ac:dyDescent="0.25">
      <c r="A9" s="76">
        <v>2</v>
      </c>
      <c r="B9" s="315">
        <v>43620</v>
      </c>
      <c r="C9" s="40" t="s">
        <v>2514</v>
      </c>
      <c r="D9" s="321" t="s">
        <v>2529</v>
      </c>
      <c r="E9" s="78" t="s">
        <v>88</v>
      </c>
      <c r="F9" s="80"/>
      <c r="G9" s="234">
        <v>210</v>
      </c>
      <c r="H9" s="234">
        <f>+G9*17390</f>
        <v>3651900</v>
      </c>
      <c r="I9" s="156"/>
      <c r="J9" s="263">
        <v>790000</v>
      </c>
      <c r="K9" s="267"/>
      <c r="L9" s="156"/>
      <c r="M9" s="189"/>
      <c r="N9" s="189"/>
      <c r="O9" s="263">
        <f>SUM(H9:N9)</f>
        <v>4441900</v>
      </c>
      <c r="P9" s="263">
        <v>4000000</v>
      </c>
      <c r="Q9" s="263">
        <f t="shared" ref="Q9:Q36" si="0">P9-O9</f>
        <v>-441900</v>
      </c>
      <c r="R9" s="195"/>
    </row>
    <row r="10" spans="1:18" ht="20.100000000000001" customHeight="1" x14ac:dyDescent="0.25">
      <c r="A10" s="76">
        <v>3</v>
      </c>
      <c r="B10" s="315">
        <v>43620</v>
      </c>
      <c r="C10" s="40" t="s">
        <v>2515</v>
      </c>
      <c r="D10" s="319" t="s">
        <v>2530</v>
      </c>
      <c r="E10" s="78" t="s">
        <v>301</v>
      </c>
      <c r="F10" s="80"/>
      <c r="G10" s="234">
        <v>325</v>
      </c>
      <c r="H10" s="234">
        <f>+G10*17390</f>
        <v>5651750</v>
      </c>
      <c r="I10" s="156"/>
      <c r="J10" s="263">
        <v>3820000</v>
      </c>
      <c r="K10" s="267"/>
      <c r="L10" s="156"/>
      <c r="M10" s="189"/>
      <c r="N10" s="189"/>
      <c r="O10" s="263">
        <f t="shared" ref="O10:O36" si="1">SUM(H10:N10)</f>
        <v>9471750</v>
      </c>
      <c r="P10" s="263">
        <v>18636364</v>
      </c>
      <c r="Q10" s="263">
        <f t="shared" si="0"/>
        <v>9164614</v>
      </c>
      <c r="R10" s="195"/>
    </row>
    <row r="11" spans="1:18" ht="20.100000000000001" customHeight="1" x14ac:dyDescent="0.25">
      <c r="A11" s="76">
        <v>4</v>
      </c>
      <c r="B11" s="315">
        <v>43623</v>
      </c>
      <c r="C11" s="40" t="s">
        <v>392</v>
      </c>
      <c r="D11" s="319" t="s">
        <v>2531</v>
      </c>
      <c r="E11" s="78" t="s">
        <v>2551</v>
      </c>
      <c r="F11" s="80"/>
      <c r="G11" s="234"/>
      <c r="H11" s="234"/>
      <c r="I11" s="156"/>
      <c r="J11" s="263">
        <v>1270000</v>
      </c>
      <c r="K11" s="267"/>
      <c r="L11" s="156"/>
      <c r="M11" s="189"/>
      <c r="N11" s="189"/>
      <c r="O11" s="263">
        <f t="shared" si="1"/>
        <v>1270000</v>
      </c>
      <c r="P11" s="263">
        <v>5800000</v>
      </c>
      <c r="Q11" s="263">
        <f t="shared" si="0"/>
        <v>4530000</v>
      </c>
      <c r="R11" s="195"/>
    </row>
    <row r="12" spans="1:18" ht="20.100000000000001" customHeight="1" x14ac:dyDescent="0.25">
      <c r="A12" s="76">
        <v>5</v>
      </c>
      <c r="B12" s="315">
        <v>43626</v>
      </c>
      <c r="C12" s="40" t="s">
        <v>2516</v>
      </c>
      <c r="D12" s="319" t="s">
        <v>2532</v>
      </c>
      <c r="E12" s="78" t="s">
        <v>1948</v>
      </c>
      <c r="F12" s="80"/>
      <c r="G12" s="234"/>
      <c r="H12" s="234"/>
      <c r="I12" s="156"/>
      <c r="J12" s="263">
        <v>1150000</v>
      </c>
      <c r="K12" s="267"/>
      <c r="L12" s="156"/>
      <c r="M12" s="189"/>
      <c r="N12" s="189"/>
      <c r="O12" s="263">
        <f t="shared" si="1"/>
        <v>1150000</v>
      </c>
      <c r="P12" s="263">
        <v>3800000</v>
      </c>
      <c r="Q12" s="263">
        <f t="shared" si="0"/>
        <v>2650000</v>
      </c>
      <c r="R12" s="195"/>
    </row>
    <row r="13" spans="1:18" ht="20.100000000000001" customHeight="1" x14ac:dyDescent="0.25">
      <c r="A13" s="76">
        <v>6</v>
      </c>
      <c r="B13" s="315">
        <v>43626</v>
      </c>
      <c r="C13" s="40" t="s">
        <v>1849</v>
      </c>
      <c r="D13" s="319" t="s">
        <v>2533</v>
      </c>
      <c r="E13" s="78" t="s">
        <v>1079</v>
      </c>
      <c r="F13" s="80"/>
      <c r="G13" s="234">
        <v>310</v>
      </c>
      <c r="H13" s="234">
        <f>+G13*17390</f>
        <v>5390900</v>
      </c>
      <c r="I13" s="156"/>
      <c r="J13" s="263">
        <v>970000</v>
      </c>
      <c r="K13" s="267"/>
      <c r="L13" s="156"/>
      <c r="M13" s="189"/>
      <c r="N13" s="189"/>
      <c r="O13" s="263">
        <f t="shared" si="1"/>
        <v>6360900</v>
      </c>
      <c r="P13" s="263">
        <v>4000000</v>
      </c>
      <c r="Q13" s="263">
        <f t="shared" si="0"/>
        <v>-2360900</v>
      </c>
      <c r="R13" s="195"/>
    </row>
    <row r="14" spans="1:18" ht="20.100000000000001" customHeight="1" x14ac:dyDescent="0.25">
      <c r="A14" s="76">
        <v>7</v>
      </c>
      <c r="B14" s="315">
        <v>43627</v>
      </c>
      <c r="C14" s="40" t="s">
        <v>2517</v>
      </c>
      <c r="D14" s="319" t="s">
        <v>2534</v>
      </c>
      <c r="E14" s="78" t="s">
        <v>2552</v>
      </c>
      <c r="F14" s="80"/>
      <c r="G14" s="234"/>
      <c r="H14" s="234"/>
      <c r="I14" s="156"/>
      <c r="J14" s="263">
        <v>790000</v>
      </c>
      <c r="K14" s="267"/>
      <c r="L14" s="156"/>
      <c r="M14" s="189"/>
      <c r="N14" s="189"/>
      <c r="O14" s="263">
        <f t="shared" si="1"/>
        <v>790000</v>
      </c>
      <c r="P14" s="263">
        <v>3100000</v>
      </c>
      <c r="Q14" s="263">
        <f t="shared" si="0"/>
        <v>2310000</v>
      </c>
      <c r="R14" s="195"/>
    </row>
    <row r="15" spans="1:18" ht="20.100000000000001" customHeight="1" x14ac:dyDescent="0.25">
      <c r="A15" s="76">
        <v>8</v>
      </c>
      <c r="B15" s="315">
        <v>43628</v>
      </c>
      <c r="C15" s="40" t="s">
        <v>2518</v>
      </c>
      <c r="D15" s="319" t="s">
        <v>2535</v>
      </c>
      <c r="E15" s="78" t="s">
        <v>24</v>
      </c>
      <c r="F15" s="80"/>
      <c r="G15" s="234">
        <v>255</v>
      </c>
      <c r="H15" s="234">
        <f>+G15*17390</f>
        <v>4434450</v>
      </c>
      <c r="I15" s="156"/>
      <c r="J15" s="263">
        <v>1890000</v>
      </c>
      <c r="K15" s="267"/>
      <c r="L15" s="156"/>
      <c r="M15" s="189"/>
      <c r="N15" s="189"/>
      <c r="O15" s="263">
        <f t="shared" si="1"/>
        <v>6324450</v>
      </c>
      <c r="P15" s="263">
        <v>8045455</v>
      </c>
      <c r="Q15" s="263">
        <f t="shared" si="0"/>
        <v>1721005</v>
      </c>
      <c r="R15" s="195"/>
    </row>
    <row r="16" spans="1:18" ht="20.100000000000001" customHeight="1" x14ac:dyDescent="0.25">
      <c r="A16" s="76">
        <v>9</v>
      </c>
      <c r="B16" s="315">
        <v>43629</v>
      </c>
      <c r="C16" s="40" t="s">
        <v>1854</v>
      </c>
      <c r="D16" s="319" t="s">
        <v>2536</v>
      </c>
      <c r="E16" s="78" t="s">
        <v>356</v>
      </c>
      <c r="F16" s="80"/>
      <c r="G16" s="234"/>
      <c r="H16" s="234"/>
      <c r="I16" s="156"/>
      <c r="J16" s="263">
        <v>970000</v>
      </c>
      <c r="K16" s="267"/>
      <c r="L16" s="156" t="s">
        <v>2564</v>
      </c>
      <c r="M16" s="189"/>
      <c r="N16" s="189"/>
      <c r="O16" s="263">
        <f t="shared" si="1"/>
        <v>970000</v>
      </c>
      <c r="P16" s="263">
        <v>4560000</v>
      </c>
      <c r="Q16" s="263">
        <f t="shared" si="0"/>
        <v>3590000</v>
      </c>
      <c r="R16" s="195"/>
    </row>
    <row r="17" spans="1:18" ht="20.100000000000001" customHeight="1" x14ac:dyDescent="0.25">
      <c r="A17" s="76">
        <v>10</v>
      </c>
      <c r="B17" s="315">
        <v>43630</v>
      </c>
      <c r="C17" s="40" t="s">
        <v>2519</v>
      </c>
      <c r="D17" s="319" t="s">
        <v>2537</v>
      </c>
      <c r="E17" s="78" t="s">
        <v>29</v>
      </c>
      <c r="F17" s="80"/>
      <c r="G17" s="234"/>
      <c r="H17" s="234"/>
      <c r="I17" s="156"/>
      <c r="J17" s="263">
        <v>970000</v>
      </c>
      <c r="K17" s="267"/>
      <c r="L17" s="156"/>
      <c r="M17" s="189"/>
      <c r="N17" s="189"/>
      <c r="O17" s="263">
        <f t="shared" si="1"/>
        <v>970000</v>
      </c>
      <c r="P17" s="263">
        <v>4000000</v>
      </c>
      <c r="Q17" s="263">
        <f t="shared" si="0"/>
        <v>3030000</v>
      </c>
      <c r="R17" s="195"/>
    </row>
    <row r="18" spans="1:18" ht="20.100000000000001" customHeight="1" x14ac:dyDescent="0.25">
      <c r="A18" s="76">
        <v>11</v>
      </c>
      <c r="B18" s="315">
        <v>43633</v>
      </c>
      <c r="C18" s="40" t="s">
        <v>2520</v>
      </c>
      <c r="D18" s="319" t="s">
        <v>2538</v>
      </c>
      <c r="E18" s="78" t="s">
        <v>2553</v>
      </c>
      <c r="F18" s="80"/>
      <c r="G18" s="234">
        <v>300</v>
      </c>
      <c r="H18" s="234">
        <f>+G18*17390</f>
        <v>5217000</v>
      </c>
      <c r="I18" s="156"/>
      <c r="J18" s="263">
        <v>790000</v>
      </c>
      <c r="K18" s="267"/>
      <c r="L18" s="156"/>
      <c r="M18" s="189"/>
      <c r="N18" s="189"/>
      <c r="O18" s="263">
        <f t="shared" si="1"/>
        <v>6007000</v>
      </c>
      <c r="P18" s="263">
        <v>4736364</v>
      </c>
      <c r="Q18" s="263">
        <f t="shared" si="0"/>
        <v>-1270636</v>
      </c>
      <c r="R18" s="195"/>
    </row>
    <row r="19" spans="1:18" ht="20.100000000000001" customHeight="1" x14ac:dyDescent="0.25">
      <c r="A19" s="76">
        <v>12</v>
      </c>
      <c r="B19" s="315">
        <v>43633</v>
      </c>
      <c r="C19" s="40" t="s">
        <v>2521</v>
      </c>
      <c r="D19" s="319" t="s">
        <v>2539</v>
      </c>
      <c r="E19" s="78" t="s">
        <v>27</v>
      </c>
      <c r="F19" s="80"/>
      <c r="G19" s="234"/>
      <c r="H19" s="234"/>
      <c r="I19" s="156"/>
      <c r="J19" s="263">
        <v>790000</v>
      </c>
      <c r="K19" s="267"/>
      <c r="L19" s="156"/>
      <c r="M19" s="189"/>
      <c r="N19" s="189"/>
      <c r="O19" s="263">
        <f t="shared" si="1"/>
        <v>790000</v>
      </c>
      <c r="P19" s="263">
        <v>2945455</v>
      </c>
      <c r="Q19" s="263">
        <f t="shared" si="0"/>
        <v>2155455</v>
      </c>
      <c r="R19" s="195"/>
    </row>
    <row r="20" spans="1:18" ht="20.100000000000001" customHeight="1" x14ac:dyDescent="0.25">
      <c r="A20" s="76">
        <v>13</v>
      </c>
      <c r="B20" s="315">
        <v>43633</v>
      </c>
      <c r="C20" s="40" t="s">
        <v>2522</v>
      </c>
      <c r="D20" s="319" t="s">
        <v>2540</v>
      </c>
      <c r="E20" s="78" t="s">
        <v>562</v>
      </c>
      <c r="F20" s="80"/>
      <c r="G20" s="234">
        <v>300</v>
      </c>
      <c r="H20" s="234">
        <f>+G20*16650</f>
        <v>4995000</v>
      </c>
      <c r="I20" s="156"/>
      <c r="J20" s="263">
        <v>2740000</v>
      </c>
      <c r="K20" s="267"/>
      <c r="L20" s="156"/>
      <c r="M20" s="189"/>
      <c r="N20" s="189"/>
      <c r="O20" s="263">
        <f t="shared" si="1"/>
        <v>7735000</v>
      </c>
      <c r="P20" s="263">
        <v>14090909</v>
      </c>
      <c r="Q20" s="263">
        <f t="shared" si="0"/>
        <v>6355909</v>
      </c>
      <c r="R20" s="195"/>
    </row>
    <row r="21" spans="1:18" ht="20.100000000000001" customHeight="1" x14ac:dyDescent="0.25">
      <c r="A21" s="76">
        <v>14</v>
      </c>
      <c r="B21" s="315">
        <v>43635</v>
      </c>
      <c r="C21" s="40" t="s">
        <v>1863</v>
      </c>
      <c r="D21" s="319" t="s">
        <v>2541</v>
      </c>
      <c r="E21" s="78" t="s">
        <v>2554</v>
      </c>
      <c r="F21" s="80"/>
      <c r="G21" s="328"/>
      <c r="H21" s="234"/>
      <c r="I21" s="156"/>
      <c r="J21" s="263">
        <v>1870000</v>
      </c>
      <c r="K21" s="267"/>
      <c r="L21" s="156"/>
      <c r="M21" s="189"/>
      <c r="N21" s="189"/>
      <c r="O21" s="263">
        <f t="shared" si="1"/>
        <v>1870000</v>
      </c>
      <c r="P21" s="263">
        <v>7100000</v>
      </c>
      <c r="Q21" s="263">
        <f t="shared" si="0"/>
        <v>5230000</v>
      </c>
      <c r="R21" s="195"/>
    </row>
    <row r="22" spans="1:18" ht="20.100000000000001" customHeight="1" x14ac:dyDescent="0.25">
      <c r="A22" s="76">
        <v>15</v>
      </c>
      <c r="B22" s="315">
        <v>43636</v>
      </c>
      <c r="C22" s="40" t="s">
        <v>1181</v>
      </c>
      <c r="D22" s="319" t="s">
        <v>2542</v>
      </c>
      <c r="E22" s="78" t="s">
        <v>566</v>
      </c>
      <c r="F22" s="80"/>
      <c r="G22" s="234">
        <v>280</v>
      </c>
      <c r="H22" s="234">
        <f>+G22*16650</f>
        <v>4662000</v>
      </c>
      <c r="I22" s="156"/>
      <c r="J22" s="263">
        <v>790000</v>
      </c>
      <c r="K22" s="267"/>
      <c r="L22" s="156"/>
      <c r="M22" s="189"/>
      <c r="N22" s="189"/>
      <c r="O22" s="263">
        <f t="shared" si="1"/>
        <v>5452000</v>
      </c>
      <c r="P22" s="263">
        <v>4227273</v>
      </c>
      <c r="Q22" s="263">
        <f t="shared" si="0"/>
        <v>-1224727</v>
      </c>
      <c r="R22" s="195"/>
    </row>
    <row r="23" spans="1:18" ht="20.100000000000001" customHeight="1" x14ac:dyDescent="0.25">
      <c r="A23" s="76">
        <v>16</v>
      </c>
      <c r="B23" s="315">
        <v>43637</v>
      </c>
      <c r="C23" s="40" t="s">
        <v>1182</v>
      </c>
      <c r="D23" s="319" t="s">
        <v>2543</v>
      </c>
      <c r="E23" s="78" t="s">
        <v>2555</v>
      </c>
      <c r="F23" s="80"/>
      <c r="G23" s="234"/>
      <c r="H23" s="234"/>
      <c r="I23" s="156"/>
      <c r="J23" s="263">
        <v>1270000</v>
      </c>
      <c r="K23" s="267"/>
      <c r="L23" s="156"/>
      <c r="M23" s="189"/>
      <c r="N23" s="189"/>
      <c r="O23" s="263">
        <f t="shared" si="1"/>
        <v>1270000</v>
      </c>
      <c r="P23" s="263">
        <v>5200000</v>
      </c>
      <c r="Q23" s="263">
        <f t="shared" si="0"/>
        <v>3930000</v>
      </c>
      <c r="R23" s="195"/>
    </row>
    <row r="24" spans="1:18" ht="20.100000000000001" customHeight="1" x14ac:dyDescent="0.25">
      <c r="A24" s="76">
        <v>17</v>
      </c>
      <c r="B24" s="315">
        <v>43638</v>
      </c>
      <c r="C24" s="40" t="s">
        <v>2523</v>
      </c>
      <c r="D24" s="319" t="s">
        <v>2544</v>
      </c>
      <c r="E24" s="78" t="s">
        <v>24</v>
      </c>
      <c r="F24" s="80"/>
      <c r="G24" s="234">
        <v>290</v>
      </c>
      <c r="H24" s="234">
        <f>+G24*16650</f>
        <v>4828500</v>
      </c>
      <c r="I24" s="156"/>
      <c r="J24" s="263">
        <v>1890000</v>
      </c>
      <c r="K24" s="267"/>
      <c r="L24" s="156"/>
      <c r="M24" s="189"/>
      <c r="N24" s="189"/>
      <c r="O24" s="263">
        <f t="shared" si="1"/>
        <v>6718500</v>
      </c>
      <c r="P24" s="263">
        <v>8045455</v>
      </c>
      <c r="Q24" s="263">
        <f t="shared" si="0"/>
        <v>1326955</v>
      </c>
      <c r="R24" s="195"/>
    </row>
    <row r="25" spans="1:18" ht="20.100000000000001" customHeight="1" x14ac:dyDescent="0.25">
      <c r="A25" s="76">
        <v>18</v>
      </c>
      <c r="B25" s="315">
        <v>43640</v>
      </c>
      <c r="C25" s="40" t="s">
        <v>2524</v>
      </c>
      <c r="D25" s="319" t="s">
        <v>2545</v>
      </c>
      <c r="E25" s="78" t="s">
        <v>2556</v>
      </c>
      <c r="F25" s="80"/>
      <c r="G25" s="234"/>
      <c r="H25" s="234"/>
      <c r="I25" s="156"/>
      <c r="J25" s="263">
        <v>1160000</v>
      </c>
      <c r="K25" s="267"/>
      <c r="L25" s="156"/>
      <c r="M25" s="189"/>
      <c r="N25" s="189"/>
      <c r="O25" s="263">
        <f t="shared" si="1"/>
        <v>1160000</v>
      </c>
      <c r="P25" s="263">
        <v>5100000</v>
      </c>
      <c r="Q25" s="263">
        <f t="shared" si="0"/>
        <v>3940000</v>
      </c>
      <c r="R25" s="195"/>
    </row>
    <row r="26" spans="1:18" ht="20.100000000000001" customHeight="1" x14ac:dyDescent="0.25">
      <c r="A26" s="76">
        <v>19</v>
      </c>
      <c r="B26" s="315">
        <v>43641</v>
      </c>
      <c r="C26" s="40" t="s">
        <v>2525</v>
      </c>
      <c r="D26" s="319" t="s">
        <v>2546</v>
      </c>
      <c r="E26" s="78" t="s">
        <v>2557</v>
      </c>
      <c r="F26" s="80"/>
      <c r="G26" s="234"/>
      <c r="H26" s="234"/>
      <c r="I26" s="156"/>
      <c r="J26" s="263">
        <v>790000</v>
      </c>
      <c r="K26" s="267"/>
      <c r="L26" s="156"/>
      <c r="M26" s="189"/>
      <c r="N26" s="189"/>
      <c r="O26" s="263">
        <f t="shared" si="1"/>
        <v>790000</v>
      </c>
      <c r="P26" s="263">
        <v>3472727</v>
      </c>
      <c r="Q26" s="263">
        <f t="shared" si="0"/>
        <v>2682727</v>
      </c>
      <c r="R26" s="195"/>
    </row>
    <row r="27" spans="1:18" ht="20.100000000000001" customHeight="1" x14ac:dyDescent="0.25">
      <c r="A27" s="76">
        <v>20</v>
      </c>
      <c r="B27" s="315">
        <v>43642</v>
      </c>
      <c r="C27" s="40" t="s">
        <v>1186</v>
      </c>
      <c r="D27" s="319" t="s">
        <v>2547</v>
      </c>
      <c r="E27" s="78" t="s">
        <v>1663</v>
      </c>
      <c r="F27" s="80"/>
      <c r="G27" s="234">
        <v>320</v>
      </c>
      <c r="H27" s="234">
        <f>+G27*16650</f>
        <v>5328000</v>
      </c>
      <c r="I27" s="156"/>
      <c r="J27" s="263">
        <v>1160000</v>
      </c>
      <c r="K27" s="267"/>
      <c r="L27" s="156"/>
      <c r="M27" s="189"/>
      <c r="N27" s="189"/>
      <c r="O27" s="263">
        <f t="shared" si="1"/>
        <v>6488000</v>
      </c>
      <c r="P27" s="263">
        <v>5000000</v>
      </c>
      <c r="Q27" s="263">
        <f t="shared" si="0"/>
        <v>-1488000</v>
      </c>
      <c r="R27" s="195"/>
    </row>
    <row r="28" spans="1:18" ht="20.100000000000001" customHeight="1" x14ac:dyDescent="0.25">
      <c r="A28" s="76">
        <v>21</v>
      </c>
      <c r="B28" s="315">
        <v>43643</v>
      </c>
      <c r="C28" s="40" t="s">
        <v>2526</v>
      </c>
      <c r="D28" s="319" t="s">
        <v>2548</v>
      </c>
      <c r="E28" s="78" t="s">
        <v>2558</v>
      </c>
      <c r="F28" s="80"/>
      <c r="G28" s="234"/>
      <c r="H28" s="234"/>
      <c r="I28" s="156"/>
      <c r="J28" s="263">
        <v>790000</v>
      </c>
      <c r="K28" s="267"/>
      <c r="L28" s="156"/>
      <c r="M28" s="189"/>
      <c r="N28" s="189"/>
      <c r="O28" s="263">
        <f t="shared" si="1"/>
        <v>790000</v>
      </c>
      <c r="P28" s="263">
        <v>4818182</v>
      </c>
      <c r="Q28" s="263">
        <f t="shared" si="0"/>
        <v>4028182</v>
      </c>
      <c r="R28" s="195"/>
    </row>
    <row r="29" spans="1:18" ht="20.100000000000001" customHeight="1" x14ac:dyDescent="0.25">
      <c r="A29" s="76">
        <v>22</v>
      </c>
      <c r="B29" s="315">
        <v>43644</v>
      </c>
      <c r="C29" s="40" t="s">
        <v>2527</v>
      </c>
      <c r="D29" s="319" t="s">
        <v>2549</v>
      </c>
      <c r="E29" s="78" t="s">
        <v>705</v>
      </c>
      <c r="F29" s="80"/>
      <c r="G29" s="234">
        <v>180</v>
      </c>
      <c r="H29" s="234">
        <f>+G29*16650</f>
        <v>2997000</v>
      </c>
      <c r="I29" s="156"/>
      <c r="J29" s="263">
        <v>1150000</v>
      </c>
      <c r="K29" s="267"/>
      <c r="L29" s="156"/>
      <c r="M29" s="189"/>
      <c r="N29" s="189"/>
      <c r="O29" s="263">
        <f t="shared" si="1"/>
        <v>4147000</v>
      </c>
      <c r="P29" s="263">
        <v>3800000</v>
      </c>
      <c r="Q29" s="263">
        <f t="shared" si="0"/>
        <v>-347000</v>
      </c>
      <c r="R29" s="195"/>
    </row>
    <row r="30" spans="1:18" ht="18.600000000000001" customHeight="1" x14ac:dyDescent="0.25">
      <c r="A30" s="76"/>
      <c r="B30" s="324"/>
      <c r="C30" s="329" t="s">
        <v>2559</v>
      </c>
      <c r="D30" s="326"/>
      <c r="E30" s="326"/>
      <c r="F30" s="327"/>
      <c r="G30" s="323"/>
      <c r="H30" s="282"/>
      <c r="I30" s="317"/>
      <c r="J30" s="189"/>
      <c r="K30" s="267"/>
      <c r="L30" s="154"/>
      <c r="M30" s="223">
        <v>10000000</v>
      </c>
      <c r="N30" s="189"/>
      <c r="O30" s="263">
        <f t="shared" si="1"/>
        <v>10000000</v>
      </c>
      <c r="P30" s="263"/>
      <c r="Q30" s="263">
        <f t="shared" si="0"/>
        <v>-10000000</v>
      </c>
    </row>
    <row r="31" spans="1:18" ht="16.899999999999999" customHeight="1" x14ac:dyDescent="0.25">
      <c r="A31" s="76"/>
      <c r="B31" s="324"/>
      <c r="C31" s="329" t="s">
        <v>2560</v>
      </c>
      <c r="D31" s="326"/>
      <c r="E31" s="326"/>
      <c r="F31" s="327"/>
      <c r="G31" s="323"/>
      <c r="H31" s="282"/>
      <c r="I31" s="317"/>
      <c r="J31" s="189"/>
      <c r="K31" s="267"/>
      <c r="L31" s="318">
        <v>2400000</v>
      </c>
      <c r="M31" s="263"/>
      <c r="N31" s="189"/>
      <c r="O31" s="263">
        <f t="shared" si="1"/>
        <v>2400000</v>
      </c>
      <c r="P31" s="263"/>
      <c r="Q31" s="263">
        <f t="shared" si="0"/>
        <v>-2400000</v>
      </c>
    </row>
    <row r="32" spans="1:18" ht="17.45" customHeight="1" x14ac:dyDescent="0.25">
      <c r="A32" s="76"/>
      <c r="B32" s="324"/>
      <c r="C32" s="329" t="s">
        <v>2561</v>
      </c>
      <c r="D32" s="326"/>
      <c r="E32" s="326"/>
      <c r="F32" s="327"/>
      <c r="G32" s="323"/>
      <c r="H32" s="282"/>
      <c r="I32" s="317"/>
      <c r="J32" s="189"/>
      <c r="K32" s="267"/>
      <c r="L32" s="318">
        <v>450000</v>
      </c>
      <c r="M32" s="263"/>
      <c r="N32" s="189"/>
      <c r="O32" s="263">
        <f t="shared" si="1"/>
        <v>450000</v>
      </c>
      <c r="P32" s="263"/>
      <c r="Q32" s="263">
        <f t="shared" si="0"/>
        <v>-450000</v>
      </c>
    </row>
    <row r="33" spans="1:17" ht="18" customHeight="1" x14ac:dyDescent="0.25">
      <c r="A33" s="76"/>
      <c r="B33" s="324"/>
      <c r="C33" s="329" t="s">
        <v>2562</v>
      </c>
      <c r="D33" s="326"/>
      <c r="E33" s="326"/>
      <c r="F33" s="327"/>
      <c r="G33" s="323"/>
      <c r="H33" s="282"/>
      <c r="I33" s="317"/>
      <c r="J33" s="189"/>
      <c r="K33" s="267"/>
      <c r="L33" s="318">
        <v>2800000</v>
      </c>
      <c r="M33" s="263"/>
      <c r="N33" s="86"/>
      <c r="O33" s="263">
        <f t="shared" si="1"/>
        <v>2800000</v>
      </c>
      <c r="P33" s="263"/>
      <c r="Q33" s="263">
        <f t="shared" si="0"/>
        <v>-2800000</v>
      </c>
    </row>
    <row r="34" spans="1:17" ht="21" customHeight="1" x14ac:dyDescent="0.25">
      <c r="A34" s="76"/>
      <c r="B34" s="324"/>
      <c r="C34" s="330" t="s">
        <v>2563</v>
      </c>
      <c r="D34" s="324"/>
      <c r="E34" s="153"/>
      <c r="F34" s="316"/>
      <c r="G34" s="263"/>
      <c r="H34" s="282"/>
      <c r="I34" s="317"/>
      <c r="J34" s="189"/>
      <c r="K34" s="267"/>
      <c r="L34" s="318">
        <v>170000</v>
      </c>
      <c r="M34" s="189"/>
      <c r="N34" s="86"/>
      <c r="O34" s="263">
        <f t="shared" si="1"/>
        <v>170000</v>
      </c>
      <c r="P34" s="263"/>
      <c r="Q34" s="263">
        <f t="shared" si="0"/>
        <v>-170000</v>
      </c>
    </row>
    <row r="35" spans="1:17" ht="18.600000000000001" customHeight="1" x14ac:dyDescent="0.25">
      <c r="A35" s="76"/>
      <c r="B35" s="324"/>
      <c r="C35" s="323" t="s">
        <v>1273</v>
      </c>
      <c r="D35" s="324"/>
      <c r="E35" s="153"/>
      <c r="F35" s="316"/>
      <c r="G35" s="263"/>
      <c r="H35" s="282"/>
      <c r="I35" s="317"/>
      <c r="J35" s="189"/>
      <c r="K35" s="267"/>
      <c r="L35" s="156">
        <v>1320000</v>
      </c>
      <c r="M35" s="189"/>
      <c r="N35" s="189"/>
      <c r="O35" s="263">
        <f t="shared" si="1"/>
        <v>1320000</v>
      </c>
      <c r="P35" s="263"/>
      <c r="Q35" s="263">
        <f t="shared" si="0"/>
        <v>-1320000</v>
      </c>
    </row>
    <row r="36" spans="1:17" ht="18" customHeight="1" x14ac:dyDescent="0.25">
      <c r="A36" s="213"/>
      <c r="B36" s="214"/>
      <c r="C36" s="215" t="s">
        <v>1386</v>
      </c>
      <c r="D36" s="216"/>
      <c r="E36" s="214"/>
      <c r="F36" s="217"/>
      <c r="G36" s="285"/>
      <c r="H36" s="286"/>
      <c r="I36" s="287"/>
      <c r="J36" s="288"/>
      <c r="K36" s="221">
        <v>8307692</v>
      </c>
      <c r="L36" s="221"/>
      <c r="M36" s="288"/>
      <c r="N36" s="288"/>
      <c r="O36" s="285">
        <f t="shared" si="1"/>
        <v>8307692</v>
      </c>
      <c r="P36" s="285"/>
      <c r="Q36" s="285">
        <f t="shared" si="0"/>
        <v>-8307692</v>
      </c>
    </row>
    <row r="37" spans="1:17" x14ac:dyDescent="0.25">
      <c r="A37" s="547" t="s">
        <v>19</v>
      </c>
      <c r="B37" s="548"/>
      <c r="C37" s="548"/>
      <c r="D37" s="548"/>
      <c r="E37" s="548"/>
      <c r="F37" s="549"/>
      <c r="G37" s="305">
        <f>SUM(G8:G36)</f>
        <v>2770</v>
      </c>
      <c r="H37" s="291">
        <f t="shared" ref="H37:Q37" si="2">SUM(H7:H36)</f>
        <v>47156500</v>
      </c>
      <c r="I37" s="291">
        <f t="shared" si="2"/>
        <v>0</v>
      </c>
      <c r="J37" s="291">
        <f t="shared" si="2"/>
        <v>29080000</v>
      </c>
      <c r="K37" s="291">
        <f t="shared" si="2"/>
        <v>8307692</v>
      </c>
      <c r="L37" s="309">
        <f t="shared" si="2"/>
        <v>7140000</v>
      </c>
      <c r="M37" s="291">
        <f t="shared" si="2"/>
        <v>10000000</v>
      </c>
      <c r="N37" s="291">
        <f t="shared" si="2"/>
        <v>0</v>
      </c>
      <c r="O37" s="291">
        <f t="shared" si="2"/>
        <v>101684192</v>
      </c>
      <c r="P37" s="291">
        <f t="shared" si="2"/>
        <v>130278184</v>
      </c>
      <c r="Q37" s="297">
        <f t="shared" si="2"/>
        <v>28593992</v>
      </c>
    </row>
    <row r="38" spans="1:17" x14ac:dyDescent="0.25">
      <c r="P38" s="294"/>
      <c r="Q38" s="295"/>
    </row>
    <row r="39" spans="1:17" x14ac:dyDescent="0.25">
      <c r="H39" s="294"/>
      <c r="P39" s="296" t="s">
        <v>1225</v>
      </c>
      <c r="Q39" s="304">
        <f>'05.2019'!Q48+'06.2019'!Q37</f>
        <v>171777529.07692307</v>
      </c>
    </row>
    <row r="40" spans="1:17" x14ac:dyDescent="0.25">
      <c r="Q40" s="294"/>
    </row>
  </sheetData>
  <mergeCells count="5">
    <mergeCell ref="A37:F37"/>
    <mergeCell ref="A1:Q1"/>
    <mergeCell ref="A2:Q2"/>
    <mergeCell ref="A3:Q3"/>
    <mergeCell ref="G5:N5"/>
  </mergeCells>
  <pageMargins left="0.7" right="0.7" top="0.75" bottom="0.75" header="0.3" footer="0.3"/>
  <pageSetup paperSize="9" orientation="portrait" horizontalDpi="0" verticalDpi="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R48"/>
  <sheetViews>
    <sheetView topLeftCell="D31" workbookViewId="0">
      <selection activeCell="D37" sqref="D37"/>
    </sheetView>
  </sheetViews>
  <sheetFormatPr defaultRowHeight="15" x14ac:dyDescent="0.25"/>
  <cols>
    <col min="1" max="1" width="4.5703125" customWidth="1"/>
    <col min="3" max="3" width="41.28515625" customWidth="1"/>
    <col min="4" max="4" width="16.5703125" customWidth="1"/>
    <col min="5" max="5" width="33.140625" customWidth="1"/>
    <col min="7" max="7" width="9.140625" style="292"/>
    <col min="8" max="8" width="10.140625" style="292" bestFit="1" customWidth="1"/>
    <col min="9" max="9" width="9.140625" style="293"/>
    <col min="10" max="10" width="9.140625" style="292"/>
    <col min="11" max="11" width="9.42578125" style="292" bestFit="1" customWidth="1"/>
    <col min="12" max="12" width="9.42578125" style="173" bestFit="1" customWidth="1"/>
    <col min="13" max="14" width="9.140625" style="292"/>
    <col min="15" max="15" width="11.140625" style="292" customWidth="1"/>
    <col min="16" max="16" width="10.7109375" style="292" customWidth="1"/>
    <col min="17" max="17" width="12.28515625" style="292" customWidth="1"/>
  </cols>
  <sheetData>
    <row r="1" spans="1:18" ht="23.25" x14ac:dyDescent="0.25">
      <c r="A1" s="551" t="s">
        <v>0</v>
      </c>
      <c r="B1" s="551"/>
      <c r="C1" s="551"/>
      <c r="D1" s="551"/>
      <c r="E1" s="551"/>
      <c r="F1" s="551"/>
      <c r="G1" s="551"/>
      <c r="H1" s="551"/>
      <c r="I1" s="551"/>
      <c r="J1" s="551"/>
      <c r="K1" s="551"/>
      <c r="L1" s="551"/>
      <c r="M1" s="551"/>
      <c r="N1" s="551"/>
      <c r="O1" s="551"/>
      <c r="P1" s="551"/>
      <c r="Q1" s="551"/>
    </row>
    <row r="2" spans="1:18" ht="15.75" x14ac:dyDescent="0.25">
      <c r="A2" s="550" t="s">
        <v>103</v>
      </c>
      <c r="B2" s="550"/>
      <c r="C2" s="550"/>
      <c r="D2" s="550"/>
      <c r="E2" s="550"/>
      <c r="F2" s="550"/>
      <c r="G2" s="550"/>
      <c r="H2" s="550"/>
      <c r="I2" s="550"/>
      <c r="J2" s="550"/>
      <c r="K2" s="550"/>
      <c r="L2" s="550"/>
      <c r="M2" s="550"/>
      <c r="N2" s="550"/>
      <c r="O2" s="550"/>
      <c r="P2" s="550"/>
      <c r="Q2" s="550"/>
    </row>
    <row r="3" spans="1:18" ht="15.75" x14ac:dyDescent="0.25">
      <c r="A3" s="550" t="s">
        <v>2565</v>
      </c>
      <c r="B3" s="550"/>
      <c r="C3" s="550"/>
      <c r="D3" s="550"/>
      <c r="E3" s="550"/>
      <c r="F3" s="550"/>
      <c r="G3" s="550"/>
      <c r="H3" s="550"/>
      <c r="I3" s="550"/>
      <c r="J3" s="550"/>
      <c r="K3" s="550"/>
      <c r="L3" s="550"/>
      <c r="M3" s="550"/>
      <c r="N3" s="550"/>
      <c r="O3" s="550"/>
      <c r="P3" s="550"/>
      <c r="Q3" s="550"/>
    </row>
    <row r="4" spans="1:18" x14ac:dyDescent="0.25">
      <c r="A4" s="74"/>
      <c r="B4" s="99"/>
      <c r="C4" s="74"/>
      <c r="D4" s="74"/>
      <c r="E4" s="74" t="s">
        <v>194</v>
      </c>
      <c r="F4" s="74"/>
      <c r="G4" s="257"/>
      <c r="H4" s="258"/>
      <c r="I4" s="258"/>
      <c r="J4" s="258"/>
      <c r="K4" s="258"/>
      <c r="L4" s="91"/>
      <c r="M4" s="258"/>
      <c r="N4" s="258"/>
      <c r="O4" s="258"/>
      <c r="P4" s="258"/>
      <c r="Q4" s="258"/>
    </row>
    <row r="5" spans="1:18"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18"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18" x14ac:dyDescent="0.25">
      <c r="A7" s="311"/>
      <c r="B7" s="312"/>
      <c r="C7" s="311"/>
      <c r="D7" s="311"/>
      <c r="E7" s="311"/>
      <c r="F7" s="311"/>
      <c r="G7" s="313"/>
      <c r="H7" s="313"/>
      <c r="I7" s="313"/>
      <c r="J7" s="313"/>
      <c r="K7" s="313"/>
      <c r="L7" s="314"/>
      <c r="M7" s="313"/>
      <c r="N7" s="313"/>
      <c r="O7" s="313"/>
      <c r="P7" s="313"/>
      <c r="Q7" s="313">
        <f>P7-O7</f>
        <v>0</v>
      </c>
    </row>
    <row r="8" spans="1:18" ht="20.100000000000001" customHeight="1" x14ac:dyDescent="0.25">
      <c r="A8" s="76">
        <v>1</v>
      </c>
      <c r="B8" s="315">
        <v>43647</v>
      </c>
      <c r="C8" s="40" t="s">
        <v>2566</v>
      </c>
      <c r="D8" s="319" t="s">
        <v>2567</v>
      </c>
      <c r="E8" s="78" t="s">
        <v>1212</v>
      </c>
      <c r="F8" s="80"/>
      <c r="G8" s="234"/>
      <c r="H8" s="234"/>
      <c r="I8" s="156"/>
      <c r="J8" s="263">
        <f>2740000+2000000</f>
        <v>4740000</v>
      </c>
      <c r="K8" s="267"/>
      <c r="L8" s="156"/>
      <c r="M8" s="189"/>
      <c r="N8" s="189"/>
      <c r="O8" s="263">
        <f>SUM(H8:N8)</f>
        <v>4740000</v>
      </c>
      <c r="P8" s="320">
        <v>14090909</v>
      </c>
      <c r="Q8" s="263">
        <f>P8-O8</f>
        <v>9350909</v>
      </c>
      <c r="R8" s="195" t="s">
        <v>2568</v>
      </c>
    </row>
    <row r="9" spans="1:18" ht="20.100000000000001" customHeight="1" x14ac:dyDescent="0.25">
      <c r="A9" s="76">
        <v>2</v>
      </c>
      <c r="B9" s="315">
        <v>43648</v>
      </c>
      <c r="C9" s="40" t="s">
        <v>2569</v>
      </c>
      <c r="D9" s="321" t="s">
        <v>2570</v>
      </c>
      <c r="E9" s="78" t="s">
        <v>88</v>
      </c>
      <c r="F9" s="80"/>
      <c r="G9" s="234">
        <v>340</v>
      </c>
      <c r="H9" s="234">
        <f>+G9*16940</f>
        <v>5759600</v>
      </c>
      <c r="I9" s="156"/>
      <c r="J9" s="263">
        <v>790000</v>
      </c>
      <c r="K9" s="267"/>
      <c r="L9" s="156"/>
      <c r="M9" s="189"/>
      <c r="N9" s="189"/>
      <c r="O9" s="263">
        <f>SUM(H9:N9)</f>
        <v>6549600</v>
      </c>
      <c r="P9" s="320">
        <v>4000000</v>
      </c>
      <c r="Q9" s="263">
        <f t="shared" ref="Q9:Q44" si="0">P9-O9</f>
        <v>-2549600</v>
      </c>
      <c r="R9" s="195"/>
    </row>
    <row r="10" spans="1:18" ht="20.100000000000001" customHeight="1" x14ac:dyDescent="0.25">
      <c r="A10" s="76">
        <v>3</v>
      </c>
      <c r="B10" s="315">
        <v>43649</v>
      </c>
      <c r="C10" s="40" t="s">
        <v>2571</v>
      </c>
      <c r="D10" s="319" t="s">
        <v>2572</v>
      </c>
      <c r="E10" s="78" t="s">
        <v>2573</v>
      </c>
      <c r="F10" s="80"/>
      <c r="G10" s="234"/>
      <c r="H10" s="234"/>
      <c r="I10" s="156"/>
      <c r="J10" s="263">
        <v>1510000</v>
      </c>
      <c r="K10" s="267"/>
      <c r="L10" s="156"/>
      <c r="M10" s="189"/>
      <c r="N10" s="189"/>
      <c r="O10" s="263">
        <f t="shared" ref="O10:O44" si="1">SUM(H10:N10)</f>
        <v>1510000</v>
      </c>
      <c r="P10" s="320">
        <v>5600000</v>
      </c>
      <c r="Q10" s="263">
        <f t="shared" si="0"/>
        <v>4090000</v>
      </c>
      <c r="R10" s="195"/>
    </row>
    <row r="11" spans="1:18" ht="20.100000000000001" customHeight="1" x14ac:dyDescent="0.25">
      <c r="A11" s="76">
        <v>4</v>
      </c>
      <c r="B11" s="315">
        <v>43650</v>
      </c>
      <c r="C11" s="40" t="s">
        <v>1895</v>
      </c>
      <c r="D11" s="319" t="s">
        <v>2574</v>
      </c>
      <c r="E11" s="78" t="s">
        <v>356</v>
      </c>
      <c r="F11" s="80"/>
      <c r="G11" s="234">
        <v>340</v>
      </c>
      <c r="H11" s="234">
        <f>+G11*16940</f>
        <v>5759600</v>
      </c>
      <c r="I11" s="156"/>
      <c r="J11" s="263">
        <v>970000</v>
      </c>
      <c r="K11" s="267"/>
      <c r="L11" s="156"/>
      <c r="M11" s="189"/>
      <c r="N11" s="189"/>
      <c r="O11" s="263">
        <f t="shared" si="1"/>
        <v>6729600</v>
      </c>
      <c r="P11" s="320">
        <v>4560000</v>
      </c>
      <c r="Q11" s="263">
        <f t="shared" si="0"/>
        <v>-2169600</v>
      </c>
      <c r="R11" s="195"/>
    </row>
    <row r="12" spans="1:18" ht="20.100000000000001" customHeight="1" x14ac:dyDescent="0.25">
      <c r="A12" s="76">
        <v>5</v>
      </c>
      <c r="B12" s="315">
        <v>43651</v>
      </c>
      <c r="C12" s="40" t="s">
        <v>1228</v>
      </c>
      <c r="D12" s="319" t="s">
        <v>2575</v>
      </c>
      <c r="E12" s="78" t="s">
        <v>1081</v>
      </c>
      <c r="F12" s="80"/>
      <c r="G12" s="234"/>
      <c r="H12" s="234"/>
      <c r="I12" s="156"/>
      <c r="J12" s="263">
        <v>1150000</v>
      </c>
      <c r="K12" s="267"/>
      <c r="L12" s="156"/>
      <c r="M12" s="189"/>
      <c r="N12" s="189"/>
      <c r="O12" s="263">
        <f t="shared" si="1"/>
        <v>1150000</v>
      </c>
      <c r="P12" s="320">
        <v>3900000</v>
      </c>
      <c r="Q12" s="263">
        <f t="shared" si="0"/>
        <v>2750000</v>
      </c>
      <c r="R12" s="195"/>
    </row>
    <row r="13" spans="1:18" ht="20.100000000000001" customHeight="1" x14ac:dyDescent="0.25">
      <c r="A13" s="76">
        <v>6</v>
      </c>
      <c r="B13" s="315">
        <v>43653</v>
      </c>
      <c r="C13" s="40" t="s">
        <v>2576</v>
      </c>
      <c r="D13" s="319" t="s">
        <v>2577</v>
      </c>
      <c r="E13" s="78" t="s">
        <v>29</v>
      </c>
      <c r="F13" s="80"/>
      <c r="G13" s="234"/>
      <c r="H13" s="234"/>
      <c r="I13" s="156"/>
      <c r="J13" s="263">
        <v>970000</v>
      </c>
      <c r="K13" s="267"/>
      <c r="L13" s="156"/>
      <c r="M13" s="189"/>
      <c r="N13" s="189"/>
      <c r="O13" s="263">
        <f t="shared" si="1"/>
        <v>970000</v>
      </c>
      <c r="P13" s="320">
        <v>4300000</v>
      </c>
      <c r="Q13" s="263">
        <f t="shared" si="0"/>
        <v>3330000</v>
      </c>
      <c r="R13" s="195"/>
    </row>
    <row r="14" spans="1:18" ht="20.100000000000001" customHeight="1" x14ac:dyDescent="0.25">
      <c r="A14" s="76">
        <v>7</v>
      </c>
      <c r="B14" s="315">
        <v>43654</v>
      </c>
      <c r="C14" s="40" t="s">
        <v>2578</v>
      </c>
      <c r="D14" s="319" t="s">
        <v>2579</v>
      </c>
      <c r="E14" s="78" t="s">
        <v>2382</v>
      </c>
      <c r="F14" s="80"/>
      <c r="G14" s="234">
        <v>270</v>
      </c>
      <c r="H14" s="234">
        <f>+G14*16940</f>
        <v>4573800</v>
      </c>
      <c r="I14" s="156"/>
      <c r="J14" s="263">
        <v>1510000</v>
      </c>
      <c r="K14" s="267"/>
      <c r="L14" s="156"/>
      <c r="M14" s="189"/>
      <c r="N14" s="189"/>
      <c r="O14" s="263">
        <f t="shared" si="1"/>
        <v>6083800</v>
      </c>
      <c r="P14" s="320">
        <v>6300000</v>
      </c>
      <c r="Q14" s="263">
        <f t="shared" si="0"/>
        <v>216200</v>
      </c>
      <c r="R14" s="195"/>
    </row>
    <row r="15" spans="1:18" ht="20.100000000000001" customHeight="1" x14ac:dyDescent="0.25">
      <c r="A15" s="76">
        <v>8</v>
      </c>
      <c r="B15" s="315">
        <v>43655</v>
      </c>
      <c r="C15" s="40" t="s">
        <v>2580</v>
      </c>
      <c r="D15" s="319" t="s">
        <v>2581</v>
      </c>
      <c r="E15" s="78" t="s">
        <v>2582</v>
      </c>
      <c r="F15" s="80"/>
      <c r="G15" s="234"/>
      <c r="H15" s="234"/>
      <c r="I15" s="156"/>
      <c r="J15" s="263">
        <v>1270000</v>
      </c>
      <c r="K15" s="267"/>
      <c r="L15" s="156"/>
      <c r="M15" s="189"/>
      <c r="N15" s="189"/>
      <c r="O15" s="263">
        <f t="shared" si="1"/>
        <v>1270000</v>
      </c>
      <c r="P15" s="320">
        <v>5200000</v>
      </c>
      <c r="Q15" s="263">
        <f t="shared" si="0"/>
        <v>3930000</v>
      </c>
      <c r="R15" s="195"/>
    </row>
    <row r="16" spans="1:18" ht="20.100000000000001" customHeight="1" x14ac:dyDescent="0.25">
      <c r="A16" s="76">
        <v>9</v>
      </c>
      <c r="B16" s="315">
        <v>43656</v>
      </c>
      <c r="C16" s="40" t="s">
        <v>2583</v>
      </c>
      <c r="D16" s="319" t="s">
        <v>2584</v>
      </c>
      <c r="E16" s="78" t="s">
        <v>2117</v>
      </c>
      <c r="F16" s="80"/>
      <c r="G16" s="234"/>
      <c r="H16" s="234"/>
      <c r="I16" s="156"/>
      <c r="J16" s="263">
        <v>1500000</v>
      </c>
      <c r="K16" s="267"/>
      <c r="L16" s="156" t="s">
        <v>2564</v>
      </c>
      <c r="M16" s="189"/>
      <c r="N16" s="189"/>
      <c r="O16" s="263">
        <f t="shared" si="1"/>
        <v>1500000</v>
      </c>
      <c r="P16" s="320">
        <v>7200000</v>
      </c>
      <c r="Q16" s="263">
        <f t="shared" si="0"/>
        <v>5700000</v>
      </c>
      <c r="R16" s="195"/>
    </row>
    <row r="17" spans="1:18" ht="20.100000000000001" customHeight="1" x14ac:dyDescent="0.25">
      <c r="A17" s="76">
        <v>10</v>
      </c>
      <c r="B17" s="315">
        <v>43657</v>
      </c>
      <c r="C17" s="40" t="s">
        <v>2585</v>
      </c>
      <c r="D17" s="319" t="s">
        <v>1822</v>
      </c>
      <c r="E17" s="78" t="s">
        <v>2586</v>
      </c>
      <c r="F17" s="80"/>
      <c r="G17" s="234">
        <v>340</v>
      </c>
      <c r="H17" s="234">
        <f>+G17*16940</f>
        <v>5759600</v>
      </c>
      <c r="I17" s="156"/>
      <c r="J17" s="263">
        <v>790000</v>
      </c>
      <c r="K17" s="267"/>
      <c r="L17" s="156"/>
      <c r="M17" s="189"/>
      <c r="N17" s="189"/>
      <c r="O17" s="263">
        <f t="shared" si="1"/>
        <v>6549600</v>
      </c>
      <c r="P17" s="320">
        <v>4418182</v>
      </c>
      <c r="Q17" s="263">
        <f t="shared" si="0"/>
        <v>-2131418</v>
      </c>
      <c r="R17" s="195"/>
    </row>
    <row r="18" spans="1:18" ht="20.100000000000001" customHeight="1" x14ac:dyDescent="0.25">
      <c r="A18" s="76">
        <v>11</v>
      </c>
      <c r="B18" s="315">
        <v>43658</v>
      </c>
      <c r="C18" s="40" t="s">
        <v>2587</v>
      </c>
      <c r="D18" s="319" t="s">
        <v>2588</v>
      </c>
      <c r="E18" s="78" t="s">
        <v>2589</v>
      </c>
      <c r="F18" s="80"/>
      <c r="G18" s="234"/>
      <c r="H18" s="234"/>
      <c r="I18" s="156"/>
      <c r="J18" s="263">
        <v>1150000</v>
      </c>
      <c r="K18" s="267"/>
      <c r="L18" s="156"/>
      <c r="M18" s="189"/>
      <c r="N18" s="189"/>
      <c r="O18" s="263">
        <f t="shared" si="1"/>
        <v>1150000</v>
      </c>
      <c r="P18" s="320">
        <v>3900000</v>
      </c>
      <c r="Q18" s="263">
        <f t="shared" si="0"/>
        <v>2750000</v>
      </c>
      <c r="R18" s="195"/>
    </row>
    <row r="19" spans="1:18" ht="20.100000000000001" customHeight="1" x14ac:dyDescent="0.25">
      <c r="A19" s="76">
        <v>12</v>
      </c>
      <c r="B19" s="315">
        <v>43661</v>
      </c>
      <c r="C19" s="40" t="s">
        <v>2590</v>
      </c>
      <c r="D19" s="319" t="s">
        <v>2591</v>
      </c>
      <c r="E19" s="78" t="s">
        <v>2592</v>
      </c>
      <c r="F19" s="80"/>
      <c r="G19" s="234">
        <v>260</v>
      </c>
      <c r="H19" s="234">
        <f>+G19*16940</f>
        <v>4404400</v>
      </c>
      <c r="I19" s="156"/>
      <c r="J19" s="263">
        <v>790000</v>
      </c>
      <c r="K19" s="267"/>
      <c r="L19" s="156"/>
      <c r="M19" s="189"/>
      <c r="N19" s="189"/>
      <c r="O19" s="263">
        <f t="shared" si="1"/>
        <v>5194400</v>
      </c>
      <c r="P19" s="320">
        <v>3900000</v>
      </c>
      <c r="Q19" s="263">
        <f t="shared" si="0"/>
        <v>-1294400</v>
      </c>
      <c r="R19" s="195"/>
    </row>
    <row r="20" spans="1:18" ht="20.100000000000001" customHeight="1" x14ac:dyDescent="0.25">
      <c r="A20" s="76">
        <v>13</v>
      </c>
      <c r="B20" s="315">
        <v>43661</v>
      </c>
      <c r="C20" s="40" t="s">
        <v>2593</v>
      </c>
      <c r="D20" s="319" t="s">
        <v>2594</v>
      </c>
      <c r="E20" s="78" t="s">
        <v>429</v>
      </c>
      <c r="F20" s="80"/>
      <c r="G20" s="234"/>
      <c r="H20" s="234"/>
      <c r="I20" s="156"/>
      <c r="J20" s="263">
        <v>790000</v>
      </c>
      <c r="K20" s="267"/>
      <c r="L20" s="156"/>
      <c r="M20" s="189"/>
      <c r="N20" s="189"/>
      <c r="O20" s="263">
        <f t="shared" si="1"/>
        <v>790000</v>
      </c>
      <c r="P20" s="320">
        <v>3200000</v>
      </c>
      <c r="Q20" s="263">
        <f t="shared" si="0"/>
        <v>2410000</v>
      </c>
      <c r="R20" s="195"/>
    </row>
    <row r="21" spans="1:18" ht="20.100000000000001" customHeight="1" x14ac:dyDescent="0.25">
      <c r="A21" s="76">
        <v>14</v>
      </c>
      <c r="B21" s="315">
        <v>43661</v>
      </c>
      <c r="C21" s="40" t="s">
        <v>1236</v>
      </c>
      <c r="D21" s="319" t="s">
        <v>2595</v>
      </c>
      <c r="E21" s="78" t="s">
        <v>356</v>
      </c>
      <c r="F21" s="80"/>
      <c r="G21" s="328">
        <v>272</v>
      </c>
      <c r="H21" s="234">
        <f>+G21*16990</f>
        <v>4621280</v>
      </c>
      <c r="I21" s="156"/>
      <c r="J21" s="263">
        <v>970000</v>
      </c>
      <c r="K21" s="267"/>
      <c r="L21" s="156"/>
      <c r="M21" s="189"/>
      <c r="N21" s="189"/>
      <c r="O21" s="263">
        <f t="shared" si="1"/>
        <v>5591280</v>
      </c>
      <c r="P21" s="320">
        <v>4560000</v>
      </c>
      <c r="Q21" s="263">
        <f t="shared" si="0"/>
        <v>-1031280</v>
      </c>
      <c r="R21" s="195"/>
    </row>
    <row r="22" spans="1:18" ht="20.100000000000001" customHeight="1" x14ac:dyDescent="0.25">
      <c r="A22" s="76">
        <v>15</v>
      </c>
      <c r="B22" s="315">
        <v>43662</v>
      </c>
      <c r="C22" s="40" t="s">
        <v>1905</v>
      </c>
      <c r="D22" s="319" t="s">
        <v>2596</v>
      </c>
      <c r="E22" s="78" t="s">
        <v>24</v>
      </c>
      <c r="F22" s="80"/>
      <c r="G22" s="234"/>
      <c r="H22" s="234"/>
      <c r="I22" s="156"/>
      <c r="J22" s="263">
        <v>1890000</v>
      </c>
      <c r="K22" s="267"/>
      <c r="L22" s="156"/>
      <c r="M22" s="189"/>
      <c r="N22" s="189"/>
      <c r="O22" s="263">
        <f t="shared" si="1"/>
        <v>1890000</v>
      </c>
      <c r="P22" s="320">
        <v>8045455</v>
      </c>
      <c r="Q22" s="263">
        <f t="shared" si="0"/>
        <v>6155455</v>
      </c>
      <c r="R22" s="195"/>
    </row>
    <row r="23" spans="1:18" ht="20.100000000000001" customHeight="1" x14ac:dyDescent="0.25">
      <c r="A23" s="76">
        <v>16</v>
      </c>
      <c r="B23" s="315">
        <v>43663</v>
      </c>
      <c r="C23" s="40" t="s">
        <v>2597</v>
      </c>
      <c r="D23" s="319" t="s">
        <v>2598</v>
      </c>
      <c r="E23" s="78" t="s">
        <v>24</v>
      </c>
      <c r="F23" s="80"/>
      <c r="G23" s="234">
        <v>280</v>
      </c>
      <c r="H23" s="234">
        <f>+G23*16990</f>
        <v>4757200</v>
      </c>
      <c r="I23" s="156"/>
      <c r="J23" s="263">
        <v>1890000</v>
      </c>
      <c r="K23" s="267"/>
      <c r="L23" s="156"/>
      <c r="M23" s="189"/>
      <c r="N23" s="189"/>
      <c r="O23" s="263">
        <f t="shared" si="1"/>
        <v>6647200</v>
      </c>
      <c r="P23" s="320">
        <v>7772727</v>
      </c>
      <c r="Q23" s="263">
        <f t="shared" si="0"/>
        <v>1125527</v>
      </c>
      <c r="R23" s="195"/>
    </row>
    <row r="24" spans="1:18" ht="20.100000000000001" customHeight="1" x14ac:dyDescent="0.25">
      <c r="A24" s="76">
        <v>17</v>
      </c>
      <c r="B24" s="315">
        <v>43664</v>
      </c>
      <c r="C24" s="40" t="s">
        <v>2599</v>
      </c>
      <c r="D24" s="319" t="s">
        <v>2600</v>
      </c>
      <c r="E24" s="78" t="s">
        <v>29</v>
      </c>
      <c r="F24" s="80"/>
      <c r="G24" s="234"/>
      <c r="H24" s="234"/>
      <c r="I24" s="156"/>
      <c r="J24" s="263">
        <v>970000</v>
      </c>
      <c r="K24" s="267"/>
      <c r="L24" s="156"/>
      <c r="M24" s="189"/>
      <c r="N24" s="189"/>
      <c r="O24" s="263">
        <f t="shared" si="1"/>
        <v>970000</v>
      </c>
      <c r="P24" s="320">
        <v>4100000</v>
      </c>
      <c r="Q24" s="263">
        <f t="shared" si="0"/>
        <v>3130000</v>
      </c>
      <c r="R24" s="195"/>
    </row>
    <row r="25" spans="1:18" ht="20.100000000000001" customHeight="1" x14ac:dyDescent="0.25">
      <c r="A25" s="76">
        <v>18</v>
      </c>
      <c r="B25" s="315">
        <v>43665</v>
      </c>
      <c r="C25" s="40" t="s">
        <v>2601</v>
      </c>
      <c r="D25" s="319" t="s">
        <v>2602</v>
      </c>
      <c r="E25" s="78" t="s">
        <v>21</v>
      </c>
      <c r="F25" s="80"/>
      <c r="G25" s="234">
        <v>235</v>
      </c>
      <c r="H25" s="234">
        <f>+G25*16990</f>
        <v>3992650</v>
      </c>
      <c r="I25" s="156"/>
      <c r="J25" s="263">
        <v>2740000</v>
      </c>
      <c r="K25" s="267"/>
      <c r="L25" s="156"/>
      <c r="M25" s="189"/>
      <c r="N25" s="189"/>
      <c r="O25" s="263">
        <f t="shared" si="1"/>
        <v>6732650</v>
      </c>
      <c r="P25" s="320">
        <v>12181818</v>
      </c>
      <c r="Q25" s="263">
        <f t="shared" si="0"/>
        <v>5449168</v>
      </c>
      <c r="R25" s="195"/>
    </row>
    <row r="26" spans="1:18" ht="20.100000000000001" customHeight="1" x14ac:dyDescent="0.25">
      <c r="A26" s="76">
        <v>19</v>
      </c>
      <c r="B26" s="315">
        <v>43667</v>
      </c>
      <c r="C26" s="40" t="s">
        <v>2603</v>
      </c>
      <c r="D26" s="319" t="s">
        <v>2604</v>
      </c>
      <c r="E26" s="78" t="s">
        <v>21</v>
      </c>
      <c r="F26" s="80"/>
      <c r="G26" s="234">
        <v>330</v>
      </c>
      <c r="H26" s="234">
        <f>+G26*16990</f>
        <v>5606700</v>
      </c>
      <c r="I26" s="156"/>
      <c r="J26" s="263">
        <v>2740000</v>
      </c>
      <c r="K26" s="267"/>
      <c r="L26" s="156"/>
      <c r="M26" s="189"/>
      <c r="N26" s="189"/>
      <c r="O26" s="263">
        <f t="shared" si="1"/>
        <v>8346700</v>
      </c>
      <c r="P26" s="320">
        <v>12181818</v>
      </c>
      <c r="Q26" s="263">
        <f t="shared" si="0"/>
        <v>3835118</v>
      </c>
      <c r="R26" s="195"/>
    </row>
    <row r="27" spans="1:18" ht="20.100000000000001" customHeight="1" x14ac:dyDescent="0.25">
      <c r="A27" s="76">
        <v>20</v>
      </c>
      <c r="B27" s="315">
        <v>43669</v>
      </c>
      <c r="C27" s="40" t="s">
        <v>2605</v>
      </c>
      <c r="D27" s="319" t="s">
        <v>2606</v>
      </c>
      <c r="E27" s="78" t="s">
        <v>566</v>
      </c>
      <c r="F27" s="80"/>
      <c r="G27" s="234"/>
      <c r="H27" s="234"/>
      <c r="I27" s="156"/>
      <c r="J27" s="263">
        <v>1150000</v>
      </c>
      <c r="K27" s="267"/>
      <c r="L27" s="156"/>
      <c r="M27" s="189"/>
      <c r="N27" s="189"/>
      <c r="O27" s="263">
        <f t="shared" si="1"/>
        <v>1150000</v>
      </c>
      <c r="P27" s="320">
        <v>4227273</v>
      </c>
      <c r="Q27" s="263">
        <f t="shared" si="0"/>
        <v>3077273</v>
      </c>
      <c r="R27" s="195"/>
    </row>
    <row r="28" spans="1:18" ht="20.100000000000001" customHeight="1" x14ac:dyDescent="0.25">
      <c r="A28" s="76">
        <v>21</v>
      </c>
      <c r="B28" s="315">
        <v>43670</v>
      </c>
      <c r="C28" s="40" t="s">
        <v>2607</v>
      </c>
      <c r="D28" s="319" t="s">
        <v>2608</v>
      </c>
      <c r="E28" s="78" t="s">
        <v>562</v>
      </c>
      <c r="F28" s="80"/>
      <c r="G28" s="328">
        <v>285</v>
      </c>
      <c r="H28" s="234">
        <f>+G28*16990</f>
        <v>4842150</v>
      </c>
      <c r="I28" s="156"/>
      <c r="J28" s="263">
        <v>3240000</v>
      </c>
      <c r="K28" s="267"/>
      <c r="L28" s="156"/>
      <c r="M28" s="189"/>
      <c r="N28" s="189"/>
      <c r="O28" s="263">
        <f t="shared" si="1"/>
        <v>8082150</v>
      </c>
      <c r="P28" s="320">
        <v>18181818</v>
      </c>
      <c r="Q28" s="263">
        <f t="shared" si="0"/>
        <v>10099668</v>
      </c>
      <c r="R28" s="195"/>
    </row>
    <row r="29" spans="1:18" ht="20.100000000000001" customHeight="1" x14ac:dyDescent="0.25">
      <c r="A29" s="76">
        <v>22</v>
      </c>
      <c r="B29" s="315">
        <v>43670</v>
      </c>
      <c r="C29" s="40" t="s">
        <v>2607</v>
      </c>
      <c r="D29" s="319" t="s">
        <v>2609</v>
      </c>
      <c r="E29" s="78" t="s">
        <v>562</v>
      </c>
      <c r="F29" s="80"/>
      <c r="G29" s="234"/>
      <c r="H29" s="234"/>
      <c r="I29" s="156"/>
      <c r="J29" s="263">
        <v>0</v>
      </c>
      <c r="K29" s="267"/>
      <c r="L29" s="156"/>
      <c r="M29" s="189"/>
      <c r="N29" s="189"/>
      <c r="O29" s="263">
        <f t="shared" si="1"/>
        <v>0</v>
      </c>
      <c r="P29" s="320">
        <v>0</v>
      </c>
      <c r="Q29" s="263">
        <f t="shared" si="0"/>
        <v>0</v>
      </c>
      <c r="R29" s="195"/>
    </row>
    <row r="30" spans="1:18" ht="20.100000000000001" customHeight="1" x14ac:dyDescent="0.25">
      <c r="A30" s="76">
        <v>23</v>
      </c>
      <c r="B30" s="315">
        <v>43671</v>
      </c>
      <c r="C30" s="40" t="s">
        <v>2610</v>
      </c>
      <c r="D30" s="319" t="s">
        <v>2611</v>
      </c>
      <c r="E30" s="78" t="s">
        <v>188</v>
      </c>
      <c r="F30" s="80"/>
      <c r="G30" s="234"/>
      <c r="H30" s="234"/>
      <c r="I30" s="156"/>
      <c r="J30" s="263">
        <v>650000</v>
      </c>
      <c r="K30" s="267"/>
      <c r="L30" s="156"/>
      <c r="M30" s="189"/>
      <c r="N30" s="189"/>
      <c r="O30" s="263">
        <f t="shared" si="1"/>
        <v>650000</v>
      </c>
      <c r="P30" s="320">
        <v>3100000</v>
      </c>
      <c r="Q30" s="263">
        <f t="shared" si="0"/>
        <v>2450000</v>
      </c>
      <c r="R30" s="195"/>
    </row>
    <row r="31" spans="1:18" ht="20.100000000000001" customHeight="1" x14ac:dyDescent="0.25">
      <c r="A31" s="76">
        <v>24</v>
      </c>
      <c r="B31" s="315">
        <v>43671</v>
      </c>
      <c r="C31" s="40" t="s">
        <v>1245</v>
      </c>
      <c r="D31" s="319" t="s">
        <v>2612</v>
      </c>
      <c r="E31" s="78" t="s">
        <v>2007</v>
      </c>
      <c r="F31" s="80"/>
      <c r="G31" s="234"/>
      <c r="H31" s="234"/>
      <c r="I31" s="156"/>
      <c r="J31" s="263">
        <v>1150000</v>
      </c>
      <c r="K31" s="267"/>
      <c r="L31" s="156"/>
      <c r="M31" s="189"/>
      <c r="N31" s="189"/>
      <c r="O31" s="263">
        <f t="shared" si="1"/>
        <v>1150000</v>
      </c>
      <c r="P31" s="320">
        <v>3860000</v>
      </c>
      <c r="Q31" s="263">
        <f t="shared" si="0"/>
        <v>2710000</v>
      </c>
      <c r="R31" s="195"/>
    </row>
    <row r="32" spans="1:18" ht="20.100000000000001" customHeight="1" x14ac:dyDescent="0.25">
      <c r="A32" s="76">
        <v>25</v>
      </c>
      <c r="B32" s="315">
        <v>43675</v>
      </c>
      <c r="C32" s="40" t="s">
        <v>2613</v>
      </c>
      <c r="D32" s="319" t="s">
        <v>2614</v>
      </c>
      <c r="E32" s="78" t="s">
        <v>2615</v>
      </c>
      <c r="F32" s="80"/>
      <c r="G32" s="234"/>
      <c r="H32" s="234"/>
      <c r="I32" s="156"/>
      <c r="J32" s="263">
        <v>1150000</v>
      </c>
      <c r="K32" s="267"/>
      <c r="L32" s="156"/>
      <c r="M32" s="189"/>
      <c r="N32" s="189"/>
      <c r="O32" s="263">
        <f t="shared" si="1"/>
        <v>1150000</v>
      </c>
      <c r="P32" s="320">
        <v>3900000</v>
      </c>
      <c r="Q32" s="263">
        <f t="shared" si="0"/>
        <v>2750000</v>
      </c>
      <c r="R32" s="195"/>
    </row>
    <row r="33" spans="1:18" ht="20.100000000000001" customHeight="1" x14ac:dyDescent="0.25">
      <c r="A33" s="76">
        <v>26</v>
      </c>
      <c r="B33" s="315">
        <v>43675</v>
      </c>
      <c r="C33" s="40" t="s">
        <v>2616</v>
      </c>
      <c r="D33" s="319" t="s">
        <v>2617</v>
      </c>
      <c r="E33" s="78" t="s">
        <v>2618</v>
      </c>
      <c r="F33" s="80"/>
      <c r="G33" s="233">
        <v>310</v>
      </c>
      <c r="H33" s="233">
        <f>+G33*16990</f>
        <v>5266900</v>
      </c>
      <c r="I33" s="156"/>
      <c r="J33" s="263">
        <v>1510000</v>
      </c>
      <c r="K33" s="267"/>
      <c r="L33" s="156"/>
      <c r="M33" s="189"/>
      <c r="N33" s="189"/>
      <c r="O33" s="263">
        <f t="shared" si="1"/>
        <v>6776900</v>
      </c>
      <c r="P33" s="320">
        <v>5600000</v>
      </c>
      <c r="Q33" s="263">
        <f t="shared" si="0"/>
        <v>-1176900</v>
      </c>
      <c r="R33" s="195"/>
    </row>
    <row r="34" spans="1:18" ht="20.100000000000001" customHeight="1" x14ac:dyDescent="0.25">
      <c r="A34" s="76">
        <v>27</v>
      </c>
      <c r="B34" s="315">
        <v>43676</v>
      </c>
      <c r="C34" s="40" t="s">
        <v>2619</v>
      </c>
      <c r="D34" s="319" t="s">
        <v>2620</v>
      </c>
      <c r="E34" s="78" t="s">
        <v>2621</v>
      </c>
      <c r="F34" s="80"/>
      <c r="G34" s="234"/>
      <c r="H34" s="234"/>
      <c r="I34" s="156"/>
      <c r="J34" s="263">
        <v>200000</v>
      </c>
      <c r="K34" s="267"/>
      <c r="L34" s="156"/>
      <c r="M34" s="189"/>
      <c r="N34" s="189"/>
      <c r="O34" s="263">
        <f t="shared" si="1"/>
        <v>200000</v>
      </c>
      <c r="P34" s="320">
        <v>1500000</v>
      </c>
      <c r="Q34" s="263">
        <f t="shared" si="0"/>
        <v>1300000</v>
      </c>
      <c r="R34" s="195"/>
    </row>
    <row r="35" spans="1:18" ht="20.100000000000001" customHeight="1" x14ac:dyDescent="0.25">
      <c r="A35" s="76">
        <v>28</v>
      </c>
      <c r="B35" s="315">
        <v>43676</v>
      </c>
      <c r="C35" s="40" t="s">
        <v>2619</v>
      </c>
      <c r="D35" s="319" t="s">
        <v>2622</v>
      </c>
      <c r="E35" s="78" t="s">
        <v>2621</v>
      </c>
      <c r="F35" s="80"/>
      <c r="G35" s="234"/>
      <c r="H35" s="234"/>
      <c r="I35" s="156"/>
      <c r="J35" s="263">
        <v>200000</v>
      </c>
      <c r="K35" s="267"/>
      <c r="L35" s="156"/>
      <c r="M35" s="189"/>
      <c r="N35" s="189"/>
      <c r="O35" s="263">
        <f t="shared" si="1"/>
        <v>200000</v>
      </c>
      <c r="P35" s="320">
        <v>1500000</v>
      </c>
      <c r="Q35" s="263">
        <f t="shared" si="0"/>
        <v>1300000</v>
      </c>
      <c r="R35" s="195"/>
    </row>
    <row r="36" spans="1:18" ht="18.75" customHeight="1" x14ac:dyDescent="0.25">
      <c r="A36" s="76"/>
      <c r="B36" s="315"/>
      <c r="C36" s="40"/>
      <c r="D36" s="331" t="s">
        <v>2684</v>
      </c>
      <c r="E36" s="78"/>
      <c r="F36" s="80"/>
      <c r="G36" s="234"/>
      <c r="H36" s="234"/>
      <c r="I36" s="156"/>
      <c r="J36" s="263"/>
      <c r="K36" s="267"/>
      <c r="L36" s="318">
        <v>100000</v>
      </c>
      <c r="M36" s="189"/>
      <c r="N36" s="189"/>
      <c r="O36" s="263">
        <f t="shared" si="1"/>
        <v>100000</v>
      </c>
      <c r="P36" s="320"/>
      <c r="Q36" s="263">
        <f t="shared" si="0"/>
        <v>-100000</v>
      </c>
      <c r="R36" s="195"/>
    </row>
    <row r="37" spans="1:18" ht="18.75" customHeight="1" x14ac:dyDescent="0.25">
      <c r="A37" s="76"/>
      <c r="B37" s="324"/>
      <c r="C37" s="329"/>
      <c r="D37" s="331" t="s">
        <v>2623</v>
      </c>
      <c r="E37" s="326"/>
      <c r="F37" s="327"/>
      <c r="G37" s="323"/>
      <c r="H37" s="282"/>
      <c r="I37" s="317"/>
      <c r="J37" s="189"/>
      <c r="K37" s="267"/>
      <c r="L37" s="318">
        <v>1300000</v>
      </c>
      <c r="M37" s="263"/>
      <c r="N37" s="189"/>
      <c r="O37" s="263">
        <f t="shared" si="1"/>
        <v>1300000</v>
      </c>
      <c r="P37" s="263"/>
      <c r="Q37" s="263">
        <f t="shared" ref="Q37:Q42" si="2">P37-O37</f>
        <v>-1300000</v>
      </c>
    </row>
    <row r="38" spans="1:18" ht="18.75" customHeight="1" x14ac:dyDescent="0.25">
      <c r="A38" s="76"/>
      <c r="B38" s="324"/>
      <c r="C38" s="329"/>
      <c r="D38" s="331" t="s">
        <v>2624</v>
      </c>
      <c r="E38" s="326"/>
      <c r="F38" s="327"/>
      <c r="G38" s="323"/>
      <c r="H38" s="282"/>
      <c r="I38" s="317"/>
      <c r="J38" s="189"/>
      <c r="K38" s="267"/>
      <c r="L38" s="318">
        <v>170000</v>
      </c>
      <c r="M38" s="263"/>
      <c r="N38" s="189"/>
      <c r="O38" s="263">
        <f t="shared" ref="O38:O42" si="3">SUM(H38:N38)</f>
        <v>170000</v>
      </c>
      <c r="P38" s="263"/>
      <c r="Q38" s="263">
        <f t="shared" si="2"/>
        <v>-170000</v>
      </c>
    </row>
    <row r="39" spans="1:18" ht="18.75" customHeight="1" x14ac:dyDescent="0.25">
      <c r="A39" s="76"/>
      <c r="B39" s="324"/>
      <c r="C39" s="329"/>
      <c r="D39" s="331" t="s">
        <v>2625</v>
      </c>
      <c r="E39" s="326"/>
      <c r="F39" s="327"/>
      <c r="G39" s="323"/>
      <c r="H39" s="282"/>
      <c r="I39" s="317"/>
      <c r="J39" s="189"/>
      <c r="K39" s="267"/>
      <c r="L39" s="318">
        <v>250000</v>
      </c>
      <c r="M39" s="263"/>
      <c r="N39" s="189"/>
      <c r="O39" s="263">
        <f t="shared" si="3"/>
        <v>250000</v>
      </c>
      <c r="P39" s="263"/>
      <c r="Q39" s="263">
        <f t="shared" si="2"/>
        <v>-250000</v>
      </c>
    </row>
    <row r="40" spans="1:18" ht="18.75" customHeight="1" x14ac:dyDescent="0.25">
      <c r="A40" s="76"/>
      <c r="B40" s="324"/>
      <c r="C40" s="329"/>
      <c r="D40" s="331" t="s">
        <v>2626</v>
      </c>
      <c r="E40" s="326"/>
      <c r="F40" s="327"/>
      <c r="G40" s="323"/>
      <c r="H40" s="282"/>
      <c r="I40" s="317"/>
      <c r="J40" s="189"/>
      <c r="K40" s="267"/>
      <c r="L40" s="318">
        <v>620000</v>
      </c>
      <c r="M40" s="263"/>
      <c r="N40" s="86"/>
      <c r="O40" s="263">
        <f t="shared" si="3"/>
        <v>620000</v>
      </c>
      <c r="P40" s="263"/>
      <c r="Q40" s="263">
        <f t="shared" si="2"/>
        <v>-620000</v>
      </c>
    </row>
    <row r="41" spans="1:18" ht="18.75" customHeight="1" x14ac:dyDescent="0.25">
      <c r="A41" s="76"/>
      <c r="B41" s="324"/>
      <c r="C41" s="330"/>
      <c r="D41" s="331" t="s">
        <v>2627</v>
      </c>
      <c r="E41" s="153"/>
      <c r="F41" s="316"/>
      <c r="G41" s="263"/>
      <c r="H41" s="282"/>
      <c r="I41" s="317"/>
      <c r="J41" s="189"/>
      <c r="K41" s="267"/>
      <c r="L41" s="318">
        <v>220000</v>
      </c>
      <c r="M41" s="189"/>
      <c r="N41" s="86"/>
      <c r="O41" s="263">
        <f t="shared" si="3"/>
        <v>220000</v>
      </c>
      <c r="P41" s="263"/>
      <c r="Q41" s="263">
        <f t="shared" si="2"/>
        <v>-220000</v>
      </c>
    </row>
    <row r="42" spans="1:18" ht="18.75" customHeight="1" x14ac:dyDescent="0.25">
      <c r="A42" s="76"/>
      <c r="B42" s="324"/>
      <c r="C42" s="330"/>
      <c r="D42" s="331" t="s">
        <v>2628</v>
      </c>
      <c r="E42" s="153"/>
      <c r="F42" s="316"/>
      <c r="G42" s="263"/>
      <c r="H42" s="282"/>
      <c r="I42" s="317"/>
      <c r="J42" s="189"/>
      <c r="K42" s="267"/>
      <c r="L42" s="318"/>
      <c r="M42" s="189"/>
      <c r="N42" s="86">
        <f>11700000/4</f>
        <v>2925000</v>
      </c>
      <c r="O42" s="263">
        <f t="shared" si="3"/>
        <v>2925000</v>
      </c>
      <c r="P42" s="263"/>
      <c r="Q42" s="263">
        <f t="shared" si="2"/>
        <v>-2925000</v>
      </c>
    </row>
    <row r="43" spans="1:18" ht="18.600000000000001" customHeight="1" x14ac:dyDescent="0.25">
      <c r="A43" s="76"/>
      <c r="B43" s="324"/>
      <c r="C43" s="323" t="s">
        <v>1273</v>
      </c>
      <c r="D43" s="324"/>
      <c r="E43" s="153"/>
      <c r="F43" s="316"/>
      <c r="G43" s="263"/>
      <c r="H43" s="282"/>
      <c r="I43" s="317"/>
      <c r="J43" s="189"/>
      <c r="K43" s="267"/>
      <c r="L43" s="156">
        <v>1320000</v>
      </c>
      <c r="M43" s="189"/>
      <c r="N43" s="189"/>
      <c r="O43" s="263">
        <f t="shared" si="1"/>
        <v>1320000</v>
      </c>
      <c r="P43" s="263"/>
      <c r="Q43" s="263">
        <f t="shared" si="0"/>
        <v>-1320000</v>
      </c>
    </row>
    <row r="44" spans="1:18" ht="18" customHeight="1" x14ac:dyDescent="0.25">
      <c r="A44" s="213"/>
      <c r="B44" s="214"/>
      <c r="C44" s="215" t="s">
        <v>1386</v>
      </c>
      <c r="D44" s="216"/>
      <c r="E44" s="214"/>
      <c r="F44" s="217"/>
      <c r="G44" s="285"/>
      <c r="H44" s="286"/>
      <c r="I44" s="287"/>
      <c r="J44" s="288"/>
      <c r="K44" s="221">
        <f>1.15384615384615*9000000</f>
        <v>10384615.384615351</v>
      </c>
      <c r="L44" s="221"/>
      <c r="M44" s="288"/>
      <c r="N44" s="288"/>
      <c r="O44" s="285">
        <f t="shared" si="1"/>
        <v>10384615.384615351</v>
      </c>
      <c r="P44" s="285"/>
      <c r="Q44" s="285">
        <f t="shared" si="0"/>
        <v>-10384615.384615351</v>
      </c>
    </row>
    <row r="45" spans="1:18" x14ac:dyDescent="0.25">
      <c r="A45" s="547" t="s">
        <v>19</v>
      </c>
      <c r="B45" s="548"/>
      <c r="C45" s="548"/>
      <c r="D45" s="548"/>
      <c r="E45" s="548"/>
      <c r="F45" s="549"/>
      <c r="G45" s="305">
        <f>SUM(G8:G44)</f>
        <v>3262</v>
      </c>
      <c r="H45" s="291">
        <f t="shared" ref="H45:Q45" si="4">SUM(H7:H44)</f>
        <v>55343880</v>
      </c>
      <c r="I45" s="291">
        <f t="shared" si="4"/>
        <v>0</v>
      </c>
      <c r="J45" s="291">
        <f t="shared" si="4"/>
        <v>38380000</v>
      </c>
      <c r="K45" s="291">
        <f t="shared" si="4"/>
        <v>10384615.384615351</v>
      </c>
      <c r="L45" s="309">
        <f t="shared" si="4"/>
        <v>3980000</v>
      </c>
      <c r="M45" s="291">
        <f t="shared" si="4"/>
        <v>0</v>
      </c>
      <c r="N45" s="291">
        <f t="shared" si="4"/>
        <v>2925000</v>
      </c>
      <c r="O45" s="291">
        <f t="shared" si="4"/>
        <v>111013495.38461535</v>
      </c>
      <c r="P45" s="291">
        <f t="shared" si="4"/>
        <v>161280000</v>
      </c>
      <c r="Q45" s="297">
        <f t="shared" si="4"/>
        <v>50266504.615384653</v>
      </c>
    </row>
    <row r="46" spans="1:18" x14ac:dyDescent="0.25">
      <c r="P46" s="294"/>
      <c r="Q46" s="295"/>
    </row>
    <row r="47" spans="1:18" x14ac:dyDescent="0.25">
      <c r="H47" s="294"/>
      <c r="P47" s="296" t="s">
        <v>1225</v>
      </c>
      <c r="Q47" s="304">
        <f>'06.2019'!Q39+'07.2019'!Q45</f>
        <v>222044033.69230771</v>
      </c>
    </row>
    <row r="48" spans="1:18" x14ac:dyDescent="0.25">
      <c r="Q48" s="294"/>
    </row>
  </sheetData>
  <mergeCells count="5">
    <mergeCell ref="A1:Q1"/>
    <mergeCell ref="A2:Q2"/>
    <mergeCell ref="A3:Q3"/>
    <mergeCell ref="G5:N5"/>
    <mergeCell ref="A45:F45"/>
  </mergeCells>
  <pageMargins left="0.7" right="0.7" top="0.75" bottom="0.75" header="0.3" footer="0.3"/>
  <pageSetup paperSize="9" orientation="portrait" horizontalDpi="0" verticalDpi="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T47"/>
  <sheetViews>
    <sheetView topLeftCell="D26" workbookViewId="0">
      <selection activeCell="H34" sqref="H34"/>
    </sheetView>
  </sheetViews>
  <sheetFormatPr defaultRowHeight="15" x14ac:dyDescent="0.25"/>
  <cols>
    <col min="1" max="1" width="4.5703125" customWidth="1"/>
    <col min="2" max="2" width="9.140625" style="332"/>
    <col min="3" max="3" width="41.28515625" customWidth="1"/>
    <col min="4" max="4" width="16.5703125" customWidth="1"/>
    <col min="5" max="5" width="33.140625" customWidth="1"/>
    <col min="7" max="7" width="9.140625" style="292"/>
    <col min="8" max="8" width="10.140625" style="292" bestFit="1" customWidth="1"/>
    <col min="9" max="9" width="9.140625" style="293"/>
    <col min="10" max="10" width="9.140625" style="292"/>
    <col min="11" max="11" width="9.42578125" style="292" bestFit="1" customWidth="1"/>
    <col min="12" max="12" width="9.140625" style="173"/>
    <col min="13" max="14" width="9.140625" style="292"/>
    <col min="15" max="15" width="11.140625" style="292" customWidth="1"/>
    <col min="16" max="16" width="10.7109375" style="292" customWidth="1"/>
    <col min="17" max="17" width="12.28515625" style="292" customWidth="1"/>
    <col min="18" max="18" width="11.7109375" customWidth="1"/>
    <col min="19" max="19" width="18"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2629</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257"/>
      <c r="H4" s="258"/>
      <c r="I4" s="258"/>
      <c r="J4" s="258"/>
      <c r="K4" s="258"/>
      <c r="L4" s="91"/>
      <c r="M4" s="258"/>
      <c r="N4" s="258"/>
      <c r="O4" s="258"/>
      <c r="P4" s="258"/>
      <c r="Q4" s="258"/>
    </row>
    <row r="5" spans="1:20"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20"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20" x14ac:dyDescent="0.25">
      <c r="A7" s="75"/>
      <c r="B7" s="100"/>
      <c r="C7" s="88"/>
      <c r="D7" s="88"/>
      <c r="E7" s="134"/>
      <c r="F7" s="75"/>
      <c r="G7" s="263"/>
      <c r="H7" s="264"/>
      <c r="I7" s="264"/>
      <c r="J7" s="264"/>
      <c r="K7" s="264"/>
      <c r="L7" s="308"/>
      <c r="M7" s="264"/>
      <c r="N7" s="264"/>
      <c r="O7" s="264">
        <f>H7+J7+K7+L7+M7+N7</f>
        <v>0</v>
      </c>
      <c r="P7" s="265"/>
      <c r="Q7" s="264">
        <f>P7-O7</f>
        <v>0</v>
      </c>
    </row>
    <row r="8" spans="1:20" ht="18.600000000000001" customHeight="1" x14ac:dyDescent="0.25">
      <c r="A8" s="75">
        <v>1</v>
      </c>
      <c r="B8" s="133">
        <v>43678</v>
      </c>
      <c r="C8" s="135" t="s">
        <v>2630</v>
      </c>
      <c r="D8" s="136" t="s">
        <v>2647</v>
      </c>
      <c r="E8" s="78" t="s">
        <v>1148</v>
      </c>
      <c r="F8" s="80"/>
      <c r="G8" s="234"/>
      <c r="H8" s="234"/>
      <c r="I8" s="266"/>
      <c r="J8" s="263">
        <v>1510000</v>
      </c>
      <c r="K8" s="267"/>
      <c r="L8" s="156"/>
      <c r="M8" s="189"/>
      <c r="N8" s="189"/>
      <c r="O8" s="268">
        <f>H8+J8+K8+L8+M8+N8</f>
        <v>1510000</v>
      </c>
      <c r="P8" s="272">
        <v>5600000</v>
      </c>
      <c r="Q8" s="270">
        <f>P8-O8</f>
        <v>4090000</v>
      </c>
      <c r="R8" s="195"/>
      <c r="S8" s="333"/>
      <c r="T8" s="195"/>
    </row>
    <row r="9" spans="1:20" ht="18.600000000000001" customHeight="1" x14ac:dyDescent="0.25">
      <c r="A9" s="75">
        <v>2</v>
      </c>
      <c r="B9" s="133">
        <v>43679</v>
      </c>
      <c r="C9" s="135" t="s">
        <v>2631</v>
      </c>
      <c r="D9" s="172" t="s">
        <v>2648</v>
      </c>
      <c r="E9" s="78" t="s">
        <v>1484</v>
      </c>
      <c r="F9" s="80"/>
      <c r="G9" s="234">
        <v>275</v>
      </c>
      <c r="H9" s="234">
        <f>G9*17020</f>
        <v>4680500</v>
      </c>
      <c r="I9" s="266"/>
      <c r="J9" s="263">
        <v>970000</v>
      </c>
      <c r="K9" s="267"/>
      <c r="L9" s="156"/>
      <c r="M9" s="189"/>
      <c r="N9" s="189"/>
      <c r="O9" s="268">
        <f t="shared" ref="O9:O42" si="0">H9+J9+K9+L9+M9+N9</f>
        <v>5650500</v>
      </c>
      <c r="P9" s="272">
        <v>3890909</v>
      </c>
      <c r="Q9" s="270">
        <f t="shared" ref="Q9:Q42" si="1">P9-O9</f>
        <v>-1759591</v>
      </c>
      <c r="R9" s="195"/>
      <c r="S9" s="333"/>
      <c r="T9" s="195"/>
    </row>
    <row r="10" spans="1:20" ht="18.600000000000001" customHeight="1" x14ac:dyDescent="0.25">
      <c r="A10" s="75">
        <v>3</v>
      </c>
      <c r="B10" s="133">
        <v>43680</v>
      </c>
      <c r="C10" s="135" t="s">
        <v>2632</v>
      </c>
      <c r="D10" s="136" t="s">
        <v>2649</v>
      </c>
      <c r="E10" s="78" t="s">
        <v>1540</v>
      </c>
      <c r="F10" s="80"/>
      <c r="G10" s="234"/>
      <c r="H10" s="234"/>
      <c r="I10" s="266"/>
      <c r="J10" s="263">
        <v>970000</v>
      </c>
      <c r="K10" s="267"/>
      <c r="L10" s="156"/>
      <c r="M10" s="189"/>
      <c r="N10" s="189"/>
      <c r="O10" s="268">
        <f t="shared" si="0"/>
        <v>970000</v>
      </c>
      <c r="P10" s="272">
        <v>4318182</v>
      </c>
      <c r="Q10" s="270">
        <f t="shared" si="1"/>
        <v>3348182</v>
      </c>
      <c r="R10" s="195"/>
      <c r="S10" s="333"/>
      <c r="T10" s="195"/>
    </row>
    <row r="11" spans="1:20" ht="18.600000000000001" customHeight="1" x14ac:dyDescent="0.25">
      <c r="A11" s="75">
        <v>4</v>
      </c>
      <c r="B11" s="133">
        <v>43682</v>
      </c>
      <c r="C11" s="135" t="s">
        <v>1289</v>
      </c>
      <c r="D11" s="136" t="s">
        <v>2650</v>
      </c>
      <c r="E11" s="78" t="s">
        <v>24</v>
      </c>
      <c r="F11" s="80"/>
      <c r="G11" s="234">
        <v>260</v>
      </c>
      <c r="H11" s="234">
        <f t="shared" ref="H11:H21" si="2">G11*17020</f>
        <v>4425200</v>
      </c>
      <c r="I11" s="266"/>
      <c r="J11" s="263">
        <v>1890000</v>
      </c>
      <c r="K11" s="267"/>
      <c r="L11" s="156"/>
      <c r="M11" s="189"/>
      <c r="N11" s="189"/>
      <c r="O11" s="268">
        <f t="shared" si="0"/>
        <v>6315200</v>
      </c>
      <c r="P11" s="272">
        <v>8045455</v>
      </c>
      <c r="Q11" s="270">
        <f t="shared" si="1"/>
        <v>1730255</v>
      </c>
      <c r="R11" s="195"/>
      <c r="S11" s="333"/>
      <c r="T11" s="195"/>
    </row>
    <row r="12" spans="1:20" ht="18.600000000000001" customHeight="1" x14ac:dyDescent="0.25">
      <c r="A12" s="75">
        <v>5</v>
      </c>
      <c r="B12" s="133">
        <v>43683</v>
      </c>
      <c r="C12" s="135" t="s">
        <v>2633</v>
      </c>
      <c r="D12" s="136" t="s">
        <v>2651</v>
      </c>
      <c r="E12" s="78" t="s">
        <v>21</v>
      </c>
      <c r="F12" s="80"/>
      <c r="G12" s="234"/>
      <c r="H12" s="234"/>
      <c r="I12" s="266"/>
      <c r="J12" s="263">
        <v>2740000</v>
      </c>
      <c r="K12" s="267"/>
      <c r="L12" s="156"/>
      <c r="M12" s="189"/>
      <c r="N12" s="189"/>
      <c r="O12" s="268">
        <f t="shared" si="0"/>
        <v>2740000</v>
      </c>
      <c r="P12" s="272">
        <v>12727273</v>
      </c>
      <c r="Q12" s="270">
        <f t="shared" si="1"/>
        <v>9987273</v>
      </c>
      <c r="R12" s="195"/>
      <c r="S12" s="333"/>
      <c r="T12" s="195"/>
    </row>
    <row r="13" spans="1:20" ht="18.600000000000001" customHeight="1" x14ac:dyDescent="0.25">
      <c r="A13" s="75">
        <v>6</v>
      </c>
      <c r="B13" s="133">
        <v>43684</v>
      </c>
      <c r="C13" s="135" t="s">
        <v>1960</v>
      </c>
      <c r="D13" s="136" t="s">
        <v>2652</v>
      </c>
      <c r="E13" s="78" t="s">
        <v>2386</v>
      </c>
      <c r="F13" s="80"/>
      <c r="G13" s="234">
        <v>245</v>
      </c>
      <c r="H13" s="234">
        <f t="shared" si="2"/>
        <v>4169900</v>
      </c>
      <c r="I13" s="266"/>
      <c r="J13" s="263">
        <v>1160000</v>
      </c>
      <c r="K13" s="267"/>
      <c r="L13" s="156"/>
      <c r="M13" s="189"/>
      <c r="N13" s="189"/>
      <c r="O13" s="268">
        <f t="shared" si="0"/>
        <v>5329900</v>
      </c>
      <c r="P13" s="272">
        <v>5000000</v>
      </c>
      <c r="Q13" s="270">
        <f t="shared" si="1"/>
        <v>-329900</v>
      </c>
      <c r="R13" s="195"/>
      <c r="S13" s="333"/>
      <c r="T13" s="195"/>
    </row>
    <row r="14" spans="1:20" ht="18.600000000000001" customHeight="1" x14ac:dyDescent="0.25">
      <c r="A14" s="75">
        <v>7</v>
      </c>
      <c r="B14" s="133">
        <v>43685</v>
      </c>
      <c r="C14" s="135" t="s">
        <v>519</v>
      </c>
      <c r="D14" s="136" t="s">
        <v>2653</v>
      </c>
      <c r="E14" s="78" t="s">
        <v>2672</v>
      </c>
      <c r="F14" s="80"/>
      <c r="G14" s="234"/>
      <c r="H14" s="234"/>
      <c r="I14" s="266"/>
      <c r="J14" s="263">
        <v>1270000</v>
      </c>
      <c r="K14" s="267"/>
      <c r="L14" s="156"/>
      <c r="M14" s="189"/>
      <c r="N14" s="189"/>
      <c r="O14" s="268">
        <f t="shared" si="0"/>
        <v>1270000</v>
      </c>
      <c r="P14" s="272">
        <v>5200000</v>
      </c>
      <c r="Q14" s="270">
        <f t="shared" si="1"/>
        <v>3930000</v>
      </c>
      <c r="R14" s="195"/>
      <c r="S14" s="333"/>
      <c r="T14" s="195"/>
    </row>
    <row r="15" spans="1:20" ht="18.600000000000001" customHeight="1" x14ac:dyDescent="0.25">
      <c r="A15" s="75">
        <v>8</v>
      </c>
      <c r="B15" s="133">
        <v>43686</v>
      </c>
      <c r="C15" s="135" t="s">
        <v>2634</v>
      </c>
      <c r="D15" s="136" t="s">
        <v>2654</v>
      </c>
      <c r="E15" s="78" t="s">
        <v>769</v>
      </c>
      <c r="F15" s="80"/>
      <c r="G15" s="234">
        <v>320</v>
      </c>
      <c r="H15" s="234">
        <f t="shared" si="2"/>
        <v>5446400</v>
      </c>
      <c r="I15" s="266"/>
      <c r="J15" s="263">
        <v>790000</v>
      </c>
      <c r="K15" s="267"/>
      <c r="L15" s="156"/>
      <c r="M15" s="189"/>
      <c r="N15" s="189"/>
      <c r="O15" s="268">
        <f t="shared" si="0"/>
        <v>6236400</v>
      </c>
      <c r="P15" s="272">
        <v>3400000</v>
      </c>
      <c r="Q15" s="270">
        <f t="shared" si="1"/>
        <v>-2836400</v>
      </c>
      <c r="R15" s="195"/>
      <c r="S15" s="333"/>
      <c r="T15" s="195"/>
    </row>
    <row r="16" spans="1:20" ht="18.600000000000001" customHeight="1" x14ac:dyDescent="0.25">
      <c r="A16" s="75">
        <v>9</v>
      </c>
      <c r="B16" s="133">
        <v>43687</v>
      </c>
      <c r="C16" s="135" t="s">
        <v>1963</v>
      </c>
      <c r="D16" s="136" t="s">
        <v>2655</v>
      </c>
      <c r="E16" s="78" t="s">
        <v>24</v>
      </c>
      <c r="F16" s="80"/>
      <c r="G16" s="234">
        <v>182</v>
      </c>
      <c r="H16" s="234">
        <f t="shared" si="2"/>
        <v>3097640</v>
      </c>
      <c r="I16" s="266"/>
      <c r="J16" s="263">
        <v>1890000</v>
      </c>
      <c r="K16" s="267"/>
      <c r="L16" s="156"/>
      <c r="M16" s="189"/>
      <c r="N16" s="189"/>
      <c r="O16" s="268">
        <f t="shared" si="0"/>
        <v>4987640</v>
      </c>
      <c r="P16" s="272">
        <v>8045455</v>
      </c>
      <c r="Q16" s="270">
        <f t="shared" si="1"/>
        <v>3057815</v>
      </c>
      <c r="R16" s="195"/>
      <c r="S16" s="333"/>
      <c r="T16" s="195"/>
    </row>
    <row r="17" spans="1:20" ht="18.600000000000001" customHeight="1" x14ac:dyDescent="0.25">
      <c r="A17" s="75">
        <v>10</v>
      </c>
      <c r="B17" s="133">
        <v>43689</v>
      </c>
      <c r="C17" s="135" t="s">
        <v>2635</v>
      </c>
      <c r="D17" s="136" t="s">
        <v>2656</v>
      </c>
      <c r="E17" s="78" t="s">
        <v>24</v>
      </c>
      <c r="F17" s="80"/>
      <c r="G17" s="234"/>
      <c r="H17" s="234"/>
      <c r="I17" s="266"/>
      <c r="J17" s="263">
        <v>1890000</v>
      </c>
      <c r="K17" s="267"/>
      <c r="L17" s="156"/>
      <c r="M17" s="189"/>
      <c r="N17" s="189"/>
      <c r="O17" s="268">
        <f t="shared" si="0"/>
        <v>1890000</v>
      </c>
      <c r="P17" s="272">
        <v>8045455</v>
      </c>
      <c r="Q17" s="270">
        <f t="shared" si="1"/>
        <v>6155455</v>
      </c>
      <c r="R17" s="195"/>
      <c r="S17" s="333"/>
      <c r="T17" s="195"/>
    </row>
    <row r="18" spans="1:20" ht="18.600000000000001" customHeight="1" x14ac:dyDescent="0.25">
      <c r="A18" s="75">
        <v>11</v>
      </c>
      <c r="B18" s="133">
        <v>43690</v>
      </c>
      <c r="C18" s="135" t="s">
        <v>2636</v>
      </c>
      <c r="D18" s="136" t="s">
        <v>2287</v>
      </c>
      <c r="E18" s="78" t="s">
        <v>2673</v>
      </c>
      <c r="F18" s="80"/>
      <c r="G18" s="234">
        <v>220</v>
      </c>
      <c r="H18" s="234">
        <f t="shared" si="2"/>
        <v>3744400</v>
      </c>
      <c r="I18" s="266"/>
      <c r="J18" s="263">
        <v>650000</v>
      </c>
      <c r="K18" s="267"/>
      <c r="L18" s="156"/>
      <c r="M18" s="189"/>
      <c r="N18" s="189"/>
      <c r="O18" s="268">
        <f t="shared" si="0"/>
        <v>4394400</v>
      </c>
      <c r="P18" s="272">
        <v>3118182</v>
      </c>
      <c r="Q18" s="270">
        <f t="shared" si="1"/>
        <v>-1276218</v>
      </c>
      <c r="R18" s="195"/>
      <c r="S18" s="333"/>
      <c r="T18" s="195"/>
    </row>
    <row r="19" spans="1:20" ht="18.600000000000001" customHeight="1" x14ac:dyDescent="0.25">
      <c r="A19" s="75">
        <v>12</v>
      </c>
      <c r="B19" s="133">
        <v>43691</v>
      </c>
      <c r="C19" s="135" t="s">
        <v>2637</v>
      </c>
      <c r="D19" s="136" t="s">
        <v>2657</v>
      </c>
      <c r="E19" s="78" t="s">
        <v>703</v>
      </c>
      <c r="F19" s="80"/>
      <c r="G19" s="234"/>
      <c r="H19" s="234"/>
      <c r="I19" s="266"/>
      <c r="J19" s="263">
        <v>1780000</v>
      </c>
      <c r="K19" s="267"/>
      <c r="L19" s="156"/>
      <c r="M19" s="189"/>
      <c r="N19" s="189"/>
      <c r="O19" s="268">
        <f t="shared" si="0"/>
        <v>1780000</v>
      </c>
      <c r="P19" s="272">
        <v>5520000</v>
      </c>
      <c r="Q19" s="270">
        <f t="shared" si="1"/>
        <v>3740000</v>
      </c>
      <c r="R19" s="195"/>
      <c r="S19" s="333"/>
      <c r="T19" s="195"/>
    </row>
    <row r="20" spans="1:20" ht="18.600000000000001" customHeight="1" x14ac:dyDescent="0.25">
      <c r="A20" s="75">
        <v>13</v>
      </c>
      <c r="B20" s="133">
        <v>43692</v>
      </c>
      <c r="C20" s="135" t="s">
        <v>1966</v>
      </c>
      <c r="D20" s="136" t="s">
        <v>2658</v>
      </c>
      <c r="E20" s="78" t="s">
        <v>566</v>
      </c>
      <c r="F20" s="80"/>
      <c r="G20" s="234"/>
      <c r="H20" s="234"/>
      <c r="I20" s="266"/>
      <c r="J20" s="263">
        <v>1150000</v>
      </c>
      <c r="K20" s="267"/>
      <c r="L20" s="156"/>
      <c r="M20" s="189"/>
      <c r="N20" s="189"/>
      <c r="O20" s="268">
        <f t="shared" si="0"/>
        <v>1150000</v>
      </c>
      <c r="P20" s="272">
        <v>4000000</v>
      </c>
      <c r="Q20" s="270">
        <f t="shared" si="1"/>
        <v>2850000</v>
      </c>
      <c r="R20" s="195"/>
      <c r="S20" s="333"/>
      <c r="T20" s="195"/>
    </row>
    <row r="21" spans="1:20" ht="18.600000000000001" customHeight="1" x14ac:dyDescent="0.25">
      <c r="A21" s="75">
        <v>14</v>
      </c>
      <c r="B21" s="133">
        <v>43693</v>
      </c>
      <c r="C21" s="135" t="s">
        <v>2638</v>
      </c>
      <c r="D21" s="136" t="s">
        <v>2659</v>
      </c>
      <c r="E21" s="78" t="s">
        <v>356</v>
      </c>
      <c r="F21" s="80"/>
      <c r="G21" s="234">
        <v>315</v>
      </c>
      <c r="H21" s="234">
        <f t="shared" si="2"/>
        <v>5361300</v>
      </c>
      <c r="I21" s="266"/>
      <c r="J21" s="263">
        <v>970000</v>
      </c>
      <c r="K21" s="267"/>
      <c r="L21" s="156"/>
      <c r="M21" s="189"/>
      <c r="N21" s="189"/>
      <c r="O21" s="268">
        <f t="shared" si="0"/>
        <v>6331300</v>
      </c>
      <c r="P21" s="272">
        <v>4560000</v>
      </c>
      <c r="Q21" s="270">
        <f t="shared" si="1"/>
        <v>-1771300</v>
      </c>
      <c r="R21" s="195"/>
      <c r="S21" s="333"/>
      <c r="T21" s="195"/>
    </row>
    <row r="22" spans="1:20" ht="18.600000000000001" customHeight="1" x14ac:dyDescent="0.25">
      <c r="A22" s="75">
        <v>15</v>
      </c>
      <c r="B22" s="133">
        <v>43694</v>
      </c>
      <c r="C22" s="135" t="s">
        <v>2639</v>
      </c>
      <c r="D22" s="136" t="s">
        <v>2660</v>
      </c>
      <c r="E22" s="78" t="s">
        <v>2674</v>
      </c>
      <c r="F22" s="80"/>
      <c r="G22" s="234">
        <v>90</v>
      </c>
      <c r="H22" s="234">
        <f>G22*16500</f>
        <v>1485000</v>
      </c>
      <c r="I22" s="266"/>
      <c r="J22" s="263">
        <v>1150000</v>
      </c>
      <c r="K22" s="267"/>
      <c r="L22" s="156"/>
      <c r="M22" s="189"/>
      <c r="N22" s="189"/>
      <c r="O22" s="268">
        <f t="shared" si="0"/>
        <v>2635000</v>
      </c>
      <c r="P22" s="272">
        <v>3800000</v>
      </c>
      <c r="Q22" s="270">
        <f t="shared" si="1"/>
        <v>1165000</v>
      </c>
      <c r="R22" s="195"/>
      <c r="S22" s="333"/>
      <c r="T22" s="195"/>
    </row>
    <row r="23" spans="1:20" ht="18.600000000000001" customHeight="1" x14ac:dyDescent="0.25">
      <c r="A23" s="75">
        <v>16</v>
      </c>
      <c r="B23" s="133">
        <v>43696</v>
      </c>
      <c r="C23" s="135" t="s">
        <v>2640</v>
      </c>
      <c r="D23" s="136" t="s">
        <v>2661</v>
      </c>
      <c r="E23" s="78" t="s">
        <v>2675</v>
      </c>
      <c r="F23" s="80"/>
      <c r="G23" s="234">
        <v>255</v>
      </c>
      <c r="H23" s="234">
        <f t="shared" ref="H23:H32" si="3">G23*16500</f>
        <v>4207500</v>
      </c>
      <c r="I23" s="266"/>
      <c r="J23" s="263">
        <f>2740000+90000</f>
        <v>2830000</v>
      </c>
      <c r="K23" s="267"/>
      <c r="L23" s="156"/>
      <c r="M23" s="189"/>
      <c r="N23" s="189"/>
      <c r="O23" s="268">
        <f t="shared" si="0"/>
        <v>7037500</v>
      </c>
      <c r="P23" s="272">
        <v>12000000</v>
      </c>
      <c r="Q23" s="270">
        <f t="shared" si="1"/>
        <v>4962500</v>
      </c>
      <c r="R23" s="195"/>
      <c r="S23" s="333"/>
      <c r="T23" s="195"/>
    </row>
    <row r="24" spans="1:20" ht="18.600000000000001" customHeight="1" x14ac:dyDescent="0.25">
      <c r="A24" s="75">
        <v>17</v>
      </c>
      <c r="B24" s="133">
        <v>43698</v>
      </c>
      <c r="C24" s="135" t="s">
        <v>2641</v>
      </c>
      <c r="D24" s="136" t="s">
        <v>2662</v>
      </c>
      <c r="E24" s="78" t="s">
        <v>2676</v>
      </c>
      <c r="F24" s="80"/>
      <c r="G24" s="234"/>
      <c r="H24" s="234"/>
      <c r="I24" s="266"/>
      <c r="J24" s="263">
        <v>790000</v>
      </c>
      <c r="K24" s="267"/>
      <c r="L24" s="156"/>
      <c r="M24" s="189"/>
      <c r="N24" s="189"/>
      <c r="O24" s="268">
        <f t="shared" si="0"/>
        <v>790000</v>
      </c>
      <c r="P24" s="272">
        <v>3300000</v>
      </c>
      <c r="Q24" s="270">
        <f t="shared" si="1"/>
        <v>2510000</v>
      </c>
      <c r="R24" s="195"/>
      <c r="S24" s="333"/>
      <c r="T24" s="195"/>
    </row>
    <row r="25" spans="1:20" ht="18.600000000000001" customHeight="1" x14ac:dyDescent="0.25">
      <c r="A25" s="75">
        <v>18</v>
      </c>
      <c r="B25" s="133">
        <v>43699</v>
      </c>
      <c r="C25" s="135" t="s">
        <v>2642</v>
      </c>
      <c r="D25" s="136" t="s">
        <v>2663</v>
      </c>
      <c r="E25" s="78" t="s">
        <v>21</v>
      </c>
      <c r="F25" s="80"/>
      <c r="G25" s="234"/>
      <c r="H25" s="234"/>
      <c r="I25" s="266"/>
      <c r="J25" s="263">
        <f>2740000+90000</f>
        <v>2830000</v>
      </c>
      <c r="K25" s="267"/>
      <c r="L25" s="156"/>
      <c r="M25" s="189"/>
      <c r="N25" s="189"/>
      <c r="O25" s="268">
        <f t="shared" si="0"/>
        <v>2830000</v>
      </c>
      <c r="P25" s="272">
        <v>14090909</v>
      </c>
      <c r="Q25" s="270">
        <f t="shared" si="1"/>
        <v>11260909</v>
      </c>
      <c r="R25" s="195"/>
      <c r="S25" s="333"/>
      <c r="T25" s="195"/>
    </row>
    <row r="26" spans="1:20" ht="18.600000000000001" customHeight="1" x14ac:dyDescent="0.25">
      <c r="A26" s="75">
        <v>19</v>
      </c>
      <c r="B26" s="133">
        <v>43700</v>
      </c>
      <c r="C26" s="135" t="s">
        <v>2643</v>
      </c>
      <c r="D26" s="136" t="s">
        <v>2664</v>
      </c>
      <c r="E26" s="78" t="s">
        <v>2677</v>
      </c>
      <c r="F26" s="80"/>
      <c r="G26" s="234">
        <v>320</v>
      </c>
      <c r="H26" s="234">
        <f t="shared" si="3"/>
        <v>5280000</v>
      </c>
      <c r="I26" s="266"/>
      <c r="J26" s="263">
        <v>1150000</v>
      </c>
      <c r="K26" s="267"/>
      <c r="L26" s="156"/>
      <c r="M26" s="189"/>
      <c r="N26" s="189"/>
      <c r="O26" s="268">
        <f t="shared" si="0"/>
        <v>6430000</v>
      </c>
      <c r="P26" s="272">
        <v>3900000</v>
      </c>
      <c r="Q26" s="270">
        <f t="shared" si="1"/>
        <v>-2530000</v>
      </c>
      <c r="R26" s="195"/>
      <c r="S26" s="333"/>
      <c r="T26" s="195"/>
    </row>
    <row r="27" spans="1:20" ht="18.600000000000001" customHeight="1" x14ac:dyDescent="0.25">
      <c r="A27" s="75">
        <v>20</v>
      </c>
      <c r="B27" s="133">
        <v>43701</v>
      </c>
      <c r="C27" s="135" t="s">
        <v>2644</v>
      </c>
      <c r="D27" s="136" t="s">
        <v>2665</v>
      </c>
      <c r="E27" s="78" t="s">
        <v>882</v>
      </c>
      <c r="F27" s="80"/>
      <c r="G27" s="234"/>
      <c r="H27" s="234"/>
      <c r="I27" s="266"/>
      <c r="J27" s="263">
        <v>790000</v>
      </c>
      <c r="K27" s="267"/>
      <c r="L27" s="156"/>
      <c r="M27" s="189"/>
      <c r="N27" s="189"/>
      <c r="O27" s="268">
        <f t="shared" si="0"/>
        <v>790000</v>
      </c>
      <c r="P27" s="272">
        <v>3263636</v>
      </c>
      <c r="Q27" s="270">
        <f t="shared" si="1"/>
        <v>2473636</v>
      </c>
      <c r="R27" s="195"/>
      <c r="S27" s="333"/>
      <c r="T27" s="195"/>
    </row>
    <row r="28" spans="1:20" ht="18.600000000000001" customHeight="1" x14ac:dyDescent="0.25">
      <c r="A28" s="75">
        <v>21</v>
      </c>
      <c r="B28" s="133">
        <v>43703</v>
      </c>
      <c r="C28" s="135" t="s">
        <v>2645</v>
      </c>
      <c r="D28" s="136" t="s">
        <v>2666</v>
      </c>
      <c r="E28" s="78" t="s">
        <v>2678</v>
      </c>
      <c r="F28" s="80"/>
      <c r="G28" s="234">
        <v>260</v>
      </c>
      <c r="H28" s="234">
        <f t="shared" si="3"/>
        <v>4290000</v>
      </c>
      <c r="I28" s="266"/>
      <c r="J28" s="263">
        <v>970000</v>
      </c>
      <c r="K28" s="267"/>
      <c r="L28" s="156"/>
      <c r="M28" s="189"/>
      <c r="N28" s="189"/>
      <c r="O28" s="268">
        <f t="shared" si="0"/>
        <v>5260000</v>
      </c>
      <c r="P28" s="272">
        <v>4900000</v>
      </c>
      <c r="Q28" s="270">
        <f t="shared" si="1"/>
        <v>-360000</v>
      </c>
      <c r="R28" s="195"/>
      <c r="S28" s="333"/>
      <c r="T28" s="195"/>
    </row>
    <row r="29" spans="1:20" ht="18.600000000000001" customHeight="1" x14ac:dyDescent="0.25">
      <c r="A29" s="75">
        <v>22</v>
      </c>
      <c r="B29" s="133">
        <v>43704</v>
      </c>
      <c r="C29" s="135" t="s">
        <v>2646</v>
      </c>
      <c r="D29" s="136" t="s">
        <v>2667</v>
      </c>
      <c r="E29" s="78" t="s">
        <v>24</v>
      </c>
      <c r="F29" s="80"/>
      <c r="G29" s="234"/>
      <c r="H29" s="234"/>
      <c r="I29" s="266"/>
      <c r="J29" s="263">
        <v>1890000</v>
      </c>
      <c r="K29" s="267"/>
      <c r="L29" s="156"/>
      <c r="M29" s="189"/>
      <c r="N29" s="189"/>
      <c r="O29" s="268">
        <f t="shared" si="0"/>
        <v>1890000</v>
      </c>
      <c r="P29" s="272">
        <v>8045455</v>
      </c>
      <c r="Q29" s="270">
        <f t="shared" si="1"/>
        <v>6155455</v>
      </c>
      <c r="R29" s="195"/>
      <c r="S29" s="333"/>
      <c r="T29" s="195"/>
    </row>
    <row r="30" spans="1:20" ht="18.600000000000001" customHeight="1" x14ac:dyDescent="0.25">
      <c r="A30" s="75">
        <v>23</v>
      </c>
      <c r="B30" s="133">
        <v>43705</v>
      </c>
      <c r="C30" s="135" t="s">
        <v>1975</v>
      </c>
      <c r="D30" s="136" t="s">
        <v>2668</v>
      </c>
      <c r="E30" s="78" t="s">
        <v>27</v>
      </c>
      <c r="F30" s="80"/>
      <c r="G30" s="234">
        <v>250</v>
      </c>
      <c r="H30" s="234">
        <f t="shared" si="3"/>
        <v>4125000</v>
      </c>
      <c r="I30" s="266"/>
      <c r="J30" s="263">
        <v>790000</v>
      </c>
      <c r="K30" s="267"/>
      <c r="L30" s="156"/>
      <c r="M30" s="189"/>
      <c r="N30" s="189"/>
      <c r="O30" s="268">
        <f t="shared" si="0"/>
        <v>4915000</v>
      </c>
      <c r="P30" s="272">
        <v>2945455</v>
      </c>
      <c r="Q30" s="270">
        <f t="shared" si="1"/>
        <v>-1969545</v>
      </c>
      <c r="R30" s="195"/>
      <c r="S30" s="333"/>
      <c r="T30" s="195"/>
    </row>
    <row r="31" spans="1:20" ht="18.600000000000001" customHeight="1" x14ac:dyDescent="0.25">
      <c r="A31" s="75">
        <v>24</v>
      </c>
      <c r="B31" s="133">
        <v>43706</v>
      </c>
      <c r="C31" s="135" t="s">
        <v>1305</v>
      </c>
      <c r="D31" s="136" t="s">
        <v>2669</v>
      </c>
      <c r="E31" s="78" t="s">
        <v>2117</v>
      </c>
      <c r="F31" s="80"/>
      <c r="G31" s="234"/>
      <c r="H31" s="234"/>
      <c r="I31" s="266"/>
      <c r="J31" s="263">
        <v>1500000</v>
      </c>
      <c r="K31" s="267"/>
      <c r="L31" s="156"/>
      <c r="M31" s="189"/>
      <c r="N31" s="189"/>
      <c r="O31" s="268">
        <f t="shared" si="0"/>
        <v>1500000</v>
      </c>
      <c r="P31" s="272">
        <v>7200000</v>
      </c>
      <c r="Q31" s="270">
        <f t="shared" si="1"/>
        <v>5700000</v>
      </c>
      <c r="R31" s="195"/>
      <c r="S31" s="333"/>
      <c r="T31" s="195"/>
    </row>
    <row r="32" spans="1:20" ht="18.600000000000001" customHeight="1" x14ac:dyDescent="0.25">
      <c r="A32" s="75">
        <v>25</v>
      </c>
      <c r="B32" s="133">
        <v>43707</v>
      </c>
      <c r="C32" s="135" t="s">
        <v>1976</v>
      </c>
      <c r="D32" s="136" t="s">
        <v>2670</v>
      </c>
      <c r="E32" s="78" t="s">
        <v>2679</v>
      </c>
      <c r="F32" s="80"/>
      <c r="G32" s="234">
        <v>275</v>
      </c>
      <c r="H32" s="234">
        <f t="shared" si="3"/>
        <v>4537500</v>
      </c>
      <c r="I32" s="266"/>
      <c r="J32" s="263">
        <v>1160000</v>
      </c>
      <c r="K32" s="267"/>
      <c r="L32" s="156"/>
      <c r="M32" s="189"/>
      <c r="N32" s="189"/>
      <c r="O32" s="268">
        <f t="shared" si="0"/>
        <v>5697500</v>
      </c>
      <c r="P32" s="272">
        <v>5000000</v>
      </c>
      <c r="Q32" s="270">
        <f t="shared" si="1"/>
        <v>-697500</v>
      </c>
      <c r="R32" s="195"/>
      <c r="S32" s="333"/>
      <c r="T32" s="195"/>
    </row>
    <row r="33" spans="1:20" ht="18.600000000000001" customHeight="1" x14ac:dyDescent="0.25">
      <c r="A33" s="75">
        <v>26</v>
      </c>
      <c r="B33" s="133">
        <v>43708</v>
      </c>
      <c r="C33" s="135" t="s">
        <v>1306</v>
      </c>
      <c r="D33" s="136" t="s">
        <v>2671</v>
      </c>
      <c r="E33" s="78" t="s">
        <v>1382</v>
      </c>
      <c r="F33" s="80"/>
      <c r="G33" s="233">
        <v>275</v>
      </c>
      <c r="H33" s="233">
        <f>G33*16500</f>
        <v>4537500</v>
      </c>
      <c r="I33" s="266"/>
      <c r="J33" s="263">
        <v>2740000</v>
      </c>
      <c r="K33" s="267"/>
      <c r="L33" s="156"/>
      <c r="M33" s="189"/>
      <c r="N33" s="189"/>
      <c r="O33" s="268">
        <f t="shared" si="0"/>
        <v>7277500</v>
      </c>
      <c r="P33" s="272">
        <v>15000000</v>
      </c>
      <c r="Q33" s="270">
        <f t="shared" si="1"/>
        <v>7722500</v>
      </c>
      <c r="R33" s="195"/>
      <c r="S33" s="333"/>
      <c r="T33" s="195"/>
    </row>
    <row r="34" spans="1:20" ht="18.600000000000001" customHeight="1" x14ac:dyDescent="0.25">
      <c r="A34" s="75"/>
      <c r="B34" s="133"/>
      <c r="C34" s="138"/>
      <c r="D34" s="139"/>
      <c r="E34" s="78"/>
      <c r="F34" s="110"/>
      <c r="G34" s="273"/>
      <c r="H34" s="271"/>
      <c r="I34" s="266"/>
      <c r="J34" s="281"/>
      <c r="K34" s="267"/>
      <c r="L34" s="156"/>
      <c r="M34" s="194"/>
      <c r="N34" s="194"/>
      <c r="O34" s="268">
        <f t="shared" si="0"/>
        <v>0</v>
      </c>
      <c r="P34" s="274"/>
      <c r="Q34" s="270">
        <f t="shared" si="1"/>
        <v>0</v>
      </c>
      <c r="R34" s="195"/>
      <c r="S34" s="195"/>
      <c r="T34" s="195"/>
    </row>
    <row r="35" spans="1:20" ht="18.600000000000001" customHeight="1" x14ac:dyDescent="0.25">
      <c r="A35" s="75"/>
      <c r="B35" s="133"/>
      <c r="C35" s="138"/>
      <c r="D35" s="139"/>
      <c r="E35" s="78"/>
      <c r="F35" s="110"/>
      <c r="G35" s="273"/>
      <c r="H35" s="271"/>
      <c r="I35" s="266"/>
      <c r="J35" s="194"/>
      <c r="K35" s="267"/>
      <c r="L35" s="156"/>
      <c r="M35" s="194"/>
      <c r="N35" s="194"/>
      <c r="O35" s="268">
        <f t="shared" si="0"/>
        <v>0</v>
      </c>
      <c r="P35" s="274"/>
      <c r="Q35" s="270">
        <f t="shared" si="1"/>
        <v>0</v>
      </c>
      <c r="R35" s="195"/>
      <c r="S35" s="195"/>
      <c r="T35" s="195"/>
    </row>
    <row r="36" spans="1:20" ht="18.600000000000001" customHeight="1" x14ac:dyDescent="0.25">
      <c r="A36" s="75"/>
      <c r="B36" s="133"/>
      <c r="C36" s="564" t="s">
        <v>1273</v>
      </c>
      <c r="D36" s="565"/>
      <c r="E36" s="566"/>
      <c r="F36" s="163"/>
      <c r="G36" s="281"/>
      <c r="H36" s="282"/>
      <c r="I36" s="280"/>
      <c r="J36" s="194"/>
      <c r="K36" s="267"/>
      <c r="L36" s="156">
        <v>1320000</v>
      </c>
      <c r="M36" s="194"/>
      <c r="N36" s="194"/>
      <c r="O36" s="268">
        <f t="shared" si="0"/>
        <v>1320000</v>
      </c>
      <c r="P36" s="264"/>
      <c r="Q36" s="270">
        <f t="shared" si="1"/>
        <v>-1320000</v>
      </c>
    </row>
    <row r="37" spans="1:20" ht="18.600000000000001" customHeight="1" x14ac:dyDescent="0.25">
      <c r="A37" s="134"/>
      <c r="B37" s="137"/>
      <c r="C37" s="564" t="s">
        <v>2680</v>
      </c>
      <c r="D37" s="565"/>
      <c r="E37" s="566"/>
      <c r="F37" s="163"/>
      <c r="G37" s="281"/>
      <c r="H37" s="282"/>
      <c r="I37" s="280"/>
      <c r="J37" s="194"/>
      <c r="K37" s="278"/>
      <c r="L37" s="334">
        <v>6000000</v>
      </c>
      <c r="M37" s="194"/>
      <c r="N37" s="194"/>
      <c r="O37" s="268">
        <f t="shared" si="0"/>
        <v>6000000</v>
      </c>
      <c r="P37" s="265"/>
      <c r="Q37" s="270">
        <f t="shared" si="1"/>
        <v>-6000000</v>
      </c>
    </row>
    <row r="38" spans="1:20" ht="18.600000000000001" customHeight="1" x14ac:dyDescent="0.25">
      <c r="A38" s="134"/>
      <c r="B38" s="137"/>
      <c r="C38" s="564" t="s">
        <v>2681</v>
      </c>
      <c r="D38" s="565"/>
      <c r="E38" s="566"/>
      <c r="F38" s="163"/>
      <c r="G38" s="281"/>
      <c r="H38" s="282"/>
      <c r="I38" s="280"/>
      <c r="J38" s="194"/>
      <c r="K38" s="278"/>
      <c r="L38" s="334">
        <v>1900000</v>
      </c>
      <c r="M38" s="194"/>
      <c r="N38" s="194"/>
      <c r="O38" s="268">
        <f t="shared" si="0"/>
        <v>1900000</v>
      </c>
      <c r="P38" s="265"/>
      <c r="Q38" s="270">
        <f t="shared" si="1"/>
        <v>-1900000</v>
      </c>
    </row>
    <row r="39" spans="1:20" ht="18.600000000000001" customHeight="1" x14ac:dyDescent="0.25">
      <c r="A39" s="134"/>
      <c r="B39" s="137"/>
      <c r="C39" s="564" t="s">
        <v>2685</v>
      </c>
      <c r="D39" s="565"/>
      <c r="E39" s="566"/>
      <c r="F39" s="163"/>
      <c r="G39" s="281"/>
      <c r="H39" s="282"/>
      <c r="I39" s="280"/>
      <c r="J39" s="194"/>
      <c r="K39" s="278"/>
      <c r="L39" s="166"/>
      <c r="M39" s="150">
        <v>16600000</v>
      </c>
      <c r="N39" s="194"/>
      <c r="O39" s="268">
        <f t="shared" si="0"/>
        <v>16600000</v>
      </c>
      <c r="P39" s="265"/>
      <c r="Q39" s="270">
        <f t="shared" si="1"/>
        <v>-16600000</v>
      </c>
    </row>
    <row r="40" spans="1:20" ht="18.600000000000001" customHeight="1" x14ac:dyDescent="0.25">
      <c r="A40" s="134"/>
      <c r="B40" s="137"/>
      <c r="C40" s="564" t="s">
        <v>2683</v>
      </c>
      <c r="D40" s="565"/>
      <c r="E40" s="566"/>
      <c r="F40" s="163"/>
      <c r="G40" s="281"/>
      <c r="H40" s="282"/>
      <c r="I40" s="280"/>
      <c r="J40" s="194"/>
      <c r="K40" s="278"/>
      <c r="L40" s="334">
        <v>100000</v>
      </c>
      <c r="M40" s="113"/>
      <c r="N40" s="194"/>
      <c r="O40" s="268">
        <f t="shared" si="0"/>
        <v>100000</v>
      </c>
      <c r="P40" s="265"/>
      <c r="Q40" s="270">
        <f t="shared" si="1"/>
        <v>-100000</v>
      </c>
    </row>
    <row r="41" spans="1:20" ht="18.600000000000001" customHeight="1" x14ac:dyDescent="0.25">
      <c r="A41" s="134"/>
      <c r="B41" s="137"/>
      <c r="C41" s="564" t="s">
        <v>2682</v>
      </c>
      <c r="D41" s="565"/>
      <c r="E41" s="566"/>
      <c r="F41" s="163"/>
      <c r="G41" s="281"/>
      <c r="H41" s="282"/>
      <c r="I41" s="280"/>
      <c r="J41" s="194"/>
      <c r="K41" s="113">
        <v>300000</v>
      </c>
      <c r="L41" s="166"/>
      <c r="M41" s="194"/>
      <c r="N41" s="194"/>
      <c r="O41" s="268">
        <f t="shared" si="0"/>
        <v>300000</v>
      </c>
      <c r="P41" s="265"/>
      <c r="Q41" s="270">
        <f t="shared" si="1"/>
        <v>-300000</v>
      </c>
    </row>
    <row r="42" spans="1:20" ht="18.600000000000001" customHeight="1" x14ac:dyDescent="0.25">
      <c r="A42" s="134"/>
      <c r="B42" s="103"/>
      <c r="C42" s="567" t="s">
        <v>1386</v>
      </c>
      <c r="D42" s="568"/>
      <c r="E42" s="569"/>
      <c r="F42" s="110"/>
      <c r="G42" s="281"/>
      <c r="H42" s="282"/>
      <c r="I42" s="280"/>
      <c r="J42" s="194"/>
      <c r="K42" s="284">
        <v>10384615</v>
      </c>
      <c r="L42" s="141"/>
      <c r="M42" s="194"/>
      <c r="N42" s="194"/>
      <c r="O42" s="268">
        <f t="shared" si="0"/>
        <v>10384615</v>
      </c>
      <c r="P42" s="265"/>
      <c r="Q42" s="270">
        <f t="shared" si="1"/>
        <v>-10384615</v>
      </c>
    </row>
    <row r="43" spans="1:20" x14ac:dyDescent="0.25">
      <c r="A43" s="547" t="s">
        <v>19</v>
      </c>
      <c r="B43" s="548"/>
      <c r="C43" s="548"/>
      <c r="D43" s="548"/>
      <c r="E43" s="548"/>
      <c r="F43" s="549"/>
      <c r="G43" s="305">
        <f>SUM(G8:G42)</f>
        <v>3542</v>
      </c>
      <c r="H43" s="291">
        <f t="shared" ref="H43:Q43" si="4">SUM(H7:H42)</f>
        <v>59387840</v>
      </c>
      <c r="I43" s="291">
        <f t="shared" si="4"/>
        <v>0</v>
      </c>
      <c r="J43" s="291">
        <f t="shared" si="4"/>
        <v>38220000</v>
      </c>
      <c r="K43" s="291">
        <f t="shared" si="4"/>
        <v>10684615</v>
      </c>
      <c r="L43" s="309">
        <f t="shared" si="4"/>
        <v>9320000</v>
      </c>
      <c r="M43" s="291">
        <f t="shared" si="4"/>
        <v>16600000</v>
      </c>
      <c r="N43" s="291">
        <f t="shared" si="4"/>
        <v>0</v>
      </c>
      <c r="O43" s="291">
        <f t="shared" si="4"/>
        <v>134212455</v>
      </c>
      <c r="P43" s="291">
        <f t="shared" si="4"/>
        <v>164916366</v>
      </c>
      <c r="Q43" s="297">
        <f t="shared" si="4"/>
        <v>30703911</v>
      </c>
      <c r="R43" s="195"/>
      <c r="S43" s="195"/>
    </row>
    <row r="44" spans="1:20" x14ac:dyDescent="0.25">
      <c r="P44" s="294"/>
      <c r="Q44" s="295"/>
    </row>
    <row r="45" spans="1:20" x14ac:dyDescent="0.25">
      <c r="H45" s="294"/>
      <c r="P45" s="296" t="s">
        <v>1225</v>
      </c>
      <c r="Q45" s="304">
        <f>'07.2019'!Q47+'08.2019'!Q43</f>
        <v>252747944.69230771</v>
      </c>
    </row>
    <row r="46" spans="1:20" x14ac:dyDescent="0.25">
      <c r="Q46" s="294"/>
    </row>
    <row r="47" spans="1:20" x14ac:dyDescent="0.25">
      <c r="R47" s="195"/>
    </row>
  </sheetData>
  <mergeCells count="12">
    <mergeCell ref="A1:Q1"/>
    <mergeCell ref="A2:Q2"/>
    <mergeCell ref="A3:Q3"/>
    <mergeCell ref="G5:N5"/>
    <mergeCell ref="A43:F43"/>
    <mergeCell ref="C36:E36"/>
    <mergeCell ref="C37:E37"/>
    <mergeCell ref="C38:E38"/>
    <mergeCell ref="C39:E39"/>
    <mergeCell ref="C40:E40"/>
    <mergeCell ref="C41:E41"/>
    <mergeCell ref="C42:E42"/>
  </mergeCells>
  <pageMargins left="0.7" right="0.7" top="0.75" bottom="0.75" header="0.3" footer="0.3"/>
  <pageSetup paperSize="9" orientation="portrait" horizontalDpi="180" verticalDpi="18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T48"/>
  <sheetViews>
    <sheetView topLeftCell="D31" workbookViewId="0">
      <selection activeCell="K28" sqref="K28"/>
    </sheetView>
  </sheetViews>
  <sheetFormatPr defaultRowHeight="15" x14ac:dyDescent="0.25"/>
  <cols>
    <col min="1" max="1" width="4.5703125" customWidth="1"/>
    <col min="2" max="2" width="9.140625" style="332"/>
    <col min="3" max="3" width="41.28515625" customWidth="1"/>
    <col min="4" max="4" width="16.5703125" customWidth="1"/>
    <col min="5" max="5" width="33.140625" customWidth="1"/>
    <col min="7" max="7" width="9.140625" style="292"/>
    <col min="8" max="8" width="10.140625" style="292" bestFit="1" customWidth="1"/>
    <col min="9" max="9" width="9.140625" style="293"/>
    <col min="10" max="10" width="9.140625" style="292"/>
    <col min="11" max="11" width="9.42578125" style="292" bestFit="1" customWidth="1"/>
    <col min="12" max="12" width="9.140625" style="173"/>
    <col min="13" max="14" width="9.140625" style="292"/>
    <col min="15" max="15" width="11.140625" style="292" customWidth="1"/>
    <col min="16" max="16" width="10.7109375" style="292" customWidth="1"/>
    <col min="17" max="17" width="12.28515625" style="292" customWidth="1"/>
    <col min="18" max="18" width="11.7109375" customWidth="1"/>
    <col min="19" max="19" width="18"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2686</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257"/>
      <c r="H4" s="258"/>
      <c r="I4" s="258"/>
      <c r="J4" s="258"/>
      <c r="K4" s="258"/>
      <c r="L4" s="91"/>
      <c r="M4" s="258"/>
      <c r="N4" s="258"/>
      <c r="O4" s="258"/>
      <c r="P4" s="258"/>
      <c r="Q4" s="258"/>
    </row>
    <row r="5" spans="1:20"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20"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20" x14ac:dyDescent="0.25">
      <c r="A7" s="75"/>
      <c r="B7" s="100"/>
      <c r="C7" s="88"/>
      <c r="D7" s="88"/>
      <c r="E7" s="134"/>
      <c r="F7" s="75"/>
      <c r="G7" s="263"/>
      <c r="H7" s="264"/>
      <c r="I7" s="264"/>
      <c r="J7" s="264"/>
      <c r="K7" s="264"/>
      <c r="L7" s="308"/>
      <c r="M7" s="264"/>
      <c r="N7" s="264"/>
      <c r="O7" s="264">
        <f>H7+J7+K7+L7+M7+N7</f>
        <v>0</v>
      </c>
      <c r="P7" s="265"/>
      <c r="Q7" s="264">
        <f>P7-O7</f>
        <v>0</v>
      </c>
    </row>
    <row r="8" spans="1:20" ht="20.100000000000001" customHeight="1" x14ac:dyDescent="0.25">
      <c r="A8" s="75">
        <v>1</v>
      </c>
      <c r="B8" s="133">
        <v>43712</v>
      </c>
      <c r="C8" s="135" t="s">
        <v>2687</v>
      </c>
      <c r="D8" s="136" t="s">
        <v>2688</v>
      </c>
      <c r="E8" s="78" t="s">
        <v>1381</v>
      </c>
      <c r="F8" s="80"/>
      <c r="G8" s="234"/>
      <c r="H8" s="234"/>
      <c r="I8" s="266"/>
      <c r="J8" s="223">
        <v>200000</v>
      </c>
      <c r="K8" s="267"/>
      <c r="L8" s="156"/>
      <c r="M8" s="189"/>
      <c r="N8" s="189"/>
      <c r="O8" s="268">
        <f>H8+J8+K8+L8+M8+N8</f>
        <v>200000</v>
      </c>
      <c r="P8" s="272">
        <v>1800000</v>
      </c>
      <c r="Q8" s="270">
        <f>P8-O8</f>
        <v>1600000</v>
      </c>
      <c r="R8" s="195"/>
      <c r="S8" s="333"/>
      <c r="T8" s="195"/>
    </row>
    <row r="9" spans="1:20" ht="20.100000000000001" customHeight="1" x14ac:dyDescent="0.25">
      <c r="A9" s="75">
        <v>2</v>
      </c>
      <c r="B9" s="133">
        <v>43713</v>
      </c>
      <c r="C9" s="135" t="s">
        <v>2023</v>
      </c>
      <c r="D9" s="172" t="s">
        <v>2689</v>
      </c>
      <c r="E9" s="78" t="s">
        <v>21</v>
      </c>
      <c r="F9" s="80"/>
      <c r="G9" s="234">
        <v>260</v>
      </c>
      <c r="H9" s="234">
        <f>G9*16330</f>
        <v>4245800</v>
      </c>
      <c r="I9" s="266"/>
      <c r="J9" s="223">
        <v>2740000</v>
      </c>
      <c r="K9" s="267"/>
      <c r="L9" s="156"/>
      <c r="M9" s="189"/>
      <c r="N9" s="189"/>
      <c r="O9" s="268">
        <f t="shared" ref="O9:O43" si="0">H9+J9+K9+L9+M9+N9</f>
        <v>6985800</v>
      </c>
      <c r="P9" s="272">
        <v>12181818</v>
      </c>
      <c r="Q9" s="270">
        <f t="shared" ref="Q9:Q43" si="1">P9-O9</f>
        <v>5196018</v>
      </c>
      <c r="R9" s="195"/>
      <c r="S9" s="333"/>
      <c r="T9" s="195"/>
    </row>
    <row r="10" spans="1:20" ht="20.100000000000001" customHeight="1" x14ac:dyDescent="0.25">
      <c r="A10" s="75">
        <v>3</v>
      </c>
      <c r="B10" s="133">
        <v>43714</v>
      </c>
      <c r="C10" s="135" t="s">
        <v>1341</v>
      </c>
      <c r="D10" s="136" t="s">
        <v>2690</v>
      </c>
      <c r="E10" s="78" t="s">
        <v>356</v>
      </c>
      <c r="F10" s="80"/>
      <c r="G10" s="234"/>
      <c r="H10" s="234"/>
      <c r="I10" s="266"/>
      <c r="J10" s="223">
        <v>970000</v>
      </c>
      <c r="K10" s="267"/>
      <c r="L10" s="156"/>
      <c r="M10" s="189"/>
      <c r="N10" s="189"/>
      <c r="O10" s="268">
        <f t="shared" si="0"/>
        <v>970000</v>
      </c>
      <c r="P10" s="272">
        <v>4560000</v>
      </c>
      <c r="Q10" s="270">
        <f t="shared" si="1"/>
        <v>3590000</v>
      </c>
      <c r="R10" s="195"/>
      <c r="S10" s="333"/>
      <c r="T10" s="195"/>
    </row>
    <row r="11" spans="1:20" ht="20.100000000000001" customHeight="1" x14ac:dyDescent="0.25">
      <c r="A11" s="75">
        <v>4</v>
      </c>
      <c r="B11" s="133">
        <v>43715</v>
      </c>
      <c r="C11" s="135" t="s">
        <v>1342</v>
      </c>
      <c r="D11" s="136" t="s">
        <v>2691</v>
      </c>
      <c r="E11" s="78" t="s">
        <v>1381</v>
      </c>
      <c r="F11" s="80"/>
      <c r="G11" s="234"/>
      <c r="H11" s="234"/>
      <c r="I11" s="266"/>
      <c r="J11" s="223">
        <v>200000</v>
      </c>
      <c r="K11" s="267"/>
      <c r="L11" s="156"/>
      <c r="M11" s="189"/>
      <c r="N11" s="189"/>
      <c r="O11" s="268">
        <f t="shared" si="0"/>
        <v>200000</v>
      </c>
      <c r="P11" s="272">
        <v>1800000</v>
      </c>
      <c r="Q11" s="270">
        <f t="shared" si="1"/>
        <v>1600000</v>
      </c>
      <c r="R11" s="195"/>
      <c r="S11" s="333"/>
      <c r="T11" s="195"/>
    </row>
    <row r="12" spans="1:20" ht="20.100000000000001" customHeight="1" x14ac:dyDescent="0.25">
      <c r="A12" s="75">
        <v>5</v>
      </c>
      <c r="B12" s="133">
        <v>43717</v>
      </c>
      <c r="C12" s="135" t="s">
        <v>1344</v>
      </c>
      <c r="D12" s="136" t="s">
        <v>2692</v>
      </c>
      <c r="E12" s="78" t="s">
        <v>21</v>
      </c>
      <c r="F12" s="80"/>
      <c r="G12" s="234">
        <v>350</v>
      </c>
      <c r="H12" s="234">
        <f t="shared" ref="H12:H17" si="2">G12*16330</f>
        <v>5715500</v>
      </c>
      <c r="I12" s="266"/>
      <c r="J12" s="223">
        <v>2740000</v>
      </c>
      <c r="K12" s="267"/>
      <c r="L12" s="156"/>
      <c r="M12" s="189"/>
      <c r="N12" s="189"/>
      <c r="O12" s="268">
        <f t="shared" si="0"/>
        <v>8455500</v>
      </c>
      <c r="P12" s="272">
        <v>12090909</v>
      </c>
      <c r="Q12" s="270">
        <f t="shared" si="1"/>
        <v>3635409</v>
      </c>
      <c r="R12" s="195"/>
      <c r="S12" s="333"/>
      <c r="T12" s="195"/>
    </row>
    <row r="13" spans="1:20" ht="20.100000000000001" customHeight="1" x14ac:dyDescent="0.25">
      <c r="A13" s="75">
        <v>6</v>
      </c>
      <c r="B13" s="133">
        <v>43718</v>
      </c>
      <c r="C13" s="135" t="s">
        <v>2027</v>
      </c>
      <c r="D13" s="136" t="s">
        <v>2693</v>
      </c>
      <c r="E13" s="78" t="s">
        <v>24</v>
      </c>
      <c r="F13" s="80"/>
      <c r="G13" s="234"/>
      <c r="H13" s="234"/>
      <c r="I13" s="266"/>
      <c r="J13" s="223">
        <v>1890000</v>
      </c>
      <c r="K13" s="267"/>
      <c r="L13" s="156"/>
      <c r="M13" s="189"/>
      <c r="N13" s="189"/>
      <c r="O13" s="268">
        <f t="shared" si="0"/>
        <v>1890000</v>
      </c>
      <c r="P13" s="272">
        <v>8045455</v>
      </c>
      <c r="Q13" s="270">
        <f t="shared" si="1"/>
        <v>6155455</v>
      </c>
      <c r="R13" s="195"/>
      <c r="S13" s="333"/>
      <c r="T13" s="195"/>
    </row>
    <row r="14" spans="1:20" ht="20.100000000000001" customHeight="1" x14ac:dyDescent="0.25">
      <c r="A14" s="75">
        <v>7</v>
      </c>
      <c r="B14" s="133">
        <v>43719</v>
      </c>
      <c r="C14" s="135" t="s">
        <v>2694</v>
      </c>
      <c r="D14" s="136" t="s">
        <v>2695</v>
      </c>
      <c r="E14" s="78" t="s">
        <v>1540</v>
      </c>
      <c r="F14" s="80"/>
      <c r="G14" s="234">
        <v>270</v>
      </c>
      <c r="H14" s="234">
        <f t="shared" si="2"/>
        <v>4409100</v>
      </c>
      <c r="I14" s="266"/>
      <c r="J14" s="223">
        <v>970000</v>
      </c>
      <c r="K14" s="267"/>
      <c r="L14" s="156"/>
      <c r="M14" s="189"/>
      <c r="N14" s="189"/>
      <c r="O14" s="268">
        <f t="shared" si="0"/>
        <v>5379100</v>
      </c>
      <c r="P14" s="272">
        <v>4318182</v>
      </c>
      <c r="Q14" s="270">
        <f t="shared" si="1"/>
        <v>-1060918</v>
      </c>
      <c r="R14" s="195"/>
      <c r="S14" s="333"/>
      <c r="T14" s="195"/>
    </row>
    <row r="15" spans="1:20" ht="20.100000000000001" customHeight="1" x14ac:dyDescent="0.25">
      <c r="A15" s="75">
        <v>8</v>
      </c>
      <c r="B15" s="133">
        <v>43719</v>
      </c>
      <c r="C15" s="135" t="s">
        <v>2696</v>
      </c>
      <c r="D15" s="136" t="s">
        <v>2697</v>
      </c>
      <c r="E15" s="78" t="s">
        <v>2698</v>
      </c>
      <c r="F15" s="80"/>
      <c r="G15" s="234"/>
      <c r="H15" s="234"/>
      <c r="I15" s="266"/>
      <c r="J15" s="223"/>
      <c r="K15" s="267"/>
      <c r="L15" s="156"/>
      <c r="M15" s="189"/>
      <c r="N15" s="189"/>
      <c r="O15" s="268">
        <f t="shared" si="0"/>
        <v>0</v>
      </c>
      <c r="P15" s="272">
        <v>0</v>
      </c>
      <c r="Q15" s="270">
        <f t="shared" si="1"/>
        <v>0</v>
      </c>
      <c r="R15" s="195"/>
      <c r="S15" s="333"/>
      <c r="T15" s="195"/>
    </row>
    <row r="16" spans="1:20" ht="20.100000000000001" customHeight="1" x14ac:dyDescent="0.25">
      <c r="A16" s="75">
        <v>9</v>
      </c>
      <c r="B16" s="133">
        <v>43720</v>
      </c>
      <c r="C16" s="135" t="s">
        <v>2029</v>
      </c>
      <c r="D16" s="136" t="s">
        <v>2699</v>
      </c>
      <c r="E16" s="78" t="s">
        <v>2117</v>
      </c>
      <c r="F16" s="80"/>
      <c r="G16" s="234"/>
      <c r="H16" s="234"/>
      <c r="I16" s="266"/>
      <c r="J16" s="223">
        <v>1500000</v>
      </c>
      <c r="K16" s="267"/>
      <c r="L16" s="156"/>
      <c r="M16" s="189"/>
      <c r="N16" s="189"/>
      <c r="O16" s="268">
        <f t="shared" si="0"/>
        <v>1500000</v>
      </c>
      <c r="P16" s="272">
        <v>7200000</v>
      </c>
      <c r="Q16" s="270">
        <f t="shared" si="1"/>
        <v>5700000</v>
      </c>
      <c r="R16" s="195"/>
      <c r="S16" s="333"/>
      <c r="T16" s="195"/>
    </row>
    <row r="17" spans="1:20" ht="20.100000000000001" customHeight="1" x14ac:dyDescent="0.25">
      <c r="A17" s="75">
        <v>10</v>
      </c>
      <c r="B17" s="133">
        <v>43721</v>
      </c>
      <c r="C17" s="135" t="s">
        <v>2030</v>
      </c>
      <c r="D17" s="136" t="s">
        <v>2700</v>
      </c>
      <c r="E17" s="78" t="s">
        <v>1621</v>
      </c>
      <c r="F17" s="80"/>
      <c r="G17" s="234">
        <v>250</v>
      </c>
      <c r="H17" s="234">
        <f t="shared" si="2"/>
        <v>4082500</v>
      </c>
      <c r="I17" s="266"/>
      <c r="J17" s="223">
        <v>1150000</v>
      </c>
      <c r="K17" s="267"/>
      <c r="L17" s="156"/>
      <c r="M17" s="189"/>
      <c r="N17" s="189"/>
      <c r="O17" s="268">
        <f t="shared" si="0"/>
        <v>5232500</v>
      </c>
      <c r="P17" s="272">
        <v>3900000</v>
      </c>
      <c r="Q17" s="270">
        <f t="shared" si="1"/>
        <v>-1332500</v>
      </c>
      <c r="R17" s="195"/>
      <c r="S17" s="333"/>
      <c r="T17" s="195"/>
    </row>
    <row r="18" spans="1:20" ht="20.100000000000001" customHeight="1" x14ac:dyDescent="0.25">
      <c r="A18" s="75">
        <v>11</v>
      </c>
      <c r="B18" s="133">
        <v>43722</v>
      </c>
      <c r="C18" s="135" t="s">
        <v>2701</v>
      </c>
      <c r="D18" s="136" t="s">
        <v>2702</v>
      </c>
      <c r="E18" s="78" t="s">
        <v>2703</v>
      </c>
      <c r="F18" s="80"/>
      <c r="G18" s="234"/>
      <c r="H18" s="234"/>
      <c r="I18" s="266"/>
      <c r="J18" s="223">
        <v>1890000</v>
      </c>
      <c r="K18" s="267"/>
      <c r="L18" s="156"/>
      <c r="M18" s="189"/>
      <c r="N18" s="189"/>
      <c r="O18" s="268">
        <f t="shared" si="0"/>
        <v>1890000</v>
      </c>
      <c r="P18" s="272">
        <v>6800000</v>
      </c>
      <c r="Q18" s="270">
        <f t="shared" si="1"/>
        <v>4910000</v>
      </c>
      <c r="R18" s="195"/>
      <c r="S18" s="333"/>
      <c r="T18" s="195"/>
    </row>
    <row r="19" spans="1:20" ht="20.100000000000001" customHeight="1" x14ac:dyDescent="0.25">
      <c r="A19" s="75">
        <v>12</v>
      </c>
      <c r="B19" s="133">
        <v>43724</v>
      </c>
      <c r="C19" s="135" t="s">
        <v>597</v>
      </c>
      <c r="D19" s="136" t="s">
        <v>2704</v>
      </c>
      <c r="E19" s="78" t="s">
        <v>2705</v>
      </c>
      <c r="F19" s="80"/>
      <c r="G19" s="234">
        <v>250</v>
      </c>
      <c r="H19" s="234">
        <f>G19*16200</f>
        <v>4050000</v>
      </c>
      <c r="I19" s="266"/>
      <c r="J19" s="223">
        <v>1150000</v>
      </c>
      <c r="K19" s="267"/>
      <c r="L19" s="156"/>
      <c r="M19" s="189"/>
      <c r="N19" s="189"/>
      <c r="O19" s="268">
        <f t="shared" si="0"/>
        <v>5200000</v>
      </c>
      <c r="P19" s="272">
        <v>4118182</v>
      </c>
      <c r="Q19" s="270">
        <f t="shared" si="1"/>
        <v>-1081818</v>
      </c>
      <c r="R19" s="195"/>
      <c r="S19" s="333"/>
      <c r="T19" s="195"/>
    </row>
    <row r="20" spans="1:20" ht="20.100000000000001" customHeight="1" x14ac:dyDescent="0.25">
      <c r="A20" s="75">
        <v>13</v>
      </c>
      <c r="B20" s="133">
        <v>43725</v>
      </c>
      <c r="C20" s="135" t="s">
        <v>2706</v>
      </c>
      <c r="D20" s="136" t="s">
        <v>2707</v>
      </c>
      <c r="E20" s="78" t="s">
        <v>1212</v>
      </c>
      <c r="F20" s="80"/>
      <c r="G20" s="234"/>
      <c r="H20" s="234"/>
      <c r="I20" s="266"/>
      <c r="J20" s="223">
        <v>2740000</v>
      </c>
      <c r="K20" s="267"/>
      <c r="L20" s="156"/>
      <c r="M20" s="189"/>
      <c r="N20" s="189"/>
      <c r="O20" s="268">
        <f t="shared" si="0"/>
        <v>2740000</v>
      </c>
      <c r="P20" s="272">
        <v>14090909</v>
      </c>
      <c r="Q20" s="270">
        <f t="shared" si="1"/>
        <v>11350909</v>
      </c>
      <c r="R20" s="195"/>
      <c r="S20" s="333"/>
      <c r="T20" s="195"/>
    </row>
    <row r="21" spans="1:20" ht="20.100000000000001" customHeight="1" x14ac:dyDescent="0.25">
      <c r="A21" s="75">
        <v>14</v>
      </c>
      <c r="B21" s="133">
        <v>43726</v>
      </c>
      <c r="C21" s="135" t="s">
        <v>2708</v>
      </c>
      <c r="D21" s="136" t="s">
        <v>2709</v>
      </c>
      <c r="E21" s="78" t="s">
        <v>2710</v>
      </c>
      <c r="F21" s="80"/>
      <c r="G21" s="234">
        <v>330</v>
      </c>
      <c r="H21" s="234">
        <f t="shared" ref="H21:H29" si="3">G21*16200</f>
        <v>5346000</v>
      </c>
      <c r="I21" s="266"/>
      <c r="J21" s="223">
        <v>970000</v>
      </c>
      <c r="K21" s="267"/>
      <c r="L21" s="156"/>
      <c r="M21" s="189"/>
      <c r="N21" s="189"/>
      <c r="O21" s="268">
        <f t="shared" si="0"/>
        <v>6316000</v>
      </c>
      <c r="P21" s="272">
        <v>3900000</v>
      </c>
      <c r="Q21" s="270">
        <f t="shared" si="1"/>
        <v>-2416000</v>
      </c>
      <c r="R21" s="195"/>
      <c r="S21" s="333"/>
      <c r="T21" s="195"/>
    </row>
    <row r="22" spans="1:20" ht="20.100000000000001" customHeight="1" x14ac:dyDescent="0.25">
      <c r="A22" s="75">
        <v>15</v>
      </c>
      <c r="B22" s="133">
        <v>43727</v>
      </c>
      <c r="C22" s="135" t="s">
        <v>1362</v>
      </c>
      <c r="D22" s="136" t="s">
        <v>2711</v>
      </c>
      <c r="E22" s="78" t="s">
        <v>1382</v>
      </c>
      <c r="F22" s="80"/>
      <c r="G22" s="234">
        <v>270</v>
      </c>
      <c r="H22" s="234">
        <f t="shared" si="3"/>
        <v>4374000</v>
      </c>
      <c r="I22" s="266"/>
      <c r="J22" s="223">
        <v>2740000</v>
      </c>
      <c r="K22" s="267"/>
      <c r="L22" s="156"/>
      <c r="M22" s="189"/>
      <c r="N22" s="189"/>
      <c r="O22" s="268">
        <f t="shared" si="0"/>
        <v>7114000</v>
      </c>
      <c r="P22" s="272">
        <v>15000000</v>
      </c>
      <c r="Q22" s="270">
        <f t="shared" si="1"/>
        <v>7886000</v>
      </c>
      <c r="R22" s="195"/>
      <c r="S22" s="333"/>
      <c r="T22" s="195"/>
    </row>
    <row r="23" spans="1:20" ht="20.100000000000001" customHeight="1" x14ac:dyDescent="0.25">
      <c r="A23" s="75">
        <v>16</v>
      </c>
      <c r="B23" s="133">
        <v>43729</v>
      </c>
      <c r="C23" s="135" t="s">
        <v>1365</v>
      </c>
      <c r="D23" s="136" t="s">
        <v>2712</v>
      </c>
      <c r="E23" s="78" t="s">
        <v>636</v>
      </c>
      <c r="F23" s="80"/>
      <c r="G23" s="234"/>
      <c r="H23" s="234"/>
      <c r="I23" s="266"/>
      <c r="J23" s="223">
        <v>790000</v>
      </c>
      <c r="K23" s="267"/>
      <c r="L23" s="156"/>
      <c r="M23" s="189"/>
      <c r="N23" s="189"/>
      <c r="O23" s="268">
        <f t="shared" si="0"/>
        <v>790000</v>
      </c>
      <c r="P23" s="272">
        <v>3700000</v>
      </c>
      <c r="Q23" s="270">
        <f t="shared" si="1"/>
        <v>2910000</v>
      </c>
      <c r="R23" s="195"/>
      <c r="S23" s="333"/>
      <c r="T23" s="195"/>
    </row>
    <row r="24" spans="1:20" ht="20.100000000000001" customHeight="1" x14ac:dyDescent="0.25">
      <c r="A24" s="75">
        <v>17</v>
      </c>
      <c r="B24" s="133">
        <v>43731</v>
      </c>
      <c r="C24" s="135" t="s">
        <v>1367</v>
      </c>
      <c r="D24" s="136" t="s">
        <v>2713</v>
      </c>
      <c r="E24" s="78" t="s">
        <v>2673</v>
      </c>
      <c r="F24" s="80"/>
      <c r="G24" s="234">
        <v>140</v>
      </c>
      <c r="H24" s="234">
        <f t="shared" si="3"/>
        <v>2268000</v>
      </c>
      <c r="I24" s="266"/>
      <c r="J24" s="223">
        <v>650000</v>
      </c>
      <c r="K24" s="267"/>
      <c r="L24" s="156"/>
      <c r="M24" s="189"/>
      <c r="N24" s="189"/>
      <c r="O24" s="268">
        <f t="shared" si="0"/>
        <v>2918000</v>
      </c>
      <c r="P24" s="272">
        <v>3118182</v>
      </c>
      <c r="Q24" s="270">
        <f t="shared" si="1"/>
        <v>200182</v>
      </c>
      <c r="R24" s="195"/>
      <c r="S24" s="333"/>
      <c r="T24" s="195"/>
    </row>
    <row r="25" spans="1:20" ht="20.100000000000001" customHeight="1" x14ac:dyDescent="0.25">
      <c r="A25" s="75">
        <v>18</v>
      </c>
      <c r="B25" s="133">
        <v>43732</v>
      </c>
      <c r="C25" s="135" t="s">
        <v>2714</v>
      </c>
      <c r="D25" s="136" t="s">
        <v>2715</v>
      </c>
      <c r="E25" s="78" t="s">
        <v>21</v>
      </c>
      <c r="F25" s="80"/>
      <c r="G25" s="234">
        <v>245</v>
      </c>
      <c r="H25" s="234">
        <f t="shared" si="3"/>
        <v>3969000</v>
      </c>
      <c r="I25" s="266"/>
      <c r="J25" s="223">
        <v>2740000</v>
      </c>
      <c r="K25" s="267"/>
      <c r="L25" s="156"/>
      <c r="M25" s="189"/>
      <c r="N25" s="189"/>
      <c r="O25" s="268">
        <f t="shared" si="0"/>
        <v>6709000</v>
      </c>
      <c r="P25" s="272">
        <v>12181818</v>
      </c>
      <c r="Q25" s="270">
        <f t="shared" si="1"/>
        <v>5472818</v>
      </c>
      <c r="R25" s="195"/>
      <c r="S25" s="333"/>
      <c r="T25" s="195"/>
    </row>
    <row r="26" spans="1:20" ht="20.100000000000001" customHeight="1" x14ac:dyDescent="0.25">
      <c r="A26" s="75">
        <v>19</v>
      </c>
      <c r="B26" s="133">
        <v>43734</v>
      </c>
      <c r="C26" s="135" t="s">
        <v>2716</v>
      </c>
      <c r="D26" s="136" t="s">
        <v>2717</v>
      </c>
      <c r="E26" s="78" t="s">
        <v>24</v>
      </c>
      <c r="F26" s="80"/>
      <c r="G26" s="234">
        <v>180</v>
      </c>
      <c r="H26" s="234">
        <f t="shared" si="3"/>
        <v>2916000</v>
      </c>
      <c r="I26" s="266"/>
      <c r="J26" s="223">
        <v>1890000</v>
      </c>
      <c r="K26" s="267"/>
      <c r="L26" s="156"/>
      <c r="M26" s="189"/>
      <c r="N26" s="189"/>
      <c r="O26" s="268">
        <f t="shared" si="0"/>
        <v>4806000</v>
      </c>
      <c r="P26" s="272">
        <v>8045455</v>
      </c>
      <c r="Q26" s="270">
        <f t="shared" si="1"/>
        <v>3239455</v>
      </c>
      <c r="R26" s="195"/>
      <c r="S26" s="333"/>
      <c r="T26" s="195"/>
    </row>
    <row r="27" spans="1:20" ht="20.100000000000001" customHeight="1" x14ac:dyDescent="0.25">
      <c r="A27" s="75">
        <v>20</v>
      </c>
      <c r="B27" s="133">
        <v>43735</v>
      </c>
      <c r="C27" s="135" t="s">
        <v>1369</v>
      </c>
      <c r="D27" s="136" t="s">
        <v>2718</v>
      </c>
      <c r="E27" s="78" t="s">
        <v>24</v>
      </c>
      <c r="F27" s="80"/>
      <c r="G27" s="234"/>
      <c r="H27" s="234"/>
      <c r="I27" s="266"/>
      <c r="J27" s="223">
        <v>1890000</v>
      </c>
      <c r="K27" s="267"/>
      <c r="L27" s="156"/>
      <c r="M27" s="189"/>
      <c r="N27" s="189"/>
      <c r="O27" s="268">
        <f t="shared" si="0"/>
        <v>1890000</v>
      </c>
      <c r="P27" s="272">
        <v>8045455</v>
      </c>
      <c r="Q27" s="270">
        <f t="shared" si="1"/>
        <v>6155455</v>
      </c>
      <c r="R27" s="195"/>
      <c r="S27" s="333"/>
      <c r="T27" s="195"/>
    </row>
    <row r="28" spans="1:20" ht="20.100000000000001" customHeight="1" x14ac:dyDescent="0.25">
      <c r="A28" s="75">
        <v>21</v>
      </c>
      <c r="B28" s="133">
        <v>43736</v>
      </c>
      <c r="C28" s="135" t="s">
        <v>606</v>
      </c>
      <c r="D28" s="136" t="s">
        <v>2719</v>
      </c>
      <c r="E28" s="78" t="s">
        <v>2720</v>
      </c>
      <c r="F28" s="80"/>
      <c r="G28" s="234">
        <v>280</v>
      </c>
      <c r="H28" s="234">
        <f t="shared" si="3"/>
        <v>4536000</v>
      </c>
      <c r="I28" s="266"/>
      <c r="J28" s="223">
        <v>970000</v>
      </c>
      <c r="K28" s="267"/>
      <c r="L28" s="156"/>
      <c r="M28" s="189"/>
      <c r="N28" s="189"/>
      <c r="O28" s="268">
        <f t="shared" si="0"/>
        <v>5506000</v>
      </c>
      <c r="P28" s="272">
        <v>4100000</v>
      </c>
      <c r="Q28" s="270">
        <f t="shared" si="1"/>
        <v>-1406000</v>
      </c>
      <c r="R28" s="195"/>
      <c r="S28" s="333"/>
      <c r="T28" s="195"/>
    </row>
    <row r="29" spans="1:20" ht="20.100000000000001" customHeight="1" x14ac:dyDescent="0.25">
      <c r="A29" s="75">
        <v>22</v>
      </c>
      <c r="B29" s="133">
        <v>43738</v>
      </c>
      <c r="C29" s="135" t="s">
        <v>2721</v>
      </c>
      <c r="D29" s="136" t="s">
        <v>2722</v>
      </c>
      <c r="E29" s="78" t="s">
        <v>2553</v>
      </c>
      <c r="F29" s="80"/>
      <c r="G29" s="234">
        <v>110</v>
      </c>
      <c r="H29" s="234">
        <f t="shared" si="3"/>
        <v>1782000</v>
      </c>
      <c r="I29" s="266"/>
      <c r="J29" s="223">
        <f>790000+300000</f>
        <v>1090000</v>
      </c>
      <c r="K29" s="267"/>
      <c r="L29" s="156"/>
      <c r="M29" s="189"/>
      <c r="N29" s="189"/>
      <c r="O29" s="268">
        <f t="shared" si="0"/>
        <v>2872000</v>
      </c>
      <c r="P29" s="272">
        <v>4772727</v>
      </c>
      <c r="Q29" s="270">
        <f t="shared" si="1"/>
        <v>1900727</v>
      </c>
      <c r="R29" s="195"/>
      <c r="S29" s="333"/>
      <c r="T29" s="195"/>
    </row>
    <row r="30" spans="1:20" ht="20.100000000000001" customHeight="1" x14ac:dyDescent="0.25">
      <c r="A30" s="75">
        <v>23</v>
      </c>
      <c r="B30" s="133">
        <v>43738</v>
      </c>
      <c r="C30" s="135" t="s">
        <v>2723</v>
      </c>
      <c r="D30" s="136" t="s">
        <v>2722</v>
      </c>
      <c r="E30" s="78" t="s">
        <v>2724</v>
      </c>
      <c r="F30" s="80"/>
      <c r="G30" s="234"/>
      <c r="H30" s="234"/>
      <c r="I30" s="266"/>
      <c r="J30" s="223">
        <v>0</v>
      </c>
      <c r="K30" s="267"/>
      <c r="L30" s="156"/>
      <c r="M30" s="189"/>
      <c r="N30" s="189"/>
      <c r="O30" s="268">
        <f t="shared" si="0"/>
        <v>0</v>
      </c>
      <c r="P30" s="272">
        <v>1181818</v>
      </c>
      <c r="Q30" s="270">
        <f t="shared" si="1"/>
        <v>1181818</v>
      </c>
      <c r="R30" s="195"/>
      <c r="S30" s="333"/>
      <c r="T30" s="195"/>
    </row>
    <row r="31" spans="1:20" ht="20.100000000000001" customHeight="1" x14ac:dyDescent="0.25">
      <c r="A31" s="75"/>
      <c r="B31" s="133"/>
      <c r="C31" s="138"/>
      <c r="D31" s="139"/>
      <c r="E31" s="78"/>
      <c r="F31" s="110"/>
      <c r="G31" s="273"/>
      <c r="H31" s="271"/>
      <c r="I31" s="266"/>
      <c r="J31" s="194"/>
      <c r="K31" s="267"/>
      <c r="L31" s="156"/>
      <c r="M31" s="194"/>
      <c r="N31" s="194"/>
      <c r="O31" s="268">
        <f t="shared" si="0"/>
        <v>0</v>
      </c>
      <c r="P31" s="274"/>
      <c r="Q31" s="270">
        <f t="shared" si="1"/>
        <v>0</v>
      </c>
      <c r="R31" s="195"/>
      <c r="S31" s="195"/>
      <c r="T31" s="195"/>
    </row>
    <row r="32" spans="1:20" ht="18" customHeight="1" x14ac:dyDescent="0.25">
      <c r="A32" s="75"/>
      <c r="B32" s="133"/>
      <c r="C32" s="170" t="s">
        <v>1273</v>
      </c>
      <c r="D32" s="162"/>
      <c r="E32" s="153"/>
      <c r="F32" s="163"/>
      <c r="G32" s="281"/>
      <c r="H32" s="282"/>
      <c r="I32" s="280"/>
      <c r="J32" s="194"/>
      <c r="K32" s="267"/>
      <c r="L32" s="318">
        <v>1320000</v>
      </c>
      <c r="M32" s="194"/>
      <c r="N32" s="194"/>
      <c r="O32" s="268">
        <f t="shared" si="0"/>
        <v>1320000</v>
      </c>
      <c r="P32" s="264"/>
      <c r="Q32" s="270">
        <f t="shared" si="1"/>
        <v>-1320000</v>
      </c>
    </row>
    <row r="33" spans="1:19" x14ac:dyDescent="0.25">
      <c r="A33" s="134"/>
      <c r="B33" s="137"/>
      <c r="C33" s="170" t="s">
        <v>2725</v>
      </c>
      <c r="D33" s="162"/>
      <c r="E33" s="167"/>
      <c r="F33" s="163"/>
      <c r="G33" s="281"/>
      <c r="H33" s="282"/>
      <c r="I33" s="280"/>
      <c r="J33" s="194"/>
      <c r="K33" s="278"/>
      <c r="L33" s="334">
        <v>170000</v>
      </c>
      <c r="M33" s="194"/>
      <c r="N33" s="194"/>
      <c r="O33" s="268">
        <f t="shared" si="0"/>
        <v>170000</v>
      </c>
      <c r="P33" s="265"/>
      <c r="Q33" s="270">
        <f t="shared" si="1"/>
        <v>-170000</v>
      </c>
    </row>
    <row r="34" spans="1:19" ht="26.25" x14ac:dyDescent="0.25">
      <c r="A34" s="134"/>
      <c r="B34" s="137"/>
      <c r="C34" s="170" t="s">
        <v>2726</v>
      </c>
      <c r="D34" s="162"/>
      <c r="E34" s="167"/>
      <c r="F34" s="163"/>
      <c r="G34" s="281"/>
      <c r="H34" s="282"/>
      <c r="I34" s="280"/>
      <c r="J34" s="194"/>
      <c r="K34" s="278"/>
      <c r="L34" s="334">
        <v>220000</v>
      </c>
      <c r="M34" s="194"/>
      <c r="N34" s="194"/>
      <c r="O34" s="268">
        <f t="shared" si="0"/>
        <v>220000</v>
      </c>
      <c r="P34" s="265"/>
      <c r="Q34" s="270">
        <f t="shared" si="1"/>
        <v>-220000</v>
      </c>
    </row>
    <row r="35" spans="1:19" ht="26.25" x14ac:dyDescent="0.25">
      <c r="A35" s="134"/>
      <c r="B35" s="137"/>
      <c r="C35" s="170" t="s">
        <v>2727</v>
      </c>
      <c r="D35" s="162"/>
      <c r="E35" s="167"/>
      <c r="F35" s="163"/>
      <c r="G35" s="281"/>
      <c r="H35" s="282"/>
      <c r="I35" s="280"/>
      <c r="J35" s="194"/>
      <c r="K35" s="278"/>
      <c r="L35" s="334">
        <v>3200000</v>
      </c>
      <c r="M35" s="113"/>
      <c r="N35" s="194"/>
      <c r="O35" s="268">
        <f t="shared" si="0"/>
        <v>3200000</v>
      </c>
      <c r="P35" s="265"/>
      <c r="Q35" s="270">
        <f t="shared" si="1"/>
        <v>-3200000</v>
      </c>
    </row>
    <row r="36" spans="1:19" ht="26.25" x14ac:dyDescent="0.25">
      <c r="A36" s="134"/>
      <c r="B36" s="137"/>
      <c r="C36" s="170" t="s">
        <v>2728</v>
      </c>
      <c r="D36" s="162"/>
      <c r="E36" s="167"/>
      <c r="F36" s="163"/>
      <c r="G36" s="281"/>
      <c r="H36" s="282"/>
      <c r="I36" s="280"/>
      <c r="J36" s="194"/>
      <c r="K36" s="278"/>
      <c r="L36" s="334">
        <v>2300000</v>
      </c>
      <c r="M36" s="113"/>
      <c r="N36" s="194"/>
      <c r="O36" s="268">
        <f t="shared" si="0"/>
        <v>2300000</v>
      </c>
      <c r="P36" s="265"/>
      <c r="Q36" s="270">
        <f t="shared" si="1"/>
        <v>-2300000</v>
      </c>
    </row>
    <row r="37" spans="1:19" x14ac:dyDescent="0.25">
      <c r="A37" s="134"/>
      <c r="B37" s="137"/>
      <c r="C37" s="170" t="s">
        <v>2729</v>
      </c>
      <c r="D37" s="162"/>
      <c r="E37" s="167"/>
      <c r="F37" s="163"/>
      <c r="G37" s="281"/>
      <c r="H37" s="282"/>
      <c r="I37" s="280"/>
      <c r="J37" s="194"/>
      <c r="K37" s="113"/>
      <c r="L37" s="166"/>
      <c r="M37" s="194"/>
      <c r="N37" s="301">
        <v>1650000</v>
      </c>
      <c r="O37" s="268">
        <f t="shared" si="0"/>
        <v>1650000</v>
      </c>
      <c r="P37" s="265"/>
      <c r="Q37" s="270">
        <f t="shared" si="1"/>
        <v>-1650000</v>
      </c>
    </row>
    <row r="38" spans="1:19" ht="26.25" x14ac:dyDescent="0.25">
      <c r="A38" s="134"/>
      <c r="B38" s="137"/>
      <c r="C38" s="170" t="s">
        <v>2730</v>
      </c>
      <c r="D38" s="162"/>
      <c r="E38" s="167"/>
      <c r="F38" s="163"/>
      <c r="G38" s="281"/>
      <c r="H38" s="282"/>
      <c r="I38" s="280"/>
      <c r="J38" s="194"/>
      <c r="K38" s="113"/>
      <c r="L38" s="334">
        <v>2400000</v>
      </c>
      <c r="M38" s="194"/>
      <c r="N38" s="194"/>
      <c r="O38" s="268">
        <f t="shared" si="0"/>
        <v>2400000</v>
      </c>
      <c r="P38" s="265"/>
      <c r="Q38" s="270">
        <f t="shared" si="1"/>
        <v>-2400000</v>
      </c>
    </row>
    <row r="39" spans="1:19" x14ac:dyDescent="0.25">
      <c r="A39" s="134"/>
      <c r="B39" s="137"/>
      <c r="C39" s="170" t="s">
        <v>2732</v>
      </c>
      <c r="D39" s="162"/>
      <c r="E39" s="167"/>
      <c r="F39" s="163"/>
      <c r="G39" s="281"/>
      <c r="H39" s="282"/>
      <c r="I39" s="280"/>
      <c r="J39" s="194"/>
      <c r="K39" s="113"/>
      <c r="L39" s="166"/>
      <c r="M39" s="194"/>
      <c r="N39" s="301">
        <f>11900000/4</f>
        <v>2975000</v>
      </c>
      <c r="O39" s="268">
        <f t="shared" si="0"/>
        <v>2975000</v>
      </c>
      <c r="P39" s="265"/>
      <c r="Q39" s="270">
        <f t="shared" si="1"/>
        <v>-2975000</v>
      </c>
    </row>
    <row r="40" spans="1:19" x14ac:dyDescent="0.25">
      <c r="A40" s="134"/>
      <c r="B40" s="137"/>
      <c r="C40" s="170" t="s">
        <v>1088</v>
      </c>
      <c r="D40" s="162"/>
      <c r="E40" s="167"/>
      <c r="F40" s="163"/>
      <c r="G40" s="281"/>
      <c r="H40" s="282"/>
      <c r="I40" s="280"/>
      <c r="J40" s="194"/>
      <c r="K40" s="113"/>
      <c r="L40" s="334">
        <v>620000</v>
      </c>
      <c r="M40" s="194"/>
      <c r="N40" s="194"/>
      <c r="O40" s="268">
        <f t="shared" si="0"/>
        <v>620000</v>
      </c>
      <c r="P40" s="265"/>
      <c r="Q40" s="270">
        <f t="shared" si="1"/>
        <v>-620000</v>
      </c>
    </row>
    <row r="41" spans="1:19" x14ac:dyDescent="0.25">
      <c r="A41" s="134"/>
      <c r="B41" s="137"/>
      <c r="C41" s="170" t="s">
        <v>2731</v>
      </c>
      <c r="D41" s="162"/>
      <c r="E41" s="167"/>
      <c r="F41" s="163"/>
      <c r="G41" s="281"/>
      <c r="H41" s="282"/>
      <c r="I41" s="280"/>
      <c r="J41" s="194"/>
      <c r="K41" s="113"/>
      <c r="L41" s="334">
        <v>650000</v>
      </c>
      <c r="M41" s="194"/>
      <c r="N41" s="194"/>
      <c r="O41" s="268">
        <f t="shared" si="0"/>
        <v>650000</v>
      </c>
      <c r="P41" s="265"/>
      <c r="Q41" s="270">
        <f t="shared" si="1"/>
        <v>-650000</v>
      </c>
    </row>
    <row r="42" spans="1:19" x14ac:dyDescent="0.25">
      <c r="A42" s="134"/>
      <c r="B42" s="137"/>
      <c r="C42" s="170" t="s">
        <v>2016</v>
      </c>
      <c r="D42" s="162"/>
      <c r="E42" s="167"/>
      <c r="F42" s="163"/>
      <c r="G42" s="281"/>
      <c r="H42" s="282"/>
      <c r="I42" s="280"/>
      <c r="J42" s="194"/>
      <c r="K42" s="113"/>
      <c r="L42" s="334">
        <v>220000</v>
      </c>
      <c r="M42" s="194"/>
      <c r="N42" s="194"/>
      <c r="O42" s="268">
        <f t="shared" si="0"/>
        <v>220000</v>
      </c>
      <c r="P42" s="265"/>
      <c r="Q42" s="270">
        <f t="shared" si="1"/>
        <v>-220000</v>
      </c>
    </row>
    <row r="43" spans="1:19" x14ac:dyDescent="0.25">
      <c r="A43" s="134"/>
      <c r="B43" s="103"/>
      <c r="C43" s="108" t="s">
        <v>1386</v>
      </c>
      <c r="D43" s="87"/>
      <c r="E43" s="70"/>
      <c r="F43" s="110"/>
      <c r="G43" s="281"/>
      <c r="H43" s="282"/>
      <c r="I43" s="280"/>
      <c r="J43" s="194"/>
      <c r="K43" s="283">
        <v>9000000</v>
      </c>
      <c r="L43" s="141"/>
      <c r="M43" s="194"/>
      <c r="N43" s="194"/>
      <c r="O43" s="268">
        <f t="shared" si="0"/>
        <v>9000000</v>
      </c>
      <c r="P43" s="265"/>
      <c r="Q43" s="270">
        <f t="shared" si="1"/>
        <v>-9000000</v>
      </c>
    </row>
    <row r="44" spans="1:19" x14ac:dyDescent="0.25">
      <c r="A44" s="547" t="s">
        <v>19</v>
      </c>
      <c r="B44" s="548"/>
      <c r="C44" s="548"/>
      <c r="D44" s="548"/>
      <c r="E44" s="548"/>
      <c r="F44" s="549"/>
      <c r="G44" s="305">
        <f>SUM(G8:G43)</f>
        <v>2935</v>
      </c>
      <c r="H44" s="291">
        <f t="shared" ref="H44:Q44" si="4">SUM(H7:H43)</f>
        <v>47693900</v>
      </c>
      <c r="I44" s="291">
        <f t="shared" si="4"/>
        <v>0</v>
      </c>
      <c r="J44" s="291">
        <f t="shared" si="4"/>
        <v>31870000</v>
      </c>
      <c r="K44" s="291">
        <f t="shared" si="4"/>
        <v>9000000</v>
      </c>
      <c r="L44" s="309">
        <f t="shared" si="4"/>
        <v>11100000</v>
      </c>
      <c r="M44" s="291">
        <f t="shared" si="4"/>
        <v>0</v>
      </c>
      <c r="N44" s="291">
        <f t="shared" si="4"/>
        <v>4625000</v>
      </c>
      <c r="O44" s="291">
        <f t="shared" si="4"/>
        <v>104288900</v>
      </c>
      <c r="P44" s="291">
        <f>SUM(P7:P43)</f>
        <v>144950910</v>
      </c>
      <c r="Q44" s="297">
        <f t="shared" si="4"/>
        <v>40662010</v>
      </c>
      <c r="R44" s="195"/>
      <c r="S44" s="195"/>
    </row>
    <row r="45" spans="1:19" x14ac:dyDescent="0.25">
      <c r="P45" s="294"/>
      <c r="Q45" s="295"/>
    </row>
    <row r="46" spans="1:19" x14ac:dyDescent="0.25">
      <c r="B46"/>
      <c r="G46"/>
      <c r="H46" s="294"/>
      <c r="P46" s="296" t="s">
        <v>1225</v>
      </c>
      <c r="Q46" s="304">
        <f>'08.2019'!Q45+'09.2019'!Q44</f>
        <v>293409954.69230771</v>
      </c>
    </row>
    <row r="47" spans="1:19" x14ac:dyDescent="0.25">
      <c r="B47"/>
      <c r="G47"/>
      <c r="Q47" s="294"/>
    </row>
    <row r="48" spans="1:19" x14ac:dyDescent="0.25">
      <c r="B48"/>
      <c r="G48"/>
      <c r="R48" s="195"/>
    </row>
  </sheetData>
  <mergeCells count="5">
    <mergeCell ref="A1:Q1"/>
    <mergeCell ref="A2:Q2"/>
    <mergeCell ref="A3:Q3"/>
    <mergeCell ref="G5:N5"/>
    <mergeCell ref="A44:F44"/>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T44"/>
  <sheetViews>
    <sheetView topLeftCell="D30" workbookViewId="0">
      <selection activeCell="Q42" sqref="Q42"/>
    </sheetView>
  </sheetViews>
  <sheetFormatPr defaultRowHeight="15" x14ac:dyDescent="0.25"/>
  <cols>
    <col min="1" max="1" width="4.5703125" customWidth="1"/>
    <col min="2" max="2" width="9.140625" style="332"/>
    <col min="3" max="3" width="41.28515625" customWidth="1"/>
    <col min="4" max="4" width="16.5703125" customWidth="1"/>
    <col min="5" max="5" width="33.140625" customWidth="1"/>
    <col min="7" max="7" width="9.140625" style="292"/>
    <col min="8" max="8" width="10.140625" style="292" bestFit="1" customWidth="1"/>
    <col min="9" max="9" width="9.140625" style="293"/>
    <col min="10" max="10" width="9.140625" style="292"/>
    <col min="11" max="11" width="9.42578125" style="292" bestFit="1" customWidth="1"/>
    <col min="12" max="12" width="9.140625" style="173"/>
    <col min="13" max="14" width="9.140625" style="292"/>
    <col min="15" max="15" width="11.140625" style="292" customWidth="1"/>
    <col min="16" max="16" width="10.7109375" style="292" customWidth="1"/>
    <col min="17" max="17" width="12.28515625" style="292" customWidth="1"/>
    <col min="18" max="18" width="11.7109375" customWidth="1"/>
    <col min="19" max="19" width="18"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2733</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257"/>
      <c r="H4" s="258"/>
      <c r="I4" s="258"/>
      <c r="J4" s="258"/>
      <c r="K4" s="258"/>
      <c r="L4" s="91"/>
      <c r="M4" s="258"/>
      <c r="N4" s="258"/>
      <c r="O4" s="258"/>
      <c r="P4" s="258"/>
      <c r="Q4" s="258"/>
    </row>
    <row r="5" spans="1:20"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20"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20" x14ac:dyDescent="0.25">
      <c r="A7" s="75"/>
      <c r="B7" s="100"/>
      <c r="C7" s="88"/>
      <c r="D7" s="88"/>
      <c r="E7" s="134"/>
      <c r="F7" s="75"/>
      <c r="G7" s="263"/>
      <c r="H7" s="264"/>
      <c r="I7" s="264"/>
      <c r="J7" s="264"/>
      <c r="K7" s="264"/>
      <c r="L7" s="308"/>
      <c r="M7" s="264"/>
      <c r="N7" s="264"/>
      <c r="O7" s="264">
        <f>H7+J7+K7+L7+M7+N7</f>
        <v>0</v>
      </c>
      <c r="P7" s="265"/>
      <c r="Q7" s="264">
        <f>P7-O7</f>
        <v>0</v>
      </c>
    </row>
    <row r="8" spans="1:20" ht="20.100000000000001" customHeight="1" x14ac:dyDescent="0.25">
      <c r="A8" s="75">
        <v>1</v>
      </c>
      <c r="B8" s="133">
        <v>43740</v>
      </c>
      <c r="C8" s="135" t="s">
        <v>2734</v>
      </c>
      <c r="D8" s="136" t="s">
        <v>2749</v>
      </c>
      <c r="E8" s="78" t="s">
        <v>301</v>
      </c>
      <c r="F8" s="80"/>
      <c r="G8" s="234"/>
      <c r="H8" s="234"/>
      <c r="I8" s="266"/>
      <c r="J8" s="263">
        <v>3820000</v>
      </c>
      <c r="K8" s="267"/>
      <c r="L8" s="156"/>
      <c r="M8" s="189"/>
      <c r="N8" s="189"/>
      <c r="O8" s="268">
        <f>H8+J8+K8+L8+M8+N8</f>
        <v>3820000</v>
      </c>
      <c r="P8" s="272">
        <v>19545455</v>
      </c>
      <c r="Q8" s="270">
        <f>P8-O8</f>
        <v>15725455</v>
      </c>
      <c r="R8" s="195"/>
      <c r="S8" s="333"/>
      <c r="T8" s="195"/>
    </row>
    <row r="9" spans="1:20" ht="20.100000000000001" customHeight="1" x14ac:dyDescent="0.25">
      <c r="A9" s="75">
        <v>2</v>
      </c>
      <c r="B9" s="133">
        <v>43741</v>
      </c>
      <c r="C9" s="135" t="s">
        <v>2735</v>
      </c>
      <c r="D9" s="172" t="s">
        <v>2750</v>
      </c>
      <c r="E9" s="78" t="s">
        <v>2673</v>
      </c>
      <c r="F9" s="80"/>
      <c r="G9" s="234">
        <v>330</v>
      </c>
      <c r="H9" s="234">
        <f>G9*16630</f>
        <v>5487900</v>
      </c>
      <c r="I9" s="266"/>
      <c r="J9" s="263">
        <v>650000</v>
      </c>
      <c r="K9" s="267"/>
      <c r="L9" s="156"/>
      <c r="M9" s="189"/>
      <c r="N9" s="189"/>
      <c r="O9" s="268">
        <f t="shared" ref="O9:O39" si="0">H9+J9+K9+L9+M9+N9</f>
        <v>6137900</v>
      </c>
      <c r="P9" s="272">
        <v>3118182</v>
      </c>
      <c r="Q9" s="270">
        <f t="shared" ref="Q9:Q39" si="1">P9-O9</f>
        <v>-3019718</v>
      </c>
      <c r="R9" s="195"/>
      <c r="S9" s="333"/>
      <c r="T9" s="195"/>
    </row>
    <row r="10" spans="1:20" ht="20.100000000000001" customHeight="1" x14ac:dyDescent="0.25">
      <c r="A10" s="75">
        <v>3</v>
      </c>
      <c r="B10" s="133">
        <v>43742</v>
      </c>
      <c r="C10" s="135" t="s">
        <v>2736</v>
      </c>
      <c r="D10" s="136" t="s">
        <v>2751</v>
      </c>
      <c r="E10" s="78" t="s">
        <v>25</v>
      </c>
      <c r="F10" s="80"/>
      <c r="G10" s="234"/>
      <c r="H10" s="234"/>
      <c r="I10" s="266"/>
      <c r="J10" s="263">
        <v>790000</v>
      </c>
      <c r="K10" s="267"/>
      <c r="L10" s="156"/>
      <c r="M10" s="189"/>
      <c r="N10" s="189"/>
      <c r="O10" s="268">
        <f t="shared" si="0"/>
        <v>790000</v>
      </c>
      <c r="P10" s="272">
        <v>3800000</v>
      </c>
      <c r="Q10" s="270">
        <f t="shared" si="1"/>
        <v>3010000</v>
      </c>
      <c r="R10" s="195"/>
      <c r="S10" s="333"/>
      <c r="T10" s="195"/>
    </row>
    <row r="11" spans="1:20" ht="20.100000000000001" customHeight="1" x14ac:dyDescent="0.25">
      <c r="A11" s="75">
        <v>4</v>
      </c>
      <c r="B11" s="133">
        <v>43746</v>
      </c>
      <c r="C11" s="135" t="s">
        <v>2737</v>
      </c>
      <c r="D11" s="136" t="s">
        <v>478</v>
      </c>
      <c r="E11" s="78" t="s">
        <v>2768</v>
      </c>
      <c r="F11" s="80"/>
      <c r="G11" s="234">
        <v>260</v>
      </c>
      <c r="H11" s="234">
        <f t="shared" ref="H11:H15" si="2">G11*16630</f>
        <v>4323800</v>
      </c>
      <c r="I11" s="266"/>
      <c r="J11" s="263">
        <v>970000</v>
      </c>
      <c r="K11" s="267"/>
      <c r="L11" s="156"/>
      <c r="M11" s="189"/>
      <c r="N11" s="189"/>
      <c r="O11" s="268">
        <f t="shared" si="0"/>
        <v>5293800</v>
      </c>
      <c r="P11" s="272">
        <v>3890909</v>
      </c>
      <c r="Q11" s="270">
        <f t="shared" si="1"/>
        <v>-1402891</v>
      </c>
      <c r="R11" s="195"/>
      <c r="S11" s="333"/>
      <c r="T11" s="195"/>
    </row>
    <row r="12" spans="1:20" ht="20.100000000000001" customHeight="1" x14ac:dyDescent="0.25">
      <c r="A12" s="75">
        <v>5</v>
      </c>
      <c r="B12" s="133">
        <v>43747</v>
      </c>
      <c r="C12" s="135" t="s">
        <v>2738</v>
      </c>
      <c r="D12" s="136" t="s">
        <v>2752</v>
      </c>
      <c r="E12" s="78" t="s">
        <v>301</v>
      </c>
      <c r="F12" s="80"/>
      <c r="G12" s="234">
        <v>340</v>
      </c>
      <c r="H12" s="234">
        <f t="shared" si="2"/>
        <v>5654200</v>
      </c>
      <c r="I12" s="266"/>
      <c r="J12" s="263">
        <v>3820000</v>
      </c>
      <c r="K12" s="267"/>
      <c r="L12" s="156"/>
      <c r="M12" s="189"/>
      <c r="N12" s="189"/>
      <c r="O12" s="268">
        <f t="shared" si="0"/>
        <v>9474200</v>
      </c>
      <c r="P12" s="272">
        <v>19545455</v>
      </c>
      <c r="Q12" s="270">
        <f t="shared" si="1"/>
        <v>10071255</v>
      </c>
      <c r="R12" s="195"/>
      <c r="S12" s="333"/>
      <c r="T12" s="195"/>
    </row>
    <row r="13" spans="1:20" ht="20.100000000000001" customHeight="1" x14ac:dyDescent="0.25">
      <c r="A13" s="75">
        <v>6</v>
      </c>
      <c r="B13" s="133">
        <v>43749</v>
      </c>
      <c r="C13" s="135" t="s">
        <v>2739</v>
      </c>
      <c r="D13" s="136" t="s">
        <v>2753</v>
      </c>
      <c r="E13" s="78" t="s">
        <v>2439</v>
      </c>
      <c r="F13" s="80"/>
      <c r="G13" s="234"/>
      <c r="H13" s="234"/>
      <c r="I13" s="266"/>
      <c r="J13" s="263">
        <v>970000</v>
      </c>
      <c r="K13" s="267"/>
      <c r="L13" s="156"/>
      <c r="M13" s="189"/>
      <c r="N13" s="189"/>
      <c r="O13" s="268">
        <f t="shared" si="0"/>
        <v>970000</v>
      </c>
      <c r="P13" s="272">
        <v>4000000</v>
      </c>
      <c r="Q13" s="270">
        <f t="shared" si="1"/>
        <v>3030000</v>
      </c>
      <c r="R13" s="195"/>
      <c r="S13" s="333"/>
      <c r="T13" s="195"/>
    </row>
    <row r="14" spans="1:20" ht="20.100000000000001" customHeight="1" x14ac:dyDescent="0.25">
      <c r="A14" s="75">
        <v>7</v>
      </c>
      <c r="B14" s="133">
        <v>43750</v>
      </c>
      <c r="C14" s="135" t="s">
        <v>2740</v>
      </c>
      <c r="D14" s="136" t="s">
        <v>2754</v>
      </c>
      <c r="E14" s="78" t="s">
        <v>2769</v>
      </c>
      <c r="F14" s="80"/>
      <c r="G14" s="234"/>
      <c r="H14" s="234"/>
      <c r="I14" s="266"/>
      <c r="J14" s="263">
        <v>1200000</v>
      </c>
      <c r="K14" s="267"/>
      <c r="L14" s="156"/>
      <c r="M14" s="189"/>
      <c r="N14" s="189"/>
      <c r="O14" s="268">
        <f t="shared" si="0"/>
        <v>1200000</v>
      </c>
      <c r="P14" s="272">
        <v>4800000</v>
      </c>
      <c r="Q14" s="270">
        <f t="shared" si="1"/>
        <v>3600000</v>
      </c>
      <c r="R14" s="195"/>
      <c r="S14" s="333"/>
      <c r="T14" s="195"/>
    </row>
    <row r="15" spans="1:20" ht="20.100000000000001" customHeight="1" x14ac:dyDescent="0.25">
      <c r="A15" s="75">
        <v>8</v>
      </c>
      <c r="B15" s="133">
        <v>43752</v>
      </c>
      <c r="C15" s="135" t="s">
        <v>2741</v>
      </c>
      <c r="D15" s="136" t="s">
        <v>2755</v>
      </c>
      <c r="E15" s="78" t="s">
        <v>2770</v>
      </c>
      <c r="F15" s="80"/>
      <c r="G15" s="234">
        <v>340</v>
      </c>
      <c r="H15" s="234">
        <f t="shared" si="2"/>
        <v>5654200</v>
      </c>
      <c r="I15" s="266"/>
      <c r="J15" s="263">
        <v>1460000</v>
      </c>
      <c r="K15" s="267"/>
      <c r="L15" s="156"/>
      <c r="M15" s="189"/>
      <c r="N15" s="189"/>
      <c r="O15" s="268">
        <f t="shared" si="0"/>
        <v>7114200</v>
      </c>
      <c r="P15" s="272">
        <v>5260000</v>
      </c>
      <c r="Q15" s="270">
        <f t="shared" si="1"/>
        <v>-1854200</v>
      </c>
      <c r="R15" s="195"/>
      <c r="S15" s="333"/>
      <c r="T15" s="195"/>
    </row>
    <row r="16" spans="1:20" ht="20.100000000000001" customHeight="1" x14ac:dyDescent="0.25">
      <c r="A16" s="75">
        <v>9</v>
      </c>
      <c r="B16" s="133">
        <v>43753</v>
      </c>
      <c r="C16" s="135" t="s">
        <v>2742</v>
      </c>
      <c r="D16" s="136" t="s">
        <v>2756</v>
      </c>
      <c r="E16" s="78" t="s">
        <v>24</v>
      </c>
      <c r="F16" s="80"/>
      <c r="G16" s="234"/>
      <c r="H16" s="234"/>
      <c r="I16" s="266"/>
      <c r="J16" s="263">
        <v>1890000</v>
      </c>
      <c r="K16" s="267"/>
      <c r="L16" s="156"/>
      <c r="M16" s="189"/>
      <c r="N16" s="189"/>
      <c r="O16" s="268">
        <f t="shared" si="0"/>
        <v>1890000</v>
      </c>
      <c r="P16" s="272">
        <v>8045455</v>
      </c>
      <c r="Q16" s="270">
        <f t="shared" si="1"/>
        <v>6155455</v>
      </c>
      <c r="R16" s="195"/>
      <c r="S16" s="333"/>
      <c r="T16" s="195"/>
    </row>
    <row r="17" spans="1:20" ht="20.100000000000001" customHeight="1" x14ac:dyDescent="0.25">
      <c r="A17" s="75">
        <v>10</v>
      </c>
      <c r="B17" s="133">
        <v>43754</v>
      </c>
      <c r="C17" s="135" t="s">
        <v>2743</v>
      </c>
      <c r="D17" s="136" t="s">
        <v>2757</v>
      </c>
      <c r="E17" s="78" t="s">
        <v>2771</v>
      </c>
      <c r="F17" s="80"/>
      <c r="G17" s="234"/>
      <c r="H17" s="234"/>
      <c r="I17" s="266"/>
      <c r="J17" s="263">
        <v>650000</v>
      </c>
      <c r="K17" s="267"/>
      <c r="L17" s="156"/>
      <c r="M17" s="189"/>
      <c r="N17" s="189"/>
      <c r="O17" s="268">
        <f t="shared" si="0"/>
        <v>650000</v>
      </c>
      <c r="P17" s="272">
        <v>2527273</v>
      </c>
      <c r="Q17" s="270">
        <f t="shared" si="1"/>
        <v>1877273</v>
      </c>
      <c r="R17" s="195"/>
      <c r="S17" s="333"/>
      <c r="T17" s="195"/>
    </row>
    <row r="18" spans="1:20" ht="20.100000000000001" customHeight="1" x14ac:dyDescent="0.25">
      <c r="A18" s="75">
        <v>11</v>
      </c>
      <c r="B18" s="133">
        <v>43755</v>
      </c>
      <c r="C18" s="135" t="s">
        <v>2744</v>
      </c>
      <c r="D18" s="136" t="s">
        <v>2758</v>
      </c>
      <c r="E18" s="78" t="s">
        <v>960</v>
      </c>
      <c r="F18" s="80"/>
      <c r="G18" s="234">
        <v>330</v>
      </c>
      <c r="H18" s="234">
        <f>G18*16220</f>
        <v>5352600</v>
      </c>
      <c r="I18" s="266"/>
      <c r="J18" s="263">
        <f>970000+200000</f>
        <v>1170000</v>
      </c>
      <c r="K18" s="267"/>
      <c r="L18" s="156"/>
      <c r="M18" s="189"/>
      <c r="N18" s="189"/>
      <c r="O18" s="268">
        <f t="shared" si="0"/>
        <v>6522600</v>
      </c>
      <c r="P18" s="272">
        <v>4000000</v>
      </c>
      <c r="Q18" s="270">
        <f t="shared" si="1"/>
        <v>-2522600</v>
      </c>
      <c r="R18" s="195"/>
      <c r="S18" s="333"/>
      <c r="T18" s="195"/>
    </row>
    <row r="19" spans="1:20" ht="20.100000000000001" customHeight="1" x14ac:dyDescent="0.25">
      <c r="A19" s="75">
        <v>12</v>
      </c>
      <c r="B19" s="133">
        <v>43759</v>
      </c>
      <c r="C19" s="135" t="s">
        <v>2745</v>
      </c>
      <c r="D19" s="136" t="s">
        <v>2759</v>
      </c>
      <c r="E19" s="78" t="s">
        <v>706</v>
      </c>
      <c r="F19" s="80"/>
      <c r="G19" s="234"/>
      <c r="H19" s="234">
        <f t="shared" ref="H19:H26" si="3">G19*16220</f>
        <v>0</v>
      </c>
      <c r="I19" s="266"/>
      <c r="J19" s="263">
        <v>970000</v>
      </c>
      <c r="K19" s="267"/>
      <c r="L19" s="156"/>
      <c r="M19" s="189"/>
      <c r="N19" s="189"/>
      <c r="O19" s="268">
        <f t="shared" si="0"/>
        <v>970000</v>
      </c>
      <c r="P19" s="272">
        <v>3681818</v>
      </c>
      <c r="Q19" s="270">
        <f t="shared" si="1"/>
        <v>2711818</v>
      </c>
      <c r="R19" s="195"/>
      <c r="S19" s="333"/>
      <c r="T19" s="195"/>
    </row>
    <row r="20" spans="1:20" ht="20.100000000000001" customHeight="1" x14ac:dyDescent="0.25">
      <c r="A20" s="75">
        <v>13</v>
      </c>
      <c r="B20" s="133">
        <v>43760</v>
      </c>
      <c r="C20" s="135" t="s">
        <v>667</v>
      </c>
      <c r="D20" s="136" t="s">
        <v>2760</v>
      </c>
      <c r="E20" s="78" t="s">
        <v>27</v>
      </c>
      <c r="F20" s="80"/>
      <c r="G20" s="234">
        <v>160</v>
      </c>
      <c r="H20" s="234">
        <f t="shared" si="3"/>
        <v>2595200</v>
      </c>
      <c r="I20" s="266"/>
      <c r="J20" s="263">
        <v>790000</v>
      </c>
      <c r="K20" s="267"/>
      <c r="L20" s="156"/>
      <c r="M20" s="189"/>
      <c r="N20" s="189"/>
      <c r="O20" s="268">
        <f t="shared" si="0"/>
        <v>3385200</v>
      </c>
      <c r="P20" s="272">
        <v>2945455</v>
      </c>
      <c r="Q20" s="270">
        <f t="shared" si="1"/>
        <v>-439745</v>
      </c>
      <c r="R20" s="195"/>
      <c r="S20" s="333"/>
      <c r="T20" s="195"/>
    </row>
    <row r="21" spans="1:20" ht="20.100000000000001" customHeight="1" x14ac:dyDescent="0.25">
      <c r="A21" s="75">
        <v>14</v>
      </c>
      <c r="B21" s="133">
        <v>43761</v>
      </c>
      <c r="C21" s="135" t="s">
        <v>1403</v>
      </c>
      <c r="D21" s="136" t="s">
        <v>2761</v>
      </c>
      <c r="E21" s="78" t="s">
        <v>21</v>
      </c>
      <c r="F21" s="80"/>
      <c r="G21" s="234"/>
      <c r="H21" s="234">
        <f t="shared" si="3"/>
        <v>0</v>
      </c>
      <c r="I21" s="266"/>
      <c r="J21" s="263">
        <v>2740000</v>
      </c>
      <c r="K21" s="267"/>
      <c r="L21" s="156"/>
      <c r="M21" s="189"/>
      <c r="N21" s="189"/>
      <c r="O21" s="268">
        <f t="shared" si="0"/>
        <v>2740000</v>
      </c>
      <c r="P21" s="272">
        <v>12727273</v>
      </c>
      <c r="Q21" s="270">
        <f t="shared" si="1"/>
        <v>9987273</v>
      </c>
      <c r="R21" s="195"/>
      <c r="S21" s="333"/>
      <c r="T21" s="195"/>
    </row>
    <row r="22" spans="1:20" ht="20.100000000000001" customHeight="1" x14ac:dyDescent="0.25">
      <c r="A22" s="75">
        <v>15</v>
      </c>
      <c r="B22" s="133">
        <v>43762</v>
      </c>
      <c r="C22" s="135" t="s">
        <v>1404</v>
      </c>
      <c r="D22" s="136" t="s">
        <v>2762</v>
      </c>
      <c r="E22" s="78" t="s">
        <v>636</v>
      </c>
      <c r="F22" s="80"/>
      <c r="G22" s="234">
        <v>330</v>
      </c>
      <c r="H22" s="234">
        <f t="shared" si="3"/>
        <v>5352600</v>
      </c>
      <c r="I22" s="266"/>
      <c r="J22" s="263">
        <v>790000</v>
      </c>
      <c r="K22" s="267"/>
      <c r="L22" s="156"/>
      <c r="M22" s="189"/>
      <c r="N22" s="189"/>
      <c r="O22" s="268">
        <f t="shared" si="0"/>
        <v>6142600</v>
      </c>
      <c r="P22" s="272">
        <v>3700000</v>
      </c>
      <c r="Q22" s="270">
        <f t="shared" si="1"/>
        <v>-2442600</v>
      </c>
      <c r="R22" s="195"/>
      <c r="S22" s="333"/>
      <c r="T22" s="195"/>
    </row>
    <row r="23" spans="1:20" ht="20.100000000000001" customHeight="1" x14ac:dyDescent="0.25">
      <c r="A23" s="75">
        <v>16</v>
      </c>
      <c r="B23" s="133">
        <v>43763</v>
      </c>
      <c r="C23" s="135" t="s">
        <v>670</v>
      </c>
      <c r="D23" s="136" t="s">
        <v>2763</v>
      </c>
      <c r="E23" s="78" t="s">
        <v>1024</v>
      </c>
      <c r="F23" s="80"/>
      <c r="G23" s="234"/>
      <c r="H23" s="234">
        <f t="shared" si="3"/>
        <v>0</v>
      </c>
      <c r="I23" s="266"/>
      <c r="J23" s="263">
        <v>1160000</v>
      </c>
      <c r="K23" s="267"/>
      <c r="L23" s="156"/>
      <c r="M23" s="189"/>
      <c r="N23" s="189"/>
      <c r="O23" s="268">
        <f t="shared" si="0"/>
        <v>1160000</v>
      </c>
      <c r="P23" s="272">
        <v>5000000</v>
      </c>
      <c r="Q23" s="270">
        <f t="shared" si="1"/>
        <v>3840000</v>
      </c>
      <c r="R23" s="195"/>
      <c r="S23" s="333"/>
      <c r="T23" s="195"/>
    </row>
    <row r="24" spans="1:20" ht="20.100000000000001" customHeight="1" x14ac:dyDescent="0.25">
      <c r="A24" s="75">
        <v>17</v>
      </c>
      <c r="B24" s="133">
        <v>43766</v>
      </c>
      <c r="C24" s="135" t="s">
        <v>2746</v>
      </c>
      <c r="D24" s="136" t="s">
        <v>2764</v>
      </c>
      <c r="E24" s="78" t="s">
        <v>2772</v>
      </c>
      <c r="F24" s="80"/>
      <c r="G24" s="234">
        <v>285</v>
      </c>
      <c r="H24" s="234">
        <f t="shared" si="3"/>
        <v>4622700</v>
      </c>
      <c r="I24" s="266"/>
      <c r="J24" s="263">
        <v>1510000</v>
      </c>
      <c r="K24" s="267"/>
      <c r="L24" s="156"/>
      <c r="M24" s="189"/>
      <c r="N24" s="189"/>
      <c r="O24" s="268">
        <f t="shared" si="0"/>
        <v>6132700</v>
      </c>
      <c r="P24" s="272">
        <v>5600000</v>
      </c>
      <c r="Q24" s="270">
        <f t="shared" si="1"/>
        <v>-532700</v>
      </c>
      <c r="R24" s="195"/>
      <c r="S24" s="333"/>
      <c r="T24" s="195"/>
    </row>
    <row r="25" spans="1:20" ht="20.100000000000001" customHeight="1" x14ac:dyDescent="0.25">
      <c r="A25" s="75">
        <v>18</v>
      </c>
      <c r="B25" s="133">
        <v>43767</v>
      </c>
      <c r="C25" s="135" t="s">
        <v>2747</v>
      </c>
      <c r="D25" s="136" t="s">
        <v>2765</v>
      </c>
      <c r="E25" s="78" t="s">
        <v>21</v>
      </c>
      <c r="F25" s="80"/>
      <c r="G25" s="234"/>
      <c r="H25" s="234">
        <f t="shared" si="3"/>
        <v>0</v>
      </c>
      <c r="I25" s="266"/>
      <c r="J25" s="263">
        <v>2740000</v>
      </c>
      <c r="K25" s="267"/>
      <c r="L25" s="156"/>
      <c r="M25" s="189"/>
      <c r="N25" s="189"/>
      <c r="O25" s="268">
        <f t="shared" si="0"/>
        <v>2740000</v>
      </c>
      <c r="P25" s="272">
        <v>12181818</v>
      </c>
      <c r="Q25" s="270">
        <f t="shared" si="1"/>
        <v>9441818</v>
      </c>
      <c r="R25" s="195"/>
      <c r="S25" s="333"/>
      <c r="T25" s="195"/>
    </row>
    <row r="26" spans="1:20" ht="20.100000000000001" customHeight="1" x14ac:dyDescent="0.25">
      <c r="A26" s="75">
        <v>19</v>
      </c>
      <c r="B26" s="133">
        <v>43768</v>
      </c>
      <c r="C26" s="135" t="s">
        <v>2748</v>
      </c>
      <c r="D26" s="136" t="s">
        <v>2766</v>
      </c>
      <c r="E26" s="78" t="s">
        <v>1948</v>
      </c>
      <c r="F26" s="80"/>
      <c r="G26" s="234">
        <v>330</v>
      </c>
      <c r="H26" s="234">
        <f t="shared" si="3"/>
        <v>5352600</v>
      </c>
      <c r="I26" s="266"/>
      <c r="J26" s="263">
        <v>1150000</v>
      </c>
      <c r="K26" s="267"/>
      <c r="L26" s="156"/>
      <c r="M26" s="189"/>
      <c r="N26" s="189"/>
      <c r="O26" s="268">
        <f t="shared" si="0"/>
        <v>6502600</v>
      </c>
      <c r="P26" s="272">
        <v>3700000</v>
      </c>
      <c r="Q26" s="270">
        <f t="shared" si="1"/>
        <v>-2802600</v>
      </c>
      <c r="R26" s="195"/>
      <c r="S26" s="333"/>
      <c r="T26" s="195"/>
    </row>
    <row r="27" spans="1:20" ht="20.100000000000001" customHeight="1" x14ac:dyDescent="0.25">
      <c r="A27" s="75">
        <v>20</v>
      </c>
      <c r="B27" s="133">
        <v>43769</v>
      </c>
      <c r="C27" s="135" t="s">
        <v>676</v>
      </c>
      <c r="D27" s="136" t="s">
        <v>2767</v>
      </c>
      <c r="E27" s="78" t="s">
        <v>706</v>
      </c>
      <c r="F27" s="80"/>
      <c r="G27" s="234"/>
      <c r="H27" s="234"/>
      <c r="I27" s="266"/>
      <c r="J27" s="263">
        <v>970000</v>
      </c>
      <c r="K27" s="267"/>
      <c r="L27" s="156"/>
      <c r="M27" s="189"/>
      <c r="N27" s="189"/>
      <c r="O27" s="268">
        <f t="shared" si="0"/>
        <v>970000</v>
      </c>
      <c r="P27" s="272">
        <v>3681818</v>
      </c>
      <c r="Q27" s="270">
        <f t="shared" si="1"/>
        <v>2711818</v>
      </c>
      <c r="R27" s="195"/>
      <c r="S27" s="333"/>
      <c r="T27" s="195"/>
    </row>
    <row r="28" spans="1:20" ht="20.100000000000001" customHeight="1" x14ac:dyDescent="0.25">
      <c r="A28" s="75"/>
      <c r="B28" s="133"/>
      <c r="C28" s="135"/>
      <c r="D28" s="136"/>
      <c r="E28" s="78"/>
      <c r="F28" s="80"/>
      <c r="G28" s="234"/>
      <c r="H28" s="234"/>
      <c r="I28" s="266"/>
      <c r="J28" s="189"/>
      <c r="K28" s="267"/>
      <c r="L28" s="156"/>
      <c r="M28" s="189"/>
      <c r="N28" s="189"/>
      <c r="O28" s="268">
        <f t="shared" si="0"/>
        <v>0</v>
      </c>
      <c r="P28" s="272"/>
      <c r="Q28" s="270">
        <f t="shared" si="1"/>
        <v>0</v>
      </c>
      <c r="R28" s="195"/>
      <c r="S28" s="333"/>
      <c r="T28" s="195"/>
    </row>
    <row r="29" spans="1:20" ht="20.100000000000001" customHeight="1" x14ac:dyDescent="0.25">
      <c r="A29" s="75"/>
      <c r="B29" s="133"/>
      <c r="C29" s="138"/>
      <c r="D29" s="139"/>
      <c r="E29" s="78"/>
      <c r="F29" s="110"/>
      <c r="G29" s="273"/>
      <c r="H29" s="271"/>
      <c r="I29" s="266"/>
      <c r="J29" s="194"/>
      <c r="K29" s="267"/>
      <c r="L29" s="156"/>
      <c r="M29" s="194"/>
      <c r="N29" s="194"/>
      <c r="O29" s="268">
        <f t="shared" si="0"/>
        <v>0</v>
      </c>
      <c r="P29" s="274"/>
      <c r="Q29" s="270">
        <f t="shared" si="1"/>
        <v>0</v>
      </c>
      <c r="R29" s="195"/>
      <c r="S29" s="195"/>
      <c r="T29" s="195"/>
    </row>
    <row r="30" spans="1:20" ht="16.149999999999999" customHeight="1" x14ac:dyDescent="0.25">
      <c r="A30" s="75"/>
      <c r="B30" s="133"/>
      <c r="C30" s="564" t="s">
        <v>1273</v>
      </c>
      <c r="D30" s="565"/>
      <c r="E30" s="566"/>
      <c r="F30" s="163"/>
      <c r="G30" s="281"/>
      <c r="H30" s="282"/>
      <c r="I30" s="280"/>
      <c r="J30" s="194"/>
      <c r="K30" s="267"/>
      <c r="L30" s="154">
        <v>1320000</v>
      </c>
      <c r="M30" s="194"/>
      <c r="N30" s="194"/>
      <c r="O30" s="268">
        <f t="shared" si="0"/>
        <v>1320000</v>
      </c>
      <c r="P30" s="264"/>
      <c r="Q30" s="270">
        <f t="shared" si="1"/>
        <v>-1320000</v>
      </c>
    </row>
    <row r="31" spans="1:20" ht="16.149999999999999" customHeight="1" x14ac:dyDescent="0.25">
      <c r="A31" s="134"/>
      <c r="B31" s="137"/>
      <c r="C31" s="564" t="s">
        <v>2773</v>
      </c>
      <c r="D31" s="565"/>
      <c r="E31" s="566"/>
      <c r="F31" s="163"/>
      <c r="G31" s="281"/>
      <c r="H31" s="282"/>
      <c r="I31" s="280"/>
      <c r="J31" s="194"/>
      <c r="K31" s="278"/>
      <c r="L31" s="164">
        <v>350000</v>
      </c>
      <c r="M31" s="194"/>
      <c r="N31" s="194"/>
      <c r="O31" s="268">
        <f t="shared" si="0"/>
        <v>350000</v>
      </c>
      <c r="P31" s="265"/>
      <c r="Q31" s="270">
        <f t="shared" si="1"/>
        <v>-350000</v>
      </c>
    </row>
    <row r="32" spans="1:20" ht="16.149999999999999" customHeight="1" x14ac:dyDescent="0.25">
      <c r="A32" s="134"/>
      <c r="B32" s="137"/>
      <c r="C32" s="564" t="s">
        <v>2774</v>
      </c>
      <c r="D32" s="565"/>
      <c r="E32" s="566"/>
      <c r="F32" s="163"/>
      <c r="G32" s="281"/>
      <c r="H32" s="282"/>
      <c r="I32" s="280"/>
      <c r="J32" s="194"/>
      <c r="K32" s="278"/>
      <c r="L32" s="164">
        <v>480000</v>
      </c>
      <c r="M32" s="194"/>
      <c r="N32" s="194"/>
      <c r="O32" s="268">
        <f t="shared" si="0"/>
        <v>480000</v>
      </c>
      <c r="P32" s="265"/>
      <c r="Q32" s="270">
        <f t="shared" si="1"/>
        <v>-480000</v>
      </c>
    </row>
    <row r="33" spans="1:19" ht="16.149999999999999" customHeight="1" x14ac:dyDescent="0.25">
      <c r="A33" s="134"/>
      <c r="B33" s="137"/>
      <c r="C33" s="564" t="s">
        <v>2775</v>
      </c>
      <c r="D33" s="565"/>
      <c r="E33" s="566"/>
      <c r="F33" s="163"/>
      <c r="G33" s="281"/>
      <c r="H33" s="282"/>
      <c r="I33" s="280"/>
      <c r="J33" s="194"/>
      <c r="K33" s="278"/>
      <c r="L33" s="164">
        <v>350000</v>
      </c>
      <c r="M33" s="113"/>
      <c r="N33" s="194"/>
      <c r="O33" s="268">
        <f t="shared" si="0"/>
        <v>350000</v>
      </c>
      <c r="P33" s="265"/>
      <c r="Q33" s="270">
        <f t="shared" si="1"/>
        <v>-350000</v>
      </c>
    </row>
    <row r="34" spans="1:19" ht="16.149999999999999" customHeight="1" x14ac:dyDescent="0.25">
      <c r="A34" s="134"/>
      <c r="B34" s="137"/>
      <c r="C34" s="564" t="s">
        <v>1090</v>
      </c>
      <c r="D34" s="565"/>
      <c r="E34" s="566"/>
      <c r="F34" s="163"/>
      <c r="G34" s="281"/>
      <c r="H34" s="282"/>
      <c r="I34" s="280"/>
      <c r="J34" s="194"/>
      <c r="K34" s="278"/>
      <c r="L34" s="164">
        <v>8580000</v>
      </c>
      <c r="M34" s="113"/>
      <c r="N34" s="194"/>
      <c r="O34" s="268">
        <f t="shared" si="0"/>
        <v>8580000</v>
      </c>
      <c r="P34" s="265"/>
      <c r="Q34" s="270">
        <f t="shared" si="1"/>
        <v>-8580000</v>
      </c>
    </row>
    <row r="35" spans="1:19" ht="16.149999999999999" customHeight="1" x14ac:dyDescent="0.25">
      <c r="A35" s="134"/>
      <c r="B35" s="137"/>
      <c r="C35" s="564" t="s">
        <v>2776</v>
      </c>
      <c r="D35" s="565"/>
      <c r="E35" s="566"/>
      <c r="F35" s="163"/>
      <c r="G35" s="281"/>
      <c r="H35" s="282"/>
      <c r="I35" s="280"/>
      <c r="J35" s="194"/>
      <c r="K35" s="113"/>
      <c r="L35" s="166">
        <v>610000</v>
      </c>
      <c r="M35" s="194"/>
      <c r="N35" s="301"/>
      <c r="O35" s="268">
        <f t="shared" si="0"/>
        <v>610000</v>
      </c>
      <c r="P35" s="265"/>
      <c r="Q35" s="270">
        <f t="shared" si="1"/>
        <v>-610000</v>
      </c>
    </row>
    <row r="36" spans="1:19" ht="16.149999999999999" customHeight="1" x14ac:dyDescent="0.25">
      <c r="A36" s="134"/>
      <c r="B36" s="137"/>
      <c r="C36" s="564" t="s">
        <v>2450</v>
      </c>
      <c r="D36" s="565"/>
      <c r="E36" s="566"/>
      <c r="F36" s="163"/>
      <c r="G36" s="281"/>
      <c r="H36" s="282"/>
      <c r="I36" s="280"/>
      <c r="J36" s="194"/>
      <c r="K36" s="113"/>
      <c r="L36" s="164">
        <v>300000</v>
      </c>
      <c r="M36" s="194"/>
      <c r="N36" s="194"/>
      <c r="O36" s="268">
        <f t="shared" si="0"/>
        <v>300000</v>
      </c>
      <c r="P36" s="265"/>
      <c r="Q36" s="270">
        <f t="shared" si="1"/>
        <v>-300000</v>
      </c>
    </row>
    <row r="37" spans="1:19" ht="16.149999999999999" customHeight="1" x14ac:dyDescent="0.25">
      <c r="A37" s="134"/>
      <c r="B37" s="137"/>
      <c r="C37" s="564" t="s">
        <v>2777</v>
      </c>
      <c r="D37" s="565"/>
      <c r="E37" s="566"/>
      <c r="F37" s="163"/>
      <c r="G37" s="281"/>
      <c r="H37" s="282"/>
      <c r="I37" s="280"/>
      <c r="J37" s="194"/>
      <c r="K37" s="113"/>
      <c r="L37" s="166">
        <v>500000</v>
      </c>
      <c r="M37" s="194"/>
      <c r="N37" s="301"/>
      <c r="O37" s="268">
        <f t="shared" si="0"/>
        <v>500000</v>
      </c>
      <c r="P37" s="265"/>
      <c r="Q37" s="270">
        <f t="shared" si="1"/>
        <v>-500000</v>
      </c>
    </row>
    <row r="38" spans="1:19" ht="16.149999999999999" customHeight="1" x14ac:dyDescent="0.25">
      <c r="A38" s="134"/>
      <c r="B38" s="137"/>
      <c r="C38" s="564" t="s">
        <v>1775</v>
      </c>
      <c r="D38" s="565"/>
      <c r="E38" s="566"/>
      <c r="F38" s="163"/>
      <c r="G38" s="281"/>
      <c r="H38" s="282"/>
      <c r="I38" s="280"/>
      <c r="J38" s="194"/>
      <c r="K38" s="113"/>
      <c r="L38" s="164">
        <v>170000</v>
      </c>
      <c r="M38" s="194"/>
      <c r="N38" s="194"/>
      <c r="O38" s="268">
        <f t="shared" si="0"/>
        <v>170000</v>
      </c>
      <c r="P38" s="265"/>
      <c r="Q38" s="270">
        <f t="shared" si="1"/>
        <v>-170000</v>
      </c>
    </row>
    <row r="39" spans="1:19" ht="16.149999999999999" customHeight="1" x14ac:dyDescent="0.25">
      <c r="A39" s="134"/>
      <c r="B39" s="103"/>
      <c r="C39" s="567" t="s">
        <v>1386</v>
      </c>
      <c r="D39" s="568"/>
      <c r="E39" s="569"/>
      <c r="F39" s="110"/>
      <c r="G39" s="281"/>
      <c r="H39" s="282"/>
      <c r="I39" s="280"/>
      <c r="J39" s="194"/>
      <c r="K39" s="283">
        <v>9000000</v>
      </c>
      <c r="L39" s="141"/>
      <c r="M39" s="194"/>
      <c r="N39" s="194"/>
      <c r="O39" s="268">
        <f t="shared" si="0"/>
        <v>9000000</v>
      </c>
      <c r="P39" s="265"/>
      <c r="Q39" s="270">
        <f t="shared" si="1"/>
        <v>-9000000</v>
      </c>
    </row>
    <row r="40" spans="1:19" x14ac:dyDescent="0.25">
      <c r="A40" s="547" t="s">
        <v>19</v>
      </c>
      <c r="B40" s="548"/>
      <c r="C40" s="548"/>
      <c r="D40" s="548"/>
      <c r="E40" s="548"/>
      <c r="F40" s="549"/>
      <c r="G40" s="305">
        <f>SUM(G8:G39)</f>
        <v>2705</v>
      </c>
      <c r="H40" s="291">
        <f t="shared" ref="H40:Q40" si="4">SUM(H7:H39)</f>
        <v>44395800</v>
      </c>
      <c r="I40" s="291">
        <f t="shared" si="4"/>
        <v>0</v>
      </c>
      <c r="J40" s="291">
        <f t="shared" si="4"/>
        <v>30210000</v>
      </c>
      <c r="K40" s="291">
        <f t="shared" si="4"/>
        <v>9000000</v>
      </c>
      <c r="L40" s="309">
        <f t="shared" si="4"/>
        <v>12660000</v>
      </c>
      <c r="M40" s="291">
        <f t="shared" si="4"/>
        <v>0</v>
      </c>
      <c r="N40" s="291">
        <f t="shared" si="4"/>
        <v>0</v>
      </c>
      <c r="O40" s="291">
        <f t="shared" si="4"/>
        <v>96265800</v>
      </c>
      <c r="P40" s="291">
        <f>SUM(P7:P39)</f>
        <v>131750911</v>
      </c>
      <c r="Q40" s="297">
        <f t="shared" si="4"/>
        <v>35485111</v>
      </c>
      <c r="R40" s="195"/>
      <c r="S40" s="195"/>
    </row>
    <row r="41" spans="1:19" x14ac:dyDescent="0.25">
      <c r="P41" s="294"/>
      <c r="Q41" s="295"/>
    </row>
    <row r="42" spans="1:19" x14ac:dyDescent="0.25">
      <c r="B42"/>
      <c r="G42"/>
      <c r="H42" s="294"/>
      <c r="P42" s="296" t="s">
        <v>1225</v>
      </c>
      <c r="Q42" s="304">
        <f>'09.2019'!Q46+'10.2019'!Q40</f>
        <v>328895065.69230771</v>
      </c>
    </row>
    <row r="43" spans="1:19" x14ac:dyDescent="0.25">
      <c r="B43"/>
      <c r="G43"/>
      <c r="Q43" s="294"/>
    </row>
    <row r="44" spans="1:19" x14ac:dyDescent="0.25">
      <c r="B44"/>
      <c r="G44"/>
      <c r="R44" s="195"/>
    </row>
  </sheetData>
  <mergeCells count="15">
    <mergeCell ref="A1:Q1"/>
    <mergeCell ref="A2:Q2"/>
    <mergeCell ref="A3:Q3"/>
    <mergeCell ref="G5:N5"/>
    <mergeCell ref="A40:F40"/>
    <mergeCell ref="C30:E30"/>
    <mergeCell ref="C31:E31"/>
    <mergeCell ref="C32:E32"/>
    <mergeCell ref="C33:E33"/>
    <mergeCell ref="C34:E34"/>
    <mergeCell ref="C35:E35"/>
    <mergeCell ref="C36:E36"/>
    <mergeCell ref="C37:E37"/>
    <mergeCell ref="C38:E38"/>
    <mergeCell ref="C39:E39"/>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T44"/>
  <sheetViews>
    <sheetView topLeftCell="D27" workbookViewId="0">
      <selection activeCell="L37" sqref="L37"/>
    </sheetView>
  </sheetViews>
  <sheetFormatPr defaultRowHeight="15" x14ac:dyDescent="0.25"/>
  <cols>
    <col min="1" max="1" width="4.5703125" customWidth="1"/>
    <col min="2" max="2" width="9.140625" style="332"/>
    <col min="3" max="3" width="41.28515625" customWidth="1"/>
    <col min="4" max="4" width="16.5703125" customWidth="1"/>
    <col min="5" max="5" width="33.140625" customWidth="1"/>
    <col min="7" max="7" width="9.140625" style="292"/>
    <col min="8" max="8" width="10.140625" style="292" bestFit="1" customWidth="1"/>
    <col min="9" max="9" width="9.140625" style="293"/>
    <col min="10" max="10" width="9.140625" style="292"/>
    <col min="11" max="11" width="9.42578125" style="292" bestFit="1" customWidth="1"/>
    <col min="12" max="12" width="9.140625" style="173"/>
    <col min="13" max="14" width="9.140625" style="292"/>
    <col min="15" max="15" width="11.140625" style="292" customWidth="1"/>
    <col min="16" max="16" width="10.7109375" style="292" customWidth="1"/>
    <col min="17" max="17" width="12.28515625" style="292" customWidth="1"/>
    <col min="18" max="18" width="11.7109375" customWidth="1"/>
    <col min="19" max="19" width="18"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2778</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257"/>
      <c r="H4" s="258"/>
      <c r="I4" s="258"/>
      <c r="J4" s="258"/>
      <c r="K4" s="258"/>
      <c r="L4" s="91"/>
      <c r="M4" s="258"/>
      <c r="N4" s="258"/>
      <c r="O4" s="258"/>
      <c r="P4" s="258"/>
      <c r="Q4" s="258"/>
    </row>
    <row r="5" spans="1:20"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20"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20" x14ac:dyDescent="0.25">
      <c r="A7" s="75"/>
      <c r="B7" s="100"/>
      <c r="C7" s="88"/>
      <c r="D7" s="88"/>
      <c r="E7" s="134"/>
      <c r="F7" s="75"/>
      <c r="G7" s="263"/>
      <c r="H7" s="264"/>
      <c r="I7" s="264"/>
      <c r="J7" s="264"/>
      <c r="K7" s="264"/>
      <c r="L7" s="308"/>
      <c r="M7" s="264"/>
      <c r="N7" s="264"/>
      <c r="O7" s="264">
        <f>H7+J7+K7+L7+M7+N7</f>
        <v>0</v>
      </c>
      <c r="P7" s="265"/>
      <c r="Q7" s="264">
        <f>P7-O7</f>
        <v>0</v>
      </c>
    </row>
    <row r="8" spans="1:20" ht="20.100000000000001" customHeight="1" x14ac:dyDescent="0.25">
      <c r="A8" s="75">
        <v>1</v>
      </c>
      <c r="B8" s="133">
        <v>43770</v>
      </c>
      <c r="C8" s="135" t="s">
        <v>2779</v>
      </c>
      <c r="D8" s="136" t="s">
        <v>2799</v>
      </c>
      <c r="E8" s="78" t="s">
        <v>1023</v>
      </c>
      <c r="F8" s="80"/>
      <c r="G8" s="234">
        <v>205</v>
      </c>
      <c r="H8" s="234">
        <f>G8*16050</f>
        <v>3290250</v>
      </c>
      <c r="I8" s="266"/>
      <c r="J8" s="223">
        <v>1090000</v>
      </c>
      <c r="K8" s="267"/>
      <c r="L8" s="156"/>
      <c r="M8" s="189"/>
      <c r="N8" s="189"/>
      <c r="O8" s="268">
        <f>H8+J8+K8+L8+M8+N8</f>
        <v>4380250</v>
      </c>
      <c r="P8" s="272">
        <v>4500000</v>
      </c>
      <c r="Q8" s="270">
        <f>P8-O8</f>
        <v>119750</v>
      </c>
      <c r="R8" s="195"/>
      <c r="S8" s="333"/>
      <c r="T8" s="195"/>
    </row>
    <row r="9" spans="1:20" ht="20.100000000000001" customHeight="1" x14ac:dyDescent="0.25">
      <c r="A9" s="75">
        <v>2</v>
      </c>
      <c r="B9" s="133">
        <v>43771</v>
      </c>
      <c r="C9" s="135" t="s">
        <v>1437</v>
      </c>
      <c r="D9" s="172" t="s">
        <v>2800</v>
      </c>
      <c r="E9" s="78" t="s">
        <v>1382</v>
      </c>
      <c r="F9" s="80"/>
      <c r="G9" s="234"/>
      <c r="H9" s="234"/>
      <c r="I9" s="266"/>
      <c r="J9" s="223">
        <v>2740000</v>
      </c>
      <c r="K9" s="267"/>
      <c r="L9" s="156"/>
      <c r="M9" s="189"/>
      <c r="N9" s="189"/>
      <c r="O9" s="268">
        <f t="shared" ref="O9:O39" si="0">H9+J9+K9+L9+M9+N9</f>
        <v>2740000</v>
      </c>
      <c r="P9" s="272">
        <v>15000000</v>
      </c>
      <c r="Q9" s="270">
        <f t="shared" ref="Q9:Q39" si="1">P9-O9</f>
        <v>12260000</v>
      </c>
      <c r="R9" s="195"/>
      <c r="S9" s="333"/>
      <c r="T9" s="195"/>
    </row>
    <row r="10" spans="1:20" ht="20.100000000000001" customHeight="1" x14ac:dyDescent="0.25">
      <c r="A10" s="75">
        <v>3</v>
      </c>
      <c r="B10" s="133">
        <v>43774</v>
      </c>
      <c r="C10" s="135" t="s">
        <v>2780</v>
      </c>
      <c r="D10" s="136" t="s">
        <v>2801</v>
      </c>
      <c r="E10" s="78" t="s">
        <v>286</v>
      </c>
      <c r="F10" s="80"/>
      <c r="G10" s="234">
        <v>275</v>
      </c>
      <c r="H10" s="234">
        <f t="shared" ref="H10:H19" si="2">G10*16050</f>
        <v>4413750</v>
      </c>
      <c r="I10" s="266"/>
      <c r="J10" s="223">
        <v>1150000</v>
      </c>
      <c r="K10" s="267"/>
      <c r="L10" s="156"/>
      <c r="M10" s="189"/>
      <c r="N10" s="189"/>
      <c r="O10" s="268">
        <f t="shared" si="0"/>
        <v>5563750</v>
      </c>
      <c r="P10" s="272">
        <v>4000000</v>
      </c>
      <c r="Q10" s="270">
        <f t="shared" si="1"/>
        <v>-1563750</v>
      </c>
      <c r="R10" s="195"/>
      <c r="S10" s="333"/>
      <c r="T10" s="195"/>
    </row>
    <row r="11" spans="1:20" ht="20.100000000000001" customHeight="1" x14ac:dyDescent="0.25">
      <c r="A11" s="75">
        <v>4</v>
      </c>
      <c r="B11" s="133">
        <v>43775</v>
      </c>
      <c r="C11" s="135" t="s">
        <v>2138</v>
      </c>
      <c r="D11" s="136" t="s">
        <v>2802</v>
      </c>
      <c r="E11" s="78" t="s">
        <v>24</v>
      </c>
      <c r="F11" s="80"/>
      <c r="G11" s="234">
        <v>260</v>
      </c>
      <c r="H11" s="234">
        <f t="shared" si="2"/>
        <v>4173000</v>
      </c>
      <c r="I11" s="266"/>
      <c r="J11" s="223">
        <v>1890000</v>
      </c>
      <c r="K11" s="267"/>
      <c r="L11" s="156"/>
      <c r="M11" s="189"/>
      <c r="N11" s="189"/>
      <c r="O11" s="268">
        <f t="shared" si="0"/>
        <v>6063000</v>
      </c>
      <c r="P11" s="272">
        <v>8045455</v>
      </c>
      <c r="Q11" s="270">
        <f t="shared" si="1"/>
        <v>1982455</v>
      </c>
      <c r="R11" s="195"/>
      <c r="S11" s="333"/>
      <c r="T11" s="195"/>
    </row>
    <row r="12" spans="1:20" ht="20.100000000000001" customHeight="1" x14ac:dyDescent="0.25">
      <c r="A12" s="75">
        <v>5</v>
      </c>
      <c r="B12" s="133">
        <v>43776</v>
      </c>
      <c r="C12" s="135" t="s">
        <v>2781</v>
      </c>
      <c r="D12" s="136" t="s">
        <v>2803</v>
      </c>
      <c r="E12" s="78" t="s">
        <v>2007</v>
      </c>
      <c r="F12" s="80"/>
      <c r="G12" s="234"/>
      <c r="H12" s="234"/>
      <c r="I12" s="266"/>
      <c r="J12" s="223">
        <v>1150000</v>
      </c>
      <c r="K12" s="267"/>
      <c r="L12" s="156"/>
      <c r="M12" s="189"/>
      <c r="N12" s="189"/>
      <c r="O12" s="268">
        <f t="shared" si="0"/>
        <v>1150000</v>
      </c>
      <c r="P12" s="272">
        <v>3860000</v>
      </c>
      <c r="Q12" s="270">
        <f t="shared" si="1"/>
        <v>2710000</v>
      </c>
      <c r="R12" s="195"/>
      <c r="S12" s="333"/>
      <c r="T12" s="195"/>
    </row>
    <row r="13" spans="1:20" ht="20.100000000000001" customHeight="1" x14ac:dyDescent="0.25">
      <c r="A13" s="75">
        <v>6</v>
      </c>
      <c r="B13" s="133">
        <v>43777</v>
      </c>
      <c r="C13" s="135" t="s">
        <v>2782</v>
      </c>
      <c r="D13" s="136" t="s">
        <v>2804</v>
      </c>
      <c r="E13" s="78" t="s">
        <v>2007</v>
      </c>
      <c r="F13" s="80"/>
      <c r="G13" s="234"/>
      <c r="H13" s="234"/>
      <c r="I13" s="266"/>
      <c r="J13" s="223">
        <v>1150000</v>
      </c>
      <c r="K13" s="267"/>
      <c r="L13" s="156"/>
      <c r="M13" s="189"/>
      <c r="N13" s="189"/>
      <c r="O13" s="268">
        <f t="shared" si="0"/>
        <v>1150000</v>
      </c>
      <c r="P13" s="272">
        <v>3860000</v>
      </c>
      <c r="Q13" s="270">
        <f t="shared" si="1"/>
        <v>2710000</v>
      </c>
      <c r="R13" s="195"/>
      <c r="S13" s="333"/>
      <c r="T13" s="195"/>
    </row>
    <row r="14" spans="1:20" ht="20.100000000000001" customHeight="1" x14ac:dyDescent="0.25">
      <c r="A14" s="75">
        <v>7</v>
      </c>
      <c r="B14" s="133">
        <v>43778</v>
      </c>
      <c r="C14" s="135" t="s">
        <v>2783</v>
      </c>
      <c r="D14" s="136" t="s">
        <v>2805</v>
      </c>
      <c r="E14" s="78" t="s">
        <v>2007</v>
      </c>
      <c r="F14" s="80"/>
      <c r="G14" s="234"/>
      <c r="H14" s="234"/>
      <c r="I14" s="266"/>
      <c r="J14" s="223">
        <f>1150000+300000</f>
        <v>1450000</v>
      </c>
      <c r="K14" s="267"/>
      <c r="L14" s="156"/>
      <c r="M14" s="189"/>
      <c r="N14" s="189"/>
      <c r="O14" s="268">
        <f t="shared" si="0"/>
        <v>1450000</v>
      </c>
      <c r="P14" s="272">
        <v>3860000</v>
      </c>
      <c r="Q14" s="270">
        <f t="shared" si="1"/>
        <v>2410000</v>
      </c>
      <c r="R14" s="195"/>
      <c r="S14" s="333"/>
      <c r="T14" s="195"/>
    </row>
    <row r="15" spans="1:20" ht="20.100000000000001" customHeight="1" x14ac:dyDescent="0.25">
      <c r="A15" s="75">
        <v>8</v>
      </c>
      <c r="B15" s="133">
        <v>43778</v>
      </c>
      <c r="C15" s="135" t="s">
        <v>2784</v>
      </c>
      <c r="D15" s="136" t="s">
        <v>2805</v>
      </c>
      <c r="E15" s="78" t="s">
        <v>2823</v>
      </c>
      <c r="F15" s="80"/>
      <c r="G15" s="234">
        <v>280</v>
      </c>
      <c r="H15" s="234">
        <f t="shared" si="2"/>
        <v>4494000</v>
      </c>
      <c r="I15" s="266"/>
      <c r="J15" s="186">
        <v>0</v>
      </c>
      <c r="K15" s="267"/>
      <c r="L15" s="156"/>
      <c r="M15" s="189"/>
      <c r="N15" s="189"/>
      <c r="O15" s="268">
        <f t="shared" si="0"/>
        <v>4494000</v>
      </c>
      <c r="P15" s="272">
        <v>1500000</v>
      </c>
      <c r="Q15" s="270">
        <f t="shared" si="1"/>
        <v>-2994000</v>
      </c>
      <c r="R15" s="195"/>
      <c r="S15" s="333"/>
      <c r="T15" s="195"/>
    </row>
    <row r="16" spans="1:20" ht="20.100000000000001" customHeight="1" x14ac:dyDescent="0.25">
      <c r="A16" s="75">
        <v>9</v>
      </c>
      <c r="B16" s="133">
        <v>43780</v>
      </c>
      <c r="C16" s="135" t="s">
        <v>2785</v>
      </c>
      <c r="D16" s="136" t="s">
        <v>2806</v>
      </c>
      <c r="E16" s="78" t="s">
        <v>882</v>
      </c>
      <c r="F16" s="80"/>
      <c r="G16" s="234"/>
      <c r="H16" s="234"/>
      <c r="I16" s="266"/>
      <c r="J16" s="223">
        <v>790000</v>
      </c>
      <c r="K16" s="267"/>
      <c r="L16" s="156"/>
      <c r="M16" s="189"/>
      <c r="N16" s="189"/>
      <c r="O16" s="268">
        <f t="shared" si="0"/>
        <v>790000</v>
      </c>
      <c r="P16" s="272">
        <v>3263636</v>
      </c>
      <c r="Q16" s="270">
        <f t="shared" si="1"/>
        <v>2473636</v>
      </c>
      <c r="R16" s="195"/>
      <c r="S16" s="333"/>
      <c r="T16" s="195"/>
    </row>
    <row r="17" spans="1:20" ht="20.100000000000001" customHeight="1" x14ac:dyDescent="0.25">
      <c r="A17" s="75">
        <v>10</v>
      </c>
      <c r="B17" s="133">
        <v>43781</v>
      </c>
      <c r="C17" s="135" t="s">
        <v>2786</v>
      </c>
      <c r="D17" s="136" t="s">
        <v>2807</v>
      </c>
      <c r="E17" s="78" t="s">
        <v>1212</v>
      </c>
      <c r="F17" s="80"/>
      <c r="G17" s="234">
        <v>260</v>
      </c>
      <c r="H17" s="234">
        <f t="shared" si="2"/>
        <v>4173000</v>
      </c>
      <c r="I17" s="266"/>
      <c r="J17" s="223">
        <v>2740000</v>
      </c>
      <c r="K17" s="267"/>
      <c r="L17" s="156"/>
      <c r="M17" s="189"/>
      <c r="N17" s="189"/>
      <c r="O17" s="268">
        <f t="shared" si="0"/>
        <v>6913000</v>
      </c>
      <c r="P17" s="272">
        <v>13181818</v>
      </c>
      <c r="Q17" s="270">
        <f t="shared" si="1"/>
        <v>6268818</v>
      </c>
      <c r="R17" s="195"/>
      <c r="S17" s="333"/>
      <c r="T17" s="195"/>
    </row>
    <row r="18" spans="1:20" ht="20.100000000000001" customHeight="1" x14ac:dyDescent="0.25">
      <c r="A18" s="75">
        <v>11</v>
      </c>
      <c r="B18" s="133">
        <v>43782</v>
      </c>
      <c r="C18" s="135" t="s">
        <v>2787</v>
      </c>
      <c r="D18" s="136" t="s">
        <v>2808</v>
      </c>
      <c r="E18" s="78" t="s">
        <v>24</v>
      </c>
      <c r="F18" s="80"/>
      <c r="G18" s="234"/>
      <c r="H18" s="234"/>
      <c r="I18" s="266"/>
      <c r="J18" s="223">
        <v>1890000</v>
      </c>
      <c r="K18" s="267"/>
      <c r="L18" s="156"/>
      <c r="M18" s="189"/>
      <c r="N18" s="189"/>
      <c r="O18" s="268">
        <f t="shared" si="0"/>
        <v>1890000</v>
      </c>
      <c r="P18" s="272">
        <v>8045455</v>
      </c>
      <c r="Q18" s="270">
        <f t="shared" si="1"/>
        <v>6155455</v>
      </c>
      <c r="R18" s="195"/>
      <c r="S18" s="333"/>
      <c r="T18" s="195"/>
    </row>
    <row r="19" spans="1:20" ht="20.100000000000001" customHeight="1" x14ac:dyDescent="0.25">
      <c r="A19" s="75">
        <v>12</v>
      </c>
      <c r="B19" s="133">
        <v>43783</v>
      </c>
      <c r="C19" s="135" t="s">
        <v>2144</v>
      </c>
      <c r="D19" s="136" t="s">
        <v>2809</v>
      </c>
      <c r="E19" s="78" t="s">
        <v>2007</v>
      </c>
      <c r="F19" s="80"/>
      <c r="G19" s="234">
        <v>273</v>
      </c>
      <c r="H19" s="234">
        <f t="shared" si="2"/>
        <v>4381650</v>
      </c>
      <c r="I19" s="266"/>
      <c r="J19" s="223">
        <v>1150000</v>
      </c>
      <c r="K19" s="267"/>
      <c r="L19" s="156"/>
      <c r="M19" s="189"/>
      <c r="N19" s="189"/>
      <c r="O19" s="268">
        <f t="shared" si="0"/>
        <v>5531650</v>
      </c>
      <c r="P19" s="272">
        <v>3860000</v>
      </c>
      <c r="Q19" s="270">
        <f t="shared" si="1"/>
        <v>-1671650</v>
      </c>
      <c r="R19" s="195"/>
      <c r="S19" s="333"/>
      <c r="T19" s="195"/>
    </row>
    <row r="20" spans="1:20" ht="20.100000000000001" customHeight="1" x14ac:dyDescent="0.25">
      <c r="A20" s="75">
        <v>13</v>
      </c>
      <c r="B20" s="133">
        <v>43784</v>
      </c>
      <c r="C20" s="135" t="s">
        <v>2788</v>
      </c>
      <c r="D20" s="136" t="s">
        <v>2810</v>
      </c>
      <c r="E20" s="78" t="s">
        <v>22</v>
      </c>
      <c r="F20" s="80"/>
      <c r="G20" s="234"/>
      <c r="H20" s="234"/>
      <c r="I20" s="266"/>
      <c r="J20" s="223">
        <v>1150000</v>
      </c>
      <c r="K20" s="267"/>
      <c r="L20" s="156"/>
      <c r="M20" s="189"/>
      <c r="N20" s="189"/>
      <c r="O20" s="268">
        <f t="shared" si="0"/>
        <v>1150000</v>
      </c>
      <c r="P20" s="272">
        <v>3900000</v>
      </c>
      <c r="Q20" s="270">
        <f t="shared" si="1"/>
        <v>2750000</v>
      </c>
      <c r="R20" s="195"/>
      <c r="S20" s="333"/>
      <c r="T20" s="195"/>
    </row>
    <row r="21" spans="1:20" ht="20.100000000000001" customHeight="1" x14ac:dyDescent="0.25">
      <c r="A21" s="75">
        <v>14</v>
      </c>
      <c r="B21" s="133">
        <v>43785</v>
      </c>
      <c r="C21" s="135" t="s">
        <v>2789</v>
      </c>
      <c r="D21" s="136" t="s">
        <v>2811</v>
      </c>
      <c r="E21" s="78" t="s">
        <v>1271</v>
      </c>
      <c r="F21" s="80"/>
      <c r="G21" s="234">
        <v>170</v>
      </c>
      <c r="H21" s="234">
        <f>G21*15960</f>
        <v>2713200</v>
      </c>
      <c r="I21" s="266"/>
      <c r="J21" s="223">
        <v>1150000</v>
      </c>
      <c r="K21" s="267"/>
      <c r="L21" s="156"/>
      <c r="M21" s="189"/>
      <c r="N21" s="189"/>
      <c r="O21" s="268">
        <f t="shared" si="0"/>
        <v>3863200</v>
      </c>
      <c r="P21" s="272">
        <v>3700000</v>
      </c>
      <c r="Q21" s="270">
        <f t="shared" si="1"/>
        <v>-163200</v>
      </c>
      <c r="R21" s="195"/>
      <c r="S21" s="333"/>
      <c r="T21" s="195"/>
    </row>
    <row r="22" spans="1:20" ht="20.100000000000001" customHeight="1" x14ac:dyDescent="0.25">
      <c r="A22" s="75">
        <v>15</v>
      </c>
      <c r="B22" s="133">
        <v>43787</v>
      </c>
      <c r="C22" s="135" t="s">
        <v>2790</v>
      </c>
      <c r="D22" s="136" t="s">
        <v>760</v>
      </c>
      <c r="E22" s="78" t="s">
        <v>2824</v>
      </c>
      <c r="F22" s="80"/>
      <c r="G22" s="234"/>
      <c r="H22" s="234"/>
      <c r="I22" s="266"/>
      <c r="J22" s="223">
        <v>2000000</v>
      </c>
      <c r="K22" s="267"/>
      <c r="L22" s="156"/>
      <c r="M22" s="189"/>
      <c r="N22" s="189"/>
      <c r="O22" s="268">
        <f t="shared" si="0"/>
        <v>2000000</v>
      </c>
      <c r="P22" s="272">
        <v>10000000</v>
      </c>
      <c r="Q22" s="270">
        <f t="shared" si="1"/>
        <v>8000000</v>
      </c>
      <c r="R22" s="195"/>
      <c r="S22" s="333"/>
      <c r="T22" s="195"/>
    </row>
    <row r="23" spans="1:20" ht="20.100000000000001" customHeight="1" x14ac:dyDescent="0.25">
      <c r="A23" s="75">
        <v>16</v>
      </c>
      <c r="B23" s="133">
        <v>43788</v>
      </c>
      <c r="C23" s="135" t="s">
        <v>2791</v>
      </c>
      <c r="D23" s="136" t="s">
        <v>2812</v>
      </c>
      <c r="E23" s="78" t="s">
        <v>2825</v>
      </c>
      <c r="F23" s="80"/>
      <c r="G23" s="234">
        <v>260</v>
      </c>
      <c r="H23" s="234">
        <f t="shared" ref="H23:H33" si="3">G23*15960</f>
        <v>4149600</v>
      </c>
      <c r="I23" s="266"/>
      <c r="J23" s="223">
        <v>790000</v>
      </c>
      <c r="K23" s="267"/>
      <c r="L23" s="156"/>
      <c r="M23" s="189"/>
      <c r="N23" s="189"/>
      <c r="O23" s="268">
        <f t="shared" si="0"/>
        <v>4939600</v>
      </c>
      <c r="P23" s="272">
        <v>3800000</v>
      </c>
      <c r="Q23" s="270">
        <f t="shared" si="1"/>
        <v>-1139600</v>
      </c>
      <c r="R23" s="195"/>
      <c r="S23" s="333"/>
      <c r="T23" s="195"/>
    </row>
    <row r="24" spans="1:20" ht="20.100000000000001" customHeight="1" x14ac:dyDescent="0.25">
      <c r="A24" s="75">
        <v>17</v>
      </c>
      <c r="B24" s="133">
        <v>43789</v>
      </c>
      <c r="C24" s="135" t="s">
        <v>2792</v>
      </c>
      <c r="D24" s="136" t="s">
        <v>2813</v>
      </c>
      <c r="E24" s="78" t="s">
        <v>850</v>
      </c>
      <c r="F24" s="80"/>
      <c r="G24" s="234"/>
      <c r="H24" s="234"/>
      <c r="I24" s="266"/>
      <c r="J24" s="223">
        <v>970000</v>
      </c>
      <c r="K24" s="267"/>
      <c r="L24" s="156"/>
      <c r="M24" s="189"/>
      <c r="N24" s="189"/>
      <c r="O24" s="268">
        <f t="shared" si="0"/>
        <v>970000</v>
      </c>
      <c r="P24" s="272">
        <v>5000000</v>
      </c>
      <c r="Q24" s="270">
        <f t="shared" si="1"/>
        <v>4030000</v>
      </c>
      <c r="R24" s="195"/>
      <c r="S24" s="333"/>
      <c r="T24" s="195"/>
    </row>
    <row r="25" spans="1:20" ht="20.100000000000001" customHeight="1" x14ac:dyDescent="0.25">
      <c r="A25" s="75">
        <v>18</v>
      </c>
      <c r="B25" s="133">
        <v>43790</v>
      </c>
      <c r="C25" s="135" t="s">
        <v>1449</v>
      </c>
      <c r="D25" s="136" t="s">
        <v>2814</v>
      </c>
      <c r="E25" s="78" t="s">
        <v>1663</v>
      </c>
      <c r="F25" s="80"/>
      <c r="G25" s="234"/>
      <c r="H25" s="234"/>
      <c r="I25" s="266"/>
      <c r="J25" s="223">
        <v>1160000</v>
      </c>
      <c r="K25" s="267"/>
      <c r="L25" s="156"/>
      <c r="M25" s="189"/>
      <c r="N25" s="189"/>
      <c r="O25" s="268">
        <f t="shared" si="0"/>
        <v>1160000</v>
      </c>
      <c r="P25" s="272">
        <v>5000000</v>
      </c>
      <c r="Q25" s="270">
        <f t="shared" si="1"/>
        <v>3840000</v>
      </c>
      <c r="R25" s="195"/>
      <c r="S25" s="333"/>
      <c r="T25" s="195"/>
    </row>
    <row r="26" spans="1:20" ht="20.100000000000001" customHeight="1" x14ac:dyDescent="0.25">
      <c r="A26" s="75">
        <v>19</v>
      </c>
      <c r="B26" s="133">
        <v>43791</v>
      </c>
      <c r="C26" s="135" t="s">
        <v>2150</v>
      </c>
      <c r="D26" s="136" t="s">
        <v>2815</v>
      </c>
      <c r="E26" s="78" t="s">
        <v>636</v>
      </c>
      <c r="F26" s="80"/>
      <c r="G26" s="234">
        <v>320</v>
      </c>
      <c r="H26" s="234">
        <f t="shared" si="3"/>
        <v>5107200</v>
      </c>
      <c r="I26" s="266"/>
      <c r="J26" s="223">
        <v>790000</v>
      </c>
      <c r="K26" s="267"/>
      <c r="L26" s="156"/>
      <c r="M26" s="189"/>
      <c r="N26" s="189"/>
      <c r="O26" s="268">
        <f t="shared" si="0"/>
        <v>5897200</v>
      </c>
      <c r="P26" s="272">
        <v>4000000</v>
      </c>
      <c r="Q26" s="270">
        <f t="shared" si="1"/>
        <v>-1897200</v>
      </c>
      <c r="R26" s="195"/>
      <c r="S26" s="333"/>
      <c r="T26" s="195"/>
    </row>
    <row r="27" spans="1:20" ht="20.100000000000001" customHeight="1" x14ac:dyDescent="0.25">
      <c r="A27" s="75">
        <v>20</v>
      </c>
      <c r="B27" s="133">
        <v>43792</v>
      </c>
      <c r="C27" s="135" t="s">
        <v>1451</v>
      </c>
      <c r="D27" s="136" t="s">
        <v>2816</v>
      </c>
      <c r="E27" s="78" t="s">
        <v>636</v>
      </c>
      <c r="F27" s="80"/>
      <c r="G27" s="234"/>
      <c r="H27" s="234"/>
      <c r="I27" s="266"/>
      <c r="J27" s="223">
        <v>790000</v>
      </c>
      <c r="K27" s="267"/>
      <c r="L27" s="156"/>
      <c r="M27" s="189"/>
      <c r="N27" s="189"/>
      <c r="O27" s="268">
        <f t="shared" si="0"/>
        <v>790000</v>
      </c>
      <c r="P27" s="272">
        <v>4000000</v>
      </c>
      <c r="Q27" s="270">
        <f t="shared" si="1"/>
        <v>3210000</v>
      </c>
      <c r="R27" s="195"/>
      <c r="S27" s="333"/>
      <c r="T27" s="195"/>
    </row>
    <row r="28" spans="1:20" ht="20.100000000000001" customHeight="1" x14ac:dyDescent="0.25">
      <c r="A28" s="75">
        <v>21</v>
      </c>
      <c r="B28" s="133">
        <v>43794</v>
      </c>
      <c r="C28" s="135" t="s">
        <v>2793</v>
      </c>
      <c r="D28" s="136" t="s">
        <v>2817</v>
      </c>
      <c r="E28" s="78" t="s">
        <v>2826</v>
      </c>
      <c r="F28" s="80"/>
      <c r="G28" s="234"/>
      <c r="H28" s="234"/>
      <c r="I28" s="266"/>
      <c r="J28" s="186">
        <v>970000</v>
      </c>
      <c r="K28" s="267"/>
      <c r="L28" s="156"/>
      <c r="M28" s="189"/>
      <c r="N28" s="189"/>
      <c r="O28" s="268">
        <f t="shared" si="0"/>
        <v>970000</v>
      </c>
      <c r="P28" s="272">
        <v>3900000</v>
      </c>
      <c r="Q28" s="270">
        <f t="shared" si="1"/>
        <v>2930000</v>
      </c>
      <c r="R28" s="195"/>
      <c r="S28" s="333"/>
      <c r="T28" s="195"/>
    </row>
    <row r="29" spans="1:20" ht="20.100000000000001" customHeight="1" x14ac:dyDescent="0.25">
      <c r="A29" s="75">
        <v>22</v>
      </c>
      <c r="B29" s="133">
        <v>43795</v>
      </c>
      <c r="C29" s="135" t="s">
        <v>2794</v>
      </c>
      <c r="D29" s="136" t="s">
        <v>2818</v>
      </c>
      <c r="E29" s="78" t="s">
        <v>1720</v>
      </c>
      <c r="F29" s="80"/>
      <c r="G29" s="234">
        <v>340</v>
      </c>
      <c r="H29" s="234">
        <f t="shared" si="3"/>
        <v>5426400</v>
      </c>
      <c r="I29" s="266"/>
      <c r="J29" s="223">
        <v>1240000</v>
      </c>
      <c r="K29" s="267"/>
      <c r="L29" s="156"/>
      <c r="M29" s="189"/>
      <c r="N29" s="189"/>
      <c r="O29" s="268">
        <f t="shared" si="0"/>
        <v>6666400</v>
      </c>
      <c r="P29" s="272">
        <v>6400000</v>
      </c>
      <c r="Q29" s="270">
        <f t="shared" si="1"/>
        <v>-266400</v>
      </c>
      <c r="R29" s="195"/>
      <c r="S29" s="333"/>
      <c r="T29" s="195"/>
    </row>
    <row r="30" spans="1:20" ht="20.100000000000001" customHeight="1" x14ac:dyDescent="0.25">
      <c r="A30" s="75">
        <v>23</v>
      </c>
      <c r="B30" s="133">
        <v>43796</v>
      </c>
      <c r="C30" s="135" t="s">
        <v>2795</v>
      </c>
      <c r="D30" s="136" t="s">
        <v>2819</v>
      </c>
      <c r="E30" s="78" t="s">
        <v>24</v>
      </c>
      <c r="F30" s="80"/>
      <c r="G30" s="234"/>
      <c r="H30" s="234"/>
      <c r="I30" s="266"/>
      <c r="J30" s="223">
        <v>1890000</v>
      </c>
      <c r="K30" s="267"/>
      <c r="L30" s="156"/>
      <c r="M30" s="189"/>
      <c r="N30" s="189"/>
      <c r="O30" s="268">
        <f t="shared" si="0"/>
        <v>1890000</v>
      </c>
      <c r="P30" s="272">
        <v>8045455</v>
      </c>
      <c r="Q30" s="270">
        <f t="shared" si="1"/>
        <v>6155455</v>
      </c>
      <c r="R30" s="195"/>
      <c r="S30" s="333"/>
      <c r="T30" s="195"/>
    </row>
    <row r="31" spans="1:20" ht="20.100000000000001" customHeight="1" x14ac:dyDescent="0.25">
      <c r="A31" s="75">
        <v>24</v>
      </c>
      <c r="B31" s="133">
        <v>43797</v>
      </c>
      <c r="C31" s="135" t="s">
        <v>2796</v>
      </c>
      <c r="D31" s="136" t="s">
        <v>2820</v>
      </c>
      <c r="E31" s="78" t="s">
        <v>2827</v>
      </c>
      <c r="F31" s="80"/>
      <c r="G31" s="234">
        <v>255</v>
      </c>
      <c r="H31" s="234">
        <f t="shared" si="3"/>
        <v>4069800</v>
      </c>
      <c r="I31" s="266"/>
      <c r="J31" s="223">
        <v>970000</v>
      </c>
      <c r="K31" s="267"/>
      <c r="L31" s="156"/>
      <c r="M31" s="189"/>
      <c r="N31" s="189"/>
      <c r="O31" s="268">
        <f t="shared" si="0"/>
        <v>5039800</v>
      </c>
      <c r="P31" s="272">
        <v>4318182</v>
      </c>
      <c r="Q31" s="270">
        <f t="shared" si="1"/>
        <v>-721618</v>
      </c>
      <c r="R31" s="195"/>
      <c r="S31" s="333"/>
      <c r="T31" s="195"/>
    </row>
    <row r="32" spans="1:20" ht="20.100000000000001" customHeight="1" x14ac:dyDescent="0.25">
      <c r="A32" s="75">
        <v>25</v>
      </c>
      <c r="B32" s="133">
        <v>43798</v>
      </c>
      <c r="C32" s="135" t="s">
        <v>2797</v>
      </c>
      <c r="D32" s="136" t="s">
        <v>2821</v>
      </c>
      <c r="E32" s="78" t="s">
        <v>2828</v>
      </c>
      <c r="F32" s="80"/>
      <c r="G32" s="234"/>
      <c r="H32" s="234"/>
      <c r="I32" s="266"/>
      <c r="J32" s="223">
        <v>1400000</v>
      </c>
      <c r="K32" s="267"/>
      <c r="L32" s="156"/>
      <c r="M32" s="189"/>
      <c r="N32" s="189"/>
      <c r="O32" s="268">
        <f t="shared" si="0"/>
        <v>1400000</v>
      </c>
      <c r="P32" s="272">
        <v>5600000</v>
      </c>
      <c r="Q32" s="270">
        <f t="shared" si="1"/>
        <v>4200000</v>
      </c>
      <c r="R32" s="195"/>
      <c r="S32" s="333"/>
      <c r="T32" s="195"/>
    </row>
    <row r="33" spans="1:20" ht="20.100000000000001" customHeight="1" x14ac:dyDescent="0.25">
      <c r="A33" s="75">
        <v>26</v>
      </c>
      <c r="B33" s="133">
        <v>43799</v>
      </c>
      <c r="C33" s="135" t="s">
        <v>2798</v>
      </c>
      <c r="D33" s="136" t="s">
        <v>2822</v>
      </c>
      <c r="E33" s="78" t="s">
        <v>2829</v>
      </c>
      <c r="F33" s="80"/>
      <c r="G33" s="233">
        <v>290</v>
      </c>
      <c r="H33" s="233">
        <f t="shared" si="3"/>
        <v>4628400</v>
      </c>
      <c r="I33" s="266"/>
      <c r="J33" s="223">
        <v>1510000</v>
      </c>
      <c r="K33" s="267"/>
      <c r="L33" s="156"/>
      <c r="M33" s="189"/>
      <c r="N33" s="189"/>
      <c r="O33" s="268">
        <f t="shared" si="0"/>
        <v>6138400</v>
      </c>
      <c r="P33" s="272">
        <v>5800000</v>
      </c>
      <c r="Q33" s="270">
        <f t="shared" si="1"/>
        <v>-338400</v>
      </c>
      <c r="R33" s="195"/>
      <c r="S33" s="333"/>
      <c r="T33" s="195"/>
    </row>
    <row r="34" spans="1:20" ht="20.100000000000001" customHeight="1" x14ac:dyDescent="0.25">
      <c r="A34" s="75"/>
      <c r="B34" s="133"/>
      <c r="C34" s="135"/>
      <c r="D34" s="136"/>
      <c r="E34" s="78"/>
      <c r="F34" s="80"/>
      <c r="G34" s="234"/>
      <c r="H34" s="234"/>
      <c r="I34" s="266"/>
      <c r="J34" s="189"/>
      <c r="K34" s="267"/>
      <c r="L34" s="156"/>
      <c r="M34" s="189"/>
      <c r="N34" s="189"/>
      <c r="O34" s="268">
        <f t="shared" si="0"/>
        <v>0</v>
      </c>
      <c r="P34" s="272"/>
      <c r="Q34" s="270">
        <f t="shared" si="1"/>
        <v>0</v>
      </c>
      <c r="R34" s="195"/>
      <c r="S34" s="333"/>
      <c r="T34" s="195"/>
    </row>
    <row r="35" spans="1:20" ht="20.100000000000001" customHeight="1" x14ac:dyDescent="0.25">
      <c r="A35" s="75"/>
      <c r="B35" s="133"/>
      <c r="C35" s="138"/>
      <c r="D35" s="139"/>
      <c r="E35" s="78"/>
      <c r="F35" s="110"/>
      <c r="G35" s="273"/>
      <c r="H35" s="271"/>
      <c r="I35" s="266"/>
      <c r="J35" s="194"/>
      <c r="K35" s="267"/>
      <c r="L35" s="156"/>
      <c r="M35" s="194"/>
      <c r="N35" s="194"/>
      <c r="O35" s="268">
        <f t="shared" si="0"/>
        <v>0</v>
      </c>
      <c r="P35" s="274"/>
      <c r="Q35" s="270">
        <f t="shared" si="1"/>
        <v>0</v>
      </c>
      <c r="R35" s="195"/>
      <c r="S35" s="195"/>
      <c r="T35" s="195"/>
    </row>
    <row r="36" spans="1:20" ht="16.149999999999999" customHeight="1" x14ac:dyDescent="0.25">
      <c r="A36" s="75"/>
      <c r="B36" s="133"/>
      <c r="C36" s="564" t="s">
        <v>1273</v>
      </c>
      <c r="D36" s="565"/>
      <c r="E36" s="566"/>
      <c r="F36" s="163"/>
      <c r="G36" s="281"/>
      <c r="H36" s="282"/>
      <c r="I36" s="280"/>
      <c r="J36" s="194"/>
      <c r="K36" s="267"/>
      <c r="L36" s="154">
        <v>1320000</v>
      </c>
      <c r="M36" s="194"/>
      <c r="N36" s="194"/>
      <c r="O36" s="268">
        <f t="shared" si="0"/>
        <v>1320000</v>
      </c>
      <c r="P36" s="264"/>
      <c r="Q36" s="270">
        <f t="shared" si="1"/>
        <v>-1320000</v>
      </c>
    </row>
    <row r="37" spans="1:20" ht="16.149999999999999" customHeight="1" x14ac:dyDescent="0.25">
      <c r="A37" s="134"/>
      <c r="B37" s="137"/>
      <c r="C37" s="564" t="s">
        <v>2830</v>
      </c>
      <c r="D37" s="565"/>
      <c r="E37" s="566"/>
      <c r="F37" s="163"/>
      <c r="G37" s="281"/>
      <c r="H37" s="282"/>
      <c r="I37" s="280"/>
      <c r="J37" s="194"/>
      <c r="K37" s="278"/>
      <c r="L37" s="334">
        <v>2000000</v>
      </c>
      <c r="M37" s="194"/>
      <c r="N37" s="194"/>
      <c r="O37" s="268">
        <f t="shared" si="0"/>
        <v>2000000</v>
      </c>
      <c r="P37" s="265"/>
      <c r="Q37" s="270">
        <f t="shared" si="1"/>
        <v>-2000000</v>
      </c>
    </row>
    <row r="38" spans="1:20" ht="33" customHeight="1" x14ac:dyDescent="0.25">
      <c r="A38" s="134"/>
      <c r="B38" s="137"/>
      <c r="C38" s="564" t="s">
        <v>2831</v>
      </c>
      <c r="D38" s="565"/>
      <c r="E38" s="566"/>
      <c r="F38" s="163"/>
      <c r="G38" s="281"/>
      <c r="H38" s="282"/>
      <c r="I38" s="280"/>
      <c r="J38" s="194"/>
      <c r="K38" s="278"/>
      <c r="L38" s="334">
        <v>1300000</v>
      </c>
      <c r="M38" s="194"/>
      <c r="N38" s="194"/>
      <c r="O38" s="268">
        <f t="shared" si="0"/>
        <v>1300000</v>
      </c>
      <c r="P38" s="265"/>
      <c r="Q38" s="270">
        <f t="shared" si="1"/>
        <v>-1300000</v>
      </c>
    </row>
    <row r="39" spans="1:20" ht="16.149999999999999" customHeight="1" x14ac:dyDescent="0.25">
      <c r="A39" s="134"/>
      <c r="B39" s="103"/>
      <c r="C39" s="567" t="s">
        <v>1386</v>
      </c>
      <c r="D39" s="568"/>
      <c r="E39" s="569"/>
      <c r="F39" s="110"/>
      <c r="G39" s="281"/>
      <c r="H39" s="282"/>
      <c r="I39" s="280"/>
      <c r="J39" s="194"/>
      <c r="K39" s="283">
        <v>9346154</v>
      </c>
      <c r="L39" s="141"/>
      <c r="M39" s="194"/>
      <c r="N39" s="194"/>
      <c r="O39" s="268">
        <f t="shared" si="0"/>
        <v>9346154</v>
      </c>
      <c r="P39" s="265"/>
      <c r="Q39" s="270">
        <f t="shared" si="1"/>
        <v>-9346154</v>
      </c>
    </row>
    <row r="40" spans="1:20" x14ac:dyDescent="0.25">
      <c r="A40" s="547" t="s">
        <v>19</v>
      </c>
      <c r="B40" s="548"/>
      <c r="C40" s="548"/>
      <c r="D40" s="548"/>
      <c r="E40" s="548"/>
      <c r="F40" s="549"/>
      <c r="G40" s="305">
        <f>SUM(G8:G39)</f>
        <v>3188</v>
      </c>
      <c r="H40" s="291">
        <f t="shared" ref="H40:Q40" si="4">SUM(H7:H39)</f>
        <v>51020250</v>
      </c>
      <c r="I40" s="291">
        <f t="shared" si="4"/>
        <v>0</v>
      </c>
      <c r="J40" s="291">
        <f t="shared" si="4"/>
        <v>33970000</v>
      </c>
      <c r="K40" s="291">
        <f t="shared" si="4"/>
        <v>9346154</v>
      </c>
      <c r="L40" s="309">
        <f t="shared" si="4"/>
        <v>4620000</v>
      </c>
      <c r="M40" s="291">
        <f t="shared" si="4"/>
        <v>0</v>
      </c>
      <c r="N40" s="291">
        <f t="shared" si="4"/>
        <v>0</v>
      </c>
      <c r="O40" s="291">
        <f t="shared" si="4"/>
        <v>98956404</v>
      </c>
      <c r="P40" s="291">
        <f t="shared" si="4"/>
        <v>146440001</v>
      </c>
      <c r="Q40" s="297">
        <f t="shared" si="4"/>
        <v>47483597</v>
      </c>
      <c r="R40" s="195"/>
      <c r="S40" s="195"/>
    </row>
    <row r="41" spans="1:20" x14ac:dyDescent="0.25">
      <c r="P41" s="294"/>
      <c r="Q41" s="295"/>
    </row>
    <row r="42" spans="1:20" x14ac:dyDescent="0.25">
      <c r="B42"/>
      <c r="G42"/>
      <c r="H42" s="294"/>
      <c r="P42" s="296" t="s">
        <v>1225</v>
      </c>
      <c r="Q42" s="304">
        <f>'10.2019'!Q42+'11.2019'!Q40</f>
        <v>376378662.69230771</v>
      </c>
    </row>
    <row r="43" spans="1:20" x14ac:dyDescent="0.25">
      <c r="B43"/>
      <c r="G43"/>
      <c r="Q43" s="294"/>
    </row>
    <row r="44" spans="1:20" x14ac:dyDescent="0.25">
      <c r="B44"/>
      <c r="G44"/>
      <c r="R44" s="195"/>
    </row>
  </sheetData>
  <mergeCells count="9">
    <mergeCell ref="C39:E39"/>
    <mergeCell ref="A40:F40"/>
    <mergeCell ref="C38:E38"/>
    <mergeCell ref="A1:Q1"/>
    <mergeCell ref="A2:Q2"/>
    <mergeCell ref="A3:Q3"/>
    <mergeCell ref="G5:N5"/>
    <mergeCell ref="C36:E36"/>
    <mergeCell ref="C37:E37"/>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T48"/>
  <sheetViews>
    <sheetView topLeftCell="A26" workbookViewId="0">
      <selection activeCell="Q44" sqref="Q44"/>
    </sheetView>
  </sheetViews>
  <sheetFormatPr defaultRowHeight="15" x14ac:dyDescent="0.25"/>
  <cols>
    <col min="1" max="1" width="4.5703125" customWidth="1"/>
    <col min="2" max="2" width="9.140625" style="332"/>
    <col min="3" max="3" width="41.28515625" customWidth="1"/>
    <col min="4" max="4" width="16.5703125" customWidth="1"/>
    <col min="5" max="5" width="33.140625" customWidth="1"/>
    <col min="7" max="7" width="9.140625" style="292"/>
    <col min="8" max="8" width="10.140625" style="292" bestFit="1" customWidth="1"/>
    <col min="9" max="9" width="9.140625" style="293"/>
    <col min="10" max="10" width="9.140625" style="292"/>
    <col min="11" max="11" width="9.42578125" style="292" bestFit="1" customWidth="1"/>
    <col min="12" max="12" width="9.140625" style="173"/>
    <col min="13" max="14" width="9.140625" style="292"/>
    <col min="15" max="15" width="11.140625" style="292" customWidth="1"/>
    <col min="16" max="16" width="10.7109375" style="292" customWidth="1"/>
    <col min="17" max="17" width="12.28515625" style="292" customWidth="1"/>
    <col min="18" max="18" width="11.7109375" customWidth="1"/>
    <col min="19" max="19" width="18"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2832</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257"/>
      <c r="H4" s="258"/>
      <c r="I4" s="258"/>
      <c r="J4" s="258"/>
      <c r="K4" s="258"/>
      <c r="L4" s="91"/>
      <c r="M4" s="258"/>
      <c r="N4" s="258"/>
      <c r="O4" s="258"/>
      <c r="P4" s="258"/>
      <c r="Q4" s="258"/>
    </row>
    <row r="5" spans="1:20"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20"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20" x14ac:dyDescent="0.25">
      <c r="A7" s="75"/>
      <c r="B7" s="100"/>
      <c r="C7" s="88"/>
      <c r="D7" s="88"/>
      <c r="E7" s="134"/>
      <c r="F7" s="75"/>
      <c r="G7" s="263"/>
      <c r="H7" s="264"/>
      <c r="I7" s="264"/>
      <c r="J7" s="264"/>
      <c r="K7" s="264"/>
      <c r="L7" s="308"/>
      <c r="M7" s="264"/>
      <c r="N7" s="264"/>
      <c r="O7" s="264">
        <f>H7+J7+K7+L7+M7+N7</f>
        <v>0</v>
      </c>
      <c r="P7" s="265"/>
      <c r="Q7" s="264">
        <f>P7-O7</f>
        <v>0</v>
      </c>
    </row>
    <row r="8" spans="1:20" ht="20.100000000000001" customHeight="1" x14ac:dyDescent="0.25">
      <c r="A8" s="75">
        <v>1</v>
      </c>
      <c r="B8" s="133">
        <v>43801</v>
      </c>
      <c r="C8" s="135" t="s">
        <v>2833</v>
      </c>
      <c r="D8" s="136" t="s">
        <v>2851</v>
      </c>
      <c r="E8" s="78" t="s">
        <v>2877</v>
      </c>
      <c r="F8" s="80"/>
      <c r="G8" s="234"/>
      <c r="H8" s="234"/>
      <c r="I8" s="266"/>
      <c r="J8" s="223">
        <v>970000</v>
      </c>
      <c r="K8" s="267"/>
      <c r="L8" s="156"/>
      <c r="M8" s="189"/>
      <c r="N8" s="189"/>
      <c r="O8" s="268">
        <f>H8+J8+K8+L8+M8+N8</f>
        <v>970000</v>
      </c>
      <c r="P8" s="272">
        <v>3900000</v>
      </c>
      <c r="Q8" s="270">
        <f>P8-O8</f>
        <v>2930000</v>
      </c>
      <c r="R8" s="195"/>
      <c r="S8" s="333"/>
      <c r="T8" s="195"/>
    </row>
    <row r="9" spans="1:20" ht="20.100000000000001" customHeight="1" x14ac:dyDescent="0.25">
      <c r="A9" s="75">
        <v>2</v>
      </c>
      <c r="B9" s="133">
        <v>43802</v>
      </c>
      <c r="C9" s="135" t="s">
        <v>785</v>
      </c>
      <c r="D9" s="172" t="s">
        <v>2852</v>
      </c>
      <c r="E9" s="78" t="s">
        <v>636</v>
      </c>
      <c r="F9" s="80"/>
      <c r="G9" s="234"/>
      <c r="H9" s="234"/>
      <c r="I9" s="266"/>
      <c r="J9" s="223">
        <v>790000</v>
      </c>
      <c r="K9" s="267"/>
      <c r="L9" s="156"/>
      <c r="M9" s="189"/>
      <c r="N9" s="189"/>
      <c r="O9" s="268">
        <f t="shared" ref="O9:O43" si="0">H9+J9+K9+L9+M9+N9</f>
        <v>790000</v>
      </c>
      <c r="P9" s="272">
        <v>2550000</v>
      </c>
      <c r="Q9" s="270">
        <f t="shared" ref="Q9:Q43" si="1">P9-O9</f>
        <v>1760000</v>
      </c>
      <c r="R9" s="195"/>
      <c r="S9" s="333"/>
      <c r="T9" s="195"/>
    </row>
    <row r="10" spans="1:20" ht="20.100000000000001" customHeight="1" x14ac:dyDescent="0.25">
      <c r="A10" s="75">
        <v>3</v>
      </c>
      <c r="B10" s="133">
        <v>43803</v>
      </c>
      <c r="C10" s="135" t="s">
        <v>2834</v>
      </c>
      <c r="D10" s="136" t="s">
        <v>2853</v>
      </c>
      <c r="E10" s="78" t="s">
        <v>2878</v>
      </c>
      <c r="F10" s="80"/>
      <c r="G10" s="234">
        <v>280</v>
      </c>
      <c r="H10" s="234">
        <f>G10*15980</f>
        <v>4474400</v>
      </c>
      <c r="I10" s="266"/>
      <c r="J10" s="223">
        <v>970000</v>
      </c>
      <c r="K10" s="267"/>
      <c r="L10" s="156"/>
      <c r="M10" s="189"/>
      <c r="N10" s="189"/>
      <c r="O10" s="268">
        <f t="shared" si="0"/>
        <v>5444400</v>
      </c>
      <c r="P10" s="272">
        <v>4300000</v>
      </c>
      <c r="Q10" s="270">
        <f t="shared" si="1"/>
        <v>-1144400</v>
      </c>
      <c r="R10" s="195"/>
      <c r="S10" s="333"/>
      <c r="T10" s="195"/>
    </row>
    <row r="11" spans="1:20" ht="20.100000000000001" customHeight="1" x14ac:dyDescent="0.25">
      <c r="A11" s="75">
        <v>4</v>
      </c>
      <c r="B11" s="133">
        <v>43804</v>
      </c>
      <c r="C11" s="135" t="s">
        <v>2835</v>
      </c>
      <c r="D11" s="136" t="s">
        <v>2854</v>
      </c>
      <c r="E11" s="78" t="s">
        <v>2879</v>
      </c>
      <c r="F11" s="80"/>
      <c r="G11" s="234"/>
      <c r="H11" s="234"/>
      <c r="I11" s="266"/>
      <c r="J11" s="223">
        <v>790000</v>
      </c>
      <c r="K11" s="267"/>
      <c r="L11" s="156"/>
      <c r="M11" s="189"/>
      <c r="N11" s="189"/>
      <c r="O11" s="268">
        <f t="shared" si="0"/>
        <v>790000</v>
      </c>
      <c r="P11" s="272">
        <v>2945455</v>
      </c>
      <c r="Q11" s="270">
        <f t="shared" si="1"/>
        <v>2155455</v>
      </c>
      <c r="R11" s="195"/>
      <c r="S11" s="333"/>
      <c r="T11" s="195"/>
    </row>
    <row r="12" spans="1:20" ht="20.100000000000001" customHeight="1" x14ac:dyDescent="0.25">
      <c r="A12" s="75">
        <v>5</v>
      </c>
      <c r="B12" s="133">
        <v>43805</v>
      </c>
      <c r="C12" s="135" t="s">
        <v>2196</v>
      </c>
      <c r="D12" s="136" t="s">
        <v>2855</v>
      </c>
      <c r="E12" s="78" t="s">
        <v>2880</v>
      </c>
      <c r="F12" s="80"/>
      <c r="G12" s="234"/>
      <c r="H12" s="234"/>
      <c r="I12" s="266"/>
      <c r="J12" s="223">
        <v>970000</v>
      </c>
      <c r="K12" s="267"/>
      <c r="L12" s="156"/>
      <c r="M12" s="189"/>
      <c r="N12" s="189"/>
      <c r="O12" s="268">
        <f t="shared" si="0"/>
        <v>970000</v>
      </c>
      <c r="P12" s="272">
        <v>4409091</v>
      </c>
      <c r="Q12" s="270">
        <f t="shared" si="1"/>
        <v>3439091</v>
      </c>
      <c r="R12" s="195"/>
      <c r="S12" s="333"/>
      <c r="T12" s="195"/>
    </row>
    <row r="13" spans="1:20" ht="20.100000000000001" customHeight="1" x14ac:dyDescent="0.25">
      <c r="A13" s="75">
        <v>6</v>
      </c>
      <c r="B13" s="133">
        <v>43806</v>
      </c>
      <c r="C13" s="135" t="s">
        <v>1494</v>
      </c>
      <c r="D13" s="136" t="s">
        <v>2856</v>
      </c>
      <c r="E13" s="78" t="s">
        <v>2881</v>
      </c>
      <c r="F13" s="80"/>
      <c r="G13" s="234">
        <v>270</v>
      </c>
      <c r="H13" s="234">
        <f t="shared" ref="H13:H19" si="2">G13*15980</f>
        <v>4314600</v>
      </c>
      <c r="I13" s="266"/>
      <c r="J13" s="223">
        <f>1150000+300000</f>
        <v>1450000</v>
      </c>
      <c r="K13" s="267"/>
      <c r="L13" s="156"/>
      <c r="M13" s="189"/>
      <c r="N13" s="189"/>
      <c r="O13" s="268">
        <f t="shared" si="0"/>
        <v>5764600</v>
      </c>
      <c r="P13" s="272">
        <v>5800000</v>
      </c>
      <c r="Q13" s="270">
        <f t="shared" si="1"/>
        <v>35400</v>
      </c>
      <c r="R13" s="195"/>
      <c r="S13" s="333"/>
      <c r="T13" s="195"/>
    </row>
    <row r="14" spans="1:20" ht="20.100000000000001" customHeight="1" x14ac:dyDescent="0.25">
      <c r="A14" s="75">
        <v>7</v>
      </c>
      <c r="B14" s="133">
        <v>43808</v>
      </c>
      <c r="C14" s="135" t="s">
        <v>2836</v>
      </c>
      <c r="D14" s="136" t="s">
        <v>2857</v>
      </c>
      <c r="E14" s="78" t="s">
        <v>1666</v>
      </c>
      <c r="F14" s="80"/>
      <c r="G14" s="234"/>
      <c r="H14" s="234"/>
      <c r="I14" s="266"/>
      <c r="J14" s="223">
        <v>1510000</v>
      </c>
      <c r="K14" s="267"/>
      <c r="L14" s="156"/>
      <c r="M14" s="189"/>
      <c r="N14" s="189"/>
      <c r="O14" s="268">
        <f t="shared" si="0"/>
        <v>1510000</v>
      </c>
      <c r="P14" s="272">
        <v>5500000</v>
      </c>
      <c r="Q14" s="270">
        <f t="shared" si="1"/>
        <v>3990000</v>
      </c>
      <c r="R14" s="195"/>
      <c r="S14" s="333"/>
      <c r="T14" s="195"/>
    </row>
    <row r="15" spans="1:20" ht="20.100000000000001" customHeight="1" x14ac:dyDescent="0.25">
      <c r="A15" s="75">
        <v>8</v>
      </c>
      <c r="B15" s="133">
        <v>43809</v>
      </c>
      <c r="C15" s="135" t="s">
        <v>2837</v>
      </c>
      <c r="D15" s="136" t="s">
        <v>2858</v>
      </c>
      <c r="E15" s="78" t="s">
        <v>1621</v>
      </c>
      <c r="F15" s="80"/>
      <c r="G15" s="234">
        <v>220</v>
      </c>
      <c r="H15" s="234">
        <f t="shared" si="2"/>
        <v>3515600</v>
      </c>
      <c r="I15" s="266"/>
      <c r="J15" s="256">
        <f>1150000</f>
        <v>1150000</v>
      </c>
      <c r="K15" s="267"/>
      <c r="L15" s="156"/>
      <c r="M15" s="189"/>
      <c r="N15" s="189"/>
      <c r="O15" s="268">
        <f t="shared" si="0"/>
        <v>4665600</v>
      </c>
      <c r="P15" s="272">
        <v>3609091</v>
      </c>
      <c r="Q15" s="270">
        <f t="shared" si="1"/>
        <v>-1056509</v>
      </c>
      <c r="R15" s="195"/>
      <c r="S15" s="333"/>
      <c r="T15" s="195"/>
    </row>
    <row r="16" spans="1:20" ht="20.100000000000001" customHeight="1" x14ac:dyDescent="0.25">
      <c r="A16" s="75">
        <v>9</v>
      </c>
      <c r="B16" s="133">
        <v>43810</v>
      </c>
      <c r="C16" s="135" t="s">
        <v>38</v>
      </c>
      <c r="D16" s="136" t="s">
        <v>2859</v>
      </c>
      <c r="E16" s="78" t="s">
        <v>21</v>
      </c>
      <c r="F16" s="80"/>
      <c r="G16" s="234">
        <v>240</v>
      </c>
      <c r="H16" s="234">
        <f t="shared" si="2"/>
        <v>3835200</v>
      </c>
      <c r="I16" s="266"/>
      <c r="J16" s="223">
        <v>2740000</v>
      </c>
      <c r="K16" s="267"/>
      <c r="L16" s="156"/>
      <c r="M16" s="189"/>
      <c r="N16" s="189"/>
      <c r="O16" s="268">
        <f t="shared" si="0"/>
        <v>6575200</v>
      </c>
      <c r="P16" s="272">
        <v>12181818</v>
      </c>
      <c r="Q16" s="270">
        <f t="shared" si="1"/>
        <v>5606618</v>
      </c>
      <c r="R16" s="195"/>
      <c r="S16" s="333"/>
      <c r="T16" s="195"/>
    </row>
    <row r="17" spans="1:20" ht="20.100000000000001" customHeight="1" x14ac:dyDescent="0.25">
      <c r="A17" s="75">
        <v>10</v>
      </c>
      <c r="B17" s="133">
        <v>43811</v>
      </c>
      <c r="C17" s="135" t="s">
        <v>793</v>
      </c>
      <c r="D17" s="136" t="s">
        <v>2860</v>
      </c>
      <c r="E17" s="78" t="s">
        <v>1615</v>
      </c>
      <c r="F17" s="80"/>
      <c r="G17" s="234"/>
      <c r="H17" s="234"/>
      <c r="I17" s="266"/>
      <c r="J17" s="223">
        <v>970000</v>
      </c>
      <c r="K17" s="267"/>
      <c r="L17" s="156"/>
      <c r="M17" s="189"/>
      <c r="N17" s="189"/>
      <c r="O17" s="268">
        <f t="shared" si="0"/>
        <v>970000</v>
      </c>
      <c r="P17" s="272">
        <v>3890909</v>
      </c>
      <c r="Q17" s="270">
        <f t="shared" si="1"/>
        <v>2920909</v>
      </c>
      <c r="R17" s="195"/>
      <c r="S17" s="333"/>
      <c r="T17" s="195"/>
    </row>
    <row r="18" spans="1:20" ht="20.100000000000001" customHeight="1" x14ac:dyDescent="0.25">
      <c r="A18" s="75">
        <v>11</v>
      </c>
      <c r="B18" s="133">
        <v>43812</v>
      </c>
      <c r="C18" s="135" t="s">
        <v>2838</v>
      </c>
      <c r="D18" s="136" t="s">
        <v>2861</v>
      </c>
      <c r="E18" s="78" t="s">
        <v>636</v>
      </c>
      <c r="F18" s="80"/>
      <c r="G18" s="234"/>
      <c r="H18" s="234"/>
      <c r="I18" s="266"/>
      <c r="J18" s="223">
        <v>790000</v>
      </c>
      <c r="K18" s="267"/>
      <c r="L18" s="156"/>
      <c r="M18" s="189"/>
      <c r="N18" s="189"/>
      <c r="O18" s="268">
        <f t="shared" si="0"/>
        <v>790000</v>
      </c>
      <c r="P18" s="272">
        <v>4000000</v>
      </c>
      <c r="Q18" s="270">
        <f t="shared" si="1"/>
        <v>3210000</v>
      </c>
      <c r="R18" s="195"/>
      <c r="S18" s="333"/>
      <c r="T18" s="195"/>
    </row>
    <row r="19" spans="1:20" ht="20.100000000000001" customHeight="1" x14ac:dyDescent="0.25">
      <c r="A19" s="75">
        <v>12</v>
      </c>
      <c r="B19" s="133">
        <v>43813</v>
      </c>
      <c r="C19" s="135" t="s">
        <v>2839</v>
      </c>
      <c r="D19" s="136" t="s">
        <v>2862</v>
      </c>
      <c r="E19" s="78" t="s">
        <v>1720</v>
      </c>
      <c r="F19" s="80"/>
      <c r="G19" s="234">
        <v>335</v>
      </c>
      <c r="H19" s="234">
        <f t="shared" si="2"/>
        <v>5353300</v>
      </c>
      <c r="I19" s="266"/>
      <c r="J19" s="223">
        <v>1240000</v>
      </c>
      <c r="K19" s="267"/>
      <c r="L19" s="156"/>
      <c r="M19" s="189"/>
      <c r="N19" s="189"/>
      <c r="O19" s="268">
        <f t="shared" si="0"/>
        <v>6593300</v>
      </c>
      <c r="P19" s="272">
        <v>6400000</v>
      </c>
      <c r="Q19" s="270">
        <f t="shared" si="1"/>
        <v>-193300</v>
      </c>
      <c r="R19" s="195"/>
      <c r="S19" s="333"/>
      <c r="T19" s="195"/>
    </row>
    <row r="20" spans="1:20" ht="20.100000000000001" customHeight="1" x14ac:dyDescent="0.25">
      <c r="A20" s="75">
        <v>13</v>
      </c>
      <c r="B20" s="133">
        <v>43815</v>
      </c>
      <c r="C20" s="135" t="s">
        <v>2840</v>
      </c>
      <c r="D20" s="136" t="s">
        <v>2863</v>
      </c>
      <c r="E20" s="78" t="s">
        <v>2882</v>
      </c>
      <c r="F20" s="80"/>
      <c r="G20" s="234"/>
      <c r="H20" s="234"/>
      <c r="I20" s="266"/>
      <c r="J20" s="223">
        <v>1150000</v>
      </c>
      <c r="K20" s="267"/>
      <c r="L20" s="156"/>
      <c r="M20" s="189"/>
      <c r="N20" s="189"/>
      <c r="O20" s="268">
        <f t="shared" si="0"/>
        <v>1150000</v>
      </c>
      <c r="P20" s="272">
        <v>3900000</v>
      </c>
      <c r="Q20" s="270">
        <f t="shared" si="1"/>
        <v>2750000</v>
      </c>
      <c r="R20" s="195"/>
      <c r="S20" s="333"/>
      <c r="T20" s="195"/>
    </row>
    <row r="21" spans="1:20" ht="20.100000000000001" customHeight="1" x14ac:dyDescent="0.25">
      <c r="A21" s="75">
        <v>14</v>
      </c>
      <c r="B21" s="133">
        <v>43816</v>
      </c>
      <c r="C21" s="135" t="s">
        <v>2205</v>
      </c>
      <c r="D21" s="136" t="s">
        <v>2864</v>
      </c>
      <c r="E21" s="78" t="s">
        <v>2826</v>
      </c>
      <c r="F21" s="80"/>
      <c r="G21" s="234"/>
      <c r="H21" s="234"/>
      <c r="I21" s="266"/>
      <c r="J21" s="223">
        <v>970000</v>
      </c>
      <c r="K21" s="267"/>
      <c r="L21" s="156"/>
      <c r="M21" s="189"/>
      <c r="N21" s="189"/>
      <c r="O21" s="268">
        <f t="shared" si="0"/>
        <v>970000</v>
      </c>
      <c r="P21" s="272">
        <v>4500000</v>
      </c>
      <c r="Q21" s="270">
        <f t="shared" si="1"/>
        <v>3530000</v>
      </c>
      <c r="R21" s="195"/>
      <c r="S21" s="333"/>
      <c r="T21" s="195"/>
    </row>
    <row r="22" spans="1:20" ht="20.100000000000001" customHeight="1" x14ac:dyDescent="0.25">
      <c r="A22" s="75">
        <v>15</v>
      </c>
      <c r="B22" s="133">
        <v>43817</v>
      </c>
      <c r="C22" s="135" t="s">
        <v>2841</v>
      </c>
      <c r="D22" s="136" t="s">
        <v>2865</v>
      </c>
      <c r="E22" s="78" t="s">
        <v>566</v>
      </c>
      <c r="F22" s="80"/>
      <c r="G22" s="234">
        <v>270</v>
      </c>
      <c r="H22" s="234">
        <f>G22*16060</f>
        <v>4336200</v>
      </c>
      <c r="I22" s="266"/>
      <c r="J22" s="223">
        <v>1150000</v>
      </c>
      <c r="K22" s="267"/>
      <c r="L22" s="156"/>
      <c r="M22" s="189"/>
      <c r="N22" s="189"/>
      <c r="O22" s="268">
        <f t="shared" si="0"/>
        <v>5486200</v>
      </c>
      <c r="P22" s="272">
        <v>4227273</v>
      </c>
      <c r="Q22" s="270">
        <f t="shared" si="1"/>
        <v>-1258927</v>
      </c>
      <c r="R22" s="195"/>
      <c r="S22" s="333"/>
      <c r="T22" s="195"/>
    </row>
    <row r="23" spans="1:20" ht="20.100000000000001" customHeight="1" x14ac:dyDescent="0.25">
      <c r="A23" s="75">
        <v>16</v>
      </c>
      <c r="B23" s="133">
        <v>43818</v>
      </c>
      <c r="C23" s="135" t="s">
        <v>800</v>
      </c>
      <c r="D23" s="136" t="s">
        <v>2866</v>
      </c>
      <c r="E23" s="78" t="s">
        <v>21</v>
      </c>
      <c r="F23" s="80"/>
      <c r="G23" s="234">
        <v>250</v>
      </c>
      <c r="H23" s="234">
        <f t="shared" ref="H23:H32" si="3">G23*16060</f>
        <v>4015000</v>
      </c>
      <c r="I23" s="266"/>
      <c r="J23" s="223">
        <v>2740000</v>
      </c>
      <c r="K23" s="267"/>
      <c r="L23" s="156"/>
      <c r="M23" s="189"/>
      <c r="N23" s="189"/>
      <c r="O23" s="268">
        <f t="shared" si="0"/>
        <v>6755000</v>
      </c>
      <c r="P23" s="272">
        <v>14090909</v>
      </c>
      <c r="Q23" s="270">
        <f t="shared" si="1"/>
        <v>7335909</v>
      </c>
      <c r="R23" s="195"/>
      <c r="S23" s="333"/>
      <c r="T23" s="195"/>
    </row>
    <row r="24" spans="1:20" ht="20.100000000000001" customHeight="1" x14ac:dyDescent="0.25">
      <c r="A24" s="75">
        <v>17</v>
      </c>
      <c r="B24" s="133">
        <v>43819</v>
      </c>
      <c r="C24" s="135" t="s">
        <v>2207</v>
      </c>
      <c r="D24" s="136" t="s">
        <v>2867</v>
      </c>
      <c r="E24" s="78" t="s">
        <v>2878</v>
      </c>
      <c r="F24" s="80"/>
      <c r="G24" s="234"/>
      <c r="H24" s="234"/>
      <c r="I24" s="266"/>
      <c r="J24" s="223">
        <v>970000</v>
      </c>
      <c r="K24" s="267"/>
      <c r="L24" s="156"/>
      <c r="M24" s="189"/>
      <c r="N24" s="189"/>
      <c r="O24" s="268">
        <f t="shared" si="0"/>
        <v>970000</v>
      </c>
      <c r="P24" s="272">
        <v>4300000</v>
      </c>
      <c r="Q24" s="270">
        <f t="shared" si="1"/>
        <v>3330000</v>
      </c>
      <c r="R24" s="195"/>
      <c r="S24" s="333"/>
      <c r="T24" s="195"/>
    </row>
    <row r="25" spans="1:20" ht="20.100000000000001" customHeight="1" x14ac:dyDescent="0.25">
      <c r="A25" s="75">
        <v>18</v>
      </c>
      <c r="B25" s="133">
        <v>43820</v>
      </c>
      <c r="C25" s="135" t="s">
        <v>2208</v>
      </c>
      <c r="D25" s="136" t="s">
        <v>2868</v>
      </c>
      <c r="E25" s="78" t="s">
        <v>2883</v>
      </c>
      <c r="F25" s="80"/>
      <c r="G25" s="234"/>
      <c r="H25" s="234"/>
      <c r="I25" s="266"/>
      <c r="J25" s="223">
        <v>800000</v>
      </c>
      <c r="K25" s="267"/>
      <c r="L25" s="156"/>
      <c r="M25" s="189"/>
      <c r="N25" s="189"/>
      <c r="O25" s="268">
        <f t="shared" si="0"/>
        <v>800000</v>
      </c>
      <c r="P25" s="272">
        <v>3600000</v>
      </c>
      <c r="Q25" s="270">
        <f t="shared" si="1"/>
        <v>2800000</v>
      </c>
      <c r="R25" s="195"/>
      <c r="S25" s="333"/>
      <c r="T25" s="195"/>
    </row>
    <row r="26" spans="1:20" ht="20.100000000000001" customHeight="1" x14ac:dyDescent="0.25">
      <c r="A26" s="75">
        <v>19</v>
      </c>
      <c r="B26" s="133">
        <v>43822</v>
      </c>
      <c r="C26" s="135" t="s">
        <v>2842</v>
      </c>
      <c r="D26" s="136" t="s">
        <v>2869</v>
      </c>
      <c r="E26" s="78" t="s">
        <v>2007</v>
      </c>
      <c r="F26" s="80"/>
      <c r="G26" s="234">
        <v>260</v>
      </c>
      <c r="H26" s="234">
        <f t="shared" si="3"/>
        <v>4175600</v>
      </c>
      <c r="I26" s="266"/>
      <c r="J26" s="223">
        <v>1150000</v>
      </c>
      <c r="K26" s="267"/>
      <c r="L26" s="156"/>
      <c r="M26" s="189"/>
      <c r="N26" s="189"/>
      <c r="O26" s="268">
        <f t="shared" si="0"/>
        <v>5325600</v>
      </c>
      <c r="P26" s="272">
        <v>3860000</v>
      </c>
      <c r="Q26" s="270">
        <f t="shared" si="1"/>
        <v>-1465600</v>
      </c>
      <c r="R26" s="195"/>
      <c r="S26" s="333"/>
      <c r="T26" s="195"/>
    </row>
    <row r="27" spans="1:20" ht="20.100000000000001" customHeight="1" x14ac:dyDescent="0.25">
      <c r="A27" s="75">
        <v>20</v>
      </c>
      <c r="B27" s="133">
        <v>43823</v>
      </c>
      <c r="C27" s="135" t="s">
        <v>2843</v>
      </c>
      <c r="D27" s="136" t="s">
        <v>2870</v>
      </c>
      <c r="E27" s="78" t="s">
        <v>2884</v>
      </c>
      <c r="F27" s="80"/>
      <c r="G27" s="234"/>
      <c r="H27" s="234"/>
      <c r="I27" s="266"/>
      <c r="J27" s="223">
        <v>1600000</v>
      </c>
      <c r="K27" s="267"/>
      <c r="L27" s="156"/>
      <c r="M27" s="189"/>
      <c r="N27" s="189"/>
      <c r="O27" s="268">
        <f t="shared" si="0"/>
        <v>1600000</v>
      </c>
      <c r="P27" s="272">
        <v>5100000</v>
      </c>
      <c r="Q27" s="270">
        <f t="shared" si="1"/>
        <v>3500000</v>
      </c>
      <c r="R27" s="195"/>
      <c r="S27" s="333"/>
      <c r="T27" s="195"/>
    </row>
    <row r="28" spans="1:20" ht="20.100000000000001" customHeight="1" x14ac:dyDescent="0.25">
      <c r="A28" s="75">
        <v>21</v>
      </c>
      <c r="B28" s="133">
        <v>43824</v>
      </c>
      <c r="C28" s="135" t="s">
        <v>2844</v>
      </c>
      <c r="D28" s="136" t="s">
        <v>2871</v>
      </c>
      <c r="E28" s="78" t="s">
        <v>2885</v>
      </c>
      <c r="F28" s="80"/>
      <c r="G28" s="234">
        <v>210</v>
      </c>
      <c r="H28" s="234">
        <f t="shared" si="3"/>
        <v>3372600</v>
      </c>
      <c r="I28" s="266"/>
      <c r="J28" s="223">
        <v>790000</v>
      </c>
      <c r="K28" s="267"/>
      <c r="L28" s="156"/>
      <c r="M28" s="189"/>
      <c r="N28" s="189"/>
      <c r="O28" s="268">
        <f t="shared" si="0"/>
        <v>4162600</v>
      </c>
      <c r="P28" s="272">
        <v>3100000</v>
      </c>
      <c r="Q28" s="270">
        <f t="shared" si="1"/>
        <v>-1062600</v>
      </c>
      <c r="R28" s="195"/>
      <c r="S28" s="333"/>
      <c r="T28" s="195"/>
    </row>
    <row r="29" spans="1:20" ht="20.100000000000001" customHeight="1" x14ac:dyDescent="0.25">
      <c r="A29" s="75">
        <v>22</v>
      </c>
      <c r="B29" s="133">
        <v>43825</v>
      </c>
      <c r="C29" s="135" t="s">
        <v>2845</v>
      </c>
      <c r="D29" s="136" t="s">
        <v>2872</v>
      </c>
      <c r="E29" s="78" t="s">
        <v>562</v>
      </c>
      <c r="F29" s="80"/>
      <c r="G29" s="234">
        <v>280</v>
      </c>
      <c r="H29" s="234">
        <f t="shared" si="3"/>
        <v>4496800</v>
      </c>
      <c r="I29" s="266"/>
      <c r="J29" s="223">
        <v>2940000</v>
      </c>
      <c r="K29" s="267"/>
      <c r="L29" s="156"/>
      <c r="M29" s="189"/>
      <c r="N29" s="189"/>
      <c r="O29" s="268">
        <f t="shared" si="0"/>
        <v>7436800</v>
      </c>
      <c r="P29" s="272">
        <v>15000000</v>
      </c>
      <c r="Q29" s="270">
        <f t="shared" si="1"/>
        <v>7563200</v>
      </c>
      <c r="R29" s="195"/>
      <c r="S29" s="333"/>
      <c r="T29" s="195"/>
    </row>
    <row r="30" spans="1:20" ht="20.100000000000001" customHeight="1" x14ac:dyDescent="0.25">
      <c r="A30" s="75">
        <v>23</v>
      </c>
      <c r="B30" s="133">
        <v>43825</v>
      </c>
      <c r="C30" s="135" t="s">
        <v>2846</v>
      </c>
      <c r="D30" s="136" t="s">
        <v>2872</v>
      </c>
      <c r="E30" s="78" t="s">
        <v>562</v>
      </c>
      <c r="F30" s="80"/>
      <c r="G30" s="234"/>
      <c r="H30" s="234"/>
      <c r="I30" s="266"/>
      <c r="J30" s="223">
        <v>0</v>
      </c>
      <c r="K30" s="267"/>
      <c r="L30" s="156"/>
      <c r="M30" s="189"/>
      <c r="N30" s="189"/>
      <c r="O30" s="268">
        <f t="shared" si="0"/>
        <v>0</v>
      </c>
      <c r="P30" s="272">
        <v>900000</v>
      </c>
      <c r="Q30" s="270">
        <f t="shared" si="1"/>
        <v>900000</v>
      </c>
      <c r="R30" s="195"/>
      <c r="S30" s="333"/>
      <c r="T30" s="195"/>
    </row>
    <row r="31" spans="1:20" ht="20.100000000000001" customHeight="1" x14ac:dyDescent="0.25">
      <c r="A31" s="75">
        <v>24</v>
      </c>
      <c r="B31" s="133">
        <v>43826</v>
      </c>
      <c r="C31" s="135" t="s">
        <v>2847</v>
      </c>
      <c r="D31" s="136" t="s">
        <v>2873</v>
      </c>
      <c r="E31" s="78" t="s">
        <v>24</v>
      </c>
      <c r="F31" s="80"/>
      <c r="G31" s="234"/>
      <c r="H31" s="234"/>
      <c r="I31" s="266"/>
      <c r="J31" s="223">
        <v>1890000</v>
      </c>
      <c r="K31" s="267"/>
      <c r="L31" s="156"/>
      <c r="M31" s="189"/>
      <c r="N31" s="189"/>
      <c r="O31" s="268">
        <f t="shared" si="0"/>
        <v>1890000</v>
      </c>
      <c r="P31" s="272">
        <v>8045455</v>
      </c>
      <c r="Q31" s="270">
        <f t="shared" si="1"/>
        <v>6155455</v>
      </c>
      <c r="R31" s="195"/>
      <c r="S31" s="333"/>
      <c r="T31" s="195"/>
    </row>
    <row r="32" spans="1:20" ht="20.100000000000001" customHeight="1" x14ac:dyDescent="0.25">
      <c r="A32" s="75">
        <v>25</v>
      </c>
      <c r="B32" s="133">
        <v>43827</v>
      </c>
      <c r="C32" s="135" t="s">
        <v>2848</v>
      </c>
      <c r="D32" s="136" t="s">
        <v>2874</v>
      </c>
      <c r="E32" s="78" t="s">
        <v>1663</v>
      </c>
      <c r="F32" s="80"/>
      <c r="G32" s="234">
        <v>315</v>
      </c>
      <c r="H32" s="234">
        <f t="shared" si="3"/>
        <v>5058900</v>
      </c>
      <c r="I32" s="266"/>
      <c r="J32" s="223">
        <v>1160000</v>
      </c>
      <c r="K32" s="267"/>
      <c r="L32" s="156"/>
      <c r="M32" s="189"/>
      <c r="N32" s="189"/>
      <c r="O32" s="268">
        <f t="shared" si="0"/>
        <v>6218900</v>
      </c>
      <c r="P32" s="272">
        <v>5000000</v>
      </c>
      <c r="Q32" s="270">
        <f t="shared" si="1"/>
        <v>-1218900</v>
      </c>
      <c r="R32" s="195"/>
      <c r="S32" s="333"/>
      <c r="T32" s="195"/>
    </row>
    <row r="33" spans="1:20" ht="20.100000000000001" customHeight="1" x14ac:dyDescent="0.25">
      <c r="A33" s="75">
        <v>26</v>
      </c>
      <c r="B33" s="133">
        <v>43829</v>
      </c>
      <c r="C33" s="135" t="s">
        <v>2849</v>
      </c>
      <c r="D33" s="136" t="s">
        <v>2875</v>
      </c>
      <c r="E33" s="78" t="s">
        <v>850</v>
      </c>
      <c r="F33" s="80"/>
      <c r="G33" s="234"/>
      <c r="H33" s="234"/>
      <c r="I33" s="266"/>
      <c r="J33" s="223">
        <v>930000</v>
      </c>
      <c r="K33" s="267"/>
      <c r="L33" s="156"/>
      <c r="M33" s="189"/>
      <c r="N33" s="189"/>
      <c r="O33" s="268">
        <f t="shared" si="0"/>
        <v>930000</v>
      </c>
      <c r="P33" s="272">
        <v>5363636</v>
      </c>
      <c r="Q33" s="270">
        <f t="shared" si="1"/>
        <v>4433636</v>
      </c>
      <c r="R33" s="195"/>
      <c r="S33" s="333"/>
      <c r="T33" s="195"/>
    </row>
    <row r="34" spans="1:20" ht="20.100000000000001" customHeight="1" x14ac:dyDescent="0.25">
      <c r="A34" s="75">
        <v>27</v>
      </c>
      <c r="B34" s="133">
        <v>43830</v>
      </c>
      <c r="C34" s="135" t="s">
        <v>2850</v>
      </c>
      <c r="D34" s="136" t="s">
        <v>2876</v>
      </c>
      <c r="E34" s="78" t="s">
        <v>153</v>
      </c>
      <c r="F34" s="80"/>
      <c r="G34" s="233">
        <v>240</v>
      </c>
      <c r="H34" s="233">
        <f>G34*16060</f>
        <v>3854400</v>
      </c>
      <c r="I34" s="266"/>
      <c r="J34" s="223">
        <v>1780000</v>
      </c>
      <c r="K34" s="267"/>
      <c r="L34" s="156"/>
      <c r="M34" s="189"/>
      <c r="N34" s="189"/>
      <c r="O34" s="268">
        <f t="shared" si="0"/>
        <v>5634400</v>
      </c>
      <c r="P34" s="272">
        <v>5520000</v>
      </c>
      <c r="Q34" s="270">
        <f t="shared" si="1"/>
        <v>-114400</v>
      </c>
      <c r="R34" s="195"/>
      <c r="S34" s="333"/>
      <c r="T34" s="195"/>
    </row>
    <row r="35" spans="1:20" ht="15" customHeight="1" x14ac:dyDescent="0.25">
      <c r="A35" s="75"/>
      <c r="B35" s="133"/>
      <c r="C35" s="138"/>
      <c r="D35" s="139"/>
      <c r="E35" s="78"/>
      <c r="F35" s="110"/>
      <c r="G35" s="273"/>
      <c r="H35" s="271"/>
      <c r="I35" s="266"/>
      <c r="J35" s="194"/>
      <c r="K35" s="267"/>
      <c r="L35" s="156"/>
      <c r="M35" s="194"/>
      <c r="N35" s="194"/>
      <c r="O35" s="268">
        <f t="shared" si="0"/>
        <v>0</v>
      </c>
      <c r="P35" s="274"/>
      <c r="Q35" s="270">
        <f t="shared" si="1"/>
        <v>0</v>
      </c>
      <c r="R35" s="195"/>
      <c r="S35" s="195"/>
      <c r="T35" s="195"/>
    </row>
    <row r="36" spans="1:20" ht="16.149999999999999" customHeight="1" x14ac:dyDescent="0.25">
      <c r="A36" s="75"/>
      <c r="B36" s="133"/>
      <c r="C36" s="564" t="s">
        <v>1273</v>
      </c>
      <c r="D36" s="565"/>
      <c r="E36" s="566"/>
      <c r="F36" s="163"/>
      <c r="G36" s="281"/>
      <c r="H36" s="282"/>
      <c r="I36" s="280"/>
      <c r="J36" s="194"/>
      <c r="K36" s="267"/>
      <c r="L36" s="154">
        <v>1320000</v>
      </c>
      <c r="M36" s="194"/>
      <c r="N36" s="194"/>
      <c r="O36" s="268">
        <f t="shared" si="0"/>
        <v>1320000</v>
      </c>
      <c r="P36" s="264"/>
      <c r="Q36" s="270">
        <f t="shared" si="1"/>
        <v>-1320000</v>
      </c>
    </row>
    <row r="37" spans="1:20" ht="15.6" customHeight="1" x14ac:dyDescent="0.25">
      <c r="A37" s="134"/>
      <c r="B37" s="137"/>
      <c r="C37" s="564" t="s">
        <v>2886</v>
      </c>
      <c r="D37" s="565"/>
      <c r="E37" s="566"/>
      <c r="F37" s="163"/>
      <c r="G37" s="281"/>
      <c r="H37" s="282"/>
      <c r="I37" s="280"/>
      <c r="J37" s="194"/>
      <c r="K37" s="278"/>
      <c r="L37" s="164">
        <v>350000</v>
      </c>
      <c r="M37" s="194"/>
      <c r="N37" s="194"/>
      <c r="O37" s="268">
        <f t="shared" si="0"/>
        <v>350000</v>
      </c>
      <c r="P37" s="265"/>
      <c r="Q37" s="270">
        <f t="shared" si="1"/>
        <v>-350000</v>
      </c>
    </row>
    <row r="38" spans="1:20" ht="15.6" customHeight="1" x14ac:dyDescent="0.25">
      <c r="A38" s="134"/>
      <c r="B38" s="137"/>
      <c r="C38" s="564" t="s">
        <v>2887</v>
      </c>
      <c r="D38" s="565"/>
      <c r="E38" s="566"/>
      <c r="F38" s="163"/>
      <c r="G38" s="281"/>
      <c r="H38" s="282"/>
      <c r="I38" s="280"/>
      <c r="J38" s="194"/>
      <c r="K38" s="278"/>
      <c r="L38" s="164">
        <v>160000</v>
      </c>
      <c r="M38" s="194"/>
      <c r="N38" s="194"/>
      <c r="O38" s="268">
        <f t="shared" si="0"/>
        <v>160000</v>
      </c>
      <c r="P38" s="265"/>
      <c r="Q38" s="270">
        <f t="shared" si="1"/>
        <v>-160000</v>
      </c>
    </row>
    <row r="39" spans="1:20" ht="15.6" customHeight="1" x14ac:dyDescent="0.25">
      <c r="A39" s="134"/>
      <c r="B39" s="137"/>
      <c r="C39" s="335" t="s">
        <v>2888</v>
      </c>
      <c r="D39" s="336"/>
      <c r="E39" s="337"/>
      <c r="F39" s="163"/>
      <c r="G39" s="281"/>
      <c r="H39" s="282"/>
      <c r="I39" s="280"/>
      <c r="J39" s="194"/>
      <c r="K39" s="278"/>
      <c r="L39" s="164">
        <v>60000</v>
      </c>
      <c r="M39" s="194"/>
      <c r="N39" s="194"/>
      <c r="O39" s="268">
        <f t="shared" si="0"/>
        <v>60000</v>
      </c>
      <c r="P39" s="265"/>
      <c r="Q39" s="270">
        <f t="shared" si="1"/>
        <v>-60000</v>
      </c>
    </row>
    <row r="40" spans="1:20" ht="15.6" customHeight="1" x14ac:dyDescent="0.25">
      <c r="A40" s="134"/>
      <c r="B40" s="137"/>
      <c r="C40" s="341" t="s">
        <v>2891</v>
      </c>
      <c r="D40" s="342"/>
      <c r="E40" s="343"/>
      <c r="F40" s="344"/>
      <c r="G40" s="232"/>
      <c r="H40" s="233"/>
      <c r="I40" s="345"/>
      <c r="J40" s="232"/>
      <c r="K40" s="283"/>
      <c r="L40" s="346"/>
      <c r="M40" s="232"/>
      <c r="N40" s="232">
        <v>2540000</v>
      </c>
      <c r="O40" s="268">
        <f t="shared" si="0"/>
        <v>2540000</v>
      </c>
      <c r="P40" s="265"/>
      <c r="Q40" s="270">
        <f t="shared" si="1"/>
        <v>-2540000</v>
      </c>
    </row>
    <row r="41" spans="1:20" ht="15.6" customHeight="1" x14ac:dyDescent="0.25">
      <c r="A41" s="134"/>
      <c r="B41" s="137"/>
      <c r="C41" s="570" t="s">
        <v>2889</v>
      </c>
      <c r="D41" s="571"/>
      <c r="E41" s="572"/>
      <c r="F41" s="163"/>
      <c r="G41" s="281"/>
      <c r="H41" s="282"/>
      <c r="I41" s="280"/>
      <c r="J41" s="194"/>
      <c r="K41" s="278"/>
      <c r="L41" s="164"/>
      <c r="M41" s="194"/>
      <c r="N41" s="194">
        <f>1364000/2</f>
        <v>682000</v>
      </c>
      <c r="O41" s="268">
        <f t="shared" si="0"/>
        <v>682000</v>
      </c>
      <c r="P41" s="265"/>
      <c r="Q41" s="270">
        <f t="shared" si="1"/>
        <v>-682000</v>
      </c>
    </row>
    <row r="42" spans="1:20" ht="15.6" customHeight="1" x14ac:dyDescent="0.25">
      <c r="A42" s="134"/>
      <c r="B42" s="137"/>
      <c r="C42" s="338" t="s">
        <v>2890</v>
      </c>
      <c r="D42" s="339"/>
      <c r="E42" s="340"/>
      <c r="F42" s="163"/>
      <c r="G42" s="281"/>
      <c r="H42" s="282"/>
      <c r="I42" s="280"/>
      <c r="J42" s="194"/>
      <c r="K42" s="278">
        <v>7000000</v>
      </c>
      <c r="L42" s="164"/>
      <c r="M42" s="194"/>
      <c r="N42" s="194"/>
      <c r="O42" s="268">
        <f t="shared" si="0"/>
        <v>7000000</v>
      </c>
      <c r="P42" s="265"/>
      <c r="Q42" s="270">
        <f t="shared" si="1"/>
        <v>-7000000</v>
      </c>
    </row>
    <row r="43" spans="1:20" ht="16.149999999999999" customHeight="1" x14ac:dyDescent="0.25">
      <c r="A43" s="134"/>
      <c r="B43" s="103"/>
      <c r="C43" s="567" t="s">
        <v>1386</v>
      </c>
      <c r="D43" s="568"/>
      <c r="E43" s="569"/>
      <c r="F43" s="110"/>
      <c r="G43" s="281"/>
      <c r="H43" s="282"/>
      <c r="I43" s="280"/>
      <c r="J43" s="194"/>
      <c r="K43" s="283">
        <v>10038462</v>
      </c>
      <c r="L43" s="141"/>
      <c r="M43" s="194"/>
      <c r="N43" s="194"/>
      <c r="O43" s="268">
        <f t="shared" si="0"/>
        <v>10038462</v>
      </c>
      <c r="P43" s="265"/>
      <c r="Q43" s="270">
        <f t="shared" si="1"/>
        <v>-10038462</v>
      </c>
    </row>
    <row r="44" spans="1:20" x14ac:dyDescent="0.25">
      <c r="A44" s="547" t="s">
        <v>19</v>
      </c>
      <c r="B44" s="548"/>
      <c r="C44" s="548"/>
      <c r="D44" s="548"/>
      <c r="E44" s="548"/>
      <c r="F44" s="549"/>
      <c r="G44" s="305">
        <f>SUM(G8:G43)</f>
        <v>3170</v>
      </c>
      <c r="H44" s="291">
        <f t="shared" ref="H44:Q44" si="4">SUM(H7:H43)</f>
        <v>50802600</v>
      </c>
      <c r="I44" s="291">
        <f t="shared" si="4"/>
        <v>0</v>
      </c>
      <c r="J44" s="291">
        <f t="shared" si="4"/>
        <v>34360000</v>
      </c>
      <c r="K44" s="291">
        <f t="shared" si="4"/>
        <v>17038462</v>
      </c>
      <c r="L44" s="309">
        <f t="shared" si="4"/>
        <v>1890000</v>
      </c>
      <c r="M44" s="291">
        <f t="shared" si="4"/>
        <v>0</v>
      </c>
      <c r="N44" s="291">
        <f t="shared" si="4"/>
        <v>3222000</v>
      </c>
      <c r="O44" s="291">
        <f t="shared" si="4"/>
        <v>107313062</v>
      </c>
      <c r="P44" s="291">
        <f t="shared" si="4"/>
        <v>145993637</v>
      </c>
      <c r="Q44" s="297">
        <f t="shared" si="4"/>
        <v>38680575</v>
      </c>
      <c r="R44" s="195"/>
      <c r="S44" s="195"/>
    </row>
    <row r="45" spans="1:20" x14ac:dyDescent="0.25">
      <c r="P45" s="294"/>
      <c r="Q45" s="295"/>
    </row>
    <row r="46" spans="1:20" x14ac:dyDescent="0.25">
      <c r="B46"/>
      <c r="G46"/>
      <c r="H46" s="294"/>
      <c r="P46" s="296" t="s">
        <v>1225</v>
      </c>
      <c r="Q46" s="304">
        <f>'11.2019'!Q42+'12.2019'!Q44</f>
        <v>415059237.69230771</v>
      </c>
    </row>
    <row r="47" spans="1:20" x14ac:dyDescent="0.25">
      <c r="B47"/>
      <c r="G47"/>
      <c r="Q47" s="294"/>
    </row>
    <row r="48" spans="1:20" x14ac:dyDescent="0.25">
      <c r="B48"/>
      <c r="G48"/>
      <c r="R48" s="195"/>
    </row>
  </sheetData>
  <mergeCells count="10">
    <mergeCell ref="C38:E38"/>
    <mergeCell ref="C43:E43"/>
    <mergeCell ref="A44:F44"/>
    <mergeCell ref="A1:Q1"/>
    <mergeCell ref="A2:Q2"/>
    <mergeCell ref="A3:Q3"/>
    <mergeCell ref="G5:N5"/>
    <mergeCell ref="C36:E36"/>
    <mergeCell ref="C37:E37"/>
    <mergeCell ref="C41:E41"/>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T33"/>
  <sheetViews>
    <sheetView topLeftCell="A19" workbookViewId="0">
      <selection activeCell="Q25" sqref="Q25"/>
    </sheetView>
  </sheetViews>
  <sheetFormatPr defaultRowHeight="15" x14ac:dyDescent="0.25"/>
  <cols>
    <col min="1" max="1" width="4.5703125" customWidth="1"/>
    <col min="2" max="2" width="9.140625" style="332"/>
    <col min="3" max="3" width="41.28515625" customWidth="1"/>
    <col min="4" max="4" width="16.5703125" customWidth="1"/>
    <col min="5" max="5" width="33.140625" customWidth="1"/>
    <col min="7" max="7" width="9.140625" style="292"/>
    <col min="8" max="8" width="10.140625" style="292" bestFit="1" customWidth="1"/>
    <col min="9" max="9" width="9.140625" style="293"/>
    <col min="10" max="10" width="9.140625" style="292"/>
    <col min="11" max="11" width="9.42578125" style="292" bestFit="1" customWidth="1"/>
    <col min="12" max="12" width="9.140625" style="173"/>
    <col min="13" max="14" width="9.140625" style="292"/>
    <col min="15" max="15" width="11.140625" style="292" customWidth="1"/>
    <col min="16" max="16" width="10.7109375" style="292" customWidth="1"/>
    <col min="17" max="17" width="12.28515625" style="292" customWidth="1"/>
    <col min="18" max="18" width="11.7109375" customWidth="1"/>
    <col min="19" max="19" width="18"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2892</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257"/>
      <c r="H4" s="258"/>
      <c r="I4" s="258"/>
      <c r="J4" s="258"/>
      <c r="K4" s="258"/>
      <c r="L4" s="91"/>
      <c r="M4" s="258"/>
      <c r="N4" s="258"/>
      <c r="O4" s="258"/>
      <c r="P4" s="258"/>
      <c r="Q4" s="258"/>
    </row>
    <row r="5" spans="1:20"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20"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20" x14ac:dyDescent="0.25">
      <c r="A7" s="75"/>
      <c r="B7" s="100"/>
      <c r="C7" s="88"/>
      <c r="D7" s="88"/>
      <c r="E7" s="134"/>
      <c r="F7" s="75"/>
      <c r="G7" s="263"/>
      <c r="H7" s="264"/>
      <c r="I7" s="264"/>
      <c r="J7" s="264"/>
      <c r="K7" s="264"/>
      <c r="L7" s="308"/>
      <c r="M7" s="264"/>
      <c r="N7" s="264"/>
      <c r="O7" s="264">
        <f>H7+J7+K7+L7+M7+N7</f>
        <v>0</v>
      </c>
      <c r="P7" s="265"/>
      <c r="Q7" s="264">
        <f>P7-O7</f>
        <v>0</v>
      </c>
    </row>
    <row r="8" spans="1:20" ht="20.100000000000001" customHeight="1" x14ac:dyDescent="0.25">
      <c r="A8" s="75">
        <v>1</v>
      </c>
      <c r="B8" s="133">
        <v>43832</v>
      </c>
      <c r="C8" s="135" t="s">
        <v>2893</v>
      </c>
      <c r="D8" s="136" t="s">
        <v>2902</v>
      </c>
      <c r="E8" s="78" t="s">
        <v>21</v>
      </c>
      <c r="F8" s="80"/>
      <c r="G8" s="234"/>
      <c r="H8" s="234"/>
      <c r="I8" s="266"/>
      <c r="J8" s="263">
        <v>2740000</v>
      </c>
      <c r="K8" s="267"/>
      <c r="L8" s="156"/>
      <c r="M8" s="189"/>
      <c r="N8" s="189"/>
      <c r="O8" s="268">
        <f>H8+J8+K8+L8+M8+N8</f>
        <v>2740000</v>
      </c>
      <c r="P8" s="272">
        <v>12727273</v>
      </c>
      <c r="Q8" s="270">
        <f>P8-O8</f>
        <v>9987273</v>
      </c>
      <c r="R8" s="195"/>
      <c r="S8" s="333"/>
      <c r="T8" s="195"/>
    </row>
    <row r="9" spans="1:20" ht="20.100000000000001" customHeight="1" x14ac:dyDescent="0.25">
      <c r="A9" s="75">
        <v>2</v>
      </c>
      <c r="B9" s="133">
        <v>43833</v>
      </c>
      <c r="C9" s="135" t="s">
        <v>2894</v>
      </c>
      <c r="D9" s="172" t="s">
        <v>2903</v>
      </c>
      <c r="E9" s="78" t="s">
        <v>1717</v>
      </c>
      <c r="F9" s="80"/>
      <c r="G9" s="234">
        <v>240</v>
      </c>
      <c r="H9" s="234">
        <f>G9*16590</f>
        <v>3981600</v>
      </c>
      <c r="I9" s="266"/>
      <c r="J9" s="263">
        <v>970000</v>
      </c>
      <c r="K9" s="267"/>
      <c r="L9" s="156"/>
      <c r="M9" s="189"/>
      <c r="N9" s="189"/>
      <c r="O9" s="268">
        <f t="shared" ref="O9:O30" si="0">H9+J9+K9+L9+M9+N9</f>
        <v>4951600</v>
      </c>
      <c r="P9" s="272">
        <v>4100000</v>
      </c>
      <c r="Q9" s="270">
        <f t="shared" ref="Q9:Q30" si="1">P9-O9</f>
        <v>-851600</v>
      </c>
      <c r="R9" s="195"/>
      <c r="S9" s="333"/>
      <c r="T9" s="195"/>
    </row>
    <row r="10" spans="1:20" ht="20.100000000000001" customHeight="1" x14ac:dyDescent="0.25">
      <c r="A10" s="75">
        <v>3</v>
      </c>
      <c r="B10" s="133">
        <v>43834</v>
      </c>
      <c r="C10" s="135" t="s">
        <v>2895</v>
      </c>
      <c r="D10" s="136" t="s">
        <v>2904</v>
      </c>
      <c r="E10" s="78" t="s">
        <v>559</v>
      </c>
      <c r="F10" s="80"/>
      <c r="G10" s="234"/>
      <c r="H10" s="234"/>
      <c r="I10" s="266"/>
      <c r="J10" s="263">
        <v>970000</v>
      </c>
      <c r="K10" s="267"/>
      <c r="L10" s="156"/>
      <c r="M10" s="189"/>
      <c r="N10" s="189"/>
      <c r="O10" s="268">
        <f t="shared" si="0"/>
        <v>970000</v>
      </c>
      <c r="P10" s="272">
        <v>4000000</v>
      </c>
      <c r="Q10" s="270">
        <f t="shared" si="1"/>
        <v>3030000</v>
      </c>
      <c r="R10" s="195"/>
      <c r="S10" s="333"/>
      <c r="T10" s="195"/>
    </row>
    <row r="11" spans="1:20" ht="20.100000000000001" customHeight="1" x14ac:dyDescent="0.25">
      <c r="A11" s="75">
        <v>4</v>
      </c>
      <c r="B11" s="133">
        <v>43836</v>
      </c>
      <c r="C11" s="135" t="s">
        <v>2896</v>
      </c>
      <c r="D11" s="136" t="s">
        <v>2905</v>
      </c>
      <c r="E11" s="78" t="s">
        <v>561</v>
      </c>
      <c r="F11" s="80"/>
      <c r="G11" s="234">
        <v>330</v>
      </c>
      <c r="H11" s="234">
        <f t="shared" ref="H11:H18" si="2">G11*16590</f>
        <v>5474700</v>
      </c>
      <c r="I11" s="266"/>
      <c r="J11" s="263">
        <v>1160000</v>
      </c>
      <c r="K11" s="267"/>
      <c r="L11" s="156"/>
      <c r="M11" s="189"/>
      <c r="N11" s="189"/>
      <c r="O11" s="268">
        <f t="shared" si="0"/>
        <v>6634700</v>
      </c>
      <c r="P11" s="272">
        <v>5000000</v>
      </c>
      <c r="Q11" s="270">
        <f t="shared" si="1"/>
        <v>-1634700</v>
      </c>
      <c r="R11" s="195"/>
      <c r="S11" s="333"/>
      <c r="T11" s="195"/>
    </row>
    <row r="12" spans="1:20" ht="20.100000000000001" customHeight="1" x14ac:dyDescent="0.25">
      <c r="A12" s="75">
        <v>5</v>
      </c>
      <c r="B12" s="133">
        <v>43837</v>
      </c>
      <c r="C12" s="135" t="s">
        <v>2897</v>
      </c>
      <c r="D12" s="136" t="s">
        <v>2906</v>
      </c>
      <c r="E12" s="78" t="s">
        <v>29</v>
      </c>
      <c r="F12" s="80"/>
      <c r="G12" s="234"/>
      <c r="H12" s="234"/>
      <c r="I12" s="266"/>
      <c r="J12" s="263">
        <v>970000</v>
      </c>
      <c r="K12" s="267"/>
      <c r="L12" s="156"/>
      <c r="M12" s="189"/>
      <c r="N12" s="189"/>
      <c r="O12" s="268">
        <f t="shared" si="0"/>
        <v>970000</v>
      </c>
      <c r="P12" s="272">
        <v>4000000</v>
      </c>
      <c r="Q12" s="270">
        <f t="shared" si="1"/>
        <v>3030000</v>
      </c>
      <c r="R12" s="195"/>
      <c r="S12" s="333"/>
      <c r="T12" s="195"/>
    </row>
    <row r="13" spans="1:20" ht="20.100000000000001" customHeight="1" x14ac:dyDescent="0.25">
      <c r="A13" s="75">
        <v>6</v>
      </c>
      <c r="B13" s="133">
        <v>43838</v>
      </c>
      <c r="C13" s="135" t="s">
        <v>2257</v>
      </c>
      <c r="D13" s="136" t="s">
        <v>2907</v>
      </c>
      <c r="E13" s="78" t="s">
        <v>2916</v>
      </c>
      <c r="F13" s="80"/>
      <c r="G13" s="234"/>
      <c r="H13" s="234"/>
      <c r="I13" s="266"/>
      <c r="J13" s="263">
        <v>790000</v>
      </c>
      <c r="K13" s="267"/>
      <c r="L13" s="156"/>
      <c r="M13" s="189"/>
      <c r="N13" s="189"/>
      <c r="O13" s="268">
        <f t="shared" si="0"/>
        <v>790000</v>
      </c>
      <c r="P13" s="272">
        <v>3200000</v>
      </c>
      <c r="Q13" s="270">
        <f t="shared" si="1"/>
        <v>2410000</v>
      </c>
      <c r="R13" s="195"/>
      <c r="S13" s="333"/>
      <c r="T13" s="195"/>
    </row>
    <row r="14" spans="1:20" ht="20.100000000000001" customHeight="1" x14ac:dyDescent="0.25">
      <c r="A14" s="75">
        <v>7</v>
      </c>
      <c r="B14" s="133">
        <v>43839</v>
      </c>
      <c r="C14" s="135" t="s">
        <v>2898</v>
      </c>
      <c r="D14" s="136" t="s">
        <v>2908</v>
      </c>
      <c r="E14" s="78" t="s">
        <v>2826</v>
      </c>
      <c r="F14" s="80"/>
      <c r="G14" s="234">
        <v>280</v>
      </c>
      <c r="H14" s="234">
        <f t="shared" si="2"/>
        <v>4645200</v>
      </c>
      <c r="I14" s="266"/>
      <c r="J14" s="263">
        <v>970000</v>
      </c>
      <c r="K14" s="267"/>
      <c r="L14" s="156"/>
      <c r="M14" s="189"/>
      <c r="N14" s="189"/>
      <c r="O14" s="268">
        <f t="shared" si="0"/>
        <v>5615200</v>
      </c>
      <c r="P14" s="272">
        <v>3900000</v>
      </c>
      <c r="Q14" s="270">
        <f t="shared" si="1"/>
        <v>-1715200</v>
      </c>
      <c r="R14" s="195"/>
      <c r="S14" s="333"/>
      <c r="T14" s="195"/>
    </row>
    <row r="15" spans="1:20" ht="20.100000000000001" customHeight="1" x14ac:dyDescent="0.25">
      <c r="A15" s="75">
        <v>8</v>
      </c>
      <c r="B15" s="133">
        <v>43840</v>
      </c>
      <c r="C15" s="135" t="s">
        <v>876</v>
      </c>
      <c r="D15" s="136" t="s">
        <v>2909</v>
      </c>
      <c r="E15" s="78" t="s">
        <v>2917</v>
      </c>
      <c r="F15" s="80"/>
      <c r="G15" s="234"/>
      <c r="H15" s="234"/>
      <c r="I15" s="266"/>
      <c r="J15" s="263">
        <v>970000</v>
      </c>
      <c r="K15" s="267"/>
      <c r="L15" s="156"/>
      <c r="M15" s="189"/>
      <c r="N15" s="189"/>
      <c r="O15" s="268">
        <f t="shared" si="0"/>
        <v>970000</v>
      </c>
      <c r="P15" s="272">
        <v>3900000</v>
      </c>
      <c r="Q15" s="270">
        <f t="shared" si="1"/>
        <v>2930000</v>
      </c>
      <c r="R15" s="195"/>
      <c r="S15" s="333"/>
      <c r="T15" s="195"/>
    </row>
    <row r="16" spans="1:20" ht="20.100000000000001" customHeight="1" x14ac:dyDescent="0.25">
      <c r="A16" s="75">
        <v>9</v>
      </c>
      <c r="B16" s="133">
        <v>43843</v>
      </c>
      <c r="C16" s="135" t="s">
        <v>883</v>
      </c>
      <c r="D16" s="136" t="s">
        <v>2910</v>
      </c>
      <c r="E16" s="78" t="s">
        <v>2918</v>
      </c>
      <c r="F16" s="80"/>
      <c r="G16" s="234"/>
      <c r="H16" s="234"/>
      <c r="I16" s="266"/>
      <c r="J16" s="263">
        <v>790000</v>
      </c>
      <c r="K16" s="267"/>
      <c r="L16" s="156"/>
      <c r="M16" s="189"/>
      <c r="N16" s="189"/>
      <c r="O16" s="268">
        <f t="shared" si="0"/>
        <v>790000</v>
      </c>
      <c r="P16" s="272">
        <v>4854545</v>
      </c>
      <c r="Q16" s="270">
        <f t="shared" si="1"/>
        <v>4064545</v>
      </c>
      <c r="R16" s="195"/>
      <c r="S16" s="333"/>
      <c r="T16" s="195"/>
    </row>
    <row r="17" spans="1:20" ht="20.100000000000001" customHeight="1" x14ac:dyDescent="0.25">
      <c r="A17" s="75">
        <v>10</v>
      </c>
      <c r="B17" s="133">
        <v>43844</v>
      </c>
      <c r="C17" s="135" t="s">
        <v>2899</v>
      </c>
      <c r="D17" s="136" t="s">
        <v>1752</v>
      </c>
      <c r="E17" s="78" t="s">
        <v>2917</v>
      </c>
      <c r="F17" s="80"/>
      <c r="G17" s="234"/>
      <c r="H17" s="234"/>
      <c r="I17" s="266"/>
      <c r="J17" s="263">
        <v>970000</v>
      </c>
      <c r="K17" s="267"/>
      <c r="L17" s="156"/>
      <c r="M17" s="189"/>
      <c r="N17" s="189"/>
      <c r="O17" s="268">
        <f t="shared" si="0"/>
        <v>970000</v>
      </c>
      <c r="P17" s="272">
        <v>3900000</v>
      </c>
      <c r="Q17" s="270">
        <f t="shared" si="1"/>
        <v>2930000</v>
      </c>
      <c r="R17" s="195"/>
      <c r="S17" s="333"/>
      <c r="T17" s="195"/>
    </row>
    <row r="18" spans="1:20" ht="20.100000000000001" customHeight="1" x14ac:dyDescent="0.25">
      <c r="A18" s="75">
        <v>11</v>
      </c>
      <c r="B18" s="133">
        <v>43845</v>
      </c>
      <c r="C18" s="135" t="s">
        <v>2262</v>
      </c>
      <c r="D18" s="136" t="s">
        <v>2911</v>
      </c>
      <c r="E18" s="78" t="s">
        <v>232</v>
      </c>
      <c r="F18" s="80"/>
      <c r="G18" s="234">
        <v>280</v>
      </c>
      <c r="H18" s="234">
        <f t="shared" si="2"/>
        <v>4645200</v>
      </c>
      <c r="I18" s="266"/>
      <c r="J18" s="263">
        <v>790000</v>
      </c>
      <c r="K18" s="267"/>
      <c r="L18" s="156"/>
      <c r="M18" s="189"/>
      <c r="N18" s="189"/>
      <c r="O18" s="268">
        <f t="shared" si="0"/>
        <v>5435200</v>
      </c>
      <c r="P18" s="272">
        <v>2909091</v>
      </c>
      <c r="Q18" s="270">
        <f t="shared" si="1"/>
        <v>-2526109</v>
      </c>
      <c r="R18" s="195"/>
      <c r="S18" s="333"/>
      <c r="T18" s="195"/>
    </row>
    <row r="19" spans="1:20" ht="20.100000000000001" customHeight="1" x14ac:dyDescent="0.25">
      <c r="A19" s="75">
        <v>12</v>
      </c>
      <c r="B19" s="133">
        <v>43846</v>
      </c>
      <c r="C19" s="135" t="s">
        <v>2900</v>
      </c>
      <c r="D19" s="136" t="s">
        <v>2912</v>
      </c>
      <c r="E19" s="78" t="s">
        <v>636</v>
      </c>
      <c r="F19" s="80"/>
      <c r="G19" s="234"/>
      <c r="H19" s="234"/>
      <c r="I19" s="266"/>
      <c r="J19" s="263">
        <v>790000</v>
      </c>
      <c r="K19" s="267"/>
      <c r="L19" s="156"/>
      <c r="M19" s="189"/>
      <c r="N19" s="189"/>
      <c r="O19" s="268">
        <f t="shared" si="0"/>
        <v>790000</v>
      </c>
      <c r="P19" s="272">
        <v>4000000</v>
      </c>
      <c r="Q19" s="270">
        <f t="shared" si="1"/>
        <v>3210000</v>
      </c>
      <c r="R19" s="195"/>
      <c r="S19" s="333"/>
      <c r="T19" s="195"/>
    </row>
    <row r="20" spans="1:20" ht="20.100000000000001" customHeight="1" x14ac:dyDescent="0.25">
      <c r="A20" s="75">
        <v>13</v>
      </c>
      <c r="B20" s="133">
        <v>43847</v>
      </c>
      <c r="C20" s="135" t="s">
        <v>2901</v>
      </c>
      <c r="D20" s="136" t="s">
        <v>2913</v>
      </c>
      <c r="E20" s="78" t="s">
        <v>2007</v>
      </c>
      <c r="F20" s="80"/>
      <c r="G20" s="234">
        <v>250</v>
      </c>
      <c r="H20" s="234">
        <f>G20*16540</f>
        <v>4135000</v>
      </c>
      <c r="I20" s="266"/>
      <c r="J20" s="263">
        <v>1150000</v>
      </c>
      <c r="K20" s="267"/>
      <c r="L20" s="156"/>
      <c r="M20" s="189"/>
      <c r="N20" s="189"/>
      <c r="O20" s="268">
        <f t="shared" si="0"/>
        <v>5285000</v>
      </c>
      <c r="P20" s="272">
        <v>3860000</v>
      </c>
      <c r="Q20" s="270">
        <f t="shared" si="1"/>
        <v>-1425000</v>
      </c>
      <c r="R20" s="195"/>
      <c r="S20" s="333"/>
      <c r="T20" s="195"/>
    </row>
    <row r="21" spans="1:20" ht="20.100000000000001" customHeight="1" x14ac:dyDescent="0.25">
      <c r="A21" s="75">
        <v>14</v>
      </c>
      <c r="B21" s="133">
        <v>43848</v>
      </c>
      <c r="C21" s="135" t="s">
        <v>2266</v>
      </c>
      <c r="D21" s="136" t="s">
        <v>2914</v>
      </c>
      <c r="E21" s="78" t="s">
        <v>24</v>
      </c>
      <c r="F21" s="80"/>
      <c r="G21" s="234">
        <v>180</v>
      </c>
      <c r="H21" s="234">
        <f>G21*16540</f>
        <v>2977200</v>
      </c>
      <c r="I21" s="266"/>
      <c r="J21" s="263">
        <v>1890000</v>
      </c>
      <c r="K21" s="267"/>
      <c r="L21" s="156"/>
      <c r="M21" s="189"/>
      <c r="N21" s="189"/>
      <c r="O21" s="268">
        <f t="shared" si="0"/>
        <v>4867200</v>
      </c>
      <c r="P21" s="272">
        <v>8045455</v>
      </c>
      <c r="Q21" s="270">
        <f t="shared" si="1"/>
        <v>3178255</v>
      </c>
      <c r="R21" s="195"/>
      <c r="S21" s="333"/>
      <c r="T21" s="195"/>
    </row>
    <row r="22" spans="1:20" ht="20.100000000000001" customHeight="1" x14ac:dyDescent="0.25">
      <c r="A22" s="75">
        <v>15</v>
      </c>
      <c r="B22" s="133">
        <v>43860</v>
      </c>
      <c r="C22" s="135" t="s">
        <v>2273</v>
      </c>
      <c r="D22" s="136" t="s">
        <v>2915</v>
      </c>
      <c r="E22" s="78" t="s">
        <v>882</v>
      </c>
      <c r="F22" s="80"/>
      <c r="G22" s="234"/>
      <c r="H22" s="234"/>
      <c r="I22" s="266"/>
      <c r="J22" s="263">
        <v>800000</v>
      </c>
      <c r="K22" s="267"/>
      <c r="L22" s="156"/>
      <c r="M22" s="189"/>
      <c r="N22" s="189"/>
      <c r="O22" s="268">
        <f t="shared" si="0"/>
        <v>800000</v>
      </c>
      <c r="P22" s="272">
        <v>2700000</v>
      </c>
      <c r="Q22" s="270">
        <f t="shared" si="1"/>
        <v>1900000</v>
      </c>
      <c r="R22" s="195"/>
      <c r="S22" s="333"/>
      <c r="T22" s="195"/>
    </row>
    <row r="23" spans="1:20" ht="15" customHeight="1" x14ac:dyDescent="0.25">
      <c r="A23" s="75"/>
      <c r="B23" s="133"/>
      <c r="C23" s="138"/>
      <c r="D23" s="139"/>
      <c r="E23" s="78"/>
      <c r="F23" s="110"/>
      <c r="G23" s="273"/>
      <c r="H23" s="271"/>
      <c r="I23" s="266"/>
      <c r="J23" s="194"/>
      <c r="K23" s="267"/>
      <c r="L23" s="156"/>
      <c r="M23" s="194"/>
      <c r="N23" s="194"/>
      <c r="O23" s="268">
        <f t="shared" si="0"/>
        <v>0</v>
      </c>
      <c r="P23" s="274"/>
      <c r="Q23" s="270">
        <f t="shared" si="1"/>
        <v>0</v>
      </c>
      <c r="R23" s="195"/>
      <c r="S23" s="195"/>
      <c r="T23" s="195"/>
    </row>
    <row r="24" spans="1:20" ht="16.149999999999999" customHeight="1" x14ac:dyDescent="0.25">
      <c r="A24" s="75"/>
      <c r="B24" s="133"/>
      <c r="C24" s="564" t="s">
        <v>1273</v>
      </c>
      <c r="D24" s="565"/>
      <c r="E24" s="566"/>
      <c r="F24" s="163"/>
      <c r="G24" s="281"/>
      <c r="H24" s="282"/>
      <c r="I24" s="280"/>
      <c r="J24" s="194"/>
      <c r="K24" s="267"/>
      <c r="L24" s="154">
        <v>1320000</v>
      </c>
      <c r="M24" s="194"/>
      <c r="N24" s="194"/>
      <c r="O24" s="268">
        <f t="shared" si="0"/>
        <v>1320000</v>
      </c>
      <c r="P24" s="264"/>
      <c r="Q24" s="270">
        <f t="shared" si="1"/>
        <v>-1320000</v>
      </c>
    </row>
    <row r="25" spans="1:20" ht="15.6" customHeight="1" x14ac:dyDescent="0.25">
      <c r="A25" s="134"/>
      <c r="B25" s="137"/>
      <c r="C25" s="564" t="s">
        <v>2962</v>
      </c>
      <c r="D25" s="565"/>
      <c r="E25" s="566"/>
      <c r="F25" s="163"/>
      <c r="G25" s="281"/>
      <c r="H25" s="282"/>
      <c r="I25" s="280"/>
      <c r="J25" s="194"/>
      <c r="K25" s="278"/>
      <c r="L25" s="164"/>
      <c r="M25" s="194">
        <v>11200000</v>
      </c>
      <c r="N25" s="194"/>
      <c r="O25" s="268">
        <f t="shared" si="0"/>
        <v>11200000</v>
      </c>
      <c r="P25" s="265"/>
      <c r="Q25" s="270">
        <f t="shared" si="1"/>
        <v>-11200000</v>
      </c>
    </row>
    <row r="26" spans="1:20" ht="15.6" customHeight="1" x14ac:dyDescent="0.25">
      <c r="A26" s="134"/>
      <c r="B26" s="137"/>
      <c r="C26" s="564" t="s">
        <v>2961</v>
      </c>
      <c r="D26" s="565"/>
      <c r="E26" s="566"/>
      <c r="F26" s="163"/>
      <c r="G26" s="281"/>
      <c r="H26" s="282"/>
      <c r="I26" s="280"/>
      <c r="J26" s="194"/>
      <c r="K26" s="278"/>
      <c r="L26" s="164">
        <v>160000</v>
      </c>
      <c r="M26" s="194"/>
      <c r="N26" s="194"/>
      <c r="O26" s="268">
        <f t="shared" si="0"/>
        <v>160000</v>
      </c>
      <c r="P26" s="265"/>
      <c r="Q26" s="270">
        <f t="shared" si="1"/>
        <v>-160000</v>
      </c>
    </row>
    <row r="27" spans="1:20" ht="15.6" customHeight="1" x14ac:dyDescent="0.25">
      <c r="A27" s="134"/>
      <c r="B27" s="137"/>
      <c r="C27" s="570" t="s">
        <v>1434</v>
      </c>
      <c r="D27" s="571"/>
      <c r="E27" s="572"/>
      <c r="F27" s="163"/>
      <c r="G27" s="281"/>
      <c r="H27" s="282"/>
      <c r="I27" s="280"/>
      <c r="J27" s="194"/>
      <c r="K27" s="278"/>
      <c r="L27" s="164">
        <v>170000</v>
      </c>
      <c r="M27" s="194"/>
      <c r="N27" s="194"/>
      <c r="O27" s="268">
        <f t="shared" si="0"/>
        <v>170000</v>
      </c>
      <c r="P27" s="265"/>
      <c r="Q27" s="270">
        <f t="shared" si="1"/>
        <v>-170000</v>
      </c>
    </row>
    <row r="28" spans="1:20" ht="15.6" customHeight="1" x14ac:dyDescent="0.25">
      <c r="A28" s="134"/>
      <c r="B28" s="137"/>
      <c r="C28" s="570" t="s">
        <v>2919</v>
      </c>
      <c r="D28" s="571"/>
      <c r="E28" s="572"/>
      <c r="F28" s="163"/>
      <c r="G28" s="281"/>
      <c r="H28" s="282"/>
      <c r="I28" s="280"/>
      <c r="J28" s="194"/>
      <c r="K28" s="278"/>
      <c r="L28" s="164">
        <v>1000000</v>
      </c>
      <c r="M28" s="194"/>
      <c r="N28" s="194"/>
      <c r="O28" s="268">
        <f t="shared" si="0"/>
        <v>1000000</v>
      </c>
      <c r="P28" s="265"/>
      <c r="Q28" s="270">
        <f t="shared" si="1"/>
        <v>-1000000</v>
      </c>
    </row>
    <row r="29" spans="1:20" ht="15.6" customHeight="1" x14ac:dyDescent="0.25">
      <c r="A29" s="134"/>
      <c r="B29" s="137"/>
      <c r="C29" s="338" t="s">
        <v>2920</v>
      </c>
      <c r="D29" s="339"/>
      <c r="E29" s="340"/>
      <c r="F29" s="163"/>
      <c r="G29" s="281"/>
      <c r="H29" s="282"/>
      <c r="I29" s="280"/>
      <c r="J29" s="194"/>
      <c r="K29" s="278">
        <v>300000</v>
      </c>
      <c r="L29" s="164"/>
      <c r="M29" s="194"/>
      <c r="N29" s="194"/>
      <c r="O29" s="268">
        <f t="shared" si="0"/>
        <v>300000</v>
      </c>
      <c r="P29" s="265"/>
      <c r="Q29" s="270">
        <f t="shared" si="1"/>
        <v>-300000</v>
      </c>
    </row>
    <row r="30" spans="1:20" ht="16.149999999999999" customHeight="1" x14ac:dyDescent="0.25">
      <c r="A30" s="134"/>
      <c r="B30" s="103"/>
      <c r="C30" s="567" t="s">
        <v>1386</v>
      </c>
      <c r="D30" s="568"/>
      <c r="E30" s="569"/>
      <c r="F30" s="110"/>
      <c r="G30" s="281"/>
      <c r="H30" s="282"/>
      <c r="I30" s="280"/>
      <c r="J30" s="194"/>
      <c r="K30" s="283">
        <v>5192308</v>
      </c>
      <c r="L30" s="141"/>
      <c r="M30" s="194"/>
      <c r="N30" s="194"/>
      <c r="O30" s="268">
        <f t="shared" si="0"/>
        <v>5192308</v>
      </c>
      <c r="P30" s="265"/>
      <c r="Q30" s="270">
        <f t="shared" si="1"/>
        <v>-5192308</v>
      </c>
    </row>
    <row r="31" spans="1:20" x14ac:dyDescent="0.25">
      <c r="A31" s="547" t="s">
        <v>19</v>
      </c>
      <c r="B31" s="548"/>
      <c r="C31" s="548"/>
      <c r="D31" s="548"/>
      <c r="E31" s="548"/>
      <c r="F31" s="549"/>
      <c r="G31" s="305">
        <f>SUM(G8:G30)</f>
        <v>1560</v>
      </c>
      <c r="H31" s="291">
        <f t="shared" ref="H31:Q31" si="3">SUM(H7:H30)</f>
        <v>25858900</v>
      </c>
      <c r="I31" s="291">
        <f t="shared" si="3"/>
        <v>0</v>
      </c>
      <c r="J31" s="291">
        <f t="shared" si="3"/>
        <v>16720000</v>
      </c>
      <c r="K31" s="291">
        <f t="shared" si="3"/>
        <v>5492308</v>
      </c>
      <c r="L31" s="309">
        <f t="shared" si="3"/>
        <v>2650000</v>
      </c>
      <c r="M31" s="291">
        <f t="shared" si="3"/>
        <v>11200000</v>
      </c>
      <c r="N31" s="291">
        <f t="shared" si="3"/>
        <v>0</v>
      </c>
      <c r="O31" s="291">
        <f t="shared" si="3"/>
        <v>61921208</v>
      </c>
      <c r="P31" s="291">
        <f t="shared" si="3"/>
        <v>71096364</v>
      </c>
      <c r="Q31" s="297">
        <f t="shared" si="3"/>
        <v>9175156</v>
      </c>
      <c r="R31" s="195"/>
      <c r="S31" s="195"/>
    </row>
    <row r="32" spans="1:20" x14ac:dyDescent="0.25">
      <c r="P32" s="294"/>
      <c r="Q32" s="295"/>
    </row>
    <row r="33" spans="2:17" x14ac:dyDescent="0.25">
      <c r="B33"/>
      <c r="G33"/>
      <c r="H33" s="294"/>
      <c r="P33" s="296" t="s">
        <v>1225</v>
      </c>
      <c r="Q33" s="304">
        <f>Q31</f>
        <v>9175156</v>
      </c>
    </row>
  </sheetData>
  <mergeCells count="11">
    <mergeCell ref="C25:E25"/>
    <mergeCell ref="A1:Q1"/>
    <mergeCell ref="A2:Q2"/>
    <mergeCell ref="A3:Q3"/>
    <mergeCell ref="G5:N5"/>
    <mergeCell ref="C24:E24"/>
    <mergeCell ref="C26:E26"/>
    <mergeCell ref="C27:E27"/>
    <mergeCell ref="C30:E30"/>
    <mergeCell ref="A31:F31"/>
    <mergeCell ref="C28:E28"/>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T34"/>
  <sheetViews>
    <sheetView topLeftCell="A19" workbookViewId="0">
      <selection activeCell="D21" sqref="D21"/>
    </sheetView>
  </sheetViews>
  <sheetFormatPr defaultRowHeight="15" x14ac:dyDescent="0.25"/>
  <cols>
    <col min="1" max="1" width="4.5703125" customWidth="1"/>
    <col min="2" max="2" width="9.140625" style="332"/>
    <col min="3" max="3" width="41.28515625" customWidth="1"/>
    <col min="4" max="4" width="16.5703125" customWidth="1"/>
    <col min="5" max="5" width="33.140625" customWidth="1"/>
    <col min="7" max="7" width="9.140625" style="292"/>
    <col min="8" max="8" width="10.140625" style="292" bestFit="1" customWidth="1"/>
    <col min="9" max="9" width="9.140625" style="293"/>
    <col min="10" max="10" width="9.140625" style="292"/>
    <col min="11" max="11" width="9.42578125" style="292" bestFit="1" customWidth="1"/>
    <col min="12" max="12" width="9.140625" style="173"/>
    <col min="13" max="14" width="9.140625" style="292"/>
    <col min="15" max="15" width="11.140625" style="292" customWidth="1"/>
    <col min="16" max="16" width="10.7109375" style="292" customWidth="1"/>
    <col min="17" max="17" width="12.28515625" style="292" customWidth="1"/>
    <col min="18" max="18" width="11.7109375" customWidth="1"/>
    <col min="19" max="19" width="18"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2921</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257"/>
      <c r="H4" s="258"/>
      <c r="I4" s="258"/>
      <c r="J4" s="258"/>
      <c r="K4" s="258"/>
      <c r="L4" s="91"/>
      <c r="M4" s="258"/>
      <c r="N4" s="258"/>
      <c r="O4" s="258"/>
      <c r="P4" s="258"/>
      <c r="Q4" s="258"/>
    </row>
    <row r="5" spans="1:20"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20"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20" x14ac:dyDescent="0.25">
      <c r="A7" s="75"/>
      <c r="B7" s="100"/>
      <c r="C7" s="88"/>
      <c r="D7" s="88"/>
      <c r="E7" s="134"/>
      <c r="F7" s="75"/>
      <c r="G7" s="263"/>
      <c r="H7" s="264"/>
      <c r="I7" s="264"/>
      <c r="J7" s="264"/>
      <c r="K7" s="264"/>
      <c r="L7" s="308"/>
      <c r="M7" s="264"/>
      <c r="N7" s="264"/>
      <c r="O7" s="264">
        <f>H7+J7+K7+L7+M7+N7</f>
        <v>0</v>
      </c>
      <c r="P7" s="265"/>
      <c r="Q7" s="264">
        <f>P7-O7</f>
        <v>0</v>
      </c>
    </row>
    <row r="8" spans="1:20" ht="20.100000000000001" customHeight="1" x14ac:dyDescent="0.25">
      <c r="A8" s="75">
        <v>1</v>
      </c>
      <c r="B8" s="133">
        <v>43862</v>
      </c>
      <c r="C8" s="135" t="s">
        <v>2922</v>
      </c>
      <c r="D8" s="136" t="s">
        <v>2939</v>
      </c>
      <c r="E8" s="78" t="s">
        <v>1382</v>
      </c>
      <c r="F8" s="80"/>
      <c r="G8" s="234">
        <v>320</v>
      </c>
      <c r="H8" s="234">
        <f>G8*16130</f>
        <v>5161600</v>
      </c>
      <c r="I8" s="266"/>
      <c r="J8" s="263">
        <v>2740000</v>
      </c>
      <c r="K8" s="267"/>
      <c r="L8" s="156"/>
      <c r="M8" s="189"/>
      <c r="N8" s="189"/>
      <c r="O8" s="268">
        <f>H8+J8+K8+L8+M8+N8</f>
        <v>7901600</v>
      </c>
      <c r="P8" s="272">
        <v>15000000</v>
      </c>
      <c r="Q8" s="270">
        <f>P8-O8</f>
        <v>7098400</v>
      </c>
      <c r="R8" s="195"/>
      <c r="S8" s="333"/>
      <c r="T8" s="195"/>
    </row>
    <row r="9" spans="1:20" ht="20.100000000000001" customHeight="1" x14ac:dyDescent="0.25">
      <c r="A9" s="75">
        <v>2</v>
      </c>
      <c r="B9" s="133">
        <v>43867</v>
      </c>
      <c r="C9" s="135" t="s">
        <v>2923</v>
      </c>
      <c r="D9" s="172" t="s">
        <v>2940</v>
      </c>
      <c r="E9" s="78" t="s">
        <v>2956</v>
      </c>
      <c r="F9" s="80"/>
      <c r="G9" s="234"/>
      <c r="H9" s="234"/>
      <c r="I9" s="271"/>
      <c r="J9" s="263">
        <v>790000</v>
      </c>
      <c r="K9" s="267"/>
      <c r="L9" s="156"/>
      <c r="M9" s="189"/>
      <c r="N9" s="189"/>
      <c r="O9" s="268">
        <f t="shared" ref="O9:O29" si="0">H9+J9+K9+L9+M9+N9</f>
        <v>790000</v>
      </c>
      <c r="P9" s="272">
        <v>3900000</v>
      </c>
      <c r="Q9" s="270">
        <f t="shared" ref="Q9:Q29" si="1">P9-O9</f>
        <v>3110000</v>
      </c>
      <c r="R9" s="195"/>
      <c r="S9" s="333"/>
      <c r="T9" s="195"/>
    </row>
    <row r="10" spans="1:20" ht="20.100000000000001" customHeight="1" x14ac:dyDescent="0.25">
      <c r="A10" s="75">
        <v>3</v>
      </c>
      <c r="B10" s="133">
        <v>43868</v>
      </c>
      <c r="C10" s="135" t="s">
        <v>2924</v>
      </c>
      <c r="D10" s="136" t="s">
        <v>2941</v>
      </c>
      <c r="E10" s="78" t="s">
        <v>2957</v>
      </c>
      <c r="F10" s="80"/>
      <c r="G10" s="234"/>
      <c r="H10" s="234"/>
      <c r="I10" s="271"/>
      <c r="J10" s="263">
        <v>1450000</v>
      </c>
      <c r="K10" s="267"/>
      <c r="L10" s="156"/>
      <c r="M10" s="189"/>
      <c r="N10" s="189"/>
      <c r="O10" s="268">
        <f t="shared" si="0"/>
        <v>1450000</v>
      </c>
      <c r="P10" s="272">
        <v>3800000</v>
      </c>
      <c r="Q10" s="270">
        <f t="shared" si="1"/>
        <v>2350000</v>
      </c>
      <c r="R10" s="195"/>
      <c r="S10" s="333"/>
      <c r="T10" s="195"/>
    </row>
    <row r="11" spans="1:20" ht="20.100000000000001" customHeight="1" x14ac:dyDescent="0.25">
      <c r="A11" s="75">
        <v>4</v>
      </c>
      <c r="B11" s="133">
        <v>43868</v>
      </c>
      <c r="C11" s="135" t="s">
        <v>2925</v>
      </c>
      <c r="D11" s="136" t="s">
        <v>2941</v>
      </c>
      <c r="E11" s="78" t="s">
        <v>1381</v>
      </c>
      <c r="F11" s="80"/>
      <c r="G11" s="234"/>
      <c r="H11" s="234"/>
      <c r="I11" s="271"/>
      <c r="J11" s="263">
        <v>0</v>
      </c>
      <c r="K11" s="267"/>
      <c r="L11" s="156"/>
      <c r="M11" s="189"/>
      <c r="N11" s="189"/>
      <c r="O11" s="268">
        <f t="shared" si="0"/>
        <v>0</v>
      </c>
      <c r="P11" s="272">
        <v>2000000</v>
      </c>
      <c r="Q11" s="270">
        <f t="shared" si="1"/>
        <v>2000000</v>
      </c>
      <c r="R11" s="195"/>
      <c r="S11" s="333"/>
      <c r="T11" s="195"/>
    </row>
    <row r="12" spans="1:20" ht="20.100000000000001" customHeight="1" x14ac:dyDescent="0.25">
      <c r="A12" s="75">
        <v>5</v>
      </c>
      <c r="B12" s="133">
        <v>43869</v>
      </c>
      <c r="C12" s="135" t="s">
        <v>2926</v>
      </c>
      <c r="D12" s="136" t="s">
        <v>2942</v>
      </c>
      <c r="E12" s="78" t="s">
        <v>29</v>
      </c>
      <c r="F12" s="80"/>
      <c r="G12" s="234">
        <v>320</v>
      </c>
      <c r="H12" s="234">
        <f>G12*16130</f>
        <v>5161600</v>
      </c>
      <c r="I12" s="271"/>
      <c r="J12" s="263">
        <v>970000</v>
      </c>
      <c r="K12" s="267"/>
      <c r="L12" s="156"/>
      <c r="M12" s="189"/>
      <c r="N12" s="189"/>
      <c r="O12" s="268">
        <f t="shared" si="0"/>
        <v>6131600</v>
      </c>
      <c r="P12" s="272">
        <v>3800000</v>
      </c>
      <c r="Q12" s="270">
        <f t="shared" si="1"/>
        <v>-2331600</v>
      </c>
      <c r="R12" s="195"/>
      <c r="S12" s="333"/>
      <c r="T12" s="195"/>
    </row>
    <row r="13" spans="1:20" ht="20.100000000000001" customHeight="1" x14ac:dyDescent="0.25">
      <c r="A13" s="75"/>
      <c r="B13" s="133">
        <v>43872</v>
      </c>
      <c r="C13" s="135" t="s">
        <v>2927</v>
      </c>
      <c r="D13" s="136" t="s">
        <v>2943</v>
      </c>
      <c r="E13" s="78" t="s">
        <v>301</v>
      </c>
      <c r="F13" s="80"/>
      <c r="G13" s="234"/>
      <c r="H13" s="234"/>
      <c r="I13" s="271"/>
      <c r="J13" s="263">
        <v>3820000</v>
      </c>
      <c r="K13" s="267"/>
      <c r="L13" s="156"/>
      <c r="M13" s="189"/>
      <c r="N13" s="189"/>
      <c r="O13" s="268">
        <f t="shared" si="0"/>
        <v>3820000</v>
      </c>
      <c r="P13" s="272">
        <v>19545455</v>
      </c>
      <c r="Q13" s="270">
        <f t="shared" si="1"/>
        <v>15725455</v>
      </c>
      <c r="R13" s="195"/>
      <c r="S13" s="333"/>
      <c r="T13" s="195"/>
    </row>
    <row r="14" spans="1:20" ht="20.100000000000001" customHeight="1" x14ac:dyDescent="0.25">
      <c r="A14" s="75"/>
      <c r="B14" s="133">
        <v>43874</v>
      </c>
      <c r="C14" s="135" t="s">
        <v>2928</v>
      </c>
      <c r="D14" s="136" t="s">
        <v>2944</v>
      </c>
      <c r="E14" s="78" t="s">
        <v>2958</v>
      </c>
      <c r="F14" s="80"/>
      <c r="G14" s="234">
        <v>350</v>
      </c>
      <c r="H14" s="234">
        <f>G14*16130</f>
        <v>5645500</v>
      </c>
      <c r="I14" s="271"/>
      <c r="J14" s="263">
        <v>970000</v>
      </c>
      <c r="K14" s="267"/>
      <c r="L14" s="156"/>
      <c r="M14" s="189"/>
      <c r="N14" s="189"/>
      <c r="O14" s="268">
        <f t="shared" si="0"/>
        <v>6615500</v>
      </c>
      <c r="P14" s="272">
        <v>3800000</v>
      </c>
      <c r="Q14" s="270">
        <f t="shared" si="1"/>
        <v>-2815500</v>
      </c>
      <c r="R14" s="195"/>
      <c r="S14" s="333"/>
      <c r="T14" s="195"/>
    </row>
    <row r="15" spans="1:20" ht="20.100000000000001" customHeight="1" x14ac:dyDescent="0.25">
      <c r="A15" s="75"/>
      <c r="B15" s="133">
        <v>43875</v>
      </c>
      <c r="C15" s="135" t="s">
        <v>2929</v>
      </c>
      <c r="D15" s="136" t="s">
        <v>2945</v>
      </c>
      <c r="E15" s="78" t="s">
        <v>2439</v>
      </c>
      <c r="F15" s="80"/>
      <c r="G15" s="234"/>
      <c r="H15" s="234"/>
      <c r="I15" s="271"/>
      <c r="J15" s="263">
        <v>970000</v>
      </c>
      <c r="K15" s="267"/>
      <c r="L15" s="156"/>
      <c r="M15" s="189"/>
      <c r="N15" s="189"/>
      <c r="O15" s="268">
        <f t="shared" si="0"/>
        <v>970000</v>
      </c>
      <c r="P15" s="272">
        <v>3800000</v>
      </c>
      <c r="Q15" s="270">
        <f t="shared" si="1"/>
        <v>2830000</v>
      </c>
      <c r="R15" s="195"/>
      <c r="S15" s="333"/>
      <c r="T15" s="195"/>
    </row>
    <row r="16" spans="1:20" ht="20.100000000000001" customHeight="1" x14ac:dyDescent="0.25">
      <c r="A16" s="75"/>
      <c r="B16" s="133">
        <v>43876</v>
      </c>
      <c r="C16" s="135" t="s">
        <v>2930</v>
      </c>
      <c r="D16" s="136" t="s">
        <v>2946</v>
      </c>
      <c r="E16" s="78" t="s">
        <v>1948</v>
      </c>
      <c r="F16" s="80"/>
      <c r="G16" s="234">
        <v>280</v>
      </c>
      <c r="H16" s="234">
        <f>G16*15170</f>
        <v>4247600</v>
      </c>
      <c r="I16" s="271"/>
      <c r="J16" s="263">
        <v>1150000</v>
      </c>
      <c r="K16" s="267"/>
      <c r="L16" s="156"/>
      <c r="M16" s="189"/>
      <c r="N16" s="189"/>
      <c r="O16" s="268">
        <f t="shared" si="0"/>
        <v>5397600</v>
      </c>
      <c r="P16" s="272">
        <v>3800000</v>
      </c>
      <c r="Q16" s="270">
        <f t="shared" si="1"/>
        <v>-1597600</v>
      </c>
      <c r="R16" s="195"/>
      <c r="S16" s="333"/>
      <c r="T16" s="195"/>
    </row>
    <row r="17" spans="1:20" ht="20.100000000000001" customHeight="1" x14ac:dyDescent="0.25">
      <c r="A17" s="75"/>
      <c r="B17" s="133">
        <v>43878</v>
      </c>
      <c r="C17" s="135" t="s">
        <v>2931</v>
      </c>
      <c r="D17" s="136" t="s">
        <v>2947</v>
      </c>
      <c r="E17" s="78" t="s">
        <v>563</v>
      </c>
      <c r="F17" s="80"/>
      <c r="G17" s="234"/>
      <c r="H17" s="234"/>
      <c r="I17" s="271"/>
      <c r="J17" s="263">
        <v>970000</v>
      </c>
      <c r="K17" s="267"/>
      <c r="L17" s="156"/>
      <c r="M17" s="189"/>
      <c r="N17" s="189"/>
      <c r="O17" s="268">
        <f t="shared" si="0"/>
        <v>970000</v>
      </c>
      <c r="P17" s="272">
        <v>3800000</v>
      </c>
      <c r="Q17" s="270">
        <f t="shared" si="1"/>
        <v>2830000</v>
      </c>
      <c r="R17" s="195"/>
      <c r="S17" s="333"/>
      <c r="T17" s="195"/>
    </row>
    <row r="18" spans="1:20" ht="20.100000000000001" customHeight="1" x14ac:dyDescent="0.25">
      <c r="A18" s="75"/>
      <c r="B18" s="133">
        <v>43879</v>
      </c>
      <c r="C18" s="135" t="s">
        <v>2932</v>
      </c>
      <c r="D18" s="136" t="s">
        <v>2948</v>
      </c>
      <c r="E18" s="78" t="s">
        <v>2117</v>
      </c>
      <c r="F18" s="80"/>
      <c r="G18" s="234"/>
      <c r="H18" s="234"/>
      <c r="I18" s="271"/>
      <c r="J18" s="263">
        <v>1200000</v>
      </c>
      <c r="K18" s="267"/>
      <c r="L18" s="156"/>
      <c r="M18" s="189"/>
      <c r="N18" s="189"/>
      <c r="O18" s="268">
        <f t="shared" si="0"/>
        <v>1200000</v>
      </c>
      <c r="P18" s="272">
        <v>6363636</v>
      </c>
      <c r="Q18" s="270">
        <f t="shared" si="1"/>
        <v>5163636</v>
      </c>
      <c r="R18" s="195"/>
      <c r="S18" s="333"/>
      <c r="T18" s="195"/>
    </row>
    <row r="19" spans="1:20" ht="20.100000000000001" customHeight="1" x14ac:dyDescent="0.25">
      <c r="A19" s="75"/>
      <c r="B19" s="133">
        <v>43880</v>
      </c>
      <c r="C19" s="135" t="s">
        <v>167</v>
      </c>
      <c r="D19" s="136" t="s">
        <v>2949</v>
      </c>
      <c r="E19" s="78" t="s">
        <v>2007</v>
      </c>
      <c r="F19" s="80"/>
      <c r="G19" s="234">
        <v>310</v>
      </c>
      <c r="H19" s="234">
        <f t="shared" ref="H19:H26" si="2">G19*15170</f>
        <v>4702700</v>
      </c>
      <c r="I19" s="271"/>
      <c r="J19" s="263">
        <v>1150000</v>
      </c>
      <c r="K19" s="267"/>
      <c r="L19" s="156"/>
      <c r="M19" s="189"/>
      <c r="N19" s="189"/>
      <c r="O19" s="268">
        <f t="shared" si="0"/>
        <v>5852700</v>
      </c>
      <c r="P19" s="272">
        <v>3860000</v>
      </c>
      <c r="Q19" s="270">
        <f t="shared" si="1"/>
        <v>-1992700</v>
      </c>
      <c r="R19" s="195"/>
      <c r="S19" s="333"/>
      <c r="T19" s="195"/>
    </row>
    <row r="20" spans="1:20" ht="20.100000000000001" customHeight="1" x14ac:dyDescent="0.25">
      <c r="A20" s="75"/>
      <c r="B20" s="133">
        <v>43881</v>
      </c>
      <c r="C20" s="135" t="s">
        <v>2318</v>
      </c>
      <c r="D20" s="136" t="s">
        <v>2950</v>
      </c>
      <c r="E20" s="78" t="s">
        <v>2007</v>
      </c>
      <c r="F20" s="80"/>
      <c r="G20" s="234"/>
      <c r="H20" s="234"/>
      <c r="I20" s="271"/>
      <c r="J20" s="263">
        <v>1150000</v>
      </c>
      <c r="K20" s="267"/>
      <c r="L20" s="156"/>
      <c r="M20" s="189"/>
      <c r="N20" s="189"/>
      <c r="O20" s="268">
        <f t="shared" si="0"/>
        <v>1150000</v>
      </c>
      <c r="P20" s="272">
        <v>3860000</v>
      </c>
      <c r="Q20" s="270">
        <f t="shared" si="1"/>
        <v>2710000</v>
      </c>
      <c r="R20" s="195"/>
      <c r="S20" s="333"/>
      <c r="T20" s="195"/>
    </row>
    <row r="21" spans="1:20" ht="20.100000000000001" customHeight="1" x14ac:dyDescent="0.25">
      <c r="A21" s="75"/>
      <c r="B21" s="133">
        <v>43885</v>
      </c>
      <c r="C21" s="135" t="s">
        <v>2933</v>
      </c>
      <c r="D21" s="136" t="s">
        <v>2951</v>
      </c>
      <c r="E21" s="78" t="s">
        <v>2959</v>
      </c>
      <c r="F21" s="80"/>
      <c r="G21" s="234"/>
      <c r="H21" s="234"/>
      <c r="I21" s="271"/>
      <c r="J21" s="256">
        <f>790000+760000-90000</f>
        <v>1460000</v>
      </c>
      <c r="K21" s="267"/>
      <c r="L21" s="156"/>
      <c r="M21" s="189"/>
      <c r="N21" s="189"/>
      <c r="O21" s="268">
        <f t="shared" si="0"/>
        <v>1460000</v>
      </c>
      <c r="P21" s="272">
        <v>2909091</v>
      </c>
      <c r="Q21" s="270">
        <f t="shared" si="1"/>
        <v>1449091</v>
      </c>
      <c r="R21" s="195"/>
      <c r="S21" s="333"/>
      <c r="T21" s="195"/>
    </row>
    <row r="22" spans="1:20" ht="20.100000000000001" customHeight="1" x14ac:dyDescent="0.25">
      <c r="A22" s="75"/>
      <c r="B22" s="133">
        <v>43885</v>
      </c>
      <c r="C22" s="135" t="s">
        <v>2934</v>
      </c>
      <c r="D22" s="136" t="s">
        <v>2951</v>
      </c>
      <c r="E22" s="78" t="s">
        <v>2960</v>
      </c>
      <c r="F22" s="80"/>
      <c r="G22" s="234">
        <v>285</v>
      </c>
      <c r="H22" s="234">
        <f t="shared" si="2"/>
        <v>4323450</v>
      </c>
      <c r="I22" s="271"/>
      <c r="J22" s="263">
        <v>0</v>
      </c>
      <c r="K22" s="267"/>
      <c r="L22" s="156"/>
      <c r="M22" s="189"/>
      <c r="N22" s="189"/>
      <c r="O22" s="268">
        <f t="shared" si="0"/>
        <v>4323450</v>
      </c>
      <c r="P22" s="272">
        <v>5127273</v>
      </c>
      <c r="Q22" s="270">
        <f t="shared" si="1"/>
        <v>803823</v>
      </c>
      <c r="R22" s="195"/>
      <c r="S22" s="333"/>
      <c r="T22" s="195"/>
    </row>
    <row r="23" spans="1:20" ht="20.100000000000001" customHeight="1" x14ac:dyDescent="0.25">
      <c r="A23" s="75">
        <v>6</v>
      </c>
      <c r="B23" s="133">
        <v>43887</v>
      </c>
      <c r="C23" s="135" t="s">
        <v>2935</v>
      </c>
      <c r="D23" s="136" t="s">
        <v>2952</v>
      </c>
      <c r="E23" s="78" t="s">
        <v>24</v>
      </c>
      <c r="F23" s="80"/>
      <c r="G23" s="234">
        <v>180</v>
      </c>
      <c r="H23" s="234">
        <f t="shared" si="2"/>
        <v>2730600</v>
      </c>
      <c r="I23" s="271"/>
      <c r="J23" s="256">
        <f>1890000</f>
        <v>1890000</v>
      </c>
      <c r="K23" s="267"/>
      <c r="L23" s="156"/>
      <c r="M23" s="189"/>
      <c r="N23" s="189"/>
      <c r="O23" s="268">
        <f t="shared" si="0"/>
        <v>4620600</v>
      </c>
      <c r="P23" s="272">
        <v>8045455</v>
      </c>
      <c r="Q23" s="270">
        <f t="shared" si="1"/>
        <v>3424855</v>
      </c>
      <c r="R23" s="195"/>
      <c r="S23" s="333"/>
      <c r="T23" s="195"/>
    </row>
    <row r="24" spans="1:20" ht="20.100000000000001" customHeight="1" x14ac:dyDescent="0.25">
      <c r="A24" s="75">
        <v>7</v>
      </c>
      <c r="B24" s="133">
        <v>43888</v>
      </c>
      <c r="C24" s="135" t="s">
        <v>2936</v>
      </c>
      <c r="D24" s="136" t="s">
        <v>2953</v>
      </c>
      <c r="E24" s="78" t="s">
        <v>2959</v>
      </c>
      <c r="F24" s="80"/>
      <c r="G24" s="234"/>
      <c r="H24" s="234"/>
      <c r="I24" s="271"/>
      <c r="J24" s="263">
        <v>790000</v>
      </c>
      <c r="K24" s="267"/>
      <c r="L24" s="156"/>
      <c r="M24" s="189"/>
      <c r="N24" s="189"/>
      <c r="O24" s="268">
        <f t="shared" si="0"/>
        <v>790000</v>
      </c>
      <c r="P24" s="272">
        <v>2763636</v>
      </c>
      <c r="Q24" s="270">
        <f t="shared" si="1"/>
        <v>1973636</v>
      </c>
      <c r="R24" s="195"/>
      <c r="S24" s="333"/>
      <c r="T24" s="195"/>
    </row>
    <row r="25" spans="1:20" ht="20.100000000000001" customHeight="1" x14ac:dyDescent="0.25">
      <c r="A25" s="75">
        <v>8</v>
      </c>
      <c r="B25" s="133">
        <v>43889</v>
      </c>
      <c r="C25" s="135" t="s">
        <v>2937</v>
      </c>
      <c r="D25" s="136" t="s">
        <v>2954</v>
      </c>
      <c r="E25" s="78" t="s">
        <v>29</v>
      </c>
      <c r="F25" s="80"/>
      <c r="G25" s="234">
        <v>180</v>
      </c>
      <c r="H25" s="234">
        <f t="shared" si="2"/>
        <v>2730600</v>
      </c>
      <c r="I25" s="271"/>
      <c r="J25" s="263">
        <v>970000</v>
      </c>
      <c r="K25" s="267"/>
      <c r="L25" s="156"/>
      <c r="M25" s="189"/>
      <c r="N25" s="189"/>
      <c r="O25" s="268">
        <f t="shared" si="0"/>
        <v>3700600</v>
      </c>
      <c r="P25" s="272">
        <v>4000000</v>
      </c>
      <c r="Q25" s="270">
        <f t="shared" si="1"/>
        <v>299400</v>
      </c>
      <c r="R25" s="195"/>
      <c r="S25" s="333"/>
      <c r="T25" s="195"/>
    </row>
    <row r="26" spans="1:20" ht="20.100000000000001" customHeight="1" x14ac:dyDescent="0.25">
      <c r="A26" s="75">
        <v>9</v>
      </c>
      <c r="B26" s="133">
        <v>43890</v>
      </c>
      <c r="C26" s="135" t="s">
        <v>2938</v>
      </c>
      <c r="D26" s="136" t="s">
        <v>2955</v>
      </c>
      <c r="E26" s="78" t="s">
        <v>1212</v>
      </c>
      <c r="F26" s="80"/>
      <c r="G26" s="233">
        <v>240</v>
      </c>
      <c r="H26" s="233">
        <f t="shared" si="2"/>
        <v>3640800</v>
      </c>
      <c r="I26" s="299"/>
      <c r="J26" s="256">
        <v>2740000</v>
      </c>
      <c r="K26" s="267"/>
      <c r="L26" s="156"/>
      <c r="M26" s="189"/>
      <c r="N26" s="189"/>
      <c r="O26" s="347">
        <f t="shared" si="0"/>
        <v>6380800</v>
      </c>
      <c r="P26" s="272">
        <v>14090909</v>
      </c>
      <c r="Q26" s="270">
        <f t="shared" si="1"/>
        <v>7710109</v>
      </c>
      <c r="R26" s="195"/>
      <c r="S26" s="333"/>
      <c r="T26" s="195"/>
    </row>
    <row r="27" spans="1:20" ht="15" customHeight="1" x14ac:dyDescent="0.25">
      <c r="A27" s="75"/>
      <c r="C27" s="138"/>
      <c r="D27" s="139"/>
      <c r="E27" s="78"/>
      <c r="F27" s="110"/>
      <c r="G27" s="273"/>
      <c r="H27" s="271"/>
      <c r="I27" s="266"/>
      <c r="J27" s="194"/>
      <c r="K27" s="267"/>
      <c r="L27" s="156"/>
      <c r="M27" s="194"/>
      <c r="N27" s="194"/>
      <c r="O27" s="268">
        <f t="shared" si="0"/>
        <v>0</v>
      </c>
      <c r="P27" s="274"/>
      <c r="Q27" s="270">
        <f t="shared" si="1"/>
        <v>0</v>
      </c>
      <c r="R27" s="195"/>
      <c r="S27" s="195"/>
      <c r="T27" s="195"/>
    </row>
    <row r="28" spans="1:20" ht="16.149999999999999" customHeight="1" x14ac:dyDescent="0.25">
      <c r="A28" s="75"/>
      <c r="C28" s="564" t="s">
        <v>1273</v>
      </c>
      <c r="D28" s="565"/>
      <c r="E28" s="566"/>
      <c r="F28" s="163"/>
      <c r="G28" s="281"/>
      <c r="H28" s="282"/>
      <c r="I28" s="280"/>
      <c r="J28" s="194"/>
      <c r="K28" s="267"/>
      <c r="L28" s="154">
        <v>1320000</v>
      </c>
      <c r="M28" s="194"/>
      <c r="N28" s="194"/>
      <c r="O28" s="268">
        <f t="shared" si="0"/>
        <v>1320000</v>
      </c>
      <c r="P28" s="264"/>
      <c r="Q28" s="270">
        <f t="shared" si="1"/>
        <v>-1320000</v>
      </c>
    </row>
    <row r="29" spans="1:20" ht="16.149999999999999" customHeight="1" x14ac:dyDescent="0.25">
      <c r="A29" s="134"/>
      <c r="B29" s="103"/>
      <c r="C29" s="567" t="s">
        <v>1386</v>
      </c>
      <c r="D29" s="568"/>
      <c r="E29" s="569"/>
      <c r="F29" s="110"/>
      <c r="G29" s="281"/>
      <c r="H29" s="282"/>
      <c r="I29" s="280"/>
      <c r="J29" s="194"/>
      <c r="K29" s="283">
        <v>7269231</v>
      </c>
      <c r="L29" s="141"/>
      <c r="M29" s="194"/>
      <c r="N29" s="194"/>
      <c r="O29" s="268">
        <f t="shared" si="0"/>
        <v>7269231</v>
      </c>
      <c r="P29" s="265"/>
      <c r="Q29" s="270">
        <f t="shared" si="1"/>
        <v>-7269231</v>
      </c>
    </row>
    <row r="30" spans="1:20" x14ac:dyDescent="0.25">
      <c r="A30" s="547" t="s">
        <v>19</v>
      </c>
      <c r="B30" s="548"/>
      <c r="C30" s="548"/>
      <c r="D30" s="548"/>
      <c r="E30" s="548"/>
      <c r="F30" s="549"/>
      <c r="G30" s="305">
        <f>SUM(G8:G29)</f>
        <v>2465</v>
      </c>
      <c r="H30" s="291">
        <f t="shared" ref="H30:Q30" si="3">SUM(H7:H29)</f>
        <v>38344450</v>
      </c>
      <c r="I30" s="291">
        <f t="shared" si="3"/>
        <v>0</v>
      </c>
      <c r="J30" s="291">
        <f t="shared" si="3"/>
        <v>25180000</v>
      </c>
      <c r="K30" s="291">
        <f t="shared" si="3"/>
        <v>7269231</v>
      </c>
      <c r="L30" s="309">
        <f t="shared" si="3"/>
        <v>1320000</v>
      </c>
      <c r="M30" s="291">
        <f t="shared" si="3"/>
        <v>0</v>
      </c>
      <c r="N30" s="291">
        <f t="shared" si="3"/>
        <v>0</v>
      </c>
      <c r="O30" s="291">
        <f t="shared" si="3"/>
        <v>72113681</v>
      </c>
      <c r="P30" s="291">
        <f t="shared" si="3"/>
        <v>114265455</v>
      </c>
      <c r="Q30" s="297">
        <f t="shared" si="3"/>
        <v>42151774</v>
      </c>
      <c r="R30" s="195"/>
      <c r="S30" s="195"/>
    </row>
    <row r="31" spans="1:20" x14ac:dyDescent="0.25">
      <c r="P31" s="294"/>
      <c r="Q31" s="295"/>
    </row>
    <row r="32" spans="1:20" x14ac:dyDescent="0.25">
      <c r="B32"/>
      <c r="G32"/>
      <c r="H32" s="294"/>
      <c r="P32" s="296" t="s">
        <v>1225</v>
      </c>
      <c r="Q32" s="304">
        <f>'01.2020'!Q33+'02.2020'!Q30</f>
        <v>51326930</v>
      </c>
    </row>
    <row r="33" spans="2:18" x14ac:dyDescent="0.25">
      <c r="B33"/>
      <c r="G33"/>
      <c r="Q33" s="294"/>
    </row>
    <row r="34" spans="2:18" x14ac:dyDescent="0.25">
      <c r="B34"/>
      <c r="G34"/>
      <c r="R34" s="195"/>
    </row>
  </sheetData>
  <mergeCells count="7">
    <mergeCell ref="C29:E29"/>
    <mergeCell ref="A30:F30"/>
    <mergeCell ref="A1:Q1"/>
    <mergeCell ref="A2:Q2"/>
    <mergeCell ref="A3:Q3"/>
    <mergeCell ref="G5:N5"/>
    <mergeCell ref="C28:E28"/>
  </mergeCells>
  <pageMargins left="0.7" right="0.7" top="0.75" bottom="0.75" header="0.3" footer="0.3"/>
  <pageSetup orientation="portrait" horizontalDpi="0" verticalDpi="0" r:id="rId1"/>
  <legacy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T40"/>
  <sheetViews>
    <sheetView topLeftCell="D25" workbookViewId="0">
      <selection activeCell="H40" sqref="H40"/>
    </sheetView>
  </sheetViews>
  <sheetFormatPr defaultRowHeight="15" x14ac:dyDescent="0.25"/>
  <cols>
    <col min="1" max="1" width="4.5703125" customWidth="1"/>
    <col min="2" max="2" width="9.140625" style="332"/>
    <col min="3" max="3" width="41.28515625" customWidth="1"/>
    <col min="4" max="4" width="16.5703125" customWidth="1"/>
    <col min="5" max="5" width="33.140625" customWidth="1"/>
    <col min="7" max="7" width="9.140625" style="292"/>
    <col min="8" max="8" width="10.140625" style="292" bestFit="1" customWidth="1"/>
    <col min="9" max="9" width="9.140625" style="293"/>
    <col min="10" max="10" width="9.140625" style="292"/>
    <col min="11" max="11" width="9.42578125" style="292" bestFit="1" customWidth="1"/>
    <col min="12" max="12" width="9.140625" style="173"/>
    <col min="13" max="14" width="9.140625" style="292"/>
    <col min="15" max="15" width="11.140625" style="292" customWidth="1"/>
    <col min="16" max="16" width="10.7109375" style="292" customWidth="1"/>
    <col min="17" max="17" width="12.28515625" style="292" customWidth="1"/>
    <col min="18" max="18" width="11.7109375" customWidth="1"/>
    <col min="19" max="19" width="18"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2963</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257"/>
      <c r="H4" s="258"/>
      <c r="I4" s="258"/>
      <c r="J4" s="258"/>
      <c r="K4" s="258"/>
      <c r="L4" s="91"/>
      <c r="M4" s="258"/>
      <c r="N4" s="258"/>
      <c r="O4" s="258"/>
      <c r="P4" s="258"/>
      <c r="Q4" s="258"/>
    </row>
    <row r="5" spans="1:20"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20"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20" x14ac:dyDescent="0.25">
      <c r="A7" s="75"/>
      <c r="B7" s="100"/>
      <c r="C7" s="88"/>
      <c r="D7" s="88"/>
      <c r="E7" s="134"/>
      <c r="F7" s="75"/>
      <c r="G7" s="263"/>
      <c r="H7" s="264"/>
      <c r="I7" s="264"/>
      <c r="J7" s="264"/>
      <c r="K7" s="264"/>
      <c r="L7" s="308"/>
      <c r="M7" s="264"/>
      <c r="N7" s="264"/>
      <c r="O7" s="264">
        <f>H7+J7+K7+L7+M7+N7</f>
        <v>0</v>
      </c>
      <c r="P7" s="265"/>
      <c r="Q7" s="264">
        <f>P7-O7</f>
        <v>0</v>
      </c>
    </row>
    <row r="8" spans="1:20" ht="20.100000000000001" customHeight="1" x14ac:dyDescent="0.25">
      <c r="A8" s="75">
        <v>1</v>
      </c>
      <c r="B8" s="133">
        <v>43893</v>
      </c>
      <c r="C8" s="135" t="s">
        <v>1676</v>
      </c>
      <c r="D8" s="136" t="s">
        <v>2978</v>
      </c>
      <c r="E8" s="78" t="s">
        <v>636</v>
      </c>
      <c r="F8" s="80"/>
      <c r="G8" s="234"/>
      <c r="H8" s="234"/>
      <c r="I8" s="266"/>
      <c r="J8" s="223">
        <v>790000</v>
      </c>
      <c r="K8" s="267"/>
      <c r="L8" s="156"/>
      <c r="M8" s="189"/>
      <c r="N8" s="189"/>
      <c r="O8" s="268">
        <f>H8+J8+K8+L8+M8+N8</f>
        <v>790000</v>
      </c>
      <c r="P8" s="272">
        <v>2800000</v>
      </c>
      <c r="Q8" s="270">
        <f>P8-O8</f>
        <v>2010000</v>
      </c>
      <c r="R8" s="195"/>
      <c r="S8" s="333"/>
      <c r="T8" s="195"/>
    </row>
    <row r="9" spans="1:20" ht="20.100000000000001" customHeight="1" x14ac:dyDescent="0.25">
      <c r="A9" s="75">
        <v>2</v>
      </c>
      <c r="B9" s="133">
        <v>43894</v>
      </c>
      <c r="C9" s="135" t="s">
        <v>2341</v>
      </c>
      <c r="D9" s="172" t="s">
        <v>2979</v>
      </c>
      <c r="E9" s="78" t="s">
        <v>2007</v>
      </c>
      <c r="F9" s="80"/>
      <c r="G9" s="234"/>
      <c r="H9" s="234"/>
      <c r="I9" s="271"/>
      <c r="J9" s="223">
        <v>1150000</v>
      </c>
      <c r="K9" s="267"/>
      <c r="L9" s="156"/>
      <c r="M9" s="189"/>
      <c r="N9" s="189"/>
      <c r="O9" s="268">
        <f t="shared" ref="O9:O35" si="0">H9+J9+K9+L9+M9+N9</f>
        <v>1150000</v>
      </c>
      <c r="P9" s="272">
        <v>3860000</v>
      </c>
      <c r="Q9" s="270">
        <f t="shared" ref="Q9:Q35" si="1">P9-O9</f>
        <v>2710000</v>
      </c>
      <c r="R9" s="195"/>
      <c r="S9" s="333"/>
      <c r="T9" s="195"/>
    </row>
    <row r="10" spans="1:20" ht="20.100000000000001" customHeight="1" x14ac:dyDescent="0.25">
      <c r="A10" s="75">
        <v>3</v>
      </c>
      <c r="B10" s="133">
        <v>43895</v>
      </c>
      <c r="C10" s="135" t="s">
        <v>205</v>
      </c>
      <c r="D10" s="136" t="s">
        <v>2980</v>
      </c>
      <c r="E10" s="78" t="s">
        <v>2007</v>
      </c>
      <c r="F10" s="80"/>
      <c r="G10" s="234">
        <v>260</v>
      </c>
      <c r="H10" s="234">
        <f>G10*14780</f>
        <v>3842800</v>
      </c>
      <c r="I10" s="271"/>
      <c r="J10" s="223">
        <f>1150000+300000</f>
        <v>1450000</v>
      </c>
      <c r="K10" s="267"/>
      <c r="L10" s="156"/>
      <c r="M10" s="189"/>
      <c r="N10" s="189"/>
      <c r="O10" s="268">
        <f t="shared" si="0"/>
        <v>5292800</v>
      </c>
      <c r="P10" s="272">
        <v>3860000</v>
      </c>
      <c r="Q10" s="270">
        <f t="shared" si="1"/>
        <v>-1432800</v>
      </c>
      <c r="R10" s="195"/>
      <c r="S10" s="333"/>
      <c r="T10" s="195"/>
    </row>
    <row r="11" spans="1:20" ht="20.100000000000001" customHeight="1" x14ac:dyDescent="0.25">
      <c r="A11" s="75">
        <v>4</v>
      </c>
      <c r="B11" s="133">
        <v>43895</v>
      </c>
      <c r="C11" s="135" t="s">
        <v>2964</v>
      </c>
      <c r="D11" s="136" t="s">
        <v>2980</v>
      </c>
      <c r="E11" s="78" t="s">
        <v>1381</v>
      </c>
      <c r="F11" s="80"/>
      <c r="G11" s="234"/>
      <c r="H11" s="234">
        <f t="shared" ref="H11:H18" si="2">G11*14780</f>
        <v>0</v>
      </c>
      <c r="I11" s="271"/>
      <c r="J11" s="223">
        <v>0</v>
      </c>
      <c r="K11" s="267"/>
      <c r="L11" s="156"/>
      <c r="M11" s="189"/>
      <c r="N11" s="189"/>
      <c r="O11" s="268">
        <f t="shared" si="0"/>
        <v>0</v>
      </c>
      <c r="P11" s="272">
        <v>2000000</v>
      </c>
      <c r="Q11" s="270">
        <f t="shared" si="1"/>
        <v>2000000</v>
      </c>
      <c r="R11" s="195"/>
      <c r="S11" s="333"/>
      <c r="T11" s="195"/>
    </row>
    <row r="12" spans="1:20" ht="20.100000000000001" customHeight="1" x14ac:dyDescent="0.25">
      <c r="A12" s="75">
        <v>5</v>
      </c>
      <c r="B12" s="133">
        <v>43896</v>
      </c>
      <c r="C12" s="135" t="s">
        <v>1677</v>
      </c>
      <c r="D12" s="136" t="s">
        <v>2981</v>
      </c>
      <c r="E12" s="78" t="s">
        <v>2959</v>
      </c>
      <c r="F12" s="80"/>
      <c r="G12" s="234"/>
      <c r="H12" s="234">
        <f t="shared" si="2"/>
        <v>0</v>
      </c>
      <c r="I12" s="271"/>
      <c r="J12" s="223">
        <v>790000</v>
      </c>
      <c r="K12" s="267"/>
      <c r="L12" s="156"/>
      <c r="M12" s="189"/>
      <c r="N12" s="189"/>
      <c r="O12" s="268">
        <f t="shared" si="0"/>
        <v>790000</v>
      </c>
      <c r="P12" s="272">
        <v>2763636</v>
      </c>
      <c r="Q12" s="270">
        <f t="shared" si="1"/>
        <v>1973636</v>
      </c>
      <c r="R12" s="195"/>
      <c r="S12" s="333"/>
      <c r="T12" s="195"/>
    </row>
    <row r="13" spans="1:20" ht="20.100000000000001" customHeight="1" x14ac:dyDescent="0.25">
      <c r="A13" s="75">
        <v>6</v>
      </c>
      <c r="B13" s="133">
        <v>43897</v>
      </c>
      <c r="C13" s="135" t="s">
        <v>2965</v>
      </c>
      <c r="D13" s="136" t="s">
        <v>2982</v>
      </c>
      <c r="E13" s="78" t="s">
        <v>502</v>
      </c>
      <c r="F13" s="80"/>
      <c r="G13" s="234"/>
      <c r="H13" s="234">
        <f t="shared" si="2"/>
        <v>0</v>
      </c>
      <c r="I13" s="271"/>
      <c r="J13" s="223">
        <v>970000</v>
      </c>
      <c r="K13" s="267"/>
      <c r="L13" s="156"/>
      <c r="M13" s="189"/>
      <c r="N13" s="189"/>
      <c r="O13" s="268">
        <f t="shared" si="0"/>
        <v>970000</v>
      </c>
      <c r="P13" s="272">
        <v>4000000</v>
      </c>
      <c r="Q13" s="270">
        <f t="shared" si="1"/>
        <v>3030000</v>
      </c>
      <c r="R13" s="195"/>
      <c r="S13" s="333"/>
      <c r="T13" s="195"/>
    </row>
    <row r="14" spans="1:20" ht="20.100000000000001" customHeight="1" x14ac:dyDescent="0.25">
      <c r="A14" s="75">
        <v>7</v>
      </c>
      <c r="B14" s="133">
        <v>43898</v>
      </c>
      <c r="C14" s="135" t="s">
        <v>2966</v>
      </c>
      <c r="D14" s="136" t="s">
        <v>2983</v>
      </c>
      <c r="E14" s="78" t="s">
        <v>502</v>
      </c>
      <c r="F14" s="80"/>
      <c r="G14" s="234"/>
      <c r="H14" s="234">
        <f t="shared" si="2"/>
        <v>0</v>
      </c>
      <c r="I14" s="271"/>
      <c r="J14" s="223">
        <f>970000+760000</f>
        <v>1730000</v>
      </c>
      <c r="K14" s="267"/>
      <c r="L14" s="156"/>
      <c r="M14" s="189"/>
      <c r="N14" s="189"/>
      <c r="O14" s="268">
        <f t="shared" si="0"/>
        <v>1730000</v>
      </c>
      <c r="P14" s="272">
        <v>0</v>
      </c>
      <c r="Q14" s="270">
        <f t="shared" si="1"/>
        <v>-1730000</v>
      </c>
      <c r="R14" s="195"/>
      <c r="S14" s="333"/>
      <c r="T14" s="195"/>
    </row>
    <row r="15" spans="1:20" ht="20.100000000000001" customHeight="1" x14ac:dyDescent="0.25">
      <c r="A15" s="75">
        <v>8</v>
      </c>
      <c r="B15" s="133">
        <v>43899</v>
      </c>
      <c r="C15" s="135" t="s">
        <v>2967</v>
      </c>
      <c r="D15" s="136" t="s">
        <v>2983</v>
      </c>
      <c r="E15" s="78" t="s">
        <v>2999</v>
      </c>
      <c r="F15" s="80"/>
      <c r="G15" s="234">
        <v>350</v>
      </c>
      <c r="H15" s="234">
        <f t="shared" si="2"/>
        <v>5173000</v>
      </c>
      <c r="I15" s="271"/>
      <c r="J15" s="223">
        <v>0</v>
      </c>
      <c r="K15" s="267"/>
      <c r="L15" s="156"/>
      <c r="M15" s="189"/>
      <c r="N15" s="189"/>
      <c r="O15" s="268">
        <f t="shared" si="0"/>
        <v>5173000</v>
      </c>
      <c r="P15" s="272">
        <v>7700000</v>
      </c>
      <c r="Q15" s="270">
        <f t="shared" si="1"/>
        <v>2527000</v>
      </c>
      <c r="R15" s="195"/>
      <c r="S15" s="333"/>
      <c r="T15" s="195"/>
    </row>
    <row r="16" spans="1:20" ht="20.100000000000001" customHeight="1" x14ac:dyDescent="0.25">
      <c r="A16" s="75">
        <v>9</v>
      </c>
      <c r="B16" s="133">
        <v>43900</v>
      </c>
      <c r="C16" s="135" t="s">
        <v>2968</v>
      </c>
      <c r="D16" s="136" t="s">
        <v>2984</v>
      </c>
      <c r="E16" s="78" t="s">
        <v>2959</v>
      </c>
      <c r="F16" s="80"/>
      <c r="G16" s="234"/>
      <c r="H16" s="234">
        <f t="shared" si="2"/>
        <v>0</v>
      </c>
      <c r="I16" s="271"/>
      <c r="J16" s="223">
        <v>790000</v>
      </c>
      <c r="K16" s="267"/>
      <c r="L16" s="156"/>
      <c r="M16" s="189"/>
      <c r="N16" s="189"/>
      <c r="O16" s="268">
        <f t="shared" si="0"/>
        <v>790000</v>
      </c>
      <c r="P16" s="272">
        <v>2763636</v>
      </c>
      <c r="Q16" s="270">
        <f t="shared" si="1"/>
        <v>1973636</v>
      </c>
      <c r="R16" s="195"/>
      <c r="S16" s="333"/>
      <c r="T16" s="195"/>
    </row>
    <row r="17" spans="1:20" ht="20.100000000000001" customHeight="1" x14ac:dyDescent="0.25">
      <c r="A17" s="75">
        <v>10</v>
      </c>
      <c r="B17" s="133">
        <v>43901</v>
      </c>
      <c r="C17" s="135" t="s">
        <v>216</v>
      </c>
      <c r="D17" s="136" t="s">
        <v>2985</v>
      </c>
      <c r="E17" s="78" t="s">
        <v>3000</v>
      </c>
      <c r="F17" s="80"/>
      <c r="G17" s="234"/>
      <c r="H17" s="234">
        <f t="shared" si="2"/>
        <v>0</v>
      </c>
      <c r="I17" s="271"/>
      <c r="J17" s="223">
        <v>1270000</v>
      </c>
      <c r="K17" s="267"/>
      <c r="L17" s="156"/>
      <c r="M17" s="189"/>
      <c r="N17" s="189"/>
      <c r="O17" s="268">
        <f t="shared" si="0"/>
        <v>1270000</v>
      </c>
      <c r="P17" s="272">
        <v>6000000</v>
      </c>
      <c r="Q17" s="270">
        <f t="shared" si="1"/>
        <v>4730000</v>
      </c>
      <c r="R17" s="195"/>
      <c r="S17" s="333"/>
      <c r="T17" s="195"/>
    </row>
    <row r="18" spans="1:20" ht="20.100000000000001" customHeight="1" x14ac:dyDescent="0.25">
      <c r="A18" s="75">
        <v>11</v>
      </c>
      <c r="B18" s="133">
        <v>43903</v>
      </c>
      <c r="C18" s="135" t="s">
        <v>2969</v>
      </c>
      <c r="D18" s="136" t="s">
        <v>2986</v>
      </c>
      <c r="E18" s="78" t="s">
        <v>636</v>
      </c>
      <c r="F18" s="80"/>
      <c r="G18" s="234">
        <v>320</v>
      </c>
      <c r="H18" s="234">
        <f t="shared" si="2"/>
        <v>4729600</v>
      </c>
      <c r="I18" s="271"/>
      <c r="J18" s="223">
        <v>790000</v>
      </c>
      <c r="K18" s="267"/>
      <c r="L18" s="156"/>
      <c r="M18" s="189"/>
      <c r="N18" s="189"/>
      <c r="O18" s="268">
        <f t="shared" si="0"/>
        <v>5519600</v>
      </c>
      <c r="P18" s="272">
        <v>4000000</v>
      </c>
      <c r="Q18" s="270">
        <f t="shared" si="1"/>
        <v>-1519600</v>
      </c>
      <c r="R18" s="195"/>
      <c r="S18" s="333"/>
      <c r="T18" s="195"/>
    </row>
    <row r="19" spans="1:20" ht="20.100000000000001" customHeight="1" x14ac:dyDescent="0.25">
      <c r="A19" s="75">
        <v>12</v>
      </c>
      <c r="B19" s="133">
        <v>43904</v>
      </c>
      <c r="C19" s="135" t="s">
        <v>2970</v>
      </c>
      <c r="D19" s="136" t="s">
        <v>2987</v>
      </c>
      <c r="E19" s="78" t="s">
        <v>1616</v>
      </c>
      <c r="F19" s="80"/>
      <c r="G19" s="234"/>
      <c r="H19" s="234"/>
      <c r="I19" s="271"/>
      <c r="J19" s="223">
        <v>650000</v>
      </c>
      <c r="K19" s="267"/>
      <c r="L19" s="156"/>
      <c r="M19" s="189"/>
      <c r="N19" s="189"/>
      <c r="O19" s="268">
        <f t="shared" si="0"/>
        <v>650000</v>
      </c>
      <c r="P19" s="272">
        <v>2700000</v>
      </c>
      <c r="Q19" s="270">
        <f t="shared" si="1"/>
        <v>2050000</v>
      </c>
      <c r="R19" s="195"/>
      <c r="S19" s="333"/>
      <c r="T19" s="195"/>
    </row>
    <row r="20" spans="1:20" ht="20.100000000000001" customHeight="1" x14ac:dyDescent="0.25">
      <c r="A20" s="75">
        <v>13</v>
      </c>
      <c r="B20" s="133">
        <v>43907</v>
      </c>
      <c r="C20" s="135" t="s">
        <v>2971</v>
      </c>
      <c r="D20" s="136" t="s">
        <v>2988</v>
      </c>
      <c r="E20" s="78" t="s">
        <v>1212</v>
      </c>
      <c r="F20" s="80"/>
      <c r="G20" s="234">
        <v>300</v>
      </c>
      <c r="H20" s="234">
        <f>G20*13030</f>
        <v>3909000</v>
      </c>
      <c r="I20" s="271"/>
      <c r="J20" s="223">
        <v>2740000</v>
      </c>
      <c r="K20" s="267"/>
      <c r="L20" s="156"/>
      <c r="M20" s="189"/>
      <c r="N20" s="189"/>
      <c r="O20" s="268">
        <f t="shared" si="0"/>
        <v>6649000</v>
      </c>
      <c r="P20" s="272">
        <v>14090909</v>
      </c>
      <c r="Q20" s="270">
        <f t="shared" si="1"/>
        <v>7441909</v>
      </c>
      <c r="R20" s="195"/>
      <c r="S20" s="333"/>
      <c r="T20" s="195"/>
    </row>
    <row r="21" spans="1:20" ht="20.100000000000001" customHeight="1" x14ac:dyDescent="0.25">
      <c r="A21" s="75">
        <v>14</v>
      </c>
      <c r="B21" s="133">
        <v>43908</v>
      </c>
      <c r="C21" s="135" t="s">
        <v>2972</v>
      </c>
      <c r="D21" s="136" t="s">
        <v>2989</v>
      </c>
      <c r="E21" s="78" t="s">
        <v>2827</v>
      </c>
      <c r="F21" s="80"/>
      <c r="G21" s="234">
        <v>80</v>
      </c>
      <c r="H21" s="234">
        <f t="shared" ref="H21:H25" si="3">G21*13030</f>
        <v>1042400</v>
      </c>
      <c r="I21" s="271"/>
      <c r="J21" s="223">
        <v>1070000</v>
      </c>
      <c r="K21" s="267"/>
      <c r="L21" s="156"/>
      <c r="M21" s="189"/>
      <c r="N21" s="189"/>
      <c r="O21" s="268">
        <f t="shared" si="0"/>
        <v>2112400</v>
      </c>
      <c r="P21" s="272">
        <v>4318182</v>
      </c>
      <c r="Q21" s="270">
        <f t="shared" si="1"/>
        <v>2205782</v>
      </c>
      <c r="R21" s="195"/>
      <c r="S21" s="333"/>
      <c r="T21" s="195"/>
    </row>
    <row r="22" spans="1:20" ht="20.100000000000001" customHeight="1" x14ac:dyDescent="0.25">
      <c r="A22" s="75">
        <v>15</v>
      </c>
      <c r="B22" s="133">
        <v>43910</v>
      </c>
      <c r="C22" s="135" t="s">
        <v>2973</v>
      </c>
      <c r="D22" s="136" t="s">
        <v>2990</v>
      </c>
      <c r="E22" s="78" t="s">
        <v>301</v>
      </c>
      <c r="F22" s="80"/>
      <c r="G22" s="234">
        <v>330</v>
      </c>
      <c r="H22" s="234">
        <f t="shared" si="3"/>
        <v>4299900</v>
      </c>
      <c r="I22" s="271"/>
      <c r="J22" s="223">
        <v>3820000</v>
      </c>
      <c r="K22" s="267"/>
      <c r="L22" s="156"/>
      <c r="M22" s="189"/>
      <c r="N22" s="189"/>
      <c r="O22" s="268">
        <f t="shared" si="0"/>
        <v>8119900</v>
      </c>
      <c r="P22" s="272">
        <v>19545455</v>
      </c>
      <c r="Q22" s="270">
        <f t="shared" si="1"/>
        <v>11425555</v>
      </c>
      <c r="R22" s="195"/>
      <c r="S22" s="333"/>
      <c r="T22" s="195"/>
    </row>
    <row r="23" spans="1:20" ht="20.100000000000001" customHeight="1" x14ac:dyDescent="0.25">
      <c r="A23" s="75">
        <v>16</v>
      </c>
      <c r="B23" s="133">
        <v>43913</v>
      </c>
      <c r="C23" s="135" t="s">
        <v>2351</v>
      </c>
      <c r="D23" s="136" t="s">
        <v>2991</v>
      </c>
      <c r="E23" s="78" t="s">
        <v>1023</v>
      </c>
      <c r="F23" s="80"/>
      <c r="G23" s="234"/>
      <c r="H23" s="234">
        <f t="shared" si="3"/>
        <v>0</v>
      </c>
      <c r="I23" s="271"/>
      <c r="J23" s="223">
        <v>1000000</v>
      </c>
      <c r="K23" s="267"/>
      <c r="L23" s="156"/>
      <c r="M23" s="189"/>
      <c r="N23" s="189"/>
      <c r="O23" s="268">
        <f t="shared" si="0"/>
        <v>1000000</v>
      </c>
      <c r="P23" s="272">
        <v>4300000</v>
      </c>
      <c r="Q23" s="270">
        <f t="shared" si="1"/>
        <v>3300000</v>
      </c>
      <c r="R23" s="195"/>
      <c r="S23" s="333"/>
      <c r="T23" s="195"/>
    </row>
    <row r="24" spans="1:20" ht="20.100000000000001" customHeight="1" x14ac:dyDescent="0.25">
      <c r="A24" s="75">
        <v>17</v>
      </c>
      <c r="B24" s="133">
        <v>43914</v>
      </c>
      <c r="C24" s="135" t="s">
        <v>984</v>
      </c>
      <c r="D24" s="136" t="s">
        <v>2992</v>
      </c>
      <c r="E24" s="78" t="s">
        <v>563</v>
      </c>
      <c r="F24" s="80"/>
      <c r="G24" s="234"/>
      <c r="H24" s="234">
        <f t="shared" si="3"/>
        <v>0</v>
      </c>
      <c r="I24" s="271"/>
      <c r="J24" s="223">
        <v>790000</v>
      </c>
      <c r="K24" s="267"/>
      <c r="L24" s="156"/>
      <c r="M24" s="189"/>
      <c r="N24" s="189"/>
      <c r="O24" s="268">
        <f t="shared" si="0"/>
        <v>790000</v>
      </c>
      <c r="P24" s="272">
        <v>3009091</v>
      </c>
      <c r="Q24" s="270">
        <f t="shared" si="1"/>
        <v>2219091</v>
      </c>
      <c r="R24" s="195"/>
      <c r="S24" s="333"/>
      <c r="T24" s="195"/>
    </row>
    <row r="25" spans="1:20" ht="20.100000000000001" customHeight="1" x14ac:dyDescent="0.25">
      <c r="A25" s="75">
        <v>18</v>
      </c>
      <c r="B25" s="133">
        <v>43915</v>
      </c>
      <c r="C25" s="135" t="s">
        <v>2974</v>
      </c>
      <c r="D25" s="136" t="s">
        <v>2993</v>
      </c>
      <c r="E25" s="78" t="s">
        <v>3001</v>
      </c>
      <c r="F25" s="80"/>
      <c r="G25" s="234">
        <v>300</v>
      </c>
      <c r="H25" s="234">
        <f t="shared" si="3"/>
        <v>3909000</v>
      </c>
      <c r="I25" s="271"/>
      <c r="J25" s="223">
        <v>790000</v>
      </c>
      <c r="K25" s="267"/>
      <c r="L25" s="156"/>
      <c r="M25" s="189"/>
      <c r="N25" s="189"/>
      <c r="O25" s="268">
        <f t="shared" si="0"/>
        <v>4699000</v>
      </c>
      <c r="P25" s="272">
        <v>4300000</v>
      </c>
      <c r="Q25" s="270">
        <f t="shared" si="1"/>
        <v>-399000</v>
      </c>
      <c r="R25" s="195"/>
      <c r="S25" s="333"/>
      <c r="T25" s="195"/>
    </row>
    <row r="26" spans="1:20" ht="20.100000000000001" customHeight="1" x14ac:dyDescent="0.25">
      <c r="A26" s="75">
        <v>19</v>
      </c>
      <c r="B26" s="133">
        <v>43916</v>
      </c>
      <c r="C26" s="135" t="s">
        <v>2975</v>
      </c>
      <c r="D26" s="136" t="s">
        <v>2994</v>
      </c>
      <c r="E26" s="78" t="s">
        <v>3002</v>
      </c>
      <c r="F26" s="80"/>
      <c r="G26" s="234"/>
      <c r="H26" s="234"/>
      <c r="I26" s="271"/>
      <c r="J26" s="223">
        <v>970000</v>
      </c>
      <c r="K26" s="267"/>
      <c r="L26" s="156"/>
      <c r="M26" s="189"/>
      <c r="N26" s="189"/>
      <c r="O26" s="268">
        <f t="shared" si="0"/>
        <v>970000</v>
      </c>
      <c r="P26" s="272">
        <v>4000000</v>
      </c>
      <c r="Q26" s="270">
        <f t="shared" si="1"/>
        <v>3030000</v>
      </c>
      <c r="R26" s="195"/>
      <c r="S26" s="333"/>
      <c r="T26" s="195"/>
    </row>
    <row r="27" spans="1:20" ht="20.100000000000001" customHeight="1" x14ac:dyDescent="0.25">
      <c r="A27" s="75">
        <v>20</v>
      </c>
      <c r="B27" s="133">
        <v>43917</v>
      </c>
      <c r="C27" s="135" t="s">
        <v>2976</v>
      </c>
      <c r="D27" s="136" t="s">
        <v>2995</v>
      </c>
      <c r="E27" s="78" t="s">
        <v>29</v>
      </c>
      <c r="F27" s="80"/>
      <c r="G27" s="234"/>
      <c r="H27" s="234"/>
      <c r="I27" s="271"/>
      <c r="J27" s="223">
        <v>970000</v>
      </c>
      <c r="K27" s="267"/>
      <c r="L27" s="156"/>
      <c r="M27" s="189"/>
      <c r="N27" s="189"/>
      <c r="O27" s="268">
        <f t="shared" si="0"/>
        <v>970000</v>
      </c>
      <c r="P27" s="272">
        <v>3700000</v>
      </c>
      <c r="Q27" s="270">
        <f t="shared" si="1"/>
        <v>2730000</v>
      </c>
      <c r="R27" s="195"/>
      <c r="S27" s="333"/>
      <c r="T27" s="195"/>
    </row>
    <row r="28" spans="1:20" ht="20.100000000000001" customHeight="1" x14ac:dyDescent="0.25">
      <c r="A28" s="75">
        <v>21</v>
      </c>
      <c r="B28" s="133">
        <v>43918</v>
      </c>
      <c r="C28" s="135" t="s">
        <v>987</v>
      </c>
      <c r="D28" s="136" t="s">
        <v>2996</v>
      </c>
      <c r="E28" s="78" t="s">
        <v>566</v>
      </c>
      <c r="F28" s="80"/>
      <c r="G28" s="234">
        <v>310</v>
      </c>
      <c r="H28" s="234">
        <f>G28*11250</f>
        <v>3487500</v>
      </c>
      <c r="I28" s="271" t="s">
        <v>3004</v>
      </c>
      <c r="J28" s="223">
        <v>1150000</v>
      </c>
      <c r="K28" s="267"/>
      <c r="L28" s="156"/>
      <c r="M28" s="189"/>
      <c r="N28" s="189"/>
      <c r="O28" s="268">
        <f t="shared" si="0"/>
        <v>4637500</v>
      </c>
      <c r="P28" s="272">
        <v>3600000</v>
      </c>
      <c r="Q28" s="270">
        <f t="shared" si="1"/>
        <v>-1037500</v>
      </c>
      <c r="R28" s="195"/>
      <c r="S28" s="333"/>
      <c r="T28" s="195"/>
    </row>
    <row r="29" spans="1:20" ht="20.100000000000001" customHeight="1" x14ac:dyDescent="0.25">
      <c r="A29" s="75">
        <v>22</v>
      </c>
      <c r="B29" s="133">
        <v>43920</v>
      </c>
      <c r="C29" s="135" t="s">
        <v>2977</v>
      </c>
      <c r="D29" s="136" t="s">
        <v>2997</v>
      </c>
      <c r="E29" s="78" t="s">
        <v>22</v>
      </c>
      <c r="F29" s="80"/>
      <c r="G29" s="234"/>
      <c r="H29" s="234"/>
      <c r="I29" s="271"/>
      <c r="J29" s="223">
        <v>1150000</v>
      </c>
      <c r="K29" s="267"/>
      <c r="L29" s="156"/>
      <c r="M29" s="189"/>
      <c r="N29" s="189"/>
      <c r="O29" s="268">
        <f t="shared" si="0"/>
        <v>1150000</v>
      </c>
      <c r="P29" s="272">
        <v>3500000</v>
      </c>
      <c r="Q29" s="270">
        <f t="shared" si="1"/>
        <v>2350000</v>
      </c>
      <c r="R29" s="195"/>
      <c r="S29" s="333"/>
      <c r="T29" s="195"/>
    </row>
    <row r="30" spans="1:20" ht="20.100000000000001" customHeight="1" x14ac:dyDescent="0.25">
      <c r="A30" s="75">
        <v>23</v>
      </c>
      <c r="B30" s="133">
        <v>43921</v>
      </c>
      <c r="C30" s="135" t="s">
        <v>990</v>
      </c>
      <c r="D30" s="136" t="s">
        <v>2998</v>
      </c>
      <c r="E30" s="78" t="s">
        <v>2885</v>
      </c>
      <c r="F30" s="80"/>
      <c r="G30" s="234"/>
      <c r="H30" s="234"/>
      <c r="I30" s="271"/>
      <c r="J30" s="223">
        <v>790000</v>
      </c>
      <c r="K30" s="267"/>
      <c r="L30" s="156"/>
      <c r="M30" s="189"/>
      <c r="N30" s="189"/>
      <c r="O30" s="268">
        <f t="shared" si="0"/>
        <v>790000</v>
      </c>
      <c r="P30" s="272">
        <v>2827273</v>
      </c>
      <c r="Q30" s="270">
        <f t="shared" si="1"/>
        <v>2037273</v>
      </c>
      <c r="R30" s="195"/>
      <c r="S30" s="333"/>
      <c r="T30" s="195"/>
    </row>
    <row r="31" spans="1:20" ht="15" customHeight="1" x14ac:dyDescent="0.25">
      <c r="A31" s="75"/>
      <c r="C31" s="138"/>
      <c r="D31" s="139"/>
      <c r="E31" s="78"/>
      <c r="F31" s="110"/>
      <c r="G31" s="273"/>
      <c r="H31" s="271"/>
      <c r="I31" s="266"/>
      <c r="J31" s="194"/>
      <c r="K31" s="267"/>
      <c r="L31" s="156"/>
      <c r="M31" s="194"/>
      <c r="N31" s="194"/>
      <c r="O31" s="268">
        <f t="shared" si="0"/>
        <v>0</v>
      </c>
      <c r="P31" s="274"/>
      <c r="Q31" s="270">
        <f t="shared" si="1"/>
        <v>0</v>
      </c>
      <c r="R31" s="195"/>
      <c r="S31" s="195"/>
      <c r="T31" s="195"/>
    </row>
    <row r="32" spans="1:20" ht="16.149999999999999" customHeight="1" x14ac:dyDescent="0.25">
      <c r="A32" s="75"/>
      <c r="C32" s="564" t="s">
        <v>1273</v>
      </c>
      <c r="D32" s="565"/>
      <c r="E32" s="566"/>
      <c r="F32" s="163"/>
      <c r="G32" s="281"/>
      <c r="H32" s="282"/>
      <c r="I32" s="280"/>
      <c r="J32" s="194"/>
      <c r="K32" s="267"/>
      <c r="L32" s="318">
        <v>1320000</v>
      </c>
      <c r="M32" s="194"/>
      <c r="N32" s="194"/>
      <c r="O32" s="268">
        <f t="shared" si="0"/>
        <v>1320000</v>
      </c>
      <c r="P32" s="264"/>
      <c r="Q32" s="270">
        <f t="shared" si="1"/>
        <v>-1320000</v>
      </c>
    </row>
    <row r="33" spans="1:19" ht="16.149999999999999" customHeight="1" x14ac:dyDescent="0.25">
      <c r="A33" s="134"/>
      <c r="C33" s="335" t="s">
        <v>3003</v>
      </c>
      <c r="D33" s="336"/>
      <c r="E33" s="337"/>
      <c r="F33" s="163"/>
      <c r="G33" s="281"/>
      <c r="H33" s="282"/>
      <c r="I33" s="280"/>
      <c r="J33" s="194"/>
      <c r="K33" s="278"/>
      <c r="L33" s="334">
        <v>120000</v>
      </c>
      <c r="M33" s="194"/>
      <c r="N33" s="194"/>
      <c r="O33" s="268">
        <f t="shared" si="0"/>
        <v>120000</v>
      </c>
      <c r="P33" s="265"/>
      <c r="Q33" s="270">
        <f t="shared" si="1"/>
        <v>-120000</v>
      </c>
    </row>
    <row r="34" spans="1:19" ht="16.149999999999999" customHeight="1" x14ac:dyDescent="0.25">
      <c r="A34" s="134"/>
      <c r="C34" s="335" t="s">
        <v>1775</v>
      </c>
      <c r="D34" s="336"/>
      <c r="E34" s="337"/>
      <c r="F34" s="163"/>
      <c r="G34" s="281"/>
      <c r="H34" s="282"/>
      <c r="I34" s="280"/>
      <c r="J34" s="194"/>
      <c r="K34" s="278"/>
      <c r="L34" s="334">
        <v>170000</v>
      </c>
      <c r="M34" s="194"/>
      <c r="N34" s="194"/>
      <c r="O34" s="268">
        <f t="shared" si="0"/>
        <v>170000</v>
      </c>
      <c r="P34" s="265"/>
      <c r="Q34" s="270">
        <f t="shared" si="1"/>
        <v>-170000</v>
      </c>
    </row>
    <row r="35" spans="1:19" ht="16.149999999999999" customHeight="1" x14ac:dyDescent="0.25">
      <c r="A35" s="134"/>
      <c r="B35" s="103"/>
      <c r="C35" s="567" t="s">
        <v>1386</v>
      </c>
      <c r="D35" s="568"/>
      <c r="E35" s="569"/>
      <c r="F35" s="110"/>
      <c r="G35" s="281"/>
      <c r="H35" s="282"/>
      <c r="I35" s="280"/>
      <c r="J35" s="194"/>
      <c r="K35" s="283">
        <v>8307692</v>
      </c>
      <c r="L35" s="141"/>
      <c r="M35" s="194"/>
      <c r="N35" s="194"/>
      <c r="O35" s="268">
        <f t="shared" si="0"/>
        <v>8307692</v>
      </c>
      <c r="P35" s="265"/>
      <c r="Q35" s="270">
        <f t="shared" si="1"/>
        <v>-8307692</v>
      </c>
    </row>
    <row r="36" spans="1:19" x14ac:dyDescent="0.25">
      <c r="A36" s="547" t="s">
        <v>19</v>
      </c>
      <c r="B36" s="548"/>
      <c r="C36" s="548"/>
      <c r="D36" s="548"/>
      <c r="E36" s="548"/>
      <c r="F36" s="549"/>
      <c r="G36" s="305">
        <f>SUM(G8:G35)</f>
        <v>2250</v>
      </c>
      <c r="H36" s="291">
        <f t="shared" ref="H36:Q36" si="4">SUM(H7:H35)</f>
        <v>30393200</v>
      </c>
      <c r="I36" s="291">
        <f t="shared" si="4"/>
        <v>0</v>
      </c>
      <c r="J36" s="291">
        <f t="shared" si="4"/>
        <v>25620000</v>
      </c>
      <c r="K36" s="291">
        <f t="shared" si="4"/>
        <v>8307692</v>
      </c>
      <c r="L36" s="309">
        <f t="shared" si="4"/>
        <v>1610000</v>
      </c>
      <c r="M36" s="291">
        <f t="shared" si="4"/>
        <v>0</v>
      </c>
      <c r="N36" s="291">
        <f t="shared" si="4"/>
        <v>0</v>
      </c>
      <c r="O36" s="291">
        <f t="shared" si="4"/>
        <v>65930892</v>
      </c>
      <c r="P36" s="291">
        <f t="shared" si="4"/>
        <v>109638182</v>
      </c>
      <c r="Q36" s="297">
        <f t="shared" si="4"/>
        <v>43707290</v>
      </c>
      <c r="R36" s="195"/>
      <c r="S36" s="195"/>
    </row>
    <row r="37" spans="1:19" x14ac:dyDescent="0.25">
      <c r="P37" s="294"/>
      <c r="Q37" s="295"/>
    </row>
    <row r="38" spans="1:19" x14ac:dyDescent="0.25">
      <c r="B38"/>
      <c r="G38"/>
      <c r="H38" s="294"/>
      <c r="P38" s="296" t="s">
        <v>1225</v>
      </c>
      <c r="Q38" s="304">
        <f>'02.2020'!Q32+'03.2020'!Q36</f>
        <v>95034220</v>
      </c>
    </row>
    <row r="39" spans="1:19" x14ac:dyDescent="0.25">
      <c r="B39"/>
      <c r="G39"/>
      <c r="Q39" s="294"/>
    </row>
    <row r="40" spans="1:19" x14ac:dyDescent="0.25">
      <c r="B40"/>
      <c r="G40"/>
      <c r="R40" s="195"/>
    </row>
  </sheetData>
  <mergeCells count="7">
    <mergeCell ref="A36:F36"/>
    <mergeCell ref="A1:Q1"/>
    <mergeCell ref="A2:Q2"/>
    <mergeCell ref="A3:Q3"/>
    <mergeCell ref="G5:N5"/>
    <mergeCell ref="C32:E32"/>
    <mergeCell ref="C35:E35"/>
  </mergeCells>
  <pageMargins left="0.7" right="0.7" top="0.75" bottom="0.75" header="0.3" footer="0.3"/>
  <pageSetup orientation="portrait" horizontalDpi="0" verticalDpi="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T53"/>
  <sheetViews>
    <sheetView topLeftCell="D7" workbookViewId="0">
      <selection activeCell="R43" sqref="R43"/>
    </sheetView>
  </sheetViews>
  <sheetFormatPr defaultRowHeight="15" x14ac:dyDescent="0.25"/>
  <cols>
    <col min="1" max="1" width="4.5703125" customWidth="1"/>
    <col min="2" max="2" width="9.140625" style="332"/>
    <col min="3" max="3" width="41.28515625" customWidth="1"/>
    <col min="4" max="4" width="16.5703125" customWidth="1"/>
    <col min="5" max="5" width="33.140625" customWidth="1"/>
    <col min="7" max="7" width="9.140625" style="292"/>
    <col min="8" max="8" width="10.140625" style="292" bestFit="1" customWidth="1"/>
    <col min="9" max="9" width="9.140625" style="293"/>
    <col min="10" max="10" width="9.140625" style="292"/>
    <col min="11" max="11" width="9.42578125" style="292" bestFit="1" customWidth="1"/>
    <col min="12" max="12" width="9.140625" style="173"/>
    <col min="13" max="14" width="9.140625" style="292"/>
    <col min="15" max="15" width="11.140625" style="292" customWidth="1"/>
    <col min="16" max="16" width="10.7109375" style="292" customWidth="1"/>
    <col min="17" max="17" width="12.28515625" style="292" customWidth="1"/>
    <col min="18" max="18" width="11.7109375" customWidth="1"/>
    <col min="19" max="19" width="18"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3005</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257"/>
      <c r="H4" s="258"/>
      <c r="I4" s="258"/>
      <c r="J4" s="258"/>
      <c r="K4" s="258"/>
      <c r="L4" s="91"/>
      <c r="M4" s="258"/>
      <c r="N4" s="258"/>
      <c r="O4" s="258"/>
      <c r="P4" s="258"/>
      <c r="Q4" s="258"/>
    </row>
    <row r="5" spans="1:20"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20"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20" x14ac:dyDescent="0.25">
      <c r="A7" s="75"/>
      <c r="B7" s="100"/>
      <c r="C7" s="88"/>
      <c r="D7" s="88"/>
      <c r="E7" s="134"/>
      <c r="F7" s="75"/>
      <c r="G7" s="263"/>
      <c r="H7" s="264"/>
      <c r="I7" s="264"/>
      <c r="J7" s="264"/>
      <c r="K7" s="264"/>
      <c r="L7" s="308"/>
      <c r="M7" s="264"/>
      <c r="N7" s="264"/>
      <c r="O7" s="264">
        <f>H7+J7+K7+L7+M7+N7</f>
        <v>0</v>
      </c>
      <c r="P7" s="265"/>
      <c r="Q7" s="264">
        <f>P7-O7</f>
        <v>0</v>
      </c>
    </row>
    <row r="8" spans="1:20" ht="20.100000000000001" customHeight="1" x14ac:dyDescent="0.25">
      <c r="A8" s="75">
        <v>1</v>
      </c>
      <c r="B8" s="133">
        <v>43922</v>
      </c>
      <c r="C8" s="135" t="s">
        <v>3006</v>
      </c>
      <c r="D8" s="136" t="s">
        <v>3021</v>
      </c>
      <c r="E8" s="78" t="s">
        <v>2959</v>
      </c>
      <c r="F8" s="80"/>
      <c r="G8" s="234">
        <v>235</v>
      </c>
      <c r="H8" s="234">
        <f>G8*11250</f>
        <v>2643750</v>
      </c>
      <c r="I8" s="266"/>
      <c r="J8" s="263">
        <v>790000</v>
      </c>
      <c r="K8" s="267"/>
      <c r="L8" s="156"/>
      <c r="M8" s="189"/>
      <c r="N8" s="189"/>
      <c r="O8" s="268">
        <f>H8+J8+K8+L8+M8+N8</f>
        <v>3433750</v>
      </c>
      <c r="P8" s="272">
        <v>2600000</v>
      </c>
      <c r="Q8" s="270">
        <f>P8-O8</f>
        <v>-833750</v>
      </c>
      <c r="R8" s="195"/>
      <c r="S8" s="333"/>
      <c r="T8" s="195"/>
    </row>
    <row r="9" spans="1:20" ht="20.100000000000001" customHeight="1" x14ac:dyDescent="0.25">
      <c r="A9" s="75">
        <v>2</v>
      </c>
      <c r="B9" s="133">
        <v>43923</v>
      </c>
      <c r="C9" s="135" t="s">
        <v>2398</v>
      </c>
      <c r="D9" s="172" t="s">
        <v>3022</v>
      </c>
      <c r="E9" s="78" t="s">
        <v>24</v>
      </c>
      <c r="F9" s="80"/>
      <c r="G9" s="234"/>
      <c r="H9" s="234"/>
      <c r="I9" s="271"/>
      <c r="J9" s="263">
        <v>1890000</v>
      </c>
      <c r="K9" s="267"/>
      <c r="L9" s="156"/>
      <c r="M9" s="189"/>
      <c r="N9" s="189"/>
      <c r="O9" s="268">
        <f t="shared" ref="O9:O48" si="0">H9+J9+K9+L9+M9+N9</f>
        <v>1890000</v>
      </c>
      <c r="P9" s="272">
        <v>7209091</v>
      </c>
      <c r="Q9" s="270">
        <f t="shared" ref="Q9:Q48" si="1">P9-O9</f>
        <v>5319091</v>
      </c>
      <c r="R9" s="195"/>
      <c r="S9" s="333"/>
      <c r="T9" s="195"/>
    </row>
    <row r="10" spans="1:20" ht="20.100000000000001" customHeight="1" x14ac:dyDescent="0.25">
      <c r="A10" s="75">
        <v>3</v>
      </c>
      <c r="B10" s="133">
        <v>43925</v>
      </c>
      <c r="C10" s="135" t="s">
        <v>270</v>
      </c>
      <c r="D10" s="136" t="s">
        <v>3023</v>
      </c>
      <c r="E10" s="78" t="s">
        <v>3039</v>
      </c>
      <c r="F10" s="80"/>
      <c r="G10" s="234">
        <v>280</v>
      </c>
      <c r="H10" s="234">
        <f t="shared" ref="H10:H18" si="2">G10*11250</f>
        <v>3150000</v>
      </c>
      <c r="I10" s="271"/>
      <c r="J10" s="263">
        <v>970000</v>
      </c>
      <c r="K10" s="267"/>
      <c r="L10" s="156"/>
      <c r="M10" s="189"/>
      <c r="N10" s="189"/>
      <c r="O10" s="268">
        <f t="shared" si="0"/>
        <v>4120000</v>
      </c>
      <c r="P10" s="272">
        <v>3654545</v>
      </c>
      <c r="Q10" s="270">
        <f t="shared" si="1"/>
        <v>-465455</v>
      </c>
      <c r="R10" s="195"/>
      <c r="S10" s="333"/>
      <c r="T10" s="195"/>
    </row>
    <row r="11" spans="1:20" ht="20.100000000000001" customHeight="1" x14ac:dyDescent="0.25">
      <c r="A11" s="75">
        <v>4</v>
      </c>
      <c r="B11" s="133">
        <v>43927</v>
      </c>
      <c r="C11" s="135" t="s">
        <v>3007</v>
      </c>
      <c r="D11" s="136" t="s">
        <v>3024</v>
      </c>
      <c r="E11" s="78" t="s">
        <v>2007</v>
      </c>
      <c r="F11" s="80"/>
      <c r="G11" s="234">
        <v>180</v>
      </c>
      <c r="H11" s="234">
        <f t="shared" si="2"/>
        <v>2025000</v>
      </c>
      <c r="I11" s="271"/>
      <c r="J11" s="256">
        <f>1150000+980000</f>
        <v>2130000</v>
      </c>
      <c r="K11" s="267"/>
      <c r="L11" s="156"/>
      <c r="M11" s="189"/>
      <c r="N11" s="189"/>
      <c r="O11" s="268">
        <f t="shared" si="0"/>
        <v>4155000</v>
      </c>
      <c r="P11" s="272">
        <v>4000000</v>
      </c>
      <c r="Q11" s="270">
        <f t="shared" si="1"/>
        <v>-155000</v>
      </c>
      <c r="R11" s="195"/>
      <c r="S11" s="333"/>
      <c r="T11" s="195"/>
    </row>
    <row r="12" spans="1:20" ht="20.100000000000001" customHeight="1" x14ac:dyDescent="0.25">
      <c r="A12" s="75">
        <v>5</v>
      </c>
      <c r="B12" s="133">
        <v>43927</v>
      </c>
      <c r="C12" s="135" t="s">
        <v>3008</v>
      </c>
      <c r="D12" s="136" t="s">
        <v>3024</v>
      </c>
      <c r="E12" s="78" t="s">
        <v>867</v>
      </c>
      <c r="F12" s="80"/>
      <c r="G12" s="234"/>
      <c r="H12" s="234"/>
      <c r="I12" s="271"/>
      <c r="J12" s="256">
        <v>0</v>
      </c>
      <c r="K12" s="267"/>
      <c r="L12" s="156"/>
      <c r="M12" s="189"/>
      <c r="N12" s="189"/>
      <c r="O12" s="268">
        <f t="shared" si="0"/>
        <v>0</v>
      </c>
      <c r="P12" s="272">
        <v>4000000</v>
      </c>
      <c r="Q12" s="270">
        <f t="shared" si="1"/>
        <v>4000000</v>
      </c>
      <c r="R12" s="195"/>
      <c r="S12" s="333"/>
      <c r="T12" s="195"/>
    </row>
    <row r="13" spans="1:20" ht="20.100000000000001" customHeight="1" x14ac:dyDescent="0.25">
      <c r="A13" s="75">
        <v>6</v>
      </c>
      <c r="B13" s="133">
        <v>43928</v>
      </c>
      <c r="C13" s="135" t="s">
        <v>3009</v>
      </c>
      <c r="D13" s="136" t="s">
        <v>3025</v>
      </c>
      <c r="E13" s="78" t="s">
        <v>21</v>
      </c>
      <c r="F13" s="80"/>
      <c r="G13" s="234"/>
      <c r="H13" s="234"/>
      <c r="I13" s="271"/>
      <c r="J13" s="263">
        <v>2740000</v>
      </c>
      <c r="K13" s="267"/>
      <c r="L13" s="156"/>
      <c r="M13" s="189"/>
      <c r="N13" s="189"/>
      <c r="O13" s="268">
        <f t="shared" si="0"/>
        <v>2740000</v>
      </c>
      <c r="P13" s="272">
        <v>11727273</v>
      </c>
      <c r="Q13" s="270">
        <f t="shared" si="1"/>
        <v>8987273</v>
      </c>
      <c r="R13" s="195"/>
      <c r="S13" s="333"/>
      <c r="T13" s="195"/>
    </row>
    <row r="14" spans="1:20" ht="20.100000000000001" customHeight="1" x14ac:dyDescent="0.25">
      <c r="A14" s="75">
        <v>7</v>
      </c>
      <c r="B14" s="133">
        <v>43929</v>
      </c>
      <c r="C14" s="135" t="s">
        <v>3010</v>
      </c>
      <c r="D14" s="136" t="s">
        <v>3026</v>
      </c>
      <c r="E14" s="78" t="s">
        <v>21</v>
      </c>
      <c r="F14" s="80"/>
      <c r="G14" s="234">
        <v>245</v>
      </c>
      <c r="H14" s="234">
        <f t="shared" si="2"/>
        <v>2756250</v>
      </c>
      <c r="I14" s="271"/>
      <c r="J14" s="263">
        <v>2740000</v>
      </c>
      <c r="K14" s="267"/>
      <c r="L14" s="156"/>
      <c r="M14" s="189"/>
      <c r="N14" s="189"/>
      <c r="O14" s="268">
        <f t="shared" si="0"/>
        <v>5496250</v>
      </c>
      <c r="P14" s="272">
        <v>11727273</v>
      </c>
      <c r="Q14" s="270">
        <f t="shared" si="1"/>
        <v>6231023</v>
      </c>
      <c r="R14" s="195"/>
      <c r="S14" s="333"/>
      <c r="T14" s="195"/>
    </row>
    <row r="15" spans="1:20" ht="20.100000000000001" customHeight="1" x14ac:dyDescent="0.25">
      <c r="A15" s="75">
        <v>8</v>
      </c>
      <c r="B15" s="133">
        <v>43930</v>
      </c>
      <c r="C15" s="135" t="s">
        <v>3011</v>
      </c>
      <c r="D15" s="136" t="s">
        <v>3027</v>
      </c>
      <c r="E15" s="78" t="s">
        <v>188</v>
      </c>
      <c r="F15" s="80"/>
      <c r="G15" s="234">
        <v>300</v>
      </c>
      <c r="H15" s="234">
        <f t="shared" si="2"/>
        <v>3375000</v>
      </c>
      <c r="I15" s="271"/>
      <c r="J15" s="256">
        <v>650000</v>
      </c>
      <c r="K15" s="267"/>
      <c r="L15" s="156"/>
      <c r="M15" s="189"/>
      <c r="N15" s="189"/>
      <c r="O15" s="268">
        <f t="shared" si="0"/>
        <v>4025000</v>
      </c>
      <c r="P15" s="272">
        <v>2900000</v>
      </c>
      <c r="Q15" s="270">
        <f t="shared" si="1"/>
        <v>-1125000</v>
      </c>
      <c r="R15" s="195"/>
      <c r="S15" s="333"/>
      <c r="T15" s="195"/>
    </row>
    <row r="16" spans="1:20" ht="20.100000000000001" customHeight="1" x14ac:dyDescent="0.25">
      <c r="A16" s="75">
        <v>9</v>
      </c>
      <c r="B16" s="133">
        <v>43931</v>
      </c>
      <c r="C16" s="135" t="s">
        <v>1736</v>
      </c>
      <c r="D16" s="136" t="s">
        <v>3028</v>
      </c>
      <c r="E16" s="78" t="s">
        <v>21</v>
      </c>
      <c r="F16" s="80"/>
      <c r="G16" s="234"/>
      <c r="H16" s="234"/>
      <c r="I16" s="271"/>
      <c r="J16" s="263">
        <v>2740000</v>
      </c>
      <c r="K16" s="267"/>
      <c r="L16" s="156"/>
      <c r="M16" s="189"/>
      <c r="N16" s="189"/>
      <c r="O16" s="268">
        <f t="shared" si="0"/>
        <v>2740000</v>
      </c>
      <c r="P16" s="272">
        <v>11727273</v>
      </c>
      <c r="Q16" s="270">
        <f t="shared" si="1"/>
        <v>8987273</v>
      </c>
      <c r="R16" s="195"/>
      <c r="S16" s="333"/>
      <c r="T16" s="195"/>
    </row>
    <row r="17" spans="1:20" ht="20.100000000000001" customHeight="1" x14ac:dyDescent="0.25">
      <c r="A17" s="75">
        <v>10</v>
      </c>
      <c r="B17" s="133">
        <v>43933</v>
      </c>
      <c r="C17" s="135" t="s">
        <v>1737</v>
      </c>
      <c r="D17" s="136" t="s">
        <v>3029</v>
      </c>
      <c r="E17" s="78" t="s">
        <v>301</v>
      </c>
      <c r="F17" s="80"/>
      <c r="G17" s="234">
        <v>240</v>
      </c>
      <c r="H17" s="234">
        <f t="shared" si="2"/>
        <v>2700000</v>
      </c>
      <c r="I17" s="271"/>
      <c r="J17" s="263">
        <v>3820000</v>
      </c>
      <c r="K17" s="267"/>
      <c r="L17" s="156"/>
      <c r="M17" s="189"/>
      <c r="N17" s="189"/>
      <c r="O17" s="268">
        <f t="shared" si="0"/>
        <v>6520000</v>
      </c>
      <c r="P17" s="272">
        <v>18181818</v>
      </c>
      <c r="Q17" s="270">
        <f t="shared" si="1"/>
        <v>11661818</v>
      </c>
      <c r="R17" s="195"/>
      <c r="S17" s="333"/>
      <c r="T17" s="195"/>
    </row>
    <row r="18" spans="1:20" ht="20.100000000000001" customHeight="1" x14ac:dyDescent="0.25">
      <c r="A18" s="75">
        <v>11</v>
      </c>
      <c r="B18" s="133">
        <v>43936</v>
      </c>
      <c r="C18" s="135" t="s">
        <v>3012</v>
      </c>
      <c r="D18" s="136" t="s">
        <v>3030</v>
      </c>
      <c r="E18" s="78" t="s">
        <v>2007</v>
      </c>
      <c r="F18" s="80"/>
      <c r="G18" s="234">
        <v>370</v>
      </c>
      <c r="H18" s="234">
        <f t="shared" si="2"/>
        <v>4162500</v>
      </c>
      <c r="I18" s="271"/>
      <c r="J18" s="263">
        <v>1150000</v>
      </c>
      <c r="K18" s="267"/>
      <c r="L18" s="156"/>
      <c r="M18" s="189"/>
      <c r="N18" s="189"/>
      <c r="O18" s="268">
        <f t="shared" si="0"/>
        <v>5312500</v>
      </c>
      <c r="P18" s="272">
        <v>3560000</v>
      </c>
      <c r="Q18" s="270">
        <f t="shared" si="1"/>
        <v>-1752500</v>
      </c>
      <c r="R18" s="195"/>
      <c r="S18" s="333"/>
      <c r="T18" s="195"/>
    </row>
    <row r="19" spans="1:20" ht="20.100000000000001" customHeight="1" x14ac:dyDescent="0.25">
      <c r="A19" s="75">
        <v>12</v>
      </c>
      <c r="B19" s="133">
        <v>43937</v>
      </c>
      <c r="C19" s="135" t="s">
        <v>3013</v>
      </c>
      <c r="D19" s="136" t="s">
        <v>3031</v>
      </c>
      <c r="E19" s="78" t="s">
        <v>1212</v>
      </c>
      <c r="F19" s="80"/>
      <c r="G19" s="234">
        <v>320</v>
      </c>
      <c r="H19" s="234">
        <f>G19*10820</f>
        <v>3462400</v>
      </c>
      <c r="I19" s="271"/>
      <c r="J19" s="263">
        <v>2740000</v>
      </c>
      <c r="K19" s="267"/>
      <c r="L19" s="156"/>
      <c r="M19" s="189"/>
      <c r="N19" s="189"/>
      <c r="O19" s="268">
        <f t="shared" si="0"/>
        <v>6202400</v>
      </c>
      <c r="P19" s="272">
        <v>13181818</v>
      </c>
      <c r="Q19" s="270">
        <f t="shared" si="1"/>
        <v>6979418</v>
      </c>
      <c r="R19" s="195"/>
      <c r="S19" s="333"/>
      <c r="T19" s="195"/>
    </row>
    <row r="20" spans="1:20" ht="20.100000000000001" customHeight="1" x14ac:dyDescent="0.25">
      <c r="A20" s="75">
        <v>13</v>
      </c>
      <c r="B20" s="133">
        <v>43938</v>
      </c>
      <c r="C20" s="135" t="s">
        <v>3014</v>
      </c>
      <c r="D20" s="136" t="s">
        <v>3032</v>
      </c>
      <c r="E20" s="78" t="s">
        <v>3040</v>
      </c>
      <c r="F20" s="80"/>
      <c r="G20" s="234"/>
      <c r="H20" s="234"/>
      <c r="I20" s="271"/>
      <c r="J20" s="263">
        <v>1150000</v>
      </c>
      <c r="K20" s="267"/>
      <c r="L20" s="156"/>
      <c r="M20" s="189"/>
      <c r="N20" s="189"/>
      <c r="O20" s="268">
        <f t="shared" si="0"/>
        <v>1150000</v>
      </c>
      <c r="P20" s="272">
        <v>3500000</v>
      </c>
      <c r="Q20" s="270">
        <f t="shared" si="1"/>
        <v>2350000</v>
      </c>
      <c r="R20" s="195"/>
      <c r="S20" s="333"/>
      <c r="T20" s="195"/>
    </row>
    <row r="21" spans="1:20" ht="20.100000000000001" customHeight="1" x14ac:dyDescent="0.25">
      <c r="A21" s="75">
        <v>14</v>
      </c>
      <c r="B21" s="133">
        <v>43939</v>
      </c>
      <c r="C21" s="135" t="s">
        <v>3015</v>
      </c>
      <c r="D21" s="136" t="s">
        <v>3033</v>
      </c>
      <c r="E21" s="78" t="s">
        <v>3041</v>
      </c>
      <c r="F21" s="80"/>
      <c r="G21" s="234"/>
      <c r="H21" s="234"/>
      <c r="I21" s="271"/>
      <c r="J21" s="263">
        <v>200000</v>
      </c>
      <c r="K21" s="267"/>
      <c r="L21" s="156"/>
      <c r="M21" s="189"/>
      <c r="N21" s="189"/>
      <c r="O21" s="268">
        <f t="shared" si="0"/>
        <v>200000</v>
      </c>
      <c r="P21" s="272">
        <v>1700000</v>
      </c>
      <c r="Q21" s="270">
        <f t="shared" si="1"/>
        <v>1500000</v>
      </c>
      <c r="R21" s="195"/>
      <c r="S21" s="333"/>
      <c r="T21" s="195"/>
    </row>
    <row r="22" spans="1:20" ht="20.100000000000001" customHeight="1" x14ac:dyDescent="0.25">
      <c r="A22" s="75">
        <v>15</v>
      </c>
      <c r="B22" s="133">
        <v>43942</v>
      </c>
      <c r="C22" s="135" t="s">
        <v>2409</v>
      </c>
      <c r="D22" s="136" t="s">
        <v>3034</v>
      </c>
      <c r="E22" s="78" t="s">
        <v>1621</v>
      </c>
      <c r="F22" s="80"/>
      <c r="G22" s="234">
        <v>130</v>
      </c>
      <c r="H22" s="234">
        <f t="shared" ref="H22:H29" si="3">G22*10820</f>
        <v>1406600</v>
      </c>
      <c r="I22" s="271"/>
      <c r="J22" s="263">
        <f>2800000+300000</f>
        <v>3100000</v>
      </c>
      <c r="K22" s="267"/>
      <c r="L22" s="156"/>
      <c r="M22" s="189"/>
      <c r="N22" s="189"/>
      <c r="O22" s="268">
        <f t="shared" si="0"/>
        <v>4506600</v>
      </c>
      <c r="P22" s="272">
        <v>3800000</v>
      </c>
      <c r="Q22" s="270">
        <f t="shared" si="1"/>
        <v>-706600</v>
      </c>
      <c r="R22" s="195"/>
      <c r="S22" s="333"/>
      <c r="T22" s="195"/>
    </row>
    <row r="23" spans="1:20" ht="20.100000000000001" customHeight="1" x14ac:dyDescent="0.25">
      <c r="A23" s="75">
        <v>16</v>
      </c>
      <c r="B23" s="133">
        <v>43942</v>
      </c>
      <c r="C23" s="135" t="s">
        <v>3016</v>
      </c>
      <c r="D23" s="136" t="s">
        <v>3034</v>
      </c>
      <c r="E23" s="78" t="s">
        <v>2120</v>
      </c>
      <c r="F23" s="80"/>
      <c r="G23" s="234"/>
      <c r="H23" s="234"/>
      <c r="I23" s="271"/>
      <c r="J23" s="263">
        <v>0</v>
      </c>
      <c r="K23" s="267"/>
      <c r="L23" s="156"/>
      <c r="M23" s="189"/>
      <c r="N23" s="189"/>
      <c r="O23" s="268">
        <f t="shared" si="0"/>
        <v>0</v>
      </c>
      <c r="P23" s="272">
        <v>6500000</v>
      </c>
      <c r="Q23" s="270">
        <f t="shared" si="1"/>
        <v>6500000</v>
      </c>
      <c r="R23" s="195"/>
      <c r="S23" s="333"/>
      <c r="T23" s="195"/>
    </row>
    <row r="24" spans="1:20" ht="20.100000000000001" customHeight="1" x14ac:dyDescent="0.25">
      <c r="A24" s="75">
        <v>17</v>
      </c>
      <c r="B24" s="133">
        <v>43944</v>
      </c>
      <c r="C24" s="135" t="s">
        <v>3017</v>
      </c>
      <c r="D24" s="136" t="s">
        <v>3034</v>
      </c>
      <c r="E24" s="78" t="s">
        <v>3042</v>
      </c>
      <c r="F24" s="80"/>
      <c r="G24" s="234">
        <v>255</v>
      </c>
      <c r="H24" s="234">
        <f t="shared" si="3"/>
        <v>2759100</v>
      </c>
      <c r="I24" s="271"/>
      <c r="J24" s="263">
        <v>0</v>
      </c>
      <c r="K24" s="267"/>
      <c r="L24" s="156"/>
      <c r="M24" s="189"/>
      <c r="N24" s="189"/>
      <c r="O24" s="268">
        <f t="shared" si="0"/>
        <v>2759100</v>
      </c>
      <c r="P24" s="272">
        <v>2800000</v>
      </c>
      <c r="Q24" s="270">
        <f t="shared" si="1"/>
        <v>40900</v>
      </c>
      <c r="R24" s="195"/>
      <c r="S24" s="333"/>
      <c r="T24" s="195"/>
    </row>
    <row r="25" spans="1:20" ht="20.100000000000001" customHeight="1" x14ac:dyDescent="0.25">
      <c r="A25" s="75">
        <v>18</v>
      </c>
      <c r="B25" s="133">
        <v>43945</v>
      </c>
      <c r="C25" s="135" t="s">
        <v>2412</v>
      </c>
      <c r="D25" s="136" t="s">
        <v>3035</v>
      </c>
      <c r="E25" s="78" t="s">
        <v>636</v>
      </c>
      <c r="F25" s="80"/>
      <c r="G25" s="234"/>
      <c r="H25" s="234"/>
      <c r="I25" s="271"/>
      <c r="J25" s="263">
        <v>790000</v>
      </c>
      <c r="K25" s="267"/>
      <c r="L25" s="156"/>
      <c r="M25" s="189"/>
      <c r="N25" s="189"/>
      <c r="O25" s="268">
        <f t="shared" si="0"/>
        <v>790000</v>
      </c>
      <c r="P25" s="272">
        <v>3700000</v>
      </c>
      <c r="Q25" s="270">
        <f t="shared" si="1"/>
        <v>2910000</v>
      </c>
      <c r="R25" s="195"/>
      <c r="S25" s="333"/>
      <c r="T25" s="195"/>
    </row>
    <row r="26" spans="1:20" ht="20.100000000000001" customHeight="1" x14ac:dyDescent="0.25">
      <c r="A26" s="75">
        <v>19</v>
      </c>
      <c r="B26" s="133">
        <v>43946</v>
      </c>
      <c r="C26" s="135" t="s">
        <v>3018</v>
      </c>
      <c r="D26" s="136" t="s">
        <v>3036</v>
      </c>
      <c r="E26" s="78" t="s">
        <v>188</v>
      </c>
      <c r="F26" s="80"/>
      <c r="G26" s="234"/>
      <c r="H26" s="234"/>
      <c r="I26" s="271"/>
      <c r="J26" s="256">
        <v>650000</v>
      </c>
      <c r="K26" s="267"/>
      <c r="L26" s="156"/>
      <c r="M26" s="189"/>
      <c r="N26" s="189"/>
      <c r="O26" s="268">
        <f t="shared" si="0"/>
        <v>650000</v>
      </c>
      <c r="P26" s="272">
        <v>2900000</v>
      </c>
      <c r="Q26" s="270">
        <f t="shared" si="1"/>
        <v>2250000</v>
      </c>
      <c r="R26" s="195"/>
      <c r="S26" s="333"/>
      <c r="T26" s="195"/>
    </row>
    <row r="27" spans="1:20" ht="20.100000000000001" customHeight="1" x14ac:dyDescent="0.25">
      <c r="A27" s="75">
        <v>20</v>
      </c>
      <c r="B27" s="133">
        <v>43949</v>
      </c>
      <c r="C27" s="135" t="s">
        <v>1746</v>
      </c>
      <c r="D27" s="136" t="s">
        <v>3037</v>
      </c>
      <c r="E27" s="78" t="s">
        <v>1717</v>
      </c>
      <c r="F27" s="80"/>
      <c r="G27" s="233">
        <v>250</v>
      </c>
      <c r="H27" s="233">
        <f t="shared" si="3"/>
        <v>2705000</v>
      </c>
      <c r="I27" s="271"/>
      <c r="J27" s="263">
        <v>970000</v>
      </c>
      <c r="K27" s="267"/>
      <c r="L27" s="156"/>
      <c r="M27" s="189"/>
      <c r="N27" s="189"/>
      <c r="O27" s="268">
        <f t="shared" si="0"/>
        <v>3675000</v>
      </c>
      <c r="P27" s="272">
        <v>4000000</v>
      </c>
      <c r="Q27" s="270">
        <f t="shared" si="1"/>
        <v>325000</v>
      </c>
      <c r="R27" s="195"/>
      <c r="S27" s="333"/>
      <c r="T27" s="195"/>
    </row>
    <row r="28" spans="1:20" ht="20.100000000000001" customHeight="1" x14ac:dyDescent="0.25">
      <c r="A28" s="75">
        <v>21</v>
      </c>
      <c r="B28" s="133">
        <v>43950</v>
      </c>
      <c r="C28" s="135" t="s">
        <v>3019</v>
      </c>
      <c r="D28" s="136" t="s">
        <v>3038</v>
      </c>
      <c r="E28" s="78" t="s">
        <v>2008</v>
      </c>
      <c r="F28" s="80"/>
      <c r="G28" s="233"/>
      <c r="H28" s="233"/>
      <c r="I28" s="271"/>
      <c r="J28" s="263">
        <f>970000+520000</f>
        <v>1490000</v>
      </c>
      <c r="K28" s="267"/>
      <c r="L28" s="156"/>
      <c r="M28" s="189"/>
      <c r="N28" s="189"/>
      <c r="O28" s="268">
        <f t="shared" si="0"/>
        <v>1490000</v>
      </c>
      <c r="P28" s="306">
        <v>3450000</v>
      </c>
      <c r="Q28" s="270">
        <f t="shared" si="1"/>
        <v>1960000</v>
      </c>
      <c r="R28" s="195"/>
      <c r="S28" s="333"/>
      <c r="T28" s="195"/>
    </row>
    <row r="29" spans="1:20" ht="20.100000000000001" customHeight="1" x14ac:dyDescent="0.25">
      <c r="A29" s="75">
        <v>22</v>
      </c>
      <c r="B29" s="133">
        <v>43950</v>
      </c>
      <c r="C29" s="135" t="s">
        <v>3020</v>
      </c>
      <c r="D29" s="136" t="s">
        <v>3038</v>
      </c>
      <c r="E29" s="78" t="s">
        <v>1023</v>
      </c>
      <c r="F29" s="80"/>
      <c r="G29" s="233">
        <v>140</v>
      </c>
      <c r="H29" s="233">
        <f t="shared" si="3"/>
        <v>1514800</v>
      </c>
      <c r="I29" s="271"/>
      <c r="J29" s="263">
        <v>0</v>
      </c>
      <c r="K29" s="267"/>
      <c r="L29" s="156"/>
      <c r="M29" s="189"/>
      <c r="N29" s="189"/>
      <c r="O29" s="268">
        <f t="shared" si="0"/>
        <v>1514800</v>
      </c>
      <c r="P29" s="272">
        <v>2000000</v>
      </c>
      <c r="Q29" s="270">
        <f t="shared" si="1"/>
        <v>485200</v>
      </c>
      <c r="R29" s="195"/>
      <c r="S29" s="333"/>
      <c r="T29" s="195"/>
    </row>
    <row r="30" spans="1:20" ht="20.100000000000001" customHeight="1" x14ac:dyDescent="0.25">
      <c r="A30" s="75"/>
      <c r="B30" s="133"/>
      <c r="C30" s="135"/>
      <c r="D30" s="136"/>
      <c r="E30" s="78"/>
      <c r="F30" s="80"/>
      <c r="G30" s="234"/>
      <c r="H30" s="234"/>
      <c r="I30" s="271"/>
      <c r="J30" s="263"/>
      <c r="K30" s="267"/>
      <c r="L30" s="156"/>
      <c r="M30" s="189"/>
      <c r="N30" s="189"/>
      <c r="O30" s="268">
        <f t="shared" si="0"/>
        <v>0</v>
      </c>
      <c r="P30" s="272"/>
      <c r="Q30" s="270">
        <f t="shared" si="1"/>
        <v>0</v>
      </c>
      <c r="R30" s="195"/>
      <c r="S30" s="333"/>
      <c r="T30" s="195"/>
    </row>
    <row r="31" spans="1:20" ht="15" customHeight="1" x14ac:dyDescent="0.25">
      <c r="A31" s="75"/>
      <c r="C31" s="138"/>
      <c r="D31" s="139"/>
      <c r="E31" s="78"/>
      <c r="F31" s="110"/>
      <c r="G31" s="273"/>
      <c r="H31" s="271"/>
      <c r="I31" s="266"/>
      <c r="J31" s="194"/>
      <c r="K31" s="267"/>
      <c r="L31" s="156"/>
      <c r="M31" s="194"/>
      <c r="N31" s="194"/>
      <c r="O31" s="268">
        <f t="shared" si="0"/>
        <v>0</v>
      </c>
      <c r="P31" s="274"/>
      <c r="Q31" s="270">
        <f t="shared" si="1"/>
        <v>0</v>
      </c>
      <c r="R31" s="195"/>
      <c r="S31" s="195"/>
      <c r="T31" s="195"/>
    </row>
    <row r="32" spans="1:20" ht="16.149999999999999" customHeight="1" x14ac:dyDescent="0.25">
      <c r="A32" s="75"/>
      <c r="C32" s="564" t="s">
        <v>1273</v>
      </c>
      <c r="D32" s="565"/>
      <c r="E32" s="566"/>
      <c r="F32" s="163"/>
      <c r="G32" s="281"/>
      <c r="H32" s="282"/>
      <c r="I32" s="280"/>
      <c r="J32" s="194"/>
      <c r="K32" s="267"/>
      <c r="L32" s="154">
        <v>1320000</v>
      </c>
      <c r="M32" s="194"/>
      <c r="N32" s="194"/>
      <c r="O32" s="268">
        <f t="shared" si="0"/>
        <v>1320000</v>
      </c>
      <c r="P32" s="264"/>
      <c r="Q32" s="270">
        <f t="shared" si="1"/>
        <v>-1320000</v>
      </c>
    </row>
    <row r="33" spans="1:17" ht="21.75" customHeight="1" x14ac:dyDescent="0.25">
      <c r="A33" s="134"/>
      <c r="C33" s="570" t="s">
        <v>3043</v>
      </c>
      <c r="D33" s="571"/>
      <c r="E33" s="572"/>
      <c r="F33" s="163"/>
      <c r="G33" s="281"/>
      <c r="H33" s="282"/>
      <c r="I33" s="280"/>
      <c r="J33" s="194"/>
      <c r="K33" s="278"/>
      <c r="L33" s="164">
        <v>170000</v>
      </c>
      <c r="M33" s="194"/>
      <c r="N33" s="194"/>
      <c r="O33" s="268">
        <f t="shared" si="0"/>
        <v>170000</v>
      </c>
      <c r="P33" s="265"/>
      <c r="Q33" s="270">
        <f t="shared" si="1"/>
        <v>-170000</v>
      </c>
    </row>
    <row r="34" spans="1:17" ht="16.149999999999999" customHeight="1" x14ac:dyDescent="0.25">
      <c r="A34" s="134"/>
      <c r="C34" s="335" t="s">
        <v>3044</v>
      </c>
      <c r="D34" s="336"/>
      <c r="E34" s="337"/>
      <c r="F34" s="163"/>
      <c r="G34" s="281"/>
      <c r="H34" s="282"/>
      <c r="I34" s="280"/>
      <c r="J34" s="194"/>
      <c r="K34" s="278"/>
      <c r="L34" s="164">
        <v>610000</v>
      </c>
      <c r="M34" s="194"/>
      <c r="N34" s="194"/>
      <c r="O34" s="268">
        <f t="shared" si="0"/>
        <v>610000</v>
      </c>
      <c r="P34" s="265"/>
      <c r="Q34" s="270">
        <f t="shared" si="1"/>
        <v>-610000</v>
      </c>
    </row>
    <row r="35" spans="1:17" ht="16.149999999999999" customHeight="1" x14ac:dyDescent="0.25">
      <c r="A35" s="134"/>
      <c r="C35" s="335" t="s">
        <v>3045</v>
      </c>
      <c r="D35" s="336"/>
      <c r="E35" s="337"/>
      <c r="F35" s="163"/>
      <c r="G35" s="281"/>
      <c r="H35" s="282"/>
      <c r="I35" s="280"/>
      <c r="J35" s="194"/>
      <c r="K35" s="278"/>
      <c r="L35" s="164">
        <v>230000</v>
      </c>
      <c r="M35" s="194"/>
      <c r="N35" s="194"/>
      <c r="O35" s="268">
        <f t="shared" si="0"/>
        <v>230000</v>
      </c>
      <c r="P35" s="265"/>
      <c r="Q35" s="270">
        <f t="shared" si="1"/>
        <v>-230000</v>
      </c>
    </row>
    <row r="36" spans="1:17" ht="16.149999999999999" customHeight="1" x14ac:dyDescent="0.25">
      <c r="A36" s="134"/>
      <c r="C36" s="570" t="s">
        <v>1090</v>
      </c>
      <c r="D36" s="571"/>
      <c r="E36" s="572"/>
      <c r="F36" s="163"/>
      <c r="G36" s="281"/>
      <c r="H36" s="282"/>
      <c r="I36" s="280"/>
      <c r="J36" s="194"/>
      <c r="K36" s="278"/>
      <c r="L36" s="164">
        <v>8437000</v>
      </c>
      <c r="M36" s="194"/>
      <c r="N36" s="194"/>
      <c r="O36" s="268">
        <f t="shared" si="0"/>
        <v>8437000</v>
      </c>
      <c r="P36" s="265"/>
      <c r="Q36" s="270">
        <f t="shared" si="1"/>
        <v>-8437000</v>
      </c>
    </row>
    <row r="37" spans="1:17" ht="16.149999999999999" customHeight="1" x14ac:dyDescent="0.25">
      <c r="A37" s="134"/>
      <c r="C37" s="335" t="s">
        <v>3046</v>
      </c>
      <c r="D37" s="336"/>
      <c r="E37" s="337"/>
      <c r="F37" s="163"/>
      <c r="G37" s="281"/>
      <c r="H37" s="282"/>
      <c r="I37" s="280"/>
      <c r="J37" s="194"/>
      <c r="K37" s="278"/>
      <c r="L37" s="164">
        <v>500000</v>
      </c>
      <c r="M37" s="194"/>
      <c r="N37" s="194"/>
      <c r="O37" s="268">
        <f t="shared" si="0"/>
        <v>500000</v>
      </c>
      <c r="P37" s="265"/>
      <c r="Q37" s="270">
        <f t="shared" si="1"/>
        <v>-500000</v>
      </c>
    </row>
    <row r="38" spans="1:17" ht="33.75" customHeight="1" x14ac:dyDescent="0.25">
      <c r="A38" s="134"/>
      <c r="C38" s="570" t="s">
        <v>3047</v>
      </c>
      <c r="D38" s="571"/>
      <c r="E38" s="572"/>
      <c r="F38" s="163"/>
      <c r="G38" s="281"/>
      <c r="H38" s="282"/>
      <c r="I38" s="280"/>
      <c r="J38" s="194"/>
      <c r="K38" s="278"/>
      <c r="L38" s="164">
        <v>3700000</v>
      </c>
      <c r="M38" s="194"/>
      <c r="N38" s="194"/>
      <c r="O38" s="268">
        <f t="shared" si="0"/>
        <v>3700000</v>
      </c>
      <c r="P38" s="265"/>
      <c r="Q38" s="270">
        <f t="shared" si="1"/>
        <v>-3700000</v>
      </c>
    </row>
    <row r="39" spans="1:17" ht="40.5" customHeight="1" x14ac:dyDescent="0.25">
      <c r="A39" s="134"/>
      <c r="C39" s="570" t="s">
        <v>3048</v>
      </c>
      <c r="D39" s="571"/>
      <c r="E39" s="572"/>
      <c r="F39" s="163"/>
      <c r="G39" s="281"/>
      <c r="H39" s="282"/>
      <c r="I39" s="280"/>
      <c r="J39" s="194"/>
      <c r="K39" s="278"/>
      <c r="L39" s="164">
        <v>6800000</v>
      </c>
      <c r="M39" s="194"/>
      <c r="N39" s="194"/>
      <c r="O39" s="268">
        <f t="shared" si="0"/>
        <v>6800000</v>
      </c>
      <c r="P39" s="265"/>
      <c r="Q39" s="270">
        <f t="shared" si="1"/>
        <v>-6800000</v>
      </c>
    </row>
    <row r="40" spans="1:17" ht="22.5" customHeight="1" x14ac:dyDescent="0.25">
      <c r="A40" s="134"/>
      <c r="C40" s="570" t="s">
        <v>3049</v>
      </c>
      <c r="D40" s="571"/>
      <c r="E40" s="572"/>
      <c r="F40" s="163"/>
      <c r="G40" s="281"/>
      <c r="H40" s="282"/>
      <c r="I40" s="280"/>
      <c r="J40" s="194"/>
      <c r="K40" s="278"/>
      <c r="L40" s="164">
        <v>900000</v>
      </c>
      <c r="M40" s="194"/>
      <c r="N40" s="194"/>
      <c r="O40" s="268">
        <f t="shared" si="0"/>
        <v>900000</v>
      </c>
      <c r="P40" s="265"/>
      <c r="Q40" s="270">
        <f t="shared" si="1"/>
        <v>-900000</v>
      </c>
    </row>
    <row r="41" spans="1:17" ht="24" customHeight="1" x14ac:dyDescent="0.25">
      <c r="A41" s="134"/>
      <c r="C41" s="570" t="s">
        <v>3050</v>
      </c>
      <c r="D41" s="571"/>
      <c r="E41" s="572"/>
      <c r="F41" s="163"/>
      <c r="G41" s="281"/>
      <c r="H41" s="282"/>
      <c r="I41" s="280"/>
      <c r="J41" s="194"/>
      <c r="K41" s="278"/>
      <c r="L41" s="164">
        <v>185000</v>
      </c>
      <c r="M41" s="194"/>
      <c r="N41" s="194"/>
      <c r="O41" s="268">
        <f t="shared" si="0"/>
        <v>185000</v>
      </c>
      <c r="P41" s="265"/>
      <c r="Q41" s="270">
        <f t="shared" si="1"/>
        <v>-185000</v>
      </c>
    </row>
    <row r="42" spans="1:17" ht="21" customHeight="1" x14ac:dyDescent="0.25">
      <c r="A42" s="134"/>
      <c r="C42" s="335" t="s">
        <v>1775</v>
      </c>
      <c r="D42" s="336"/>
      <c r="E42" s="337"/>
      <c r="F42" s="163"/>
      <c r="G42" s="281"/>
      <c r="H42" s="282"/>
      <c r="I42" s="280"/>
      <c r="J42" s="194"/>
      <c r="K42" s="278"/>
      <c r="L42" s="164">
        <v>170000</v>
      </c>
      <c r="M42" s="194"/>
      <c r="N42" s="194"/>
      <c r="O42" s="268">
        <f t="shared" si="0"/>
        <v>170000</v>
      </c>
      <c r="P42" s="265"/>
      <c r="Q42" s="270">
        <f t="shared" si="1"/>
        <v>-170000</v>
      </c>
    </row>
    <row r="43" spans="1:17" ht="18" customHeight="1" x14ac:dyDescent="0.25">
      <c r="A43" s="134"/>
      <c r="C43" s="570" t="s">
        <v>3051</v>
      </c>
      <c r="D43" s="571"/>
      <c r="E43" s="572"/>
      <c r="F43" s="163"/>
      <c r="G43" s="281"/>
      <c r="H43" s="282"/>
      <c r="I43" s="280"/>
      <c r="J43" s="194"/>
      <c r="K43" s="278"/>
      <c r="L43" s="164">
        <v>5200000</v>
      </c>
      <c r="M43" s="194"/>
      <c r="N43" s="194"/>
      <c r="O43" s="268">
        <f t="shared" si="0"/>
        <v>5200000</v>
      </c>
      <c r="P43" s="265"/>
      <c r="Q43" s="270">
        <f t="shared" si="1"/>
        <v>-5200000</v>
      </c>
    </row>
    <row r="44" spans="1:17" ht="21" customHeight="1" x14ac:dyDescent="0.25">
      <c r="A44" s="134"/>
      <c r="C44" s="570" t="s">
        <v>3052</v>
      </c>
      <c r="D44" s="571"/>
      <c r="E44" s="572"/>
      <c r="F44" s="163"/>
      <c r="G44" s="281"/>
      <c r="H44" s="282"/>
      <c r="I44" s="280"/>
      <c r="J44" s="194"/>
      <c r="K44" s="278"/>
      <c r="L44" s="164">
        <v>620000</v>
      </c>
      <c r="M44" s="194"/>
      <c r="N44" s="194"/>
      <c r="O44" s="268">
        <f t="shared" si="0"/>
        <v>620000</v>
      </c>
      <c r="P44" s="265"/>
      <c r="Q44" s="270">
        <f t="shared" si="1"/>
        <v>-620000</v>
      </c>
    </row>
    <row r="45" spans="1:17" ht="21" customHeight="1" x14ac:dyDescent="0.25">
      <c r="A45" s="134"/>
      <c r="C45" s="570" t="s">
        <v>3053</v>
      </c>
      <c r="D45" s="571"/>
      <c r="E45" s="572"/>
      <c r="F45" s="163"/>
      <c r="G45" s="281"/>
      <c r="H45" s="282"/>
      <c r="I45" s="280"/>
      <c r="J45" s="194"/>
      <c r="K45" s="278"/>
      <c r="L45" s="164">
        <v>630000</v>
      </c>
      <c r="M45" s="194"/>
      <c r="N45" s="194"/>
      <c r="O45" s="268">
        <f t="shared" si="0"/>
        <v>630000</v>
      </c>
      <c r="P45" s="265"/>
      <c r="Q45" s="270">
        <f t="shared" si="1"/>
        <v>-630000</v>
      </c>
    </row>
    <row r="46" spans="1:17" ht="23.25" customHeight="1" x14ac:dyDescent="0.25">
      <c r="A46" s="134"/>
      <c r="C46" s="570" t="s">
        <v>3054</v>
      </c>
      <c r="D46" s="571"/>
      <c r="E46" s="572"/>
      <c r="F46" s="163"/>
      <c r="G46" s="281"/>
      <c r="H46" s="282"/>
      <c r="I46" s="280"/>
      <c r="J46" s="194"/>
      <c r="K46" s="278"/>
      <c r="L46" s="164">
        <v>180000</v>
      </c>
      <c r="M46" s="194"/>
      <c r="N46" s="194"/>
      <c r="O46" s="268">
        <f t="shared" si="0"/>
        <v>180000</v>
      </c>
      <c r="P46" s="265"/>
      <c r="Q46" s="270">
        <f t="shared" si="1"/>
        <v>-180000</v>
      </c>
    </row>
    <row r="47" spans="1:17" ht="23.25" customHeight="1" x14ac:dyDescent="0.25">
      <c r="A47" s="134"/>
      <c r="C47" s="573" t="s">
        <v>3055</v>
      </c>
      <c r="D47" s="574"/>
      <c r="E47" s="575"/>
      <c r="F47" s="163"/>
      <c r="G47" s="281"/>
      <c r="H47" s="282"/>
      <c r="I47" s="280"/>
      <c r="J47" s="194"/>
      <c r="K47" s="278"/>
      <c r="L47" s="164"/>
      <c r="M47" s="194"/>
      <c r="N47" s="232">
        <f>11900000/4</f>
        <v>2975000</v>
      </c>
      <c r="O47" s="268">
        <f t="shared" si="0"/>
        <v>2975000</v>
      </c>
      <c r="P47" s="265"/>
      <c r="Q47" s="270">
        <f t="shared" si="1"/>
        <v>-2975000</v>
      </c>
    </row>
    <row r="48" spans="1:17" ht="16.149999999999999" customHeight="1" x14ac:dyDescent="0.25">
      <c r="A48" s="134"/>
      <c r="B48" s="103"/>
      <c r="C48" s="567" t="s">
        <v>1386</v>
      </c>
      <c r="D48" s="568"/>
      <c r="E48" s="569"/>
      <c r="F48" s="110"/>
      <c r="G48" s="281"/>
      <c r="H48" s="282"/>
      <c r="I48" s="280"/>
      <c r="J48" s="194"/>
      <c r="K48" s="278">
        <v>8653846</v>
      </c>
      <c r="L48" s="141"/>
      <c r="M48" s="194"/>
      <c r="N48" s="194"/>
      <c r="O48" s="268">
        <f t="shared" si="0"/>
        <v>8653846</v>
      </c>
      <c r="P48" s="265"/>
      <c r="Q48" s="270">
        <f t="shared" si="1"/>
        <v>-8653846</v>
      </c>
    </row>
    <row r="49" spans="1:19" x14ac:dyDescent="0.25">
      <c r="A49" s="547" t="s">
        <v>19</v>
      </c>
      <c r="B49" s="548"/>
      <c r="C49" s="548"/>
      <c r="D49" s="548"/>
      <c r="E49" s="548"/>
      <c r="F49" s="549"/>
      <c r="G49" s="305">
        <f>SUM(G8:G48)</f>
        <v>2945</v>
      </c>
      <c r="H49" s="291">
        <f t="shared" ref="H49:Q49" si="4">SUM(H7:H48)</f>
        <v>32660400</v>
      </c>
      <c r="I49" s="291">
        <f t="shared" si="4"/>
        <v>0</v>
      </c>
      <c r="J49" s="291">
        <f t="shared" si="4"/>
        <v>30710000</v>
      </c>
      <c r="K49" s="291">
        <f t="shared" si="4"/>
        <v>8653846</v>
      </c>
      <c r="L49" s="309">
        <f t="shared" si="4"/>
        <v>29652000</v>
      </c>
      <c r="M49" s="291">
        <f t="shared" si="4"/>
        <v>0</v>
      </c>
      <c r="N49" s="291">
        <f t="shared" si="4"/>
        <v>2975000</v>
      </c>
      <c r="O49" s="291">
        <f t="shared" si="4"/>
        <v>104651246</v>
      </c>
      <c r="P49" s="291">
        <f t="shared" si="4"/>
        <v>128819091</v>
      </c>
      <c r="Q49" s="297">
        <f t="shared" si="4"/>
        <v>24167845</v>
      </c>
      <c r="R49" s="195"/>
      <c r="S49" s="195"/>
    </row>
    <row r="50" spans="1:19" x14ac:dyDescent="0.25">
      <c r="P50" s="294"/>
      <c r="Q50" s="295"/>
    </row>
    <row r="51" spans="1:19" x14ac:dyDescent="0.25">
      <c r="B51"/>
      <c r="G51"/>
      <c r="H51" s="294"/>
      <c r="P51" s="296" t="s">
        <v>1225</v>
      </c>
      <c r="Q51" s="304">
        <f>'03.2020'!Q38+'04.2020'!Q49</f>
        <v>119202065</v>
      </c>
    </row>
    <row r="52" spans="1:19" x14ac:dyDescent="0.25">
      <c r="B52"/>
      <c r="G52"/>
      <c r="Q52" s="294"/>
    </row>
    <row r="53" spans="1:19" x14ac:dyDescent="0.25">
      <c r="B53"/>
      <c r="G53"/>
      <c r="R53" s="195"/>
    </row>
  </sheetData>
  <mergeCells count="18">
    <mergeCell ref="A1:Q1"/>
    <mergeCell ref="A2:Q2"/>
    <mergeCell ref="A3:Q3"/>
    <mergeCell ref="G5:N5"/>
    <mergeCell ref="C32:E32"/>
    <mergeCell ref="A49:F49"/>
    <mergeCell ref="C33:E33"/>
    <mergeCell ref="C36:E36"/>
    <mergeCell ref="C38:E38"/>
    <mergeCell ref="C39:E39"/>
    <mergeCell ref="C40:E40"/>
    <mergeCell ref="C41:E41"/>
    <mergeCell ref="C43:E43"/>
    <mergeCell ref="C44:E44"/>
    <mergeCell ref="C45:E45"/>
    <mergeCell ref="C48:E48"/>
    <mergeCell ref="C46:E46"/>
    <mergeCell ref="C47:E47"/>
  </mergeCells>
  <pageMargins left="0.7" right="0.7" top="0.75" bottom="0.75" header="0.3" footer="0.3"/>
  <pageSetup orientation="portrait" horizontalDpi="0" verticalDpi="0"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T43"/>
  <sheetViews>
    <sheetView topLeftCell="A4" workbookViewId="0">
      <selection activeCell="J8" sqref="J8:J26"/>
    </sheetView>
  </sheetViews>
  <sheetFormatPr defaultRowHeight="15" x14ac:dyDescent="0.25"/>
  <cols>
    <col min="1" max="1" width="4.5703125" customWidth="1"/>
    <col min="2" max="2" width="9.140625" style="332"/>
    <col min="3" max="3" width="41.28515625" customWidth="1"/>
    <col min="4" max="4" width="16.5703125" customWidth="1"/>
    <col min="5" max="5" width="33.140625" customWidth="1"/>
    <col min="7" max="7" width="9.140625" style="292"/>
    <col min="8" max="8" width="10.140625" style="292" bestFit="1" customWidth="1"/>
    <col min="9" max="9" width="9.140625" style="293"/>
    <col min="10" max="10" width="9.140625" style="292"/>
    <col min="11" max="11" width="9.42578125" style="292" bestFit="1" customWidth="1"/>
    <col min="12" max="12" width="9.140625" style="173"/>
    <col min="13" max="14" width="9.140625" style="292"/>
    <col min="15" max="15" width="11.140625" style="292" customWidth="1"/>
    <col min="16" max="16" width="10.7109375" style="292" customWidth="1"/>
    <col min="17" max="17" width="12.28515625" style="292" customWidth="1"/>
    <col min="18" max="18" width="11.7109375" customWidth="1"/>
    <col min="19" max="19" width="18"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3056</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257"/>
      <c r="H4" s="258"/>
      <c r="I4" s="258"/>
      <c r="J4" s="258"/>
      <c r="K4" s="258"/>
      <c r="L4" s="91"/>
      <c r="M4" s="258"/>
      <c r="N4" s="258"/>
      <c r="O4" s="258"/>
      <c r="P4" s="258"/>
      <c r="Q4" s="258"/>
    </row>
    <row r="5" spans="1:20"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20"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20" x14ac:dyDescent="0.25">
      <c r="A7" s="75"/>
      <c r="B7" s="100"/>
      <c r="C7" s="88"/>
      <c r="D7" s="88"/>
      <c r="E7" s="134"/>
      <c r="F7" s="75"/>
      <c r="G7" s="263"/>
      <c r="H7" s="264"/>
      <c r="I7" s="264"/>
      <c r="J7" s="264"/>
      <c r="K7" s="264"/>
      <c r="L7" s="308"/>
      <c r="M7" s="264"/>
      <c r="N7" s="264"/>
      <c r="O7" s="264">
        <f>H7+J7+K7+L7+M7+N7</f>
        <v>0</v>
      </c>
      <c r="P7" s="265"/>
      <c r="Q7" s="264">
        <f>P7-O7</f>
        <v>0</v>
      </c>
    </row>
    <row r="8" spans="1:20" ht="20.100000000000001" customHeight="1" x14ac:dyDescent="0.25">
      <c r="A8" s="75">
        <v>1</v>
      </c>
      <c r="B8" s="348" t="s">
        <v>3070</v>
      </c>
      <c r="C8" s="135" t="s">
        <v>3057</v>
      </c>
      <c r="D8" s="136" t="s">
        <v>3089</v>
      </c>
      <c r="E8" s="78" t="s">
        <v>301</v>
      </c>
      <c r="F8" s="80"/>
      <c r="G8" s="234"/>
      <c r="H8" s="234"/>
      <c r="I8" s="266"/>
      <c r="J8" s="223">
        <v>3820000</v>
      </c>
      <c r="K8" s="267"/>
      <c r="L8" s="156"/>
      <c r="M8" s="189"/>
      <c r="N8" s="189"/>
      <c r="O8" s="268">
        <f>H8+J8+K8+L8+M8+N8</f>
        <v>3820000</v>
      </c>
      <c r="P8" s="272">
        <v>18181818</v>
      </c>
      <c r="Q8" s="270">
        <f>P8-O8</f>
        <v>14361818</v>
      </c>
      <c r="R8" s="195"/>
      <c r="S8" s="333"/>
      <c r="T8" s="195"/>
    </row>
    <row r="9" spans="1:20" ht="20.100000000000001" customHeight="1" x14ac:dyDescent="0.25">
      <c r="A9" s="75">
        <v>2</v>
      </c>
      <c r="B9" s="348" t="s">
        <v>3071</v>
      </c>
      <c r="C9" s="135" t="s">
        <v>3058</v>
      </c>
      <c r="D9" s="172" t="s">
        <v>3090</v>
      </c>
      <c r="E9" s="78" t="s">
        <v>2885</v>
      </c>
      <c r="F9" s="80"/>
      <c r="G9" s="234">
        <v>340</v>
      </c>
      <c r="H9" s="234">
        <f>G9*9940</f>
        <v>3379600</v>
      </c>
      <c r="I9" s="271"/>
      <c r="J9" s="223">
        <v>790000</v>
      </c>
      <c r="K9" s="267"/>
      <c r="L9" s="156"/>
      <c r="M9" s="189"/>
      <c r="N9" s="189"/>
      <c r="O9" s="268">
        <f t="shared" ref="O9:O38" si="0">H9+J9+K9+L9+M9+N9</f>
        <v>4169600</v>
      </c>
      <c r="P9" s="272">
        <v>2636364</v>
      </c>
      <c r="Q9" s="270">
        <f t="shared" ref="Q9:Q38" si="1">P9-O9</f>
        <v>-1533236</v>
      </c>
      <c r="R9" s="195"/>
      <c r="S9" s="333"/>
      <c r="T9" s="195"/>
    </row>
    <row r="10" spans="1:20" ht="20.100000000000001" customHeight="1" x14ac:dyDescent="0.25">
      <c r="A10" s="75">
        <v>3</v>
      </c>
      <c r="B10" s="348" t="s">
        <v>3072</v>
      </c>
      <c r="C10" s="135" t="s">
        <v>2457</v>
      </c>
      <c r="D10" s="136" t="s">
        <v>3091</v>
      </c>
      <c r="E10" s="78" t="s">
        <v>247</v>
      </c>
      <c r="F10" s="80"/>
      <c r="G10" s="234"/>
      <c r="H10" s="234"/>
      <c r="I10" s="271"/>
      <c r="J10" s="223">
        <v>970000</v>
      </c>
      <c r="K10" s="267"/>
      <c r="L10" s="156"/>
      <c r="M10" s="189"/>
      <c r="N10" s="189"/>
      <c r="O10" s="268">
        <f t="shared" si="0"/>
        <v>970000</v>
      </c>
      <c r="P10" s="272">
        <v>3750000</v>
      </c>
      <c r="Q10" s="270">
        <f t="shared" si="1"/>
        <v>2780000</v>
      </c>
      <c r="R10" s="195"/>
      <c r="S10" s="333"/>
      <c r="T10" s="195"/>
    </row>
    <row r="11" spans="1:20" ht="20.100000000000001" customHeight="1" x14ac:dyDescent="0.25">
      <c r="A11" s="75">
        <v>4</v>
      </c>
      <c r="B11" s="348" t="s">
        <v>3073</v>
      </c>
      <c r="C11" s="135" t="s">
        <v>3059</v>
      </c>
      <c r="D11" s="136" t="s">
        <v>3092</v>
      </c>
      <c r="E11" s="78" t="s">
        <v>24</v>
      </c>
      <c r="F11" s="80"/>
      <c r="G11" s="234">
        <v>170</v>
      </c>
      <c r="H11" s="234">
        <f>G11*9940</f>
        <v>1689800</v>
      </c>
      <c r="I11" s="271"/>
      <c r="J11" s="223">
        <v>1890000</v>
      </c>
      <c r="K11" s="267"/>
      <c r="L11" s="156"/>
      <c r="M11" s="189"/>
      <c r="N11" s="189"/>
      <c r="O11" s="268">
        <f t="shared" si="0"/>
        <v>3579800</v>
      </c>
      <c r="P11" s="272">
        <v>7500000</v>
      </c>
      <c r="Q11" s="270">
        <f t="shared" si="1"/>
        <v>3920200</v>
      </c>
      <c r="R11" s="195"/>
      <c r="S11" s="333"/>
      <c r="T11" s="195"/>
    </row>
    <row r="12" spans="1:20" ht="20.100000000000001" customHeight="1" x14ac:dyDescent="0.25">
      <c r="A12" s="75">
        <v>5</v>
      </c>
      <c r="B12" s="348" t="s">
        <v>3074</v>
      </c>
      <c r="C12" s="135" t="s">
        <v>3060</v>
      </c>
      <c r="D12" s="136" t="s">
        <v>3093</v>
      </c>
      <c r="E12" s="78" t="s">
        <v>2007</v>
      </c>
      <c r="F12" s="80"/>
      <c r="G12" s="234"/>
      <c r="H12" s="234"/>
      <c r="I12" s="271"/>
      <c r="J12" s="223">
        <f>1150000+880000</f>
        <v>2030000</v>
      </c>
      <c r="K12" s="267"/>
      <c r="L12" s="156"/>
      <c r="M12" s="189"/>
      <c r="N12" s="189"/>
      <c r="O12" s="268">
        <f t="shared" si="0"/>
        <v>2030000</v>
      </c>
      <c r="P12" s="272">
        <v>3560000</v>
      </c>
      <c r="Q12" s="270">
        <f t="shared" si="1"/>
        <v>1530000</v>
      </c>
      <c r="R12" s="195"/>
      <c r="S12" s="333"/>
      <c r="T12" s="195"/>
    </row>
    <row r="13" spans="1:20" ht="20.100000000000001" customHeight="1" x14ac:dyDescent="0.25">
      <c r="A13" s="75">
        <v>6</v>
      </c>
      <c r="B13" s="348" t="s">
        <v>3075</v>
      </c>
      <c r="C13" s="135" t="s">
        <v>3061</v>
      </c>
      <c r="D13" s="136" t="s">
        <v>3093</v>
      </c>
      <c r="E13" s="78" t="s">
        <v>24</v>
      </c>
      <c r="F13" s="80"/>
      <c r="G13" s="234"/>
      <c r="H13" s="234"/>
      <c r="I13" s="271"/>
      <c r="J13" s="223">
        <v>0</v>
      </c>
      <c r="K13" s="267"/>
      <c r="L13" s="156"/>
      <c r="M13" s="189"/>
      <c r="N13" s="189"/>
      <c r="O13" s="268">
        <f t="shared" si="0"/>
        <v>0</v>
      </c>
      <c r="P13" s="272">
        <v>4954545</v>
      </c>
      <c r="Q13" s="270">
        <f t="shared" si="1"/>
        <v>4954545</v>
      </c>
      <c r="R13" s="195"/>
      <c r="S13" s="333"/>
      <c r="T13" s="195"/>
    </row>
    <row r="14" spans="1:20" ht="20.100000000000001" customHeight="1" x14ac:dyDescent="0.25">
      <c r="A14" s="75">
        <v>7</v>
      </c>
      <c r="B14" s="348" t="s">
        <v>3076</v>
      </c>
      <c r="C14" s="135" t="s">
        <v>3062</v>
      </c>
      <c r="D14" s="136" t="s">
        <v>3094</v>
      </c>
      <c r="E14" s="78" t="s">
        <v>3107</v>
      </c>
      <c r="F14" s="80"/>
      <c r="G14" s="234">
        <v>346</v>
      </c>
      <c r="H14" s="234">
        <f>G14*9940</f>
        <v>3439240</v>
      </c>
      <c r="I14" s="271"/>
      <c r="J14" s="223">
        <v>300000</v>
      </c>
      <c r="K14" s="267"/>
      <c r="L14" s="156"/>
      <c r="M14" s="189"/>
      <c r="N14" s="189"/>
      <c r="O14" s="268">
        <f t="shared" si="0"/>
        <v>3739240</v>
      </c>
      <c r="P14" s="272">
        <v>2000000</v>
      </c>
      <c r="Q14" s="270">
        <f t="shared" si="1"/>
        <v>-1739240</v>
      </c>
      <c r="R14" s="195"/>
      <c r="S14" s="333"/>
      <c r="T14" s="195"/>
    </row>
    <row r="15" spans="1:20" ht="20.100000000000001" customHeight="1" x14ac:dyDescent="0.25">
      <c r="A15" s="75">
        <v>8</v>
      </c>
      <c r="B15" s="348" t="s">
        <v>3077</v>
      </c>
      <c r="C15" s="135" t="s">
        <v>2462</v>
      </c>
      <c r="D15" s="136" t="s">
        <v>3095</v>
      </c>
      <c r="E15" s="78" t="s">
        <v>189</v>
      </c>
      <c r="F15" s="80"/>
      <c r="G15" s="234">
        <v>200</v>
      </c>
      <c r="H15" s="234">
        <f>G15*9850</f>
        <v>1970000</v>
      </c>
      <c r="I15" s="271"/>
      <c r="J15" s="223">
        <v>1890000</v>
      </c>
      <c r="K15" s="267"/>
      <c r="L15" s="156"/>
      <c r="M15" s="189"/>
      <c r="N15" s="189"/>
      <c r="O15" s="268">
        <f t="shared" si="0"/>
        <v>3860000</v>
      </c>
      <c r="P15" s="272">
        <v>8818182</v>
      </c>
      <c r="Q15" s="270">
        <f t="shared" si="1"/>
        <v>4958182</v>
      </c>
      <c r="R15" s="195"/>
      <c r="S15" s="333"/>
      <c r="T15" s="195"/>
    </row>
    <row r="16" spans="1:20" ht="20.100000000000001" customHeight="1" x14ac:dyDescent="0.25">
      <c r="A16" s="75">
        <v>9</v>
      </c>
      <c r="B16" s="348" t="s">
        <v>3078</v>
      </c>
      <c r="C16" s="135" t="s">
        <v>3063</v>
      </c>
      <c r="D16" s="136" t="s">
        <v>3096</v>
      </c>
      <c r="E16" s="78" t="s">
        <v>1621</v>
      </c>
      <c r="F16" s="80"/>
      <c r="G16" s="234"/>
      <c r="H16" s="234"/>
      <c r="I16" s="271"/>
      <c r="J16" s="223">
        <v>1150000</v>
      </c>
      <c r="K16" s="267"/>
      <c r="L16" s="156"/>
      <c r="M16" s="189"/>
      <c r="N16" s="189"/>
      <c r="O16" s="268">
        <f t="shared" si="0"/>
        <v>1150000</v>
      </c>
      <c r="P16" s="272">
        <v>3200000</v>
      </c>
      <c r="Q16" s="270">
        <f t="shared" si="1"/>
        <v>2050000</v>
      </c>
      <c r="R16" s="195"/>
      <c r="S16" s="333"/>
      <c r="T16" s="195"/>
    </row>
    <row r="17" spans="1:20" ht="20.100000000000001" customHeight="1" x14ac:dyDescent="0.25">
      <c r="A17" s="75">
        <v>10</v>
      </c>
      <c r="B17" s="348" t="s">
        <v>3079</v>
      </c>
      <c r="C17" s="135" t="s">
        <v>1794</v>
      </c>
      <c r="D17" s="136" t="s">
        <v>3097</v>
      </c>
      <c r="E17" s="78" t="s">
        <v>2007</v>
      </c>
      <c r="F17" s="80"/>
      <c r="G17" s="234"/>
      <c r="H17" s="234"/>
      <c r="I17" s="271"/>
      <c r="J17" s="223">
        <v>1150000</v>
      </c>
      <c r="K17" s="267"/>
      <c r="L17" s="156"/>
      <c r="M17" s="189"/>
      <c r="N17" s="189"/>
      <c r="O17" s="268">
        <f t="shared" si="0"/>
        <v>1150000</v>
      </c>
      <c r="P17" s="272">
        <v>3860000</v>
      </c>
      <c r="Q17" s="270">
        <f t="shared" si="1"/>
        <v>2710000</v>
      </c>
      <c r="R17" s="195"/>
      <c r="S17" s="333"/>
      <c r="T17" s="195"/>
    </row>
    <row r="18" spans="1:20" ht="20.100000000000001" customHeight="1" x14ac:dyDescent="0.25">
      <c r="A18" s="75">
        <v>11</v>
      </c>
      <c r="B18" s="348" t="s">
        <v>3080</v>
      </c>
      <c r="C18" s="135" t="s">
        <v>3064</v>
      </c>
      <c r="D18" s="136" t="s">
        <v>3098</v>
      </c>
      <c r="E18" s="78" t="s">
        <v>215</v>
      </c>
      <c r="F18" s="80"/>
      <c r="G18" s="234">
        <v>290</v>
      </c>
      <c r="H18" s="234">
        <f>G18*9850</f>
        <v>2856500</v>
      </c>
      <c r="I18" s="271"/>
      <c r="J18" s="223">
        <v>970000</v>
      </c>
      <c r="K18" s="267"/>
      <c r="L18" s="156"/>
      <c r="M18" s="189"/>
      <c r="N18" s="189"/>
      <c r="O18" s="268">
        <f t="shared" si="0"/>
        <v>3826500</v>
      </c>
      <c r="P18" s="272">
        <v>3200000</v>
      </c>
      <c r="Q18" s="270">
        <f t="shared" si="1"/>
        <v>-626500</v>
      </c>
      <c r="R18" s="195"/>
      <c r="S18" s="333"/>
      <c r="T18" s="195"/>
    </row>
    <row r="19" spans="1:20" ht="20.100000000000001" customHeight="1" x14ac:dyDescent="0.25">
      <c r="A19" s="75">
        <v>12</v>
      </c>
      <c r="B19" s="348" t="s">
        <v>3081</v>
      </c>
      <c r="C19" s="135" t="s">
        <v>3065</v>
      </c>
      <c r="D19" s="136" t="s">
        <v>3099</v>
      </c>
      <c r="E19" s="78" t="s">
        <v>3108</v>
      </c>
      <c r="F19" s="80"/>
      <c r="G19" s="234"/>
      <c r="H19" s="234"/>
      <c r="I19" s="271"/>
      <c r="J19" s="223">
        <v>970000</v>
      </c>
      <c r="K19" s="267"/>
      <c r="L19" s="156"/>
      <c r="M19" s="189"/>
      <c r="N19" s="189"/>
      <c r="O19" s="268">
        <f t="shared" si="0"/>
        <v>970000</v>
      </c>
      <c r="P19" s="272">
        <v>3245455</v>
      </c>
      <c r="Q19" s="270">
        <f t="shared" si="1"/>
        <v>2275455</v>
      </c>
      <c r="R19" s="195"/>
      <c r="S19" s="333"/>
      <c r="T19" s="195"/>
    </row>
    <row r="20" spans="1:20" ht="20.100000000000001" customHeight="1" x14ac:dyDescent="0.25">
      <c r="A20" s="75">
        <v>13</v>
      </c>
      <c r="B20" s="348" t="s">
        <v>3082</v>
      </c>
      <c r="C20" s="135" t="s">
        <v>3066</v>
      </c>
      <c r="D20" s="136" t="s">
        <v>3100</v>
      </c>
      <c r="E20" s="78" t="s">
        <v>562</v>
      </c>
      <c r="F20" s="80"/>
      <c r="G20" s="234"/>
      <c r="H20" s="234"/>
      <c r="I20" s="271"/>
      <c r="J20" s="223">
        <v>2740000</v>
      </c>
      <c r="K20" s="267"/>
      <c r="L20" s="156"/>
      <c r="M20" s="189"/>
      <c r="N20" s="189"/>
      <c r="O20" s="268">
        <f t="shared" si="0"/>
        <v>2740000</v>
      </c>
      <c r="P20" s="272">
        <v>14090909</v>
      </c>
      <c r="Q20" s="270">
        <f t="shared" si="1"/>
        <v>11350909</v>
      </c>
      <c r="R20" s="195"/>
      <c r="S20" s="333"/>
      <c r="T20" s="195"/>
    </row>
    <row r="21" spans="1:20" ht="20.100000000000001" customHeight="1" x14ac:dyDescent="0.25">
      <c r="A21" s="75">
        <v>14</v>
      </c>
      <c r="B21" s="348" t="s">
        <v>3083</v>
      </c>
      <c r="C21" s="135" t="s">
        <v>3067</v>
      </c>
      <c r="D21" s="136" t="s">
        <v>3101</v>
      </c>
      <c r="E21" s="78" t="s">
        <v>88</v>
      </c>
      <c r="F21" s="80"/>
      <c r="G21" s="234">
        <v>330</v>
      </c>
      <c r="H21" s="234">
        <f>G21*9850</f>
        <v>3250500</v>
      </c>
      <c r="I21" s="271"/>
      <c r="J21" s="223">
        <v>790000</v>
      </c>
      <c r="K21" s="267"/>
      <c r="L21" s="156"/>
      <c r="M21" s="189"/>
      <c r="N21" s="189"/>
      <c r="O21" s="268">
        <f t="shared" si="0"/>
        <v>4040500</v>
      </c>
      <c r="P21" s="272">
        <v>3200000</v>
      </c>
      <c r="Q21" s="270">
        <f t="shared" si="1"/>
        <v>-840500</v>
      </c>
      <c r="R21" s="195"/>
      <c r="S21" s="333"/>
      <c r="T21" s="195"/>
    </row>
    <row r="22" spans="1:20" ht="20.100000000000001" customHeight="1" x14ac:dyDescent="0.25">
      <c r="A22" s="75">
        <v>15</v>
      </c>
      <c r="B22" s="348" t="s">
        <v>3084</v>
      </c>
      <c r="C22" s="135" t="s">
        <v>3068</v>
      </c>
      <c r="D22" s="136" t="s">
        <v>3102</v>
      </c>
      <c r="E22" s="78" t="s">
        <v>88</v>
      </c>
      <c r="F22" s="80"/>
      <c r="G22" s="234">
        <v>200</v>
      </c>
      <c r="H22" s="234">
        <f>200*9850</f>
        <v>1970000</v>
      </c>
      <c r="I22" s="271"/>
      <c r="J22" s="223">
        <v>790000</v>
      </c>
      <c r="K22" s="267"/>
      <c r="L22" s="156"/>
      <c r="M22" s="189"/>
      <c r="N22" s="189"/>
      <c r="O22" s="268">
        <f t="shared" si="0"/>
        <v>2760000</v>
      </c>
      <c r="P22" s="272">
        <v>3200000</v>
      </c>
      <c r="Q22" s="270">
        <f t="shared" si="1"/>
        <v>440000</v>
      </c>
      <c r="R22" s="195"/>
      <c r="S22" s="333"/>
      <c r="T22" s="195"/>
    </row>
    <row r="23" spans="1:20" ht="20.100000000000001" customHeight="1" x14ac:dyDescent="0.25">
      <c r="A23" s="75">
        <v>16</v>
      </c>
      <c r="B23" s="348" t="s">
        <v>3085</v>
      </c>
      <c r="C23" s="135" t="s">
        <v>1124</v>
      </c>
      <c r="D23" s="136" t="s">
        <v>3103</v>
      </c>
      <c r="E23" s="78" t="s">
        <v>1212</v>
      </c>
      <c r="F23" s="80"/>
      <c r="G23" s="234"/>
      <c r="H23" s="234"/>
      <c r="I23" s="271"/>
      <c r="J23" s="223">
        <v>2740000</v>
      </c>
      <c r="K23" s="267"/>
      <c r="L23" s="156"/>
      <c r="M23" s="189"/>
      <c r="N23" s="189"/>
      <c r="O23" s="268">
        <f t="shared" si="0"/>
        <v>2740000</v>
      </c>
      <c r="P23" s="272">
        <v>13181818</v>
      </c>
      <c r="Q23" s="270">
        <f t="shared" si="1"/>
        <v>10441818</v>
      </c>
      <c r="R23" s="195"/>
      <c r="S23" s="333"/>
      <c r="T23" s="195"/>
    </row>
    <row r="24" spans="1:20" ht="20.100000000000001" customHeight="1" x14ac:dyDescent="0.25">
      <c r="A24" s="75">
        <v>17</v>
      </c>
      <c r="B24" s="348" t="s">
        <v>3086</v>
      </c>
      <c r="C24" s="135" t="s">
        <v>3069</v>
      </c>
      <c r="D24" s="136" t="s">
        <v>3104</v>
      </c>
      <c r="E24" s="78" t="s">
        <v>88</v>
      </c>
      <c r="F24" s="80"/>
      <c r="G24" s="234">
        <v>325</v>
      </c>
      <c r="H24" s="234">
        <f>G24*9850</f>
        <v>3201250</v>
      </c>
      <c r="I24" s="271"/>
      <c r="J24" s="223">
        <v>790000</v>
      </c>
      <c r="K24" s="267"/>
      <c r="L24" s="156"/>
      <c r="M24" s="189"/>
      <c r="N24" s="189"/>
      <c r="O24" s="268">
        <f t="shared" si="0"/>
        <v>3991250</v>
      </c>
      <c r="P24" s="272">
        <v>3200000</v>
      </c>
      <c r="Q24" s="270">
        <f t="shared" si="1"/>
        <v>-791250</v>
      </c>
      <c r="R24" s="195"/>
      <c r="S24" s="333"/>
      <c r="T24" s="195"/>
    </row>
    <row r="25" spans="1:20" ht="20.100000000000001" customHeight="1" x14ac:dyDescent="0.25">
      <c r="A25" s="75">
        <v>18</v>
      </c>
      <c r="B25" s="348" t="s">
        <v>3087</v>
      </c>
      <c r="C25" s="135" t="s">
        <v>2470</v>
      </c>
      <c r="D25" s="136" t="s">
        <v>3105</v>
      </c>
      <c r="E25" s="78" t="s">
        <v>1212</v>
      </c>
      <c r="F25" s="80"/>
      <c r="G25" s="234">
        <v>221</v>
      </c>
      <c r="H25" s="234">
        <f>G25*10740</f>
        <v>2373540</v>
      </c>
      <c r="I25" s="271"/>
      <c r="J25" s="223">
        <v>2740000</v>
      </c>
      <c r="K25" s="267"/>
      <c r="L25" s="156"/>
      <c r="M25" s="189"/>
      <c r="N25" s="189"/>
      <c r="O25" s="268">
        <f t="shared" si="0"/>
        <v>5113540</v>
      </c>
      <c r="P25" s="272">
        <v>13181818</v>
      </c>
      <c r="Q25" s="270">
        <f t="shared" si="1"/>
        <v>8068278</v>
      </c>
      <c r="R25" s="195"/>
      <c r="S25" s="333"/>
      <c r="T25" s="195"/>
    </row>
    <row r="26" spans="1:20" ht="20.100000000000001" customHeight="1" x14ac:dyDescent="0.25">
      <c r="A26" s="75">
        <v>19</v>
      </c>
      <c r="B26" s="348" t="s">
        <v>3088</v>
      </c>
      <c r="C26" s="135" t="s">
        <v>2471</v>
      </c>
      <c r="D26" s="136" t="s">
        <v>3106</v>
      </c>
      <c r="E26" s="78" t="s">
        <v>3109</v>
      </c>
      <c r="F26" s="80"/>
      <c r="G26" s="234"/>
      <c r="H26" s="234"/>
      <c r="I26" s="271"/>
      <c r="J26" s="223">
        <v>1150000</v>
      </c>
      <c r="K26" s="267"/>
      <c r="L26" s="156"/>
      <c r="M26" s="189"/>
      <c r="N26" s="189"/>
      <c r="O26" s="268">
        <f t="shared" si="0"/>
        <v>1150000</v>
      </c>
      <c r="P26" s="272">
        <v>3900000</v>
      </c>
      <c r="Q26" s="270">
        <f t="shared" si="1"/>
        <v>2750000</v>
      </c>
      <c r="R26" s="195"/>
      <c r="S26" s="333"/>
      <c r="T26" s="195"/>
    </row>
    <row r="27" spans="1:20" ht="20.100000000000001" customHeight="1" x14ac:dyDescent="0.25">
      <c r="A27" s="75"/>
      <c r="B27" s="133"/>
      <c r="C27" s="135"/>
      <c r="D27" s="136"/>
      <c r="E27" s="78"/>
      <c r="F27" s="80"/>
      <c r="G27" s="234"/>
      <c r="H27" s="234"/>
      <c r="I27" s="271"/>
      <c r="J27" s="263"/>
      <c r="K27" s="267"/>
      <c r="L27" s="156"/>
      <c r="M27" s="189"/>
      <c r="N27" s="189"/>
      <c r="O27" s="268">
        <f t="shared" si="0"/>
        <v>0</v>
      </c>
      <c r="P27" s="272"/>
      <c r="Q27" s="270">
        <f t="shared" si="1"/>
        <v>0</v>
      </c>
      <c r="R27" s="195"/>
      <c r="S27" s="333"/>
      <c r="T27" s="195"/>
    </row>
    <row r="28" spans="1:20" ht="15" customHeight="1" x14ac:dyDescent="0.25">
      <c r="A28" s="75"/>
      <c r="C28" s="138"/>
      <c r="D28" s="139"/>
      <c r="E28" s="78"/>
      <c r="F28" s="110"/>
      <c r="G28" s="273"/>
      <c r="H28" s="271"/>
      <c r="I28" s="266"/>
      <c r="J28" s="194"/>
      <c r="K28" s="267"/>
      <c r="L28" s="156"/>
      <c r="M28" s="194"/>
      <c r="N28" s="194"/>
      <c r="O28" s="268">
        <f t="shared" si="0"/>
        <v>0</v>
      </c>
      <c r="P28" s="274"/>
      <c r="Q28" s="270">
        <f t="shared" si="1"/>
        <v>0</v>
      </c>
      <c r="R28" s="195"/>
      <c r="S28" s="195"/>
      <c r="T28" s="195"/>
    </row>
    <row r="29" spans="1:20" ht="16.149999999999999" customHeight="1" x14ac:dyDescent="0.25">
      <c r="A29" s="75"/>
      <c r="C29" s="564" t="s">
        <v>1273</v>
      </c>
      <c r="D29" s="565"/>
      <c r="E29" s="566"/>
      <c r="F29" s="163"/>
      <c r="G29" s="281"/>
      <c r="H29" s="282"/>
      <c r="I29" s="280"/>
      <c r="J29" s="194"/>
      <c r="K29" s="267"/>
      <c r="L29" s="318">
        <v>1200000</v>
      </c>
      <c r="M29" s="194"/>
      <c r="N29" s="194"/>
      <c r="O29" s="268">
        <f t="shared" si="0"/>
        <v>1200000</v>
      </c>
      <c r="P29" s="264"/>
      <c r="Q29" s="270">
        <f t="shared" si="1"/>
        <v>-1200000</v>
      </c>
    </row>
    <row r="30" spans="1:20" ht="21.75" customHeight="1" x14ac:dyDescent="0.25">
      <c r="A30" s="134"/>
      <c r="C30" s="570" t="s">
        <v>3110</v>
      </c>
      <c r="D30" s="571"/>
      <c r="E30" s="572"/>
      <c r="F30" s="163"/>
      <c r="G30" s="281"/>
      <c r="H30" s="282"/>
      <c r="I30" s="280"/>
      <c r="J30" s="194"/>
      <c r="K30" s="278"/>
      <c r="L30" s="164"/>
      <c r="M30" s="194"/>
      <c r="N30" s="301">
        <v>500000</v>
      </c>
      <c r="O30" s="268">
        <f t="shared" si="0"/>
        <v>500000</v>
      </c>
      <c r="P30" s="265"/>
      <c r="Q30" s="270">
        <f t="shared" si="1"/>
        <v>-500000</v>
      </c>
    </row>
    <row r="31" spans="1:20" ht="16.149999999999999" customHeight="1" x14ac:dyDescent="0.25">
      <c r="A31" s="134"/>
      <c r="C31" s="335" t="s">
        <v>1089</v>
      </c>
      <c r="D31" s="336"/>
      <c r="E31" s="337"/>
      <c r="F31" s="163"/>
      <c r="G31" s="281"/>
      <c r="H31" s="282"/>
      <c r="I31" s="280"/>
      <c r="J31" s="194"/>
      <c r="K31" s="278"/>
      <c r="L31" s="334">
        <v>15970000</v>
      </c>
      <c r="M31" s="194"/>
      <c r="N31" s="194"/>
      <c r="O31" s="268">
        <f t="shared" si="0"/>
        <v>15970000</v>
      </c>
      <c r="P31" s="265"/>
      <c r="Q31" s="270">
        <f t="shared" si="1"/>
        <v>-15970000</v>
      </c>
    </row>
    <row r="32" spans="1:20" ht="30.75" customHeight="1" x14ac:dyDescent="0.25">
      <c r="A32" s="134"/>
      <c r="C32" s="335" t="s">
        <v>3111</v>
      </c>
      <c r="D32" s="336"/>
      <c r="E32" s="337"/>
      <c r="F32" s="163"/>
      <c r="G32" s="281"/>
      <c r="H32" s="282"/>
      <c r="I32" s="280"/>
      <c r="J32" s="194"/>
      <c r="K32" s="278"/>
      <c r="L32" s="334">
        <v>1800000</v>
      </c>
      <c r="M32" s="194"/>
      <c r="N32" s="194"/>
      <c r="O32" s="268">
        <f t="shared" si="0"/>
        <v>1800000</v>
      </c>
      <c r="P32" s="265"/>
      <c r="Q32" s="270">
        <f t="shared" si="1"/>
        <v>-1800000</v>
      </c>
    </row>
    <row r="33" spans="1:19" ht="16.149999999999999" customHeight="1" x14ac:dyDescent="0.25">
      <c r="A33" s="134"/>
      <c r="C33" s="570" t="s">
        <v>3112</v>
      </c>
      <c r="D33" s="571"/>
      <c r="E33" s="572"/>
      <c r="F33" s="163"/>
      <c r="G33" s="281"/>
      <c r="H33" s="282"/>
      <c r="I33" s="280"/>
      <c r="J33" s="194"/>
      <c r="K33" s="278"/>
      <c r="L33" s="334">
        <v>1150000</v>
      </c>
      <c r="M33" s="194"/>
      <c r="N33" s="194"/>
      <c r="O33" s="268">
        <f t="shared" si="0"/>
        <v>1150000</v>
      </c>
      <c r="P33" s="265"/>
      <c r="Q33" s="270">
        <f t="shared" si="1"/>
        <v>-1150000</v>
      </c>
    </row>
    <row r="34" spans="1:19" ht="22.5" customHeight="1" x14ac:dyDescent="0.25">
      <c r="A34" s="134"/>
      <c r="C34" s="570" t="s">
        <v>3113</v>
      </c>
      <c r="D34" s="571"/>
      <c r="E34" s="572"/>
      <c r="F34" s="163"/>
      <c r="G34" s="281"/>
      <c r="H34" s="282"/>
      <c r="I34" s="280"/>
      <c r="J34" s="194"/>
      <c r="K34" s="278"/>
      <c r="L34" s="164"/>
      <c r="M34" s="150">
        <v>16100000</v>
      </c>
      <c r="N34" s="194"/>
      <c r="O34" s="268">
        <f t="shared" si="0"/>
        <v>16100000</v>
      </c>
      <c r="P34" s="265"/>
      <c r="Q34" s="270">
        <f t="shared" si="1"/>
        <v>-16100000</v>
      </c>
    </row>
    <row r="35" spans="1:19" ht="23.25" customHeight="1" x14ac:dyDescent="0.25">
      <c r="A35" s="134"/>
      <c r="C35" s="570" t="s">
        <v>3114</v>
      </c>
      <c r="D35" s="571"/>
      <c r="E35" s="572"/>
      <c r="F35" s="163"/>
      <c r="G35" s="281"/>
      <c r="H35" s="282"/>
      <c r="I35" s="280"/>
      <c r="J35" s="194"/>
      <c r="K35" s="278"/>
      <c r="L35" s="334">
        <v>600000</v>
      </c>
      <c r="M35" s="194"/>
      <c r="N35" s="194"/>
      <c r="O35" s="268">
        <f t="shared" si="0"/>
        <v>600000</v>
      </c>
      <c r="P35" s="265"/>
      <c r="Q35" s="270">
        <f t="shared" si="1"/>
        <v>-600000</v>
      </c>
    </row>
    <row r="36" spans="1:19" ht="24.75" customHeight="1" x14ac:dyDescent="0.25">
      <c r="A36" s="134"/>
      <c r="C36" s="570" t="s">
        <v>3115</v>
      </c>
      <c r="D36" s="571"/>
      <c r="E36" s="572"/>
      <c r="F36" s="163"/>
      <c r="G36" s="281"/>
      <c r="H36" s="282"/>
      <c r="I36" s="280"/>
      <c r="J36" s="194"/>
      <c r="K36" s="278"/>
      <c r="L36" s="334">
        <v>1350000</v>
      </c>
      <c r="M36" s="194"/>
      <c r="N36" s="194"/>
      <c r="O36" s="268">
        <f t="shared" si="0"/>
        <v>1350000</v>
      </c>
      <c r="P36" s="265"/>
      <c r="Q36" s="270">
        <f t="shared" si="1"/>
        <v>-1350000</v>
      </c>
    </row>
    <row r="37" spans="1:19" ht="30.75" customHeight="1" x14ac:dyDescent="0.25">
      <c r="A37" s="134"/>
      <c r="C37" s="570" t="s">
        <v>3181</v>
      </c>
      <c r="D37" s="571"/>
      <c r="E37" s="572"/>
      <c r="F37" s="163"/>
      <c r="G37" s="281"/>
      <c r="H37" s="282"/>
      <c r="I37" s="280"/>
      <c r="J37" s="194"/>
      <c r="K37" s="278"/>
      <c r="L37" s="334">
        <v>13730000</v>
      </c>
      <c r="M37" s="194"/>
      <c r="N37" s="194"/>
      <c r="O37" s="268">
        <f t="shared" si="0"/>
        <v>13730000</v>
      </c>
      <c r="P37" s="265"/>
      <c r="Q37" s="270">
        <f t="shared" si="1"/>
        <v>-13730000</v>
      </c>
    </row>
    <row r="38" spans="1:19" ht="30.75" customHeight="1" x14ac:dyDescent="0.25">
      <c r="A38" s="134"/>
      <c r="B38" s="103"/>
      <c r="C38" s="567" t="s">
        <v>1386</v>
      </c>
      <c r="D38" s="568"/>
      <c r="E38" s="569"/>
      <c r="F38" s="110"/>
      <c r="G38" s="281"/>
      <c r="H38" s="282"/>
      <c r="I38" s="280"/>
      <c r="J38" s="194"/>
      <c r="K38" s="113">
        <v>8307692</v>
      </c>
      <c r="L38" s="141"/>
      <c r="M38" s="194"/>
      <c r="N38" s="194"/>
      <c r="O38" s="268">
        <f t="shared" si="0"/>
        <v>8307692</v>
      </c>
      <c r="P38" s="265"/>
      <c r="Q38" s="270">
        <f t="shared" si="1"/>
        <v>-8307692</v>
      </c>
    </row>
    <row r="39" spans="1:19" ht="16.149999999999999" customHeight="1" x14ac:dyDescent="0.25">
      <c r="A39" s="547" t="s">
        <v>19</v>
      </c>
      <c r="B39" s="548"/>
      <c r="C39" s="548"/>
      <c r="D39" s="548"/>
      <c r="E39" s="548"/>
      <c r="F39" s="549"/>
      <c r="G39" s="305">
        <f>SUM(G8:G38)</f>
        <v>2422</v>
      </c>
      <c r="H39" s="291">
        <f t="shared" ref="H39:Q39" si="2">SUM(H7:H38)</f>
        <v>24130430</v>
      </c>
      <c r="I39" s="291">
        <f t="shared" si="2"/>
        <v>0</v>
      </c>
      <c r="J39" s="291">
        <f t="shared" si="2"/>
        <v>27670000</v>
      </c>
      <c r="K39" s="291">
        <f t="shared" si="2"/>
        <v>8307692</v>
      </c>
      <c r="L39" s="309">
        <f t="shared" si="2"/>
        <v>35800000</v>
      </c>
      <c r="M39" s="291">
        <f t="shared" si="2"/>
        <v>16100000</v>
      </c>
      <c r="N39" s="291">
        <f t="shared" si="2"/>
        <v>500000</v>
      </c>
      <c r="O39" s="291">
        <f t="shared" si="2"/>
        <v>112508122</v>
      </c>
      <c r="P39" s="291">
        <f t="shared" si="2"/>
        <v>118860909</v>
      </c>
      <c r="Q39" s="297">
        <f t="shared" si="2"/>
        <v>6352787</v>
      </c>
      <c r="R39" s="195"/>
      <c r="S39" s="195"/>
    </row>
    <row r="40" spans="1:19" x14ac:dyDescent="0.25">
      <c r="P40" s="294"/>
      <c r="Q40" s="295"/>
    </row>
    <row r="41" spans="1:19" x14ac:dyDescent="0.25">
      <c r="B41"/>
      <c r="G41"/>
      <c r="H41" s="294"/>
      <c r="P41" s="296" t="s">
        <v>1225</v>
      </c>
      <c r="Q41" s="304">
        <f>'[3]04.2020'!Q51+'[3]05.2020'!Q39</f>
        <v>125554852</v>
      </c>
    </row>
    <row r="42" spans="1:19" x14ac:dyDescent="0.25">
      <c r="B42"/>
      <c r="G42"/>
      <c r="Q42" s="294"/>
    </row>
    <row r="43" spans="1:19" x14ac:dyDescent="0.25">
      <c r="B43"/>
      <c r="G43"/>
      <c r="R43" s="195"/>
    </row>
  </sheetData>
  <mergeCells count="13">
    <mergeCell ref="C33:E33"/>
    <mergeCell ref="A1:Q1"/>
    <mergeCell ref="A2:Q2"/>
    <mergeCell ref="A3:Q3"/>
    <mergeCell ref="G5:N5"/>
    <mergeCell ref="C29:E29"/>
    <mergeCell ref="C30:E30"/>
    <mergeCell ref="A39:F39"/>
    <mergeCell ref="C34:E34"/>
    <mergeCell ref="C35:E35"/>
    <mergeCell ref="C38:E38"/>
    <mergeCell ref="C37:E37"/>
    <mergeCell ref="C36:E36"/>
  </mergeCells>
  <pageMargins left="0.7" right="0.7" top="0.75" bottom="0.75" header="0.3" footer="0.3"/>
  <pageSetup orientation="portrait" horizontalDpi="0" verticalDpi="0"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T44"/>
  <sheetViews>
    <sheetView workbookViewId="0">
      <selection activeCell="K25" sqref="K25"/>
    </sheetView>
  </sheetViews>
  <sheetFormatPr defaultRowHeight="15" x14ac:dyDescent="0.25"/>
  <cols>
    <col min="1" max="1" width="4.5703125" customWidth="1"/>
    <col min="2" max="2" width="9.140625" style="332"/>
    <col min="3" max="3" width="41.28515625" customWidth="1"/>
    <col min="4" max="4" width="16.5703125" customWidth="1"/>
    <col min="5" max="5" width="33.140625" customWidth="1"/>
    <col min="7" max="7" width="9.140625" style="292"/>
    <col min="8" max="8" width="10.140625" style="292" bestFit="1" customWidth="1"/>
    <col min="9" max="9" width="9.140625" style="293"/>
    <col min="10" max="10" width="9.140625" style="292"/>
    <col min="11" max="11" width="9.42578125" style="292" bestFit="1" customWidth="1"/>
    <col min="12" max="12" width="9.140625" style="173"/>
    <col min="13" max="14" width="9.140625" style="292"/>
    <col min="15" max="15" width="11.140625" style="292" customWidth="1"/>
    <col min="16" max="16" width="10.7109375" style="292" customWidth="1"/>
    <col min="17" max="17" width="12.28515625" style="292" customWidth="1"/>
    <col min="18" max="18" width="11.7109375" customWidth="1"/>
    <col min="19" max="19" width="18"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3180</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257"/>
      <c r="H4" s="258"/>
      <c r="I4" s="258"/>
      <c r="J4" s="258"/>
      <c r="K4" s="258"/>
      <c r="L4" s="91"/>
      <c r="M4" s="258"/>
      <c r="N4" s="258"/>
      <c r="O4" s="258"/>
      <c r="P4" s="258"/>
      <c r="Q4" s="258"/>
    </row>
    <row r="5" spans="1:20"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20"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20" x14ac:dyDescent="0.25">
      <c r="A7" s="75"/>
      <c r="B7" s="100"/>
      <c r="C7" s="88"/>
      <c r="D7" s="88"/>
      <c r="E7" s="134"/>
      <c r="F7" s="75"/>
      <c r="G7" s="263"/>
      <c r="H7" s="264"/>
      <c r="I7" s="264"/>
      <c r="J7" s="264"/>
      <c r="K7" s="264"/>
      <c r="L7" s="308"/>
      <c r="M7" s="264"/>
      <c r="N7" s="264"/>
      <c r="O7" s="264">
        <f>H7+J7+K7+L7+M7+N7</f>
        <v>0</v>
      </c>
      <c r="P7" s="265"/>
      <c r="Q7" s="264">
        <f>P7-O7</f>
        <v>0</v>
      </c>
    </row>
    <row r="8" spans="1:20" ht="20.100000000000001" customHeight="1" x14ac:dyDescent="0.25">
      <c r="A8" s="349">
        <v>1</v>
      </c>
      <c r="B8" s="348" t="s">
        <v>3132</v>
      </c>
      <c r="C8" s="135" t="s">
        <v>3116</v>
      </c>
      <c r="D8" s="136" t="s">
        <v>3154</v>
      </c>
      <c r="E8" s="78" t="s">
        <v>2007</v>
      </c>
      <c r="F8" s="80"/>
      <c r="G8" s="234">
        <v>190</v>
      </c>
      <c r="H8" s="234">
        <f>G8*10740</f>
        <v>2040600</v>
      </c>
      <c r="I8" s="266"/>
      <c r="J8" s="223">
        <v>1150000</v>
      </c>
      <c r="K8" s="267"/>
      <c r="L8" s="156"/>
      <c r="M8" s="189"/>
      <c r="N8" s="189"/>
      <c r="O8" s="268">
        <f>H8+J8+K8+L8+M8+N8</f>
        <v>3190600</v>
      </c>
      <c r="P8" s="268">
        <v>3560000</v>
      </c>
      <c r="Q8" s="263">
        <f>P8-O8</f>
        <v>369400</v>
      </c>
      <c r="R8" s="195"/>
      <c r="S8" s="333"/>
      <c r="T8" s="195"/>
    </row>
    <row r="9" spans="1:20" ht="20.100000000000001" customHeight="1" x14ac:dyDescent="0.25">
      <c r="A9" s="349">
        <v>2</v>
      </c>
      <c r="B9" s="348" t="s">
        <v>3133</v>
      </c>
      <c r="C9" s="135" t="s">
        <v>3117</v>
      </c>
      <c r="D9" s="172" t="s">
        <v>3155</v>
      </c>
      <c r="E9" s="78" t="s">
        <v>301</v>
      </c>
      <c r="F9" s="80"/>
      <c r="G9" s="234">
        <v>320</v>
      </c>
      <c r="H9" s="234">
        <f t="shared" ref="H9:H15" si="0">G9*10740</f>
        <v>3436800</v>
      </c>
      <c r="I9" s="271"/>
      <c r="J9" s="223">
        <v>3820000</v>
      </c>
      <c r="K9" s="267"/>
      <c r="L9" s="156"/>
      <c r="M9" s="189"/>
      <c r="N9" s="189"/>
      <c r="O9" s="268">
        <f t="shared" ref="O9:O29" si="1">H9+J9+K9+L9+M9+N9</f>
        <v>7256800</v>
      </c>
      <c r="P9" s="268">
        <v>17272727</v>
      </c>
      <c r="Q9" s="264">
        <f t="shared" ref="Q9:Q28" si="2">P9-O9</f>
        <v>10015927</v>
      </c>
      <c r="R9" s="195"/>
      <c r="S9" s="333"/>
      <c r="T9" s="195"/>
    </row>
    <row r="10" spans="1:20" ht="20.100000000000001" customHeight="1" x14ac:dyDescent="0.25">
      <c r="A10" s="349">
        <v>3</v>
      </c>
      <c r="B10" s="348" t="s">
        <v>3134</v>
      </c>
      <c r="C10" s="135" t="s">
        <v>3118</v>
      </c>
      <c r="D10" s="136" t="s">
        <v>3156</v>
      </c>
      <c r="E10" s="78" t="s">
        <v>563</v>
      </c>
      <c r="F10" s="80"/>
      <c r="G10" s="234"/>
      <c r="H10" s="234"/>
      <c r="I10" s="271"/>
      <c r="J10" s="223">
        <v>790000</v>
      </c>
      <c r="K10" s="267"/>
      <c r="L10" s="156"/>
      <c r="M10" s="189"/>
      <c r="N10" s="189"/>
      <c r="O10" s="268">
        <f t="shared" si="1"/>
        <v>790000</v>
      </c>
      <c r="P10" s="268">
        <v>3000000</v>
      </c>
      <c r="Q10" s="264">
        <f t="shared" si="2"/>
        <v>2210000</v>
      </c>
      <c r="R10" s="195"/>
      <c r="S10" s="333"/>
      <c r="T10" s="195"/>
    </row>
    <row r="11" spans="1:20" ht="20.100000000000001" customHeight="1" x14ac:dyDescent="0.25">
      <c r="A11" s="349">
        <v>4</v>
      </c>
      <c r="B11" s="348" t="s">
        <v>3135</v>
      </c>
      <c r="C11" s="135" t="s">
        <v>3119</v>
      </c>
      <c r="D11" s="136" t="s">
        <v>3157</v>
      </c>
      <c r="E11" s="78" t="s">
        <v>2439</v>
      </c>
      <c r="F11" s="80"/>
      <c r="G11" s="234"/>
      <c r="H11" s="234"/>
      <c r="I11" s="271"/>
      <c r="J11" s="223">
        <v>970000</v>
      </c>
      <c r="K11" s="267"/>
      <c r="L11" s="156"/>
      <c r="M11" s="189"/>
      <c r="N11" s="189"/>
      <c r="O11" s="268">
        <f t="shared" si="1"/>
        <v>970000</v>
      </c>
      <c r="P11" s="268">
        <v>3500000</v>
      </c>
      <c r="Q11" s="264">
        <f t="shared" si="2"/>
        <v>2530000</v>
      </c>
      <c r="R11" s="195"/>
      <c r="S11" s="333"/>
      <c r="T11" s="195"/>
    </row>
    <row r="12" spans="1:20" ht="20.100000000000001" customHeight="1" x14ac:dyDescent="0.25">
      <c r="A12" s="349">
        <v>5</v>
      </c>
      <c r="B12" s="348" t="s">
        <v>3136</v>
      </c>
      <c r="C12" s="135" t="s">
        <v>3120</v>
      </c>
      <c r="D12" s="136" t="s">
        <v>3158</v>
      </c>
      <c r="E12" s="78" t="s">
        <v>286</v>
      </c>
      <c r="F12" s="80"/>
      <c r="G12" s="234">
        <v>270</v>
      </c>
      <c r="H12" s="234">
        <f t="shared" si="0"/>
        <v>2899800</v>
      </c>
      <c r="I12" s="271"/>
      <c r="J12" s="223">
        <v>1150000</v>
      </c>
      <c r="K12" s="267"/>
      <c r="L12" s="156"/>
      <c r="M12" s="189"/>
      <c r="N12" s="189"/>
      <c r="O12" s="268">
        <f t="shared" si="1"/>
        <v>4049800</v>
      </c>
      <c r="P12" s="268">
        <v>3472727</v>
      </c>
      <c r="Q12" s="264">
        <f t="shared" si="2"/>
        <v>-577073</v>
      </c>
      <c r="R12" s="195"/>
      <c r="S12" s="333"/>
      <c r="T12" s="195"/>
    </row>
    <row r="13" spans="1:20" ht="20.100000000000001" customHeight="1" x14ac:dyDescent="0.25">
      <c r="A13" s="349">
        <v>6</v>
      </c>
      <c r="B13" s="348" t="s">
        <v>3137</v>
      </c>
      <c r="C13" s="135" t="s">
        <v>1175</v>
      </c>
      <c r="D13" s="136" t="s">
        <v>3159</v>
      </c>
      <c r="E13" s="78" t="s">
        <v>2007</v>
      </c>
      <c r="F13" s="80"/>
      <c r="G13" s="234"/>
      <c r="H13" s="234"/>
      <c r="I13" s="271"/>
      <c r="J13" s="223">
        <v>1150000</v>
      </c>
      <c r="K13" s="267"/>
      <c r="L13" s="156"/>
      <c r="M13" s="189"/>
      <c r="N13" s="189"/>
      <c r="O13" s="268">
        <f t="shared" si="1"/>
        <v>1150000</v>
      </c>
      <c r="P13" s="268">
        <v>3560000</v>
      </c>
      <c r="Q13" s="264">
        <f t="shared" si="2"/>
        <v>2410000</v>
      </c>
      <c r="R13" s="195"/>
      <c r="S13" s="333"/>
      <c r="T13" s="195"/>
    </row>
    <row r="14" spans="1:20" ht="20.100000000000001" customHeight="1" x14ac:dyDescent="0.25">
      <c r="A14" s="349">
        <v>7</v>
      </c>
      <c r="B14" s="348" t="s">
        <v>3138</v>
      </c>
      <c r="C14" s="135" t="s">
        <v>3121</v>
      </c>
      <c r="D14" s="136" t="s">
        <v>3160</v>
      </c>
      <c r="E14" s="78" t="s">
        <v>21</v>
      </c>
      <c r="F14" s="80"/>
      <c r="G14" s="234">
        <v>320</v>
      </c>
      <c r="H14" s="234">
        <f t="shared" si="0"/>
        <v>3436800</v>
      </c>
      <c r="I14" s="271"/>
      <c r="J14" s="223">
        <v>2740000</v>
      </c>
      <c r="K14" s="267"/>
      <c r="L14" s="156"/>
      <c r="M14" s="189"/>
      <c r="N14" s="189"/>
      <c r="O14" s="268">
        <f t="shared" si="1"/>
        <v>6176800</v>
      </c>
      <c r="P14" s="268">
        <v>11363636</v>
      </c>
      <c r="Q14" s="264">
        <f t="shared" si="2"/>
        <v>5186836</v>
      </c>
      <c r="R14" s="195"/>
      <c r="S14" s="333"/>
      <c r="T14" s="195"/>
    </row>
    <row r="15" spans="1:20" ht="20.100000000000001" customHeight="1" x14ac:dyDescent="0.25">
      <c r="A15" s="349">
        <v>8</v>
      </c>
      <c r="B15" s="348" t="s">
        <v>3139</v>
      </c>
      <c r="C15" s="135" t="s">
        <v>1850</v>
      </c>
      <c r="D15" s="136" t="s">
        <v>3161</v>
      </c>
      <c r="E15" s="78" t="s">
        <v>24</v>
      </c>
      <c r="F15" s="80"/>
      <c r="G15" s="234">
        <v>180</v>
      </c>
      <c r="H15" s="234">
        <f t="shared" si="0"/>
        <v>1933200</v>
      </c>
      <c r="I15" s="271"/>
      <c r="J15" s="223">
        <v>1890000</v>
      </c>
      <c r="K15" s="267"/>
      <c r="L15" s="156"/>
      <c r="M15" s="189"/>
      <c r="N15" s="189"/>
      <c r="O15" s="268">
        <f t="shared" si="1"/>
        <v>3823200</v>
      </c>
      <c r="P15" s="268">
        <v>7209091</v>
      </c>
      <c r="Q15" s="264">
        <f t="shared" si="2"/>
        <v>3385891</v>
      </c>
      <c r="R15" s="195"/>
      <c r="S15" s="333"/>
      <c r="T15" s="195"/>
    </row>
    <row r="16" spans="1:20" ht="20.100000000000001" customHeight="1" x14ac:dyDescent="0.25">
      <c r="A16" s="349">
        <v>9</v>
      </c>
      <c r="B16" s="348" t="s">
        <v>3140</v>
      </c>
      <c r="C16" s="135" t="s">
        <v>395</v>
      </c>
      <c r="D16" s="136" t="s">
        <v>3162</v>
      </c>
      <c r="E16" s="78" t="s">
        <v>21</v>
      </c>
      <c r="F16" s="80"/>
      <c r="G16" s="234">
        <v>245</v>
      </c>
      <c r="H16" s="234">
        <f>G16*11510</f>
        <v>2819950</v>
      </c>
      <c r="I16" s="271"/>
      <c r="J16" s="223">
        <v>2740000</v>
      </c>
      <c r="K16" s="267"/>
      <c r="L16" s="156"/>
      <c r="M16" s="189"/>
      <c r="N16" s="189"/>
      <c r="O16" s="268">
        <f t="shared" si="1"/>
        <v>5559950</v>
      </c>
      <c r="P16" s="268">
        <v>11363636</v>
      </c>
      <c r="Q16" s="264">
        <f t="shared" si="2"/>
        <v>5803686</v>
      </c>
      <c r="R16" s="195"/>
      <c r="S16" s="333"/>
      <c r="T16" s="195"/>
    </row>
    <row r="17" spans="1:20" ht="20.100000000000001" customHeight="1" x14ac:dyDescent="0.25">
      <c r="A17" s="349">
        <v>10</v>
      </c>
      <c r="B17" s="348" t="s">
        <v>3141</v>
      </c>
      <c r="C17" s="135" t="s">
        <v>3122</v>
      </c>
      <c r="D17" s="136" t="s">
        <v>3163</v>
      </c>
      <c r="E17" s="78" t="s">
        <v>3151</v>
      </c>
      <c r="F17" s="80"/>
      <c r="G17" s="234"/>
      <c r="H17" s="234"/>
      <c r="I17" s="271"/>
      <c r="J17" s="223">
        <v>970000</v>
      </c>
      <c r="K17" s="267"/>
      <c r="L17" s="156"/>
      <c r="M17" s="189"/>
      <c r="N17" s="189"/>
      <c r="O17" s="268">
        <f t="shared" si="1"/>
        <v>970000</v>
      </c>
      <c r="P17" s="268">
        <v>3600000</v>
      </c>
      <c r="Q17" s="264">
        <f t="shared" si="2"/>
        <v>2630000</v>
      </c>
      <c r="R17" s="195"/>
      <c r="S17" s="333"/>
      <c r="T17" s="195"/>
    </row>
    <row r="18" spans="1:20" ht="20.100000000000001" customHeight="1" x14ac:dyDescent="0.25">
      <c r="A18" s="349">
        <v>11</v>
      </c>
      <c r="B18" s="348" t="s">
        <v>3142</v>
      </c>
      <c r="C18" s="135" t="s">
        <v>1857</v>
      </c>
      <c r="D18" s="136" t="s">
        <v>3164</v>
      </c>
      <c r="E18" s="78" t="s">
        <v>2007</v>
      </c>
      <c r="F18" s="80"/>
      <c r="G18" s="234"/>
      <c r="H18" s="234"/>
      <c r="I18" s="271"/>
      <c r="J18" s="223">
        <v>1450000</v>
      </c>
      <c r="K18" s="267"/>
      <c r="L18" s="156"/>
      <c r="M18" s="189"/>
      <c r="N18" s="189"/>
      <c r="O18" s="268">
        <f t="shared" si="1"/>
        <v>1450000</v>
      </c>
      <c r="P18" s="268">
        <v>3560000</v>
      </c>
      <c r="Q18" s="264">
        <f t="shared" si="2"/>
        <v>2110000</v>
      </c>
      <c r="R18" s="195"/>
      <c r="S18" s="333"/>
      <c r="T18" s="195"/>
    </row>
    <row r="19" spans="1:20" ht="20.100000000000001" customHeight="1" x14ac:dyDescent="0.25">
      <c r="A19" s="349">
        <v>12</v>
      </c>
      <c r="B19" s="348" t="s">
        <v>3142</v>
      </c>
      <c r="C19" s="135" t="s">
        <v>3123</v>
      </c>
      <c r="D19" s="136" t="s">
        <v>3164</v>
      </c>
      <c r="E19" s="78" t="s">
        <v>1381</v>
      </c>
      <c r="F19" s="80"/>
      <c r="G19" s="234"/>
      <c r="H19" s="234"/>
      <c r="I19" s="271"/>
      <c r="J19" s="223"/>
      <c r="K19" s="267"/>
      <c r="L19" s="156"/>
      <c r="M19" s="189"/>
      <c r="N19" s="189"/>
      <c r="O19" s="268">
        <f t="shared" si="1"/>
        <v>0</v>
      </c>
      <c r="P19" s="268">
        <v>2000000</v>
      </c>
      <c r="Q19" s="264">
        <f t="shared" si="2"/>
        <v>2000000</v>
      </c>
      <c r="R19" s="195"/>
      <c r="S19" s="333"/>
      <c r="T19" s="195"/>
    </row>
    <row r="20" spans="1:20" ht="20.100000000000001" customHeight="1" x14ac:dyDescent="0.25">
      <c r="A20" s="349">
        <v>13</v>
      </c>
      <c r="B20" s="348" t="s">
        <v>3142</v>
      </c>
      <c r="C20" s="135" t="s">
        <v>3124</v>
      </c>
      <c r="D20" s="136" t="s">
        <v>3165</v>
      </c>
      <c r="E20" s="78" t="s">
        <v>88</v>
      </c>
      <c r="F20" s="80"/>
      <c r="G20" s="234"/>
      <c r="H20" s="234"/>
      <c r="I20" s="271"/>
      <c r="J20" s="223">
        <v>790000</v>
      </c>
      <c r="K20" s="267"/>
      <c r="L20" s="156"/>
      <c r="M20" s="189"/>
      <c r="N20" s="189"/>
      <c r="O20" s="268">
        <f t="shared" si="1"/>
        <v>790000</v>
      </c>
      <c r="P20" s="268">
        <v>3200000</v>
      </c>
      <c r="Q20" s="264">
        <f t="shared" si="2"/>
        <v>2410000</v>
      </c>
      <c r="R20" s="195"/>
      <c r="S20" s="333"/>
      <c r="T20" s="195"/>
    </row>
    <row r="21" spans="1:20" ht="20.100000000000001" customHeight="1" x14ac:dyDescent="0.25">
      <c r="A21" s="349">
        <v>14</v>
      </c>
      <c r="B21" s="348" t="s">
        <v>3143</v>
      </c>
      <c r="C21" s="135" t="s">
        <v>3125</v>
      </c>
      <c r="D21" s="136" t="s">
        <v>3166</v>
      </c>
      <c r="E21" s="78" t="s">
        <v>88</v>
      </c>
      <c r="F21" s="80"/>
      <c r="G21" s="234">
        <v>310</v>
      </c>
      <c r="H21" s="234">
        <f t="shared" ref="H21:H26" si="3">G21*11510</f>
        <v>3568100</v>
      </c>
      <c r="I21" s="271"/>
      <c r="J21" s="223">
        <v>790000</v>
      </c>
      <c r="K21" s="267"/>
      <c r="L21" s="156"/>
      <c r="M21" s="189"/>
      <c r="N21" s="189"/>
      <c r="O21" s="268">
        <f t="shared" si="1"/>
        <v>4358100</v>
      </c>
      <c r="P21" s="268">
        <v>3200000</v>
      </c>
      <c r="Q21" s="264">
        <f t="shared" si="2"/>
        <v>-1158100</v>
      </c>
      <c r="R21" s="195"/>
      <c r="S21" s="333"/>
      <c r="T21" s="195"/>
    </row>
    <row r="22" spans="1:20" ht="20.100000000000001" customHeight="1" x14ac:dyDescent="0.25">
      <c r="A22" s="349">
        <v>15</v>
      </c>
      <c r="B22" s="348" t="s">
        <v>3144</v>
      </c>
      <c r="C22" s="135" t="s">
        <v>3126</v>
      </c>
      <c r="D22" s="136" t="s">
        <v>3167</v>
      </c>
      <c r="E22" s="78" t="s">
        <v>24</v>
      </c>
      <c r="F22" s="80"/>
      <c r="G22" s="234">
        <v>275</v>
      </c>
      <c r="H22" s="234">
        <f t="shared" si="3"/>
        <v>3165250</v>
      </c>
      <c r="I22" s="271"/>
      <c r="J22" s="223">
        <v>1890000</v>
      </c>
      <c r="K22" s="267"/>
      <c r="L22" s="156"/>
      <c r="M22" s="189"/>
      <c r="N22" s="189"/>
      <c r="O22" s="268">
        <f t="shared" si="1"/>
        <v>5055250</v>
      </c>
      <c r="P22" s="268">
        <v>7209091</v>
      </c>
      <c r="Q22" s="264">
        <f t="shared" si="2"/>
        <v>2153841</v>
      </c>
      <c r="R22" s="195"/>
      <c r="S22" s="333"/>
      <c r="T22" s="195"/>
    </row>
    <row r="23" spans="1:20" ht="20.100000000000001" customHeight="1" x14ac:dyDescent="0.25">
      <c r="A23" s="349">
        <v>16</v>
      </c>
      <c r="B23" s="348" t="s">
        <v>3145</v>
      </c>
      <c r="C23" s="135" t="s">
        <v>3127</v>
      </c>
      <c r="D23" s="136" t="s">
        <v>3168</v>
      </c>
      <c r="E23" s="78" t="s">
        <v>2117</v>
      </c>
      <c r="F23" s="80"/>
      <c r="G23" s="234"/>
      <c r="H23" s="234"/>
      <c r="I23" s="271"/>
      <c r="J23" s="223">
        <v>1400000</v>
      </c>
      <c r="K23" s="267"/>
      <c r="L23" s="156"/>
      <c r="M23" s="189"/>
      <c r="N23" s="189"/>
      <c r="O23" s="268">
        <f t="shared" si="1"/>
        <v>1400000</v>
      </c>
      <c r="P23" s="268">
        <v>5454545</v>
      </c>
      <c r="Q23" s="264">
        <f t="shared" si="2"/>
        <v>4054545</v>
      </c>
      <c r="R23" s="195"/>
      <c r="S23" s="333"/>
      <c r="T23" s="195"/>
    </row>
    <row r="24" spans="1:20" ht="20.100000000000001" customHeight="1" x14ac:dyDescent="0.25">
      <c r="A24" s="349">
        <v>17</v>
      </c>
      <c r="B24" s="348" t="s">
        <v>3146</v>
      </c>
      <c r="C24" s="135" t="s">
        <v>3128</v>
      </c>
      <c r="D24" s="136" t="s">
        <v>3169</v>
      </c>
      <c r="E24" s="78" t="s">
        <v>2439</v>
      </c>
      <c r="F24" s="80"/>
      <c r="G24" s="234"/>
      <c r="H24" s="234"/>
      <c r="I24" s="271"/>
      <c r="J24" s="223">
        <v>970000</v>
      </c>
      <c r="K24" s="267"/>
      <c r="L24" s="156"/>
      <c r="M24" s="189"/>
      <c r="N24" s="189"/>
      <c r="O24" s="268">
        <f t="shared" si="1"/>
        <v>970000</v>
      </c>
      <c r="P24" s="268">
        <v>3763636</v>
      </c>
      <c r="Q24" s="264">
        <f t="shared" si="2"/>
        <v>2793636</v>
      </c>
      <c r="R24" s="195"/>
      <c r="S24" s="333"/>
      <c r="T24" s="195"/>
    </row>
    <row r="25" spans="1:20" ht="20.100000000000001" customHeight="1" x14ac:dyDescent="0.25">
      <c r="A25" s="349">
        <v>18</v>
      </c>
      <c r="B25" s="348" t="s">
        <v>3147</v>
      </c>
      <c r="C25" s="135" t="s">
        <v>2523</v>
      </c>
      <c r="D25" s="136" t="s">
        <v>3170</v>
      </c>
      <c r="E25" s="78" t="s">
        <v>27</v>
      </c>
      <c r="F25" s="80"/>
      <c r="G25" s="234">
        <v>310</v>
      </c>
      <c r="H25" s="234">
        <f t="shared" si="3"/>
        <v>3568100</v>
      </c>
      <c r="I25" s="271"/>
      <c r="J25" s="223">
        <v>790000</v>
      </c>
      <c r="K25" s="267"/>
      <c r="L25" s="156"/>
      <c r="M25" s="189"/>
      <c r="N25" s="189"/>
      <c r="O25" s="268">
        <f t="shared" si="1"/>
        <v>4358100</v>
      </c>
      <c r="P25" s="268">
        <v>3272727</v>
      </c>
      <c r="Q25" s="264">
        <f t="shared" si="2"/>
        <v>-1085373</v>
      </c>
      <c r="R25" s="195"/>
      <c r="S25" s="333"/>
      <c r="T25" s="195"/>
    </row>
    <row r="26" spans="1:20" ht="20.100000000000001" customHeight="1" x14ac:dyDescent="0.25">
      <c r="A26" s="349">
        <v>19</v>
      </c>
      <c r="B26" s="348" t="s">
        <v>3148</v>
      </c>
      <c r="C26" s="135" t="s">
        <v>3129</v>
      </c>
      <c r="D26" s="136" t="s">
        <v>3171</v>
      </c>
      <c r="E26" s="78" t="s">
        <v>1212</v>
      </c>
      <c r="F26" s="80"/>
      <c r="G26" s="234">
        <v>250</v>
      </c>
      <c r="H26" s="234">
        <f t="shared" si="3"/>
        <v>2877500</v>
      </c>
      <c r="I26" s="271"/>
      <c r="J26" s="223">
        <f>2740000+500000</f>
        <v>3240000</v>
      </c>
      <c r="K26" s="267"/>
      <c r="L26" s="156"/>
      <c r="M26" s="189"/>
      <c r="N26" s="189"/>
      <c r="O26" s="268">
        <f t="shared" si="1"/>
        <v>6117500</v>
      </c>
      <c r="P26" s="268">
        <v>7500000</v>
      </c>
      <c r="Q26" s="264">
        <f t="shared" si="2"/>
        <v>1382500</v>
      </c>
      <c r="R26" s="195"/>
      <c r="S26" s="333"/>
      <c r="T26" s="195"/>
    </row>
    <row r="27" spans="1:20" ht="20.100000000000001" customHeight="1" x14ac:dyDescent="0.25">
      <c r="A27" s="349">
        <v>20</v>
      </c>
      <c r="B27" s="348" t="s">
        <v>3148</v>
      </c>
      <c r="C27" s="135" t="s">
        <v>3129</v>
      </c>
      <c r="D27" s="136" t="s">
        <v>3172</v>
      </c>
      <c r="E27" s="78" t="s">
        <v>1212</v>
      </c>
      <c r="F27" s="80"/>
      <c r="G27" s="234"/>
      <c r="H27" s="234"/>
      <c r="I27" s="271"/>
      <c r="J27" s="223"/>
      <c r="K27" s="267"/>
      <c r="L27" s="156"/>
      <c r="M27" s="189"/>
      <c r="N27" s="189"/>
      <c r="O27" s="268">
        <f t="shared" si="1"/>
        <v>0</v>
      </c>
      <c r="P27" s="268">
        <v>7500000</v>
      </c>
      <c r="Q27" s="264">
        <f t="shared" si="2"/>
        <v>7500000</v>
      </c>
      <c r="R27" s="195"/>
      <c r="S27" s="333"/>
      <c r="T27" s="195"/>
    </row>
    <row r="28" spans="1:20" ht="20.100000000000001" customHeight="1" x14ac:dyDescent="0.25">
      <c r="A28" s="349">
        <v>21</v>
      </c>
      <c r="B28" s="348" t="s">
        <v>3149</v>
      </c>
      <c r="C28" s="135" t="s">
        <v>3130</v>
      </c>
      <c r="D28" s="136" t="s">
        <v>3173</v>
      </c>
      <c r="E28" s="78" t="s">
        <v>3152</v>
      </c>
      <c r="F28" s="80"/>
      <c r="G28" s="234"/>
      <c r="H28" s="234"/>
      <c r="I28" s="271"/>
      <c r="J28" s="223">
        <v>1370000</v>
      </c>
      <c r="K28" s="267"/>
      <c r="L28" s="156"/>
      <c r="M28" s="189"/>
      <c r="N28" s="189"/>
      <c r="O28" s="268">
        <f t="shared" si="1"/>
        <v>1370000</v>
      </c>
      <c r="P28" s="268">
        <v>4800000</v>
      </c>
      <c r="Q28" s="264">
        <f t="shared" si="2"/>
        <v>3430000</v>
      </c>
      <c r="R28" s="195"/>
      <c r="S28" s="333"/>
      <c r="T28" s="195"/>
    </row>
    <row r="29" spans="1:20" ht="20.100000000000001" customHeight="1" x14ac:dyDescent="0.25">
      <c r="A29" s="349">
        <v>22</v>
      </c>
      <c r="B29" s="348" t="s">
        <v>3150</v>
      </c>
      <c r="C29" s="135" t="s">
        <v>3131</v>
      </c>
      <c r="D29" s="136" t="s">
        <v>3174</v>
      </c>
      <c r="E29" s="78" t="s">
        <v>3153</v>
      </c>
      <c r="F29" s="80"/>
      <c r="G29" s="234">
        <v>230</v>
      </c>
      <c r="H29" s="234">
        <f>G29*12110</f>
        <v>2785300</v>
      </c>
      <c r="I29" s="271"/>
      <c r="J29" s="223">
        <v>970000</v>
      </c>
      <c r="K29" s="267"/>
      <c r="L29" s="156"/>
      <c r="M29" s="189"/>
      <c r="N29" s="189"/>
      <c r="O29" s="268">
        <f t="shared" si="1"/>
        <v>3755300</v>
      </c>
      <c r="P29" s="268">
        <v>3700000</v>
      </c>
      <c r="Q29" s="264">
        <f>P29-O29</f>
        <v>-55300</v>
      </c>
      <c r="R29" s="195"/>
      <c r="S29" s="333"/>
      <c r="T29" s="195"/>
    </row>
    <row r="30" spans="1:20" ht="20.100000000000001" customHeight="1" x14ac:dyDescent="0.25">
      <c r="A30" s="75"/>
      <c r="B30" s="348"/>
      <c r="C30" s="135"/>
      <c r="D30" s="136"/>
      <c r="E30" s="78"/>
      <c r="F30" s="80"/>
      <c r="G30" s="234"/>
      <c r="H30" s="234"/>
      <c r="I30" s="271"/>
      <c r="J30" s="263"/>
      <c r="K30" s="267"/>
      <c r="L30" s="156"/>
      <c r="M30" s="189"/>
      <c r="N30" s="189"/>
      <c r="O30" s="268"/>
      <c r="P30" s="272"/>
      <c r="Q30" s="270"/>
      <c r="R30" s="195"/>
      <c r="S30" s="333"/>
      <c r="T30" s="195"/>
    </row>
    <row r="31" spans="1:20" ht="20.100000000000001" customHeight="1" x14ac:dyDescent="0.25">
      <c r="A31" s="75"/>
      <c r="B31" s="348"/>
      <c r="C31" s="135"/>
      <c r="D31" s="136"/>
      <c r="E31" s="78"/>
      <c r="F31" s="80"/>
      <c r="G31" s="234"/>
      <c r="H31" s="234"/>
      <c r="I31" s="271"/>
      <c r="J31" s="263"/>
      <c r="K31" s="267"/>
      <c r="L31" s="156"/>
      <c r="M31" s="189"/>
      <c r="N31" s="189"/>
      <c r="O31" s="268"/>
      <c r="P31" s="272"/>
      <c r="Q31" s="270"/>
      <c r="R31" s="195"/>
      <c r="S31" s="333"/>
      <c r="T31" s="195"/>
    </row>
    <row r="32" spans="1:20" ht="16.149999999999999" customHeight="1" x14ac:dyDescent="0.25">
      <c r="A32" s="75"/>
      <c r="C32" s="564" t="s">
        <v>1273</v>
      </c>
      <c r="D32" s="565"/>
      <c r="E32" s="566"/>
      <c r="F32" s="163"/>
      <c r="G32" s="281"/>
      <c r="H32" s="282"/>
      <c r="I32" s="280"/>
      <c r="J32" s="194"/>
      <c r="K32" s="267"/>
      <c r="L32" s="318">
        <v>1200000</v>
      </c>
      <c r="M32" s="194"/>
      <c r="N32" s="194"/>
      <c r="O32" s="268">
        <f t="shared" ref="O32:O39" si="4">H32+J32+K32+L32+M32+N32</f>
        <v>1200000</v>
      </c>
      <c r="P32" s="264"/>
      <c r="Q32" s="270"/>
    </row>
    <row r="33" spans="1:19" ht="21.75" customHeight="1" x14ac:dyDescent="0.25">
      <c r="A33" s="134"/>
      <c r="C33" s="570" t="s">
        <v>3175</v>
      </c>
      <c r="D33" s="571"/>
      <c r="E33" s="572"/>
      <c r="F33" s="163"/>
      <c r="G33" s="281"/>
      <c r="H33" s="282"/>
      <c r="I33" s="280"/>
      <c r="J33" s="194"/>
      <c r="K33" s="278"/>
      <c r="L33" s="334"/>
      <c r="M33" s="166">
        <v>10000000</v>
      </c>
      <c r="N33" s="194"/>
      <c r="O33" s="268">
        <f t="shared" si="4"/>
        <v>10000000</v>
      </c>
      <c r="P33" s="265"/>
      <c r="Q33" s="270"/>
    </row>
    <row r="34" spans="1:19" ht="16.149999999999999" customHeight="1" x14ac:dyDescent="0.25">
      <c r="A34" s="134"/>
      <c r="C34" s="570" t="s">
        <v>3176</v>
      </c>
      <c r="D34" s="571"/>
      <c r="E34" s="572"/>
      <c r="F34" s="163"/>
      <c r="G34" s="281"/>
      <c r="H34" s="282"/>
      <c r="I34" s="280"/>
      <c r="J34" s="194"/>
      <c r="K34" s="278"/>
      <c r="L34" s="334">
        <v>1200000</v>
      </c>
      <c r="M34" s="194"/>
      <c r="N34" s="194"/>
      <c r="O34" s="268">
        <f t="shared" si="4"/>
        <v>1200000</v>
      </c>
      <c r="P34" s="265"/>
      <c r="Q34" s="270"/>
    </row>
    <row r="35" spans="1:19" ht="22.5" customHeight="1" x14ac:dyDescent="0.25">
      <c r="A35" s="134"/>
      <c r="C35" s="570" t="s">
        <v>3177</v>
      </c>
      <c r="D35" s="571"/>
      <c r="E35" s="572"/>
      <c r="F35" s="163"/>
      <c r="G35" s="281"/>
      <c r="H35" s="282"/>
      <c r="I35" s="280"/>
      <c r="J35" s="194"/>
      <c r="K35" s="278"/>
      <c r="L35" s="334">
        <v>300000</v>
      </c>
      <c r="M35" s="194"/>
      <c r="N35" s="194"/>
      <c r="O35" s="268">
        <f t="shared" si="4"/>
        <v>300000</v>
      </c>
      <c r="P35" s="265"/>
      <c r="Q35" s="270"/>
    </row>
    <row r="36" spans="1:19" ht="16.149999999999999" customHeight="1" x14ac:dyDescent="0.25">
      <c r="A36" s="134"/>
      <c r="C36" s="570" t="s">
        <v>3178</v>
      </c>
      <c r="D36" s="571"/>
      <c r="E36" s="572"/>
      <c r="F36" s="163"/>
      <c r="G36" s="281"/>
      <c r="H36" s="282"/>
      <c r="I36" s="280"/>
      <c r="J36" s="194"/>
      <c r="K36" s="278"/>
      <c r="L36" s="334">
        <v>2750000</v>
      </c>
      <c r="M36" s="194"/>
      <c r="N36" s="113"/>
      <c r="O36" s="268">
        <f t="shared" si="4"/>
        <v>2750000</v>
      </c>
      <c r="P36" s="265"/>
      <c r="Q36" s="270"/>
    </row>
    <row r="37" spans="1:19" ht="22.5" customHeight="1" x14ac:dyDescent="0.25">
      <c r="A37" s="134"/>
      <c r="C37" s="570" t="s">
        <v>3179</v>
      </c>
      <c r="D37" s="571"/>
      <c r="E37" s="572"/>
      <c r="F37" s="163"/>
      <c r="G37" s="281"/>
      <c r="H37" s="282"/>
      <c r="I37" s="280"/>
      <c r="J37" s="194"/>
      <c r="K37" s="278"/>
      <c r="L37" s="334">
        <v>400000</v>
      </c>
      <c r="M37" s="194"/>
      <c r="N37" s="194"/>
      <c r="O37" s="268">
        <f t="shared" si="4"/>
        <v>400000</v>
      </c>
      <c r="P37" s="265"/>
      <c r="Q37" s="270"/>
    </row>
    <row r="38" spans="1:19" ht="22.5" customHeight="1" x14ac:dyDescent="0.25">
      <c r="A38" s="134"/>
      <c r="C38" s="570" t="s">
        <v>3182</v>
      </c>
      <c r="D38" s="571"/>
      <c r="E38" s="572"/>
      <c r="F38" s="163"/>
      <c r="G38" s="281"/>
      <c r="H38" s="282"/>
      <c r="I38" s="280"/>
      <c r="J38" s="194"/>
      <c r="K38" s="278"/>
      <c r="L38" s="334">
        <v>380000</v>
      </c>
      <c r="M38" s="194"/>
      <c r="N38" s="194"/>
      <c r="O38" s="268">
        <f t="shared" si="4"/>
        <v>380000</v>
      </c>
      <c r="P38" s="265"/>
      <c r="Q38" s="270"/>
    </row>
    <row r="39" spans="1:19" ht="16.149999999999999" customHeight="1" x14ac:dyDescent="0.25">
      <c r="A39" s="134"/>
      <c r="B39" s="103"/>
      <c r="C39" s="567" t="s">
        <v>1386</v>
      </c>
      <c r="D39" s="568"/>
      <c r="E39" s="569"/>
      <c r="F39" s="110"/>
      <c r="G39" s="281"/>
      <c r="H39" s="282"/>
      <c r="I39" s="280"/>
      <c r="J39" s="194"/>
      <c r="K39" s="113">
        <v>8307692.307692307</v>
      </c>
      <c r="L39" s="141"/>
      <c r="M39" s="194"/>
      <c r="N39" s="194"/>
      <c r="O39" s="268">
        <f t="shared" si="4"/>
        <v>8307692.307692307</v>
      </c>
      <c r="P39" s="265"/>
      <c r="Q39" s="270"/>
    </row>
    <row r="40" spans="1:19" x14ac:dyDescent="0.25">
      <c r="A40" s="547" t="s">
        <v>19</v>
      </c>
      <c r="B40" s="548"/>
      <c r="C40" s="548"/>
      <c r="D40" s="548"/>
      <c r="E40" s="548"/>
      <c r="F40" s="549"/>
      <c r="G40" s="305">
        <f>SUM(G8:G39)</f>
        <v>2900</v>
      </c>
      <c r="H40" s="291">
        <f t="shared" ref="H40:P40" si="5">SUM(H7:H39)</f>
        <v>32531400</v>
      </c>
      <c r="I40" s="291">
        <f t="shared" si="5"/>
        <v>0</v>
      </c>
      <c r="J40" s="291">
        <f t="shared" si="5"/>
        <v>31030000</v>
      </c>
      <c r="K40" s="291">
        <f t="shared" si="5"/>
        <v>8307692.307692307</v>
      </c>
      <c r="L40" s="309">
        <f t="shared" si="5"/>
        <v>6230000</v>
      </c>
      <c r="M40" s="291">
        <f t="shared" si="5"/>
        <v>10000000</v>
      </c>
      <c r="N40" s="291">
        <f t="shared" si="5"/>
        <v>0</v>
      </c>
      <c r="O40" s="291">
        <f t="shared" si="5"/>
        <v>88099092.307692304</v>
      </c>
      <c r="P40" s="291">
        <f t="shared" si="5"/>
        <v>123061816</v>
      </c>
      <c r="Q40" s="297">
        <f>P40-O40</f>
        <v>34962723.692307696</v>
      </c>
      <c r="R40" s="195"/>
      <c r="S40" s="195"/>
    </row>
    <row r="41" spans="1:19" x14ac:dyDescent="0.25">
      <c r="P41" s="294"/>
      <c r="Q41" s="295"/>
    </row>
    <row r="42" spans="1:19" x14ac:dyDescent="0.25">
      <c r="B42"/>
      <c r="G42"/>
      <c r="H42" s="294"/>
      <c r="P42" s="296" t="s">
        <v>1225</v>
      </c>
      <c r="Q42" s="304">
        <f>'05.2020'!Q41+'06.2020'!Q40</f>
        <v>160517575.69230771</v>
      </c>
    </row>
    <row r="43" spans="1:19" x14ac:dyDescent="0.25">
      <c r="B43"/>
      <c r="G43"/>
      <c r="Q43" s="294"/>
    </row>
    <row r="44" spans="1:19" x14ac:dyDescent="0.25">
      <c r="B44"/>
      <c r="G44"/>
      <c r="R44" s="195"/>
    </row>
  </sheetData>
  <mergeCells count="13">
    <mergeCell ref="C33:E33"/>
    <mergeCell ref="A1:Q1"/>
    <mergeCell ref="A2:Q2"/>
    <mergeCell ref="A3:Q3"/>
    <mergeCell ref="G5:N5"/>
    <mergeCell ref="C32:E32"/>
    <mergeCell ref="C39:E39"/>
    <mergeCell ref="A40:F40"/>
    <mergeCell ref="C34:E34"/>
    <mergeCell ref="C35:E35"/>
    <mergeCell ref="C36:E36"/>
    <mergeCell ref="C37:E37"/>
    <mergeCell ref="C38:E38"/>
  </mergeCells>
  <pageMargins left="0.7" right="0.7" top="0.75" bottom="0.75" header="0.3" footer="0.3"/>
  <pageSetup orientation="portrait" horizontalDpi="0" verticalDpi="0"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S45"/>
  <sheetViews>
    <sheetView topLeftCell="A19" workbookViewId="0">
      <selection activeCell="H48" sqref="H48"/>
    </sheetView>
  </sheetViews>
  <sheetFormatPr defaultRowHeight="15" x14ac:dyDescent="0.25"/>
  <cols>
    <col min="1" max="1" width="4.5703125" customWidth="1"/>
    <col min="2" max="2" width="9.28515625" style="332" bestFit="1" customWidth="1"/>
    <col min="3" max="3" width="41.28515625" customWidth="1"/>
    <col min="4" max="4" width="16.5703125" customWidth="1"/>
    <col min="5" max="5" width="33.140625" customWidth="1"/>
    <col min="7" max="7" width="9.28515625" style="292" bestFit="1" customWidth="1"/>
    <col min="8" max="8" width="10.28515625" style="292" bestFit="1" customWidth="1"/>
    <col min="9" max="9" width="9.28515625" style="293" bestFit="1" customWidth="1"/>
    <col min="10" max="10" width="9.85546875" style="292" bestFit="1" customWidth="1"/>
    <col min="11" max="11" width="9.5703125" style="292" bestFit="1" customWidth="1"/>
    <col min="12" max="12" width="9.28515625" style="173" bestFit="1" customWidth="1"/>
    <col min="13" max="14" width="9.28515625" style="292" bestFit="1" customWidth="1"/>
    <col min="15" max="15" width="11.140625" style="292" customWidth="1"/>
    <col min="16" max="16" width="10.7109375" style="292" customWidth="1"/>
    <col min="17" max="17" width="12.28515625" style="292" customWidth="1"/>
    <col min="18" max="18" width="11.7109375"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3183</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19"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19" x14ac:dyDescent="0.25">
      <c r="A7" s="75"/>
      <c r="B7" s="100"/>
      <c r="C7" s="88"/>
      <c r="D7" s="88"/>
      <c r="E7" s="134"/>
      <c r="F7" s="75"/>
      <c r="G7" s="263"/>
      <c r="H7" s="264"/>
      <c r="I7" s="264"/>
      <c r="J7" s="264"/>
      <c r="K7" s="264"/>
      <c r="L7" s="308"/>
      <c r="M7" s="264"/>
      <c r="N7" s="264"/>
      <c r="O7" s="264">
        <f>H7+J7+K7+L7+M7+N7</f>
        <v>0</v>
      </c>
      <c r="P7" s="265"/>
      <c r="Q7" s="264">
        <f>P7-O7</f>
        <v>0</v>
      </c>
    </row>
    <row r="8" spans="1:19" ht="20.100000000000001" customHeight="1" x14ac:dyDescent="0.25">
      <c r="A8" s="350">
        <v>1</v>
      </c>
      <c r="B8" s="351">
        <v>44012</v>
      </c>
      <c r="C8" s="352" t="s">
        <v>3184</v>
      </c>
      <c r="D8" s="353" t="s">
        <v>3201</v>
      </c>
      <c r="E8" s="354" t="s">
        <v>24</v>
      </c>
      <c r="F8" s="355"/>
      <c r="G8" s="356">
        <v>184</v>
      </c>
      <c r="H8" s="356">
        <f>G8*12110</f>
        <v>2228240</v>
      </c>
      <c r="I8" s="357"/>
      <c r="J8" s="414">
        <v>1890000</v>
      </c>
      <c r="K8" s="359"/>
      <c r="L8" s="360"/>
      <c r="M8" s="361"/>
      <c r="N8" s="361"/>
      <c r="O8" s="362">
        <f>H8+J8+K8+L8+M8+N8</f>
        <v>4118240</v>
      </c>
      <c r="P8" s="362">
        <v>7209091</v>
      </c>
      <c r="Q8" s="358">
        <f>P8-O8</f>
        <v>3090851</v>
      </c>
      <c r="R8" s="195"/>
      <c r="S8" s="195"/>
    </row>
    <row r="9" spans="1:19" ht="20.100000000000001" customHeight="1" x14ac:dyDescent="0.25">
      <c r="A9" s="350">
        <v>2</v>
      </c>
      <c r="B9" s="351">
        <v>44013</v>
      </c>
      <c r="C9" s="352" t="s">
        <v>3185</v>
      </c>
      <c r="D9" s="363" t="s">
        <v>3202</v>
      </c>
      <c r="E9" s="354" t="s">
        <v>24</v>
      </c>
      <c r="F9" s="355"/>
      <c r="G9" s="356"/>
      <c r="H9" s="356"/>
      <c r="I9" s="364"/>
      <c r="J9" s="414">
        <v>1890000</v>
      </c>
      <c r="K9" s="359"/>
      <c r="L9" s="360"/>
      <c r="M9" s="361"/>
      <c r="N9" s="361"/>
      <c r="O9" s="362">
        <f t="shared" ref="O9:O33" si="0">H9+J9+K9+L9+M9+N9</f>
        <v>1890000</v>
      </c>
      <c r="P9" s="362">
        <v>7209091</v>
      </c>
      <c r="Q9" s="358">
        <f t="shared" ref="Q9:Q33" si="1">P9-O9</f>
        <v>5319091</v>
      </c>
      <c r="R9" s="195"/>
      <c r="S9" s="195"/>
    </row>
    <row r="10" spans="1:19" ht="20.100000000000001" customHeight="1" x14ac:dyDescent="0.25">
      <c r="A10" s="350">
        <v>3</v>
      </c>
      <c r="B10" s="351">
        <v>44014</v>
      </c>
      <c r="C10" s="352" t="s">
        <v>1893</v>
      </c>
      <c r="D10" s="353" t="s">
        <v>3228</v>
      </c>
      <c r="E10" s="354" t="s">
        <v>2007</v>
      </c>
      <c r="F10" s="355"/>
      <c r="G10" s="356">
        <v>270</v>
      </c>
      <c r="H10" s="356">
        <f t="shared" ref="H10:H30" si="2">G10*12110</f>
        <v>3269700</v>
      </c>
      <c r="I10" s="364"/>
      <c r="J10" s="414">
        <v>1150000</v>
      </c>
      <c r="K10" s="359"/>
      <c r="L10" s="360"/>
      <c r="M10" s="361"/>
      <c r="N10" s="361"/>
      <c r="O10" s="362">
        <f t="shared" si="0"/>
        <v>4419700</v>
      </c>
      <c r="P10" s="362">
        <v>3560000</v>
      </c>
      <c r="Q10" s="358">
        <f t="shared" si="1"/>
        <v>-859700</v>
      </c>
      <c r="R10" s="195"/>
      <c r="S10" s="195"/>
    </row>
    <row r="11" spans="1:19" ht="20.100000000000001" customHeight="1" x14ac:dyDescent="0.25">
      <c r="A11" s="350">
        <v>4</v>
      </c>
      <c r="B11" s="351">
        <v>44016</v>
      </c>
      <c r="C11" s="352" t="s">
        <v>1894</v>
      </c>
      <c r="D11" s="353" t="s">
        <v>3203</v>
      </c>
      <c r="E11" s="354" t="s">
        <v>3222</v>
      </c>
      <c r="F11" s="355"/>
      <c r="G11" s="356"/>
      <c r="H11" s="356"/>
      <c r="I11" s="364"/>
      <c r="J11" s="414">
        <v>970000</v>
      </c>
      <c r="K11" s="359"/>
      <c r="L11" s="360"/>
      <c r="M11" s="361"/>
      <c r="N11" s="361"/>
      <c r="O11" s="362">
        <f t="shared" si="0"/>
        <v>970000</v>
      </c>
      <c r="P11" s="362">
        <v>3118182</v>
      </c>
      <c r="Q11" s="358">
        <f t="shared" si="1"/>
        <v>2148182</v>
      </c>
      <c r="R11" s="195"/>
      <c r="S11" s="195"/>
    </row>
    <row r="12" spans="1:19" ht="20.100000000000001" customHeight="1" x14ac:dyDescent="0.25">
      <c r="A12" s="350">
        <v>5</v>
      </c>
      <c r="B12" s="365">
        <v>44018</v>
      </c>
      <c r="C12" s="366" t="s">
        <v>3186</v>
      </c>
      <c r="D12" s="367" t="s">
        <v>3204</v>
      </c>
      <c r="E12" s="354" t="s">
        <v>24</v>
      </c>
      <c r="F12" s="368"/>
      <c r="G12" s="369">
        <v>285</v>
      </c>
      <c r="H12" s="369">
        <f t="shared" si="2"/>
        <v>3451350</v>
      </c>
      <c r="I12" s="370"/>
      <c r="J12" s="414">
        <v>1890000</v>
      </c>
      <c r="K12" s="371"/>
      <c r="L12" s="372"/>
      <c r="M12" s="358"/>
      <c r="N12" s="358"/>
      <c r="O12" s="362">
        <f t="shared" si="0"/>
        <v>5341350</v>
      </c>
      <c r="P12" s="362">
        <v>7209091</v>
      </c>
      <c r="Q12" s="358">
        <f t="shared" si="1"/>
        <v>1867741</v>
      </c>
      <c r="R12" s="195"/>
      <c r="S12" s="195"/>
    </row>
    <row r="13" spans="1:19" ht="20.100000000000001" customHeight="1" x14ac:dyDescent="0.25">
      <c r="A13" s="350">
        <v>6</v>
      </c>
      <c r="B13" s="365">
        <v>44019</v>
      </c>
      <c r="C13" s="366" t="s">
        <v>3187</v>
      </c>
      <c r="D13" s="367" t="s">
        <v>3205</v>
      </c>
      <c r="E13" s="354" t="s">
        <v>24</v>
      </c>
      <c r="F13" s="368"/>
      <c r="G13" s="369"/>
      <c r="H13" s="369"/>
      <c r="I13" s="370"/>
      <c r="J13" s="414">
        <v>1890000</v>
      </c>
      <c r="K13" s="371"/>
      <c r="L13" s="372"/>
      <c r="M13" s="358"/>
      <c r="N13" s="358"/>
      <c r="O13" s="362">
        <f t="shared" si="0"/>
        <v>1890000</v>
      </c>
      <c r="P13" s="362">
        <v>7209091</v>
      </c>
      <c r="Q13" s="358">
        <f t="shared" si="1"/>
        <v>5319091</v>
      </c>
      <c r="R13" s="195"/>
      <c r="S13" s="195"/>
    </row>
    <row r="14" spans="1:19" ht="20.100000000000001" customHeight="1" x14ac:dyDescent="0.25">
      <c r="A14" s="350">
        <v>7</v>
      </c>
      <c r="B14" s="365">
        <v>44020</v>
      </c>
      <c r="C14" s="366" t="s">
        <v>1231</v>
      </c>
      <c r="D14" s="367" t="s">
        <v>3206</v>
      </c>
      <c r="E14" s="354" t="s">
        <v>3223</v>
      </c>
      <c r="F14" s="368"/>
      <c r="G14" s="369"/>
      <c r="H14" s="369"/>
      <c r="I14" s="370"/>
      <c r="J14" s="414">
        <f>970000+700000+700000</f>
        <v>2370000</v>
      </c>
      <c r="K14" s="371"/>
      <c r="L14" s="372"/>
      <c r="M14" s="358"/>
      <c r="N14" s="358"/>
      <c r="O14" s="362">
        <f t="shared" si="0"/>
        <v>2370000</v>
      </c>
      <c r="P14" s="362">
        <v>3400000</v>
      </c>
      <c r="Q14" s="358">
        <f t="shared" si="1"/>
        <v>1030000</v>
      </c>
      <c r="R14" s="195"/>
      <c r="S14" s="195"/>
    </row>
    <row r="15" spans="1:19" ht="20.100000000000001" customHeight="1" x14ac:dyDescent="0.25">
      <c r="A15" s="350">
        <v>8</v>
      </c>
      <c r="B15" s="365">
        <v>44020</v>
      </c>
      <c r="C15" s="366" t="s">
        <v>3188</v>
      </c>
      <c r="D15" s="367" t="s">
        <v>3206</v>
      </c>
      <c r="E15" s="354" t="s">
        <v>24</v>
      </c>
      <c r="F15" s="368"/>
      <c r="G15" s="369">
        <v>180</v>
      </c>
      <c r="H15" s="369">
        <f t="shared" si="2"/>
        <v>2179800</v>
      </c>
      <c r="I15" s="370"/>
      <c r="J15" s="414"/>
      <c r="K15" s="371"/>
      <c r="L15" s="372"/>
      <c r="M15" s="358"/>
      <c r="N15" s="358"/>
      <c r="O15" s="362">
        <f t="shared" si="0"/>
        <v>2179800</v>
      </c>
      <c r="P15" s="362">
        <v>6000000</v>
      </c>
      <c r="Q15" s="358">
        <f t="shared" si="1"/>
        <v>3820200</v>
      </c>
      <c r="R15" s="195"/>
      <c r="S15" s="195"/>
    </row>
    <row r="16" spans="1:19" ht="20.100000000000001" customHeight="1" x14ac:dyDescent="0.25">
      <c r="A16" s="350">
        <v>9</v>
      </c>
      <c r="B16" s="365">
        <v>44022</v>
      </c>
      <c r="C16" s="366" t="s">
        <v>3189</v>
      </c>
      <c r="D16" s="367" t="s">
        <v>3206</v>
      </c>
      <c r="E16" s="354" t="s">
        <v>24</v>
      </c>
      <c r="F16" s="368"/>
      <c r="G16" s="369"/>
      <c r="H16" s="369"/>
      <c r="I16" s="370"/>
      <c r="J16" s="414"/>
      <c r="K16" s="371"/>
      <c r="L16" s="372"/>
      <c r="M16" s="358"/>
      <c r="N16" s="358"/>
      <c r="O16" s="362">
        <f t="shared" si="0"/>
        <v>0</v>
      </c>
      <c r="P16" s="362">
        <v>4954545</v>
      </c>
      <c r="Q16" s="358">
        <f t="shared" si="1"/>
        <v>4954545</v>
      </c>
      <c r="R16" s="195"/>
      <c r="S16" s="195"/>
    </row>
    <row r="17" spans="1:19" ht="20.100000000000001" customHeight="1" x14ac:dyDescent="0.25">
      <c r="A17" s="350">
        <v>10</v>
      </c>
      <c r="B17" s="365">
        <v>44024</v>
      </c>
      <c r="C17" s="366" t="s">
        <v>3190</v>
      </c>
      <c r="D17" s="367" t="s">
        <v>3207</v>
      </c>
      <c r="E17" s="354" t="s">
        <v>3224</v>
      </c>
      <c r="F17" s="368"/>
      <c r="G17" s="369">
        <v>360</v>
      </c>
      <c r="H17" s="369">
        <f t="shared" si="2"/>
        <v>4359600</v>
      </c>
      <c r="I17" s="370"/>
      <c r="J17" s="414">
        <f>970000+480000</f>
        <v>1450000</v>
      </c>
      <c r="K17" s="371"/>
      <c r="L17" s="372"/>
      <c r="M17" s="358"/>
      <c r="N17" s="358"/>
      <c r="O17" s="362">
        <f t="shared" si="0"/>
        <v>5809600</v>
      </c>
      <c r="P17" s="362">
        <v>5500000</v>
      </c>
      <c r="Q17" s="358">
        <f t="shared" si="1"/>
        <v>-309600</v>
      </c>
      <c r="R17" s="195"/>
      <c r="S17" s="195"/>
    </row>
    <row r="18" spans="1:19" ht="20.100000000000001" customHeight="1" x14ac:dyDescent="0.25">
      <c r="A18" s="350">
        <v>11</v>
      </c>
      <c r="B18" s="365">
        <v>44024</v>
      </c>
      <c r="C18" s="366" t="s">
        <v>3191</v>
      </c>
      <c r="D18" s="367" t="s">
        <v>3207</v>
      </c>
      <c r="E18" s="354" t="s">
        <v>1948</v>
      </c>
      <c r="F18" s="368"/>
      <c r="G18" s="369"/>
      <c r="H18" s="369"/>
      <c r="I18" s="370"/>
      <c r="J18" s="414"/>
      <c r="K18" s="371"/>
      <c r="L18" s="372"/>
      <c r="M18" s="358"/>
      <c r="N18" s="358"/>
      <c r="O18" s="362">
        <f t="shared" si="0"/>
        <v>0</v>
      </c>
      <c r="P18" s="362">
        <v>0</v>
      </c>
      <c r="Q18" s="358">
        <f t="shared" si="1"/>
        <v>0</v>
      </c>
      <c r="R18" s="195"/>
      <c r="S18" s="195"/>
    </row>
    <row r="19" spans="1:19" ht="20.100000000000001" customHeight="1" x14ac:dyDescent="0.25">
      <c r="A19" s="350">
        <v>12</v>
      </c>
      <c r="B19" s="365">
        <v>44025</v>
      </c>
      <c r="C19" s="366" t="s">
        <v>3192</v>
      </c>
      <c r="D19" s="367" t="s">
        <v>3208</v>
      </c>
      <c r="E19" s="354" t="s">
        <v>2698</v>
      </c>
      <c r="F19" s="368"/>
      <c r="G19" s="369">
        <v>120</v>
      </c>
      <c r="H19" s="369">
        <f t="shared" si="2"/>
        <v>1453200</v>
      </c>
      <c r="I19" s="370"/>
      <c r="J19" s="414">
        <v>200000</v>
      </c>
      <c r="K19" s="371"/>
      <c r="L19" s="372"/>
      <c r="M19" s="358"/>
      <c r="N19" s="358"/>
      <c r="O19" s="362">
        <f t="shared" si="0"/>
        <v>1653200</v>
      </c>
      <c r="P19" s="362">
        <v>1000000</v>
      </c>
      <c r="Q19" s="358">
        <f t="shared" si="1"/>
        <v>-653200</v>
      </c>
      <c r="R19" s="195"/>
      <c r="S19" s="195"/>
    </row>
    <row r="20" spans="1:19" ht="20.100000000000001" customHeight="1" x14ac:dyDescent="0.25">
      <c r="A20" s="350">
        <v>13</v>
      </c>
      <c r="B20" s="365">
        <v>44025</v>
      </c>
      <c r="C20" s="366" t="s">
        <v>453</v>
      </c>
      <c r="D20" s="367" t="s">
        <v>3209</v>
      </c>
      <c r="E20" s="354" t="s">
        <v>562</v>
      </c>
      <c r="F20" s="368"/>
      <c r="G20" s="369">
        <v>240</v>
      </c>
      <c r="H20" s="369">
        <f t="shared" si="2"/>
        <v>2906400</v>
      </c>
      <c r="I20" s="370"/>
      <c r="J20" s="414">
        <v>2740000</v>
      </c>
      <c r="K20" s="371"/>
      <c r="L20" s="372"/>
      <c r="M20" s="358"/>
      <c r="N20" s="358"/>
      <c r="O20" s="362">
        <f t="shared" si="0"/>
        <v>5646400</v>
      </c>
      <c r="P20" s="362">
        <v>13090909</v>
      </c>
      <c r="Q20" s="358">
        <f t="shared" si="1"/>
        <v>7444509</v>
      </c>
      <c r="R20" s="195"/>
      <c r="S20" s="195"/>
    </row>
    <row r="21" spans="1:19" ht="20.100000000000001" customHeight="1" x14ac:dyDescent="0.25">
      <c r="A21" s="350">
        <v>14</v>
      </c>
      <c r="B21" s="365">
        <v>44026</v>
      </c>
      <c r="C21" s="366" t="s">
        <v>3193</v>
      </c>
      <c r="D21" s="367" t="s">
        <v>3210</v>
      </c>
      <c r="E21" s="354" t="s">
        <v>21</v>
      </c>
      <c r="F21" s="368"/>
      <c r="G21" s="369">
        <v>245</v>
      </c>
      <c r="H21" s="369">
        <f t="shared" si="2"/>
        <v>2966950</v>
      </c>
      <c r="I21" s="370"/>
      <c r="J21" s="414">
        <v>2740000</v>
      </c>
      <c r="K21" s="371"/>
      <c r="L21" s="372"/>
      <c r="M21" s="358"/>
      <c r="N21" s="358"/>
      <c r="O21" s="362">
        <f t="shared" si="0"/>
        <v>5706950</v>
      </c>
      <c r="P21" s="362">
        <v>11818182</v>
      </c>
      <c r="Q21" s="358">
        <f t="shared" si="1"/>
        <v>6111232</v>
      </c>
      <c r="R21" s="195"/>
      <c r="S21" s="195"/>
    </row>
    <row r="22" spans="1:19" ht="20.100000000000001" customHeight="1" x14ac:dyDescent="0.25">
      <c r="A22" s="350">
        <v>15</v>
      </c>
      <c r="B22" s="365">
        <v>44027</v>
      </c>
      <c r="C22" s="366" t="s">
        <v>3194</v>
      </c>
      <c r="D22" s="367" t="s">
        <v>3211</v>
      </c>
      <c r="E22" s="354" t="s">
        <v>1614</v>
      </c>
      <c r="F22" s="368"/>
      <c r="G22" s="369"/>
      <c r="H22" s="369"/>
      <c r="I22" s="370"/>
      <c r="J22" s="414">
        <v>790000</v>
      </c>
      <c r="K22" s="371"/>
      <c r="L22" s="372"/>
      <c r="M22" s="358"/>
      <c r="N22" s="358"/>
      <c r="O22" s="362">
        <f t="shared" si="0"/>
        <v>790000</v>
      </c>
      <c r="P22" s="362">
        <v>2800000</v>
      </c>
      <c r="Q22" s="358">
        <f t="shared" si="1"/>
        <v>2010000</v>
      </c>
      <c r="R22" s="195"/>
      <c r="S22" s="195"/>
    </row>
    <row r="23" spans="1:19" ht="20.100000000000001" customHeight="1" x14ac:dyDescent="0.25">
      <c r="A23" s="350">
        <v>16</v>
      </c>
      <c r="B23" s="365">
        <v>44028</v>
      </c>
      <c r="C23" s="366" t="s">
        <v>3195</v>
      </c>
      <c r="D23" s="367" t="s">
        <v>3212</v>
      </c>
      <c r="E23" s="354" t="s">
        <v>960</v>
      </c>
      <c r="F23" s="368"/>
      <c r="G23" s="369"/>
      <c r="H23" s="369"/>
      <c r="I23" s="370"/>
      <c r="J23" s="414">
        <v>1170000</v>
      </c>
      <c r="K23" s="371"/>
      <c r="L23" s="372"/>
      <c r="M23" s="358"/>
      <c r="N23" s="358"/>
      <c r="O23" s="362">
        <f t="shared" si="0"/>
        <v>1170000</v>
      </c>
      <c r="P23" s="362">
        <v>4000000</v>
      </c>
      <c r="Q23" s="358">
        <f t="shared" si="1"/>
        <v>2830000</v>
      </c>
      <c r="R23" s="195"/>
      <c r="S23" s="195"/>
    </row>
    <row r="24" spans="1:19" ht="20.100000000000001" customHeight="1" x14ac:dyDescent="0.25">
      <c r="A24" s="350">
        <v>17</v>
      </c>
      <c r="B24" s="365">
        <v>44030</v>
      </c>
      <c r="C24" s="366" t="s">
        <v>1238</v>
      </c>
      <c r="D24" s="367" t="s">
        <v>3213</v>
      </c>
      <c r="E24" s="354" t="s">
        <v>21</v>
      </c>
      <c r="F24" s="368"/>
      <c r="G24" s="369">
        <v>180</v>
      </c>
      <c r="H24" s="369">
        <f t="shared" si="2"/>
        <v>2179800</v>
      </c>
      <c r="I24" s="370"/>
      <c r="J24" s="414">
        <v>2740000</v>
      </c>
      <c r="K24" s="371"/>
      <c r="L24" s="372"/>
      <c r="M24" s="358"/>
      <c r="N24" s="358"/>
      <c r="O24" s="362">
        <f t="shared" si="0"/>
        <v>4919800</v>
      </c>
      <c r="P24" s="362">
        <v>11363636</v>
      </c>
      <c r="Q24" s="358">
        <f t="shared" si="1"/>
        <v>6443836</v>
      </c>
      <c r="R24" s="195"/>
      <c r="S24" s="195"/>
    </row>
    <row r="25" spans="1:19" ht="20.100000000000001" customHeight="1" x14ac:dyDescent="0.25">
      <c r="A25" s="350">
        <v>18</v>
      </c>
      <c r="B25" s="365">
        <v>44032</v>
      </c>
      <c r="C25" s="366" t="s">
        <v>3196</v>
      </c>
      <c r="D25" s="367" t="s">
        <v>3214</v>
      </c>
      <c r="E25" s="354" t="s">
        <v>3225</v>
      </c>
      <c r="F25" s="368"/>
      <c r="G25" s="369">
        <v>240</v>
      </c>
      <c r="H25" s="369">
        <f t="shared" si="2"/>
        <v>2906400</v>
      </c>
      <c r="I25" s="370"/>
      <c r="J25" s="414">
        <v>960000</v>
      </c>
      <c r="K25" s="371"/>
      <c r="L25" s="372"/>
      <c r="M25" s="358"/>
      <c r="N25" s="358"/>
      <c r="O25" s="362">
        <f t="shared" si="0"/>
        <v>3866400</v>
      </c>
      <c r="P25" s="362">
        <v>4200000</v>
      </c>
      <c r="Q25" s="358">
        <f t="shared" si="1"/>
        <v>333600</v>
      </c>
      <c r="R25" s="195"/>
      <c r="S25" s="195"/>
    </row>
    <row r="26" spans="1:19" ht="20.100000000000001" customHeight="1" x14ac:dyDescent="0.25">
      <c r="A26" s="350">
        <v>19</v>
      </c>
      <c r="B26" s="365">
        <v>44033</v>
      </c>
      <c r="C26" s="366" t="s">
        <v>3197</v>
      </c>
      <c r="D26" s="367" t="s">
        <v>3215</v>
      </c>
      <c r="E26" s="354" t="s">
        <v>24</v>
      </c>
      <c r="F26" s="368"/>
      <c r="G26" s="369"/>
      <c r="H26" s="369"/>
      <c r="I26" s="370"/>
      <c r="J26" s="414">
        <v>1890000</v>
      </c>
      <c r="K26" s="371"/>
      <c r="L26" s="372"/>
      <c r="M26" s="358"/>
      <c r="N26" s="358"/>
      <c r="O26" s="362">
        <f t="shared" si="0"/>
        <v>1890000</v>
      </c>
      <c r="P26" s="362">
        <v>7572727</v>
      </c>
      <c r="Q26" s="358">
        <f t="shared" si="1"/>
        <v>5682727</v>
      </c>
      <c r="R26" s="195"/>
      <c r="S26" s="195"/>
    </row>
    <row r="27" spans="1:19" ht="20.100000000000001" customHeight="1" x14ac:dyDescent="0.25">
      <c r="A27" s="350">
        <v>20</v>
      </c>
      <c r="B27" s="365">
        <v>44034</v>
      </c>
      <c r="C27" s="366" t="s">
        <v>1910</v>
      </c>
      <c r="D27" s="367" t="s">
        <v>3216</v>
      </c>
      <c r="E27" s="354" t="s">
        <v>24</v>
      </c>
      <c r="F27" s="368"/>
      <c r="G27" s="369">
        <v>305</v>
      </c>
      <c r="H27" s="369">
        <f t="shared" si="2"/>
        <v>3693550</v>
      </c>
      <c r="I27" s="370"/>
      <c r="J27" s="414">
        <v>1890000</v>
      </c>
      <c r="K27" s="371"/>
      <c r="L27" s="372"/>
      <c r="M27" s="358"/>
      <c r="N27" s="358"/>
      <c r="O27" s="362">
        <f t="shared" si="0"/>
        <v>5583550</v>
      </c>
      <c r="P27" s="362">
        <v>7209091</v>
      </c>
      <c r="Q27" s="358">
        <f t="shared" si="1"/>
        <v>1625541</v>
      </c>
      <c r="R27" s="195"/>
      <c r="S27" s="195"/>
    </row>
    <row r="28" spans="1:19" ht="20.100000000000001" customHeight="1" x14ac:dyDescent="0.25">
      <c r="A28" s="350">
        <v>21</v>
      </c>
      <c r="B28" s="351">
        <v>44035</v>
      </c>
      <c r="C28" s="352" t="s">
        <v>3198</v>
      </c>
      <c r="D28" s="353" t="s">
        <v>3217</v>
      </c>
      <c r="E28" s="354" t="s">
        <v>1381</v>
      </c>
      <c r="F28" s="355"/>
      <c r="G28" s="356"/>
      <c r="H28" s="356"/>
      <c r="I28" s="364"/>
      <c r="J28" s="414">
        <v>300000</v>
      </c>
      <c r="K28" s="359"/>
      <c r="L28" s="360"/>
      <c r="M28" s="361"/>
      <c r="N28" s="361"/>
      <c r="O28" s="362">
        <f t="shared" si="0"/>
        <v>300000</v>
      </c>
      <c r="P28" s="362">
        <v>1190909</v>
      </c>
      <c r="Q28" s="358">
        <f t="shared" si="1"/>
        <v>890909</v>
      </c>
      <c r="R28" s="195"/>
      <c r="S28" s="195"/>
    </row>
    <row r="29" spans="1:19" ht="20.100000000000001" customHeight="1" x14ac:dyDescent="0.25">
      <c r="A29" s="350">
        <v>22</v>
      </c>
      <c r="B29" s="351">
        <v>44036</v>
      </c>
      <c r="C29" s="352" t="s">
        <v>2607</v>
      </c>
      <c r="D29" s="353" t="s">
        <v>3218</v>
      </c>
      <c r="E29" s="354" t="s">
        <v>21</v>
      </c>
      <c r="F29" s="355"/>
      <c r="G29" s="356">
        <v>205</v>
      </c>
      <c r="H29" s="356">
        <f t="shared" si="2"/>
        <v>2482550</v>
      </c>
      <c r="I29" s="364"/>
      <c r="J29" s="414">
        <v>2740000</v>
      </c>
      <c r="K29" s="359"/>
      <c r="L29" s="360"/>
      <c r="M29" s="361"/>
      <c r="N29" s="361"/>
      <c r="O29" s="362">
        <f t="shared" si="0"/>
        <v>5222550</v>
      </c>
      <c r="P29" s="362">
        <v>11363636</v>
      </c>
      <c r="Q29" s="358">
        <f t="shared" si="1"/>
        <v>6141086</v>
      </c>
      <c r="R29" s="195"/>
      <c r="S29" s="195"/>
    </row>
    <row r="30" spans="1:19" ht="20.100000000000001" customHeight="1" x14ac:dyDescent="0.25">
      <c r="A30" s="350">
        <v>23</v>
      </c>
      <c r="B30" s="351">
        <v>44037</v>
      </c>
      <c r="C30" s="352" t="s">
        <v>1244</v>
      </c>
      <c r="D30" s="353" t="s">
        <v>3219</v>
      </c>
      <c r="E30" s="354" t="s">
        <v>88</v>
      </c>
      <c r="F30" s="355"/>
      <c r="G30" s="356">
        <v>245</v>
      </c>
      <c r="H30" s="356">
        <f t="shared" si="2"/>
        <v>2966950</v>
      </c>
      <c r="I30" s="364"/>
      <c r="J30" s="414">
        <v>790000</v>
      </c>
      <c r="K30" s="359"/>
      <c r="L30" s="360"/>
      <c r="M30" s="361"/>
      <c r="N30" s="361"/>
      <c r="O30" s="362">
        <f t="shared" si="0"/>
        <v>3756950</v>
      </c>
      <c r="P30" s="362">
        <v>3200000</v>
      </c>
      <c r="Q30" s="358">
        <f t="shared" si="1"/>
        <v>-556950</v>
      </c>
      <c r="R30" s="195"/>
      <c r="S30" s="195"/>
    </row>
    <row r="31" spans="1:19" ht="20.100000000000001" customHeight="1" x14ac:dyDescent="0.25">
      <c r="A31" s="350">
        <v>24</v>
      </c>
      <c r="B31" s="351">
        <v>44039</v>
      </c>
      <c r="C31" s="352" t="s">
        <v>3199</v>
      </c>
      <c r="D31" s="353" t="s">
        <v>3220</v>
      </c>
      <c r="E31" s="354" t="s">
        <v>422</v>
      </c>
      <c r="F31" s="355"/>
      <c r="G31" s="356"/>
      <c r="H31" s="356"/>
      <c r="I31" s="364"/>
      <c r="J31" s="414">
        <v>970000</v>
      </c>
      <c r="K31" s="359"/>
      <c r="L31" s="360"/>
      <c r="M31" s="361"/>
      <c r="N31" s="361"/>
      <c r="O31" s="362">
        <f t="shared" si="0"/>
        <v>970000</v>
      </c>
      <c r="P31" s="362">
        <v>3227273</v>
      </c>
      <c r="Q31" s="358">
        <f t="shared" si="1"/>
        <v>2257273</v>
      </c>
      <c r="R31" s="195"/>
      <c r="S31" s="195"/>
    </row>
    <row r="32" spans="1:19" ht="20.100000000000001" customHeight="1" x14ac:dyDescent="0.25">
      <c r="A32" s="350">
        <v>25</v>
      </c>
      <c r="B32" s="351">
        <v>44041</v>
      </c>
      <c r="C32" s="352" t="s">
        <v>1915</v>
      </c>
      <c r="D32" s="353" t="s">
        <v>3221</v>
      </c>
      <c r="E32" s="354" t="s">
        <v>2826</v>
      </c>
      <c r="F32" s="355"/>
      <c r="G32" s="356"/>
      <c r="H32" s="356"/>
      <c r="I32" s="364"/>
      <c r="J32" s="414"/>
      <c r="K32" s="359"/>
      <c r="L32" s="360"/>
      <c r="M32" s="361"/>
      <c r="N32" s="361"/>
      <c r="O32" s="362">
        <f t="shared" si="0"/>
        <v>0</v>
      </c>
      <c r="P32" s="362">
        <v>0</v>
      </c>
      <c r="Q32" s="358">
        <f t="shared" si="1"/>
        <v>0</v>
      </c>
      <c r="R32" s="195"/>
      <c r="S32" s="195"/>
    </row>
    <row r="33" spans="1:19" ht="20.100000000000001" customHeight="1" x14ac:dyDescent="0.25">
      <c r="A33" s="350">
        <v>26</v>
      </c>
      <c r="B33" s="351">
        <v>44042</v>
      </c>
      <c r="C33" s="352" t="s">
        <v>3200</v>
      </c>
      <c r="D33" s="373" t="s">
        <v>3221</v>
      </c>
      <c r="E33" s="354" t="s">
        <v>771</v>
      </c>
      <c r="F33" s="355"/>
      <c r="G33" s="356">
        <v>320</v>
      </c>
      <c r="H33" s="356">
        <f>G33*12390</f>
        <v>3964800</v>
      </c>
      <c r="I33" s="364"/>
      <c r="J33" s="414">
        <v>1270000</v>
      </c>
      <c r="K33" s="359"/>
      <c r="L33" s="360"/>
      <c r="M33" s="361"/>
      <c r="N33" s="361"/>
      <c r="O33" s="362">
        <f t="shared" si="0"/>
        <v>5234800</v>
      </c>
      <c r="P33" s="362">
        <v>5500000</v>
      </c>
      <c r="Q33" s="358">
        <f t="shared" si="1"/>
        <v>265200</v>
      </c>
      <c r="R33" s="195"/>
      <c r="S33" s="195"/>
    </row>
    <row r="34" spans="1:19" ht="20.100000000000001" customHeight="1" x14ac:dyDescent="0.25">
      <c r="A34" s="374"/>
      <c r="B34" s="375"/>
      <c r="C34" s="376"/>
      <c r="D34" s="373"/>
      <c r="E34" s="354"/>
      <c r="F34" s="355"/>
      <c r="G34" s="356"/>
      <c r="H34" s="356"/>
      <c r="I34" s="364"/>
      <c r="J34" s="358"/>
      <c r="K34" s="359"/>
      <c r="L34" s="372"/>
      <c r="M34" s="361"/>
      <c r="N34" s="361"/>
      <c r="O34" s="362"/>
      <c r="P34" s="377"/>
      <c r="Q34" s="378"/>
      <c r="R34" s="195"/>
      <c r="S34" s="195"/>
    </row>
    <row r="35" spans="1:19" ht="16.149999999999999" customHeight="1" x14ac:dyDescent="0.25">
      <c r="A35" s="374"/>
      <c r="B35" s="379"/>
      <c r="C35" s="585" t="s">
        <v>1273</v>
      </c>
      <c r="D35" s="586"/>
      <c r="E35" s="587"/>
      <c r="F35" s="380"/>
      <c r="G35" s="381"/>
      <c r="H35" s="382"/>
      <c r="I35" s="383"/>
      <c r="J35" s="384"/>
      <c r="K35" s="359"/>
      <c r="L35" s="372">
        <v>1200000</v>
      </c>
      <c r="M35" s="384"/>
      <c r="N35" s="384"/>
      <c r="O35" s="362">
        <f>H35+J35+K35+L35+M35+N35</f>
        <v>1200000</v>
      </c>
      <c r="P35" s="385"/>
      <c r="Q35" s="378"/>
    </row>
    <row r="36" spans="1:19" ht="27.75" customHeight="1" x14ac:dyDescent="0.25">
      <c r="A36" s="386"/>
      <c r="B36" s="379"/>
      <c r="C36" s="582" t="s">
        <v>3227</v>
      </c>
      <c r="D36" s="583"/>
      <c r="E36" s="584"/>
      <c r="F36" s="380"/>
      <c r="G36" s="381"/>
      <c r="H36" s="382"/>
      <c r="I36" s="383"/>
      <c r="J36" s="384"/>
      <c r="K36" s="387"/>
      <c r="L36" s="388">
        <v>1850000</v>
      </c>
      <c r="M36" s="384"/>
      <c r="N36" s="384"/>
      <c r="O36" s="362">
        <f t="shared" ref="O36:O40" si="3">H36+J36+K36+L36+M36+N36</f>
        <v>1850000</v>
      </c>
      <c r="P36" s="389"/>
      <c r="Q36" s="378"/>
    </row>
    <row r="37" spans="1:19" ht="21.75" customHeight="1" x14ac:dyDescent="0.25">
      <c r="A37" s="386"/>
      <c r="B37" s="379"/>
      <c r="C37" s="582" t="s">
        <v>3226</v>
      </c>
      <c r="D37" s="583"/>
      <c r="E37" s="584"/>
      <c r="F37" s="380"/>
      <c r="G37" s="381"/>
      <c r="H37" s="382"/>
      <c r="I37" s="383"/>
      <c r="J37" s="384"/>
      <c r="K37" s="387"/>
      <c r="L37" s="388">
        <v>160000</v>
      </c>
      <c r="M37" s="390"/>
      <c r="N37" s="384"/>
      <c r="O37" s="362">
        <f t="shared" si="3"/>
        <v>160000</v>
      </c>
      <c r="P37" s="389"/>
      <c r="Q37" s="378"/>
    </row>
    <row r="38" spans="1:19" ht="21.75" customHeight="1" x14ac:dyDescent="0.25">
      <c r="A38" s="386"/>
      <c r="B38" s="379"/>
      <c r="C38" s="582" t="s">
        <v>3230</v>
      </c>
      <c r="D38" s="583"/>
      <c r="E38" s="584"/>
      <c r="F38" s="380"/>
      <c r="G38" s="381"/>
      <c r="H38" s="382"/>
      <c r="I38" s="383"/>
      <c r="J38" s="384"/>
      <c r="K38" s="387"/>
      <c r="L38" s="388">
        <v>1070000</v>
      </c>
      <c r="M38" s="390"/>
      <c r="N38" s="384"/>
      <c r="O38" s="362">
        <f t="shared" si="3"/>
        <v>1070000</v>
      </c>
      <c r="P38" s="389"/>
      <c r="Q38" s="378"/>
    </row>
    <row r="39" spans="1:19" ht="30" customHeight="1" x14ac:dyDescent="0.25">
      <c r="A39" s="386"/>
      <c r="B39" s="379"/>
      <c r="C39" s="582" t="s">
        <v>3229</v>
      </c>
      <c r="D39" s="583"/>
      <c r="E39" s="584"/>
      <c r="F39" s="380"/>
      <c r="G39" s="381"/>
      <c r="H39" s="382"/>
      <c r="I39" s="383"/>
      <c r="J39" s="384"/>
      <c r="K39" s="387"/>
      <c r="L39" s="388">
        <v>700000</v>
      </c>
      <c r="M39" s="390"/>
      <c r="N39" s="384"/>
      <c r="O39" s="362">
        <f t="shared" si="3"/>
        <v>700000</v>
      </c>
      <c r="P39" s="389"/>
      <c r="Q39" s="378"/>
    </row>
    <row r="40" spans="1:19" ht="16.149999999999999" customHeight="1" x14ac:dyDescent="0.25">
      <c r="A40" s="386"/>
      <c r="B40" s="391"/>
      <c r="C40" s="579" t="s">
        <v>1386</v>
      </c>
      <c r="D40" s="580"/>
      <c r="E40" s="581"/>
      <c r="F40" s="392"/>
      <c r="G40" s="381"/>
      <c r="H40" s="382"/>
      <c r="I40" s="383"/>
      <c r="J40" s="384"/>
      <c r="K40" s="393">
        <v>9692307.692307692</v>
      </c>
      <c r="L40" s="394"/>
      <c r="M40" s="384"/>
      <c r="N40" s="384"/>
      <c r="O40" s="362">
        <f t="shared" si="3"/>
        <v>9692307.692307692</v>
      </c>
      <c r="P40" s="389"/>
      <c r="Q40" s="378"/>
    </row>
    <row r="41" spans="1:19" x14ac:dyDescent="0.25">
      <c r="A41" s="576" t="s">
        <v>19</v>
      </c>
      <c r="B41" s="577"/>
      <c r="C41" s="577"/>
      <c r="D41" s="577"/>
      <c r="E41" s="577"/>
      <c r="F41" s="578"/>
      <c r="G41" s="395">
        <f>SUM(G8:G40)</f>
        <v>3379</v>
      </c>
      <c r="H41" s="396">
        <f t="shared" ref="H41:N41" si="4">SUM(H7:H40)</f>
        <v>41009290</v>
      </c>
      <c r="I41" s="396">
        <f t="shared" si="4"/>
        <v>0</v>
      </c>
      <c r="J41" s="396">
        <f t="shared" si="4"/>
        <v>34690000</v>
      </c>
      <c r="K41" s="396">
        <f>SUM(K7:K40)</f>
        <v>9692307.692307692</v>
      </c>
      <c r="L41" s="396">
        <f>SUM(L7:L40)</f>
        <v>4980000</v>
      </c>
      <c r="M41" s="396">
        <f t="shared" si="4"/>
        <v>0</v>
      </c>
      <c r="N41" s="396">
        <f t="shared" si="4"/>
        <v>0</v>
      </c>
      <c r="O41" s="396">
        <f>SUM(O7:O40)</f>
        <v>90371597.692307696</v>
      </c>
      <c r="P41" s="396">
        <f>SUM(P7:P40)</f>
        <v>142905454</v>
      </c>
      <c r="Q41" s="397">
        <f>P41-O41</f>
        <v>52533856.307692304</v>
      </c>
      <c r="R41" s="195"/>
    </row>
    <row r="42" spans="1:19" x14ac:dyDescent="0.25">
      <c r="P42" s="294"/>
      <c r="Q42" s="295"/>
    </row>
    <row r="43" spans="1:19" x14ac:dyDescent="0.25">
      <c r="B43"/>
      <c r="G43"/>
      <c r="H43" s="294"/>
      <c r="P43" s="296" t="s">
        <v>1225</v>
      </c>
      <c r="Q43" s="304">
        <f>'06.2020'!Q42+'07.2020'!Q41</f>
        <v>213051432</v>
      </c>
    </row>
    <row r="44" spans="1:19" x14ac:dyDescent="0.25">
      <c r="B44"/>
      <c r="G44"/>
      <c r="Q44" s="294"/>
    </row>
    <row r="45" spans="1:19" x14ac:dyDescent="0.25">
      <c r="B45"/>
      <c r="G45"/>
      <c r="R45" s="195"/>
    </row>
  </sheetData>
  <mergeCells count="11">
    <mergeCell ref="A41:F41"/>
    <mergeCell ref="C40:E40"/>
    <mergeCell ref="C39:E39"/>
    <mergeCell ref="C37:E37"/>
    <mergeCell ref="A1:Q1"/>
    <mergeCell ref="A2:Q2"/>
    <mergeCell ref="A3:Q3"/>
    <mergeCell ref="G5:N5"/>
    <mergeCell ref="C35:E35"/>
    <mergeCell ref="C36:E36"/>
    <mergeCell ref="C38:E38"/>
  </mergeCells>
  <pageMargins left="0.7" right="0.7" top="0.75" bottom="0.75" header="0.3" footer="0.3"/>
  <pageSetup orientation="portrait" horizontalDpi="0" verticalDpi="0"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S44"/>
  <sheetViews>
    <sheetView topLeftCell="A13" workbookViewId="0">
      <selection activeCell="R32" sqref="R32"/>
    </sheetView>
  </sheetViews>
  <sheetFormatPr defaultRowHeight="15" x14ac:dyDescent="0.25"/>
  <cols>
    <col min="1" max="1" width="4.5703125" customWidth="1"/>
    <col min="2" max="2" width="9.28515625" style="332" bestFit="1" customWidth="1"/>
    <col min="3" max="3" width="41.28515625" customWidth="1"/>
    <col min="4" max="4" width="15.140625" customWidth="1"/>
    <col min="5" max="5" width="33.140625" customWidth="1"/>
    <col min="7" max="7" width="9.28515625" style="292" bestFit="1" customWidth="1"/>
    <col min="8" max="8" width="10.28515625" style="292" bestFit="1" customWidth="1"/>
    <col min="9" max="9" width="9.28515625" style="293" bestFit="1" customWidth="1"/>
    <col min="10" max="10" width="9.85546875" style="292" bestFit="1" customWidth="1"/>
    <col min="11" max="11" width="9.5703125" style="292" bestFit="1" customWidth="1"/>
    <col min="12" max="12" width="9.28515625" style="173" bestFit="1" customWidth="1"/>
    <col min="13"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3231</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19"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19" x14ac:dyDescent="0.25">
      <c r="A7" s="75"/>
      <c r="B7" s="100"/>
      <c r="C7" s="88"/>
      <c r="D7" s="88"/>
      <c r="E7" s="134"/>
      <c r="F7" s="75"/>
      <c r="G7" s="263"/>
      <c r="H7" s="264"/>
      <c r="I7" s="264"/>
      <c r="J7" s="264"/>
      <c r="K7" s="264"/>
      <c r="L7" s="308"/>
      <c r="M7" s="264"/>
      <c r="N7" s="264"/>
      <c r="O7" s="265">
        <f>H7+J7+K7+L7+M7+N7</f>
        <v>0</v>
      </c>
      <c r="P7" s="265"/>
      <c r="Q7" s="264">
        <f>P7-O7</f>
        <v>0</v>
      </c>
    </row>
    <row r="8" spans="1:19" ht="20.100000000000001" customHeight="1" x14ac:dyDescent="0.25">
      <c r="A8" s="350">
        <v>1</v>
      </c>
      <c r="B8" s="351">
        <v>44043</v>
      </c>
      <c r="C8" s="352" t="s">
        <v>3232</v>
      </c>
      <c r="D8" s="353" t="s">
        <v>3248</v>
      </c>
      <c r="E8" s="354" t="s">
        <v>301</v>
      </c>
      <c r="F8" s="355"/>
      <c r="G8" s="356"/>
      <c r="H8" s="356"/>
      <c r="I8" s="357"/>
      <c r="J8" s="358">
        <f>3820000+480000</f>
        <v>4300000</v>
      </c>
      <c r="K8" s="359"/>
      <c r="L8" s="360"/>
      <c r="M8" s="361"/>
      <c r="N8" s="361"/>
      <c r="O8" s="358">
        <f>H8+J8+K8+L8+M8+N8</f>
        <v>4300000</v>
      </c>
      <c r="P8" s="358">
        <v>18181818</v>
      </c>
      <c r="Q8" s="358">
        <f>P8-O8</f>
        <v>13881818</v>
      </c>
      <c r="R8" s="195"/>
      <c r="S8" s="195"/>
    </row>
    <row r="9" spans="1:19" ht="20.100000000000001" customHeight="1" x14ac:dyDescent="0.25">
      <c r="A9" s="350">
        <v>2</v>
      </c>
      <c r="B9" s="351">
        <v>44044</v>
      </c>
      <c r="C9" s="352" t="s">
        <v>3233</v>
      </c>
      <c r="D9" s="363" t="s">
        <v>3248</v>
      </c>
      <c r="E9" s="354" t="s">
        <v>1381</v>
      </c>
      <c r="F9" s="355"/>
      <c r="G9" s="356"/>
      <c r="H9" s="356"/>
      <c r="I9" s="364"/>
      <c r="J9" s="358"/>
      <c r="K9" s="359"/>
      <c r="L9" s="360"/>
      <c r="M9" s="361"/>
      <c r="N9" s="361"/>
      <c r="O9" s="385">
        <f t="shared" ref="O9:O32" si="0">H9+J9+K9+L9+M9+N9</f>
        <v>0</v>
      </c>
      <c r="P9" s="385">
        <v>2000000</v>
      </c>
      <c r="Q9" s="358">
        <f t="shared" ref="Q9:Q32" si="1">P9-O9</f>
        <v>2000000</v>
      </c>
      <c r="R9" s="195"/>
      <c r="S9" s="195"/>
    </row>
    <row r="10" spans="1:19" ht="20.100000000000001" customHeight="1" x14ac:dyDescent="0.25">
      <c r="A10" s="350">
        <v>3</v>
      </c>
      <c r="B10" s="351">
        <v>44046</v>
      </c>
      <c r="C10" s="352" t="s">
        <v>3234</v>
      </c>
      <c r="D10" s="353" t="s">
        <v>3249</v>
      </c>
      <c r="E10" s="354" t="s">
        <v>636</v>
      </c>
      <c r="F10" s="355"/>
      <c r="G10" s="356"/>
      <c r="H10" s="356"/>
      <c r="I10" s="364"/>
      <c r="J10" s="358">
        <v>790000</v>
      </c>
      <c r="K10" s="359"/>
      <c r="L10" s="360"/>
      <c r="M10" s="361"/>
      <c r="N10" s="361"/>
      <c r="O10" s="385">
        <f t="shared" si="0"/>
        <v>790000</v>
      </c>
      <c r="P10" s="385">
        <v>3300000</v>
      </c>
      <c r="Q10" s="358">
        <f t="shared" si="1"/>
        <v>2510000</v>
      </c>
      <c r="R10" s="195"/>
      <c r="S10" s="195"/>
    </row>
    <row r="11" spans="1:19" ht="20.100000000000001" customHeight="1" x14ac:dyDescent="0.25">
      <c r="A11" s="350">
        <v>4</v>
      </c>
      <c r="B11" s="351">
        <v>44047</v>
      </c>
      <c r="C11" s="352" t="s">
        <v>3235</v>
      </c>
      <c r="D11" s="353" t="s">
        <v>3250</v>
      </c>
      <c r="E11" s="354" t="s">
        <v>88</v>
      </c>
      <c r="F11" s="355"/>
      <c r="G11" s="356">
        <v>340</v>
      </c>
      <c r="H11" s="356">
        <f>G11*12390</f>
        <v>4212600</v>
      </c>
      <c r="I11" s="364"/>
      <c r="J11" s="358">
        <v>790000</v>
      </c>
      <c r="K11" s="359"/>
      <c r="L11" s="360"/>
      <c r="M11" s="361"/>
      <c r="N11" s="361"/>
      <c r="O11" s="385">
        <f t="shared" si="0"/>
        <v>5002600</v>
      </c>
      <c r="P11" s="385">
        <v>3200000</v>
      </c>
      <c r="Q11" s="358">
        <f t="shared" si="1"/>
        <v>-1802600</v>
      </c>
      <c r="R11" s="195"/>
      <c r="S11" s="195"/>
    </row>
    <row r="12" spans="1:19" ht="20.100000000000001" customHeight="1" x14ac:dyDescent="0.25">
      <c r="A12" s="350">
        <v>5</v>
      </c>
      <c r="B12" s="365">
        <v>44048</v>
      </c>
      <c r="C12" s="366" t="s">
        <v>3236</v>
      </c>
      <c r="D12" s="367" t="s">
        <v>3251</v>
      </c>
      <c r="E12" s="354" t="s">
        <v>88</v>
      </c>
      <c r="F12" s="368"/>
      <c r="G12" s="369"/>
      <c r="H12" s="356"/>
      <c r="I12" s="370"/>
      <c r="J12" s="358">
        <v>790000</v>
      </c>
      <c r="K12" s="371"/>
      <c r="L12" s="372"/>
      <c r="M12" s="358"/>
      <c r="N12" s="358"/>
      <c r="O12" s="385">
        <f t="shared" si="0"/>
        <v>790000</v>
      </c>
      <c r="P12" s="385">
        <v>3200000</v>
      </c>
      <c r="Q12" s="358">
        <f t="shared" si="1"/>
        <v>2410000</v>
      </c>
      <c r="R12" s="195"/>
      <c r="S12" s="195"/>
    </row>
    <row r="13" spans="1:19" ht="20.100000000000001" customHeight="1" x14ac:dyDescent="0.25">
      <c r="A13" s="350">
        <v>6</v>
      </c>
      <c r="B13" s="365">
        <v>44049</v>
      </c>
      <c r="C13" s="366" t="s">
        <v>3237</v>
      </c>
      <c r="D13" s="367" t="s">
        <v>3252</v>
      </c>
      <c r="E13" s="354" t="s">
        <v>2885</v>
      </c>
      <c r="F13" s="368"/>
      <c r="G13" s="369">
        <v>280</v>
      </c>
      <c r="H13" s="356">
        <f t="shared" ref="H13:H15" si="2">G13*12390</f>
        <v>3469200</v>
      </c>
      <c r="I13" s="370"/>
      <c r="J13" s="358">
        <v>790000</v>
      </c>
      <c r="K13" s="371"/>
      <c r="L13" s="372"/>
      <c r="M13" s="358"/>
      <c r="N13" s="358"/>
      <c r="O13" s="385">
        <f t="shared" si="0"/>
        <v>4259200</v>
      </c>
      <c r="P13" s="385">
        <v>2800000</v>
      </c>
      <c r="Q13" s="358">
        <f t="shared" si="1"/>
        <v>-1459200</v>
      </c>
      <c r="R13" s="195"/>
      <c r="S13" s="195"/>
    </row>
    <row r="14" spans="1:19" ht="20.100000000000001" customHeight="1" x14ac:dyDescent="0.25">
      <c r="A14" s="350">
        <v>7</v>
      </c>
      <c r="B14" s="365">
        <v>44053</v>
      </c>
      <c r="C14" s="366" t="s">
        <v>3238</v>
      </c>
      <c r="D14" s="367" t="s">
        <v>3253</v>
      </c>
      <c r="E14" s="354" t="s">
        <v>24</v>
      </c>
      <c r="F14" s="368"/>
      <c r="G14" s="369"/>
      <c r="H14" s="356"/>
      <c r="I14" s="370"/>
      <c r="J14" s="358">
        <v>1890000</v>
      </c>
      <c r="K14" s="371"/>
      <c r="L14" s="372"/>
      <c r="M14" s="358"/>
      <c r="N14" s="358"/>
      <c r="O14" s="385">
        <f t="shared" si="0"/>
        <v>1890000</v>
      </c>
      <c r="P14" s="385">
        <v>7572727</v>
      </c>
      <c r="Q14" s="358">
        <f t="shared" si="1"/>
        <v>5682727</v>
      </c>
      <c r="R14" s="195"/>
      <c r="S14" s="195"/>
    </row>
    <row r="15" spans="1:19" ht="20.100000000000001" customHeight="1" x14ac:dyDescent="0.25">
      <c r="A15" s="350">
        <v>8</v>
      </c>
      <c r="B15" s="365">
        <v>44054</v>
      </c>
      <c r="C15" s="366" t="s">
        <v>3239</v>
      </c>
      <c r="D15" s="367" t="s">
        <v>3254</v>
      </c>
      <c r="E15" s="354" t="s">
        <v>2885</v>
      </c>
      <c r="F15" s="368"/>
      <c r="G15" s="369">
        <v>245</v>
      </c>
      <c r="H15" s="356">
        <f t="shared" si="2"/>
        <v>3035550</v>
      </c>
      <c r="I15" s="370"/>
      <c r="J15" s="358">
        <v>790000</v>
      </c>
      <c r="K15" s="371"/>
      <c r="L15" s="372"/>
      <c r="M15" s="358"/>
      <c r="N15" s="358"/>
      <c r="O15" s="385">
        <f t="shared" si="0"/>
        <v>3825550</v>
      </c>
      <c r="P15" s="385">
        <v>2763636</v>
      </c>
      <c r="Q15" s="358">
        <f t="shared" si="1"/>
        <v>-1061914</v>
      </c>
      <c r="R15" s="195"/>
      <c r="S15" s="195"/>
    </row>
    <row r="16" spans="1:19" ht="20.100000000000001" customHeight="1" x14ac:dyDescent="0.25">
      <c r="A16" s="350">
        <v>9</v>
      </c>
      <c r="B16" s="365">
        <v>44055</v>
      </c>
      <c r="C16" s="366" t="s">
        <v>2636</v>
      </c>
      <c r="D16" s="367" t="s">
        <v>3255</v>
      </c>
      <c r="E16" s="354" t="s">
        <v>3039</v>
      </c>
      <c r="F16" s="368"/>
      <c r="G16" s="369"/>
      <c r="H16" s="369"/>
      <c r="I16" s="370"/>
      <c r="J16" s="358">
        <v>970000</v>
      </c>
      <c r="K16" s="371"/>
      <c r="L16" s="372"/>
      <c r="M16" s="358"/>
      <c r="N16" s="358"/>
      <c r="O16" s="385">
        <f t="shared" si="0"/>
        <v>970000</v>
      </c>
      <c r="P16" s="385">
        <v>3563636</v>
      </c>
      <c r="Q16" s="358">
        <f t="shared" si="1"/>
        <v>2593636</v>
      </c>
      <c r="R16" s="195"/>
      <c r="S16" s="195"/>
    </row>
    <row r="17" spans="1:19" ht="20.100000000000001" customHeight="1" x14ac:dyDescent="0.25">
      <c r="A17" s="350">
        <v>10</v>
      </c>
      <c r="B17" s="365">
        <v>44056</v>
      </c>
      <c r="C17" s="366" t="s">
        <v>3240</v>
      </c>
      <c r="D17" s="367" t="s">
        <v>3256</v>
      </c>
      <c r="E17" s="354" t="s">
        <v>286</v>
      </c>
      <c r="F17" s="368"/>
      <c r="G17" s="369">
        <v>250</v>
      </c>
      <c r="H17" s="369">
        <f>G17*12200</f>
        <v>3050000</v>
      </c>
      <c r="I17" s="370"/>
      <c r="J17" s="358">
        <v>1150000</v>
      </c>
      <c r="K17" s="371"/>
      <c r="L17" s="372"/>
      <c r="M17" s="358"/>
      <c r="N17" s="358"/>
      <c r="O17" s="385">
        <f t="shared" si="0"/>
        <v>4200000</v>
      </c>
      <c r="P17" s="385">
        <v>3560000</v>
      </c>
      <c r="Q17" s="358">
        <f t="shared" si="1"/>
        <v>-640000</v>
      </c>
      <c r="R17" s="195"/>
      <c r="S17" s="195"/>
    </row>
    <row r="18" spans="1:19" ht="20.100000000000001" customHeight="1" x14ac:dyDescent="0.25">
      <c r="A18" s="350">
        <v>11</v>
      </c>
      <c r="B18" s="365">
        <v>44057</v>
      </c>
      <c r="C18" s="366" t="s">
        <v>1966</v>
      </c>
      <c r="D18" s="367" t="s">
        <v>3257</v>
      </c>
      <c r="E18" s="354" t="s">
        <v>706</v>
      </c>
      <c r="F18" s="368"/>
      <c r="G18" s="369"/>
      <c r="H18" s="369"/>
      <c r="I18" s="370"/>
      <c r="J18" s="358">
        <v>970000</v>
      </c>
      <c r="K18" s="371"/>
      <c r="L18" s="372"/>
      <c r="M18" s="358"/>
      <c r="N18" s="358"/>
      <c r="O18" s="385">
        <f t="shared" si="0"/>
        <v>970000</v>
      </c>
      <c r="P18" s="385">
        <v>3560000</v>
      </c>
      <c r="Q18" s="358">
        <f t="shared" si="1"/>
        <v>2590000</v>
      </c>
      <c r="R18" s="195"/>
      <c r="S18" s="195"/>
    </row>
    <row r="19" spans="1:19" ht="20.100000000000001" customHeight="1" x14ac:dyDescent="0.25">
      <c r="A19" s="350">
        <v>12</v>
      </c>
      <c r="B19" s="365">
        <v>44060</v>
      </c>
      <c r="C19" s="366" t="s">
        <v>1297</v>
      </c>
      <c r="D19" s="367" t="s">
        <v>3258</v>
      </c>
      <c r="E19" s="354" t="s">
        <v>301</v>
      </c>
      <c r="F19" s="368"/>
      <c r="G19" s="369">
        <v>95</v>
      </c>
      <c r="H19" s="369">
        <f t="shared" ref="H19:H27" si="3">G19*12200</f>
        <v>1159000</v>
      </c>
      <c r="I19" s="370"/>
      <c r="J19" s="358">
        <v>3820000</v>
      </c>
      <c r="K19" s="371"/>
      <c r="L19" s="372"/>
      <c r="M19" s="358"/>
      <c r="N19" s="358"/>
      <c r="O19" s="385">
        <f t="shared" si="0"/>
        <v>4979000</v>
      </c>
      <c r="P19" s="385">
        <v>17272727</v>
      </c>
      <c r="Q19" s="358">
        <f t="shared" si="1"/>
        <v>12293727</v>
      </c>
      <c r="R19" s="195"/>
      <c r="S19" s="195"/>
    </row>
    <row r="20" spans="1:19" ht="20.100000000000001" customHeight="1" x14ac:dyDescent="0.25">
      <c r="A20" s="350">
        <v>13</v>
      </c>
      <c r="B20" s="365">
        <v>44060</v>
      </c>
      <c r="C20" s="366" t="s">
        <v>3241</v>
      </c>
      <c r="D20" s="367" t="s">
        <v>3259</v>
      </c>
      <c r="E20" s="354" t="s">
        <v>88</v>
      </c>
      <c r="F20" s="368"/>
      <c r="G20" s="369"/>
      <c r="H20" s="369"/>
      <c r="I20" s="370"/>
      <c r="J20" s="358">
        <v>790000</v>
      </c>
      <c r="K20" s="371"/>
      <c r="L20" s="372"/>
      <c r="M20" s="358"/>
      <c r="N20" s="358"/>
      <c r="O20" s="385">
        <f t="shared" si="0"/>
        <v>790000</v>
      </c>
      <c r="P20" s="385">
        <v>3200000</v>
      </c>
      <c r="Q20" s="358">
        <f t="shared" si="1"/>
        <v>2410000</v>
      </c>
      <c r="R20" s="195"/>
      <c r="S20" s="195"/>
    </row>
    <row r="21" spans="1:19" ht="20.100000000000001" customHeight="1" x14ac:dyDescent="0.25">
      <c r="A21" s="350">
        <v>14</v>
      </c>
      <c r="B21" s="365">
        <v>44062</v>
      </c>
      <c r="C21" s="366" t="s">
        <v>3242</v>
      </c>
      <c r="D21" s="367" t="s">
        <v>3260</v>
      </c>
      <c r="E21" s="354" t="s">
        <v>2007</v>
      </c>
      <c r="F21" s="368"/>
      <c r="G21" s="369">
        <v>335</v>
      </c>
      <c r="H21" s="369">
        <f t="shared" si="3"/>
        <v>4087000</v>
      </c>
      <c r="I21" s="370"/>
      <c r="J21" s="358">
        <v>1150000</v>
      </c>
      <c r="K21" s="371"/>
      <c r="L21" s="372"/>
      <c r="M21" s="358"/>
      <c r="N21" s="358"/>
      <c r="O21" s="385">
        <f t="shared" si="0"/>
        <v>5237000</v>
      </c>
      <c r="P21" s="385">
        <v>3560000</v>
      </c>
      <c r="Q21" s="358">
        <f t="shared" si="1"/>
        <v>-1677000</v>
      </c>
      <c r="R21" s="195"/>
      <c r="S21" s="195"/>
    </row>
    <row r="22" spans="1:19" ht="20.100000000000001" customHeight="1" x14ac:dyDescent="0.25">
      <c r="A22" s="350">
        <v>15</v>
      </c>
      <c r="B22" s="365">
        <v>44063</v>
      </c>
      <c r="C22" s="366" t="s">
        <v>2641</v>
      </c>
      <c r="D22" s="367" t="s">
        <v>3261</v>
      </c>
      <c r="E22" s="354" t="s">
        <v>2007</v>
      </c>
      <c r="F22" s="368"/>
      <c r="G22" s="369"/>
      <c r="H22" s="369"/>
      <c r="I22" s="370"/>
      <c r="J22" s="358">
        <v>1150000</v>
      </c>
      <c r="K22" s="371"/>
      <c r="L22" s="372"/>
      <c r="M22" s="358"/>
      <c r="N22" s="358"/>
      <c r="O22" s="385">
        <f t="shared" si="0"/>
        <v>1150000</v>
      </c>
      <c r="P22" s="385">
        <v>3560000</v>
      </c>
      <c r="Q22" s="358">
        <f t="shared" si="1"/>
        <v>2410000</v>
      </c>
      <c r="R22" s="195"/>
      <c r="S22" s="195"/>
    </row>
    <row r="23" spans="1:19" ht="20.100000000000001" customHeight="1" x14ac:dyDescent="0.25">
      <c r="A23" s="350">
        <v>16</v>
      </c>
      <c r="B23" s="365">
        <v>44064</v>
      </c>
      <c r="C23" s="366" t="s">
        <v>1300</v>
      </c>
      <c r="D23" s="367" t="s">
        <v>1990</v>
      </c>
      <c r="E23" s="354" t="s">
        <v>3271</v>
      </c>
      <c r="F23" s="368"/>
      <c r="G23" s="369">
        <v>280</v>
      </c>
      <c r="H23" s="369">
        <f t="shared" si="3"/>
        <v>3416000</v>
      </c>
      <c r="I23" s="370"/>
      <c r="J23" s="358">
        <v>790000</v>
      </c>
      <c r="K23" s="371"/>
      <c r="L23" s="372"/>
      <c r="M23" s="358"/>
      <c r="N23" s="358"/>
      <c r="O23" s="385">
        <f t="shared" si="0"/>
        <v>4206000</v>
      </c>
      <c r="P23" s="385">
        <v>3581818</v>
      </c>
      <c r="Q23" s="358">
        <f t="shared" si="1"/>
        <v>-624182</v>
      </c>
      <c r="R23" s="195"/>
      <c r="S23" s="195"/>
    </row>
    <row r="24" spans="1:19" ht="20.100000000000001" customHeight="1" x14ac:dyDescent="0.25">
      <c r="A24" s="350">
        <v>17</v>
      </c>
      <c r="B24" s="365">
        <v>44065</v>
      </c>
      <c r="C24" s="366" t="s">
        <v>2643</v>
      </c>
      <c r="D24" s="367" t="s">
        <v>3262</v>
      </c>
      <c r="E24" s="354" t="s">
        <v>2828</v>
      </c>
      <c r="F24" s="368"/>
      <c r="G24" s="369"/>
      <c r="H24" s="369"/>
      <c r="I24" s="370"/>
      <c r="J24" s="358">
        <v>1400000</v>
      </c>
      <c r="K24" s="371"/>
      <c r="L24" s="372"/>
      <c r="M24" s="358"/>
      <c r="N24" s="358"/>
      <c r="O24" s="385">
        <f t="shared" si="0"/>
        <v>1400000</v>
      </c>
      <c r="P24" s="385">
        <v>5000000</v>
      </c>
      <c r="Q24" s="358">
        <f t="shared" si="1"/>
        <v>3600000</v>
      </c>
      <c r="R24" s="195"/>
      <c r="S24" s="195"/>
    </row>
    <row r="25" spans="1:19" ht="20.100000000000001" customHeight="1" x14ac:dyDescent="0.25">
      <c r="A25" s="350">
        <v>18</v>
      </c>
      <c r="B25" s="365">
        <v>44066</v>
      </c>
      <c r="C25" s="366" t="s">
        <v>3243</v>
      </c>
      <c r="D25" s="367" t="s">
        <v>3263</v>
      </c>
      <c r="E25" s="354" t="s">
        <v>189</v>
      </c>
      <c r="F25" s="368"/>
      <c r="G25" s="369"/>
      <c r="H25" s="369"/>
      <c r="I25" s="370"/>
      <c r="J25" s="358">
        <v>2250000</v>
      </c>
      <c r="K25" s="371"/>
      <c r="L25" s="372"/>
      <c r="M25" s="358"/>
      <c r="N25" s="358"/>
      <c r="O25" s="385">
        <f t="shared" si="0"/>
        <v>2250000</v>
      </c>
      <c r="P25" s="385">
        <v>9272727</v>
      </c>
      <c r="Q25" s="358">
        <f t="shared" si="1"/>
        <v>7022727</v>
      </c>
      <c r="R25" s="195"/>
      <c r="S25" s="195"/>
    </row>
    <row r="26" spans="1:19" ht="20.100000000000001" customHeight="1" x14ac:dyDescent="0.25">
      <c r="A26" s="350">
        <v>19</v>
      </c>
      <c r="B26" s="365">
        <v>44067</v>
      </c>
      <c r="C26" s="366" t="s">
        <v>1974</v>
      </c>
      <c r="D26" s="367" t="s">
        <v>3264</v>
      </c>
      <c r="E26" s="354" t="s">
        <v>3272</v>
      </c>
      <c r="F26" s="368"/>
      <c r="G26" s="369">
        <v>180</v>
      </c>
      <c r="H26" s="369">
        <f t="shared" si="3"/>
        <v>2196000</v>
      </c>
      <c r="I26" s="370"/>
      <c r="J26" s="358">
        <v>1030000</v>
      </c>
      <c r="K26" s="371"/>
      <c r="L26" s="372"/>
      <c r="M26" s="358"/>
      <c r="N26" s="358"/>
      <c r="O26" s="385">
        <f t="shared" si="0"/>
        <v>3226000</v>
      </c>
      <c r="P26" s="385">
        <v>3600000</v>
      </c>
      <c r="Q26" s="358">
        <f t="shared" si="1"/>
        <v>374000</v>
      </c>
      <c r="R26" s="195"/>
      <c r="S26" s="195"/>
    </row>
    <row r="27" spans="1:19" ht="20.100000000000001" customHeight="1" x14ac:dyDescent="0.25">
      <c r="A27" s="350">
        <v>20</v>
      </c>
      <c r="B27" s="365">
        <v>44068</v>
      </c>
      <c r="C27" s="366" t="s">
        <v>536</v>
      </c>
      <c r="D27" s="367" t="s">
        <v>3265</v>
      </c>
      <c r="E27" s="354" t="s">
        <v>2879</v>
      </c>
      <c r="F27" s="368"/>
      <c r="G27" s="369">
        <v>270</v>
      </c>
      <c r="H27" s="369">
        <f t="shared" si="3"/>
        <v>3294000</v>
      </c>
      <c r="I27" s="370"/>
      <c r="J27" s="358">
        <v>790000</v>
      </c>
      <c r="K27" s="371"/>
      <c r="L27" s="372"/>
      <c r="M27" s="358"/>
      <c r="N27" s="358"/>
      <c r="O27" s="385">
        <f t="shared" si="0"/>
        <v>4084000</v>
      </c>
      <c r="P27" s="385">
        <v>2581818</v>
      </c>
      <c r="Q27" s="358">
        <f t="shared" si="1"/>
        <v>-1502182</v>
      </c>
      <c r="R27" s="195"/>
      <c r="S27" s="195"/>
    </row>
    <row r="28" spans="1:19" ht="24" customHeight="1" x14ac:dyDescent="0.25">
      <c r="A28" s="350">
        <v>21</v>
      </c>
      <c r="B28" s="365">
        <v>44069</v>
      </c>
      <c r="C28" s="366" t="s">
        <v>3244</v>
      </c>
      <c r="D28" s="367" t="s">
        <v>3266</v>
      </c>
      <c r="E28" s="354" t="s">
        <v>2703</v>
      </c>
      <c r="F28" s="368"/>
      <c r="G28" s="369"/>
      <c r="H28" s="369"/>
      <c r="I28" s="370"/>
      <c r="J28" s="358">
        <v>1700000</v>
      </c>
      <c r="K28" s="371"/>
      <c r="L28" s="372"/>
      <c r="M28" s="358"/>
      <c r="N28" s="358"/>
      <c r="O28" s="385">
        <f t="shared" si="0"/>
        <v>1700000</v>
      </c>
      <c r="P28" s="385">
        <v>6100000</v>
      </c>
      <c r="Q28" s="358">
        <f t="shared" si="1"/>
        <v>4400000</v>
      </c>
      <c r="R28" s="195"/>
      <c r="S28" s="195"/>
    </row>
    <row r="29" spans="1:19" ht="20.100000000000001" customHeight="1" x14ac:dyDescent="0.25">
      <c r="A29" s="350">
        <v>22</v>
      </c>
      <c r="B29" s="365">
        <v>44070</v>
      </c>
      <c r="C29" s="366" t="s">
        <v>3245</v>
      </c>
      <c r="D29" s="367" t="s">
        <v>3267</v>
      </c>
      <c r="E29" s="354" t="s">
        <v>562</v>
      </c>
      <c r="F29" s="368"/>
      <c r="G29" s="369"/>
      <c r="H29" s="369"/>
      <c r="I29" s="370"/>
      <c r="J29" s="358">
        <f>2740000+500000</f>
        <v>3240000</v>
      </c>
      <c r="K29" s="371"/>
      <c r="L29" s="372"/>
      <c r="M29" s="358"/>
      <c r="N29" s="358"/>
      <c r="O29" s="385">
        <f t="shared" si="0"/>
        <v>3240000</v>
      </c>
      <c r="P29" s="385">
        <v>15363636</v>
      </c>
      <c r="Q29" s="358">
        <f t="shared" si="1"/>
        <v>12123636</v>
      </c>
      <c r="R29" s="195"/>
      <c r="S29" s="195"/>
    </row>
    <row r="30" spans="1:19" ht="20.100000000000001" customHeight="1" x14ac:dyDescent="0.25">
      <c r="A30" s="350">
        <v>23</v>
      </c>
      <c r="B30" s="365">
        <v>44070</v>
      </c>
      <c r="C30" s="366" t="s">
        <v>3245</v>
      </c>
      <c r="D30" s="367" t="s">
        <v>3268</v>
      </c>
      <c r="E30" s="354" t="s">
        <v>562</v>
      </c>
      <c r="F30" s="368"/>
      <c r="G30" s="369">
        <v>230</v>
      </c>
      <c r="H30" s="369">
        <f>G30*11960</f>
        <v>2750800</v>
      </c>
      <c r="I30" s="370"/>
      <c r="J30" s="358"/>
      <c r="K30" s="371"/>
      <c r="L30" s="372"/>
      <c r="M30" s="358"/>
      <c r="N30" s="358"/>
      <c r="O30" s="385">
        <f t="shared" si="0"/>
        <v>2750800</v>
      </c>
      <c r="P30" s="385">
        <v>0</v>
      </c>
      <c r="Q30" s="358">
        <f t="shared" si="1"/>
        <v>-2750800</v>
      </c>
      <c r="R30" s="195"/>
      <c r="S30" s="195"/>
    </row>
    <row r="31" spans="1:19" ht="20.100000000000001" customHeight="1" x14ac:dyDescent="0.25">
      <c r="A31" s="350">
        <v>24</v>
      </c>
      <c r="B31" s="365">
        <v>44071</v>
      </c>
      <c r="C31" s="366" t="s">
        <v>3246</v>
      </c>
      <c r="D31" s="367" t="s">
        <v>3269</v>
      </c>
      <c r="E31" s="354" t="s">
        <v>636</v>
      </c>
      <c r="F31" s="368"/>
      <c r="G31" s="369"/>
      <c r="H31" s="369"/>
      <c r="I31" s="370"/>
      <c r="J31" s="358">
        <v>990000</v>
      </c>
      <c r="K31" s="371"/>
      <c r="L31" s="372"/>
      <c r="M31" s="358"/>
      <c r="N31" s="358"/>
      <c r="O31" s="385">
        <f t="shared" si="0"/>
        <v>990000</v>
      </c>
      <c r="P31" s="385">
        <v>3700000</v>
      </c>
      <c r="Q31" s="358">
        <f t="shared" si="1"/>
        <v>2710000</v>
      </c>
      <c r="R31" s="195"/>
      <c r="S31" s="195"/>
    </row>
    <row r="32" spans="1:19" ht="20.100000000000001" customHeight="1" x14ac:dyDescent="0.25">
      <c r="A32" s="350">
        <v>25</v>
      </c>
      <c r="B32" s="351">
        <v>44072</v>
      </c>
      <c r="C32" s="352" t="s">
        <v>3247</v>
      </c>
      <c r="D32" s="353" t="s">
        <v>3270</v>
      </c>
      <c r="E32" s="354" t="s">
        <v>3273</v>
      </c>
      <c r="F32" s="355"/>
      <c r="G32" s="356">
        <v>340</v>
      </c>
      <c r="H32" s="356">
        <f t="shared" ref="H32" si="4">G32*11960</f>
        <v>4066400</v>
      </c>
      <c r="I32" s="364"/>
      <c r="J32" s="358">
        <f>790000+430000</f>
        <v>1220000</v>
      </c>
      <c r="K32" s="359"/>
      <c r="L32" s="360"/>
      <c r="M32" s="361"/>
      <c r="N32" s="361"/>
      <c r="O32" s="385">
        <f t="shared" si="0"/>
        <v>5286400</v>
      </c>
      <c r="P32" s="385">
        <v>7000000</v>
      </c>
      <c r="Q32" s="358">
        <f t="shared" si="1"/>
        <v>1713600</v>
      </c>
      <c r="R32" s="195"/>
      <c r="S32" s="195"/>
    </row>
    <row r="33" spans="1:19" ht="20.100000000000001" customHeight="1" x14ac:dyDescent="0.25">
      <c r="A33" s="374"/>
      <c r="B33" s="375"/>
      <c r="C33" s="376"/>
      <c r="D33" s="373"/>
      <c r="E33" s="354"/>
      <c r="F33" s="355"/>
      <c r="G33" s="356"/>
      <c r="H33" s="356"/>
      <c r="I33" s="364"/>
      <c r="J33" s="358"/>
      <c r="K33" s="359"/>
      <c r="L33" s="372"/>
      <c r="M33" s="361"/>
      <c r="N33" s="361"/>
      <c r="O33" s="362"/>
      <c r="P33" s="377"/>
      <c r="Q33" s="378"/>
      <c r="R33" s="195"/>
      <c r="S33" s="195"/>
    </row>
    <row r="34" spans="1:19" ht="16.149999999999999" customHeight="1" x14ac:dyDescent="0.25">
      <c r="A34" s="374"/>
      <c r="B34" s="379"/>
      <c r="C34" s="585" t="s">
        <v>1273</v>
      </c>
      <c r="D34" s="586"/>
      <c r="E34" s="587"/>
      <c r="F34" s="380"/>
      <c r="G34" s="381"/>
      <c r="H34" s="382"/>
      <c r="I34" s="383"/>
      <c r="J34" s="384"/>
      <c r="K34" s="359"/>
      <c r="L34" s="372">
        <v>1200000</v>
      </c>
      <c r="M34" s="384"/>
      <c r="N34" s="384"/>
      <c r="O34" s="362">
        <f>H34+J34+K34+L34+M34+N34</f>
        <v>1200000</v>
      </c>
      <c r="P34" s="385"/>
      <c r="Q34" s="378"/>
    </row>
    <row r="35" spans="1:19" ht="16.149999999999999" customHeight="1" x14ac:dyDescent="0.25">
      <c r="A35" s="386"/>
      <c r="B35" s="379"/>
      <c r="C35" s="405" t="s">
        <v>3277</v>
      </c>
      <c r="D35" s="406"/>
      <c r="E35" s="407"/>
      <c r="F35" s="408"/>
      <c r="G35" s="409"/>
      <c r="H35" s="398"/>
      <c r="I35" s="410"/>
      <c r="J35" s="409"/>
      <c r="K35" s="411"/>
      <c r="L35" s="412">
        <v>1800000</v>
      </c>
      <c r="M35" s="409"/>
      <c r="N35" s="409"/>
      <c r="O35" s="413">
        <f>H35+J35+K35+L35+M35+N35</f>
        <v>1800000</v>
      </c>
      <c r="P35" s="389"/>
      <c r="Q35" s="378"/>
    </row>
    <row r="36" spans="1:19" ht="27.75" customHeight="1" x14ac:dyDescent="0.25">
      <c r="A36" s="386"/>
      <c r="B36" s="379"/>
      <c r="C36" s="582" t="s">
        <v>3274</v>
      </c>
      <c r="D36" s="583"/>
      <c r="E36" s="584"/>
      <c r="F36" s="380"/>
      <c r="G36" s="381"/>
      <c r="H36" s="382"/>
      <c r="I36" s="383"/>
      <c r="J36" s="384"/>
      <c r="K36" s="387"/>
      <c r="L36" s="388"/>
      <c r="M36" s="384"/>
      <c r="N36" s="390">
        <v>630000</v>
      </c>
      <c r="O36" s="362">
        <f t="shared" ref="O36:O38" si="5">H36+J36+K36+L36+M36+N36</f>
        <v>630000</v>
      </c>
      <c r="P36" s="389"/>
      <c r="Q36" s="378"/>
    </row>
    <row r="37" spans="1:19" ht="27.75" customHeight="1" x14ac:dyDescent="0.25">
      <c r="A37" s="386"/>
      <c r="B37" s="379"/>
      <c r="C37" s="399" t="s">
        <v>3276</v>
      </c>
      <c r="D37" s="400"/>
      <c r="E37" s="401"/>
      <c r="F37" s="402"/>
      <c r="G37" s="381"/>
      <c r="H37" s="369"/>
      <c r="I37" s="403"/>
      <c r="J37" s="381"/>
      <c r="K37" s="404"/>
      <c r="L37" s="388"/>
      <c r="M37" s="381"/>
      <c r="N37" s="388">
        <f>11900000/4</f>
        <v>2975000</v>
      </c>
      <c r="O37" s="362">
        <f t="shared" si="5"/>
        <v>2975000</v>
      </c>
      <c r="P37" s="389"/>
      <c r="Q37" s="378"/>
    </row>
    <row r="38" spans="1:19" ht="21.75" customHeight="1" x14ac:dyDescent="0.25">
      <c r="A38" s="386"/>
      <c r="B38" s="379"/>
      <c r="C38" s="582" t="s">
        <v>3275</v>
      </c>
      <c r="D38" s="583"/>
      <c r="E38" s="584"/>
      <c r="F38" s="380"/>
      <c r="G38" s="381"/>
      <c r="H38" s="382"/>
      <c r="I38" s="383"/>
      <c r="J38" s="384"/>
      <c r="K38" s="387"/>
      <c r="L38" s="388">
        <v>350000</v>
      </c>
      <c r="M38" s="390"/>
      <c r="N38" s="384"/>
      <c r="O38" s="362">
        <f t="shared" si="5"/>
        <v>350000</v>
      </c>
      <c r="P38" s="389"/>
      <c r="Q38" s="378"/>
    </row>
    <row r="39" spans="1:19" ht="16.149999999999999" customHeight="1" x14ac:dyDescent="0.25">
      <c r="A39" s="386"/>
      <c r="B39" s="391"/>
      <c r="C39" s="579" t="s">
        <v>1386</v>
      </c>
      <c r="D39" s="580"/>
      <c r="E39" s="581"/>
      <c r="F39" s="392"/>
      <c r="G39" s="381"/>
      <c r="H39" s="382"/>
      <c r="I39" s="383"/>
      <c r="J39" s="384"/>
      <c r="K39" s="394">
        <v>9346154</v>
      </c>
      <c r="L39" s="394"/>
      <c r="M39" s="384"/>
      <c r="N39" s="384"/>
      <c r="O39" s="362">
        <f>H39+J39+K39+L39+M39+N39</f>
        <v>9346154</v>
      </c>
      <c r="P39" s="389"/>
      <c r="Q39" s="378"/>
    </row>
    <row r="40" spans="1:19" x14ac:dyDescent="0.25">
      <c r="A40" s="576" t="s">
        <v>19</v>
      </c>
      <c r="B40" s="577"/>
      <c r="C40" s="577"/>
      <c r="D40" s="577"/>
      <c r="E40" s="577"/>
      <c r="F40" s="578"/>
      <c r="G40" s="395">
        <f>SUM(G8:G39)</f>
        <v>2845</v>
      </c>
      <c r="H40" s="396">
        <f t="shared" ref="H40:M40" si="6">SUM(H7:H39)</f>
        <v>34736550</v>
      </c>
      <c r="I40" s="396">
        <f t="shared" si="6"/>
        <v>0</v>
      </c>
      <c r="J40" s="396">
        <f t="shared" si="6"/>
        <v>33550000</v>
      </c>
      <c r="K40" s="396">
        <f t="shared" si="6"/>
        <v>9346154</v>
      </c>
      <c r="L40" s="396">
        <f>SUM(L7:L39)</f>
        <v>3350000</v>
      </c>
      <c r="M40" s="396">
        <f t="shared" si="6"/>
        <v>0</v>
      </c>
      <c r="N40" s="396">
        <f>SUM(N7:N39)</f>
        <v>3605000</v>
      </c>
      <c r="O40" s="396">
        <f>SUM(O7:O39)</f>
        <v>84587704</v>
      </c>
      <c r="P40" s="396">
        <f>SUM(P7:P39)</f>
        <v>137494543</v>
      </c>
      <c r="Q40" s="397">
        <f>P40-O40</f>
        <v>52906839</v>
      </c>
      <c r="R40" s="195"/>
    </row>
    <row r="41" spans="1:19" x14ac:dyDescent="0.25">
      <c r="P41" s="294"/>
      <c r="Q41" s="295"/>
    </row>
    <row r="42" spans="1:19" x14ac:dyDescent="0.25">
      <c r="B42"/>
      <c r="G42"/>
      <c r="H42" s="294"/>
      <c r="P42" s="296" t="s">
        <v>1225</v>
      </c>
      <c r="Q42" s="304">
        <f>'07.2020'!Q43+'08.2020'!Q40</f>
        <v>265958271</v>
      </c>
    </row>
    <row r="43" spans="1:19" x14ac:dyDescent="0.25">
      <c r="B43"/>
      <c r="G43"/>
      <c r="Q43" s="294"/>
    </row>
    <row r="44" spans="1:19" x14ac:dyDescent="0.25">
      <c r="B44"/>
      <c r="G44"/>
      <c r="R44" s="195"/>
    </row>
  </sheetData>
  <mergeCells count="9">
    <mergeCell ref="C38:E38"/>
    <mergeCell ref="C39:E39"/>
    <mergeCell ref="A40:F40"/>
    <mergeCell ref="C36:E36"/>
    <mergeCell ref="A1:Q1"/>
    <mergeCell ref="A2:Q2"/>
    <mergeCell ref="A3:Q3"/>
    <mergeCell ref="G5:N5"/>
    <mergeCell ref="C34:E34"/>
  </mergeCells>
  <pageMargins left="0.7" right="0.7" top="0.75" bottom="0.75" header="0.3" footer="0.3"/>
  <pageSetup orientation="portrait" horizontalDpi="0" verticalDpi="0"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S38"/>
  <sheetViews>
    <sheetView topLeftCell="A10" workbookViewId="0">
      <selection activeCell="G9" sqref="G9:G27"/>
    </sheetView>
  </sheetViews>
  <sheetFormatPr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0.28515625" style="292" bestFit="1" customWidth="1"/>
    <col min="9" max="9" width="9.28515625" style="293" bestFit="1" customWidth="1"/>
    <col min="10" max="10" width="9.85546875" style="292" bestFit="1" customWidth="1"/>
    <col min="11" max="11" width="9.5703125" style="292" bestFit="1" customWidth="1"/>
    <col min="12" max="12" width="9.28515625" style="173" bestFit="1"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3278</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19"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19" x14ac:dyDescent="0.25">
      <c r="A7" s="75"/>
      <c r="B7" s="100"/>
      <c r="C7" s="88"/>
      <c r="D7" s="88"/>
      <c r="E7" s="134"/>
      <c r="F7" s="75"/>
      <c r="G7" s="263"/>
      <c r="H7" s="264"/>
      <c r="I7" s="264"/>
      <c r="J7" s="264"/>
      <c r="K7" s="264"/>
      <c r="L7" s="308"/>
      <c r="M7" s="264"/>
      <c r="N7" s="264"/>
      <c r="O7" s="265"/>
      <c r="P7" s="265"/>
      <c r="Q7" s="264"/>
    </row>
    <row r="8" spans="1:19" ht="20.100000000000001" customHeight="1" x14ac:dyDescent="0.25">
      <c r="A8" s="350">
        <v>1</v>
      </c>
      <c r="B8" s="351">
        <v>44075</v>
      </c>
      <c r="C8" s="366" t="s">
        <v>3279</v>
      </c>
      <c r="D8" s="367" t="s">
        <v>3295</v>
      </c>
      <c r="E8" s="354" t="s">
        <v>3315</v>
      </c>
      <c r="F8" s="355"/>
      <c r="G8" s="356"/>
      <c r="H8" s="356"/>
      <c r="I8" s="357"/>
      <c r="J8" s="358">
        <v>790000</v>
      </c>
      <c r="K8" s="359"/>
      <c r="L8" s="360"/>
      <c r="M8" s="361"/>
      <c r="N8" s="361"/>
      <c r="O8" s="358">
        <f>H8+J8+K8+L8+M8+N8</f>
        <v>790000</v>
      </c>
      <c r="P8" s="358">
        <v>2572727</v>
      </c>
      <c r="Q8" s="358">
        <f>P8-O8</f>
        <v>1782727</v>
      </c>
      <c r="R8" s="227"/>
      <c r="S8" s="195"/>
    </row>
    <row r="9" spans="1:19" ht="20.100000000000001" customHeight="1" x14ac:dyDescent="0.25">
      <c r="A9" s="350">
        <v>2</v>
      </c>
      <c r="B9" s="351">
        <v>44077</v>
      </c>
      <c r="C9" s="366" t="s">
        <v>1339</v>
      </c>
      <c r="D9" s="415" t="s">
        <v>3296</v>
      </c>
      <c r="E9" s="354" t="s">
        <v>24</v>
      </c>
      <c r="F9" s="355"/>
      <c r="G9" s="356">
        <v>230</v>
      </c>
      <c r="H9" s="356">
        <f>G9*11960</f>
        <v>2750800</v>
      </c>
      <c r="I9" s="364"/>
      <c r="J9" s="358">
        <v>1890000</v>
      </c>
      <c r="K9" s="359"/>
      <c r="L9" s="360"/>
      <c r="M9" s="361"/>
      <c r="N9" s="361"/>
      <c r="O9" s="358">
        <f t="shared" ref="O9:O27" si="0">H9+J9+K9+L9+M9+N9</f>
        <v>4640800</v>
      </c>
      <c r="P9" s="385">
        <v>7209091</v>
      </c>
      <c r="Q9" s="358">
        <f t="shared" ref="Q9:Q27" si="1">P9-O9</f>
        <v>2568291</v>
      </c>
      <c r="R9" s="195"/>
      <c r="S9" s="195"/>
    </row>
    <row r="10" spans="1:19" ht="20.100000000000001" customHeight="1" x14ac:dyDescent="0.25">
      <c r="A10" s="350">
        <v>3</v>
      </c>
      <c r="B10" s="351">
        <v>44078</v>
      </c>
      <c r="C10" s="366" t="s">
        <v>3280</v>
      </c>
      <c r="D10" s="367" t="s">
        <v>3297</v>
      </c>
      <c r="E10" s="354" t="s">
        <v>2959</v>
      </c>
      <c r="F10" s="355"/>
      <c r="G10" s="356"/>
      <c r="H10" s="356"/>
      <c r="I10" s="364"/>
      <c r="J10" s="358">
        <v>790000</v>
      </c>
      <c r="K10" s="359"/>
      <c r="L10" s="360"/>
      <c r="M10" s="361"/>
      <c r="N10" s="361"/>
      <c r="O10" s="358">
        <f t="shared" si="0"/>
        <v>790000</v>
      </c>
      <c r="P10" s="385">
        <v>2545455</v>
      </c>
      <c r="Q10" s="358">
        <f t="shared" si="1"/>
        <v>1755455</v>
      </c>
      <c r="R10" s="195"/>
      <c r="S10" s="195"/>
    </row>
    <row r="11" spans="1:19" ht="20.100000000000001" customHeight="1" x14ac:dyDescent="0.25">
      <c r="A11" s="350">
        <v>4</v>
      </c>
      <c r="B11" s="351">
        <v>44081</v>
      </c>
      <c r="C11" s="366" t="s">
        <v>1343</v>
      </c>
      <c r="D11" s="367" t="s">
        <v>3298</v>
      </c>
      <c r="E11" s="354" t="s">
        <v>3316</v>
      </c>
      <c r="F11" s="355"/>
      <c r="G11" s="356">
        <v>250</v>
      </c>
      <c r="H11" s="356">
        <f t="shared" ref="H11:H14" si="2">G11*11960</f>
        <v>2990000</v>
      </c>
      <c r="I11" s="364"/>
      <c r="J11" s="358">
        <v>1500000</v>
      </c>
      <c r="K11" s="359"/>
      <c r="L11" s="360"/>
      <c r="M11" s="361"/>
      <c r="N11" s="361"/>
      <c r="O11" s="358">
        <f t="shared" si="0"/>
        <v>4490000</v>
      </c>
      <c r="P11" s="385">
        <v>5500000</v>
      </c>
      <c r="Q11" s="358">
        <f t="shared" si="1"/>
        <v>1010000</v>
      </c>
      <c r="R11" s="195"/>
      <c r="S11" s="195"/>
    </row>
    <row r="12" spans="1:19" ht="20.100000000000001" customHeight="1" x14ac:dyDescent="0.25">
      <c r="A12" s="350">
        <v>5</v>
      </c>
      <c r="B12" s="365">
        <v>44082</v>
      </c>
      <c r="C12" s="366" t="s">
        <v>3281</v>
      </c>
      <c r="D12" s="367" t="s">
        <v>3299</v>
      </c>
      <c r="E12" s="354" t="s">
        <v>3317</v>
      </c>
      <c r="F12" s="368"/>
      <c r="G12" s="369"/>
      <c r="H12" s="356"/>
      <c r="I12" s="370"/>
      <c r="J12" s="358">
        <v>790000</v>
      </c>
      <c r="K12" s="371"/>
      <c r="L12" s="372"/>
      <c r="M12" s="358"/>
      <c r="N12" s="358"/>
      <c r="O12" s="358">
        <f t="shared" si="0"/>
        <v>790000</v>
      </c>
      <c r="P12" s="385">
        <v>3700000</v>
      </c>
      <c r="Q12" s="358">
        <f t="shared" si="1"/>
        <v>2910000</v>
      </c>
      <c r="R12" s="195"/>
      <c r="S12" s="195"/>
    </row>
    <row r="13" spans="1:19" ht="20.100000000000001" customHeight="1" x14ac:dyDescent="0.25">
      <c r="A13" s="350">
        <v>6</v>
      </c>
      <c r="B13" s="365">
        <v>44083</v>
      </c>
      <c r="C13" s="366" t="s">
        <v>3282</v>
      </c>
      <c r="D13" s="367" t="s">
        <v>3300</v>
      </c>
      <c r="E13" s="354" t="s">
        <v>3318</v>
      </c>
      <c r="F13" s="368"/>
      <c r="G13" s="369"/>
      <c r="H13" s="356"/>
      <c r="I13" s="370"/>
      <c r="J13" s="358">
        <v>1170000</v>
      </c>
      <c r="K13" s="371"/>
      <c r="L13" s="372"/>
      <c r="M13" s="358"/>
      <c r="N13" s="358"/>
      <c r="O13" s="358">
        <f t="shared" si="0"/>
        <v>1170000</v>
      </c>
      <c r="P13" s="385">
        <v>4272727</v>
      </c>
      <c r="Q13" s="358">
        <f t="shared" si="1"/>
        <v>3102727</v>
      </c>
      <c r="R13" s="195"/>
      <c r="S13" s="195"/>
    </row>
    <row r="14" spans="1:19" ht="20.100000000000001" customHeight="1" x14ac:dyDescent="0.25">
      <c r="A14" s="350">
        <v>7</v>
      </c>
      <c r="B14" s="365">
        <v>44084</v>
      </c>
      <c r="C14" s="366" t="s">
        <v>3283</v>
      </c>
      <c r="D14" s="367" t="s">
        <v>3301</v>
      </c>
      <c r="E14" s="354" t="s">
        <v>1382</v>
      </c>
      <c r="F14" s="368"/>
      <c r="G14" s="369">
        <v>330</v>
      </c>
      <c r="H14" s="356">
        <f t="shared" si="2"/>
        <v>3946800</v>
      </c>
      <c r="I14" s="370"/>
      <c r="J14" s="358">
        <v>2740000</v>
      </c>
      <c r="K14" s="371"/>
      <c r="L14" s="372"/>
      <c r="M14" s="358"/>
      <c r="N14" s="358"/>
      <c r="O14" s="358">
        <f t="shared" si="0"/>
        <v>6686800</v>
      </c>
      <c r="P14" s="385">
        <v>14090909</v>
      </c>
      <c r="Q14" s="358">
        <f t="shared" si="1"/>
        <v>7404109</v>
      </c>
      <c r="R14" s="195"/>
      <c r="S14" s="195"/>
    </row>
    <row r="15" spans="1:19" ht="20.100000000000001" customHeight="1" x14ac:dyDescent="0.25">
      <c r="A15" s="350">
        <v>8</v>
      </c>
      <c r="B15" s="365">
        <v>44085</v>
      </c>
      <c r="C15" s="366" t="s">
        <v>2345</v>
      </c>
      <c r="D15" s="367" t="s">
        <v>3302</v>
      </c>
      <c r="E15" s="354" t="s">
        <v>3319</v>
      </c>
      <c r="F15" s="368"/>
      <c r="G15" s="369"/>
      <c r="H15" s="356"/>
      <c r="I15" s="370"/>
      <c r="J15" s="358">
        <v>650000</v>
      </c>
      <c r="K15" s="371"/>
      <c r="L15" s="372"/>
      <c r="M15" s="358"/>
      <c r="N15" s="358"/>
      <c r="O15" s="358">
        <f t="shared" si="0"/>
        <v>650000</v>
      </c>
      <c r="P15" s="385">
        <v>2481818</v>
      </c>
      <c r="Q15" s="358">
        <f t="shared" si="1"/>
        <v>1831818</v>
      </c>
      <c r="R15" s="195"/>
      <c r="S15" s="195"/>
    </row>
    <row r="16" spans="1:19" ht="20.100000000000001" customHeight="1" x14ac:dyDescent="0.25">
      <c r="A16" s="350">
        <v>9</v>
      </c>
      <c r="B16" s="365">
        <v>44086</v>
      </c>
      <c r="C16" s="366" t="s">
        <v>3284</v>
      </c>
      <c r="D16" s="367" t="s">
        <v>3303</v>
      </c>
      <c r="E16" s="354" t="s">
        <v>24</v>
      </c>
      <c r="F16" s="368"/>
      <c r="G16" s="369">
        <v>255</v>
      </c>
      <c r="H16" s="369">
        <f>G16*11510</f>
        <v>2935050</v>
      </c>
      <c r="I16" s="370"/>
      <c r="J16" s="358">
        <v>1890000</v>
      </c>
      <c r="K16" s="371"/>
      <c r="L16" s="372"/>
      <c r="M16" s="358"/>
      <c r="N16" s="358"/>
      <c r="O16" s="358">
        <f t="shared" si="0"/>
        <v>4825050</v>
      </c>
      <c r="P16" s="385">
        <v>7209091</v>
      </c>
      <c r="Q16" s="358">
        <f t="shared" si="1"/>
        <v>2384041</v>
      </c>
      <c r="R16" s="195"/>
      <c r="S16" s="195"/>
    </row>
    <row r="17" spans="1:19" ht="20.100000000000001" customHeight="1" x14ac:dyDescent="0.25">
      <c r="A17" s="350">
        <v>10</v>
      </c>
      <c r="B17" s="365">
        <v>44088</v>
      </c>
      <c r="C17" s="366" t="s">
        <v>3285</v>
      </c>
      <c r="D17" s="367" t="s">
        <v>3304</v>
      </c>
      <c r="E17" s="354" t="s">
        <v>3320</v>
      </c>
      <c r="F17" s="368"/>
      <c r="G17" s="369"/>
      <c r="H17" s="369"/>
      <c r="I17" s="370"/>
      <c r="J17" s="358">
        <v>650000</v>
      </c>
      <c r="K17" s="371"/>
      <c r="L17" s="372"/>
      <c r="M17" s="358"/>
      <c r="N17" s="358"/>
      <c r="O17" s="358">
        <f t="shared" si="0"/>
        <v>650000</v>
      </c>
      <c r="P17" s="385">
        <v>2600000</v>
      </c>
      <c r="Q17" s="358">
        <f t="shared" si="1"/>
        <v>1950000</v>
      </c>
      <c r="R17" s="195"/>
      <c r="S17" s="195"/>
    </row>
    <row r="18" spans="1:19" ht="20.100000000000001" customHeight="1" x14ac:dyDescent="0.25">
      <c r="A18" s="350">
        <v>11</v>
      </c>
      <c r="B18" s="365">
        <v>44089</v>
      </c>
      <c r="C18" s="366" t="s">
        <v>3286</v>
      </c>
      <c r="D18" s="367" t="s">
        <v>3305</v>
      </c>
      <c r="E18" s="354" t="s">
        <v>301</v>
      </c>
      <c r="F18" s="368"/>
      <c r="G18" s="369">
        <v>290</v>
      </c>
      <c r="H18" s="369">
        <f t="shared" ref="H18:H25" si="3">G18*11510</f>
        <v>3337900</v>
      </c>
      <c r="I18" s="370"/>
      <c r="J18" s="358">
        <v>3820000</v>
      </c>
      <c r="K18" s="371"/>
      <c r="L18" s="372"/>
      <c r="M18" s="358"/>
      <c r="N18" s="358"/>
      <c r="O18" s="358">
        <f t="shared" si="0"/>
        <v>7157900</v>
      </c>
      <c r="P18" s="385">
        <v>17272727</v>
      </c>
      <c r="Q18" s="358">
        <f t="shared" si="1"/>
        <v>10114827</v>
      </c>
      <c r="R18" s="195"/>
      <c r="S18" s="195"/>
    </row>
    <row r="19" spans="1:19" ht="20.100000000000001" customHeight="1" x14ac:dyDescent="0.25">
      <c r="A19" s="350">
        <v>12</v>
      </c>
      <c r="B19" s="365">
        <v>44091</v>
      </c>
      <c r="C19" s="366" t="s">
        <v>2708</v>
      </c>
      <c r="D19" s="367" t="s">
        <v>3306</v>
      </c>
      <c r="E19" s="354" t="s">
        <v>3321</v>
      </c>
      <c r="F19" s="368"/>
      <c r="G19" s="369">
        <v>350</v>
      </c>
      <c r="H19" s="369">
        <f t="shared" si="3"/>
        <v>4028500</v>
      </c>
      <c r="I19" s="370"/>
      <c r="J19" s="358">
        <v>790000</v>
      </c>
      <c r="K19" s="371"/>
      <c r="L19" s="372"/>
      <c r="M19" s="358"/>
      <c r="N19" s="358"/>
      <c r="O19" s="358">
        <f t="shared" si="0"/>
        <v>4818500</v>
      </c>
      <c r="P19" s="385">
        <v>2900000</v>
      </c>
      <c r="Q19" s="358">
        <f t="shared" si="1"/>
        <v>-1918500</v>
      </c>
      <c r="R19" s="195"/>
      <c r="S19" s="195"/>
    </row>
    <row r="20" spans="1:19" ht="20.100000000000001" customHeight="1" x14ac:dyDescent="0.25">
      <c r="A20" s="350">
        <v>13</v>
      </c>
      <c r="B20" s="365">
        <v>44093</v>
      </c>
      <c r="C20" s="366" t="s">
        <v>3287</v>
      </c>
      <c r="D20" s="367" t="s">
        <v>3307</v>
      </c>
      <c r="E20" s="354" t="s">
        <v>1381</v>
      </c>
      <c r="F20" s="368"/>
      <c r="G20" s="369"/>
      <c r="H20" s="369"/>
      <c r="I20" s="370"/>
      <c r="J20" s="358">
        <v>300000</v>
      </c>
      <c r="K20" s="371"/>
      <c r="L20" s="372"/>
      <c r="M20" s="358"/>
      <c r="N20" s="358"/>
      <c r="O20" s="358">
        <f t="shared" si="0"/>
        <v>300000</v>
      </c>
      <c r="P20" s="385">
        <v>1500000</v>
      </c>
      <c r="Q20" s="358">
        <f t="shared" si="1"/>
        <v>1200000</v>
      </c>
      <c r="R20" s="195"/>
      <c r="S20" s="195"/>
    </row>
    <row r="21" spans="1:19" ht="20.100000000000001" customHeight="1" x14ac:dyDescent="0.25">
      <c r="A21" s="350">
        <v>14</v>
      </c>
      <c r="B21" s="365">
        <v>44095</v>
      </c>
      <c r="C21" s="366" t="s">
        <v>3288</v>
      </c>
      <c r="D21" s="367" t="s">
        <v>3308</v>
      </c>
      <c r="E21" s="354" t="s">
        <v>2885</v>
      </c>
      <c r="F21" s="368"/>
      <c r="G21" s="369"/>
      <c r="H21" s="369"/>
      <c r="I21" s="370"/>
      <c r="J21" s="358">
        <v>790000</v>
      </c>
      <c r="K21" s="371"/>
      <c r="L21" s="372"/>
      <c r="M21" s="358"/>
      <c r="N21" s="358"/>
      <c r="O21" s="358">
        <f t="shared" si="0"/>
        <v>790000</v>
      </c>
      <c r="P21" s="385">
        <v>2763636</v>
      </c>
      <c r="Q21" s="358">
        <f t="shared" si="1"/>
        <v>1973636</v>
      </c>
      <c r="R21" s="195"/>
      <c r="S21" s="195"/>
    </row>
    <row r="22" spans="1:19" ht="20.100000000000001" customHeight="1" x14ac:dyDescent="0.25">
      <c r="A22" s="350">
        <v>15</v>
      </c>
      <c r="B22" s="365">
        <v>44096</v>
      </c>
      <c r="C22" s="366" t="s">
        <v>3289</v>
      </c>
      <c r="D22" s="367" t="s">
        <v>3309</v>
      </c>
      <c r="E22" s="354" t="s">
        <v>3321</v>
      </c>
      <c r="F22" s="368"/>
      <c r="G22" s="369"/>
      <c r="H22" s="369"/>
      <c r="I22" s="370"/>
      <c r="J22" s="358">
        <v>790000</v>
      </c>
      <c r="K22" s="371"/>
      <c r="L22" s="372"/>
      <c r="M22" s="358"/>
      <c r="N22" s="358"/>
      <c r="O22" s="358">
        <f t="shared" si="0"/>
        <v>790000</v>
      </c>
      <c r="P22" s="385">
        <v>3627273</v>
      </c>
      <c r="Q22" s="358">
        <f t="shared" si="1"/>
        <v>2837273</v>
      </c>
      <c r="R22" s="195"/>
      <c r="S22" s="195"/>
    </row>
    <row r="23" spans="1:19" ht="20.100000000000001" customHeight="1" x14ac:dyDescent="0.25">
      <c r="A23" s="350">
        <v>16</v>
      </c>
      <c r="B23" s="365">
        <v>44097</v>
      </c>
      <c r="C23" s="366" t="s">
        <v>3290</v>
      </c>
      <c r="D23" s="367" t="s">
        <v>3310</v>
      </c>
      <c r="E23" s="354" t="s">
        <v>2007</v>
      </c>
      <c r="F23" s="368"/>
      <c r="G23" s="369">
        <v>210</v>
      </c>
      <c r="H23" s="369">
        <f t="shared" si="3"/>
        <v>2417100</v>
      </c>
      <c r="I23" s="370"/>
      <c r="J23" s="358">
        <v>1150000</v>
      </c>
      <c r="K23" s="371"/>
      <c r="L23" s="372"/>
      <c r="M23" s="358"/>
      <c r="N23" s="358"/>
      <c r="O23" s="358">
        <f t="shared" si="0"/>
        <v>3567100</v>
      </c>
      <c r="P23" s="385">
        <v>3500000</v>
      </c>
      <c r="Q23" s="358">
        <f t="shared" si="1"/>
        <v>-67100</v>
      </c>
      <c r="R23" s="195"/>
      <c r="S23" s="195"/>
    </row>
    <row r="24" spans="1:19" ht="20.100000000000001" customHeight="1" x14ac:dyDescent="0.25">
      <c r="A24" s="350">
        <v>17</v>
      </c>
      <c r="B24" s="365">
        <v>44099</v>
      </c>
      <c r="C24" s="366" t="s">
        <v>3291</v>
      </c>
      <c r="D24" s="367" t="s">
        <v>3311</v>
      </c>
      <c r="E24" s="354" t="s">
        <v>3322</v>
      </c>
      <c r="F24" s="368"/>
      <c r="G24" s="369"/>
      <c r="H24" s="369"/>
      <c r="I24" s="370"/>
      <c r="J24" s="358">
        <v>790000</v>
      </c>
      <c r="K24" s="371"/>
      <c r="L24" s="372"/>
      <c r="M24" s="358"/>
      <c r="N24" s="358"/>
      <c r="O24" s="358">
        <f t="shared" si="0"/>
        <v>790000</v>
      </c>
      <c r="P24" s="385">
        <v>2700000</v>
      </c>
      <c r="Q24" s="358">
        <f t="shared" si="1"/>
        <v>1910000</v>
      </c>
      <c r="R24" s="195"/>
      <c r="S24" s="195"/>
    </row>
    <row r="25" spans="1:19" ht="20.100000000000001" customHeight="1" x14ac:dyDescent="0.25">
      <c r="A25" s="350">
        <v>18</v>
      </c>
      <c r="B25" s="365">
        <v>44100</v>
      </c>
      <c r="C25" s="366" t="s">
        <v>3292</v>
      </c>
      <c r="D25" s="367" t="s">
        <v>3312</v>
      </c>
      <c r="E25" s="354" t="s">
        <v>562</v>
      </c>
      <c r="F25" s="368"/>
      <c r="G25" s="369">
        <v>130</v>
      </c>
      <c r="H25" s="369">
        <f t="shared" si="3"/>
        <v>1496300</v>
      </c>
      <c r="I25" s="370"/>
      <c r="J25" s="358">
        <v>2740000</v>
      </c>
      <c r="K25" s="371"/>
      <c r="L25" s="372"/>
      <c r="M25" s="358"/>
      <c r="N25" s="358"/>
      <c r="O25" s="358">
        <f t="shared" si="0"/>
        <v>4236300</v>
      </c>
      <c r="P25" s="385">
        <v>12181818</v>
      </c>
      <c r="Q25" s="358">
        <f t="shared" si="1"/>
        <v>7945518</v>
      </c>
      <c r="R25" s="195"/>
      <c r="S25" s="195"/>
    </row>
    <row r="26" spans="1:19" ht="20.100000000000001" customHeight="1" x14ac:dyDescent="0.25">
      <c r="A26" s="350">
        <v>19</v>
      </c>
      <c r="B26" s="365">
        <v>44101</v>
      </c>
      <c r="C26" s="366" t="s">
        <v>3293</v>
      </c>
      <c r="D26" s="367" t="s">
        <v>3313</v>
      </c>
      <c r="E26" s="354" t="s">
        <v>24</v>
      </c>
      <c r="F26" s="368"/>
      <c r="G26" s="369">
        <v>220</v>
      </c>
      <c r="H26" s="369">
        <f>G26*11120</f>
        <v>2446400</v>
      </c>
      <c r="I26" s="370"/>
      <c r="J26" s="358">
        <v>1890000</v>
      </c>
      <c r="K26" s="371"/>
      <c r="L26" s="372"/>
      <c r="M26" s="358"/>
      <c r="N26" s="358"/>
      <c r="O26" s="358">
        <f t="shared" si="0"/>
        <v>4336400</v>
      </c>
      <c r="P26" s="385">
        <v>7209091</v>
      </c>
      <c r="Q26" s="358">
        <f t="shared" si="1"/>
        <v>2872691</v>
      </c>
      <c r="R26" s="195"/>
      <c r="S26" s="195"/>
    </row>
    <row r="27" spans="1:19" ht="20.100000000000001" customHeight="1" x14ac:dyDescent="0.25">
      <c r="A27" s="350">
        <v>20</v>
      </c>
      <c r="B27" s="365">
        <v>44103</v>
      </c>
      <c r="C27" s="366" t="s">
        <v>3294</v>
      </c>
      <c r="D27" s="367" t="s">
        <v>3314</v>
      </c>
      <c r="E27" s="354" t="s">
        <v>2885</v>
      </c>
      <c r="F27" s="368"/>
      <c r="G27" s="398">
        <v>260</v>
      </c>
      <c r="H27" s="398">
        <f>G27*11120</f>
        <v>2891200</v>
      </c>
      <c r="I27" s="370"/>
      <c r="J27" s="358">
        <v>790000</v>
      </c>
      <c r="K27" s="371"/>
      <c r="L27" s="372"/>
      <c r="M27" s="358"/>
      <c r="N27" s="358"/>
      <c r="O27" s="358">
        <f t="shared" si="0"/>
        <v>3681200</v>
      </c>
      <c r="P27" s="385">
        <v>2763636</v>
      </c>
      <c r="Q27" s="358">
        <f t="shared" si="1"/>
        <v>-917564</v>
      </c>
      <c r="R27" s="195"/>
      <c r="S27" s="195"/>
    </row>
    <row r="28" spans="1:19" ht="20.100000000000001" customHeight="1" x14ac:dyDescent="0.25">
      <c r="A28" s="374"/>
      <c r="B28" s="375"/>
      <c r="C28" s="416"/>
      <c r="D28" s="417"/>
      <c r="E28" s="354"/>
      <c r="F28" s="355"/>
      <c r="G28" s="356"/>
      <c r="H28" s="356"/>
      <c r="I28" s="364"/>
      <c r="J28" s="358"/>
      <c r="K28" s="359"/>
      <c r="L28" s="372"/>
      <c r="M28" s="361"/>
      <c r="N28" s="361"/>
      <c r="O28" s="362"/>
      <c r="P28" s="377"/>
      <c r="Q28" s="378"/>
      <c r="R28" s="195"/>
      <c r="S28" s="195"/>
    </row>
    <row r="29" spans="1:19" ht="16.149999999999999" customHeight="1" x14ac:dyDescent="0.25">
      <c r="A29" s="374"/>
      <c r="B29" s="379"/>
      <c r="C29" s="591" t="s">
        <v>1273</v>
      </c>
      <c r="D29" s="592"/>
      <c r="E29" s="593"/>
      <c r="F29" s="380"/>
      <c r="G29" s="381"/>
      <c r="H29" s="382"/>
      <c r="I29" s="383"/>
      <c r="J29" s="384"/>
      <c r="K29" s="359"/>
      <c r="L29" s="372">
        <v>1200000</v>
      </c>
      <c r="M29" s="384"/>
      <c r="N29" s="384"/>
      <c r="O29" s="362">
        <f>H29+J29+K29+L29+M29+N29</f>
        <v>1200000</v>
      </c>
      <c r="P29" s="385"/>
      <c r="Q29" s="378"/>
    </row>
    <row r="30" spans="1:19" ht="16.149999999999999" customHeight="1" x14ac:dyDescent="0.25">
      <c r="A30" s="386"/>
      <c r="B30" s="379"/>
      <c r="C30" s="588" t="s">
        <v>3323</v>
      </c>
      <c r="D30" s="589"/>
      <c r="E30" s="590"/>
      <c r="F30" s="402"/>
      <c r="G30" s="381"/>
      <c r="H30" s="369"/>
      <c r="I30" s="403"/>
      <c r="J30" s="381"/>
      <c r="K30" s="404"/>
      <c r="L30" s="388"/>
      <c r="M30" s="372">
        <v>11200000</v>
      </c>
      <c r="N30" s="381"/>
      <c r="O30" s="362">
        <f>H30+J30+K30+L30+M30+N30</f>
        <v>11200000</v>
      </c>
      <c r="P30" s="389"/>
      <c r="Q30" s="378"/>
    </row>
    <row r="31" spans="1:19" ht="19.5" customHeight="1" x14ac:dyDescent="0.25">
      <c r="A31" s="386"/>
      <c r="B31" s="379"/>
      <c r="C31" s="588" t="s">
        <v>3324</v>
      </c>
      <c r="D31" s="589"/>
      <c r="E31" s="590"/>
      <c r="F31" s="380"/>
      <c r="G31" s="381"/>
      <c r="H31" s="382"/>
      <c r="I31" s="383"/>
      <c r="J31" s="384"/>
      <c r="K31" s="387"/>
      <c r="L31" s="388">
        <v>170000</v>
      </c>
      <c r="M31" s="384"/>
      <c r="N31" s="390"/>
      <c r="O31" s="362">
        <f t="shared" ref="O31:O32" si="4">H31+J31+K31+L31+M31+N31</f>
        <v>170000</v>
      </c>
      <c r="P31" s="389"/>
      <c r="Q31" s="378"/>
    </row>
    <row r="32" spans="1:19" ht="21.75" customHeight="1" x14ac:dyDescent="0.25">
      <c r="A32" s="386"/>
      <c r="B32" s="379"/>
      <c r="C32" s="588" t="s">
        <v>3325</v>
      </c>
      <c r="D32" s="589"/>
      <c r="E32" s="590"/>
      <c r="F32" s="380"/>
      <c r="G32" s="381"/>
      <c r="H32" s="382"/>
      <c r="I32" s="383"/>
      <c r="J32" s="384"/>
      <c r="K32" s="394">
        <v>500000</v>
      </c>
      <c r="L32" s="388"/>
      <c r="M32" s="390"/>
      <c r="N32" s="384"/>
      <c r="O32" s="362">
        <f t="shared" si="4"/>
        <v>500000</v>
      </c>
      <c r="P32" s="389"/>
      <c r="Q32" s="378"/>
    </row>
    <row r="33" spans="1:18" ht="16.149999999999999" customHeight="1" x14ac:dyDescent="0.25">
      <c r="A33" s="386"/>
      <c r="B33" s="391"/>
      <c r="C33" s="579" t="s">
        <v>1386</v>
      </c>
      <c r="D33" s="580"/>
      <c r="E33" s="581"/>
      <c r="F33" s="392"/>
      <c r="G33" s="381"/>
      <c r="H33" s="382"/>
      <c r="I33" s="383"/>
      <c r="J33" s="384"/>
      <c r="K33" s="394">
        <f>'[4]09.2020'!$K$9</f>
        <v>8307692.307692307</v>
      </c>
      <c r="L33" s="394"/>
      <c r="M33" s="384"/>
      <c r="N33" s="384"/>
      <c r="O33" s="362">
        <f>H33+J33+K33+L33+M33+N33</f>
        <v>8307692.307692307</v>
      </c>
      <c r="P33" s="389"/>
      <c r="Q33" s="378"/>
    </row>
    <row r="34" spans="1:18" x14ac:dyDescent="0.25">
      <c r="A34" s="576" t="s">
        <v>19</v>
      </c>
      <c r="B34" s="577"/>
      <c r="C34" s="577"/>
      <c r="D34" s="577"/>
      <c r="E34" s="577"/>
      <c r="F34" s="578"/>
      <c r="G34" s="395">
        <f>SUM(G8:G33)</f>
        <v>2525</v>
      </c>
      <c r="H34" s="396">
        <f t="shared" ref="H34:M34" si="5">SUM(H7:H33)</f>
        <v>29240050</v>
      </c>
      <c r="I34" s="396">
        <f t="shared" si="5"/>
        <v>0</v>
      </c>
      <c r="J34" s="396">
        <f t="shared" si="5"/>
        <v>26710000</v>
      </c>
      <c r="K34" s="396">
        <f t="shared" si="5"/>
        <v>8807692.307692308</v>
      </c>
      <c r="L34" s="396">
        <f>SUM(L7:L33)</f>
        <v>1370000</v>
      </c>
      <c r="M34" s="396">
        <f t="shared" si="5"/>
        <v>11200000</v>
      </c>
      <c r="N34" s="396">
        <f>SUM(N7:N33)</f>
        <v>0</v>
      </c>
      <c r="O34" s="396">
        <f>SUM(O7:O33)</f>
        <v>77327742.307692304</v>
      </c>
      <c r="P34" s="396">
        <f>SUM(P7:P33)</f>
        <v>108599999</v>
      </c>
      <c r="Q34" s="397">
        <f>P34-O34</f>
        <v>31272256.692307696</v>
      </c>
      <c r="R34" s="195"/>
    </row>
    <row r="35" spans="1:18" x14ac:dyDescent="0.25">
      <c r="P35" s="294"/>
      <c r="Q35" s="295"/>
    </row>
    <row r="36" spans="1:18" x14ac:dyDescent="0.25">
      <c r="B36"/>
      <c r="G36"/>
      <c r="H36" s="294"/>
      <c r="P36" s="296" t="s">
        <v>1225</v>
      </c>
      <c r="Q36" s="304">
        <f>'08.2020'!Q42+'09.2020'!Q34</f>
        <v>297230527.69230771</v>
      </c>
    </row>
    <row r="37" spans="1:18" x14ac:dyDescent="0.25">
      <c r="B37"/>
      <c r="G37"/>
      <c r="Q37" s="294"/>
    </row>
    <row r="38" spans="1:18" x14ac:dyDescent="0.25">
      <c r="B38"/>
      <c r="G38"/>
      <c r="R38" s="195"/>
    </row>
  </sheetData>
  <mergeCells count="10">
    <mergeCell ref="C32:E32"/>
    <mergeCell ref="C33:E33"/>
    <mergeCell ref="A34:F34"/>
    <mergeCell ref="C30:E30"/>
    <mergeCell ref="A1:Q1"/>
    <mergeCell ref="A2:Q2"/>
    <mergeCell ref="A3:Q3"/>
    <mergeCell ref="G5:N5"/>
    <mergeCell ref="C29:E29"/>
    <mergeCell ref="C31:E31"/>
  </mergeCells>
  <pageMargins left="0.7" right="0.7" top="0.75" bottom="0.75" header="0.3" footer="0.3"/>
  <pageSetup orientation="portrait" horizontalDpi="0" verticalDpi="0"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S48"/>
  <sheetViews>
    <sheetView topLeftCell="A19" workbookViewId="0">
      <selection activeCell="K44" sqref="K44"/>
    </sheetView>
  </sheetViews>
  <sheetFormatPr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0.28515625" style="292" bestFit="1" customWidth="1"/>
    <col min="9" max="9" width="9.28515625" style="293" bestFit="1" customWidth="1"/>
    <col min="10" max="10" width="9.85546875" style="292" bestFit="1" customWidth="1"/>
    <col min="11" max="11" width="9.5703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3326</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19"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19" x14ac:dyDescent="0.25">
      <c r="A7" s="75"/>
      <c r="B7" s="100"/>
      <c r="C7" s="88"/>
      <c r="D7" s="88"/>
      <c r="E7" s="134"/>
      <c r="F7" s="75"/>
      <c r="G7" s="263"/>
      <c r="H7" s="264"/>
      <c r="I7" s="264"/>
      <c r="J7" s="264"/>
      <c r="K7" s="264"/>
      <c r="L7" s="308"/>
      <c r="M7" s="264"/>
      <c r="N7" s="264"/>
      <c r="O7" s="265"/>
      <c r="P7" s="265"/>
      <c r="Q7" s="264"/>
    </row>
    <row r="8" spans="1:19" ht="20.100000000000001" customHeight="1" x14ac:dyDescent="0.25">
      <c r="A8" s="350">
        <v>1</v>
      </c>
      <c r="B8" s="365">
        <v>44104</v>
      </c>
      <c r="C8" s="366" t="s">
        <v>2068</v>
      </c>
      <c r="D8" s="367" t="s">
        <v>3342</v>
      </c>
      <c r="E8" s="354" t="s">
        <v>2117</v>
      </c>
      <c r="F8" s="368"/>
      <c r="G8" s="369"/>
      <c r="H8" s="369"/>
      <c r="I8" s="418"/>
      <c r="J8" s="358">
        <v>1400000</v>
      </c>
      <c r="K8" s="371"/>
      <c r="L8" s="372"/>
      <c r="M8" s="358"/>
      <c r="N8" s="358"/>
      <c r="O8" s="358">
        <f>H8+J8+K8+L8+M8+N8</f>
        <v>1400000</v>
      </c>
      <c r="P8" s="358">
        <v>5454545</v>
      </c>
      <c r="Q8" s="358">
        <f>P8-O8</f>
        <v>4054545</v>
      </c>
      <c r="R8" s="195"/>
      <c r="S8" s="195"/>
    </row>
    <row r="9" spans="1:19" ht="20.100000000000001" customHeight="1" x14ac:dyDescent="0.25">
      <c r="A9" s="350">
        <v>2</v>
      </c>
      <c r="B9" s="365">
        <v>44107</v>
      </c>
      <c r="C9" s="366" t="s">
        <v>3327</v>
      </c>
      <c r="D9" s="415" t="s">
        <v>3343</v>
      </c>
      <c r="E9" s="354" t="s">
        <v>3365</v>
      </c>
      <c r="F9" s="368"/>
      <c r="G9" s="369"/>
      <c r="H9" s="369"/>
      <c r="I9" s="370"/>
      <c r="J9" s="358">
        <v>790000</v>
      </c>
      <c r="K9" s="371"/>
      <c r="L9" s="372"/>
      <c r="M9" s="358"/>
      <c r="N9" s="358"/>
      <c r="O9" s="358">
        <f t="shared" ref="O9:O32" si="0">H9+J9+K9+L9+M9+N9</f>
        <v>790000</v>
      </c>
      <c r="P9" s="385">
        <v>3800000</v>
      </c>
      <c r="Q9" s="358">
        <f t="shared" ref="Q9:Q20" si="1">P9-O9</f>
        <v>3010000</v>
      </c>
      <c r="R9" s="195"/>
      <c r="S9" s="195"/>
    </row>
    <row r="10" spans="1:19" ht="20.100000000000001" customHeight="1" x14ac:dyDescent="0.25">
      <c r="A10" s="350">
        <v>3</v>
      </c>
      <c r="B10" s="365">
        <v>44109</v>
      </c>
      <c r="C10" s="366" t="s">
        <v>3328</v>
      </c>
      <c r="D10" s="367" t="s">
        <v>3344</v>
      </c>
      <c r="E10" s="354" t="s">
        <v>1615</v>
      </c>
      <c r="F10" s="368"/>
      <c r="G10" s="369">
        <v>330</v>
      </c>
      <c r="H10" s="369">
        <f>G10*11120</f>
        <v>3669600</v>
      </c>
      <c r="I10" s="370"/>
      <c r="J10" s="358">
        <v>970000</v>
      </c>
      <c r="K10" s="371"/>
      <c r="L10" s="372"/>
      <c r="M10" s="358"/>
      <c r="N10" s="358"/>
      <c r="O10" s="358">
        <f t="shared" si="0"/>
        <v>4639600</v>
      </c>
      <c r="P10" s="385">
        <v>3400000</v>
      </c>
      <c r="Q10" s="358">
        <f t="shared" si="1"/>
        <v>-1239600</v>
      </c>
      <c r="R10" s="195"/>
      <c r="S10" s="195"/>
    </row>
    <row r="11" spans="1:19" ht="20.100000000000001" customHeight="1" x14ac:dyDescent="0.25">
      <c r="A11" s="350">
        <v>4</v>
      </c>
      <c r="B11" s="365">
        <v>44110</v>
      </c>
      <c r="C11" s="366" t="s">
        <v>3329</v>
      </c>
      <c r="D11" s="367" t="s">
        <v>3345</v>
      </c>
      <c r="E11" s="354" t="s">
        <v>21</v>
      </c>
      <c r="F11" s="368"/>
      <c r="G11" s="369"/>
      <c r="H11" s="369"/>
      <c r="I11" s="370"/>
      <c r="J11" s="358">
        <v>2740000</v>
      </c>
      <c r="K11" s="371"/>
      <c r="L11" s="372"/>
      <c r="M11" s="358"/>
      <c r="N11" s="358"/>
      <c r="O11" s="358">
        <f t="shared" si="0"/>
        <v>2740000</v>
      </c>
      <c r="P11" s="385">
        <v>7500000</v>
      </c>
      <c r="Q11" s="358">
        <f t="shared" si="1"/>
        <v>4760000</v>
      </c>
      <c r="R11" s="195"/>
      <c r="S11" s="195"/>
    </row>
    <row r="12" spans="1:19" ht="20.100000000000001" customHeight="1" x14ac:dyDescent="0.25">
      <c r="A12" s="350">
        <v>5</v>
      </c>
      <c r="B12" s="365">
        <v>44110</v>
      </c>
      <c r="C12" s="366" t="s">
        <v>3329</v>
      </c>
      <c r="D12" s="367" t="s">
        <v>3346</v>
      </c>
      <c r="E12" s="354" t="s">
        <v>1212</v>
      </c>
      <c r="F12" s="368"/>
      <c r="G12" s="398">
        <v>255</v>
      </c>
      <c r="H12" s="398">
        <f t="shared" ref="H12" si="2">G12*11120</f>
        <v>2835600</v>
      </c>
      <c r="I12" s="370"/>
      <c r="J12" s="358">
        <v>500000</v>
      </c>
      <c r="K12" s="371"/>
      <c r="L12" s="372"/>
      <c r="M12" s="358"/>
      <c r="N12" s="358"/>
      <c r="O12" s="358">
        <f t="shared" si="0"/>
        <v>3335600</v>
      </c>
      <c r="P12" s="385">
        <v>7500000</v>
      </c>
      <c r="Q12" s="358">
        <f t="shared" si="1"/>
        <v>4164400</v>
      </c>
      <c r="R12" s="195"/>
      <c r="S12" s="195"/>
    </row>
    <row r="13" spans="1:19" ht="20.100000000000001" customHeight="1" x14ac:dyDescent="0.25">
      <c r="A13" s="350">
        <v>6</v>
      </c>
      <c r="B13" s="365">
        <v>44112</v>
      </c>
      <c r="C13" s="366" t="s">
        <v>3330</v>
      </c>
      <c r="D13" s="367" t="s">
        <v>3347</v>
      </c>
      <c r="E13" s="354" t="s">
        <v>2589</v>
      </c>
      <c r="F13" s="368"/>
      <c r="G13" s="369"/>
      <c r="H13" s="369"/>
      <c r="I13" s="370"/>
      <c r="J13" s="358">
        <v>1150000</v>
      </c>
      <c r="K13" s="371"/>
      <c r="L13" s="372"/>
      <c r="M13" s="358"/>
      <c r="N13" s="358"/>
      <c r="O13" s="358">
        <f t="shared" si="0"/>
        <v>1150000</v>
      </c>
      <c r="P13" s="385">
        <v>5500000</v>
      </c>
      <c r="Q13" s="358">
        <f t="shared" si="1"/>
        <v>4350000</v>
      </c>
      <c r="R13" s="195"/>
      <c r="S13" s="195"/>
    </row>
    <row r="14" spans="1:19" ht="20.100000000000001" customHeight="1" x14ac:dyDescent="0.25">
      <c r="A14" s="350">
        <v>7</v>
      </c>
      <c r="B14" s="365">
        <v>44116</v>
      </c>
      <c r="C14" s="366" t="s">
        <v>659</v>
      </c>
      <c r="D14" s="367" t="s">
        <v>3348</v>
      </c>
      <c r="E14" s="354" t="s">
        <v>301</v>
      </c>
      <c r="F14" s="368"/>
      <c r="G14" s="369"/>
      <c r="H14" s="369"/>
      <c r="I14" s="370"/>
      <c r="J14" s="358">
        <v>3820000</v>
      </c>
      <c r="K14" s="371"/>
      <c r="L14" s="372"/>
      <c r="M14" s="358"/>
      <c r="N14" s="358"/>
      <c r="O14" s="358">
        <f t="shared" si="0"/>
        <v>3820000</v>
      </c>
      <c r="P14" s="385">
        <v>18181818</v>
      </c>
      <c r="Q14" s="358">
        <f t="shared" si="1"/>
        <v>14361818</v>
      </c>
      <c r="R14" s="195"/>
      <c r="S14" s="195"/>
    </row>
    <row r="15" spans="1:19" ht="20.100000000000001" customHeight="1" x14ac:dyDescent="0.25">
      <c r="A15" s="350">
        <v>8</v>
      </c>
      <c r="B15" s="365">
        <v>44116</v>
      </c>
      <c r="C15" s="366" t="s">
        <v>659</v>
      </c>
      <c r="D15" s="367" t="s">
        <v>3349</v>
      </c>
      <c r="E15" s="354" t="s">
        <v>301</v>
      </c>
      <c r="F15" s="368"/>
      <c r="G15" s="369">
        <v>100</v>
      </c>
      <c r="H15" s="369">
        <f t="shared" ref="H15:H28" si="3">G15*11120</f>
        <v>1112000</v>
      </c>
      <c r="I15" s="370"/>
      <c r="J15" s="358">
        <v>500000</v>
      </c>
      <c r="K15" s="371"/>
      <c r="L15" s="372"/>
      <c r="M15" s="358"/>
      <c r="N15" s="358"/>
      <c r="O15" s="358">
        <f t="shared" si="0"/>
        <v>1612000</v>
      </c>
      <c r="P15" s="385">
        <v>0</v>
      </c>
      <c r="Q15" s="358">
        <f t="shared" si="1"/>
        <v>-1612000</v>
      </c>
      <c r="R15" s="195"/>
      <c r="S15" s="195"/>
    </row>
    <row r="16" spans="1:19" ht="20.100000000000001" customHeight="1" x14ac:dyDescent="0.25">
      <c r="A16" s="350">
        <v>9</v>
      </c>
      <c r="B16" s="365">
        <v>44117</v>
      </c>
      <c r="C16" s="366" t="s">
        <v>1399</v>
      </c>
      <c r="D16" s="367" t="s">
        <v>3350</v>
      </c>
      <c r="E16" s="354" t="s">
        <v>2885</v>
      </c>
      <c r="F16" s="368"/>
      <c r="G16" s="369"/>
      <c r="H16" s="369"/>
      <c r="I16" s="370"/>
      <c r="J16" s="358">
        <v>790000</v>
      </c>
      <c r="K16" s="371"/>
      <c r="L16" s="372"/>
      <c r="M16" s="358"/>
      <c r="N16" s="358"/>
      <c r="O16" s="358">
        <f t="shared" si="0"/>
        <v>790000</v>
      </c>
      <c r="P16" s="385">
        <v>2763636</v>
      </c>
      <c r="Q16" s="358">
        <f t="shared" si="1"/>
        <v>1973636</v>
      </c>
      <c r="R16" s="195"/>
      <c r="S16" s="195"/>
    </row>
    <row r="17" spans="1:19" ht="20.100000000000001" customHeight="1" x14ac:dyDescent="0.25">
      <c r="A17" s="350">
        <v>10</v>
      </c>
      <c r="B17" s="365">
        <v>44118</v>
      </c>
      <c r="C17" s="366" t="s">
        <v>2078</v>
      </c>
      <c r="D17" s="367" t="s">
        <v>3351</v>
      </c>
      <c r="E17" s="354" t="s">
        <v>187</v>
      </c>
      <c r="F17" s="368"/>
      <c r="G17" s="398">
        <v>340</v>
      </c>
      <c r="H17" s="398">
        <f t="shared" si="3"/>
        <v>3780800</v>
      </c>
      <c r="I17" s="370"/>
      <c r="J17" s="358">
        <v>1150000</v>
      </c>
      <c r="K17" s="371"/>
      <c r="L17" s="372"/>
      <c r="M17" s="358"/>
      <c r="N17" s="358"/>
      <c r="O17" s="358">
        <f t="shared" si="0"/>
        <v>4930800</v>
      </c>
      <c r="P17" s="385">
        <v>3600000</v>
      </c>
      <c r="Q17" s="358">
        <f t="shared" si="1"/>
        <v>-1330800</v>
      </c>
      <c r="R17" s="195"/>
      <c r="S17" s="195"/>
    </row>
    <row r="18" spans="1:19" ht="20.100000000000001" customHeight="1" x14ac:dyDescent="0.25">
      <c r="A18" s="350">
        <v>11</v>
      </c>
      <c r="B18" s="365">
        <v>44119</v>
      </c>
      <c r="C18" s="366" t="s">
        <v>2743</v>
      </c>
      <c r="D18" s="367" t="s">
        <v>3352</v>
      </c>
      <c r="E18" s="354" t="s">
        <v>2885</v>
      </c>
      <c r="F18" s="368"/>
      <c r="G18" s="369"/>
      <c r="H18" s="369"/>
      <c r="I18" s="370"/>
      <c r="J18" s="358">
        <v>790000</v>
      </c>
      <c r="K18" s="371"/>
      <c r="L18" s="372"/>
      <c r="M18" s="358"/>
      <c r="N18" s="358"/>
      <c r="O18" s="358">
        <f t="shared" si="0"/>
        <v>790000</v>
      </c>
      <c r="P18" s="385">
        <v>2763636</v>
      </c>
      <c r="Q18" s="358">
        <f t="shared" si="1"/>
        <v>1973636</v>
      </c>
      <c r="R18" s="195"/>
      <c r="S18" s="195"/>
    </row>
    <row r="19" spans="1:19" ht="20.100000000000001" customHeight="1" x14ac:dyDescent="0.25">
      <c r="A19" s="350">
        <v>12</v>
      </c>
      <c r="B19" s="365">
        <v>44120</v>
      </c>
      <c r="C19" s="366" t="s">
        <v>3331</v>
      </c>
      <c r="D19" s="367" t="s">
        <v>3352</v>
      </c>
      <c r="E19" s="354" t="s">
        <v>3418</v>
      </c>
      <c r="F19" s="368"/>
      <c r="G19" s="369"/>
      <c r="H19" s="369"/>
      <c r="I19" s="370"/>
      <c r="J19" s="358">
        <v>660000</v>
      </c>
      <c r="K19" s="371"/>
      <c r="L19" s="372"/>
      <c r="M19" s="358"/>
      <c r="N19" s="358"/>
      <c r="O19" s="358">
        <f t="shared" si="0"/>
        <v>660000</v>
      </c>
      <c r="P19" s="385">
        <v>2500000</v>
      </c>
      <c r="Q19" s="358">
        <f t="shared" si="1"/>
        <v>1840000</v>
      </c>
      <c r="R19" s="195"/>
      <c r="S19" s="195"/>
    </row>
    <row r="20" spans="1:19" ht="20.100000000000001" customHeight="1" x14ac:dyDescent="0.25">
      <c r="A20" s="350">
        <v>13</v>
      </c>
      <c r="B20" s="365">
        <v>44121</v>
      </c>
      <c r="C20" s="366" t="s">
        <v>3332</v>
      </c>
      <c r="D20" s="367" t="s">
        <v>3353</v>
      </c>
      <c r="E20" s="354" t="s">
        <v>636</v>
      </c>
      <c r="F20" s="368"/>
      <c r="G20" s="369">
        <v>275</v>
      </c>
      <c r="H20" s="369">
        <f t="shared" si="3"/>
        <v>3058000</v>
      </c>
      <c r="I20" s="370"/>
      <c r="J20" s="358">
        <v>790000</v>
      </c>
      <c r="K20" s="371"/>
      <c r="L20" s="372"/>
      <c r="M20" s="358"/>
      <c r="N20" s="358"/>
      <c r="O20" s="358">
        <f t="shared" si="0"/>
        <v>3848000</v>
      </c>
      <c r="P20" s="385">
        <v>3300000</v>
      </c>
      <c r="Q20" s="358">
        <f t="shared" si="1"/>
        <v>-548000</v>
      </c>
      <c r="R20" s="195"/>
      <c r="S20" s="195"/>
    </row>
    <row r="21" spans="1:19" ht="20.100000000000001" customHeight="1" x14ac:dyDescent="0.25">
      <c r="A21" s="350">
        <v>14</v>
      </c>
      <c r="B21" s="365">
        <v>44123</v>
      </c>
      <c r="C21" s="366" t="s">
        <v>3333</v>
      </c>
      <c r="D21" s="367" t="s">
        <v>3354</v>
      </c>
      <c r="E21" s="354" t="s">
        <v>849</v>
      </c>
      <c r="F21" s="368"/>
      <c r="G21" s="369"/>
      <c r="H21" s="369"/>
      <c r="I21" s="370"/>
      <c r="J21" s="358">
        <v>790000</v>
      </c>
      <c r="K21" s="371"/>
      <c r="L21" s="372"/>
      <c r="M21" s="358"/>
      <c r="N21" s="358"/>
      <c r="O21" s="358">
        <f t="shared" si="0"/>
        <v>790000</v>
      </c>
      <c r="P21" s="385">
        <v>2800000</v>
      </c>
      <c r="Q21" s="358">
        <f t="shared" ref="Q21:Q32" si="4">P21-O21</f>
        <v>2010000</v>
      </c>
      <c r="R21" s="195"/>
      <c r="S21" s="195"/>
    </row>
    <row r="22" spans="1:19" ht="20.100000000000001" customHeight="1" x14ac:dyDescent="0.25">
      <c r="A22" s="350">
        <v>15</v>
      </c>
      <c r="B22" s="365">
        <v>44123</v>
      </c>
      <c r="C22" s="366" t="s">
        <v>3334</v>
      </c>
      <c r="D22" s="367" t="s">
        <v>3355</v>
      </c>
      <c r="E22" s="354" t="s">
        <v>29</v>
      </c>
      <c r="F22" s="368"/>
      <c r="G22" s="369"/>
      <c r="H22" s="369"/>
      <c r="I22" s="370"/>
      <c r="J22" s="358">
        <v>970000</v>
      </c>
      <c r="K22" s="371"/>
      <c r="L22" s="372"/>
      <c r="M22" s="358"/>
      <c r="N22" s="358"/>
      <c r="O22" s="358">
        <f t="shared" si="0"/>
        <v>970000</v>
      </c>
      <c r="P22" s="385">
        <v>3500000</v>
      </c>
      <c r="Q22" s="358">
        <f t="shared" si="4"/>
        <v>2530000</v>
      </c>
      <c r="R22" s="195"/>
      <c r="S22" s="195"/>
    </row>
    <row r="23" spans="1:19" ht="20.100000000000001" customHeight="1" x14ac:dyDescent="0.25">
      <c r="A23" s="350">
        <v>16</v>
      </c>
      <c r="B23" s="365">
        <v>44124</v>
      </c>
      <c r="C23" s="366" t="s">
        <v>3335</v>
      </c>
      <c r="D23" s="367" t="s">
        <v>3356</v>
      </c>
      <c r="E23" s="354" t="s">
        <v>24</v>
      </c>
      <c r="F23" s="368"/>
      <c r="G23" s="369">
        <v>265</v>
      </c>
      <c r="H23" s="369">
        <f t="shared" si="3"/>
        <v>2946800</v>
      </c>
      <c r="I23" s="370"/>
      <c r="J23" s="358">
        <v>1890000</v>
      </c>
      <c r="K23" s="371"/>
      <c r="L23" s="372"/>
      <c r="M23" s="358"/>
      <c r="N23" s="358"/>
      <c r="O23" s="358">
        <f t="shared" si="0"/>
        <v>4836800</v>
      </c>
      <c r="P23" s="385">
        <v>7209091</v>
      </c>
      <c r="Q23" s="358">
        <f t="shared" si="4"/>
        <v>2372291</v>
      </c>
      <c r="R23" s="195"/>
      <c r="S23" s="195"/>
    </row>
    <row r="24" spans="1:19" ht="20.100000000000001" customHeight="1" x14ac:dyDescent="0.25">
      <c r="A24" s="350">
        <v>17</v>
      </c>
      <c r="B24" s="365">
        <v>44125</v>
      </c>
      <c r="C24" s="366" t="s">
        <v>667</v>
      </c>
      <c r="D24" s="367" t="s">
        <v>3357</v>
      </c>
      <c r="E24" s="354" t="s">
        <v>3366</v>
      </c>
      <c r="F24" s="368"/>
      <c r="G24" s="369"/>
      <c r="H24" s="369"/>
      <c r="I24" s="370"/>
      <c r="J24" s="358">
        <v>790000</v>
      </c>
      <c r="K24" s="371"/>
      <c r="L24" s="372"/>
      <c r="M24" s="358"/>
      <c r="N24" s="358"/>
      <c r="O24" s="358">
        <f t="shared" si="0"/>
        <v>790000</v>
      </c>
      <c r="P24" s="385">
        <v>3436364</v>
      </c>
      <c r="Q24" s="358">
        <f t="shared" si="4"/>
        <v>2646364</v>
      </c>
      <c r="R24" s="195"/>
      <c r="S24" s="195"/>
    </row>
    <row r="25" spans="1:19" ht="20.100000000000001" customHeight="1" x14ac:dyDescent="0.25">
      <c r="A25" s="350">
        <v>18</v>
      </c>
      <c r="B25" s="365">
        <v>44126</v>
      </c>
      <c r="C25" s="366" t="s">
        <v>3336</v>
      </c>
      <c r="D25" s="367" t="s">
        <v>3357</v>
      </c>
      <c r="E25" s="354" t="s">
        <v>22</v>
      </c>
      <c r="F25" s="368"/>
      <c r="G25" s="369"/>
      <c r="H25" s="369"/>
      <c r="I25" s="370"/>
      <c r="J25" s="358">
        <v>660000</v>
      </c>
      <c r="K25" s="371"/>
      <c r="L25" s="372"/>
      <c r="M25" s="358"/>
      <c r="N25" s="358"/>
      <c r="O25" s="358">
        <f t="shared" si="0"/>
        <v>660000</v>
      </c>
      <c r="P25" s="385">
        <v>3800000</v>
      </c>
      <c r="Q25" s="358">
        <f t="shared" si="4"/>
        <v>3140000</v>
      </c>
      <c r="R25" s="195"/>
      <c r="S25" s="195"/>
    </row>
    <row r="26" spans="1:19" ht="20.100000000000001" customHeight="1" x14ac:dyDescent="0.25">
      <c r="A26" s="350">
        <v>19</v>
      </c>
      <c r="B26" s="365">
        <v>44127</v>
      </c>
      <c r="C26" s="366" t="s">
        <v>3337</v>
      </c>
      <c r="D26" s="367" t="s">
        <v>3358</v>
      </c>
      <c r="E26" s="354" t="s">
        <v>3367</v>
      </c>
      <c r="F26" s="368"/>
      <c r="G26" s="369">
        <v>270</v>
      </c>
      <c r="H26" s="369">
        <f t="shared" si="3"/>
        <v>3002400</v>
      </c>
      <c r="I26" s="370"/>
      <c r="J26" s="358">
        <v>1890000</v>
      </c>
      <c r="K26" s="371"/>
      <c r="L26" s="372"/>
      <c r="M26" s="358"/>
      <c r="N26" s="358"/>
      <c r="O26" s="358">
        <f t="shared" si="0"/>
        <v>4892400</v>
      </c>
      <c r="P26" s="385">
        <v>8000000</v>
      </c>
      <c r="Q26" s="358">
        <f t="shared" si="4"/>
        <v>3107600</v>
      </c>
      <c r="R26" s="195"/>
      <c r="S26" s="195"/>
    </row>
    <row r="27" spans="1:19" ht="20.100000000000001" customHeight="1" x14ac:dyDescent="0.25">
      <c r="A27" s="350">
        <v>20</v>
      </c>
      <c r="B27" s="365">
        <v>44130</v>
      </c>
      <c r="C27" s="366" t="s">
        <v>3338</v>
      </c>
      <c r="D27" s="367" t="s">
        <v>3359</v>
      </c>
      <c r="E27" s="354" t="s">
        <v>1212</v>
      </c>
      <c r="F27" s="368"/>
      <c r="G27" s="369"/>
      <c r="H27" s="369"/>
      <c r="I27" s="370"/>
      <c r="J27" s="358">
        <v>2740000</v>
      </c>
      <c r="K27" s="371"/>
      <c r="L27" s="372"/>
      <c r="M27" s="358"/>
      <c r="N27" s="358"/>
      <c r="O27" s="358">
        <f t="shared" si="0"/>
        <v>2740000</v>
      </c>
      <c r="P27" s="385">
        <v>12272727</v>
      </c>
      <c r="Q27" s="358">
        <f t="shared" si="4"/>
        <v>9532727</v>
      </c>
      <c r="R27" s="195"/>
      <c r="S27" s="195"/>
    </row>
    <row r="28" spans="1:19" ht="20.100000000000001" customHeight="1" x14ac:dyDescent="0.25">
      <c r="A28" s="350">
        <v>21</v>
      </c>
      <c r="B28" s="365">
        <v>44130</v>
      </c>
      <c r="C28" s="366" t="s">
        <v>3339</v>
      </c>
      <c r="D28" s="367" t="s">
        <v>3360</v>
      </c>
      <c r="E28" s="354" t="s">
        <v>562</v>
      </c>
      <c r="F28" s="368"/>
      <c r="G28" s="369">
        <v>210</v>
      </c>
      <c r="H28" s="369">
        <f t="shared" si="3"/>
        <v>2335200</v>
      </c>
      <c r="I28" s="370"/>
      <c r="J28" s="358">
        <v>250000</v>
      </c>
      <c r="K28" s="371"/>
      <c r="L28" s="372"/>
      <c r="M28" s="358"/>
      <c r="N28" s="358"/>
      <c r="O28" s="358">
        <f t="shared" si="0"/>
        <v>2585200</v>
      </c>
      <c r="P28" s="385">
        <v>5500000</v>
      </c>
      <c r="Q28" s="358">
        <f t="shared" si="4"/>
        <v>2914800</v>
      </c>
      <c r="R28" s="195"/>
      <c r="S28" s="195"/>
    </row>
    <row r="29" spans="1:19" ht="20.100000000000001" customHeight="1" x14ac:dyDescent="0.25">
      <c r="A29" s="350">
        <v>22</v>
      </c>
      <c r="B29" s="365">
        <v>44131</v>
      </c>
      <c r="C29" s="366" t="s">
        <v>673</v>
      </c>
      <c r="D29" s="367" t="s">
        <v>3361</v>
      </c>
      <c r="E29" s="354" t="s">
        <v>3368</v>
      </c>
      <c r="F29" s="368"/>
      <c r="G29" s="369"/>
      <c r="H29" s="369"/>
      <c r="I29" s="370"/>
      <c r="J29" s="358">
        <v>1150000</v>
      </c>
      <c r="K29" s="371"/>
      <c r="L29" s="372"/>
      <c r="M29" s="358"/>
      <c r="N29" s="358"/>
      <c r="O29" s="358">
        <f t="shared" si="0"/>
        <v>1150000</v>
      </c>
      <c r="P29" s="385">
        <v>3909091</v>
      </c>
      <c r="Q29" s="358">
        <f t="shared" si="4"/>
        <v>2759091</v>
      </c>
      <c r="R29" s="195"/>
      <c r="S29" s="195"/>
    </row>
    <row r="30" spans="1:19" ht="20.100000000000001" customHeight="1" x14ac:dyDescent="0.25">
      <c r="A30" s="350">
        <v>23</v>
      </c>
      <c r="B30" s="365">
        <v>44132</v>
      </c>
      <c r="C30" s="366" t="s">
        <v>2747</v>
      </c>
      <c r="D30" s="367" t="s">
        <v>3362</v>
      </c>
      <c r="E30" s="354" t="s">
        <v>189</v>
      </c>
      <c r="F30" s="368"/>
      <c r="G30" s="369">
        <v>310</v>
      </c>
      <c r="H30" s="369">
        <f>G30*11210</f>
        <v>3475100</v>
      </c>
      <c r="I30" s="370"/>
      <c r="J30" s="358">
        <v>1890000</v>
      </c>
      <c r="K30" s="371"/>
      <c r="L30" s="372"/>
      <c r="M30" s="358"/>
      <c r="N30" s="358"/>
      <c r="O30" s="358">
        <f t="shared" si="0"/>
        <v>5365100</v>
      </c>
      <c r="P30" s="385">
        <v>9272727</v>
      </c>
      <c r="Q30" s="358">
        <f t="shared" si="4"/>
        <v>3907627</v>
      </c>
      <c r="R30" s="195"/>
      <c r="S30" s="195"/>
    </row>
    <row r="31" spans="1:19" ht="20.100000000000001" customHeight="1" x14ac:dyDescent="0.25">
      <c r="A31" s="350">
        <v>24</v>
      </c>
      <c r="B31" s="365">
        <v>44133</v>
      </c>
      <c r="C31" s="366" t="s">
        <v>3340</v>
      </c>
      <c r="D31" s="367" t="s">
        <v>3363</v>
      </c>
      <c r="E31" s="354" t="s">
        <v>3316</v>
      </c>
      <c r="F31" s="368"/>
      <c r="G31" s="369"/>
      <c r="H31" s="369"/>
      <c r="I31" s="370"/>
      <c r="J31" s="358">
        <v>1600000</v>
      </c>
      <c r="K31" s="371"/>
      <c r="L31" s="372"/>
      <c r="M31" s="358"/>
      <c r="N31" s="358"/>
      <c r="O31" s="358">
        <f t="shared" si="0"/>
        <v>1600000</v>
      </c>
      <c r="P31" s="385">
        <v>5500000</v>
      </c>
      <c r="Q31" s="358">
        <f t="shared" si="4"/>
        <v>3900000</v>
      </c>
      <c r="R31" s="195"/>
      <c r="S31" s="195"/>
    </row>
    <row r="32" spans="1:19" ht="20.100000000000001" customHeight="1" x14ac:dyDescent="0.25">
      <c r="A32" s="350">
        <v>25</v>
      </c>
      <c r="B32" s="365">
        <v>44134</v>
      </c>
      <c r="C32" s="366" t="s">
        <v>3341</v>
      </c>
      <c r="D32" s="367" t="s">
        <v>3364</v>
      </c>
      <c r="E32" s="354" t="s">
        <v>188</v>
      </c>
      <c r="F32" s="368"/>
      <c r="G32" s="369">
        <v>300</v>
      </c>
      <c r="H32" s="369">
        <f>G32*11210</f>
        <v>3363000</v>
      </c>
      <c r="I32" s="370"/>
      <c r="J32" s="358">
        <v>750000</v>
      </c>
      <c r="K32" s="371"/>
      <c r="L32" s="372"/>
      <c r="M32" s="358"/>
      <c r="N32" s="358"/>
      <c r="O32" s="358">
        <f t="shared" si="0"/>
        <v>4113000</v>
      </c>
      <c r="P32" s="385">
        <v>2900000</v>
      </c>
      <c r="Q32" s="358">
        <f t="shared" si="4"/>
        <v>-1213000</v>
      </c>
      <c r="R32" s="195"/>
      <c r="S32" s="195"/>
    </row>
    <row r="33" spans="1:19" ht="20.100000000000001" customHeight="1" x14ac:dyDescent="0.25">
      <c r="A33" s="374"/>
      <c r="B33" s="375"/>
      <c r="C33" s="416"/>
      <c r="D33" s="417"/>
      <c r="E33" s="354"/>
      <c r="F33" s="355"/>
      <c r="G33" s="356"/>
      <c r="H33" s="356"/>
      <c r="I33" s="364"/>
      <c r="J33" s="358"/>
      <c r="K33" s="371"/>
      <c r="L33" s="372"/>
      <c r="M33" s="358"/>
      <c r="N33" s="358"/>
      <c r="O33" s="362"/>
      <c r="P33" s="419"/>
      <c r="Q33" s="378"/>
      <c r="R33" s="195"/>
      <c r="S33" s="195"/>
    </row>
    <row r="34" spans="1:19" ht="16.149999999999999" customHeight="1" x14ac:dyDescent="0.25">
      <c r="A34" s="374"/>
      <c r="B34" s="379"/>
      <c r="C34" s="591" t="s">
        <v>1273</v>
      </c>
      <c r="D34" s="592"/>
      <c r="E34" s="593"/>
      <c r="F34" s="380"/>
      <c r="G34" s="381"/>
      <c r="H34" s="382"/>
      <c r="I34" s="383"/>
      <c r="J34" s="381"/>
      <c r="K34" s="371"/>
      <c r="L34" s="372">
        <v>1200000</v>
      </c>
      <c r="M34" s="381"/>
      <c r="N34" s="381"/>
      <c r="O34" s="362">
        <f>H34+J34+K34+L34+M34+N34</f>
        <v>1200000</v>
      </c>
      <c r="P34" s="385"/>
      <c r="Q34" s="378"/>
    </row>
    <row r="35" spans="1:19" ht="16.149999999999999" customHeight="1" x14ac:dyDescent="0.25">
      <c r="A35" s="386"/>
      <c r="B35" s="379"/>
      <c r="C35" s="588" t="s">
        <v>3369</v>
      </c>
      <c r="D35" s="589"/>
      <c r="E35" s="590"/>
      <c r="F35" s="402"/>
      <c r="G35" s="381"/>
      <c r="H35" s="369"/>
      <c r="I35" s="403"/>
      <c r="J35" s="381"/>
      <c r="K35" s="404"/>
      <c r="L35" s="388">
        <v>1200000</v>
      </c>
      <c r="M35" s="372"/>
      <c r="N35" s="381"/>
      <c r="O35" s="362">
        <f t="shared" ref="O35:O42" si="5">H35+J35+K35+L35+M35+N35</f>
        <v>1200000</v>
      </c>
      <c r="P35" s="389"/>
      <c r="Q35" s="378"/>
    </row>
    <row r="36" spans="1:19" ht="16.149999999999999" customHeight="1" x14ac:dyDescent="0.25">
      <c r="A36" s="386"/>
      <c r="B36" s="379"/>
      <c r="C36" s="399" t="s">
        <v>1780</v>
      </c>
      <c r="D36" s="400"/>
      <c r="E36" s="401"/>
      <c r="F36" s="402"/>
      <c r="G36" s="381"/>
      <c r="H36" s="369"/>
      <c r="I36" s="403"/>
      <c r="J36" s="381"/>
      <c r="K36" s="404"/>
      <c r="L36" s="388">
        <v>610000</v>
      </c>
      <c r="M36" s="388"/>
      <c r="N36" s="381"/>
      <c r="O36" s="362">
        <f t="shared" si="5"/>
        <v>610000</v>
      </c>
      <c r="P36" s="389"/>
      <c r="Q36" s="378"/>
    </row>
    <row r="37" spans="1:19" ht="16.149999999999999" customHeight="1" x14ac:dyDescent="0.25">
      <c r="A37" s="386"/>
      <c r="B37" s="379"/>
      <c r="C37" s="588" t="s">
        <v>1090</v>
      </c>
      <c r="D37" s="589"/>
      <c r="E37" s="590"/>
      <c r="F37" s="402"/>
      <c r="G37" s="381"/>
      <c r="H37" s="369"/>
      <c r="I37" s="403"/>
      <c r="J37" s="381"/>
      <c r="K37" s="404"/>
      <c r="L37" s="388">
        <v>7894000</v>
      </c>
      <c r="M37" s="388"/>
      <c r="N37" s="381"/>
      <c r="O37" s="362">
        <f t="shared" si="5"/>
        <v>7894000</v>
      </c>
      <c r="P37" s="389"/>
      <c r="Q37" s="378"/>
    </row>
    <row r="38" spans="1:19" ht="19.5" customHeight="1" x14ac:dyDescent="0.25">
      <c r="A38" s="386"/>
      <c r="B38" s="379"/>
      <c r="C38" s="588" t="s">
        <v>3370</v>
      </c>
      <c r="D38" s="589"/>
      <c r="E38" s="590"/>
      <c r="F38" s="380"/>
      <c r="G38" s="381"/>
      <c r="H38" s="382"/>
      <c r="I38" s="383"/>
      <c r="J38" s="381"/>
      <c r="K38" s="404"/>
      <c r="L38" s="388">
        <v>300000</v>
      </c>
      <c r="M38" s="381"/>
      <c r="N38" s="388"/>
      <c r="O38" s="362">
        <f t="shared" si="5"/>
        <v>300000</v>
      </c>
      <c r="P38" s="389"/>
      <c r="Q38" s="378"/>
    </row>
    <row r="39" spans="1:19" ht="35.25" customHeight="1" x14ac:dyDescent="0.25">
      <c r="A39" s="386"/>
      <c r="B39" s="379"/>
      <c r="C39" s="588" t="s">
        <v>3371</v>
      </c>
      <c r="D39" s="589"/>
      <c r="E39" s="590"/>
      <c r="F39" s="380"/>
      <c r="G39" s="381"/>
      <c r="H39" s="382"/>
      <c r="I39" s="383"/>
      <c r="J39" s="381"/>
      <c r="K39" s="394"/>
      <c r="L39" s="388">
        <v>6970000</v>
      </c>
      <c r="M39" s="388"/>
      <c r="N39" s="381"/>
      <c r="O39" s="362">
        <f t="shared" si="5"/>
        <v>6970000</v>
      </c>
      <c r="P39" s="389"/>
      <c r="Q39" s="378"/>
    </row>
    <row r="40" spans="1:19" ht="18" customHeight="1" x14ac:dyDescent="0.25">
      <c r="A40" s="386"/>
      <c r="B40" s="379"/>
      <c r="C40" s="588" t="s">
        <v>3372</v>
      </c>
      <c r="D40" s="589"/>
      <c r="E40" s="590"/>
      <c r="F40" s="380"/>
      <c r="G40" s="381"/>
      <c r="H40" s="382"/>
      <c r="I40" s="383"/>
      <c r="J40" s="381"/>
      <c r="K40" s="394"/>
      <c r="L40" s="388"/>
      <c r="M40" s="388">
        <v>9800000</v>
      </c>
      <c r="N40" s="381"/>
      <c r="O40" s="362">
        <f t="shared" si="5"/>
        <v>9800000</v>
      </c>
      <c r="P40" s="389"/>
      <c r="Q40" s="378"/>
    </row>
    <row r="41" spans="1:19" ht="18" customHeight="1" x14ac:dyDescent="0.25">
      <c r="A41" s="386"/>
      <c r="B41" s="379"/>
      <c r="C41" s="588" t="s">
        <v>3373</v>
      </c>
      <c r="D41" s="589"/>
      <c r="E41" s="590"/>
      <c r="F41" s="380"/>
      <c r="G41" s="381"/>
      <c r="H41" s="382"/>
      <c r="I41" s="383"/>
      <c r="J41" s="381"/>
      <c r="K41" s="394"/>
      <c r="L41" s="388">
        <v>100000</v>
      </c>
      <c r="M41" s="388"/>
      <c r="N41" s="381"/>
      <c r="O41" s="362">
        <f t="shared" si="5"/>
        <v>100000</v>
      </c>
      <c r="P41" s="389"/>
      <c r="Q41" s="378"/>
    </row>
    <row r="42" spans="1:19" ht="18" customHeight="1" x14ac:dyDescent="0.25">
      <c r="A42" s="386"/>
      <c r="B42" s="379"/>
      <c r="C42" s="588" t="s">
        <v>3419</v>
      </c>
      <c r="D42" s="589"/>
      <c r="E42" s="590"/>
      <c r="F42" s="380"/>
      <c r="G42" s="381"/>
      <c r="H42" s="382"/>
      <c r="I42" s="383"/>
      <c r="J42" s="381"/>
      <c r="K42" s="394"/>
      <c r="L42" s="388"/>
      <c r="M42" s="388"/>
      <c r="N42" s="388">
        <v>2437500</v>
      </c>
      <c r="O42" s="362">
        <f t="shared" si="5"/>
        <v>2437500</v>
      </c>
      <c r="P42" s="389"/>
      <c r="Q42" s="378"/>
    </row>
    <row r="43" spans="1:19" ht="18" customHeight="1" x14ac:dyDescent="0.25">
      <c r="A43" s="386"/>
      <c r="B43" s="391"/>
      <c r="C43" s="579" t="s">
        <v>1386</v>
      </c>
      <c r="D43" s="580"/>
      <c r="E43" s="581"/>
      <c r="F43" s="392"/>
      <c r="G43" s="381"/>
      <c r="H43" s="382"/>
      <c r="I43" s="383"/>
      <c r="J43" s="381"/>
      <c r="K43" s="394">
        <f>'[4]10.2020'!$K$9</f>
        <v>9000000</v>
      </c>
      <c r="L43" s="394"/>
      <c r="M43" s="381"/>
      <c r="N43" s="381"/>
      <c r="O43" s="362">
        <f>H43+J43+K43+L43+M43+N43</f>
        <v>9000000</v>
      </c>
      <c r="P43" s="389"/>
      <c r="Q43" s="378"/>
    </row>
    <row r="44" spans="1:19" x14ac:dyDescent="0.25">
      <c r="A44" s="576" t="s">
        <v>19</v>
      </c>
      <c r="B44" s="577"/>
      <c r="C44" s="577"/>
      <c r="D44" s="577"/>
      <c r="E44" s="577"/>
      <c r="F44" s="578"/>
      <c r="G44" s="395">
        <f>SUM(G8:G43)</f>
        <v>2655</v>
      </c>
      <c r="H44" s="396">
        <f t="shared" ref="H44:K44" si="6">SUM(H7:H43)</f>
        <v>29578500</v>
      </c>
      <c r="I44" s="396">
        <f t="shared" si="6"/>
        <v>0</v>
      </c>
      <c r="J44" s="396">
        <f t="shared" si="6"/>
        <v>31420000</v>
      </c>
      <c r="K44" s="396">
        <f t="shared" si="6"/>
        <v>9000000</v>
      </c>
      <c r="L44" s="396">
        <f>SUM(L7:L43)</f>
        <v>18274000</v>
      </c>
      <c r="M44" s="396">
        <f>SUM(M7:M43)</f>
        <v>9800000</v>
      </c>
      <c r="N44" s="396">
        <f>SUM(N7:N43)</f>
        <v>2437500</v>
      </c>
      <c r="O44" s="396">
        <f>SUM(O7:O43)</f>
        <v>100510000</v>
      </c>
      <c r="P44" s="396">
        <f>SUM(P7:P43)</f>
        <v>134363635</v>
      </c>
      <c r="Q44" s="397">
        <f>P44-O44</f>
        <v>33853635</v>
      </c>
      <c r="R44" s="195"/>
    </row>
    <row r="45" spans="1:19" x14ac:dyDescent="0.25">
      <c r="P45" s="294"/>
      <c r="Q45" s="295"/>
    </row>
    <row r="46" spans="1:19" x14ac:dyDescent="0.25">
      <c r="B46"/>
      <c r="G46"/>
      <c r="H46" s="294"/>
      <c r="P46" s="296" t="s">
        <v>1225</v>
      </c>
      <c r="Q46" s="304">
        <f>'09.2020'!Q36+'10.2020'!Q44</f>
        <v>331084162.69230771</v>
      </c>
    </row>
    <row r="47" spans="1:19" x14ac:dyDescent="0.25">
      <c r="B47"/>
      <c r="G47"/>
      <c r="Q47" s="294"/>
    </row>
    <row r="48" spans="1:19" x14ac:dyDescent="0.25">
      <c r="B48"/>
      <c r="G48"/>
      <c r="R48" s="195"/>
    </row>
  </sheetData>
  <mergeCells count="14">
    <mergeCell ref="C38:E38"/>
    <mergeCell ref="C39:E39"/>
    <mergeCell ref="C43:E43"/>
    <mergeCell ref="A44:F44"/>
    <mergeCell ref="C37:E37"/>
    <mergeCell ref="C40:E40"/>
    <mergeCell ref="C41:E41"/>
    <mergeCell ref="C42:E42"/>
    <mergeCell ref="C35:E35"/>
    <mergeCell ref="A1:Q1"/>
    <mergeCell ref="A2:Q2"/>
    <mergeCell ref="A3:Q3"/>
    <mergeCell ref="G5:N5"/>
    <mergeCell ref="C34:E34"/>
  </mergeCells>
  <pageMargins left="0.7" right="0.7" top="0.75" bottom="0.75" header="0.3" footer="0.3"/>
  <pageSetup orientation="portrait" horizontalDpi="0" verticalDpi="0"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S41"/>
  <sheetViews>
    <sheetView topLeftCell="A19" workbookViewId="0">
      <selection activeCell="J42" sqref="J42"/>
    </sheetView>
  </sheetViews>
  <sheetFormatPr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0.28515625" style="292" bestFit="1" customWidth="1"/>
    <col min="9" max="9" width="9.28515625" style="293" bestFit="1" customWidth="1"/>
    <col min="10" max="10" width="9.85546875" style="292" bestFit="1" customWidth="1"/>
    <col min="11" max="11" width="9.5703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3421</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19"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19" x14ac:dyDescent="0.25">
      <c r="A7" s="75"/>
      <c r="B7" s="100"/>
      <c r="C7" s="88"/>
      <c r="D7" s="88"/>
      <c r="E7" s="134"/>
      <c r="F7" s="75"/>
      <c r="G7" s="263"/>
      <c r="H7" s="264"/>
      <c r="I7" s="264"/>
      <c r="J7" s="264"/>
      <c r="K7" s="264"/>
      <c r="L7" s="308"/>
      <c r="M7" s="264"/>
      <c r="N7" s="264"/>
      <c r="O7" s="265"/>
      <c r="P7" s="265"/>
      <c r="Q7" s="264"/>
    </row>
    <row r="8" spans="1:19" ht="20.100000000000001" customHeight="1" x14ac:dyDescent="0.25">
      <c r="A8" s="350">
        <v>1</v>
      </c>
      <c r="B8" s="365">
        <v>44137</v>
      </c>
      <c r="C8" s="366" t="s">
        <v>716</v>
      </c>
      <c r="D8" s="367" t="s">
        <v>3295</v>
      </c>
      <c r="E8" s="354" t="s">
        <v>3321</v>
      </c>
      <c r="F8" s="368"/>
      <c r="G8" s="369">
        <v>130</v>
      </c>
      <c r="H8" s="369">
        <f>G8*11210</f>
        <v>1457300</v>
      </c>
      <c r="I8" s="418"/>
      <c r="J8" s="358">
        <v>790000</v>
      </c>
      <c r="K8" s="371"/>
      <c r="L8" s="372"/>
      <c r="M8" s="358"/>
      <c r="N8" s="358"/>
      <c r="O8" s="358">
        <f>H8+J8+K8+L8+M8+N8</f>
        <v>2247300</v>
      </c>
      <c r="P8" s="358">
        <v>2900000</v>
      </c>
      <c r="Q8" s="358">
        <f>P8-O8</f>
        <v>652700</v>
      </c>
      <c r="R8" s="195"/>
      <c r="S8" s="195"/>
    </row>
    <row r="9" spans="1:19" ht="20.100000000000001" customHeight="1" x14ac:dyDescent="0.25">
      <c r="A9" s="350">
        <v>2</v>
      </c>
      <c r="B9" s="365">
        <v>44138</v>
      </c>
      <c r="C9" s="366" t="s">
        <v>3390</v>
      </c>
      <c r="D9" s="415" t="s">
        <v>3391</v>
      </c>
      <c r="E9" s="354" t="s">
        <v>3409</v>
      </c>
      <c r="F9" s="368"/>
      <c r="G9" s="369">
        <v>230</v>
      </c>
      <c r="H9" s="369">
        <f>G9*11210</f>
        <v>2578300</v>
      </c>
      <c r="I9" s="370"/>
      <c r="J9" s="358">
        <v>4220000</v>
      </c>
      <c r="K9" s="371"/>
      <c r="L9" s="372"/>
      <c r="M9" s="358"/>
      <c r="N9" s="358"/>
      <c r="O9" s="358">
        <f t="shared" ref="O9:O26" si="0">H9+J9+K9+L9+M9+N9</f>
        <v>6798300</v>
      </c>
      <c r="P9" s="385">
        <v>10500000</v>
      </c>
      <c r="Q9" s="358">
        <f t="shared" ref="Q9:Q28" si="1">P9-O9</f>
        <v>3701700</v>
      </c>
      <c r="R9" s="195"/>
      <c r="S9" s="195"/>
    </row>
    <row r="10" spans="1:19" ht="20.100000000000001" customHeight="1" x14ac:dyDescent="0.25">
      <c r="A10" s="350">
        <v>3</v>
      </c>
      <c r="B10" s="365">
        <v>44139</v>
      </c>
      <c r="C10" s="366" t="s">
        <v>3374</v>
      </c>
      <c r="D10" s="367" t="s">
        <v>3392</v>
      </c>
      <c r="E10" s="354" t="s">
        <v>566</v>
      </c>
      <c r="F10" s="368"/>
      <c r="G10" s="369"/>
      <c r="H10" s="369"/>
      <c r="I10" s="370"/>
      <c r="J10" s="358">
        <v>790000</v>
      </c>
      <c r="K10" s="371"/>
      <c r="L10" s="372"/>
      <c r="M10" s="358"/>
      <c r="N10" s="358"/>
      <c r="O10" s="358">
        <f t="shared" si="0"/>
        <v>790000</v>
      </c>
      <c r="P10" s="385">
        <v>3700000</v>
      </c>
      <c r="Q10" s="358">
        <f t="shared" si="1"/>
        <v>2910000</v>
      </c>
      <c r="R10" s="195"/>
      <c r="S10" s="195"/>
    </row>
    <row r="11" spans="1:19" ht="20.100000000000001" customHeight="1" x14ac:dyDescent="0.25">
      <c r="A11" s="350">
        <v>4</v>
      </c>
      <c r="B11" s="365">
        <v>44139</v>
      </c>
      <c r="C11" s="366" t="s">
        <v>2780</v>
      </c>
      <c r="D11" s="367" t="s">
        <v>3393</v>
      </c>
      <c r="E11" s="354" t="s">
        <v>566</v>
      </c>
      <c r="F11" s="368"/>
      <c r="G11" s="369"/>
      <c r="H11" s="369"/>
      <c r="I11" s="370"/>
      <c r="J11" s="358">
        <v>790000</v>
      </c>
      <c r="K11" s="371"/>
      <c r="L11" s="372"/>
      <c r="M11" s="358"/>
      <c r="N11" s="358"/>
      <c r="O11" s="358">
        <f t="shared" si="0"/>
        <v>790000</v>
      </c>
      <c r="P11" s="385">
        <v>4000000</v>
      </c>
      <c r="Q11" s="358">
        <f t="shared" si="1"/>
        <v>3210000</v>
      </c>
      <c r="R11" s="195"/>
      <c r="S11" s="195"/>
    </row>
    <row r="12" spans="1:19" ht="20.100000000000001" customHeight="1" x14ac:dyDescent="0.25">
      <c r="A12" s="350">
        <v>5</v>
      </c>
      <c r="B12" s="365">
        <v>44140</v>
      </c>
      <c r="C12" s="366" t="s">
        <v>3375</v>
      </c>
      <c r="D12" s="367" t="s">
        <v>3394</v>
      </c>
      <c r="E12" s="354" t="s">
        <v>3410</v>
      </c>
      <c r="F12" s="368"/>
      <c r="G12" s="369">
        <v>290</v>
      </c>
      <c r="H12" s="369">
        <f t="shared" ref="H12" si="2">G12*11210</f>
        <v>3250900</v>
      </c>
      <c r="I12" s="370"/>
      <c r="J12" s="358">
        <v>1070000</v>
      </c>
      <c r="K12" s="371"/>
      <c r="L12" s="372"/>
      <c r="M12" s="358"/>
      <c r="N12" s="358"/>
      <c r="O12" s="358">
        <f t="shared" si="0"/>
        <v>4320900</v>
      </c>
      <c r="P12" s="385">
        <v>3800000</v>
      </c>
      <c r="Q12" s="358">
        <f t="shared" si="1"/>
        <v>-520900</v>
      </c>
      <c r="R12" s="195"/>
      <c r="S12" s="195"/>
    </row>
    <row r="13" spans="1:19" ht="20.100000000000001" customHeight="1" x14ac:dyDescent="0.25">
      <c r="A13" s="350">
        <v>6</v>
      </c>
      <c r="B13" s="365">
        <v>44144</v>
      </c>
      <c r="C13" s="366" t="s">
        <v>3376</v>
      </c>
      <c r="D13" s="367" t="s">
        <v>3395</v>
      </c>
      <c r="E13" s="354" t="s">
        <v>1023</v>
      </c>
      <c r="F13" s="368"/>
      <c r="G13" s="369"/>
      <c r="H13" s="369"/>
      <c r="I13" s="370"/>
      <c r="J13" s="358">
        <v>970000</v>
      </c>
      <c r="K13" s="371"/>
      <c r="L13" s="372"/>
      <c r="M13" s="358"/>
      <c r="N13" s="358"/>
      <c r="O13" s="358">
        <f t="shared" si="0"/>
        <v>970000</v>
      </c>
      <c r="P13" s="385">
        <v>4300000</v>
      </c>
      <c r="Q13" s="358">
        <f t="shared" si="1"/>
        <v>3330000</v>
      </c>
      <c r="R13" s="195"/>
      <c r="S13" s="195"/>
    </row>
    <row r="14" spans="1:19" ht="20.100000000000001" customHeight="1" x14ac:dyDescent="0.25">
      <c r="A14" s="350">
        <v>7</v>
      </c>
      <c r="B14" s="365">
        <v>44150</v>
      </c>
      <c r="C14" s="366" t="s">
        <v>3377</v>
      </c>
      <c r="D14" s="367" t="s">
        <v>3396</v>
      </c>
      <c r="E14" s="354" t="s">
        <v>24</v>
      </c>
      <c r="F14" s="368"/>
      <c r="G14" s="369"/>
      <c r="H14" s="369"/>
      <c r="I14" s="370"/>
      <c r="J14" s="358">
        <v>1890000</v>
      </c>
      <c r="K14" s="371"/>
      <c r="L14" s="372"/>
      <c r="M14" s="358"/>
      <c r="N14" s="358"/>
      <c r="O14" s="358">
        <f t="shared" si="0"/>
        <v>1890000</v>
      </c>
      <c r="P14" s="385">
        <v>7209091</v>
      </c>
      <c r="Q14" s="358">
        <f t="shared" si="1"/>
        <v>5319091</v>
      </c>
      <c r="R14" s="195"/>
      <c r="S14" s="195"/>
    </row>
    <row r="15" spans="1:19" ht="20.100000000000001" customHeight="1" x14ac:dyDescent="0.25">
      <c r="A15" s="350">
        <v>8</v>
      </c>
      <c r="B15" s="365">
        <v>44151</v>
      </c>
      <c r="C15" s="366" t="s">
        <v>3378</v>
      </c>
      <c r="D15" s="367" t="s">
        <v>3397</v>
      </c>
      <c r="E15" s="354" t="s">
        <v>3411</v>
      </c>
      <c r="F15" s="368"/>
      <c r="G15" s="369"/>
      <c r="H15" s="369"/>
      <c r="I15" s="370"/>
      <c r="J15" s="358">
        <v>1150000</v>
      </c>
      <c r="K15" s="371"/>
      <c r="L15" s="372"/>
      <c r="M15" s="358"/>
      <c r="N15" s="358"/>
      <c r="O15" s="358">
        <f t="shared" si="0"/>
        <v>1150000</v>
      </c>
      <c r="P15" s="385">
        <v>3909091</v>
      </c>
      <c r="Q15" s="358">
        <f t="shared" si="1"/>
        <v>2759091</v>
      </c>
      <c r="R15" s="195"/>
      <c r="S15" s="195"/>
    </row>
    <row r="16" spans="1:19" ht="20.100000000000001" customHeight="1" x14ac:dyDescent="0.25">
      <c r="A16" s="350">
        <v>9</v>
      </c>
      <c r="B16" s="365">
        <v>44152</v>
      </c>
      <c r="C16" s="366" t="s">
        <v>3379</v>
      </c>
      <c r="D16" s="367" t="s">
        <v>3398</v>
      </c>
      <c r="E16" s="354" t="s">
        <v>21</v>
      </c>
      <c r="F16" s="368"/>
      <c r="G16" s="369">
        <v>300</v>
      </c>
      <c r="H16" s="369">
        <f>G16*10830</f>
        <v>3249000</v>
      </c>
      <c r="I16" s="370"/>
      <c r="J16" s="358">
        <v>2740000</v>
      </c>
      <c r="K16" s="371"/>
      <c r="L16" s="372"/>
      <c r="M16" s="358"/>
      <c r="N16" s="358"/>
      <c r="O16" s="358">
        <f t="shared" si="0"/>
        <v>5989000</v>
      </c>
      <c r="P16" s="385">
        <v>11862182</v>
      </c>
      <c r="Q16" s="358">
        <f t="shared" si="1"/>
        <v>5873182</v>
      </c>
      <c r="R16" s="195"/>
      <c r="S16" s="195"/>
    </row>
    <row r="17" spans="1:19" ht="20.100000000000001" customHeight="1" x14ac:dyDescent="0.25">
      <c r="A17" s="350">
        <v>10</v>
      </c>
      <c r="B17" s="365">
        <v>44153</v>
      </c>
      <c r="C17" s="366" t="s">
        <v>2147</v>
      </c>
      <c r="D17" s="367" t="s">
        <v>3399</v>
      </c>
      <c r="E17" s="354" t="s">
        <v>2007</v>
      </c>
      <c r="F17" s="368"/>
      <c r="G17" s="369">
        <v>100</v>
      </c>
      <c r="H17" s="369">
        <f t="shared" ref="H17:H25" si="3">G17*10830</f>
        <v>1083000</v>
      </c>
      <c r="I17" s="370"/>
      <c r="J17" s="358">
        <v>1450000</v>
      </c>
      <c r="K17" s="371"/>
      <c r="L17" s="372"/>
      <c r="M17" s="358"/>
      <c r="N17" s="358"/>
      <c r="O17" s="358">
        <f t="shared" si="0"/>
        <v>2533000</v>
      </c>
      <c r="P17" s="385">
        <v>3560000</v>
      </c>
      <c r="Q17" s="358">
        <f t="shared" si="1"/>
        <v>1027000</v>
      </c>
      <c r="R17" s="195"/>
      <c r="S17" s="195"/>
    </row>
    <row r="18" spans="1:19" ht="20.100000000000001" customHeight="1" x14ac:dyDescent="0.25">
      <c r="A18" s="350">
        <v>11</v>
      </c>
      <c r="B18" s="365">
        <v>44154</v>
      </c>
      <c r="C18" s="366" t="s">
        <v>3380</v>
      </c>
      <c r="D18" s="367" t="s">
        <v>3399</v>
      </c>
      <c r="E18" s="354" t="s">
        <v>3412</v>
      </c>
      <c r="F18" s="368"/>
      <c r="G18" s="369">
        <v>240</v>
      </c>
      <c r="H18" s="369">
        <f t="shared" si="3"/>
        <v>2599200</v>
      </c>
      <c r="I18" s="370"/>
      <c r="J18" s="358"/>
      <c r="K18" s="371"/>
      <c r="L18" s="372"/>
      <c r="M18" s="358"/>
      <c r="N18" s="358"/>
      <c r="O18" s="358">
        <f t="shared" si="0"/>
        <v>2599200</v>
      </c>
      <c r="P18" s="385">
        <v>1900000</v>
      </c>
      <c r="Q18" s="358">
        <f t="shared" si="1"/>
        <v>-699200</v>
      </c>
      <c r="R18" s="195"/>
      <c r="S18" s="195"/>
    </row>
    <row r="19" spans="1:19" ht="20.100000000000001" customHeight="1" x14ac:dyDescent="0.25">
      <c r="A19" s="350">
        <v>12</v>
      </c>
      <c r="B19" s="365">
        <v>44155</v>
      </c>
      <c r="C19" s="366" t="s">
        <v>3381</v>
      </c>
      <c r="D19" s="367" t="s">
        <v>3400</v>
      </c>
      <c r="E19" s="354" t="s">
        <v>2007</v>
      </c>
      <c r="F19" s="368"/>
      <c r="G19" s="369"/>
      <c r="H19" s="369"/>
      <c r="I19" s="370"/>
      <c r="J19" s="358">
        <v>1450000</v>
      </c>
      <c r="K19" s="371"/>
      <c r="L19" s="372"/>
      <c r="M19" s="358"/>
      <c r="N19" s="358"/>
      <c r="O19" s="358">
        <f t="shared" si="0"/>
        <v>1450000</v>
      </c>
      <c r="P19" s="385">
        <v>3560000</v>
      </c>
      <c r="Q19" s="358">
        <f t="shared" si="1"/>
        <v>2110000</v>
      </c>
      <c r="R19" s="195"/>
      <c r="S19" s="195"/>
    </row>
    <row r="20" spans="1:19" ht="20.100000000000001" customHeight="1" x14ac:dyDescent="0.25">
      <c r="A20" s="350">
        <v>13</v>
      </c>
      <c r="B20" s="365">
        <v>44155</v>
      </c>
      <c r="C20" s="366" t="s">
        <v>3382</v>
      </c>
      <c r="D20" s="367" t="s">
        <v>3400</v>
      </c>
      <c r="E20" s="354" t="s">
        <v>1381</v>
      </c>
      <c r="F20" s="368"/>
      <c r="G20" s="369"/>
      <c r="H20" s="369"/>
      <c r="I20" s="370"/>
      <c r="J20" s="358"/>
      <c r="K20" s="371"/>
      <c r="L20" s="372"/>
      <c r="M20" s="358"/>
      <c r="N20" s="358"/>
      <c r="O20" s="358">
        <f t="shared" si="0"/>
        <v>0</v>
      </c>
      <c r="P20" s="385">
        <v>2000000</v>
      </c>
      <c r="Q20" s="358">
        <f t="shared" si="1"/>
        <v>2000000</v>
      </c>
      <c r="R20" s="195"/>
      <c r="S20" s="195"/>
    </row>
    <row r="21" spans="1:19" ht="20.100000000000001" customHeight="1" x14ac:dyDescent="0.25">
      <c r="A21" s="350">
        <v>14</v>
      </c>
      <c r="B21" s="365">
        <v>44155</v>
      </c>
      <c r="C21" s="366" t="s">
        <v>3383</v>
      </c>
      <c r="D21" s="367" t="s">
        <v>3401</v>
      </c>
      <c r="E21" s="354" t="s">
        <v>29</v>
      </c>
      <c r="F21" s="368"/>
      <c r="G21" s="369"/>
      <c r="H21" s="369"/>
      <c r="I21" s="370"/>
      <c r="J21" s="358">
        <v>970000</v>
      </c>
      <c r="K21" s="371"/>
      <c r="L21" s="372"/>
      <c r="M21" s="358"/>
      <c r="N21" s="358"/>
      <c r="O21" s="358">
        <f t="shared" si="0"/>
        <v>970000</v>
      </c>
      <c r="P21" s="385">
        <v>3600000</v>
      </c>
      <c r="Q21" s="358">
        <f t="shared" si="1"/>
        <v>2630000</v>
      </c>
      <c r="R21" s="195"/>
      <c r="S21" s="195"/>
    </row>
    <row r="22" spans="1:19" ht="20.100000000000001" customHeight="1" x14ac:dyDescent="0.25">
      <c r="A22" s="350">
        <v>15</v>
      </c>
      <c r="B22" s="365">
        <v>44157</v>
      </c>
      <c r="C22" s="366" t="s">
        <v>3384</v>
      </c>
      <c r="D22" s="367" t="s">
        <v>3402</v>
      </c>
      <c r="E22" s="354" t="s">
        <v>24</v>
      </c>
      <c r="F22" s="368"/>
      <c r="G22" s="369">
        <v>330</v>
      </c>
      <c r="H22" s="369">
        <f t="shared" si="3"/>
        <v>3573900</v>
      </c>
      <c r="I22" s="370"/>
      <c r="J22" s="358">
        <v>1890000</v>
      </c>
      <c r="K22" s="371"/>
      <c r="L22" s="372"/>
      <c r="M22" s="358"/>
      <c r="N22" s="358"/>
      <c r="O22" s="358">
        <f t="shared" si="0"/>
        <v>5463900</v>
      </c>
      <c r="P22" s="385">
        <v>7209091</v>
      </c>
      <c r="Q22" s="358">
        <f t="shared" si="1"/>
        <v>1745191</v>
      </c>
      <c r="R22" s="195"/>
      <c r="S22" s="195"/>
    </row>
    <row r="23" spans="1:19" ht="20.100000000000001" customHeight="1" x14ac:dyDescent="0.25">
      <c r="A23" s="350">
        <v>16</v>
      </c>
      <c r="B23" s="365">
        <v>44158</v>
      </c>
      <c r="C23" s="366" t="s">
        <v>3385</v>
      </c>
      <c r="D23" s="367" t="s">
        <v>3403</v>
      </c>
      <c r="E23" s="354" t="s">
        <v>3321</v>
      </c>
      <c r="F23" s="368"/>
      <c r="G23" s="369"/>
      <c r="H23" s="369"/>
      <c r="I23" s="370"/>
      <c r="J23" s="358">
        <v>790000</v>
      </c>
      <c r="K23" s="371"/>
      <c r="L23" s="372"/>
      <c r="M23" s="358"/>
      <c r="N23" s="358"/>
      <c r="O23" s="358">
        <f t="shared" si="0"/>
        <v>790000</v>
      </c>
      <c r="P23" s="385">
        <v>2900000</v>
      </c>
      <c r="Q23" s="358">
        <f t="shared" si="1"/>
        <v>2110000</v>
      </c>
      <c r="R23" s="195"/>
      <c r="S23" s="195"/>
    </row>
    <row r="24" spans="1:19" ht="20.100000000000001" customHeight="1" x14ac:dyDescent="0.25">
      <c r="A24" s="350">
        <v>17</v>
      </c>
      <c r="B24" s="365">
        <v>44159</v>
      </c>
      <c r="C24" s="366" t="s">
        <v>3386</v>
      </c>
      <c r="D24" s="367" t="s">
        <v>3404</v>
      </c>
      <c r="E24" s="354" t="s">
        <v>3413</v>
      </c>
      <c r="F24" s="368"/>
      <c r="G24" s="369">
        <v>240</v>
      </c>
      <c r="H24" s="369">
        <f t="shared" si="3"/>
        <v>2599200</v>
      </c>
      <c r="I24" s="370"/>
      <c r="J24" s="358">
        <v>1720000</v>
      </c>
      <c r="K24" s="371"/>
      <c r="L24" s="372"/>
      <c r="M24" s="358"/>
      <c r="N24" s="358"/>
      <c r="O24" s="358">
        <f t="shared" si="0"/>
        <v>4319200</v>
      </c>
      <c r="P24" s="385">
        <v>8200000</v>
      </c>
      <c r="Q24" s="358">
        <f t="shared" si="1"/>
        <v>3880800</v>
      </c>
      <c r="R24" s="195"/>
      <c r="S24" s="195"/>
    </row>
    <row r="25" spans="1:19" ht="20.100000000000001" customHeight="1" x14ac:dyDescent="0.25">
      <c r="A25" s="350">
        <v>18</v>
      </c>
      <c r="B25" s="365">
        <v>44160</v>
      </c>
      <c r="C25" s="366" t="s">
        <v>3387</v>
      </c>
      <c r="D25" s="367" t="s">
        <v>3405</v>
      </c>
      <c r="E25" s="354" t="s">
        <v>21</v>
      </c>
      <c r="F25" s="368"/>
      <c r="G25" s="369">
        <v>245</v>
      </c>
      <c r="H25" s="369">
        <f t="shared" si="3"/>
        <v>2653350</v>
      </c>
      <c r="I25" s="370"/>
      <c r="J25" s="358">
        <v>2740000</v>
      </c>
      <c r="K25" s="371"/>
      <c r="L25" s="372"/>
      <c r="M25" s="358"/>
      <c r="N25" s="358"/>
      <c r="O25" s="358">
        <f t="shared" si="0"/>
        <v>5393350</v>
      </c>
      <c r="P25" s="385">
        <v>12272727</v>
      </c>
      <c r="Q25" s="358">
        <f t="shared" si="1"/>
        <v>6879377</v>
      </c>
      <c r="R25" s="195"/>
      <c r="S25" s="195"/>
    </row>
    <row r="26" spans="1:19" ht="20.100000000000001" customHeight="1" x14ac:dyDescent="0.25">
      <c r="A26" s="350">
        <v>19</v>
      </c>
      <c r="B26" s="365">
        <v>44161</v>
      </c>
      <c r="C26" s="366" t="s">
        <v>3388</v>
      </c>
      <c r="D26" s="367" t="s">
        <v>3406</v>
      </c>
      <c r="E26" s="354" t="s">
        <v>2885</v>
      </c>
      <c r="F26" s="368"/>
      <c r="G26" s="369"/>
      <c r="H26" s="369"/>
      <c r="I26" s="370"/>
      <c r="J26" s="358">
        <v>790000</v>
      </c>
      <c r="K26" s="371"/>
      <c r="L26" s="372"/>
      <c r="M26" s="358"/>
      <c r="N26" s="358"/>
      <c r="O26" s="358">
        <f t="shared" si="0"/>
        <v>790000</v>
      </c>
      <c r="P26" s="385">
        <v>2763636</v>
      </c>
      <c r="Q26" s="358">
        <f t="shared" si="1"/>
        <v>1973636</v>
      </c>
      <c r="R26" s="195"/>
      <c r="S26" s="195"/>
    </row>
    <row r="27" spans="1:19" ht="20.100000000000001" customHeight="1" x14ac:dyDescent="0.25">
      <c r="A27" s="350">
        <v>20</v>
      </c>
      <c r="B27" s="365">
        <v>44162</v>
      </c>
      <c r="C27" s="366" t="s">
        <v>2154</v>
      </c>
      <c r="D27" s="367" t="s">
        <v>3407</v>
      </c>
      <c r="E27" s="354" t="s">
        <v>1023</v>
      </c>
      <c r="F27" s="368"/>
      <c r="G27" s="369">
        <v>310</v>
      </c>
      <c r="H27" s="369">
        <f>G27*11430</f>
        <v>3543300</v>
      </c>
      <c r="I27" s="370"/>
      <c r="J27" s="358">
        <v>970000</v>
      </c>
      <c r="K27" s="371"/>
      <c r="L27" s="372"/>
      <c r="M27" s="358"/>
      <c r="N27" s="358"/>
      <c r="O27" s="358">
        <f>H27+J27+K27+L27+M27+N27</f>
        <v>4513300</v>
      </c>
      <c r="P27" s="385">
        <v>4300000</v>
      </c>
      <c r="Q27" s="358">
        <f t="shared" si="1"/>
        <v>-213300</v>
      </c>
      <c r="R27" s="195"/>
      <c r="S27" s="195"/>
    </row>
    <row r="28" spans="1:19" ht="20.100000000000001" customHeight="1" x14ac:dyDescent="0.25">
      <c r="A28" s="350">
        <v>21</v>
      </c>
      <c r="B28" s="365">
        <v>44165</v>
      </c>
      <c r="C28" s="366" t="s">
        <v>3389</v>
      </c>
      <c r="D28" s="367" t="s">
        <v>3408</v>
      </c>
      <c r="E28" s="354" t="s">
        <v>2589</v>
      </c>
      <c r="F28" s="368"/>
      <c r="G28" s="369"/>
      <c r="H28" s="369"/>
      <c r="I28" s="370"/>
      <c r="J28" s="358">
        <v>1450000</v>
      </c>
      <c r="K28" s="371"/>
      <c r="L28" s="372"/>
      <c r="M28" s="358"/>
      <c r="N28" s="358"/>
      <c r="O28" s="358">
        <f>H28+J28+K28+L28+M28+N28</f>
        <v>1450000</v>
      </c>
      <c r="P28" s="385">
        <v>5500000</v>
      </c>
      <c r="Q28" s="358">
        <f t="shared" si="1"/>
        <v>4050000</v>
      </c>
      <c r="R28" s="195"/>
      <c r="S28" s="195"/>
    </row>
    <row r="29" spans="1:19" ht="20.100000000000001" customHeight="1" x14ac:dyDescent="0.25">
      <c r="A29" s="374"/>
      <c r="B29" s="375"/>
      <c r="C29" s="416"/>
      <c r="D29" s="417"/>
      <c r="E29" s="354"/>
      <c r="F29" s="355"/>
      <c r="G29" s="369"/>
      <c r="H29" s="369"/>
      <c r="I29" s="370"/>
      <c r="J29" s="358"/>
      <c r="K29" s="371"/>
      <c r="L29" s="372"/>
      <c r="M29" s="358"/>
      <c r="N29" s="361"/>
      <c r="O29" s="362"/>
      <c r="P29" s="377"/>
      <c r="Q29" s="378"/>
      <c r="R29" s="195"/>
      <c r="S29" s="195"/>
    </row>
    <row r="30" spans="1:19" ht="16.149999999999999" customHeight="1" x14ac:dyDescent="0.25">
      <c r="A30" s="374"/>
      <c r="B30" s="379"/>
      <c r="C30" s="591" t="s">
        <v>1273</v>
      </c>
      <c r="D30" s="592"/>
      <c r="E30" s="593"/>
      <c r="F30" s="380"/>
      <c r="G30" s="381"/>
      <c r="H30" s="369"/>
      <c r="I30" s="403"/>
      <c r="J30" s="381"/>
      <c r="K30" s="371"/>
      <c r="L30" s="372">
        <v>1200000</v>
      </c>
      <c r="M30" s="381"/>
      <c r="N30" s="384"/>
      <c r="O30" s="362">
        <f>H30+J30+K30+L30+M30+N30</f>
        <v>1200000</v>
      </c>
      <c r="P30" s="385"/>
      <c r="Q30" s="378"/>
    </row>
    <row r="31" spans="1:19" ht="16.149999999999999" customHeight="1" x14ac:dyDescent="0.25">
      <c r="A31" s="386"/>
      <c r="B31" s="379"/>
      <c r="C31" s="588" t="s">
        <v>3414</v>
      </c>
      <c r="D31" s="589"/>
      <c r="E31" s="590"/>
      <c r="F31" s="402"/>
      <c r="G31" s="381"/>
      <c r="H31" s="369"/>
      <c r="I31" s="403"/>
      <c r="J31" s="381"/>
      <c r="K31" s="404"/>
      <c r="L31" s="388">
        <v>400000</v>
      </c>
      <c r="M31" s="372"/>
      <c r="N31" s="381"/>
      <c r="O31" s="362">
        <f t="shared" ref="O31:O35" si="4">H31+J31+K31+L31+M31+N31</f>
        <v>400000</v>
      </c>
      <c r="P31" s="389"/>
      <c r="Q31" s="378"/>
    </row>
    <row r="32" spans="1:19" ht="16.149999999999999" customHeight="1" x14ac:dyDescent="0.25">
      <c r="A32" s="386"/>
      <c r="B32" s="379"/>
      <c r="C32" s="588" t="s">
        <v>3415</v>
      </c>
      <c r="D32" s="589"/>
      <c r="E32" s="590"/>
      <c r="F32" s="402"/>
      <c r="G32" s="381"/>
      <c r="H32" s="369"/>
      <c r="I32" s="403"/>
      <c r="J32" s="381"/>
      <c r="K32" s="404"/>
      <c r="L32" s="388">
        <v>1000000</v>
      </c>
      <c r="M32" s="388"/>
      <c r="N32" s="381"/>
      <c r="O32" s="362">
        <f t="shared" si="4"/>
        <v>1000000</v>
      </c>
      <c r="P32" s="389"/>
      <c r="Q32" s="378"/>
    </row>
    <row r="33" spans="1:18" ht="16.149999999999999" customHeight="1" x14ac:dyDescent="0.25">
      <c r="A33" s="386"/>
      <c r="B33" s="379"/>
      <c r="C33" s="588" t="s">
        <v>3416</v>
      </c>
      <c r="D33" s="589"/>
      <c r="E33" s="590"/>
      <c r="F33" s="402"/>
      <c r="G33" s="381"/>
      <c r="H33" s="369"/>
      <c r="I33" s="403"/>
      <c r="J33" s="381"/>
      <c r="K33" s="404"/>
      <c r="L33" s="388">
        <v>100000</v>
      </c>
      <c r="M33" s="388"/>
      <c r="N33" s="381"/>
      <c r="O33" s="362">
        <f t="shared" si="4"/>
        <v>100000</v>
      </c>
      <c r="P33" s="389"/>
      <c r="Q33" s="378"/>
    </row>
    <row r="34" spans="1:18" ht="19.5" customHeight="1" x14ac:dyDescent="0.25">
      <c r="A34" s="386"/>
      <c r="B34" s="379"/>
      <c r="C34" s="588" t="s">
        <v>3417</v>
      </c>
      <c r="D34" s="589"/>
      <c r="E34" s="590"/>
      <c r="F34" s="380"/>
      <c r="G34" s="381"/>
      <c r="H34" s="369"/>
      <c r="I34" s="403"/>
      <c r="J34" s="381"/>
      <c r="K34" s="404"/>
      <c r="L34" s="388">
        <v>1810000</v>
      </c>
      <c r="M34" s="381"/>
      <c r="N34" s="390"/>
      <c r="O34" s="362">
        <f t="shared" si="4"/>
        <v>1810000</v>
      </c>
      <c r="P34" s="389"/>
      <c r="Q34" s="378"/>
    </row>
    <row r="35" spans="1:18" ht="19.5" customHeight="1" x14ac:dyDescent="0.25">
      <c r="A35" s="386"/>
      <c r="B35" s="379"/>
      <c r="C35" s="423" t="s">
        <v>3475</v>
      </c>
      <c r="D35" s="424"/>
      <c r="E35" s="425"/>
      <c r="F35" s="380"/>
      <c r="G35" s="381"/>
      <c r="H35" s="369"/>
      <c r="I35" s="403"/>
      <c r="J35" s="381"/>
      <c r="K35" s="404"/>
      <c r="L35" s="388"/>
      <c r="M35" s="381"/>
      <c r="N35" s="390">
        <v>2437500</v>
      </c>
      <c r="O35" s="362">
        <f t="shared" si="4"/>
        <v>2437500</v>
      </c>
      <c r="P35" s="389"/>
      <c r="Q35" s="378"/>
    </row>
    <row r="36" spans="1:18" ht="18" customHeight="1" x14ac:dyDescent="0.25">
      <c r="A36" s="386"/>
      <c r="B36" s="391"/>
      <c r="C36" s="579" t="s">
        <v>1386</v>
      </c>
      <c r="D36" s="580"/>
      <c r="E36" s="581"/>
      <c r="F36" s="392"/>
      <c r="G36" s="381"/>
      <c r="H36" s="382"/>
      <c r="I36" s="383"/>
      <c r="J36" s="384"/>
      <c r="K36" s="394">
        <f>'[4]11.2020'!$K$9</f>
        <v>7615384.615384615</v>
      </c>
      <c r="L36" s="394"/>
      <c r="M36" s="384"/>
      <c r="N36" s="384"/>
      <c r="O36" s="362">
        <f>H36+J36+K36+L36+M36+N36</f>
        <v>7615384.615384615</v>
      </c>
      <c r="P36" s="389"/>
      <c r="Q36" s="378"/>
    </row>
    <row r="37" spans="1:18" x14ac:dyDescent="0.25">
      <c r="A37" s="576" t="s">
        <v>19</v>
      </c>
      <c r="B37" s="577"/>
      <c r="C37" s="577"/>
      <c r="D37" s="577"/>
      <c r="E37" s="577"/>
      <c r="F37" s="578"/>
      <c r="G37" s="395">
        <f>SUM(G8:G36)</f>
        <v>2415</v>
      </c>
      <c r="H37" s="396">
        <f t="shared" ref="H37:P37" si="5">SUM(H7:H36)</f>
        <v>26587450</v>
      </c>
      <c r="I37" s="396">
        <f t="shared" si="5"/>
        <v>0</v>
      </c>
      <c r="J37" s="396">
        <f t="shared" si="5"/>
        <v>28630000</v>
      </c>
      <c r="K37" s="396">
        <f t="shared" si="5"/>
        <v>7615384.615384615</v>
      </c>
      <c r="L37" s="396">
        <f t="shared" si="5"/>
        <v>4510000</v>
      </c>
      <c r="M37" s="396">
        <f t="shared" si="5"/>
        <v>0</v>
      </c>
      <c r="N37" s="396">
        <f t="shared" si="5"/>
        <v>2437500</v>
      </c>
      <c r="O37" s="396">
        <f>SUM(O7:O36)</f>
        <v>69780334.615384609</v>
      </c>
      <c r="P37" s="396">
        <f t="shared" si="5"/>
        <v>109945818</v>
      </c>
      <c r="Q37" s="397">
        <f>P37-O37</f>
        <v>40165483.384615391</v>
      </c>
      <c r="R37" s="195"/>
    </row>
    <row r="38" spans="1:18" x14ac:dyDescent="0.25">
      <c r="P38" s="294"/>
      <c r="Q38" s="295"/>
    </row>
    <row r="39" spans="1:18" x14ac:dyDescent="0.25">
      <c r="B39"/>
      <c r="G39"/>
      <c r="H39" s="294"/>
      <c r="P39" s="296" t="s">
        <v>1225</v>
      </c>
      <c r="Q39" s="304">
        <f>'10.2020'!Q46+'11.2020'!Q37</f>
        <v>371249646.07692313</v>
      </c>
    </row>
    <row r="40" spans="1:18" x14ac:dyDescent="0.25">
      <c r="B40"/>
      <c r="G40"/>
      <c r="Q40" s="294"/>
    </row>
    <row r="41" spans="1:18" x14ac:dyDescent="0.25">
      <c r="B41"/>
      <c r="G41"/>
      <c r="R41" s="195"/>
    </row>
  </sheetData>
  <mergeCells count="11">
    <mergeCell ref="A37:F37"/>
    <mergeCell ref="C32:E32"/>
    <mergeCell ref="C33:E33"/>
    <mergeCell ref="C34:E34"/>
    <mergeCell ref="C36:E36"/>
    <mergeCell ref="C31:E31"/>
    <mergeCell ref="A1:Q1"/>
    <mergeCell ref="A2:Q2"/>
    <mergeCell ref="A3:Q3"/>
    <mergeCell ref="G5:N5"/>
    <mergeCell ref="C30:E30"/>
  </mergeCells>
  <pageMargins left="0.7" right="0.7" top="0.75" bottom="0.75" header="0.3" footer="0.3"/>
  <pageSetup orientation="portrait" horizontalDpi="0" verticalDpi="0"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S47"/>
  <sheetViews>
    <sheetView topLeftCell="A23" workbookViewId="0">
      <selection activeCell="Q45" sqref="Q45"/>
    </sheetView>
  </sheetViews>
  <sheetFormatPr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0.28515625" style="292" bestFit="1" customWidth="1"/>
    <col min="9" max="9" width="9.28515625" style="293" bestFit="1" customWidth="1"/>
    <col min="10" max="10" width="9.85546875" style="292" bestFit="1" customWidth="1"/>
    <col min="11" max="11" width="9.5703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3420</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19"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19" x14ac:dyDescent="0.25">
      <c r="A7" s="75"/>
      <c r="B7" s="100"/>
      <c r="C7" s="88"/>
      <c r="D7" s="88"/>
      <c r="E7" s="134"/>
      <c r="F7" s="75"/>
      <c r="G7" s="263"/>
      <c r="H7" s="264"/>
      <c r="I7" s="264"/>
      <c r="J7" s="264"/>
      <c r="K7" s="264"/>
      <c r="L7" s="308"/>
      <c r="M7" s="264"/>
      <c r="N7" s="264"/>
      <c r="O7" s="265"/>
      <c r="P7" s="265"/>
      <c r="Q7" s="264"/>
    </row>
    <row r="8" spans="1:19" ht="20.100000000000001" customHeight="1" x14ac:dyDescent="0.25">
      <c r="A8" s="350">
        <v>1</v>
      </c>
      <c r="B8" s="365">
        <v>44166</v>
      </c>
      <c r="C8" s="366" t="s">
        <v>1491</v>
      </c>
      <c r="D8" s="367" t="s">
        <v>3437</v>
      </c>
      <c r="E8" s="354" t="s">
        <v>3459</v>
      </c>
      <c r="F8" s="368"/>
      <c r="G8" s="369"/>
      <c r="H8" s="369"/>
      <c r="I8" s="418"/>
      <c r="J8" s="358">
        <v>400000</v>
      </c>
      <c r="K8" s="371"/>
      <c r="L8" s="372"/>
      <c r="M8" s="358"/>
      <c r="N8" s="358"/>
      <c r="O8" s="358">
        <f>H8+J8+K8+L8+M8+N8</f>
        <v>400000</v>
      </c>
      <c r="P8" s="358">
        <v>2800000</v>
      </c>
      <c r="Q8" s="358">
        <f>P8-O8</f>
        <v>2400000</v>
      </c>
      <c r="R8" s="195"/>
      <c r="S8" s="195"/>
    </row>
    <row r="9" spans="1:19" ht="20.100000000000001" customHeight="1" x14ac:dyDescent="0.25">
      <c r="A9" s="350">
        <v>2</v>
      </c>
      <c r="B9" s="365">
        <v>44167</v>
      </c>
      <c r="C9" s="366" t="s">
        <v>3422</v>
      </c>
      <c r="D9" s="415" t="s">
        <v>3438</v>
      </c>
      <c r="E9" s="354" t="s">
        <v>301</v>
      </c>
      <c r="F9" s="368"/>
      <c r="G9" s="369">
        <v>260</v>
      </c>
      <c r="H9" s="369">
        <f>G9*11430</f>
        <v>2971800</v>
      </c>
      <c r="I9" s="370"/>
      <c r="J9" s="358">
        <v>3820000</v>
      </c>
      <c r="K9" s="371"/>
      <c r="L9" s="372"/>
      <c r="M9" s="358"/>
      <c r="N9" s="358"/>
      <c r="O9" s="358">
        <f t="shared" ref="O9:O32" si="0">H9+J9+K9+L9+M9+N9</f>
        <v>6791800</v>
      </c>
      <c r="P9" s="385">
        <v>17272727</v>
      </c>
      <c r="Q9" s="358">
        <f t="shared" ref="Q9:Q32" si="1">P9-O9</f>
        <v>10480927</v>
      </c>
      <c r="R9" s="195"/>
      <c r="S9" s="195"/>
    </row>
    <row r="10" spans="1:19" ht="20.100000000000001" customHeight="1" x14ac:dyDescent="0.25">
      <c r="A10" s="350">
        <v>3</v>
      </c>
      <c r="B10" s="365">
        <v>44169</v>
      </c>
      <c r="C10" s="366" t="s">
        <v>2835</v>
      </c>
      <c r="D10" s="367" t="s">
        <v>3439</v>
      </c>
      <c r="E10" s="354" t="s">
        <v>286</v>
      </c>
      <c r="F10" s="368"/>
      <c r="G10" s="369">
        <v>340</v>
      </c>
      <c r="H10" s="369">
        <f t="shared" ref="H10:H12" si="2">G10*11430</f>
        <v>3886200</v>
      </c>
      <c r="I10" s="370"/>
      <c r="J10" s="358">
        <v>1150000</v>
      </c>
      <c r="K10" s="371"/>
      <c r="L10" s="372"/>
      <c r="M10" s="358"/>
      <c r="N10" s="358"/>
      <c r="O10" s="358">
        <f t="shared" si="0"/>
        <v>5036200</v>
      </c>
      <c r="P10" s="385">
        <v>3618182</v>
      </c>
      <c r="Q10" s="358">
        <f t="shared" si="1"/>
        <v>-1418018</v>
      </c>
      <c r="R10" s="195"/>
      <c r="S10" s="195"/>
    </row>
    <row r="11" spans="1:19" ht="20.100000000000001" customHeight="1" x14ac:dyDescent="0.25">
      <c r="A11" s="350">
        <v>4</v>
      </c>
      <c r="B11" s="365">
        <v>44173</v>
      </c>
      <c r="C11" s="366" t="s">
        <v>3423</v>
      </c>
      <c r="D11" s="367" t="s">
        <v>3440</v>
      </c>
      <c r="E11" s="354" t="s">
        <v>3460</v>
      </c>
      <c r="F11" s="368"/>
      <c r="G11" s="369"/>
      <c r="H11" s="369"/>
      <c r="I11" s="370"/>
      <c r="J11" s="358">
        <v>790000</v>
      </c>
      <c r="K11" s="371"/>
      <c r="L11" s="372"/>
      <c r="M11" s="358"/>
      <c r="N11" s="358"/>
      <c r="O11" s="358">
        <f t="shared" si="0"/>
        <v>790000</v>
      </c>
      <c r="P11" s="385">
        <v>2654545</v>
      </c>
      <c r="Q11" s="358">
        <f t="shared" si="1"/>
        <v>1864545</v>
      </c>
      <c r="R11" s="195"/>
      <c r="S11" s="195"/>
    </row>
    <row r="12" spans="1:19" ht="20.100000000000001" customHeight="1" x14ac:dyDescent="0.25">
      <c r="A12" s="350">
        <v>5</v>
      </c>
      <c r="B12" s="365">
        <v>44173</v>
      </c>
      <c r="C12" s="366" t="s">
        <v>3424</v>
      </c>
      <c r="D12" s="367" t="s">
        <v>3441</v>
      </c>
      <c r="E12" s="354" t="s">
        <v>88</v>
      </c>
      <c r="F12" s="368"/>
      <c r="G12" s="369">
        <v>260</v>
      </c>
      <c r="H12" s="369">
        <f t="shared" si="2"/>
        <v>2971800</v>
      </c>
      <c r="I12" s="370"/>
      <c r="J12" s="358">
        <v>790000</v>
      </c>
      <c r="K12" s="371"/>
      <c r="L12" s="372"/>
      <c r="M12" s="358"/>
      <c r="N12" s="358"/>
      <c r="O12" s="358">
        <f t="shared" si="0"/>
        <v>3761800</v>
      </c>
      <c r="P12" s="385">
        <v>3200000</v>
      </c>
      <c r="Q12" s="358">
        <f t="shared" si="1"/>
        <v>-561800</v>
      </c>
      <c r="R12" s="195"/>
      <c r="S12" s="195"/>
    </row>
    <row r="13" spans="1:19" ht="20.100000000000001" customHeight="1" x14ac:dyDescent="0.25">
      <c r="A13" s="350">
        <v>6</v>
      </c>
      <c r="B13" s="365">
        <v>44173</v>
      </c>
      <c r="C13" s="366" t="s">
        <v>3425</v>
      </c>
      <c r="D13" s="367" t="s">
        <v>3442</v>
      </c>
      <c r="E13" s="354" t="s">
        <v>286</v>
      </c>
      <c r="F13" s="368"/>
      <c r="G13" s="369"/>
      <c r="H13" s="369"/>
      <c r="I13" s="370"/>
      <c r="J13" s="358">
        <v>1150000</v>
      </c>
      <c r="K13" s="371"/>
      <c r="L13" s="372"/>
      <c r="M13" s="358"/>
      <c r="N13" s="358"/>
      <c r="O13" s="358">
        <f t="shared" si="0"/>
        <v>1150000</v>
      </c>
      <c r="P13" s="385">
        <v>3618182</v>
      </c>
      <c r="Q13" s="358">
        <f t="shared" si="1"/>
        <v>2468182</v>
      </c>
      <c r="R13" s="195"/>
      <c r="S13" s="195"/>
    </row>
    <row r="14" spans="1:19" ht="20.100000000000001" customHeight="1" x14ac:dyDescent="0.25">
      <c r="A14" s="350">
        <v>7</v>
      </c>
      <c r="B14" s="365">
        <v>44174</v>
      </c>
      <c r="C14" s="366" t="s">
        <v>3426</v>
      </c>
      <c r="D14" s="367" t="s">
        <v>3442</v>
      </c>
      <c r="E14" s="354" t="s">
        <v>1381</v>
      </c>
      <c r="F14" s="368"/>
      <c r="G14" s="369"/>
      <c r="H14" s="369"/>
      <c r="I14" s="370"/>
      <c r="J14" s="358">
        <v>300000</v>
      </c>
      <c r="K14" s="371"/>
      <c r="L14" s="372"/>
      <c r="M14" s="358"/>
      <c r="N14" s="358"/>
      <c r="O14" s="358">
        <f t="shared" si="0"/>
        <v>300000</v>
      </c>
      <c r="P14" s="385">
        <v>1818182</v>
      </c>
      <c r="Q14" s="358">
        <f t="shared" si="1"/>
        <v>1518182</v>
      </c>
      <c r="R14" s="195"/>
      <c r="S14" s="195"/>
    </row>
    <row r="15" spans="1:19" ht="20.100000000000001" customHeight="1" x14ac:dyDescent="0.25">
      <c r="A15" s="350">
        <v>8</v>
      </c>
      <c r="B15" s="365">
        <v>44174</v>
      </c>
      <c r="C15" s="366" t="s">
        <v>2837</v>
      </c>
      <c r="D15" s="367" t="s">
        <v>3443</v>
      </c>
      <c r="E15" s="354" t="s">
        <v>3461</v>
      </c>
      <c r="F15" s="368"/>
      <c r="G15" s="369"/>
      <c r="H15" s="369"/>
      <c r="I15" s="370"/>
      <c r="J15" s="358">
        <v>790000</v>
      </c>
      <c r="K15" s="371"/>
      <c r="L15" s="372"/>
      <c r="M15" s="358"/>
      <c r="N15" s="358"/>
      <c r="O15" s="358">
        <f t="shared" si="0"/>
        <v>790000</v>
      </c>
      <c r="P15" s="385">
        <v>3790909</v>
      </c>
      <c r="Q15" s="358">
        <f t="shared" si="1"/>
        <v>3000909</v>
      </c>
      <c r="R15" s="195"/>
      <c r="S15" s="195"/>
    </row>
    <row r="16" spans="1:19" ht="20.100000000000001" customHeight="1" x14ac:dyDescent="0.25">
      <c r="A16" s="350">
        <v>9</v>
      </c>
      <c r="B16" s="365">
        <v>44175</v>
      </c>
      <c r="C16" s="366" t="s">
        <v>3427</v>
      </c>
      <c r="D16" s="367" t="s">
        <v>3444</v>
      </c>
      <c r="E16" s="354" t="s">
        <v>3462</v>
      </c>
      <c r="F16" s="368"/>
      <c r="G16" s="369"/>
      <c r="H16" s="369"/>
      <c r="I16" s="370"/>
      <c r="J16" s="358">
        <v>300000</v>
      </c>
      <c r="K16" s="371"/>
      <c r="L16" s="372"/>
      <c r="M16" s="358"/>
      <c r="N16" s="358"/>
      <c r="O16" s="358">
        <f t="shared" si="0"/>
        <v>300000</v>
      </c>
      <c r="P16" s="385">
        <v>1881818</v>
      </c>
      <c r="Q16" s="358">
        <f t="shared" si="1"/>
        <v>1581818</v>
      </c>
      <c r="R16" s="195"/>
      <c r="S16" s="195"/>
    </row>
    <row r="17" spans="1:19" ht="20.100000000000001" customHeight="1" x14ac:dyDescent="0.25">
      <c r="A17" s="350">
        <v>10</v>
      </c>
      <c r="B17" s="365">
        <v>44175</v>
      </c>
      <c r="C17" s="366" t="s">
        <v>3428</v>
      </c>
      <c r="D17" s="367" t="s">
        <v>3445</v>
      </c>
      <c r="E17" s="354" t="s">
        <v>3465</v>
      </c>
      <c r="F17" s="368"/>
      <c r="G17" s="369"/>
      <c r="H17" s="369"/>
      <c r="I17" s="370"/>
      <c r="J17" s="358">
        <v>300000</v>
      </c>
      <c r="K17" s="371"/>
      <c r="L17" s="372"/>
      <c r="M17" s="358"/>
      <c r="N17" s="358"/>
      <c r="O17" s="358">
        <f t="shared" si="0"/>
        <v>300000</v>
      </c>
      <c r="P17" s="385">
        <v>1381818</v>
      </c>
      <c r="Q17" s="358">
        <f t="shared" si="1"/>
        <v>1081818</v>
      </c>
      <c r="R17" s="195"/>
      <c r="S17" s="195"/>
    </row>
    <row r="18" spans="1:19" ht="20.100000000000001" customHeight="1" x14ac:dyDescent="0.25">
      <c r="A18" s="350">
        <v>11</v>
      </c>
      <c r="B18" s="365">
        <v>44176</v>
      </c>
      <c r="C18" s="366" t="s">
        <v>2202</v>
      </c>
      <c r="D18" s="367" t="s">
        <v>3446</v>
      </c>
      <c r="E18" s="354" t="s">
        <v>3463</v>
      </c>
      <c r="F18" s="368"/>
      <c r="G18" s="369"/>
      <c r="H18" s="369"/>
      <c r="I18" s="370"/>
      <c r="J18" s="358">
        <v>680000</v>
      </c>
      <c r="K18" s="371"/>
      <c r="L18" s="372"/>
      <c r="M18" s="358"/>
      <c r="N18" s="358"/>
      <c r="O18" s="358">
        <f t="shared" si="0"/>
        <v>680000</v>
      </c>
      <c r="P18" s="385">
        <v>2500000</v>
      </c>
      <c r="Q18" s="358">
        <f t="shared" si="1"/>
        <v>1820000</v>
      </c>
      <c r="R18" s="195"/>
      <c r="S18" s="195"/>
    </row>
    <row r="19" spans="1:19" ht="20.100000000000001" customHeight="1" x14ac:dyDescent="0.25">
      <c r="A19" s="350">
        <v>12</v>
      </c>
      <c r="B19" s="365">
        <v>44179</v>
      </c>
      <c r="C19" s="366" t="s">
        <v>3429</v>
      </c>
      <c r="D19" s="367" t="s">
        <v>3447</v>
      </c>
      <c r="E19" s="354" t="s">
        <v>2698</v>
      </c>
      <c r="F19" s="368"/>
      <c r="G19" s="369">
        <v>290</v>
      </c>
      <c r="H19" s="369">
        <f>G19*1201</f>
        <v>348290</v>
      </c>
      <c r="I19" s="370"/>
      <c r="J19" s="358">
        <v>200000</v>
      </c>
      <c r="K19" s="371"/>
      <c r="L19" s="372"/>
      <c r="M19" s="358"/>
      <c r="N19" s="358"/>
      <c r="O19" s="358">
        <f t="shared" si="0"/>
        <v>548290</v>
      </c>
      <c r="P19" s="385">
        <v>1500000</v>
      </c>
      <c r="Q19" s="358">
        <f t="shared" si="1"/>
        <v>951710</v>
      </c>
      <c r="R19" s="195"/>
      <c r="S19" s="195"/>
    </row>
    <row r="20" spans="1:19" ht="20.100000000000001" customHeight="1" x14ac:dyDescent="0.25">
      <c r="A20" s="350">
        <v>13</v>
      </c>
      <c r="B20" s="365">
        <v>44179</v>
      </c>
      <c r="C20" s="366" t="s">
        <v>3430</v>
      </c>
      <c r="D20" s="367" t="s">
        <v>3448</v>
      </c>
      <c r="E20" s="354" t="s">
        <v>3464</v>
      </c>
      <c r="F20" s="368"/>
      <c r="G20" s="369"/>
      <c r="H20" s="369"/>
      <c r="I20" s="370"/>
      <c r="J20" s="358">
        <v>790000</v>
      </c>
      <c r="K20" s="371"/>
      <c r="L20" s="372"/>
      <c r="M20" s="358"/>
      <c r="N20" s="358"/>
      <c r="O20" s="358">
        <f t="shared" si="0"/>
        <v>790000</v>
      </c>
      <c r="P20" s="385">
        <v>3790909</v>
      </c>
      <c r="Q20" s="358">
        <f t="shared" si="1"/>
        <v>3000909</v>
      </c>
      <c r="R20" s="195"/>
      <c r="S20" s="195"/>
    </row>
    <row r="21" spans="1:19" ht="20.100000000000001" customHeight="1" x14ac:dyDescent="0.25">
      <c r="A21" s="350">
        <v>14</v>
      </c>
      <c r="B21" s="365">
        <v>44180</v>
      </c>
      <c r="C21" s="366" t="s">
        <v>798</v>
      </c>
      <c r="D21" s="367" t="s">
        <v>3448</v>
      </c>
      <c r="E21" s="354" t="s">
        <v>3465</v>
      </c>
      <c r="F21" s="368"/>
      <c r="G21" s="369"/>
      <c r="H21" s="369"/>
      <c r="I21" s="370"/>
      <c r="J21" s="358">
        <v>300000</v>
      </c>
      <c r="K21" s="371"/>
      <c r="L21" s="372"/>
      <c r="M21" s="358"/>
      <c r="N21" s="358"/>
      <c r="O21" s="358">
        <f t="shared" si="0"/>
        <v>300000</v>
      </c>
      <c r="P21" s="385">
        <v>1381818</v>
      </c>
      <c r="Q21" s="358">
        <f t="shared" si="1"/>
        <v>1081818</v>
      </c>
      <c r="R21" s="195"/>
      <c r="S21" s="195"/>
    </row>
    <row r="22" spans="1:19" ht="20.100000000000001" customHeight="1" x14ac:dyDescent="0.25">
      <c r="A22" s="350">
        <v>15</v>
      </c>
      <c r="B22" s="365">
        <v>44181</v>
      </c>
      <c r="C22" s="366" t="s">
        <v>3431</v>
      </c>
      <c r="D22" s="367" t="s">
        <v>3449</v>
      </c>
      <c r="E22" s="354" t="s">
        <v>21</v>
      </c>
      <c r="F22" s="368"/>
      <c r="G22" s="369">
        <v>96</v>
      </c>
      <c r="H22" s="369">
        <f t="shared" ref="H22:H28" si="3">G22*1201</f>
        <v>115296</v>
      </c>
      <c r="I22" s="370"/>
      <c r="J22" s="358">
        <v>2740000</v>
      </c>
      <c r="K22" s="371"/>
      <c r="L22" s="372"/>
      <c r="M22" s="358"/>
      <c r="N22" s="358"/>
      <c r="O22" s="358">
        <f t="shared" si="0"/>
        <v>2855296</v>
      </c>
      <c r="P22" s="385">
        <v>11818182</v>
      </c>
      <c r="Q22" s="358">
        <f t="shared" si="1"/>
        <v>8962886</v>
      </c>
      <c r="R22" s="195"/>
      <c r="S22" s="195"/>
    </row>
    <row r="23" spans="1:19" ht="20.100000000000001" customHeight="1" x14ac:dyDescent="0.25">
      <c r="A23" s="350">
        <v>16</v>
      </c>
      <c r="B23" s="365">
        <v>44182</v>
      </c>
      <c r="C23" s="366" t="s">
        <v>2841</v>
      </c>
      <c r="D23" s="367" t="s">
        <v>3450</v>
      </c>
      <c r="E23" s="354" t="s">
        <v>3466</v>
      </c>
      <c r="F23" s="368"/>
      <c r="G23" s="369">
        <v>245</v>
      </c>
      <c r="H23" s="369">
        <f t="shared" si="3"/>
        <v>294245</v>
      </c>
      <c r="I23" s="370"/>
      <c r="J23" s="358">
        <v>790000</v>
      </c>
      <c r="K23" s="371"/>
      <c r="L23" s="372"/>
      <c r="M23" s="358"/>
      <c r="N23" s="358"/>
      <c r="O23" s="358">
        <f t="shared" si="0"/>
        <v>1084245</v>
      </c>
      <c r="P23" s="385">
        <v>2763636</v>
      </c>
      <c r="Q23" s="358">
        <f t="shared" si="1"/>
        <v>1679391</v>
      </c>
      <c r="R23" s="195"/>
      <c r="S23" s="195"/>
    </row>
    <row r="24" spans="1:19" ht="20.100000000000001" customHeight="1" x14ac:dyDescent="0.25">
      <c r="A24" s="350">
        <v>17</v>
      </c>
      <c r="B24" s="365">
        <v>44183</v>
      </c>
      <c r="C24" s="366" t="s">
        <v>800</v>
      </c>
      <c r="D24" s="367" t="s">
        <v>3451</v>
      </c>
      <c r="E24" s="354" t="s">
        <v>1023</v>
      </c>
      <c r="F24" s="368"/>
      <c r="G24" s="369"/>
      <c r="H24" s="369"/>
      <c r="I24" s="370"/>
      <c r="J24" s="358">
        <v>970000</v>
      </c>
      <c r="K24" s="371"/>
      <c r="L24" s="372"/>
      <c r="M24" s="358"/>
      <c r="N24" s="358"/>
      <c r="O24" s="358">
        <f t="shared" si="0"/>
        <v>970000</v>
      </c>
      <c r="P24" s="385">
        <v>4300000</v>
      </c>
      <c r="Q24" s="358">
        <f t="shared" si="1"/>
        <v>3330000</v>
      </c>
      <c r="R24" s="195"/>
      <c r="S24" s="195"/>
    </row>
    <row r="25" spans="1:19" ht="20.100000000000001" customHeight="1" x14ac:dyDescent="0.25">
      <c r="A25" s="350">
        <v>18</v>
      </c>
      <c r="B25" s="365">
        <v>44186</v>
      </c>
      <c r="C25" s="366" t="s">
        <v>3432</v>
      </c>
      <c r="D25" s="367" t="s">
        <v>3452</v>
      </c>
      <c r="E25" s="354" t="s">
        <v>3410</v>
      </c>
      <c r="F25" s="368"/>
      <c r="G25" s="369"/>
      <c r="H25" s="369"/>
      <c r="I25" s="370"/>
      <c r="J25" s="358">
        <v>1070000</v>
      </c>
      <c r="K25" s="371"/>
      <c r="L25" s="372"/>
      <c r="M25" s="358"/>
      <c r="N25" s="358"/>
      <c r="O25" s="358">
        <f t="shared" si="0"/>
        <v>1070000</v>
      </c>
      <c r="P25" s="385">
        <v>3800000</v>
      </c>
      <c r="Q25" s="358">
        <f t="shared" si="1"/>
        <v>2730000</v>
      </c>
      <c r="R25" s="195"/>
      <c r="S25" s="195"/>
    </row>
    <row r="26" spans="1:19" ht="20.100000000000001" customHeight="1" x14ac:dyDescent="0.25">
      <c r="A26" s="350">
        <v>19</v>
      </c>
      <c r="B26" s="365">
        <v>44186</v>
      </c>
      <c r="C26" s="366" t="s">
        <v>3433</v>
      </c>
      <c r="D26" s="367" t="s">
        <v>3453</v>
      </c>
      <c r="E26" s="354" t="s">
        <v>845</v>
      </c>
      <c r="F26" s="368"/>
      <c r="G26" s="369">
        <v>260</v>
      </c>
      <c r="H26" s="369">
        <f t="shared" si="3"/>
        <v>312260</v>
      </c>
      <c r="I26" s="370"/>
      <c r="J26" s="358">
        <v>790000</v>
      </c>
      <c r="K26" s="371"/>
      <c r="L26" s="372"/>
      <c r="M26" s="358"/>
      <c r="N26" s="358"/>
      <c r="O26" s="358">
        <f t="shared" si="0"/>
        <v>1102260</v>
      </c>
      <c r="P26" s="385">
        <v>3800000</v>
      </c>
      <c r="Q26" s="358">
        <f t="shared" si="1"/>
        <v>2697740</v>
      </c>
      <c r="R26" s="195"/>
      <c r="S26" s="195"/>
    </row>
    <row r="27" spans="1:19" ht="20.100000000000001" customHeight="1" x14ac:dyDescent="0.25">
      <c r="A27" s="350">
        <v>20</v>
      </c>
      <c r="B27" s="365">
        <v>44188</v>
      </c>
      <c r="C27" s="366" t="s">
        <v>3434</v>
      </c>
      <c r="D27" s="367" t="s">
        <v>3454</v>
      </c>
      <c r="E27" s="354" t="s">
        <v>562</v>
      </c>
      <c r="F27" s="368"/>
      <c r="G27" s="369"/>
      <c r="H27" s="369"/>
      <c r="I27" s="370"/>
      <c r="J27" s="358">
        <v>2740000</v>
      </c>
      <c r="K27" s="371"/>
      <c r="L27" s="372"/>
      <c r="M27" s="358"/>
      <c r="N27" s="358"/>
      <c r="O27" s="358">
        <f t="shared" si="0"/>
        <v>2740000</v>
      </c>
      <c r="P27" s="385">
        <v>13081818</v>
      </c>
      <c r="Q27" s="358">
        <f t="shared" si="1"/>
        <v>10341818</v>
      </c>
      <c r="R27" s="195"/>
      <c r="S27" s="195"/>
    </row>
    <row r="28" spans="1:19" ht="20.100000000000001" customHeight="1" x14ac:dyDescent="0.25">
      <c r="A28" s="350">
        <v>21</v>
      </c>
      <c r="B28" s="365">
        <v>44190</v>
      </c>
      <c r="C28" s="366" t="s">
        <v>3435</v>
      </c>
      <c r="D28" s="367" t="s">
        <v>3455</v>
      </c>
      <c r="E28" s="354" t="s">
        <v>562</v>
      </c>
      <c r="F28" s="368"/>
      <c r="G28" s="369">
        <v>310</v>
      </c>
      <c r="H28" s="369">
        <f t="shared" si="3"/>
        <v>372310</v>
      </c>
      <c r="I28" s="370"/>
      <c r="J28" s="358">
        <v>200000</v>
      </c>
      <c r="K28" s="371"/>
      <c r="L28" s="372"/>
      <c r="M28" s="358"/>
      <c r="N28" s="358"/>
      <c r="O28" s="358">
        <f t="shared" si="0"/>
        <v>572310</v>
      </c>
      <c r="P28" s="385">
        <v>1000000</v>
      </c>
      <c r="Q28" s="358">
        <f t="shared" si="1"/>
        <v>427690</v>
      </c>
      <c r="R28" s="195"/>
      <c r="S28" s="195"/>
    </row>
    <row r="29" spans="1:19" ht="20.100000000000001" customHeight="1" x14ac:dyDescent="0.25">
      <c r="A29" s="350">
        <v>22</v>
      </c>
      <c r="B29" s="365">
        <v>44190</v>
      </c>
      <c r="C29" s="366" t="s">
        <v>2845</v>
      </c>
      <c r="D29" s="367" t="s">
        <v>3456</v>
      </c>
      <c r="E29" s="354" t="s">
        <v>562</v>
      </c>
      <c r="F29" s="368"/>
      <c r="G29" s="369"/>
      <c r="H29" s="369"/>
      <c r="I29" s="370"/>
      <c r="J29" s="358">
        <v>2740000</v>
      </c>
      <c r="K29" s="371"/>
      <c r="L29" s="372"/>
      <c r="M29" s="358"/>
      <c r="N29" s="358"/>
      <c r="O29" s="358">
        <f t="shared" si="0"/>
        <v>2740000</v>
      </c>
      <c r="P29" s="385">
        <v>13081818</v>
      </c>
      <c r="Q29" s="358">
        <f t="shared" si="1"/>
        <v>10341818</v>
      </c>
      <c r="R29" s="195"/>
      <c r="S29" s="195"/>
    </row>
    <row r="30" spans="1:19" ht="20.100000000000001" customHeight="1" x14ac:dyDescent="0.25">
      <c r="A30" s="350">
        <v>23</v>
      </c>
      <c r="B30" s="365">
        <v>44192</v>
      </c>
      <c r="C30" s="366" t="s">
        <v>3436</v>
      </c>
      <c r="D30" s="367" t="s">
        <v>3347</v>
      </c>
      <c r="E30" s="354" t="s">
        <v>2589</v>
      </c>
      <c r="F30" s="368"/>
      <c r="G30" s="369">
        <v>240</v>
      </c>
      <c r="H30" s="369">
        <f>G30*12370</f>
        <v>2968800</v>
      </c>
      <c r="I30" s="370"/>
      <c r="J30" s="358">
        <v>1450000</v>
      </c>
      <c r="K30" s="371"/>
      <c r="L30" s="372"/>
      <c r="M30" s="358"/>
      <c r="N30" s="358"/>
      <c r="O30" s="358">
        <f t="shared" si="0"/>
        <v>4418800</v>
      </c>
      <c r="P30" s="385">
        <v>5500000</v>
      </c>
      <c r="Q30" s="358">
        <f t="shared" si="1"/>
        <v>1081200</v>
      </c>
      <c r="R30" s="195"/>
      <c r="S30" s="195"/>
    </row>
    <row r="31" spans="1:19" ht="20.100000000000001" customHeight="1" x14ac:dyDescent="0.25">
      <c r="A31" s="350">
        <v>24</v>
      </c>
      <c r="B31" s="365">
        <v>44194</v>
      </c>
      <c r="C31" s="366" t="s">
        <v>2849</v>
      </c>
      <c r="D31" s="367" t="s">
        <v>3457</v>
      </c>
      <c r="E31" s="354" t="s">
        <v>22</v>
      </c>
      <c r="F31" s="368"/>
      <c r="G31" s="369">
        <v>180</v>
      </c>
      <c r="H31" s="369">
        <f t="shared" ref="H31:H32" si="4">G31*12370</f>
        <v>2226600</v>
      </c>
      <c r="I31" s="370"/>
      <c r="J31" s="358">
        <v>1150000</v>
      </c>
      <c r="K31" s="371"/>
      <c r="L31" s="372"/>
      <c r="M31" s="358"/>
      <c r="N31" s="358"/>
      <c r="O31" s="358">
        <f t="shared" si="0"/>
        <v>3376600</v>
      </c>
      <c r="P31" s="385">
        <v>3700000</v>
      </c>
      <c r="Q31" s="358">
        <f t="shared" si="1"/>
        <v>323400</v>
      </c>
      <c r="R31" s="195"/>
      <c r="S31" s="195"/>
    </row>
    <row r="32" spans="1:19" ht="20.100000000000001" customHeight="1" x14ac:dyDescent="0.25">
      <c r="A32" s="350">
        <v>25</v>
      </c>
      <c r="B32" s="365">
        <v>44195</v>
      </c>
      <c r="C32" s="366" t="s">
        <v>1512</v>
      </c>
      <c r="D32" s="367" t="s">
        <v>3458</v>
      </c>
      <c r="E32" s="354" t="s">
        <v>21</v>
      </c>
      <c r="F32" s="368"/>
      <c r="G32" s="398">
        <v>245</v>
      </c>
      <c r="H32" s="398">
        <f t="shared" si="4"/>
        <v>3030650</v>
      </c>
      <c r="I32" s="370"/>
      <c r="J32" s="358">
        <v>2740000</v>
      </c>
      <c r="K32" s="371"/>
      <c r="L32" s="372"/>
      <c r="M32" s="358"/>
      <c r="N32" s="358"/>
      <c r="O32" s="358">
        <f t="shared" si="0"/>
        <v>5770650</v>
      </c>
      <c r="P32" s="385">
        <v>11363636</v>
      </c>
      <c r="Q32" s="358">
        <f t="shared" si="1"/>
        <v>5592986</v>
      </c>
      <c r="R32" s="195" t="s">
        <v>3467</v>
      </c>
      <c r="S32" s="195"/>
    </row>
    <row r="33" spans="1:19" ht="20.100000000000001" customHeight="1" x14ac:dyDescent="0.25">
      <c r="A33" s="374"/>
      <c r="B33" s="375"/>
      <c r="C33" s="416"/>
      <c r="D33" s="417"/>
      <c r="E33" s="354"/>
      <c r="F33" s="355"/>
      <c r="G33" s="369"/>
      <c r="H33" s="369"/>
      <c r="I33" s="370"/>
      <c r="J33" s="358"/>
      <c r="K33" s="371"/>
      <c r="L33" s="372"/>
      <c r="M33" s="358"/>
      <c r="N33" s="361"/>
      <c r="O33" s="362"/>
      <c r="P33" s="377"/>
      <c r="Q33" s="378"/>
      <c r="R33" s="195"/>
      <c r="S33" s="195"/>
    </row>
    <row r="34" spans="1:19" ht="27" customHeight="1" x14ac:dyDescent="0.25">
      <c r="A34" s="374"/>
      <c r="B34" s="379"/>
      <c r="C34" s="594" t="s">
        <v>1273</v>
      </c>
      <c r="D34" s="595"/>
      <c r="E34" s="596"/>
      <c r="F34" s="380"/>
      <c r="G34" s="381"/>
      <c r="H34" s="369"/>
      <c r="I34" s="403"/>
      <c r="J34" s="381"/>
      <c r="K34" s="371"/>
      <c r="L34" s="372">
        <v>1200000</v>
      </c>
      <c r="M34" s="381"/>
      <c r="N34" s="384"/>
      <c r="O34" s="362">
        <f>H34+J34+K34+L34+M34+N34</f>
        <v>1200000</v>
      </c>
      <c r="P34" s="385"/>
      <c r="Q34" s="378"/>
    </row>
    <row r="35" spans="1:19" ht="27" customHeight="1" x14ac:dyDescent="0.25">
      <c r="A35" s="386"/>
      <c r="B35" s="379"/>
      <c r="C35" s="594" t="s">
        <v>3468</v>
      </c>
      <c r="D35" s="595"/>
      <c r="E35" s="596"/>
      <c r="F35" s="402"/>
      <c r="G35" s="381"/>
      <c r="H35" s="369"/>
      <c r="I35" s="403"/>
      <c r="J35" s="381"/>
      <c r="K35" s="404"/>
      <c r="L35" s="388">
        <v>170000</v>
      </c>
      <c r="M35" s="372"/>
      <c r="N35" s="381"/>
      <c r="O35" s="362">
        <f t="shared" ref="O35:O41" si="5">H35+J35+K35+L35+M35+N35</f>
        <v>170000</v>
      </c>
      <c r="P35" s="389"/>
      <c r="Q35" s="378"/>
    </row>
    <row r="36" spans="1:19" ht="27" customHeight="1" x14ac:dyDescent="0.25">
      <c r="A36" s="386"/>
      <c r="B36" s="379"/>
      <c r="C36" s="594" t="s">
        <v>3469</v>
      </c>
      <c r="D36" s="595"/>
      <c r="E36" s="596"/>
      <c r="F36" s="402"/>
      <c r="G36" s="381"/>
      <c r="H36" s="369"/>
      <c r="I36" s="403"/>
      <c r="J36" s="381"/>
      <c r="K36" s="404"/>
      <c r="L36" s="388"/>
      <c r="M36" s="388">
        <v>11200000</v>
      </c>
      <c r="N36" s="381"/>
      <c r="O36" s="362">
        <f t="shared" si="5"/>
        <v>11200000</v>
      </c>
      <c r="P36" s="389"/>
      <c r="Q36" s="378"/>
    </row>
    <row r="37" spans="1:19" ht="27" customHeight="1" x14ac:dyDescent="0.25">
      <c r="A37" s="386"/>
      <c r="B37" s="379"/>
      <c r="C37" s="594" t="s">
        <v>3470</v>
      </c>
      <c r="D37" s="595"/>
      <c r="E37" s="596"/>
      <c r="F37" s="402"/>
      <c r="G37" s="381"/>
      <c r="H37" s="369"/>
      <c r="I37" s="403"/>
      <c r="J37" s="381"/>
      <c r="K37" s="404"/>
      <c r="L37" s="388">
        <v>300000</v>
      </c>
      <c r="M37" s="388"/>
      <c r="N37" s="381"/>
      <c r="O37" s="362">
        <f t="shared" si="5"/>
        <v>300000</v>
      </c>
      <c r="P37" s="389"/>
      <c r="Q37" s="378"/>
    </row>
    <row r="38" spans="1:19" ht="27" customHeight="1" x14ac:dyDescent="0.25">
      <c r="A38" s="386"/>
      <c r="B38" s="379"/>
      <c r="C38" s="597" t="s">
        <v>3472</v>
      </c>
      <c r="D38" s="598"/>
      <c r="E38" s="599"/>
      <c r="F38" s="402"/>
      <c r="G38" s="381"/>
      <c r="H38" s="369"/>
      <c r="I38" s="403"/>
      <c r="J38" s="381"/>
      <c r="K38" s="404"/>
      <c r="L38" s="388">
        <v>1400000</v>
      </c>
      <c r="M38" s="388"/>
      <c r="N38" s="381"/>
      <c r="O38" s="362">
        <f t="shared" si="5"/>
        <v>1400000</v>
      </c>
      <c r="P38" s="389"/>
      <c r="Q38" s="378"/>
    </row>
    <row r="39" spans="1:19" ht="27" customHeight="1" x14ac:dyDescent="0.25">
      <c r="A39" s="386"/>
      <c r="B39" s="379"/>
      <c r="C39" s="420" t="s">
        <v>3474</v>
      </c>
      <c r="D39" s="421"/>
      <c r="E39" s="422"/>
      <c r="F39" s="402"/>
      <c r="G39" s="381"/>
      <c r="H39" s="369"/>
      <c r="I39" s="403"/>
      <c r="J39" s="381"/>
      <c r="K39" s="404"/>
      <c r="L39" s="388">
        <v>120000</v>
      </c>
      <c r="M39" s="388"/>
      <c r="N39" s="381"/>
      <c r="O39" s="362">
        <f t="shared" si="5"/>
        <v>120000</v>
      </c>
      <c r="P39" s="389"/>
      <c r="Q39" s="378"/>
    </row>
    <row r="40" spans="1:19" ht="27" customHeight="1" x14ac:dyDescent="0.25">
      <c r="A40" s="386"/>
      <c r="B40" s="379"/>
      <c r="C40" s="594" t="s">
        <v>3473</v>
      </c>
      <c r="D40" s="595"/>
      <c r="E40" s="596"/>
      <c r="F40" s="402"/>
      <c r="G40" s="381"/>
      <c r="H40" s="369"/>
      <c r="I40" s="403"/>
      <c r="J40" s="381"/>
      <c r="K40" s="404"/>
      <c r="L40" s="388">
        <v>900000</v>
      </c>
      <c r="M40" s="388"/>
      <c r="N40" s="381"/>
      <c r="O40" s="362">
        <f t="shared" si="5"/>
        <v>900000</v>
      </c>
      <c r="P40" s="389"/>
      <c r="Q40" s="378"/>
    </row>
    <row r="41" spans="1:19" ht="27" customHeight="1" x14ac:dyDescent="0.25">
      <c r="A41" s="386"/>
      <c r="B41" s="379"/>
      <c r="C41" s="594" t="s">
        <v>3471</v>
      </c>
      <c r="D41" s="595"/>
      <c r="E41" s="596"/>
      <c r="F41" s="402"/>
      <c r="G41" s="381"/>
      <c r="H41" s="369"/>
      <c r="I41" s="403"/>
      <c r="J41" s="381"/>
      <c r="K41" s="388">
        <v>300000</v>
      </c>
      <c r="L41" s="388"/>
      <c r="M41" s="381"/>
      <c r="N41" s="388"/>
      <c r="O41" s="362">
        <f t="shared" si="5"/>
        <v>300000</v>
      </c>
      <c r="P41" s="389"/>
      <c r="Q41" s="378"/>
    </row>
    <row r="42" spans="1:19" ht="18" customHeight="1" x14ac:dyDescent="0.25">
      <c r="A42" s="386"/>
      <c r="B42" s="391"/>
      <c r="C42" s="579" t="s">
        <v>1386</v>
      </c>
      <c r="D42" s="580"/>
      <c r="E42" s="581"/>
      <c r="F42" s="392"/>
      <c r="G42" s="381"/>
      <c r="H42" s="382"/>
      <c r="I42" s="383"/>
      <c r="J42" s="384"/>
      <c r="K42" s="394">
        <f>28/26*9000000</f>
        <v>9692307.692307692</v>
      </c>
      <c r="L42" s="394"/>
      <c r="M42" s="384"/>
      <c r="N42" s="384"/>
      <c r="O42" s="362">
        <f>H42+J42+K42+L42+M42+N42</f>
        <v>9692307.692307692</v>
      </c>
      <c r="P42" s="389"/>
      <c r="Q42" s="378"/>
    </row>
    <row r="43" spans="1:19" x14ac:dyDescent="0.25">
      <c r="A43" s="576" t="s">
        <v>19</v>
      </c>
      <c r="B43" s="577"/>
      <c r="C43" s="577"/>
      <c r="D43" s="577"/>
      <c r="E43" s="577"/>
      <c r="F43" s="578"/>
      <c r="G43" s="395">
        <f>SUM(G8:G42)</f>
        <v>2726</v>
      </c>
      <c r="H43" s="396">
        <f>SUM(H7:H42)</f>
        <v>19498251</v>
      </c>
      <c r="I43" s="396">
        <f t="shared" ref="I43:N43" si="6">SUM(I7:I42)</f>
        <v>0</v>
      </c>
      <c r="J43" s="396">
        <f t="shared" si="6"/>
        <v>29140000</v>
      </c>
      <c r="K43" s="396">
        <f t="shared" si="6"/>
        <v>9992307.692307692</v>
      </c>
      <c r="L43" s="396">
        <f t="shared" si="6"/>
        <v>4090000</v>
      </c>
      <c r="M43" s="396">
        <f t="shared" si="6"/>
        <v>11200000</v>
      </c>
      <c r="N43" s="396">
        <f t="shared" si="6"/>
        <v>0</v>
      </c>
      <c r="O43" s="396">
        <f>SUM(O7:O42)</f>
        <v>73920558.692307696</v>
      </c>
      <c r="P43" s="396">
        <f>SUM(P7:P42)</f>
        <v>125418180</v>
      </c>
      <c r="Q43" s="397">
        <f>P43-O43</f>
        <v>51497621.307692304</v>
      </c>
      <c r="R43" s="195"/>
    </row>
    <row r="44" spans="1:19" x14ac:dyDescent="0.25">
      <c r="P44" s="294"/>
      <c r="Q44" s="295"/>
    </row>
    <row r="45" spans="1:19" x14ac:dyDescent="0.25">
      <c r="B45"/>
      <c r="G45"/>
      <c r="H45" s="294"/>
      <c r="P45" s="296" t="s">
        <v>1225</v>
      </c>
      <c r="Q45" s="304">
        <f>'11.2020'!Q39+'12.2020'!Q43</f>
        <v>422747267.38461542</v>
      </c>
    </row>
    <row r="46" spans="1:19" x14ac:dyDescent="0.25">
      <c r="B46"/>
      <c r="G46"/>
      <c r="Q46" s="294"/>
    </row>
    <row r="47" spans="1:19" x14ac:dyDescent="0.25">
      <c r="B47"/>
      <c r="G47"/>
      <c r="R47" s="195"/>
    </row>
  </sheetData>
  <mergeCells count="13">
    <mergeCell ref="A1:Q1"/>
    <mergeCell ref="A2:Q2"/>
    <mergeCell ref="A3:Q3"/>
    <mergeCell ref="G5:N5"/>
    <mergeCell ref="C34:E34"/>
    <mergeCell ref="C41:E41"/>
    <mergeCell ref="C42:E42"/>
    <mergeCell ref="A43:F43"/>
    <mergeCell ref="C35:E35"/>
    <mergeCell ref="C38:E38"/>
    <mergeCell ref="C40:E40"/>
    <mergeCell ref="C36:E36"/>
    <mergeCell ref="C37:E37"/>
  </mergeCells>
  <pageMargins left="0.7" right="0.7" top="0.75" bottom="0.75" header="0.3" footer="0.3"/>
  <pageSetup orientation="portrait" horizontalDpi="0" verticalDpi="0"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S46"/>
  <sheetViews>
    <sheetView topLeftCell="B24" workbookViewId="0">
      <selection activeCell="Q45" sqref="Q45"/>
    </sheetView>
  </sheetViews>
  <sheetFormatPr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0.28515625" style="292" bestFit="1" customWidth="1"/>
    <col min="9" max="9" width="9.28515625" style="293" bestFit="1" customWidth="1"/>
    <col min="10" max="10" width="9.85546875" style="292" bestFit="1" customWidth="1"/>
    <col min="11" max="11" width="9.5703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3476</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19"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19" x14ac:dyDescent="0.25">
      <c r="A7" s="75"/>
      <c r="B7" s="100"/>
      <c r="C7" s="88"/>
      <c r="D7" s="88"/>
      <c r="E7" s="134"/>
      <c r="F7" s="75"/>
      <c r="G7" s="263"/>
      <c r="H7" s="264"/>
      <c r="I7" s="264"/>
      <c r="J7" s="264"/>
      <c r="K7" s="264"/>
      <c r="L7" s="308"/>
      <c r="M7" s="264"/>
      <c r="N7" s="264"/>
      <c r="O7" s="265"/>
      <c r="P7" s="265"/>
      <c r="Q7" s="264"/>
    </row>
    <row r="8" spans="1:19" ht="20.100000000000001" customHeight="1" x14ac:dyDescent="0.25">
      <c r="A8" s="350">
        <v>1</v>
      </c>
      <c r="B8" s="365">
        <v>44200</v>
      </c>
      <c r="C8" s="366" t="s">
        <v>863</v>
      </c>
      <c r="D8" s="367" t="s">
        <v>3494</v>
      </c>
      <c r="E8" s="354" t="s">
        <v>1081</v>
      </c>
      <c r="F8" s="368"/>
      <c r="G8" s="369"/>
      <c r="H8" s="369"/>
      <c r="I8" s="418"/>
      <c r="J8" s="426">
        <v>1150000</v>
      </c>
      <c r="K8" s="371"/>
      <c r="L8" s="372"/>
      <c r="M8" s="358"/>
      <c r="N8" s="358"/>
      <c r="O8" s="358">
        <f>H8+J8+K8+L8+M8+N8</f>
        <v>1150000</v>
      </c>
      <c r="P8" s="358">
        <v>3909091</v>
      </c>
      <c r="Q8" s="358">
        <f>P8-O8</f>
        <v>2759091</v>
      </c>
      <c r="R8" s="195"/>
      <c r="S8" s="195"/>
    </row>
    <row r="9" spans="1:19" ht="20.100000000000001" customHeight="1" x14ac:dyDescent="0.25">
      <c r="A9" s="350">
        <v>2</v>
      </c>
      <c r="B9" s="365">
        <v>44200</v>
      </c>
      <c r="C9" s="366" t="s">
        <v>868</v>
      </c>
      <c r="D9" s="415" t="s">
        <v>3495</v>
      </c>
      <c r="E9" s="354" t="s">
        <v>566</v>
      </c>
      <c r="F9" s="368"/>
      <c r="G9" s="369"/>
      <c r="H9" s="369"/>
      <c r="I9" s="370"/>
      <c r="J9" s="426">
        <v>1060000</v>
      </c>
      <c r="K9" s="371"/>
      <c r="L9" s="372"/>
      <c r="M9" s="358"/>
      <c r="N9" s="358"/>
      <c r="O9" s="358">
        <f t="shared" ref="O9:O34" si="0">H9+J9+K9+L9+M9+N9</f>
        <v>1060000</v>
      </c>
      <c r="P9" s="385">
        <v>3727273</v>
      </c>
      <c r="Q9" s="358">
        <f t="shared" ref="Q9:Q35" si="1">P9-O9</f>
        <v>2667273</v>
      </c>
      <c r="R9" s="195"/>
      <c r="S9" s="195"/>
    </row>
    <row r="10" spans="1:19" ht="20.100000000000001" customHeight="1" x14ac:dyDescent="0.25">
      <c r="A10" s="350">
        <v>3</v>
      </c>
      <c r="B10" s="365">
        <v>44201</v>
      </c>
      <c r="C10" s="366" t="s">
        <v>870</v>
      </c>
      <c r="D10" s="367" t="s">
        <v>3496</v>
      </c>
      <c r="E10" s="354" t="s">
        <v>2885</v>
      </c>
      <c r="F10" s="368"/>
      <c r="G10" s="369"/>
      <c r="H10" s="369"/>
      <c r="I10" s="370"/>
      <c r="J10" s="426">
        <v>790000</v>
      </c>
      <c r="K10" s="371"/>
      <c r="L10" s="372"/>
      <c r="M10" s="358"/>
      <c r="N10" s="358"/>
      <c r="O10" s="358">
        <f t="shared" si="0"/>
        <v>790000</v>
      </c>
      <c r="P10" s="385">
        <v>2763636</v>
      </c>
      <c r="Q10" s="358">
        <f t="shared" si="1"/>
        <v>1973636</v>
      </c>
      <c r="R10" s="195"/>
      <c r="S10" s="195"/>
    </row>
    <row r="11" spans="1:19" ht="20.100000000000001" customHeight="1" x14ac:dyDescent="0.25">
      <c r="A11" s="350">
        <v>4</v>
      </c>
      <c r="B11" s="365">
        <v>44202</v>
      </c>
      <c r="C11" s="366" t="s">
        <v>3477</v>
      </c>
      <c r="D11" s="367" t="s">
        <v>3497</v>
      </c>
      <c r="E11" s="354" t="s">
        <v>3520</v>
      </c>
      <c r="F11" s="368"/>
      <c r="G11" s="369">
        <v>260</v>
      </c>
      <c r="H11" s="369">
        <f>G11*12370</f>
        <v>3216200</v>
      </c>
      <c r="I11" s="370"/>
      <c r="J11" s="426">
        <v>1150000</v>
      </c>
      <c r="K11" s="371"/>
      <c r="L11" s="372"/>
      <c r="M11" s="358"/>
      <c r="N11" s="358"/>
      <c r="O11" s="358">
        <f t="shared" si="0"/>
        <v>4366200</v>
      </c>
      <c r="P11" s="385">
        <v>3827273</v>
      </c>
      <c r="Q11" s="358">
        <f t="shared" si="1"/>
        <v>-538927</v>
      </c>
      <c r="R11" s="195"/>
      <c r="S11" s="195"/>
    </row>
    <row r="12" spans="1:19" ht="20.100000000000001" customHeight="1" x14ac:dyDescent="0.25">
      <c r="A12" s="350">
        <v>5</v>
      </c>
      <c r="B12" s="365">
        <v>44203</v>
      </c>
      <c r="C12" s="366" t="s">
        <v>3478</v>
      </c>
      <c r="D12" s="367" t="s">
        <v>3497</v>
      </c>
      <c r="E12" s="354" t="s">
        <v>3521</v>
      </c>
      <c r="F12" s="368"/>
      <c r="G12" s="369"/>
      <c r="H12" s="369"/>
      <c r="I12" s="370"/>
      <c r="J12" s="426">
        <v>300000</v>
      </c>
      <c r="K12" s="371"/>
      <c r="L12" s="372"/>
      <c r="M12" s="358"/>
      <c r="N12" s="358"/>
      <c r="O12" s="358">
        <f t="shared" si="0"/>
        <v>300000</v>
      </c>
      <c r="P12" s="385">
        <v>1881818</v>
      </c>
      <c r="Q12" s="358">
        <f t="shared" si="1"/>
        <v>1581818</v>
      </c>
      <c r="R12" s="195"/>
      <c r="S12" s="195"/>
    </row>
    <row r="13" spans="1:19" ht="20.100000000000001" customHeight="1" x14ac:dyDescent="0.25">
      <c r="A13" s="350">
        <v>6</v>
      </c>
      <c r="B13" s="365">
        <v>44203</v>
      </c>
      <c r="C13" s="366" t="s">
        <v>3479</v>
      </c>
      <c r="D13" s="367" t="s">
        <v>3498</v>
      </c>
      <c r="E13" s="354" t="s">
        <v>21</v>
      </c>
      <c r="F13" s="368"/>
      <c r="G13" s="369"/>
      <c r="H13" s="369"/>
      <c r="I13" s="370"/>
      <c r="J13" s="426">
        <v>2740000</v>
      </c>
      <c r="K13" s="371"/>
      <c r="L13" s="372"/>
      <c r="M13" s="358"/>
      <c r="N13" s="358"/>
      <c r="O13" s="358">
        <f t="shared" si="0"/>
        <v>2740000</v>
      </c>
      <c r="P13" s="385">
        <v>11363636</v>
      </c>
      <c r="Q13" s="358">
        <f t="shared" si="1"/>
        <v>8623636</v>
      </c>
      <c r="R13" s="195"/>
      <c r="S13" s="195"/>
    </row>
    <row r="14" spans="1:19" ht="20.100000000000001" customHeight="1" x14ac:dyDescent="0.25">
      <c r="A14" s="350">
        <v>7</v>
      </c>
      <c r="B14" s="365">
        <v>44205</v>
      </c>
      <c r="C14" s="366" t="s">
        <v>3480</v>
      </c>
      <c r="D14" s="367" t="s">
        <v>3499</v>
      </c>
      <c r="E14" s="354" t="s">
        <v>21</v>
      </c>
      <c r="F14" s="368"/>
      <c r="G14" s="369">
        <v>350</v>
      </c>
      <c r="H14" s="369">
        <f t="shared" ref="H14:H15" si="2">G14*12370</f>
        <v>4329500</v>
      </c>
      <c r="I14" s="370"/>
      <c r="J14" s="426">
        <v>2740000</v>
      </c>
      <c r="K14" s="371"/>
      <c r="L14" s="372"/>
      <c r="M14" s="358"/>
      <c r="N14" s="358"/>
      <c r="O14" s="358">
        <f t="shared" si="0"/>
        <v>7069500</v>
      </c>
      <c r="P14" s="385">
        <v>11363636</v>
      </c>
      <c r="Q14" s="358">
        <f t="shared" si="1"/>
        <v>4294136</v>
      </c>
      <c r="R14" s="195"/>
      <c r="S14" s="195"/>
    </row>
    <row r="15" spans="1:19" ht="20.100000000000001" customHeight="1" x14ac:dyDescent="0.25">
      <c r="A15" s="350">
        <v>8</v>
      </c>
      <c r="B15" s="365">
        <v>44206</v>
      </c>
      <c r="C15" s="366" t="s">
        <v>3481</v>
      </c>
      <c r="D15" s="367" t="s">
        <v>3500</v>
      </c>
      <c r="E15" s="354" t="s">
        <v>22</v>
      </c>
      <c r="F15" s="368"/>
      <c r="G15" s="369">
        <v>238</v>
      </c>
      <c r="H15" s="369">
        <f t="shared" si="2"/>
        <v>2944060</v>
      </c>
      <c r="I15" s="370"/>
      <c r="J15" s="426">
        <v>1150000</v>
      </c>
      <c r="K15" s="371"/>
      <c r="L15" s="372"/>
      <c r="M15" s="358"/>
      <c r="N15" s="358"/>
      <c r="O15" s="358">
        <f t="shared" si="0"/>
        <v>4094060</v>
      </c>
      <c r="P15" s="385">
        <v>3454545</v>
      </c>
      <c r="Q15" s="358">
        <f t="shared" si="1"/>
        <v>-639515</v>
      </c>
      <c r="R15" s="195"/>
      <c r="S15" s="195"/>
    </row>
    <row r="16" spans="1:19" ht="20.100000000000001" customHeight="1" x14ac:dyDescent="0.25">
      <c r="A16" s="350">
        <v>9</v>
      </c>
      <c r="B16" s="365">
        <v>44208</v>
      </c>
      <c r="C16" s="366" t="s">
        <v>3482</v>
      </c>
      <c r="D16" s="367" t="s">
        <v>3501</v>
      </c>
      <c r="E16" s="354" t="s">
        <v>24</v>
      </c>
      <c r="F16" s="368"/>
      <c r="G16" s="369">
        <v>260</v>
      </c>
      <c r="H16" s="369">
        <f>G16*12640</f>
        <v>3286400</v>
      </c>
      <c r="I16" s="370"/>
      <c r="J16" s="426">
        <v>1890000</v>
      </c>
      <c r="K16" s="371"/>
      <c r="L16" s="372"/>
      <c r="M16" s="358"/>
      <c r="N16" s="358"/>
      <c r="O16" s="358">
        <f t="shared" si="0"/>
        <v>5176400</v>
      </c>
      <c r="P16" s="385">
        <v>7209091</v>
      </c>
      <c r="Q16" s="358">
        <f t="shared" si="1"/>
        <v>2032691</v>
      </c>
      <c r="R16" s="195"/>
      <c r="S16" s="195"/>
    </row>
    <row r="17" spans="1:19" ht="20.100000000000001" customHeight="1" x14ac:dyDescent="0.25">
      <c r="A17" s="350">
        <v>10</v>
      </c>
      <c r="B17" s="365">
        <v>44209</v>
      </c>
      <c r="C17" s="366" t="s">
        <v>3483</v>
      </c>
      <c r="D17" s="367" t="s">
        <v>3502</v>
      </c>
      <c r="E17" s="354" t="s">
        <v>2117</v>
      </c>
      <c r="F17" s="368"/>
      <c r="G17" s="369"/>
      <c r="H17" s="369"/>
      <c r="I17" s="370"/>
      <c r="J17" s="426">
        <v>1400000</v>
      </c>
      <c r="K17" s="371"/>
      <c r="L17" s="372"/>
      <c r="M17" s="358"/>
      <c r="N17" s="358"/>
      <c r="O17" s="358">
        <f t="shared" si="0"/>
        <v>1400000</v>
      </c>
      <c r="P17" s="385">
        <v>5454545</v>
      </c>
      <c r="Q17" s="358">
        <f t="shared" si="1"/>
        <v>4054545</v>
      </c>
      <c r="R17" s="195"/>
      <c r="S17" s="195"/>
    </row>
    <row r="18" spans="1:19" ht="20.100000000000001" customHeight="1" x14ac:dyDescent="0.25">
      <c r="A18" s="350">
        <v>11</v>
      </c>
      <c r="B18" s="365">
        <v>44209</v>
      </c>
      <c r="C18" s="366" t="s">
        <v>2899</v>
      </c>
      <c r="D18" s="367" t="s">
        <v>3503</v>
      </c>
      <c r="E18" s="354" t="s">
        <v>286</v>
      </c>
      <c r="F18" s="368"/>
      <c r="G18" s="369"/>
      <c r="H18" s="369"/>
      <c r="I18" s="370"/>
      <c r="J18" s="426">
        <v>1150000</v>
      </c>
      <c r="K18" s="371"/>
      <c r="L18" s="372"/>
      <c r="M18" s="358"/>
      <c r="N18" s="358"/>
      <c r="O18" s="358">
        <f t="shared" si="0"/>
        <v>1150000</v>
      </c>
      <c r="P18" s="385">
        <v>3618182</v>
      </c>
      <c r="Q18" s="358">
        <f t="shared" si="1"/>
        <v>2468182</v>
      </c>
      <c r="R18" s="195"/>
      <c r="S18" s="195"/>
    </row>
    <row r="19" spans="1:19" ht="20.100000000000001" customHeight="1" x14ac:dyDescent="0.25">
      <c r="A19" s="350">
        <v>12</v>
      </c>
      <c r="B19" s="365">
        <v>44210</v>
      </c>
      <c r="C19" s="366" t="s">
        <v>3484</v>
      </c>
      <c r="D19" s="367" t="s">
        <v>3504</v>
      </c>
      <c r="E19" s="354" t="s">
        <v>2589</v>
      </c>
      <c r="F19" s="368"/>
      <c r="G19" s="369"/>
      <c r="H19" s="369"/>
      <c r="I19" s="370"/>
      <c r="J19" s="426">
        <v>1150000</v>
      </c>
      <c r="K19" s="371"/>
      <c r="L19" s="372"/>
      <c r="M19" s="358"/>
      <c r="N19" s="358"/>
      <c r="O19" s="358">
        <f t="shared" si="0"/>
        <v>1150000</v>
      </c>
      <c r="P19" s="385">
        <v>3400000</v>
      </c>
      <c r="Q19" s="358">
        <f t="shared" si="1"/>
        <v>2250000</v>
      </c>
      <c r="R19" s="195"/>
      <c r="S19" s="195"/>
    </row>
    <row r="20" spans="1:19" ht="20.100000000000001" customHeight="1" x14ac:dyDescent="0.25">
      <c r="A20" s="350">
        <v>13</v>
      </c>
      <c r="B20" s="365">
        <v>44212</v>
      </c>
      <c r="C20" s="366" t="s">
        <v>2900</v>
      </c>
      <c r="D20" s="367" t="s">
        <v>3505</v>
      </c>
      <c r="E20" s="354" t="s">
        <v>29</v>
      </c>
      <c r="F20" s="368"/>
      <c r="G20" s="369">
        <v>305</v>
      </c>
      <c r="H20" s="369">
        <f t="shared" ref="H20:H29" si="3">G20*12640</f>
        <v>3855200</v>
      </c>
      <c r="I20" s="370"/>
      <c r="J20" s="426">
        <v>970000</v>
      </c>
      <c r="K20" s="371"/>
      <c r="L20" s="372"/>
      <c r="M20" s="358"/>
      <c r="N20" s="358"/>
      <c r="O20" s="358">
        <f t="shared" si="0"/>
        <v>4825200</v>
      </c>
      <c r="P20" s="385">
        <v>3600000</v>
      </c>
      <c r="Q20" s="358">
        <f t="shared" si="1"/>
        <v>-1225200</v>
      </c>
      <c r="R20" s="195"/>
      <c r="S20" s="195"/>
    </row>
    <row r="21" spans="1:19" ht="20.100000000000001" customHeight="1" x14ac:dyDescent="0.25">
      <c r="A21" s="350">
        <v>14</v>
      </c>
      <c r="B21" s="365">
        <v>44214</v>
      </c>
      <c r="C21" s="366" t="s">
        <v>3485</v>
      </c>
      <c r="D21" s="367" t="s">
        <v>3506</v>
      </c>
      <c r="E21" s="354" t="s">
        <v>3522</v>
      </c>
      <c r="F21" s="368"/>
      <c r="G21" s="369"/>
      <c r="H21" s="369"/>
      <c r="I21" s="370"/>
      <c r="J21" s="426">
        <v>890000</v>
      </c>
      <c r="K21" s="371"/>
      <c r="L21" s="372"/>
      <c r="M21" s="358"/>
      <c r="N21" s="358"/>
      <c r="O21" s="358">
        <f t="shared" si="0"/>
        <v>890000</v>
      </c>
      <c r="P21" s="385">
        <v>3300000</v>
      </c>
      <c r="Q21" s="358">
        <f t="shared" si="1"/>
        <v>2410000</v>
      </c>
      <c r="R21" s="195"/>
      <c r="S21" s="195"/>
    </row>
    <row r="22" spans="1:19" ht="20.100000000000001" customHeight="1" x14ac:dyDescent="0.25">
      <c r="A22" s="350">
        <v>15</v>
      </c>
      <c r="B22" s="365">
        <v>44215</v>
      </c>
      <c r="C22" s="366" t="s">
        <v>1577</v>
      </c>
      <c r="D22" s="367" t="s">
        <v>3507</v>
      </c>
      <c r="E22" s="354" t="s">
        <v>367</v>
      </c>
      <c r="F22" s="368"/>
      <c r="G22" s="369">
        <v>290</v>
      </c>
      <c r="H22" s="369">
        <f t="shared" si="3"/>
        <v>3665600</v>
      </c>
      <c r="I22" s="370"/>
      <c r="J22" s="426">
        <v>1070000</v>
      </c>
      <c r="K22" s="371"/>
      <c r="L22" s="372"/>
      <c r="M22" s="358"/>
      <c r="N22" s="358"/>
      <c r="O22" s="358">
        <f t="shared" si="0"/>
        <v>4735600</v>
      </c>
      <c r="P22" s="385">
        <v>4200000</v>
      </c>
      <c r="Q22" s="358">
        <f t="shared" si="1"/>
        <v>-535600</v>
      </c>
      <c r="R22" s="195"/>
      <c r="S22" s="195"/>
    </row>
    <row r="23" spans="1:19" ht="20.100000000000001" customHeight="1" x14ac:dyDescent="0.25">
      <c r="A23" s="350">
        <v>16</v>
      </c>
      <c r="B23" s="365">
        <v>44215</v>
      </c>
      <c r="C23" s="366" t="s">
        <v>3486</v>
      </c>
      <c r="D23" s="367" t="s">
        <v>3508</v>
      </c>
      <c r="E23" s="354" t="s">
        <v>706</v>
      </c>
      <c r="F23" s="368"/>
      <c r="G23" s="369"/>
      <c r="H23" s="369"/>
      <c r="I23" s="370"/>
      <c r="J23" s="426">
        <v>970000</v>
      </c>
      <c r="K23" s="371"/>
      <c r="L23" s="372"/>
      <c r="M23" s="358"/>
      <c r="N23" s="358"/>
      <c r="O23" s="358">
        <f t="shared" si="0"/>
        <v>970000</v>
      </c>
      <c r="P23" s="385">
        <v>3860000</v>
      </c>
      <c r="Q23" s="358">
        <f t="shared" si="1"/>
        <v>2890000</v>
      </c>
      <c r="R23" s="195"/>
      <c r="S23" s="195"/>
    </row>
    <row r="24" spans="1:19" ht="20.100000000000001" customHeight="1" x14ac:dyDescent="0.25">
      <c r="A24" s="350">
        <v>17</v>
      </c>
      <c r="B24" s="365">
        <v>44217</v>
      </c>
      <c r="C24" s="366" t="s">
        <v>3487</v>
      </c>
      <c r="D24" s="367" t="s">
        <v>3509</v>
      </c>
      <c r="E24" s="354" t="s">
        <v>422</v>
      </c>
      <c r="F24" s="368"/>
      <c r="G24" s="369"/>
      <c r="H24" s="369"/>
      <c r="I24" s="370"/>
      <c r="J24" s="426">
        <v>970000</v>
      </c>
      <c r="K24" s="371"/>
      <c r="L24" s="372"/>
      <c r="M24" s="358"/>
      <c r="N24" s="358"/>
      <c r="O24" s="358">
        <f t="shared" si="0"/>
        <v>970000</v>
      </c>
      <c r="P24" s="385">
        <v>3218182</v>
      </c>
      <c r="Q24" s="358">
        <f t="shared" si="1"/>
        <v>2248182</v>
      </c>
      <c r="R24" s="195"/>
      <c r="S24" s="195"/>
    </row>
    <row r="25" spans="1:19" ht="20.100000000000001" customHeight="1" x14ac:dyDescent="0.25">
      <c r="A25" s="350">
        <v>18</v>
      </c>
      <c r="B25" s="365">
        <v>44235</v>
      </c>
      <c r="C25" s="366" t="s">
        <v>3527</v>
      </c>
      <c r="D25" s="367" t="s">
        <v>3509</v>
      </c>
      <c r="E25" s="354" t="s">
        <v>3528</v>
      </c>
      <c r="F25" s="368"/>
      <c r="G25" s="369"/>
      <c r="H25" s="369"/>
      <c r="I25" s="370"/>
      <c r="J25" s="426">
        <v>300000</v>
      </c>
      <c r="K25" s="371"/>
      <c r="L25" s="372"/>
      <c r="M25" s="358"/>
      <c r="N25" s="358"/>
      <c r="O25" s="358">
        <f t="shared" si="0"/>
        <v>300000</v>
      </c>
      <c r="P25" s="385">
        <v>2018182</v>
      </c>
      <c r="Q25" s="358">
        <f t="shared" si="1"/>
        <v>1718182</v>
      </c>
      <c r="R25" s="195"/>
      <c r="S25" s="195"/>
    </row>
    <row r="26" spans="1:19" ht="20.100000000000001" customHeight="1" x14ac:dyDescent="0.25">
      <c r="A26" s="350">
        <v>19</v>
      </c>
      <c r="B26" s="365">
        <v>44217</v>
      </c>
      <c r="C26" s="366" t="s">
        <v>3488</v>
      </c>
      <c r="D26" s="367" t="s">
        <v>3510</v>
      </c>
      <c r="E26" s="354" t="s">
        <v>3523</v>
      </c>
      <c r="F26" s="368"/>
      <c r="G26" s="369"/>
      <c r="H26" s="369"/>
      <c r="I26" s="370"/>
      <c r="J26" s="426">
        <v>790000</v>
      </c>
      <c r="K26" s="371"/>
      <c r="L26" s="372"/>
      <c r="M26" s="358"/>
      <c r="N26" s="358"/>
      <c r="O26" s="358">
        <f t="shared" si="0"/>
        <v>790000</v>
      </c>
      <c r="P26" s="385">
        <v>3018182</v>
      </c>
      <c r="Q26" s="358">
        <f t="shared" si="1"/>
        <v>2228182</v>
      </c>
      <c r="R26" s="195"/>
      <c r="S26" s="195"/>
    </row>
    <row r="27" spans="1:19" ht="20.100000000000001" customHeight="1" x14ac:dyDescent="0.25">
      <c r="A27" s="350">
        <v>20</v>
      </c>
      <c r="B27" s="365">
        <v>44218</v>
      </c>
      <c r="C27" s="366" t="s">
        <v>3489</v>
      </c>
      <c r="D27" s="367" t="s">
        <v>3511</v>
      </c>
      <c r="E27" s="354" t="s">
        <v>1023</v>
      </c>
      <c r="F27" s="368"/>
      <c r="G27" s="369">
        <v>290</v>
      </c>
      <c r="H27" s="369">
        <f t="shared" si="3"/>
        <v>3665600</v>
      </c>
      <c r="I27" s="370"/>
      <c r="J27" s="426">
        <v>970000</v>
      </c>
      <c r="K27" s="371"/>
      <c r="L27" s="372"/>
      <c r="M27" s="358"/>
      <c r="N27" s="358"/>
      <c r="O27" s="358">
        <f t="shared" si="0"/>
        <v>4635600</v>
      </c>
      <c r="P27" s="385">
        <v>4200000</v>
      </c>
      <c r="Q27" s="358">
        <f t="shared" si="1"/>
        <v>-435600</v>
      </c>
      <c r="R27" s="195"/>
      <c r="S27" s="195"/>
    </row>
    <row r="28" spans="1:19" ht="20.100000000000001" customHeight="1" x14ac:dyDescent="0.25">
      <c r="A28" s="350">
        <v>21</v>
      </c>
      <c r="B28" s="365">
        <v>44219</v>
      </c>
      <c r="C28" s="366" t="s">
        <v>1581</v>
      </c>
      <c r="D28" s="367" t="s">
        <v>3512</v>
      </c>
      <c r="E28" s="354" t="s">
        <v>2117</v>
      </c>
      <c r="F28" s="368"/>
      <c r="G28" s="369"/>
      <c r="H28" s="369"/>
      <c r="I28" s="370"/>
      <c r="J28" s="426">
        <v>1400000</v>
      </c>
      <c r="K28" s="371"/>
      <c r="L28" s="372"/>
      <c r="M28" s="358"/>
      <c r="N28" s="358"/>
      <c r="O28" s="358">
        <f t="shared" si="0"/>
        <v>1400000</v>
      </c>
      <c r="P28" s="385">
        <v>5454545</v>
      </c>
      <c r="Q28" s="358">
        <f t="shared" si="1"/>
        <v>4054545</v>
      </c>
      <c r="R28" s="195"/>
      <c r="S28" s="195"/>
    </row>
    <row r="29" spans="1:19" ht="20.100000000000001" customHeight="1" x14ac:dyDescent="0.25">
      <c r="A29" s="350">
        <v>22</v>
      </c>
      <c r="B29" s="365">
        <v>44221</v>
      </c>
      <c r="C29" s="366" t="s">
        <v>3490</v>
      </c>
      <c r="D29" s="367" t="s">
        <v>3513</v>
      </c>
      <c r="E29" s="354" t="s">
        <v>2589</v>
      </c>
      <c r="F29" s="368"/>
      <c r="G29" s="369">
        <v>345</v>
      </c>
      <c r="H29" s="369">
        <f t="shared" si="3"/>
        <v>4360800</v>
      </c>
      <c r="I29" s="370"/>
      <c r="J29" s="426">
        <v>1150000</v>
      </c>
      <c r="K29" s="371"/>
      <c r="L29" s="372"/>
      <c r="M29" s="358"/>
      <c r="N29" s="358"/>
      <c r="O29" s="358">
        <f t="shared" si="0"/>
        <v>5510800</v>
      </c>
      <c r="P29" s="385">
        <v>3400000</v>
      </c>
      <c r="Q29" s="358">
        <f t="shared" si="1"/>
        <v>-2110800</v>
      </c>
      <c r="R29" s="195"/>
      <c r="S29" s="195"/>
    </row>
    <row r="30" spans="1:19" ht="20.100000000000001" customHeight="1" x14ac:dyDescent="0.25">
      <c r="A30" s="350">
        <v>23</v>
      </c>
      <c r="B30" s="365">
        <v>44221</v>
      </c>
      <c r="C30" s="366" t="s">
        <v>3491</v>
      </c>
      <c r="D30" s="367" t="s">
        <v>3514</v>
      </c>
      <c r="E30" s="354" t="s">
        <v>88</v>
      </c>
      <c r="F30" s="368"/>
      <c r="G30" s="369"/>
      <c r="H30" s="369"/>
      <c r="I30" s="370"/>
      <c r="J30" s="426">
        <v>790000</v>
      </c>
      <c r="K30" s="371"/>
      <c r="L30" s="372"/>
      <c r="M30" s="358"/>
      <c r="N30" s="358"/>
      <c r="O30" s="358">
        <f t="shared" si="0"/>
        <v>790000</v>
      </c>
      <c r="P30" s="385">
        <v>3200000</v>
      </c>
      <c r="Q30" s="358">
        <f t="shared" si="1"/>
        <v>2410000</v>
      </c>
      <c r="R30" s="195"/>
      <c r="S30" s="195"/>
    </row>
    <row r="31" spans="1:19" ht="20.100000000000001" customHeight="1" x14ac:dyDescent="0.25">
      <c r="A31" s="350">
        <v>24</v>
      </c>
      <c r="B31" s="365">
        <v>44223</v>
      </c>
      <c r="C31" s="366" t="s">
        <v>3492</v>
      </c>
      <c r="D31" s="367" t="s">
        <v>3515</v>
      </c>
      <c r="E31" s="354" t="s">
        <v>559</v>
      </c>
      <c r="F31" s="368"/>
      <c r="G31" s="369"/>
      <c r="H31" s="369"/>
      <c r="I31" s="370"/>
      <c r="J31" s="426">
        <v>970000</v>
      </c>
      <c r="K31" s="371"/>
      <c r="L31" s="372"/>
      <c r="M31" s="358"/>
      <c r="N31" s="358"/>
      <c r="O31" s="358">
        <f t="shared" si="0"/>
        <v>970000</v>
      </c>
      <c r="P31" s="385">
        <v>3700000</v>
      </c>
      <c r="Q31" s="358">
        <f t="shared" si="1"/>
        <v>2730000</v>
      </c>
      <c r="R31" s="195"/>
      <c r="S31" s="195"/>
    </row>
    <row r="32" spans="1:19" ht="20.100000000000001" customHeight="1" x14ac:dyDescent="0.25">
      <c r="A32" s="350">
        <v>25</v>
      </c>
      <c r="B32" s="365">
        <v>44223</v>
      </c>
      <c r="C32" s="366" t="s">
        <v>3493</v>
      </c>
      <c r="D32" s="367" t="s">
        <v>3516</v>
      </c>
      <c r="E32" s="354" t="s">
        <v>3524</v>
      </c>
      <c r="F32" s="368"/>
      <c r="G32" s="369">
        <v>300</v>
      </c>
      <c r="H32" s="369">
        <f>G32*13040</f>
        <v>3912000</v>
      </c>
      <c r="I32" s="370"/>
      <c r="J32" s="426">
        <v>970000</v>
      </c>
      <c r="K32" s="371"/>
      <c r="L32" s="372"/>
      <c r="M32" s="358"/>
      <c r="N32" s="358"/>
      <c r="O32" s="358">
        <f t="shared" si="0"/>
        <v>4882000</v>
      </c>
      <c r="P32" s="385">
        <v>3700000</v>
      </c>
      <c r="Q32" s="358">
        <f>P32-O32</f>
        <v>-1182000</v>
      </c>
      <c r="R32" s="195"/>
      <c r="S32" s="195"/>
    </row>
    <row r="33" spans="1:19" ht="20.100000000000001" customHeight="1" x14ac:dyDescent="0.25">
      <c r="A33" s="350">
        <v>26</v>
      </c>
      <c r="B33" s="365">
        <v>44225</v>
      </c>
      <c r="C33" s="366" t="s">
        <v>1585</v>
      </c>
      <c r="D33" s="367" t="s">
        <v>3517</v>
      </c>
      <c r="E33" s="354" t="s">
        <v>3525</v>
      </c>
      <c r="F33" s="368"/>
      <c r="G33" s="369"/>
      <c r="H33" s="369"/>
      <c r="I33" s="370"/>
      <c r="J33" s="426">
        <v>970000</v>
      </c>
      <c r="K33" s="371"/>
      <c r="L33" s="372"/>
      <c r="M33" s="358"/>
      <c r="N33" s="358"/>
      <c r="O33" s="358">
        <f t="shared" si="0"/>
        <v>970000</v>
      </c>
      <c r="P33" s="385">
        <v>4000000</v>
      </c>
      <c r="Q33" s="358">
        <f t="shared" si="1"/>
        <v>3030000</v>
      </c>
      <c r="R33" s="195"/>
      <c r="S33" s="195"/>
    </row>
    <row r="34" spans="1:19" ht="20.100000000000001" customHeight="1" x14ac:dyDescent="0.25">
      <c r="A34" s="350">
        <v>27</v>
      </c>
      <c r="B34" s="365">
        <v>44226</v>
      </c>
      <c r="C34" s="366" t="s">
        <v>1586</v>
      </c>
      <c r="D34" s="367" t="s">
        <v>3518</v>
      </c>
      <c r="E34" s="354" t="s">
        <v>24</v>
      </c>
      <c r="F34" s="368"/>
      <c r="G34" s="369"/>
      <c r="H34" s="369"/>
      <c r="I34" s="370"/>
      <c r="J34" s="426">
        <v>1890000</v>
      </c>
      <c r="K34" s="371"/>
      <c r="L34" s="372"/>
      <c r="M34" s="358"/>
      <c r="N34" s="358"/>
      <c r="O34" s="358">
        <f t="shared" si="0"/>
        <v>1890000</v>
      </c>
      <c r="P34" s="385">
        <v>8118182</v>
      </c>
      <c r="Q34" s="358">
        <f t="shared" si="1"/>
        <v>6228182</v>
      </c>
      <c r="R34" s="195"/>
      <c r="S34" s="195"/>
    </row>
    <row r="35" spans="1:19" ht="20.100000000000001" customHeight="1" x14ac:dyDescent="0.25">
      <c r="A35" s="350">
        <v>28</v>
      </c>
      <c r="B35" s="365">
        <v>44226</v>
      </c>
      <c r="C35" s="366" t="s">
        <v>1586</v>
      </c>
      <c r="D35" s="367" t="s">
        <v>3519</v>
      </c>
      <c r="E35" s="354" t="s">
        <v>24</v>
      </c>
      <c r="F35" s="368"/>
      <c r="G35" s="369">
        <v>295</v>
      </c>
      <c r="H35" s="369">
        <f t="shared" ref="H35" si="4">G35*13040</f>
        <v>3846800</v>
      </c>
      <c r="I35" s="370"/>
      <c r="J35" s="426">
        <v>300000</v>
      </c>
      <c r="K35" s="371"/>
      <c r="L35" s="372"/>
      <c r="M35" s="358"/>
      <c r="N35" s="358"/>
      <c r="O35" s="358">
        <f t="shared" ref="O35" si="5">H35+J35+K35+L35+M35+N35</f>
        <v>4146800</v>
      </c>
      <c r="P35" s="385">
        <v>0</v>
      </c>
      <c r="Q35" s="358">
        <f t="shared" si="1"/>
        <v>-4146800</v>
      </c>
      <c r="R35" s="195"/>
      <c r="S35" s="195"/>
    </row>
    <row r="36" spans="1:19" ht="20.100000000000001" customHeight="1" x14ac:dyDescent="0.25">
      <c r="A36" s="374"/>
      <c r="B36" s="375"/>
      <c r="C36" s="416"/>
      <c r="D36" s="417"/>
      <c r="E36" s="354"/>
      <c r="F36" s="355"/>
      <c r="G36" s="369"/>
      <c r="H36" s="369"/>
      <c r="I36" s="370"/>
      <c r="J36" s="358"/>
      <c r="K36" s="371"/>
      <c r="L36" s="372"/>
      <c r="M36" s="358"/>
      <c r="N36" s="361"/>
      <c r="O36" s="362"/>
      <c r="P36" s="377"/>
      <c r="Q36" s="378"/>
      <c r="R36" s="195"/>
      <c r="S36" s="195"/>
    </row>
    <row r="37" spans="1:19" ht="27" customHeight="1" x14ac:dyDescent="0.25">
      <c r="A37" s="374"/>
      <c r="B37" s="379"/>
      <c r="C37" s="594" t="s">
        <v>1273</v>
      </c>
      <c r="D37" s="595"/>
      <c r="E37" s="596"/>
      <c r="F37" s="380"/>
      <c r="G37" s="381"/>
      <c r="H37" s="369"/>
      <c r="I37" s="403"/>
      <c r="J37" s="381"/>
      <c r="K37" s="371"/>
      <c r="L37" s="372">
        <v>1200000</v>
      </c>
      <c r="M37" s="381"/>
      <c r="N37" s="384"/>
      <c r="O37" s="362">
        <f>H37+J37+K37+L37+M37+N37</f>
        <v>1200000</v>
      </c>
      <c r="P37" s="385"/>
      <c r="Q37" s="378"/>
    </row>
    <row r="38" spans="1:19" ht="27" customHeight="1" x14ac:dyDescent="0.25">
      <c r="A38" s="386"/>
      <c r="B38" s="379"/>
      <c r="C38" s="594" t="s">
        <v>1775</v>
      </c>
      <c r="D38" s="595"/>
      <c r="E38" s="596"/>
      <c r="F38" s="402"/>
      <c r="G38" s="381"/>
      <c r="H38" s="369"/>
      <c r="I38" s="403"/>
      <c r="J38" s="381"/>
      <c r="K38" s="404"/>
      <c r="L38" s="388">
        <v>170000</v>
      </c>
      <c r="M38" s="372"/>
      <c r="N38" s="381"/>
      <c r="O38" s="362">
        <f t="shared" ref="O38:O40" si="6">H38+J38+K38+L38+M38+N38</f>
        <v>170000</v>
      </c>
      <c r="P38" s="389"/>
      <c r="Q38" s="378"/>
    </row>
    <row r="39" spans="1:19" ht="27" customHeight="1" x14ac:dyDescent="0.25">
      <c r="A39" s="386"/>
      <c r="B39" s="379"/>
      <c r="C39" s="594" t="s">
        <v>3526</v>
      </c>
      <c r="D39" s="595"/>
      <c r="E39" s="596"/>
      <c r="F39" s="402"/>
      <c r="G39" s="381"/>
      <c r="H39" s="369"/>
      <c r="I39" s="403"/>
      <c r="J39" s="381"/>
      <c r="K39" s="404"/>
      <c r="L39" s="388">
        <v>1800000</v>
      </c>
      <c r="M39" s="388"/>
      <c r="N39" s="381"/>
      <c r="O39" s="362">
        <f t="shared" si="6"/>
        <v>1800000</v>
      </c>
      <c r="P39" s="389"/>
      <c r="Q39" s="378"/>
    </row>
    <row r="40" spans="1:19" ht="27" customHeight="1" x14ac:dyDescent="0.25">
      <c r="A40" s="386"/>
      <c r="B40" s="379"/>
      <c r="C40" s="428" t="s">
        <v>3566</v>
      </c>
      <c r="D40" s="429"/>
      <c r="E40" s="430"/>
      <c r="F40" s="402"/>
      <c r="G40" s="381"/>
      <c r="H40" s="369"/>
      <c r="I40" s="403"/>
      <c r="J40" s="381"/>
      <c r="K40" s="404"/>
      <c r="L40" s="388">
        <v>500000</v>
      </c>
      <c r="M40" s="388"/>
      <c r="N40" s="381"/>
      <c r="O40" s="362">
        <f t="shared" si="6"/>
        <v>500000</v>
      </c>
      <c r="P40" s="389"/>
      <c r="Q40" s="378"/>
    </row>
    <row r="41" spans="1:19" ht="18" customHeight="1" x14ac:dyDescent="0.25">
      <c r="A41" s="386"/>
      <c r="B41" s="391"/>
      <c r="C41" s="579" t="s">
        <v>1386</v>
      </c>
      <c r="D41" s="580"/>
      <c r="E41" s="581"/>
      <c r="F41" s="392"/>
      <c r="G41" s="381"/>
      <c r="H41" s="382"/>
      <c r="I41" s="383"/>
      <c r="J41" s="384"/>
      <c r="K41" s="394">
        <f>27/26*9000000</f>
        <v>9346153.846153846</v>
      </c>
      <c r="L41" s="394"/>
      <c r="M41" s="384"/>
      <c r="N41" s="384"/>
      <c r="O41" s="362">
        <f>H41+J41+K41+L41+M41+N41</f>
        <v>9346153.846153846</v>
      </c>
      <c r="P41" s="389"/>
      <c r="Q41" s="378"/>
    </row>
    <row r="42" spans="1:19" x14ac:dyDescent="0.25">
      <c r="A42" s="576" t="s">
        <v>19</v>
      </c>
      <c r="B42" s="577"/>
      <c r="C42" s="577"/>
      <c r="D42" s="577"/>
      <c r="E42" s="577"/>
      <c r="F42" s="578"/>
      <c r="G42" s="427">
        <f>SUM(G8:G41)</f>
        <v>2933</v>
      </c>
      <c r="H42" s="396">
        <f t="shared" ref="H42:N42" si="7">SUM(H7:H41)</f>
        <v>37082160</v>
      </c>
      <c r="I42" s="396">
        <f t="shared" si="7"/>
        <v>0</v>
      </c>
      <c r="J42" s="396">
        <f t="shared" si="7"/>
        <v>32040000</v>
      </c>
      <c r="K42" s="396">
        <f t="shared" si="7"/>
        <v>9346153.846153846</v>
      </c>
      <c r="L42" s="396">
        <f>SUM(L7:L41)</f>
        <v>3670000</v>
      </c>
      <c r="M42" s="396">
        <f t="shared" si="7"/>
        <v>0</v>
      </c>
      <c r="N42" s="396">
        <f t="shared" si="7"/>
        <v>0</v>
      </c>
      <c r="O42" s="396">
        <f>SUM(O7:O41)</f>
        <v>82138313.84615384</v>
      </c>
      <c r="P42" s="396">
        <f>SUM(P7:P41)</f>
        <v>120959999</v>
      </c>
      <c r="Q42" s="397">
        <f>P42-O42</f>
        <v>38821685.15384616</v>
      </c>
      <c r="R42" s="195"/>
    </row>
    <row r="43" spans="1:19" x14ac:dyDescent="0.25">
      <c r="P43" s="294"/>
      <c r="Q43" s="295"/>
    </row>
    <row r="44" spans="1:19" x14ac:dyDescent="0.25">
      <c r="B44"/>
      <c r="G44"/>
      <c r="H44" s="294"/>
      <c r="P44" s="296" t="s">
        <v>1225</v>
      </c>
      <c r="Q44" s="304">
        <f>Q42</f>
        <v>38821685.15384616</v>
      </c>
    </row>
    <row r="45" spans="1:19" x14ac:dyDescent="0.25">
      <c r="B45"/>
      <c r="G45"/>
      <c r="Q45" s="294"/>
    </row>
    <row r="46" spans="1:19" x14ac:dyDescent="0.25">
      <c r="B46"/>
      <c r="G46"/>
      <c r="R46" s="195"/>
    </row>
  </sheetData>
  <mergeCells count="9">
    <mergeCell ref="A42:F42"/>
    <mergeCell ref="C39:E39"/>
    <mergeCell ref="C41:E41"/>
    <mergeCell ref="C38:E38"/>
    <mergeCell ref="A1:Q1"/>
    <mergeCell ref="A2:Q2"/>
    <mergeCell ref="A3:Q3"/>
    <mergeCell ref="G5:N5"/>
    <mergeCell ref="C37:E37"/>
  </mergeCells>
  <pageMargins left="0.7" right="0.7" top="0.75" bottom="0.75" header="0.3" footer="0.3"/>
  <pageSetup orientation="portrait" horizontalDpi="0" verticalDpi="0"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S37"/>
  <sheetViews>
    <sheetView topLeftCell="A19" workbookViewId="0">
      <selection activeCell="I30" sqref="I30"/>
    </sheetView>
  </sheetViews>
  <sheetFormatPr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0.28515625" style="292" bestFit="1" customWidth="1"/>
    <col min="9" max="9" width="9.28515625" style="293" bestFit="1" customWidth="1"/>
    <col min="10" max="10" width="9.85546875" style="292" bestFit="1" customWidth="1"/>
    <col min="11" max="11" width="9.5703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3529</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19"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19" x14ac:dyDescent="0.25">
      <c r="A7" s="75"/>
      <c r="B7" s="100"/>
      <c r="C7" s="88"/>
      <c r="D7" s="88"/>
      <c r="E7" s="134"/>
      <c r="F7" s="75"/>
      <c r="G7" s="263"/>
      <c r="H7" s="264"/>
      <c r="I7" s="264"/>
      <c r="J7" s="264"/>
      <c r="K7" s="264"/>
      <c r="L7" s="308"/>
      <c r="M7" s="264"/>
      <c r="N7" s="264"/>
      <c r="O7" s="265"/>
      <c r="P7" s="265"/>
      <c r="Q7" s="264"/>
    </row>
    <row r="8" spans="1:19" ht="20.100000000000001" customHeight="1" x14ac:dyDescent="0.25">
      <c r="A8" s="350">
        <v>1</v>
      </c>
      <c r="B8" s="365">
        <v>44228</v>
      </c>
      <c r="C8" s="366" t="s">
        <v>3530</v>
      </c>
      <c r="D8" s="367" t="s">
        <v>3541</v>
      </c>
      <c r="E8" s="354" t="s">
        <v>24</v>
      </c>
      <c r="F8" s="368"/>
      <c r="G8" s="369"/>
      <c r="H8" s="369"/>
      <c r="I8" s="418"/>
      <c r="J8" s="426">
        <v>1890000</v>
      </c>
      <c r="K8" s="371"/>
      <c r="L8" s="372"/>
      <c r="M8" s="358"/>
      <c r="N8" s="358"/>
      <c r="O8" s="358">
        <f>H8+J8+K8+L8+M8+N8</f>
        <v>1890000</v>
      </c>
      <c r="P8" s="358">
        <v>7572727</v>
      </c>
      <c r="Q8" s="358">
        <f>P8-O8</f>
        <v>5682727</v>
      </c>
      <c r="R8" s="195"/>
      <c r="S8" s="195"/>
    </row>
    <row r="9" spans="1:19" ht="20.100000000000001" customHeight="1" x14ac:dyDescent="0.25">
      <c r="A9" s="350">
        <v>2</v>
      </c>
      <c r="B9" s="365">
        <v>44228</v>
      </c>
      <c r="C9" s="366" t="s">
        <v>3531</v>
      </c>
      <c r="D9" s="415" t="s">
        <v>3542</v>
      </c>
      <c r="E9" s="354" t="s">
        <v>2007</v>
      </c>
      <c r="F9" s="368"/>
      <c r="G9" s="369">
        <v>185</v>
      </c>
      <c r="H9" s="369">
        <f>G9*13040</f>
        <v>2412400</v>
      </c>
      <c r="I9" s="370"/>
      <c r="J9" s="426">
        <v>1150000</v>
      </c>
      <c r="K9" s="371"/>
      <c r="L9" s="372"/>
      <c r="M9" s="358"/>
      <c r="N9" s="358"/>
      <c r="O9" s="358">
        <f t="shared" ref="O9:O24" si="0">H9+J9+K9+L9+M9+N9</f>
        <v>3562400</v>
      </c>
      <c r="P9" s="385">
        <v>3860000</v>
      </c>
      <c r="Q9" s="358">
        <f t="shared" ref="Q9:Q25" si="1">P9-O9</f>
        <v>297600</v>
      </c>
      <c r="R9" s="195"/>
      <c r="S9" s="195"/>
    </row>
    <row r="10" spans="1:19" ht="20.100000000000001" customHeight="1" x14ac:dyDescent="0.25">
      <c r="A10" s="350">
        <v>3</v>
      </c>
      <c r="B10" s="365">
        <v>44228</v>
      </c>
      <c r="C10" s="366" t="s">
        <v>1631</v>
      </c>
      <c r="D10" s="367" t="s">
        <v>3543</v>
      </c>
      <c r="E10" s="354" t="s">
        <v>2007</v>
      </c>
      <c r="F10" s="368"/>
      <c r="G10" s="369"/>
      <c r="H10" s="369"/>
      <c r="I10" s="370"/>
      <c r="J10" s="426">
        <v>1150000</v>
      </c>
      <c r="K10" s="371"/>
      <c r="L10" s="372"/>
      <c r="M10" s="358"/>
      <c r="N10" s="358"/>
      <c r="O10" s="358">
        <f t="shared" si="0"/>
        <v>1150000</v>
      </c>
      <c r="P10" s="385">
        <v>3860000</v>
      </c>
      <c r="Q10" s="358">
        <f t="shared" si="1"/>
        <v>2710000</v>
      </c>
      <c r="R10" s="195"/>
      <c r="S10" s="195"/>
    </row>
    <row r="11" spans="1:19" ht="20.100000000000001" customHeight="1" x14ac:dyDescent="0.25">
      <c r="A11" s="350">
        <v>4</v>
      </c>
      <c r="B11" s="365">
        <v>44230</v>
      </c>
      <c r="C11" s="366" t="s">
        <v>3532</v>
      </c>
      <c r="D11" s="367" t="s">
        <v>3544</v>
      </c>
      <c r="E11" s="354" t="s">
        <v>3557</v>
      </c>
      <c r="F11" s="368"/>
      <c r="G11" s="369">
        <v>280</v>
      </c>
      <c r="H11" s="369">
        <f t="shared" ref="H11:H21" si="2">G11*13040</f>
        <v>3651200</v>
      </c>
      <c r="I11" s="370"/>
      <c r="J11" s="426">
        <v>970000</v>
      </c>
      <c r="K11" s="371"/>
      <c r="L11" s="372"/>
      <c r="M11" s="358"/>
      <c r="N11" s="358"/>
      <c r="O11" s="358">
        <f t="shared" si="0"/>
        <v>4621200</v>
      </c>
      <c r="P11" s="385">
        <v>3345455</v>
      </c>
      <c r="Q11" s="358">
        <f t="shared" si="1"/>
        <v>-1275745</v>
      </c>
      <c r="R11" s="195"/>
      <c r="S11" s="195"/>
    </row>
    <row r="12" spans="1:19" ht="20.100000000000001" customHeight="1" x14ac:dyDescent="0.25">
      <c r="A12" s="350">
        <v>5</v>
      </c>
      <c r="B12" s="365">
        <v>44231</v>
      </c>
      <c r="C12" s="366" t="s">
        <v>3533</v>
      </c>
      <c r="D12" s="367" t="s">
        <v>3545</v>
      </c>
      <c r="E12" s="354" t="s">
        <v>2589</v>
      </c>
      <c r="F12" s="368"/>
      <c r="G12" s="369"/>
      <c r="H12" s="369"/>
      <c r="I12" s="370"/>
      <c r="J12" s="426">
        <v>1150000</v>
      </c>
      <c r="K12" s="371"/>
      <c r="L12" s="372"/>
      <c r="M12" s="358"/>
      <c r="N12" s="358"/>
      <c r="O12" s="358">
        <f t="shared" si="0"/>
        <v>1150000</v>
      </c>
      <c r="P12" s="385">
        <v>3800000</v>
      </c>
      <c r="Q12" s="358">
        <f t="shared" si="1"/>
        <v>2650000</v>
      </c>
      <c r="R12" s="195"/>
      <c r="S12" s="195"/>
    </row>
    <row r="13" spans="1:19" ht="20.100000000000001" customHeight="1" x14ac:dyDescent="0.25">
      <c r="A13" s="350">
        <v>6</v>
      </c>
      <c r="B13" s="365">
        <v>44232</v>
      </c>
      <c r="C13" s="366" t="s">
        <v>3534</v>
      </c>
      <c r="D13" s="367" t="s">
        <v>3546</v>
      </c>
      <c r="E13" s="354" t="s">
        <v>3558</v>
      </c>
      <c r="F13" s="368"/>
      <c r="G13" s="369"/>
      <c r="H13" s="369"/>
      <c r="I13" s="370"/>
      <c r="J13" s="426">
        <v>1400000</v>
      </c>
      <c r="K13" s="371"/>
      <c r="L13" s="372"/>
      <c r="M13" s="358"/>
      <c r="N13" s="358"/>
      <c r="O13" s="358">
        <f t="shared" si="0"/>
        <v>1400000</v>
      </c>
      <c r="P13" s="385">
        <v>6000000</v>
      </c>
      <c r="Q13" s="358">
        <f t="shared" si="1"/>
        <v>4600000</v>
      </c>
      <c r="R13" s="195"/>
      <c r="S13" s="195"/>
    </row>
    <row r="14" spans="1:19" ht="20.100000000000001" customHeight="1" x14ac:dyDescent="0.25">
      <c r="A14" s="350">
        <v>7</v>
      </c>
      <c r="B14" s="365">
        <v>44233</v>
      </c>
      <c r="C14" s="366" t="s">
        <v>922</v>
      </c>
      <c r="D14" s="367" t="s">
        <v>3547</v>
      </c>
      <c r="E14" s="354" t="s">
        <v>24</v>
      </c>
      <c r="F14" s="368"/>
      <c r="G14" s="369">
        <v>230</v>
      </c>
      <c r="H14" s="369">
        <f t="shared" si="2"/>
        <v>2999200</v>
      </c>
      <c r="I14" s="370"/>
      <c r="J14" s="426">
        <f>1890000+100000</f>
        <v>1990000</v>
      </c>
      <c r="K14" s="371"/>
      <c r="L14" s="372"/>
      <c r="M14" s="358"/>
      <c r="N14" s="358"/>
      <c r="O14" s="358">
        <f t="shared" si="0"/>
        <v>4989200</v>
      </c>
      <c r="P14" s="385">
        <v>7209091</v>
      </c>
      <c r="Q14" s="358">
        <f t="shared" si="1"/>
        <v>2219891</v>
      </c>
      <c r="R14" s="195"/>
      <c r="S14" s="195"/>
    </row>
    <row r="15" spans="1:19" ht="20.100000000000001" customHeight="1" x14ac:dyDescent="0.25">
      <c r="A15" s="350">
        <v>8</v>
      </c>
      <c r="B15" s="365">
        <v>44244</v>
      </c>
      <c r="C15" s="366" t="s">
        <v>164</v>
      </c>
      <c r="D15" s="367" t="s">
        <v>1427</v>
      </c>
      <c r="E15" s="354" t="s">
        <v>3559</v>
      </c>
      <c r="F15" s="368"/>
      <c r="G15" s="369">
        <v>240</v>
      </c>
      <c r="H15" s="369">
        <f t="shared" si="2"/>
        <v>3129600</v>
      </c>
      <c r="I15" s="370"/>
      <c r="J15" s="426">
        <v>790000</v>
      </c>
      <c r="K15" s="371"/>
      <c r="L15" s="372"/>
      <c r="M15" s="358"/>
      <c r="N15" s="358"/>
      <c r="O15" s="358">
        <f t="shared" si="0"/>
        <v>3919600</v>
      </c>
      <c r="P15" s="385">
        <v>2718182</v>
      </c>
      <c r="Q15" s="358">
        <f t="shared" si="1"/>
        <v>-1201418</v>
      </c>
      <c r="R15" s="195"/>
      <c r="S15" s="195"/>
    </row>
    <row r="16" spans="1:19" ht="20.100000000000001" customHeight="1" x14ac:dyDescent="0.25">
      <c r="A16" s="350">
        <v>9</v>
      </c>
      <c r="B16" s="365">
        <v>44245</v>
      </c>
      <c r="C16" s="366" t="s">
        <v>3535</v>
      </c>
      <c r="D16" s="367" t="s">
        <v>3548</v>
      </c>
      <c r="E16" s="354" t="s">
        <v>2885</v>
      </c>
      <c r="F16" s="368"/>
      <c r="G16" s="369"/>
      <c r="H16" s="369"/>
      <c r="I16" s="370"/>
      <c r="J16" s="426">
        <v>1190000</v>
      </c>
      <c r="K16" s="371"/>
      <c r="L16" s="372"/>
      <c r="M16" s="358"/>
      <c r="N16" s="358"/>
      <c r="O16" s="358">
        <f t="shared" si="0"/>
        <v>1190000</v>
      </c>
      <c r="P16" s="385">
        <v>3781818</v>
      </c>
      <c r="Q16" s="358">
        <f t="shared" si="1"/>
        <v>2591818</v>
      </c>
      <c r="R16" s="195"/>
      <c r="S16" s="195"/>
    </row>
    <row r="17" spans="1:19" ht="20.100000000000001" customHeight="1" x14ac:dyDescent="0.25">
      <c r="A17" s="350">
        <v>10</v>
      </c>
      <c r="B17" s="365">
        <v>44245</v>
      </c>
      <c r="C17" s="366" t="s">
        <v>167</v>
      </c>
      <c r="D17" s="367" t="s">
        <v>3549</v>
      </c>
      <c r="E17" s="354" t="s">
        <v>636</v>
      </c>
      <c r="F17" s="368"/>
      <c r="G17" s="369"/>
      <c r="H17" s="369"/>
      <c r="I17" s="370"/>
      <c r="J17" s="426">
        <v>1190000</v>
      </c>
      <c r="K17" s="371"/>
      <c r="L17" s="372"/>
      <c r="M17" s="358"/>
      <c r="N17" s="358"/>
      <c r="O17" s="358">
        <f t="shared" si="0"/>
        <v>1190000</v>
      </c>
      <c r="P17" s="385">
        <v>3400000</v>
      </c>
      <c r="Q17" s="358">
        <f t="shared" si="1"/>
        <v>2210000</v>
      </c>
      <c r="R17" s="195"/>
      <c r="S17" s="195"/>
    </row>
    <row r="18" spans="1:19" ht="20.100000000000001" customHeight="1" x14ac:dyDescent="0.25">
      <c r="A18" s="350">
        <v>11</v>
      </c>
      <c r="B18" s="365">
        <v>44246</v>
      </c>
      <c r="C18" s="366" t="s">
        <v>3536</v>
      </c>
      <c r="D18" s="367" t="s">
        <v>3550</v>
      </c>
      <c r="E18" s="354" t="s">
        <v>88</v>
      </c>
      <c r="F18" s="368"/>
      <c r="G18" s="369">
        <v>275</v>
      </c>
      <c r="H18" s="369">
        <f t="shared" si="2"/>
        <v>3586000</v>
      </c>
      <c r="I18" s="370"/>
      <c r="J18" s="426">
        <v>790000</v>
      </c>
      <c r="K18" s="371"/>
      <c r="L18" s="372"/>
      <c r="M18" s="358"/>
      <c r="N18" s="358"/>
      <c r="O18" s="358">
        <f t="shared" si="0"/>
        <v>4376000</v>
      </c>
      <c r="P18" s="385">
        <v>3200000</v>
      </c>
      <c r="Q18" s="358">
        <f t="shared" si="1"/>
        <v>-1176000</v>
      </c>
      <c r="R18" s="195"/>
      <c r="S18" s="195"/>
    </row>
    <row r="19" spans="1:19" ht="20.100000000000001" customHeight="1" x14ac:dyDescent="0.25">
      <c r="A19" s="350">
        <v>12</v>
      </c>
      <c r="B19" s="365">
        <v>44246</v>
      </c>
      <c r="C19" s="366" t="s">
        <v>2319</v>
      </c>
      <c r="D19" s="367" t="s">
        <v>3551</v>
      </c>
      <c r="E19" s="354" t="s">
        <v>88</v>
      </c>
      <c r="F19" s="368"/>
      <c r="G19" s="369"/>
      <c r="H19" s="369"/>
      <c r="I19" s="370"/>
      <c r="J19" s="426">
        <v>790000</v>
      </c>
      <c r="K19" s="371"/>
      <c r="L19" s="372"/>
      <c r="M19" s="358"/>
      <c r="N19" s="358"/>
      <c r="O19" s="358">
        <f t="shared" si="0"/>
        <v>790000</v>
      </c>
      <c r="P19" s="385">
        <v>3200000</v>
      </c>
      <c r="Q19" s="358">
        <f t="shared" si="1"/>
        <v>2410000</v>
      </c>
      <c r="R19" s="195"/>
      <c r="S19" s="195"/>
    </row>
    <row r="20" spans="1:19" ht="20.100000000000001" customHeight="1" x14ac:dyDescent="0.25">
      <c r="A20" s="350">
        <v>13</v>
      </c>
      <c r="B20" s="365">
        <v>44249</v>
      </c>
      <c r="C20" s="366" t="s">
        <v>3537</v>
      </c>
      <c r="D20" s="367" t="s">
        <v>3552</v>
      </c>
      <c r="E20" s="354" t="s">
        <v>21</v>
      </c>
      <c r="F20" s="368"/>
      <c r="G20" s="369"/>
      <c r="H20" s="369"/>
      <c r="I20" s="370"/>
      <c r="J20" s="426">
        <v>3140000</v>
      </c>
      <c r="K20" s="371"/>
      <c r="L20" s="372"/>
      <c r="M20" s="358"/>
      <c r="N20" s="358"/>
      <c r="O20" s="358">
        <f t="shared" si="0"/>
        <v>3140000</v>
      </c>
      <c r="P20" s="385">
        <v>12145455</v>
      </c>
      <c r="Q20" s="358">
        <f t="shared" si="1"/>
        <v>9005455</v>
      </c>
      <c r="R20" s="195"/>
      <c r="S20" s="195"/>
    </row>
    <row r="21" spans="1:19" ht="20.100000000000001" customHeight="1" x14ac:dyDescent="0.25">
      <c r="A21" s="350">
        <v>14</v>
      </c>
      <c r="B21" s="365">
        <v>44249</v>
      </c>
      <c r="C21" s="366" t="s">
        <v>3538</v>
      </c>
      <c r="D21" s="367" t="s">
        <v>3553</v>
      </c>
      <c r="E21" s="354" t="s">
        <v>2885</v>
      </c>
      <c r="F21" s="368"/>
      <c r="G21" s="369">
        <v>335</v>
      </c>
      <c r="H21" s="369">
        <f t="shared" si="2"/>
        <v>4368400</v>
      </c>
      <c r="I21" s="370"/>
      <c r="J21" s="426">
        <v>1190000</v>
      </c>
      <c r="K21" s="371"/>
      <c r="L21" s="372"/>
      <c r="M21" s="358"/>
      <c r="N21" s="358"/>
      <c r="O21" s="358">
        <f t="shared" si="0"/>
        <v>5558400</v>
      </c>
      <c r="P21" s="385">
        <v>3236364</v>
      </c>
      <c r="Q21" s="358">
        <f t="shared" si="1"/>
        <v>-2322036</v>
      </c>
      <c r="R21" s="195"/>
      <c r="S21" s="195"/>
    </row>
    <row r="22" spans="1:19" ht="20.100000000000001" customHeight="1" x14ac:dyDescent="0.25">
      <c r="A22" s="350">
        <v>15</v>
      </c>
      <c r="B22" s="365">
        <v>44250</v>
      </c>
      <c r="C22" s="366" t="s">
        <v>2933</v>
      </c>
      <c r="D22" s="367" t="s">
        <v>1923</v>
      </c>
      <c r="E22" s="354" t="s">
        <v>22</v>
      </c>
      <c r="F22" s="368"/>
      <c r="G22" s="369"/>
      <c r="H22" s="369"/>
      <c r="I22" s="370"/>
      <c r="J22" s="426">
        <v>1750000</v>
      </c>
      <c r="K22" s="371"/>
      <c r="L22" s="372"/>
      <c r="M22" s="358"/>
      <c r="N22" s="358"/>
      <c r="O22" s="358">
        <f t="shared" si="0"/>
        <v>1750000</v>
      </c>
      <c r="P22" s="385">
        <v>4418182</v>
      </c>
      <c r="Q22" s="358">
        <f t="shared" si="1"/>
        <v>2668182</v>
      </c>
      <c r="R22" s="195"/>
      <c r="S22" s="195"/>
    </row>
    <row r="23" spans="1:19" ht="20.100000000000001" customHeight="1" x14ac:dyDescent="0.25">
      <c r="A23" s="350">
        <v>16</v>
      </c>
      <c r="B23" s="365">
        <v>44252</v>
      </c>
      <c r="C23" s="366" t="s">
        <v>3539</v>
      </c>
      <c r="D23" s="367" t="s">
        <v>3554</v>
      </c>
      <c r="E23" s="354" t="s">
        <v>3560</v>
      </c>
      <c r="F23" s="368"/>
      <c r="G23" s="369"/>
      <c r="H23" s="369"/>
      <c r="I23" s="370"/>
      <c r="J23" s="426">
        <v>1000000</v>
      </c>
      <c r="K23" s="371"/>
      <c r="L23" s="372"/>
      <c r="M23" s="358"/>
      <c r="N23" s="358"/>
      <c r="O23" s="358">
        <f t="shared" si="0"/>
        <v>1000000</v>
      </c>
      <c r="P23" s="385">
        <v>6318182</v>
      </c>
      <c r="Q23" s="358">
        <f t="shared" si="1"/>
        <v>5318182</v>
      </c>
      <c r="R23" s="195"/>
      <c r="S23" s="195"/>
    </row>
    <row r="24" spans="1:19" ht="20.100000000000001" customHeight="1" x14ac:dyDescent="0.25">
      <c r="A24" s="350">
        <v>17</v>
      </c>
      <c r="B24" s="365">
        <v>44252</v>
      </c>
      <c r="C24" s="366" t="s">
        <v>3540</v>
      </c>
      <c r="D24" s="367" t="s">
        <v>3555</v>
      </c>
      <c r="E24" s="354" t="s">
        <v>3561</v>
      </c>
      <c r="F24" s="368"/>
      <c r="G24" s="369">
        <v>315</v>
      </c>
      <c r="H24" s="369">
        <f>G24*13840</f>
        <v>4359600</v>
      </c>
      <c r="I24" s="370"/>
      <c r="J24" s="426">
        <v>970000</v>
      </c>
      <c r="K24" s="371"/>
      <c r="L24" s="372"/>
      <c r="M24" s="358"/>
      <c r="N24" s="358"/>
      <c r="O24" s="358">
        <f t="shared" si="0"/>
        <v>5329600</v>
      </c>
      <c r="P24" s="385">
        <v>4500000</v>
      </c>
      <c r="Q24" s="358">
        <f t="shared" si="1"/>
        <v>-829600</v>
      </c>
      <c r="R24" s="195"/>
      <c r="S24" s="195"/>
    </row>
    <row r="25" spans="1:19" ht="20.100000000000001" customHeight="1" x14ac:dyDescent="0.25">
      <c r="A25" s="350">
        <v>18</v>
      </c>
      <c r="B25" s="365">
        <v>44253</v>
      </c>
      <c r="C25" s="366" t="s">
        <v>2936</v>
      </c>
      <c r="D25" s="367" t="s">
        <v>3556</v>
      </c>
      <c r="E25" s="354" t="s">
        <v>2885</v>
      </c>
      <c r="F25" s="368"/>
      <c r="G25" s="369"/>
      <c r="H25" s="369"/>
      <c r="I25" s="370"/>
      <c r="J25" s="426">
        <v>790000</v>
      </c>
      <c r="K25" s="371"/>
      <c r="L25" s="372"/>
      <c r="M25" s="358"/>
      <c r="N25" s="358"/>
      <c r="O25" s="358">
        <f>H25+J25+K25+L25+M25+N25</f>
        <v>790000</v>
      </c>
      <c r="P25" s="385">
        <v>2872727</v>
      </c>
      <c r="Q25" s="358">
        <f t="shared" si="1"/>
        <v>2082727</v>
      </c>
      <c r="R25" s="195"/>
      <c r="S25" s="195"/>
    </row>
    <row r="26" spans="1:19" ht="20.100000000000001" customHeight="1" x14ac:dyDescent="0.25">
      <c r="A26" s="374"/>
      <c r="B26" s="375"/>
      <c r="C26" s="416"/>
      <c r="D26" s="417"/>
      <c r="E26" s="354"/>
      <c r="F26" s="355"/>
      <c r="G26" s="369"/>
      <c r="H26" s="369"/>
      <c r="I26" s="370"/>
      <c r="J26" s="358"/>
      <c r="K26" s="371"/>
      <c r="L26" s="372"/>
      <c r="M26" s="358"/>
      <c r="N26" s="361"/>
      <c r="O26" s="362"/>
      <c r="P26" s="377"/>
      <c r="Q26" s="378"/>
      <c r="R26" s="195"/>
      <c r="S26" s="195"/>
    </row>
    <row r="27" spans="1:19" ht="27" customHeight="1" x14ac:dyDescent="0.25">
      <c r="A27" s="374"/>
      <c r="B27" s="379"/>
      <c r="C27" s="594" t="s">
        <v>1273</v>
      </c>
      <c r="D27" s="595"/>
      <c r="E27" s="596"/>
      <c r="F27" s="380"/>
      <c r="G27" s="381"/>
      <c r="H27" s="369"/>
      <c r="I27" s="403"/>
      <c r="J27" s="381"/>
      <c r="K27" s="371"/>
      <c r="L27" s="372">
        <v>1200000</v>
      </c>
      <c r="M27" s="381"/>
      <c r="N27" s="384"/>
      <c r="O27" s="362">
        <f>H27+J27+K27+L27+M27+N27</f>
        <v>1200000</v>
      </c>
      <c r="P27" s="385"/>
      <c r="Q27" s="378"/>
    </row>
    <row r="28" spans="1:19" ht="27" customHeight="1" x14ac:dyDescent="0.25">
      <c r="A28" s="386"/>
      <c r="B28" s="379"/>
      <c r="C28" s="594" t="s">
        <v>3562</v>
      </c>
      <c r="D28" s="595"/>
      <c r="E28" s="596"/>
      <c r="F28" s="402"/>
      <c r="G28" s="381"/>
      <c r="H28" s="369"/>
      <c r="I28" s="403"/>
      <c r="J28" s="381"/>
      <c r="K28" s="404"/>
      <c r="L28" s="388">
        <v>200000</v>
      </c>
      <c r="M28" s="372"/>
      <c r="N28" s="381"/>
      <c r="O28" s="362">
        <f t="shared" ref="O28:O32" si="3">H28+J28+K28+L28+M28+N28</f>
        <v>200000</v>
      </c>
      <c r="P28" s="389"/>
      <c r="Q28" s="378"/>
    </row>
    <row r="29" spans="1:19" ht="27" customHeight="1" x14ac:dyDescent="0.25">
      <c r="A29" s="386"/>
      <c r="B29" s="379"/>
      <c r="C29" s="594" t="s">
        <v>3564</v>
      </c>
      <c r="D29" s="595"/>
      <c r="E29" s="596"/>
      <c r="F29" s="402"/>
      <c r="G29" s="381"/>
      <c r="H29" s="369"/>
      <c r="I29" s="403"/>
      <c r="J29" s="381"/>
      <c r="K29" s="404"/>
      <c r="L29" s="388">
        <v>1510000</v>
      </c>
      <c r="M29" s="388"/>
      <c r="N29" s="381"/>
      <c r="O29" s="362">
        <f t="shared" si="3"/>
        <v>1510000</v>
      </c>
      <c r="P29" s="389"/>
      <c r="Q29" s="378"/>
    </row>
    <row r="30" spans="1:19" ht="27" customHeight="1" x14ac:dyDescent="0.25">
      <c r="A30" s="386"/>
      <c r="B30" s="379"/>
      <c r="C30" s="594" t="s">
        <v>3563</v>
      </c>
      <c r="D30" s="595"/>
      <c r="E30" s="596"/>
      <c r="F30" s="402"/>
      <c r="G30" s="381"/>
      <c r="H30" s="369"/>
      <c r="I30" s="403"/>
      <c r="J30" s="381"/>
      <c r="K30" s="404"/>
      <c r="L30" s="388">
        <v>170000</v>
      </c>
      <c r="M30" s="388"/>
      <c r="N30" s="381"/>
      <c r="O30" s="362">
        <f t="shared" si="3"/>
        <v>170000</v>
      </c>
      <c r="P30" s="389"/>
      <c r="Q30" s="378"/>
    </row>
    <row r="31" spans="1:19" ht="27" customHeight="1" x14ac:dyDescent="0.25">
      <c r="A31" s="386"/>
      <c r="B31" s="379"/>
      <c r="C31" s="594" t="s">
        <v>3565</v>
      </c>
      <c r="D31" s="595"/>
      <c r="E31" s="596"/>
      <c r="F31" s="402"/>
      <c r="G31" s="381"/>
      <c r="H31" s="369"/>
      <c r="I31" s="403"/>
      <c r="J31" s="381"/>
      <c r="K31" s="404"/>
      <c r="L31" s="388">
        <v>750000</v>
      </c>
      <c r="M31" s="388"/>
      <c r="N31" s="381"/>
      <c r="O31" s="362">
        <f t="shared" si="3"/>
        <v>750000</v>
      </c>
      <c r="P31" s="389"/>
      <c r="Q31" s="378"/>
    </row>
    <row r="32" spans="1:19" ht="18" customHeight="1" x14ac:dyDescent="0.25">
      <c r="A32" s="386"/>
      <c r="B32" s="391"/>
      <c r="C32" s="579" t="s">
        <v>1386</v>
      </c>
      <c r="D32" s="580"/>
      <c r="E32" s="581"/>
      <c r="F32" s="392"/>
      <c r="G32" s="381"/>
      <c r="H32" s="382"/>
      <c r="I32" s="383"/>
      <c r="J32" s="384"/>
      <c r="K32" s="394">
        <f>19/26*9000000</f>
        <v>6576923.076923077</v>
      </c>
      <c r="L32" s="394"/>
      <c r="M32" s="384"/>
      <c r="N32" s="384"/>
      <c r="O32" s="362">
        <f t="shared" si="3"/>
        <v>6576923.076923077</v>
      </c>
      <c r="P32" s="389"/>
      <c r="Q32" s="378"/>
    </row>
    <row r="33" spans="1:18" x14ac:dyDescent="0.25">
      <c r="A33" s="576" t="s">
        <v>19</v>
      </c>
      <c r="B33" s="577"/>
      <c r="C33" s="577"/>
      <c r="D33" s="577"/>
      <c r="E33" s="577"/>
      <c r="F33" s="578"/>
      <c r="G33" s="427">
        <f>SUM(G8:G32)</f>
        <v>1860</v>
      </c>
      <c r="H33" s="396">
        <f t="shared" ref="H33:P33" si="4">SUM(H7:H32)</f>
        <v>24506400</v>
      </c>
      <c r="I33" s="396">
        <f t="shared" si="4"/>
        <v>0</v>
      </c>
      <c r="J33" s="396">
        <f>SUM(J7:J32)</f>
        <v>23290000</v>
      </c>
      <c r="K33" s="396">
        <f t="shared" si="4"/>
        <v>6576923.076923077</v>
      </c>
      <c r="L33" s="396">
        <f>SUM(L7:L32)</f>
        <v>3830000</v>
      </c>
      <c r="M33" s="396">
        <f t="shared" si="4"/>
        <v>0</v>
      </c>
      <c r="N33" s="396">
        <f t="shared" si="4"/>
        <v>0</v>
      </c>
      <c r="O33" s="396">
        <f>SUM(O7:O32)</f>
        <v>58203323.07692308</v>
      </c>
      <c r="P33" s="396">
        <f t="shared" si="4"/>
        <v>85438183</v>
      </c>
      <c r="Q33" s="397">
        <f>P33-O33</f>
        <v>27234859.92307692</v>
      </c>
      <c r="R33" s="195"/>
    </row>
    <row r="34" spans="1:18" x14ac:dyDescent="0.25">
      <c r="P34" s="294"/>
      <c r="Q34" s="295"/>
    </row>
    <row r="35" spans="1:18" x14ac:dyDescent="0.25">
      <c r="B35"/>
      <c r="G35"/>
      <c r="H35" s="294"/>
      <c r="P35" s="296" t="s">
        <v>1225</v>
      </c>
      <c r="Q35" s="304">
        <f>'01.2021'!Q44+'02.2021'!Q33</f>
        <v>66056545.07692308</v>
      </c>
    </row>
    <row r="36" spans="1:18" x14ac:dyDescent="0.25">
      <c r="B36"/>
      <c r="G36"/>
      <c r="Q36" s="294"/>
    </row>
    <row r="37" spans="1:18" x14ac:dyDescent="0.25">
      <c r="B37"/>
      <c r="G37"/>
      <c r="R37" s="195"/>
    </row>
  </sheetData>
  <mergeCells count="11">
    <mergeCell ref="C28:E28"/>
    <mergeCell ref="A1:Q1"/>
    <mergeCell ref="A2:Q2"/>
    <mergeCell ref="A3:Q3"/>
    <mergeCell ref="G5:N5"/>
    <mergeCell ref="C27:E27"/>
    <mergeCell ref="C30:E30"/>
    <mergeCell ref="C32:E32"/>
    <mergeCell ref="A33:F33"/>
    <mergeCell ref="C29:E29"/>
    <mergeCell ref="C31:E31"/>
  </mergeCells>
  <pageMargins left="0.7" right="0.7" top="0.75" bottom="0.75" header="0.3" footer="0.3"/>
  <pageSetup orientation="portrait" horizontalDpi="0" verticalDpi="0"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S48"/>
  <sheetViews>
    <sheetView topLeftCell="A25" workbookViewId="0">
      <selection activeCell="Q46" sqref="Q46"/>
    </sheetView>
  </sheetViews>
  <sheetFormatPr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0.28515625" style="292" bestFit="1" customWidth="1"/>
    <col min="9" max="9" width="9.28515625" style="293" bestFit="1" customWidth="1"/>
    <col min="10" max="10" width="9.85546875" style="292" bestFit="1" customWidth="1"/>
    <col min="11" max="11" width="9.5703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3567</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19"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19" x14ac:dyDescent="0.25">
      <c r="A7" s="75"/>
      <c r="B7" s="100"/>
      <c r="C7" s="88"/>
      <c r="D7" s="88"/>
      <c r="E7" s="134"/>
      <c r="F7" s="75"/>
      <c r="G7" s="263"/>
      <c r="H7" s="264"/>
      <c r="I7" s="264"/>
      <c r="J7" s="264"/>
      <c r="K7" s="264"/>
      <c r="L7" s="308"/>
      <c r="M7" s="264"/>
      <c r="N7" s="264"/>
      <c r="O7" s="265"/>
      <c r="P7" s="265"/>
      <c r="Q7" s="264"/>
    </row>
    <row r="8" spans="1:19" ht="20.100000000000001" customHeight="1" x14ac:dyDescent="0.25">
      <c r="A8" s="350">
        <v>1</v>
      </c>
      <c r="B8" s="365">
        <v>44254</v>
      </c>
      <c r="C8" s="366" t="s">
        <v>967</v>
      </c>
      <c r="D8" s="367" t="s">
        <v>3589</v>
      </c>
      <c r="E8" s="354" t="s">
        <v>3411</v>
      </c>
      <c r="F8" s="368"/>
      <c r="G8" s="369">
        <v>290</v>
      </c>
      <c r="H8" s="369">
        <f>G8*13840</f>
        <v>4013600</v>
      </c>
      <c r="I8" s="418"/>
      <c r="J8" s="426">
        <v>970000</v>
      </c>
      <c r="K8" s="371"/>
      <c r="L8" s="372"/>
      <c r="M8" s="358"/>
      <c r="N8" s="358"/>
      <c r="O8" s="358">
        <f>H8+J8+K8+L8+M8+N8</f>
        <v>4983600</v>
      </c>
      <c r="P8" s="358">
        <v>4090909</v>
      </c>
      <c r="Q8" s="358">
        <f>P8-O8</f>
        <v>-892691</v>
      </c>
      <c r="R8" s="195"/>
      <c r="S8" s="195"/>
    </row>
    <row r="9" spans="1:19" ht="20.100000000000001" customHeight="1" x14ac:dyDescent="0.25">
      <c r="A9" s="350">
        <v>2</v>
      </c>
      <c r="B9" s="365">
        <v>44256</v>
      </c>
      <c r="C9" s="366" t="s">
        <v>3568</v>
      </c>
      <c r="D9" s="415" t="s">
        <v>3590</v>
      </c>
      <c r="E9" s="354" t="s">
        <v>24</v>
      </c>
      <c r="F9" s="368"/>
      <c r="G9" s="369"/>
      <c r="H9" s="369"/>
      <c r="I9" s="370"/>
      <c r="J9" s="426">
        <v>1890000</v>
      </c>
      <c r="K9" s="371"/>
      <c r="L9" s="372"/>
      <c r="M9" s="358"/>
      <c r="N9" s="358"/>
      <c r="O9" s="358">
        <f t="shared" ref="O9:O37" si="0">H9+J9+K9+L9+M9+N9</f>
        <v>1890000</v>
      </c>
      <c r="P9" s="385">
        <v>8118182</v>
      </c>
      <c r="Q9" s="358">
        <f t="shared" ref="Q9:Q37" si="1">P9-O9</f>
        <v>6228182</v>
      </c>
      <c r="R9" s="195"/>
      <c r="S9" s="195"/>
    </row>
    <row r="10" spans="1:19" ht="20.100000000000001" customHeight="1" x14ac:dyDescent="0.25">
      <c r="A10" s="350">
        <v>3</v>
      </c>
      <c r="B10" s="365">
        <v>44256</v>
      </c>
      <c r="C10" s="366" t="s">
        <v>3568</v>
      </c>
      <c r="D10" s="367" t="s">
        <v>3591</v>
      </c>
      <c r="E10" s="354" t="s">
        <v>24</v>
      </c>
      <c r="F10" s="368"/>
      <c r="G10" s="369"/>
      <c r="H10" s="369"/>
      <c r="I10" s="370"/>
      <c r="J10" s="426">
        <v>300000</v>
      </c>
      <c r="K10" s="371"/>
      <c r="L10" s="372"/>
      <c r="M10" s="358"/>
      <c r="N10" s="358"/>
      <c r="O10" s="358">
        <f t="shared" si="0"/>
        <v>300000</v>
      </c>
      <c r="P10" s="385">
        <v>0</v>
      </c>
      <c r="Q10" s="358">
        <f t="shared" si="1"/>
        <v>-300000</v>
      </c>
      <c r="R10" s="195"/>
      <c r="S10" s="195"/>
    </row>
    <row r="11" spans="1:19" ht="20.100000000000001" customHeight="1" x14ac:dyDescent="0.25">
      <c r="A11" s="350">
        <v>4</v>
      </c>
      <c r="B11" s="365">
        <v>44257</v>
      </c>
      <c r="C11" s="366" t="s">
        <v>3569</v>
      </c>
      <c r="D11" s="367" t="s">
        <v>3592</v>
      </c>
      <c r="E11" s="354" t="s">
        <v>3614</v>
      </c>
      <c r="F11" s="368"/>
      <c r="G11" s="369">
        <v>260</v>
      </c>
      <c r="H11" s="369">
        <f t="shared" ref="H11:H18" si="2">G11*13840</f>
        <v>3598400</v>
      </c>
      <c r="I11" s="370"/>
      <c r="J11" s="426">
        <v>1150000</v>
      </c>
      <c r="K11" s="371"/>
      <c r="L11" s="372"/>
      <c r="M11" s="358"/>
      <c r="N11" s="358"/>
      <c r="O11" s="358">
        <f t="shared" si="0"/>
        <v>4748400</v>
      </c>
      <c r="P11" s="385">
        <v>3854545</v>
      </c>
      <c r="Q11" s="358">
        <f t="shared" si="1"/>
        <v>-893855</v>
      </c>
      <c r="R11" s="195"/>
      <c r="S11" s="195"/>
    </row>
    <row r="12" spans="1:19" ht="23.25" customHeight="1" x14ac:dyDescent="0.25">
      <c r="A12" s="350">
        <v>5</v>
      </c>
      <c r="B12" s="365">
        <v>44258</v>
      </c>
      <c r="C12" s="366" t="s">
        <v>3570</v>
      </c>
      <c r="D12" s="367" t="s">
        <v>3593</v>
      </c>
      <c r="E12" s="354" t="s">
        <v>3615</v>
      </c>
      <c r="F12" s="368"/>
      <c r="G12" s="369"/>
      <c r="H12" s="369"/>
      <c r="I12" s="370"/>
      <c r="J12" s="426">
        <v>1350000</v>
      </c>
      <c r="K12" s="371"/>
      <c r="L12" s="372"/>
      <c r="M12" s="358"/>
      <c r="N12" s="358"/>
      <c r="O12" s="358">
        <f t="shared" si="0"/>
        <v>1350000</v>
      </c>
      <c r="P12" s="385">
        <v>4418182</v>
      </c>
      <c r="Q12" s="358">
        <f t="shared" si="1"/>
        <v>3068182</v>
      </c>
      <c r="R12" s="195"/>
      <c r="S12" s="195"/>
    </row>
    <row r="13" spans="1:19" ht="20.100000000000001" customHeight="1" x14ac:dyDescent="0.25">
      <c r="A13" s="350">
        <v>6</v>
      </c>
      <c r="B13" s="365">
        <v>44259</v>
      </c>
      <c r="C13" s="366" t="s">
        <v>3571</v>
      </c>
      <c r="D13" s="367" t="s">
        <v>3594</v>
      </c>
      <c r="E13" s="354" t="s">
        <v>3616</v>
      </c>
      <c r="F13" s="368"/>
      <c r="G13" s="369"/>
      <c r="H13" s="369"/>
      <c r="I13" s="370"/>
      <c r="J13" s="426">
        <v>1250000</v>
      </c>
      <c r="K13" s="371"/>
      <c r="L13" s="372"/>
      <c r="M13" s="358"/>
      <c r="N13" s="358"/>
      <c r="O13" s="358">
        <f t="shared" si="0"/>
        <v>1250000</v>
      </c>
      <c r="P13" s="385">
        <v>4054545</v>
      </c>
      <c r="Q13" s="358">
        <f t="shared" si="1"/>
        <v>2804545</v>
      </c>
      <c r="R13" s="195"/>
      <c r="S13" s="195"/>
    </row>
    <row r="14" spans="1:19" ht="20.100000000000001" customHeight="1" x14ac:dyDescent="0.25">
      <c r="A14" s="350">
        <v>7</v>
      </c>
      <c r="B14" s="365">
        <v>44260</v>
      </c>
      <c r="C14" s="366" t="s">
        <v>3572</v>
      </c>
      <c r="D14" s="367" t="s">
        <v>3595</v>
      </c>
      <c r="E14" s="354" t="s">
        <v>88</v>
      </c>
      <c r="F14" s="368"/>
      <c r="G14" s="369">
        <v>280</v>
      </c>
      <c r="H14" s="369">
        <f t="shared" si="2"/>
        <v>3875200</v>
      </c>
      <c r="I14" s="370"/>
      <c r="J14" s="426">
        <v>790000</v>
      </c>
      <c r="K14" s="371"/>
      <c r="L14" s="372"/>
      <c r="M14" s="358"/>
      <c r="N14" s="358"/>
      <c r="O14" s="358">
        <f t="shared" si="0"/>
        <v>4665200</v>
      </c>
      <c r="P14" s="385">
        <v>3200000</v>
      </c>
      <c r="Q14" s="358">
        <f t="shared" si="1"/>
        <v>-1465200</v>
      </c>
      <c r="R14" s="195"/>
      <c r="S14" s="195"/>
    </row>
    <row r="15" spans="1:19" ht="20.100000000000001" customHeight="1" x14ac:dyDescent="0.25">
      <c r="A15" s="350">
        <v>8</v>
      </c>
      <c r="B15" s="365">
        <v>44263</v>
      </c>
      <c r="C15" s="366" t="s">
        <v>3573</v>
      </c>
      <c r="D15" s="367" t="s">
        <v>3596</v>
      </c>
      <c r="E15" s="354" t="s">
        <v>24</v>
      </c>
      <c r="F15" s="368"/>
      <c r="G15" s="369"/>
      <c r="H15" s="369"/>
      <c r="I15" s="370"/>
      <c r="J15" s="426">
        <v>1890000</v>
      </c>
      <c r="K15" s="371"/>
      <c r="L15" s="372"/>
      <c r="M15" s="358"/>
      <c r="N15" s="358"/>
      <c r="O15" s="358">
        <f t="shared" si="0"/>
        <v>1890000</v>
      </c>
      <c r="P15" s="385">
        <v>8118182</v>
      </c>
      <c r="Q15" s="358">
        <f t="shared" si="1"/>
        <v>6228182</v>
      </c>
      <c r="R15" s="195"/>
      <c r="S15" s="195"/>
    </row>
    <row r="16" spans="1:19" ht="20.100000000000001" customHeight="1" x14ac:dyDescent="0.25">
      <c r="A16" s="350">
        <v>9</v>
      </c>
      <c r="B16" s="365">
        <v>44263</v>
      </c>
      <c r="C16" s="366" t="s">
        <v>3573</v>
      </c>
      <c r="D16" s="367" t="s">
        <v>3597</v>
      </c>
      <c r="E16" s="354" t="s">
        <v>24</v>
      </c>
      <c r="F16" s="368"/>
      <c r="G16" s="369"/>
      <c r="H16" s="369"/>
      <c r="I16" s="370"/>
      <c r="J16" s="426">
        <v>300000</v>
      </c>
      <c r="K16" s="371"/>
      <c r="L16" s="372"/>
      <c r="M16" s="358"/>
      <c r="N16" s="358"/>
      <c r="O16" s="358">
        <f t="shared" si="0"/>
        <v>300000</v>
      </c>
      <c r="P16" s="385">
        <v>0</v>
      </c>
      <c r="Q16" s="358">
        <f t="shared" si="1"/>
        <v>-300000</v>
      </c>
      <c r="R16" s="195"/>
      <c r="S16" s="195"/>
    </row>
    <row r="17" spans="1:19" ht="20.100000000000001" customHeight="1" x14ac:dyDescent="0.25">
      <c r="A17" s="350">
        <v>10</v>
      </c>
      <c r="B17" s="365">
        <v>44264</v>
      </c>
      <c r="C17" s="366" t="s">
        <v>2968</v>
      </c>
      <c r="D17" s="367" t="s">
        <v>3598</v>
      </c>
      <c r="E17" s="354" t="s">
        <v>286</v>
      </c>
      <c r="F17" s="368"/>
      <c r="G17" s="369"/>
      <c r="H17" s="369"/>
      <c r="I17" s="370"/>
      <c r="J17" s="426">
        <v>1150000</v>
      </c>
      <c r="K17" s="371"/>
      <c r="L17" s="372"/>
      <c r="M17" s="358"/>
      <c r="N17" s="358"/>
      <c r="O17" s="358">
        <f t="shared" si="0"/>
        <v>1150000</v>
      </c>
      <c r="P17" s="385">
        <v>3745455</v>
      </c>
      <c r="Q17" s="358">
        <f t="shared" si="1"/>
        <v>2595455</v>
      </c>
      <c r="R17" s="195"/>
      <c r="S17" s="195"/>
    </row>
    <row r="18" spans="1:19" ht="20.100000000000001" customHeight="1" x14ac:dyDescent="0.25">
      <c r="A18" s="350">
        <v>11</v>
      </c>
      <c r="B18" s="365">
        <v>44265</v>
      </c>
      <c r="C18" s="366" t="s">
        <v>3574</v>
      </c>
      <c r="D18" s="367" t="s">
        <v>3599</v>
      </c>
      <c r="E18" s="354" t="s">
        <v>706</v>
      </c>
      <c r="F18" s="368"/>
      <c r="G18" s="369">
        <v>260</v>
      </c>
      <c r="H18" s="369">
        <f t="shared" si="2"/>
        <v>3598400</v>
      </c>
      <c r="I18" s="370"/>
      <c r="J18" s="426">
        <v>970000</v>
      </c>
      <c r="K18" s="371"/>
      <c r="L18" s="372"/>
      <c r="M18" s="358"/>
      <c r="N18" s="358"/>
      <c r="O18" s="358">
        <f t="shared" si="0"/>
        <v>4568400</v>
      </c>
      <c r="P18" s="385">
        <v>3560000</v>
      </c>
      <c r="Q18" s="358">
        <f t="shared" si="1"/>
        <v>-1008400</v>
      </c>
      <c r="R18" s="195"/>
      <c r="S18" s="195"/>
    </row>
    <row r="19" spans="1:19" ht="20.100000000000001" customHeight="1" x14ac:dyDescent="0.25">
      <c r="A19" s="350">
        <v>12</v>
      </c>
      <c r="B19" s="365">
        <v>44266</v>
      </c>
      <c r="C19" s="366" t="s">
        <v>3575</v>
      </c>
      <c r="D19" s="367" t="s">
        <v>3599</v>
      </c>
      <c r="E19" s="354" t="s">
        <v>1381</v>
      </c>
      <c r="F19" s="368"/>
      <c r="G19" s="369"/>
      <c r="H19" s="369"/>
      <c r="I19" s="370"/>
      <c r="J19" s="426">
        <v>300000</v>
      </c>
      <c r="K19" s="371"/>
      <c r="L19" s="372"/>
      <c r="M19" s="358"/>
      <c r="N19" s="358"/>
      <c r="O19" s="358">
        <f t="shared" si="0"/>
        <v>300000</v>
      </c>
      <c r="P19" s="385">
        <v>2000000</v>
      </c>
      <c r="Q19" s="358">
        <f t="shared" si="1"/>
        <v>1700000</v>
      </c>
      <c r="R19" s="195"/>
      <c r="S19" s="195"/>
    </row>
    <row r="20" spans="1:19" ht="20.100000000000001" customHeight="1" x14ac:dyDescent="0.25">
      <c r="A20" s="350">
        <v>13</v>
      </c>
      <c r="B20" s="365">
        <v>44266</v>
      </c>
      <c r="C20" s="366" t="s">
        <v>3576</v>
      </c>
      <c r="D20" s="367" t="s">
        <v>3600</v>
      </c>
      <c r="E20" s="354" t="s">
        <v>88</v>
      </c>
      <c r="F20" s="368"/>
      <c r="G20" s="369">
        <v>220</v>
      </c>
      <c r="H20" s="369">
        <f>G20*14400</f>
        <v>3168000</v>
      </c>
      <c r="I20" s="370"/>
      <c r="J20" s="426">
        <v>790000</v>
      </c>
      <c r="K20" s="371"/>
      <c r="L20" s="372"/>
      <c r="M20" s="358"/>
      <c r="N20" s="358"/>
      <c r="O20" s="358">
        <f t="shared" si="0"/>
        <v>3958000</v>
      </c>
      <c r="P20" s="385">
        <v>3400000</v>
      </c>
      <c r="Q20" s="358">
        <f t="shared" si="1"/>
        <v>-558000</v>
      </c>
      <c r="R20" s="195"/>
      <c r="S20" s="195"/>
    </row>
    <row r="21" spans="1:19" ht="20.100000000000001" customHeight="1" x14ac:dyDescent="0.25">
      <c r="A21" s="350">
        <v>14</v>
      </c>
      <c r="B21" s="365">
        <v>44266</v>
      </c>
      <c r="C21" s="366" t="s">
        <v>2347</v>
      </c>
      <c r="D21" s="367" t="s">
        <v>3601</v>
      </c>
      <c r="E21" s="354" t="s">
        <v>21</v>
      </c>
      <c r="F21" s="368"/>
      <c r="G21" s="369"/>
      <c r="H21" s="369"/>
      <c r="I21" s="370"/>
      <c r="J21" s="426">
        <v>2740000</v>
      </c>
      <c r="K21" s="371"/>
      <c r="L21" s="372"/>
      <c r="M21" s="358"/>
      <c r="N21" s="358"/>
      <c r="O21" s="358">
        <f t="shared" si="0"/>
        <v>2740000</v>
      </c>
      <c r="P21" s="385">
        <v>11363636</v>
      </c>
      <c r="Q21" s="358">
        <f t="shared" si="1"/>
        <v>8623636</v>
      </c>
      <c r="R21" s="195"/>
      <c r="S21" s="195"/>
    </row>
    <row r="22" spans="1:19" ht="20.100000000000001" customHeight="1" x14ac:dyDescent="0.25">
      <c r="A22" s="350">
        <v>15</v>
      </c>
      <c r="B22" s="365">
        <v>44270</v>
      </c>
      <c r="C22" s="366" t="s">
        <v>3577</v>
      </c>
      <c r="D22" s="367" t="s">
        <v>3602</v>
      </c>
      <c r="E22" s="354" t="s">
        <v>563</v>
      </c>
      <c r="F22" s="368"/>
      <c r="G22" s="369">
        <v>330</v>
      </c>
      <c r="H22" s="369">
        <f t="shared" ref="H22:H33" si="3">G22*14400</f>
        <v>4752000</v>
      </c>
      <c r="I22" s="370"/>
      <c r="J22" s="426">
        <v>970000</v>
      </c>
      <c r="K22" s="371"/>
      <c r="L22" s="372"/>
      <c r="M22" s="358"/>
      <c r="N22" s="358"/>
      <c r="O22" s="358">
        <f t="shared" si="0"/>
        <v>5722000</v>
      </c>
      <c r="P22" s="385">
        <v>3500000</v>
      </c>
      <c r="Q22" s="358">
        <f t="shared" si="1"/>
        <v>-2222000</v>
      </c>
      <c r="R22" s="195"/>
      <c r="S22" s="195"/>
    </row>
    <row r="23" spans="1:19" ht="20.100000000000001" customHeight="1" x14ac:dyDescent="0.25">
      <c r="A23" s="350">
        <v>16</v>
      </c>
      <c r="B23" s="365">
        <v>44270</v>
      </c>
      <c r="C23" s="366" t="s">
        <v>3578</v>
      </c>
      <c r="D23" s="367" t="s">
        <v>3603</v>
      </c>
      <c r="E23" s="354" t="s">
        <v>24</v>
      </c>
      <c r="F23" s="368"/>
      <c r="G23" s="369"/>
      <c r="H23" s="369"/>
      <c r="I23" s="370"/>
      <c r="J23" s="426">
        <v>1890000</v>
      </c>
      <c r="K23" s="371"/>
      <c r="L23" s="372"/>
      <c r="M23" s="358"/>
      <c r="N23" s="358"/>
      <c r="O23" s="358">
        <f t="shared" si="0"/>
        <v>1890000</v>
      </c>
      <c r="P23" s="385">
        <v>7209091</v>
      </c>
      <c r="Q23" s="358">
        <f t="shared" si="1"/>
        <v>5319091</v>
      </c>
      <c r="R23" s="195"/>
      <c r="S23" s="195"/>
    </row>
    <row r="24" spans="1:19" ht="20.100000000000001" customHeight="1" x14ac:dyDescent="0.25">
      <c r="A24" s="350">
        <v>17</v>
      </c>
      <c r="B24" s="365">
        <v>44271</v>
      </c>
      <c r="C24" s="366" t="s">
        <v>230</v>
      </c>
      <c r="D24" s="367" t="s">
        <v>3495</v>
      </c>
      <c r="E24" s="354" t="s">
        <v>2885</v>
      </c>
      <c r="F24" s="368"/>
      <c r="G24" s="369"/>
      <c r="H24" s="369"/>
      <c r="I24" s="370"/>
      <c r="J24" s="426">
        <v>790000</v>
      </c>
      <c r="K24" s="371"/>
      <c r="L24" s="372"/>
      <c r="M24" s="358"/>
      <c r="N24" s="358"/>
      <c r="O24" s="358">
        <f t="shared" si="0"/>
        <v>790000</v>
      </c>
      <c r="P24" s="385">
        <v>2872727</v>
      </c>
      <c r="Q24" s="358">
        <f t="shared" si="1"/>
        <v>2082727</v>
      </c>
      <c r="R24" s="195"/>
      <c r="S24" s="195"/>
    </row>
    <row r="25" spans="1:19" ht="20.100000000000001" customHeight="1" x14ac:dyDescent="0.25">
      <c r="A25" s="350">
        <v>18</v>
      </c>
      <c r="B25" s="365">
        <v>44272</v>
      </c>
      <c r="C25" s="366" t="s">
        <v>3579</v>
      </c>
      <c r="D25" s="367" t="s">
        <v>3604</v>
      </c>
      <c r="E25" s="354" t="s">
        <v>3617</v>
      </c>
      <c r="F25" s="368"/>
      <c r="G25" s="369">
        <v>315</v>
      </c>
      <c r="H25" s="369">
        <f t="shared" si="3"/>
        <v>4536000</v>
      </c>
      <c r="I25" s="370"/>
      <c r="J25" s="426">
        <v>730000</v>
      </c>
      <c r="K25" s="371"/>
      <c r="L25" s="372"/>
      <c r="M25" s="358"/>
      <c r="N25" s="358"/>
      <c r="O25" s="358">
        <f t="shared" si="0"/>
        <v>5266000</v>
      </c>
      <c r="P25" s="385">
        <v>1272727</v>
      </c>
      <c r="Q25" s="358">
        <f t="shared" si="1"/>
        <v>-3993273</v>
      </c>
      <c r="R25" s="195"/>
      <c r="S25" s="195"/>
    </row>
    <row r="26" spans="1:19" ht="20.100000000000001" customHeight="1" x14ac:dyDescent="0.25">
      <c r="A26" s="350">
        <v>19</v>
      </c>
      <c r="B26" s="365">
        <v>44272</v>
      </c>
      <c r="C26" s="366" t="s">
        <v>3580</v>
      </c>
      <c r="D26" s="367" t="s">
        <v>3604</v>
      </c>
      <c r="E26" s="354" t="s">
        <v>2122</v>
      </c>
      <c r="F26" s="368"/>
      <c r="G26" s="369"/>
      <c r="H26" s="369"/>
      <c r="I26" s="370"/>
      <c r="J26" s="426"/>
      <c r="K26" s="371"/>
      <c r="L26" s="372"/>
      <c r="M26" s="358"/>
      <c r="N26" s="358"/>
      <c r="O26" s="358">
        <f t="shared" si="0"/>
        <v>0</v>
      </c>
      <c r="P26" s="385">
        <v>2745455</v>
      </c>
      <c r="Q26" s="358">
        <f t="shared" si="1"/>
        <v>2745455</v>
      </c>
      <c r="R26" s="195"/>
      <c r="S26" s="195"/>
    </row>
    <row r="27" spans="1:19" ht="20.100000000000001" customHeight="1" x14ac:dyDescent="0.25">
      <c r="A27" s="350">
        <v>20</v>
      </c>
      <c r="B27" s="365">
        <v>44273</v>
      </c>
      <c r="C27" s="366" t="s">
        <v>3581</v>
      </c>
      <c r="D27" s="367" t="s">
        <v>3605</v>
      </c>
      <c r="E27" s="354" t="s">
        <v>2589</v>
      </c>
      <c r="F27" s="368"/>
      <c r="G27" s="369"/>
      <c r="H27" s="369"/>
      <c r="I27" s="370"/>
      <c r="J27" s="426">
        <v>1450000</v>
      </c>
      <c r="K27" s="371"/>
      <c r="L27" s="372"/>
      <c r="M27" s="358"/>
      <c r="N27" s="358"/>
      <c r="O27" s="358">
        <f t="shared" si="0"/>
        <v>1450000</v>
      </c>
      <c r="P27" s="385">
        <v>5900000</v>
      </c>
      <c r="Q27" s="358">
        <f t="shared" si="1"/>
        <v>4450000</v>
      </c>
      <c r="R27" s="195"/>
      <c r="S27" s="195"/>
    </row>
    <row r="28" spans="1:19" ht="20.100000000000001" customHeight="1" x14ac:dyDescent="0.25">
      <c r="A28" s="350">
        <v>21</v>
      </c>
      <c r="B28" s="365">
        <v>44273</v>
      </c>
      <c r="C28" s="366" t="s">
        <v>3582</v>
      </c>
      <c r="D28" s="367" t="s">
        <v>3605</v>
      </c>
      <c r="E28" s="354" t="s">
        <v>1616</v>
      </c>
      <c r="F28" s="368"/>
      <c r="G28" s="369"/>
      <c r="H28" s="369"/>
      <c r="I28" s="370"/>
      <c r="J28" s="426"/>
      <c r="K28" s="371"/>
      <c r="L28" s="372"/>
      <c r="M28" s="358"/>
      <c r="N28" s="358"/>
      <c r="O28" s="358">
        <f t="shared" si="0"/>
        <v>0</v>
      </c>
      <c r="P28" s="385" t="s">
        <v>3622</v>
      </c>
      <c r="Q28" s="358"/>
      <c r="R28" s="195"/>
      <c r="S28" s="195"/>
    </row>
    <row r="29" spans="1:19" ht="20.100000000000001" customHeight="1" x14ac:dyDescent="0.25">
      <c r="A29" s="350">
        <v>22</v>
      </c>
      <c r="B29" s="365">
        <v>44275</v>
      </c>
      <c r="C29" s="366" t="s">
        <v>1686</v>
      </c>
      <c r="D29" s="367" t="s">
        <v>3606</v>
      </c>
      <c r="E29" s="354" t="s">
        <v>3618</v>
      </c>
      <c r="F29" s="368"/>
      <c r="G29" s="369"/>
      <c r="H29" s="369"/>
      <c r="I29" s="370"/>
      <c r="J29" s="426">
        <v>970000</v>
      </c>
      <c r="K29" s="371"/>
      <c r="L29" s="372"/>
      <c r="M29" s="358"/>
      <c r="N29" s="358"/>
      <c r="O29" s="358">
        <f t="shared" si="0"/>
        <v>970000</v>
      </c>
      <c r="P29" s="385">
        <v>3960000</v>
      </c>
      <c r="Q29" s="358">
        <f t="shared" si="1"/>
        <v>2990000</v>
      </c>
      <c r="R29" s="195"/>
      <c r="S29" s="195"/>
    </row>
    <row r="30" spans="1:19" ht="20.100000000000001" customHeight="1" x14ac:dyDescent="0.25">
      <c r="A30" s="350">
        <v>23</v>
      </c>
      <c r="B30" s="365">
        <v>44278</v>
      </c>
      <c r="C30" s="366" t="s">
        <v>3583</v>
      </c>
      <c r="D30" s="367" t="s">
        <v>3607</v>
      </c>
      <c r="E30" s="354" t="s">
        <v>705</v>
      </c>
      <c r="F30" s="368"/>
      <c r="G30" s="369">
        <v>300</v>
      </c>
      <c r="H30" s="369">
        <f t="shared" si="3"/>
        <v>4320000</v>
      </c>
      <c r="I30" s="370"/>
      <c r="J30" s="426">
        <v>1150000</v>
      </c>
      <c r="K30" s="371"/>
      <c r="L30" s="372"/>
      <c r="M30" s="358"/>
      <c r="N30" s="358"/>
      <c r="O30" s="358">
        <f t="shared" si="0"/>
        <v>5470000</v>
      </c>
      <c r="P30" s="385">
        <v>3645455</v>
      </c>
      <c r="Q30" s="358">
        <f t="shared" si="1"/>
        <v>-1824545</v>
      </c>
      <c r="R30" s="195"/>
      <c r="S30" s="195"/>
    </row>
    <row r="31" spans="1:19" ht="20.100000000000001" customHeight="1" x14ac:dyDescent="0.25">
      <c r="A31" s="350">
        <v>24</v>
      </c>
      <c r="B31" s="365">
        <v>44277</v>
      </c>
      <c r="C31" s="366" t="s">
        <v>3584</v>
      </c>
      <c r="D31" s="367" t="s">
        <v>3608</v>
      </c>
      <c r="E31" s="354" t="s">
        <v>3618</v>
      </c>
      <c r="F31" s="368"/>
      <c r="G31" s="369"/>
      <c r="H31" s="369"/>
      <c r="I31" s="370"/>
      <c r="J31" s="426">
        <v>970000</v>
      </c>
      <c r="K31" s="371"/>
      <c r="L31" s="372"/>
      <c r="M31" s="358"/>
      <c r="N31" s="358"/>
      <c r="O31" s="358">
        <f t="shared" si="0"/>
        <v>970000</v>
      </c>
      <c r="P31" s="385">
        <v>3960000</v>
      </c>
      <c r="Q31" s="358">
        <f t="shared" si="1"/>
        <v>2990000</v>
      </c>
      <c r="R31" s="195"/>
      <c r="S31" s="195"/>
    </row>
    <row r="32" spans="1:19" ht="20.100000000000001" customHeight="1" x14ac:dyDescent="0.25">
      <c r="A32" s="350">
        <v>25</v>
      </c>
      <c r="B32" s="365">
        <v>44277</v>
      </c>
      <c r="C32" s="366" t="s">
        <v>3585</v>
      </c>
      <c r="D32" s="367" t="s">
        <v>3609</v>
      </c>
      <c r="E32" s="354" t="s">
        <v>88</v>
      </c>
      <c r="F32" s="368"/>
      <c r="G32" s="369"/>
      <c r="H32" s="369"/>
      <c r="I32" s="370"/>
      <c r="J32" s="426">
        <v>790000</v>
      </c>
      <c r="K32" s="371"/>
      <c r="L32" s="372"/>
      <c r="M32" s="358"/>
      <c r="N32" s="358"/>
      <c r="O32" s="358">
        <f t="shared" si="0"/>
        <v>790000</v>
      </c>
      <c r="P32" s="385">
        <v>3400000</v>
      </c>
      <c r="Q32" s="358">
        <f t="shared" si="1"/>
        <v>2610000</v>
      </c>
      <c r="R32" s="195"/>
      <c r="S32" s="195"/>
    </row>
    <row r="33" spans="1:19" ht="20.100000000000001" customHeight="1" x14ac:dyDescent="0.25">
      <c r="A33" s="350">
        <v>26</v>
      </c>
      <c r="B33" s="365">
        <v>44280</v>
      </c>
      <c r="C33" s="366" t="s">
        <v>3586</v>
      </c>
      <c r="D33" s="367" t="s">
        <v>1883</v>
      </c>
      <c r="E33" s="354" t="s">
        <v>286</v>
      </c>
      <c r="F33" s="368"/>
      <c r="G33" s="369">
        <v>285</v>
      </c>
      <c r="H33" s="369">
        <f t="shared" si="3"/>
        <v>4104000</v>
      </c>
      <c r="I33" s="370"/>
      <c r="J33" s="426">
        <v>1150000</v>
      </c>
      <c r="K33" s="371"/>
      <c r="L33" s="372"/>
      <c r="M33" s="358"/>
      <c r="N33" s="358"/>
      <c r="O33" s="358">
        <f t="shared" si="0"/>
        <v>5254000</v>
      </c>
      <c r="P33" s="385">
        <v>3845455</v>
      </c>
      <c r="Q33" s="358">
        <f t="shared" si="1"/>
        <v>-1408545</v>
      </c>
      <c r="R33" s="195"/>
      <c r="S33" s="195"/>
    </row>
    <row r="34" spans="1:19" ht="20.100000000000001" customHeight="1" x14ac:dyDescent="0.25">
      <c r="A34" s="350">
        <v>27</v>
      </c>
      <c r="B34" s="365">
        <v>44282</v>
      </c>
      <c r="C34" s="366" t="s">
        <v>2976</v>
      </c>
      <c r="D34" s="367" t="s">
        <v>3610</v>
      </c>
      <c r="E34" s="354" t="s">
        <v>2441</v>
      </c>
      <c r="F34" s="368"/>
      <c r="G34" s="369"/>
      <c r="H34" s="369"/>
      <c r="I34" s="370"/>
      <c r="J34" s="426">
        <v>970000</v>
      </c>
      <c r="K34" s="371"/>
      <c r="L34" s="372"/>
      <c r="M34" s="358"/>
      <c r="N34" s="358"/>
      <c r="O34" s="358">
        <f t="shared" si="0"/>
        <v>970000</v>
      </c>
      <c r="P34" s="385">
        <v>3400000</v>
      </c>
      <c r="Q34" s="358">
        <f t="shared" si="1"/>
        <v>2430000</v>
      </c>
      <c r="R34" s="195"/>
      <c r="S34" s="195"/>
    </row>
    <row r="35" spans="1:19" ht="20.100000000000001" customHeight="1" x14ac:dyDescent="0.25">
      <c r="A35" s="350">
        <v>28</v>
      </c>
      <c r="B35" s="365">
        <v>44283</v>
      </c>
      <c r="C35" s="366" t="s">
        <v>988</v>
      </c>
      <c r="D35" s="367" t="s">
        <v>3611</v>
      </c>
      <c r="E35" s="354" t="s">
        <v>1615</v>
      </c>
      <c r="F35" s="368"/>
      <c r="G35" s="369"/>
      <c r="H35" s="369"/>
      <c r="I35" s="370"/>
      <c r="J35" s="426">
        <v>970000</v>
      </c>
      <c r="K35" s="371"/>
      <c r="L35" s="372"/>
      <c r="M35" s="358"/>
      <c r="N35" s="358"/>
      <c r="O35" s="358">
        <f t="shared" si="0"/>
        <v>970000</v>
      </c>
      <c r="P35" s="385">
        <v>3645455</v>
      </c>
      <c r="Q35" s="358">
        <f t="shared" si="1"/>
        <v>2675455</v>
      </c>
      <c r="R35" s="195"/>
      <c r="S35" s="195"/>
    </row>
    <row r="36" spans="1:19" ht="20.100000000000001" customHeight="1" x14ac:dyDescent="0.25">
      <c r="A36" s="350">
        <v>29</v>
      </c>
      <c r="B36" s="365">
        <v>44284</v>
      </c>
      <c r="C36" s="366" t="s">
        <v>3587</v>
      </c>
      <c r="D36" s="367" t="s">
        <v>3612</v>
      </c>
      <c r="E36" s="354" t="s">
        <v>88</v>
      </c>
      <c r="F36" s="368"/>
      <c r="G36" s="369">
        <v>290</v>
      </c>
      <c r="H36" s="369">
        <f>G36*14240</f>
        <v>4129600</v>
      </c>
      <c r="I36" s="370"/>
      <c r="J36" s="426">
        <v>790000</v>
      </c>
      <c r="K36" s="371"/>
      <c r="L36" s="372"/>
      <c r="M36" s="358"/>
      <c r="N36" s="358"/>
      <c r="O36" s="358">
        <f t="shared" si="0"/>
        <v>4919600</v>
      </c>
      <c r="P36" s="385">
        <v>3400000</v>
      </c>
      <c r="Q36" s="358">
        <f t="shared" si="1"/>
        <v>-1519600</v>
      </c>
      <c r="R36" s="195"/>
      <c r="S36" s="195"/>
    </row>
    <row r="37" spans="1:19" ht="20.100000000000001" customHeight="1" x14ac:dyDescent="0.25">
      <c r="A37" s="350">
        <v>30</v>
      </c>
      <c r="B37" s="365">
        <v>44285</v>
      </c>
      <c r="C37" s="366" t="s">
        <v>3588</v>
      </c>
      <c r="D37" s="367" t="s">
        <v>3613</v>
      </c>
      <c r="E37" s="354" t="s">
        <v>24</v>
      </c>
      <c r="F37" s="368"/>
      <c r="G37" s="369"/>
      <c r="H37" s="369"/>
      <c r="I37" s="370"/>
      <c r="J37" s="426">
        <v>1890000</v>
      </c>
      <c r="K37" s="371"/>
      <c r="L37" s="372"/>
      <c r="M37" s="358"/>
      <c r="N37" s="358"/>
      <c r="O37" s="358">
        <f t="shared" si="0"/>
        <v>1890000</v>
      </c>
      <c r="P37" s="385">
        <v>7209091</v>
      </c>
      <c r="Q37" s="358">
        <f t="shared" si="1"/>
        <v>5319091</v>
      </c>
      <c r="R37" s="195"/>
      <c r="S37" s="195"/>
    </row>
    <row r="38" spans="1:19" ht="20.100000000000001" customHeight="1" x14ac:dyDescent="0.25">
      <c r="A38" s="374"/>
      <c r="B38" s="375"/>
      <c r="C38" s="416"/>
      <c r="D38" s="417"/>
      <c r="E38" s="354"/>
      <c r="F38" s="355"/>
      <c r="G38" s="369"/>
      <c r="H38" s="369"/>
      <c r="I38" s="370"/>
      <c r="J38" s="358"/>
      <c r="K38" s="371"/>
      <c r="L38" s="372"/>
      <c r="M38" s="358"/>
      <c r="N38" s="361"/>
      <c r="O38" s="362"/>
      <c r="P38" s="377"/>
      <c r="Q38" s="378"/>
      <c r="R38" s="195"/>
      <c r="S38" s="195"/>
    </row>
    <row r="39" spans="1:19" ht="27" customHeight="1" x14ac:dyDescent="0.25">
      <c r="A39" s="374"/>
      <c r="B39" s="379"/>
      <c r="C39" s="594" t="s">
        <v>1273</v>
      </c>
      <c r="D39" s="595"/>
      <c r="E39" s="596"/>
      <c r="F39" s="380"/>
      <c r="G39" s="381"/>
      <c r="H39" s="369"/>
      <c r="I39" s="403"/>
      <c r="J39" s="381"/>
      <c r="K39" s="371"/>
      <c r="L39" s="372">
        <v>1200000</v>
      </c>
      <c r="M39" s="381"/>
      <c r="N39" s="384"/>
      <c r="O39" s="362">
        <f>H39+J39+K39+L39+M39+N39</f>
        <v>1200000</v>
      </c>
      <c r="P39" s="385"/>
      <c r="Q39" s="378"/>
    </row>
    <row r="40" spans="1:19" ht="27" customHeight="1" x14ac:dyDescent="0.25">
      <c r="A40" s="386"/>
      <c r="B40" s="379"/>
      <c r="C40" s="594" t="s">
        <v>3619</v>
      </c>
      <c r="D40" s="595"/>
      <c r="E40" s="596"/>
      <c r="F40" s="402"/>
      <c r="G40" s="381"/>
      <c r="H40" s="369"/>
      <c r="I40" s="403"/>
      <c r="J40" s="381"/>
      <c r="K40" s="404"/>
      <c r="L40" s="388">
        <v>2635000</v>
      </c>
      <c r="M40" s="372"/>
      <c r="N40" s="381"/>
      <c r="O40" s="362">
        <f t="shared" ref="O40:O43" si="4">H40+J40+K40+L40+M40+N40</f>
        <v>2635000</v>
      </c>
      <c r="P40" s="389"/>
      <c r="Q40" s="378"/>
    </row>
    <row r="41" spans="1:19" ht="27" customHeight="1" x14ac:dyDescent="0.25">
      <c r="A41" s="386"/>
      <c r="B41" s="379"/>
      <c r="C41" s="594" t="s">
        <v>3620</v>
      </c>
      <c r="D41" s="595"/>
      <c r="E41" s="596"/>
      <c r="F41" s="402"/>
      <c r="G41" s="381"/>
      <c r="H41" s="369"/>
      <c r="I41" s="403"/>
      <c r="J41" s="381"/>
      <c r="K41" s="404"/>
      <c r="L41" s="388">
        <v>150000</v>
      </c>
      <c r="M41" s="388"/>
      <c r="N41" s="381"/>
      <c r="O41" s="362">
        <f t="shared" si="4"/>
        <v>150000</v>
      </c>
      <c r="P41" s="389"/>
      <c r="Q41" s="378"/>
    </row>
    <row r="42" spans="1:19" ht="27" customHeight="1" x14ac:dyDescent="0.25">
      <c r="A42" s="386"/>
      <c r="B42" s="379"/>
      <c r="C42" s="594" t="s">
        <v>3621</v>
      </c>
      <c r="D42" s="595"/>
      <c r="E42" s="596"/>
      <c r="F42" s="402"/>
      <c r="G42" s="381"/>
      <c r="H42" s="369"/>
      <c r="I42" s="403"/>
      <c r="J42" s="381"/>
      <c r="K42" s="404"/>
      <c r="L42" s="388"/>
      <c r="M42" s="388"/>
      <c r="N42" s="388">
        <v>2870000</v>
      </c>
      <c r="O42" s="362">
        <f t="shared" si="4"/>
        <v>2870000</v>
      </c>
      <c r="P42" s="389"/>
      <c r="Q42" s="378"/>
    </row>
    <row r="43" spans="1:19" ht="18" customHeight="1" x14ac:dyDescent="0.25">
      <c r="A43" s="386"/>
      <c r="B43" s="391"/>
      <c r="C43" s="579" t="s">
        <v>1386</v>
      </c>
      <c r="D43" s="580"/>
      <c r="E43" s="581"/>
      <c r="F43" s="392"/>
      <c r="G43" s="381"/>
      <c r="H43" s="382"/>
      <c r="I43" s="383"/>
      <c r="J43" s="384"/>
      <c r="K43" s="394">
        <f>28/26*9000000</f>
        <v>9692307.692307692</v>
      </c>
      <c r="L43" s="394"/>
      <c r="M43" s="384"/>
      <c r="N43" s="384"/>
      <c r="O43" s="362">
        <f t="shared" si="4"/>
        <v>9692307.692307692</v>
      </c>
      <c r="P43" s="389"/>
      <c r="Q43" s="378"/>
    </row>
    <row r="44" spans="1:19" x14ac:dyDescent="0.25">
      <c r="A44" s="576" t="s">
        <v>19</v>
      </c>
      <c r="B44" s="577"/>
      <c r="C44" s="577"/>
      <c r="D44" s="577"/>
      <c r="E44" s="577"/>
      <c r="F44" s="578"/>
      <c r="G44" s="427">
        <f>SUM(G8:G43)</f>
        <v>2830</v>
      </c>
      <c r="H44" s="396">
        <f>SUM(H7:H43)</f>
        <v>40095200</v>
      </c>
      <c r="I44" s="396">
        <f t="shared" ref="I44:M44" si="5">SUM(I7:I43)</f>
        <v>0</v>
      </c>
      <c r="J44" s="396">
        <f>SUM(J7:J43)</f>
        <v>31320000</v>
      </c>
      <c r="K44" s="396">
        <f t="shared" si="5"/>
        <v>9692307.692307692</v>
      </c>
      <c r="L44" s="396">
        <f>SUM(L7:L43)</f>
        <v>3985000</v>
      </c>
      <c r="M44" s="396">
        <f t="shared" si="5"/>
        <v>0</v>
      </c>
      <c r="N44" s="396">
        <f>SUM(N7:N43)</f>
        <v>2870000</v>
      </c>
      <c r="O44" s="396">
        <f>SUM(O7:O43)</f>
        <v>87962507.692307696</v>
      </c>
      <c r="P44" s="396">
        <f>SUM(P7:P43)</f>
        <v>119889092</v>
      </c>
      <c r="Q44" s="397">
        <f>P44-O44</f>
        <v>31926584.307692304</v>
      </c>
      <c r="R44" s="195"/>
    </row>
    <row r="45" spans="1:19" x14ac:dyDescent="0.25">
      <c r="P45" s="294"/>
      <c r="Q45" s="295"/>
    </row>
    <row r="46" spans="1:19" x14ac:dyDescent="0.25">
      <c r="B46"/>
      <c r="G46"/>
      <c r="H46" s="294"/>
      <c r="P46" s="296" t="s">
        <v>1225</v>
      </c>
      <c r="Q46" s="304">
        <f>'02.2021'!Q35+'03.2021'!Q44</f>
        <v>97983129.384615391</v>
      </c>
    </row>
    <row r="47" spans="1:19" x14ac:dyDescent="0.25">
      <c r="B47"/>
      <c r="G47"/>
      <c r="Q47" s="294"/>
    </row>
    <row r="48" spans="1:19" x14ac:dyDescent="0.25">
      <c r="B48"/>
      <c r="G48"/>
      <c r="R48" s="195"/>
    </row>
  </sheetData>
  <mergeCells count="10">
    <mergeCell ref="C41:E41"/>
    <mergeCell ref="C42:E42"/>
    <mergeCell ref="C43:E43"/>
    <mergeCell ref="A44:F44"/>
    <mergeCell ref="A1:Q1"/>
    <mergeCell ref="A2:Q2"/>
    <mergeCell ref="A3:Q3"/>
    <mergeCell ref="G5:N5"/>
    <mergeCell ref="C39:E39"/>
    <mergeCell ref="C40:E40"/>
  </mergeCells>
  <pageMargins left="0.7" right="0.7" top="0.75" bottom="0.75" header="0.3" footer="0.3"/>
  <pageSetup orientation="portrait" horizontalDpi="0" verticalDpi="0"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S50"/>
  <sheetViews>
    <sheetView topLeftCell="D34" workbookViewId="0">
      <selection activeCell="J10" sqref="J10"/>
    </sheetView>
  </sheetViews>
  <sheetFormatPr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0.28515625" style="292" bestFit="1"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3671</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19"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19" x14ac:dyDescent="0.25">
      <c r="A7" s="75"/>
      <c r="B7" s="100"/>
      <c r="C7" s="88"/>
      <c r="D7" s="88"/>
      <c r="E7" s="134"/>
      <c r="F7" s="75"/>
      <c r="G7" s="264"/>
      <c r="H7" s="264"/>
      <c r="I7" s="264"/>
      <c r="J7" s="264"/>
      <c r="K7" s="264"/>
      <c r="L7" s="308"/>
      <c r="M7" s="264"/>
      <c r="N7" s="264"/>
      <c r="O7" s="265"/>
      <c r="P7" s="265"/>
      <c r="Q7" s="264"/>
    </row>
    <row r="8" spans="1:19" ht="20.100000000000001" customHeight="1" x14ac:dyDescent="0.25">
      <c r="A8" s="350">
        <v>1</v>
      </c>
      <c r="B8" s="365">
        <v>44286</v>
      </c>
      <c r="C8" s="366" t="s">
        <v>3006</v>
      </c>
      <c r="D8" s="367" t="s">
        <v>3638</v>
      </c>
      <c r="E8" s="354" t="s">
        <v>3662</v>
      </c>
      <c r="F8" s="368"/>
      <c r="G8" s="369">
        <v>265</v>
      </c>
      <c r="H8" s="369">
        <f>G8*14240</f>
        <v>3773600</v>
      </c>
      <c r="I8" s="418"/>
      <c r="J8" s="426">
        <v>1150000</v>
      </c>
      <c r="K8" s="371"/>
      <c r="L8" s="372"/>
      <c r="M8" s="358"/>
      <c r="N8" s="358"/>
      <c r="O8" s="358">
        <f>H8+J8+K8+L8+M8+N8</f>
        <v>4923600</v>
      </c>
      <c r="P8" s="358">
        <v>3954545</v>
      </c>
      <c r="Q8" s="358">
        <f>P8-O8</f>
        <v>-969055</v>
      </c>
      <c r="R8" s="195"/>
      <c r="S8" s="195"/>
    </row>
    <row r="9" spans="1:19" ht="20.100000000000001" customHeight="1" x14ac:dyDescent="0.25">
      <c r="A9" s="350">
        <v>2</v>
      </c>
      <c r="B9" s="365">
        <v>44287</v>
      </c>
      <c r="C9" s="366" t="s">
        <v>3623</v>
      </c>
      <c r="D9" s="415" t="s">
        <v>3639</v>
      </c>
      <c r="E9" s="354" t="s">
        <v>3662</v>
      </c>
      <c r="F9" s="368"/>
      <c r="G9" s="369"/>
      <c r="H9" s="369"/>
      <c r="I9" s="370"/>
      <c r="J9" s="426">
        <v>1810000</v>
      </c>
      <c r="K9" s="371"/>
      <c r="L9" s="372"/>
      <c r="M9" s="358"/>
      <c r="N9" s="358"/>
      <c r="O9" s="358">
        <f t="shared" ref="O9:O34" si="0">H9+J9+K9+L9+M9+N9</f>
        <v>1810000</v>
      </c>
      <c r="P9" s="385">
        <v>3790909</v>
      </c>
      <c r="Q9" s="358">
        <f t="shared" ref="Q9:Q34" si="1">P9-O9</f>
        <v>1980909</v>
      </c>
      <c r="R9" s="195"/>
      <c r="S9" s="195"/>
    </row>
    <row r="10" spans="1:19" ht="20.100000000000001" customHeight="1" x14ac:dyDescent="0.25">
      <c r="A10" s="350">
        <v>3</v>
      </c>
      <c r="B10" s="365">
        <v>44288</v>
      </c>
      <c r="C10" s="366" t="s">
        <v>3624</v>
      </c>
      <c r="D10" s="367" t="s">
        <v>3639</v>
      </c>
      <c r="E10" s="354" t="s">
        <v>3663</v>
      </c>
      <c r="F10" s="368"/>
      <c r="G10" s="369"/>
      <c r="H10" s="369"/>
      <c r="I10" s="370"/>
      <c r="J10" s="426"/>
      <c r="K10" s="371"/>
      <c r="L10" s="372"/>
      <c r="M10" s="358"/>
      <c r="N10" s="358"/>
      <c r="O10" s="358">
        <f t="shared" si="0"/>
        <v>0</v>
      </c>
      <c r="P10" s="385">
        <v>2200000</v>
      </c>
      <c r="Q10" s="358">
        <f t="shared" si="1"/>
        <v>2200000</v>
      </c>
      <c r="R10" s="195"/>
      <c r="S10" s="195"/>
    </row>
    <row r="11" spans="1:19" ht="20.100000000000001" customHeight="1" x14ac:dyDescent="0.25">
      <c r="A11" s="350">
        <v>4</v>
      </c>
      <c r="B11" s="365">
        <v>44288</v>
      </c>
      <c r="C11" s="366" t="s">
        <v>3625</v>
      </c>
      <c r="D11" s="367" t="s">
        <v>3640</v>
      </c>
      <c r="E11" s="354" t="s">
        <v>2007</v>
      </c>
      <c r="F11" s="368"/>
      <c r="G11" s="369"/>
      <c r="H11" s="369"/>
      <c r="I11" s="370"/>
      <c r="J11" s="426">
        <v>1150000</v>
      </c>
      <c r="K11" s="371"/>
      <c r="L11" s="372"/>
      <c r="M11" s="358"/>
      <c r="N11" s="358"/>
      <c r="O11" s="358">
        <f t="shared" si="0"/>
        <v>1150000</v>
      </c>
      <c r="P11" s="385">
        <v>3760000</v>
      </c>
      <c r="Q11" s="358">
        <f t="shared" si="1"/>
        <v>2610000</v>
      </c>
      <c r="R11" s="195"/>
      <c r="S11" s="195"/>
    </row>
    <row r="12" spans="1:19" ht="23.25" customHeight="1" x14ac:dyDescent="0.25">
      <c r="A12" s="350">
        <v>5</v>
      </c>
      <c r="B12" s="365">
        <v>44290</v>
      </c>
      <c r="C12" s="366" t="s">
        <v>3626</v>
      </c>
      <c r="D12" s="367" t="s">
        <v>3496</v>
      </c>
      <c r="E12" s="354" t="s">
        <v>286</v>
      </c>
      <c r="F12" s="368"/>
      <c r="G12" s="369">
        <v>300</v>
      </c>
      <c r="H12" s="369">
        <f t="shared" ref="H12:H18" si="2">G12*14240</f>
        <v>4272000</v>
      </c>
      <c r="I12" s="370"/>
      <c r="J12" s="426">
        <v>1150000</v>
      </c>
      <c r="K12" s="371"/>
      <c r="L12" s="372"/>
      <c r="M12" s="358"/>
      <c r="N12" s="358"/>
      <c r="O12" s="358">
        <f t="shared" si="0"/>
        <v>5422000</v>
      </c>
      <c r="P12" s="385">
        <v>3700000</v>
      </c>
      <c r="Q12" s="358">
        <f t="shared" si="1"/>
        <v>-1722000</v>
      </c>
      <c r="R12" s="195"/>
      <c r="S12" s="195"/>
    </row>
    <row r="13" spans="1:19" ht="20.100000000000001" customHeight="1" x14ac:dyDescent="0.25">
      <c r="A13" s="350">
        <v>6</v>
      </c>
      <c r="B13" s="365">
        <v>44291</v>
      </c>
      <c r="C13" s="366" t="s">
        <v>3007</v>
      </c>
      <c r="D13" s="367" t="s">
        <v>3641</v>
      </c>
      <c r="E13" s="354" t="s">
        <v>29</v>
      </c>
      <c r="F13" s="368"/>
      <c r="G13" s="369"/>
      <c r="H13" s="369"/>
      <c r="I13" s="370"/>
      <c r="J13" s="426">
        <v>970000</v>
      </c>
      <c r="K13" s="371"/>
      <c r="L13" s="372"/>
      <c r="M13" s="358"/>
      <c r="N13" s="358"/>
      <c r="O13" s="358">
        <f t="shared" si="0"/>
        <v>970000</v>
      </c>
      <c r="P13" s="385">
        <v>4000000</v>
      </c>
      <c r="Q13" s="358">
        <f t="shared" si="1"/>
        <v>3030000</v>
      </c>
      <c r="R13" s="195"/>
      <c r="S13" s="195"/>
    </row>
    <row r="14" spans="1:19" ht="20.100000000000001" customHeight="1" x14ac:dyDescent="0.25">
      <c r="A14" s="350">
        <v>7</v>
      </c>
      <c r="B14" s="365">
        <v>44292</v>
      </c>
      <c r="C14" s="366" t="s">
        <v>1039</v>
      </c>
      <c r="D14" s="367" t="s">
        <v>3642</v>
      </c>
      <c r="E14" s="354" t="s">
        <v>21</v>
      </c>
      <c r="F14" s="368"/>
      <c r="G14" s="369">
        <v>350</v>
      </c>
      <c r="H14" s="369">
        <f t="shared" si="2"/>
        <v>4984000</v>
      </c>
      <c r="I14" s="370"/>
      <c r="J14" s="426">
        <v>2740000</v>
      </c>
      <c r="K14" s="371"/>
      <c r="L14" s="372"/>
      <c r="M14" s="358"/>
      <c r="N14" s="358"/>
      <c r="O14" s="358">
        <f t="shared" si="0"/>
        <v>7724000</v>
      </c>
      <c r="P14" s="385">
        <v>11818182</v>
      </c>
      <c r="Q14" s="358">
        <f t="shared" si="1"/>
        <v>4094182</v>
      </c>
      <c r="R14" s="195"/>
      <c r="S14" s="195"/>
    </row>
    <row r="15" spans="1:19" ht="20.100000000000001" customHeight="1" x14ac:dyDescent="0.25">
      <c r="A15" s="350">
        <v>8</v>
      </c>
      <c r="B15" s="365">
        <v>44293</v>
      </c>
      <c r="C15" s="366" t="s">
        <v>3627</v>
      </c>
      <c r="D15" s="367" t="s">
        <v>3643</v>
      </c>
      <c r="E15" s="354" t="s">
        <v>88</v>
      </c>
      <c r="F15" s="368"/>
      <c r="G15" s="369"/>
      <c r="H15" s="369"/>
      <c r="I15" s="370"/>
      <c r="J15" s="426">
        <v>790000</v>
      </c>
      <c r="K15" s="371"/>
      <c r="L15" s="372"/>
      <c r="M15" s="358"/>
      <c r="N15" s="358"/>
      <c r="O15" s="358">
        <f t="shared" si="0"/>
        <v>790000</v>
      </c>
      <c r="P15" s="385">
        <v>3400000</v>
      </c>
      <c r="Q15" s="358">
        <f t="shared" si="1"/>
        <v>2610000</v>
      </c>
      <c r="R15" s="195"/>
      <c r="S15" s="195"/>
    </row>
    <row r="16" spans="1:19" ht="20.100000000000001" customHeight="1" x14ac:dyDescent="0.25">
      <c r="A16" s="350">
        <v>9</v>
      </c>
      <c r="B16" s="365">
        <v>44294</v>
      </c>
      <c r="C16" s="366" t="s">
        <v>284</v>
      </c>
      <c r="D16" s="367" t="s">
        <v>3644</v>
      </c>
      <c r="E16" s="354" t="s">
        <v>286</v>
      </c>
      <c r="F16" s="368"/>
      <c r="G16" s="369">
        <v>180</v>
      </c>
      <c r="H16" s="369">
        <f t="shared" si="2"/>
        <v>2563200</v>
      </c>
      <c r="I16" s="370"/>
      <c r="J16" s="426">
        <v>1150000</v>
      </c>
      <c r="K16" s="371"/>
      <c r="L16" s="372"/>
      <c r="M16" s="358"/>
      <c r="N16" s="358"/>
      <c r="O16" s="358">
        <f t="shared" si="0"/>
        <v>3713200</v>
      </c>
      <c r="P16" s="385">
        <v>3700000</v>
      </c>
      <c r="Q16" s="358">
        <f t="shared" si="1"/>
        <v>-13200</v>
      </c>
      <c r="R16" s="195"/>
      <c r="S16" s="195"/>
    </row>
    <row r="17" spans="1:19" ht="20.100000000000001" customHeight="1" x14ac:dyDescent="0.25">
      <c r="A17" s="350">
        <v>10</v>
      </c>
      <c r="B17" s="365">
        <v>44298</v>
      </c>
      <c r="C17" s="366" t="s">
        <v>3628</v>
      </c>
      <c r="D17" s="367" t="s">
        <v>3645</v>
      </c>
      <c r="E17" s="354" t="s">
        <v>1212</v>
      </c>
      <c r="F17" s="368"/>
      <c r="G17" s="369"/>
      <c r="H17" s="369"/>
      <c r="I17" s="370"/>
      <c r="J17" s="426">
        <v>2740000</v>
      </c>
      <c r="K17" s="371"/>
      <c r="L17" s="372"/>
      <c r="M17" s="358"/>
      <c r="N17" s="358"/>
      <c r="O17" s="358">
        <f t="shared" si="0"/>
        <v>2740000</v>
      </c>
      <c r="P17" s="385">
        <v>13727273</v>
      </c>
      <c r="Q17" s="358">
        <f t="shared" si="1"/>
        <v>10987273</v>
      </c>
      <c r="R17" s="195"/>
      <c r="S17" s="195"/>
    </row>
    <row r="18" spans="1:19" ht="20.100000000000001" customHeight="1" x14ac:dyDescent="0.25">
      <c r="A18" s="350">
        <v>11</v>
      </c>
      <c r="B18" s="365">
        <v>44298</v>
      </c>
      <c r="C18" s="366" t="s">
        <v>3629</v>
      </c>
      <c r="D18" s="367" t="s">
        <v>3646</v>
      </c>
      <c r="E18" s="354" t="s">
        <v>88</v>
      </c>
      <c r="F18" s="368"/>
      <c r="G18" s="369">
        <v>350</v>
      </c>
      <c r="H18" s="369">
        <f t="shared" si="2"/>
        <v>4984000</v>
      </c>
      <c r="I18" s="370"/>
      <c r="J18" s="426">
        <v>790000</v>
      </c>
      <c r="K18" s="371"/>
      <c r="L18" s="372"/>
      <c r="M18" s="358"/>
      <c r="N18" s="358"/>
      <c r="O18" s="358">
        <f t="shared" si="0"/>
        <v>5774000</v>
      </c>
      <c r="P18" s="385">
        <v>3400000</v>
      </c>
      <c r="Q18" s="358">
        <f t="shared" si="1"/>
        <v>-2374000</v>
      </c>
      <c r="R18" s="195"/>
      <c r="S18" s="195"/>
    </row>
    <row r="19" spans="1:19" ht="20.100000000000001" customHeight="1" x14ac:dyDescent="0.25">
      <c r="A19" s="350">
        <v>12</v>
      </c>
      <c r="B19" s="365">
        <v>44298</v>
      </c>
      <c r="C19" s="366" t="s">
        <v>3630</v>
      </c>
      <c r="D19" s="367" t="s">
        <v>3647</v>
      </c>
      <c r="E19" s="354" t="s">
        <v>88</v>
      </c>
      <c r="F19" s="368"/>
      <c r="G19" s="369"/>
      <c r="H19" s="369"/>
      <c r="I19" s="370"/>
      <c r="J19" s="426">
        <v>790000</v>
      </c>
      <c r="K19" s="371"/>
      <c r="L19" s="372"/>
      <c r="M19" s="358"/>
      <c r="N19" s="358"/>
      <c r="O19" s="358">
        <f t="shared" si="0"/>
        <v>790000</v>
      </c>
      <c r="P19" s="385">
        <v>3400000</v>
      </c>
      <c r="Q19" s="358">
        <f t="shared" si="1"/>
        <v>2610000</v>
      </c>
      <c r="R19" s="195"/>
      <c r="S19" s="195"/>
    </row>
    <row r="20" spans="1:19" ht="20.100000000000001" customHeight="1" x14ac:dyDescent="0.25">
      <c r="A20" s="350">
        <v>13</v>
      </c>
      <c r="B20" s="365">
        <v>44298</v>
      </c>
      <c r="C20" s="366" t="s">
        <v>1044</v>
      </c>
      <c r="D20" s="367" t="s">
        <v>3648</v>
      </c>
      <c r="E20" s="354" t="s">
        <v>849</v>
      </c>
      <c r="F20" s="368"/>
      <c r="G20" s="369">
        <v>175</v>
      </c>
      <c r="H20" s="369">
        <f>G20*14140</f>
        <v>2474500</v>
      </c>
      <c r="I20" s="370"/>
      <c r="J20" s="426">
        <v>890000</v>
      </c>
      <c r="K20" s="371"/>
      <c r="L20" s="372"/>
      <c r="M20" s="358"/>
      <c r="N20" s="358"/>
      <c r="O20" s="358">
        <f t="shared" si="0"/>
        <v>3364500</v>
      </c>
      <c r="P20" s="385">
        <v>3200000</v>
      </c>
      <c r="Q20" s="358">
        <f t="shared" si="1"/>
        <v>-164500</v>
      </c>
      <c r="R20" s="195"/>
      <c r="S20" s="195"/>
    </row>
    <row r="21" spans="1:19" ht="20.100000000000001" customHeight="1" x14ac:dyDescent="0.25">
      <c r="A21" s="350">
        <v>14</v>
      </c>
      <c r="B21" s="365">
        <v>44298</v>
      </c>
      <c r="C21" s="366" t="s">
        <v>3631</v>
      </c>
      <c r="D21" s="367" t="s">
        <v>3649</v>
      </c>
      <c r="E21" s="354" t="s">
        <v>21</v>
      </c>
      <c r="F21" s="368"/>
      <c r="G21" s="369">
        <v>235</v>
      </c>
      <c r="H21" s="369">
        <f t="shared" ref="H21:H31" si="3">G21*14140</f>
        <v>3322900</v>
      </c>
      <c r="I21" s="370"/>
      <c r="J21" s="426">
        <v>2740000</v>
      </c>
      <c r="K21" s="371"/>
      <c r="L21" s="372"/>
      <c r="M21" s="358"/>
      <c r="N21" s="358"/>
      <c r="O21" s="358">
        <f t="shared" si="0"/>
        <v>6062900</v>
      </c>
      <c r="P21" s="385">
        <v>11909091</v>
      </c>
      <c r="Q21" s="358">
        <f t="shared" si="1"/>
        <v>5846191</v>
      </c>
      <c r="R21" s="195"/>
      <c r="S21" s="195"/>
    </row>
    <row r="22" spans="1:19" ht="20.100000000000001" customHeight="1" x14ac:dyDescent="0.25">
      <c r="A22" s="350">
        <v>15</v>
      </c>
      <c r="B22" s="365">
        <v>44300</v>
      </c>
      <c r="C22" s="366" t="s">
        <v>3632</v>
      </c>
      <c r="D22" s="367" t="s">
        <v>3650</v>
      </c>
      <c r="E22" s="354" t="s">
        <v>189</v>
      </c>
      <c r="F22" s="368"/>
      <c r="G22" s="369"/>
      <c r="H22" s="369"/>
      <c r="I22" s="370"/>
      <c r="J22" s="426">
        <v>1890000</v>
      </c>
      <c r="K22" s="371"/>
      <c r="L22" s="372"/>
      <c r="M22" s="358"/>
      <c r="N22" s="358"/>
      <c r="O22" s="358">
        <f t="shared" si="0"/>
        <v>1890000</v>
      </c>
      <c r="P22" s="385">
        <v>9727273</v>
      </c>
      <c r="Q22" s="358">
        <f t="shared" si="1"/>
        <v>7837273</v>
      </c>
      <c r="R22" s="195"/>
      <c r="S22" s="195"/>
    </row>
    <row r="23" spans="1:19" ht="20.100000000000001" customHeight="1" x14ac:dyDescent="0.25">
      <c r="A23" s="350">
        <v>16</v>
      </c>
      <c r="B23" s="365">
        <v>44302</v>
      </c>
      <c r="C23" s="366" t="s">
        <v>3633</v>
      </c>
      <c r="D23" s="367" t="s">
        <v>3651</v>
      </c>
      <c r="E23" s="354" t="s">
        <v>636</v>
      </c>
      <c r="F23" s="368"/>
      <c r="G23" s="369">
        <v>275</v>
      </c>
      <c r="H23" s="369">
        <f t="shared" si="3"/>
        <v>3888500</v>
      </c>
      <c r="I23" s="370"/>
      <c r="J23" s="426">
        <v>790000</v>
      </c>
      <c r="K23" s="371"/>
      <c r="L23" s="372"/>
      <c r="M23" s="358"/>
      <c r="N23" s="358"/>
      <c r="O23" s="358">
        <f t="shared" si="0"/>
        <v>4678500</v>
      </c>
      <c r="P23" s="385">
        <v>3300000</v>
      </c>
      <c r="Q23" s="358">
        <f t="shared" si="1"/>
        <v>-1378500</v>
      </c>
      <c r="R23" s="195"/>
      <c r="S23" s="195"/>
    </row>
    <row r="24" spans="1:19" ht="20.100000000000001" customHeight="1" x14ac:dyDescent="0.25">
      <c r="A24" s="350">
        <v>17</v>
      </c>
      <c r="B24" s="365">
        <v>44302</v>
      </c>
      <c r="C24" s="366" t="s">
        <v>3014</v>
      </c>
      <c r="D24" s="367" t="s">
        <v>3652</v>
      </c>
      <c r="E24" s="354" t="s">
        <v>29</v>
      </c>
      <c r="F24" s="368"/>
      <c r="G24" s="369"/>
      <c r="H24" s="369"/>
      <c r="I24" s="370"/>
      <c r="J24" s="426">
        <v>970000</v>
      </c>
      <c r="K24" s="371"/>
      <c r="L24" s="372"/>
      <c r="M24" s="358"/>
      <c r="N24" s="358"/>
      <c r="O24" s="358">
        <f t="shared" si="0"/>
        <v>970000</v>
      </c>
      <c r="P24" s="385">
        <v>4100000</v>
      </c>
      <c r="Q24" s="358">
        <f t="shared" si="1"/>
        <v>3130000</v>
      </c>
      <c r="R24" s="195"/>
      <c r="S24" s="195"/>
    </row>
    <row r="25" spans="1:19" ht="20.100000000000001" customHeight="1" x14ac:dyDescent="0.25">
      <c r="A25" s="350">
        <v>18</v>
      </c>
      <c r="B25" s="365">
        <v>44305</v>
      </c>
      <c r="C25" s="366" t="s">
        <v>2407</v>
      </c>
      <c r="D25" s="367" t="s">
        <v>3653</v>
      </c>
      <c r="E25" s="354" t="s">
        <v>3664</v>
      </c>
      <c r="F25" s="368"/>
      <c r="G25" s="369"/>
      <c r="H25" s="369"/>
      <c r="I25" s="370"/>
      <c r="J25" s="426">
        <v>1150000</v>
      </c>
      <c r="K25" s="371"/>
      <c r="L25" s="372"/>
      <c r="M25" s="358"/>
      <c r="N25" s="358"/>
      <c r="O25" s="358">
        <f t="shared" si="0"/>
        <v>1150000</v>
      </c>
      <c r="P25" s="385">
        <v>3500000</v>
      </c>
      <c r="Q25" s="358">
        <f t="shared" si="1"/>
        <v>2350000</v>
      </c>
      <c r="R25" s="195"/>
      <c r="S25" s="195"/>
    </row>
    <row r="26" spans="1:19" ht="20.100000000000001" customHeight="1" x14ac:dyDescent="0.25">
      <c r="A26" s="350">
        <v>19</v>
      </c>
      <c r="B26" s="365">
        <v>44305</v>
      </c>
      <c r="C26" s="366" t="s">
        <v>2408</v>
      </c>
      <c r="D26" s="367" t="s">
        <v>3654</v>
      </c>
      <c r="E26" s="354" t="s">
        <v>3665</v>
      </c>
      <c r="F26" s="368"/>
      <c r="G26" s="369">
        <v>260</v>
      </c>
      <c r="H26" s="369">
        <f t="shared" si="3"/>
        <v>3676400</v>
      </c>
      <c r="I26" s="370"/>
      <c r="J26" s="426">
        <v>790000</v>
      </c>
      <c r="K26" s="371"/>
      <c r="L26" s="372"/>
      <c r="M26" s="358"/>
      <c r="N26" s="358"/>
      <c r="O26" s="358">
        <f t="shared" si="0"/>
        <v>4466400</v>
      </c>
      <c r="P26" s="385">
        <v>2700000</v>
      </c>
      <c r="Q26" s="358">
        <f t="shared" si="1"/>
        <v>-1766400</v>
      </c>
      <c r="R26" s="195"/>
      <c r="S26" s="195"/>
    </row>
    <row r="27" spans="1:19" ht="20.100000000000001" customHeight="1" x14ac:dyDescent="0.25">
      <c r="A27" s="350">
        <v>20</v>
      </c>
      <c r="B27" s="365">
        <v>44306</v>
      </c>
      <c r="C27" s="366" t="s">
        <v>1742</v>
      </c>
      <c r="D27" s="367" t="s">
        <v>3655</v>
      </c>
      <c r="E27" s="354" t="s">
        <v>3558</v>
      </c>
      <c r="F27" s="368"/>
      <c r="G27" s="369"/>
      <c r="H27" s="369"/>
      <c r="I27" s="370"/>
      <c r="J27" s="426">
        <v>1400000</v>
      </c>
      <c r="K27" s="371"/>
      <c r="L27" s="372"/>
      <c r="M27" s="358"/>
      <c r="N27" s="358"/>
      <c r="O27" s="358">
        <f t="shared" si="0"/>
        <v>1400000</v>
      </c>
      <c r="P27" s="385">
        <v>6000000</v>
      </c>
      <c r="Q27" s="358">
        <f t="shared" si="1"/>
        <v>4600000</v>
      </c>
      <c r="R27" s="195"/>
      <c r="S27" s="195"/>
    </row>
    <row r="28" spans="1:19" ht="20.100000000000001" customHeight="1" x14ac:dyDescent="0.25">
      <c r="A28" s="350">
        <v>21</v>
      </c>
      <c r="B28" s="365">
        <v>44309</v>
      </c>
      <c r="C28" s="366" t="s">
        <v>3634</v>
      </c>
      <c r="D28" s="367" t="s">
        <v>827</v>
      </c>
      <c r="E28" s="354" t="s">
        <v>286</v>
      </c>
      <c r="F28" s="368"/>
      <c r="G28" s="369"/>
      <c r="H28" s="369"/>
      <c r="I28" s="370"/>
      <c r="J28" s="426">
        <v>1150000</v>
      </c>
      <c r="K28" s="371"/>
      <c r="L28" s="372"/>
      <c r="M28" s="358"/>
      <c r="N28" s="358"/>
      <c r="O28" s="358">
        <f t="shared" si="0"/>
        <v>1150000</v>
      </c>
      <c r="P28" s="385">
        <v>3700000</v>
      </c>
      <c r="Q28" s="358">
        <f t="shared" si="1"/>
        <v>2550000</v>
      </c>
      <c r="R28" s="195"/>
      <c r="S28" s="195"/>
    </row>
    <row r="29" spans="1:19" ht="20.100000000000001" customHeight="1" x14ac:dyDescent="0.25">
      <c r="A29" s="350">
        <v>22</v>
      </c>
      <c r="B29" s="365">
        <v>44309</v>
      </c>
      <c r="C29" s="366" t="s">
        <v>3635</v>
      </c>
      <c r="D29" s="367" t="s">
        <v>3656</v>
      </c>
      <c r="E29" s="354" t="s">
        <v>3666</v>
      </c>
      <c r="F29" s="368"/>
      <c r="G29" s="369">
        <v>270</v>
      </c>
      <c r="H29" s="369">
        <f t="shared" si="3"/>
        <v>3817800</v>
      </c>
      <c r="I29" s="370"/>
      <c r="J29" s="426">
        <v>660000</v>
      </c>
      <c r="K29" s="371"/>
      <c r="L29" s="372"/>
      <c r="M29" s="358"/>
      <c r="N29" s="358"/>
      <c r="O29" s="358">
        <f t="shared" si="0"/>
        <v>4477800</v>
      </c>
      <c r="P29" s="385">
        <v>2000000</v>
      </c>
      <c r="Q29" s="358">
        <f t="shared" si="1"/>
        <v>-2477800</v>
      </c>
      <c r="R29" s="195"/>
      <c r="S29" s="195"/>
    </row>
    <row r="30" spans="1:19" ht="20.100000000000001" customHeight="1" x14ac:dyDescent="0.25">
      <c r="A30" s="350">
        <v>23</v>
      </c>
      <c r="B30" s="365">
        <v>44310</v>
      </c>
      <c r="C30" s="366" t="s">
        <v>3636</v>
      </c>
      <c r="D30" s="367" t="s">
        <v>3657</v>
      </c>
      <c r="E30" s="354" t="s">
        <v>88</v>
      </c>
      <c r="F30" s="368"/>
      <c r="G30" s="369"/>
      <c r="H30" s="369">
        <f t="shared" si="3"/>
        <v>0</v>
      </c>
      <c r="I30" s="370"/>
      <c r="J30" s="426">
        <v>790000</v>
      </c>
      <c r="K30" s="371"/>
      <c r="L30" s="372"/>
      <c r="M30" s="358"/>
      <c r="N30" s="358"/>
      <c r="O30" s="358">
        <f t="shared" si="0"/>
        <v>790000</v>
      </c>
      <c r="P30" s="385">
        <v>3400000</v>
      </c>
      <c r="Q30" s="358">
        <f t="shared" si="1"/>
        <v>2610000</v>
      </c>
      <c r="R30" s="195"/>
      <c r="S30" s="195"/>
    </row>
    <row r="31" spans="1:19" ht="20.100000000000001" customHeight="1" x14ac:dyDescent="0.25">
      <c r="A31" s="350">
        <v>24</v>
      </c>
      <c r="B31" s="365">
        <v>44310</v>
      </c>
      <c r="C31" s="366" t="s">
        <v>2414</v>
      </c>
      <c r="D31" s="367" t="s">
        <v>3658</v>
      </c>
      <c r="E31" s="354" t="s">
        <v>1381</v>
      </c>
      <c r="F31" s="368"/>
      <c r="G31" s="369">
        <v>210</v>
      </c>
      <c r="H31" s="369">
        <f t="shared" si="3"/>
        <v>2969400</v>
      </c>
      <c r="I31" s="370"/>
      <c r="J31" s="426">
        <v>300000</v>
      </c>
      <c r="K31" s="371"/>
      <c r="L31" s="372"/>
      <c r="M31" s="358"/>
      <c r="N31" s="358"/>
      <c r="O31" s="358">
        <f t="shared" si="0"/>
        <v>3269400</v>
      </c>
      <c r="P31" s="385">
        <v>1500000</v>
      </c>
      <c r="Q31" s="358">
        <f t="shared" si="1"/>
        <v>-1769400</v>
      </c>
      <c r="R31" s="195"/>
      <c r="S31" s="195"/>
    </row>
    <row r="32" spans="1:19" ht="20.100000000000001" customHeight="1" x14ac:dyDescent="0.25">
      <c r="A32" s="350">
        <v>25</v>
      </c>
      <c r="B32" s="365">
        <v>44310</v>
      </c>
      <c r="C32" s="366" t="s">
        <v>2414</v>
      </c>
      <c r="D32" s="367" t="s">
        <v>3659</v>
      </c>
      <c r="E32" s="354" t="s">
        <v>706</v>
      </c>
      <c r="F32" s="368"/>
      <c r="G32" s="369"/>
      <c r="H32" s="369"/>
      <c r="I32" s="370"/>
      <c r="J32" s="426">
        <v>970000</v>
      </c>
      <c r="K32" s="371"/>
      <c r="L32" s="372"/>
      <c r="M32" s="358"/>
      <c r="N32" s="358"/>
      <c r="O32" s="358">
        <f t="shared" si="0"/>
        <v>970000</v>
      </c>
      <c r="P32" s="385">
        <v>3760000</v>
      </c>
      <c r="Q32" s="358">
        <f t="shared" si="1"/>
        <v>2790000</v>
      </c>
      <c r="R32" s="195"/>
      <c r="S32" s="195"/>
    </row>
    <row r="33" spans="1:19" ht="20.100000000000001" customHeight="1" x14ac:dyDescent="0.25">
      <c r="A33" s="350">
        <v>26</v>
      </c>
      <c r="B33" s="365">
        <v>44312</v>
      </c>
      <c r="C33" s="366" t="s">
        <v>3637</v>
      </c>
      <c r="D33" s="367" t="s">
        <v>3660</v>
      </c>
      <c r="E33" s="354" t="s">
        <v>1212</v>
      </c>
      <c r="F33" s="368"/>
      <c r="G33" s="369"/>
      <c r="H33" s="369"/>
      <c r="I33" s="370"/>
      <c r="J33" s="426">
        <v>2740000</v>
      </c>
      <c r="K33" s="371"/>
      <c r="L33" s="372"/>
      <c r="M33" s="358"/>
      <c r="N33" s="358"/>
      <c r="O33" s="358">
        <f t="shared" si="0"/>
        <v>2740000</v>
      </c>
      <c r="P33" s="385">
        <v>13727273</v>
      </c>
      <c r="Q33" s="358">
        <f t="shared" si="1"/>
        <v>10987273</v>
      </c>
      <c r="R33" s="195"/>
      <c r="S33" s="195"/>
    </row>
    <row r="34" spans="1:19" ht="20.100000000000001" customHeight="1" x14ac:dyDescent="0.25">
      <c r="A34" s="350">
        <v>27</v>
      </c>
      <c r="B34" s="365">
        <v>44314</v>
      </c>
      <c r="C34" s="366" t="s">
        <v>1746</v>
      </c>
      <c r="D34" s="367" t="s">
        <v>3661</v>
      </c>
      <c r="E34" s="354" t="s">
        <v>2589</v>
      </c>
      <c r="F34" s="368"/>
      <c r="G34" s="369">
        <v>340</v>
      </c>
      <c r="H34" s="369">
        <f>G34*14320</f>
        <v>4868800</v>
      </c>
      <c r="I34" s="370"/>
      <c r="J34" s="426">
        <v>1150000</v>
      </c>
      <c r="K34" s="371"/>
      <c r="L34" s="372"/>
      <c r="M34" s="358"/>
      <c r="N34" s="358"/>
      <c r="O34" s="358">
        <f t="shared" si="0"/>
        <v>6018800</v>
      </c>
      <c r="P34" s="385">
        <v>3950000</v>
      </c>
      <c r="Q34" s="358">
        <f t="shared" si="1"/>
        <v>-2068800</v>
      </c>
      <c r="R34" s="195"/>
      <c r="S34" s="195"/>
    </row>
    <row r="35" spans="1:19" ht="20.100000000000001" customHeight="1" x14ac:dyDescent="0.25">
      <c r="A35" s="374"/>
      <c r="B35" s="375"/>
      <c r="C35" s="416"/>
      <c r="D35" s="417"/>
      <c r="E35" s="354"/>
      <c r="F35" s="355"/>
      <c r="G35" s="369"/>
      <c r="H35" s="369"/>
      <c r="I35" s="370"/>
      <c r="J35" s="358"/>
      <c r="K35" s="371"/>
      <c r="L35" s="372"/>
      <c r="M35" s="358"/>
      <c r="N35" s="361"/>
      <c r="O35" s="362"/>
      <c r="P35" s="377"/>
      <c r="Q35" s="378"/>
      <c r="R35" s="195"/>
      <c r="S35" s="195"/>
    </row>
    <row r="36" spans="1:19" ht="27" customHeight="1" x14ac:dyDescent="0.25">
      <c r="A36" s="374"/>
      <c r="B36" s="379"/>
      <c r="C36" s="594" t="s">
        <v>1273</v>
      </c>
      <c r="D36" s="595"/>
      <c r="E36" s="596"/>
      <c r="F36" s="380"/>
      <c r="G36" s="381"/>
      <c r="H36" s="369"/>
      <c r="I36" s="403"/>
      <c r="J36" s="381"/>
      <c r="K36" s="371"/>
      <c r="L36" s="372">
        <v>1200000</v>
      </c>
      <c r="M36" s="381"/>
      <c r="N36" s="384"/>
      <c r="O36" s="362">
        <f>H36+J36+K36+L36+M36+N36</f>
        <v>1200000</v>
      </c>
      <c r="P36" s="385"/>
      <c r="Q36" s="378"/>
    </row>
    <row r="37" spans="1:19" ht="27" customHeight="1" x14ac:dyDescent="0.25">
      <c r="A37" s="386"/>
      <c r="B37" s="379"/>
      <c r="C37" s="431" t="s">
        <v>1780</v>
      </c>
      <c r="D37" s="432"/>
      <c r="E37" s="433"/>
      <c r="F37" s="380"/>
      <c r="G37" s="381"/>
      <c r="H37" s="369"/>
      <c r="I37" s="403"/>
      <c r="J37" s="381"/>
      <c r="K37" s="404"/>
      <c r="L37" s="388">
        <v>7717000</v>
      </c>
      <c r="M37" s="381"/>
      <c r="N37" s="384"/>
      <c r="O37" s="362">
        <f t="shared" ref="O37:O44" si="4">H37+J37+K37+L37+M37+N37</f>
        <v>7717000</v>
      </c>
      <c r="P37" s="389"/>
      <c r="Q37" s="378"/>
    </row>
    <row r="38" spans="1:19" ht="27" customHeight="1" x14ac:dyDescent="0.25">
      <c r="A38" s="386"/>
      <c r="B38" s="379"/>
      <c r="C38" s="594" t="s">
        <v>1090</v>
      </c>
      <c r="D38" s="595"/>
      <c r="E38" s="596"/>
      <c r="F38" s="380"/>
      <c r="G38" s="381"/>
      <c r="H38" s="369"/>
      <c r="I38" s="403"/>
      <c r="J38" s="381"/>
      <c r="K38" s="404"/>
      <c r="L38" s="388">
        <v>840000</v>
      </c>
      <c r="M38" s="381"/>
      <c r="N38" s="384"/>
      <c r="O38" s="362">
        <f t="shared" si="4"/>
        <v>840000</v>
      </c>
      <c r="P38" s="389"/>
      <c r="Q38" s="378"/>
    </row>
    <row r="39" spans="1:19" ht="27" customHeight="1" x14ac:dyDescent="0.25">
      <c r="A39" s="386"/>
      <c r="B39" s="379"/>
      <c r="C39" s="594" t="s">
        <v>3370</v>
      </c>
      <c r="D39" s="595"/>
      <c r="E39" s="596"/>
      <c r="F39" s="380"/>
      <c r="G39" s="381"/>
      <c r="H39" s="369"/>
      <c r="I39" s="403"/>
      <c r="J39" s="381"/>
      <c r="K39" s="404"/>
      <c r="L39" s="388">
        <v>500000</v>
      </c>
      <c r="M39" s="381"/>
      <c r="N39" s="384"/>
      <c r="O39" s="362">
        <f t="shared" si="4"/>
        <v>500000</v>
      </c>
      <c r="P39" s="389"/>
      <c r="Q39" s="378"/>
    </row>
    <row r="40" spans="1:19" ht="27" customHeight="1" x14ac:dyDescent="0.25">
      <c r="A40" s="386"/>
      <c r="B40" s="379"/>
      <c r="C40" s="594" t="s">
        <v>3667</v>
      </c>
      <c r="D40" s="595"/>
      <c r="E40" s="596"/>
      <c r="F40" s="402"/>
      <c r="G40" s="381"/>
      <c r="H40" s="369"/>
      <c r="I40" s="403"/>
      <c r="J40" s="381"/>
      <c r="K40" s="404"/>
      <c r="L40" s="388">
        <v>140000</v>
      </c>
      <c r="M40" s="372"/>
      <c r="N40" s="381"/>
      <c r="O40" s="362">
        <f t="shared" si="4"/>
        <v>140000</v>
      </c>
      <c r="P40" s="389"/>
      <c r="Q40" s="378"/>
    </row>
    <row r="41" spans="1:19" ht="27" customHeight="1" x14ac:dyDescent="0.25">
      <c r="A41" s="386"/>
      <c r="B41" s="379"/>
      <c r="C41" s="594" t="s">
        <v>3668</v>
      </c>
      <c r="D41" s="595"/>
      <c r="E41" s="596"/>
      <c r="F41" s="402"/>
      <c r="G41" s="381"/>
      <c r="H41" s="369"/>
      <c r="I41" s="403"/>
      <c r="J41" s="381"/>
      <c r="K41" s="404"/>
      <c r="L41" s="388">
        <v>100000</v>
      </c>
      <c r="M41" s="388"/>
      <c r="N41" s="381"/>
      <c r="O41" s="362">
        <f t="shared" si="4"/>
        <v>100000</v>
      </c>
      <c r="P41" s="389"/>
      <c r="Q41" s="378"/>
    </row>
    <row r="42" spans="1:19" ht="27" customHeight="1" x14ac:dyDescent="0.25">
      <c r="A42" s="386"/>
      <c r="B42" s="379"/>
      <c r="C42" s="594" t="s">
        <v>3669</v>
      </c>
      <c r="D42" s="595"/>
      <c r="E42" s="596"/>
      <c r="F42" s="402"/>
      <c r="G42" s="381"/>
      <c r="H42" s="369"/>
      <c r="I42" s="403"/>
      <c r="J42" s="381"/>
      <c r="K42" s="404"/>
      <c r="L42" s="388">
        <v>160000</v>
      </c>
      <c r="M42" s="388"/>
      <c r="N42" s="388"/>
      <c r="O42" s="362">
        <f t="shared" si="4"/>
        <v>160000</v>
      </c>
      <c r="P42" s="389"/>
      <c r="Q42" s="378"/>
    </row>
    <row r="43" spans="1:19" ht="27" customHeight="1" x14ac:dyDescent="0.25">
      <c r="A43" s="386"/>
      <c r="B43" s="379"/>
      <c r="C43" s="594" t="s">
        <v>3670</v>
      </c>
      <c r="D43" s="595"/>
      <c r="E43" s="596"/>
      <c r="F43" s="402"/>
      <c r="G43" s="381"/>
      <c r="H43" s="369"/>
      <c r="I43" s="403"/>
      <c r="J43" s="381"/>
      <c r="K43" s="404"/>
      <c r="L43" s="388">
        <v>18460000</v>
      </c>
      <c r="M43" s="388"/>
      <c r="N43" s="388"/>
      <c r="O43" s="362">
        <f t="shared" si="4"/>
        <v>18460000</v>
      </c>
      <c r="P43" s="389"/>
      <c r="Q43" s="378"/>
    </row>
    <row r="44" spans="1:19" ht="27" customHeight="1" x14ac:dyDescent="0.25">
      <c r="A44" s="386"/>
      <c r="B44" s="379"/>
      <c r="C44" s="428" t="s">
        <v>3672</v>
      </c>
      <c r="D44" s="429"/>
      <c r="E44" s="430"/>
      <c r="F44" s="402"/>
      <c r="G44" s="381"/>
      <c r="H44" s="369"/>
      <c r="I44" s="403"/>
      <c r="J44" s="381"/>
      <c r="K44" s="394">
        <v>500000</v>
      </c>
      <c r="L44" s="388"/>
      <c r="M44" s="388"/>
      <c r="N44" s="388"/>
      <c r="O44" s="362">
        <f t="shared" si="4"/>
        <v>500000</v>
      </c>
      <c r="P44" s="389"/>
      <c r="Q44" s="378"/>
    </row>
    <row r="45" spans="1:19" ht="18" customHeight="1" x14ac:dyDescent="0.25">
      <c r="A45" s="386"/>
      <c r="B45" s="391"/>
      <c r="C45" s="579" t="s">
        <v>1386</v>
      </c>
      <c r="D45" s="580"/>
      <c r="E45" s="581"/>
      <c r="F45" s="392"/>
      <c r="G45" s="381"/>
      <c r="H45" s="382"/>
      <c r="I45" s="383"/>
      <c r="J45" s="384"/>
      <c r="K45" s="394">
        <f>29/26*9000000</f>
        <v>10038461.538461538</v>
      </c>
      <c r="L45" s="394"/>
      <c r="M45" s="384"/>
      <c r="N45" s="384"/>
      <c r="O45" s="362">
        <f t="shared" ref="O45" si="5">H45+J45+K45+L45+M45+N45</f>
        <v>10038461.538461538</v>
      </c>
      <c r="P45" s="389"/>
      <c r="Q45" s="378"/>
    </row>
    <row r="46" spans="1:19" x14ac:dyDescent="0.25">
      <c r="A46" s="576" t="s">
        <v>19</v>
      </c>
      <c r="B46" s="577"/>
      <c r="C46" s="577"/>
      <c r="D46" s="577"/>
      <c r="E46" s="577"/>
      <c r="F46" s="578"/>
      <c r="G46" s="427">
        <f>SUM(G8:G45)</f>
        <v>3210</v>
      </c>
      <c r="H46" s="396">
        <f t="shared" ref="H46:P46" si="6">SUM(H7:H45)</f>
        <v>45595100</v>
      </c>
      <c r="I46" s="396">
        <f t="shared" si="6"/>
        <v>0</v>
      </c>
      <c r="J46" s="396">
        <f t="shared" si="6"/>
        <v>33610000</v>
      </c>
      <c r="K46" s="396">
        <f t="shared" si="6"/>
        <v>10538461.538461538</v>
      </c>
      <c r="L46" s="396">
        <f t="shared" si="6"/>
        <v>29117000</v>
      </c>
      <c r="M46" s="396">
        <f t="shared" si="6"/>
        <v>0</v>
      </c>
      <c r="N46" s="396">
        <f t="shared" si="6"/>
        <v>0</v>
      </c>
      <c r="O46" s="396">
        <f>SUM(O7:O45)</f>
        <v>118860561.53846154</v>
      </c>
      <c r="P46" s="396">
        <f t="shared" si="6"/>
        <v>137324546</v>
      </c>
      <c r="Q46" s="397">
        <f>P46-O46</f>
        <v>18463984.461538464</v>
      </c>
      <c r="R46" s="195"/>
    </row>
    <row r="47" spans="1:19" x14ac:dyDescent="0.25">
      <c r="P47" s="294"/>
      <c r="Q47" s="295"/>
    </row>
    <row r="48" spans="1:19" x14ac:dyDescent="0.25">
      <c r="B48"/>
      <c r="G48"/>
      <c r="H48" s="294"/>
      <c r="P48" s="296" t="s">
        <v>1225</v>
      </c>
      <c r="Q48" s="304">
        <f>'03.2021'!Q46+'04.2021'!Q46</f>
        <v>116447113.84615386</v>
      </c>
    </row>
    <row r="49" spans="2:18" x14ac:dyDescent="0.25">
      <c r="B49"/>
      <c r="G49"/>
      <c r="Q49" s="294"/>
    </row>
    <row r="50" spans="2:18" x14ac:dyDescent="0.25">
      <c r="B50"/>
      <c r="G50"/>
      <c r="R50" s="195"/>
    </row>
  </sheetData>
  <mergeCells count="13">
    <mergeCell ref="A1:Q1"/>
    <mergeCell ref="A2:Q2"/>
    <mergeCell ref="A3:Q3"/>
    <mergeCell ref="G5:N5"/>
    <mergeCell ref="C36:E36"/>
    <mergeCell ref="C41:E41"/>
    <mergeCell ref="C42:E42"/>
    <mergeCell ref="C45:E45"/>
    <mergeCell ref="A46:F46"/>
    <mergeCell ref="C38:E38"/>
    <mergeCell ref="C39:E39"/>
    <mergeCell ref="C43:E43"/>
    <mergeCell ref="C40:E40"/>
  </mergeCells>
  <pageMargins left="0.7" right="0.7" top="0.75" bottom="0.75" header="0.3" footer="0.3"/>
  <pageSetup orientation="portrait" horizontalDpi="0" verticalDpi="0"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S54"/>
  <sheetViews>
    <sheetView topLeftCell="A34" workbookViewId="0">
      <selection activeCell="L37" sqref="L37:L47"/>
    </sheetView>
  </sheetViews>
  <sheetFormatPr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0.28515625" style="292" bestFit="1"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3734</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19"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19" x14ac:dyDescent="0.25">
      <c r="A7" s="75"/>
      <c r="B7" s="100"/>
      <c r="C7" s="88"/>
      <c r="D7" s="88"/>
      <c r="E7" s="134"/>
      <c r="F7" s="75"/>
      <c r="G7" s="264"/>
      <c r="H7" s="264"/>
      <c r="I7" s="264"/>
      <c r="J7" s="264"/>
      <c r="K7" s="264"/>
      <c r="L7" s="308"/>
      <c r="M7" s="264"/>
      <c r="N7" s="264"/>
      <c r="O7" s="265"/>
      <c r="P7" s="265"/>
      <c r="Q7" s="264"/>
    </row>
    <row r="8" spans="1:19" ht="20.100000000000001" customHeight="1" x14ac:dyDescent="0.25">
      <c r="A8" s="350">
        <v>1</v>
      </c>
      <c r="B8" s="365">
        <v>44315</v>
      </c>
      <c r="C8" s="366" t="s">
        <v>3673</v>
      </c>
      <c r="D8" s="367" t="s">
        <v>3692</v>
      </c>
      <c r="E8" s="354" t="s">
        <v>88</v>
      </c>
      <c r="F8" s="368"/>
      <c r="G8" s="369"/>
      <c r="H8" s="369"/>
      <c r="I8" s="418"/>
      <c r="J8" s="414">
        <v>790000</v>
      </c>
      <c r="K8" s="371"/>
      <c r="L8" s="372"/>
      <c r="M8" s="358"/>
      <c r="N8" s="358"/>
      <c r="O8" s="358">
        <f>H8+J8+K8+L8+M8+N8</f>
        <v>790000</v>
      </c>
      <c r="P8" s="358">
        <v>3400000</v>
      </c>
      <c r="Q8" s="358">
        <f>P8-O8</f>
        <v>2610000</v>
      </c>
      <c r="R8" s="195"/>
      <c r="S8" s="195"/>
    </row>
    <row r="9" spans="1:19" ht="20.100000000000001" customHeight="1" x14ac:dyDescent="0.25">
      <c r="A9" s="350">
        <v>2</v>
      </c>
      <c r="B9" s="365">
        <v>44319</v>
      </c>
      <c r="C9" s="366" t="s">
        <v>3674</v>
      </c>
      <c r="D9" s="415" t="s">
        <v>3693</v>
      </c>
      <c r="E9" s="354" t="s">
        <v>286</v>
      </c>
      <c r="F9" s="368"/>
      <c r="G9" s="369"/>
      <c r="H9" s="369"/>
      <c r="I9" s="370"/>
      <c r="J9" s="414">
        <f>1150000-180000</f>
        <v>970000</v>
      </c>
      <c r="K9" s="371"/>
      <c r="L9" s="372"/>
      <c r="M9" s="358"/>
      <c r="N9" s="358"/>
      <c r="O9" s="358">
        <f t="shared" ref="O9:O35" si="0">H9+J9+K9+L9+M9+N9</f>
        <v>970000</v>
      </c>
      <c r="P9" s="385">
        <v>3700000</v>
      </c>
      <c r="Q9" s="358">
        <f t="shared" ref="Q9:Q35" si="1">P9-O9</f>
        <v>2730000</v>
      </c>
      <c r="R9" s="195"/>
      <c r="S9" s="195"/>
    </row>
    <row r="10" spans="1:19" ht="20.100000000000001" customHeight="1" x14ac:dyDescent="0.25">
      <c r="A10" s="350">
        <v>3</v>
      </c>
      <c r="B10" s="365">
        <v>44320</v>
      </c>
      <c r="C10" s="366" t="s">
        <v>3058</v>
      </c>
      <c r="D10" s="367" t="s">
        <v>764</v>
      </c>
      <c r="E10" s="354" t="s">
        <v>3717</v>
      </c>
      <c r="F10" s="368"/>
      <c r="G10" s="369"/>
      <c r="H10" s="369"/>
      <c r="I10" s="370"/>
      <c r="J10" s="414">
        <v>790000</v>
      </c>
      <c r="K10" s="371"/>
      <c r="L10" s="372"/>
      <c r="M10" s="358"/>
      <c r="N10" s="358"/>
      <c r="O10" s="358">
        <f t="shared" si="0"/>
        <v>790000</v>
      </c>
      <c r="P10" s="385">
        <v>3227273</v>
      </c>
      <c r="Q10" s="358">
        <f t="shared" si="1"/>
        <v>2437273</v>
      </c>
      <c r="R10" s="195"/>
      <c r="S10" s="195"/>
    </row>
    <row r="11" spans="1:19" ht="20.100000000000001" customHeight="1" x14ac:dyDescent="0.25">
      <c r="A11" s="350">
        <v>4</v>
      </c>
      <c r="B11" s="365">
        <v>44321</v>
      </c>
      <c r="C11" s="366" t="s">
        <v>3675</v>
      </c>
      <c r="D11" s="367" t="s">
        <v>3694</v>
      </c>
      <c r="E11" s="354" t="s">
        <v>21</v>
      </c>
      <c r="F11" s="368"/>
      <c r="G11" s="369">
        <v>260</v>
      </c>
      <c r="H11" s="369">
        <f>G11*14320</f>
        <v>3723200</v>
      </c>
      <c r="I11" s="370"/>
      <c r="J11" s="414">
        <v>2740000</v>
      </c>
      <c r="K11" s="371"/>
      <c r="L11" s="372"/>
      <c r="M11" s="358"/>
      <c r="N11" s="358"/>
      <c r="O11" s="358">
        <f t="shared" si="0"/>
        <v>6463200</v>
      </c>
      <c r="P11" s="385">
        <v>13181818</v>
      </c>
      <c r="Q11" s="358">
        <f t="shared" si="1"/>
        <v>6718618</v>
      </c>
      <c r="R11" s="195"/>
      <c r="S11" s="195"/>
    </row>
    <row r="12" spans="1:19" ht="23.25" customHeight="1" x14ac:dyDescent="0.25">
      <c r="A12" s="350">
        <v>5</v>
      </c>
      <c r="B12" s="365">
        <v>44322</v>
      </c>
      <c r="C12" s="366" t="s">
        <v>3676</v>
      </c>
      <c r="D12" s="367" t="s">
        <v>3695</v>
      </c>
      <c r="E12" s="354" t="s">
        <v>2009</v>
      </c>
      <c r="F12" s="368"/>
      <c r="G12" s="369">
        <v>255</v>
      </c>
      <c r="H12" s="369">
        <f t="shared" ref="H12:H15" si="2">G12*14320</f>
        <v>3651600</v>
      </c>
      <c r="I12" s="370"/>
      <c r="J12" s="414">
        <v>1000000</v>
      </c>
      <c r="K12" s="371"/>
      <c r="L12" s="372"/>
      <c r="M12" s="358"/>
      <c r="N12" s="358"/>
      <c r="O12" s="358">
        <f t="shared" si="0"/>
        <v>4651600</v>
      </c>
      <c r="P12" s="385">
        <v>5509091</v>
      </c>
      <c r="Q12" s="358">
        <f t="shared" si="1"/>
        <v>857491</v>
      </c>
      <c r="R12" s="195"/>
      <c r="S12" s="195"/>
    </row>
    <row r="13" spans="1:19" ht="20.100000000000001" customHeight="1" x14ac:dyDescent="0.25">
      <c r="A13" s="350">
        <v>6</v>
      </c>
      <c r="B13" s="365">
        <v>44323</v>
      </c>
      <c r="C13" s="366" t="s">
        <v>2459</v>
      </c>
      <c r="D13" s="367" t="s">
        <v>3696</v>
      </c>
      <c r="E13" s="354" t="s">
        <v>2117</v>
      </c>
      <c r="F13" s="368"/>
      <c r="G13" s="369">
        <v>270</v>
      </c>
      <c r="H13" s="369">
        <f t="shared" si="2"/>
        <v>3866400</v>
      </c>
      <c r="I13" s="370"/>
      <c r="J13" s="414">
        <v>1400000</v>
      </c>
      <c r="K13" s="371"/>
      <c r="L13" s="372"/>
      <c r="M13" s="358"/>
      <c r="N13" s="358"/>
      <c r="O13" s="358">
        <f t="shared" si="0"/>
        <v>5266400</v>
      </c>
      <c r="P13" s="385">
        <v>5909091</v>
      </c>
      <c r="Q13" s="358">
        <f t="shared" si="1"/>
        <v>642691</v>
      </c>
      <c r="R13" s="195"/>
      <c r="S13" s="195"/>
    </row>
    <row r="14" spans="1:19" ht="20.100000000000001" customHeight="1" x14ac:dyDescent="0.25">
      <c r="A14" s="350">
        <v>7</v>
      </c>
      <c r="B14" s="365">
        <v>44323</v>
      </c>
      <c r="C14" s="366" t="s">
        <v>1115</v>
      </c>
      <c r="D14" s="367" t="s">
        <v>3697</v>
      </c>
      <c r="E14" s="354" t="s">
        <v>1081</v>
      </c>
      <c r="F14" s="368"/>
      <c r="G14" s="369"/>
      <c r="H14" s="369"/>
      <c r="I14" s="370"/>
      <c r="J14" s="414">
        <v>2690000</v>
      </c>
      <c r="K14" s="371"/>
      <c r="L14" s="372"/>
      <c r="M14" s="358"/>
      <c r="N14" s="358"/>
      <c r="O14" s="358">
        <f t="shared" si="0"/>
        <v>2690000</v>
      </c>
      <c r="P14" s="385">
        <v>3845455</v>
      </c>
      <c r="Q14" s="358">
        <f t="shared" si="1"/>
        <v>1155455</v>
      </c>
      <c r="R14" s="195"/>
      <c r="S14" s="195"/>
    </row>
    <row r="15" spans="1:19" ht="20.100000000000001" customHeight="1" x14ac:dyDescent="0.25">
      <c r="A15" s="350">
        <v>8</v>
      </c>
      <c r="B15" s="365">
        <v>44326</v>
      </c>
      <c r="C15" s="366" t="s">
        <v>3677</v>
      </c>
      <c r="D15" s="367" t="s">
        <v>3697</v>
      </c>
      <c r="E15" s="354" t="s">
        <v>2120</v>
      </c>
      <c r="F15" s="368"/>
      <c r="G15" s="369">
        <v>271</v>
      </c>
      <c r="H15" s="369">
        <f t="shared" si="2"/>
        <v>3880720</v>
      </c>
      <c r="I15" s="370"/>
      <c r="J15" s="414">
        <v>0</v>
      </c>
      <c r="K15" s="371"/>
      <c r="L15" s="372"/>
      <c r="M15" s="358"/>
      <c r="N15" s="358"/>
      <c r="O15" s="358">
        <f t="shared" si="0"/>
        <v>3880720</v>
      </c>
      <c r="P15" s="385">
        <v>8000000</v>
      </c>
      <c r="Q15" s="358">
        <f t="shared" si="1"/>
        <v>4119280</v>
      </c>
      <c r="R15" s="195"/>
      <c r="S15" s="195"/>
    </row>
    <row r="16" spans="1:19" ht="20.100000000000001" customHeight="1" x14ac:dyDescent="0.25">
      <c r="A16" s="350">
        <v>9</v>
      </c>
      <c r="B16" s="365">
        <v>44327</v>
      </c>
      <c r="C16" s="366" t="s">
        <v>3678</v>
      </c>
      <c r="D16" s="367" t="s">
        <v>3698</v>
      </c>
      <c r="E16" s="354" t="s">
        <v>88</v>
      </c>
      <c r="F16" s="368"/>
      <c r="G16" s="369"/>
      <c r="H16" s="369"/>
      <c r="I16" s="370"/>
      <c r="J16" s="414">
        <v>790000</v>
      </c>
      <c r="K16" s="371"/>
      <c r="L16" s="372"/>
      <c r="M16" s="358"/>
      <c r="N16" s="358"/>
      <c r="O16" s="358">
        <f t="shared" si="0"/>
        <v>790000</v>
      </c>
      <c r="P16" s="385">
        <v>3400000</v>
      </c>
      <c r="Q16" s="358">
        <f t="shared" si="1"/>
        <v>2610000</v>
      </c>
      <c r="R16" s="195"/>
      <c r="S16" s="195"/>
    </row>
    <row r="17" spans="1:19" ht="20.100000000000001" customHeight="1" x14ac:dyDescent="0.25">
      <c r="A17" s="350">
        <v>10</v>
      </c>
      <c r="B17" s="365">
        <v>44328</v>
      </c>
      <c r="C17" s="366" t="s">
        <v>3679</v>
      </c>
      <c r="D17" s="367" t="s">
        <v>3699</v>
      </c>
      <c r="E17" s="354" t="s">
        <v>88</v>
      </c>
      <c r="F17" s="368"/>
      <c r="G17" s="369"/>
      <c r="H17" s="369"/>
      <c r="I17" s="370"/>
      <c r="J17" s="414">
        <v>790000</v>
      </c>
      <c r="K17" s="371"/>
      <c r="L17" s="372"/>
      <c r="M17" s="358"/>
      <c r="N17" s="358"/>
      <c r="O17" s="358">
        <f t="shared" si="0"/>
        <v>790000</v>
      </c>
      <c r="P17" s="385">
        <v>3400000</v>
      </c>
      <c r="Q17" s="358">
        <f t="shared" si="1"/>
        <v>2610000</v>
      </c>
      <c r="R17" s="195"/>
      <c r="S17" s="195"/>
    </row>
    <row r="18" spans="1:19" ht="20.100000000000001" customHeight="1" x14ac:dyDescent="0.25">
      <c r="A18" s="350">
        <v>11</v>
      </c>
      <c r="B18" s="365">
        <v>44329</v>
      </c>
      <c r="C18" s="366" t="s">
        <v>2462</v>
      </c>
      <c r="D18" s="367" t="s">
        <v>3700</v>
      </c>
      <c r="E18" s="354" t="s">
        <v>27</v>
      </c>
      <c r="F18" s="368"/>
      <c r="G18" s="369">
        <v>300</v>
      </c>
      <c r="H18" s="369">
        <f>G18*14770</f>
        <v>4431000</v>
      </c>
      <c r="I18" s="370"/>
      <c r="J18" s="414">
        <v>1270000</v>
      </c>
      <c r="K18" s="371"/>
      <c r="L18" s="372"/>
      <c r="M18" s="358"/>
      <c r="N18" s="358"/>
      <c r="O18" s="358">
        <f t="shared" si="0"/>
        <v>5701000</v>
      </c>
      <c r="P18" s="385">
        <v>3663636</v>
      </c>
      <c r="Q18" s="358">
        <f t="shared" si="1"/>
        <v>-2037364</v>
      </c>
      <c r="R18" s="195"/>
      <c r="S18" s="195"/>
    </row>
    <row r="19" spans="1:19" ht="20.100000000000001" customHeight="1" x14ac:dyDescent="0.25">
      <c r="A19" s="350">
        <v>12</v>
      </c>
      <c r="B19" s="365">
        <v>44329</v>
      </c>
      <c r="C19" s="366" t="s">
        <v>3680</v>
      </c>
      <c r="D19" s="367" t="s">
        <v>3701</v>
      </c>
      <c r="E19" s="354" t="s">
        <v>3718</v>
      </c>
      <c r="F19" s="368"/>
      <c r="G19" s="369"/>
      <c r="H19" s="369"/>
      <c r="I19" s="370"/>
      <c r="J19" s="414">
        <v>0</v>
      </c>
      <c r="K19" s="371"/>
      <c r="L19" s="372"/>
      <c r="M19" s="358"/>
      <c r="N19" s="358"/>
      <c r="O19" s="358">
        <f t="shared" si="0"/>
        <v>0</v>
      </c>
      <c r="P19" s="385">
        <v>4318182</v>
      </c>
      <c r="Q19" s="358">
        <f t="shared" si="1"/>
        <v>4318182</v>
      </c>
      <c r="R19" s="195"/>
      <c r="S19" s="195"/>
    </row>
    <row r="20" spans="1:19" ht="20.100000000000001" customHeight="1" x14ac:dyDescent="0.25">
      <c r="A20" s="350">
        <v>13</v>
      </c>
      <c r="B20" s="365">
        <v>44331</v>
      </c>
      <c r="C20" s="366" t="s">
        <v>2463</v>
      </c>
      <c r="D20" s="367" t="s">
        <v>3702</v>
      </c>
      <c r="E20" s="354" t="s">
        <v>2117</v>
      </c>
      <c r="F20" s="368"/>
      <c r="G20" s="369"/>
      <c r="H20" s="369"/>
      <c r="I20" s="370"/>
      <c r="J20" s="414">
        <v>1400000</v>
      </c>
      <c r="K20" s="371"/>
      <c r="L20" s="372"/>
      <c r="M20" s="358"/>
      <c r="N20" s="358"/>
      <c r="O20" s="358">
        <f t="shared" si="0"/>
        <v>1400000</v>
      </c>
      <c r="P20" s="385">
        <v>5909091</v>
      </c>
      <c r="Q20" s="358">
        <f t="shared" si="1"/>
        <v>4509091</v>
      </c>
      <c r="R20" s="195"/>
      <c r="S20" s="195"/>
    </row>
    <row r="21" spans="1:19" ht="20.100000000000001" customHeight="1" x14ac:dyDescent="0.25">
      <c r="A21" s="350">
        <v>14</v>
      </c>
      <c r="B21" s="365">
        <v>44333</v>
      </c>
      <c r="C21" s="366" t="s">
        <v>3681</v>
      </c>
      <c r="D21" s="367" t="s">
        <v>3703</v>
      </c>
      <c r="E21" s="354" t="s">
        <v>3719</v>
      </c>
      <c r="F21" s="368"/>
      <c r="G21" s="369">
        <v>340</v>
      </c>
      <c r="H21" s="369">
        <f t="shared" ref="H21:H35" si="3">G21*14770</f>
        <v>5021800</v>
      </c>
      <c r="I21" s="370"/>
      <c r="J21" s="414">
        <v>790000</v>
      </c>
      <c r="K21" s="371"/>
      <c r="L21" s="372"/>
      <c r="M21" s="358"/>
      <c r="N21" s="358"/>
      <c r="O21" s="358">
        <f t="shared" si="0"/>
        <v>5811800</v>
      </c>
      <c r="P21" s="385">
        <v>2800000</v>
      </c>
      <c r="Q21" s="358">
        <f t="shared" si="1"/>
        <v>-3011800</v>
      </c>
      <c r="R21" s="195"/>
      <c r="S21" s="195"/>
    </row>
    <row r="22" spans="1:19" ht="20.100000000000001" customHeight="1" x14ac:dyDescent="0.25">
      <c r="A22" s="350">
        <v>15</v>
      </c>
      <c r="B22" s="365">
        <v>44334</v>
      </c>
      <c r="C22" s="366" t="s">
        <v>360</v>
      </c>
      <c r="D22" s="367" t="s">
        <v>3704</v>
      </c>
      <c r="E22" s="354" t="s">
        <v>2678</v>
      </c>
      <c r="F22" s="368"/>
      <c r="G22" s="369"/>
      <c r="H22" s="369"/>
      <c r="I22" s="370"/>
      <c r="J22" s="414">
        <v>970000</v>
      </c>
      <c r="K22" s="371"/>
      <c r="L22" s="372"/>
      <c r="M22" s="358"/>
      <c r="N22" s="358"/>
      <c r="O22" s="358">
        <f t="shared" si="0"/>
        <v>970000</v>
      </c>
      <c r="P22" s="385">
        <v>4400000</v>
      </c>
      <c r="Q22" s="358">
        <f t="shared" si="1"/>
        <v>3430000</v>
      </c>
      <c r="R22" s="195"/>
      <c r="S22" s="195"/>
    </row>
    <row r="23" spans="1:19" ht="20.100000000000001" customHeight="1" x14ac:dyDescent="0.25">
      <c r="A23" s="350">
        <v>16</v>
      </c>
      <c r="B23" s="365">
        <v>44335</v>
      </c>
      <c r="C23" s="366" t="s">
        <v>3065</v>
      </c>
      <c r="D23" s="367" t="s">
        <v>3705</v>
      </c>
      <c r="E23" s="354" t="s">
        <v>2885</v>
      </c>
      <c r="F23" s="368"/>
      <c r="G23" s="369"/>
      <c r="H23" s="369"/>
      <c r="I23" s="370"/>
      <c r="J23" s="414">
        <v>790000</v>
      </c>
      <c r="K23" s="371"/>
      <c r="L23" s="372"/>
      <c r="M23" s="358"/>
      <c r="N23" s="358"/>
      <c r="O23" s="358">
        <f t="shared" si="0"/>
        <v>790000</v>
      </c>
      <c r="P23" s="385">
        <v>2954545</v>
      </c>
      <c r="Q23" s="358">
        <f t="shared" si="1"/>
        <v>2164545</v>
      </c>
      <c r="R23" s="195"/>
      <c r="S23" s="195"/>
    </row>
    <row r="24" spans="1:19" ht="20.100000000000001" customHeight="1" x14ac:dyDescent="0.25">
      <c r="A24" s="350">
        <v>17</v>
      </c>
      <c r="B24" s="365">
        <v>44335</v>
      </c>
      <c r="C24" s="366" t="s">
        <v>3682</v>
      </c>
      <c r="D24" s="367" t="s">
        <v>3706</v>
      </c>
      <c r="E24" s="354" t="s">
        <v>2885</v>
      </c>
      <c r="F24" s="368"/>
      <c r="G24" s="369"/>
      <c r="H24" s="369"/>
      <c r="I24" s="370"/>
      <c r="J24" s="414">
        <v>790000</v>
      </c>
      <c r="K24" s="371"/>
      <c r="L24" s="372"/>
      <c r="M24" s="358"/>
      <c r="N24" s="358"/>
      <c r="O24" s="358">
        <f t="shared" si="0"/>
        <v>790000</v>
      </c>
      <c r="P24" s="385">
        <v>2954545</v>
      </c>
      <c r="Q24" s="358">
        <f t="shared" si="1"/>
        <v>2164545</v>
      </c>
      <c r="R24" s="195"/>
      <c r="S24" s="195"/>
    </row>
    <row r="25" spans="1:19" ht="20.100000000000001" customHeight="1" x14ac:dyDescent="0.25">
      <c r="A25" s="350">
        <v>18</v>
      </c>
      <c r="B25" s="365">
        <v>44335</v>
      </c>
      <c r="C25" s="366" t="s">
        <v>3683</v>
      </c>
      <c r="D25" s="367" t="s">
        <v>3707</v>
      </c>
      <c r="E25" s="354" t="s">
        <v>88</v>
      </c>
      <c r="F25" s="368"/>
      <c r="G25" s="369">
        <v>240</v>
      </c>
      <c r="H25" s="369">
        <f t="shared" si="3"/>
        <v>3544800</v>
      </c>
      <c r="I25" s="370"/>
      <c r="J25" s="414">
        <v>790000</v>
      </c>
      <c r="K25" s="371"/>
      <c r="L25" s="372"/>
      <c r="M25" s="358"/>
      <c r="N25" s="358"/>
      <c r="O25" s="358">
        <f t="shared" si="0"/>
        <v>4334800</v>
      </c>
      <c r="P25" s="385">
        <v>3400000</v>
      </c>
      <c r="Q25" s="358">
        <f t="shared" si="1"/>
        <v>-934800</v>
      </c>
      <c r="R25" s="195"/>
      <c r="S25" s="195"/>
    </row>
    <row r="26" spans="1:19" ht="20.100000000000001" customHeight="1" x14ac:dyDescent="0.25">
      <c r="A26" s="350">
        <v>19</v>
      </c>
      <c r="B26" s="365">
        <v>44336</v>
      </c>
      <c r="C26" s="366" t="s">
        <v>1107</v>
      </c>
      <c r="D26" s="367" t="s">
        <v>3708</v>
      </c>
      <c r="E26" s="354" t="s">
        <v>2117</v>
      </c>
      <c r="F26" s="368"/>
      <c r="G26" s="369"/>
      <c r="H26" s="369"/>
      <c r="I26" s="370"/>
      <c r="J26" s="414">
        <v>1400000</v>
      </c>
      <c r="K26" s="371"/>
      <c r="L26" s="372"/>
      <c r="M26" s="358"/>
      <c r="N26" s="358"/>
      <c r="O26" s="358">
        <f t="shared" si="0"/>
        <v>1400000</v>
      </c>
      <c r="P26" s="385">
        <v>5909091</v>
      </c>
      <c r="Q26" s="358">
        <f t="shared" si="1"/>
        <v>4509091</v>
      </c>
      <c r="R26" s="195"/>
      <c r="S26" s="195"/>
    </row>
    <row r="27" spans="1:19" ht="20.100000000000001" customHeight="1" x14ac:dyDescent="0.25">
      <c r="A27" s="350">
        <v>20</v>
      </c>
      <c r="B27" s="365">
        <v>44337</v>
      </c>
      <c r="C27" s="366" t="s">
        <v>3684</v>
      </c>
      <c r="D27" s="367" t="s">
        <v>3709</v>
      </c>
      <c r="E27" s="354" t="s">
        <v>3720</v>
      </c>
      <c r="F27" s="368"/>
      <c r="G27" s="369"/>
      <c r="H27" s="369"/>
      <c r="I27" s="370"/>
      <c r="J27" s="414">
        <v>790000</v>
      </c>
      <c r="K27" s="371"/>
      <c r="L27" s="372"/>
      <c r="M27" s="358"/>
      <c r="N27" s="358"/>
      <c r="O27" s="358">
        <f t="shared" si="0"/>
        <v>790000</v>
      </c>
      <c r="P27" s="385">
        <v>2500000</v>
      </c>
      <c r="Q27" s="358">
        <f t="shared" si="1"/>
        <v>1710000</v>
      </c>
      <c r="R27" s="195"/>
      <c r="S27" s="195"/>
    </row>
    <row r="28" spans="1:19" ht="20.100000000000001" customHeight="1" x14ac:dyDescent="0.25">
      <c r="A28" s="350">
        <v>21</v>
      </c>
      <c r="B28" s="365">
        <v>44340</v>
      </c>
      <c r="C28" s="366" t="s">
        <v>3685</v>
      </c>
      <c r="D28" s="367" t="s">
        <v>3710</v>
      </c>
      <c r="E28" s="354" t="s">
        <v>3721</v>
      </c>
      <c r="F28" s="368"/>
      <c r="G28" s="369">
        <v>210</v>
      </c>
      <c r="H28" s="369">
        <f t="shared" si="3"/>
        <v>3101700</v>
      </c>
      <c r="I28" s="370"/>
      <c r="J28" s="414">
        <v>970000</v>
      </c>
      <c r="K28" s="371"/>
      <c r="L28" s="372"/>
      <c r="M28" s="358"/>
      <c r="N28" s="358"/>
      <c r="O28" s="358">
        <f t="shared" si="0"/>
        <v>4071700</v>
      </c>
      <c r="P28" s="385">
        <v>3400000</v>
      </c>
      <c r="Q28" s="358">
        <f t="shared" si="1"/>
        <v>-671700</v>
      </c>
      <c r="R28" s="195"/>
      <c r="S28" s="195"/>
    </row>
    <row r="29" spans="1:19" ht="20.100000000000001" customHeight="1" x14ac:dyDescent="0.25">
      <c r="A29" s="350">
        <v>22</v>
      </c>
      <c r="B29" s="365">
        <v>44340</v>
      </c>
      <c r="C29" s="366" t="s">
        <v>1800</v>
      </c>
      <c r="D29" s="367" t="s">
        <v>3711</v>
      </c>
      <c r="E29" s="354" t="s">
        <v>2885</v>
      </c>
      <c r="F29" s="368"/>
      <c r="G29" s="369"/>
      <c r="H29" s="369"/>
      <c r="I29" s="370"/>
      <c r="J29" s="414">
        <v>790000</v>
      </c>
      <c r="K29" s="371"/>
      <c r="L29" s="372"/>
      <c r="M29" s="358"/>
      <c r="N29" s="358"/>
      <c r="O29" s="358">
        <f t="shared" si="0"/>
        <v>790000</v>
      </c>
      <c r="P29" s="385">
        <v>2954545</v>
      </c>
      <c r="Q29" s="358">
        <f t="shared" si="1"/>
        <v>2164545</v>
      </c>
      <c r="R29" s="195"/>
      <c r="S29" s="195"/>
    </row>
    <row r="30" spans="1:19" ht="20.100000000000001" customHeight="1" x14ac:dyDescent="0.25">
      <c r="A30" s="350">
        <v>23</v>
      </c>
      <c r="B30" s="365">
        <v>44341</v>
      </c>
      <c r="C30" s="366" t="s">
        <v>1123</v>
      </c>
      <c r="D30" s="367" t="s">
        <v>3711</v>
      </c>
      <c r="E30" s="354" t="s">
        <v>1616</v>
      </c>
      <c r="F30" s="368"/>
      <c r="G30" s="369"/>
      <c r="H30" s="369"/>
      <c r="I30" s="370"/>
      <c r="J30" s="414">
        <v>300000</v>
      </c>
      <c r="K30" s="371"/>
      <c r="L30" s="372"/>
      <c r="M30" s="358"/>
      <c r="N30" s="358"/>
      <c r="O30" s="358">
        <f t="shared" si="0"/>
        <v>300000</v>
      </c>
      <c r="P30" s="385">
        <v>1654545</v>
      </c>
      <c r="Q30" s="358">
        <f t="shared" si="1"/>
        <v>1354545</v>
      </c>
      <c r="R30" s="195"/>
      <c r="S30" s="195"/>
    </row>
    <row r="31" spans="1:19" ht="20.100000000000001" customHeight="1" x14ac:dyDescent="0.25">
      <c r="A31" s="350">
        <v>24</v>
      </c>
      <c r="B31" s="365">
        <v>44342</v>
      </c>
      <c r="C31" s="366" t="s">
        <v>3686</v>
      </c>
      <c r="D31" s="367" t="s">
        <v>3712</v>
      </c>
      <c r="E31" s="354" t="s">
        <v>2885</v>
      </c>
      <c r="F31" s="368"/>
      <c r="G31" s="369">
        <v>281</v>
      </c>
      <c r="H31" s="369">
        <f t="shared" si="3"/>
        <v>4150370</v>
      </c>
      <c r="I31" s="370"/>
      <c r="J31" s="414">
        <v>790000</v>
      </c>
      <c r="K31" s="371"/>
      <c r="L31" s="372"/>
      <c r="M31" s="358"/>
      <c r="N31" s="358"/>
      <c r="O31" s="358">
        <f t="shared" si="0"/>
        <v>4940370</v>
      </c>
      <c r="P31" s="385">
        <v>2954545</v>
      </c>
      <c r="Q31" s="358">
        <f t="shared" si="1"/>
        <v>-1985825</v>
      </c>
      <c r="R31" s="195"/>
      <c r="S31" s="195"/>
    </row>
    <row r="32" spans="1:19" ht="20.100000000000001" customHeight="1" x14ac:dyDescent="0.25">
      <c r="A32" s="350">
        <v>25</v>
      </c>
      <c r="B32" s="365">
        <v>44342</v>
      </c>
      <c r="C32" s="366" t="s">
        <v>3687</v>
      </c>
      <c r="D32" s="367" t="s">
        <v>3713</v>
      </c>
      <c r="E32" s="354" t="s">
        <v>189</v>
      </c>
      <c r="F32" s="368"/>
      <c r="G32" s="369"/>
      <c r="H32" s="369"/>
      <c r="I32" s="370"/>
      <c r="J32" s="414">
        <v>1890000</v>
      </c>
      <c r="K32" s="371"/>
      <c r="L32" s="372"/>
      <c r="M32" s="358"/>
      <c r="N32" s="358"/>
      <c r="O32" s="358">
        <f t="shared" si="0"/>
        <v>1890000</v>
      </c>
      <c r="P32" s="385">
        <v>9727273</v>
      </c>
      <c r="Q32" s="358">
        <f t="shared" si="1"/>
        <v>7837273</v>
      </c>
      <c r="R32" s="195"/>
      <c r="S32" s="195"/>
    </row>
    <row r="33" spans="1:19" ht="20.100000000000001" customHeight="1" x14ac:dyDescent="0.25">
      <c r="A33" s="350">
        <v>26</v>
      </c>
      <c r="B33" s="365">
        <v>44344</v>
      </c>
      <c r="C33" s="366" t="s">
        <v>3688</v>
      </c>
      <c r="D33" s="367" t="s">
        <v>3714</v>
      </c>
      <c r="E33" s="354" t="s">
        <v>558</v>
      </c>
      <c r="F33" s="368"/>
      <c r="G33" s="369">
        <v>290</v>
      </c>
      <c r="H33" s="369">
        <f t="shared" si="3"/>
        <v>4283300</v>
      </c>
      <c r="I33" s="370"/>
      <c r="J33" s="414">
        <v>790000</v>
      </c>
      <c r="K33" s="371"/>
      <c r="L33" s="372"/>
      <c r="M33" s="358"/>
      <c r="N33" s="358"/>
      <c r="O33" s="358">
        <f t="shared" si="0"/>
        <v>5073300</v>
      </c>
      <c r="P33" s="385">
        <v>3700000</v>
      </c>
      <c r="Q33" s="358">
        <f t="shared" si="1"/>
        <v>-1373300</v>
      </c>
      <c r="R33" s="195"/>
      <c r="S33" s="195"/>
    </row>
    <row r="34" spans="1:19" ht="20.100000000000001" customHeight="1" x14ac:dyDescent="0.25">
      <c r="A34" s="350">
        <v>27</v>
      </c>
      <c r="B34" s="365">
        <v>44345</v>
      </c>
      <c r="C34" s="366" t="s">
        <v>3689</v>
      </c>
      <c r="D34" s="367" t="s">
        <v>3715</v>
      </c>
      <c r="E34" s="354" t="s">
        <v>705</v>
      </c>
      <c r="F34" s="368"/>
      <c r="G34" s="369"/>
      <c r="H34" s="369">
        <f>G34*14770</f>
        <v>0</v>
      </c>
      <c r="I34" s="370"/>
      <c r="J34" s="414">
        <v>1150000</v>
      </c>
      <c r="K34" s="371"/>
      <c r="L34" s="372"/>
      <c r="M34" s="358"/>
      <c r="N34" s="358"/>
      <c r="O34" s="358">
        <f t="shared" si="0"/>
        <v>1150000</v>
      </c>
      <c r="P34" s="385">
        <v>3600000</v>
      </c>
      <c r="Q34" s="358">
        <f t="shared" si="1"/>
        <v>2450000</v>
      </c>
      <c r="R34" s="195"/>
      <c r="S34" s="195"/>
    </row>
    <row r="35" spans="1:19" ht="20.100000000000001" customHeight="1" x14ac:dyDescent="0.25">
      <c r="A35" s="350">
        <v>28</v>
      </c>
      <c r="B35" s="375" t="s">
        <v>3690</v>
      </c>
      <c r="C35" s="416" t="s">
        <v>3691</v>
      </c>
      <c r="D35" s="417" t="s">
        <v>3716</v>
      </c>
      <c r="E35" s="354" t="s">
        <v>2117</v>
      </c>
      <c r="F35" s="355"/>
      <c r="G35" s="369">
        <v>250</v>
      </c>
      <c r="H35" s="369">
        <f t="shared" si="3"/>
        <v>3692500</v>
      </c>
      <c r="I35" s="370"/>
      <c r="J35" s="414">
        <v>1400000</v>
      </c>
      <c r="K35" s="371"/>
      <c r="L35" s="372"/>
      <c r="M35" s="358"/>
      <c r="N35" s="361"/>
      <c r="O35" s="362">
        <f t="shared" si="0"/>
        <v>5092500</v>
      </c>
      <c r="P35" s="377">
        <v>5909091</v>
      </c>
      <c r="Q35" s="378">
        <f t="shared" si="1"/>
        <v>816591</v>
      </c>
      <c r="R35" s="195" t="s">
        <v>3722</v>
      </c>
      <c r="S35" s="195"/>
    </row>
    <row r="36" spans="1:19" ht="27" customHeight="1" x14ac:dyDescent="0.25">
      <c r="A36" s="374"/>
      <c r="B36" s="379"/>
      <c r="C36" s="594" t="s">
        <v>1273</v>
      </c>
      <c r="D36" s="595"/>
      <c r="E36" s="596"/>
      <c r="F36" s="380"/>
      <c r="G36" s="381"/>
      <c r="H36" s="369"/>
      <c r="I36" s="403"/>
      <c r="J36" s="381"/>
      <c r="K36" s="371"/>
      <c r="L36" s="435">
        <v>1200000</v>
      </c>
      <c r="M36" s="381"/>
      <c r="N36" s="384"/>
      <c r="O36" s="362">
        <f>H36+J36+K36+L36+M36+N36</f>
        <v>1200000</v>
      </c>
      <c r="P36" s="385"/>
      <c r="Q36" s="378"/>
    </row>
    <row r="37" spans="1:19" ht="27" customHeight="1" x14ac:dyDescent="0.25">
      <c r="A37" s="386"/>
      <c r="B37" s="379"/>
      <c r="C37" s="431" t="s">
        <v>3723</v>
      </c>
      <c r="D37" s="432"/>
      <c r="E37" s="433"/>
      <c r="F37" s="380"/>
      <c r="G37" s="381"/>
      <c r="H37" s="369"/>
      <c r="I37" s="403"/>
      <c r="J37" s="381"/>
      <c r="K37" s="404"/>
      <c r="L37" s="388"/>
      <c r="M37" s="436">
        <v>1400000</v>
      </c>
      <c r="N37" s="384"/>
      <c r="O37" s="362">
        <f t="shared" ref="O37:O49" si="4">H37+J37+K37+L37+M37+N37</f>
        <v>1400000</v>
      </c>
      <c r="P37" s="389"/>
      <c r="Q37" s="378"/>
    </row>
    <row r="38" spans="1:19" ht="27" customHeight="1" x14ac:dyDescent="0.25">
      <c r="A38" s="386"/>
      <c r="B38" s="379"/>
      <c r="C38" s="594" t="s">
        <v>3724</v>
      </c>
      <c r="D38" s="595"/>
      <c r="E38" s="596"/>
      <c r="F38" s="380"/>
      <c r="G38" s="381"/>
      <c r="H38" s="369"/>
      <c r="I38" s="403"/>
      <c r="J38" s="381"/>
      <c r="K38" s="404"/>
      <c r="L38" s="437">
        <v>133500</v>
      </c>
      <c r="M38" s="381"/>
      <c r="N38" s="384"/>
      <c r="O38" s="362">
        <f t="shared" si="4"/>
        <v>133500</v>
      </c>
      <c r="P38" s="389"/>
      <c r="Q38" s="378"/>
    </row>
    <row r="39" spans="1:19" ht="27" customHeight="1" x14ac:dyDescent="0.25">
      <c r="A39" s="386"/>
      <c r="B39" s="379"/>
      <c r="C39" s="594" t="s">
        <v>3725</v>
      </c>
      <c r="D39" s="595"/>
      <c r="E39" s="596"/>
      <c r="F39" s="380"/>
      <c r="G39" s="381"/>
      <c r="H39" s="369"/>
      <c r="I39" s="403"/>
      <c r="J39" s="381"/>
      <c r="K39" s="404"/>
      <c r="L39" s="436">
        <v>200000</v>
      </c>
      <c r="M39" s="381"/>
      <c r="N39" s="384"/>
      <c r="O39" s="362">
        <f t="shared" si="4"/>
        <v>200000</v>
      </c>
      <c r="P39" s="389"/>
      <c r="Q39" s="378"/>
    </row>
    <row r="40" spans="1:19" ht="27" customHeight="1" x14ac:dyDescent="0.25">
      <c r="A40" s="386"/>
      <c r="B40" s="379"/>
      <c r="C40" s="600" t="s">
        <v>3726</v>
      </c>
      <c r="D40" s="601"/>
      <c r="E40" s="602"/>
      <c r="F40" s="408"/>
      <c r="G40" s="409"/>
      <c r="H40" s="398"/>
      <c r="I40" s="410"/>
      <c r="J40" s="409"/>
      <c r="K40" s="411"/>
      <c r="L40" s="438">
        <v>120000</v>
      </c>
      <c r="M40" s="372"/>
      <c r="N40" s="381"/>
      <c r="O40" s="362">
        <f t="shared" si="4"/>
        <v>120000</v>
      </c>
      <c r="P40" s="389"/>
      <c r="Q40" s="378"/>
    </row>
    <row r="41" spans="1:19" ht="27" customHeight="1" x14ac:dyDescent="0.25">
      <c r="A41" s="386"/>
      <c r="B41" s="379"/>
      <c r="C41" s="431" t="s">
        <v>3723</v>
      </c>
      <c r="D41" s="431"/>
      <c r="E41" s="431"/>
      <c r="F41" s="402"/>
      <c r="G41" s="381"/>
      <c r="H41" s="369"/>
      <c r="I41" s="403"/>
      <c r="J41" s="381"/>
      <c r="K41" s="404"/>
      <c r="L41" s="437">
        <v>1400000</v>
      </c>
      <c r="M41" s="388"/>
      <c r="N41" s="381"/>
      <c r="O41" s="362">
        <f t="shared" si="4"/>
        <v>1400000</v>
      </c>
      <c r="P41" s="389"/>
      <c r="Q41" s="378"/>
    </row>
    <row r="42" spans="1:19" ht="27" customHeight="1" x14ac:dyDescent="0.25">
      <c r="A42" s="386"/>
      <c r="B42" s="379"/>
      <c r="C42" s="594" t="s">
        <v>3727</v>
      </c>
      <c r="D42" s="595"/>
      <c r="E42" s="596"/>
      <c r="F42" s="402"/>
      <c r="G42" s="381"/>
      <c r="H42" s="369"/>
      <c r="I42" s="403"/>
      <c r="J42" s="381"/>
      <c r="K42" s="404"/>
      <c r="L42" s="437">
        <v>800000</v>
      </c>
      <c r="M42" s="388"/>
      <c r="N42" s="388"/>
      <c r="O42" s="362">
        <f t="shared" si="4"/>
        <v>800000</v>
      </c>
      <c r="P42" s="389"/>
      <c r="Q42" s="378"/>
    </row>
    <row r="43" spans="1:19" ht="27" customHeight="1" x14ac:dyDescent="0.25">
      <c r="A43" s="386"/>
      <c r="B43" s="379"/>
      <c r="C43" s="594" t="s">
        <v>3728</v>
      </c>
      <c r="D43" s="595"/>
      <c r="E43" s="596"/>
      <c r="F43" s="402"/>
      <c r="G43" s="381"/>
      <c r="H43" s="369"/>
      <c r="I43" s="403"/>
      <c r="J43" s="381"/>
      <c r="K43" s="404"/>
      <c r="L43" s="437">
        <v>2000000</v>
      </c>
      <c r="M43" s="388"/>
      <c r="N43" s="388"/>
      <c r="O43" s="362">
        <f t="shared" si="4"/>
        <v>2000000</v>
      </c>
      <c r="P43" s="389"/>
      <c r="Q43" s="378"/>
    </row>
    <row r="44" spans="1:19" ht="27" customHeight="1" x14ac:dyDescent="0.25">
      <c r="A44" s="386"/>
      <c r="B44" s="379"/>
      <c r="C44" s="603" t="s">
        <v>3729</v>
      </c>
      <c r="D44" s="604"/>
      <c r="E44" s="605"/>
      <c r="F44" s="402"/>
      <c r="G44" s="381"/>
      <c r="H44" s="369"/>
      <c r="I44" s="403"/>
      <c r="J44" s="381"/>
      <c r="K44" s="404"/>
      <c r="L44" s="437">
        <v>1300000</v>
      </c>
      <c r="M44" s="388"/>
      <c r="N44" s="388"/>
      <c r="O44" s="362">
        <f t="shared" si="4"/>
        <v>1300000</v>
      </c>
      <c r="P44" s="389"/>
      <c r="Q44" s="378"/>
    </row>
    <row r="45" spans="1:19" ht="27" customHeight="1" x14ac:dyDescent="0.25">
      <c r="A45" s="386"/>
      <c r="B45" s="379"/>
      <c r="C45" s="594" t="s">
        <v>3730</v>
      </c>
      <c r="D45" s="595"/>
      <c r="E45" s="596"/>
      <c r="F45" s="402"/>
      <c r="G45" s="381"/>
      <c r="H45" s="369"/>
      <c r="I45" s="403"/>
      <c r="J45" s="381"/>
      <c r="K45" s="404"/>
      <c r="L45" s="437">
        <v>200000</v>
      </c>
      <c r="M45" s="388"/>
      <c r="N45" s="388"/>
      <c r="O45" s="362">
        <f t="shared" si="4"/>
        <v>200000</v>
      </c>
      <c r="P45" s="389"/>
      <c r="Q45" s="378"/>
    </row>
    <row r="46" spans="1:19" ht="27" customHeight="1" x14ac:dyDescent="0.25">
      <c r="A46" s="386"/>
      <c r="B46" s="379"/>
      <c r="C46" s="594" t="s">
        <v>3731</v>
      </c>
      <c r="D46" s="595"/>
      <c r="E46" s="596"/>
      <c r="F46" s="402"/>
      <c r="G46" s="381"/>
      <c r="H46" s="369"/>
      <c r="I46" s="403"/>
      <c r="J46" s="381"/>
      <c r="K46" s="404"/>
      <c r="L46" s="437">
        <v>60000</v>
      </c>
      <c r="M46" s="388"/>
      <c r="N46" s="388"/>
      <c r="O46" s="362">
        <f t="shared" si="4"/>
        <v>60000</v>
      </c>
      <c r="P46" s="389"/>
      <c r="Q46" s="378"/>
    </row>
    <row r="47" spans="1:19" ht="27" customHeight="1" x14ac:dyDescent="0.25">
      <c r="A47" s="386"/>
      <c r="B47" s="379"/>
      <c r="C47" s="594" t="s">
        <v>3732</v>
      </c>
      <c r="D47" s="595"/>
      <c r="E47" s="596"/>
      <c r="F47" s="402"/>
      <c r="G47" s="381"/>
      <c r="H47" s="369"/>
      <c r="I47" s="403"/>
      <c r="J47" s="381"/>
      <c r="K47" s="404"/>
      <c r="L47" s="437">
        <v>170000</v>
      </c>
      <c r="M47" s="388"/>
      <c r="N47" s="388"/>
      <c r="O47" s="362">
        <f t="shared" si="4"/>
        <v>170000</v>
      </c>
      <c r="P47" s="389"/>
      <c r="Q47" s="378"/>
    </row>
    <row r="48" spans="1:19" ht="27" customHeight="1" x14ac:dyDescent="0.25">
      <c r="A48" s="386"/>
      <c r="B48" s="379"/>
      <c r="C48" s="428" t="s">
        <v>3733</v>
      </c>
      <c r="D48" s="429"/>
      <c r="E48" s="430"/>
      <c r="F48" s="402"/>
      <c r="G48" s="381"/>
      <c r="H48" s="369"/>
      <c r="I48" s="403"/>
      <c r="J48" s="381"/>
      <c r="K48" s="394"/>
      <c r="L48" s="388"/>
      <c r="M48" s="437">
        <v>10100000</v>
      </c>
      <c r="N48" s="388"/>
      <c r="O48" s="362">
        <f t="shared" si="4"/>
        <v>10100000</v>
      </c>
      <c r="P48" s="389"/>
      <c r="Q48" s="378"/>
    </row>
    <row r="49" spans="1:18" ht="18" customHeight="1" x14ac:dyDescent="0.25">
      <c r="A49" s="386"/>
      <c r="B49" s="391"/>
      <c r="C49" s="579" t="s">
        <v>1386</v>
      </c>
      <c r="D49" s="580"/>
      <c r="E49" s="581"/>
      <c r="F49" s="392"/>
      <c r="G49" s="381"/>
      <c r="H49" s="382"/>
      <c r="I49" s="383"/>
      <c r="J49" s="384"/>
      <c r="K49" s="439">
        <f>27/26*9000000</f>
        <v>9346153.846153846</v>
      </c>
      <c r="L49" s="394"/>
      <c r="M49" s="384"/>
      <c r="N49" s="384"/>
      <c r="O49" s="362">
        <f t="shared" si="4"/>
        <v>9346153.846153846</v>
      </c>
      <c r="P49" s="389"/>
      <c r="Q49" s="378"/>
    </row>
    <row r="50" spans="1:18" x14ac:dyDescent="0.25">
      <c r="A50" s="576" t="s">
        <v>19</v>
      </c>
      <c r="B50" s="577"/>
      <c r="C50" s="577"/>
      <c r="D50" s="577"/>
      <c r="E50" s="577"/>
      <c r="F50" s="578"/>
      <c r="G50" s="434">
        <f>SUM(G8:G49)</f>
        <v>2967</v>
      </c>
      <c r="H50" s="396">
        <f t="shared" ref="H50:P50" si="5">SUM(H7:H49)</f>
        <v>43347390</v>
      </c>
      <c r="I50" s="396">
        <f t="shared" si="5"/>
        <v>0</v>
      </c>
      <c r="J50" s="396">
        <f t="shared" si="5"/>
        <v>29030000</v>
      </c>
      <c r="K50" s="396">
        <f t="shared" si="5"/>
        <v>9346153.846153846</v>
      </c>
      <c r="L50" s="396">
        <f t="shared" si="5"/>
        <v>7583500</v>
      </c>
      <c r="M50" s="396">
        <f t="shared" si="5"/>
        <v>11500000</v>
      </c>
      <c r="N50" s="396">
        <f t="shared" si="5"/>
        <v>0</v>
      </c>
      <c r="O50" s="396">
        <f t="shared" si="5"/>
        <v>100807043.84615384</v>
      </c>
      <c r="P50" s="396">
        <f t="shared" si="5"/>
        <v>126281817</v>
      </c>
      <c r="Q50" s="397">
        <f>P50-O50</f>
        <v>25474773.15384616</v>
      </c>
      <c r="R50" s="195"/>
    </row>
    <row r="51" spans="1:18" x14ac:dyDescent="0.25">
      <c r="P51" s="294"/>
      <c r="Q51" s="295"/>
    </row>
    <row r="52" spans="1:18" x14ac:dyDescent="0.25">
      <c r="B52"/>
      <c r="G52"/>
      <c r="H52" s="294"/>
      <c r="P52" s="296" t="s">
        <v>1225</v>
      </c>
      <c r="Q52" s="304">
        <f>'04.2021'!Q48+'05.2021'!Q50</f>
        <v>141921887</v>
      </c>
    </row>
    <row r="53" spans="1:18" x14ac:dyDescent="0.25">
      <c r="B53"/>
      <c r="G53"/>
      <c r="Q53" s="294"/>
    </row>
    <row r="54" spans="1:18" x14ac:dyDescent="0.25">
      <c r="B54"/>
      <c r="G54"/>
      <c r="R54" s="195"/>
    </row>
  </sheetData>
  <mergeCells count="16">
    <mergeCell ref="A50:F50"/>
    <mergeCell ref="C44:E44"/>
    <mergeCell ref="C45:E45"/>
    <mergeCell ref="C46:E46"/>
    <mergeCell ref="C47:E47"/>
    <mergeCell ref="C39:E39"/>
    <mergeCell ref="C40:E40"/>
    <mergeCell ref="C42:E42"/>
    <mergeCell ref="C43:E43"/>
    <mergeCell ref="C49:E49"/>
    <mergeCell ref="C38:E38"/>
    <mergeCell ref="A1:Q1"/>
    <mergeCell ref="A2:Q2"/>
    <mergeCell ref="A3:Q3"/>
    <mergeCell ref="G5:N5"/>
    <mergeCell ref="C36:E36"/>
  </mergeCells>
  <pageMargins left="0.7" right="0.7" top="0.75" bottom="0.75" header="0.3" footer="0.3"/>
  <pageSetup orientation="portrait" horizontalDpi="0" verticalDpi="0"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S54"/>
  <sheetViews>
    <sheetView topLeftCell="D46" workbookViewId="0">
      <selection activeCell="L17" sqref="L17"/>
    </sheetView>
  </sheetViews>
  <sheetFormatPr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0.28515625" style="292" bestFit="1"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3735</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19"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19" x14ac:dyDescent="0.25">
      <c r="A7" s="75"/>
      <c r="B7" s="100"/>
      <c r="C7" s="88"/>
      <c r="D7" s="88"/>
      <c r="E7" s="134"/>
      <c r="F7" s="75"/>
      <c r="G7" s="264"/>
      <c r="H7" s="264"/>
      <c r="I7" s="264"/>
      <c r="J7" s="264"/>
      <c r="K7" s="264"/>
      <c r="L7" s="308"/>
      <c r="M7" s="264"/>
      <c r="N7" s="264"/>
      <c r="O7" s="265"/>
      <c r="P7" s="265"/>
      <c r="Q7" s="264"/>
    </row>
    <row r="8" spans="1:19" ht="20.100000000000001" customHeight="1" x14ac:dyDescent="0.25">
      <c r="A8" s="350">
        <v>1</v>
      </c>
      <c r="B8" s="365">
        <v>44348</v>
      </c>
      <c r="C8" s="366" t="s">
        <v>3116</v>
      </c>
      <c r="D8" s="367" t="s">
        <v>3755</v>
      </c>
      <c r="E8" s="354" t="s">
        <v>422</v>
      </c>
      <c r="F8" s="368"/>
      <c r="G8" s="369"/>
      <c r="H8" s="369"/>
      <c r="I8" s="418"/>
      <c r="J8" s="414">
        <v>970000</v>
      </c>
      <c r="K8" s="371"/>
      <c r="L8" s="372"/>
      <c r="M8" s="358"/>
      <c r="N8" s="358"/>
      <c r="O8" s="358">
        <f>H8+J8+K8+L8+M8+N8</f>
        <v>970000</v>
      </c>
      <c r="P8" s="358">
        <v>4000000</v>
      </c>
      <c r="Q8" s="358">
        <f>P8-O8</f>
        <v>3030000</v>
      </c>
      <c r="R8" s="195"/>
      <c r="S8" s="195"/>
    </row>
    <row r="9" spans="1:19" ht="20.100000000000001" customHeight="1" x14ac:dyDescent="0.25">
      <c r="A9" s="350">
        <v>2</v>
      </c>
      <c r="B9" s="365">
        <v>44349</v>
      </c>
      <c r="C9" s="366" t="s">
        <v>3736</v>
      </c>
      <c r="D9" s="415" t="s">
        <v>3756</v>
      </c>
      <c r="E9" s="354" t="s">
        <v>1665</v>
      </c>
      <c r="F9" s="368"/>
      <c r="G9" s="369"/>
      <c r="H9" s="369"/>
      <c r="I9" s="370"/>
      <c r="J9" s="414">
        <v>1150000</v>
      </c>
      <c r="K9" s="371"/>
      <c r="L9" s="372"/>
      <c r="M9" s="358"/>
      <c r="N9" s="358"/>
      <c r="O9" s="358">
        <f t="shared" ref="O9:O35" si="0">H9+J9+K9+L9+M9+N9</f>
        <v>1150000</v>
      </c>
      <c r="P9" s="385">
        <v>3600000</v>
      </c>
      <c r="Q9" s="358">
        <f t="shared" ref="Q9:Q35" si="1">P9-O9</f>
        <v>2450000</v>
      </c>
      <c r="R9" s="195"/>
      <c r="S9" s="195"/>
    </row>
    <row r="10" spans="1:19" ht="20.100000000000001" customHeight="1" x14ac:dyDescent="0.25">
      <c r="A10" s="350">
        <v>3</v>
      </c>
      <c r="B10" s="365">
        <v>44349</v>
      </c>
      <c r="C10" s="366" t="s">
        <v>3118</v>
      </c>
      <c r="D10" s="367" t="s">
        <v>3757</v>
      </c>
      <c r="E10" s="354" t="s">
        <v>705</v>
      </c>
      <c r="F10" s="368"/>
      <c r="G10" s="369">
        <v>280</v>
      </c>
      <c r="H10" s="369">
        <f>G10*14770</f>
        <v>4135600</v>
      </c>
      <c r="I10" s="370"/>
      <c r="J10" s="414">
        <f>1060000+90000</f>
        <v>1150000</v>
      </c>
      <c r="K10" s="371"/>
      <c r="L10" s="372"/>
      <c r="M10" s="358"/>
      <c r="N10" s="358"/>
      <c r="O10" s="358">
        <f t="shared" si="0"/>
        <v>5285600</v>
      </c>
      <c r="P10" s="385">
        <v>4100000</v>
      </c>
      <c r="Q10" s="358">
        <f t="shared" si="1"/>
        <v>-1185600</v>
      </c>
      <c r="R10" s="195"/>
      <c r="S10" s="195"/>
    </row>
    <row r="11" spans="1:19" ht="20.100000000000001" customHeight="1" x14ac:dyDescent="0.25">
      <c r="A11" s="350">
        <v>4</v>
      </c>
      <c r="B11" s="365">
        <v>44350</v>
      </c>
      <c r="C11" s="366" t="s">
        <v>3737</v>
      </c>
      <c r="D11" s="367" t="s">
        <v>3758</v>
      </c>
      <c r="E11" s="354" t="s">
        <v>21</v>
      </c>
      <c r="F11" s="368"/>
      <c r="G11" s="369"/>
      <c r="H11" s="369"/>
      <c r="I11" s="370"/>
      <c r="J11" s="414">
        <v>2740000</v>
      </c>
      <c r="K11" s="371"/>
      <c r="L11" s="372"/>
      <c r="M11" s="358"/>
      <c r="N11" s="358"/>
      <c r="O11" s="358">
        <f t="shared" si="0"/>
        <v>2740000</v>
      </c>
      <c r="P11" s="385">
        <v>11909091</v>
      </c>
      <c r="Q11" s="358">
        <f t="shared" si="1"/>
        <v>9169091</v>
      </c>
      <c r="R11" s="195"/>
      <c r="S11" s="195"/>
    </row>
    <row r="12" spans="1:19" ht="23.25" customHeight="1" x14ac:dyDescent="0.25">
      <c r="A12" s="350">
        <v>5</v>
      </c>
      <c r="B12" s="365">
        <v>44351</v>
      </c>
      <c r="C12" s="366" t="s">
        <v>1843</v>
      </c>
      <c r="D12" s="367" t="s">
        <v>3759</v>
      </c>
      <c r="E12" s="354" t="s">
        <v>3781</v>
      </c>
      <c r="F12" s="368"/>
      <c r="G12" s="369">
        <v>250</v>
      </c>
      <c r="H12" s="369">
        <f t="shared" ref="H12:H17" si="2">G12*14770</f>
        <v>3692500</v>
      </c>
      <c r="I12" s="370"/>
      <c r="J12" s="414">
        <v>1190000</v>
      </c>
      <c r="K12" s="371"/>
      <c r="L12" s="372"/>
      <c r="M12" s="358"/>
      <c r="N12" s="358"/>
      <c r="O12" s="358">
        <f t="shared" si="0"/>
        <v>4882500</v>
      </c>
      <c r="P12" s="385">
        <v>4800000</v>
      </c>
      <c r="Q12" s="358">
        <f t="shared" si="1"/>
        <v>-82500</v>
      </c>
      <c r="R12" s="195"/>
      <c r="S12" s="195"/>
    </row>
    <row r="13" spans="1:19" ht="20.100000000000001" customHeight="1" x14ac:dyDescent="0.25">
      <c r="A13" s="350">
        <v>6</v>
      </c>
      <c r="B13" s="365">
        <v>44354</v>
      </c>
      <c r="C13" s="366" t="s">
        <v>3738</v>
      </c>
      <c r="D13" s="367" t="s">
        <v>3760</v>
      </c>
      <c r="E13" s="354" t="s">
        <v>3782</v>
      </c>
      <c r="F13" s="368"/>
      <c r="G13" s="369">
        <v>120</v>
      </c>
      <c r="H13" s="369">
        <f t="shared" si="2"/>
        <v>1772400</v>
      </c>
      <c r="I13" s="370"/>
      <c r="J13" s="426">
        <f>970000+100000</f>
        <v>1070000</v>
      </c>
      <c r="K13" s="371"/>
      <c r="L13" s="372"/>
      <c r="M13" s="358"/>
      <c r="N13" s="358"/>
      <c r="O13" s="358">
        <f t="shared" si="0"/>
        <v>2842400</v>
      </c>
      <c r="P13" s="385">
        <v>4063636</v>
      </c>
      <c r="Q13" s="358">
        <f t="shared" si="1"/>
        <v>1221236</v>
      </c>
      <c r="R13" s="195"/>
      <c r="S13" s="195"/>
    </row>
    <row r="14" spans="1:19" ht="20.100000000000001" customHeight="1" x14ac:dyDescent="0.25">
      <c r="A14" s="350">
        <v>7</v>
      </c>
      <c r="B14" s="365">
        <v>44354</v>
      </c>
      <c r="C14" s="366" t="s">
        <v>1847</v>
      </c>
      <c r="D14" s="367" t="s">
        <v>3761</v>
      </c>
      <c r="E14" s="354" t="s">
        <v>3783</v>
      </c>
      <c r="F14" s="368"/>
      <c r="G14" s="369">
        <v>203</v>
      </c>
      <c r="H14" s="369">
        <f t="shared" si="2"/>
        <v>2998310</v>
      </c>
      <c r="I14" s="370"/>
      <c r="J14" s="414">
        <f>1150000+100000</f>
        <v>1250000</v>
      </c>
      <c r="K14" s="371"/>
      <c r="L14" s="372"/>
      <c r="M14" s="358"/>
      <c r="N14" s="358"/>
      <c r="O14" s="358">
        <f t="shared" si="0"/>
        <v>4248310</v>
      </c>
      <c r="P14" s="385">
        <v>4100000</v>
      </c>
      <c r="Q14" s="358">
        <f t="shared" si="1"/>
        <v>-148310</v>
      </c>
      <c r="R14" s="195"/>
      <c r="S14" s="195"/>
    </row>
    <row r="15" spans="1:19" ht="20.100000000000001" customHeight="1" x14ac:dyDescent="0.25">
      <c r="A15" s="350">
        <v>8</v>
      </c>
      <c r="B15" s="365">
        <v>44355</v>
      </c>
      <c r="C15" s="366" t="s">
        <v>393</v>
      </c>
      <c r="D15" s="367" t="s">
        <v>3762</v>
      </c>
      <c r="E15" s="354" t="s">
        <v>21</v>
      </c>
      <c r="F15" s="368"/>
      <c r="G15" s="369"/>
      <c r="H15" s="369"/>
      <c r="I15" s="370"/>
      <c r="J15" s="414">
        <v>2740000</v>
      </c>
      <c r="K15" s="371"/>
      <c r="L15" s="372"/>
      <c r="M15" s="358"/>
      <c r="N15" s="358"/>
      <c r="O15" s="358">
        <f t="shared" si="0"/>
        <v>2740000</v>
      </c>
      <c r="P15" s="385">
        <v>12363636</v>
      </c>
      <c r="Q15" s="358">
        <f t="shared" si="1"/>
        <v>9623636</v>
      </c>
      <c r="R15" s="195"/>
      <c r="S15" s="195"/>
    </row>
    <row r="16" spans="1:19" ht="20.100000000000001" customHeight="1" x14ac:dyDescent="0.25">
      <c r="A16" s="350">
        <v>9</v>
      </c>
      <c r="B16" s="365">
        <v>44356</v>
      </c>
      <c r="C16" s="366" t="s">
        <v>3739</v>
      </c>
      <c r="D16" s="367" t="s">
        <v>3763</v>
      </c>
      <c r="E16" s="354" t="s">
        <v>21</v>
      </c>
      <c r="F16" s="368"/>
      <c r="G16" s="369">
        <v>234</v>
      </c>
      <c r="H16" s="369">
        <f t="shared" si="2"/>
        <v>3456180</v>
      </c>
      <c r="I16" s="370"/>
      <c r="J16" s="414">
        <v>2740000</v>
      </c>
      <c r="K16" s="371"/>
      <c r="L16" s="372"/>
      <c r="M16" s="358"/>
      <c r="N16" s="358"/>
      <c r="O16" s="358">
        <f t="shared" si="0"/>
        <v>6196180</v>
      </c>
      <c r="P16" s="385">
        <v>11909091</v>
      </c>
      <c r="Q16" s="358">
        <f t="shared" si="1"/>
        <v>5712911</v>
      </c>
      <c r="R16" s="195"/>
      <c r="S16" s="195"/>
    </row>
    <row r="17" spans="1:19" ht="20.100000000000001" customHeight="1" x14ac:dyDescent="0.25">
      <c r="A17" s="350">
        <v>10</v>
      </c>
      <c r="B17" s="365">
        <v>44357</v>
      </c>
      <c r="C17" s="366" t="s">
        <v>3740</v>
      </c>
      <c r="D17" s="367" t="s">
        <v>3764</v>
      </c>
      <c r="E17" s="354" t="s">
        <v>3784</v>
      </c>
      <c r="F17" s="368"/>
      <c r="G17" s="369">
        <v>216</v>
      </c>
      <c r="H17" s="369">
        <f t="shared" si="2"/>
        <v>3190320</v>
      </c>
      <c r="I17" s="370"/>
      <c r="J17" s="414">
        <v>300000</v>
      </c>
      <c r="K17" s="371"/>
      <c r="L17" s="372"/>
      <c r="M17" s="358"/>
      <c r="N17" s="358"/>
      <c r="O17" s="358">
        <f t="shared" si="0"/>
        <v>3490320</v>
      </c>
      <c r="P17" s="385">
        <v>1836364</v>
      </c>
      <c r="Q17" s="358">
        <f t="shared" si="1"/>
        <v>-1653956</v>
      </c>
      <c r="R17" s="195"/>
      <c r="S17" s="195"/>
    </row>
    <row r="18" spans="1:19" ht="20.100000000000001" customHeight="1" x14ac:dyDescent="0.25">
      <c r="A18" s="350">
        <v>11</v>
      </c>
      <c r="B18" s="365">
        <v>44357</v>
      </c>
      <c r="C18" s="366" t="s">
        <v>3741</v>
      </c>
      <c r="D18" s="367" t="s">
        <v>3764</v>
      </c>
      <c r="E18" s="354" t="s">
        <v>3316</v>
      </c>
      <c r="F18" s="368"/>
      <c r="G18" s="369">
        <v>143</v>
      </c>
      <c r="H18" s="369">
        <f>G18*15440</f>
        <v>2207920</v>
      </c>
      <c r="I18" s="370"/>
      <c r="J18" s="414">
        <f>1500000+230000+100000</f>
        <v>1830000</v>
      </c>
      <c r="K18" s="371"/>
      <c r="L18" s="372"/>
      <c r="M18" s="358"/>
      <c r="N18" s="358"/>
      <c r="O18" s="358">
        <f t="shared" si="0"/>
        <v>4037920</v>
      </c>
      <c r="P18" s="385">
        <v>6000000</v>
      </c>
      <c r="Q18" s="358">
        <f t="shared" si="1"/>
        <v>1962080</v>
      </c>
      <c r="R18" s="195"/>
      <c r="S18" s="195"/>
    </row>
    <row r="19" spans="1:19" ht="20.100000000000001" customHeight="1" x14ac:dyDescent="0.25">
      <c r="A19" s="350">
        <v>12</v>
      </c>
      <c r="B19" s="365">
        <v>44359</v>
      </c>
      <c r="C19" s="366" t="s">
        <v>3742</v>
      </c>
      <c r="D19" s="367" t="s">
        <v>3765</v>
      </c>
      <c r="E19" s="354" t="s">
        <v>3785</v>
      </c>
      <c r="F19" s="368"/>
      <c r="G19" s="369">
        <v>40</v>
      </c>
      <c r="H19" s="369">
        <f t="shared" ref="H19:H31" si="3">G19*15440</f>
        <v>617600</v>
      </c>
      <c r="I19" s="370"/>
      <c r="J19" s="414">
        <v>1150000</v>
      </c>
      <c r="K19" s="371"/>
      <c r="L19" s="372"/>
      <c r="M19" s="358"/>
      <c r="N19" s="358"/>
      <c r="O19" s="358">
        <f t="shared" si="0"/>
        <v>1767600</v>
      </c>
      <c r="P19" s="385">
        <v>3860000</v>
      </c>
      <c r="Q19" s="358">
        <f t="shared" si="1"/>
        <v>2092400</v>
      </c>
      <c r="R19" s="195"/>
      <c r="S19" s="195"/>
    </row>
    <row r="20" spans="1:19" ht="20.100000000000001" customHeight="1" x14ac:dyDescent="0.25">
      <c r="A20" s="350">
        <v>13</v>
      </c>
      <c r="B20" s="365">
        <v>44361</v>
      </c>
      <c r="C20" s="366" t="s">
        <v>1178</v>
      </c>
      <c r="D20" s="367" t="s">
        <v>3766</v>
      </c>
      <c r="E20" s="354" t="s">
        <v>706</v>
      </c>
      <c r="F20" s="368"/>
      <c r="G20" s="369">
        <v>0</v>
      </c>
      <c r="H20" s="369">
        <f t="shared" si="3"/>
        <v>0</v>
      </c>
      <c r="I20" s="370"/>
      <c r="J20" s="414">
        <v>1150000</v>
      </c>
      <c r="K20" s="371"/>
      <c r="L20" s="372"/>
      <c r="M20" s="358"/>
      <c r="N20" s="358"/>
      <c r="O20" s="358">
        <f t="shared" si="0"/>
        <v>1150000</v>
      </c>
      <c r="P20" s="385">
        <v>3760000</v>
      </c>
      <c r="Q20" s="358">
        <f t="shared" si="1"/>
        <v>2610000</v>
      </c>
      <c r="R20" s="195"/>
      <c r="S20" s="195"/>
    </row>
    <row r="21" spans="1:19" ht="20.100000000000001" customHeight="1" x14ac:dyDescent="0.25">
      <c r="A21" s="350">
        <v>14</v>
      </c>
      <c r="B21" s="365">
        <v>44362</v>
      </c>
      <c r="C21" s="366" t="s">
        <v>3743</v>
      </c>
      <c r="D21" s="367" t="s">
        <v>3766</v>
      </c>
      <c r="E21" s="354" t="s">
        <v>1381</v>
      </c>
      <c r="F21" s="368"/>
      <c r="G21" s="398">
        <v>96</v>
      </c>
      <c r="H21" s="398">
        <f t="shared" si="3"/>
        <v>1482240</v>
      </c>
      <c r="I21" s="370"/>
      <c r="J21" s="414">
        <v>300000</v>
      </c>
      <c r="K21" s="371"/>
      <c r="L21" s="372"/>
      <c r="M21" s="358"/>
      <c r="N21" s="358"/>
      <c r="O21" s="358">
        <f t="shared" si="0"/>
        <v>1782240</v>
      </c>
      <c r="P21" s="385">
        <v>2000000</v>
      </c>
      <c r="Q21" s="358">
        <f t="shared" si="1"/>
        <v>217760</v>
      </c>
      <c r="R21" s="195"/>
      <c r="S21" s="195"/>
    </row>
    <row r="22" spans="1:19" ht="20.100000000000001" customHeight="1" x14ac:dyDescent="0.25">
      <c r="A22" s="350">
        <v>15</v>
      </c>
      <c r="B22" s="365">
        <v>44363</v>
      </c>
      <c r="C22" s="366" t="s">
        <v>3744</v>
      </c>
      <c r="D22" s="367" t="s">
        <v>3767</v>
      </c>
      <c r="E22" s="354" t="s">
        <v>3786</v>
      </c>
      <c r="F22" s="368"/>
      <c r="G22" s="398">
        <v>84</v>
      </c>
      <c r="H22" s="398">
        <f t="shared" si="3"/>
        <v>1296960</v>
      </c>
      <c r="I22" s="370"/>
      <c r="J22" s="414">
        <v>1150000</v>
      </c>
      <c r="K22" s="371"/>
      <c r="L22" s="372"/>
      <c r="M22" s="358"/>
      <c r="N22" s="358"/>
      <c r="O22" s="358">
        <f t="shared" si="0"/>
        <v>2446960</v>
      </c>
      <c r="P22" s="385">
        <v>3700000</v>
      </c>
      <c r="Q22" s="358">
        <f t="shared" si="1"/>
        <v>1253040</v>
      </c>
      <c r="R22" s="195"/>
      <c r="S22" s="195"/>
    </row>
    <row r="23" spans="1:19" ht="20.100000000000001" customHeight="1" x14ac:dyDescent="0.25">
      <c r="A23" s="350">
        <v>16</v>
      </c>
      <c r="B23" s="365">
        <v>44364</v>
      </c>
      <c r="C23" s="366" t="s">
        <v>3745</v>
      </c>
      <c r="D23" s="367" t="s">
        <v>3768</v>
      </c>
      <c r="E23" s="354" t="s">
        <v>3787</v>
      </c>
      <c r="F23" s="368"/>
      <c r="G23" s="369"/>
      <c r="H23" s="369"/>
      <c r="I23" s="370"/>
      <c r="J23" s="414">
        <v>300000</v>
      </c>
      <c r="K23" s="371"/>
      <c r="L23" s="372"/>
      <c r="M23" s="358"/>
      <c r="N23" s="358"/>
      <c r="O23" s="358">
        <f t="shared" si="0"/>
        <v>300000</v>
      </c>
      <c r="P23" s="385">
        <v>1700000</v>
      </c>
      <c r="Q23" s="358">
        <f t="shared" si="1"/>
        <v>1400000</v>
      </c>
      <c r="R23" s="195"/>
      <c r="S23" s="195"/>
    </row>
    <row r="24" spans="1:19" ht="20.100000000000001" customHeight="1" x14ac:dyDescent="0.25">
      <c r="A24" s="350">
        <v>17</v>
      </c>
      <c r="B24" s="365">
        <v>44365</v>
      </c>
      <c r="C24" s="366" t="s">
        <v>3746</v>
      </c>
      <c r="D24" s="367" t="s">
        <v>3769</v>
      </c>
      <c r="E24" s="354" t="s">
        <v>3788</v>
      </c>
      <c r="F24" s="368"/>
      <c r="G24" s="369"/>
      <c r="H24" s="369"/>
      <c r="I24" s="370"/>
      <c r="J24" s="414">
        <f>700000+200000</f>
        <v>900000</v>
      </c>
      <c r="K24" s="371"/>
      <c r="L24" s="372"/>
      <c r="M24" s="358"/>
      <c r="N24" s="358"/>
      <c r="O24" s="358">
        <f t="shared" si="0"/>
        <v>900000</v>
      </c>
      <c r="P24" s="385">
        <v>2850000</v>
      </c>
      <c r="Q24" s="358">
        <f t="shared" si="1"/>
        <v>1950000</v>
      </c>
      <c r="R24" s="195"/>
      <c r="S24" s="195"/>
    </row>
    <row r="25" spans="1:19" ht="20.100000000000001" customHeight="1" x14ac:dyDescent="0.25">
      <c r="A25" s="350">
        <v>18</v>
      </c>
      <c r="B25" s="365">
        <v>44365</v>
      </c>
      <c r="C25" s="366" t="s">
        <v>3747</v>
      </c>
      <c r="D25" s="367" t="s">
        <v>3770</v>
      </c>
      <c r="E25" s="354" t="s">
        <v>2885</v>
      </c>
      <c r="F25" s="368"/>
      <c r="G25" s="369">
        <v>91</v>
      </c>
      <c r="H25" s="369">
        <f t="shared" si="3"/>
        <v>1405040</v>
      </c>
      <c r="I25" s="370"/>
      <c r="J25" s="414">
        <v>800000</v>
      </c>
      <c r="K25" s="371"/>
      <c r="L25" s="372"/>
      <c r="M25" s="358"/>
      <c r="N25" s="358"/>
      <c r="O25" s="358">
        <f t="shared" si="0"/>
        <v>2205040</v>
      </c>
      <c r="P25" s="385">
        <v>2800000</v>
      </c>
      <c r="Q25" s="358">
        <f t="shared" si="1"/>
        <v>594960</v>
      </c>
      <c r="R25" s="195"/>
      <c r="S25" s="195"/>
    </row>
    <row r="26" spans="1:19" ht="20.100000000000001" customHeight="1" x14ac:dyDescent="0.25">
      <c r="A26" s="350">
        <v>19</v>
      </c>
      <c r="B26" s="365">
        <v>44367</v>
      </c>
      <c r="C26" s="366" t="s">
        <v>1181</v>
      </c>
      <c r="D26" s="367" t="s">
        <v>3771</v>
      </c>
      <c r="E26" s="354" t="s">
        <v>3789</v>
      </c>
      <c r="F26" s="368"/>
      <c r="G26" s="369">
        <v>105</v>
      </c>
      <c r="H26" s="369">
        <f t="shared" si="3"/>
        <v>1621200</v>
      </c>
      <c r="I26" s="370"/>
      <c r="J26" s="414">
        <v>790000</v>
      </c>
      <c r="K26" s="371"/>
      <c r="L26" s="372"/>
      <c r="M26" s="358"/>
      <c r="N26" s="358"/>
      <c r="O26" s="358">
        <f t="shared" si="0"/>
        <v>2411200</v>
      </c>
      <c r="P26" s="385">
        <v>3290909</v>
      </c>
      <c r="Q26" s="358">
        <f t="shared" si="1"/>
        <v>879709</v>
      </c>
      <c r="R26" s="195"/>
      <c r="S26" s="195"/>
    </row>
    <row r="27" spans="1:19" ht="20.100000000000001" customHeight="1" x14ac:dyDescent="0.25">
      <c r="A27" s="350">
        <v>20</v>
      </c>
      <c r="B27" s="365">
        <v>44368</v>
      </c>
      <c r="C27" s="366" t="s">
        <v>3748</v>
      </c>
      <c r="D27" s="367" t="s">
        <v>3772</v>
      </c>
      <c r="E27" s="354" t="s">
        <v>3413</v>
      </c>
      <c r="F27" s="368"/>
      <c r="G27" s="369">
        <v>67</v>
      </c>
      <c r="H27" s="369">
        <f t="shared" si="3"/>
        <v>1034480</v>
      </c>
      <c r="I27" s="370"/>
      <c r="J27" s="414">
        <v>1720000</v>
      </c>
      <c r="K27" s="371"/>
      <c r="L27" s="372"/>
      <c r="M27" s="358"/>
      <c r="N27" s="358"/>
      <c r="O27" s="358">
        <f t="shared" si="0"/>
        <v>2754480</v>
      </c>
      <c r="P27" s="385">
        <v>9181818</v>
      </c>
      <c r="Q27" s="358">
        <f t="shared" si="1"/>
        <v>6427338</v>
      </c>
      <c r="R27" s="195"/>
      <c r="S27" s="195"/>
    </row>
    <row r="28" spans="1:19" ht="20.100000000000001" customHeight="1" x14ac:dyDescent="0.25">
      <c r="A28" s="350">
        <v>21</v>
      </c>
      <c r="B28" s="365">
        <v>44369</v>
      </c>
      <c r="C28" s="366" t="s">
        <v>3749</v>
      </c>
      <c r="D28" s="367" t="s">
        <v>3773</v>
      </c>
      <c r="E28" s="354" t="s">
        <v>24</v>
      </c>
      <c r="F28" s="368"/>
      <c r="G28" s="369">
        <v>55</v>
      </c>
      <c r="H28" s="369">
        <f t="shared" si="3"/>
        <v>849200</v>
      </c>
      <c r="I28" s="370"/>
      <c r="J28" s="414">
        <v>1890000</v>
      </c>
      <c r="K28" s="371"/>
      <c r="L28" s="372"/>
      <c r="M28" s="358"/>
      <c r="N28" s="358"/>
      <c r="O28" s="358">
        <f t="shared" si="0"/>
        <v>2739200</v>
      </c>
      <c r="P28" s="385">
        <v>8572727</v>
      </c>
      <c r="Q28" s="358">
        <f t="shared" si="1"/>
        <v>5833527</v>
      </c>
      <c r="R28" s="195"/>
      <c r="S28" s="195"/>
    </row>
    <row r="29" spans="1:19" ht="20.100000000000001" customHeight="1" x14ac:dyDescent="0.25">
      <c r="A29" s="350">
        <v>22</v>
      </c>
      <c r="B29" s="365">
        <v>44369</v>
      </c>
      <c r="C29" s="366" t="s">
        <v>3749</v>
      </c>
      <c r="D29" s="367" t="s">
        <v>3774</v>
      </c>
      <c r="E29" s="354" t="s">
        <v>24</v>
      </c>
      <c r="F29" s="368"/>
      <c r="G29" s="369">
        <v>267</v>
      </c>
      <c r="H29" s="369">
        <f t="shared" si="3"/>
        <v>4122480</v>
      </c>
      <c r="I29" s="370"/>
      <c r="J29" s="414">
        <v>300000</v>
      </c>
      <c r="K29" s="371"/>
      <c r="L29" s="372"/>
      <c r="M29" s="358"/>
      <c r="N29" s="358"/>
      <c r="O29" s="358">
        <f t="shared" si="0"/>
        <v>4422480</v>
      </c>
      <c r="P29" s="385">
        <v>0</v>
      </c>
      <c r="Q29" s="358">
        <f t="shared" si="1"/>
        <v>-4422480</v>
      </c>
      <c r="R29" s="195"/>
      <c r="S29" s="195"/>
    </row>
    <row r="30" spans="1:19" ht="20.100000000000001" customHeight="1" x14ac:dyDescent="0.25">
      <c r="A30" s="350">
        <v>23</v>
      </c>
      <c r="B30" s="365">
        <v>44370</v>
      </c>
      <c r="C30" s="366" t="s">
        <v>2523</v>
      </c>
      <c r="D30" s="367" t="s">
        <v>3775</v>
      </c>
      <c r="E30" s="354" t="s">
        <v>1212</v>
      </c>
      <c r="F30" s="368"/>
      <c r="G30" s="369">
        <v>180</v>
      </c>
      <c r="H30" s="369">
        <f t="shared" si="3"/>
        <v>2779200</v>
      </c>
      <c r="I30" s="370"/>
      <c r="J30" s="414">
        <v>2740000</v>
      </c>
      <c r="K30" s="371"/>
      <c r="L30" s="372"/>
      <c r="M30" s="358"/>
      <c r="N30" s="358"/>
      <c r="O30" s="358">
        <f t="shared" si="0"/>
        <v>5519200</v>
      </c>
      <c r="P30" s="385">
        <v>13727273</v>
      </c>
      <c r="Q30" s="358">
        <f t="shared" si="1"/>
        <v>8208073</v>
      </c>
      <c r="R30" s="195"/>
      <c r="S30" s="195"/>
    </row>
    <row r="31" spans="1:19" ht="20.100000000000001" customHeight="1" x14ac:dyDescent="0.25">
      <c r="A31" s="350">
        <v>24</v>
      </c>
      <c r="B31" s="365">
        <v>44371</v>
      </c>
      <c r="C31" s="366" t="s">
        <v>3750</v>
      </c>
      <c r="D31" s="367" t="s">
        <v>3776</v>
      </c>
      <c r="E31" s="354" t="s">
        <v>3790</v>
      </c>
      <c r="F31" s="368"/>
      <c r="G31" s="369">
        <v>254</v>
      </c>
      <c r="H31" s="369">
        <f t="shared" si="3"/>
        <v>3921760</v>
      </c>
      <c r="I31" s="370"/>
      <c r="J31" s="414">
        <v>790000</v>
      </c>
      <c r="K31" s="371"/>
      <c r="L31" s="372"/>
      <c r="M31" s="358"/>
      <c r="N31" s="358"/>
      <c r="O31" s="358">
        <f t="shared" si="0"/>
        <v>4711760</v>
      </c>
      <c r="P31" s="385">
        <v>2727273</v>
      </c>
      <c r="Q31" s="358">
        <f t="shared" si="1"/>
        <v>-1984487</v>
      </c>
      <c r="R31" s="195"/>
      <c r="S31" s="195"/>
    </row>
    <row r="32" spans="1:19" ht="20.100000000000001" customHeight="1" x14ac:dyDescent="0.25">
      <c r="A32" s="350">
        <v>25</v>
      </c>
      <c r="B32" s="365">
        <v>44372</v>
      </c>
      <c r="C32" s="366" t="s">
        <v>3751</v>
      </c>
      <c r="D32" s="367" t="s">
        <v>3777</v>
      </c>
      <c r="E32" s="354" t="s">
        <v>1023</v>
      </c>
      <c r="F32" s="368"/>
      <c r="G32" s="369">
        <v>63</v>
      </c>
      <c r="H32" s="369">
        <f>G32*16110</f>
        <v>1014930</v>
      </c>
      <c r="I32" s="370"/>
      <c r="J32" s="414">
        <v>1150000</v>
      </c>
      <c r="K32" s="371"/>
      <c r="L32" s="372"/>
      <c r="M32" s="358"/>
      <c r="N32" s="358"/>
      <c r="O32" s="358">
        <f t="shared" si="0"/>
        <v>2164930</v>
      </c>
      <c r="P32" s="385">
        <v>4572727</v>
      </c>
      <c r="Q32" s="358">
        <f t="shared" si="1"/>
        <v>2407797</v>
      </c>
      <c r="R32" s="195"/>
      <c r="S32" s="195"/>
    </row>
    <row r="33" spans="1:19" ht="20.100000000000001" customHeight="1" x14ac:dyDescent="0.25">
      <c r="A33" s="350">
        <v>26</v>
      </c>
      <c r="B33" s="365">
        <v>44372</v>
      </c>
      <c r="C33" s="366" t="s">
        <v>3752</v>
      </c>
      <c r="D33" s="367" t="s">
        <v>3778</v>
      </c>
      <c r="E33" s="354" t="s">
        <v>21</v>
      </c>
      <c r="F33" s="368"/>
      <c r="G33" s="369">
        <v>109</v>
      </c>
      <c r="H33" s="369">
        <f t="shared" ref="H33:H36" si="4">G33*16110</f>
        <v>1755990</v>
      </c>
      <c r="I33" s="370"/>
      <c r="J33" s="414">
        <v>2740000</v>
      </c>
      <c r="K33" s="371"/>
      <c r="L33" s="372"/>
      <c r="M33" s="358"/>
      <c r="N33" s="358"/>
      <c r="O33" s="358">
        <f t="shared" si="0"/>
        <v>4495990</v>
      </c>
      <c r="P33" s="385">
        <v>12818182</v>
      </c>
      <c r="Q33" s="358">
        <f t="shared" si="1"/>
        <v>8322192</v>
      </c>
      <c r="R33" s="195"/>
      <c r="S33" s="195"/>
    </row>
    <row r="34" spans="1:19" ht="20.100000000000001" customHeight="1" x14ac:dyDescent="0.25">
      <c r="A34" s="350">
        <v>27</v>
      </c>
      <c r="B34" s="365">
        <v>44375</v>
      </c>
      <c r="C34" s="366" t="s">
        <v>3753</v>
      </c>
      <c r="D34" s="367" t="s">
        <v>3779</v>
      </c>
      <c r="E34" s="354" t="s">
        <v>21</v>
      </c>
      <c r="F34" s="368"/>
      <c r="G34" s="369">
        <v>240</v>
      </c>
      <c r="H34" s="369">
        <f t="shared" si="4"/>
        <v>3866400</v>
      </c>
      <c r="I34" s="370"/>
      <c r="J34" s="414">
        <v>2740000</v>
      </c>
      <c r="K34" s="371"/>
      <c r="L34" s="372"/>
      <c r="M34" s="358"/>
      <c r="N34" s="358"/>
      <c r="O34" s="358">
        <f t="shared" si="0"/>
        <v>6606400</v>
      </c>
      <c r="P34" s="385">
        <v>11909091</v>
      </c>
      <c r="Q34" s="358">
        <f t="shared" si="1"/>
        <v>5302691</v>
      </c>
      <c r="R34" s="195"/>
      <c r="S34" s="195"/>
    </row>
    <row r="35" spans="1:19" ht="20.100000000000001" customHeight="1" x14ac:dyDescent="0.25">
      <c r="A35" s="350">
        <v>28</v>
      </c>
      <c r="B35" s="365">
        <v>44376</v>
      </c>
      <c r="C35" s="416" t="s">
        <v>3754</v>
      </c>
      <c r="D35" s="417" t="s">
        <v>3780</v>
      </c>
      <c r="E35" s="354" t="s">
        <v>189</v>
      </c>
      <c r="F35" s="355"/>
      <c r="G35" s="369">
        <v>240</v>
      </c>
      <c r="H35" s="369">
        <f t="shared" si="4"/>
        <v>3866400</v>
      </c>
      <c r="I35" s="370"/>
      <c r="J35" s="414">
        <v>1890000</v>
      </c>
      <c r="K35" s="371"/>
      <c r="L35" s="372"/>
      <c r="M35" s="358"/>
      <c r="N35" s="361"/>
      <c r="O35" s="362">
        <f t="shared" si="0"/>
        <v>5756400</v>
      </c>
      <c r="P35" s="377">
        <v>9727273</v>
      </c>
      <c r="Q35" s="378">
        <f t="shared" si="1"/>
        <v>3970873</v>
      </c>
      <c r="R35" s="195"/>
      <c r="S35" s="195"/>
    </row>
    <row r="36" spans="1:19" ht="27" customHeight="1" x14ac:dyDescent="0.25">
      <c r="A36" s="374"/>
      <c r="B36" s="379"/>
      <c r="C36" s="594" t="s">
        <v>1273</v>
      </c>
      <c r="D36" s="595"/>
      <c r="E36" s="596"/>
      <c r="F36" s="380"/>
      <c r="G36" s="381"/>
      <c r="H36" s="369">
        <f t="shared" si="4"/>
        <v>0</v>
      </c>
      <c r="I36" s="403"/>
      <c r="J36" s="381"/>
      <c r="K36" s="371"/>
      <c r="L36" s="435">
        <v>1200000</v>
      </c>
      <c r="M36" s="381"/>
      <c r="N36" s="384"/>
      <c r="O36" s="362">
        <f>H36+J36+K36+L36+M36+N36</f>
        <v>1200000</v>
      </c>
      <c r="P36" s="385"/>
      <c r="Q36" s="378"/>
    </row>
    <row r="37" spans="1:19" ht="27" customHeight="1" x14ac:dyDescent="0.25">
      <c r="A37" s="386"/>
      <c r="B37" s="379"/>
      <c r="C37" s="594" t="s">
        <v>3791</v>
      </c>
      <c r="D37" s="595"/>
      <c r="E37" s="596"/>
      <c r="F37" s="380"/>
      <c r="G37" s="381"/>
      <c r="H37" s="369"/>
      <c r="I37" s="403"/>
      <c r="J37" s="381"/>
      <c r="K37" s="404"/>
      <c r="L37" s="388"/>
      <c r="M37" s="437">
        <v>800000</v>
      </c>
      <c r="N37" s="384"/>
      <c r="O37" s="362">
        <f t="shared" ref="O37:O49" si="5">H37+J37+K37+L37+M37+N37</f>
        <v>800000</v>
      </c>
      <c r="P37" s="389"/>
      <c r="Q37" s="378"/>
    </row>
    <row r="38" spans="1:19" ht="27" customHeight="1" x14ac:dyDescent="0.25">
      <c r="A38" s="386"/>
      <c r="B38" s="379"/>
      <c r="C38" s="594" t="s">
        <v>3792</v>
      </c>
      <c r="D38" s="595"/>
      <c r="E38" s="596"/>
      <c r="F38" s="380"/>
      <c r="G38" s="381"/>
      <c r="H38" s="369"/>
      <c r="I38" s="403"/>
      <c r="J38" s="381"/>
      <c r="K38" s="404"/>
      <c r="L38" s="388"/>
      <c r="M38" s="437">
        <v>700000</v>
      </c>
      <c r="N38" s="384"/>
      <c r="O38" s="362">
        <f t="shared" si="5"/>
        <v>700000</v>
      </c>
      <c r="P38" s="389"/>
      <c r="Q38" s="378"/>
    </row>
    <row r="39" spans="1:19" ht="27" customHeight="1" x14ac:dyDescent="0.25">
      <c r="A39" s="386"/>
      <c r="B39" s="379"/>
      <c r="C39" s="594" t="s">
        <v>3793</v>
      </c>
      <c r="D39" s="595"/>
      <c r="E39" s="596"/>
      <c r="F39" s="380"/>
      <c r="G39" s="381"/>
      <c r="H39" s="369"/>
      <c r="I39" s="403"/>
      <c r="J39" s="381"/>
      <c r="K39" s="404"/>
      <c r="L39" s="381"/>
      <c r="M39" s="437">
        <v>1760000</v>
      </c>
      <c r="N39" s="384"/>
      <c r="O39" s="362">
        <f t="shared" si="5"/>
        <v>1760000</v>
      </c>
      <c r="P39" s="389"/>
      <c r="Q39" s="378"/>
    </row>
    <row r="40" spans="1:19" ht="27" customHeight="1" x14ac:dyDescent="0.25">
      <c r="A40" s="386"/>
      <c r="B40" s="379"/>
      <c r="C40" s="594" t="s">
        <v>3794</v>
      </c>
      <c r="D40" s="595"/>
      <c r="E40" s="596"/>
      <c r="F40" s="402"/>
      <c r="G40" s="381"/>
      <c r="H40" s="369"/>
      <c r="I40" s="403"/>
      <c r="J40" s="381"/>
      <c r="K40" s="404"/>
      <c r="L40" s="372"/>
      <c r="M40" s="435">
        <v>650000</v>
      </c>
      <c r="N40" s="381"/>
      <c r="O40" s="362">
        <f t="shared" si="5"/>
        <v>650000</v>
      </c>
      <c r="P40" s="389"/>
      <c r="Q40" s="378"/>
    </row>
    <row r="41" spans="1:19" ht="27" customHeight="1" x14ac:dyDescent="0.25">
      <c r="A41" s="386"/>
      <c r="B41" s="379"/>
      <c r="C41" s="594" t="s">
        <v>3795</v>
      </c>
      <c r="D41" s="595"/>
      <c r="E41" s="596"/>
      <c r="F41" s="402"/>
      <c r="G41" s="381"/>
      <c r="H41" s="369"/>
      <c r="I41" s="403"/>
      <c r="J41" s="381"/>
      <c r="K41" s="404"/>
      <c r="L41" s="388"/>
      <c r="M41" s="437">
        <v>2600000</v>
      </c>
      <c r="N41" s="381"/>
      <c r="O41" s="362">
        <f t="shared" si="5"/>
        <v>2600000</v>
      </c>
      <c r="P41" s="389"/>
      <c r="Q41" s="378"/>
    </row>
    <row r="42" spans="1:19" ht="27" customHeight="1" x14ac:dyDescent="0.25">
      <c r="A42" s="386"/>
      <c r="B42" s="379"/>
      <c r="C42" s="594" t="s">
        <v>3796</v>
      </c>
      <c r="D42" s="595"/>
      <c r="E42" s="596"/>
      <c r="F42" s="402"/>
      <c r="G42" s="381"/>
      <c r="H42" s="369"/>
      <c r="I42" s="403"/>
      <c r="J42" s="381"/>
      <c r="K42" s="404"/>
      <c r="L42" s="388"/>
      <c r="M42" s="437">
        <v>6400000</v>
      </c>
      <c r="N42" s="388"/>
      <c r="O42" s="362">
        <f t="shared" si="5"/>
        <v>6400000</v>
      </c>
      <c r="P42" s="389"/>
      <c r="Q42" s="378"/>
    </row>
    <row r="43" spans="1:19" ht="27" customHeight="1" x14ac:dyDescent="0.25">
      <c r="A43" s="386"/>
      <c r="B43" s="379"/>
      <c r="C43" s="594" t="s">
        <v>1775</v>
      </c>
      <c r="D43" s="595"/>
      <c r="E43" s="596"/>
      <c r="F43" s="402"/>
      <c r="G43" s="381"/>
      <c r="H43" s="369"/>
      <c r="I43" s="403"/>
      <c r="J43" s="381"/>
      <c r="K43" s="404"/>
      <c r="L43" s="388"/>
      <c r="M43" s="437">
        <v>200000</v>
      </c>
      <c r="N43" s="388"/>
      <c r="O43" s="362">
        <f t="shared" si="5"/>
        <v>200000</v>
      </c>
      <c r="P43" s="389"/>
      <c r="Q43" s="378"/>
    </row>
    <row r="44" spans="1:19" ht="27" customHeight="1" x14ac:dyDescent="0.25">
      <c r="A44" s="386"/>
      <c r="B44" s="379"/>
      <c r="C44" s="603" t="s">
        <v>3797</v>
      </c>
      <c r="D44" s="604"/>
      <c r="E44" s="605"/>
      <c r="F44" s="402"/>
      <c r="G44" s="381"/>
      <c r="H44" s="369"/>
      <c r="I44" s="403"/>
      <c r="J44" s="381"/>
      <c r="K44" s="404"/>
      <c r="L44" s="388"/>
      <c r="M44" s="437">
        <v>300000</v>
      </c>
      <c r="N44" s="388"/>
      <c r="O44" s="362">
        <f t="shared" si="5"/>
        <v>300000</v>
      </c>
      <c r="P44" s="389"/>
      <c r="Q44" s="378"/>
    </row>
    <row r="45" spans="1:19" ht="27" customHeight="1" x14ac:dyDescent="0.25">
      <c r="A45" s="386"/>
      <c r="B45" s="379"/>
      <c r="C45" s="594" t="s">
        <v>3798</v>
      </c>
      <c r="D45" s="595"/>
      <c r="E45" s="596"/>
      <c r="F45" s="402"/>
      <c r="G45" s="381"/>
      <c r="H45" s="369"/>
      <c r="I45" s="403"/>
      <c r="J45" s="381"/>
      <c r="K45" s="404"/>
      <c r="L45" s="388"/>
      <c r="M45" s="437">
        <v>350000</v>
      </c>
      <c r="N45" s="388"/>
      <c r="O45" s="362">
        <f t="shared" si="5"/>
        <v>350000</v>
      </c>
      <c r="P45" s="389"/>
      <c r="Q45" s="378"/>
    </row>
    <row r="46" spans="1:19" ht="27" customHeight="1" x14ac:dyDescent="0.25">
      <c r="A46" s="386"/>
      <c r="B46" s="379"/>
      <c r="C46" s="594" t="s">
        <v>3799</v>
      </c>
      <c r="D46" s="595"/>
      <c r="E46" s="596"/>
      <c r="F46" s="402"/>
      <c r="G46" s="381"/>
      <c r="H46" s="369"/>
      <c r="I46" s="403"/>
      <c r="J46" s="381"/>
      <c r="K46" s="404"/>
      <c r="L46" s="388"/>
      <c r="M46" s="437">
        <v>2750000</v>
      </c>
      <c r="N46" s="388"/>
      <c r="O46" s="362">
        <f t="shared" si="5"/>
        <v>2750000</v>
      </c>
      <c r="P46" s="389"/>
      <c r="Q46" s="378"/>
    </row>
    <row r="47" spans="1:19" ht="27" customHeight="1" x14ac:dyDescent="0.25">
      <c r="A47" s="386"/>
      <c r="B47" s="379"/>
      <c r="C47" s="594" t="s">
        <v>3800</v>
      </c>
      <c r="D47" s="595"/>
      <c r="E47" s="596"/>
      <c r="F47" s="402"/>
      <c r="G47" s="381"/>
      <c r="H47" s="369"/>
      <c r="I47" s="403"/>
      <c r="J47" s="381"/>
      <c r="K47" s="404"/>
      <c r="L47" s="388"/>
      <c r="M47" s="437">
        <v>3150000</v>
      </c>
      <c r="N47" s="388"/>
      <c r="O47" s="362">
        <f t="shared" si="5"/>
        <v>3150000</v>
      </c>
      <c r="P47" s="389"/>
      <c r="Q47" s="378"/>
    </row>
    <row r="48" spans="1:19" ht="27" customHeight="1" x14ac:dyDescent="0.25">
      <c r="A48" s="386"/>
      <c r="B48" s="379"/>
      <c r="C48" s="428"/>
      <c r="D48" s="429"/>
      <c r="E48" s="430"/>
      <c r="F48" s="402"/>
      <c r="G48" s="381"/>
      <c r="H48" s="369"/>
      <c r="I48" s="403"/>
      <c r="J48" s="381"/>
      <c r="K48" s="394"/>
      <c r="L48" s="388"/>
      <c r="M48" s="388"/>
      <c r="N48" s="388"/>
      <c r="O48" s="362">
        <f t="shared" si="5"/>
        <v>0</v>
      </c>
      <c r="P48" s="389"/>
      <c r="Q48" s="378"/>
    </row>
    <row r="49" spans="1:18" ht="18" customHeight="1" x14ac:dyDescent="0.25">
      <c r="A49" s="386"/>
      <c r="B49" s="391"/>
      <c r="C49" s="579" t="s">
        <v>3801</v>
      </c>
      <c r="D49" s="580"/>
      <c r="E49" s="581"/>
      <c r="F49" s="392"/>
      <c r="G49" s="381"/>
      <c r="H49" s="382"/>
      <c r="I49" s="383"/>
      <c r="J49" s="384"/>
      <c r="K49" s="440">
        <f>27/26*8000000</f>
        <v>8307692.307692308</v>
      </c>
      <c r="L49" s="394"/>
      <c r="M49" s="384"/>
      <c r="N49" s="384"/>
      <c r="O49" s="362">
        <f t="shared" si="5"/>
        <v>8307692.307692308</v>
      </c>
      <c r="P49" s="389"/>
      <c r="Q49" s="378"/>
    </row>
    <row r="50" spans="1:18" x14ac:dyDescent="0.25">
      <c r="A50" s="576" t="s">
        <v>19</v>
      </c>
      <c r="B50" s="577"/>
      <c r="C50" s="577"/>
      <c r="D50" s="577"/>
      <c r="E50" s="577"/>
      <c r="F50" s="578"/>
      <c r="G50" s="427">
        <f>SUM(G8:G49)</f>
        <v>3337</v>
      </c>
      <c r="H50" s="396">
        <f t="shared" ref="H50:N50" si="6">SUM(H7:H49)</f>
        <v>51087110</v>
      </c>
      <c r="I50" s="396">
        <f t="shared" si="6"/>
        <v>0</v>
      </c>
      <c r="J50" s="396">
        <f>SUM(J7:J49)</f>
        <v>39630000</v>
      </c>
      <c r="K50" s="396">
        <f t="shared" si="6"/>
        <v>8307692.307692308</v>
      </c>
      <c r="L50" s="396">
        <f t="shared" si="6"/>
        <v>1200000</v>
      </c>
      <c r="M50" s="396">
        <f>SUM(M7:M49)</f>
        <v>19660000</v>
      </c>
      <c r="N50" s="396">
        <f t="shared" si="6"/>
        <v>0</v>
      </c>
      <c r="O50" s="396">
        <f>SUM(O7:O49)</f>
        <v>119884802.3076923</v>
      </c>
      <c r="P50" s="396">
        <f>SUM(P7:P49)</f>
        <v>165879091</v>
      </c>
      <c r="Q50" s="397">
        <f>P50-O50</f>
        <v>45994288.692307696</v>
      </c>
      <c r="R50" s="195"/>
    </row>
    <row r="51" spans="1:18" x14ac:dyDescent="0.25">
      <c r="P51" s="294"/>
      <c r="Q51" s="295"/>
    </row>
    <row r="52" spans="1:18" x14ac:dyDescent="0.25">
      <c r="B52"/>
      <c r="G52"/>
      <c r="H52" s="294"/>
      <c r="P52" s="296" t="s">
        <v>1225</v>
      </c>
      <c r="Q52" s="304">
        <f>'05.2021'!Q52+'06.2021'!Q50</f>
        <v>187916175.69230771</v>
      </c>
    </row>
    <row r="53" spans="1:18" x14ac:dyDescent="0.25">
      <c r="B53"/>
      <c r="G53"/>
      <c r="Q53" s="294"/>
    </row>
    <row r="54" spans="1:18" x14ac:dyDescent="0.25">
      <c r="B54"/>
      <c r="G54"/>
      <c r="R54" s="195"/>
    </row>
  </sheetData>
  <mergeCells count="18">
    <mergeCell ref="C38:E38"/>
    <mergeCell ref="C37:E37"/>
    <mergeCell ref="C41:E41"/>
    <mergeCell ref="A1:Q1"/>
    <mergeCell ref="A2:Q2"/>
    <mergeCell ref="A3:Q3"/>
    <mergeCell ref="G5:N5"/>
    <mergeCell ref="C36:E36"/>
    <mergeCell ref="C46:E46"/>
    <mergeCell ref="C47:E47"/>
    <mergeCell ref="C49:E49"/>
    <mergeCell ref="A50:F50"/>
    <mergeCell ref="C39:E39"/>
    <mergeCell ref="C40:E40"/>
    <mergeCell ref="C42:E42"/>
    <mergeCell ref="C43:E43"/>
    <mergeCell ref="C44:E44"/>
    <mergeCell ref="C45:E45"/>
  </mergeCells>
  <pageMargins left="0.7" right="0.7" top="0.75" bottom="0.75" header="0.3" footer="0.3"/>
  <pageSetup orientation="portrait" horizontalDpi="0" verticalDpi="0"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CA399-2579-45B6-8AE7-5A8D97621BAD}">
  <dimension ref="A1:S56"/>
  <sheetViews>
    <sheetView topLeftCell="A37" workbookViewId="0">
      <selection activeCell="D40" sqref="C40:D40"/>
    </sheetView>
  </sheetViews>
  <sheetFormatPr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0.28515625" style="292" bestFit="1"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3853</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19"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19" x14ac:dyDescent="0.25">
      <c r="A7" s="75"/>
      <c r="B7" s="100"/>
      <c r="C7" s="88"/>
      <c r="D7" s="88"/>
      <c r="E7" s="134"/>
      <c r="F7" s="75"/>
      <c r="G7" s="264"/>
      <c r="H7" s="264"/>
      <c r="I7" s="264"/>
      <c r="J7" s="264"/>
      <c r="K7" s="264"/>
      <c r="L7" s="308"/>
      <c r="M7" s="264"/>
      <c r="N7" s="264"/>
      <c r="O7" s="265"/>
      <c r="P7" s="265"/>
      <c r="Q7" s="264"/>
    </row>
    <row r="8" spans="1:19" ht="20.100000000000001" customHeight="1" x14ac:dyDescent="0.25">
      <c r="A8" s="350">
        <v>1</v>
      </c>
      <c r="B8" s="365">
        <v>44377</v>
      </c>
      <c r="C8" s="366" t="s">
        <v>3802</v>
      </c>
      <c r="D8" s="367" t="s">
        <v>3803</v>
      </c>
      <c r="E8" s="354" t="s">
        <v>3413</v>
      </c>
      <c r="F8" s="368"/>
      <c r="G8" s="369">
        <v>258</v>
      </c>
      <c r="H8" s="369">
        <f>G8*16110</f>
        <v>4156380</v>
      </c>
      <c r="I8" s="418"/>
      <c r="J8" s="414">
        <v>1720000</v>
      </c>
      <c r="K8" s="371"/>
      <c r="L8" s="372"/>
      <c r="M8" s="358"/>
      <c r="N8" s="358"/>
      <c r="O8" s="358">
        <f>H8+J8+K8+L8+M8+N8</f>
        <v>5876380</v>
      </c>
      <c r="P8" s="358">
        <v>9009091</v>
      </c>
      <c r="Q8" s="358">
        <f>P8-O8</f>
        <v>3132711</v>
      </c>
      <c r="R8" s="195"/>
      <c r="S8" s="195"/>
    </row>
    <row r="9" spans="1:19" ht="20.100000000000001" customHeight="1" x14ac:dyDescent="0.25">
      <c r="A9" s="350">
        <v>2</v>
      </c>
      <c r="B9" s="365">
        <v>44379</v>
      </c>
      <c r="C9" s="366" t="s">
        <v>1893</v>
      </c>
      <c r="D9" s="415" t="s">
        <v>3804</v>
      </c>
      <c r="E9" s="354" t="s">
        <v>2240</v>
      </c>
      <c r="F9" s="368"/>
      <c r="G9" s="369">
        <v>75</v>
      </c>
      <c r="H9" s="369">
        <f t="shared" ref="H9:H15" si="0">G9*16110</f>
        <v>1208250</v>
      </c>
      <c r="I9" s="370"/>
      <c r="J9" s="414">
        <v>1150000</v>
      </c>
      <c r="K9" s="371"/>
      <c r="L9" s="372"/>
      <c r="M9" s="358"/>
      <c r="N9" s="358"/>
      <c r="O9" s="358">
        <f t="shared" ref="O9:O35" si="1">H9+J9+K9+L9+M9+N9</f>
        <v>2358250</v>
      </c>
      <c r="P9" s="385">
        <v>3600000</v>
      </c>
      <c r="Q9" s="358">
        <f t="shared" ref="Q9:Q35" si="2">P9-O9</f>
        <v>1241750</v>
      </c>
      <c r="R9" s="195"/>
      <c r="S9" s="195"/>
    </row>
    <row r="10" spans="1:19" ht="20.100000000000001" customHeight="1" x14ac:dyDescent="0.25">
      <c r="A10" s="350">
        <v>3</v>
      </c>
      <c r="B10" s="365">
        <v>44382</v>
      </c>
      <c r="C10" s="366" t="s">
        <v>3805</v>
      </c>
      <c r="D10" s="367" t="s">
        <v>3806</v>
      </c>
      <c r="E10" s="354" t="s">
        <v>2885</v>
      </c>
      <c r="F10" s="368"/>
      <c r="G10" s="369">
        <v>66</v>
      </c>
      <c r="H10" s="369">
        <f t="shared" si="0"/>
        <v>1063260</v>
      </c>
      <c r="I10" s="370"/>
      <c r="J10" s="414">
        <v>790000</v>
      </c>
      <c r="K10" s="371"/>
      <c r="L10" s="372"/>
      <c r="M10" s="358"/>
      <c r="N10" s="358"/>
      <c r="O10" s="358">
        <f t="shared" si="1"/>
        <v>1853260</v>
      </c>
      <c r="P10" s="385">
        <v>2954545</v>
      </c>
      <c r="Q10" s="358">
        <f t="shared" si="2"/>
        <v>1101285</v>
      </c>
      <c r="R10" s="195"/>
      <c r="S10" s="195"/>
    </row>
    <row r="11" spans="1:19" ht="20.100000000000001" customHeight="1" x14ac:dyDescent="0.25">
      <c r="A11" s="350">
        <v>4</v>
      </c>
      <c r="B11" s="365">
        <v>44383</v>
      </c>
      <c r="C11" s="366" t="s">
        <v>3807</v>
      </c>
      <c r="D11" s="367" t="s">
        <v>3808</v>
      </c>
      <c r="E11" s="354" t="s">
        <v>3413</v>
      </c>
      <c r="F11" s="368"/>
      <c r="G11" s="369">
        <v>258</v>
      </c>
      <c r="H11" s="369">
        <f t="shared" si="0"/>
        <v>4156380</v>
      </c>
      <c r="I11" s="370"/>
      <c r="J11" s="414">
        <v>1720000</v>
      </c>
      <c r="K11" s="371"/>
      <c r="L11" s="372"/>
      <c r="M11" s="358"/>
      <c r="N11" s="358"/>
      <c r="O11" s="358">
        <f t="shared" si="1"/>
        <v>5876380</v>
      </c>
      <c r="P11" s="385">
        <v>9009091</v>
      </c>
      <c r="Q11" s="358">
        <f t="shared" si="2"/>
        <v>3132711</v>
      </c>
      <c r="R11" s="195"/>
      <c r="S11" s="195"/>
    </row>
    <row r="12" spans="1:19" ht="23.25" customHeight="1" x14ac:dyDescent="0.25">
      <c r="A12" s="350">
        <v>5</v>
      </c>
      <c r="B12" s="365">
        <v>44385</v>
      </c>
      <c r="C12" s="366" t="s">
        <v>3809</v>
      </c>
      <c r="D12" s="367" t="s">
        <v>3810</v>
      </c>
      <c r="E12" s="354" t="s">
        <v>2957</v>
      </c>
      <c r="F12" s="368"/>
      <c r="G12" s="369">
        <v>85</v>
      </c>
      <c r="H12" s="369">
        <f t="shared" si="0"/>
        <v>1369350</v>
      </c>
      <c r="I12" s="370"/>
      <c r="J12" s="414">
        <v>1150000</v>
      </c>
      <c r="K12" s="371"/>
      <c r="L12" s="372"/>
      <c r="M12" s="358"/>
      <c r="N12" s="358"/>
      <c r="O12" s="358">
        <f t="shared" si="1"/>
        <v>2519350</v>
      </c>
      <c r="P12" s="385">
        <v>3600000</v>
      </c>
      <c r="Q12" s="358">
        <f t="shared" si="2"/>
        <v>1080650</v>
      </c>
      <c r="R12" s="195"/>
      <c r="S12" s="195"/>
    </row>
    <row r="13" spans="1:19" ht="20.100000000000001" customHeight="1" x14ac:dyDescent="0.25">
      <c r="A13" s="350">
        <v>6</v>
      </c>
      <c r="B13" s="365">
        <v>44385</v>
      </c>
      <c r="C13" s="366" t="s">
        <v>3811</v>
      </c>
      <c r="D13" s="367" t="s">
        <v>3812</v>
      </c>
      <c r="E13" s="354" t="s">
        <v>24</v>
      </c>
      <c r="F13" s="368"/>
      <c r="G13" s="369">
        <v>180</v>
      </c>
      <c r="H13" s="369">
        <f t="shared" si="0"/>
        <v>2899800</v>
      </c>
      <c r="I13" s="370"/>
      <c r="J13" s="414">
        <f>1890000+300000</f>
        <v>2190000</v>
      </c>
      <c r="K13" s="371"/>
      <c r="L13" s="372"/>
      <c r="M13" s="358"/>
      <c r="N13" s="358"/>
      <c r="O13" s="358">
        <f t="shared" si="1"/>
        <v>5089800</v>
      </c>
      <c r="P13" s="385">
        <v>8572727</v>
      </c>
      <c r="Q13" s="358">
        <f t="shared" si="2"/>
        <v>3482927</v>
      </c>
      <c r="R13" s="195"/>
      <c r="S13" s="195"/>
    </row>
    <row r="14" spans="1:19" ht="20.100000000000001" customHeight="1" x14ac:dyDescent="0.25">
      <c r="A14" s="350">
        <v>7</v>
      </c>
      <c r="B14" s="365">
        <v>44385</v>
      </c>
      <c r="C14" s="366" t="s">
        <v>3811</v>
      </c>
      <c r="D14" s="367" t="s">
        <v>3813</v>
      </c>
      <c r="E14" s="354" t="s">
        <v>24</v>
      </c>
      <c r="F14" s="368"/>
      <c r="G14" s="369"/>
      <c r="H14" s="369"/>
      <c r="I14" s="370"/>
      <c r="J14" s="414">
        <v>0</v>
      </c>
      <c r="K14" s="371"/>
      <c r="L14" s="372"/>
      <c r="M14" s="358"/>
      <c r="N14" s="358"/>
      <c r="O14" s="358">
        <f t="shared" si="1"/>
        <v>0</v>
      </c>
      <c r="P14" s="385">
        <v>0</v>
      </c>
      <c r="Q14" s="358">
        <f t="shared" si="2"/>
        <v>0</v>
      </c>
      <c r="R14" s="195"/>
      <c r="S14" s="195"/>
    </row>
    <row r="15" spans="1:19" ht="20.100000000000001" customHeight="1" x14ac:dyDescent="0.25">
      <c r="A15" s="350">
        <v>8</v>
      </c>
      <c r="B15" s="365">
        <v>44386</v>
      </c>
      <c r="C15" s="366" t="s">
        <v>1897</v>
      </c>
      <c r="D15" s="367" t="s">
        <v>3814</v>
      </c>
      <c r="E15" s="354" t="s">
        <v>21</v>
      </c>
      <c r="F15" s="368"/>
      <c r="G15" s="369">
        <v>243</v>
      </c>
      <c r="H15" s="369">
        <f t="shared" si="0"/>
        <v>3914730</v>
      </c>
      <c r="I15" s="370"/>
      <c r="J15" s="414">
        <v>2740000</v>
      </c>
      <c r="K15" s="371"/>
      <c r="L15" s="372"/>
      <c r="M15" s="358"/>
      <c r="N15" s="358"/>
      <c r="O15" s="358">
        <f t="shared" si="1"/>
        <v>6654730</v>
      </c>
      <c r="P15" s="385">
        <v>12363636</v>
      </c>
      <c r="Q15" s="358">
        <f t="shared" si="2"/>
        <v>5708906</v>
      </c>
      <c r="R15" s="195"/>
      <c r="S15" s="195"/>
    </row>
    <row r="16" spans="1:19" ht="20.100000000000001" customHeight="1" x14ac:dyDescent="0.25">
      <c r="A16" s="350">
        <v>9</v>
      </c>
      <c r="B16" s="365">
        <v>44389</v>
      </c>
      <c r="C16" s="366" t="s">
        <v>3815</v>
      </c>
      <c r="D16" s="367" t="s">
        <v>3816</v>
      </c>
      <c r="E16" s="354" t="s">
        <v>2885</v>
      </c>
      <c r="F16" s="368"/>
      <c r="G16" s="369">
        <v>69</v>
      </c>
      <c r="H16" s="369">
        <f>G16*16530</f>
        <v>1140570</v>
      </c>
      <c r="I16" s="370"/>
      <c r="J16" s="414">
        <v>790000</v>
      </c>
      <c r="K16" s="371"/>
      <c r="L16" s="372"/>
      <c r="M16" s="358"/>
      <c r="N16" s="358"/>
      <c r="O16" s="358">
        <f t="shared" si="1"/>
        <v>1930570</v>
      </c>
      <c r="P16" s="385">
        <v>2954545</v>
      </c>
      <c r="Q16" s="358">
        <f t="shared" si="2"/>
        <v>1023975</v>
      </c>
      <c r="R16" s="195"/>
      <c r="S16" s="195"/>
    </row>
    <row r="17" spans="1:19" ht="20.100000000000001" customHeight="1" x14ac:dyDescent="0.25">
      <c r="A17" s="350">
        <v>10</v>
      </c>
      <c r="B17" s="365">
        <v>44389</v>
      </c>
      <c r="C17" s="366" t="s">
        <v>2587</v>
      </c>
      <c r="D17" s="367" t="s">
        <v>3817</v>
      </c>
      <c r="E17" s="354" t="s">
        <v>2885</v>
      </c>
      <c r="F17" s="368"/>
      <c r="G17" s="369">
        <v>62</v>
      </c>
      <c r="H17" s="369">
        <f t="shared" ref="H17:H28" si="3">G17*16530</f>
        <v>1024860</v>
      </c>
      <c r="I17" s="370"/>
      <c r="J17" s="414">
        <v>790000</v>
      </c>
      <c r="K17" s="371"/>
      <c r="L17" s="372"/>
      <c r="M17" s="358"/>
      <c r="N17" s="358"/>
      <c r="O17" s="358">
        <f t="shared" si="1"/>
        <v>1814860</v>
      </c>
      <c r="P17" s="385">
        <v>2800000</v>
      </c>
      <c r="Q17" s="358">
        <f t="shared" si="2"/>
        <v>985140</v>
      </c>
      <c r="R17" s="195"/>
      <c r="S17" s="195"/>
    </row>
    <row r="18" spans="1:19" ht="20.100000000000001" customHeight="1" x14ac:dyDescent="0.25">
      <c r="A18" s="350">
        <v>11</v>
      </c>
      <c r="B18" s="365">
        <v>44390</v>
      </c>
      <c r="C18" s="366" t="s">
        <v>453</v>
      </c>
      <c r="D18" s="367" t="s">
        <v>3818</v>
      </c>
      <c r="E18" s="354" t="s">
        <v>3413</v>
      </c>
      <c r="F18" s="368"/>
      <c r="G18" s="369">
        <v>258</v>
      </c>
      <c r="H18" s="369">
        <f t="shared" si="3"/>
        <v>4264740</v>
      </c>
      <c r="I18" s="370"/>
      <c r="J18" s="414">
        <v>1720000</v>
      </c>
      <c r="K18" s="371"/>
      <c r="L18" s="372"/>
      <c r="M18" s="358"/>
      <c r="N18" s="358"/>
      <c r="O18" s="358">
        <f t="shared" si="1"/>
        <v>5984740</v>
      </c>
      <c r="P18" s="385">
        <v>9009091</v>
      </c>
      <c r="Q18" s="358">
        <f t="shared" si="2"/>
        <v>3024351</v>
      </c>
      <c r="R18" s="195"/>
      <c r="S18" s="195"/>
    </row>
    <row r="19" spans="1:19" ht="20.100000000000001" customHeight="1" x14ac:dyDescent="0.25">
      <c r="A19" s="350">
        <v>12</v>
      </c>
      <c r="B19" s="365">
        <v>44391</v>
      </c>
      <c r="C19" s="366" t="s">
        <v>3819</v>
      </c>
      <c r="D19" s="367" t="s">
        <v>3820</v>
      </c>
      <c r="E19" s="354" t="s">
        <v>705</v>
      </c>
      <c r="F19" s="368"/>
      <c r="G19" s="369">
        <v>82</v>
      </c>
      <c r="H19" s="369">
        <f t="shared" si="3"/>
        <v>1355460</v>
      </c>
      <c r="I19" s="370"/>
      <c r="J19" s="414">
        <v>1150000</v>
      </c>
      <c r="K19" s="371"/>
      <c r="L19" s="372"/>
      <c r="M19" s="358"/>
      <c r="N19" s="358"/>
      <c r="O19" s="358">
        <f t="shared" si="1"/>
        <v>2505460</v>
      </c>
      <c r="P19" s="385">
        <v>3600000</v>
      </c>
      <c r="Q19" s="358">
        <f t="shared" si="2"/>
        <v>1094540</v>
      </c>
      <c r="R19" s="195"/>
      <c r="S19" s="195"/>
    </row>
    <row r="20" spans="1:19" ht="20.100000000000001" customHeight="1" x14ac:dyDescent="0.25">
      <c r="A20" s="350">
        <v>13</v>
      </c>
      <c r="B20" s="365">
        <v>44392</v>
      </c>
      <c r="C20" s="366" t="s">
        <v>3194</v>
      </c>
      <c r="D20" s="367" t="s">
        <v>3821</v>
      </c>
      <c r="E20" s="354" t="s">
        <v>2882</v>
      </c>
      <c r="F20" s="368"/>
      <c r="G20" s="369">
        <v>88</v>
      </c>
      <c r="H20" s="369">
        <f>G20*16530</f>
        <v>1454640</v>
      </c>
      <c r="I20" s="370"/>
      <c r="J20" s="414">
        <v>1150000</v>
      </c>
      <c r="K20" s="371"/>
      <c r="L20" s="372"/>
      <c r="M20" s="358"/>
      <c r="N20" s="358"/>
      <c r="O20" s="358">
        <f t="shared" si="1"/>
        <v>2604640</v>
      </c>
      <c r="P20" s="385">
        <v>3700000</v>
      </c>
      <c r="Q20" s="358">
        <f t="shared" si="2"/>
        <v>1095360</v>
      </c>
      <c r="R20" s="195"/>
      <c r="S20" s="195"/>
    </row>
    <row r="21" spans="1:19" ht="20.100000000000001" customHeight="1" x14ac:dyDescent="0.25">
      <c r="A21" s="350">
        <v>14</v>
      </c>
      <c r="B21" s="365">
        <v>44393</v>
      </c>
      <c r="C21" s="366" t="s">
        <v>3822</v>
      </c>
      <c r="D21" s="367" t="s">
        <v>3823</v>
      </c>
      <c r="E21" s="354" t="s">
        <v>2502</v>
      </c>
      <c r="F21" s="368"/>
      <c r="G21" s="369">
        <v>107</v>
      </c>
      <c r="H21" s="369">
        <f>G21*16530</f>
        <v>1768710</v>
      </c>
      <c r="I21" s="370"/>
      <c r="J21" s="414">
        <v>1150000</v>
      </c>
      <c r="K21" s="371"/>
      <c r="L21" s="372"/>
      <c r="M21" s="358"/>
      <c r="N21" s="358"/>
      <c r="O21" s="358">
        <f t="shared" si="1"/>
        <v>2918710</v>
      </c>
      <c r="P21" s="385">
        <v>4100000</v>
      </c>
      <c r="Q21" s="358">
        <f t="shared" si="2"/>
        <v>1181290</v>
      </c>
      <c r="R21" s="195"/>
      <c r="S21" s="195"/>
    </row>
    <row r="22" spans="1:19" ht="20.100000000000001" customHeight="1" x14ac:dyDescent="0.25">
      <c r="A22" s="350">
        <v>15</v>
      </c>
      <c r="B22" s="365">
        <v>44394</v>
      </c>
      <c r="C22" s="366" t="s">
        <v>1906</v>
      </c>
      <c r="D22" s="367" t="s">
        <v>3824</v>
      </c>
      <c r="E22" s="354" t="s">
        <v>24</v>
      </c>
      <c r="F22" s="368"/>
      <c r="G22" s="369">
        <v>180</v>
      </c>
      <c r="H22" s="369">
        <f t="shared" si="3"/>
        <v>2975400</v>
      </c>
      <c r="I22" s="370"/>
      <c r="J22" s="414">
        <f>1890000+300000</f>
        <v>2190000</v>
      </c>
      <c r="K22" s="371"/>
      <c r="L22" s="372"/>
      <c r="M22" s="358"/>
      <c r="N22" s="358"/>
      <c r="O22" s="358">
        <f t="shared" si="1"/>
        <v>5165400</v>
      </c>
      <c r="P22" s="385">
        <v>8572727</v>
      </c>
      <c r="Q22" s="358">
        <f t="shared" si="2"/>
        <v>3407327</v>
      </c>
      <c r="R22" s="195"/>
      <c r="S22" s="195"/>
    </row>
    <row r="23" spans="1:19" ht="20.100000000000001" customHeight="1" x14ac:dyDescent="0.25">
      <c r="A23" s="350">
        <v>16</v>
      </c>
      <c r="B23" s="365">
        <v>44394</v>
      </c>
      <c r="C23" s="366" t="s">
        <v>1906</v>
      </c>
      <c r="D23" s="367" t="s">
        <v>3825</v>
      </c>
      <c r="E23" s="354" t="s">
        <v>24</v>
      </c>
      <c r="F23" s="368"/>
      <c r="G23" s="369"/>
      <c r="H23" s="369"/>
      <c r="I23" s="370"/>
      <c r="J23" s="414">
        <v>0</v>
      </c>
      <c r="K23" s="371"/>
      <c r="L23" s="372"/>
      <c r="M23" s="358"/>
      <c r="N23" s="358"/>
      <c r="O23" s="358">
        <f t="shared" si="1"/>
        <v>0</v>
      </c>
      <c r="P23" s="385">
        <v>0</v>
      </c>
      <c r="Q23" s="358">
        <f t="shared" si="2"/>
        <v>0</v>
      </c>
      <c r="R23" s="195"/>
      <c r="S23" s="195"/>
    </row>
    <row r="24" spans="1:19" ht="20.100000000000001" customHeight="1" x14ac:dyDescent="0.25">
      <c r="A24" s="350">
        <v>17</v>
      </c>
      <c r="B24" s="365">
        <v>44397</v>
      </c>
      <c r="C24" s="366" t="s">
        <v>457</v>
      </c>
      <c r="D24" s="367" t="s">
        <v>3826</v>
      </c>
      <c r="E24" s="354" t="s">
        <v>24</v>
      </c>
      <c r="F24" s="368"/>
      <c r="G24" s="369">
        <v>180</v>
      </c>
      <c r="H24" s="369">
        <f t="shared" si="3"/>
        <v>2975400</v>
      </c>
      <c r="I24" s="370"/>
      <c r="J24" s="414">
        <f>1890000+300000</f>
        <v>2190000</v>
      </c>
      <c r="K24" s="371"/>
      <c r="L24" s="372"/>
      <c r="M24" s="358"/>
      <c r="N24" s="358"/>
      <c r="O24" s="358">
        <f t="shared" si="1"/>
        <v>5165400</v>
      </c>
      <c r="P24" s="385">
        <v>8572727</v>
      </c>
      <c r="Q24" s="358">
        <f t="shared" si="2"/>
        <v>3407327</v>
      </c>
      <c r="R24" s="195"/>
      <c r="S24" s="195"/>
    </row>
    <row r="25" spans="1:19" ht="20.100000000000001" customHeight="1" x14ac:dyDescent="0.25">
      <c r="A25" s="350">
        <v>18</v>
      </c>
      <c r="B25" s="365">
        <v>44397</v>
      </c>
      <c r="C25" s="366" t="s">
        <v>457</v>
      </c>
      <c r="D25" s="367" t="s">
        <v>3827</v>
      </c>
      <c r="E25" s="354" t="s">
        <v>24</v>
      </c>
      <c r="F25" s="368"/>
      <c r="G25" s="369"/>
      <c r="H25" s="369">
        <f t="shared" si="3"/>
        <v>0</v>
      </c>
      <c r="I25" s="370"/>
      <c r="J25" s="414">
        <v>0</v>
      </c>
      <c r="K25" s="371"/>
      <c r="L25" s="372"/>
      <c r="M25" s="358"/>
      <c r="N25" s="358"/>
      <c r="O25" s="358">
        <f t="shared" si="1"/>
        <v>0</v>
      </c>
      <c r="P25" s="385">
        <v>0</v>
      </c>
      <c r="Q25" s="358">
        <f t="shared" si="2"/>
        <v>0</v>
      </c>
      <c r="R25" s="195"/>
      <c r="S25" s="195"/>
    </row>
    <row r="26" spans="1:19" ht="20.100000000000001" customHeight="1" x14ac:dyDescent="0.25">
      <c r="A26" s="350">
        <v>19</v>
      </c>
      <c r="B26" s="365">
        <v>44398</v>
      </c>
      <c r="C26" s="366" t="s">
        <v>3197</v>
      </c>
      <c r="D26" s="367" t="s">
        <v>3828</v>
      </c>
      <c r="E26" s="354" t="s">
        <v>24</v>
      </c>
      <c r="F26" s="368"/>
      <c r="G26" s="369">
        <v>180</v>
      </c>
      <c r="H26" s="369">
        <f t="shared" si="3"/>
        <v>2975400</v>
      </c>
      <c r="I26" s="370"/>
      <c r="J26" s="414">
        <f>1890000+300000</f>
        <v>2190000</v>
      </c>
      <c r="K26" s="371"/>
      <c r="L26" s="372"/>
      <c r="M26" s="358"/>
      <c r="N26" s="358"/>
      <c r="O26" s="358">
        <f t="shared" si="1"/>
        <v>5165400</v>
      </c>
      <c r="P26" s="385">
        <v>8572727</v>
      </c>
      <c r="Q26" s="358">
        <f t="shared" si="2"/>
        <v>3407327</v>
      </c>
      <c r="R26" s="195"/>
      <c r="S26" s="195"/>
    </row>
    <row r="27" spans="1:19" ht="20.100000000000001" customHeight="1" x14ac:dyDescent="0.25">
      <c r="A27" s="350">
        <v>20</v>
      </c>
      <c r="B27" s="365">
        <v>44398</v>
      </c>
      <c r="C27" s="366" t="s">
        <v>3197</v>
      </c>
      <c r="D27" s="367" t="s">
        <v>3829</v>
      </c>
      <c r="E27" s="354" t="s">
        <v>24</v>
      </c>
      <c r="F27" s="368"/>
      <c r="G27" s="369"/>
      <c r="H27" s="369"/>
      <c r="I27" s="370"/>
      <c r="J27" s="414">
        <v>0</v>
      </c>
      <c r="K27" s="371"/>
      <c r="L27" s="372"/>
      <c r="M27" s="358"/>
      <c r="N27" s="358"/>
      <c r="O27" s="358">
        <f t="shared" si="1"/>
        <v>0</v>
      </c>
      <c r="P27" s="385">
        <v>0</v>
      </c>
      <c r="Q27" s="358">
        <f t="shared" si="2"/>
        <v>0</v>
      </c>
      <c r="R27" s="195"/>
      <c r="S27" s="195"/>
    </row>
    <row r="28" spans="1:19" ht="20.100000000000001" customHeight="1" x14ac:dyDescent="0.25">
      <c r="A28" s="350">
        <v>21</v>
      </c>
      <c r="B28" s="365">
        <v>44399</v>
      </c>
      <c r="C28" s="366" t="s">
        <v>3830</v>
      </c>
      <c r="D28" s="367" t="s">
        <v>3831</v>
      </c>
      <c r="E28" s="354" t="s">
        <v>3832</v>
      </c>
      <c r="F28" s="368"/>
      <c r="G28" s="369">
        <v>111</v>
      </c>
      <c r="H28" s="369">
        <f t="shared" si="3"/>
        <v>1834830</v>
      </c>
      <c r="I28" s="370"/>
      <c r="J28" s="414">
        <v>700000</v>
      </c>
      <c r="K28" s="371"/>
      <c r="L28" s="372"/>
      <c r="M28" s="358"/>
      <c r="N28" s="358"/>
      <c r="O28" s="358">
        <f t="shared" si="1"/>
        <v>2534830</v>
      </c>
      <c r="P28" s="385">
        <v>2700000</v>
      </c>
      <c r="Q28" s="358">
        <f t="shared" si="2"/>
        <v>165170</v>
      </c>
      <c r="R28" s="195"/>
      <c r="S28" s="195"/>
    </row>
    <row r="29" spans="1:19" ht="20.100000000000001" customHeight="1" x14ac:dyDescent="0.25">
      <c r="A29" s="350">
        <v>22</v>
      </c>
      <c r="B29" s="365">
        <v>44400</v>
      </c>
      <c r="C29" s="366" t="s">
        <v>3833</v>
      </c>
      <c r="D29" s="367" t="s">
        <v>3834</v>
      </c>
      <c r="E29" s="354" t="s">
        <v>30</v>
      </c>
      <c r="F29" s="368"/>
      <c r="G29" s="369">
        <v>62</v>
      </c>
      <c r="H29" s="369">
        <f>G28*16530</f>
        <v>1834830</v>
      </c>
      <c r="I29" s="370"/>
      <c r="J29" s="414">
        <v>790000</v>
      </c>
      <c r="K29" s="371"/>
      <c r="L29" s="372"/>
      <c r="M29" s="358"/>
      <c r="N29" s="358"/>
      <c r="O29" s="358">
        <f t="shared" si="1"/>
        <v>2624830</v>
      </c>
      <c r="P29" s="385">
        <v>3800000</v>
      </c>
      <c r="Q29" s="358">
        <f t="shared" si="2"/>
        <v>1175170</v>
      </c>
      <c r="R29" s="195"/>
      <c r="S29" s="195"/>
    </row>
    <row r="30" spans="1:19" ht="20.100000000000001" customHeight="1" x14ac:dyDescent="0.25">
      <c r="A30" s="350">
        <v>23</v>
      </c>
      <c r="B30" s="365">
        <v>44402</v>
      </c>
      <c r="C30" s="366" t="s">
        <v>3835</v>
      </c>
      <c r="D30" s="367" t="s">
        <v>3836</v>
      </c>
      <c r="E30" s="354" t="s">
        <v>3837</v>
      </c>
      <c r="F30" s="368"/>
      <c r="G30" s="369">
        <v>79</v>
      </c>
      <c r="H30" s="369">
        <f>G30*16370</f>
        <v>1293230</v>
      </c>
      <c r="I30" s="370"/>
      <c r="J30" s="414">
        <v>1150000</v>
      </c>
      <c r="K30" s="371"/>
      <c r="L30" s="372"/>
      <c r="M30" s="358"/>
      <c r="N30" s="358"/>
      <c r="O30" s="358">
        <f>H30+J30+K30+L30+M30+N30</f>
        <v>2443230</v>
      </c>
      <c r="P30" s="385">
        <v>3800000</v>
      </c>
      <c r="Q30" s="358">
        <f t="shared" si="2"/>
        <v>1356770</v>
      </c>
      <c r="R30" s="195"/>
      <c r="S30" s="195"/>
    </row>
    <row r="31" spans="1:19" ht="20.100000000000001" customHeight="1" x14ac:dyDescent="0.25">
      <c r="A31" s="350">
        <v>24</v>
      </c>
      <c r="B31" s="365">
        <v>44404</v>
      </c>
      <c r="C31" s="366" t="s">
        <v>3838</v>
      </c>
      <c r="D31" s="367" t="s">
        <v>3839</v>
      </c>
      <c r="E31" s="354" t="s">
        <v>566</v>
      </c>
      <c r="F31" s="368"/>
      <c r="G31" s="369">
        <v>99</v>
      </c>
      <c r="H31" s="369">
        <f>G31*16370</f>
        <v>1620630</v>
      </c>
      <c r="I31" s="370"/>
      <c r="J31" s="414">
        <v>1150000</v>
      </c>
      <c r="K31" s="371"/>
      <c r="L31" s="372"/>
      <c r="M31" s="358"/>
      <c r="N31" s="358"/>
      <c r="O31" s="358">
        <f>H31+J31+K31+L31+M31+N31</f>
        <v>2770630</v>
      </c>
      <c r="P31" s="385">
        <v>3700000</v>
      </c>
      <c r="Q31" s="358">
        <f t="shared" si="2"/>
        <v>929370</v>
      </c>
      <c r="R31" s="195"/>
      <c r="S31" s="195"/>
    </row>
    <row r="32" spans="1:19" ht="20.100000000000001" customHeight="1" x14ac:dyDescent="0.25">
      <c r="A32" s="350">
        <v>25</v>
      </c>
      <c r="B32" s="365">
        <v>44404</v>
      </c>
      <c r="C32" s="366" t="s">
        <v>3840</v>
      </c>
      <c r="D32" s="367" t="s">
        <v>3841</v>
      </c>
      <c r="E32" s="354" t="s">
        <v>88</v>
      </c>
      <c r="F32" s="368"/>
      <c r="G32" s="441">
        <v>102</v>
      </c>
      <c r="H32" s="441">
        <f>G32*16370</f>
        <v>1669740</v>
      </c>
      <c r="I32" s="370"/>
      <c r="J32" s="414">
        <v>790000</v>
      </c>
      <c r="K32" s="371"/>
      <c r="L32" s="372"/>
      <c r="M32" s="358"/>
      <c r="N32" s="358"/>
      <c r="O32" s="358">
        <f t="shared" si="1"/>
        <v>2459740</v>
      </c>
      <c r="P32" s="385">
        <v>3600000</v>
      </c>
      <c r="Q32" s="358">
        <f t="shared" si="2"/>
        <v>1140260</v>
      </c>
      <c r="R32" s="195"/>
      <c r="S32" s="195"/>
    </row>
    <row r="33" spans="1:19" ht="20.100000000000001" customHeight="1" x14ac:dyDescent="0.25">
      <c r="A33" s="350">
        <v>26</v>
      </c>
      <c r="B33" s="365">
        <v>44405</v>
      </c>
      <c r="C33" s="366" t="s">
        <v>3842</v>
      </c>
      <c r="D33" s="367" t="s">
        <v>3843</v>
      </c>
      <c r="E33" s="354" t="s">
        <v>301</v>
      </c>
      <c r="F33" s="368"/>
      <c r="G33" s="442">
        <v>340</v>
      </c>
      <c r="H33" s="442">
        <f t="shared" ref="H33:H35" si="4">G33*16370</f>
        <v>5565800</v>
      </c>
      <c r="I33" s="370"/>
      <c r="J33" s="414">
        <f>3820000+300000</f>
        <v>4120000</v>
      </c>
      <c r="K33" s="371"/>
      <c r="L33" s="372"/>
      <c r="M33" s="358"/>
      <c r="N33" s="358"/>
      <c r="O33" s="358">
        <f t="shared" si="1"/>
        <v>9685800</v>
      </c>
      <c r="P33" s="385">
        <v>19745455</v>
      </c>
      <c r="Q33" s="358">
        <f t="shared" si="2"/>
        <v>10059655</v>
      </c>
      <c r="R33" s="195"/>
      <c r="S33" s="195"/>
    </row>
    <row r="34" spans="1:19" ht="20.100000000000001" customHeight="1" x14ac:dyDescent="0.25">
      <c r="A34" s="350">
        <v>27</v>
      </c>
      <c r="B34" s="365">
        <v>44405</v>
      </c>
      <c r="C34" s="366" t="s">
        <v>3842</v>
      </c>
      <c r="D34" s="367" t="s">
        <v>3844</v>
      </c>
      <c r="E34" s="354" t="s">
        <v>301</v>
      </c>
      <c r="F34" s="368"/>
      <c r="G34" s="442"/>
      <c r="H34" s="442"/>
      <c r="I34" s="370"/>
      <c r="J34" s="414">
        <v>0</v>
      </c>
      <c r="K34" s="371"/>
      <c r="L34" s="372"/>
      <c r="M34" s="358"/>
      <c r="N34" s="358"/>
      <c r="O34" s="358">
        <f t="shared" si="1"/>
        <v>0</v>
      </c>
      <c r="P34" s="385">
        <v>0</v>
      </c>
      <c r="Q34" s="358">
        <f t="shared" si="2"/>
        <v>0</v>
      </c>
      <c r="R34" s="195"/>
      <c r="S34" s="195"/>
    </row>
    <row r="35" spans="1:19" ht="20.100000000000001" customHeight="1" x14ac:dyDescent="0.25">
      <c r="A35" s="350">
        <v>28</v>
      </c>
      <c r="B35" s="365">
        <v>44407</v>
      </c>
      <c r="C35" s="416" t="s">
        <v>467</v>
      </c>
      <c r="D35" s="417" t="s">
        <v>3845</v>
      </c>
      <c r="E35" s="354" t="s">
        <v>3463</v>
      </c>
      <c r="F35" s="355"/>
      <c r="G35" s="443">
        <v>45</v>
      </c>
      <c r="H35" s="369">
        <f t="shared" si="4"/>
        <v>736650</v>
      </c>
      <c r="I35" s="370"/>
      <c r="J35" s="414">
        <v>700000</v>
      </c>
      <c r="K35" s="371"/>
      <c r="L35" s="372"/>
      <c r="M35" s="358"/>
      <c r="N35" s="361"/>
      <c r="O35" s="358">
        <f t="shared" si="1"/>
        <v>1436650</v>
      </c>
      <c r="P35" s="377">
        <v>2700000</v>
      </c>
      <c r="Q35" s="378">
        <f t="shared" si="2"/>
        <v>1263350</v>
      </c>
      <c r="R35" s="195"/>
      <c r="S35" s="195"/>
    </row>
    <row r="36" spans="1:19" ht="27" customHeight="1" x14ac:dyDescent="0.25">
      <c r="A36" s="374"/>
      <c r="B36" s="379"/>
      <c r="C36" s="594" t="s">
        <v>1273</v>
      </c>
      <c r="D36" s="595"/>
      <c r="E36" s="596"/>
      <c r="F36" s="380"/>
      <c r="G36" s="381"/>
      <c r="H36" s="369"/>
      <c r="I36" s="403"/>
      <c r="J36" s="381"/>
      <c r="K36" s="371"/>
      <c r="L36" s="435">
        <v>1200000</v>
      </c>
      <c r="M36" s="381"/>
      <c r="N36" s="384"/>
      <c r="O36" s="362">
        <f>H36+J36+K36+L36+M36+N36</f>
        <v>1200000</v>
      </c>
      <c r="P36" s="385"/>
      <c r="Q36" s="378"/>
    </row>
    <row r="37" spans="1:19" ht="27" customHeight="1" x14ac:dyDescent="0.25">
      <c r="A37" s="386"/>
      <c r="B37" s="379"/>
      <c r="C37" s="594" t="s">
        <v>3846</v>
      </c>
      <c r="D37" s="595"/>
      <c r="E37" s="596"/>
      <c r="F37" s="380"/>
      <c r="G37" s="381"/>
      <c r="H37" s="369"/>
      <c r="I37" s="403"/>
      <c r="J37" s="381"/>
      <c r="K37" s="404"/>
      <c r="L37" s="437">
        <v>1000000</v>
      </c>
      <c r="M37" s="388"/>
      <c r="N37" s="384"/>
      <c r="O37" s="362">
        <f t="shared" ref="O37:O50" si="5">H37+J37+K37+L37+M37+N37</f>
        <v>1000000</v>
      </c>
      <c r="P37" s="389"/>
      <c r="Q37" s="378"/>
    </row>
    <row r="38" spans="1:19" ht="27" customHeight="1" x14ac:dyDescent="0.25">
      <c r="A38" s="386"/>
      <c r="B38" s="379"/>
      <c r="C38" s="594" t="s">
        <v>3847</v>
      </c>
      <c r="D38" s="595"/>
      <c r="E38" s="596"/>
      <c r="F38" s="380"/>
      <c r="G38" s="381"/>
      <c r="H38" s="369"/>
      <c r="I38" s="403"/>
      <c r="J38" s="381"/>
      <c r="K38" s="404"/>
      <c r="L38" s="388"/>
      <c r="M38" s="437">
        <v>410000</v>
      </c>
      <c r="N38" s="384"/>
      <c r="O38" s="362">
        <f t="shared" si="5"/>
        <v>410000</v>
      </c>
      <c r="P38" s="389"/>
      <c r="Q38" s="378"/>
    </row>
    <row r="39" spans="1:19" ht="27" customHeight="1" x14ac:dyDescent="0.25">
      <c r="A39" s="386"/>
      <c r="B39" s="379"/>
      <c r="C39" s="594" t="s">
        <v>3848</v>
      </c>
      <c r="D39" s="595"/>
      <c r="E39" s="596"/>
      <c r="F39" s="380"/>
      <c r="G39" s="381"/>
      <c r="H39" s="369"/>
      <c r="I39" s="403"/>
      <c r="J39" s="381"/>
      <c r="K39" s="404"/>
      <c r="L39" s="437">
        <v>550000</v>
      </c>
      <c r="M39" s="388"/>
      <c r="N39" s="384"/>
      <c r="O39" s="362">
        <f t="shared" si="5"/>
        <v>550000</v>
      </c>
      <c r="P39" s="389"/>
      <c r="Q39" s="378"/>
    </row>
    <row r="40" spans="1:19" ht="27" customHeight="1" x14ac:dyDescent="0.25">
      <c r="A40" s="386"/>
      <c r="B40" s="379"/>
      <c r="C40" s="446" t="s">
        <v>3993</v>
      </c>
      <c r="D40" s="447"/>
      <c r="E40" s="448"/>
      <c r="F40" s="408"/>
      <c r="G40" s="409"/>
      <c r="H40" s="398"/>
      <c r="I40" s="410"/>
      <c r="J40" s="409"/>
      <c r="K40" s="411"/>
      <c r="L40" s="412"/>
      <c r="M40" s="412">
        <v>12600000</v>
      </c>
      <c r="N40" s="384"/>
      <c r="O40" s="362">
        <f t="shared" si="5"/>
        <v>12600000</v>
      </c>
      <c r="P40" s="389"/>
      <c r="Q40" s="378"/>
    </row>
    <row r="41" spans="1:19" ht="27" customHeight="1" x14ac:dyDescent="0.25">
      <c r="A41" s="386"/>
      <c r="B41" s="379"/>
      <c r="C41" s="594" t="s">
        <v>3849</v>
      </c>
      <c r="D41" s="595"/>
      <c r="E41" s="596"/>
      <c r="F41" s="402"/>
      <c r="G41" s="381"/>
      <c r="H41" s="369"/>
      <c r="I41" s="403"/>
      <c r="J41" s="381"/>
      <c r="K41" s="404"/>
      <c r="L41" s="388"/>
      <c r="M41" s="435">
        <v>190000</v>
      </c>
      <c r="N41" s="381"/>
      <c r="O41" s="362">
        <f t="shared" si="5"/>
        <v>190000</v>
      </c>
      <c r="P41" s="389"/>
      <c r="Q41" s="378"/>
    </row>
    <row r="42" spans="1:19" ht="27" customHeight="1" x14ac:dyDescent="0.25">
      <c r="A42" s="386"/>
      <c r="B42" s="379"/>
      <c r="C42" s="594" t="s">
        <v>3850</v>
      </c>
      <c r="D42" s="595"/>
      <c r="E42" s="596"/>
      <c r="F42" s="402"/>
      <c r="G42" s="381"/>
      <c r="H42" s="369"/>
      <c r="I42" s="403"/>
      <c r="J42" s="381"/>
      <c r="K42" s="404"/>
      <c r="L42" s="437">
        <v>300000</v>
      </c>
      <c r="M42" s="388"/>
      <c r="N42" s="381"/>
      <c r="O42" s="362">
        <f t="shared" si="5"/>
        <v>300000</v>
      </c>
      <c r="P42" s="389"/>
      <c r="Q42" s="378"/>
    </row>
    <row r="43" spans="1:19" ht="27" customHeight="1" x14ac:dyDescent="0.25">
      <c r="A43" s="386"/>
      <c r="B43" s="379"/>
      <c r="C43" s="594" t="s">
        <v>3851</v>
      </c>
      <c r="D43" s="595"/>
      <c r="E43" s="596"/>
      <c r="F43" s="402"/>
      <c r="G43" s="381"/>
      <c r="H43" s="369"/>
      <c r="I43" s="403"/>
      <c r="J43" s="381"/>
      <c r="K43" s="404"/>
      <c r="L43" s="437">
        <v>14303000</v>
      </c>
      <c r="M43" s="388"/>
      <c r="N43" s="381"/>
      <c r="O43" s="362">
        <f>H43+J43+K43+L43+M43+N43</f>
        <v>14303000</v>
      </c>
      <c r="P43" s="389"/>
      <c r="Q43" s="378"/>
    </row>
    <row r="44" spans="1:19" ht="27" customHeight="1" x14ac:dyDescent="0.25">
      <c r="A44" s="386"/>
      <c r="B44" s="379"/>
      <c r="C44" s="594" t="s">
        <v>3852</v>
      </c>
      <c r="D44" s="595"/>
      <c r="E44" s="596"/>
      <c r="F44" s="402"/>
      <c r="G44" s="381"/>
      <c r="H44" s="369"/>
      <c r="I44" s="403"/>
      <c r="J44" s="381"/>
      <c r="K44" s="404"/>
      <c r="L44" s="437">
        <v>190000</v>
      </c>
      <c r="M44" s="388"/>
      <c r="N44" s="381"/>
      <c r="O44" s="362">
        <f>H44+J44+K44+L44+M44+N44</f>
        <v>190000</v>
      </c>
      <c r="P44" s="389"/>
      <c r="Q44" s="378"/>
    </row>
    <row r="45" spans="1:19" ht="27" customHeight="1" x14ac:dyDescent="0.25">
      <c r="A45" s="386"/>
      <c r="B45" s="379"/>
      <c r="C45" s="594" t="s">
        <v>3992</v>
      </c>
      <c r="D45" s="595"/>
      <c r="E45" s="596"/>
      <c r="F45" s="402"/>
      <c r="G45" s="381"/>
      <c r="H45" s="369"/>
      <c r="I45" s="403"/>
      <c r="J45" s="381"/>
      <c r="K45" s="439">
        <f>834000/2</f>
        <v>417000</v>
      </c>
      <c r="L45" s="388"/>
      <c r="M45" s="388"/>
      <c r="N45" s="381"/>
      <c r="O45" s="362">
        <f>H45+J45+K45+L45+M45+N45</f>
        <v>417000</v>
      </c>
      <c r="P45" s="389"/>
      <c r="Q45" s="378"/>
    </row>
    <row r="46" spans="1:19" ht="27" customHeight="1" x14ac:dyDescent="0.25">
      <c r="A46" s="386"/>
      <c r="B46" s="379"/>
      <c r="C46" s="594" t="s">
        <v>3854</v>
      </c>
      <c r="D46" s="595"/>
      <c r="E46" s="596"/>
      <c r="F46" s="402"/>
      <c r="G46" s="381"/>
      <c r="H46" s="369"/>
      <c r="I46" s="403"/>
      <c r="J46" s="381"/>
      <c r="K46" s="439">
        <v>390000</v>
      </c>
      <c r="L46" s="388"/>
      <c r="M46" s="388"/>
      <c r="N46" s="381"/>
      <c r="O46" s="362">
        <f t="shared" ref="O46:O49" si="6">H46+J46+K46+L46+M46+N46</f>
        <v>390000</v>
      </c>
      <c r="P46" s="389"/>
      <c r="Q46" s="378"/>
    </row>
    <row r="47" spans="1:19" ht="27" customHeight="1" x14ac:dyDescent="0.25">
      <c r="A47" s="386"/>
      <c r="B47" s="379"/>
      <c r="C47" s="594" t="s">
        <v>3855</v>
      </c>
      <c r="D47" s="595"/>
      <c r="E47" s="596"/>
      <c r="F47" s="402"/>
      <c r="G47" s="381"/>
      <c r="H47" s="369"/>
      <c r="I47" s="403"/>
      <c r="J47" s="381"/>
      <c r="K47" s="439">
        <v>720000</v>
      </c>
      <c r="L47" s="388"/>
      <c r="M47" s="388"/>
      <c r="N47" s="381"/>
      <c r="O47" s="362">
        <f t="shared" si="6"/>
        <v>720000</v>
      </c>
      <c r="P47" s="389"/>
      <c r="Q47" s="378"/>
    </row>
    <row r="48" spans="1:19" ht="27" customHeight="1" x14ac:dyDescent="0.25">
      <c r="A48" s="386"/>
      <c r="B48" s="379"/>
      <c r="C48" s="594" t="s">
        <v>3856</v>
      </c>
      <c r="D48" s="595"/>
      <c r="E48" s="596"/>
      <c r="F48" s="402"/>
      <c r="G48" s="381"/>
      <c r="H48" s="369"/>
      <c r="I48" s="403"/>
      <c r="J48" s="381"/>
      <c r="K48" s="439">
        <v>230000</v>
      </c>
      <c r="L48" s="388"/>
      <c r="M48" s="388"/>
      <c r="N48" s="381"/>
      <c r="O48" s="362">
        <f t="shared" si="6"/>
        <v>230000</v>
      </c>
      <c r="P48" s="389"/>
      <c r="Q48" s="378"/>
    </row>
    <row r="49" spans="1:18" ht="27" customHeight="1" x14ac:dyDescent="0.25">
      <c r="A49" s="386"/>
      <c r="B49" s="379"/>
      <c r="C49" s="594" t="s">
        <v>3857</v>
      </c>
      <c r="D49" s="595"/>
      <c r="E49" s="596"/>
      <c r="F49" s="402"/>
      <c r="G49" s="381"/>
      <c r="H49" s="369"/>
      <c r="I49" s="403"/>
      <c r="J49" s="381"/>
      <c r="K49" s="439">
        <v>163000</v>
      </c>
      <c r="L49" s="388"/>
      <c r="M49" s="388"/>
      <c r="N49" s="381"/>
      <c r="O49" s="362">
        <f t="shared" si="6"/>
        <v>163000</v>
      </c>
      <c r="P49" s="389"/>
      <c r="Q49" s="378"/>
    </row>
    <row r="50" spans="1:18" ht="18" customHeight="1" x14ac:dyDescent="0.25">
      <c r="A50" s="386"/>
      <c r="B50" s="391"/>
      <c r="C50" s="579" t="s">
        <v>1386</v>
      </c>
      <c r="D50" s="580"/>
      <c r="E50" s="581"/>
      <c r="F50" s="392"/>
      <c r="G50" s="381"/>
      <c r="H50" s="382"/>
      <c r="I50" s="383"/>
      <c r="J50" s="384"/>
      <c r="K50" s="439">
        <v>8000000</v>
      </c>
      <c r="L50" s="394"/>
      <c r="M50" s="384"/>
      <c r="N50" s="384"/>
      <c r="O50" s="362">
        <f t="shared" si="5"/>
        <v>8000000</v>
      </c>
      <c r="P50" s="389"/>
      <c r="Q50" s="378"/>
    </row>
    <row r="51" spans="1:18" x14ac:dyDescent="0.25">
      <c r="A51" s="576" t="s">
        <v>19</v>
      </c>
      <c r="B51" s="577"/>
      <c r="C51" s="577"/>
      <c r="D51" s="577"/>
      <c r="E51" s="577"/>
      <c r="F51" s="578"/>
      <c r="G51" s="427">
        <f>SUM(G8:G50)</f>
        <v>3209</v>
      </c>
      <c r="H51" s="396">
        <f t="shared" ref="H51:P51" si="7">SUM(H7:H50)</f>
        <v>53259040</v>
      </c>
      <c r="I51" s="396">
        <f t="shared" si="7"/>
        <v>0</v>
      </c>
      <c r="J51" s="396">
        <f t="shared" si="7"/>
        <v>34180000</v>
      </c>
      <c r="K51" s="396">
        <f t="shared" si="7"/>
        <v>9920000</v>
      </c>
      <c r="L51" s="396">
        <f t="shared" si="7"/>
        <v>17543000</v>
      </c>
      <c r="M51" s="396">
        <f t="shared" si="7"/>
        <v>13200000</v>
      </c>
      <c r="N51" s="396">
        <f t="shared" si="7"/>
        <v>0</v>
      </c>
      <c r="O51" s="396">
        <f t="shared" si="7"/>
        <v>128102040</v>
      </c>
      <c r="P51" s="397">
        <f t="shared" si="7"/>
        <v>141036362</v>
      </c>
      <c r="Q51" s="396">
        <f>P51-O51</f>
        <v>12934322</v>
      </c>
      <c r="R51" s="195"/>
    </row>
    <row r="52" spans="1:18" x14ac:dyDescent="0.25">
      <c r="P52" s="294"/>
      <c r="Q52" s="295"/>
    </row>
    <row r="53" spans="1:18" x14ac:dyDescent="0.25">
      <c r="B53"/>
      <c r="G53"/>
      <c r="H53" s="294"/>
      <c r="P53" s="296" t="s">
        <v>1225</v>
      </c>
      <c r="Q53" s="295">
        <f>'06.2021'!Q52+'07.2021'!Q51</f>
        <v>200850497.69230771</v>
      </c>
    </row>
    <row r="54" spans="1:18" x14ac:dyDescent="0.25">
      <c r="B54"/>
      <c r="G54"/>
      <c r="Q54" s="294"/>
    </row>
    <row r="55" spans="1:18" x14ac:dyDescent="0.25">
      <c r="B55"/>
      <c r="G55"/>
      <c r="R55" s="195"/>
    </row>
    <row r="56" spans="1:18" x14ac:dyDescent="0.25">
      <c r="G56" s="292">
        <f>1285+1379+620</f>
        <v>3284</v>
      </c>
    </row>
  </sheetData>
  <mergeCells count="19">
    <mergeCell ref="C45:E45"/>
    <mergeCell ref="C50:E50"/>
    <mergeCell ref="A51:F51"/>
    <mergeCell ref="C46:E46"/>
    <mergeCell ref="C47:E47"/>
    <mergeCell ref="C48:E48"/>
    <mergeCell ref="C49:E49"/>
    <mergeCell ref="C44:E44"/>
    <mergeCell ref="A1:Q1"/>
    <mergeCell ref="A2:Q2"/>
    <mergeCell ref="A3:Q3"/>
    <mergeCell ref="G5:N5"/>
    <mergeCell ref="C36:E36"/>
    <mergeCell ref="C37:E37"/>
    <mergeCell ref="C38:E38"/>
    <mergeCell ref="C39:E39"/>
    <mergeCell ref="C41:E41"/>
    <mergeCell ref="C42:E42"/>
    <mergeCell ref="C43:E43"/>
  </mergeCells>
  <pageMargins left="0.7" right="0.7" top="0.75" bottom="0.75" header="0.3" footer="0.3"/>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C9757-FBA0-4003-B1AF-8E6510F033F6}">
  <dimension ref="A1:R61"/>
  <sheetViews>
    <sheetView topLeftCell="A37" workbookViewId="0">
      <selection activeCell="I35" sqref="I35"/>
    </sheetView>
  </sheetViews>
  <sheetFormatPr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0.28515625" style="292" bestFit="1"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s>
  <sheetData>
    <row r="1" spans="1:18" ht="23.25" x14ac:dyDescent="0.25">
      <c r="A1" s="551" t="s">
        <v>0</v>
      </c>
      <c r="B1" s="551"/>
      <c r="C1" s="551"/>
      <c r="D1" s="551"/>
      <c r="E1" s="551"/>
      <c r="F1" s="551"/>
      <c r="G1" s="551"/>
      <c r="H1" s="551"/>
      <c r="I1" s="551"/>
      <c r="J1" s="551"/>
      <c r="K1" s="551"/>
      <c r="L1" s="551"/>
      <c r="M1" s="551"/>
      <c r="N1" s="551"/>
      <c r="O1" s="551"/>
      <c r="P1" s="551"/>
      <c r="Q1" s="551"/>
    </row>
    <row r="2" spans="1:18" ht="15.75" x14ac:dyDescent="0.25">
      <c r="A2" s="550" t="s">
        <v>103</v>
      </c>
      <c r="B2" s="550"/>
      <c r="C2" s="550"/>
      <c r="D2" s="550"/>
      <c r="E2" s="550"/>
      <c r="F2" s="550"/>
      <c r="G2" s="550"/>
      <c r="H2" s="550"/>
      <c r="I2" s="550"/>
      <c r="J2" s="550"/>
      <c r="K2" s="550"/>
      <c r="L2" s="550"/>
      <c r="M2" s="550"/>
      <c r="N2" s="550"/>
      <c r="O2" s="550"/>
      <c r="P2" s="550"/>
      <c r="Q2" s="550"/>
    </row>
    <row r="3" spans="1:18" ht="15.75" x14ac:dyDescent="0.25">
      <c r="A3" s="550" t="s">
        <v>3858</v>
      </c>
      <c r="B3" s="550"/>
      <c r="C3" s="550"/>
      <c r="D3" s="550"/>
      <c r="E3" s="550"/>
      <c r="F3" s="550"/>
      <c r="G3" s="550"/>
      <c r="H3" s="550"/>
      <c r="I3" s="550"/>
      <c r="J3" s="550"/>
      <c r="K3" s="550"/>
      <c r="L3" s="550"/>
      <c r="M3" s="550"/>
      <c r="N3" s="550"/>
      <c r="O3" s="550"/>
      <c r="P3" s="550"/>
      <c r="Q3" s="550"/>
    </row>
    <row r="4" spans="1:18" x14ac:dyDescent="0.25">
      <c r="A4" s="74"/>
      <c r="B4" s="99"/>
      <c r="C4" s="74"/>
      <c r="D4" s="74"/>
      <c r="E4" s="74" t="s">
        <v>194</v>
      </c>
      <c r="F4" s="74"/>
      <c r="G4" s="257"/>
      <c r="H4" s="258"/>
      <c r="I4" s="258"/>
      <c r="J4" s="258"/>
      <c r="K4" s="258"/>
      <c r="L4" s="91"/>
      <c r="M4" s="258"/>
      <c r="N4" s="258"/>
      <c r="O4" s="258"/>
      <c r="P4" s="258"/>
      <c r="Q4" s="258"/>
    </row>
    <row r="5" spans="1:18"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18"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18" x14ac:dyDescent="0.25">
      <c r="A7" s="75"/>
      <c r="B7" s="100"/>
      <c r="C7" s="88"/>
      <c r="D7" s="88"/>
      <c r="E7" s="134"/>
      <c r="F7" s="75"/>
      <c r="G7" s="264"/>
      <c r="H7" s="264"/>
      <c r="I7" s="264"/>
      <c r="J7" s="264"/>
      <c r="K7" s="264"/>
      <c r="L7" s="308"/>
      <c r="M7" s="264"/>
      <c r="N7" s="264"/>
      <c r="O7" s="265"/>
      <c r="P7" s="265"/>
      <c r="Q7" s="264"/>
    </row>
    <row r="8" spans="1:18" ht="20.100000000000001" customHeight="1" x14ac:dyDescent="0.25">
      <c r="A8" s="350">
        <v>1</v>
      </c>
      <c r="B8" s="365">
        <v>44410</v>
      </c>
      <c r="C8" s="366" t="s">
        <v>2631</v>
      </c>
      <c r="D8" s="367" t="s">
        <v>3871</v>
      </c>
      <c r="E8" s="354" t="s">
        <v>3614</v>
      </c>
      <c r="F8" s="368"/>
      <c r="G8" s="369">
        <v>90</v>
      </c>
      <c r="H8" s="369">
        <f>G8*16370</f>
        <v>1473300</v>
      </c>
      <c r="I8" s="418"/>
      <c r="J8" s="414">
        <v>1150000</v>
      </c>
      <c r="K8" s="371"/>
      <c r="L8" s="372"/>
      <c r="M8" s="358"/>
      <c r="N8" s="358"/>
      <c r="O8" s="358">
        <f>H8+J8+K8+L8+M8+N8</f>
        <v>2623300</v>
      </c>
      <c r="P8" s="358">
        <v>3954545</v>
      </c>
      <c r="Q8" s="358">
        <f>P8-O8</f>
        <v>1331245</v>
      </c>
      <c r="R8" s="195"/>
    </row>
    <row r="9" spans="1:18" ht="20.100000000000001" customHeight="1" x14ac:dyDescent="0.25">
      <c r="A9" s="350">
        <v>2</v>
      </c>
      <c r="B9" s="365">
        <v>44410</v>
      </c>
      <c r="C9" s="366" t="s">
        <v>1957</v>
      </c>
      <c r="D9" s="415" t="s">
        <v>3872</v>
      </c>
      <c r="E9" s="354" t="s">
        <v>21</v>
      </c>
      <c r="F9" s="368"/>
      <c r="G9" s="369"/>
      <c r="H9" s="369">
        <f t="shared" ref="H9:H15" si="0">G9*16370</f>
        <v>0</v>
      </c>
      <c r="I9" s="370"/>
      <c r="J9" s="414">
        <v>2740000</v>
      </c>
      <c r="K9" s="371"/>
      <c r="L9" s="372"/>
      <c r="M9" s="358"/>
      <c r="N9" s="358"/>
      <c r="O9" s="358">
        <f t="shared" ref="O9:O34" si="1">H9+J9+K9+L9+M9+N9</f>
        <v>2740000</v>
      </c>
      <c r="P9" s="385">
        <v>12572727</v>
      </c>
      <c r="Q9" s="358">
        <f t="shared" ref="Q9:Q34" si="2">P9-O9</f>
        <v>9832727</v>
      </c>
      <c r="R9" s="195"/>
    </row>
    <row r="10" spans="1:18" ht="20.100000000000001" customHeight="1" x14ac:dyDescent="0.25">
      <c r="A10" s="350">
        <v>3</v>
      </c>
      <c r="B10" s="365">
        <v>44411</v>
      </c>
      <c r="C10" s="366" t="s">
        <v>3859</v>
      </c>
      <c r="D10" s="367" t="s">
        <v>3873</v>
      </c>
      <c r="E10" s="354" t="s">
        <v>1081</v>
      </c>
      <c r="F10" s="368"/>
      <c r="G10" s="369">
        <v>247</v>
      </c>
      <c r="H10" s="369">
        <f t="shared" si="0"/>
        <v>4043390</v>
      </c>
      <c r="I10" s="370"/>
      <c r="J10" s="414">
        <v>1150000</v>
      </c>
      <c r="K10" s="371"/>
      <c r="L10" s="372"/>
      <c r="M10" s="358"/>
      <c r="N10" s="358"/>
      <c r="O10" s="358">
        <f t="shared" si="1"/>
        <v>5193390</v>
      </c>
      <c r="P10" s="385">
        <v>4300000</v>
      </c>
      <c r="Q10" s="358">
        <f t="shared" si="2"/>
        <v>-893390</v>
      </c>
      <c r="R10" s="195"/>
    </row>
    <row r="11" spans="1:18" ht="20.100000000000001" customHeight="1" x14ac:dyDescent="0.25">
      <c r="A11" s="350">
        <v>4</v>
      </c>
      <c r="B11" s="365">
        <v>44412</v>
      </c>
      <c r="C11" s="366" t="s">
        <v>3860</v>
      </c>
      <c r="D11" s="367" t="s">
        <v>3874</v>
      </c>
      <c r="E11" s="354" t="s">
        <v>2552</v>
      </c>
      <c r="F11" s="368"/>
      <c r="G11" s="369">
        <v>97</v>
      </c>
      <c r="H11" s="369">
        <f t="shared" si="0"/>
        <v>1587890</v>
      </c>
      <c r="I11" s="370"/>
      <c r="J11" s="414">
        <v>1150000</v>
      </c>
      <c r="K11" s="371"/>
      <c r="L11" s="372"/>
      <c r="M11" s="358"/>
      <c r="N11" s="358"/>
      <c r="O11" s="358">
        <f t="shared" si="1"/>
        <v>2737890</v>
      </c>
      <c r="P11" s="385">
        <v>2954545</v>
      </c>
      <c r="Q11" s="358">
        <f t="shared" si="2"/>
        <v>216655</v>
      </c>
      <c r="R11" s="195"/>
    </row>
    <row r="12" spans="1:18" ht="23.25" customHeight="1" x14ac:dyDescent="0.25">
      <c r="A12" s="350">
        <v>5</v>
      </c>
      <c r="B12" s="365">
        <v>44413</v>
      </c>
      <c r="C12" s="366" t="s">
        <v>1959</v>
      </c>
      <c r="D12" s="367" t="s">
        <v>3875</v>
      </c>
      <c r="E12" s="354" t="s">
        <v>3616</v>
      </c>
      <c r="F12" s="368"/>
      <c r="G12" s="369">
        <v>84</v>
      </c>
      <c r="H12" s="369">
        <f t="shared" si="0"/>
        <v>1375080</v>
      </c>
      <c r="I12" s="370"/>
      <c r="J12" s="414">
        <v>1150000</v>
      </c>
      <c r="K12" s="371"/>
      <c r="L12" s="372"/>
      <c r="M12" s="358"/>
      <c r="N12" s="358"/>
      <c r="O12" s="358">
        <f t="shared" si="1"/>
        <v>2525080</v>
      </c>
      <c r="P12" s="385">
        <v>3750000</v>
      </c>
      <c r="Q12" s="358">
        <f t="shared" si="2"/>
        <v>1224920</v>
      </c>
      <c r="R12" s="195"/>
    </row>
    <row r="13" spans="1:18" ht="20.100000000000001" customHeight="1" x14ac:dyDescent="0.25">
      <c r="A13" s="350">
        <v>6</v>
      </c>
      <c r="B13" s="365">
        <v>44414</v>
      </c>
      <c r="C13" s="366" t="s">
        <v>3237</v>
      </c>
      <c r="D13" s="367" t="s">
        <v>3876</v>
      </c>
      <c r="E13" s="354" t="s">
        <v>2441</v>
      </c>
      <c r="F13" s="368"/>
      <c r="G13" s="369">
        <v>67</v>
      </c>
      <c r="H13" s="369">
        <f t="shared" si="0"/>
        <v>1096790</v>
      </c>
      <c r="I13" s="370"/>
      <c r="J13" s="414">
        <v>1150000</v>
      </c>
      <c r="K13" s="371"/>
      <c r="L13" s="372"/>
      <c r="M13" s="358"/>
      <c r="N13" s="358"/>
      <c r="O13" s="358">
        <f t="shared" si="1"/>
        <v>2246790</v>
      </c>
      <c r="P13" s="385">
        <v>3600000</v>
      </c>
      <c r="Q13" s="358">
        <f t="shared" si="2"/>
        <v>1353210</v>
      </c>
      <c r="R13" s="195"/>
    </row>
    <row r="14" spans="1:18" ht="20.100000000000001" customHeight="1" x14ac:dyDescent="0.25">
      <c r="A14" s="350">
        <v>7</v>
      </c>
      <c r="B14" s="365">
        <v>44416</v>
      </c>
      <c r="C14" s="366" t="s">
        <v>3861</v>
      </c>
      <c r="D14" s="367" t="s">
        <v>3877</v>
      </c>
      <c r="E14" s="354" t="s">
        <v>301</v>
      </c>
      <c r="F14" s="368"/>
      <c r="G14" s="369">
        <v>71</v>
      </c>
      <c r="H14" s="369">
        <f t="shared" si="0"/>
        <v>1162270</v>
      </c>
      <c r="I14" s="370"/>
      <c r="J14" s="414">
        <v>3820000</v>
      </c>
      <c r="K14" s="371"/>
      <c r="L14" s="372"/>
      <c r="M14" s="358"/>
      <c r="N14" s="358"/>
      <c r="O14" s="358">
        <f t="shared" si="1"/>
        <v>4982270</v>
      </c>
      <c r="P14" s="385">
        <v>18304545</v>
      </c>
      <c r="Q14" s="358">
        <f t="shared" si="2"/>
        <v>13322275</v>
      </c>
      <c r="R14" s="195"/>
    </row>
    <row r="15" spans="1:18" ht="20.100000000000001" customHeight="1" x14ac:dyDescent="0.25">
      <c r="A15" s="350">
        <v>8</v>
      </c>
      <c r="B15" s="365">
        <v>44416</v>
      </c>
      <c r="C15" s="366" t="s">
        <v>3861</v>
      </c>
      <c r="D15" s="367" t="s">
        <v>3878</v>
      </c>
      <c r="E15" s="354" t="s">
        <v>301</v>
      </c>
      <c r="F15" s="368"/>
      <c r="G15" s="369">
        <v>340</v>
      </c>
      <c r="H15" s="369">
        <f t="shared" si="0"/>
        <v>5565800</v>
      </c>
      <c r="I15" s="370"/>
      <c r="J15" s="414">
        <v>300000</v>
      </c>
      <c r="K15" s="371"/>
      <c r="L15" s="372"/>
      <c r="M15" s="358"/>
      <c r="N15" s="358"/>
      <c r="O15" s="358">
        <f t="shared" si="1"/>
        <v>5865800</v>
      </c>
      <c r="P15" s="385">
        <v>0</v>
      </c>
      <c r="Q15" s="358">
        <f t="shared" si="2"/>
        <v>-5865800</v>
      </c>
      <c r="R15" s="195"/>
    </row>
    <row r="16" spans="1:18" ht="20.100000000000001" customHeight="1" x14ac:dyDescent="0.25">
      <c r="A16" s="350">
        <v>9</v>
      </c>
      <c r="B16" s="365">
        <v>44418</v>
      </c>
      <c r="C16" s="366" t="s">
        <v>1964</v>
      </c>
      <c r="D16" s="367" t="s">
        <v>3879</v>
      </c>
      <c r="E16" s="354" t="s">
        <v>3897</v>
      </c>
      <c r="F16" s="368"/>
      <c r="G16" s="369">
        <v>102</v>
      </c>
      <c r="H16" s="369">
        <f>G16*16170</f>
        <v>1649340</v>
      </c>
      <c r="I16" s="370"/>
      <c r="J16" s="414">
        <v>1150000</v>
      </c>
      <c r="K16" s="371"/>
      <c r="L16" s="372"/>
      <c r="M16" s="358"/>
      <c r="N16" s="358"/>
      <c r="O16" s="358">
        <f t="shared" si="1"/>
        <v>2799340</v>
      </c>
      <c r="P16" s="385">
        <v>3900000</v>
      </c>
      <c r="Q16" s="358">
        <f t="shared" si="2"/>
        <v>1100660</v>
      </c>
      <c r="R16" s="195"/>
    </row>
    <row r="17" spans="1:18" ht="20.100000000000001" customHeight="1" x14ac:dyDescent="0.25">
      <c r="A17" s="350">
        <v>10</v>
      </c>
      <c r="B17" s="365">
        <v>44419</v>
      </c>
      <c r="C17" s="366" t="s">
        <v>3862</v>
      </c>
      <c r="D17" s="367" t="s">
        <v>3880</v>
      </c>
      <c r="E17" s="354" t="s">
        <v>301</v>
      </c>
      <c r="F17" s="368"/>
      <c r="G17" s="369">
        <v>340</v>
      </c>
      <c r="H17" s="369">
        <f t="shared" ref="H17:H24" si="3">G17*16170</f>
        <v>5497800</v>
      </c>
      <c r="I17" s="370"/>
      <c r="J17" s="414">
        <v>3820000</v>
      </c>
      <c r="K17" s="371"/>
      <c r="L17" s="372"/>
      <c r="M17" s="358"/>
      <c r="N17" s="358"/>
      <c r="O17" s="358">
        <f t="shared" si="1"/>
        <v>9317800</v>
      </c>
      <c r="P17" s="385">
        <v>18304545</v>
      </c>
      <c r="Q17" s="358">
        <f t="shared" si="2"/>
        <v>8986745</v>
      </c>
      <c r="R17" s="195"/>
    </row>
    <row r="18" spans="1:18" ht="20.100000000000001" customHeight="1" x14ac:dyDescent="0.25">
      <c r="A18" s="350">
        <v>11</v>
      </c>
      <c r="B18" s="365">
        <v>44419</v>
      </c>
      <c r="C18" s="366" t="s">
        <v>3862</v>
      </c>
      <c r="D18" s="367" t="s">
        <v>3881</v>
      </c>
      <c r="E18" s="354" t="s">
        <v>301</v>
      </c>
      <c r="F18" s="368"/>
      <c r="G18" s="369">
        <v>25</v>
      </c>
      <c r="H18" s="369">
        <f t="shared" si="3"/>
        <v>404250</v>
      </c>
      <c r="I18" s="370"/>
      <c r="J18" s="414">
        <v>300000</v>
      </c>
      <c r="K18" s="371"/>
      <c r="L18" s="372"/>
      <c r="M18" s="358"/>
      <c r="N18" s="358"/>
      <c r="O18" s="358">
        <f t="shared" si="1"/>
        <v>704250</v>
      </c>
      <c r="P18" s="385">
        <v>0</v>
      </c>
      <c r="Q18" s="358">
        <f t="shared" si="2"/>
        <v>-704250</v>
      </c>
      <c r="R18" s="195"/>
    </row>
    <row r="19" spans="1:18" ht="20.100000000000001" customHeight="1" x14ac:dyDescent="0.25">
      <c r="A19" s="350">
        <v>12</v>
      </c>
      <c r="B19" s="365">
        <v>44420</v>
      </c>
      <c r="C19" s="366" t="s">
        <v>3863</v>
      </c>
      <c r="D19" s="367" t="s">
        <v>3882</v>
      </c>
      <c r="E19" s="354" t="s">
        <v>24</v>
      </c>
      <c r="F19" s="368"/>
      <c r="G19" s="369">
        <v>155</v>
      </c>
      <c r="H19" s="369">
        <f t="shared" si="3"/>
        <v>2506350</v>
      </c>
      <c r="I19" s="370"/>
      <c r="J19" s="426">
        <v>2000000</v>
      </c>
      <c r="K19" s="371"/>
      <c r="L19" s="372"/>
      <c r="M19" s="358"/>
      <c r="N19" s="358"/>
      <c r="O19" s="358">
        <f t="shared" si="1"/>
        <v>4506350</v>
      </c>
      <c r="P19" s="385">
        <v>7663636</v>
      </c>
      <c r="Q19" s="358">
        <f t="shared" si="2"/>
        <v>3157286</v>
      </c>
      <c r="R19" s="195"/>
    </row>
    <row r="20" spans="1:18" ht="20.100000000000001" customHeight="1" x14ac:dyDescent="0.25">
      <c r="A20" s="350">
        <v>13</v>
      </c>
      <c r="B20" s="365">
        <v>44422</v>
      </c>
      <c r="C20" s="366" t="s">
        <v>3864</v>
      </c>
      <c r="D20" s="367" t="s">
        <v>3883</v>
      </c>
      <c r="E20" s="354" t="s">
        <v>566</v>
      </c>
      <c r="F20" s="368"/>
      <c r="G20" s="369">
        <v>54</v>
      </c>
      <c r="H20" s="369">
        <f t="shared" si="3"/>
        <v>873180</v>
      </c>
      <c r="I20" s="370"/>
      <c r="J20" s="414">
        <v>1150000</v>
      </c>
      <c r="K20" s="371"/>
      <c r="L20" s="372"/>
      <c r="M20" s="358"/>
      <c r="N20" s="358"/>
      <c r="O20" s="358">
        <f t="shared" si="1"/>
        <v>2023180</v>
      </c>
      <c r="P20" s="385">
        <v>3800000</v>
      </c>
      <c r="Q20" s="358">
        <f t="shared" si="2"/>
        <v>1776820</v>
      </c>
      <c r="R20" s="195"/>
    </row>
    <row r="21" spans="1:18" ht="20.100000000000001" customHeight="1" x14ac:dyDescent="0.25">
      <c r="A21" s="350">
        <v>14</v>
      </c>
      <c r="B21" s="365">
        <v>44424</v>
      </c>
      <c r="C21" s="366" t="s">
        <v>1296</v>
      </c>
      <c r="D21" s="367" t="s">
        <v>3638</v>
      </c>
      <c r="E21" s="354" t="s">
        <v>3790</v>
      </c>
      <c r="F21" s="368"/>
      <c r="G21" s="369">
        <v>97</v>
      </c>
      <c r="H21" s="369">
        <f t="shared" si="3"/>
        <v>1568490</v>
      </c>
      <c r="I21" s="370"/>
      <c r="J21" s="414">
        <v>790000</v>
      </c>
      <c r="K21" s="371"/>
      <c r="L21" s="372"/>
      <c r="M21" s="358"/>
      <c r="N21" s="358"/>
      <c r="O21" s="358">
        <f t="shared" si="1"/>
        <v>2358490</v>
      </c>
      <c r="P21" s="385">
        <v>2727273</v>
      </c>
      <c r="Q21" s="358">
        <f t="shared" si="2"/>
        <v>368783</v>
      </c>
      <c r="R21" s="195"/>
    </row>
    <row r="22" spans="1:18" ht="20.100000000000001" customHeight="1" x14ac:dyDescent="0.25">
      <c r="A22" s="350">
        <v>15</v>
      </c>
      <c r="B22" s="365">
        <v>44425</v>
      </c>
      <c r="C22" s="366" t="s">
        <v>1297</v>
      </c>
      <c r="D22" s="367" t="s">
        <v>3884</v>
      </c>
      <c r="E22" s="354" t="s">
        <v>562</v>
      </c>
      <c r="F22" s="368"/>
      <c r="G22" s="369">
        <v>240</v>
      </c>
      <c r="H22" s="369">
        <f t="shared" si="3"/>
        <v>3880800</v>
      </c>
      <c r="I22" s="370"/>
      <c r="J22" s="414">
        <v>2740000</v>
      </c>
      <c r="K22" s="371"/>
      <c r="L22" s="372"/>
      <c r="M22" s="358"/>
      <c r="N22" s="358"/>
      <c r="O22" s="358">
        <f t="shared" si="1"/>
        <v>6620800</v>
      </c>
      <c r="P22" s="385">
        <v>13936364</v>
      </c>
      <c r="Q22" s="358">
        <f t="shared" si="2"/>
        <v>7315564</v>
      </c>
      <c r="R22" s="195"/>
    </row>
    <row r="23" spans="1:18" ht="20.100000000000001" customHeight="1" x14ac:dyDescent="0.25">
      <c r="A23" s="350">
        <v>16</v>
      </c>
      <c r="B23" s="365">
        <v>44426</v>
      </c>
      <c r="C23" s="366" t="s">
        <v>3241</v>
      </c>
      <c r="D23" s="367" t="s">
        <v>3885</v>
      </c>
      <c r="E23" s="354" t="s">
        <v>88</v>
      </c>
      <c r="F23" s="368"/>
      <c r="G23" s="369">
        <v>180</v>
      </c>
      <c r="H23" s="369">
        <f t="shared" si="3"/>
        <v>2910600</v>
      </c>
      <c r="I23" s="370"/>
      <c r="J23" s="414">
        <v>790000</v>
      </c>
      <c r="K23" s="371"/>
      <c r="L23" s="372"/>
      <c r="M23" s="358"/>
      <c r="N23" s="358"/>
      <c r="O23" s="358">
        <f t="shared" si="1"/>
        <v>3700600</v>
      </c>
      <c r="P23" s="385">
        <v>3600000</v>
      </c>
      <c r="Q23" s="358">
        <f t="shared" si="2"/>
        <v>-100600</v>
      </c>
      <c r="R23" s="195"/>
    </row>
    <row r="24" spans="1:18" ht="20.100000000000001" customHeight="1" x14ac:dyDescent="0.25">
      <c r="A24" s="350">
        <v>17</v>
      </c>
      <c r="B24" s="365">
        <v>44427</v>
      </c>
      <c r="C24" s="366" t="s">
        <v>530</v>
      </c>
      <c r="D24" s="367" t="s">
        <v>3886</v>
      </c>
      <c r="E24" s="354" t="s">
        <v>24</v>
      </c>
      <c r="F24" s="368"/>
      <c r="G24" s="369">
        <v>102</v>
      </c>
      <c r="H24" s="369">
        <f t="shared" si="3"/>
        <v>1649340</v>
      </c>
      <c r="I24" s="370"/>
      <c r="J24" s="414">
        <v>1890000</v>
      </c>
      <c r="K24" s="371"/>
      <c r="L24" s="372"/>
      <c r="M24" s="358"/>
      <c r="N24" s="358"/>
      <c r="O24" s="358">
        <f t="shared" si="1"/>
        <v>3539340</v>
      </c>
      <c r="P24" s="385">
        <v>7663636</v>
      </c>
      <c r="Q24" s="358">
        <f t="shared" si="2"/>
        <v>4124296</v>
      </c>
      <c r="R24" s="195"/>
    </row>
    <row r="25" spans="1:18" ht="20.100000000000001" customHeight="1" x14ac:dyDescent="0.25">
      <c r="A25" s="350">
        <v>18</v>
      </c>
      <c r="B25" s="365">
        <v>44428</v>
      </c>
      <c r="C25" s="366" t="s">
        <v>3865</v>
      </c>
      <c r="D25" s="367" t="s">
        <v>3887</v>
      </c>
      <c r="E25" s="354" t="s">
        <v>3898</v>
      </c>
      <c r="F25" s="368"/>
      <c r="G25" s="444"/>
      <c r="H25" s="444"/>
      <c r="I25" s="370"/>
      <c r="J25" s="414">
        <v>2190000</v>
      </c>
      <c r="K25" s="371"/>
      <c r="L25" s="372"/>
      <c r="M25" s="358"/>
      <c r="N25" s="358"/>
      <c r="O25" s="358">
        <f t="shared" si="1"/>
        <v>2190000</v>
      </c>
      <c r="P25" s="385">
        <v>9500000</v>
      </c>
      <c r="Q25" s="358">
        <f t="shared" si="2"/>
        <v>7310000</v>
      </c>
      <c r="R25" s="195"/>
    </row>
    <row r="26" spans="1:18" ht="20.100000000000001" customHeight="1" x14ac:dyDescent="0.25">
      <c r="A26" s="350">
        <v>19</v>
      </c>
      <c r="B26" s="365">
        <v>44431</v>
      </c>
      <c r="C26" s="366" t="s">
        <v>3866</v>
      </c>
      <c r="D26" s="367" t="s">
        <v>3888</v>
      </c>
      <c r="E26" s="354" t="s">
        <v>2117</v>
      </c>
      <c r="F26" s="368"/>
      <c r="G26" s="369">
        <v>205</v>
      </c>
      <c r="H26" s="369">
        <f>G26*16170</f>
        <v>3314850</v>
      </c>
      <c r="I26" s="370"/>
      <c r="J26" s="414">
        <f>1400000+360000</f>
        <v>1760000</v>
      </c>
      <c r="K26" s="371"/>
      <c r="L26" s="372"/>
      <c r="M26" s="358"/>
      <c r="N26" s="358"/>
      <c r="O26" s="358">
        <f t="shared" si="1"/>
        <v>5074850</v>
      </c>
      <c r="P26" s="385">
        <v>6054545</v>
      </c>
      <c r="Q26" s="358">
        <f t="shared" si="2"/>
        <v>979695</v>
      </c>
      <c r="R26" s="195"/>
    </row>
    <row r="27" spans="1:18" ht="20.100000000000001" customHeight="1" x14ac:dyDescent="0.25">
      <c r="A27" s="350">
        <v>20</v>
      </c>
      <c r="B27" s="365">
        <v>44431</v>
      </c>
      <c r="C27" s="366" t="s">
        <v>3243</v>
      </c>
      <c r="D27" s="367" t="s">
        <v>3889</v>
      </c>
      <c r="E27" s="354" t="s">
        <v>2117</v>
      </c>
      <c r="F27" s="368"/>
      <c r="G27" s="444"/>
      <c r="H27" s="444"/>
      <c r="I27" s="370"/>
      <c r="J27" s="414">
        <v>1400000</v>
      </c>
      <c r="K27" s="371"/>
      <c r="L27" s="372"/>
      <c r="M27" s="358"/>
      <c r="N27" s="358"/>
      <c r="O27" s="358">
        <f t="shared" si="1"/>
        <v>1400000</v>
      </c>
      <c r="P27" s="385">
        <v>6054545</v>
      </c>
      <c r="Q27" s="358">
        <f t="shared" si="2"/>
        <v>4654545</v>
      </c>
      <c r="R27" s="195"/>
    </row>
    <row r="28" spans="1:18" ht="20.100000000000001" customHeight="1" x14ac:dyDescent="0.25">
      <c r="A28" s="350">
        <v>21</v>
      </c>
      <c r="B28" s="365">
        <v>44431</v>
      </c>
      <c r="C28" s="366" t="s">
        <v>3867</v>
      </c>
      <c r="D28" s="367" t="s">
        <v>3890</v>
      </c>
      <c r="E28" s="354" t="s">
        <v>2117</v>
      </c>
      <c r="F28" s="368"/>
      <c r="G28" s="369">
        <v>292</v>
      </c>
      <c r="H28" s="369">
        <f>G28*16170</f>
        <v>4721640</v>
      </c>
      <c r="I28" s="370"/>
      <c r="J28" s="414">
        <v>1400000</v>
      </c>
      <c r="K28" s="371"/>
      <c r="L28" s="372"/>
      <c r="M28" s="358"/>
      <c r="N28" s="358"/>
      <c r="O28" s="358">
        <f t="shared" si="1"/>
        <v>6121640</v>
      </c>
      <c r="P28" s="385">
        <v>6054545</v>
      </c>
      <c r="Q28" s="358">
        <f t="shared" si="2"/>
        <v>-67095</v>
      </c>
      <c r="R28" s="195"/>
    </row>
    <row r="29" spans="1:18" ht="20.100000000000001" customHeight="1" x14ac:dyDescent="0.25">
      <c r="A29" s="350">
        <v>22</v>
      </c>
      <c r="B29" s="365">
        <v>44433</v>
      </c>
      <c r="C29" s="366" t="s">
        <v>536</v>
      </c>
      <c r="D29" s="367" t="s">
        <v>3891</v>
      </c>
      <c r="E29" s="354" t="s">
        <v>2885</v>
      </c>
      <c r="F29" s="368"/>
      <c r="G29" s="369">
        <v>148</v>
      </c>
      <c r="H29" s="369">
        <f>G29*15660</f>
        <v>2317680</v>
      </c>
      <c r="I29" s="370"/>
      <c r="J29" s="426">
        <v>790000</v>
      </c>
      <c r="K29" s="371"/>
      <c r="L29" s="372"/>
      <c r="M29" s="358"/>
      <c r="N29" s="358"/>
      <c r="O29" s="358">
        <f t="shared" si="1"/>
        <v>3107680</v>
      </c>
      <c r="P29" s="385">
        <v>2954545</v>
      </c>
      <c r="Q29" s="358">
        <f t="shared" si="2"/>
        <v>-153135</v>
      </c>
      <c r="R29" s="195"/>
    </row>
    <row r="30" spans="1:18" ht="20.100000000000001" customHeight="1" x14ac:dyDescent="0.25">
      <c r="A30" s="350">
        <v>23</v>
      </c>
      <c r="B30" s="365">
        <v>44434</v>
      </c>
      <c r="C30" s="366" t="s">
        <v>2646</v>
      </c>
      <c r="D30" s="367" t="s">
        <v>3892</v>
      </c>
      <c r="E30" s="354" t="s">
        <v>3899</v>
      </c>
      <c r="F30" s="368"/>
      <c r="G30" s="369">
        <v>67</v>
      </c>
      <c r="H30" s="369">
        <f t="shared" ref="H30:H32" si="4">G30*15660</f>
        <v>1049220</v>
      </c>
      <c r="I30" s="370"/>
      <c r="J30" s="414">
        <v>1150000</v>
      </c>
      <c r="K30" s="371"/>
      <c r="L30" s="372"/>
      <c r="M30" s="358"/>
      <c r="N30" s="358"/>
      <c r="O30" s="358">
        <f t="shared" si="1"/>
        <v>2199220</v>
      </c>
      <c r="P30" s="385">
        <v>4200000</v>
      </c>
      <c r="Q30" s="358">
        <f t="shared" si="2"/>
        <v>2000780</v>
      </c>
      <c r="R30" s="195"/>
    </row>
    <row r="31" spans="1:18" ht="20.100000000000001" customHeight="1" x14ac:dyDescent="0.25">
      <c r="A31" s="350">
        <v>24</v>
      </c>
      <c r="B31" s="365">
        <v>44435</v>
      </c>
      <c r="C31" s="366" t="s">
        <v>3245</v>
      </c>
      <c r="D31" s="367" t="s">
        <v>3893</v>
      </c>
      <c r="E31" s="354" t="s">
        <v>1152</v>
      </c>
      <c r="F31" s="368"/>
      <c r="G31" s="369">
        <v>103</v>
      </c>
      <c r="H31" s="369">
        <f t="shared" si="4"/>
        <v>1612980</v>
      </c>
      <c r="I31" s="370"/>
      <c r="J31" s="414">
        <v>1150000</v>
      </c>
      <c r="K31" s="371"/>
      <c r="L31" s="372"/>
      <c r="M31" s="358"/>
      <c r="N31" s="358"/>
      <c r="O31" s="358">
        <f t="shared" si="1"/>
        <v>2762980</v>
      </c>
      <c r="P31" s="385">
        <v>3700000</v>
      </c>
      <c r="Q31" s="358">
        <f t="shared" si="2"/>
        <v>937020</v>
      </c>
      <c r="R31" s="195"/>
    </row>
    <row r="32" spans="1:18" ht="20.100000000000001" customHeight="1" x14ac:dyDescent="0.25">
      <c r="A32" s="350">
        <v>25</v>
      </c>
      <c r="B32" s="365">
        <v>44438</v>
      </c>
      <c r="C32" s="366" t="s">
        <v>3868</v>
      </c>
      <c r="D32" s="367" t="s">
        <v>3894</v>
      </c>
      <c r="E32" s="354" t="s">
        <v>24</v>
      </c>
      <c r="F32" s="368"/>
      <c r="G32" s="369">
        <v>72</v>
      </c>
      <c r="H32" s="369">
        <f t="shared" si="4"/>
        <v>1127520</v>
      </c>
      <c r="I32" s="370"/>
      <c r="J32" s="414">
        <v>1890000</v>
      </c>
      <c r="K32" s="371"/>
      <c r="L32" s="372"/>
      <c r="M32" s="358"/>
      <c r="N32" s="358"/>
      <c r="O32" s="358">
        <f t="shared" si="1"/>
        <v>3017520</v>
      </c>
      <c r="P32" s="385">
        <v>7663636</v>
      </c>
      <c r="Q32" s="358">
        <f t="shared" si="2"/>
        <v>4646116</v>
      </c>
      <c r="R32" s="195"/>
    </row>
    <row r="33" spans="1:18" ht="20.100000000000001" customHeight="1" x14ac:dyDescent="0.25">
      <c r="A33" s="350">
        <v>26</v>
      </c>
      <c r="B33" s="365">
        <v>44439</v>
      </c>
      <c r="C33" s="366" t="s">
        <v>3869</v>
      </c>
      <c r="D33" s="367" t="s">
        <v>3895</v>
      </c>
      <c r="E33" s="354" t="s">
        <v>3900</v>
      </c>
      <c r="F33" s="368"/>
      <c r="G33" s="369">
        <v>199</v>
      </c>
      <c r="H33" s="369">
        <f>G33*15660</f>
        <v>3116340</v>
      </c>
      <c r="I33" s="370"/>
      <c r="J33" s="414">
        <v>200000</v>
      </c>
      <c r="K33" s="371"/>
      <c r="L33" s="372"/>
      <c r="M33" s="358"/>
      <c r="N33" s="358"/>
      <c r="O33" s="358">
        <f t="shared" si="1"/>
        <v>3316340</v>
      </c>
      <c r="P33" s="385">
        <v>1600000</v>
      </c>
      <c r="Q33" s="358">
        <f t="shared" si="2"/>
        <v>-1716340</v>
      </c>
      <c r="R33" s="195"/>
    </row>
    <row r="34" spans="1:18" ht="20.100000000000001" customHeight="1" x14ac:dyDescent="0.25">
      <c r="A34" s="350">
        <v>27</v>
      </c>
      <c r="B34" s="365">
        <v>44439</v>
      </c>
      <c r="C34" s="366" t="s">
        <v>3870</v>
      </c>
      <c r="D34" s="367" t="s">
        <v>3896</v>
      </c>
      <c r="E34" s="354" t="s">
        <v>3901</v>
      </c>
      <c r="F34" s="368"/>
      <c r="G34" s="369">
        <v>12</v>
      </c>
      <c r="H34" s="369">
        <f>G34*15660</f>
        <v>187920</v>
      </c>
      <c r="I34" s="370"/>
      <c r="J34" s="480">
        <v>100000</v>
      </c>
      <c r="K34" s="371"/>
      <c r="L34" s="372"/>
      <c r="M34" s="358"/>
      <c r="N34" s="358"/>
      <c r="O34" s="358">
        <f t="shared" si="1"/>
        <v>287920</v>
      </c>
      <c r="P34" s="385">
        <v>460000</v>
      </c>
      <c r="Q34" s="358">
        <f t="shared" si="2"/>
        <v>172080</v>
      </c>
      <c r="R34" s="195"/>
    </row>
    <row r="35" spans="1:18" ht="27" customHeight="1" x14ac:dyDescent="0.25">
      <c r="A35" s="374"/>
      <c r="B35" s="379"/>
      <c r="C35" s="594" t="s">
        <v>1273</v>
      </c>
      <c r="D35" s="595"/>
      <c r="E35" s="596"/>
      <c r="F35" s="380"/>
      <c r="G35" s="358"/>
      <c r="H35" s="369"/>
      <c r="I35" s="403"/>
      <c r="J35" s="381"/>
      <c r="K35" s="435">
        <v>1200000</v>
      </c>
      <c r="L35" s="372"/>
      <c r="M35" s="381"/>
      <c r="N35" s="384"/>
      <c r="O35" s="362">
        <f>H35+J35+K35+L35+M35+N35</f>
        <v>1200000</v>
      </c>
      <c r="P35" s="385"/>
      <c r="Q35" s="378"/>
    </row>
    <row r="36" spans="1:18" ht="27" customHeight="1" x14ac:dyDescent="0.25">
      <c r="A36" s="386"/>
      <c r="B36" s="379"/>
      <c r="C36" s="594" t="s">
        <v>3902</v>
      </c>
      <c r="D36" s="595"/>
      <c r="E36" s="596"/>
      <c r="F36" s="380"/>
      <c r="G36" s="381"/>
      <c r="H36" s="369"/>
      <c r="I36" s="403"/>
      <c r="J36" s="381"/>
      <c r="K36" s="404"/>
      <c r="L36" s="437">
        <v>6900000</v>
      </c>
      <c r="M36" s="388"/>
      <c r="N36" s="384"/>
      <c r="O36" s="362">
        <f t="shared" ref="O36:O55" si="5">H36+J36+K36+L36+M36+N36</f>
        <v>6900000</v>
      </c>
      <c r="P36" s="389"/>
      <c r="Q36" s="378"/>
    </row>
    <row r="37" spans="1:18" ht="27" customHeight="1" x14ac:dyDescent="0.25">
      <c r="A37" s="386"/>
      <c r="B37" s="379"/>
      <c r="C37" s="594" t="s">
        <v>3903</v>
      </c>
      <c r="D37" s="595"/>
      <c r="E37" s="596"/>
      <c r="F37" s="380"/>
      <c r="G37" s="381"/>
      <c r="H37" s="369"/>
      <c r="I37" s="403"/>
      <c r="J37" s="381"/>
      <c r="K37" s="394"/>
      <c r="L37" s="437">
        <v>610000</v>
      </c>
      <c r="M37" s="388"/>
      <c r="N37" s="384"/>
      <c r="O37" s="362">
        <f t="shared" si="5"/>
        <v>610000</v>
      </c>
      <c r="P37" s="389"/>
      <c r="Q37" s="378"/>
    </row>
    <row r="38" spans="1:18" ht="27" customHeight="1" x14ac:dyDescent="0.25">
      <c r="A38" s="386"/>
      <c r="B38" s="379"/>
      <c r="C38" s="594" t="s">
        <v>3904</v>
      </c>
      <c r="D38" s="595"/>
      <c r="E38" s="596"/>
      <c r="F38" s="380"/>
      <c r="G38" s="381"/>
      <c r="H38" s="369"/>
      <c r="I38" s="403"/>
      <c r="J38" s="381"/>
      <c r="K38" s="394"/>
      <c r="L38" s="437">
        <v>200000</v>
      </c>
      <c r="M38" s="388"/>
      <c r="N38" s="384"/>
      <c r="O38" s="362">
        <f t="shared" si="5"/>
        <v>200000</v>
      </c>
      <c r="P38" s="389"/>
      <c r="Q38" s="378"/>
    </row>
    <row r="39" spans="1:18" ht="27" customHeight="1" x14ac:dyDescent="0.25">
      <c r="A39" s="386"/>
      <c r="B39" s="379"/>
      <c r="C39" s="594" t="s">
        <v>3905</v>
      </c>
      <c r="D39" s="595"/>
      <c r="E39" s="596"/>
      <c r="F39" s="402"/>
      <c r="G39" s="381"/>
      <c r="H39" s="369"/>
      <c r="I39" s="403"/>
      <c r="J39" s="381"/>
      <c r="K39" s="439">
        <v>160000</v>
      </c>
      <c r="L39" s="388"/>
      <c r="M39" s="372"/>
      <c r="N39" s="381"/>
      <c r="O39" s="362">
        <f t="shared" si="5"/>
        <v>160000</v>
      </c>
      <c r="P39" s="389"/>
      <c r="Q39" s="378"/>
    </row>
    <row r="40" spans="1:18" ht="27" customHeight="1" x14ac:dyDescent="0.25">
      <c r="A40" s="386"/>
      <c r="B40" s="379"/>
      <c r="C40" s="594" t="s">
        <v>3906</v>
      </c>
      <c r="D40" s="595"/>
      <c r="E40" s="596"/>
      <c r="F40" s="402"/>
      <c r="G40" s="381"/>
      <c r="H40" s="369"/>
      <c r="I40" s="403"/>
      <c r="J40" s="381"/>
      <c r="K40" s="439">
        <v>230000</v>
      </c>
      <c r="L40" s="388"/>
      <c r="M40" s="388"/>
      <c r="N40" s="381"/>
      <c r="O40" s="362">
        <f t="shared" si="5"/>
        <v>230000</v>
      </c>
      <c r="P40" s="389"/>
      <c r="Q40" s="378"/>
    </row>
    <row r="41" spans="1:18" ht="27" customHeight="1" x14ac:dyDescent="0.25">
      <c r="A41" s="386"/>
      <c r="B41" s="379"/>
      <c r="C41" s="594" t="s">
        <v>3907</v>
      </c>
      <c r="D41" s="595"/>
      <c r="E41" s="596"/>
      <c r="F41" s="402"/>
      <c r="G41" s="381"/>
      <c r="H41" s="369"/>
      <c r="I41" s="403"/>
      <c r="J41" s="381"/>
      <c r="K41" s="394"/>
      <c r="L41" s="437">
        <f>814000/4</f>
        <v>203500</v>
      </c>
      <c r="M41" s="388"/>
      <c r="N41" s="381"/>
      <c r="O41" s="362">
        <f t="shared" si="5"/>
        <v>203500</v>
      </c>
      <c r="P41" s="389"/>
      <c r="Q41" s="378"/>
    </row>
    <row r="42" spans="1:18" ht="27" customHeight="1" x14ac:dyDescent="0.25">
      <c r="A42" s="386"/>
      <c r="B42" s="379"/>
      <c r="C42" s="594" t="s">
        <v>3908</v>
      </c>
      <c r="D42" s="595"/>
      <c r="E42" s="596"/>
      <c r="F42" s="402"/>
      <c r="G42" s="381"/>
      <c r="H42" s="369"/>
      <c r="I42" s="403"/>
      <c r="J42" s="381"/>
      <c r="K42" s="439">
        <v>163000</v>
      </c>
      <c r="L42" s="388"/>
      <c r="M42" s="388"/>
      <c r="N42" s="381"/>
      <c r="O42" s="362">
        <f t="shared" si="5"/>
        <v>163000</v>
      </c>
      <c r="P42" s="389"/>
      <c r="Q42" s="378"/>
    </row>
    <row r="43" spans="1:18" ht="27" customHeight="1" x14ac:dyDescent="0.25">
      <c r="A43" s="386"/>
      <c r="B43" s="379"/>
      <c r="C43" s="594" t="s">
        <v>3909</v>
      </c>
      <c r="D43" s="595"/>
      <c r="E43" s="596"/>
      <c r="F43" s="402"/>
      <c r="G43" s="381"/>
      <c r="H43" s="369"/>
      <c r="I43" s="403"/>
      <c r="J43" s="381"/>
      <c r="K43" s="439">
        <v>230000</v>
      </c>
      <c r="L43" s="388"/>
      <c r="M43" s="388"/>
      <c r="N43" s="381"/>
      <c r="O43" s="362">
        <f t="shared" si="5"/>
        <v>230000</v>
      </c>
      <c r="P43" s="389"/>
      <c r="Q43" s="378"/>
    </row>
    <row r="44" spans="1:18" ht="27" customHeight="1" x14ac:dyDescent="0.25">
      <c r="A44" s="386"/>
      <c r="B44" s="379"/>
      <c r="C44" s="594" t="s">
        <v>3910</v>
      </c>
      <c r="D44" s="595"/>
      <c r="E44" s="596"/>
      <c r="F44" s="402"/>
      <c r="G44" s="381"/>
      <c r="H44" s="369"/>
      <c r="I44" s="403"/>
      <c r="J44" s="381"/>
      <c r="K44" s="439">
        <v>230000</v>
      </c>
      <c r="L44" s="388"/>
      <c r="M44" s="388"/>
      <c r="N44" s="381"/>
      <c r="O44" s="362">
        <f t="shared" si="5"/>
        <v>230000</v>
      </c>
      <c r="P44" s="389"/>
      <c r="Q44" s="378"/>
    </row>
    <row r="45" spans="1:18" ht="27" customHeight="1" x14ac:dyDescent="0.25">
      <c r="A45" s="386"/>
      <c r="B45" s="379"/>
      <c r="C45" s="594" t="s">
        <v>3911</v>
      </c>
      <c r="D45" s="595"/>
      <c r="E45" s="596"/>
      <c r="F45" s="402"/>
      <c r="G45" s="381"/>
      <c r="H45" s="369"/>
      <c r="I45" s="403"/>
      <c r="J45" s="381"/>
      <c r="K45" s="394"/>
      <c r="L45" s="437">
        <v>10120000</v>
      </c>
      <c r="M45" s="388"/>
      <c r="N45" s="381"/>
      <c r="O45" s="362">
        <f t="shared" si="5"/>
        <v>10120000</v>
      </c>
      <c r="P45" s="389"/>
      <c r="Q45" s="378"/>
    </row>
    <row r="46" spans="1:18" ht="27" customHeight="1" x14ac:dyDescent="0.25">
      <c r="A46" s="386"/>
      <c r="B46" s="379"/>
      <c r="C46" s="594" t="s">
        <v>3912</v>
      </c>
      <c r="D46" s="595"/>
      <c r="E46" s="596"/>
      <c r="F46" s="402"/>
      <c r="G46" s="381"/>
      <c r="H46" s="369"/>
      <c r="I46" s="403"/>
      <c r="J46" s="381"/>
      <c r="K46" s="439">
        <v>163000</v>
      </c>
      <c r="L46" s="388"/>
      <c r="M46" s="388"/>
      <c r="N46" s="381"/>
      <c r="O46" s="362">
        <f t="shared" si="5"/>
        <v>163000</v>
      </c>
      <c r="P46" s="389"/>
      <c r="Q46" s="378"/>
    </row>
    <row r="47" spans="1:18" ht="27" customHeight="1" x14ac:dyDescent="0.25">
      <c r="A47" s="386"/>
      <c r="B47" s="379"/>
      <c r="C47" s="603" t="s">
        <v>3913</v>
      </c>
      <c r="D47" s="604"/>
      <c r="E47" s="605"/>
      <c r="F47" s="402"/>
      <c r="G47" s="381"/>
      <c r="H47" s="369"/>
      <c r="I47" s="403"/>
      <c r="J47" s="381"/>
      <c r="K47" s="439">
        <v>163000</v>
      </c>
      <c r="L47" s="388"/>
      <c r="M47" s="388"/>
      <c r="N47" s="381"/>
      <c r="O47" s="362">
        <f t="shared" si="5"/>
        <v>163000</v>
      </c>
      <c r="P47" s="389"/>
      <c r="Q47" s="378"/>
    </row>
    <row r="48" spans="1:18" ht="27" customHeight="1" x14ac:dyDescent="0.25">
      <c r="A48" s="386"/>
      <c r="B48" s="379"/>
      <c r="C48" s="594" t="s">
        <v>3914</v>
      </c>
      <c r="D48" s="595"/>
      <c r="E48" s="596"/>
      <c r="F48" s="402"/>
      <c r="G48" s="381"/>
      <c r="H48" s="369"/>
      <c r="I48" s="403"/>
      <c r="J48" s="381"/>
      <c r="K48" s="439">
        <v>163000</v>
      </c>
      <c r="L48" s="388"/>
      <c r="M48" s="388"/>
      <c r="N48" s="381"/>
      <c r="O48" s="362">
        <f t="shared" si="5"/>
        <v>163000</v>
      </c>
      <c r="P48" s="389"/>
      <c r="Q48" s="378"/>
    </row>
    <row r="49" spans="1:18" ht="27" customHeight="1" x14ac:dyDescent="0.25">
      <c r="A49" s="386"/>
      <c r="B49" s="379"/>
      <c r="C49" s="603" t="s">
        <v>3915</v>
      </c>
      <c r="D49" s="604"/>
      <c r="E49" s="605"/>
      <c r="F49" s="402"/>
      <c r="G49" s="381"/>
      <c r="H49" s="369"/>
      <c r="I49" s="403"/>
      <c r="J49" s="381"/>
      <c r="K49" s="439">
        <v>163000</v>
      </c>
      <c r="L49" s="388"/>
      <c r="M49" s="388"/>
      <c r="N49" s="381"/>
      <c r="O49" s="362">
        <f t="shared" si="5"/>
        <v>163000</v>
      </c>
      <c r="P49" s="389"/>
      <c r="Q49" s="378"/>
    </row>
    <row r="50" spans="1:18" ht="27" customHeight="1" x14ac:dyDescent="0.25">
      <c r="A50" s="386"/>
      <c r="B50" s="379"/>
      <c r="C50" s="594" t="s">
        <v>3916</v>
      </c>
      <c r="D50" s="595"/>
      <c r="E50" s="596"/>
      <c r="F50" s="402"/>
      <c r="G50" s="381"/>
      <c r="H50" s="369"/>
      <c r="I50" s="403"/>
      <c r="J50" s="381"/>
      <c r="K50" s="439">
        <v>208000</v>
      </c>
      <c r="L50" s="388"/>
      <c r="M50" s="388"/>
      <c r="N50" s="381"/>
      <c r="O50" s="362">
        <f t="shared" si="5"/>
        <v>208000</v>
      </c>
      <c r="P50" s="389"/>
      <c r="Q50" s="378"/>
    </row>
    <row r="51" spans="1:18" ht="27" customHeight="1" x14ac:dyDescent="0.25">
      <c r="A51" s="386"/>
      <c r="B51" s="379"/>
      <c r="C51" s="594" t="s">
        <v>3917</v>
      </c>
      <c r="D51" s="595"/>
      <c r="E51" s="596"/>
      <c r="F51" s="402"/>
      <c r="G51" s="381"/>
      <c r="H51" s="369"/>
      <c r="I51" s="403"/>
      <c r="J51" s="381"/>
      <c r="K51" s="439">
        <v>163000</v>
      </c>
      <c r="L51" s="388"/>
      <c r="M51" s="388"/>
      <c r="N51" s="381"/>
      <c r="O51" s="362">
        <f t="shared" si="5"/>
        <v>163000</v>
      </c>
      <c r="P51" s="389"/>
      <c r="Q51" s="378"/>
    </row>
    <row r="52" spans="1:18" ht="27" customHeight="1" x14ac:dyDescent="0.25">
      <c r="A52" s="386"/>
      <c r="B52" s="379"/>
      <c r="C52" s="594" t="s">
        <v>3918</v>
      </c>
      <c r="D52" s="595"/>
      <c r="E52" s="596"/>
      <c r="F52" s="402"/>
      <c r="G52" s="381"/>
      <c r="H52" s="369"/>
      <c r="I52" s="403"/>
      <c r="J52" s="381"/>
      <c r="K52" s="394"/>
      <c r="L52" s="437">
        <v>600000</v>
      </c>
      <c r="M52" s="388"/>
      <c r="N52" s="381"/>
      <c r="O52" s="362">
        <f t="shared" si="5"/>
        <v>600000</v>
      </c>
      <c r="P52" s="389"/>
      <c r="Q52" s="378"/>
    </row>
    <row r="53" spans="1:18" ht="27" customHeight="1" x14ac:dyDescent="0.25">
      <c r="A53" s="386"/>
      <c r="B53" s="379"/>
      <c r="C53" s="594" t="s">
        <v>3919</v>
      </c>
      <c r="D53" s="595"/>
      <c r="E53" s="596"/>
      <c r="F53" s="402"/>
      <c r="G53" s="381"/>
      <c r="H53" s="369"/>
      <c r="I53" s="403"/>
      <c r="J53" s="381"/>
      <c r="K53" s="394"/>
      <c r="L53" s="437">
        <v>1750000</v>
      </c>
      <c r="M53" s="388"/>
      <c r="N53" s="381"/>
      <c r="O53" s="362">
        <f t="shared" si="5"/>
        <v>1750000</v>
      </c>
      <c r="P53" s="389"/>
      <c r="Q53" s="378"/>
    </row>
    <row r="54" spans="1:18" ht="27" customHeight="1" x14ac:dyDescent="0.25">
      <c r="A54" s="386"/>
      <c r="B54" s="379"/>
      <c r="C54" s="594" t="s">
        <v>3920</v>
      </c>
      <c r="D54" s="595"/>
      <c r="E54" s="596"/>
      <c r="F54" s="402"/>
      <c r="G54" s="381"/>
      <c r="H54" s="369"/>
      <c r="I54" s="403"/>
      <c r="J54" s="381"/>
      <c r="K54" s="394"/>
      <c r="L54" s="437">
        <v>2921000</v>
      </c>
      <c r="M54" s="388"/>
      <c r="N54" s="381"/>
      <c r="O54" s="362">
        <f t="shared" si="5"/>
        <v>2921000</v>
      </c>
      <c r="P54" s="389"/>
      <c r="Q54" s="378"/>
    </row>
    <row r="55" spans="1:18" ht="27" customHeight="1" x14ac:dyDescent="0.25">
      <c r="A55" s="386"/>
      <c r="B55" s="379"/>
      <c r="C55" s="594" t="s">
        <v>3921</v>
      </c>
      <c r="D55" s="595"/>
      <c r="E55" s="596"/>
      <c r="F55" s="402"/>
      <c r="G55" s="381"/>
      <c r="H55" s="369"/>
      <c r="I55" s="403"/>
      <c r="J55" s="381"/>
      <c r="K55" s="394"/>
      <c r="L55" s="437">
        <v>2300000</v>
      </c>
      <c r="M55" s="388"/>
      <c r="N55" s="381"/>
      <c r="O55" s="362">
        <f t="shared" si="5"/>
        <v>2300000</v>
      </c>
      <c r="P55" s="389"/>
      <c r="Q55" s="378"/>
    </row>
    <row r="56" spans="1:18" ht="18" customHeight="1" x14ac:dyDescent="0.25">
      <c r="A56" s="386"/>
      <c r="B56" s="391"/>
      <c r="C56" s="579" t="s">
        <v>1386</v>
      </c>
      <c r="D56" s="580"/>
      <c r="E56" s="581"/>
      <c r="F56" s="392"/>
      <c r="G56" s="381"/>
      <c r="H56" s="382"/>
      <c r="I56" s="383"/>
      <c r="J56" s="384"/>
      <c r="K56" s="439">
        <v>8000000</v>
      </c>
      <c r="L56" s="394"/>
      <c r="M56" s="384"/>
      <c r="N56" s="384"/>
      <c r="O56" s="362">
        <f t="shared" ref="O56" si="6">H56+J56+K56+L56+M56+N56</f>
        <v>8000000</v>
      </c>
      <c r="P56" s="389"/>
      <c r="Q56" s="378"/>
    </row>
    <row r="57" spans="1:18" x14ac:dyDescent="0.25">
      <c r="A57" s="576" t="s">
        <v>19</v>
      </c>
      <c r="B57" s="577"/>
      <c r="C57" s="577"/>
      <c r="D57" s="577"/>
      <c r="E57" s="577"/>
      <c r="F57" s="578"/>
      <c r="G57" s="427">
        <f>SUM(G8:G56)</f>
        <v>3389</v>
      </c>
      <c r="H57" s="396">
        <f t="shared" ref="H57:P57" si="7">SUM(H7:H56)</f>
        <v>54692820</v>
      </c>
      <c r="I57" s="396">
        <f t="shared" si="7"/>
        <v>0</v>
      </c>
      <c r="J57" s="396">
        <f t="shared" si="7"/>
        <v>39270000</v>
      </c>
      <c r="K57" s="396">
        <f t="shared" si="7"/>
        <v>11236000</v>
      </c>
      <c r="L57" s="396">
        <f t="shared" si="7"/>
        <v>25604500</v>
      </c>
      <c r="M57" s="396">
        <f t="shared" si="7"/>
        <v>0</v>
      </c>
      <c r="N57" s="396">
        <f t="shared" si="7"/>
        <v>0</v>
      </c>
      <c r="O57" s="396">
        <f t="shared" si="7"/>
        <v>130803320</v>
      </c>
      <c r="P57" s="397">
        <f t="shared" si="7"/>
        <v>159273632</v>
      </c>
      <c r="Q57" s="396">
        <f>P57-O57</f>
        <v>28470312</v>
      </c>
      <c r="R57" s="195"/>
    </row>
    <row r="58" spans="1:18" x14ac:dyDescent="0.25">
      <c r="P58" s="294"/>
      <c r="Q58" s="295"/>
    </row>
    <row r="59" spans="1:18" x14ac:dyDescent="0.25">
      <c r="B59"/>
      <c r="G59"/>
      <c r="H59" s="294"/>
      <c r="P59" s="296" t="s">
        <v>1225</v>
      </c>
      <c r="Q59" s="295">
        <f>'07.2021'!Q53+'08.2021'!Q57</f>
        <v>229320809.69230771</v>
      </c>
    </row>
    <row r="60" spans="1:18" x14ac:dyDescent="0.25">
      <c r="B60"/>
      <c r="G60"/>
      <c r="Q60" s="294"/>
    </row>
    <row r="61" spans="1:18" x14ac:dyDescent="0.25">
      <c r="B61"/>
      <c r="G61" s="445"/>
      <c r="R61" s="195"/>
    </row>
  </sheetData>
  <mergeCells count="27">
    <mergeCell ref="C56:E56"/>
    <mergeCell ref="A57:F57"/>
    <mergeCell ref="C37:E37"/>
    <mergeCell ref="C38:E38"/>
    <mergeCell ref="C39:E39"/>
    <mergeCell ref="C40:E40"/>
    <mergeCell ref="C41:E41"/>
    <mergeCell ref="C42:E42"/>
    <mergeCell ref="C49:E49"/>
    <mergeCell ref="C50:E50"/>
    <mergeCell ref="C51:E51"/>
    <mergeCell ref="C52:E52"/>
    <mergeCell ref="C53:E53"/>
    <mergeCell ref="C54:E54"/>
    <mergeCell ref="C55:E55"/>
    <mergeCell ref="C45:E45"/>
    <mergeCell ref="A1:Q1"/>
    <mergeCell ref="A2:Q2"/>
    <mergeCell ref="A3:Q3"/>
    <mergeCell ref="G5:N5"/>
    <mergeCell ref="C35:E35"/>
    <mergeCell ref="C36:E36"/>
    <mergeCell ref="C46:E46"/>
    <mergeCell ref="C47:E47"/>
    <mergeCell ref="C48:E48"/>
    <mergeCell ref="C44:E44"/>
    <mergeCell ref="C43:E43"/>
  </mergeCells>
  <pageMargins left="0.7" right="0.7" top="0.75" bottom="0.75" header="0.3" footer="0.3"/>
  <pageSetup paperSize="9" orientation="portrait" horizontalDpi="0" verticalDpi="0" r:id="rId1"/>
  <legacy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12B79-573E-4D06-B43F-7974CAEC2DC7}">
  <dimension ref="A1:S63"/>
  <sheetViews>
    <sheetView topLeftCell="A43" workbookViewId="0">
      <selection activeCell="P57" sqref="P57"/>
    </sheetView>
  </sheetViews>
  <sheetFormatPr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0.28515625" style="292" bestFit="1"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3922</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177" t="s">
        <v>1</v>
      </c>
      <c r="B5" s="178" t="s">
        <v>2</v>
      </c>
      <c r="C5" s="177" t="s">
        <v>3</v>
      </c>
      <c r="D5" s="177" t="s">
        <v>5</v>
      </c>
      <c r="E5" s="174" t="s">
        <v>4</v>
      </c>
      <c r="F5" s="174" t="s">
        <v>17</v>
      </c>
      <c r="G5" s="555" t="s">
        <v>6</v>
      </c>
      <c r="H5" s="556"/>
      <c r="I5" s="556"/>
      <c r="J5" s="556"/>
      <c r="K5" s="556"/>
      <c r="L5" s="556"/>
      <c r="M5" s="556"/>
      <c r="N5" s="557"/>
      <c r="O5" s="259" t="s">
        <v>18</v>
      </c>
      <c r="P5" s="259" t="s">
        <v>13</v>
      </c>
      <c r="Q5" s="259" t="s">
        <v>14</v>
      </c>
    </row>
    <row r="6" spans="1:19" x14ac:dyDescent="0.25">
      <c r="A6" s="179"/>
      <c r="B6" s="180"/>
      <c r="C6" s="179"/>
      <c r="D6" s="179"/>
      <c r="E6" s="175"/>
      <c r="F6" s="175"/>
      <c r="G6" s="260" t="s">
        <v>7</v>
      </c>
      <c r="H6" s="261" t="s">
        <v>15</v>
      </c>
      <c r="I6" s="261" t="s">
        <v>16</v>
      </c>
      <c r="J6" s="261" t="s">
        <v>8</v>
      </c>
      <c r="K6" s="261" t="s">
        <v>9</v>
      </c>
      <c r="L6" s="307" t="s">
        <v>10</v>
      </c>
      <c r="M6" s="261" t="s">
        <v>11</v>
      </c>
      <c r="N6" s="261" t="s">
        <v>12</v>
      </c>
      <c r="O6" s="262"/>
      <c r="P6" s="262"/>
      <c r="Q6" s="262"/>
    </row>
    <row r="7" spans="1:19" x14ac:dyDescent="0.25">
      <c r="A7" s="75"/>
      <c r="B7" s="100"/>
      <c r="C7" s="88"/>
      <c r="D7" s="88"/>
      <c r="E7" s="134"/>
      <c r="F7" s="75"/>
      <c r="G7" s="264"/>
      <c r="H7" s="264"/>
      <c r="I7" s="264"/>
      <c r="J7" s="264"/>
      <c r="K7" s="264"/>
      <c r="L7" s="308"/>
      <c r="M7" s="264"/>
      <c r="N7" s="264"/>
      <c r="O7" s="265"/>
      <c r="P7" s="265"/>
      <c r="Q7" s="264"/>
    </row>
    <row r="8" spans="1:19" ht="20.100000000000001" customHeight="1" x14ac:dyDescent="0.25">
      <c r="A8" s="350">
        <v>1</v>
      </c>
      <c r="B8" s="365">
        <v>44439</v>
      </c>
      <c r="C8" s="366" t="s">
        <v>3923</v>
      </c>
      <c r="D8" s="367" t="s">
        <v>3939</v>
      </c>
      <c r="E8" s="354" t="s">
        <v>1212</v>
      </c>
      <c r="F8" s="368"/>
      <c r="G8" s="369">
        <v>255</v>
      </c>
      <c r="H8" s="369">
        <f>G8*15660</f>
        <v>3993300</v>
      </c>
      <c r="I8" s="418"/>
      <c r="J8" s="414">
        <v>2740000</v>
      </c>
      <c r="K8" s="371"/>
      <c r="L8" s="372"/>
      <c r="M8" s="358"/>
      <c r="N8" s="358"/>
      <c r="O8" s="358">
        <f>H8+J8+K8+L8+M8+N8</f>
        <v>6733300</v>
      </c>
      <c r="P8" s="358">
        <v>7422727</v>
      </c>
      <c r="Q8" s="358">
        <f>P8-O8</f>
        <v>689427</v>
      </c>
      <c r="R8" s="195"/>
      <c r="S8" s="195"/>
    </row>
    <row r="9" spans="1:19" ht="20.100000000000001" customHeight="1" x14ac:dyDescent="0.25">
      <c r="A9" s="350">
        <v>2</v>
      </c>
      <c r="B9" s="365">
        <v>44439</v>
      </c>
      <c r="C9" s="366" t="s">
        <v>3923</v>
      </c>
      <c r="D9" s="415" t="s">
        <v>3940</v>
      </c>
      <c r="E9" s="354" t="s">
        <v>1212</v>
      </c>
      <c r="F9" s="368"/>
      <c r="G9" s="369"/>
      <c r="H9" s="369">
        <f t="shared" ref="H9:H15" si="0">G9*15660</f>
        <v>0</v>
      </c>
      <c r="I9" s="370"/>
      <c r="J9" s="414">
        <v>300000</v>
      </c>
      <c r="K9" s="371"/>
      <c r="L9" s="372"/>
      <c r="M9" s="358"/>
      <c r="N9" s="358"/>
      <c r="O9" s="358">
        <f t="shared" ref="O9:O33" si="1">H9+J9+K9+L9+M9+N9</f>
        <v>300000</v>
      </c>
      <c r="P9" s="385">
        <v>7422727</v>
      </c>
      <c r="Q9" s="358">
        <f t="shared" ref="Q9:Q33" si="2">P9-O9</f>
        <v>7122727</v>
      </c>
      <c r="R9" s="195"/>
      <c r="S9" s="195"/>
    </row>
    <row r="10" spans="1:19" ht="20.100000000000001" customHeight="1" x14ac:dyDescent="0.25">
      <c r="A10" s="350">
        <v>3</v>
      </c>
      <c r="B10" s="365">
        <v>44445</v>
      </c>
      <c r="C10" s="366" t="s">
        <v>2687</v>
      </c>
      <c r="D10" s="367" t="s">
        <v>3941</v>
      </c>
      <c r="E10" s="354" t="s">
        <v>3041</v>
      </c>
      <c r="F10" s="368"/>
      <c r="G10" s="369"/>
      <c r="H10" s="369">
        <f t="shared" si="0"/>
        <v>0</v>
      </c>
      <c r="I10" s="370"/>
      <c r="J10" s="414">
        <v>200000</v>
      </c>
      <c r="K10" s="371"/>
      <c r="L10" s="372"/>
      <c r="M10" s="358"/>
      <c r="N10" s="358"/>
      <c r="O10" s="358">
        <f t="shared" si="1"/>
        <v>200000</v>
      </c>
      <c r="P10" s="385">
        <v>1400000</v>
      </c>
      <c r="Q10" s="358">
        <f t="shared" si="2"/>
        <v>1200000</v>
      </c>
      <c r="R10" s="195"/>
      <c r="S10" s="195"/>
    </row>
    <row r="11" spans="1:19" ht="20.100000000000001" customHeight="1" x14ac:dyDescent="0.25">
      <c r="A11" s="350">
        <v>4</v>
      </c>
      <c r="B11" s="365">
        <v>44445</v>
      </c>
      <c r="C11" s="366" t="s">
        <v>3924</v>
      </c>
      <c r="D11" s="367" t="s">
        <v>3942</v>
      </c>
      <c r="E11" s="354" t="s">
        <v>3614</v>
      </c>
      <c r="F11" s="368"/>
      <c r="G11" s="369">
        <v>180</v>
      </c>
      <c r="H11" s="369">
        <f t="shared" si="0"/>
        <v>2818800</v>
      </c>
      <c r="I11" s="370"/>
      <c r="J11" s="414">
        <v>1150000</v>
      </c>
      <c r="K11" s="371"/>
      <c r="L11" s="372"/>
      <c r="M11" s="358"/>
      <c r="N11" s="358"/>
      <c r="O11" s="358">
        <f t="shared" si="1"/>
        <v>3968800</v>
      </c>
      <c r="P11" s="385">
        <v>3954545</v>
      </c>
      <c r="Q11" s="358">
        <f t="shared" si="2"/>
        <v>-14255</v>
      </c>
      <c r="R11" s="195"/>
      <c r="S11" s="195"/>
    </row>
    <row r="12" spans="1:19" ht="23.25" customHeight="1" x14ac:dyDescent="0.25">
      <c r="A12" s="350">
        <v>5</v>
      </c>
      <c r="B12" s="365">
        <v>44446</v>
      </c>
      <c r="C12" s="366" t="s">
        <v>2025</v>
      </c>
      <c r="D12" s="367" t="s">
        <v>3943</v>
      </c>
      <c r="E12" s="354" t="s">
        <v>24</v>
      </c>
      <c r="F12" s="368"/>
      <c r="G12" s="369">
        <v>14</v>
      </c>
      <c r="H12" s="369">
        <f t="shared" si="0"/>
        <v>219240</v>
      </c>
      <c r="I12" s="370"/>
      <c r="J12" s="414">
        <v>1890000</v>
      </c>
      <c r="K12" s="371"/>
      <c r="L12" s="372"/>
      <c r="M12" s="358"/>
      <c r="N12" s="358"/>
      <c r="O12" s="358">
        <f t="shared" si="1"/>
        <v>2109240</v>
      </c>
      <c r="P12" s="385">
        <v>7663636</v>
      </c>
      <c r="Q12" s="358">
        <f t="shared" si="2"/>
        <v>5554396</v>
      </c>
      <c r="R12" s="195"/>
      <c r="S12" s="195"/>
    </row>
    <row r="13" spans="1:19" ht="20.100000000000001" customHeight="1" x14ac:dyDescent="0.25">
      <c r="A13" s="350">
        <v>6</v>
      </c>
      <c r="B13" s="365">
        <v>44446</v>
      </c>
      <c r="C13" s="366" t="s">
        <v>589</v>
      </c>
      <c r="D13" s="367" t="s">
        <v>3944</v>
      </c>
      <c r="E13" s="354" t="s">
        <v>3900</v>
      </c>
      <c r="F13" s="368"/>
      <c r="G13" s="369">
        <v>86</v>
      </c>
      <c r="H13" s="369">
        <f t="shared" si="0"/>
        <v>1346760</v>
      </c>
      <c r="I13" s="370"/>
      <c r="J13" s="414">
        <v>200000</v>
      </c>
      <c r="K13" s="371"/>
      <c r="L13" s="372"/>
      <c r="M13" s="358"/>
      <c r="N13" s="358"/>
      <c r="O13" s="358">
        <f t="shared" si="1"/>
        <v>1546760</v>
      </c>
      <c r="P13" s="385">
        <v>1600000</v>
      </c>
      <c r="Q13" s="358">
        <f t="shared" si="2"/>
        <v>53240</v>
      </c>
      <c r="R13" s="195"/>
      <c r="S13" s="195"/>
    </row>
    <row r="14" spans="1:19" ht="27.75" customHeight="1" x14ac:dyDescent="0.25">
      <c r="A14" s="350">
        <v>7</v>
      </c>
      <c r="B14" s="365">
        <v>44447</v>
      </c>
      <c r="C14" s="366" t="s">
        <v>3925</v>
      </c>
      <c r="D14" s="367" t="s">
        <v>3945</v>
      </c>
      <c r="E14" s="354" t="s">
        <v>3965</v>
      </c>
      <c r="F14" s="368"/>
      <c r="G14" s="369">
        <v>104</v>
      </c>
      <c r="H14" s="369">
        <f t="shared" si="0"/>
        <v>1628640</v>
      </c>
      <c r="I14" s="370"/>
      <c r="J14" s="414">
        <f>1150000+200000</f>
        <v>1350000</v>
      </c>
      <c r="K14" s="371"/>
      <c r="L14" s="372"/>
      <c r="M14" s="358"/>
      <c r="N14" s="358"/>
      <c r="O14" s="358">
        <f t="shared" si="1"/>
        <v>2978640</v>
      </c>
      <c r="P14" s="385">
        <v>4800000</v>
      </c>
      <c r="Q14" s="358">
        <f t="shared" si="2"/>
        <v>1821360</v>
      </c>
      <c r="R14" s="195"/>
      <c r="S14" s="195"/>
    </row>
    <row r="15" spans="1:19" ht="20.100000000000001" customHeight="1" x14ac:dyDescent="0.25">
      <c r="A15" s="350">
        <v>8</v>
      </c>
      <c r="B15" s="365">
        <v>44448</v>
      </c>
      <c r="C15" s="366" t="s">
        <v>3926</v>
      </c>
      <c r="D15" s="367" t="s">
        <v>3946</v>
      </c>
      <c r="E15" s="354" t="s">
        <v>2589</v>
      </c>
      <c r="F15" s="368"/>
      <c r="G15" s="369">
        <v>10</v>
      </c>
      <c r="H15" s="369">
        <f t="shared" si="0"/>
        <v>156600</v>
      </c>
      <c r="I15" s="370"/>
      <c r="J15" s="414">
        <v>1150000</v>
      </c>
      <c r="K15" s="371"/>
      <c r="L15" s="372"/>
      <c r="M15" s="358"/>
      <c r="N15" s="358"/>
      <c r="O15" s="358">
        <f t="shared" si="1"/>
        <v>1306600</v>
      </c>
      <c r="P15" s="385">
        <v>4100000</v>
      </c>
      <c r="Q15" s="358">
        <f t="shared" si="2"/>
        <v>2793400</v>
      </c>
      <c r="R15" s="195"/>
      <c r="S15" s="195"/>
    </row>
    <row r="16" spans="1:19" ht="20.100000000000001" customHeight="1" x14ac:dyDescent="0.25">
      <c r="A16" s="350">
        <v>9</v>
      </c>
      <c r="B16" s="365">
        <v>44449</v>
      </c>
      <c r="C16" s="366" t="s">
        <v>2028</v>
      </c>
      <c r="D16" s="367" t="s">
        <v>3947</v>
      </c>
      <c r="E16" s="354" t="s">
        <v>3966</v>
      </c>
      <c r="F16" s="368"/>
      <c r="G16" s="369">
        <v>96</v>
      </c>
      <c r="H16" s="369">
        <f>G16*16020</f>
        <v>1537920</v>
      </c>
      <c r="I16" s="370"/>
      <c r="J16" s="414">
        <v>1150000</v>
      </c>
      <c r="K16" s="371"/>
      <c r="L16" s="372"/>
      <c r="M16" s="358"/>
      <c r="N16" s="358"/>
      <c r="O16" s="358">
        <f t="shared" si="1"/>
        <v>2687920</v>
      </c>
      <c r="P16" s="385">
        <v>3800000</v>
      </c>
      <c r="Q16" s="358">
        <f t="shared" si="2"/>
        <v>1112080</v>
      </c>
      <c r="R16" s="195"/>
      <c r="S16" s="195"/>
    </row>
    <row r="17" spans="1:19" ht="20.100000000000001" customHeight="1" x14ac:dyDescent="0.25">
      <c r="A17" s="350">
        <v>10</v>
      </c>
      <c r="B17" s="365">
        <v>44452</v>
      </c>
      <c r="C17" s="366" t="s">
        <v>1347</v>
      </c>
      <c r="D17" s="367" t="s">
        <v>3948</v>
      </c>
      <c r="E17" s="354" t="s">
        <v>3967</v>
      </c>
      <c r="F17" s="368"/>
      <c r="G17" s="369">
        <v>111</v>
      </c>
      <c r="H17" s="369">
        <f t="shared" ref="H17:H27" si="3">G17*16020</f>
        <v>1778220</v>
      </c>
      <c r="I17" s="370"/>
      <c r="J17" s="414">
        <v>1720000</v>
      </c>
      <c r="K17" s="371"/>
      <c r="L17" s="372"/>
      <c r="M17" s="358"/>
      <c r="N17" s="358"/>
      <c r="O17" s="358">
        <f t="shared" si="1"/>
        <v>3498220</v>
      </c>
      <c r="P17" s="385">
        <v>9218182</v>
      </c>
      <c r="Q17" s="358">
        <f t="shared" si="2"/>
        <v>5719962</v>
      </c>
      <c r="R17" s="195"/>
      <c r="S17" s="195"/>
    </row>
    <row r="18" spans="1:19" ht="20.100000000000001" customHeight="1" x14ac:dyDescent="0.25">
      <c r="A18" s="350">
        <v>11</v>
      </c>
      <c r="B18" s="365">
        <v>44452</v>
      </c>
      <c r="C18" s="366" t="s">
        <v>3927</v>
      </c>
      <c r="D18" s="367" t="s">
        <v>3949</v>
      </c>
      <c r="E18" s="354" t="s">
        <v>3968</v>
      </c>
      <c r="F18" s="368"/>
      <c r="G18" s="369">
        <v>258</v>
      </c>
      <c r="H18" s="369">
        <f t="shared" si="3"/>
        <v>4133160</v>
      </c>
      <c r="I18" s="370"/>
      <c r="J18" s="414">
        <v>1150000</v>
      </c>
      <c r="K18" s="371"/>
      <c r="L18" s="372"/>
      <c r="M18" s="358"/>
      <c r="N18" s="358"/>
      <c r="O18" s="358">
        <f t="shared" si="1"/>
        <v>5283160</v>
      </c>
      <c r="P18" s="385">
        <v>6863636</v>
      </c>
      <c r="Q18" s="358">
        <f t="shared" si="2"/>
        <v>1580476</v>
      </c>
      <c r="R18" s="195"/>
      <c r="S18" s="195"/>
    </row>
    <row r="19" spans="1:19" ht="20.100000000000001" customHeight="1" x14ac:dyDescent="0.25">
      <c r="A19" s="350">
        <v>12</v>
      </c>
      <c r="B19" s="365">
        <v>44452</v>
      </c>
      <c r="C19" s="366" t="s">
        <v>3928</v>
      </c>
      <c r="D19" s="367" t="s">
        <v>3950</v>
      </c>
      <c r="E19" s="354" t="s">
        <v>850</v>
      </c>
      <c r="F19" s="368"/>
      <c r="G19" s="369">
        <v>158</v>
      </c>
      <c r="H19" s="369">
        <f t="shared" si="3"/>
        <v>2531160</v>
      </c>
      <c r="I19" s="370"/>
      <c r="J19" s="414">
        <v>300000</v>
      </c>
      <c r="K19" s="371"/>
      <c r="L19" s="372"/>
      <c r="M19" s="358"/>
      <c r="N19" s="358"/>
      <c r="O19" s="358">
        <f t="shared" si="1"/>
        <v>2831160</v>
      </c>
      <c r="P19" s="385">
        <v>0</v>
      </c>
      <c r="Q19" s="358">
        <f t="shared" si="2"/>
        <v>-2831160</v>
      </c>
      <c r="R19" s="195"/>
      <c r="S19" s="195"/>
    </row>
    <row r="20" spans="1:19" ht="20.100000000000001" customHeight="1" x14ac:dyDescent="0.25">
      <c r="A20" s="350">
        <v>13</v>
      </c>
      <c r="B20" s="365">
        <v>44453</v>
      </c>
      <c r="C20" s="366" t="s">
        <v>3929</v>
      </c>
      <c r="D20" s="367" t="s">
        <v>3951</v>
      </c>
      <c r="E20" s="354" t="s">
        <v>2117</v>
      </c>
      <c r="F20" s="368"/>
      <c r="G20" s="369">
        <v>138</v>
      </c>
      <c r="H20" s="369">
        <f t="shared" si="3"/>
        <v>2210760</v>
      </c>
      <c r="I20" s="370"/>
      <c r="J20" s="414">
        <v>1400000</v>
      </c>
      <c r="K20" s="371"/>
      <c r="L20" s="372"/>
      <c r="M20" s="358"/>
      <c r="N20" s="358"/>
      <c r="O20" s="358">
        <f t="shared" si="1"/>
        <v>3610760</v>
      </c>
      <c r="P20" s="385">
        <v>6054545</v>
      </c>
      <c r="Q20" s="358">
        <f t="shared" si="2"/>
        <v>2443785</v>
      </c>
      <c r="R20" s="195"/>
      <c r="S20" s="195"/>
    </row>
    <row r="21" spans="1:19" ht="20.100000000000001" customHeight="1" x14ac:dyDescent="0.25">
      <c r="A21" s="350">
        <v>14</v>
      </c>
      <c r="B21" s="365">
        <v>44455</v>
      </c>
      <c r="C21" s="366" t="s">
        <v>3930</v>
      </c>
      <c r="D21" s="367" t="s">
        <v>3952</v>
      </c>
      <c r="E21" s="354" t="s">
        <v>1212</v>
      </c>
      <c r="F21" s="368"/>
      <c r="G21" s="369">
        <v>240</v>
      </c>
      <c r="H21" s="369">
        <f t="shared" si="3"/>
        <v>3844800</v>
      </c>
      <c r="I21" s="370"/>
      <c r="J21" s="414">
        <v>2740000</v>
      </c>
      <c r="K21" s="371"/>
      <c r="L21" s="372"/>
      <c r="M21" s="358"/>
      <c r="N21" s="358"/>
      <c r="O21" s="358">
        <f t="shared" si="1"/>
        <v>6584800</v>
      </c>
      <c r="P21" s="385">
        <v>13031818</v>
      </c>
      <c r="Q21" s="358">
        <f t="shared" si="2"/>
        <v>6447018</v>
      </c>
      <c r="R21" s="195"/>
      <c r="S21" s="195"/>
    </row>
    <row r="22" spans="1:19" ht="20.100000000000001" customHeight="1" x14ac:dyDescent="0.25">
      <c r="A22" s="350">
        <v>15</v>
      </c>
      <c r="B22" s="365">
        <v>44455</v>
      </c>
      <c r="C22" s="366" t="s">
        <v>2706</v>
      </c>
      <c r="D22" s="367" t="s">
        <v>3953</v>
      </c>
      <c r="E22" s="354" t="s">
        <v>24</v>
      </c>
      <c r="F22" s="368"/>
      <c r="G22" s="369">
        <v>180</v>
      </c>
      <c r="H22" s="369">
        <f t="shared" si="3"/>
        <v>2883600</v>
      </c>
      <c r="I22" s="370"/>
      <c r="J22" s="414">
        <v>1890000</v>
      </c>
      <c r="K22" s="371"/>
      <c r="L22" s="372"/>
      <c r="M22" s="358"/>
      <c r="N22" s="358"/>
      <c r="O22" s="358">
        <f t="shared" si="1"/>
        <v>4773600</v>
      </c>
      <c r="P22" s="385">
        <v>7663636</v>
      </c>
      <c r="Q22" s="358">
        <f t="shared" si="2"/>
        <v>2890036</v>
      </c>
      <c r="R22" s="195"/>
      <c r="S22" s="195"/>
    </row>
    <row r="23" spans="1:19" ht="20.100000000000001" customHeight="1" x14ac:dyDescent="0.25">
      <c r="A23" s="350">
        <v>16</v>
      </c>
      <c r="B23" s="365">
        <v>44456</v>
      </c>
      <c r="C23" s="366" t="s">
        <v>3931</v>
      </c>
      <c r="D23" s="367" t="s">
        <v>3954</v>
      </c>
      <c r="E23" s="354" t="s">
        <v>30</v>
      </c>
      <c r="F23" s="368"/>
      <c r="G23" s="369">
        <v>111</v>
      </c>
      <c r="H23" s="369">
        <f t="shared" si="3"/>
        <v>1778220</v>
      </c>
      <c r="I23" s="370"/>
      <c r="J23" s="414">
        <v>790000</v>
      </c>
      <c r="K23" s="371"/>
      <c r="L23" s="372"/>
      <c r="M23" s="358"/>
      <c r="N23" s="358"/>
      <c r="O23" s="358">
        <f t="shared" si="1"/>
        <v>2568220</v>
      </c>
      <c r="P23" s="385">
        <v>3800000</v>
      </c>
      <c r="Q23" s="358">
        <f t="shared" si="2"/>
        <v>1231780</v>
      </c>
      <c r="R23" s="195"/>
      <c r="S23" s="195"/>
    </row>
    <row r="24" spans="1:19" ht="20.100000000000001" customHeight="1" x14ac:dyDescent="0.25">
      <c r="A24" s="350">
        <v>17</v>
      </c>
      <c r="B24" s="365">
        <v>44459</v>
      </c>
      <c r="C24" s="366" t="s">
        <v>3932</v>
      </c>
      <c r="D24" s="367" t="s">
        <v>3955</v>
      </c>
      <c r="E24" s="354" t="s">
        <v>3969</v>
      </c>
      <c r="F24" s="368"/>
      <c r="G24" s="369">
        <v>62</v>
      </c>
      <c r="H24" s="369">
        <f t="shared" si="3"/>
        <v>993240</v>
      </c>
      <c r="I24" s="370"/>
      <c r="J24" s="414">
        <v>790000</v>
      </c>
      <c r="K24" s="371"/>
      <c r="L24" s="372"/>
      <c r="M24" s="358"/>
      <c r="N24" s="358"/>
      <c r="O24" s="358">
        <f t="shared" si="1"/>
        <v>1783240</v>
      </c>
      <c r="P24" s="385">
        <v>2954545</v>
      </c>
      <c r="Q24" s="358">
        <f t="shared" si="2"/>
        <v>1171305</v>
      </c>
      <c r="R24" s="195"/>
      <c r="S24" s="195"/>
    </row>
    <row r="25" spans="1:19" ht="20.100000000000001" customHeight="1" x14ac:dyDescent="0.25">
      <c r="A25" s="350">
        <v>18</v>
      </c>
      <c r="B25" s="365">
        <v>44459</v>
      </c>
      <c r="C25" s="366" t="s">
        <v>3933</v>
      </c>
      <c r="D25" s="367" t="s">
        <v>3956</v>
      </c>
      <c r="E25" s="354" t="s">
        <v>558</v>
      </c>
      <c r="F25" s="368"/>
      <c r="G25" s="369">
        <v>100</v>
      </c>
      <c r="H25" s="369">
        <f t="shared" si="3"/>
        <v>1602000</v>
      </c>
      <c r="I25" s="370"/>
      <c r="J25" s="414">
        <v>790000</v>
      </c>
      <c r="K25" s="371"/>
      <c r="L25" s="372"/>
      <c r="M25" s="358"/>
      <c r="N25" s="358"/>
      <c r="O25" s="358">
        <f t="shared" si="1"/>
        <v>2392000</v>
      </c>
      <c r="P25" s="385">
        <v>3700000</v>
      </c>
      <c r="Q25" s="358">
        <f t="shared" si="2"/>
        <v>1308000</v>
      </c>
      <c r="R25" s="195"/>
      <c r="S25" s="195"/>
    </row>
    <row r="26" spans="1:19" ht="20.100000000000001" customHeight="1" x14ac:dyDescent="0.25">
      <c r="A26" s="350">
        <v>19</v>
      </c>
      <c r="B26" s="365">
        <v>44461</v>
      </c>
      <c r="C26" s="366" t="s">
        <v>3934</v>
      </c>
      <c r="D26" s="367" t="s">
        <v>3957</v>
      </c>
      <c r="E26" s="354" t="s">
        <v>88</v>
      </c>
      <c r="F26" s="368"/>
      <c r="G26" s="369">
        <v>102</v>
      </c>
      <c r="H26" s="369">
        <f t="shared" si="3"/>
        <v>1634040</v>
      </c>
      <c r="I26" s="370"/>
      <c r="J26" s="414">
        <v>790000</v>
      </c>
      <c r="K26" s="371"/>
      <c r="L26" s="372"/>
      <c r="M26" s="358"/>
      <c r="N26" s="358"/>
      <c r="O26" s="358">
        <f t="shared" si="1"/>
        <v>2424040</v>
      </c>
      <c r="P26" s="385">
        <v>3600000</v>
      </c>
      <c r="Q26" s="358">
        <f t="shared" si="2"/>
        <v>1175960</v>
      </c>
      <c r="R26" s="195"/>
      <c r="S26" s="195"/>
    </row>
    <row r="27" spans="1:19" ht="20.100000000000001" customHeight="1" x14ac:dyDescent="0.25">
      <c r="A27" s="350">
        <v>20</v>
      </c>
      <c r="B27" s="365">
        <v>44461</v>
      </c>
      <c r="C27" s="366" t="s">
        <v>3935</v>
      </c>
      <c r="D27" s="367" t="s">
        <v>3958</v>
      </c>
      <c r="E27" s="354" t="s">
        <v>1212</v>
      </c>
      <c r="F27" s="368"/>
      <c r="G27" s="369">
        <v>255</v>
      </c>
      <c r="H27" s="369">
        <f t="shared" si="3"/>
        <v>4085100</v>
      </c>
      <c r="I27" s="370"/>
      <c r="J27" s="414">
        <v>2740000</v>
      </c>
      <c r="K27" s="371"/>
      <c r="L27" s="372"/>
      <c r="M27" s="358"/>
      <c r="N27" s="358"/>
      <c r="O27" s="358">
        <f t="shared" si="1"/>
        <v>6825100</v>
      </c>
      <c r="P27" s="385">
        <v>13940909</v>
      </c>
      <c r="Q27" s="358">
        <f t="shared" si="2"/>
        <v>7115809</v>
      </c>
      <c r="R27" s="195"/>
      <c r="S27" s="195"/>
    </row>
    <row r="28" spans="1:19" ht="20.100000000000001" customHeight="1" x14ac:dyDescent="0.25">
      <c r="A28" s="350">
        <v>21</v>
      </c>
      <c r="B28" s="365">
        <v>44462</v>
      </c>
      <c r="C28" s="366" t="s">
        <v>3936</v>
      </c>
      <c r="D28" s="367" t="s">
        <v>3959</v>
      </c>
      <c r="E28" s="354" t="s">
        <v>3970</v>
      </c>
      <c r="F28" s="368"/>
      <c r="G28" s="369">
        <v>121</v>
      </c>
      <c r="H28" s="369">
        <f>G28*16580</f>
        <v>2006180</v>
      </c>
      <c r="I28" s="370"/>
      <c r="J28" s="414">
        <v>1150000</v>
      </c>
      <c r="K28" s="371"/>
      <c r="L28" s="372"/>
      <c r="M28" s="358"/>
      <c r="N28" s="358"/>
      <c r="O28" s="358">
        <f t="shared" si="1"/>
        <v>3156180</v>
      </c>
      <c r="P28" s="385">
        <v>4300000</v>
      </c>
      <c r="Q28" s="358">
        <f t="shared" si="2"/>
        <v>1143820</v>
      </c>
      <c r="R28" s="195"/>
      <c r="S28" s="195"/>
    </row>
    <row r="29" spans="1:19" ht="20.100000000000001" customHeight="1" x14ac:dyDescent="0.25">
      <c r="A29" s="350">
        <v>22</v>
      </c>
      <c r="B29" s="365">
        <v>44463</v>
      </c>
      <c r="C29" s="366" t="s">
        <v>3290</v>
      </c>
      <c r="D29" s="367" t="s">
        <v>3960</v>
      </c>
      <c r="E29" s="354" t="s">
        <v>636</v>
      </c>
      <c r="F29" s="368"/>
      <c r="G29" s="369">
        <v>78</v>
      </c>
      <c r="H29" s="369">
        <f t="shared" ref="H29:H33" si="4">G29*16580</f>
        <v>1293240</v>
      </c>
      <c r="I29" s="370"/>
      <c r="J29" s="414">
        <v>790000</v>
      </c>
      <c r="K29" s="371"/>
      <c r="L29" s="372"/>
      <c r="M29" s="358"/>
      <c r="N29" s="358"/>
      <c r="O29" s="358">
        <f t="shared" si="1"/>
        <v>2083240</v>
      </c>
      <c r="P29" s="385">
        <v>3300000</v>
      </c>
      <c r="Q29" s="358">
        <f t="shared" si="2"/>
        <v>1216760</v>
      </c>
      <c r="R29" s="195"/>
      <c r="S29" s="195"/>
    </row>
    <row r="30" spans="1:19" ht="20.100000000000001" customHeight="1" x14ac:dyDescent="0.25">
      <c r="A30" s="350">
        <v>23</v>
      </c>
      <c r="B30" s="365">
        <v>44467</v>
      </c>
      <c r="C30" s="366" t="s">
        <v>1369</v>
      </c>
      <c r="D30" s="367" t="s">
        <v>3961</v>
      </c>
      <c r="E30" s="354" t="s">
        <v>24</v>
      </c>
      <c r="F30" s="368"/>
      <c r="G30" s="369">
        <v>180</v>
      </c>
      <c r="H30" s="369">
        <f t="shared" si="4"/>
        <v>2984400</v>
      </c>
      <c r="I30" s="370"/>
      <c r="J30" s="414">
        <v>1890000</v>
      </c>
      <c r="K30" s="371"/>
      <c r="L30" s="372"/>
      <c r="M30" s="358"/>
      <c r="N30" s="358"/>
      <c r="O30" s="358">
        <f t="shared" si="1"/>
        <v>4874400</v>
      </c>
      <c r="P30" s="385">
        <v>7663636</v>
      </c>
      <c r="Q30" s="358">
        <f t="shared" si="2"/>
        <v>2789236</v>
      </c>
      <c r="R30" s="195"/>
      <c r="S30" s="195"/>
    </row>
    <row r="31" spans="1:19" ht="20.100000000000001" customHeight="1" x14ac:dyDescent="0.25">
      <c r="A31" s="350">
        <v>24</v>
      </c>
      <c r="B31" s="365">
        <v>44467</v>
      </c>
      <c r="C31" s="366" t="s">
        <v>3937</v>
      </c>
      <c r="D31" s="367" t="s">
        <v>3962</v>
      </c>
      <c r="E31" s="354" t="s">
        <v>88</v>
      </c>
      <c r="F31" s="368"/>
      <c r="G31" s="369">
        <v>100</v>
      </c>
      <c r="H31" s="369">
        <f t="shared" si="4"/>
        <v>1658000</v>
      </c>
      <c r="I31" s="370"/>
      <c r="J31" s="414">
        <v>790000</v>
      </c>
      <c r="K31" s="371"/>
      <c r="L31" s="372"/>
      <c r="M31" s="358"/>
      <c r="N31" s="358"/>
      <c r="O31" s="358">
        <f t="shared" si="1"/>
        <v>2448000</v>
      </c>
      <c r="P31" s="385">
        <v>3600000</v>
      </c>
      <c r="Q31" s="358">
        <f t="shared" si="2"/>
        <v>1152000</v>
      </c>
      <c r="R31" s="195"/>
      <c r="S31" s="195"/>
    </row>
    <row r="32" spans="1:19" ht="20.100000000000001" customHeight="1" x14ac:dyDescent="0.25">
      <c r="A32" s="350">
        <v>25</v>
      </c>
      <c r="B32" s="365">
        <v>44467</v>
      </c>
      <c r="C32" s="366" t="s">
        <v>3293</v>
      </c>
      <c r="D32" s="367" t="s">
        <v>3963</v>
      </c>
      <c r="E32" s="354" t="s">
        <v>21</v>
      </c>
      <c r="F32" s="368"/>
      <c r="G32" s="369">
        <v>249</v>
      </c>
      <c r="H32" s="369">
        <f t="shared" si="4"/>
        <v>4128420</v>
      </c>
      <c r="I32" s="370"/>
      <c r="J32" s="414">
        <v>2740000</v>
      </c>
      <c r="K32" s="371"/>
      <c r="L32" s="372"/>
      <c r="M32" s="358"/>
      <c r="N32" s="358"/>
      <c r="O32" s="358">
        <f t="shared" si="1"/>
        <v>6868420</v>
      </c>
      <c r="P32" s="385">
        <v>12572727</v>
      </c>
      <c r="Q32" s="358">
        <f t="shared" si="2"/>
        <v>5704307</v>
      </c>
      <c r="R32" s="195"/>
      <c r="S32" s="195"/>
    </row>
    <row r="33" spans="1:19" ht="20.100000000000001" customHeight="1" x14ac:dyDescent="0.25">
      <c r="A33" s="350">
        <v>26</v>
      </c>
      <c r="B33" s="365">
        <v>44468</v>
      </c>
      <c r="C33" s="366" t="s">
        <v>3938</v>
      </c>
      <c r="D33" s="367" t="s">
        <v>3964</v>
      </c>
      <c r="E33" s="354" t="s">
        <v>3971</v>
      </c>
      <c r="F33" s="368"/>
      <c r="G33" s="369">
        <v>86</v>
      </c>
      <c r="H33" s="369">
        <f t="shared" si="4"/>
        <v>1425880</v>
      </c>
      <c r="I33" s="370"/>
      <c r="J33" s="414">
        <v>1150000</v>
      </c>
      <c r="K33" s="371"/>
      <c r="L33" s="372"/>
      <c r="M33" s="358"/>
      <c r="N33" s="358"/>
      <c r="O33" s="358">
        <f t="shared" si="1"/>
        <v>2575880</v>
      </c>
      <c r="P33" s="385">
        <v>3700000</v>
      </c>
      <c r="Q33" s="358">
        <f t="shared" si="2"/>
        <v>1124120</v>
      </c>
      <c r="R33" s="195"/>
      <c r="S33" s="195"/>
    </row>
    <row r="34" spans="1:19" ht="27" customHeight="1" x14ac:dyDescent="0.25">
      <c r="A34" s="374"/>
      <c r="B34" s="379"/>
      <c r="C34" s="594" t="s">
        <v>1273</v>
      </c>
      <c r="D34" s="595"/>
      <c r="E34" s="596"/>
      <c r="F34" s="380"/>
      <c r="G34" s="358"/>
      <c r="H34" s="369"/>
      <c r="I34" s="403"/>
      <c r="J34" s="381"/>
      <c r="K34" s="435">
        <v>1200000</v>
      </c>
      <c r="L34" s="372"/>
      <c r="M34" s="381"/>
      <c r="N34" s="384"/>
      <c r="O34" s="362">
        <f>H34+J34+K34+L34+M34+N34</f>
        <v>1200000</v>
      </c>
      <c r="P34" s="385"/>
      <c r="Q34" s="378"/>
    </row>
    <row r="35" spans="1:19" ht="27" customHeight="1" x14ac:dyDescent="0.25">
      <c r="A35" s="386"/>
      <c r="B35" s="379"/>
      <c r="C35" s="594" t="s">
        <v>3972</v>
      </c>
      <c r="D35" s="595"/>
      <c r="E35" s="596"/>
      <c r="F35" s="380"/>
      <c r="G35" s="381"/>
      <c r="H35" s="369"/>
      <c r="I35" s="403"/>
      <c r="J35" s="381"/>
      <c r="K35" s="439">
        <v>300000</v>
      </c>
      <c r="L35" s="388"/>
      <c r="M35" s="388"/>
      <c r="N35" s="384"/>
      <c r="O35" s="362">
        <f t="shared" ref="O35:O58" si="5">H35+J35+K35+L35+M35+N35</f>
        <v>300000</v>
      </c>
      <c r="P35" s="389"/>
      <c r="Q35" s="378"/>
    </row>
    <row r="36" spans="1:19" ht="27" customHeight="1" x14ac:dyDescent="0.25">
      <c r="A36" s="386"/>
      <c r="B36" s="379"/>
      <c r="C36" s="594" t="s">
        <v>3973</v>
      </c>
      <c r="D36" s="595"/>
      <c r="E36" s="596"/>
      <c r="F36" s="380"/>
      <c r="G36" s="381"/>
      <c r="H36" s="369"/>
      <c r="I36" s="403"/>
      <c r="J36" s="381"/>
      <c r="K36" s="439">
        <v>208000</v>
      </c>
      <c r="L36" s="388"/>
      <c r="M36" s="388"/>
      <c r="N36" s="384"/>
      <c r="O36" s="362">
        <f t="shared" si="5"/>
        <v>208000</v>
      </c>
      <c r="P36" s="389"/>
      <c r="Q36" s="378"/>
    </row>
    <row r="37" spans="1:19" ht="27" customHeight="1" x14ac:dyDescent="0.25">
      <c r="A37" s="386"/>
      <c r="B37" s="379"/>
      <c r="C37" s="594" t="s">
        <v>3974</v>
      </c>
      <c r="D37" s="595"/>
      <c r="E37" s="596"/>
      <c r="F37" s="380"/>
      <c r="G37" s="381"/>
      <c r="H37" s="369"/>
      <c r="I37" s="403"/>
      <c r="J37" s="381"/>
      <c r="K37" s="394"/>
      <c r="L37" s="437">
        <v>400000</v>
      </c>
      <c r="M37" s="388"/>
      <c r="N37" s="384"/>
      <c r="O37" s="362">
        <f t="shared" si="5"/>
        <v>400000</v>
      </c>
      <c r="P37" s="389"/>
      <c r="Q37" s="378"/>
    </row>
    <row r="38" spans="1:19" ht="27" customHeight="1" x14ac:dyDescent="0.25">
      <c r="A38" s="386"/>
      <c r="B38" s="379"/>
      <c r="C38" s="594" t="s">
        <v>3975</v>
      </c>
      <c r="D38" s="595"/>
      <c r="E38" s="596"/>
      <c r="F38" s="402"/>
      <c r="G38" s="381"/>
      <c r="H38" s="369"/>
      <c r="I38" s="403"/>
      <c r="J38" s="381"/>
      <c r="K38" s="439">
        <v>208000</v>
      </c>
      <c r="L38" s="388"/>
      <c r="M38" s="372"/>
      <c r="N38" s="381"/>
      <c r="O38" s="362">
        <f t="shared" si="5"/>
        <v>208000</v>
      </c>
      <c r="P38" s="389"/>
      <c r="Q38" s="378"/>
    </row>
    <row r="39" spans="1:19" ht="27" customHeight="1" x14ac:dyDescent="0.25">
      <c r="A39" s="386"/>
      <c r="B39" s="379"/>
      <c r="C39" s="594" t="s">
        <v>3976</v>
      </c>
      <c r="D39" s="595"/>
      <c r="E39" s="596"/>
      <c r="F39" s="402"/>
      <c r="G39" s="381"/>
      <c r="H39" s="369"/>
      <c r="I39" s="403"/>
      <c r="J39" s="381"/>
      <c r="K39" s="439">
        <v>163000</v>
      </c>
      <c r="L39" s="388"/>
      <c r="M39" s="388"/>
      <c r="N39" s="381"/>
      <c r="O39" s="362">
        <f t="shared" si="5"/>
        <v>163000</v>
      </c>
      <c r="P39" s="389"/>
      <c r="Q39" s="378"/>
    </row>
    <row r="40" spans="1:19" ht="27" customHeight="1" x14ac:dyDescent="0.25">
      <c r="A40" s="386"/>
      <c r="B40" s="379"/>
      <c r="C40" s="594" t="s">
        <v>3977</v>
      </c>
      <c r="D40" s="595"/>
      <c r="E40" s="596"/>
      <c r="F40" s="402"/>
      <c r="G40" s="381"/>
      <c r="H40" s="369"/>
      <c r="I40" s="403"/>
      <c r="J40" s="381"/>
      <c r="K40" s="439">
        <v>163000</v>
      </c>
      <c r="L40" s="388"/>
      <c r="M40" s="388"/>
      <c r="N40" s="381"/>
      <c r="O40" s="362">
        <f t="shared" si="5"/>
        <v>163000</v>
      </c>
      <c r="P40" s="389"/>
      <c r="Q40" s="378"/>
    </row>
    <row r="41" spans="1:19" ht="27" customHeight="1" x14ac:dyDescent="0.25">
      <c r="A41" s="386"/>
      <c r="B41" s="379"/>
      <c r="C41" s="594" t="s">
        <v>3978</v>
      </c>
      <c r="D41" s="595"/>
      <c r="E41" s="596"/>
      <c r="F41" s="402"/>
      <c r="G41" s="381"/>
      <c r="H41" s="369"/>
      <c r="I41" s="403"/>
      <c r="J41" s="381"/>
      <c r="K41" s="439">
        <v>208000</v>
      </c>
      <c r="L41" s="388"/>
      <c r="M41" s="388"/>
      <c r="N41" s="381"/>
      <c r="O41" s="362">
        <f t="shared" si="5"/>
        <v>208000</v>
      </c>
      <c r="P41" s="389"/>
      <c r="Q41" s="378"/>
    </row>
    <row r="42" spans="1:19" ht="27" customHeight="1" x14ac:dyDescent="0.25">
      <c r="A42" s="386"/>
      <c r="B42" s="379"/>
      <c r="C42" s="600" t="s">
        <v>3994</v>
      </c>
      <c r="D42" s="601"/>
      <c r="E42" s="602"/>
      <c r="F42" s="402"/>
      <c r="G42" s="381"/>
      <c r="H42" s="369"/>
      <c r="I42" s="403"/>
      <c r="J42" s="381"/>
      <c r="K42" s="394"/>
      <c r="L42" s="388"/>
      <c r="M42" s="437">
        <v>11200000</v>
      </c>
      <c r="N42" s="381"/>
      <c r="O42" s="362">
        <f t="shared" si="5"/>
        <v>11200000</v>
      </c>
      <c r="P42" s="389"/>
      <c r="Q42" s="378"/>
    </row>
    <row r="43" spans="1:19" ht="27" customHeight="1" x14ac:dyDescent="0.25">
      <c r="A43" s="386"/>
      <c r="B43" s="379"/>
      <c r="C43" s="594" t="s">
        <v>3979</v>
      </c>
      <c r="D43" s="595"/>
      <c r="E43" s="596"/>
      <c r="F43" s="402"/>
      <c r="G43" s="381"/>
      <c r="H43" s="369"/>
      <c r="I43" s="403"/>
      <c r="J43" s="381"/>
      <c r="K43" s="439">
        <v>163000</v>
      </c>
      <c r="L43" s="388"/>
      <c r="M43" s="388"/>
      <c r="N43" s="381"/>
      <c r="O43" s="362">
        <f t="shared" si="5"/>
        <v>163000</v>
      </c>
      <c r="P43" s="389"/>
      <c r="Q43" s="378"/>
    </row>
    <row r="44" spans="1:19" ht="27" customHeight="1" x14ac:dyDescent="0.25">
      <c r="A44" s="386"/>
      <c r="B44" s="379"/>
      <c r="C44" s="594" t="s">
        <v>3980</v>
      </c>
      <c r="D44" s="595"/>
      <c r="E44" s="596"/>
      <c r="F44" s="402"/>
      <c r="G44" s="381"/>
      <c r="H44" s="369"/>
      <c r="I44" s="403"/>
      <c r="J44" s="381"/>
      <c r="K44" s="394"/>
      <c r="L44" s="437">
        <v>100000</v>
      </c>
      <c r="M44" s="388"/>
      <c r="N44" s="381"/>
      <c r="O44" s="362">
        <f t="shared" si="5"/>
        <v>100000</v>
      </c>
      <c r="P44" s="389"/>
      <c r="Q44" s="378"/>
    </row>
    <row r="45" spans="1:19" ht="27" customHeight="1" x14ac:dyDescent="0.25">
      <c r="A45" s="386"/>
      <c r="B45" s="379"/>
      <c r="C45" s="594" t="s">
        <v>3981</v>
      </c>
      <c r="D45" s="595"/>
      <c r="E45" s="596"/>
      <c r="F45" s="402"/>
      <c r="G45" s="381"/>
      <c r="H45" s="369"/>
      <c r="I45" s="403"/>
      <c r="J45" s="381"/>
      <c r="K45" s="394"/>
      <c r="L45" s="437">
        <v>500000</v>
      </c>
      <c r="M45" s="388"/>
      <c r="N45" s="381"/>
      <c r="O45" s="362">
        <f t="shared" si="5"/>
        <v>500000</v>
      </c>
      <c r="P45" s="389"/>
      <c r="Q45" s="378"/>
    </row>
    <row r="46" spans="1:19" ht="27" customHeight="1" x14ac:dyDescent="0.25">
      <c r="A46" s="386"/>
      <c r="B46" s="379"/>
      <c r="C46" s="603" t="s">
        <v>3982</v>
      </c>
      <c r="D46" s="604"/>
      <c r="E46" s="605"/>
      <c r="F46" s="402"/>
      <c r="G46" s="381"/>
      <c r="H46" s="369"/>
      <c r="I46" s="403"/>
      <c r="J46" s="381"/>
      <c r="K46" s="394"/>
      <c r="L46" s="437">
        <v>40000</v>
      </c>
      <c r="M46" s="388"/>
      <c r="N46" s="381"/>
      <c r="O46" s="362">
        <f t="shared" si="5"/>
        <v>40000</v>
      </c>
      <c r="P46" s="389"/>
      <c r="Q46" s="378"/>
    </row>
    <row r="47" spans="1:19" ht="27" customHeight="1" x14ac:dyDescent="0.25">
      <c r="A47" s="386"/>
      <c r="B47" s="379"/>
      <c r="C47" s="594" t="s">
        <v>3983</v>
      </c>
      <c r="D47" s="595"/>
      <c r="E47" s="596"/>
      <c r="F47" s="402"/>
      <c r="G47" s="381"/>
      <c r="H47" s="369"/>
      <c r="I47" s="403"/>
      <c r="J47" s="381"/>
      <c r="K47" s="394"/>
      <c r="L47" s="388"/>
      <c r="M47" s="388"/>
      <c r="N47" s="436">
        <v>1295000</v>
      </c>
      <c r="O47" s="362">
        <f t="shared" si="5"/>
        <v>1295000</v>
      </c>
      <c r="P47" s="389"/>
      <c r="Q47" s="378"/>
    </row>
    <row r="48" spans="1:19" ht="27" customHeight="1" x14ac:dyDescent="0.25">
      <c r="A48" s="386"/>
      <c r="B48" s="379"/>
      <c r="C48" s="600" t="s">
        <v>3995</v>
      </c>
      <c r="D48" s="601"/>
      <c r="E48" s="602"/>
      <c r="F48" s="408"/>
      <c r="G48" s="409"/>
      <c r="H48" s="398"/>
      <c r="I48" s="410"/>
      <c r="J48" s="409"/>
      <c r="K48" s="440"/>
      <c r="L48" s="412"/>
      <c r="M48" s="412"/>
      <c r="N48" s="409">
        <f>13000000/4</f>
        <v>3250000</v>
      </c>
      <c r="O48" s="362">
        <f t="shared" si="5"/>
        <v>3250000</v>
      </c>
      <c r="P48" s="389"/>
      <c r="Q48" s="378"/>
    </row>
    <row r="49" spans="1:18" ht="27" customHeight="1" x14ac:dyDescent="0.25">
      <c r="A49" s="386"/>
      <c r="B49" s="379"/>
      <c r="C49" s="603" t="s">
        <v>3984</v>
      </c>
      <c r="D49" s="604"/>
      <c r="E49" s="605"/>
      <c r="F49" s="402"/>
      <c r="G49" s="381"/>
      <c r="H49" s="369"/>
      <c r="I49" s="403"/>
      <c r="J49" s="381"/>
      <c r="K49" s="439">
        <v>163000</v>
      </c>
      <c r="L49" s="388"/>
      <c r="M49" s="388"/>
      <c r="N49" s="381"/>
      <c r="O49" s="362">
        <f t="shared" si="5"/>
        <v>163000</v>
      </c>
      <c r="P49" s="389"/>
      <c r="Q49" s="378"/>
    </row>
    <row r="50" spans="1:18" ht="27" customHeight="1" x14ac:dyDescent="0.25">
      <c r="A50" s="386"/>
      <c r="B50" s="379"/>
      <c r="C50" s="594" t="s">
        <v>3985</v>
      </c>
      <c r="D50" s="595"/>
      <c r="E50" s="596"/>
      <c r="F50" s="402"/>
      <c r="G50" s="381"/>
      <c r="H50" s="369"/>
      <c r="I50" s="403"/>
      <c r="J50" s="381"/>
      <c r="K50" s="439">
        <v>200000</v>
      </c>
      <c r="L50" s="388"/>
      <c r="M50" s="388"/>
      <c r="N50" s="381"/>
      <c r="O50" s="362">
        <f t="shared" si="5"/>
        <v>200000</v>
      </c>
      <c r="P50" s="389"/>
      <c r="Q50" s="378"/>
    </row>
    <row r="51" spans="1:18" ht="27" customHeight="1" x14ac:dyDescent="0.25">
      <c r="A51" s="386"/>
      <c r="B51" s="379"/>
      <c r="C51" s="594" t="s">
        <v>3985</v>
      </c>
      <c r="D51" s="595"/>
      <c r="E51" s="596"/>
      <c r="F51" s="402"/>
      <c r="G51" s="381"/>
      <c r="H51" s="369"/>
      <c r="I51" s="403"/>
      <c r="J51" s="381"/>
      <c r="K51" s="439">
        <v>238000</v>
      </c>
      <c r="L51" s="388"/>
      <c r="M51" s="388"/>
      <c r="N51" s="381"/>
      <c r="O51" s="362">
        <f t="shared" si="5"/>
        <v>238000</v>
      </c>
      <c r="P51" s="389"/>
      <c r="Q51" s="378"/>
    </row>
    <row r="52" spans="1:18" ht="27" customHeight="1" x14ac:dyDescent="0.25">
      <c r="A52" s="386"/>
      <c r="B52" s="379"/>
      <c r="C52" s="594" t="s">
        <v>3986</v>
      </c>
      <c r="D52" s="595"/>
      <c r="E52" s="596"/>
      <c r="F52" s="402"/>
      <c r="G52" s="381"/>
      <c r="H52" s="369"/>
      <c r="I52" s="403"/>
      <c r="J52" s="381"/>
      <c r="K52" s="439">
        <v>163000</v>
      </c>
      <c r="L52" s="388"/>
      <c r="M52" s="388"/>
      <c r="N52" s="381"/>
      <c r="O52" s="362">
        <f t="shared" si="5"/>
        <v>163000</v>
      </c>
      <c r="P52" s="389"/>
      <c r="Q52" s="378"/>
    </row>
    <row r="53" spans="1:18" ht="27" customHeight="1" x14ac:dyDescent="0.25">
      <c r="A53" s="386"/>
      <c r="B53" s="379"/>
      <c r="C53" s="594" t="s">
        <v>3987</v>
      </c>
      <c r="D53" s="595"/>
      <c r="E53" s="596"/>
      <c r="F53" s="402"/>
      <c r="G53" s="381"/>
      <c r="H53" s="369"/>
      <c r="I53" s="403"/>
      <c r="J53" s="381"/>
      <c r="K53" s="439">
        <v>163000</v>
      </c>
      <c r="L53" s="388"/>
      <c r="M53" s="388"/>
      <c r="N53" s="381"/>
      <c r="O53" s="362">
        <f t="shared" si="5"/>
        <v>163000</v>
      </c>
      <c r="P53" s="389"/>
      <c r="Q53" s="378"/>
    </row>
    <row r="54" spans="1:18" ht="27" customHeight="1" x14ac:dyDescent="0.25">
      <c r="A54" s="386"/>
      <c r="B54" s="379"/>
      <c r="C54" s="594" t="s">
        <v>3988</v>
      </c>
      <c r="D54" s="595"/>
      <c r="E54" s="596"/>
      <c r="F54" s="402"/>
      <c r="G54" s="381"/>
      <c r="H54" s="369"/>
      <c r="I54" s="403"/>
      <c r="J54" s="381"/>
      <c r="K54" s="439">
        <v>150000</v>
      </c>
      <c r="L54" s="388"/>
      <c r="M54" s="388"/>
      <c r="N54" s="381"/>
      <c r="O54" s="362">
        <f t="shared" si="5"/>
        <v>150000</v>
      </c>
      <c r="P54" s="389"/>
      <c r="Q54" s="378"/>
    </row>
    <row r="55" spans="1:18" ht="27" customHeight="1" x14ac:dyDescent="0.25">
      <c r="A55" s="386"/>
      <c r="B55" s="379"/>
      <c r="C55" s="594" t="s">
        <v>3989</v>
      </c>
      <c r="D55" s="595"/>
      <c r="E55" s="596"/>
      <c r="F55" s="402"/>
      <c r="G55" s="381"/>
      <c r="H55" s="369"/>
      <c r="I55" s="403"/>
      <c r="J55" s="381"/>
      <c r="K55" s="439">
        <v>163000</v>
      </c>
      <c r="L55" s="388"/>
      <c r="M55" s="388"/>
      <c r="N55" s="381"/>
      <c r="O55" s="362">
        <f t="shared" si="5"/>
        <v>163000</v>
      </c>
      <c r="P55" s="389"/>
      <c r="Q55" s="378"/>
    </row>
    <row r="56" spans="1:18" ht="27" customHeight="1" x14ac:dyDescent="0.25">
      <c r="A56" s="386"/>
      <c r="B56" s="379"/>
      <c r="C56" s="594" t="s">
        <v>3990</v>
      </c>
      <c r="D56" s="595"/>
      <c r="E56" s="596"/>
      <c r="F56" s="402"/>
      <c r="G56" s="381"/>
      <c r="H56" s="369"/>
      <c r="I56" s="403"/>
      <c r="J56" s="381"/>
      <c r="K56" s="394"/>
      <c r="L56" s="437">
        <v>200000</v>
      </c>
      <c r="M56" s="388"/>
      <c r="N56" s="381"/>
      <c r="O56" s="362">
        <f t="shared" si="5"/>
        <v>200000</v>
      </c>
      <c r="P56" s="389"/>
      <c r="Q56" s="378"/>
    </row>
    <row r="57" spans="1:18" ht="27" customHeight="1" x14ac:dyDescent="0.25">
      <c r="A57" s="386"/>
      <c r="B57" s="379"/>
      <c r="C57" s="594" t="s">
        <v>3991</v>
      </c>
      <c r="D57" s="595"/>
      <c r="E57" s="596"/>
      <c r="F57" s="402"/>
      <c r="G57" s="381"/>
      <c r="H57" s="369"/>
      <c r="I57" s="403"/>
      <c r="J57" s="381"/>
      <c r="K57" s="394"/>
      <c r="L57" s="437">
        <v>500000</v>
      </c>
      <c r="M57" s="388"/>
      <c r="N57" s="381"/>
      <c r="O57" s="362">
        <f t="shared" si="5"/>
        <v>500000</v>
      </c>
      <c r="P57" s="389"/>
      <c r="Q57" s="378"/>
    </row>
    <row r="58" spans="1:18" ht="18" customHeight="1" x14ac:dyDescent="0.25">
      <c r="A58" s="386"/>
      <c r="B58" s="391"/>
      <c r="C58" s="579" t="s">
        <v>1386</v>
      </c>
      <c r="D58" s="580"/>
      <c r="E58" s="581"/>
      <c r="F58" s="392"/>
      <c r="G58" s="381"/>
      <c r="H58" s="382"/>
      <c r="I58" s="383"/>
      <c r="J58" s="384"/>
      <c r="K58" s="439">
        <v>8000000</v>
      </c>
      <c r="L58" s="394"/>
      <c r="M58" s="384"/>
      <c r="N58" s="384"/>
      <c r="O58" s="362">
        <f t="shared" si="5"/>
        <v>8000000</v>
      </c>
      <c r="P58" s="389"/>
      <c r="Q58" s="378"/>
    </row>
    <row r="59" spans="1:18" x14ac:dyDescent="0.25">
      <c r="A59" s="576" t="s">
        <v>19</v>
      </c>
      <c r="B59" s="577"/>
      <c r="C59" s="577"/>
      <c r="D59" s="577"/>
      <c r="E59" s="577"/>
      <c r="F59" s="578"/>
      <c r="G59" s="427">
        <f>SUM(G8:G58)</f>
        <v>3274</v>
      </c>
      <c r="H59" s="396">
        <f t="shared" ref="H59:P59" si="6">SUM(H7:H58)</f>
        <v>52671680</v>
      </c>
      <c r="I59" s="396">
        <f t="shared" si="6"/>
        <v>0</v>
      </c>
      <c r="J59" s="396">
        <f t="shared" si="6"/>
        <v>33740000</v>
      </c>
      <c r="K59" s="396">
        <f t="shared" si="6"/>
        <v>11853000</v>
      </c>
      <c r="L59" s="396">
        <f t="shared" si="6"/>
        <v>1740000</v>
      </c>
      <c r="M59" s="396">
        <f t="shared" si="6"/>
        <v>11200000</v>
      </c>
      <c r="N59" s="396">
        <f t="shared" si="6"/>
        <v>4545000</v>
      </c>
      <c r="O59" s="396">
        <f t="shared" si="6"/>
        <v>115749680</v>
      </c>
      <c r="P59" s="397">
        <f t="shared" si="6"/>
        <v>148127269</v>
      </c>
      <c r="Q59" s="396">
        <f>P59-O59</f>
        <v>32377589</v>
      </c>
      <c r="R59" s="195"/>
    </row>
    <row r="60" spans="1:18" x14ac:dyDescent="0.25">
      <c r="P60" s="294"/>
      <c r="Q60" s="295"/>
    </row>
    <row r="61" spans="1:18" x14ac:dyDescent="0.25">
      <c r="B61"/>
      <c r="G61"/>
      <c r="H61" s="294"/>
      <c r="P61" s="296" t="s">
        <v>1225</v>
      </c>
      <c r="Q61" s="295">
        <f>'08.2021'!Q59+'09.2021'!Q59</f>
        <v>261698398.69230771</v>
      </c>
    </row>
    <row r="62" spans="1:18" x14ac:dyDescent="0.25">
      <c r="B62"/>
      <c r="G62"/>
      <c r="Q62" s="294"/>
    </row>
    <row r="63" spans="1:18" x14ac:dyDescent="0.25">
      <c r="B63"/>
      <c r="G63"/>
      <c r="R63" s="195"/>
    </row>
  </sheetData>
  <mergeCells count="30">
    <mergeCell ref="C41:E41"/>
    <mergeCell ref="A1:Q1"/>
    <mergeCell ref="A2:Q2"/>
    <mergeCell ref="A3:Q3"/>
    <mergeCell ref="G5:N5"/>
    <mergeCell ref="C34:E34"/>
    <mergeCell ref="C35:E35"/>
    <mergeCell ref="C36:E36"/>
    <mergeCell ref="C37:E37"/>
    <mergeCell ref="C38:E38"/>
    <mergeCell ref="C39:E39"/>
    <mergeCell ref="C40:E40"/>
    <mergeCell ref="C54:E54"/>
    <mergeCell ref="C42:E42"/>
    <mergeCell ref="C43:E43"/>
    <mergeCell ref="C44:E44"/>
    <mergeCell ref="C45:E45"/>
    <mergeCell ref="C46:E46"/>
    <mergeCell ref="C47:E47"/>
    <mergeCell ref="C49:E49"/>
    <mergeCell ref="C50:E50"/>
    <mergeCell ref="C51:E51"/>
    <mergeCell ref="C52:E52"/>
    <mergeCell ref="C53:E53"/>
    <mergeCell ref="C48:E48"/>
    <mergeCell ref="C55:E55"/>
    <mergeCell ref="C58:E58"/>
    <mergeCell ref="A59:F59"/>
    <mergeCell ref="C56:E56"/>
    <mergeCell ref="C57:E57"/>
  </mergeCells>
  <pageMargins left="0.7" right="0.7" top="0.75" bottom="0.75" header="0.3" footer="0.3"/>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DC30E-FDCC-47D3-B3B9-F1905AA3D52B}">
  <dimension ref="A1:S63"/>
  <sheetViews>
    <sheetView topLeftCell="A48" workbookViewId="0">
      <selection activeCell="Q60" sqref="Q60"/>
    </sheetView>
  </sheetViews>
  <sheetFormatPr defaultColWidth="9.140625"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0.28515625" style="292" bestFit="1"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3996</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19"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19" x14ac:dyDescent="0.25">
      <c r="A7" s="75"/>
      <c r="B7" s="100"/>
      <c r="C7" s="88"/>
      <c r="D7" s="88"/>
      <c r="E7" s="134"/>
      <c r="F7" s="75"/>
      <c r="G7" s="264"/>
      <c r="H7" s="264"/>
      <c r="I7" s="264"/>
      <c r="J7" s="264"/>
      <c r="K7" s="264"/>
      <c r="L7" s="308"/>
      <c r="M7" s="264"/>
      <c r="N7" s="264"/>
      <c r="O7" s="265"/>
      <c r="P7" s="265"/>
      <c r="Q7" s="264"/>
    </row>
    <row r="8" spans="1:19" ht="23.25" customHeight="1" x14ac:dyDescent="0.25">
      <c r="A8" s="350">
        <v>1</v>
      </c>
      <c r="B8" s="365">
        <v>44470</v>
      </c>
      <c r="C8" s="366" t="s">
        <v>2734</v>
      </c>
      <c r="D8" s="367" t="s">
        <v>4013</v>
      </c>
      <c r="E8" s="354" t="s">
        <v>24</v>
      </c>
      <c r="F8" s="368"/>
      <c r="G8" s="369">
        <v>180</v>
      </c>
      <c r="H8" s="462">
        <f>G8*16580</f>
        <v>2984400</v>
      </c>
      <c r="I8" s="462"/>
      <c r="J8" s="358">
        <v>1890000</v>
      </c>
      <c r="K8" s="371"/>
      <c r="L8" s="372"/>
      <c r="M8" s="358"/>
      <c r="N8" s="358"/>
      <c r="O8" s="358">
        <f>H8+J8+K8+L8+M8+N8</f>
        <v>4874400</v>
      </c>
      <c r="P8" s="358">
        <v>7663636</v>
      </c>
      <c r="Q8" s="358">
        <f>P8-O8</f>
        <v>2789236</v>
      </c>
      <c r="R8" s="195"/>
      <c r="S8" s="195"/>
    </row>
    <row r="9" spans="1:19" ht="23.25" customHeight="1" x14ac:dyDescent="0.25">
      <c r="A9" s="350">
        <v>2</v>
      </c>
      <c r="B9" s="365">
        <v>44472</v>
      </c>
      <c r="C9" s="366" t="s">
        <v>3997</v>
      </c>
      <c r="D9" s="415" t="s">
        <v>4014</v>
      </c>
      <c r="E9" s="354" t="s">
        <v>1665</v>
      </c>
      <c r="F9" s="368"/>
      <c r="G9" s="369">
        <v>110</v>
      </c>
      <c r="H9" s="469">
        <f t="shared" ref="H9:H17" si="0">G9*16580</f>
        <v>1823800</v>
      </c>
      <c r="I9" s="469"/>
      <c r="J9" s="358">
        <v>1150000</v>
      </c>
      <c r="K9" s="371"/>
      <c r="L9" s="372"/>
      <c r="M9" s="358"/>
      <c r="N9" s="358"/>
      <c r="O9" s="358">
        <f t="shared" ref="O9:O33" si="1">H9+J9+K9+L9+M9+N9</f>
        <v>2973800</v>
      </c>
      <c r="P9" s="385">
        <v>4109091</v>
      </c>
      <c r="Q9" s="358">
        <f t="shared" ref="Q9:Q34" si="2">P9-O9</f>
        <v>1135291</v>
      </c>
      <c r="R9" s="195"/>
      <c r="S9" s="195"/>
    </row>
    <row r="10" spans="1:19" ht="23.25" customHeight="1" x14ac:dyDescent="0.25">
      <c r="A10" s="350">
        <v>3</v>
      </c>
      <c r="B10" s="365">
        <v>44473</v>
      </c>
      <c r="C10" s="366" t="s">
        <v>3998</v>
      </c>
      <c r="D10" s="367" t="s">
        <v>4015</v>
      </c>
      <c r="E10" s="354" t="s">
        <v>24</v>
      </c>
      <c r="F10" s="368"/>
      <c r="G10" s="369">
        <v>180</v>
      </c>
      <c r="H10" s="469">
        <f t="shared" si="0"/>
        <v>2984400</v>
      </c>
      <c r="I10" s="469"/>
      <c r="J10" s="358">
        <f>1890000+300000</f>
        <v>2190000</v>
      </c>
      <c r="K10" s="371"/>
      <c r="L10" s="372"/>
      <c r="M10" s="358"/>
      <c r="N10" s="358"/>
      <c r="O10" s="358">
        <f t="shared" si="1"/>
        <v>5174400</v>
      </c>
      <c r="P10" s="385">
        <v>8572727</v>
      </c>
      <c r="Q10" s="358">
        <f t="shared" si="2"/>
        <v>3398327</v>
      </c>
      <c r="R10" s="195"/>
      <c r="S10" s="195"/>
    </row>
    <row r="11" spans="1:19" ht="23.25" customHeight="1" x14ac:dyDescent="0.25">
      <c r="A11" s="350">
        <v>4</v>
      </c>
      <c r="B11" s="365">
        <v>44474</v>
      </c>
      <c r="C11" s="366" t="s">
        <v>3998</v>
      </c>
      <c r="D11" s="367" t="s">
        <v>4016</v>
      </c>
      <c r="E11" s="354" t="s">
        <v>24</v>
      </c>
      <c r="F11" s="368"/>
      <c r="G11" s="369">
        <v>0</v>
      </c>
      <c r="H11" s="469">
        <f t="shared" si="0"/>
        <v>0</v>
      </c>
      <c r="I11" s="469"/>
      <c r="J11" s="358">
        <v>0</v>
      </c>
      <c r="K11" s="371"/>
      <c r="L11" s="372"/>
      <c r="M11" s="358"/>
      <c r="N11" s="358"/>
      <c r="O11" s="358">
        <f t="shared" si="1"/>
        <v>0</v>
      </c>
      <c r="P11" s="385">
        <v>0</v>
      </c>
      <c r="Q11" s="358">
        <f t="shared" si="2"/>
        <v>0</v>
      </c>
      <c r="R11" s="195"/>
      <c r="S11" s="195"/>
    </row>
    <row r="12" spans="1:19" ht="23.25" customHeight="1" x14ac:dyDescent="0.25">
      <c r="A12" s="350">
        <v>5</v>
      </c>
      <c r="B12" s="365">
        <v>44474</v>
      </c>
      <c r="C12" s="366" t="s">
        <v>3999</v>
      </c>
      <c r="D12" s="367" t="s">
        <v>4017</v>
      </c>
      <c r="E12" s="354" t="s">
        <v>4038</v>
      </c>
      <c r="F12" s="368"/>
      <c r="G12" s="369">
        <v>111</v>
      </c>
      <c r="H12" s="469">
        <f t="shared" si="0"/>
        <v>1840380</v>
      </c>
      <c r="I12" s="469"/>
      <c r="J12" s="358">
        <f>1150000+100000</f>
        <v>1250000</v>
      </c>
      <c r="K12" s="371"/>
      <c r="L12" s="372"/>
      <c r="M12" s="358"/>
      <c r="N12" s="358"/>
      <c r="O12" s="358">
        <f t="shared" si="1"/>
        <v>3090380</v>
      </c>
      <c r="P12" s="385">
        <v>3809091</v>
      </c>
      <c r="Q12" s="358">
        <f t="shared" si="2"/>
        <v>718711</v>
      </c>
      <c r="R12" s="195"/>
      <c r="S12" s="195"/>
    </row>
    <row r="13" spans="1:19" ht="23.25" customHeight="1" x14ac:dyDescent="0.25">
      <c r="A13" s="350">
        <v>6</v>
      </c>
      <c r="B13" s="365">
        <v>44475</v>
      </c>
      <c r="C13" s="366" t="s">
        <v>4000</v>
      </c>
      <c r="D13" s="367" t="s">
        <v>4017</v>
      </c>
      <c r="E13" s="354" t="s">
        <v>3465</v>
      </c>
      <c r="F13" s="368"/>
      <c r="G13" s="369">
        <v>0</v>
      </c>
      <c r="H13" s="469">
        <f t="shared" si="0"/>
        <v>0</v>
      </c>
      <c r="I13" s="469"/>
      <c r="J13" s="426">
        <v>400000</v>
      </c>
      <c r="K13" s="371"/>
      <c r="L13" s="372"/>
      <c r="M13" s="358"/>
      <c r="N13" s="358"/>
      <c r="O13" s="358">
        <f t="shared" si="1"/>
        <v>400000</v>
      </c>
      <c r="P13" s="385">
        <v>2000000</v>
      </c>
      <c r="Q13" s="358">
        <f t="shared" si="2"/>
        <v>1600000</v>
      </c>
      <c r="R13" s="195"/>
      <c r="S13" s="195"/>
    </row>
    <row r="14" spans="1:19" ht="23.25" customHeight="1" x14ac:dyDescent="0.25">
      <c r="A14" s="350">
        <v>7</v>
      </c>
      <c r="B14" s="365">
        <v>44475</v>
      </c>
      <c r="C14" s="366" t="s">
        <v>4001</v>
      </c>
      <c r="D14" s="367" t="s">
        <v>4018</v>
      </c>
      <c r="E14" s="354" t="s">
        <v>24</v>
      </c>
      <c r="F14" s="368"/>
      <c r="G14" s="369">
        <v>180</v>
      </c>
      <c r="H14" s="469">
        <f t="shared" si="0"/>
        <v>2984400</v>
      </c>
      <c r="I14" s="469"/>
      <c r="J14" s="358">
        <v>1890000</v>
      </c>
      <c r="K14" s="371"/>
      <c r="L14" s="372"/>
      <c r="M14" s="358"/>
      <c r="N14" s="358"/>
      <c r="O14" s="358">
        <f t="shared" si="1"/>
        <v>4874400</v>
      </c>
      <c r="P14" s="385">
        <v>7663636</v>
      </c>
      <c r="Q14" s="358">
        <f t="shared" si="2"/>
        <v>2789236</v>
      </c>
      <c r="R14" s="195"/>
      <c r="S14" s="195"/>
    </row>
    <row r="15" spans="1:19" ht="23.25" customHeight="1" x14ac:dyDescent="0.25">
      <c r="A15" s="350">
        <v>8</v>
      </c>
      <c r="B15" s="365">
        <v>44476</v>
      </c>
      <c r="C15" s="366" t="s">
        <v>4002</v>
      </c>
      <c r="D15" s="367" t="s">
        <v>4019</v>
      </c>
      <c r="E15" s="354" t="s">
        <v>636</v>
      </c>
      <c r="F15" s="368"/>
      <c r="G15" s="369">
        <v>67</v>
      </c>
      <c r="H15" s="469">
        <f t="shared" si="0"/>
        <v>1110860</v>
      </c>
      <c r="I15" s="469"/>
      <c r="J15" s="358">
        <v>790000</v>
      </c>
      <c r="K15" s="371"/>
      <c r="L15" s="372"/>
      <c r="M15" s="358"/>
      <c r="N15" s="358"/>
      <c r="O15" s="358">
        <f t="shared" si="1"/>
        <v>1900860</v>
      </c>
      <c r="P15" s="385">
        <v>2900000</v>
      </c>
      <c r="Q15" s="358">
        <f t="shared" si="2"/>
        <v>999140</v>
      </c>
      <c r="R15" s="195"/>
      <c r="S15" s="195"/>
    </row>
    <row r="16" spans="1:19" ht="23.25" customHeight="1" x14ac:dyDescent="0.25">
      <c r="A16" s="350">
        <v>9</v>
      </c>
      <c r="B16" s="365">
        <v>44477</v>
      </c>
      <c r="C16" s="366" t="s">
        <v>4003</v>
      </c>
      <c r="D16" s="367" t="s">
        <v>4020</v>
      </c>
      <c r="E16" s="354" t="s">
        <v>4039</v>
      </c>
      <c r="F16" s="368"/>
      <c r="G16" s="369">
        <v>136</v>
      </c>
      <c r="H16" s="469">
        <f t="shared" si="0"/>
        <v>2254880</v>
      </c>
      <c r="I16" s="469"/>
      <c r="J16" s="358">
        <v>1550000</v>
      </c>
      <c r="K16" s="371"/>
      <c r="L16" s="372"/>
      <c r="M16" s="358"/>
      <c r="N16" s="358"/>
      <c r="O16" s="358">
        <f t="shared" si="1"/>
        <v>3804880</v>
      </c>
      <c r="P16" s="385">
        <v>5709091</v>
      </c>
      <c r="Q16" s="358">
        <f t="shared" si="2"/>
        <v>1904211</v>
      </c>
      <c r="R16" s="195"/>
      <c r="S16" s="195"/>
    </row>
    <row r="17" spans="1:19" ht="23.25" customHeight="1" x14ac:dyDescent="0.25">
      <c r="A17" s="350">
        <v>10</v>
      </c>
      <c r="B17" s="365">
        <v>44480</v>
      </c>
      <c r="C17" s="366" t="s">
        <v>4004</v>
      </c>
      <c r="D17" s="367" t="s">
        <v>4021</v>
      </c>
      <c r="E17" s="354" t="s">
        <v>566</v>
      </c>
      <c r="F17" s="368"/>
      <c r="G17" s="369">
        <v>83</v>
      </c>
      <c r="H17" s="469">
        <f t="shared" si="0"/>
        <v>1376140</v>
      </c>
      <c r="I17" s="469"/>
      <c r="J17" s="358">
        <v>1150000</v>
      </c>
      <c r="K17" s="371"/>
      <c r="L17" s="372"/>
      <c r="M17" s="358"/>
      <c r="N17" s="358"/>
      <c r="O17" s="358">
        <f t="shared" si="1"/>
        <v>2526140</v>
      </c>
      <c r="P17" s="385">
        <v>4109091</v>
      </c>
      <c r="Q17" s="358">
        <f t="shared" si="2"/>
        <v>1582951</v>
      </c>
      <c r="R17" s="195"/>
      <c r="S17" s="195"/>
    </row>
    <row r="18" spans="1:19" ht="23.25" customHeight="1" x14ac:dyDescent="0.25">
      <c r="A18" s="350">
        <v>11</v>
      </c>
      <c r="B18" s="365">
        <v>44480</v>
      </c>
      <c r="C18" s="366" t="s">
        <v>1397</v>
      </c>
      <c r="D18" s="367" t="s">
        <v>4022</v>
      </c>
      <c r="E18" s="354" t="s">
        <v>21</v>
      </c>
      <c r="F18" s="368"/>
      <c r="G18" s="369">
        <v>240</v>
      </c>
      <c r="H18" s="370">
        <f>G18*17540</f>
        <v>4209600</v>
      </c>
      <c r="I18" s="370"/>
      <c r="J18" s="358">
        <v>2740000</v>
      </c>
      <c r="K18" s="371"/>
      <c r="L18" s="372"/>
      <c r="M18" s="358"/>
      <c r="N18" s="358"/>
      <c r="O18" s="358">
        <f t="shared" si="1"/>
        <v>6949600</v>
      </c>
      <c r="P18" s="385">
        <v>12118182</v>
      </c>
      <c r="Q18" s="358">
        <f t="shared" si="2"/>
        <v>5168582</v>
      </c>
      <c r="R18" s="195"/>
      <c r="S18" s="195"/>
    </row>
    <row r="19" spans="1:19" ht="23.25" customHeight="1" x14ac:dyDescent="0.25">
      <c r="A19" s="350">
        <v>12</v>
      </c>
      <c r="B19" s="365">
        <v>44482</v>
      </c>
      <c r="C19" s="366" t="s">
        <v>4005</v>
      </c>
      <c r="D19" s="367" t="s">
        <v>4023</v>
      </c>
      <c r="E19" s="354" t="s">
        <v>4040</v>
      </c>
      <c r="F19" s="368"/>
      <c r="G19" s="369">
        <v>61</v>
      </c>
      <c r="H19" s="370">
        <f t="shared" ref="H19:H28" si="3">G19*17540</f>
        <v>1069940</v>
      </c>
      <c r="I19" s="370"/>
      <c r="J19" s="358">
        <v>790000</v>
      </c>
      <c r="K19" s="371"/>
      <c r="L19" s="372"/>
      <c r="M19" s="358"/>
      <c r="N19" s="358"/>
      <c r="O19" s="358">
        <f t="shared" si="1"/>
        <v>1859940</v>
      </c>
      <c r="P19" s="385">
        <v>2754545</v>
      </c>
      <c r="Q19" s="358">
        <f t="shared" si="2"/>
        <v>894605</v>
      </c>
      <c r="R19" s="195"/>
      <c r="S19" s="195"/>
    </row>
    <row r="20" spans="1:19" ht="23.25" customHeight="1" x14ac:dyDescent="0.25">
      <c r="A20" s="350">
        <v>13</v>
      </c>
      <c r="B20" s="365">
        <v>44483</v>
      </c>
      <c r="C20" s="366" t="s">
        <v>4006</v>
      </c>
      <c r="D20" s="367" t="s">
        <v>4024</v>
      </c>
      <c r="E20" s="354" t="s">
        <v>4041</v>
      </c>
      <c r="F20" s="368"/>
      <c r="G20" s="369">
        <v>88</v>
      </c>
      <c r="H20" s="370">
        <f t="shared" si="3"/>
        <v>1543520</v>
      </c>
      <c r="I20" s="370"/>
      <c r="J20" s="358">
        <v>1150000</v>
      </c>
      <c r="K20" s="371"/>
      <c r="L20" s="372"/>
      <c r="M20" s="358"/>
      <c r="N20" s="358"/>
      <c r="O20" s="358">
        <f t="shared" si="1"/>
        <v>2693520</v>
      </c>
      <c r="P20" s="385">
        <v>4000000</v>
      </c>
      <c r="Q20" s="358">
        <f t="shared" si="2"/>
        <v>1306480</v>
      </c>
      <c r="R20" s="195"/>
      <c r="S20" s="195"/>
    </row>
    <row r="21" spans="1:19" ht="23.25" customHeight="1" x14ac:dyDescent="0.25">
      <c r="A21" s="350">
        <v>14</v>
      </c>
      <c r="B21" s="365">
        <v>44484</v>
      </c>
      <c r="C21" s="366" t="s">
        <v>1400</v>
      </c>
      <c r="D21" s="367" t="s">
        <v>4025</v>
      </c>
      <c r="E21" s="354" t="s">
        <v>4042</v>
      </c>
      <c r="F21" s="368"/>
      <c r="G21" s="369">
        <v>276</v>
      </c>
      <c r="H21" s="370">
        <f t="shared" si="3"/>
        <v>4841040</v>
      </c>
      <c r="I21" s="370"/>
      <c r="J21" s="358">
        <v>2290000</v>
      </c>
      <c r="K21" s="371"/>
      <c r="L21" s="372"/>
      <c r="M21" s="358"/>
      <c r="N21" s="358"/>
      <c r="O21" s="358">
        <f t="shared" si="1"/>
        <v>7131040</v>
      </c>
      <c r="P21" s="385">
        <v>11636364</v>
      </c>
      <c r="Q21" s="358">
        <f t="shared" si="2"/>
        <v>4505324</v>
      </c>
      <c r="R21" s="195"/>
      <c r="S21" s="195"/>
    </row>
    <row r="22" spans="1:19" ht="23.25" customHeight="1" x14ac:dyDescent="0.25">
      <c r="A22" s="350">
        <v>15</v>
      </c>
      <c r="B22" s="365">
        <v>44487</v>
      </c>
      <c r="C22" s="366" t="s">
        <v>1402</v>
      </c>
      <c r="D22" s="367" t="s">
        <v>4026</v>
      </c>
      <c r="E22" s="354" t="s">
        <v>4043</v>
      </c>
      <c r="F22" s="368"/>
      <c r="G22" s="369">
        <v>111</v>
      </c>
      <c r="H22" s="370">
        <f t="shared" si="3"/>
        <v>1946940</v>
      </c>
      <c r="I22" s="370"/>
      <c r="J22" s="358">
        <v>1190000</v>
      </c>
      <c r="K22" s="371"/>
      <c r="L22" s="372"/>
      <c r="M22" s="358"/>
      <c r="N22" s="358"/>
      <c r="O22" s="358">
        <f t="shared" si="1"/>
        <v>3136940</v>
      </c>
      <c r="P22" s="385">
        <v>4200000</v>
      </c>
      <c r="Q22" s="358">
        <f t="shared" si="2"/>
        <v>1063060</v>
      </c>
      <c r="R22" s="195"/>
      <c r="S22" s="195"/>
    </row>
    <row r="23" spans="1:19" ht="23.25" customHeight="1" x14ac:dyDescent="0.25">
      <c r="A23" s="350">
        <v>16</v>
      </c>
      <c r="B23" s="365">
        <v>44488</v>
      </c>
      <c r="C23" s="366" t="s">
        <v>4007</v>
      </c>
      <c r="D23" s="367" t="s">
        <v>4027</v>
      </c>
      <c r="E23" s="354" t="s">
        <v>3899</v>
      </c>
      <c r="F23" s="368"/>
      <c r="G23" s="369">
        <v>103</v>
      </c>
      <c r="H23" s="370">
        <f t="shared" si="3"/>
        <v>1806620</v>
      </c>
      <c r="I23" s="370"/>
      <c r="J23" s="358">
        <v>1150000</v>
      </c>
      <c r="K23" s="371"/>
      <c r="L23" s="372"/>
      <c r="M23" s="358"/>
      <c r="N23" s="358"/>
      <c r="O23" s="358">
        <f t="shared" si="1"/>
        <v>2956620</v>
      </c>
      <c r="P23" s="385">
        <v>4559091</v>
      </c>
      <c r="Q23" s="358">
        <f t="shared" si="2"/>
        <v>1602471</v>
      </c>
      <c r="R23" s="195"/>
      <c r="S23" s="195"/>
    </row>
    <row r="24" spans="1:19" ht="23.25" customHeight="1" x14ac:dyDescent="0.25">
      <c r="A24" s="350">
        <v>17</v>
      </c>
      <c r="B24" s="365">
        <v>44489</v>
      </c>
      <c r="C24" s="366" t="s">
        <v>4008</v>
      </c>
      <c r="D24" s="367" t="s">
        <v>4028</v>
      </c>
      <c r="E24" s="354" t="s">
        <v>4044</v>
      </c>
      <c r="F24" s="368"/>
      <c r="G24" s="369">
        <v>372</v>
      </c>
      <c r="H24" s="370">
        <f t="shared" si="3"/>
        <v>6524880</v>
      </c>
      <c r="I24" s="370"/>
      <c r="J24" s="358">
        <v>3500000</v>
      </c>
      <c r="K24" s="371"/>
      <c r="L24" s="372"/>
      <c r="M24" s="358"/>
      <c r="N24" s="358"/>
      <c r="O24" s="358">
        <f t="shared" si="1"/>
        <v>10024880</v>
      </c>
      <c r="P24" s="385">
        <v>17936364</v>
      </c>
      <c r="Q24" s="358">
        <f t="shared" si="2"/>
        <v>7911484</v>
      </c>
      <c r="R24" s="195"/>
      <c r="S24" s="195"/>
    </row>
    <row r="25" spans="1:19" ht="23.25" customHeight="1" x14ac:dyDescent="0.25">
      <c r="A25" s="350">
        <v>18</v>
      </c>
      <c r="B25" s="365">
        <v>44491</v>
      </c>
      <c r="C25" s="366" t="s">
        <v>4009</v>
      </c>
      <c r="D25" s="367" t="s">
        <v>4029</v>
      </c>
      <c r="E25" s="354" t="s">
        <v>2826</v>
      </c>
      <c r="F25" s="368"/>
      <c r="G25" s="369">
        <v>93</v>
      </c>
      <c r="H25" s="370">
        <f t="shared" si="3"/>
        <v>1631220</v>
      </c>
      <c r="I25" s="370"/>
      <c r="J25" s="358">
        <v>1150000</v>
      </c>
      <c r="K25" s="371"/>
      <c r="L25" s="372"/>
      <c r="M25" s="358"/>
      <c r="N25" s="358"/>
      <c r="O25" s="358">
        <f t="shared" si="1"/>
        <v>2781220</v>
      </c>
      <c r="P25" s="385">
        <v>3800000</v>
      </c>
      <c r="Q25" s="358">
        <f t="shared" si="2"/>
        <v>1018780</v>
      </c>
      <c r="R25" s="195"/>
      <c r="S25" s="195"/>
    </row>
    <row r="26" spans="1:19" ht="23.25" customHeight="1" x14ac:dyDescent="0.25">
      <c r="A26" s="350">
        <v>19</v>
      </c>
      <c r="B26" s="365">
        <v>44493</v>
      </c>
      <c r="C26" s="366" t="s">
        <v>2085</v>
      </c>
      <c r="D26" s="367" t="s">
        <v>4030</v>
      </c>
      <c r="E26" s="354" t="s">
        <v>1023</v>
      </c>
      <c r="F26" s="368"/>
      <c r="G26" s="369">
        <v>110</v>
      </c>
      <c r="H26" s="370">
        <f t="shared" si="3"/>
        <v>1929400</v>
      </c>
      <c r="I26" s="370"/>
      <c r="J26" s="358">
        <v>1150000</v>
      </c>
      <c r="K26" s="371"/>
      <c r="L26" s="372"/>
      <c r="M26" s="358"/>
      <c r="N26" s="358"/>
      <c r="O26" s="358">
        <f t="shared" si="1"/>
        <v>3079400</v>
      </c>
      <c r="P26" s="385">
        <v>5300000</v>
      </c>
      <c r="Q26" s="358">
        <f t="shared" si="2"/>
        <v>2220600</v>
      </c>
      <c r="R26" s="195"/>
      <c r="S26" s="195"/>
    </row>
    <row r="27" spans="1:19" ht="23.25" customHeight="1" x14ac:dyDescent="0.25">
      <c r="A27" s="350">
        <v>20</v>
      </c>
      <c r="B27" s="365">
        <v>44494</v>
      </c>
      <c r="C27" s="366" t="s">
        <v>4010</v>
      </c>
      <c r="D27" s="367" t="s">
        <v>4031</v>
      </c>
      <c r="E27" s="354" t="s">
        <v>4045</v>
      </c>
      <c r="F27" s="368"/>
      <c r="G27" s="369">
        <v>115</v>
      </c>
      <c r="H27" s="370">
        <f t="shared" si="3"/>
        <v>2017100</v>
      </c>
      <c r="I27" s="370"/>
      <c r="J27" s="358">
        <f>1450000+180000</f>
        <v>1630000</v>
      </c>
      <c r="K27" s="371"/>
      <c r="L27" s="372"/>
      <c r="M27" s="358"/>
      <c r="N27" s="358"/>
      <c r="O27" s="358">
        <f t="shared" si="1"/>
        <v>3647100</v>
      </c>
      <c r="P27" s="385">
        <v>4172727</v>
      </c>
      <c r="Q27" s="358">
        <f t="shared" si="2"/>
        <v>525627</v>
      </c>
      <c r="R27" s="195"/>
      <c r="S27" s="195"/>
    </row>
    <row r="28" spans="1:19" ht="23.25" customHeight="1" x14ac:dyDescent="0.25">
      <c r="A28" s="350">
        <v>21</v>
      </c>
      <c r="B28" s="365">
        <v>44494</v>
      </c>
      <c r="C28" s="366" t="s">
        <v>4011</v>
      </c>
      <c r="D28" s="367" t="s">
        <v>4031</v>
      </c>
      <c r="E28" s="354" t="s">
        <v>4041</v>
      </c>
      <c r="F28" s="368"/>
      <c r="G28" s="369"/>
      <c r="H28" s="370">
        <f t="shared" si="3"/>
        <v>0</v>
      </c>
      <c r="I28" s="370"/>
      <c r="J28" s="358"/>
      <c r="K28" s="371"/>
      <c r="L28" s="372"/>
      <c r="M28" s="358"/>
      <c r="N28" s="358"/>
      <c r="O28" s="358">
        <f t="shared" si="1"/>
        <v>0</v>
      </c>
      <c r="P28" s="385">
        <v>4181818</v>
      </c>
      <c r="Q28" s="358">
        <f t="shared" si="2"/>
        <v>4181818</v>
      </c>
      <c r="R28" s="195"/>
      <c r="S28" s="195"/>
    </row>
    <row r="29" spans="1:19" ht="23.25" customHeight="1" x14ac:dyDescent="0.25">
      <c r="A29" s="350">
        <v>22</v>
      </c>
      <c r="B29" s="365">
        <v>44494</v>
      </c>
      <c r="C29" s="366" t="s">
        <v>1405</v>
      </c>
      <c r="D29" s="367" t="s">
        <v>4032</v>
      </c>
      <c r="E29" s="354" t="s">
        <v>24</v>
      </c>
      <c r="F29" s="368"/>
      <c r="G29" s="369">
        <v>180</v>
      </c>
      <c r="H29" s="370">
        <f>G29*18710</f>
        <v>3367800</v>
      </c>
      <c r="I29" s="370"/>
      <c r="J29" s="358">
        <v>1890000</v>
      </c>
      <c r="K29" s="371"/>
      <c r="L29" s="372"/>
      <c r="M29" s="358"/>
      <c r="N29" s="358"/>
      <c r="O29" s="358">
        <f t="shared" si="1"/>
        <v>5257800</v>
      </c>
      <c r="P29" s="385">
        <v>7663636</v>
      </c>
      <c r="Q29" s="358">
        <f t="shared" si="2"/>
        <v>2405836</v>
      </c>
      <c r="R29" s="195"/>
      <c r="S29" s="195"/>
    </row>
    <row r="30" spans="1:19" ht="23.25" customHeight="1" x14ac:dyDescent="0.25">
      <c r="A30" s="350">
        <v>23</v>
      </c>
      <c r="B30" s="365">
        <v>44495</v>
      </c>
      <c r="C30" s="366" t="s">
        <v>4012</v>
      </c>
      <c r="D30" s="367" t="s">
        <v>4033</v>
      </c>
      <c r="E30" s="354" t="s">
        <v>4046</v>
      </c>
      <c r="F30" s="368"/>
      <c r="G30" s="369">
        <v>60</v>
      </c>
      <c r="H30" s="370">
        <f t="shared" ref="H30:H34" si="4">G30*18710</f>
        <v>1122600</v>
      </c>
      <c r="I30" s="370"/>
      <c r="J30" s="358">
        <v>790000</v>
      </c>
      <c r="K30" s="371"/>
      <c r="L30" s="372"/>
      <c r="M30" s="358"/>
      <c r="N30" s="358"/>
      <c r="O30" s="358">
        <f t="shared" si="1"/>
        <v>1912600</v>
      </c>
      <c r="P30" s="385">
        <v>2881818</v>
      </c>
      <c r="Q30" s="358">
        <f t="shared" si="2"/>
        <v>969218</v>
      </c>
      <c r="R30" s="195"/>
      <c r="S30" s="195"/>
    </row>
    <row r="31" spans="1:19" ht="23.25" customHeight="1" x14ac:dyDescent="0.25">
      <c r="A31" s="470">
        <v>24</v>
      </c>
      <c r="B31" s="471">
        <v>44495</v>
      </c>
      <c r="C31" s="366" t="s">
        <v>1406</v>
      </c>
      <c r="D31" s="367" t="s">
        <v>4034</v>
      </c>
      <c r="E31" s="354" t="s">
        <v>301</v>
      </c>
      <c r="F31" s="368"/>
      <c r="G31" s="369">
        <v>340</v>
      </c>
      <c r="H31" s="370">
        <f t="shared" si="4"/>
        <v>6361400</v>
      </c>
      <c r="I31" s="370"/>
      <c r="J31" s="358">
        <v>3820000</v>
      </c>
      <c r="K31" s="371"/>
      <c r="L31" s="372"/>
      <c r="M31" s="358"/>
      <c r="N31" s="358"/>
      <c r="O31" s="358">
        <f t="shared" si="1"/>
        <v>10181400</v>
      </c>
      <c r="P31" s="358">
        <v>19304545</v>
      </c>
      <c r="Q31" s="358">
        <f t="shared" si="2"/>
        <v>9123145</v>
      </c>
      <c r="R31" s="195"/>
      <c r="S31" s="195"/>
    </row>
    <row r="32" spans="1:19" ht="23.25" customHeight="1" x14ac:dyDescent="0.25">
      <c r="A32" s="470">
        <v>25</v>
      </c>
      <c r="B32" s="471">
        <v>44495</v>
      </c>
      <c r="C32" s="366" t="s">
        <v>1406</v>
      </c>
      <c r="D32" s="367" t="s">
        <v>4035</v>
      </c>
      <c r="E32" s="354" t="s">
        <v>301</v>
      </c>
      <c r="F32" s="368"/>
      <c r="G32" s="369"/>
      <c r="H32" s="370">
        <f t="shared" si="4"/>
        <v>0</v>
      </c>
      <c r="I32" s="370"/>
      <c r="J32" s="358">
        <v>300000</v>
      </c>
      <c r="K32" s="371"/>
      <c r="L32" s="372"/>
      <c r="M32" s="358"/>
      <c r="N32" s="358"/>
      <c r="O32" s="358">
        <f t="shared" si="1"/>
        <v>300000</v>
      </c>
      <c r="P32" s="358">
        <v>0</v>
      </c>
      <c r="Q32" s="358">
        <f t="shared" si="2"/>
        <v>-300000</v>
      </c>
      <c r="R32" s="195"/>
      <c r="S32" s="195"/>
    </row>
    <row r="33" spans="1:19" ht="23.25" customHeight="1" x14ac:dyDescent="0.25">
      <c r="A33" s="470">
        <v>26</v>
      </c>
      <c r="B33" s="472">
        <v>44498</v>
      </c>
      <c r="C33" s="366" t="s">
        <v>2089</v>
      </c>
      <c r="D33" s="367" t="s">
        <v>4036</v>
      </c>
      <c r="E33" s="354" t="s">
        <v>2117</v>
      </c>
      <c r="F33" s="368"/>
      <c r="G33" s="369">
        <v>145</v>
      </c>
      <c r="H33" s="370">
        <f t="shared" si="4"/>
        <v>2712950</v>
      </c>
      <c r="I33" s="370"/>
      <c r="J33" s="358">
        <v>1400000</v>
      </c>
      <c r="K33" s="371"/>
      <c r="L33" s="372"/>
      <c r="M33" s="358"/>
      <c r="N33" s="358"/>
      <c r="O33" s="358">
        <f t="shared" si="1"/>
        <v>4112950</v>
      </c>
      <c r="P33" s="358">
        <v>6027273</v>
      </c>
      <c r="Q33" s="358">
        <f t="shared" si="2"/>
        <v>1914323</v>
      </c>
      <c r="R33" s="195"/>
      <c r="S33" s="195"/>
    </row>
    <row r="34" spans="1:19" ht="23.25" customHeight="1" x14ac:dyDescent="0.25">
      <c r="A34" s="470">
        <v>27</v>
      </c>
      <c r="B34" s="472">
        <v>44499</v>
      </c>
      <c r="C34" s="366" t="s">
        <v>1408</v>
      </c>
      <c r="D34" s="367" t="s">
        <v>4037</v>
      </c>
      <c r="E34" s="354" t="s">
        <v>2117</v>
      </c>
      <c r="F34" s="368"/>
      <c r="G34" s="369">
        <v>145</v>
      </c>
      <c r="H34" s="370">
        <f t="shared" si="4"/>
        <v>2712950</v>
      </c>
      <c r="I34" s="370"/>
      <c r="J34" s="358">
        <v>1400000</v>
      </c>
      <c r="K34" s="371"/>
      <c r="L34" s="372"/>
      <c r="M34" s="358"/>
      <c r="N34" s="358"/>
      <c r="O34" s="358">
        <f>H34+J34+K34+L34+M34+N34</f>
        <v>4112950</v>
      </c>
      <c r="P34" s="358">
        <v>6027273</v>
      </c>
      <c r="Q34" s="358">
        <f t="shared" si="2"/>
        <v>1914323</v>
      </c>
      <c r="R34" s="195"/>
      <c r="S34" s="195"/>
    </row>
    <row r="35" spans="1:19" ht="20.100000000000001" customHeight="1" x14ac:dyDescent="0.25">
      <c r="A35" s="470"/>
      <c r="B35" s="473"/>
      <c r="C35" s="474"/>
      <c r="D35" s="475"/>
      <c r="E35" s="476"/>
      <c r="F35" s="461"/>
      <c r="G35" s="369"/>
      <c r="H35" s="369"/>
      <c r="I35" s="477"/>
      <c r="J35" s="381"/>
      <c r="K35" s="371"/>
      <c r="L35" s="372"/>
      <c r="M35" s="381"/>
      <c r="N35" s="381"/>
      <c r="O35" s="478"/>
      <c r="P35" s="358"/>
      <c r="Q35" s="479"/>
      <c r="R35" s="195"/>
      <c r="S35" s="195"/>
    </row>
    <row r="36" spans="1:19" ht="27" customHeight="1" x14ac:dyDescent="0.25">
      <c r="A36" s="374"/>
      <c r="B36" s="379"/>
      <c r="C36" s="594" t="s">
        <v>1273</v>
      </c>
      <c r="D36" s="595"/>
      <c r="E36" s="596"/>
      <c r="F36" s="402"/>
      <c r="G36" s="358"/>
      <c r="H36" s="369"/>
      <c r="I36" s="403"/>
      <c r="J36" s="381"/>
      <c r="K36" s="435">
        <v>1200000</v>
      </c>
      <c r="L36" s="372"/>
      <c r="M36" s="381"/>
      <c r="N36" s="381"/>
      <c r="O36" s="362">
        <f>H36+J36+K36+L36+M36+N36</f>
        <v>1200000</v>
      </c>
      <c r="P36" s="385"/>
      <c r="Q36" s="378"/>
    </row>
    <row r="37" spans="1:19" ht="27" customHeight="1" x14ac:dyDescent="0.25">
      <c r="A37" s="386"/>
      <c r="B37" s="379"/>
      <c r="C37" s="594" t="s">
        <v>4049</v>
      </c>
      <c r="D37" s="595"/>
      <c r="E37" s="596"/>
      <c r="F37" s="402"/>
      <c r="G37" s="381"/>
      <c r="H37" s="369"/>
      <c r="I37" s="403"/>
      <c r="J37" s="381"/>
      <c r="K37" s="394"/>
      <c r="L37" s="437">
        <f>480000/4</f>
        <v>120000</v>
      </c>
      <c r="M37" s="388"/>
      <c r="N37" s="381"/>
      <c r="O37" s="362">
        <f t="shared" ref="O37:O58" si="5">H37+J37+K37+L37+M37+N37</f>
        <v>120000</v>
      </c>
      <c r="P37" s="389"/>
      <c r="Q37" s="378"/>
    </row>
    <row r="38" spans="1:19" ht="27" customHeight="1" x14ac:dyDescent="0.25">
      <c r="A38" s="386"/>
      <c r="B38" s="379"/>
      <c r="C38" s="594" t="s">
        <v>4053</v>
      </c>
      <c r="D38" s="595"/>
      <c r="E38" s="596"/>
      <c r="F38" s="402"/>
      <c r="G38" s="381"/>
      <c r="H38" s="369"/>
      <c r="I38" s="403"/>
      <c r="J38" s="381"/>
      <c r="K38" s="439">
        <v>610000</v>
      </c>
      <c r="L38" s="388"/>
      <c r="M38" s="388"/>
      <c r="N38" s="381"/>
      <c r="O38" s="362">
        <f>H38+J38+K38+L38+M38+N38</f>
        <v>610000</v>
      </c>
      <c r="P38" s="389"/>
      <c r="Q38" s="378"/>
    </row>
    <row r="39" spans="1:19" ht="27" customHeight="1" x14ac:dyDescent="0.25">
      <c r="A39" s="386"/>
      <c r="B39" s="379"/>
      <c r="C39" s="594" t="s">
        <v>4052</v>
      </c>
      <c r="D39" s="595"/>
      <c r="E39" s="596"/>
      <c r="F39" s="402"/>
      <c r="G39" s="381"/>
      <c r="H39" s="369"/>
      <c r="I39" s="403"/>
      <c r="J39" s="381"/>
      <c r="K39" s="439">
        <v>7703000</v>
      </c>
      <c r="L39" s="388"/>
      <c r="M39" s="388"/>
      <c r="N39" s="381"/>
      <c r="O39" s="362">
        <f t="shared" si="5"/>
        <v>7703000</v>
      </c>
      <c r="P39" s="389"/>
      <c r="Q39" s="378"/>
    </row>
    <row r="40" spans="1:19" ht="27" customHeight="1" x14ac:dyDescent="0.25">
      <c r="A40" s="386"/>
      <c r="B40" s="379"/>
      <c r="C40" s="594" t="s">
        <v>4054</v>
      </c>
      <c r="D40" s="595"/>
      <c r="E40" s="596"/>
      <c r="F40" s="402"/>
      <c r="G40" s="381"/>
      <c r="H40" s="369"/>
      <c r="I40" s="403"/>
      <c r="J40" s="381"/>
      <c r="K40" s="439">
        <v>300000</v>
      </c>
      <c r="L40" s="388"/>
      <c r="M40" s="372"/>
      <c r="N40" s="381"/>
      <c r="O40" s="362">
        <f t="shared" si="5"/>
        <v>300000</v>
      </c>
      <c r="P40" s="389"/>
      <c r="Q40" s="378"/>
    </row>
    <row r="41" spans="1:19" ht="27" customHeight="1" x14ac:dyDescent="0.25">
      <c r="A41" s="386"/>
      <c r="B41" s="379"/>
      <c r="C41" s="594" t="s">
        <v>4056</v>
      </c>
      <c r="D41" s="595"/>
      <c r="E41" s="596"/>
      <c r="F41" s="402"/>
      <c r="G41" s="381"/>
      <c r="H41" s="369"/>
      <c r="I41" s="403"/>
      <c r="J41" s="381"/>
      <c r="K41" s="394"/>
      <c r="L41" s="437">
        <v>420000</v>
      </c>
      <c r="M41" s="388"/>
      <c r="N41" s="381"/>
      <c r="O41" s="362">
        <f t="shared" si="5"/>
        <v>420000</v>
      </c>
      <c r="P41" s="389"/>
      <c r="Q41" s="378"/>
    </row>
    <row r="42" spans="1:19" ht="27" customHeight="1" x14ac:dyDescent="0.25">
      <c r="A42" s="386"/>
      <c r="B42" s="379"/>
      <c r="C42" s="594" t="s">
        <v>4057</v>
      </c>
      <c r="D42" s="595"/>
      <c r="E42" s="596"/>
      <c r="F42" s="402"/>
      <c r="G42" s="381"/>
      <c r="H42" s="369"/>
      <c r="I42" s="403"/>
      <c r="J42" s="381"/>
      <c r="K42" s="394"/>
      <c r="L42" s="437">
        <v>50000</v>
      </c>
      <c r="M42" s="388"/>
      <c r="N42" s="381"/>
      <c r="O42" s="362">
        <f t="shared" si="5"/>
        <v>50000</v>
      </c>
      <c r="P42" s="389"/>
      <c r="Q42" s="378"/>
    </row>
    <row r="43" spans="1:19" ht="27" customHeight="1" x14ac:dyDescent="0.25">
      <c r="A43" s="386"/>
      <c r="B43" s="379"/>
      <c r="C43" s="594" t="s">
        <v>4058</v>
      </c>
      <c r="D43" s="595"/>
      <c r="E43" s="596"/>
      <c r="F43" s="402"/>
      <c r="G43" s="381"/>
      <c r="H43" s="369"/>
      <c r="I43" s="403"/>
      <c r="J43" s="381"/>
      <c r="K43" s="394"/>
      <c r="L43" s="437">
        <v>1100000</v>
      </c>
      <c r="M43" s="388"/>
      <c r="N43" s="381"/>
      <c r="O43" s="362">
        <f t="shared" si="5"/>
        <v>1100000</v>
      </c>
      <c r="P43" s="389"/>
      <c r="Q43" s="378"/>
    </row>
    <row r="44" spans="1:19" ht="27" customHeight="1" x14ac:dyDescent="0.25">
      <c r="A44" s="386"/>
      <c r="B44" s="379"/>
      <c r="C44" s="594" t="s">
        <v>4059</v>
      </c>
      <c r="D44" s="595"/>
      <c r="E44" s="596"/>
      <c r="F44" s="402"/>
      <c r="G44" s="381"/>
      <c r="H44" s="369"/>
      <c r="I44" s="403"/>
      <c r="J44" s="381"/>
      <c r="K44" s="394"/>
      <c r="L44" s="437">
        <v>300000</v>
      </c>
      <c r="M44" s="388"/>
      <c r="N44" s="381"/>
      <c r="O44" s="362">
        <f t="shared" si="5"/>
        <v>300000</v>
      </c>
      <c r="P44" s="389"/>
      <c r="Q44" s="378"/>
    </row>
    <row r="45" spans="1:19" ht="27" customHeight="1" x14ac:dyDescent="0.25">
      <c r="A45" s="386"/>
      <c r="B45" s="379"/>
      <c r="C45" s="594" t="s">
        <v>4061</v>
      </c>
      <c r="D45" s="595"/>
      <c r="E45" s="596"/>
      <c r="F45" s="402"/>
      <c r="G45" s="381"/>
      <c r="H45" s="369"/>
      <c r="I45" s="403"/>
      <c r="J45" s="381"/>
      <c r="K45" s="394"/>
      <c r="L45" s="437">
        <v>250000</v>
      </c>
      <c r="M45" s="388"/>
      <c r="N45" s="381"/>
      <c r="O45" s="362">
        <f t="shared" si="5"/>
        <v>250000</v>
      </c>
      <c r="P45" s="389"/>
      <c r="Q45" s="378"/>
    </row>
    <row r="46" spans="1:19" ht="27" customHeight="1" x14ac:dyDescent="0.25">
      <c r="A46" s="386"/>
      <c r="B46" s="379"/>
      <c r="C46" s="594" t="s">
        <v>4066</v>
      </c>
      <c r="D46" s="595"/>
      <c r="E46" s="596"/>
      <c r="F46" s="402"/>
      <c r="G46" s="381"/>
      <c r="H46" s="369"/>
      <c r="I46" s="403"/>
      <c r="J46" s="381"/>
      <c r="K46" s="394"/>
      <c r="L46" s="437">
        <v>70000</v>
      </c>
      <c r="M46" s="388"/>
      <c r="N46" s="381"/>
      <c r="O46" s="362">
        <f t="shared" si="5"/>
        <v>70000</v>
      </c>
      <c r="P46" s="389"/>
      <c r="Q46" s="378"/>
    </row>
    <row r="47" spans="1:19" ht="27" customHeight="1" x14ac:dyDescent="0.25">
      <c r="A47" s="386"/>
      <c r="B47" s="379"/>
      <c r="C47" s="594" t="s">
        <v>4047</v>
      </c>
      <c r="D47" s="595"/>
      <c r="E47" s="596"/>
      <c r="F47" s="402"/>
      <c r="G47" s="381"/>
      <c r="H47" s="369"/>
      <c r="I47" s="403"/>
      <c r="J47" s="381"/>
      <c r="K47" s="439">
        <v>163000</v>
      </c>
      <c r="L47" s="388"/>
      <c r="M47" s="388"/>
      <c r="N47" s="381"/>
      <c r="O47" s="362">
        <f t="shared" si="5"/>
        <v>163000</v>
      </c>
      <c r="P47" s="389"/>
      <c r="Q47" s="378"/>
    </row>
    <row r="48" spans="1:19" ht="27" customHeight="1" x14ac:dyDescent="0.25">
      <c r="A48" s="386"/>
      <c r="B48" s="379"/>
      <c r="C48" s="594" t="s">
        <v>4048</v>
      </c>
      <c r="D48" s="595"/>
      <c r="E48" s="596"/>
      <c r="F48" s="402"/>
      <c r="G48" s="381"/>
      <c r="H48" s="369"/>
      <c r="I48" s="403"/>
      <c r="J48" s="381"/>
      <c r="K48" s="439">
        <v>150000</v>
      </c>
      <c r="L48" s="388"/>
      <c r="M48" s="388"/>
      <c r="N48" s="381"/>
      <c r="O48" s="362">
        <f t="shared" si="5"/>
        <v>150000</v>
      </c>
      <c r="P48" s="389"/>
      <c r="Q48" s="378"/>
    </row>
    <row r="49" spans="1:18" ht="27" customHeight="1" x14ac:dyDescent="0.25">
      <c r="A49" s="386"/>
      <c r="B49" s="379"/>
      <c r="C49" s="594" t="s">
        <v>4050</v>
      </c>
      <c r="D49" s="595"/>
      <c r="E49" s="596"/>
      <c r="F49" s="402"/>
      <c r="G49" s="381"/>
      <c r="H49" s="369"/>
      <c r="I49" s="403"/>
      <c r="J49" s="381"/>
      <c r="K49" s="439">
        <v>150000</v>
      </c>
      <c r="L49" s="388"/>
      <c r="M49" s="388"/>
      <c r="N49" s="381"/>
      <c r="O49" s="362">
        <f t="shared" si="5"/>
        <v>150000</v>
      </c>
      <c r="P49" s="389"/>
      <c r="Q49" s="378"/>
    </row>
    <row r="50" spans="1:18" ht="27" customHeight="1" x14ac:dyDescent="0.25">
      <c r="A50" s="386"/>
      <c r="B50" s="379"/>
      <c r="C50" s="594" t="s">
        <v>4051</v>
      </c>
      <c r="D50" s="595"/>
      <c r="E50" s="596"/>
      <c r="F50" s="402"/>
      <c r="G50" s="381"/>
      <c r="H50" s="369"/>
      <c r="I50" s="403"/>
      <c r="J50" s="381"/>
      <c r="K50" s="439">
        <v>163000</v>
      </c>
      <c r="L50" s="388"/>
      <c r="M50" s="388"/>
      <c r="N50" s="381"/>
      <c r="O50" s="362">
        <f t="shared" si="5"/>
        <v>163000</v>
      </c>
      <c r="P50" s="389"/>
      <c r="Q50" s="378"/>
    </row>
    <row r="51" spans="1:18" ht="27" customHeight="1" x14ac:dyDescent="0.25">
      <c r="A51" s="386"/>
      <c r="B51" s="379"/>
      <c r="C51" s="603" t="s">
        <v>4055</v>
      </c>
      <c r="D51" s="604"/>
      <c r="E51" s="605"/>
      <c r="F51" s="402"/>
      <c r="G51" s="381"/>
      <c r="H51" s="369"/>
      <c r="I51" s="403"/>
      <c r="J51" s="381"/>
      <c r="K51" s="439">
        <v>190000</v>
      </c>
      <c r="L51" s="388"/>
      <c r="M51" s="388"/>
      <c r="N51" s="381"/>
      <c r="O51" s="362">
        <f t="shared" si="5"/>
        <v>190000</v>
      </c>
      <c r="P51" s="389"/>
      <c r="Q51" s="378"/>
    </row>
    <row r="52" spans="1:18" ht="27" customHeight="1" x14ac:dyDescent="0.25">
      <c r="A52" s="386"/>
      <c r="B52" s="379"/>
      <c r="C52" s="594" t="s">
        <v>4060</v>
      </c>
      <c r="D52" s="595"/>
      <c r="E52" s="596"/>
      <c r="F52" s="402"/>
      <c r="G52" s="381"/>
      <c r="H52" s="369"/>
      <c r="I52" s="403"/>
      <c r="J52" s="381"/>
      <c r="K52" s="439">
        <v>150000</v>
      </c>
      <c r="L52" s="388"/>
      <c r="M52" s="388"/>
      <c r="N52" s="381"/>
      <c r="O52" s="362">
        <f t="shared" si="5"/>
        <v>150000</v>
      </c>
      <c r="P52" s="389"/>
      <c r="Q52" s="378"/>
    </row>
    <row r="53" spans="1:18" ht="27" customHeight="1" x14ac:dyDescent="0.25">
      <c r="A53" s="386"/>
      <c r="B53" s="379"/>
      <c r="C53" s="594" t="s">
        <v>4062</v>
      </c>
      <c r="D53" s="595"/>
      <c r="E53" s="596"/>
      <c r="F53" s="402"/>
      <c r="G53" s="381"/>
      <c r="H53" s="369"/>
      <c r="I53" s="403"/>
      <c r="J53" s="381"/>
      <c r="K53" s="439">
        <v>150000</v>
      </c>
      <c r="L53" s="388"/>
      <c r="M53" s="388"/>
      <c r="N53" s="381"/>
      <c r="O53" s="362">
        <f t="shared" si="5"/>
        <v>150000</v>
      </c>
      <c r="P53" s="389"/>
      <c r="Q53" s="378"/>
    </row>
    <row r="54" spans="1:18" ht="27" customHeight="1" x14ac:dyDescent="0.25">
      <c r="A54" s="386"/>
      <c r="B54" s="379"/>
      <c r="C54" s="603" t="s">
        <v>4063</v>
      </c>
      <c r="D54" s="604"/>
      <c r="E54" s="605"/>
      <c r="F54" s="402"/>
      <c r="G54" s="381"/>
      <c r="H54" s="369"/>
      <c r="I54" s="403"/>
      <c r="J54" s="381"/>
      <c r="K54" s="439">
        <v>140000</v>
      </c>
      <c r="L54" s="388"/>
      <c r="M54" s="388"/>
      <c r="N54" s="381"/>
      <c r="O54" s="362">
        <f t="shared" si="5"/>
        <v>140000</v>
      </c>
      <c r="P54" s="389"/>
      <c r="Q54" s="378"/>
    </row>
    <row r="55" spans="1:18" ht="27" customHeight="1" x14ac:dyDescent="0.25">
      <c r="A55" s="386"/>
      <c r="B55" s="379"/>
      <c r="C55" s="594" t="s">
        <v>4064</v>
      </c>
      <c r="D55" s="595"/>
      <c r="E55" s="596"/>
      <c r="F55" s="402"/>
      <c r="G55" s="381"/>
      <c r="H55" s="369"/>
      <c r="I55" s="403"/>
      <c r="J55" s="381"/>
      <c r="K55" s="439">
        <v>163000</v>
      </c>
      <c r="L55" s="388"/>
      <c r="M55" s="388"/>
      <c r="N55" s="381"/>
      <c r="O55" s="362">
        <f t="shared" si="5"/>
        <v>163000</v>
      </c>
      <c r="P55" s="389"/>
      <c r="Q55" s="378"/>
    </row>
    <row r="56" spans="1:18" ht="27" customHeight="1" x14ac:dyDescent="0.25">
      <c r="A56" s="386"/>
      <c r="B56" s="379"/>
      <c r="C56" s="594" t="s">
        <v>4065</v>
      </c>
      <c r="D56" s="595"/>
      <c r="E56" s="596"/>
      <c r="F56" s="402"/>
      <c r="G56" s="381"/>
      <c r="H56" s="369"/>
      <c r="I56" s="403"/>
      <c r="J56" s="381"/>
      <c r="K56" s="439">
        <v>150000</v>
      </c>
      <c r="L56" s="388"/>
      <c r="M56" s="388"/>
      <c r="N56" s="381"/>
      <c r="O56" s="362">
        <f t="shared" si="5"/>
        <v>150000</v>
      </c>
      <c r="P56" s="389"/>
      <c r="Q56" s="378"/>
    </row>
    <row r="57" spans="1:18" ht="27" customHeight="1" x14ac:dyDescent="0.25">
      <c r="A57" s="386"/>
      <c r="B57" s="379"/>
      <c r="C57" s="594" t="s">
        <v>4183</v>
      </c>
      <c r="D57" s="595"/>
      <c r="E57" s="430"/>
      <c r="F57" s="402"/>
      <c r="G57" s="381"/>
      <c r="H57" s="369"/>
      <c r="I57" s="403"/>
      <c r="J57" s="381"/>
      <c r="K57" s="439">
        <v>150000</v>
      </c>
      <c r="L57" s="388"/>
      <c r="M57" s="388"/>
      <c r="N57" s="381"/>
      <c r="O57" s="362">
        <f t="shared" si="5"/>
        <v>150000</v>
      </c>
      <c r="P57" s="389"/>
      <c r="Q57" s="378"/>
    </row>
    <row r="58" spans="1:18" ht="18" customHeight="1" x14ac:dyDescent="0.25">
      <c r="A58" s="386"/>
      <c r="B58" s="391"/>
      <c r="C58" s="579" t="s">
        <v>1386</v>
      </c>
      <c r="D58" s="580"/>
      <c r="E58" s="581"/>
      <c r="F58" s="461"/>
      <c r="G58" s="381"/>
      <c r="H58" s="369"/>
      <c r="I58" s="403"/>
      <c r="J58" s="381"/>
      <c r="K58" s="439">
        <v>8000000</v>
      </c>
      <c r="L58" s="394"/>
      <c r="M58" s="381"/>
      <c r="N58" s="381"/>
      <c r="O58" s="362">
        <f t="shared" si="5"/>
        <v>8000000</v>
      </c>
      <c r="P58" s="389"/>
      <c r="Q58" s="378"/>
    </row>
    <row r="59" spans="1:18" x14ac:dyDescent="0.25">
      <c r="A59" s="576" t="s">
        <v>19</v>
      </c>
      <c r="B59" s="577"/>
      <c r="C59" s="577"/>
      <c r="D59" s="577"/>
      <c r="E59" s="577"/>
      <c r="F59" s="578"/>
      <c r="G59" s="395">
        <f>SUM(G8:G58)</f>
        <v>3486</v>
      </c>
      <c r="H59" s="396">
        <f t="shared" ref="H59:P59" si="6">SUM(H7:H58)</f>
        <v>61157220</v>
      </c>
      <c r="I59" s="396">
        <f t="shared" si="6"/>
        <v>0</v>
      </c>
      <c r="J59" s="396">
        <f t="shared" si="6"/>
        <v>38600000</v>
      </c>
      <c r="K59" s="396">
        <f t="shared" si="6"/>
        <v>19532000</v>
      </c>
      <c r="L59" s="396">
        <f t="shared" si="6"/>
        <v>2310000</v>
      </c>
      <c r="M59" s="396">
        <f t="shared" si="6"/>
        <v>0</v>
      </c>
      <c r="N59" s="396">
        <f t="shared" si="6"/>
        <v>0</v>
      </c>
      <c r="O59" s="396">
        <f t="shared" si="6"/>
        <v>121599220</v>
      </c>
      <c r="P59" s="396">
        <f t="shared" si="6"/>
        <v>163099999</v>
      </c>
      <c r="Q59" s="396">
        <f>P59-O59</f>
        <v>41500779</v>
      </c>
      <c r="R59" s="195"/>
    </row>
    <row r="60" spans="1:18" x14ac:dyDescent="0.25">
      <c r="P60" s="294"/>
      <c r="Q60" s="295"/>
    </row>
    <row r="61" spans="1:18" x14ac:dyDescent="0.25">
      <c r="B61"/>
      <c r="G61"/>
      <c r="H61" s="294"/>
      <c r="P61" s="296" t="s">
        <v>1225</v>
      </c>
      <c r="Q61" s="295">
        <f>'09.2021'!Q61+'10.2021'!Q59</f>
        <v>303199177.69230771</v>
      </c>
    </row>
    <row r="62" spans="1:18" x14ac:dyDescent="0.25">
      <c r="B62"/>
      <c r="G62"/>
      <c r="Q62" s="294"/>
    </row>
    <row r="63" spans="1:18" x14ac:dyDescent="0.25">
      <c r="B63"/>
      <c r="G63"/>
      <c r="R63" s="195"/>
    </row>
  </sheetData>
  <mergeCells count="28">
    <mergeCell ref="C44:E44"/>
    <mergeCell ref="C45:E45"/>
    <mergeCell ref="C46:E46"/>
    <mergeCell ref="C58:E58"/>
    <mergeCell ref="A59:F59"/>
    <mergeCell ref="C53:E53"/>
    <mergeCell ref="C54:E54"/>
    <mergeCell ref="C55:E55"/>
    <mergeCell ref="C56:E56"/>
    <mergeCell ref="C47:E47"/>
    <mergeCell ref="C48:E48"/>
    <mergeCell ref="C49:E49"/>
    <mergeCell ref="C50:E50"/>
    <mergeCell ref="C51:E51"/>
    <mergeCell ref="C52:E52"/>
    <mergeCell ref="C57:D57"/>
    <mergeCell ref="C43:E43"/>
    <mergeCell ref="A1:Q1"/>
    <mergeCell ref="A2:Q2"/>
    <mergeCell ref="A3:Q3"/>
    <mergeCell ref="G5:N5"/>
    <mergeCell ref="C36:E36"/>
    <mergeCell ref="C37:E37"/>
    <mergeCell ref="C38:E38"/>
    <mergeCell ref="C39:E39"/>
    <mergeCell ref="C40:E40"/>
    <mergeCell ref="C41:E41"/>
    <mergeCell ref="C42:E42"/>
  </mergeCells>
  <pageMargins left="0.7" right="0.7" top="0.75" bottom="0.75" header="0.3" footer="0.3"/>
  <pageSetup paperSize="9" orientation="portrait" horizontalDpi="0" verticalDpi="0" r:id="rId1"/>
  <legacy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89C98-61B8-497C-A2E3-0AD55F714F45}">
  <dimension ref="A1:S48"/>
  <sheetViews>
    <sheetView topLeftCell="A7" workbookViewId="0">
      <selection activeCell="Q47" sqref="Q47"/>
    </sheetView>
  </sheetViews>
  <sheetFormatPr defaultColWidth="9.140625"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0.28515625" style="292" bestFit="1"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4067</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19"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19" x14ac:dyDescent="0.25">
      <c r="A7" s="75"/>
      <c r="B7" s="100"/>
      <c r="C7" s="88"/>
      <c r="D7" s="88"/>
      <c r="E7" s="134"/>
      <c r="F7" s="75"/>
      <c r="G7" s="264"/>
      <c r="H7" s="264"/>
      <c r="I7" s="264"/>
      <c r="J7" s="264"/>
      <c r="K7" s="264"/>
      <c r="L7" s="308"/>
      <c r="M7" s="264"/>
      <c r="N7" s="264"/>
      <c r="O7" s="265"/>
      <c r="P7" s="265"/>
      <c r="Q7" s="264"/>
    </row>
    <row r="8" spans="1:19" ht="20.100000000000001" customHeight="1" x14ac:dyDescent="0.25">
      <c r="A8" s="350">
        <v>1</v>
      </c>
      <c r="B8" s="365">
        <v>44501</v>
      </c>
      <c r="C8" s="366" t="s">
        <v>716</v>
      </c>
      <c r="D8" s="367" t="s">
        <v>4084</v>
      </c>
      <c r="E8" s="354" t="s">
        <v>3790</v>
      </c>
      <c r="F8" s="368"/>
      <c r="G8" s="369">
        <v>59</v>
      </c>
      <c r="H8" s="358">
        <f>G8*18710</f>
        <v>1103890</v>
      </c>
      <c r="I8" s="358"/>
      <c r="J8" s="358">
        <v>790000</v>
      </c>
      <c r="K8" s="371"/>
      <c r="L8" s="372"/>
      <c r="M8" s="358"/>
      <c r="N8" s="358"/>
      <c r="O8" s="358">
        <f>H8+J8+K8+L8+M8+N8</f>
        <v>1893890</v>
      </c>
      <c r="P8" s="358">
        <v>2963636</v>
      </c>
      <c r="Q8" s="358">
        <f>P8-O8</f>
        <v>1069746</v>
      </c>
      <c r="R8" s="195"/>
      <c r="S8" s="195"/>
    </row>
    <row r="9" spans="1:19" ht="20.100000000000001" customHeight="1" x14ac:dyDescent="0.25">
      <c r="A9" s="350">
        <v>2</v>
      </c>
      <c r="B9" s="365">
        <v>44502</v>
      </c>
      <c r="C9" s="366" t="s">
        <v>4068</v>
      </c>
      <c r="D9" s="415" t="s">
        <v>4085</v>
      </c>
      <c r="E9" s="354" t="s">
        <v>2769</v>
      </c>
      <c r="F9" s="368"/>
      <c r="G9" s="369">
        <v>120</v>
      </c>
      <c r="H9" s="358">
        <f t="shared" ref="H9:H13" si="0">G9*18710</f>
        <v>2245200</v>
      </c>
      <c r="I9" s="358"/>
      <c r="J9" s="358">
        <v>1150000</v>
      </c>
      <c r="K9" s="371"/>
      <c r="L9" s="372"/>
      <c r="M9" s="358"/>
      <c r="N9" s="358"/>
      <c r="O9" s="358">
        <f t="shared" ref="O9:O33" si="1">H9+J9+K9+L9+M9+N9</f>
        <v>3395200</v>
      </c>
      <c r="P9" s="385">
        <v>5736364</v>
      </c>
      <c r="Q9" s="358">
        <f t="shared" ref="Q9:Q33" si="2">P9-O9</f>
        <v>2341164</v>
      </c>
      <c r="R9" s="195"/>
      <c r="S9" s="195"/>
    </row>
    <row r="10" spans="1:19" ht="20.100000000000001" customHeight="1" x14ac:dyDescent="0.25">
      <c r="A10" s="350">
        <v>3</v>
      </c>
      <c r="B10" s="365">
        <v>44503</v>
      </c>
      <c r="C10" s="366" t="s">
        <v>3374</v>
      </c>
      <c r="D10" s="367" t="s">
        <v>4086</v>
      </c>
      <c r="E10" s="354" t="s">
        <v>4106</v>
      </c>
      <c r="F10" s="368"/>
      <c r="G10" s="369">
        <v>74</v>
      </c>
      <c r="H10" s="358">
        <f t="shared" si="0"/>
        <v>1384540</v>
      </c>
      <c r="I10" s="358"/>
      <c r="J10" s="358">
        <v>1150000</v>
      </c>
      <c r="K10" s="371"/>
      <c r="L10" s="372"/>
      <c r="M10" s="358"/>
      <c r="N10" s="358"/>
      <c r="O10" s="358">
        <f t="shared" si="1"/>
        <v>2534540</v>
      </c>
      <c r="P10" s="385">
        <v>3700000</v>
      </c>
      <c r="Q10" s="358">
        <f t="shared" si="2"/>
        <v>1165460</v>
      </c>
      <c r="R10" s="195"/>
      <c r="S10" s="195"/>
    </row>
    <row r="11" spans="1:19" ht="20.100000000000001" customHeight="1" x14ac:dyDescent="0.25">
      <c r="A11" s="350">
        <v>4</v>
      </c>
      <c r="B11" s="365">
        <v>44505</v>
      </c>
      <c r="C11" s="366" t="s">
        <v>2138</v>
      </c>
      <c r="D11" s="367" t="s">
        <v>4087</v>
      </c>
      <c r="E11" s="354" t="s">
        <v>24</v>
      </c>
      <c r="F11" s="368"/>
      <c r="G11" s="369">
        <v>180</v>
      </c>
      <c r="H11" s="358">
        <f t="shared" si="0"/>
        <v>3367800</v>
      </c>
      <c r="I11" s="358"/>
      <c r="J11" s="358">
        <v>1890000</v>
      </c>
      <c r="K11" s="371"/>
      <c r="L11" s="372"/>
      <c r="M11" s="358"/>
      <c r="N11" s="358"/>
      <c r="O11" s="358">
        <f t="shared" si="1"/>
        <v>5257800</v>
      </c>
      <c r="P11" s="385">
        <v>8027273</v>
      </c>
      <c r="Q11" s="358">
        <f t="shared" si="2"/>
        <v>2769473</v>
      </c>
      <c r="R11" s="195"/>
      <c r="S11" s="195"/>
    </row>
    <row r="12" spans="1:19" ht="23.25" customHeight="1" x14ac:dyDescent="0.25">
      <c r="A12" s="350">
        <v>5</v>
      </c>
      <c r="B12" s="365">
        <v>44508</v>
      </c>
      <c r="C12" s="366" t="s">
        <v>4069</v>
      </c>
      <c r="D12" s="367" t="s">
        <v>4088</v>
      </c>
      <c r="E12" s="354" t="s">
        <v>4107</v>
      </c>
      <c r="F12" s="368"/>
      <c r="G12" s="369">
        <v>91</v>
      </c>
      <c r="H12" s="358">
        <f t="shared" si="0"/>
        <v>1702610</v>
      </c>
      <c r="I12" s="358"/>
      <c r="J12" s="358">
        <v>790000</v>
      </c>
      <c r="K12" s="371"/>
      <c r="L12" s="372"/>
      <c r="M12" s="358"/>
      <c r="N12" s="358"/>
      <c r="O12" s="358">
        <f t="shared" si="1"/>
        <v>2492610</v>
      </c>
      <c r="P12" s="385">
        <v>3800000</v>
      </c>
      <c r="Q12" s="358">
        <f t="shared" si="2"/>
        <v>1307390</v>
      </c>
      <c r="R12" s="195"/>
      <c r="S12" s="195"/>
    </row>
    <row r="13" spans="1:19" ht="20.100000000000001" customHeight="1" x14ac:dyDescent="0.25">
      <c r="A13" s="350">
        <v>6</v>
      </c>
      <c r="B13" s="365">
        <v>44508</v>
      </c>
      <c r="C13" s="366" t="s">
        <v>722</v>
      </c>
      <c r="D13" s="367" t="s">
        <v>4089</v>
      </c>
      <c r="E13" s="354" t="s">
        <v>4108</v>
      </c>
      <c r="F13" s="368"/>
      <c r="G13" s="369">
        <v>59</v>
      </c>
      <c r="H13" s="358">
        <f t="shared" si="0"/>
        <v>1103890</v>
      </c>
      <c r="I13" s="358"/>
      <c r="J13" s="358">
        <v>790000</v>
      </c>
      <c r="K13" s="371"/>
      <c r="L13" s="372"/>
      <c r="M13" s="358"/>
      <c r="N13" s="358"/>
      <c r="O13" s="358">
        <f t="shared" si="1"/>
        <v>1893890</v>
      </c>
      <c r="P13" s="385">
        <v>3518182</v>
      </c>
      <c r="Q13" s="358">
        <f t="shared" si="2"/>
        <v>1624292</v>
      </c>
      <c r="R13" s="195"/>
      <c r="S13" s="195"/>
    </row>
    <row r="14" spans="1:19" ht="27.75" customHeight="1" x14ac:dyDescent="0.25">
      <c r="A14" s="350">
        <v>7</v>
      </c>
      <c r="B14" s="365">
        <v>44509</v>
      </c>
      <c r="C14" s="366" t="s">
        <v>724</v>
      </c>
      <c r="D14" s="367" t="s">
        <v>4090</v>
      </c>
      <c r="E14" s="354" t="s">
        <v>3971</v>
      </c>
      <c r="F14" s="368"/>
      <c r="G14" s="369">
        <v>105</v>
      </c>
      <c r="H14" s="358">
        <f>G14*18710</f>
        <v>1964550</v>
      </c>
      <c r="I14" s="358"/>
      <c r="J14" s="358">
        <v>1450000</v>
      </c>
      <c r="K14" s="371"/>
      <c r="L14" s="372"/>
      <c r="M14" s="358"/>
      <c r="N14" s="358"/>
      <c r="O14" s="358">
        <f t="shared" si="1"/>
        <v>3414550</v>
      </c>
      <c r="P14" s="385">
        <v>4090909</v>
      </c>
      <c r="Q14" s="358">
        <f t="shared" si="2"/>
        <v>676359</v>
      </c>
      <c r="R14" s="195"/>
      <c r="S14" s="195"/>
    </row>
    <row r="15" spans="1:19" ht="20.100000000000001" customHeight="1" x14ac:dyDescent="0.25">
      <c r="A15" s="350">
        <v>8</v>
      </c>
      <c r="B15" s="365">
        <v>44510</v>
      </c>
      <c r="C15" s="366" t="s">
        <v>4070</v>
      </c>
      <c r="D15" s="367" t="s">
        <v>4090</v>
      </c>
      <c r="E15" s="354" t="s">
        <v>4109</v>
      </c>
      <c r="F15" s="368"/>
      <c r="G15" s="369"/>
      <c r="H15" s="358">
        <f t="shared" ref="H15:H27" si="3">G15*18710</f>
        <v>0</v>
      </c>
      <c r="I15" s="358"/>
      <c r="J15" s="358">
        <v>0</v>
      </c>
      <c r="K15" s="371"/>
      <c r="L15" s="372"/>
      <c r="M15" s="358"/>
      <c r="N15" s="358"/>
      <c r="O15" s="358">
        <f t="shared" si="1"/>
        <v>0</v>
      </c>
      <c r="P15" s="385">
        <v>2163636</v>
      </c>
      <c r="Q15" s="358">
        <f t="shared" si="2"/>
        <v>2163636</v>
      </c>
      <c r="R15" s="195"/>
      <c r="S15" s="195"/>
    </row>
    <row r="16" spans="1:19" ht="20.100000000000001" customHeight="1" x14ac:dyDescent="0.25">
      <c r="A16" s="350">
        <v>9</v>
      </c>
      <c r="B16" s="365">
        <v>44510</v>
      </c>
      <c r="C16" s="366" t="s">
        <v>4071</v>
      </c>
      <c r="D16" s="367" t="s">
        <v>4091</v>
      </c>
      <c r="E16" s="354" t="s">
        <v>705</v>
      </c>
      <c r="F16" s="368"/>
      <c r="G16" s="369">
        <v>84</v>
      </c>
      <c r="H16" s="358">
        <f t="shared" si="3"/>
        <v>1571640</v>
      </c>
      <c r="I16" s="358"/>
      <c r="J16" s="358">
        <v>1150000</v>
      </c>
      <c r="K16" s="371"/>
      <c r="L16" s="372"/>
      <c r="M16" s="358"/>
      <c r="N16" s="358"/>
      <c r="O16" s="358">
        <f t="shared" si="1"/>
        <v>2721640</v>
      </c>
      <c r="P16" s="385">
        <v>3400000</v>
      </c>
      <c r="Q16" s="358">
        <f t="shared" si="2"/>
        <v>678360</v>
      </c>
      <c r="R16" s="195"/>
      <c r="S16" s="195"/>
    </row>
    <row r="17" spans="1:19" ht="20.100000000000001" customHeight="1" x14ac:dyDescent="0.25">
      <c r="A17" s="350">
        <v>10</v>
      </c>
      <c r="B17" s="365">
        <v>44512</v>
      </c>
      <c r="C17" s="366" t="s">
        <v>4072</v>
      </c>
      <c r="D17" s="367" t="s">
        <v>4092</v>
      </c>
      <c r="E17" s="354" t="s">
        <v>566</v>
      </c>
      <c r="F17" s="368"/>
      <c r="G17" s="369">
        <v>86</v>
      </c>
      <c r="H17" s="358">
        <f t="shared" si="3"/>
        <v>1609060</v>
      </c>
      <c r="I17" s="358"/>
      <c r="J17" s="358">
        <v>1150000</v>
      </c>
      <c r="K17" s="371"/>
      <c r="L17" s="372"/>
      <c r="M17" s="358"/>
      <c r="N17" s="358"/>
      <c r="O17" s="358">
        <f t="shared" si="1"/>
        <v>2759060</v>
      </c>
      <c r="P17" s="385">
        <v>4254545</v>
      </c>
      <c r="Q17" s="358">
        <f t="shared" si="2"/>
        <v>1495485</v>
      </c>
      <c r="R17" s="195"/>
      <c r="S17" s="195"/>
    </row>
    <row r="18" spans="1:19" ht="20.100000000000001" customHeight="1" x14ac:dyDescent="0.25">
      <c r="A18" s="350">
        <v>11</v>
      </c>
      <c r="B18" s="365">
        <v>44512</v>
      </c>
      <c r="C18" s="366" t="s">
        <v>4073</v>
      </c>
      <c r="D18" s="367" t="s">
        <v>4093</v>
      </c>
      <c r="E18" s="354" t="s">
        <v>566</v>
      </c>
      <c r="F18" s="368"/>
      <c r="G18" s="369">
        <v>86</v>
      </c>
      <c r="H18" s="358">
        <f t="shared" si="3"/>
        <v>1609060</v>
      </c>
      <c r="I18" s="358"/>
      <c r="J18" s="358">
        <v>1150000</v>
      </c>
      <c r="K18" s="371"/>
      <c r="L18" s="372"/>
      <c r="M18" s="358"/>
      <c r="N18" s="358"/>
      <c r="O18" s="358">
        <f t="shared" si="1"/>
        <v>2759060</v>
      </c>
      <c r="P18" s="385">
        <v>4254545</v>
      </c>
      <c r="Q18" s="358">
        <f t="shared" si="2"/>
        <v>1495485</v>
      </c>
      <c r="R18" s="195"/>
      <c r="S18" s="195"/>
    </row>
    <row r="19" spans="1:19" ht="20.100000000000001" customHeight="1" x14ac:dyDescent="0.25">
      <c r="A19" s="350">
        <v>12</v>
      </c>
      <c r="B19" s="365">
        <v>44515</v>
      </c>
      <c r="C19" s="366" t="s">
        <v>4074</v>
      </c>
      <c r="D19" s="367" t="s">
        <v>4094</v>
      </c>
      <c r="E19" s="354" t="s">
        <v>21</v>
      </c>
      <c r="F19" s="368"/>
      <c r="G19" s="369">
        <v>240</v>
      </c>
      <c r="H19" s="358">
        <f t="shared" si="3"/>
        <v>4490400</v>
      </c>
      <c r="I19" s="370"/>
      <c r="J19" s="358">
        <v>2740000</v>
      </c>
      <c r="K19" s="371"/>
      <c r="L19" s="372"/>
      <c r="M19" s="358"/>
      <c r="N19" s="358"/>
      <c r="O19" s="358">
        <f t="shared" si="1"/>
        <v>7230400</v>
      </c>
      <c r="P19" s="385">
        <v>13181818</v>
      </c>
      <c r="Q19" s="358">
        <f t="shared" si="2"/>
        <v>5951418</v>
      </c>
      <c r="R19" s="195"/>
      <c r="S19" s="195"/>
    </row>
    <row r="20" spans="1:19" ht="20.100000000000001" customHeight="1" x14ac:dyDescent="0.25">
      <c r="A20" s="350">
        <v>13</v>
      </c>
      <c r="B20" s="365">
        <v>44515</v>
      </c>
      <c r="C20" s="366" t="s">
        <v>2789</v>
      </c>
      <c r="D20" s="367" t="s">
        <v>4095</v>
      </c>
      <c r="E20" s="354" t="s">
        <v>4110</v>
      </c>
      <c r="F20" s="368"/>
      <c r="G20" s="369">
        <v>71</v>
      </c>
      <c r="H20" s="358">
        <f t="shared" si="3"/>
        <v>1328410</v>
      </c>
      <c r="I20" s="370"/>
      <c r="J20" s="358">
        <v>790000</v>
      </c>
      <c r="K20" s="371"/>
      <c r="L20" s="372"/>
      <c r="M20" s="358"/>
      <c r="N20" s="358"/>
      <c r="O20" s="358">
        <f t="shared" si="1"/>
        <v>2118410</v>
      </c>
      <c r="P20" s="385">
        <v>3000000</v>
      </c>
      <c r="Q20" s="358">
        <f t="shared" si="2"/>
        <v>881590</v>
      </c>
      <c r="R20" s="195"/>
      <c r="S20" s="195"/>
    </row>
    <row r="21" spans="1:19" ht="20.100000000000001" customHeight="1" x14ac:dyDescent="0.25">
      <c r="A21" s="350">
        <v>14</v>
      </c>
      <c r="B21" s="365">
        <v>44516</v>
      </c>
      <c r="C21" s="366" t="s">
        <v>4075</v>
      </c>
      <c r="D21" s="367" t="s">
        <v>4096</v>
      </c>
      <c r="E21" s="354" t="s">
        <v>301</v>
      </c>
      <c r="F21" s="368"/>
      <c r="G21" s="369">
        <v>415</v>
      </c>
      <c r="H21" s="358">
        <f t="shared" si="3"/>
        <v>7764650</v>
      </c>
      <c r="I21" s="370"/>
      <c r="J21" s="358">
        <v>3820000</v>
      </c>
      <c r="K21" s="371"/>
      <c r="L21" s="372"/>
      <c r="M21" s="358"/>
      <c r="N21" s="358"/>
      <c r="O21" s="358">
        <f t="shared" si="1"/>
        <v>11584650</v>
      </c>
      <c r="P21" s="385">
        <v>18304545</v>
      </c>
      <c r="Q21" s="358">
        <f t="shared" si="2"/>
        <v>6719895</v>
      </c>
      <c r="R21" s="195"/>
      <c r="S21" s="195"/>
    </row>
    <row r="22" spans="1:19" ht="20.100000000000001" customHeight="1" x14ac:dyDescent="0.25">
      <c r="A22" s="350">
        <v>15</v>
      </c>
      <c r="B22" s="365">
        <v>44518</v>
      </c>
      <c r="C22" s="366" t="s">
        <v>4076</v>
      </c>
      <c r="D22" s="367" t="s">
        <v>4097</v>
      </c>
      <c r="E22" s="354" t="s">
        <v>286</v>
      </c>
      <c r="F22" s="368"/>
      <c r="G22" s="369">
        <v>102</v>
      </c>
      <c r="H22" s="358">
        <f t="shared" si="3"/>
        <v>1908420</v>
      </c>
      <c r="I22" s="370"/>
      <c r="J22" s="358">
        <v>1150000</v>
      </c>
      <c r="K22" s="371"/>
      <c r="L22" s="372"/>
      <c r="M22" s="358"/>
      <c r="N22" s="358"/>
      <c r="O22" s="358">
        <f t="shared" si="1"/>
        <v>3058420</v>
      </c>
      <c r="P22" s="385">
        <v>4018182</v>
      </c>
      <c r="Q22" s="358">
        <f t="shared" si="2"/>
        <v>959762</v>
      </c>
      <c r="R22" s="195"/>
      <c r="S22" s="195"/>
    </row>
    <row r="23" spans="1:19" ht="20.100000000000001" customHeight="1" x14ac:dyDescent="0.25">
      <c r="A23" s="350">
        <v>16</v>
      </c>
      <c r="B23" s="365">
        <v>44519</v>
      </c>
      <c r="C23" s="366" t="s">
        <v>3380</v>
      </c>
      <c r="D23" s="367" t="s">
        <v>4097</v>
      </c>
      <c r="E23" s="354" t="s">
        <v>2885</v>
      </c>
      <c r="F23" s="368"/>
      <c r="G23" s="369"/>
      <c r="H23" s="358">
        <f t="shared" si="3"/>
        <v>0</v>
      </c>
      <c r="I23" s="370"/>
      <c r="J23" s="358">
        <v>300000</v>
      </c>
      <c r="K23" s="371"/>
      <c r="L23" s="372"/>
      <c r="M23" s="358"/>
      <c r="N23" s="358"/>
      <c r="O23" s="358">
        <f t="shared" si="1"/>
        <v>300000</v>
      </c>
      <c r="P23" s="385">
        <v>2246364</v>
      </c>
      <c r="Q23" s="358">
        <f t="shared" si="2"/>
        <v>1946364</v>
      </c>
      <c r="R23" s="195"/>
      <c r="S23" s="195"/>
    </row>
    <row r="24" spans="1:19" ht="20.100000000000001" customHeight="1" x14ac:dyDescent="0.25">
      <c r="A24" s="350">
        <v>17</v>
      </c>
      <c r="B24" s="365">
        <v>44520</v>
      </c>
      <c r="C24" s="366" t="s">
        <v>3381</v>
      </c>
      <c r="D24" s="367" t="s">
        <v>4098</v>
      </c>
      <c r="E24" s="354" t="s">
        <v>4111</v>
      </c>
      <c r="F24" s="368"/>
      <c r="G24" s="369">
        <v>101</v>
      </c>
      <c r="H24" s="358">
        <f t="shared" si="3"/>
        <v>1889710</v>
      </c>
      <c r="I24" s="370"/>
      <c r="J24" s="358">
        <v>1150000</v>
      </c>
      <c r="K24" s="371"/>
      <c r="L24" s="372"/>
      <c r="M24" s="358"/>
      <c r="N24" s="358"/>
      <c r="O24" s="358">
        <f t="shared" si="1"/>
        <v>3039710</v>
      </c>
      <c r="P24" s="385">
        <v>3700000</v>
      </c>
      <c r="Q24" s="358">
        <f t="shared" si="2"/>
        <v>660290</v>
      </c>
      <c r="R24" s="195"/>
      <c r="S24" s="195"/>
    </row>
    <row r="25" spans="1:19" ht="20.100000000000001" customHeight="1" x14ac:dyDescent="0.25">
      <c r="A25" s="350">
        <v>18</v>
      </c>
      <c r="B25" s="365">
        <v>44522</v>
      </c>
      <c r="C25" s="366" t="s">
        <v>4077</v>
      </c>
      <c r="D25" s="367" t="s">
        <v>4099</v>
      </c>
      <c r="E25" s="354" t="s">
        <v>356</v>
      </c>
      <c r="F25" s="368"/>
      <c r="G25" s="369">
        <v>93</v>
      </c>
      <c r="H25" s="358">
        <f t="shared" si="3"/>
        <v>1740030</v>
      </c>
      <c r="I25" s="370"/>
      <c r="J25" s="358">
        <v>1150000</v>
      </c>
      <c r="K25" s="371"/>
      <c r="L25" s="372"/>
      <c r="M25" s="358"/>
      <c r="N25" s="358"/>
      <c r="O25" s="358">
        <f t="shared" si="1"/>
        <v>2890030</v>
      </c>
      <c r="P25" s="385">
        <v>4500000</v>
      </c>
      <c r="Q25" s="358">
        <f t="shared" si="2"/>
        <v>1609970</v>
      </c>
      <c r="R25" s="195"/>
      <c r="S25" s="195"/>
    </row>
    <row r="26" spans="1:19" ht="20.100000000000001" customHeight="1" x14ac:dyDescent="0.25">
      <c r="A26" s="350">
        <v>19</v>
      </c>
      <c r="B26" s="365">
        <v>44523</v>
      </c>
      <c r="C26" s="366" t="s">
        <v>4078</v>
      </c>
      <c r="D26" s="367" t="s">
        <v>4100</v>
      </c>
      <c r="E26" s="354" t="s">
        <v>4112</v>
      </c>
      <c r="F26" s="368"/>
      <c r="G26" s="369">
        <v>63</v>
      </c>
      <c r="H26" s="358">
        <f t="shared" si="3"/>
        <v>1178730</v>
      </c>
      <c r="I26" s="370"/>
      <c r="J26" s="358">
        <v>790000</v>
      </c>
      <c r="K26" s="371"/>
      <c r="L26" s="372"/>
      <c r="M26" s="358"/>
      <c r="N26" s="358"/>
      <c r="O26" s="358">
        <f t="shared" si="1"/>
        <v>1968730</v>
      </c>
      <c r="P26" s="385">
        <v>3263636</v>
      </c>
      <c r="Q26" s="358">
        <f t="shared" si="2"/>
        <v>1294906</v>
      </c>
      <c r="R26" s="195"/>
      <c r="S26" s="195"/>
    </row>
    <row r="27" spans="1:19" ht="20.100000000000001" customHeight="1" x14ac:dyDescent="0.25">
      <c r="A27" s="350">
        <v>20</v>
      </c>
      <c r="B27" s="365">
        <v>44523</v>
      </c>
      <c r="C27" s="366" t="s">
        <v>4079</v>
      </c>
      <c r="D27" s="367" t="s">
        <v>4100</v>
      </c>
      <c r="E27" s="354" t="s">
        <v>3465</v>
      </c>
      <c r="F27" s="368"/>
      <c r="G27" s="369"/>
      <c r="H27" s="358">
        <f t="shared" si="3"/>
        <v>0</v>
      </c>
      <c r="I27" s="370"/>
      <c r="J27" s="358">
        <v>300000</v>
      </c>
      <c r="K27" s="371"/>
      <c r="L27" s="372"/>
      <c r="M27" s="358"/>
      <c r="N27" s="358"/>
      <c r="O27" s="358">
        <f t="shared" si="1"/>
        <v>300000</v>
      </c>
      <c r="P27" s="385">
        <v>1609091</v>
      </c>
      <c r="Q27" s="358">
        <f t="shared" si="2"/>
        <v>1309091</v>
      </c>
      <c r="R27" s="195"/>
      <c r="S27" s="195"/>
    </row>
    <row r="28" spans="1:19" ht="20.100000000000001" customHeight="1" x14ac:dyDescent="0.25">
      <c r="A28" s="350">
        <v>21</v>
      </c>
      <c r="B28" s="365">
        <v>44523</v>
      </c>
      <c r="C28" s="366" t="s">
        <v>1452</v>
      </c>
      <c r="D28" s="367" t="s">
        <v>4101</v>
      </c>
      <c r="E28" s="354" t="s">
        <v>301</v>
      </c>
      <c r="F28" s="368"/>
      <c r="G28" s="369">
        <v>365</v>
      </c>
      <c r="H28" s="370">
        <f>G28*18380</f>
        <v>6708700</v>
      </c>
      <c r="I28" s="370"/>
      <c r="J28" s="358">
        <v>3820000</v>
      </c>
      <c r="K28" s="371"/>
      <c r="L28" s="372"/>
      <c r="M28" s="358"/>
      <c r="N28" s="358"/>
      <c r="O28" s="358">
        <f t="shared" si="1"/>
        <v>10528700</v>
      </c>
      <c r="P28" s="385">
        <v>18304545</v>
      </c>
      <c r="Q28" s="358">
        <f t="shared" si="2"/>
        <v>7775845</v>
      </c>
      <c r="R28" s="195"/>
      <c r="S28" s="195"/>
    </row>
    <row r="29" spans="1:19" ht="20.100000000000001" customHeight="1" x14ac:dyDescent="0.25">
      <c r="A29" s="350">
        <v>22</v>
      </c>
      <c r="B29" s="365">
        <v>44525</v>
      </c>
      <c r="C29" s="366" t="s">
        <v>4080</v>
      </c>
      <c r="D29" s="367" t="s">
        <v>4102</v>
      </c>
      <c r="E29" s="354" t="s">
        <v>4113</v>
      </c>
      <c r="F29" s="368"/>
      <c r="G29" s="369">
        <v>78</v>
      </c>
      <c r="H29" s="370">
        <f t="shared" ref="H29:H33" si="4">G29*18380</f>
        <v>1433640</v>
      </c>
      <c r="I29" s="370"/>
      <c r="J29" s="358">
        <v>790000</v>
      </c>
      <c r="K29" s="371"/>
      <c r="L29" s="372"/>
      <c r="M29" s="358"/>
      <c r="N29" s="358"/>
      <c r="O29" s="358">
        <f t="shared" si="1"/>
        <v>2223640</v>
      </c>
      <c r="P29" s="385">
        <v>3500000</v>
      </c>
      <c r="Q29" s="358">
        <f t="shared" si="2"/>
        <v>1276360</v>
      </c>
      <c r="R29" s="195"/>
      <c r="S29" s="195"/>
    </row>
    <row r="30" spans="1:19" ht="24" customHeight="1" x14ac:dyDescent="0.25">
      <c r="A30" s="350">
        <v>23</v>
      </c>
      <c r="B30" s="365">
        <v>44526</v>
      </c>
      <c r="C30" s="366" t="s">
        <v>3388</v>
      </c>
      <c r="D30" s="367" t="s">
        <v>4103</v>
      </c>
      <c r="E30" s="354" t="s">
        <v>4114</v>
      </c>
      <c r="F30" s="368"/>
      <c r="G30" s="369">
        <v>58</v>
      </c>
      <c r="H30" s="370">
        <f t="shared" si="4"/>
        <v>1066040</v>
      </c>
      <c r="I30" s="370"/>
      <c r="J30" s="358">
        <v>790000</v>
      </c>
      <c r="K30" s="371"/>
      <c r="L30" s="372"/>
      <c r="M30" s="358"/>
      <c r="N30" s="358"/>
      <c r="O30" s="358">
        <f t="shared" si="1"/>
        <v>1856040</v>
      </c>
      <c r="P30" s="385">
        <v>3518182</v>
      </c>
      <c r="Q30" s="358">
        <f t="shared" si="2"/>
        <v>1662142</v>
      </c>
      <c r="R30" s="195"/>
      <c r="S30" s="195"/>
    </row>
    <row r="31" spans="1:19" ht="20.100000000000001" customHeight="1" x14ac:dyDescent="0.25">
      <c r="A31" s="350">
        <v>24</v>
      </c>
      <c r="B31" s="365">
        <v>44529</v>
      </c>
      <c r="C31" s="366" t="s">
        <v>4081</v>
      </c>
      <c r="D31" s="367" t="s">
        <v>4104</v>
      </c>
      <c r="E31" s="354" t="s">
        <v>4106</v>
      </c>
      <c r="F31" s="368"/>
      <c r="G31" s="369">
        <v>76</v>
      </c>
      <c r="H31" s="370">
        <f t="shared" si="4"/>
        <v>1396880</v>
      </c>
      <c r="I31" s="370"/>
      <c r="J31" s="358">
        <v>1150000</v>
      </c>
      <c r="K31" s="371"/>
      <c r="L31" s="372"/>
      <c r="M31" s="358"/>
      <c r="N31" s="358"/>
      <c r="O31" s="358">
        <f t="shared" si="1"/>
        <v>2546880</v>
      </c>
      <c r="P31" s="385">
        <v>3700000</v>
      </c>
      <c r="Q31" s="358">
        <f t="shared" si="2"/>
        <v>1153120</v>
      </c>
      <c r="R31" s="195"/>
      <c r="S31" s="195"/>
    </row>
    <row r="32" spans="1:19" ht="20.100000000000001" customHeight="1" x14ac:dyDescent="0.25">
      <c r="A32" s="350">
        <v>25</v>
      </c>
      <c r="B32" s="365">
        <v>44529</v>
      </c>
      <c r="C32" s="366" t="s">
        <v>4082</v>
      </c>
      <c r="D32" s="367" t="s">
        <v>4105</v>
      </c>
      <c r="E32" s="354" t="s">
        <v>4115</v>
      </c>
      <c r="F32" s="368"/>
      <c r="G32" s="369">
        <v>10</v>
      </c>
      <c r="H32" s="370">
        <f t="shared" si="4"/>
        <v>183800</v>
      </c>
      <c r="I32" s="370"/>
      <c r="J32" s="358">
        <v>200000</v>
      </c>
      <c r="K32" s="371"/>
      <c r="L32" s="372"/>
      <c r="M32" s="358"/>
      <c r="N32" s="358"/>
      <c r="O32" s="358">
        <f t="shared" si="1"/>
        <v>383800</v>
      </c>
      <c r="P32" s="385">
        <v>1500000</v>
      </c>
      <c r="Q32" s="358">
        <f t="shared" si="2"/>
        <v>1116200</v>
      </c>
      <c r="R32" s="195"/>
      <c r="S32" s="195"/>
    </row>
    <row r="33" spans="1:19" ht="20.100000000000001" customHeight="1" x14ac:dyDescent="0.25">
      <c r="A33" s="350">
        <v>26</v>
      </c>
      <c r="B33" s="365">
        <v>44529</v>
      </c>
      <c r="C33" s="366" t="s">
        <v>4083</v>
      </c>
      <c r="D33" s="367" t="s">
        <v>3554</v>
      </c>
      <c r="E33" s="354" t="s">
        <v>4041</v>
      </c>
      <c r="F33" s="368"/>
      <c r="G33" s="369">
        <v>87</v>
      </c>
      <c r="H33" s="370">
        <f t="shared" si="4"/>
        <v>1599060</v>
      </c>
      <c r="I33" s="370"/>
      <c r="J33" s="358">
        <v>1150000</v>
      </c>
      <c r="K33" s="371"/>
      <c r="L33" s="372"/>
      <c r="M33" s="358"/>
      <c r="N33" s="358"/>
      <c r="O33" s="358">
        <f t="shared" si="1"/>
        <v>2749060</v>
      </c>
      <c r="P33" s="385">
        <v>4345455</v>
      </c>
      <c r="Q33" s="358">
        <f t="shared" si="2"/>
        <v>1596395</v>
      </c>
      <c r="R33" s="195"/>
      <c r="S33" s="195"/>
    </row>
    <row r="34" spans="1:19" ht="20.100000000000001" customHeight="1" x14ac:dyDescent="0.25">
      <c r="A34" s="350"/>
      <c r="B34" s="460"/>
      <c r="C34" s="463"/>
      <c r="D34" s="464"/>
      <c r="E34" s="465"/>
      <c r="F34" s="386"/>
      <c r="G34" s="442"/>
      <c r="H34" s="442"/>
      <c r="I34" s="466"/>
      <c r="J34" s="389"/>
      <c r="K34" s="467"/>
      <c r="L34" s="468"/>
      <c r="M34" s="389"/>
      <c r="N34" s="389"/>
      <c r="O34" s="362"/>
      <c r="P34" s="385"/>
      <c r="Q34" s="378"/>
      <c r="R34" s="195"/>
      <c r="S34" s="195"/>
    </row>
    <row r="35" spans="1:19" ht="27" customHeight="1" x14ac:dyDescent="0.25">
      <c r="A35" s="374"/>
      <c r="B35" s="379"/>
      <c r="C35" s="594" t="s">
        <v>1273</v>
      </c>
      <c r="D35" s="595"/>
      <c r="E35" s="596"/>
      <c r="F35" s="402"/>
      <c r="G35" s="358"/>
      <c r="H35" s="369"/>
      <c r="I35" s="403"/>
      <c r="J35" s="381"/>
      <c r="K35" s="435">
        <v>1200000</v>
      </c>
      <c r="L35" s="372"/>
      <c r="M35" s="381"/>
      <c r="N35" s="381"/>
      <c r="O35" s="362">
        <f>H35+J35+K35+L35+M35+N35</f>
        <v>1200000</v>
      </c>
      <c r="P35" s="385"/>
      <c r="Q35" s="378"/>
    </row>
    <row r="36" spans="1:19" ht="27" customHeight="1" x14ac:dyDescent="0.25">
      <c r="A36" s="386"/>
      <c r="B36" s="379"/>
      <c r="C36" s="594" t="s">
        <v>4185</v>
      </c>
      <c r="D36" s="595"/>
      <c r="E36" s="596"/>
      <c r="F36" s="402"/>
      <c r="G36" s="381"/>
      <c r="H36" s="369"/>
      <c r="I36" s="403"/>
      <c r="J36" s="381"/>
      <c r="K36" s="394"/>
      <c r="L36" s="437">
        <v>340000</v>
      </c>
      <c r="M36" s="388"/>
      <c r="N36" s="381"/>
      <c r="O36" s="362">
        <f t="shared" ref="O36:O43" si="5">H36+J36+K36+L36+M36+N36</f>
        <v>340000</v>
      </c>
      <c r="P36" s="389"/>
      <c r="Q36" s="378"/>
    </row>
    <row r="37" spans="1:19" ht="27" customHeight="1" x14ac:dyDescent="0.25">
      <c r="A37" s="386"/>
      <c r="B37" s="379"/>
      <c r="C37" s="594" t="s">
        <v>4117</v>
      </c>
      <c r="D37" s="595"/>
      <c r="E37" s="596"/>
      <c r="F37" s="402"/>
      <c r="G37" s="381"/>
      <c r="H37" s="369"/>
      <c r="I37" s="403"/>
      <c r="J37" s="381"/>
      <c r="K37" s="394"/>
      <c r="L37" s="437">
        <v>200000</v>
      </c>
      <c r="M37" s="388"/>
      <c r="N37" s="381"/>
      <c r="O37" s="362">
        <f>H37+J37+K37+L37+M37+N37</f>
        <v>200000</v>
      </c>
      <c r="P37" s="389"/>
      <c r="Q37" s="378"/>
    </row>
    <row r="38" spans="1:19" ht="27" customHeight="1" x14ac:dyDescent="0.25">
      <c r="A38" s="386"/>
      <c r="B38" s="379"/>
      <c r="C38" s="594" t="s">
        <v>4118</v>
      </c>
      <c r="D38" s="595"/>
      <c r="E38" s="596"/>
      <c r="F38" s="402"/>
      <c r="G38" s="381"/>
      <c r="H38" s="369"/>
      <c r="I38" s="403"/>
      <c r="J38" s="381"/>
      <c r="K38" s="394"/>
      <c r="L38" s="388"/>
      <c r="M38" s="437">
        <v>70000</v>
      </c>
      <c r="N38" s="381"/>
      <c r="O38" s="362">
        <f t="shared" si="5"/>
        <v>70000</v>
      </c>
      <c r="P38" s="389"/>
      <c r="Q38" s="378"/>
    </row>
    <row r="39" spans="1:19" ht="27" customHeight="1" x14ac:dyDescent="0.25">
      <c r="A39" s="386"/>
      <c r="B39" s="379"/>
      <c r="C39" s="594" t="s">
        <v>4119</v>
      </c>
      <c r="D39" s="595"/>
      <c r="E39" s="596"/>
      <c r="F39" s="402"/>
      <c r="G39" s="381"/>
      <c r="H39" s="369"/>
      <c r="I39" s="403"/>
      <c r="J39" s="381"/>
      <c r="K39" s="394"/>
      <c r="L39" s="437">
        <v>1250000</v>
      </c>
      <c r="M39" s="372"/>
      <c r="N39" s="381"/>
      <c r="O39" s="362">
        <f t="shared" si="5"/>
        <v>1250000</v>
      </c>
      <c r="P39" s="389"/>
      <c r="Q39" s="378"/>
    </row>
    <row r="40" spans="1:19" ht="27" customHeight="1" x14ac:dyDescent="0.25">
      <c r="A40" s="386"/>
      <c r="B40" s="379"/>
      <c r="C40" s="594" t="s">
        <v>4120</v>
      </c>
      <c r="D40" s="595"/>
      <c r="E40" s="596"/>
      <c r="F40" s="402"/>
      <c r="G40" s="381"/>
      <c r="H40" s="369"/>
      <c r="I40" s="403"/>
      <c r="J40" s="381"/>
      <c r="K40" s="394"/>
      <c r="L40" s="437">
        <v>1000000</v>
      </c>
      <c r="M40" s="388"/>
      <c r="N40" s="381"/>
      <c r="O40" s="362">
        <f t="shared" si="5"/>
        <v>1000000</v>
      </c>
      <c r="P40" s="389"/>
      <c r="Q40" s="378"/>
    </row>
    <row r="41" spans="1:19" ht="27" customHeight="1" x14ac:dyDescent="0.25">
      <c r="A41" s="386"/>
      <c r="B41" s="379"/>
      <c r="C41" s="594" t="s">
        <v>4184</v>
      </c>
      <c r="D41" s="595"/>
      <c r="E41" s="596"/>
      <c r="F41" s="402"/>
      <c r="G41" s="381"/>
      <c r="H41" s="369"/>
      <c r="I41" s="403"/>
      <c r="J41" s="381"/>
      <c r="K41" s="439">
        <v>170000</v>
      </c>
      <c r="L41" s="388"/>
      <c r="M41" s="388"/>
      <c r="N41" s="381"/>
      <c r="O41" s="362">
        <f t="shared" si="5"/>
        <v>170000</v>
      </c>
      <c r="P41" s="389"/>
      <c r="Q41" s="378"/>
    </row>
    <row r="42" spans="1:19" ht="27" customHeight="1" x14ac:dyDescent="0.25">
      <c r="A42" s="386"/>
      <c r="B42" s="379"/>
      <c r="C42" s="594" t="s">
        <v>4116</v>
      </c>
      <c r="D42" s="595"/>
      <c r="E42" s="596"/>
      <c r="F42" s="402"/>
      <c r="G42" s="381"/>
      <c r="H42" s="369"/>
      <c r="I42" s="403"/>
      <c r="J42" s="381"/>
      <c r="K42" s="439">
        <v>120000</v>
      </c>
      <c r="L42" s="388"/>
      <c r="M42" s="388"/>
      <c r="N42" s="381"/>
      <c r="O42" s="362">
        <f t="shared" si="5"/>
        <v>120000</v>
      </c>
      <c r="P42" s="389"/>
      <c r="Q42" s="378"/>
    </row>
    <row r="43" spans="1:19" ht="18" customHeight="1" x14ac:dyDescent="0.25">
      <c r="A43" s="386"/>
      <c r="B43" s="391"/>
      <c r="C43" s="579" t="s">
        <v>1386</v>
      </c>
      <c r="D43" s="580"/>
      <c r="E43" s="581"/>
      <c r="F43" s="461"/>
      <c r="G43" s="381"/>
      <c r="H43" s="369"/>
      <c r="I43" s="403"/>
      <c r="J43" s="381"/>
      <c r="K43" s="439">
        <v>8000000</v>
      </c>
      <c r="L43" s="394"/>
      <c r="M43" s="381"/>
      <c r="N43" s="381"/>
      <c r="O43" s="362">
        <f t="shared" si="5"/>
        <v>8000000</v>
      </c>
      <c r="P43" s="389"/>
      <c r="Q43" s="378"/>
    </row>
    <row r="44" spans="1:19" x14ac:dyDescent="0.25">
      <c r="A44" s="576" t="s">
        <v>19</v>
      </c>
      <c r="B44" s="577"/>
      <c r="C44" s="577"/>
      <c r="D44" s="577"/>
      <c r="E44" s="577"/>
      <c r="F44" s="578"/>
      <c r="G44" s="395">
        <f>SUM(G8:G43)</f>
        <v>2703</v>
      </c>
      <c r="H44" s="396">
        <f t="shared" ref="H44:N44" si="6">SUM(H7:H43)</f>
        <v>50350710</v>
      </c>
      <c r="I44" s="396">
        <f t="shared" si="6"/>
        <v>0</v>
      </c>
      <c r="J44" s="396">
        <f t="shared" si="6"/>
        <v>31550000</v>
      </c>
      <c r="K44" s="396">
        <f t="shared" si="6"/>
        <v>9490000</v>
      </c>
      <c r="L44" s="396">
        <f t="shared" si="6"/>
        <v>2790000</v>
      </c>
      <c r="M44" s="396">
        <f t="shared" si="6"/>
        <v>70000</v>
      </c>
      <c r="N44" s="396">
        <f t="shared" si="6"/>
        <v>0</v>
      </c>
      <c r="O44" s="396">
        <f>SUM(O7:O43)</f>
        <v>94250710</v>
      </c>
      <c r="P44" s="396">
        <f>SUM(P7:P43)</f>
        <v>134600908</v>
      </c>
      <c r="Q44" s="396">
        <f>P44-O44</f>
        <v>40350198</v>
      </c>
      <c r="R44" s="195"/>
    </row>
    <row r="45" spans="1:19" x14ac:dyDescent="0.25">
      <c r="P45" s="294"/>
      <c r="Q45" s="295"/>
    </row>
    <row r="46" spans="1:19" x14ac:dyDescent="0.25">
      <c r="B46"/>
      <c r="G46"/>
      <c r="H46" s="294"/>
      <c r="P46" s="296" t="s">
        <v>1225</v>
      </c>
      <c r="Q46" s="295">
        <f>'10.2021'!Q61+'11.2021'!Q44</f>
        <v>343549375.69230771</v>
      </c>
    </row>
    <row r="47" spans="1:19" x14ac:dyDescent="0.25">
      <c r="B47"/>
      <c r="G47"/>
      <c r="Q47" s="294"/>
    </row>
    <row r="48" spans="1:19" x14ac:dyDescent="0.25">
      <c r="B48"/>
      <c r="G48"/>
      <c r="R48" s="195"/>
    </row>
  </sheetData>
  <mergeCells count="14">
    <mergeCell ref="C43:E43"/>
    <mergeCell ref="A44:F44"/>
    <mergeCell ref="C41:E41"/>
    <mergeCell ref="C37:E37"/>
    <mergeCell ref="C38:E38"/>
    <mergeCell ref="C39:E39"/>
    <mergeCell ref="C40:E40"/>
    <mergeCell ref="C42:E42"/>
    <mergeCell ref="C36:E36"/>
    <mergeCell ref="A1:Q1"/>
    <mergeCell ref="A2:Q2"/>
    <mergeCell ref="A3:Q3"/>
    <mergeCell ref="G5:N5"/>
    <mergeCell ref="C35:E35"/>
  </mergeCells>
  <pageMargins left="0.7" right="0.7" top="0.75" bottom="0.75" header="0.3" footer="0.3"/>
  <pageSetup paperSize="9" orientation="portrait" horizontalDpi="0" verticalDpi="0"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F8EAC-EAE7-4574-B7C7-053A2C700452}">
  <dimension ref="A1:S47"/>
  <sheetViews>
    <sheetView topLeftCell="A22" workbookViewId="0">
      <selection activeCell="G10" sqref="G10"/>
    </sheetView>
  </sheetViews>
  <sheetFormatPr defaultColWidth="9.140625"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0.28515625" style="292" bestFit="1"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4121</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19"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19" x14ac:dyDescent="0.25">
      <c r="A7" s="75"/>
      <c r="B7" s="100"/>
      <c r="C7" s="88"/>
      <c r="D7" s="88"/>
      <c r="E7" s="134"/>
      <c r="F7" s="75"/>
      <c r="G7" s="264"/>
      <c r="H7" s="264"/>
      <c r="I7" s="264"/>
      <c r="J7" s="264"/>
      <c r="K7" s="264"/>
      <c r="L7" s="308"/>
      <c r="M7" s="264"/>
      <c r="N7" s="264"/>
      <c r="O7" s="265"/>
      <c r="P7" s="265"/>
      <c r="Q7" s="264"/>
    </row>
    <row r="8" spans="1:19" ht="20.100000000000001" customHeight="1" x14ac:dyDescent="0.25">
      <c r="A8" s="350">
        <v>1</v>
      </c>
      <c r="B8" s="365">
        <v>44531</v>
      </c>
      <c r="C8" s="366" t="s">
        <v>4122</v>
      </c>
      <c r="D8" s="367" t="s">
        <v>4154</v>
      </c>
      <c r="E8" s="354" t="s">
        <v>4041</v>
      </c>
      <c r="F8" s="368"/>
      <c r="G8" s="369">
        <v>88</v>
      </c>
      <c r="H8" s="358">
        <f>G8*18380</f>
        <v>1617440</v>
      </c>
      <c r="I8" s="358"/>
      <c r="J8" s="358">
        <v>1150000</v>
      </c>
      <c r="K8" s="371"/>
      <c r="L8" s="372"/>
      <c r="M8" s="358"/>
      <c r="N8" s="358"/>
      <c r="O8" s="358">
        <f>H8+J8+K8+L8+M8+N8</f>
        <v>2767440</v>
      </c>
      <c r="P8" s="358">
        <v>4345455</v>
      </c>
      <c r="Q8" s="358">
        <f>P8-O8</f>
        <v>1578015</v>
      </c>
      <c r="R8" s="195"/>
      <c r="S8" s="195"/>
    </row>
    <row r="9" spans="1:19" ht="20.100000000000001" customHeight="1" x14ac:dyDescent="0.25">
      <c r="A9" s="350">
        <v>2</v>
      </c>
      <c r="B9" s="365">
        <v>44531</v>
      </c>
      <c r="C9" s="366" t="s">
        <v>4123</v>
      </c>
      <c r="D9" s="415" t="s">
        <v>4155</v>
      </c>
      <c r="E9" s="354" t="s">
        <v>4142</v>
      </c>
      <c r="F9" s="368"/>
      <c r="G9" s="369">
        <v>28</v>
      </c>
      <c r="H9" s="358">
        <f t="shared" ref="H9:H15" si="0">G9*18380</f>
        <v>514640</v>
      </c>
      <c r="I9" s="358"/>
      <c r="J9" s="358">
        <v>700000</v>
      </c>
      <c r="K9" s="371"/>
      <c r="L9" s="372"/>
      <c r="M9" s="358"/>
      <c r="N9" s="358"/>
      <c r="O9" s="358">
        <f t="shared" ref="O9:O34" si="1">H9+J9+K9+L9+M9+N9</f>
        <v>1214640</v>
      </c>
      <c r="P9" s="385">
        <v>2800000</v>
      </c>
      <c r="Q9" s="358">
        <f t="shared" ref="Q9:Q34" si="2">P9-O9</f>
        <v>1585360</v>
      </c>
      <c r="R9" s="195"/>
      <c r="S9" s="195"/>
    </row>
    <row r="10" spans="1:19" ht="20.100000000000001" customHeight="1" x14ac:dyDescent="0.25">
      <c r="A10" s="350">
        <v>3</v>
      </c>
      <c r="B10" s="365">
        <v>44532</v>
      </c>
      <c r="C10" s="366" t="s">
        <v>4124</v>
      </c>
      <c r="D10" s="367" t="s">
        <v>4156</v>
      </c>
      <c r="E10" s="354" t="s">
        <v>24</v>
      </c>
      <c r="F10" s="368"/>
      <c r="G10" s="369">
        <v>183</v>
      </c>
      <c r="H10" s="358">
        <f t="shared" si="0"/>
        <v>3363540</v>
      </c>
      <c r="I10" s="358"/>
      <c r="J10" s="358">
        <v>1890000</v>
      </c>
      <c r="K10" s="371"/>
      <c r="L10" s="372"/>
      <c r="M10" s="358"/>
      <c r="N10" s="358"/>
      <c r="O10" s="358">
        <f t="shared" si="1"/>
        <v>5253540</v>
      </c>
      <c r="P10" s="385">
        <v>8027273</v>
      </c>
      <c r="Q10" s="358">
        <f t="shared" si="2"/>
        <v>2773733</v>
      </c>
      <c r="R10" s="195"/>
      <c r="S10" s="195"/>
    </row>
    <row r="11" spans="1:19" ht="20.100000000000001" customHeight="1" x14ac:dyDescent="0.25">
      <c r="A11" s="350">
        <v>4</v>
      </c>
      <c r="B11" s="365">
        <v>44536</v>
      </c>
      <c r="C11" s="366" t="s">
        <v>4125</v>
      </c>
      <c r="D11" s="367" t="s">
        <v>4157</v>
      </c>
      <c r="E11" s="354" t="s">
        <v>3222</v>
      </c>
      <c r="F11" s="368"/>
      <c r="G11" s="369">
        <v>77</v>
      </c>
      <c r="H11" s="358">
        <f t="shared" si="0"/>
        <v>1415260</v>
      </c>
      <c r="I11" s="358"/>
      <c r="J11" s="358">
        <v>1150000</v>
      </c>
      <c r="K11" s="371"/>
      <c r="L11" s="372"/>
      <c r="M11" s="358"/>
      <c r="N11" s="358"/>
      <c r="O11" s="358">
        <f t="shared" si="1"/>
        <v>2565260</v>
      </c>
      <c r="P11" s="385">
        <v>3636364</v>
      </c>
      <c r="Q11" s="358">
        <f t="shared" si="2"/>
        <v>1071104</v>
      </c>
      <c r="R11" s="195"/>
      <c r="S11" s="195"/>
    </row>
    <row r="12" spans="1:19" ht="23.25" customHeight="1" x14ac:dyDescent="0.25">
      <c r="A12" s="350">
        <v>5</v>
      </c>
      <c r="B12" s="365">
        <v>44536</v>
      </c>
      <c r="C12" s="366" t="s">
        <v>4126</v>
      </c>
      <c r="D12" s="367" t="s">
        <v>4158</v>
      </c>
      <c r="E12" s="354" t="s">
        <v>4143</v>
      </c>
      <c r="F12" s="368"/>
      <c r="G12" s="369">
        <v>67</v>
      </c>
      <c r="H12" s="358">
        <f t="shared" si="0"/>
        <v>1231460</v>
      </c>
      <c r="I12" s="358"/>
      <c r="J12" s="358">
        <v>790000</v>
      </c>
      <c r="K12" s="371"/>
      <c r="L12" s="372"/>
      <c r="M12" s="358"/>
      <c r="N12" s="358"/>
      <c r="O12" s="358">
        <f t="shared" si="1"/>
        <v>2021460</v>
      </c>
      <c r="P12" s="385">
        <v>4327273</v>
      </c>
      <c r="Q12" s="358">
        <f t="shared" si="2"/>
        <v>2305813</v>
      </c>
      <c r="R12" s="195"/>
      <c r="S12" s="195"/>
    </row>
    <row r="13" spans="1:19" ht="20.100000000000001" customHeight="1" x14ac:dyDescent="0.25">
      <c r="A13" s="350">
        <v>6</v>
      </c>
      <c r="B13" s="365">
        <v>44536</v>
      </c>
      <c r="C13" s="366" t="s">
        <v>4127</v>
      </c>
      <c r="D13" s="367" t="s">
        <v>4159</v>
      </c>
      <c r="E13" s="354" t="s">
        <v>30</v>
      </c>
      <c r="F13" s="368"/>
      <c r="G13" s="369">
        <v>109</v>
      </c>
      <c r="H13" s="358">
        <f t="shared" si="0"/>
        <v>2003420</v>
      </c>
      <c r="I13" s="358"/>
      <c r="J13" s="358">
        <v>790000</v>
      </c>
      <c r="K13" s="371"/>
      <c r="L13" s="372"/>
      <c r="M13" s="358"/>
      <c r="N13" s="358"/>
      <c r="O13" s="358">
        <f t="shared" si="1"/>
        <v>2793420</v>
      </c>
      <c r="P13" s="385">
        <v>4000000</v>
      </c>
      <c r="Q13" s="358">
        <f t="shared" si="2"/>
        <v>1206580</v>
      </c>
      <c r="R13" s="195"/>
      <c r="S13" s="195"/>
    </row>
    <row r="14" spans="1:19" ht="27.75" customHeight="1" x14ac:dyDescent="0.25">
      <c r="A14" s="350">
        <v>7</v>
      </c>
      <c r="B14" s="365">
        <v>44537</v>
      </c>
      <c r="C14" s="366" t="s">
        <v>1495</v>
      </c>
      <c r="D14" s="367" t="s">
        <v>2420</v>
      </c>
      <c r="E14" s="354" t="s">
        <v>426</v>
      </c>
      <c r="F14" s="368"/>
      <c r="G14" s="369">
        <v>85</v>
      </c>
      <c r="H14" s="358">
        <f t="shared" si="0"/>
        <v>1562300</v>
      </c>
      <c r="I14" s="358"/>
      <c r="J14" s="358">
        <v>1150000</v>
      </c>
      <c r="K14" s="371"/>
      <c r="L14" s="372"/>
      <c r="M14" s="358"/>
      <c r="N14" s="358"/>
      <c r="O14" s="358">
        <f t="shared" si="1"/>
        <v>2712300</v>
      </c>
      <c r="P14" s="385">
        <v>4000000</v>
      </c>
      <c r="Q14" s="358">
        <f t="shared" si="2"/>
        <v>1287700</v>
      </c>
      <c r="R14" s="195"/>
      <c r="S14" s="195"/>
    </row>
    <row r="15" spans="1:19" ht="20.100000000000001" customHeight="1" x14ac:dyDescent="0.25">
      <c r="A15" s="350">
        <v>8</v>
      </c>
      <c r="B15" s="365">
        <v>44538</v>
      </c>
      <c r="C15" s="366" t="s">
        <v>4128</v>
      </c>
      <c r="D15" s="367" t="s">
        <v>4160</v>
      </c>
      <c r="E15" s="354" t="s">
        <v>4144</v>
      </c>
      <c r="F15" s="368"/>
      <c r="G15" s="369">
        <v>89</v>
      </c>
      <c r="H15" s="358">
        <f t="shared" si="0"/>
        <v>1635820</v>
      </c>
      <c r="I15" s="358"/>
      <c r="J15" s="358">
        <v>1150000</v>
      </c>
      <c r="K15" s="371"/>
      <c r="L15" s="372"/>
      <c r="M15" s="358"/>
      <c r="N15" s="358"/>
      <c r="O15" s="358">
        <f t="shared" si="1"/>
        <v>2785820</v>
      </c>
      <c r="P15" s="385">
        <v>4000000</v>
      </c>
      <c r="Q15" s="358">
        <f t="shared" si="2"/>
        <v>1214180</v>
      </c>
      <c r="R15" s="195"/>
      <c r="S15" s="195"/>
    </row>
    <row r="16" spans="1:19" ht="20.100000000000001" customHeight="1" x14ac:dyDescent="0.25">
      <c r="A16" s="350">
        <v>9</v>
      </c>
      <c r="B16" s="365">
        <v>44539</v>
      </c>
      <c r="C16" s="366" t="s">
        <v>4129</v>
      </c>
      <c r="D16" s="367" t="s">
        <v>4161</v>
      </c>
      <c r="E16" s="354" t="s">
        <v>4145</v>
      </c>
      <c r="F16" s="368"/>
      <c r="G16" s="369">
        <v>110</v>
      </c>
      <c r="H16" s="358">
        <f>G16*17330</f>
        <v>1906300</v>
      </c>
      <c r="I16" s="358"/>
      <c r="J16" s="358">
        <v>1150000</v>
      </c>
      <c r="K16" s="371"/>
      <c r="L16" s="372"/>
      <c r="M16" s="358"/>
      <c r="N16" s="358"/>
      <c r="O16" s="358">
        <f t="shared" si="1"/>
        <v>3056300</v>
      </c>
      <c r="P16" s="385">
        <v>4500000</v>
      </c>
      <c r="Q16" s="358">
        <f t="shared" si="2"/>
        <v>1443700</v>
      </c>
      <c r="R16" s="195"/>
      <c r="S16" s="195"/>
    </row>
    <row r="17" spans="1:19" ht="20.100000000000001" customHeight="1" x14ac:dyDescent="0.25">
      <c r="A17" s="350">
        <v>10</v>
      </c>
      <c r="B17" s="365">
        <v>44540</v>
      </c>
      <c r="C17" s="366" t="s">
        <v>4130</v>
      </c>
      <c r="D17" s="367" t="s">
        <v>2481</v>
      </c>
      <c r="E17" s="354" t="s">
        <v>4146</v>
      </c>
      <c r="F17" s="368"/>
      <c r="G17" s="369">
        <v>97</v>
      </c>
      <c r="H17" s="358">
        <f t="shared" ref="H17:H26" si="3">G17*17330</f>
        <v>1681010</v>
      </c>
      <c r="I17" s="358"/>
      <c r="J17" s="358">
        <v>790000</v>
      </c>
      <c r="K17" s="371"/>
      <c r="L17" s="372"/>
      <c r="M17" s="358"/>
      <c r="N17" s="358"/>
      <c r="O17" s="358">
        <f t="shared" si="1"/>
        <v>2471010</v>
      </c>
      <c r="P17" s="385">
        <v>4181818</v>
      </c>
      <c r="Q17" s="358">
        <f t="shared" si="2"/>
        <v>1710808</v>
      </c>
      <c r="R17" s="195"/>
      <c r="S17" s="195"/>
    </row>
    <row r="18" spans="1:19" ht="20.100000000000001" customHeight="1" x14ac:dyDescent="0.25">
      <c r="A18" s="350">
        <v>11</v>
      </c>
      <c r="B18" s="365">
        <v>44543</v>
      </c>
      <c r="C18" s="366" t="s">
        <v>4131</v>
      </c>
      <c r="D18" s="367" t="s">
        <v>4162</v>
      </c>
      <c r="E18" s="354" t="s">
        <v>4147</v>
      </c>
      <c r="F18" s="368"/>
      <c r="G18" s="369">
        <v>68</v>
      </c>
      <c r="H18" s="358">
        <f t="shared" si="3"/>
        <v>1178440</v>
      </c>
      <c r="I18" s="358"/>
      <c r="J18" s="358">
        <v>790000</v>
      </c>
      <c r="K18" s="371"/>
      <c r="L18" s="372"/>
      <c r="M18" s="358"/>
      <c r="N18" s="358"/>
      <c r="O18" s="358">
        <f t="shared" si="1"/>
        <v>1968440</v>
      </c>
      <c r="P18" s="385">
        <v>3500000</v>
      </c>
      <c r="Q18" s="358">
        <f t="shared" si="2"/>
        <v>1531560</v>
      </c>
      <c r="R18" s="195"/>
      <c r="S18" s="195"/>
    </row>
    <row r="19" spans="1:19" ht="20.100000000000001" customHeight="1" x14ac:dyDescent="0.25">
      <c r="A19" s="350">
        <v>12</v>
      </c>
      <c r="B19" s="365">
        <v>44543</v>
      </c>
      <c r="C19" s="366" t="s">
        <v>796</v>
      </c>
      <c r="D19" s="367" t="s">
        <v>4163</v>
      </c>
      <c r="E19" s="354" t="s">
        <v>2589</v>
      </c>
      <c r="F19" s="368"/>
      <c r="G19" s="369">
        <v>82</v>
      </c>
      <c r="H19" s="358">
        <f t="shared" si="3"/>
        <v>1421060</v>
      </c>
      <c r="I19" s="370"/>
      <c r="J19" s="358">
        <v>1150000</v>
      </c>
      <c r="K19" s="371"/>
      <c r="L19" s="372"/>
      <c r="M19" s="358"/>
      <c r="N19" s="358"/>
      <c r="O19" s="358">
        <f t="shared" si="1"/>
        <v>2571060</v>
      </c>
      <c r="P19" s="385">
        <v>4145455</v>
      </c>
      <c r="Q19" s="358">
        <f t="shared" si="2"/>
        <v>1574395</v>
      </c>
      <c r="R19" s="195"/>
      <c r="S19" s="195"/>
    </row>
    <row r="20" spans="1:19" ht="20.100000000000001" customHeight="1" x14ac:dyDescent="0.25">
      <c r="A20" s="350">
        <v>13</v>
      </c>
      <c r="B20" s="365">
        <v>44544</v>
      </c>
      <c r="C20" s="366" t="s">
        <v>4132</v>
      </c>
      <c r="D20" s="367" t="s">
        <v>4164</v>
      </c>
      <c r="E20" s="354" t="s">
        <v>21</v>
      </c>
      <c r="F20" s="368"/>
      <c r="G20" s="369">
        <v>247</v>
      </c>
      <c r="H20" s="358">
        <f t="shared" si="3"/>
        <v>4280510</v>
      </c>
      <c r="I20" s="370"/>
      <c r="J20" s="358">
        <v>2740000</v>
      </c>
      <c r="K20" s="371"/>
      <c r="L20" s="372"/>
      <c r="M20" s="358"/>
      <c r="N20" s="358"/>
      <c r="O20" s="358">
        <f t="shared" si="1"/>
        <v>7020510</v>
      </c>
      <c r="P20" s="385">
        <v>13272727</v>
      </c>
      <c r="Q20" s="358">
        <f t="shared" si="2"/>
        <v>6252217</v>
      </c>
      <c r="R20" s="195"/>
      <c r="S20" s="195"/>
    </row>
    <row r="21" spans="1:19" ht="20.100000000000001" customHeight="1" x14ac:dyDescent="0.25">
      <c r="A21" s="350">
        <v>14</v>
      </c>
      <c r="B21" s="365">
        <v>44545</v>
      </c>
      <c r="C21" s="366" t="s">
        <v>4133</v>
      </c>
      <c r="D21" s="367" t="s">
        <v>4165</v>
      </c>
      <c r="E21" s="354" t="s">
        <v>4148</v>
      </c>
      <c r="F21" s="368"/>
      <c r="G21" s="369">
        <v>101</v>
      </c>
      <c r="H21" s="358">
        <f t="shared" si="3"/>
        <v>1750330</v>
      </c>
      <c r="I21" s="370"/>
      <c r="J21" s="358">
        <v>1150000</v>
      </c>
      <c r="K21" s="371"/>
      <c r="L21" s="372"/>
      <c r="M21" s="358"/>
      <c r="N21" s="358"/>
      <c r="O21" s="358">
        <f t="shared" si="1"/>
        <v>2900330</v>
      </c>
      <c r="P21" s="385">
        <v>4000000</v>
      </c>
      <c r="Q21" s="358">
        <f t="shared" si="2"/>
        <v>1099670</v>
      </c>
      <c r="R21" s="195"/>
      <c r="S21" s="195"/>
    </row>
    <row r="22" spans="1:19" ht="20.100000000000001" customHeight="1" x14ac:dyDescent="0.25">
      <c r="A22" s="350">
        <v>15</v>
      </c>
      <c r="B22" s="365">
        <v>44546</v>
      </c>
      <c r="C22" s="366" t="s">
        <v>2205</v>
      </c>
      <c r="D22" s="367" t="s">
        <v>4166</v>
      </c>
      <c r="E22" s="354" t="s">
        <v>4149</v>
      </c>
      <c r="F22" s="368"/>
      <c r="G22" s="369">
        <v>81</v>
      </c>
      <c r="H22" s="358">
        <f t="shared" si="3"/>
        <v>1403730</v>
      </c>
      <c r="I22" s="370"/>
      <c r="J22" s="358">
        <v>1150000</v>
      </c>
      <c r="K22" s="371"/>
      <c r="L22" s="372"/>
      <c r="M22" s="358"/>
      <c r="N22" s="358"/>
      <c r="O22" s="358">
        <f t="shared" si="1"/>
        <v>2553730</v>
      </c>
      <c r="P22" s="385">
        <v>4400000</v>
      </c>
      <c r="Q22" s="358">
        <f t="shared" si="2"/>
        <v>1846270</v>
      </c>
      <c r="R22" s="195"/>
      <c r="S22" s="195"/>
    </row>
    <row r="23" spans="1:19" ht="20.100000000000001" customHeight="1" x14ac:dyDescent="0.25">
      <c r="A23" s="350">
        <v>16</v>
      </c>
      <c r="B23" s="365">
        <v>44548</v>
      </c>
      <c r="C23" s="366" t="s">
        <v>4134</v>
      </c>
      <c r="D23" s="367" t="s">
        <v>4167</v>
      </c>
      <c r="E23" s="354" t="s">
        <v>356</v>
      </c>
      <c r="F23" s="368"/>
      <c r="G23" s="369">
        <v>95</v>
      </c>
      <c r="H23" s="358">
        <f t="shared" si="3"/>
        <v>1646350</v>
      </c>
      <c r="I23" s="370"/>
      <c r="J23" s="358">
        <v>1150000</v>
      </c>
      <c r="K23" s="371"/>
      <c r="L23" s="372"/>
      <c r="M23" s="358"/>
      <c r="N23" s="358"/>
      <c r="O23" s="358">
        <f t="shared" si="1"/>
        <v>2796350</v>
      </c>
      <c r="P23" s="385">
        <v>4500000</v>
      </c>
      <c r="Q23" s="358">
        <f t="shared" si="2"/>
        <v>1703650</v>
      </c>
      <c r="R23" s="195"/>
      <c r="S23" s="195"/>
    </row>
    <row r="24" spans="1:19" ht="20.100000000000001" customHeight="1" x14ac:dyDescent="0.25">
      <c r="A24" s="350">
        <v>17</v>
      </c>
      <c r="B24" s="365">
        <v>44550</v>
      </c>
      <c r="C24" s="366" t="s">
        <v>4135</v>
      </c>
      <c r="D24" s="367" t="s">
        <v>4168</v>
      </c>
      <c r="E24" s="354" t="s">
        <v>4041</v>
      </c>
      <c r="F24" s="368"/>
      <c r="G24" s="369">
        <v>87</v>
      </c>
      <c r="H24" s="358">
        <f t="shared" si="3"/>
        <v>1507710</v>
      </c>
      <c r="I24" s="370"/>
      <c r="J24" s="358">
        <v>1150000</v>
      </c>
      <c r="K24" s="371"/>
      <c r="L24" s="372"/>
      <c r="M24" s="358"/>
      <c r="N24" s="358"/>
      <c r="O24" s="358">
        <f t="shared" si="1"/>
        <v>2657710</v>
      </c>
      <c r="P24" s="385">
        <v>4345455</v>
      </c>
      <c r="Q24" s="358">
        <f t="shared" si="2"/>
        <v>1687745</v>
      </c>
      <c r="R24" s="195"/>
      <c r="S24" s="195"/>
    </row>
    <row r="25" spans="1:19" ht="20.100000000000001" customHeight="1" x14ac:dyDescent="0.25">
      <c r="A25" s="350">
        <v>18</v>
      </c>
      <c r="B25" s="365">
        <v>44550</v>
      </c>
      <c r="C25" s="366" t="s">
        <v>2208</v>
      </c>
      <c r="D25" s="367" t="s">
        <v>4169</v>
      </c>
      <c r="E25" s="354" t="s">
        <v>4150</v>
      </c>
      <c r="F25" s="368"/>
      <c r="G25" s="369">
        <v>79</v>
      </c>
      <c r="H25" s="358">
        <f t="shared" si="3"/>
        <v>1369070</v>
      </c>
      <c r="I25" s="370"/>
      <c r="J25" s="358">
        <v>1150000</v>
      </c>
      <c r="K25" s="371"/>
      <c r="L25" s="372"/>
      <c r="M25" s="358"/>
      <c r="N25" s="358"/>
      <c r="O25" s="358">
        <f t="shared" si="1"/>
        <v>2519070</v>
      </c>
      <c r="P25" s="385">
        <v>3900000</v>
      </c>
      <c r="Q25" s="358">
        <f t="shared" si="2"/>
        <v>1380930</v>
      </c>
      <c r="R25" s="195"/>
      <c r="S25" s="195"/>
    </row>
    <row r="26" spans="1:19" ht="20.100000000000001" customHeight="1" x14ac:dyDescent="0.25">
      <c r="A26" s="350">
        <v>19</v>
      </c>
      <c r="B26" s="365">
        <v>44551</v>
      </c>
      <c r="C26" s="366" t="s">
        <v>4136</v>
      </c>
      <c r="D26" s="367" t="s">
        <v>4170</v>
      </c>
      <c r="E26" s="354" t="s">
        <v>24</v>
      </c>
      <c r="F26" s="368"/>
      <c r="G26" s="369">
        <v>193</v>
      </c>
      <c r="H26" s="358">
        <f t="shared" si="3"/>
        <v>3344690</v>
      </c>
      <c r="I26" s="370"/>
      <c r="J26" s="358">
        <v>1890000</v>
      </c>
      <c r="K26" s="371"/>
      <c r="L26" s="372"/>
      <c r="M26" s="358"/>
      <c r="N26" s="358"/>
      <c r="O26" s="358">
        <f t="shared" si="1"/>
        <v>5234690</v>
      </c>
      <c r="P26" s="385">
        <v>8390909</v>
      </c>
      <c r="Q26" s="358">
        <f t="shared" si="2"/>
        <v>3156219</v>
      </c>
      <c r="R26" s="195"/>
      <c r="S26" s="195"/>
    </row>
    <row r="27" spans="1:19" ht="20.100000000000001" customHeight="1" x14ac:dyDescent="0.25">
      <c r="A27" s="350">
        <v>20</v>
      </c>
      <c r="B27" s="365">
        <v>44553</v>
      </c>
      <c r="C27" s="366" t="s">
        <v>4137</v>
      </c>
      <c r="D27" s="367" t="s">
        <v>4171</v>
      </c>
      <c r="E27" s="354" t="s">
        <v>30</v>
      </c>
      <c r="F27" s="368"/>
      <c r="G27" s="369">
        <v>109</v>
      </c>
      <c r="H27" s="358">
        <f>G27*17570</f>
        <v>1915130</v>
      </c>
      <c r="I27" s="370"/>
      <c r="J27" s="358">
        <v>790000</v>
      </c>
      <c r="K27" s="371"/>
      <c r="L27" s="372"/>
      <c r="M27" s="358"/>
      <c r="N27" s="358"/>
      <c r="O27" s="358">
        <f t="shared" si="1"/>
        <v>2705130</v>
      </c>
      <c r="P27" s="385">
        <v>4000000</v>
      </c>
      <c r="Q27" s="358">
        <f t="shared" si="2"/>
        <v>1294870</v>
      </c>
      <c r="R27" s="195"/>
      <c r="S27" s="195"/>
    </row>
    <row r="28" spans="1:19" ht="20.100000000000001" customHeight="1" x14ac:dyDescent="0.25">
      <c r="A28" s="350">
        <v>21</v>
      </c>
      <c r="B28" s="365">
        <v>44555</v>
      </c>
      <c r="C28" s="366" t="s">
        <v>2845</v>
      </c>
      <c r="D28" s="367" t="s">
        <v>4172</v>
      </c>
      <c r="E28" s="354" t="s">
        <v>1023</v>
      </c>
      <c r="F28" s="368"/>
      <c r="G28" s="369">
        <v>111</v>
      </c>
      <c r="H28" s="358">
        <f t="shared" ref="H28:H34" si="4">G28*17570</f>
        <v>1950270</v>
      </c>
      <c r="I28" s="370"/>
      <c r="J28" s="358">
        <v>1150000</v>
      </c>
      <c r="K28" s="371"/>
      <c r="L28" s="372"/>
      <c r="M28" s="358"/>
      <c r="N28" s="358"/>
      <c r="O28" s="358">
        <f t="shared" si="1"/>
        <v>3100270</v>
      </c>
      <c r="P28" s="385">
        <v>5000000</v>
      </c>
      <c r="Q28" s="358">
        <f t="shared" si="2"/>
        <v>1899730</v>
      </c>
      <c r="R28" s="195"/>
      <c r="S28" s="195"/>
    </row>
    <row r="29" spans="1:19" ht="20.100000000000001" customHeight="1" x14ac:dyDescent="0.25">
      <c r="A29" s="350">
        <v>22</v>
      </c>
      <c r="B29" s="365">
        <v>44557</v>
      </c>
      <c r="C29" s="366" t="s">
        <v>4138</v>
      </c>
      <c r="D29" s="367" t="s">
        <v>4173</v>
      </c>
      <c r="E29" s="354" t="s">
        <v>4151</v>
      </c>
      <c r="F29" s="368"/>
      <c r="G29" s="369">
        <v>6</v>
      </c>
      <c r="H29" s="358">
        <f t="shared" si="4"/>
        <v>105420</v>
      </c>
      <c r="I29" s="370"/>
      <c r="J29" s="358">
        <v>300000</v>
      </c>
      <c r="K29" s="371"/>
      <c r="L29" s="372"/>
      <c r="M29" s="358"/>
      <c r="N29" s="358"/>
      <c r="O29" s="358">
        <f t="shared" si="1"/>
        <v>405420</v>
      </c>
      <c r="P29" s="385">
        <v>1500000</v>
      </c>
      <c r="Q29" s="358">
        <f t="shared" si="2"/>
        <v>1094580</v>
      </c>
      <c r="R29" s="195"/>
      <c r="S29" s="195"/>
    </row>
    <row r="30" spans="1:19" ht="24" customHeight="1" x14ac:dyDescent="0.25">
      <c r="A30" s="350">
        <v>23</v>
      </c>
      <c r="B30" s="365">
        <v>44557</v>
      </c>
      <c r="C30" s="366" t="s">
        <v>4138</v>
      </c>
      <c r="D30" s="367" t="s">
        <v>4174</v>
      </c>
      <c r="E30" s="354" t="s">
        <v>4151</v>
      </c>
      <c r="F30" s="368"/>
      <c r="G30" s="369">
        <v>6</v>
      </c>
      <c r="H30" s="358">
        <f t="shared" si="4"/>
        <v>105420</v>
      </c>
      <c r="I30" s="370"/>
      <c r="J30" s="358">
        <v>300000</v>
      </c>
      <c r="K30" s="371"/>
      <c r="L30" s="372"/>
      <c r="M30" s="358"/>
      <c r="N30" s="358"/>
      <c r="O30" s="358">
        <f t="shared" si="1"/>
        <v>405420</v>
      </c>
      <c r="P30" s="385">
        <v>1500000</v>
      </c>
      <c r="Q30" s="358">
        <f t="shared" si="2"/>
        <v>1094580</v>
      </c>
      <c r="R30" s="195"/>
      <c r="S30" s="195"/>
    </row>
    <row r="31" spans="1:19" ht="20.100000000000001" customHeight="1" x14ac:dyDescent="0.25">
      <c r="A31" s="350">
        <v>24</v>
      </c>
      <c r="B31" s="365">
        <v>44557</v>
      </c>
      <c r="C31" s="366" t="s">
        <v>808</v>
      </c>
      <c r="D31" s="367" t="s">
        <v>4175</v>
      </c>
      <c r="E31" s="354" t="s">
        <v>4152</v>
      </c>
      <c r="F31" s="368"/>
      <c r="G31" s="369">
        <v>135</v>
      </c>
      <c r="H31" s="358">
        <f t="shared" si="4"/>
        <v>2371950</v>
      </c>
      <c r="I31" s="370"/>
      <c r="J31" s="358">
        <v>1150000</v>
      </c>
      <c r="K31" s="371"/>
      <c r="L31" s="372"/>
      <c r="M31" s="358"/>
      <c r="N31" s="358"/>
      <c r="O31" s="358">
        <f t="shared" si="1"/>
        <v>3521950</v>
      </c>
      <c r="P31" s="385">
        <v>4581818</v>
      </c>
      <c r="Q31" s="358">
        <f t="shared" si="2"/>
        <v>1059868</v>
      </c>
      <c r="R31" s="195"/>
      <c r="S31" s="195"/>
    </row>
    <row r="32" spans="1:19" ht="20.100000000000001" customHeight="1" x14ac:dyDescent="0.25">
      <c r="A32" s="350">
        <v>25</v>
      </c>
      <c r="B32" s="365">
        <v>44558</v>
      </c>
      <c r="C32" s="366" t="s">
        <v>4139</v>
      </c>
      <c r="D32" s="367" t="s">
        <v>4175</v>
      </c>
      <c r="E32" s="354" t="s">
        <v>4153</v>
      </c>
      <c r="F32" s="368"/>
      <c r="G32" s="369"/>
      <c r="H32" s="358">
        <f t="shared" si="4"/>
        <v>0</v>
      </c>
      <c r="I32" s="370"/>
      <c r="J32" s="358">
        <v>680000</v>
      </c>
      <c r="K32" s="371"/>
      <c r="L32" s="372"/>
      <c r="M32" s="358"/>
      <c r="N32" s="358"/>
      <c r="O32" s="358">
        <f t="shared" si="1"/>
        <v>680000</v>
      </c>
      <c r="P32" s="385">
        <v>4100000</v>
      </c>
      <c r="Q32" s="358">
        <f t="shared" si="2"/>
        <v>3420000</v>
      </c>
      <c r="R32" s="195"/>
      <c r="S32" s="195"/>
    </row>
    <row r="33" spans="1:19" ht="20.100000000000001" customHeight="1" x14ac:dyDescent="0.25">
      <c r="A33" s="350">
        <v>26</v>
      </c>
      <c r="B33" s="365">
        <v>44559</v>
      </c>
      <c r="C33" s="366" t="s">
        <v>4140</v>
      </c>
      <c r="D33" s="367" t="s">
        <v>4176</v>
      </c>
      <c r="E33" s="354" t="s">
        <v>2502</v>
      </c>
      <c r="F33" s="368"/>
      <c r="G33" s="369">
        <v>95</v>
      </c>
      <c r="H33" s="358">
        <f t="shared" si="4"/>
        <v>1669150</v>
      </c>
      <c r="I33" s="370"/>
      <c r="J33" s="358">
        <v>1150000</v>
      </c>
      <c r="K33" s="371"/>
      <c r="L33" s="372"/>
      <c r="M33" s="358"/>
      <c r="N33" s="358"/>
      <c r="O33" s="358">
        <f t="shared" si="1"/>
        <v>2819150</v>
      </c>
      <c r="P33" s="385">
        <v>3900000</v>
      </c>
      <c r="Q33" s="358">
        <f t="shared" si="2"/>
        <v>1080850</v>
      </c>
      <c r="R33" s="195"/>
      <c r="S33" s="195"/>
    </row>
    <row r="34" spans="1:19" ht="20.100000000000001" customHeight="1" x14ac:dyDescent="0.25">
      <c r="A34" s="350">
        <v>27</v>
      </c>
      <c r="B34" s="460">
        <v>44560</v>
      </c>
      <c r="C34" s="463" t="s">
        <v>4141</v>
      </c>
      <c r="D34" s="464" t="s">
        <v>4177</v>
      </c>
      <c r="E34" s="465" t="s">
        <v>269</v>
      </c>
      <c r="F34" s="386"/>
      <c r="G34" s="442">
        <v>62</v>
      </c>
      <c r="H34" s="358">
        <f t="shared" si="4"/>
        <v>1089340</v>
      </c>
      <c r="I34" s="466"/>
      <c r="J34" s="389">
        <v>700000</v>
      </c>
      <c r="K34" s="467"/>
      <c r="L34" s="468"/>
      <c r="M34" s="389"/>
      <c r="N34" s="389"/>
      <c r="O34" s="362">
        <f t="shared" si="1"/>
        <v>1789340</v>
      </c>
      <c r="P34" s="385">
        <v>3000000</v>
      </c>
      <c r="Q34" s="378">
        <f t="shared" si="2"/>
        <v>1210660</v>
      </c>
      <c r="R34" s="195"/>
      <c r="S34" s="195"/>
    </row>
    <row r="35" spans="1:19" ht="27" customHeight="1" x14ac:dyDescent="0.25">
      <c r="A35" s="374"/>
      <c r="B35" s="379"/>
      <c r="C35" s="594" t="s">
        <v>1273</v>
      </c>
      <c r="D35" s="595"/>
      <c r="E35" s="596"/>
      <c r="F35" s="402"/>
      <c r="G35" s="358"/>
      <c r="H35" s="369"/>
      <c r="I35" s="403"/>
      <c r="J35" s="381"/>
      <c r="K35" s="435">
        <v>1200000</v>
      </c>
      <c r="L35" s="372"/>
      <c r="M35" s="381"/>
      <c r="N35" s="381"/>
      <c r="O35" s="362">
        <f>H35+J35+K35+L35+M35+N35</f>
        <v>1200000</v>
      </c>
      <c r="P35" s="385"/>
      <c r="Q35" s="378"/>
    </row>
    <row r="36" spans="1:19" ht="27" customHeight="1" x14ac:dyDescent="0.25">
      <c r="A36" s="386"/>
      <c r="B36" s="379"/>
      <c r="C36" s="594" t="s">
        <v>3471</v>
      </c>
      <c r="D36" s="595"/>
      <c r="E36" s="596"/>
      <c r="F36" s="402"/>
      <c r="G36" s="381"/>
      <c r="H36" s="369"/>
      <c r="I36" s="403"/>
      <c r="J36" s="381"/>
      <c r="K36" s="437">
        <v>300000</v>
      </c>
      <c r="L36" s="388"/>
      <c r="M36" s="381"/>
      <c r="N36" s="381"/>
      <c r="O36" s="362">
        <f>H36+J36+K36+L36+M36+N36</f>
        <v>300000</v>
      </c>
      <c r="P36" s="389"/>
      <c r="Q36" s="378"/>
    </row>
    <row r="37" spans="1:19" ht="27" customHeight="1" x14ac:dyDescent="0.25">
      <c r="A37" s="386"/>
      <c r="B37" s="379"/>
      <c r="C37" s="594" t="s">
        <v>4178</v>
      </c>
      <c r="D37" s="595"/>
      <c r="E37" s="596"/>
      <c r="F37" s="402"/>
      <c r="G37" s="381"/>
      <c r="H37" s="369"/>
      <c r="I37" s="403"/>
      <c r="J37" s="381"/>
      <c r="K37" s="394"/>
      <c r="L37" s="437">
        <v>700000</v>
      </c>
      <c r="M37" s="388"/>
      <c r="N37" s="381"/>
      <c r="O37" s="362">
        <f t="shared" ref="O37:O42" si="5">H37+J37+K37+L37+M37+N37</f>
        <v>700000</v>
      </c>
      <c r="P37" s="389"/>
      <c r="Q37" s="378"/>
    </row>
    <row r="38" spans="1:19" ht="27" customHeight="1" x14ac:dyDescent="0.25">
      <c r="A38" s="386"/>
      <c r="B38" s="379"/>
      <c r="C38" s="594" t="s">
        <v>4179</v>
      </c>
      <c r="D38" s="595"/>
      <c r="E38" s="596"/>
      <c r="F38" s="402"/>
      <c r="G38" s="381"/>
      <c r="H38" s="369"/>
      <c r="I38" s="403"/>
      <c r="J38" s="381"/>
      <c r="K38" s="394"/>
      <c r="L38" s="388"/>
      <c r="M38" s="388"/>
      <c r="N38" s="437">
        <v>1520000</v>
      </c>
      <c r="O38" s="362">
        <f>H38+J38+K38+L38+M38+N38</f>
        <v>1520000</v>
      </c>
      <c r="P38" s="389"/>
      <c r="Q38" s="378"/>
    </row>
    <row r="39" spans="1:19" ht="27" customHeight="1" x14ac:dyDescent="0.25">
      <c r="A39" s="386"/>
      <c r="B39" s="379"/>
      <c r="C39" s="594" t="s">
        <v>4180</v>
      </c>
      <c r="D39" s="595"/>
      <c r="E39" s="596"/>
      <c r="F39" s="402"/>
      <c r="G39" s="381"/>
      <c r="H39" s="369"/>
      <c r="I39" s="403"/>
      <c r="J39" s="381"/>
      <c r="K39" s="439">
        <v>100000</v>
      </c>
      <c r="L39" s="388"/>
      <c r="M39" s="388"/>
      <c r="N39" s="381"/>
      <c r="O39" s="362">
        <f t="shared" si="5"/>
        <v>100000</v>
      </c>
      <c r="P39" s="389"/>
      <c r="Q39" s="378"/>
    </row>
    <row r="40" spans="1:19" ht="27" customHeight="1" x14ac:dyDescent="0.25">
      <c r="A40" s="386"/>
      <c r="B40" s="379"/>
      <c r="C40" s="594" t="s">
        <v>4181</v>
      </c>
      <c r="D40" s="595"/>
      <c r="E40" s="596"/>
      <c r="F40" s="402"/>
      <c r="G40" s="381"/>
      <c r="H40" s="369"/>
      <c r="I40" s="403"/>
      <c r="J40" s="381"/>
      <c r="K40" s="394"/>
      <c r="L40" s="437">
        <v>200000</v>
      </c>
      <c r="M40" s="372"/>
      <c r="N40" s="381"/>
      <c r="O40" s="362">
        <f t="shared" si="5"/>
        <v>200000</v>
      </c>
      <c r="P40" s="389"/>
      <c r="Q40" s="378"/>
    </row>
    <row r="41" spans="1:19" ht="27" customHeight="1" x14ac:dyDescent="0.25">
      <c r="A41" s="386"/>
      <c r="B41" s="379"/>
      <c r="C41" s="594" t="s">
        <v>4182</v>
      </c>
      <c r="D41" s="595"/>
      <c r="E41" s="596"/>
      <c r="F41" s="402"/>
      <c r="G41" s="381"/>
      <c r="H41" s="369"/>
      <c r="I41" s="403"/>
      <c r="J41" s="381"/>
      <c r="K41" s="394"/>
      <c r="L41" s="437">
        <v>2380000</v>
      </c>
      <c r="M41" s="388"/>
      <c r="N41" s="381"/>
      <c r="O41" s="362">
        <f t="shared" si="5"/>
        <v>2380000</v>
      </c>
      <c r="P41" s="389"/>
      <c r="Q41" s="378"/>
    </row>
    <row r="42" spans="1:19" ht="18" customHeight="1" x14ac:dyDescent="0.25">
      <c r="A42" s="386"/>
      <c r="B42" s="391"/>
      <c r="C42" s="579" t="s">
        <v>1386</v>
      </c>
      <c r="D42" s="580"/>
      <c r="E42" s="581"/>
      <c r="F42" s="461"/>
      <c r="G42" s="381"/>
      <c r="H42" s="369"/>
      <c r="I42" s="403"/>
      <c r="J42" s="381"/>
      <c r="K42" s="439">
        <v>8000000</v>
      </c>
      <c r="L42" s="394"/>
      <c r="M42" s="381"/>
      <c r="N42" s="381"/>
      <c r="O42" s="362">
        <f t="shared" si="5"/>
        <v>8000000</v>
      </c>
      <c r="P42" s="389"/>
      <c r="Q42" s="378"/>
    </row>
    <row r="43" spans="1:19" x14ac:dyDescent="0.25">
      <c r="A43" s="576" t="s">
        <v>19</v>
      </c>
      <c r="B43" s="577"/>
      <c r="C43" s="577"/>
      <c r="D43" s="577"/>
      <c r="E43" s="577"/>
      <c r="F43" s="578"/>
      <c r="G43" s="395">
        <f>SUM(G8:G42)</f>
        <v>2490</v>
      </c>
      <c r="H43" s="396">
        <f t="shared" ref="H43:N43" si="6">SUM(H7:H42)</f>
        <v>44039760</v>
      </c>
      <c r="I43" s="396">
        <f t="shared" si="6"/>
        <v>0</v>
      </c>
      <c r="J43" s="396">
        <f t="shared" si="6"/>
        <v>29250000</v>
      </c>
      <c r="K43" s="396">
        <f t="shared" si="6"/>
        <v>9600000</v>
      </c>
      <c r="L43" s="396">
        <f t="shared" si="6"/>
        <v>3280000</v>
      </c>
      <c r="M43" s="396">
        <f t="shared" si="6"/>
        <v>0</v>
      </c>
      <c r="N43" s="396">
        <f t="shared" si="6"/>
        <v>1520000</v>
      </c>
      <c r="O43" s="396">
        <f>SUM(O7:O42)</f>
        <v>87689760</v>
      </c>
      <c r="P43" s="396">
        <f>SUM(P7:P42)</f>
        <v>121854547</v>
      </c>
      <c r="Q43" s="396">
        <f>P43-O43</f>
        <v>34164787</v>
      </c>
      <c r="R43" s="195"/>
    </row>
    <row r="44" spans="1:19" x14ac:dyDescent="0.25">
      <c r="P44" s="294"/>
      <c r="Q44" s="295"/>
    </row>
    <row r="45" spans="1:19" x14ac:dyDescent="0.25">
      <c r="B45"/>
      <c r="G45"/>
      <c r="H45" s="294"/>
      <c r="P45" s="296" t="s">
        <v>1225</v>
      </c>
      <c r="Q45" s="295">
        <f>'11.2021'!Q46+'12.2021'!Q43</f>
        <v>377714162.69230771</v>
      </c>
    </row>
    <row r="46" spans="1:19" x14ac:dyDescent="0.25">
      <c r="B46"/>
      <c r="G46"/>
      <c r="Q46" s="294"/>
    </row>
    <row r="47" spans="1:19" x14ac:dyDescent="0.25">
      <c r="B47"/>
      <c r="G47"/>
      <c r="R47" s="195"/>
    </row>
  </sheetData>
  <mergeCells count="13">
    <mergeCell ref="A1:Q1"/>
    <mergeCell ref="A2:Q2"/>
    <mergeCell ref="A3:Q3"/>
    <mergeCell ref="G5:N5"/>
    <mergeCell ref="C35:E35"/>
    <mergeCell ref="A43:F43"/>
    <mergeCell ref="C36:E36"/>
    <mergeCell ref="C38:E38"/>
    <mergeCell ref="C39:E39"/>
    <mergeCell ref="C40:E40"/>
    <mergeCell ref="C41:E41"/>
    <mergeCell ref="C42:E42"/>
    <mergeCell ref="C37:E37"/>
  </mergeCells>
  <pageMargins left="0.7" right="0.7" top="0.75" bottom="0.75" header="0.3" footer="0.3"/>
  <pageSetup paperSize="9" orientation="portrait" horizontalDpi="0" verticalDpi="0"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A1025-5103-4BD3-BE13-524CB2425B0A}">
  <dimension ref="A1:T41"/>
  <sheetViews>
    <sheetView topLeftCell="B22" workbookViewId="0">
      <selection activeCell="O30" sqref="O30"/>
    </sheetView>
  </sheetViews>
  <sheetFormatPr defaultColWidth="9.140625"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0.28515625" style="292" bestFit="1"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20" ht="23.25" x14ac:dyDescent="0.25">
      <c r="A1" s="551" t="s">
        <v>0</v>
      </c>
      <c r="B1" s="551"/>
      <c r="C1" s="551"/>
      <c r="D1" s="551"/>
      <c r="E1" s="551"/>
      <c r="F1" s="551"/>
      <c r="G1" s="551"/>
      <c r="H1" s="551"/>
      <c r="I1" s="551"/>
      <c r="J1" s="551"/>
      <c r="K1" s="551"/>
      <c r="L1" s="551"/>
      <c r="M1" s="551"/>
      <c r="N1" s="551"/>
      <c r="O1" s="551"/>
      <c r="P1" s="551"/>
      <c r="Q1" s="551"/>
    </row>
    <row r="2" spans="1:20" ht="15.75" x14ac:dyDescent="0.25">
      <c r="A2" s="550" t="s">
        <v>103</v>
      </c>
      <c r="B2" s="550"/>
      <c r="C2" s="550"/>
      <c r="D2" s="550"/>
      <c r="E2" s="550"/>
      <c r="F2" s="550"/>
      <c r="G2" s="550"/>
      <c r="H2" s="550"/>
      <c r="I2" s="550"/>
      <c r="J2" s="550"/>
      <c r="K2" s="550"/>
      <c r="L2" s="550"/>
      <c r="M2" s="550"/>
      <c r="N2" s="550"/>
      <c r="O2" s="550"/>
      <c r="P2" s="550"/>
      <c r="Q2" s="550"/>
    </row>
    <row r="3" spans="1:20" ht="15.75" x14ac:dyDescent="0.25">
      <c r="A3" s="550" t="s">
        <v>4186</v>
      </c>
      <c r="B3" s="550"/>
      <c r="C3" s="550"/>
      <c r="D3" s="550"/>
      <c r="E3" s="550"/>
      <c r="F3" s="550"/>
      <c r="G3" s="550"/>
      <c r="H3" s="550"/>
      <c r="I3" s="550"/>
      <c r="J3" s="550"/>
      <c r="K3" s="550"/>
      <c r="L3" s="550"/>
      <c r="M3" s="550"/>
      <c r="N3" s="550"/>
      <c r="O3" s="550"/>
      <c r="P3" s="550"/>
      <c r="Q3" s="550"/>
    </row>
    <row r="4" spans="1:20" x14ac:dyDescent="0.25">
      <c r="A4" s="74"/>
      <c r="B4" s="99"/>
      <c r="C4" s="74"/>
      <c r="D4" s="74"/>
      <c r="E4" s="74" t="s">
        <v>194</v>
      </c>
      <c r="F4" s="74"/>
      <c r="G4" s="257"/>
      <c r="H4" s="258"/>
      <c r="I4" s="258"/>
      <c r="J4" s="258"/>
      <c r="K4" s="258"/>
      <c r="L4" s="91"/>
      <c r="M4" s="258"/>
      <c r="N4" s="258"/>
      <c r="O4" s="258"/>
      <c r="P4" s="258"/>
      <c r="Q4" s="258"/>
    </row>
    <row r="5" spans="1:20"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20"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20" ht="15.75" thickBot="1" x14ac:dyDescent="0.3">
      <c r="A7" s="75"/>
      <c r="B7" s="100"/>
      <c r="C7" s="88"/>
      <c r="D7" s="88"/>
      <c r="E7" s="134"/>
      <c r="F7" s="75"/>
      <c r="G7" s="264"/>
      <c r="H7" s="264"/>
      <c r="I7" s="264"/>
      <c r="J7" s="264"/>
      <c r="K7" s="264"/>
      <c r="L7" s="308"/>
      <c r="M7" s="264"/>
      <c r="N7" s="264"/>
      <c r="O7" s="265"/>
      <c r="P7" s="265"/>
      <c r="Q7" s="264"/>
    </row>
    <row r="8" spans="1:20" ht="20.100000000000001" customHeight="1" thickBot="1" x14ac:dyDescent="0.3">
      <c r="A8" s="350">
        <v>1</v>
      </c>
      <c r="B8" s="365">
        <v>44564</v>
      </c>
      <c r="C8" s="366" t="s">
        <v>863</v>
      </c>
      <c r="D8" s="367" t="s">
        <v>4199</v>
      </c>
      <c r="E8" s="354" t="s">
        <v>4219</v>
      </c>
      <c r="F8" s="368"/>
      <c r="G8" s="369">
        <v>44</v>
      </c>
      <c r="H8" s="358">
        <f>G8*17570</f>
        <v>773080</v>
      </c>
      <c r="I8" s="358"/>
      <c r="J8" s="358">
        <v>200000</v>
      </c>
      <c r="K8" s="371"/>
      <c r="L8" s="372"/>
      <c r="M8" s="358"/>
      <c r="N8" s="358"/>
      <c r="O8" s="358">
        <f>H8+J8+K8+L8+M8+N8</f>
        <v>973080</v>
      </c>
      <c r="P8" s="358">
        <v>1609091</v>
      </c>
      <c r="Q8" s="358">
        <f>P8-O8</f>
        <v>636011</v>
      </c>
      <c r="R8" s="195"/>
      <c r="S8" s="98">
        <v>1609091</v>
      </c>
      <c r="T8" s="195">
        <f>S8-P8</f>
        <v>0</v>
      </c>
    </row>
    <row r="9" spans="1:20" ht="20.100000000000001" customHeight="1" thickBot="1" x14ac:dyDescent="0.3">
      <c r="A9" s="350">
        <v>2</v>
      </c>
      <c r="B9" s="365">
        <v>44564</v>
      </c>
      <c r="C9" s="366" t="s">
        <v>4187</v>
      </c>
      <c r="D9" s="415" t="s">
        <v>4200</v>
      </c>
      <c r="E9" s="354" t="s">
        <v>4220</v>
      </c>
      <c r="F9" s="368"/>
      <c r="G9" s="369">
        <v>0</v>
      </c>
      <c r="H9" s="358">
        <f t="shared" ref="H9:H13" si="0">G9*17570</f>
        <v>0</v>
      </c>
      <c r="I9" s="358"/>
      <c r="J9" s="358">
        <v>700000</v>
      </c>
      <c r="K9" s="371"/>
      <c r="L9" s="372"/>
      <c r="M9" s="358"/>
      <c r="N9" s="358"/>
      <c r="O9" s="358">
        <f t="shared" ref="O9:O29" si="1">H9+J9+K9+L9+M9+N9</f>
        <v>700000</v>
      </c>
      <c r="P9" s="385">
        <v>2572727</v>
      </c>
      <c r="Q9" s="358">
        <f t="shared" ref="Q9:Q29" si="2">P9-O9</f>
        <v>1872727</v>
      </c>
      <c r="R9" s="195"/>
      <c r="S9" s="98">
        <v>2572727</v>
      </c>
      <c r="T9" s="195">
        <f t="shared" ref="T9:T29" si="3">S9-P9</f>
        <v>0</v>
      </c>
    </row>
    <row r="10" spans="1:20" ht="20.100000000000001" customHeight="1" thickBot="1" x14ac:dyDescent="0.3">
      <c r="A10" s="350">
        <v>3</v>
      </c>
      <c r="B10" s="365">
        <v>44565</v>
      </c>
      <c r="C10" s="366" t="s">
        <v>868</v>
      </c>
      <c r="D10" s="367" t="s">
        <v>4201</v>
      </c>
      <c r="E10" s="354" t="s">
        <v>4221</v>
      </c>
      <c r="F10" s="368"/>
      <c r="G10" s="369">
        <v>90</v>
      </c>
      <c r="H10" s="358">
        <f t="shared" si="0"/>
        <v>1581300</v>
      </c>
      <c r="I10" s="358"/>
      <c r="J10" s="358">
        <v>1150000</v>
      </c>
      <c r="K10" s="371"/>
      <c r="L10" s="372"/>
      <c r="M10" s="358"/>
      <c r="N10" s="358"/>
      <c r="O10" s="358">
        <f t="shared" si="1"/>
        <v>2731300</v>
      </c>
      <c r="P10" s="481">
        <v>3800000</v>
      </c>
      <c r="Q10" s="358">
        <f t="shared" si="2"/>
        <v>1068700</v>
      </c>
      <c r="R10" s="195"/>
      <c r="S10" s="98">
        <v>3800000</v>
      </c>
      <c r="T10" s="195">
        <f t="shared" si="3"/>
        <v>0</v>
      </c>
    </row>
    <row r="11" spans="1:20" ht="20.100000000000001" customHeight="1" thickBot="1" x14ac:dyDescent="0.3">
      <c r="A11" s="350">
        <v>4</v>
      </c>
      <c r="B11" s="365">
        <v>44566</v>
      </c>
      <c r="C11" s="366" t="s">
        <v>4188</v>
      </c>
      <c r="D11" s="367" t="s">
        <v>4202</v>
      </c>
      <c r="E11" s="354" t="s">
        <v>24</v>
      </c>
      <c r="F11" s="368"/>
      <c r="G11" s="369">
        <v>185</v>
      </c>
      <c r="H11" s="358">
        <f t="shared" si="0"/>
        <v>3250450</v>
      </c>
      <c r="I11" s="358"/>
      <c r="J11" s="358">
        <v>1890000</v>
      </c>
      <c r="K11" s="371"/>
      <c r="L11" s="372"/>
      <c r="M11" s="358"/>
      <c r="N11" s="358"/>
      <c r="O11" s="358">
        <f t="shared" si="1"/>
        <v>5140450</v>
      </c>
      <c r="P11" s="385">
        <v>8188889</v>
      </c>
      <c r="Q11" s="358">
        <f t="shared" si="2"/>
        <v>3048439</v>
      </c>
      <c r="R11" s="195"/>
      <c r="S11" s="98">
        <v>8188889</v>
      </c>
      <c r="T11" s="195">
        <f t="shared" si="3"/>
        <v>0</v>
      </c>
    </row>
    <row r="12" spans="1:20" ht="23.25" customHeight="1" thickBot="1" x14ac:dyDescent="0.3">
      <c r="A12" s="350">
        <v>5</v>
      </c>
      <c r="B12" s="365">
        <v>44568</v>
      </c>
      <c r="C12" s="366" t="s">
        <v>2897</v>
      </c>
      <c r="D12" s="367" t="s">
        <v>4203</v>
      </c>
      <c r="E12" s="354" t="s">
        <v>4222</v>
      </c>
      <c r="F12" s="368"/>
      <c r="G12" s="369">
        <v>70</v>
      </c>
      <c r="H12" s="358">
        <f t="shared" si="0"/>
        <v>1229900</v>
      </c>
      <c r="I12" s="358"/>
      <c r="J12" s="358">
        <v>790000</v>
      </c>
      <c r="K12" s="371"/>
      <c r="L12" s="372"/>
      <c r="M12" s="358"/>
      <c r="N12" s="358"/>
      <c r="O12" s="358">
        <f t="shared" si="1"/>
        <v>2019900</v>
      </c>
      <c r="P12" s="385">
        <v>3300000</v>
      </c>
      <c r="Q12" s="358">
        <f t="shared" si="2"/>
        <v>1280100</v>
      </c>
      <c r="R12" s="195"/>
      <c r="S12" s="98">
        <v>3300000</v>
      </c>
      <c r="T12" s="195">
        <f t="shared" si="3"/>
        <v>0</v>
      </c>
    </row>
    <row r="13" spans="1:20" ht="20.100000000000001" customHeight="1" thickBot="1" x14ac:dyDescent="0.3">
      <c r="A13" s="350">
        <v>6</v>
      </c>
      <c r="B13" s="365">
        <v>44568</v>
      </c>
      <c r="C13" s="366" t="s">
        <v>2257</v>
      </c>
      <c r="D13" s="367" t="s">
        <v>4204</v>
      </c>
      <c r="E13" s="354" t="s">
        <v>4223</v>
      </c>
      <c r="F13" s="368"/>
      <c r="G13" s="369">
        <v>72</v>
      </c>
      <c r="H13" s="358">
        <f t="shared" si="0"/>
        <v>1265040</v>
      </c>
      <c r="I13" s="358"/>
      <c r="J13" s="358">
        <v>790000</v>
      </c>
      <c r="K13" s="371"/>
      <c r="L13" s="372"/>
      <c r="M13" s="358"/>
      <c r="N13" s="358"/>
      <c r="O13" s="358">
        <f t="shared" si="1"/>
        <v>2055040</v>
      </c>
      <c r="P13" s="385">
        <v>3800000</v>
      </c>
      <c r="Q13" s="358">
        <f t="shared" si="2"/>
        <v>1744960</v>
      </c>
      <c r="R13" s="195"/>
      <c r="S13" s="98">
        <v>3800000</v>
      </c>
      <c r="T13" s="195">
        <f t="shared" si="3"/>
        <v>0</v>
      </c>
    </row>
    <row r="14" spans="1:20" ht="27.75" customHeight="1" thickBot="1" x14ac:dyDescent="0.3">
      <c r="A14" s="350">
        <v>7</v>
      </c>
      <c r="B14" s="365">
        <v>44571</v>
      </c>
      <c r="C14" s="366" t="s">
        <v>876</v>
      </c>
      <c r="D14" s="367" t="s">
        <v>4205</v>
      </c>
      <c r="E14" s="354" t="s">
        <v>286</v>
      </c>
      <c r="F14" s="368"/>
      <c r="G14" s="369">
        <v>81</v>
      </c>
      <c r="H14" s="358">
        <f>G14*18230</f>
        <v>1476630</v>
      </c>
      <c r="I14" s="358"/>
      <c r="J14" s="358">
        <v>1150000</v>
      </c>
      <c r="K14" s="371"/>
      <c r="L14" s="372"/>
      <c r="M14" s="358"/>
      <c r="N14" s="358"/>
      <c r="O14" s="358">
        <f t="shared" si="1"/>
        <v>2626630</v>
      </c>
      <c r="P14" s="385">
        <v>4018182</v>
      </c>
      <c r="Q14" s="358">
        <f t="shared" si="2"/>
        <v>1391552</v>
      </c>
      <c r="R14" s="195"/>
      <c r="S14" s="98">
        <v>4018182</v>
      </c>
      <c r="T14" s="195">
        <f t="shared" si="3"/>
        <v>0</v>
      </c>
    </row>
    <row r="15" spans="1:20" ht="20.100000000000001" customHeight="1" thickBot="1" x14ac:dyDescent="0.3">
      <c r="A15" s="350">
        <v>8</v>
      </c>
      <c r="B15" s="365">
        <v>44571</v>
      </c>
      <c r="C15" s="366" t="s">
        <v>1569</v>
      </c>
      <c r="D15" s="367" t="s">
        <v>4206</v>
      </c>
      <c r="E15" s="354" t="s">
        <v>2444</v>
      </c>
      <c r="F15" s="368"/>
      <c r="G15" s="369">
        <v>76</v>
      </c>
      <c r="H15" s="358">
        <f t="shared" ref="H15:H19" si="4">G15*18230</f>
        <v>1385480</v>
      </c>
      <c r="I15" s="358"/>
      <c r="J15" s="358">
        <v>790000</v>
      </c>
      <c r="K15" s="371"/>
      <c r="L15" s="372"/>
      <c r="M15" s="358"/>
      <c r="N15" s="358"/>
      <c r="O15" s="358">
        <f t="shared" si="1"/>
        <v>2175480</v>
      </c>
      <c r="P15" s="385">
        <v>3100000</v>
      </c>
      <c r="Q15" s="358">
        <f t="shared" si="2"/>
        <v>924520</v>
      </c>
      <c r="R15" s="195"/>
      <c r="S15" s="98">
        <v>3100000</v>
      </c>
      <c r="T15" s="195">
        <f t="shared" si="3"/>
        <v>0</v>
      </c>
    </row>
    <row r="16" spans="1:20" ht="20.100000000000001" customHeight="1" thickBot="1" x14ac:dyDescent="0.3">
      <c r="A16" s="350">
        <v>9</v>
      </c>
      <c r="B16" s="365">
        <v>44572</v>
      </c>
      <c r="C16" s="366" t="s">
        <v>4189</v>
      </c>
      <c r="D16" s="367" t="s">
        <v>4207</v>
      </c>
      <c r="E16" s="354" t="s">
        <v>2441</v>
      </c>
      <c r="F16" s="368"/>
      <c r="G16" s="369">
        <v>70</v>
      </c>
      <c r="H16" s="358">
        <f t="shared" si="4"/>
        <v>1276100</v>
      </c>
      <c r="I16" s="358"/>
      <c r="J16" s="358">
        <v>1150000</v>
      </c>
      <c r="K16" s="371"/>
      <c r="L16" s="372"/>
      <c r="M16" s="358"/>
      <c r="N16" s="358"/>
      <c r="O16" s="358">
        <f t="shared" si="1"/>
        <v>2426100</v>
      </c>
      <c r="P16" s="385">
        <v>3600000</v>
      </c>
      <c r="Q16" s="358">
        <f t="shared" si="2"/>
        <v>1173900</v>
      </c>
      <c r="R16" s="195"/>
      <c r="S16" s="98">
        <v>3600000</v>
      </c>
      <c r="T16" s="195">
        <f t="shared" si="3"/>
        <v>0</v>
      </c>
    </row>
    <row r="17" spans="1:20" ht="20.100000000000001" customHeight="1" thickBot="1" x14ac:dyDescent="0.3">
      <c r="A17" s="350">
        <v>10</v>
      </c>
      <c r="B17" s="365">
        <v>44573</v>
      </c>
      <c r="C17" s="366" t="s">
        <v>4190</v>
      </c>
      <c r="D17" s="367" t="s">
        <v>4208</v>
      </c>
      <c r="E17" s="354" t="s">
        <v>558</v>
      </c>
      <c r="F17" s="368"/>
      <c r="G17" s="369">
        <v>101</v>
      </c>
      <c r="H17" s="358">
        <f t="shared" si="4"/>
        <v>1841230</v>
      </c>
      <c r="I17" s="358"/>
      <c r="J17" s="358">
        <v>790000</v>
      </c>
      <c r="K17" s="371"/>
      <c r="L17" s="372"/>
      <c r="M17" s="358"/>
      <c r="N17" s="358"/>
      <c r="O17" s="358">
        <f t="shared" si="1"/>
        <v>2631230</v>
      </c>
      <c r="P17" s="385">
        <v>4200000</v>
      </c>
      <c r="Q17" s="358">
        <f t="shared" si="2"/>
        <v>1568770</v>
      </c>
      <c r="R17" s="195"/>
      <c r="S17" s="98">
        <v>4200000</v>
      </c>
      <c r="T17" s="195">
        <f t="shared" si="3"/>
        <v>0</v>
      </c>
    </row>
    <row r="18" spans="1:20" ht="20.100000000000001" customHeight="1" thickBot="1" x14ac:dyDescent="0.3">
      <c r="A18" s="350">
        <v>11</v>
      </c>
      <c r="B18" s="365">
        <v>44574</v>
      </c>
      <c r="C18" s="366" t="s">
        <v>4191</v>
      </c>
      <c r="D18" s="367" t="s">
        <v>4209</v>
      </c>
      <c r="E18" s="354" t="s">
        <v>497</v>
      </c>
      <c r="F18" s="368"/>
      <c r="G18" s="369">
        <v>86</v>
      </c>
      <c r="H18" s="358">
        <f t="shared" si="4"/>
        <v>1567780</v>
      </c>
      <c r="I18" s="358"/>
      <c r="J18" s="358">
        <v>1150000</v>
      </c>
      <c r="K18" s="371"/>
      <c r="L18" s="372"/>
      <c r="M18" s="358"/>
      <c r="N18" s="358"/>
      <c r="O18" s="358">
        <f t="shared" si="1"/>
        <v>2717780</v>
      </c>
      <c r="P18" s="385">
        <v>4000000</v>
      </c>
      <c r="Q18" s="358">
        <f t="shared" si="2"/>
        <v>1282220</v>
      </c>
      <c r="R18" s="195"/>
      <c r="S18" s="98">
        <v>4000000</v>
      </c>
      <c r="T18" s="195">
        <f t="shared" si="3"/>
        <v>0</v>
      </c>
    </row>
    <row r="19" spans="1:20" ht="20.100000000000001" customHeight="1" thickBot="1" x14ac:dyDescent="0.3">
      <c r="A19" s="350">
        <v>12</v>
      </c>
      <c r="B19" s="365">
        <v>44575</v>
      </c>
      <c r="C19" s="366" t="s">
        <v>3484</v>
      </c>
      <c r="D19" s="367" t="s">
        <v>4210</v>
      </c>
      <c r="E19" s="354" t="s">
        <v>4150</v>
      </c>
      <c r="F19" s="368"/>
      <c r="G19" s="369">
        <v>71</v>
      </c>
      <c r="H19" s="358">
        <f t="shared" si="4"/>
        <v>1294330</v>
      </c>
      <c r="I19" s="370"/>
      <c r="J19" s="358">
        <v>1150000</v>
      </c>
      <c r="K19" s="371"/>
      <c r="L19" s="372"/>
      <c r="M19" s="358"/>
      <c r="N19" s="358"/>
      <c r="O19" s="358">
        <f t="shared" si="1"/>
        <v>2444330</v>
      </c>
      <c r="P19" s="385">
        <v>3900000</v>
      </c>
      <c r="Q19" s="358">
        <f t="shared" si="2"/>
        <v>1455670</v>
      </c>
      <c r="R19" s="195"/>
      <c r="S19" s="98">
        <v>3900000</v>
      </c>
      <c r="T19" s="195">
        <f t="shared" si="3"/>
        <v>0</v>
      </c>
    </row>
    <row r="20" spans="1:20" ht="20.100000000000001" customHeight="1" thickBot="1" x14ac:dyDescent="0.3">
      <c r="A20" s="350">
        <v>13</v>
      </c>
      <c r="B20" s="365">
        <v>44579</v>
      </c>
      <c r="C20" s="366" t="s">
        <v>1577</v>
      </c>
      <c r="D20" s="367" t="s">
        <v>4211</v>
      </c>
      <c r="E20" s="354" t="s">
        <v>4150</v>
      </c>
      <c r="F20" s="368"/>
      <c r="G20" s="369">
        <v>76</v>
      </c>
      <c r="H20" s="358">
        <f>G20*18230</f>
        <v>1385480</v>
      </c>
      <c r="I20" s="370"/>
      <c r="J20" s="358">
        <v>1150000</v>
      </c>
      <c r="K20" s="371"/>
      <c r="L20" s="372"/>
      <c r="M20" s="358"/>
      <c r="N20" s="358"/>
      <c r="O20" s="358">
        <f t="shared" si="1"/>
        <v>2535480</v>
      </c>
      <c r="P20" s="385">
        <v>4000000</v>
      </c>
      <c r="Q20" s="358">
        <f t="shared" si="2"/>
        <v>1464520</v>
      </c>
      <c r="R20" s="195"/>
      <c r="S20" s="98">
        <v>4000000</v>
      </c>
      <c r="T20" s="195">
        <f t="shared" si="3"/>
        <v>0</v>
      </c>
    </row>
    <row r="21" spans="1:20" ht="20.100000000000001" customHeight="1" thickBot="1" x14ac:dyDescent="0.3">
      <c r="A21" s="350">
        <v>14</v>
      </c>
      <c r="B21" s="365">
        <v>44580</v>
      </c>
      <c r="C21" s="366" t="s">
        <v>124</v>
      </c>
      <c r="D21" s="367" t="s">
        <v>4212</v>
      </c>
      <c r="E21" s="354" t="s">
        <v>24</v>
      </c>
      <c r="F21" s="368"/>
      <c r="G21" s="369">
        <v>180</v>
      </c>
      <c r="H21" s="358">
        <f>G21*18900</f>
        <v>3402000</v>
      </c>
      <c r="I21" s="370"/>
      <c r="J21" s="358">
        <v>1890000</v>
      </c>
      <c r="K21" s="371"/>
      <c r="L21" s="372"/>
      <c r="M21" s="358"/>
      <c r="N21" s="358"/>
      <c r="O21" s="358">
        <f t="shared" si="1"/>
        <v>5292000</v>
      </c>
      <c r="P21" s="385">
        <v>8188889</v>
      </c>
      <c r="Q21" s="358">
        <f t="shared" si="2"/>
        <v>2896889</v>
      </c>
      <c r="R21" s="195"/>
      <c r="S21" s="98">
        <v>8188889</v>
      </c>
      <c r="T21" s="195">
        <f t="shared" si="3"/>
        <v>0</v>
      </c>
    </row>
    <row r="22" spans="1:20" ht="20.100000000000001" customHeight="1" thickBot="1" x14ac:dyDescent="0.3">
      <c r="A22" s="350">
        <v>15</v>
      </c>
      <c r="B22" s="365">
        <v>44581</v>
      </c>
      <c r="C22" s="366" t="s">
        <v>125</v>
      </c>
      <c r="D22" s="367" t="s">
        <v>4213</v>
      </c>
      <c r="E22" s="354" t="s">
        <v>4152</v>
      </c>
      <c r="F22" s="368"/>
      <c r="G22" s="369">
        <v>85</v>
      </c>
      <c r="H22" s="358">
        <f t="shared" ref="H22:H29" si="5">G22*18900</f>
        <v>1606500</v>
      </c>
      <c r="I22" s="370"/>
      <c r="J22" s="358">
        <v>1150000</v>
      </c>
      <c r="K22" s="371"/>
      <c r="L22" s="372"/>
      <c r="M22" s="358"/>
      <c r="N22" s="358"/>
      <c r="O22" s="358">
        <f t="shared" si="1"/>
        <v>2756500</v>
      </c>
      <c r="P22" s="385">
        <v>4000000</v>
      </c>
      <c r="Q22" s="358">
        <f t="shared" si="2"/>
        <v>1243500</v>
      </c>
      <c r="R22" s="195"/>
      <c r="S22" s="98">
        <v>4000000</v>
      </c>
      <c r="T22" s="195">
        <f t="shared" si="3"/>
        <v>0</v>
      </c>
    </row>
    <row r="23" spans="1:20" ht="20.100000000000001" customHeight="1" thickBot="1" x14ac:dyDescent="0.3">
      <c r="A23" s="350">
        <v>16</v>
      </c>
      <c r="B23" s="365">
        <v>44582</v>
      </c>
      <c r="C23" s="366" t="s">
        <v>4192</v>
      </c>
      <c r="D23" s="367" t="s">
        <v>4214</v>
      </c>
      <c r="E23" s="354" t="s">
        <v>2589</v>
      </c>
      <c r="F23" s="368"/>
      <c r="G23" s="369">
        <v>84</v>
      </c>
      <c r="H23" s="358">
        <f t="shared" si="5"/>
        <v>1587600</v>
      </c>
      <c r="I23" s="370"/>
      <c r="J23" s="358">
        <v>1150000</v>
      </c>
      <c r="K23" s="371"/>
      <c r="L23" s="372"/>
      <c r="M23" s="358"/>
      <c r="N23" s="358"/>
      <c r="O23" s="358">
        <f t="shared" si="1"/>
        <v>2737600</v>
      </c>
      <c r="P23" s="385">
        <v>4000000</v>
      </c>
      <c r="Q23" s="358">
        <f t="shared" si="2"/>
        <v>1262400</v>
      </c>
      <c r="R23" s="195"/>
      <c r="S23" s="98">
        <v>4000000</v>
      </c>
      <c r="T23" s="195">
        <f t="shared" si="3"/>
        <v>0</v>
      </c>
    </row>
    <row r="24" spans="1:20" ht="20.100000000000001" customHeight="1" thickBot="1" x14ac:dyDescent="0.3">
      <c r="A24" s="350">
        <v>17</v>
      </c>
      <c r="B24" s="365">
        <v>44585</v>
      </c>
      <c r="C24" s="366" t="s">
        <v>4193</v>
      </c>
      <c r="D24" s="367" t="s">
        <v>745</v>
      </c>
      <c r="E24" s="354" t="s">
        <v>4224</v>
      </c>
      <c r="F24" s="368"/>
      <c r="G24" s="369">
        <v>67</v>
      </c>
      <c r="H24" s="358">
        <f t="shared" si="5"/>
        <v>1266300</v>
      </c>
      <c r="I24" s="370"/>
      <c r="J24" s="358">
        <v>1150000</v>
      </c>
      <c r="K24" s="371"/>
      <c r="L24" s="372"/>
      <c r="M24" s="358"/>
      <c r="N24" s="358"/>
      <c r="O24" s="358">
        <f t="shared" si="1"/>
        <v>2416300</v>
      </c>
      <c r="P24" s="385">
        <v>3409091</v>
      </c>
      <c r="Q24" s="358">
        <f t="shared" si="2"/>
        <v>992791</v>
      </c>
      <c r="R24" s="195"/>
      <c r="S24" s="98">
        <v>3409091</v>
      </c>
      <c r="T24" s="195">
        <f t="shared" si="3"/>
        <v>0</v>
      </c>
    </row>
    <row r="25" spans="1:20" ht="20.100000000000001" customHeight="1" thickBot="1" x14ac:dyDescent="0.3">
      <c r="A25" s="350">
        <v>18</v>
      </c>
      <c r="B25" s="365">
        <v>44585</v>
      </c>
      <c r="C25" s="366" t="s">
        <v>4194</v>
      </c>
      <c r="D25" s="367" t="s">
        <v>4215</v>
      </c>
      <c r="E25" s="354" t="s">
        <v>4041</v>
      </c>
      <c r="F25" s="368"/>
      <c r="G25" s="369">
        <v>89</v>
      </c>
      <c r="H25" s="358">
        <f t="shared" si="5"/>
        <v>1682100</v>
      </c>
      <c r="I25" s="370"/>
      <c r="J25" s="358">
        <v>1150000</v>
      </c>
      <c r="K25" s="371"/>
      <c r="L25" s="372"/>
      <c r="M25" s="358"/>
      <c r="N25" s="358"/>
      <c r="O25" s="358">
        <f t="shared" si="1"/>
        <v>2832100</v>
      </c>
      <c r="P25" s="385">
        <v>4200000</v>
      </c>
      <c r="Q25" s="358">
        <f t="shared" si="2"/>
        <v>1367900</v>
      </c>
      <c r="R25" s="195"/>
      <c r="S25" s="98">
        <v>4200000</v>
      </c>
      <c r="T25" s="195">
        <f t="shared" si="3"/>
        <v>0</v>
      </c>
    </row>
    <row r="26" spans="1:20" ht="20.100000000000001" customHeight="1" thickBot="1" x14ac:dyDescent="0.3">
      <c r="A26" s="350">
        <v>19</v>
      </c>
      <c r="B26" s="365">
        <v>44586</v>
      </c>
      <c r="C26" s="366" t="s">
        <v>4195</v>
      </c>
      <c r="D26" s="367" t="s">
        <v>4216</v>
      </c>
      <c r="E26" s="354" t="s">
        <v>2589</v>
      </c>
      <c r="F26" s="368"/>
      <c r="G26" s="369">
        <v>121</v>
      </c>
      <c r="H26" s="358">
        <f t="shared" si="5"/>
        <v>2286900</v>
      </c>
      <c r="I26" s="370"/>
      <c r="J26" s="358">
        <v>1150000</v>
      </c>
      <c r="K26" s="371"/>
      <c r="L26" s="372"/>
      <c r="M26" s="358"/>
      <c r="N26" s="358"/>
      <c r="O26" s="358">
        <f t="shared" si="1"/>
        <v>3436900</v>
      </c>
      <c r="P26" s="385">
        <v>7140200</v>
      </c>
      <c r="Q26" s="358">
        <f t="shared" si="2"/>
        <v>3703300</v>
      </c>
      <c r="R26" s="195"/>
      <c r="S26" s="98">
        <v>7140200</v>
      </c>
      <c r="T26" s="195">
        <f t="shared" si="3"/>
        <v>0</v>
      </c>
    </row>
    <row r="27" spans="1:20" ht="20.100000000000001" customHeight="1" thickBot="1" x14ac:dyDescent="0.3">
      <c r="A27" s="350">
        <v>20</v>
      </c>
      <c r="B27" s="365">
        <v>44586</v>
      </c>
      <c r="C27" s="366" t="s">
        <v>4196</v>
      </c>
      <c r="D27" s="367" t="s">
        <v>4217</v>
      </c>
      <c r="E27" s="354" t="s">
        <v>187</v>
      </c>
      <c r="F27" s="368"/>
      <c r="G27" s="369">
        <v>0</v>
      </c>
      <c r="H27" s="358">
        <f>G27*18900</f>
        <v>0</v>
      </c>
      <c r="I27" s="370"/>
      <c r="J27" s="358">
        <v>400000</v>
      </c>
      <c r="K27" s="371"/>
      <c r="L27" s="372"/>
      <c r="M27" s="358"/>
      <c r="N27" s="358"/>
      <c r="O27" s="358">
        <f t="shared" si="1"/>
        <v>400000</v>
      </c>
      <c r="P27" s="385">
        <v>0</v>
      </c>
      <c r="Q27" s="358">
        <f t="shared" si="2"/>
        <v>-400000</v>
      </c>
      <c r="R27" s="195"/>
      <c r="S27" s="310">
        <v>0</v>
      </c>
      <c r="T27" s="195">
        <f t="shared" si="3"/>
        <v>0</v>
      </c>
    </row>
    <row r="28" spans="1:20" ht="20.100000000000001" customHeight="1" thickBot="1" x14ac:dyDescent="0.3">
      <c r="A28" s="350">
        <v>21</v>
      </c>
      <c r="B28" s="365">
        <v>44587</v>
      </c>
      <c r="C28" s="366" t="s">
        <v>4197</v>
      </c>
      <c r="D28" s="367" t="s">
        <v>2539</v>
      </c>
      <c r="E28" s="354" t="s">
        <v>4225</v>
      </c>
      <c r="F28" s="368"/>
      <c r="G28" s="369">
        <v>98</v>
      </c>
      <c r="H28" s="358">
        <f t="shared" si="5"/>
        <v>1852200</v>
      </c>
      <c r="I28" s="370"/>
      <c r="J28" s="426">
        <v>1350000</v>
      </c>
      <c r="K28" s="371"/>
      <c r="L28" s="372"/>
      <c r="M28" s="358"/>
      <c r="N28" s="358"/>
      <c r="O28" s="358">
        <f t="shared" si="1"/>
        <v>3202200</v>
      </c>
      <c r="P28" s="385">
        <v>4900000</v>
      </c>
      <c r="Q28" s="358">
        <f t="shared" si="2"/>
        <v>1697800</v>
      </c>
      <c r="R28" s="195"/>
      <c r="S28" s="98">
        <v>4900000</v>
      </c>
      <c r="T28" s="195">
        <f t="shared" si="3"/>
        <v>0</v>
      </c>
    </row>
    <row r="29" spans="1:20" ht="20.100000000000001" customHeight="1" thickBot="1" x14ac:dyDescent="0.3">
      <c r="A29" s="350">
        <v>22</v>
      </c>
      <c r="B29" s="365">
        <v>44588</v>
      </c>
      <c r="C29" s="366" t="s">
        <v>4198</v>
      </c>
      <c r="D29" s="367" t="s">
        <v>4218</v>
      </c>
      <c r="E29" s="354" t="s">
        <v>709</v>
      </c>
      <c r="F29" s="368"/>
      <c r="G29" s="369">
        <v>96</v>
      </c>
      <c r="H29" s="358">
        <f t="shared" si="5"/>
        <v>1814400</v>
      </c>
      <c r="I29" s="370"/>
      <c r="J29" s="358">
        <v>1150000</v>
      </c>
      <c r="K29" s="371"/>
      <c r="L29" s="372"/>
      <c r="M29" s="358"/>
      <c r="N29" s="358"/>
      <c r="O29" s="358">
        <f t="shared" si="1"/>
        <v>2964400</v>
      </c>
      <c r="P29" s="385">
        <v>4263636</v>
      </c>
      <c r="Q29" s="358">
        <f t="shared" si="2"/>
        <v>1299236</v>
      </c>
      <c r="R29" s="195"/>
      <c r="S29" s="98">
        <v>4263636</v>
      </c>
      <c r="T29" s="195">
        <f t="shared" si="3"/>
        <v>0</v>
      </c>
    </row>
    <row r="30" spans="1:20" ht="27" customHeight="1" x14ac:dyDescent="0.25">
      <c r="A30" s="374"/>
      <c r="B30" s="379"/>
      <c r="C30" s="594" t="s">
        <v>1273</v>
      </c>
      <c r="D30" s="595"/>
      <c r="E30" s="596"/>
      <c r="F30" s="402"/>
      <c r="G30" s="358"/>
      <c r="H30" s="369"/>
      <c r="I30" s="403"/>
      <c r="J30" s="381"/>
      <c r="K30" s="435">
        <v>1200000</v>
      </c>
      <c r="L30" s="372"/>
      <c r="M30" s="381"/>
      <c r="N30" s="381"/>
      <c r="O30" s="362">
        <f>H30+J30+K30+L30+M30+N30</f>
        <v>1200000</v>
      </c>
      <c r="P30" s="385"/>
      <c r="Q30" s="378"/>
    </row>
    <row r="31" spans="1:20" ht="27" customHeight="1" x14ac:dyDescent="0.25">
      <c r="A31" s="386"/>
      <c r="B31" s="379"/>
      <c r="C31" s="594" t="s">
        <v>4226</v>
      </c>
      <c r="D31" s="595"/>
      <c r="E31" s="596"/>
      <c r="F31" s="402"/>
      <c r="G31" s="381"/>
      <c r="H31" s="369"/>
      <c r="I31" s="403"/>
      <c r="J31" s="381"/>
      <c r="K31" s="388"/>
      <c r="L31" s="437">
        <v>1506000</v>
      </c>
      <c r="M31" s="381"/>
      <c r="N31" s="381"/>
      <c r="O31" s="362">
        <f>H31+J31+K31+L31+M31+N31</f>
        <v>1506000</v>
      </c>
      <c r="P31" s="389"/>
      <c r="Q31" s="378"/>
    </row>
    <row r="32" spans="1:20" ht="27" customHeight="1" x14ac:dyDescent="0.25">
      <c r="A32" s="386"/>
      <c r="B32" s="379"/>
      <c r="C32" s="594" t="s">
        <v>4227</v>
      </c>
      <c r="D32" s="595"/>
      <c r="E32" s="596"/>
      <c r="F32" s="402"/>
      <c r="G32" s="381"/>
      <c r="H32" s="369"/>
      <c r="I32" s="403"/>
      <c r="J32" s="381"/>
      <c r="K32" s="394"/>
      <c r="L32" s="437">
        <v>50000</v>
      </c>
      <c r="M32" s="388"/>
      <c r="N32" s="381"/>
      <c r="O32" s="362">
        <f t="shared" ref="O32:O36" si="6">H32+J32+K32+L32+M32+N32</f>
        <v>50000</v>
      </c>
      <c r="P32" s="389"/>
      <c r="Q32" s="378"/>
    </row>
    <row r="33" spans="1:18" ht="27" customHeight="1" x14ac:dyDescent="0.25">
      <c r="A33" s="386"/>
      <c r="B33" s="379"/>
      <c r="C33" s="594" t="s">
        <v>4228</v>
      </c>
      <c r="D33" s="595"/>
      <c r="E33" s="596"/>
      <c r="F33" s="402"/>
      <c r="G33" s="381"/>
      <c r="H33" s="369"/>
      <c r="I33" s="403"/>
      <c r="J33" s="381"/>
      <c r="K33" s="394"/>
      <c r="L33" s="437">
        <v>100000</v>
      </c>
      <c r="M33" s="388"/>
      <c r="N33" s="388"/>
      <c r="O33" s="362">
        <f>H33+J33+K33+L33+M33+N33</f>
        <v>100000</v>
      </c>
      <c r="P33" s="389"/>
      <c r="Q33" s="378"/>
    </row>
    <row r="34" spans="1:18" ht="27" customHeight="1" x14ac:dyDescent="0.25">
      <c r="A34" s="386"/>
      <c r="B34" s="379"/>
      <c r="C34" s="594" t="s">
        <v>4229</v>
      </c>
      <c r="D34" s="595"/>
      <c r="E34" s="596"/>
      <c r="F34" s="402"/>
      <c r="G34" s="381"/>
      <c r="H34" s="369"/>
      <c r="I34" s="403"/>
      <c r="J34" s="381"/>
      <c r="K34" s="394"/>
      <c r="L34" s="437">
        <v>600000</v>
      </c>
      <c r="M34" s="388"/>
      <c r="N34" s="381"/>
      <c r="O34" s="362">
        <f t="shared" si="6"/>
        <v>600000</v>
      </c>
      <c r="P34" s="389"/>
      <c r="Q34" s="378"/>
    </row>
    <row r="35" spans="1:18" ht="27" customHeight="1" x14ac:dyDescent="0.25">
      <c r="A35" s="386"/>
      <c r="B35" s="379"/>
      <c r="C35" s="594" t="s">
        <v>4230</v>
      </c>
      <c r="D35" s="595"/>
      <c r="E35" s="596"/>
      <c r="F35" s="402"/>
      <c r="G35" s="381"/>
      <c r="H35" s="369"/>
      <c r="I35" s="403"/>
      <c r="J35" s="381"/>
      <c r="K35" s="439">
        <v>4000000</v>
      </c>
      <c r="L35" s="388"/>
      <c r="M35" s="372"/>
      <c r="N35" s="381"/>
      <c r="O35" s="362">
        <f t="shared" si="6"/>
        <v>4000000</v>
      </c>
      <c r="P35" s="389"/>
      <c r="Q35" s="378"/>
    </row>
    <row r="36" spans="1:18" ht="18" customHeight="1" x14ac:dyDescent="0.25">
      <c r="A36" s="386"/>
      <c r="B36" s="391"/>
      <c r="C36" s="579" t="s">
        <v>4265</v>
      </c>
      <c r="D36" s="580"/>
      <c r="E36" s="581"/>
      <c r="F36" s="461"/>
      <c r="G36" s="381"/>
      <c r="H36" s="369"/>
      <c r="I36" s="403"/>
      <c r="J36" s="381"/>
      <c r="K36" s="439">
        <v>7700000</v>
      </c>
      <c r="L36" s="394"/>
      <c r="M36" s="381"/>
      <c r="N36" s="381"/>
      <c r="O36" s="362">
        <f t="shared" si="6"/>
        <v>7700000</v>
      </c>
      <c r="P36" s="389"/>
      <c r="Q36" s="378"/>
    </row>
    <row r="37" spans="1:18" x14ac:dyDescent="0.25">
      <c r="A37" s="576" t="s">
        <v>19</v>
      </c>
      <c r="B37" s="577"/>
      <c r="C37" s="577"/>
      <c r="D37" s="577"/>
      <c r="E37" s="577"/>
      <c r="F37" s="578"/>
      <c r="G37" s="395">
        <f>SUM(G8:G36)</f>
        <v>1842</v>
      </c>
      <c r="H37" s="396">
        <f t="shared" ref="H37:P37" si="7">SUM(H7:H36)</f>
        <v>33824800</v>
      </c>
      <c r="I37" s="396">
        <f t="shared" si="7"/>
        <v>0</v>
      </c>
      <c r="J37" s="396">
        <f t="shared" si="7"/>
        <v>23390000</v>
      </c>
      <c r="K37" s="396">
        <f t="shared" si="7"/>
        <v>12900000</v>
      </c>
      <c r="L37" s="396">
        <f t="shared" si="7"/>
        <v>2256000</v>
      </c>
      <c r="M37" s="396">
        <f t="shared" si="7"/>
        <v>0</v>
      </c>
      <c r="N37" s="396">
        <f t="shared" si="7"/>
        <v>0</v>
      </c>
      <c r="O37" s="396">
        <f t="shared" si="7"/>
        <v>72370800</v>
      </c>
      <c r="P37" s="396">
        <f t="shared" si="7"/>
        <v>90190705</v>
      </c>
      <c r="Q37" s="397">
        <f>P37-O37</f>
        <v>17819905</v>
      </c>
      <c r="R37" s="195"/>
    </row>
    <row r="38" spans="1:18" x14ac:dyDescent="0.25">
      <c r="P38" s="294"/>
      <c r="Q38" s="295"/>
    </row>
    <row r="39" spans="1:18" x14ac:dyDescent="0.25">
      <c r="B39"/>
      <c r="G39"/>
      <c r="H39" s="294"/>
      <c r="P39" s="296" t="s">
        <v>1225</v>
      </c>
      <c r="Q39" s="295">
        <f>Q37</f>
        <v>17819905</v>
      </c>
    </row>
    <row r="40" spans="1:18" x14ac:dyDescent="0.25">
      <c r="B40"/>
      <c r="G40"/>
      <c r="Q40" s="294"/>
    </row>
    <row r="41" spans="1:18" x14ac:dyDescent="0.25">
      <c r="B41"/>
      <c r="G41"/>
      <c r="R41" s="195"/>
    </row>
  </sheetData>
  <mergeCells count="12">
    <mergeCell ref="A37:F37"/>
    <mergeCell ref="C32:E32"/>
    <mergeCell ref="C33:E33"/>
    <mergeCell ref="C34:E34"/>
    <mergeCell ref="C35:E35"/>
    <mergeCell ref="C36:E36"/>
    <mergeCell ref="C31:E31"/>
    <mergeCell ref="A1:Q1"/>
    <mergeCell ref="A2:Q2"/>
    <mergeCell ref="A3:Q3"/>
    <mergeCell ref="G5:N5"/>
    <mergeCell ref="C30:E30"/>
  </mergeCells>
  <pageMargins left="0.7" right="0.7" top="0.75" bottom="0.75" header="0.3" footer="0.3"/>
  <pageSetup paperSize="9" orientation="portrait" verticalDpi="0"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1BBEF-8E36-4CC2-A39B-B361589ED8CC}">
  <dimension ref="A1:S36"/>
  <sheetViews>
    <sheetView topLeftCell="E28" workbookViewId="0">
      <selection activeCell="V33" sqref="V33"/>
    </sheetView>
  </sheetViews>
  <sheetFormatPr defaultColWidth="9.140625"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0.28515625" style="292" bestFit="1"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4264</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19"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19" x14ac:dyDescent="0.25">
      <c r="A7" s="75"/>
      <c r="B7" s="100"/>
      <c r="C7" s="88"/>
      <c r="D7" s="88"/>
      <c r="E7" s="134"/>
      <c r="F7" s="75"/>
      <c r="G7" s="264"/>
      <c r="H7" s="264"/>
      <c r="I7" s="264"/>
      <c r="J7" s="264"/>
      <c r="K7" s="264"/>
      <c r="L7" s="308"/>
      <c r="M7" s="264"/>
      <c r="N7" s="264"/>
      <c r="O7" s="265"/>
      <c r="P7" s="265"/>
      <c r="Q7" s="264"/>
    </row>
    <row r="8" spans="1:19" ht="20.100000000000001" customHeight="1" x14ac:dyDescent="0.25">
      <c r="A8" s="350">
        <v>1</v>
      </c>
      <c r="B8" s="365">
        <v>44599</v>
      </c>
      <c r="C8" s="366" t="s">
        <v>4231</v>
      </c>
      <c r="D8" s="367" t="s">
        <v>4247</v>
      </c>
      <c r="E8" s="354" t="s">
        <v>4241</v>
      </c>
      <c r="F8" s="368"/>
      <c r="G8" s="369">
        <v>82</v>
      </c>
      <c r="H8" s="358">
        <f>G8*18900</f>
        <v>1549800</v>
      </c>
      <c r="I8" s="358"/>
      <c r="J8" s="358">
        <v>1150000</v>
      </c>
      <c r="K8" s="371"/>
      <c r="L8" s="372"/>
      <c r="M8" s="358"/>
      <c r="N8" s="358"/>
      <c r="O8" s="358">
        <f>H8+J8+K8+L8+M8+N8</f>
        <v>2699800</v>
      </c>
      <c r="P8" s="358">
        <v>4254545</v>
      </c>
      <c r="Q8" s="358">
        <f>P8-O8</f>
        <v>1554745</v>
      </c>
      <c r="R8" s="195"/>
      <c r="S8" s="195"/>
    </row>
    <row r="9" spans="1:19" ht="20.100000000000001" customHeight="1" x14ac:dyDescent="0.25">
      <c r="A9" s="350">
        <v>2</v>
      </c>
      <c r="B9" s="365">
        <v>44600</v>
      </c>
      <c r="C9" s="366" t="s">
        <v>4232</v>
      </c>
      <c r="D9" s="415" t="s">
        <v>4248</v>
      </c>
      <c r="E9" s="354" t="s">
        <v>2826</v>
      </c>
      <c r="F9" s="368"/>
      <c r="G9" s="369">
        <v>269</v>
      </c>
      <c r="H9" s="358">
        <f>G9*18900</f>
        <v>5084100</v>
      </c>
      <c r="I9" s="358"/>
      <c r="J9" s="358">
        <v>1150000</v>
      </c>
      <c r="K9" s="371"/>
      <c r="L9" s="372"/>
      <c r="M9" s="358"/>
      <c r="N9" s="358"/>
      <c r="O9" s="358">
        <f t="shared" ref="O9:O24" si="0">H9+J9+K9+L9+M9+N9</f>
        <v>6234100</v>
      </c>
      <c r="P9" s="385">
        <v>3800000</v>
      </c>
      <c r="Q9" s="358">
        <f t="shared" ref="Q9:Q24" si="1">P9-O9</f>
        <v>-2434100</v>
      </c>
      <c r="R9" s="195"/>
      <c r="S9" s="195"/>
    </row>
    <row r="10" spans="1:19" ht="20.100000000000001" customHeight="1" x14ac:dyDescent="0.25">
      <c r="A10" s="350">
        <v>3</v>
      </c>
      <c r="B10" s="365">
        <v>44601</v>
      </c>
      <c r="C10" s="366" t="s">
        <v>4233</v>
      </c>
      <c r="D10" s="367" t="s">
        <v>4248</v>
      </c>
      <c r="E10" s="354" t="s">
        <v>2120</v>
      </c>
      <c r="F10" s="368"/>
      <c r="G10" s="369">
        <v>0</v>
      </c>
      <c r="H10" s="358"/>
      <c r="I10" s="358"/>
      <c r="J10" s="358">
        <v>1540000</v>
      </c>
      <c r="K10" s="371"/>
      <c r="L10" s="372"/>
      <c r="M10" s="358"/>
      <c r="N10" s="358"/>
      <c r="O10" s="358">
        <f t="shared" si="0"/>
        <v>1540000</v>
      </c>
      <c r="P10" s="385">
        <v>8000000</v>
      </c>
      <c r="Q10" s="358">
        <f t="shared" si="1"/>
        <v>6460000</v>
      </c>
      <c r="R10" s="195"/>
      <c r="S10" s="195"/>
    </row>
    <row r="11" spans="1:19" ht="20.100000000000001" customHeight="1" x14ac:dyDescent="0.25">
      <c r="A11" s="350">
        <v>4</v>
      </c>
      <c r="B11" s="365">
        <v>44602</v>
      </c>
      <c r="C11" s="366" t="s">
        <v>4234</v>
      </c>
      <c r="D11" s="367" t="s">
        <v>4249</v>
      </c>
      <c r="E11" s="354" t="s">
        <v>27</v>
      </c>
      <c r="F11" s="368"/>
      <c r="G11" s="369">
        <v>75</v>
      </c>
      <c r="H11" s="358">
        <f>G11*19860</f>
        <v>1489500</v>
      </c>
      <c r="I11" s="358"/>
      <c r="J11" s="358">
        <v>790000</v>
      </c>
      <c r="K11" s="371"/>
      <c r="L11" s="372"/>
      <c r="M11" s="358"/>
      <c r="N11" s="358"/>
      <c r="O11" s="358">
        <f t="shared" si="0"/>
        <v>2279500</v>
      </c>
      <c r="P11" s="385">
        <v>3500000</v>
      </c>
      <c r="Q11" s="358">
        <f t="shared" si="1"/>
        <v>1220500</v>
      </c>
      <c r="R11" s="195"/>
      <c r="S11" s="195"/>
    </row>
    <row r="12" spans="1:19" ht="23.25" customHeight="1" x14ac:dyDescent="0.25">
      <c r="A12" s="350">
        <v>5</v>
      </c>
      <c r="B12" s="365">
        <v>44603</v>
      </c>
      <c r="C12" s="366" t="s">
        <v>4235</v>
      </c>
      <c r="D12" s="367" t="s">
        <v>4250</v>
      </c>
      <c r="E12" s="354" t="s">
        <v>4242</v>
      </c>
      <c r="F12" s="368"/>
      <c r="G12" s="369">
        <v>108</v>
      </c>
      <c r="H12" s="358">
        <f t="shared" ref="H12:H16" si="2">G12*19860</f>
        <v>2144880</v>
      </c>
      <c r="I12" s="358"/>
      <c r="J12" s="358">
        <v>1150000</v>
      </c>
      <c r="K12" s="371"/>
      <c r="L12" s="372"/>
      <c r="M12" s="358"/>
      <c r="N12" s="358"/>
      <c r="O12" s="358">
        <f t="shared" si="0"/>
        <v>3294880</v>
      </c>
      <c r="P12" s="385">
        <v>4500000</v>
      </c>
      <c r="Q12" s="358">
        <f t="shared" si="1"/>
        <v>1205120</v>
      </c>
      <c r="R12" s="195"/>
      <c r="S12" s="195"/>
    </row>
    <row r="13" spans="1:19" ht="20.100000000000001" customHeight="1" x14ac:dyDescent="0.25">
      <c r="A13" s="350">
        <v>6</v>
      </c>
      <c r="B13" s="365">
        <v>44605</v>
      </c>
      <c r="C13" s="366" t="s">
        <v>4236</v>
      </c>
      <c r="D13" s="367" t="s">
        <v>4251</v>
      </c>
      <c r="E13" s="354" t="s">
        <v>4152</v>
      </c>
      <c r="F13" s="368"/>
      <c r="G13" s="369">
        <v>83</v>
      </c>
      <c r="H13" s="358">
        <f t="shared" si="2"/>
        <v>1648380</v>
      </c>
      <c r="I13" s="358"/>
      <c r="J13" s="358">
        <v>1150000</v>
      </c>
      <c r="K13" s="371"/>
      <c r="L13" s="372"/>
      <c r="M13" s="358"/>
      <c r="N13" s="358"/>
      <c r="O13" s="358">
        <f t="shared" si="0"/>
        <v>2798380</v>
      </c>
      <c r="P13" s="385">
        <v>4000000</v>
      </c>
      <c r="Q13" s="358">
        <f t="shared" si="1"/>
        <v>1201620</v>
      </c>
      <c r="R13" s="195"/>
      <c r="S13" s="195"/>
    </row>
    <row r="14" spans="1:19" ht="18.75" customHeight="1" x14ac:dyDescent="0.25">
      <c r="A14" s="350">
        <v>7</v>
      </c>
      <c r="B14" s="365">
        <v>44606</v>
      </c>
      <c r="C14" s="366" t="s">
        <v>4237</v>
      </c>
      <c r="D14" s="367" t="s">
        <v>4252</v>
      </c>
      <c r="E14" s="354" t="s">
        <v>497</v>
      </c>
      <c r="F14" s="368"/>
      <c r="G14" s="369">
        <v>83</v>
      </c>
      <c r="H14" s="358">
        <f t="shared" si="2"/>
        <v>1648380</v>
      </c>
      <c r="I14" s="358"/>
      <c r="J14" s="358">
        <v>1150000</v>
      </c>
      <c r="K14" s="371"/>
      <c r="L14" s="372"/>
      <c r="M14" s="358"/>
      <c r="N14" s="358"/>
      <c r="O14" s="358">
        <f t="shared" si="0"/>
        <v>2798380</v>
      </c>
      <c r="P14" s="385">
        <v>4000000</v>
      </c>
      <c r="Q14" s="358">
        <f t="shared" si="1"/>
        <v>1201620</v>
      </c>
      <c r="R14" s="195"/>
      <c r="S14" s="195"/>
    </row>
    <row r="15" spans="1:19" ht="20.100000000000001" customHeight="1" x14ac:dyDescent="0.25">
      <c r="A15" s="350">
        <v>8</v>
      </c>
      <c r="B15" s="365">
        <v>44607</v>
      </c>
      <c r="C15" s="366" t="s">
        <v>4238</v>
      </c>
      <c r="D15" s="367" t="s">
        <v>4253</v>
      </c>
      <c r="E15" s="354" t="s">
        <v>21</v>
      </c>
      <c r="F15" s="368"/>
      <c r="G15" s="369">
        <v>248</v>
      </c>
      <c r="H15" s="358">
        <f t="shared" si="2"/>
        <v>4925280</v>
      </c>
      <c r="I15" s="358"/>
      <c r="J15" s="358">
        <v>2740000</v>
      </c>
      <c r="K15" s="371"/>
      <c r="L15" s="372"/>
      <c r="M15" s="358"/>
      <c r="N15" s="358"/>
      <c r="O15" s="358">
        <f t="shared" si="0"/>
        <v>7665280</v>
      </c>
      <c r="P15" s="385">
        <v>14090909</v>
      </c>
      <c r="Q15" s="358">
        <f t="shared" si="1"/>
        <v>6425629</v>
      </c>
      <c r="R15" s="195"/>
      <c r="S15" s="195"/>
    </row>
    <row r="16" spans="1:19" ht="20.100000000000001" customHeight="1" x14ac:dyDescent="0.25">
      <c r="A16" s="350">
        <v>9</v>
      </c>
      <c r="B16" s="365">
        <v>44608</v>
      </c>
      <c r="C16" s="366" t="s">
        <v>164</v>
      </c>
      <c r="D16" s="367" t="s">
        <v>1014</v>
      </c>
      <c r="E16" s="354" t="s">
        <v>4220</v>
      </c>
      <c r="F16" s="368"/>
      <c r="G16" s="369">
        <v>41</v>
      </c>
      <c r="H16" s="358">
        <f t="shared" si="2"/>
        <v>814260</v>
      </c>
      <c r="I16" s="358"/>
      <c r="J16" s="358">
        <v>700000</v>
      </c>
      <c r="K16" s="371"/>
      <c r="L16" s="372"/>
      <c r="M16" s="358"/>
      <c r="N16" s="358"/>
      <c r="O16" s="358">
        <f t="shared" si="0"/>
        <v>1514260</v>
      </c>
      <c r="P16" s="385">
        <v>2572727</v>
      </c>
      <c r="Q16" s="358">
        <f t="shared" si="1"/>
        <v>1058467</v>
      </c>
      <c r="R16" s="195"/>
      <c r="S16" s="195"/>
    </row>
    <row r="17" spans="1:19" ht="20.100000000000001" customHeight="1" x14ac:dyDescent="0.25">
      <c r="A17" s="350">
        <v>10</v>
      </c>
      <c r="B17" s="365">
        <v>44609</v>
      </c>
      <c r="C17" s="366" t="s">
        <v>166</v>
      </c>
      <c r="D17" s="367" t="s">
        <v>4254</v>
      </c>
      <c r="E17" s="354" t="s">
        <v>2885</v>
      </c>
      <c r="F17" s="368"/>
      <c r="G17" s="369">
        <v>67</v>
      </c>
      <c r="H17" s="358">
        <f>G17*20800</f>
        <v>1393600</v>
      </c>
      <c r="I17" s="358"/>
      <c r="J17" s="358">
        <v>790000</v>
      </c>
      <c r="K17" s="371"/>
      <c r="L17" s="372"/>
      <c r="M17" s="358"/>
      <c r="N17" s="358"/>
      <c r="O17" s="358">
        <f t="shared" si="0"/>
        <v>2183600</v>
      </c>
      <c r="P17" s="385">
        <v>3300000</v>
      </c>
      <c r="Q17" s="358">
        <f t="shared" si="1"/>
        <v>1116400</v>
      </c>
      <c r="R17" s="195"/>
      <c r="S17" s="195"/>
    </row>
    <row r="18" spans="1:19" ht="20.100000000000001" customHeight="1" x14ac:dyDescent="0.25">
      <c r="A18" s="350">
        <v>11</v>
      </c>
      <c r="B18" s="365">
        <v>44613</v>
      </c>
      <c r="C18" s="366" t="s">
        <v>4239</v>
      </c>
      <c r="D18" s="367" t="s">
        <v>4255</v>
      </c>
      <c r="E18" s="354" t="s">
        <v>4243</v>
      </c>
      <c r="F18" s="368"/>
      <c r="G18" s="369">
        <v>3</v>
      </c>
      <c r="H18" s="358">
        <f t="shared" ref="H18:H24" si="3">G18*20800</f>
        <v>62400</v>
      </c>
      <c r="I18" s="358"/>
      <c r="J18" s="358">
        <v>600000</v>
      </c>
      <c r="K18" s="371"/>
      <c r="L18" s="372"/>
      <c r="M18" s="358"/>
      <c r="N18" s="358"/>
      <c r="O18" s="358">
        <f t="shared" si="0"/>
        <v>662400</v>
      </c>
      <c r="P18" s="385">
        <v>1500000</v>
      </c>
      <c r="Q18" s="358">
        <f t="shared" si="1"/>
        <v>837600</v>
      </c>
      <c r="R18" s="195"/>
      <c r="S18" s="195"/>
    </row>
    <row r="19" spans="1:19" ht="20.100000000000001" customHeight="1" x14ac:dyDescent="0.25">
      <c r="A19" s="350">
        <v>12</v>
      </c>
      <c r="B19" s="365">
        <v>44614</v>
      </c>
      <c r="C19" s="366" t="s">
        <v>1639</v>
      </c>
      <c r="D19" s="367" t="s">
        <v>4255</v>
      </c>
      <c r="E19" s="354" t="s">
        <v>3465</v>
      </c>
      <c r="F19" s="368"/>
      <c r="G19" s="369">
        <v>15</v>
      </c>
      <c r="H19" s="358">
        <f t="shared" si="3"/>
        <v>312000</v>
      </c>
      <c r="I19" s="370"/>
      <c r="J19" s="358">
        <v>0</v>
      </c>
      <c r="K19" s="371"/>
      <c r="L19" s="372"/>
      <c r="M19" s="358"/>
      <c r="N19" s="358"/>
      <c r="O19" s="358">
        <f t="shared" si="0"/>
        <v>312000</v>
      </c>
      <c r="P19" s="385">
        <v>1550000</v>
      </c>
      <c r="Q19" s="358">
        <f t="shared" si="1"/>
        <v>1238000</v>
      </c>
      <c r="R19" s="195"/>
      <c r="S19" s="195"/>
    </row>
    <row r="20" spans="1:19" ht="20.100000000000001" customHeight="1" x14ac:dyDescent="0.25">
      <c r="A20" s="350">
        <v>13</v>
      </c>
      <c r="B20" s="365">
        <v>44614</v>
      </c>
      <c r="C20" s="366" t="s">
        <v>4240</v>
      </c>
      <c r="D20" s="367" t="s">
        <v>4256</v>
      </c>
      <c r="E20" s="354" t="s">
        <v>4244</v>
      </c>
      <c r="F20" s="368"/>
      <c r="G20" s="369">
        <v>86</v>
      </c>
      <c r="H20" s="358">
        <f t="shared" si="3"/>
        <v>1788800</v>
      </c>
      <c r="I20" s="370"/>
      <c r="J20" s="358">
        <v>1150000</v>
      </c>
      <c r="K20" s="371"/>
      <c r="L20" s="372"/>
      <c r="M20" s="358"/>
      <c r="N20" s="358"/>
      <c r="O20" s="358">
        <f t="shared" si="0"/>
        <v>2938800</v>
      </c>
      <c r="P20" s="385">
        <v>4300000</v>
      </c>
      <c r="Q20" s="358">
        <f t="shared" si="1"/>
        <v>1361200</v>
      </c>
      <c r="R20" s="195"/>
      <c r="S20" s="195"/>
    </row>
    <row r="21" spans="1:19" ht="20.100000000000001" customHeight="1" x14ac:dyDescent="0.25">
      <c r="A21" s="350">
        <v>14</v>
      </c>
      <c r="B21" s="365">
        <v>44615</v>
      </c>
      <c r="C21" s="366" t="s">
        <v>931</v>
      </c>
      <c r="D21" s="367" t="s">
        <v>4257</v>
      </c>
      <c r="E21" s="354" t="s">
        <v>4245</v>
      </c>
      <c r="F21" s="368"/>
      <c r="G21" s="369">
        <v>108</v>
      </c>
      <c r="H21" s="358">
        <f t="shared" si="3"/>
        <v>2246400</v>
      </c>
      <c r="I21" s="370"/>
      <c r="J21" s="358">
        <v>1150000</v>
      </c>
      <c r="K21" s="371"/>
      <c r="L21" s="372"/>
      <c r="M21" s="358"/>
      <c r="N21" s="358"/>
      <c r="O21" s="358">
        <f t="shared" si="0"/>
        <v>3396400</v>
      </c>
      <c r="P21" s="385">
        <v>4500000</v>
      </c>
      <c r="Q21" s="358">
        <f t="shared" si="1"/>
        <v>1103600</v>
      </c>
      <c r="R21" s="195"/>
      <c r="S21" s="195"/>
    </row>
    <row r="22" spans="1:19" ht="20.100000000000001" customHeight="1" x14ac:dyDescent="0.25">
      <c r="A22" s="350">
        <v>15</v>
      </c>
      <c r="B22" s="365">
        <v>44616</v>
      </c>
      <c r="C22" s="366" t="s">
        <v>2933</v>
      </c>
      <c r="D22" s="367" t="s">
        <v>3265</v>
      </c>
      <c r="E22" s="354" t="s">
        <v>286</v>
      </c>
      <c r="F22" s="368"/>
      <c r="G22" s="369">
        <v>68</v>
      </c>
      <c r="H22" s="358">
        <f t="shared" si="3"/>
        <v>1414400</v>
      </c>
      <c r="I22" s="370"/>
      <c r="J22" s="358">
        <v>1150000</v>
      </c>
      <c r="K22" s="371"/>
      <c r="L22" s="372"/>
      <c r="M22" s="358"/>
      <c r="N22" s="358"/>
      <c r="O22" s="358">
        <f t="shared" si="0"/>
        <v>2564400</v>
      </c>
      <c r="P22" s="385">
        <v>4018181</v>
      </c>
      <c r="Q22" s="358">
        <f t="shared" si="1"/>
        <v>1453781</v>
      </c>
      <c r="R22" s="195"/>
      <c r="S22" s="195"/>
    </row>
    <row r="23" spans="1:19" ht="20.100000000000001" customHeight="1" x14ac:dyDescent="0.25">
      <c r="A23" s="350">
        <v>16</v>
      </c>
      <c r="B23" s="365">
        <v>44617</v>
      </c>
      <c r="C23" s="366" t="s">
        <v>2935</v>
      </c>
      <c r="D23" s="367" t="s">
        <v>4258</v>
      </c>
      <c r="E23" s="354" t="s">
        <v>24</v>
      </c>
      <c r="F23" s="368"/>
      <c r="G23" s="369">
        <v>180</v>
      </c>
      <c r="H23" s="358">
        <f t="shared" si="3"/>
        <v>3744000</v>
      </c>
      <c r="I23" s="370"/>
      <c r="J23" s="358">
        <v>1890000</v>
      </c>
      <c r="K23" s="371"/>
      <c r="L23" s="372"/>
      <c r="M23" s="358"/>
      <c r="N23" s="358"/>
      <c r="O23" s="358">
        <f t="shared" si="0"/>
        <v>5634000</v>
      </c>
      <c r="P23" s="385">
        <v>8188889</v>
      </c>
      <c r="Q23" s="358">
        <f t="shared" si="1"/>
        <v>2554889</v>
      </c>
      <c r="R23" s="195"/>
      <c r="S23" s="195"/>
    </row>
    <row r="24" spans="1:19" ht="20.100000000000001" customHeight="1" x14ac:dyDescent="0.25">
      <c r="A24" s="350">
        <v>17</v>
      </c>
      <c r="B24" s="365">
        <v>44620</v>
      </c>
      <c r="C24" s="366" t="s">
        <v>935</v>
      </c>
      <c r="D24" s="367" t="s">
        <v>4259</v>
      </c>
      <c r="E24" s="354" t="s">
        <v>4246</v>
      </c>
      <c r="F24" s="368"/>
      <c r="G24" s="369">
        <v>264</v>
      </c>
      <c r="H24" s="358">
        <f t="shared" si="3"/>
        <v>5491200</v>
      </c>
      <c r="I24" s="370"/>
      <c r="J24" s="358">
        <v>1720000</v>
      </c>
      <c r="K24" s="371"/>
      <c r="L24" s="372"/>
      <c r="M24" s="358"/>
      <c r="N24" s="358"/>
      <c r="O24" s="358">
        <f t="shared" si="0"/>
        <v>7211200</v>
      </c>
      <c r="P24" s="385">
        <v>10000000</v>
      </c>
      <c r="Q24" s="358">
        <f t="shared" si="1"/>
        <v>2788800</v>
      </c>
      <c r="R24" s="195"/>
      <c r="S24" s="195"/>
    </row>
    <row r="25" spans="1:19" ht="27" customHeight="1" x14ac:dyDescent="0.25">
      <c r="A25" s="374"/>
      <c r="B25" s="379"/>
      <c r="C25" s="594" t="s">
        <v>1273</v>
      </c>
      <c r="D25" s="595"/>
      <c r="E25" s="596"/>
      <c r="F25" s="402"/>
      <c r="G25" s="358"/>
      <c r="H25" s="369"/>
      <c r="I25" s="403"/>
      <c r="J25" s="381"/>
      <c r="K25" s="435">
        <v>1200000</v>
      </c>
      <c r="L25" s="372"/>
      <c r="M25" s="381"/>
      <c r="N25" s="381"/>
      <c r="O25" s="362">
        <f>H25+J25+K25+L25+M25+N25</f>
        <v>1200000</v>
      </c>
      <c r="P25" s="385"/>
      <c r="Q25" s="378"/>
    </row>
    <row r="26" spans="1:19" ht="27" customHeight="1" x14ac:dyDescent="0.25">
      <c r="A26" s="386"/>
      <c r="B26" s="379"/>
      <c r="C26" s="594" t="s">
        <v>4260</v>
      </c>
      <c r="D26" s="595"/>
      <c r="E26" s="596"/>
      <c r="F26" s="402"/>
      <c r="G26" s="381"/>
      <c r="H26" s="369"/>
      <c r="I26" s="403"/>
      <c r="J26" s="381"/>
      <c r="K26" s="437">
        <v>300000</v>
      </c>
      <c r="L26" s="388"/>
      <c r="M26" s="381"/>
      <c r="N26" s="381"/>
      <c r="O26" s="362">
        <f>H26+J26+K26+L26+M26+N26</f>
        <v>300000</v>
      </c>
      <c r="P26" s="389"/>
      <c r="Q26" s="378"/>
    </row>
    <row r="27" spans="1:19" ht="27" customHeight="1" x14ac:dyDescent="0.25">
      <c r="A27" s="386"/>
      <c r="B27" s="379"/>
      <c r="C27" s="594" t="s">
        <v>4261</v>
      </c>
      <c r="D27" s="595"/>
      <c r="E27" s="596"/>
      <c r="F27" s="402"/>
      <c r="G27" s="381"/>
      <c r="H27" s="369"/>
      <c r="I27" s="403"/>
      <c r="J27" s="381"/>
      <c r="K27" s="394"/>
      <c r="L27" s="388"/>
      <c r="M27" s="388"/>
      <c r="N27" s="437">
        <v>3250000</v>
      </c>
      <c r="O27" s="362">
        <f t="shared" ref="O27:O31" si="4">H27+J27+K27+L27+M27+N27</f>
        <v>3250000</v>
      </c>
      <c r="P27" s="389"/>
      <c r="Q27" s="378"/>
    </row>
    <row r="28" spans="1:19" ht="27" customHeight="1" x14ac:dyDescent="0.25">
      <c r="A28" s="386"/>
      <c r="B28" s="379"/>
      <c r="C28" s="594" t="s">
        <v>4267</v>
      </c>
      <c r="D28" s="595"/>
      <c r="E28" s="596"/>
      <c r="F28" s="402"/>
      <c r="G28" s="381"/>
      <c r="H28" s="369"/>
      <c r="I28" s="403"/>
      <c r="J28" s="381"/>
      <c r="K28" s="394"/>
      <c r="L28" s="437">
        <v>4800000</v>
      </c>
      <c r="M28" s="388"/>
      <c r="N28" s="388"/>
      <c r="O28" s="362">
        <f>H28+J28+K28+L28+M28+N28</f>
        <v>4800000</v>
      </c>
      <c r="P28" s="389"/>
      <c r="Q28" s="378"/>
    </row>
    <row r="29" spans="1:19" ht="27" customHeight="1" x14ac:dyDescent="0.25">
      <c r="A29" s="386"/>
      <c r="B29" s="379"/>
      <c r="C29" s="594" t="s">
        <v>4262</v>
      </c>
      <c r="D29" s="595"/>
      <c r="E29" s="596"/>
      <c r="F29" s="402"/>
      <c r="G29" s="381"/>
      <c r="H29" s="369"/>
      <c r="I29" s="403"/>
      <c r="J29" s="381"/>
      <c r="K29" s="394"/>
      <c r="L29" s="437">
        <v>200000</v>
      </c>
      <c r="M29" s="388"/>
      <c r="N29" s="381"/>
      <c r="O29" s="362">
        <f t="shared" si="4"/>
        <v>200000</v>
      </c>
      <c r="P29" s="389"/>
      <c r="Q29" s="378"/>
    </row>
    <row r="30" spans="1:19" ht="27" customHeight="1" x14ac:dyDescent="0.25">
      <c r="A30" s="386"/>
      <c r="B30" s="379"/>
      <c r="C30" s="594" t="s">
        <v>4263</v>
      </c>
      <c r="D30" s="595"/>
      <c r="E30" s="596"/>
      <c r="F30" s="402"/>
      <c r="G30" s="381"/>
      <c r="H30" s="369"/>
      <c r="I30" s="403"/>
      <c r="J30" s="381"/>
      <c r="K30" s="394"/>
      <c r="L30" s="437">
        <v>130000</v>
      </c>
      <c r="M30" s="372"/>
      <c r="N30" s="381"/>
      <c r="O30" s="362">
        <f t="shared" si="4"/>
        <v>130000</v>
      </c>
      <c r="P30" s="389"/>
      <c r="Q30" s="378"/>
    </row>
    <row r="31" spans="1:19" ht="18" customHeight="1" x14ac:dyDescent="0.25">
      <c r="A31" s="386"/>
      <c r="B31" s="391"/>
      <c r="C31" s="579" t="s">
        <v>4266</v>
      </c>
      <c r="D31" s="580"/>
      <c r="E31" s="581"/>
      <c r="F31" s="461"/>
      <c r="G31" s="381"/>
      <c r="H31" s="369"/>
      <c r="I31" s="403"/>
      <c r="J31" s="381"/>
      <c r="K31" s="394">
        <v>7400000</v>
      </c>
      <c r="L31" s="394"/>
      <c r="M31" s="381"/>
      <c r="N31" s="381"/>
      <c r="O31" s="362">
        <f t="shared" si="4"/>
        <v>7400000</v>
      </c>
      <c r="P31" s="389"/>
      <c r="Q31" s="378"/>
    </row>
    <row r="32" spans="1:19" x14ac:dyDescent="0.25">
      <c r="A32" s="576" t="s">
        <v>19</v>
      </c>
      <c r="B32" s="577"/>
      <c r="C32" s="577"/>
      <c r="D32" s="577"/>
      <c r="E32" s="577"/>
      <c r="F32" s="578"/>
      <c r="G32" s="395">
        <f>SUM(G8:G31)</f>
        <v>1780</v>
      </c>
      <c r="H32" s="396">
        <f t="shared" ref="H32:O32" si="5">SUM(H7:H31)</f>
        <v>35757380</v>
      </c>
      <c r="I32" s="396">
        <f t="shared" si="5"/>
        <v>0</v>
      </c>
      <c r="J32" s="396">
        <f t="shared" si="5"/>
        <v>19970000</v>
      </c>
      <c r="K32" s="396">
        <f t="shared" si="5"/>
        <v>8900000</v>
      </c>
      <c r="L32" s="396">
        <f t="shared" si="5"/>
        <v>5130000</v>
      </c>
      <c r="M32" s="396">
        <f t="shared" si="5"/>
        <v>0</v>
      </c>
      <c r="N32" s="396">
        <f t="shared" si="5"/>
        <v>3250000</v>
      </c>
      <c r="O32" s="396">
        <f t="shared" si="5"/>
        <v>73007380</v>
      </c>
      <c r="P32" s="397">
        <f>SUM(P7:P31)</f>
        <v>86075251</v>
      </c>
      <c r="Q32" s="396">
        <f>P32-O32</f>
        <v>13067871</v>
      </c>
      <c r="R32" s="195"/>
    </row>
    <row r="33" spans="2:18" x14ac:dyDescent="0.25">
      <c r="P33" s="294"/>
      <c r="Q33" s="295"/>
    </row>
    <row r="34" spans="2:18" x14ac:dyDescent="0.25">
      <c r="B34"/>
      <c r="G34"/>
      <c r="H34" s="294"/>
      <c r="P34" s="296" t="s">
        <v>1225</v>
      </c>
      <c r="Q34" s="295">
        <f>'01.2022'!Q39+'02.2022'!Q32</f>
        <v>30887776</v>
      </c>
    </row>
    <row r="35" spans="2:18" x14ac:dyDescent="0.25">
      <c r="B35"/>
      <c r="G35"/>
      <c r="Q35" s="294"/>
    </row>
    <row r="36" spans="2:18" x14ac:dyDescent="0.25">
      <c r="B36"/>
      <c r="G36"/>
      <c r="R36" s="195"/>
    </row>
  </sheetData>
  <mergeCells count="12">
    <mergeCell ref="A32:F32"/>
    <mergeCell ref="A1:Q1"/>
    <mergeCell ref="A2:Q2"/>
    <mergeCell ref="A3:Q3"/>
    <mergeCell ref="G5:N5"/>
    <mergeCell ref="C25:E25"/>
    <mergeCell ref="C26:E26"/>
    <mergeCell ref="C27:E27"/>
    <mergeCell ref="C28:E28"/>
    <mergeCell ref="C29:E29"/>
    <mergeCell ref="C30:E30"/>
    <mergeCell ref="C31:E31"/>
  </mergeCells>
  <pageMargins left="0.7" right="0.7" top="0.75" bottom="0.75" header="0.3" footer="0.3"/>
  <pageSetup paperSize="9" orientation="portrait" horizontalDpi="0" verticalDpi="0"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11585-F18A-44B0-B184-D94021544B0A}">
  <dimension ref="A1:S58"/>
  <sheetViews>
    <sheetView workbookViewId="0">
      <selection activeCell="D20" sqref="D20"/>
    </sheetView>
  </sheetViews>
  <sheetFormatPr defaultColWidth="9.140625"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0.28515625" style="292" bestFit="1"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4268</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19"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19" x14ac:dyDescent="0.25">
      <c r="A7" s="75"/>
      <c r="B7" s="100"/>
      <c r="C7" s="88"/>
      <c r="D7" s="88"/>
      <c r="E7" s="134"/>
      <c r="F7" s="75"/>
      <c r="G7" s="264"/>
      <c r="H7" s="264"/>
      <c r="I7" s="264"/>
      <c r="J7" s="264"/>
      <c r="K7" s="264"/>
      <c r="L7" s="308"/>
      <c r="M7" s="264"/>
      <c r="N7" s="264"/>
      <c r="O7" s="265"/>
      <c r="P7" s="265"/>
      <c r="Q7" s="264"/>
    </row>
    <row r="8" spans="1:19" ht="20.100000000000001" customHeight="1" x14ac:dyDescent="0.25">
      <c r="A8" s="470">
        <v>1</v>
      </c>
      <c r="B8" s="472">
        <v>44620</v>
      </c>
      <c r="C8" s="366" t="s">
        <v>2339</v>
      </c>
      <c r="D8" s="367" t="s">
        <v>4269</v>
      </c>
      <c r="E8" s="354" t="s">
        <v>3465</v>
      </c>
      <c r="F8" s="368"/>
      <c r="G8" s="369">
        <v>35</v>
      </c>
      <c r="H8" s="358">
        <f>G8*20800</f>
        <v>728000</v>
      </c>
      <c r="I8" s="358"/>
      <c r="J8" s="358">
        <v>300000</v>
      </c>
      <c r="K8" s="371"/>
      <c r="L8" s="372"/>
      <c r="M8" s="358"/>
      <c r="N8" s="358"/>
      <c r="O8" s="358">
        <f>H8+J8+K8+L8+M8+N8</f>
        <v>1028000</v>
      </c>
      <c r="P8" s="358">
        <v>1550000</v>
      </c>
      <c r="Q8" s="358">
        <f>P8-O8</f>
        <v>522000</v>
      </c>
      <c r="R8" s="195"/>
      <c r="S8" s="195"/>
    </row>
    <row r="9" spans="1:19" ht="20.100000000000001" customHeight="1" x14ac:dyDescent="0.25">
      <c r="A9" s="350">
        <v>2</v>
      </c>
      <c r="B9" s="482">
        <v>44620</v>
      </c>
      <c r="C9" s="366" t="s">
        <v>2339</v>
      </c>
      <c r="D9" s="415" t="s">
        <v>4270</v>
      </c>
      <c r="E9" s="354" t="s">
        <v>3465</v>
      </c>
      <c r="F9" s="368"/>
      <c r="G9" s="369"/>
      <c r="H9" s="358"/>
      <c r="I9" s="358"/>
      <c r="J9" s="358">
        <v>300000</v>
      </c>
      <c r="K9" s="371"/>
      <c r="L9" s="372"/>
      <c r="M9" s="358"/>
      <c r="N9" s="358"/>
      <c r="O9" s="358">
        <f t="shared" ref="O9:O36" si="0">H9+J9+K9+L9+M9+N9</f>
        <v>300000</v>
      </c>
      <c r="P9" s="385">
        <v>1550000</v>
      </c>
      <c r="Q9" s="358">
        <f t="shared" ref="Q9:Q36" si="1">P9-O9</f>
        <v>1250000</v>
      </c>
      <c r="R9" s="195"/>
      <c r="S9" s="195"/>
    </row>
    <row r="10" spans="1:19" ht="20.100000000000001" customHeight="1" x14ac:dyDescent="0.25">
      <c r="A10" s="350">
        <v>3</v>
      </c>
      <c r="B10" s="482">
        <v>44621</v>
      </c>
      <c r="C10" s="366" t="s">
        <v>1675</v>
      </c>
      <c r="D10" s="367" t="s">
        <v>4271</v>
      </c>
      <c r="E10" s="354" t="s">
        <v>424</v>
      </c>
      <c r="F10" s="368"/>
      <c r="G10" s="369">
        <v>84</v>
      </c>
      <c r="H10" s="358">
        <f>G10*21310</f>
        <v>1790040</v>
      </c>
      <c r="I10" s="358"/>
      <c r="J10" s="358">
        <v>790000</v>
      </c>
      <c r="K10" s="371"/>
      <c r="L10" s="372"/>
      <c r="M10" s="358"/>
      <c r="N10" s="358"/>
      <c r="O10" s="358">
        <f t="shared" si="0"/>
        <v>2580040</v>
      </c>
      <c r="P10" s="385">
        <v>3800000</v>
      </c>
      <c r="Q10" s="358">
        <f t="shared" si="1"/>
        <v>1219960</v>
      </c>
      <c r="R10" s="195"/>
      <c r="S10" s="195"/>
    </row>
    <row r="11" spans="1:19" ht="20.100000000000001" customHeight="1" x14ac:dyDescent="0.25">
      <c r="A11" s="350">
        <v>4</v>
      </c>
      <c r="B11" s="482">
        <v>44622</v>
      </c>
      <c r="C11" s="366" t="s">
        <v>1676</v>
      </c>
      <c r="D11" s="367" t="s">
        <v>4272</v>
      </c>
      <c r="E11" s="354" t="s">
        <v>424</v>
      </c>
      <c r="F11" s="368"/>
      <c r="G11" s="369">
        <v>84</v>
      </c>
      <c r="H11" s="358">
        <f t="shared" ref="H11:H16" si="2">G11*21310</f>
        <v>1790040</v>
      </c>
      <c r="I11" s="358"/>
      <c r="J11" s="358">
        <v>790000</v>
      </c>
      <c r="K11" s="371"/>
      <c r="L11" s="372"/>
      <c r="M11" s="358"/>
      <c r="N11" s="358"/>
      <c r="O11" s="358">
        <f t="shared" si="0"/>
        <v>2580040</v>
      </c>
      <c r="P11" s="385">
        <v>3800000</v>
      </c>
      <c r="Q11" s="358">
        <f t="shared" si="1"/>
        <v>1219960</v>
      </c>
      <c r="R11" s="195"/>
      <c r="S11" s="195"/>
    </row>
    <row r="12" spans="1:19" ht="23.25" customHeight="1" x14ac:dyDescent="0.25">
      <c r="A12" s="350">
        <v>5</v>
      </c>
      <c r="B12" s="482">
        <v>44623</v>
      </c>
      <c r="C12" s="366" t="s">
        <v>4273</v>
      </c>
      <c r="D12" s="367" t="s">
        <v>4274</v>
      </c>
      <c r="E12" s="354" t="s">
        <v>4041</v>
      </c>
      <c r="F12" s="368"/>
      <c r="G12" s="369">
        <v>90</v>
      </c>
      <c r="H12" s="358">
        <f t="shared" si="2"/>
        <v>1917900</v>
      </c>
      <c r="I12" s="358"/>
      <c r="J12" s="358">
        <v>1150000</v>
      </c>
      <c r="K12" s="371"/>
      <c r="L12" s="372"/>
      <c r="M12" s="358"/>
      <c r="N12" s="358"/>
      <c r="O12" s="358">
        <f t="shared" si="0"/>
        <v>3067900</v>
      </c>
      <c r="P12" s="385">
        <v>4490000</v>
      </c>
      <c r="Q12" s="358">
        <f t="shared" si="1"/>
        <v>1422100</v>
      </c>
      <c r="R12" s="195"/>
      <c r="S12" s="195"/>
    </row>
    <row r="13" spans="1:19" ht="20.100000000000001" customHeight="1" x14ac:dyDescent="0.25">
      <c r="A13" s="350">
        <v>6</v>
      </c>
      <c r="B13" s="482">
        <v>44625</v>
      </c>
      <c r="C13" s="366" t="s">
        <v>4275</v>
      </c>
      <c r="D13" s="367" t="s">
        <v>4276</v>
      </c>
      <c r="E13" s="354" t="s">
        <v>1023</v>
      </c>
      <c r="F13" s="368"/>
      <c r="G13" s="369">
        <v>110</v>
      </c>
      <c r="H13" s="358">
        <f t="shared" si="2"/>
        <v>2344100</v>
      </c>
      <c r="I13" s="358"/>
      <c r="J13" s="358">
        <v>1150000</v>
      </c>
      <c r="K13" s="371"/>
      <c r="L13" s="372"/>
      <c r="M13" s="358"/>
      <c r="N13" s="358"/>
      <c r="O13" s="358">
        <f t="shared" si="0"/>
        <v>3494100</v>
      </c>
      <c r="P13" s="385">
        <v>5150000</v>
      </c>
      <c r="Q13" s="358">
        <f t="shared" si="1"/>
        <v>1655900</v>
      </c>
      <c r="R13" s="195"/>
      <c r="S13" s="195"/>
    </row>
    <row r="14" spans="1:19" ht="18.75" customHeight="1" x14ac:dyDescent="0.25">
      <c r="A14" s="350">
        <v>7</v>
      </c>
      <c r="B14" s="482">
        <v>44627</v>
      </c>
      <c r="C14" s="366" t="s">
        <v>4277</v>
      </c>
      <c r="D14" s="367" t="s">
        <v>4278</v>
      </c>
      <c r="E14" s="354" t="s">
        <v>4279</v>
      </c>
      <c r="F14" s="368"/>
      <c r="G14" s="369">
        <v>13</v>
      </c>
      <c r="H14" s="358">
        <f t="shared" si="2"/>
        <v>277030</v>
      </c>
      <c r="I14" s="358"/>
      <c r="J14" s="358">
        <v>300000</v>
      </c>
      <c r="K14" s="371"/>
      <c r="L14" s="372"/>
      <c r="M14" s="358"/>
      <c r="N14" s="358"/>
      <c r="O14" s="358">
        <f t="shared" si="0"/>
        <v>577030</v>
      </c>
      <c r="P14" s="385">
        <v>2000000</v>
      </c>
      <c r="Q14" s="358">
        <f t="shared" si="1"/>
        <v>1422970</v>
      </c>
      <c r="R14" s="195"/>
      <c r="S14" s="195"/>
    </row>
    <row r="15" spans="1:19" ht="20.100000000000001" customHeight="1" x14ac:dyDescent="0.25">
      <c r="A15" s="350">
        <v>8</v>
      </c>
      <c r="B15" s="482">
        <v>44627</v>
      </c>
      <c r="C15" s="366" t="s">
        <v>4277</v>
      </c>
      <c r="D15" s="367" t="s">
        <v>4280</v>
      </c>
      <c r="E15" s="354" t="s">
        <v>4279</v>
      </c>
      <c r="F15" s="368"/>
      <c r="G15" s="369">
        <v>13</v>
      </c>
      <c r="H15" s="358">
        <f t="shared" si="2"/>
        <v>277030</v>
      </c>
      <c r="I15" s="358"/>
      <c r="J15" s="358">
        <v>500000</v>
      </c>
      <c r="K15" s="371"/>
      <c r="L15" s="372"/>
      <c r="M15" s="358"/>
      <c r="N15" s="358"/>
      <c r="O15" s="358">
        <f t="shared" si="0"/>
        <v>777030</v>
      </c>
      <c r="P15" s="385">
        <v>2000000</v>
      </c>
      <c r="Q15" s="358">
        <f t="shared" si="1"/>
        <v>1222970</v>
      </c>
      <c r="R15" s="195"/>
      <c r="S15" s="195"/>
    </row>
    <row r="16" spans="1:19" ht="20.100000000000001" customHeight="1" x14ac:dyDescent="0.25">
      <c r="A16" s="350">
        <v>9</v>
      </c>
      <c r="B16" s="482">
        <v>44628</v>
      </c>
      <c r="C16" s="366" t="s">
        <v>4281</v>
      </c>
      <c r="D16" s="367" t="s">
        <v>4282</v>
      </c>
      <c r="E16" s="354" t="s">
        <v>4283</v>
      </c>
      <c r="F16" s="368"/>
      <c r="G16" s="369">
        <v>280</v>
      </c>
      <c r="H16" s="358">
        <f t="shared" si="2"/>
        <v>5966800</v>
      </c>
      <c r="I16" s="358"/>
      <c r="J16" s="358">
        <v>4220000</v>
      </c>
      <c r="K16" s="371"/>
      <c r="L16" s="372"/>
      <c r="M16" s="358"/>
      <c r="N16" s="358"/>
      <c r="O16" s="358">
        <f t="shared" si="0"/>
        <v>10186800</v>
      </c>
      <c r="P16" s="385">
        <v>15000000</v>
      </c>
      <c r="Q16" s="358">
        <f t="shared" si="1"/>
        <v>4813200</v>
      </c>
      <c r="R16" s="195"/>
      <c r="S16" s="195"/>
    </row>
    <row r="17" spans="1:19" ht="20.100000000000001" customHeight="1" x14ac:dyDescent="0.25">
      <c r="A17" s="350">
        <v>10</v>
      </c>
      <c r="B17" s="482">
        <v>44630</v>
      </c>
      <c r="C17" s="366" t="s">
        <v>4284</v>
      </c>
      <c r="D17" s="367" t="s">
        <v>4285</v>
      </c>
      <c r="E17" s="354" t="s">
        <v>1023</v>
      </c>
      <c r="F17" s="368"/>
      <c r="G17" s="369">
        <v>110</v>
      </c>
      <c r="H17" s="358">
        <f>G17*25260</f>
        <v>2778600</v>
      </c>
      <c r="I17" s="358"/>
      <c r="J17" s="358">
        <v>1150000</v>
      </c>
      <c r="K17" s="371"/>
      <c r="L17" s="372"/>
      <c r="M17" s="358"/>
      <c r="N17" s="358"/>
      <c r="O17" s="358">
        <f t="shared" si="0"/>
        <v>3928600</v>
      </c>
      <c r="P17" s="385">
        <v>5350000</v>
      </c>
      <c r="Q17" s="358">
        <f t="shared" si="1"/>
        <v>1421400</v>
      </c>
      <c r="R17" s="195"/>
      <c r="S17" s="195"/>
    </row>
    <row r="18" spans="1:19" ht="20.100000000000001" customHeight="1" x14ac:dyDescent="0.25">
      <c r="A18" s="350">
        <v>11</v>
      </c>
      <c r="B18" s="482">
        <v>44630</v>
      </c>
      <c r="C18" s="366" t="s">
        <v>4286</v>
      </c>
      <c r="D18" s="367" t="s">
        <v>4287</v>
      </c>
      <c r="E18" s="354" t="s">
        <v>24</v>
      </c>
      <c r="F18" s="368"/>
      <c r="G18" s="369">
        <v>180</v>
      </c>
      <c r="H18" s="358">
        <f t="shared" ref="H18:H26" si="3">G18*25260</f>
        <v>4546800</v>
      </c>
      <c r="I18" s="358"/>
      <c r="J18" s="358">
        <v>1890000</v>
      </c>
      <c r="K18" s="371"/>
      <c r="L18" s="372"/>
      <c r="M18" s="358"/>
      <c r="N18" s="358"/>
      <c r="O18" s="358">
        <f t="shared" si="0"/>
        <v>6436800</v>
      </c>
      <c r="P18" s="385">
        <v>8744444</v>
      </c>
      <c r="Q18" s="358">
        <f t="shared" si="1"/>
        <v>2307644</v>
      </c>
      <c r="R18" s="195"/>
      <c r="S18" s="195"/>
    </row>
    <row r="19" spans="1:19" ht="20.100000000000001" customHeight="1" x14ac:dyDescent="0.25">
      <c r="A19" s="350">
        <v>12</v>
      </c>
      <c r="B19" s="482">
        <v>44631</v>
      </c>
      <c r="C19" s="366" t="s">
        <v>4288</v>
      </c>
      <c r="D19" s="367" t="s">
        <v>4289</v>
      </c>
      <c r="E19" s="354" t="s">
        <v>3222</v>
      </c>
      <c r="F19" s="368"/>
      <c r="G19" s="369">
        <v>74</v>
      </c>
      <c r="H19" s="358">
        <f t="shared" si="3"/>
        <v>1869240</v>
      </c>
      <c r="I19" s="370"/>
      <c r="J19" s="358">
        <v>1150000</v>
      </c>
      <c r="K19" s="371"/>
      <c r="L19" s="372"/>
      <c r="M19" s="358"/>
      <c r="N19" s="358"/>
      <c r="O19" s="358">
        <f t="shared" si="0"/>
        <v>3019240</v>
      </c>
      <c r="P19" s="385">
        <v>3760000</v>
      </c>
      <c r="Q19" s="358">
        <f t="shared" si="1"/>
        <v>740760</v>
      </c>
      <c r="R19" s="195"/>
      <c r="S19" s="195"/>
    </row>
    <row r="20" spans="1:19" ht="20.100000000000001" customHeight="1" x14ac:dyDescent="0.25">
      <c r="A20" s="350">
        <v>13</v>
      </c>
      <c r="B20" s="482">
        <v>44634</v>
      </c>
      <c r="C20" s="366" t="s">
        <v>4290</v>
      </c>
      <c r="D20" s="483" t="s">
        <v>4291</v>
      </c>
      <c r="E20" s="484" t="s">
        <v>4279</v>
      </c>
      <c r="F20" s="485"/>
      <c r="G20" s="398">
        <v>22</v>
      </c>
      <c r="H20" s="426">
        <f t="shared" si="3"/>
        <v>555720</v>
      </c>
      <c r="I20" s="486"/>
      <c r="J20" s="426">
        <v>300000</v>
      </c>
      <c r="K20" s="371"/>
      <c r="L20" s="372"/>
      <c r="M20" s="358"/>
      <c r="N20" s="358"/>
      <c r="O20" s="358">
        <f t="shared" si="0"/>
        <v>855720</v>
      </c>
      <c r="P20" s="385">
        <v>2000000</v>
      </c>
      <c r="Q20" s="358">
        <f t="shared" si="1"/>
        <v>1144280</v>
      </c>
      <c r="R20" s="195" t="s">
        <v>4334</v>
      </c>
      <c r="S20" s="195"/>
    </row>
    <row r="21" spans="1:19" ht="20.100000000000001" customHeight="1" x14ac:dyDescent="0.25">
      <c r="A21" s="350">
        <v>14</v>
      </c>
      <c r="B21" s="482">
        <v>44634</v>
      </c>
      <c r="C21" s="366" t="s">
        <v>4292</v>
      </c>
      <c r="D21" s="367" t="s">
        <v>4293</v>
      </c>
      <c r="E21" s="354" t="s">
        <v>4279</v>
      </c>
      <c r="F21" s="368"/>
      <c r="G21" s="369"/>
      <c r="H21" s="358">
        <f t="shared" si="3"/>
        <v>0</v>
      </c>
      <c r="I21" s="370"/>
      <c r="J21" s="358">
        <v>300000</v>
      </c>
      <c r="K21" s="371"/>
      <c r="L21" s="372"/>
      <c r="M21" s="358"/>
      <c r="N21" s="358"/>
      <c r="O21" s="358">
        <f t="shared" si="0"/>
        <v>300000</v>
      </c>
      <c r="P21" s="385">
        <v>2000000</v>
      </c>
      <c r="Q21" s="358">
        <f t="shared" si="1"/>
        <v>1700000</v>
      </c>
      <c r="R21" s="195"/>
      <c r="S21" s="195"/>
    </row>
    <row r="22" spans="1:19" ht="20.100000000000001" customHeight="1" x14ac:dyDescent="0.25">
      <c r="A22" s="350">
        <v>15</v>
      </c>
      <c r="B22" s="482">
        <v>44635</v>
      </c>
      <c r="C22" s="366" t="s">
        <v>4294</v>
      </c>
      <c r="D22" s="367" t="s">
        <v>4295</v>
      </c>
      <c r="E22" s="354" t="s">
        <v>283</v>
      </c>
      <c r="F22" s="368"/>
      <c r="G22" s="369">
        <v>183</v>
      </c>
      <c r="H22" s="358">
        <f t="shared" si="3"/>
        <v>4622580</v>
      </c>
      <c r="I22" s="370"/>
      <c r="J22" s="358">
        <v>2200000</v>
      </c>
      <c r="K22" s="371"/>
      <c r="L22" s="372"/>
      <c r="M22" s="358"/>
      <c r="N22" s="358"/>
      <c r="O22" s="358">
        <f t="shared" si="0"/>
        <v>6822580</v>
      </c>
      <c r="P22" s="385">
        <v>10300000</v>
      </c>
      <c r="Q22" s="358">
        <f t="shared" si="1"/>
        <v>3477420</v>
      </c>
      <c r="R22" s="195"/>
      <c r="S22" s="195"/>
    </row>
    <row r="23" spans="1:19" ht="20.100000000000001" customHeight="1" x14ac:dyDescent="0.25">
      <c r="A23" s="350">
        <v>16</v>
      </c>
      <c r="B23" s="482">
        <v>44636</v>
      </c>
      <c r="C23" s="366" t="s">
        <v>4296</v>
      </c>
      <c r="D23" s="367" t="s">
        <v>4297</v>
      </c>
      <c r="E23" s="354" t="s">
        <v>283</v>
      </c>
      <c r="F23" s="368"/>
      <c r="G23" s="369">
        <v>180</v>
      </c>
      <c r="H23" s="358">
        <f t="shared" si="3"/>
        <v>4546800</v>
      </c>
      <c r="I23" s="370"/>
      <c r="J23" s="358">
        <v>2200000</v>
      </c>
      <c r="K23" s="371"/>
      <c r="L23" s="372"/>
      <c r="M23" s="358"/>
      <c r="N23" s="358"/>
      <c r="O23" s="358">
        <f t="shared" si="0"/>
        <v>6746800</v>
      </c>
      <c r="P23" s="385">
        <v>10300000</v>
      </c>
      <c r="Q23" s="358">
        <f t="shared" si="1"/>
        <v>3553200</v>
      </c>
      <c r="R23" s="195"/>
      <c r="S23" s="195"/>
    </row>
    <row r="24" spans="1:19" ht="20.100000000000001" customHeight="1" x14ac:dyDescent="0.25">
      <c r="A24" s="350">
        <v>17</v>
      </c>
      <c r="B24" s="482">
        <v>44638</v>
      </c>
      <c r="C24" s="366" t="s">
        <v>4298</v>
      </c>
      <c r="D24" s="367" t="s">
        <v>4299</v>
      </c>
      <c r="E24" s="354" t="s">
        <v>559</v>
      </c>
      <c r="F24" s="368"/>
      <c r="G24" s="369">
        <v>109</v>
      </c>
      <c r="H24" s="358">
        <f t="shared" si="3"/>
        <v>2753340</v>
      </c>
      <c r="I24" s="370"/>
      <c r="J24" s="358">
        <v>1150000</v>
      </c>
      <c r="K24" s="371"/>
      <c r="L24" s="372"/>
      <c r="M24" s="358"/>
      <c r="N24" s="358"/>
      <c r="O24" s="358">
        <f t="shared" si="0"/>
        <v>3903340</v>
      </c>
      <c r="P24" s="385">
        <v>4900000</v>
      </c>
      <c r="Q24" s="358">
        <f t="shared" si="1"/>
        <v>996660</v>
      </c>
      <c r="R24" s="195"/>
      <c r="S24" s="195"/>
    </row>
    <row r="25" spans="1:19" ht="20.100000000000001" customHeight="1" x14ac:dyDescent="0.25">
      <c r="A25" s="350">
        <v>18</v>
      </c>
      <c r="B25" s="487">
        <v>44639</v>
      </c>
      <c r="C25" s="366" t="s">
        <v>3581</v>
      </c>
      <c r="D25" s="367" t="s">
        <v>4300</v>
      </c>
      <c r="E25" s="354" t="s">
        <v>4301</v>
      </c>
      <c r="F25" s="461"/>
      <c r="G25" s="369">
        <v>104</v>
      </c>
      <c r="H25" s="358">
        <f t="shared" si="3"/>
        <v>2627040</v>
      </c>
      <c r="I25" s="462"/>
      <c r="J25" s="381">
        <v>1150000</v>
      </c>
      <c r="K25" s="371"/>
      <c r="L25" s="372"/>
      <c r="M25" s="381"/>
      <c r="N25" s="381"/>
      <c r="O25" s="385">
        <f t="shared" si="0"/>
        <v>3777040</v>
      </c>
      <c r="P25" s="385">
        <v>4700000</v>
      </c>
      <c r="Q25" s="385">
        <f t="shared" si="1"/>
        <v>922960</v>
      </c>
      <c r="R25" s="195"/>
      <c r="S25" s="195"/>
    </row>
    <row r="26" spans="1:19" ht="20.100000000000001" customHeight="1" x14ac:dyDescent="0.25">
      <c r="A26" s="350">
        <v>19</v>
      </c>
      <c r="B26" s="487">
        <v>44641</v>
      </c>
      <c r="C26" s="366" t="s">
        <v>4302</v>
      </c>
      <c r="D26" s="367" t="s">
        <v>4303</v>
      </c>
      <c r="E26" s="354" t="s">
        <v>4279</v>
      </c>
      <c r="F26" s="461"/>
      <c r="G26" s="369">
        <v>10</v>
      </c>
      <c r="H26" s="358">
        <f t="shared" si="3"/>
        <v>252600</v>
      </c>
      <c r="I26" s="462"/>
      <c r="J26" s="381">
        <v>300000</v>
      </c>
      <c r="K26" s="371"/>
      <c r="L26" s="372"/>
      <c r="M26" s="381"/>
      <c r="N26" s="381"/>
      <c r="O26" s="385">
        <f t="shared" si="0"/>
        <v>552600</v>
      </c>
      <c r="P26" s="385">
        <v>2000000</v>
      </c>
      <c r="Q26" s="385">
        <f t="shared" si="1"/>
        <v>1447400</v>
      </c>
      <c r="R26" s="195"/>
      <c r="S26" s="195"/>
    </row>
    <row r="27" spans="1:19" ht="20.100000000000001" customHeight="1" x14ac:dyDescent="0.25">
      <c r="A27" s="350">
        <v>20</v>
      </c>
      <c r="B27" s="487">
        <v>44641</v>
      </c>
      <c r="C27" s="366" t="s">
        <v>4304</v>
      </c>
      <c r="D27" s="367" t="s">
        <v>4305</v>
      </c>
      <c r="E27" s="354" t="s">
        <v>189</v>
      </c>
      <c r="F27" s="461"/>
      <c r="G27" s="369">
        <v>180</v>
      </c>
      <c r="H27" s="358">
        <f>G27*23630</f>
        <v>4253400</v>
      </c>
      <c r="I27" s="462"/>
      <c r="J27" s="381">
        <v>1890000</v>
      </c>
      <c r="K27" s="371"/>
      <c r="L27" s="372"/>
      <c r="M27" s="381"/>
      <c r="N27" s="381"/>
      <c r="O27" s="385">
        <f t="shared" si="0"/>
        <v>6143400</v>
      </c>
      <c r="P27" s="385">
        <v>11111111</v>
      </c>
      <c r="Q27" s="385">
        <f t="shared" si="1"/>
        <v>4967711</v>
      </c>
      <c r="R27" s="195"/>
      <c r="S27" s="195"/>
    </row>
    <row r="28" spans="1:19" ht="20.100000000000001" customHeight="1" x14ac:dyDescent="0.25">
      <c r="A28" s="350">
        <v>21</v>
      </c>
      <c r="B28" s="487">
        <v>44642</v>
      </c>
      <c r="C28" s="366" t="s">
        <v>2351</v>
      </c>
      <c r="D28" s="367" t="s">
        <v>4306</v>
      </c>
      <c r="E28" s="354" t="s">
        <v>636</v>
      </c>
      <c r="F28" s="461"/>
      <c r="G28" s="369">
        <v>93</v>
      </c>
      <c r="H28" s="358">
        <f t="shared" ref="H28:H36" si="4">G28*23630</f>
        <v>2197590</v>
      </c>
      <c r="I28" s="462"/>
      <c r="J28" s="381">
        <v>790000</v>
      </c>
      <c r="K28" s="371"/>
      <c r="L28" s="372"/>
      <c r="M28" s="381"/>
      <c r="N28" s="381"/>
      <c r="O28" s="385">
        <f t="shared" si="0"/>
        <v>2987590</v>
      </c>
      <c r="P28" s="385">
        <v>4200000</v>
      </c>
      <c r="Q28" s="385">
        <f t="shared" si="1"/>
        <v>1212410</v>
      </c>
      <c r="R28" s="195"/>
      <c r="S28" s="195"/>
    </row>
    <row r="29" spans="1:19" ht="20.100000000000001" customHeight="1" x14ac:dyDescent="0.25">
      <c r="A29" s="350">
        <v>22</v>
      </c>
      <c r="B29" s="487">
        <v>44644</v>
      </c>
      <c r="C29" s="366" t="s">
        <v>3584</v>
      </c>
      <c r="D29" s="367" t="s">
        <v>4307</v>
      </c>
      <c r="E29" s="354" t="s">
        <v>4244</v>
      </c>
      <c r="F29" s="461"/>
      <c r="G29" s="369">
        <v>88</v>
      </c>
      <c r="H29" s="358">
        <f t="shared" si="4"/>
        <v>2079440</v>
      </c>
      <c r="I29" s="462"/>
      <c r="J29" s="381">
        <v>1150000</v>
      </c>
      <c r="K29" s="371"/>
      <c r="L29" s="372"/>
      <c r="M29" s="381"/>
      <c r="N29" s="381"/>
      <c r="O29" s="385">
        <f t="shared" si="0"/>
        <v>3229440</v>
      </c>
      <c r="P29" s="385">
        <v>4600000</v>
      </c>
      <c r="Q29" s="385">
        <f t="shared" si="1"/>
        <v>1370560</v>
      </c>
      <c r="R29" s="195"/>
      <c r="S29" s="195"/>
    </row>
    <row r="30" spans="1:19" ht="20.100000000000001" customHeight="1" x14ac:dyDescent="0.25">
      <c r="A30" s="350">
        <v>23</v>
      </c>
      <c r="B30" s="487">
        <v>44644</v>
      </c>
      <c r="C30" s="366" t="s">
        <v>4308</v>
      </c>
      <c r="D30" s="367" t="s">
        <v>4309</v>
      </c>
      <c r="E30" s="354" t="s">
        <v>301</v>
      </c>
      <c r="F30" s="461"/>
      <c r="G30" s="369">
        <v>340</v>
      </c>
      <c r="H30" s="358">
        <f t="shared" si="4"/>
        <v>8034200</v>
      </c>
      <c r="I30" s="462"/>
      <c r="J30" s="381">
        <v>3820000</v>
      </c>
      <c r="K30" s="371"/>
      <c r="L30" s="372"/>
      <c r="M30" s="381"/>
      <c r="N30" s="381"/>
      <c r="O30" s="385">
        <f t="shared" si="0"/>
        <v>11854200</v>
      </c>
      <c r="P30" s="385">
        <v>20032407</v>
      </c>
      <c r="Q30" s="385">
        <f t="shared" si="1"/>
        <v>8178207</v>
      </c>
      <c r="R30" s="195"/>
      <c r="S30" s="195"/>
    </row>
    <row r="31" spans="1:19" ht="20.100000000000001" customHeight="1" x14ac:dyDescent="0.25">
      <c r="A31" s="350">
        <v>24</v>
      </c>
      <c r="B31" s="487">
        <v>44646</v>
      </c>
      <c r="C31" s="366" t="s">
        <v>4310</v>
      </c>
      <c r="D31" s="367" t="s">
        <v>4311</v>
      </c>
      <c r="E31" s="354" t="s">
        <v>4246</v>
      </c>
      <c r="F31" s="461"/>
      <c r="G31" s="369">
        <v>264</v>
      </c>
      <c r="H31" s="358">
        <f t="shared" si="4"/>
        <v>6238320</v>
      </c>
      <c r="I31" s="462"/>
      <c r="J31" s="381">
        <v>1720000</v>
      </c>
      <c r="K31" s="371"/>
      <c r="L31" s="372"/>
      <c r="M31" s="381"/>
      <c r="N31" s="381"/>
      <c r="O31" s="385">
        <f t="shared" si="0"/>
        <v>7958320</v>
      </c>
      <c r="P31" s="385">
        <v>10650000</v>
      </c>
      <c r="Q31" s="385">
        <f t="shared" si="1"/>
        <v>2691680</v>
      </c>
      <c r="R31" s="195"/>
      <c r="S31" s="195"/>
    </row>
    <row r="32" spans="1:19" ht="20.100000000000001" customHeight="1" x14ac:dyDescent="0.25">
      <c r="A32" s="350">
        <v>25</v>
      </c>
      <c r="B32" s="487">
        <v>44648</v>
      </c>
      <c r="C32" s="366" t="s">
        <v>4312</v>
      </c>
      <c r="D32" s="367" t="s">
        <v>4313</v>
      </c>
      <c r="E32" s="354" t="s">
        <v>4279</v>
      </c>
      <c r="F32" s="461"/>
      <c r="G32" s="369">
        <v>25</v>
      </c>
      <c r="H32" s="358">
        <f t="shared" si="4"/>
        <v>590750</v>
      </c>
      <c r="I32" s="462"/>
      <c r="J32" s="381">
        <v>300000</v>
      </c>
      <c r="K32" s="371"/>
      <c r="L32" s="372"/>
      <c r="M32" s="381"/>
      <c r="N32" s="381"/>
      <c r="O32" s="385">
        <f t="shared" si="0"/>
        <v>890750</v>
      </c>
      <c r="P32" s="385">
        <v>2000000</v>
      </c>
      <c r="Q32" s="385">
        <f t="shared" si="1"/>
        <v>1109250</v>
      </c>
      <c r="R32" s="195"/>
      <c r="S32" s="195"/>
    </row>
    <row r="33" spans="1:19" ht="20.100000000000001" customHeight="1" x14ac:dyDescent="0.25">
      <c r="A33" s="350">
        <v>26</v>
      </c>
      <c r="B33" s="487">
        <v>44648</v>
      </c>
      <c r="C33" s="366" t="s">
        <v>4312</v>
      </c>
      <c r="D33" s="367" t="s">
        <v>4314</v>
      </c>
      <c r="E33" s="354" t="s">
        <v>4279</v>
      </c>
      <c r="F33" s="461"/>
      <c r="G33" s="369"/>
      <c r="H33" s="358">
        <f t="shared" si="4"/>
        <v>0</v>
      </c>
      <c r="I33" s="462"/>
      <c r="J33" s="381">
        <v>300000</v>
      </c>
      <c r="K33" s="371"/>
      <c r="L33" s="372"/>
      <c r="M33" s="381"/>
      <c r="N33" s="381"/>
      <c r="O33" s="385">
        <f t="shared" si="0"/>
        <v>300000</v>
      </c>
      <c r="P33" s="385">
        <v>2000000</v>
      </c>
      <c r="Q33" s="385">
        <f t="shared" si="1"/>
        <v>1700000</v>
      </c>
      <c r="R33" s="195"/>
      <c r="S33" s="195"/>
    </row>
    <row r="34" spans="1:19" ht="20.100000000000001" customHeight="1" x14ac:dyDescent="0.25">
      <c r="A34" s="350">
        <v>27</v>
      </c>
      <c r="B34" s="487">
        <v>44648</v>
      </c>
      <c r="C34" s="366" t="s">
        <v>2355</v>
      </c>
      <c r="D34" s="367" t="s">
        <v>4315</v>
      </c>
      <c r="E34" s="354" t="s">
        <v>772</v>
      </c>
      <c r="F34" s="461"/>
      <c r="G34" s="369">
        <v>74</v>
      </c>
      <c r="H34" s="358">
        <f t="shared" si="4"/>
        <v>1748620</v>
      </c>
      <c r="I34" s="462"/>
      <c r="J34" s="381">
        <v>1150000</v>
      </c>
      <c r="K34" s="371"/>
      <c r="L34" s="372"/>
      <c r="M34" s="381"/>
      <c r="N34" s="381"/>
      <c r="O34" s="385">
        <f t="shared" si="0"/>
        <v>2898620</v>
      </c>
      <c r="P34" s="385">
        <v>4300000</v>
      </c>
      <c r="Q34" s="385">
        <f t="shared" si="1"/>
        <v>1401380</v>
      </c>
      <c r="R34" s="195"/>
      <c r="S34" s="195"/>
    </row>
    <row r="35" spans="1:19" ht="20.100000000000001" customHeight="1" x14ac:dyDescent="0.25">
      <c r="A35" s="350">
        <v>28</v>
      </c>
      <c r="B35" s="487">
        <v>44649</v>
      </c>
      <c r="C35" s="366" t="s">
        <v>989</v>
      </c>
      <c r="D35" s="367" t="s">
        <v>4316</v>
      </c>
      <c r="E35" s="354" t="s">
        <v>2117</v>
      </c>
      <c r="F35" s="461"/>
      <c r="G35" s="369">
        <v>155</v>
      </c>
      <c r="H35" s="358">
        <f t="shared" si="4"/>
        <v>3662650</v>
      </c>
      <c r="I35" s="462"/>
      <c r="J35" s="381">
        <v>1400000</v>
      </c>
      <c r="K35" s="371"/>
      <c r="L35" s="372"/>
      <c r="M35" s="381"/>
      <c r="N35" s="381"/>
      <c r="O35" s="385">
        <f t="shared" si="0"/>
        <v>5062650</v>
      </c>
      <c r="P35" s="385">
        <v>6800000</v>
      </c>
      <c r="Q35" s="385">
        <f t="shared" si="1"/>
        <v>1737350</v>
      </c>
      <c r="R35" s="195"/>
      <c r="S35" s="195"/>
    </row>
    <row r="36" spans="1:19" ht="20.100000000000001" customHeight="1" x14ac:dyDescent="0.25">
      <c r="A36" s="350">
        <v>29</v>
      </c>
      <c r="B36" s="487">
        <v>44650</v>
      </c>
      <c r="C36" s="366" t="s">
        <v>990</v>
      </c>
      <c r="D36" s="367" t="s">
        <v>4317</v>
      </c>
      <c r="E36" s="354" t="s">
        <v>4318</v>
      </c>
      <c r="F36" s="461"/>
      <c r="G36" s="369">
        <v>61</v>
      </c>
      <c r="H36" s="358">
        <f t="shared" si="4"/>
        <v>1441430</v>
      </c>
      <c r="I36" s="462"/>
      <c r="J36" s="381">
        <v>790000</v>
      </c>
      <c r="K36" s="371"/>
      <c r="L36" s="372"/>
      <c r="M36" s="381"/>
      <c r="N36" s="381"/>
      <c r="O36" s="385">
        <f t="shared" si="0"/>
        <v>2231430</v>
      </c>
      <c r="P36" s="385">
        <v>3520000</v>
      </c>
      <c r="Q36" s="385">
        <f t="shared" si="1"/>
        <v>1288570</v>
      </c>
      <c r="R36" s="195"/>
      <c r="S36" s="195"/>
    </row>
    <row r="37" spans="1:19" ht="27" customHeight="1" x14ac:dyDescent="0.25">
      <c r="A37" s="374"/>
      <c r="B37" s="488"/>
      <c r="C37" s="609" t="s">
        <v>1273</v>
      </c>
      <c r="D37" s="609"/>
      <c r="E37" s="609"/>
      <c r="F37" s="402"/>
      <c r="G37" s="358"/>
      <c r="H37" s="369"/>
      <c r="I37" s="489"/>
      <c r="J37" s="381"/>
      <c r="K37" s="372">
        <v>1200000</v>
      </c>
      <c r="L37" s="372"/>
      <c r="M37" s="381"/>
      <c r="N37" s="381"/>
      <c r="O37" s="385">
        <f>H37+J37+K37+L37+M37+N37</f>
        <v>1200000</v>
      </c>
      <c r="P37" s="385"/>
      <c r="Q37" s="385"/>
    </row>
    <row r="38" spans="1:19" ht="27" customHeight="1" x14ac:dyDescent="0.25">
      <c r="A38" s="386"/>
      <c r="B38" s="379"/>
      <c r="C38" s="594" t="s">
        <v>4319</v>
      </c>
      <c r="D38" s="595"/>
      <c r="E38" s="596"/>
      <c r="F38" s="402"/>
      <c r="G38" s="381"/>
      <c r="H38" s="369"/>
      <c r="I38" s="403"/>
      <c r="J38" s="381"/>
      <c r="K38" s="388">
        <v>4180000</v>
      </c>
      <c r="L38" s="388"/>
      <c r="M38" s="381"/>
      <c r="N38" s="381"/>
      <c r="O38" s="385">
        <f t="shared" ref="O38:O53" si="5">H38+J38+K38+L38+M38+N38</f>
        <v>4180000</v>
      </c>
      <c r="P38" s="389"/>
      <c r="Q38" s="378"/>
    </row>
    <row r="39" spans="1:19" ht="27" customHeight="1" x14ac:dyDescent="0.25">
      <c r="A39" s="386"/>
      <c r="B39" s="379"/>
      <c r="C39" s="594" t="s">
        <v>4320</v>
      </c>
      <c r="D39" s="595"/>
      <c r="E39" s="596"/>
      <c r="F39" s="402"/>
      <c r="G39" s="381"/>
      <c r="H39" s="369"/>
      <c r="I39" s="403"/>
      <c r="J39" s="381"/>
      <c r="K39" s="394"/>
      <c r="L39" s="388">
        <v>200000</v>
      </c>
      <c r="M39" s="388"/>
      <c r="N39" s="388"/>
      <c r="O39" s="385">
        <f t="shared" si="5"/>
        <v>200000</v>
      </c>
      <c r="P39" s="389"/>
      <c r="Q39" s="378"/>
    </row>
    <row r="40" spans="1:19" ht="27" customHeight="1" x14ac:dyDescent="0.25">
      <c r="A40" s="386"/>
      <c r="B40" s="379"/>
      <c r="C40" s="594" t="s">
        <v>4321</v>
      </c>
      <c r="D40" s="595"/>
      <c r="E40" s="596"/>
      <c r="F40" s="402"/>
      <c r="G40" s="381"/>
      <c r="H40" s="369"/>
      <c r="I40" s="403"/>
      <c r="J40" s="381"/>
      <c r="K40" s="394"/>
      <c r="L40" s="388">
        <v>1150000</v>
      </c>
      <c r="M40" s="388"/>
      <c r="N40" s="388"/>
      <c r="O40" s="385">
        <f t="shared" si="5"/>
        <v>1150000</v>
      </c>
      <c r="P40" s="389"/>
      <c r="Q40" s="378"/>
    </row>
    <row r="41" spans="1:19" ht="27" customHeight="1" x14ac:dyDescent="0.25">
      <c r="A41" s="386"/>
      <c r="B41" s="379"/>
      <c r="C41" s="594" t="s">
        <v>4322</v>
      </c>
      <c r="D41" s="595"/>
      <c r="E41" s="596"/>
      <c r="F41" s="402"/>
      <c r="G41" s="381"/>
      <c r="H41" s="369"/>
      <c r="I41" s="403"/>
      <c r="J41" s="381"/>
      <c r="K41" s="394"/>
      <c r="L41" s="388">
        <v>60000</v>
      </c>
      <c r="M41" s="388"/>
      <c r="N41" s="381"/>
      <c r="O41" s="385">
        <f t="shared" si="5"/>
        <v>60000</v>
      </c>
      <c r="P41" s="389"/>
      <c r="Q41" s="378"/>
    </row>
    <row r="42" spans="1:19" ht="27" customHeight="1" x14ac:dyDescent="0.25">
      <c r="A42" s="386"/>
      <c r="B42" s="379"/>
      <c r="C42" s="594" t="s">
        <v>4361</v>
      </c>
      <c r="D42" s="595"/>
      <c r="E42" s="596"/>
      <c r="F42" s="402"/>
      <c r="G42" s="381"/>
      <c r="H42" s="369"/>
      <c r="I42" s="403"/>
      <c r="J42" s="381"/>
      <c r="K42" s="394"/>
      <c r="L42" s="388">
        <v>1295000</v>
      </c>
      <c r="M42" s="388"/>
      <c r="N42" s="381"/>
      <c r="O42" s="385">
        <f t="shared" si="5"/>
        <v>1295000</v>
      </c>
      <c r="P42" s="389"/>
      <c r="Q42" s="378"/>
    </row>
    <row r="43" spans="1:19" ht="27" customHeight="1" x14ac:dyDescent="0.25">
      <c r="A43" s="386"/>
      <c r="B43" s="379"/>
      <c r="C43" s="594" t="s">
        <v>4323</v>
      </c>
      <c r="D43" s="595"/>
      <c r="E43" s="596"/>
      <c r="F43" s="402"/>
      <c r="G43" s="381"/>
      <c r="H43" s="369"/>
      <c r="I43" s="403"/>
      <c r="J43" s="381"/>
      <c r="K43" s="394"/>
      <c r="L43" s="388">
        <v>190000</v>
      </c>
      <c r="M43" s="372"/>
      <c r="N43" s="381"/>
      <c r="O43" s="385">
        <f t="shared" si="5"/>
        <v>190000</v>
      </c>
      <c r="P43" s="389"/>
      <c r="Q43" s="378"/>
    </row>
    <row r="44" spans="1:19" ht="27" customHeight="1" x14ac:dyDescent="0.25">
      <c r="A44" s="386"/>
      <c r="B44" s="379"/>
      <c r="C44" s="594" t="s">
        <v>4324</v>
      </c>
      <c r="D44" s="595"/>
      <c r="E44" s="596"/>
      <c r="F44" s="402"/>
      <c r="G44" s="381"/>
      <c r="H44" s="369"/>
      <c r="I44" s="403"/>
      <c r="J44" s="381"/>
      <c r="K44" s="394"/>
      <c r="L44" s="388">
        <v>400000</v>
      </c>
      <c r="M44" s="388"/>
      <c r="N44" s="381"/>
      <c r="O44" s="385">
        <f t="shared" si="5"/>
        <v>400000</v>
      </c>
      <c r="P44" s="389"/>
      <c r="Q44" s="378"/>
    </row>
    <row r="45" spans="1:19" ht="27" customHeight="1" x14ac:dyDescent="0.25">
      <c r="A45" s="386"/>
      <c r="B45" s="379"/>
      <c r="C45" s="594" t="s">
        <v>4325</v>
      </c>
      <c r="D45" s="595"/>
      <c r="E45" s="596"/>
      <c r="F45" s="402"/>
      <c r="G45" s="381"/>
      <c r="H45" s="369"/>
      <c r="I45" s="403"/>
      <c r="J45" s="381"/>
      <c r="K45" s="394"/>
      <c r="L45" s="388">
        <v>240000</v>
      </c>
      <c r="M45" s="388"/>
      <c r="N45" s="381"/>
      <c r="O45" s="385">
        <f t="shared" si="5"/>
        <v>240000</v>
      </c>
      <c r="P45" s="389"/>
      <c r="Q45" s="378"/>
    </row>
    <row r="46" spans="1:19" ht="27" customHeight="1" x14ac:dyDescent="0.25">
      <c r="A46" s="386"/>
      <c r="B46" s="379"/>
      <c r="C46" s="594" t="s">
        <v>4326</v>
      </c>
      <c r="D46" s="595"/>
      <c r="E46" s="596"/>
      <c r="F46" s="402"/>
      <c r="G46" s="381"/>
      <c r="H46" s="369"/>
      <c r="I46" s="403"/>
      <c r="J46" s="381"/>
      <c r="K46" s="394"/>
      <c r="L46" s="388">
        <v>400000</v>
      </c>
      <c r="M46" s="388"/>
      <c r="N46" s="381"/>
      <c r="O46" s="385">
        <f t="shared" si="5"/>
        <v>400000</v>
      </c>
      <c r="P46" s="389"/>
      <c r="Q46" s="378"/>
    </row>
    <row r="47" spans="1:19" ht="27" customHeight="1" x14ac:dyDescent="0.25">
      <c r="A47" s="386"/>
      <c r="B47" s="379"/>
      <c r="C47" s="594" t="s">
        <v>4327</v>
      </c>
      <c r="D47" s="595"/>
      <c r="E47" s="596"/>
      <c r="F47" s="402"/>
      <c r="G47" s="381"/>
      <c r="H47" s="369"/>
      <c r="I47" s="403"/>
      <c r="J47" s="381"/>
      <c r="K47" s="394"/>
      <c r="L47" s="388">
        <v>300000</v>
      </c>
      <c r="M47" s="388"/>
      <c r="N47" s="381"/>
      <c r="O47" s="385">
        <f t="shared" si="5"/>
        <v>300000</v>
      </c>
      <c r="P47" s="389"/>
      <c r="Q47" s="378"/>
    </row>
    <row r="48" spans="1:19" ht="27" customHeight="1" x14ac:dyDescent="0.25">
      <c r="A48" s="386"/>
      <c r="B48" s="379"/>
      <c r="C48" s="594" t="s">
        <v>4328</v>
      </c>
      <c r="D48" s="595"/>
      <c r="E48" s="596"/>
      <c r="F48" s="402"/>
      <c r="G48" s="381"/>
      <c r="H48" s="369"/>
      <c r="I48" s="403"/>
      <c r="J48" s="381"/>
      <c r="K48" s="394"/>
      <c r="L48" s="388">
        <v>4050000</v>
      </c>
      <c r="M48" s="388"/>
      <c r="N48" s="381"/>
      <c r="O48" s="385">
        <f t="shared" si="5"/>
        <v>4050000</v>
      </c>
      <c r="P48" s="389"/>
      <c r="Q48" s="378"/>
    </row>
    <row r="49" spans="1:18" ht="27" customHeight="1" x14ac:dyDescent="0.25">
      <c r="A49" s="386"/>
      <c r="B49" s="379"/>
      <c r="C49" s="594" t="s">
        <v>4329</v>
      </c>
      <c r="D49" s="595"/>
      <c r="E49" s="596"/>
      <c r="F49" s="402"/>
      <c r="G49" s="381"/>
      <c r="H49" s="369"/>
      <c r="I49" s="403"/>
      <c r="J49" s="381"/>
      <c r="K49" s="394"/>
      <c r="L49" s="388">
        <v>600000</v>
      </c>
      <c r="M49" s="388"/>
      <c r="N49" s="381"/>
      <c r="O49" s="385">
        <f t="shared" si="5"/>
        <v>600000</v>
      </c>
      <c r="P49" s="389"/>
      <c r="Q49" s="378"/>
    </row>
    <row r="50" spans="1:18" ht="27" customHeight="1" x14ac:dyDescent="0.25">
      <c r="A50" s="386"/>
      <c r="B50" s="379"/>
      <c r="C50" s="594" t="s">
        <v>4330</v>
      </c>
      <c r="D50" s="595"/>
      <c r="E50" s="596"/>
      <c r="F50" s="402"/>
      <c r="G50" s="381"/>
      <c r="H50" s="369"/>
      <c r="I50" s="403"/>
      <c r="J50" s="381"/>
      <c r="K50" s="394"/>
      <c r="L50" s="388">
        <v>1500000</v>
      </c>
      <c r="M50" s="388"/>
      <c r="N50" s="381"/>
      <c r="O50" s="385">
        <f t="shared" si="5"/>
        <v>1500000</v>
      </c>
      <c r="P50" s="389"/>
      <c r="Q50" s="378"/>
    </row>
    <row r="51" spans="1:18" ht="27" customHeight="1" x14ac:dyDescent="0.25">
      <c r="A51" s="386"/>
      <c r="B51" s="379"/>
      <c r="C51" s="594" t="s">
        <v>4331</v>
      </c>
      <c r="D51" s="595"/>
      <c r="E51" s="596"/>
      <c r="F51" s="402"/>
      <c r="G51" s="381"/>
      <c r="H51" s="369"/>
      <c r="I51" s="403"/>
      <c r="J51" s="381"/>
      <c r="K51" s="394"/>
      <c r="L51" s="388"/>
      <c r="M51" s="388">
        <v>11540000</v>
      </c>
      <c r="N51" s="381"/>
      <c r="O51" s="385">
        <f t="shared" si="5"/>
        <v>11540000</v>
      </c>
      <c r="P51" s="389"/>
      <c r="Q51" s="378"/>
    </row>
    <row r="52" spans="1:18" ht="27" customHeight="1" x14ac:dyDescent="0.25">
      <c r="A52" s="386"/>
      <c r="B52" s="379"/>
      <c r="C52" s="594" t="s">
        <v>4332</v>
      </c>
      <c r="D52" s="595"/>
      <c r="E52" s="596"/>
      <c r="F52" s="402"/>
      <c r="G52" s="381"/>
      <c r="H52" s="369"/>
      <c r="I52" s="403"/>
      <c r="J52" s="381"/>
      <c r="K52" s="394"/>
      <c r="L52" s="388">
        <v>250000</v>
      </c>
      <c r="M52" s="388"/>
      <c r="N52" s="381"/>
      <c r="O52" s="385">
        <f t="shared" si="5"/>
        <v>250000</v>
      </c>
      <c r="P52" s="389"/>
      <c r="Q52" s="378"/>
    </row>
    <row r="53" spans="1:18" ht="18" customHeight="1" x14ac:dyDescent="0.25">
      <c r="A53" s="386"/>
      <c r="B53" s="391"/>
      <c r="C53" s="579" t="s">
        <v>4333</v>
      </c>
      <c r="D53" s="580"/>
      <c r="E53" s="581"/>
      <c r="F53" s="461"/>
      <c r="G53" s="381"/>
      <c r="H53" s="369"/>
      <c r="I53" s="403"/>
      <c r="J53" s="381"/>
      <c r="K53" s="394">
        <v>8300000</v>
      </c>
      <c r="L53" s="394"/>
      <c r="M53" s="381"/>
      <c r="N53" s="381"/>
      <c r="O53" s="362">
        <f t="shared" si="5"/>
        <v>8300000</v>
      </c>
      <c r="P53" s="389"/>
      <c r="Q53" s="378"/>
    </row>
    <row r="54" spans="1:18" x14ac:dyDescent="0.25">
      <c r="A54" s="576" t="s">
        <v>19</v>
      </c>
      <c r="B54" s="577"/>
      <c r="C54" s="577"/>
      <c r="D54" s="577"/>
      <c r="E54" s="577"/>
      <c r="F54" s="578"/>
      <c r="G54" s="395">
        <f>SUM(G8:G53)</f>
        <v>2961</v>
      </c>
      <c r="H54" s="396">
        <f t="shared" ref="H54:P54" si="6">SUM(H7:H53)</f>
        <v>69890060</v>
      </c>
      <c r="I54" s="396">
        <f t="shared" si="6"/>
        <v>0</v>
      </c>
      <c r="J54" s="396">
        <f t="shared" si="6"/>
        <v>34600000</v>
      </c>
      <c r="K54" s="396">
        <f t="shared" si="6"/>
        <v>13680000</v>
      </c>
      <c r="L54" s="396">
        <f t="shared" si="6"/>
        <v>10635000</v>
      </c>
      <c r="M54" s="396">
        <f t="shared" si="6"/>
        <v>11540000</v>
      </c>
      <c r="N54" s="396">
        <f t="shared" si="6"/>
        <v>0</v>
      </c>
      <c r="O54" s="396">
        <f t="shared" si="6"/>
        <v>140345060</v>
      </c>
      <c r="P54" s="396">
        <f t="shared" si="6"/>
        <v>162607962</v>
      </c>
      <c r="Q54" s="396">
        <f>P54-O54</f>
        <v>22262902</v>
      </c>
      <c r="R54" s="195"/>
    </row>
    <row r="55" spans="1:18" x14ac:dyDescent="0.25">
      <c r="P55" s="294"/>
      <c r="Q55" s="295"/>
    </row>
    <row r="56" spans="1:18" x14ac:dyDescent="0.25">
      <c r="B56"/>
      <c r="G56"/>
      <c r="H56" s="294"/>
      <c r="P56" s="296" t="s">
        <v>1225</v>
      </c>
      <c r="Q56" s="295">
        <f>'02.2022'!Q34+'03.2022'!Q54</f>
        <v>53150678</v>
      </c>
    </row>
    <row r="57" spans="1:18" x14ac:dyDescent="0.25">
      <c r="B57"/>
      <c r="G57"/>
      <c r="Q57" s="294"/>
    </row>
    <row r="58" spans="1:18" x14ac:dyDescent="0.25">
      <c r="B58"/>
      <c r="G58"/>
      <c r="R58" s="195"/>
    </row>
  </sheetData>
  <mergeCells count="22">
    <mergeCell ref="C38:E38"/>
    <mergeCell ref="A1:Q1"/>
    <mergeCell ref="A2:Q2"/>
    <mergeCell ref="A3:Q3"/>
    <mergeCell ref="G5:N5"/>
    <mergeCell ref="C37:E37"/>
    <mergeCell ref="C39:E39"/>
    <mergeCell ref="C40:E40"/>
    <mergeCell ref="C41:E41"/>
    <mergeCell ref="C43:E43"/>
    <mergeCell ref="C44:E44"/>
    <mergeCell ref="C52:E52"/>
    <mergeCell ref="C53:E53"/>
    <mergeCell ref="A54:F54"/>
    <mergeCell ref="C42:E42"/>
    <mergeCell ref="C46:E46"/>
    <mergeCell ref="C47:E47"/>
    <mergeCell ref="C48:E48"/>
    <mergeCell ref="C49:E49"/>
    <mergeCell ref="C50:E50"/>
    <mergeCell ref="C51:E51"/>
    <mergeCell ref="C45:E45"/>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8CF87-F16B-4486-972E-90CE872376E6}">
  <dimension ref="A1:S33"/>
  <sheetViews>
    <sheetView workbookViewId="0">
      <selection activeCell="H27" sqref="H27"/>
    </sheetView>
  </sheetViews>
  <sheetFormatPr defaultColWidth="9.140625"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0.28515625" style="292" bestFit="1"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4335</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19"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19" x14ac:dyDescent="0.25">
      <c r="A7" s="75"/>
      <c r="B7" s="100"/>
      <c r="C7" s="88"/>
      <c r="D7" s="88"/>
      <c r="E7" s="134"/>
      <c r="F7" s="75"/>
      <c r="G7" s="264"/>
      <c r="H7" s="264"/>
      <c r="I7" s="264"/>
      <c r="J7" s="264"/>
      <c r="K7" s="264"/>
      <c r="L7" s="308"/>
      <c r="M7" s="264"/>
      <c r="N7" s="264"/>
      <c r="O7" s="265"/>
      <c r="P7" s="265"/>
      <c r="Q7" s="264"/>
    </row>
    <row r="8" spans="1:19" ht="21.75" customHeight="1" x14ac:dyDescent="0.25">
      <c r="A8" s="470">
        <v>1</v>
      </c>
      <c r="B8" s="472">
        <v>44651</v>
      </c>
      <c r="C8" s="366" t="s">
        <v>4336</v>
      </c>
      <c r="D8" s="367" t="s">
        <v>4337</v>
      </c>
      <c r="E8" s="354" t="s">
        <v>1212</v>
      </c>
      <c r="F8" s="368"/>
      <c r="G8" s="369">
        <v>253</v>
      </c>
      <c r="H8" s="358">
        <f>G8*24380</f>
        <v>6168140</v>
      </c>
      <c r="I8" s="358"/>
      <c r="J8" s="358">
        <v>2740000</v>
      </c>
      <c r="K8" s="371"/>
      <c r="L8" s="372"/>
      <c r="M8" s="358"/>
      <c r="N8" s="358"/>
      <c r="O8" s="358">
        <f>H8+J8+K8+L8+M8+N8</f>
        <v>8908140</v>
      </c>
      <c r="P8" s="358">
        <v>13981481</v>
      </c>
      <c r="Q8" s="358">
        <f>P8-O8</f>
        <v>5073341</v>
      </c>
      <c r="R8" s="195"/>
      <c r="S8" s="195"/>
    </row>
    <row r="9" spans="1:19" ht="21.75" customHeight="1" x14ac:dyDescent="0.25">
      <c r="A9" s="350">
        <v>2</v>
      </c>
      <c r="B9" s="482">
        <v>44652</v>
      </c>
      <c r="C9" s="366" t="s">
        <v>4338</v>
      </c>
      <c r="D9" s="415" t="s">
        <v>4339</v>
      </c>
      <c r="E9" s="354" t="s">
        <v>4279</v>
      </c>
      <c r="F9" s="368"/>
      <c r="G9" s="369">
        <v>17</v>
      </c>
      <c r="H9" s="358">
        <f>G9*24380</f>
        <v>414460</v>
      </c>
      <c r="I9" s="358"/>
      <c r="J9" s="358">
        <v>300000</v>
      </c>
      <c r="K9" s="371"/>
      <c r="L9" s="372"/>
      <c r="M9" s="358"/>
      <c r="N9" s="358"/>
      <c r="O9" s="358">
        <f t="shared" ref="O9:O18" si="0">H9+J9+K9+L9+M9+N9</f>
        <v>714460</v>
      </c>
      <c r="P9" s="385">
        <v>2000000</v>
      </c>
      <c r="Q9" s="358">
        <f t="shared" ref="Q9:Q18" si="1">P9-O9</f>
        <v>1285540</v>
      </c>
      <c r="R9" s="195"/>
      <c r="S9" s="195"/>
    </row>
    <row r="10" spans="1:19" ht="21.75" customHeight="1" x14ac:dyDescent="0.25">
      <c r="A10" s="350">
        <v>3</v>
      </c>
      <c r="B10" s="482">
        <v>44652</v>
      </c>
      <c r="C10" s="366" t="s">
        <v>4338</v>
      </c>
      <c r="D10" s="367" t="s">
        <v>4340</v>
      </c>
      <c r="E10" s="354" t="s">
        <v>4279</v>
      </c>
      <c r="F10" s="368"/>
      <c r="G10" s="369">
        <v>30</v>
      </c>
      <c r="H10" s="358">
        <f>G10*24380</f>
        <v>731400</v>
      </c>
      <c r="I10" s="358"/>
      <c r="J10" s="358">
        <v>300000</v>
      </c>
      <c r="K10" s="371"/>
      <c r="L10" s="372"/>
      <c r="M10" s="358"/>
      <c r="N10" s="358"/>
      <c r="O10" s="358">
        <f t="shared" si="0"/>
        <v>1031400</v>
      </c>
      <c r="P10" s="385">
        <v>2000000</v>
      </c>
      <c r="Q10" s="358">
        <f t="shared" si="1"/>
        <v>968600</v>
      </c>
      <c r="R10" s="195"/>
      <c r="S10" s="195"/>
    </row>
    <row r="11" spans="1:19" ht="21.75" customHeight="1" x14ac:dyDescent="0.25">
      <c r="A11" s="350">
        <v>4</v>
      </c>
      <c r="B11" s="482">
        <v>44671</v>
      </c>
      <c r="C11" s="366" t="s">
        <v>4341</v>
      </c>
      <c r="D11" s="367" t="s">
        <v>4342</v>
      </c>
      <c r="E11" s="354" t="s">
        <v>301</v>
      </c>
      <c r="F11" s="368"/>
      <c r="G11" s="369">
        <v>320</v>
      </c>
      <c r="H11" s="358">
        <f>G11*25350</f>
        <v>8112000</v>
      </c>
      <c r="I11" s="358"/>
      <c r="J11" s="358">
        <v>3820000</v>
      </c>
      <c r="K11" s="371"/>
      <c r="L11" s="372"/>
      <c r="M11" s="358"/>
      <c r="N11" s="358"/>
      <c r="O11" s="358">
        <f t="shared" si="0"/>
        <v>11932000</v>
      </c>
      <c r="P11" s="385">
        <v>19668182</v>
      </c>
      <c r="Q11" s="358">
        <f t="shared" si="1"/>
        <v>7736182</v>
      </c>
      <c r="R11" s="195"/>
      <c r="S11" s="195"/>
    </row>
    <row r="12" spans="1:19" ht="21.75" customHeight="1" x14ac:dyDescent="0.25">
      <c r="A12" s="350">
        <v>5</v>
      </c>
      <c r="B12" s="482">
        <v>44673</v>
      </c>
      <c r="C12" s="366" t="s">
        <v>4343</v>
      </c>
      <c r="D12" s="367" t="s">
        <v>4344</v>
      </c>
      <c r="E12" s="354" t="s">
        <v>21</v>
      </c>
      <c r="F12" s="368"/>
      <c r="G12" s="369">
        <v>240</v>
      </c>
      <c r="H12" s="358">
        <f t="shared" ref="H12:H17" si="2">G12*25350</f>
        <v>6084000</v>
      </c>
      <c r="I12" s="358"/>
      <c r="J12" s="358">
        <v>2740000</v>
      </c>
      <c r="K12" s="371"/>
      <c r="L12" s="372"/>
      <c r="M12" s="358"/>
      <c r="N12" s="358"/>
      <c r="O12" s="358">
        <f t="shared" si="0"/>
        <v>8824000</v>
      </c>
      <c r="P12" s="385">
        <v>15138889</v>
      </c>
      <c r="Q12" s="358">
        <f t="shared" si="1"/>
        <v>6314889</v>
      </c>
      <c r="R12" s="195"/>
      <c r="S12" s="195"/>
    </row>
    <row r="13" spans="1:19" ht="21.75" customHeight="1" x14ac:dyDescent="0.25">
      <c r="A13" s="350">
        <v>6</v>
      </c>
      <c r="B13" s="482">
        <v>44676</v>
      </c>
      <c r="C13" s="366" t="s">
        <v>4345</v>
      </c>
      <c r="D13" s="367" t="s">
        <v>4346</v>
      </c>
      <c r="E13" s="354" t="s">
        <v>2885</v>
      </c>
      <c r="F13" s="368"/>
      <c r="G13" s="369">
        <v>62</v>
      </c>
      <c r="H13" s="358">
        <f t="shared" si="2"/>
        <v>1571700</v>
      </c>
      <c r="I13" s="358"/>
      <c r="J13" s="358">
        <v>790000</v>
      </c>
      <c r="K13" s="371"/>
      <c r="L13" s="372"/>
      <c r="M13" s="358"/>
      <c r="N13" s="358"/>
      <c r="O13" s="358">
        <f t="shared" si="0"/>
        <v>2361700</v>
      </c>
      <c r="P13" s="385">
        <v>3520000</v>
      </c>
      <c r="Q13" s="358">
        <f t="shared" si="1"/>
        <v>1158300</v>
      </c>
      <c r="R13" s="195"/>
      <c r="S13" s="195"/>
    </row>
    <row r="14" spans="1:19" ht="21.75" customHeight="1" x14ac:dyDescent="0.25">
      <c r="A14" s="350">
        <v>7</v>
      </c>
      <c r="B14" s="482">
        <v>44676</v>
      </c>
      <c r="C14" s="366" t="s">
        <v>2414</v>
      </c>
      <c r="D14" s="367" t="s">
        <v>4347</v>
      </c>
      <c r="E14" s="354" t="s">
        <v>705</v>
      </c>
      <c r="F14" s="368"/>
      <c r="G14" s="369">
        <v>80</v>
      </c>
      <c r="H14" s="358">
        <f t="shared" si="2"/>
        <v>2028000</v>
      </c>
      <c r="I14" s="358"/>
      <c r="J14" s="358">
        <v>1150000</v>
      </c>
      <c r="K14" s="371"/>
      <c r="L14" s="372"/>
      <c r="M14" s="358"/>
      <c r="N14" s="358"/>
      <c r="O14" s="358">
        <f t="shared" si="0"/>
        <v>3178000</v>
      </c>
      <c r="P14" s="385">
        <v>4400000</v>
      </c>
      <c r="Q14" s="358">
        <f t="shared" si="1"/>
        <v>1222000</v>
      </c>
      <c r="R14" s="195"/>
      <c r="S14" s="195"/>
    </row>
    <row r="15" spans="1:19" ht="21.75" customHeight="1" x14ac:dyDescent="0.25">
      <c r="A15" s="350">
        <v>8</v>
      </c>
      <c r="B15" s="482">
        <v>44678</v>
      </c>
      <c r="C15" s="366" t="s">
        <v>312</v>
      </c>
      <c r="D15" s="367" t="s">
        <v>4348</v>
      </c>
      <c r="E15" s="354" t="s">
        <v>4152</v>
      </c>
      <c r="F15" s="368"/>
      <c r="G15" s="369">
        <v>82</v>
      </c>
      <c r="H15" s="358">
        <f t="shared" si="2"/>
        <v>2078700</v>
      </c>
      <c r="I15" s="358"/>
      <c r="J15" s="358">
        <v>1150000</v>
      </c>
      <c r="K15" s="371"/>
      <c r="L15" s="372"/>
      <c r="M15" s="358"/>
      <c r="N15" s="358"/>
      <c r="O15" s="358">
        <f t="shared" si="0"/>
        <v>3228700</v>
      </c>
      <c r="P15" s="385">
        <v>4800000</v>
      </c>
      <c r="Q15" s="358">
        <f t="shared" si="1"/>
        <v>1571300</v>
      </c>
      <c r="R15" s="195"/>
      <c r="S15" s="195"/>
    </row>
    <row r="16" spans="1:19" ht="21.75" customHeight="1" x14ac:dyDescent="0.25">
      <c r="A16" s="350">
        <v>9</v>
      </c>
      <c r="B16" s="482">
        <v>44678</v>
      </c>
      <c r="C16" s="366" t="s">
        <v>314</v>
      </c>
      <c r="D16" s="367" t="s">
        <v>4349</v>
      </c>
      <c r="E16" s="354" t="s">
        <v>4152</v>
      </c>
      <c r="F16" s="368"/>
      <c r="G16" s="369">
        <v>90</v>
      </c>
      <c r="H16" s="358">
        <f t="shared" si="2"/>
        <v>2281500</v>
      </c>
      <c r="I16" s="358"/>
      <c r="J16" s="358">
        <v>1150000</v>
      </c>
      <c r="K16" s="371"/>
      <c r="L16" s="372"/>
      <c r="M16" s="358"/>
      <c r="N16" s="358"/>
      <c r="O16" s="358">
        <f t="shared" si="0"/>
        <v>3431500</v>
      </c>
      <c r="P16" s="385">
        <v>4800000</v>
      </c>
      <c r="Q16" s="358">
        <f t="shared" si="1"/>
        <v>1368500</v>
      </c>
      <c r="R16" s="195"/>
      <c r="S16" s="195"/>
    </row>
    <row r="17" spans="1:19" ht="21.75" customHeight="1" x14ac:dyDescent="0.25">
      <c r="A17" s="350">
        <v>10</v>
      </c>
      <c r="B17" s="482">
        <v>44679</v>
      </c>
      <c r="C17" s="366" t="s">
        <v>3019</v>
      </c>
      <c r="D17" s="367" t="s">
        <v>4350</v>
      </c>
      <c r="E17" s="354" t="s">
        <v>4150</v>
      </c>
      <c r="F17" s="368"/>
      <c r="G17" s="369">
        <v>126</v>
      </c>
      <c r="H17" s="358">
        <f t="shared" si="2"/>
        <v>3194100</v>
      </c>
      <c r="I17" s="358"/>
      <c r="J17" s="358">
        <v>1150000</v>
      </c>
      <c r="K17" s="371"/>
      <c r="L17" s="372"/>
      <c r="M17" s="358"/>
      <c r="N17" s="358"/>
      <c r="O17" s="358">
        <f t="shared" si="0"/>
        <v>4344100</v>
      </c>
      <c r="P17" s="385">
        <v>7300000</v>
      </c>
      <c r="Q17" s="358">
        <f t="shared" si="1"/>
        <v>2955900</v>
      </c>
      <c r="R17" s="195"/>
      <c r="S17" s="195"/>
    </row>
    <row r="18" spans="1:19" ht="21.75" customHeight="1" x14ac:dyDescent="0.25">
      <c r="A18" s="350">
        <v>11</v>
      </c>
      <c r="B18" s="482">
        <v>44679</v>
      </c>
      <c r="C18" s="366" t="s">
        <v>4351</v>
      </c>
      <c r="D18" s="367" t="s">
        <v>4352</v>
      </c>
      <c r="E18" s="354" t="s">
        <v>1429</v>
      </c>
      <c r="F18" s="368"/>
      <c r="G18" s="369"/>
      <c r="H18" s="358"/>
      <c r="I18" s="358"/>
      <c r="J18" s="358">
        <v>200000</v>
      </c>
      <c r="K18" s="371"/>
      <c r="L18" s="372"/>
      <c r="M18" s="358"/>
      <c r="N18" s="358"/>
      <c r="O18" s="358">
        <f t="shared" si="0"/>
        <v>200000</v>
      </c>
      <c r="P18" s="385">
        <v>0</v>
      </c>
      <c r="Q18" s="358">
        <f t="shared" si="1"/>
        <v>-200000</v>
      </c>
      <c r="R18" s="195"/>
      <c r="S18" s="195"/>
    </row>
    <row r="19" spans="1:19" ht="27" customHeight="1" x14ac:dyDescent="0.25">
      <c r="A19" s="374"/>
      <c r="B19" s="488"/>
      <c r="C19" s="609" t="s">
        <v>1273</v>
      </c>
      <c r="D19" s="609"/>
      <c r="E19" s="609"/>
      <c r="F19" s="402"/>
      <c r="G19" s="358"/>
      <c r="H19" s="369"/>
      <c r="I19" s="489"/>
      <c r="J19" s="381"/>
      <c r="K19" s="372">
        <v>1200000</v>
      </c>
      <c r="L19" s="372"/>
      <c r="M19" s="381"/>
      <c r="N19" s="381"/>
      <c r="O19" s="385">
        <f>H19+J19+K19+L19+M19+N19</f>
        <v>1200000</v>
      </c>
      <c r="P19" s="385"/>
      <c r="Q19" s="385"/>
    </row>
    <row r="20" spans="1:19" ht="27" customHeight="1" x14ac:dyDescent="0.25">
      <c r="A20" s="386"/>
      <c r="B20" s="379"/>
      <c r="C20" s="594" t="s">
        <v>4353</v>
      </c>
      <c r="D20" s="595"/>
      <c r="E20" s="596"/>
      <c r="F20" s="402"/>
      <c r="G20" s="381"/>
      <c r="H20" s="369"/>
      <c r="I20" s="403"/>
      <c r="J20" s="381"/>
      <c r="K20" s="388"/>
      <c r="L20" s="388">
        <v>1600000</v>
      </c>
      <c r="M20" s="381"/>
      <c r="N20" s="381"/>
      <c r="O20" s="385">
        <f t="shared" ref="O20:O28" si="3">H20+J20+K20+L20+M20+N20</f>
        <v>1600000</v>
      </c>
      <c r="P20" s="389"/>
      <c r="Q20" s="378"/>
    </row>
    <row r="21" spans="1:19" ht="27" customHeight="1" x14ac:dyDescent="0.25">
      <c r="A21" s="386"/>
      <c r="B21" s="379"/>
      <c r="C21" s="594" t="s">
        <v>4354</v>
      </c>
      <c r="D21" s="595"/>
      <c r="E21" s="596"/>
      <c r="F21" s="402"/>
      <c r="G21" s="381"/>
      <c r="H21" s="369"/>
      <c r="I21" s="403"/>
      <c r="J21" s="381"/>
      <c r="K21" s="394">
        <v>8930000</v>
      </c>
      <c r="L21" s="388"/>
      <c r="M21" s="388"/>
      <c r="N21" s="388"/>
      <c r="O21" s="385">
        <f t="shared" si="3"/>
        <v>8930000</v>
      </c>
      <c r="P21" s="389"/>
      <c r="Q21" s="378"/>
    </row>
    <row r="22" spans="1:19" ht="27" customHeight="1" x14ac:dyDescent="0.25">
      <c r="A22" s="386"/>
      <c r="B22" s="379"/>
      <c r="C22" s="594" t="s">
        <v>4355</v>
      </c>
      <c r="D22" s="595"/>
      <c r="E22" s="596"/>
      <c r="F22" s="402"/>
      <c r="G22" s="381"/>
      <c r="H22" s="369"/>
      <c r="I22" s="403"/>
      <c r="J22" s="381"/>
      <c r="K22" s="394">
        <v>600000</v>
      </c>
      <c r="L22" s="388"/>
      <c r="M22" s="388"/>
      <c r="N22" s="388"/>
      <c r="O22" s="385">
        <f t="shared" si="3"/>
        <v>600000</v>
      </c>
      <c r="P22" s="389"/>
      <c r="Q22" s="378"/>
    </row>
    <row r="23" spans="1:19" ht="27" customHeight="1" x14ac:dyDescent="0.25">
      <c r="A23" s="386"/>
      <c r="B23" s="379"/>
      <c r="C23" s="594" t="s">
        <v>4356</v>
      </c>
      <c r="D23" s="595"/>
      <c r="E23" s="596"/>
      <c r="F23" s="402"/>
      <c r="G23" s="381"/>
      <c r="H23" s="369"/>
      <c r="I23" s="403"/>
      <c r="J23" s="381"/>
      <c r="K23" s="394"/>
      <c r="L23" s="388">
        <v>200000</v>
      </c>
      <c r="M23" s="388"/>
      <c r="N23" s="381"/>
      <c r="O23" s="385">
        <f t="shared" si="3"/>
        <v>200000</v>
      </c>
      <c r="P23" s="389"/>
      <c r="Q23" s="378"/>
    </row>
    <row r="24" spans="1:19" ht="27" customHeight="1" x14ac:dyDescent="0.25">
      <c r="A24" s="386"/>
      <c r="B24" s="379"/>
      <c r="C24" s="594" t="s">
        <v>4357</v>
      </c>
      <c r="D24" s="595"/>
      <c r="E24" s="596"/>
      <c r="F24" s="402"/>
      <c r="G24" s="381"/>
      <c r="H24" s="369"/>
      <c r="I24" s="403"/>
      <c r="J24" s="381"/>
      <c r="K24" s="394"/>
      <c r="L24" s="388">
        <v>320000</v>
      </c>
      <c r="M24" s="372"/>
      <c r="N24" s="381"/>
      <c r="O24" s="385">
        <f t="shared" si="3"/>
        <v>320000</v>
      </c>
      <c r="P24" s="389"/>
      <c r="Q24" s="378"/>
    </row>
    <row r="25" spans="1:19" ht="27" customHeight="1" x14ac:dyDescent="0.25">
      <c r="A25" s="386"/>
      <c r="B25" s="379"/>
      <c r="C25" s="594" t="s">
        <v>4358</v>
      </c>
      <c r="D25" s="595"/>
      <c r="E25" s="596"/>
      <c r="F25" s="402"/>
      <c r="G25" s="381"/>
      <c r="H25" s="369"/>
      <c r="I25" s="403"/>
      <c r="J25" s="381"/>
      <c r="K25" s="394"/>
      <c r="L25" s="388">
        <v>100000</v>
      </c>
      <c r="M25" s="388"/>
      <c r="N25" s="381"/>
      <c r="O25" s="385">
        <f t="shared" si="3"/>
        <v>100000</v>
      </c>
      <c r="P25" s="389"/>
      <c r="Q25" s="378"/>
    </row>
    <row r="26" spans="1:19" ht="27" customHeight="1" x14ac:dyDescent="0.25">
      <c r="A26" s="386"/>
      <c r="B26" s="379"/>
      <c r="C26" s="594" t="s">
        <v>4359</v>
      </c>
      <c r="D26" s="595"/>
      <c r="E26" s="596"/>
      <c r="F26" s="402"/>
      <c r="G26" s="381"/>
      <c r="H26" s="369"/>
      <c r="I26" s="403"/>
      <c r="J26" s="381"/>
      <c r="K26" s="394"/>
      <c r="L26" s="388">
        <v>70000</v>
      </c>
      <c r="M26" s="388"/>
      <c r="N26" s="381"/>
      <c r="O26" s="385">
        <f t="shared" si="3"/>
        <v>70000</v>
      </c>
      <c r="P26" s="389"/>
      <c r="Q26" s="378"/>
    </row>
    <row r="27" spans="1:19" ht="27" customHeight="1" x14ac:dyDescent="0.25">
      <c r="A27" s="386"/>
      <c r="B27" s="379"/>
      <c r="C27" s="594" t="s">
        <v>4362</v>
      </c>
      <c r="D27" s="595"/>
      <c r="E27" s="596"/>
      <c r="F27" s="402"/>
      <c r="G27" s="381"/>
      <c r="H27" s="369"/>
      <c r="I27" s="403"/>
      <c r="J27" s="381"/>
      <c r="K27" s="394">
        <v>18460000</v>
      </c>
      <c r="L27" s="388"/>
      <c r="M27" s="388"/>
      <c r="N27" s="381"/>
      <c r="O27" s="385">
        <f t="shared" si="3"/>
        <v>18460000</v>
      </c>
      <c r="P27" s="389"/>
      <c r="Q27" s="378"/>
    </row>
    <row r="28" spans="1:19" ht="18" customHeight="1" x14ac:dyDescent="0.25">
      <c r="A28" s="386"/>
      <c r="B28" s="391"/>
      <c r="C28" s="579" t="s">
        <v>4360</v>
      </c>
      <c r="D28" s="580"/>
      <c r="E28" s="581"/>
      <c r="F28" s="461"/>
      <c r="G28" s="381"/>
      <c r="H28" s="369"/>
      <c r="I28" s="403"/>
      <c r="J28" s="381"/>
      <c r="K28" s="394">
        <f>11*8000000/26</f>
        <v>3384615.3846153845</v>
      </c>
      <c r="L28" s="394"/>
      <c r="M28" s="381"/>
      <c r="N28" s="381"/>
      <c r="O28" s="362">
        <f t="shared" si="3"/>
        <v>3384615.3846153845</v>
      </c>
      <c r="P28" s="389"/>
      <c r="Q28" s="378"/>
    </row>
    <row r="29" spans="1:19" x14ac:dyDescent="0.25">
      <c r="A29" s="576" t="s">
        <v>19</v>
      </c>
      <c r="B29" s="577"/>
      <c r="C29" s="577"/>
      <c r="D29" s="577"/>
      <c r="E29" s="577"/>
      <c r="F29" s="578"/>
      <c r="G29" s="395">
        <f>SUM(G8:G28)</f>
        <v>1300</v>
      </c>
      <c r="H29" s="396">
        <f t="shared" ref="H29:P29" si="4">SUM(H7:H28)</f>
        <v>32664000</v>
      </c>
      <c r="I29" s="396">
        <f t="shared" si="4"/>
        <v>0</v>
      </c>
      <c r="J29" s="396">
        <f t="shared" si="4"/>
        <v>15490000</v>
      </c>
      <c r="K29" s="396">
        <f t="shared" si="4"/>
        <v>32574615.384615384</v>
      </c>
      <c r="L29" s="396">
        <f t="shared" si="4"/>
        <v>2290000</v>
      </c>
      <c r="M29" s="396">
        <f t="shared" si="4"/>
        <v>0</v>
      </c>
      <c r="N29" s="396">
        <f t="shared" si="4"/>
        <v>0</v>
      </c>
      <c r="O29" s="396">
        <f t="shared" si="4"/>
        <v>83018615.384615391</v>
      </c>
      <c r="P29" s="396">
        <f t="shared" si="4"/>
        <v>77608552</v>
      </c>
      <c r="Q29" s="396">
        <f>P29-O29</f>
        <v>-5410063.3846153915</v>
      </c>
      <c r="R29" s="195"/>
    </row>
    <row r="30" spans="1:19" x14ac:dyDescent="0.25">
      <c r="P30" s="294"/>
      <c r="Q30" s="295"/>
    </row>
    <row r="31" spans="1:19" x14ac:dyDescent="0.25">
      <c r="B31"/>
      <c r="G31"/>
      <c r="H31" s="294"/>
      <c r="P31" s="296" t="s">
        <v>1225</v>
      </c>
      <c r="Q31" s="295">
        <f>'03.2022'!Q56+'04.2022'!Q29</f>
        <v>47740614.615384609</v>
      </c>
    </row>
    <row r="32" spans="1:19" x14ac:dyDescent="0.25">
      <c r="B32"/>
      <c r="G32"/>
      <c r="Q32" s="294"/>
    </row>
    <row r="33" spans="2:18" x14ac:dyDescent="0.25">
      <c r="B33"/>
      <c r="G33"/>
      <c r="R33" s="195"/>
    </row>
  </sheetData>
  <mergeCells count="15">
    <mergeCell ref="C20:E20"/>
    <mergeCell ref="A1:Q1"/>
    <mergeCell ref="A2:Q2"/>
    <mergeCell ref="A3:Q3"/>
    <mergeCell ref="G5:N5"/>
    <mergeCell ref="C19:E19"/>
    <mergeCell ref="C28:E28"/>
    <mergeCell ref="A29:F29"/>
    <mergeCell ref="C27:E27"/>
    <mergeCell ref="C21:E21"/>
    <mergeCell ref="C22:E22"/>
    <mergeCell ref="C23:E23"/>
    <mergeCell ref="C24:E24"/>
    <mergeCell ref="C25:E25"/>
    <mergeCell ref="C26:E26"/>
  </mergeCell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F0FB9-94AD-4828-9B6B-7EDF1F3CF64E}">
  <dimension ref="A1:S38"/>
  <sheetViews>
    <sheetView topLeftCell="A16" workbookViewId="0">
      <selection activeCell="K23" sqref="K23"/>
    </sheetView>
  </sheetViews>
  <sheetFormatPr defaultColWidth="9.140625"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0.28515625" style="292" bestFit="1"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4363</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19"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19" x14ac:dyDescent="0.25">
      <c r="A7" s="75"/>
      <c r="B7" s="100"/>
      <c r="C7" s="88"/>
      <c r="D7" s="88"/>
      <c r="E7" s="134"/>
      <c r="F7" s="75"/>
      <c r="G7" s="264"/>
      <c r="H7" s="264"/>
      <c r="I7" s="264"/>
      <c r="J7" s="264"/>
      <c r="K7" s="264"/>
      <c r="L7" s="308"/>
      <c r="M7" s="264"/>
      <c r="N7" s="264"/>
      <c r="O7" s="265"/>
      <c r="P7" s="265"/>
      <c r="Q7" s="264"/>
    </row>
    <row r="8" spans="1:19" ht="21.75" customHeight="1" x14ac:dyDescent="0.25">
      <c r="A8" s="470">
        <v>1</v>
      </c>
      <c r="B8" s="472">
        <v>44684</v>
      </c>
      <c r="C8" s="366" t="s">
        <v>3057</v>
      </c>
      <c r="D8" s="367" t="s">
        <v>4377</v>
      </c>
      <c r="E8" s="354" t="s">
        <v>21</v>
      </c>
      <c r="F8" s="368"/>
      <c r="G8" s="369">
        <v>240</v>
      </c>
      <c r="H8" s="358">
        <f>G8*25530</f>
        <v>6127200</v>
      </c>
      <c r="I8" s="358"/>
      <c r="J8" s="358">
        <v>2740000</v>
      </c>
      <c r="K8" s="371"/>
      <c r="L8" s="372"/>
      <c r="M8" s="358"/>
      <c r="N8" s="358"/>
      <c r="O8" s="358">
        <f>H8+J8+K8+L8+M8+N8</f>
        <v>8867200</v>
      </c>
      <c r="P8" s="358">
        <v>15138889</v>
      </c>
      <c r="Q8" s="358">
        <f>P8-O8</f>
        <v>6271689</v>
      </c>
      <c r="R8" s="195"/>
      <c r="S8" s="195"/>
    </row>
    <row r="9" spans="1:19" ht="21.75" customHeight="1" x14ac:dyDescent="0.25">
      <c r="A9" s="350">
        <v>2</v>
      </c>
      <c r="B9" s="482">
        <v>44686</v>
      </c>
      <c r="C9" s="366" t="s">
        <v>4364</v>
      </c>
      <c r="D9" s="415" t="s">
        <v>4378</v>
      </c>
      <c r="E9" s="354" t="s">
        <v>4397</v>
      </c>
      <c r="F9" s="368"/>
      <c r="G9" s="369"/>
      <c r="H9" s="358">
        <f t="shared" ref="H9:H14" si="0">G9*25530</f>
        <v>0</v>
      </c>
      <c r="I9" s="358"/>
      <c r="J9" s="358"/>
      <c r="K9" s="371"/>
      <c r="L9" s="372"/>
      <c r="M9" s="358"/>
      <c r="N9" s="358"/>
      <c r="O9" s="358">
        <f t="shared" ref="O9:O28" si="1">H9+J9+K9+L9+M9+N9</f>
        <v>0</v>
      </c>
      <c r="P9" s="385">
        <v>1100000</v>
      </c>
      <c r="Q9" s="358">
        <f t="shared" ref="Q9:Q28" si="2">P9-O9</f>
        <v>1100000</v>
      </c>
      <c r="R9" s="195"/>
      <c r="S9" s="195"/>
    </row>
    <row r="10" spans="1:19" ht="21.75" customHeight="1" x14ac:dyDescent="0.25">
      <c r="A10" s="350">
        <v>3</v>
      </c>
      <c r="B10" s="482">
        <v>44685</v>
      </c>
      <c r="C10" s="366" t="s">
        <v>4365</v>
      </c>
      <c r="D10" s="367" t="s">
        <v>4379</v>
      </c>
      <c r="E10" s="354" t="s">
        <v>4398</v>
      </c>
      <c r="F10" s="368"/>
      <c r="G10" s="369">
        <v>87</v>
      </c>
      <c r="H10" s="358">
        <f t="shared" si="0"/>
        <v>2221110</v>
      </c>
      <c r="I10" s="358"/>
      <c r="J10" s="358">
        <v>1150000</v>
      </c>
      <c r="K10" s="371"/>
      <c r="L10" s="372"/>
      <c r="M10" s="358"/>
      <c r="N10" s="358"/>
      <c r="O10" s="358">
        <f t="shared" si="1"/>
        <v>3371110</v>
      </c>
      <c r="P10" s="385">
        <v>4700000</v>
      </c>
      <c r="Q10" s="358">
        <f t="shared" si="2"/>
        <v>1328890</v>
      </c>
      <c r="R10" s="195"/>
      <c r="S10" s="195"/>
    </row>
    <row r="11" spans="1:19" ht="21.75" customHeight="1" x14ac:dyDescent="0.25">
      <c r="A11" s="350">
        <v>4</v>
      </c>
      <c r="B11" s="482">
        <v>44686</v>
      </c>
      <c r="C11" s="366" t="s">
        <v>2457</v>
      </c>
      <c r="D11" s="367" t="s">
        <v>4380</v>
      </c>
      <c r="E11" s="354" t="s">
        <v>187</v>
      </c>
      <c r="F11" s="368"/>
      <c r="G11" s="369">
        <v>81</v>
      </c>
      <c r="H11" s="358">
        <f t="shared" si="0"/>
        <v>2067930</v>
      </c>
      <c r="I11" s="358"/>
      <c r="J11" s="358">
        <v>1150000</v>
      </c>
      <c r="K11" s="371"/>
      <c r="L11" s="372"/>
      <c r="M11" s="358"/>
      <c r="N11" s="358"/>
      <c r="O11" s="358">
        <f t="shared" si="1"/>
        <v>3217930</v>
      </c>
      <c r="P11" s="385">
        <v>4500000</v>
      </c>
      <c r="Q11" s="358">
        <f t="shared" si="2"/>
        <v>1282070</v>
      </c>
      <c r="R11" s="195"/>
      <c r="S11" s="195"/>
    </row>
    <row r="12" spans="1:19" ht="21.75" customHeight="1" x14ac:dyDescent="0.25">
      <c r="A12" s="350">
        <v>5</v>
      </c>
      <c r="B12" s="482">
        <v>44688</v>
      </c>
      <c r="C12" s="366" t="s">
        <v>4366</v>
      </c>
      <c r="D12" s="367" t="s">
        <v>4381</v>
      </c>
      <c r="E12" s="354" t="s">
        <v>2885</v>
      </c>
      <c r="F12" s="368"/>
      <c r="G12" s="369">
        <v>67</v>
      </c>
      <c r="H12" s="358">
        <f t="shared" si="0"/>
        <v>1710510</v>
      </c>
      <c r="I12" s="358"/>
      <c r="J12" s="358">
        <v>790000</v>
      </c>
      <c r="K12" s="371"/>
      <c r="L12" s="372"/>
      <c r="M12" s="358"/>
      <c r="N12" s="358"/>
      <c r="O12" s="358">
        <f t="shared" si="1"/>
        <v>2500510</v>
      </c>
      <c r="P12" s="385">
        <v>3700000</v>
      </c>
      <c r="Q12" s="358">
        <f t="shared" si="2"/>
        <v>1199490</v>
      </c>
      <c r="R12" s="195"/>
      <c r="S12" s="195"/>
    </row>
    <row r="13" spans="1:19" ht="21.75" customHeight="1" x14ac:dyDescent="0.25">
      <c r="A13" s="350">
        <v>6</v>
      </c>
      <c r="B13" s="482">
        <v>44690</v>
      </c>
      <c r="C13" s="366" t="s">
        <v>1789</v>
      </c>
      <c r="D13" s="367" t="s">
        <v>4382</v>
      </c>
      <c r="E13" s="354" t="s">
        <v>772</v>
      </c>
      <c r="F13" s="368"/>
      <c r="G13" s="369">
        <v>70</v>
      </c>
      <c r="H13" s="358">
        <f t="shared" si="0"/>
        <v>1787100</v>
      </c>
      <c r="I13" s="358"/>
      <c r="J13" s="358">
        <v>1150000</v>
      </c>
      <c r="K13" s="371"/>
      <c r="L13" s="372"/>
      <c r="M13" s="358"/>
      <c r="N13" s="358"/>
      <c r="O13" s="358">
        <f t="shared" si="1"/>
        <v>2937100</v>
      </c>
      <c r="P13" s="385">
        <v>4110000</v>
      </c>
      <c r="Q13" s="358">
        <f t="shared" si="2"/>
        <v>1172900</v>
      </c>
      <c r="R13" s="195"/>
      <c r="S13" s="195"/>
    </row>
    <row r="14" spans="1:19" ht="21.75" customHeight="1" x14ac:dyDescent="0.25">
      <c r="A14" s="350">
        <v>7</v>
      </c>
      <c r="B14" s="482">
        <v>44690</v>
      </c>
      <c r="C14" s="366" t="s">
        <v>4367</v>
      </c>
      <c r="D14" s="367" t="s">
        <v>4383</v>
      </c>
      <c r="E14" s="354" t="s">
        <v>2009</v>
      </c>
      <c r="F14" s="368"/>
      <c r="G14" s="369">
        <v>149</v>
      </c>
      <c r="H14" s="358">
        <f t="shared" si="0"/>
        <v>3803970</v>
      </c>
      <c r="I14" s="358"/>
      <c r="J14" s="358">
        <v>1000000</v>
      </c>
      <c r="K14" s="371"/>
      <c r="L14" s="372"/>
      <c r="M14" s="358"/>
      <c r="N14" s="358"/>
      <c r="O14" s="358">
        <f t="shared" si="1"/>
        <v>4803970</v>
      </c>
      <c r="P14" s="385">
        <v>6900000</v>
      </c>
      <c r="Q14" s="358">
        <f t="shared" si="2"/>
        <v>2096030</v>
      </c>
      <c r="R14" s="195"/>
      <c r="S14" s="195"/>
    </row>
    <row r="15" spans="1:19" ht="21.75" customHeight="1" x14ac:dyDescent="0.25">
      <c r="A15" s="350">
        <v>8</v>
      </c>
      <c r="B15" s="482">
        <v>44691</v>
      </c>
      <c r="C15" s="366" t="s">
        <v>4368</v>
      </c>
      <c r="D15" s="367" t="s">
        <v>4384</v>
      </c>
      <c r="E15" s="354" t="s">
        <v>2009</v>
      </c>
      <c r="F15" s="368"/>
      <c r="G15" s="369">
        <v>149</v>
      </c>
      <c r="H15" s="358">
        <f>G15*26650</f>
        <v>3970850</v>
      </c>
      <c r="I15" s="358"/>
      <c r="J15" s="358">
        <v>1000000</v>
      </c>
      <c r="K15" s="371"/>
      <c r="L15" s="372"/>
      <c r="M15" s="358"/>
      <c r="N15" s="358"/>
      <c r="O15" s="358">
        <f t="shared" si="1"/>
        <v>4970850</v>
      </c>
      <c r="P15" s="385">
        <v>6900000</v>
      </c>
      <c r="Q15" s="358">
        <f t="shared" si="2"/>
        <v>1929150</v>
      </c>
      <c r="R15" s="195"/>
      <c r="S15" s="195"/>
    </row>
    <row r="16" spans="1:19" ht="21.75" customHeight="1" x14ac:dyDescent="0.25">
      <c r="A16" s="350">
        <v>9</v>
      </c>
      <c r="B16" s="482">
        <v>44692</v>
      </c>
      <c r="C16" s="366" t="s">
        <v>352</v>
      </c>
      <c r="D16" s="367" t="s">
        <v>4385</v>
      </c>
      <c r="E16" s="354" t="s">
        <v>3002</v>
      </c>
      <c r="F16" s="368"/>
      <c r="G16" s="369">
        <v>88</v>
      </c>
      <c r="H16" s="358">
        <f t="shared" ref="H16:H20" si="3">G16*26650</f>
        <v>2345200</v>
      </c>
      <c r="I16" s="358"/>
      <c r="J16" s="358">
        <v>1150000</v>
      </c>
      <c r="K16" s="371"/>
      <c r="L16" s="372"/>
      <c r="M16" s="358"/>
      <c r="N16" s="358"/>
      <c r="O16" s="358">
        <f t="shared" si="1"/>
        <v>3495200</v>
      </c>
      <c r="P16" s="385">
        <v>4700000</v>
      </c>
      <c r="Q16" s="358">
        <f t="shared" si="2"/>
        <v>1204800</v>
      </c>
      <c r="R16" s="195"/>
      <c r="S16" s="195"/>
    </row>
    <row r="17" spans="1:19" ht="21.75" customHeight="1" x14ac:dyDescent="0.25">
      <c r="A17" s="350">
        <v>10</v>
      </c>
      <c r="B17" s="482">
        <v>44693</v>
      </c>
      <c r="C17" s="366" t="s">
        <v>2461</v>
      </c>
      <c r="D17" s="367" t="s">
        <v>4386</v>
      </c>
      <c r="E17" s="354" t="s">
        <v>3002</v>
      </c>
      <c r="F17" s="368"/>
      <c r="G17" s="369">
        <v>76</v>
      </c>
      <c r="H17" s="358">
        <f t="shared" si="3"/>
        <v>2025400</v>
      </c>
      <c r="I17" s="358"/>
      <c r="J17" s="358">
        <v>1150000</v>
      </c>
      <c r="K17" s="371"/>
      <c r="L17" s="372"/>
      <c r="M17" s="358"/>
      <c r="N17" s="358"/>
      <c r="O17" s="358">
        <f t="shared" si="1"/>
        <v>3175400</v>
      </c>
      <c r="P17" s="385">
        <v>4400000</v>
      </c>
      <c r="Q17" s="358">
        <f t="shared" si="2"/>
        <v>1224600</v>
      </c>
      <c r="R17" s="195"/>
      <c r="S17" s="195"/>
    </row>
    <row r="18" spans="1:19" ht="21.75" customHeight="1" x14ac:dyDescent="0.25">
      <c r="A18" s="350">
        <v>11</v>
      </c>
      <c r="B18" s="482">
        <v>44695</v>
      </c>
      <c r="C18" s="366" t="s">
        <v>4369</v>
      </c>
      <c r="D18" s="367" t="s">
        <v>4387</v>
      </c>
      <c r="E18" s="354" t="s">
        <v>4399</v>
      </c>
      <c r="F18" s="368"/>
      <c r="G18" s="369">
        <v>83</v>
      </c>
      <c r="H18" s="358">
        <f t="shared" si="3"/>
        <v>2211950</v>
      </c>
      <c r="I18" s="358"/>
      <c r="J18" s="358">
        <v>1150000</v>
      </c>
      <c r="K18" s="371"/>
      <c r="L18" s="372"/>
      <c r="M18" s="358"/>
      <c r="N18" s="358"/>
      <c r="O18" s="358">
        <f t="shared" si="1"/>
        <v>3361950</v>
      </c>
      <c r="P18" s="385">
        <v>4350000</v>
      </c>
      <c r="Q18" s="358">
        <f t="shared" si="2"/>
        <v>988050</v>
      </c>
      <c r="R18" s="195"/>
      <c r="S18" s="195"/>
    </row>
    <row r="19" spans="1:19" ht="21.75" customHeight="1" x14ac:dyDescent="0.25">
      <c r="A19" s="470">
        <v>12</v>
      </c>
      <c r="B19" s="487">
        <v>44698</v>
      </c>
      <c r="C19" s="366" t="s">
        <v>4370</v>
      </c>
      <c r="D19" s="367" t="s">
        <v>4388</v>
      </c>
      <c r="E19" s="354" t="s">
        <v>4400</v>
      </c>
      <c r="F19" s="461"/>
      <c r="G19" s="369">
        <v>81</v>
      </c>
      <c r="H19" s="358">
        <f t="shared" si="3"/>
        <v>2158650</v>
      </c>
      <c r="I19" s="381"/>
      <c r="J19" s="381">
        <v>1150000</v>
      </c>
      <c r="K19" s="371"/>
      <c r="L19" s="372"/>
      <c r="M19" s="381"/>
      <c r="N19" s="381"/>
      <c r="O19" s="358">
        <f t="shared" si="1"/>
        <v>3308650</v>
      </c>
      <c r="P19" s="385">
        <v>4517778</v>
      </c>
      <c r="Q19" s="358">
        <f t="shared" si="2"/>
        <v>1209128</v>
      </c>
      <c r="R19" s="195"/>
      <c r="S19" s="195"/>
    </row>
    <row r="20" spans="1:19" ht="21.75" customHeight="1" x14ac:dyDescent="0.25">
      <c r="A20" s="350">
        <v>13</v>
      </c>
      <c r="B20" s="487">
        <v>44700</v>
      </c>
      <c r="C20" s="366" t="s">
        <v>3065</v>
      </c>
      <c r="D20" s="367" t="s">
        <v>4389</v>
      </c>
      <c r="E20" s="354" t="s">
        <v>4400</v>
      </c>
      <c r="F20" s="461"/>
      <c r="G20" s="369">
        <v>81</v>
      </c>
      <c r="H20" s="358">
        <f t="shared" si="3"/>
        <v>2158650</v>
      </c>
      <c r="I20" s="381"/>
      <c r="J20" s="381">
        <v>1150000</v>
      </c>
      <c r="K20" s="371"/>
      <c r="L20" s="372"/>
      <c r="M20" s="381"/>
      <c r="N20" s="381"/>
      <c r="O20" s="358">
        <f t="shared" si="1"/>
        <v>3308650</v>
      </c>
      <c r="P20" s="385">
        <v>4517778</v>
      </c>
      <c r="Q20" s="358">
        <f t="shared" si="2"/>
        <v>1209128</v>
      </c>
      <c r="R20" s="195"/>
      <c r="S20" s="195"/>
    </row>
    <row r="21" spans="1:19" ht="21.75" customHeight="1" x14ac:dyDescent="0.25">
      <c r="A21" s="350">
        <v>14</v>
      </c>
      <c r="B21" s="487">
        <v>44700</v>
      </c>
      <c r="C21" s="366" t="s">
        <v>4371</v>
      </c>
      <c r="D21" s="367" t="s">
        <v>4390</v>
      </c>
      <c r="E21" s="354" t="s">
        <v>4401</v>
      </c>
      <c r="F21" s="461"/>
      <c r="G21" s="369">
        <v>98</v>
      </c>
      <c r="H21" s="358">
        <f>G21*26650</f>
        <v>2611700</v>
      </c>
      <c r="I21" s="381"/>
      <c r="J21" s="381">
        <v>1150000</v>
      </c>
      <c r="K21" s="371"/>
      <c r="L21" s="372"/>
      <c r="M21" s="381"/>
      <c r="N21" s="381"/>
      <c r="O21" s="358">
        <f t="shared" si="1"/>
        <v>3761700</v>
      </c>
      <c r="P21" s="385">
        <v>4180000</v>
      </c>
      <c r="Q21" s="358">
        <f t="shared" si="2"/>
        <v>418300</v>
      </c>
      <c r="R21" s="195"/>
      <c r="S21" s="195"/>
    </row>
    <row r="22" spans="1:19" ht="21.75" customHeight="1" x14ac:dyDescent="0.25">
      <c r="A22" s="350">
        <v>15</v>
      </c>
      <c r="B22" s="487">
        <v>44704</v>
      </c>
      <c r="C22" s="366" t="s">
        <v>1121</v>
      </c>
      <c r="D22" s="367" t="s">
        <v>4391</v>
      </c>
      <c r="E22" s="354" t="s">
        <v>21</v>
      </c>
      <c r="F22" s="461"/>
      <c r="G22" s="369">
        <v>240</v>
      </c>
      <c r="H22" s="358">
        <f>G22*25550</f>
        <v>6132000</v>
      </c>
      <c r="I22" s="381"/>
      <c r="J22" s="381">
        <v>2740000</v>
      </c>
      <c r="K22" s="371"/>
      <c r="L22" s="372"/>
      <c r="M22" s="381"/>
      <c r="N22" s="381"/>
      <c r="O22" s="358">
        <f t="shared" si="1"/>
        <v>8872000</v>
      </c>
      <c r="P22" s="385">
        <v>15416667</v>
      </c>
      <c r="Q22" s="358">
        <f t="shared" si="2"/>
        <v>6544667</v>
      </c>
      <c r="R22" s="195"/>
      <c r="S22" s="195"/>
    </row>
    <row r="23" spans="1:19" ht="21.75" customHeight="1" x14ac:dyDescent="0.25">
      <c r="A23" s="350">
        <v>16</v>
      </c>
      <c r="B23" s="487">
        <v>44704</v>
      </c>
      <c r="C23" s="366" t="s">
        <v>4372</v>
      </c>
      <c r="D23" s="367" t="s">
        <v>4392</v>
      </c>
      <c r="E23" s="354" t="s">
        <v>286</v>
      </c>
      <c r="F23" s="461"/>
      <c r="G23" s="369">
        <v>110</v>
      </c>
      <c r="H23" s="358">
        <f t="shared" ref="H23:H28" si="4">G23*25550</f>
        <v>2810500</v>
      </c>
      <c r="I23" s="381"/>
      <c r="J23" s="409">
        <v>1150000</v>
      </c>
      <c r="K23" s="371"/>
      <c r="L23" s="372"/>
      <c r="M23" s="381"/>
      <c r="N23" s="381"/>
      <c r="O23" s="358">
        <f t="shared" si="1"/>
        <v>3960500</v>
      </c>
      <c r="P23" s="385">
        <v>4420000</v>
      </c>
      <c r="Q23" s="358">
        <f t="shared" si="2"/>
        <v>459500</v>
      </c>
      <c r="R23" s="195"/>
      <c r="S23" s="195"/>
    </row>
    <row r="24" spans="1:19" ht="21.75" customHeight="1" x14ac:dyDescent="0.25">
      <c r="A24" s="350">
        <v>17</v>
      </c>
      <c r="B24" s="487">
        <v>44706</v>
      </c>
      <c r="C24" s="366" t="s">
        <v>4373</v>
      </c>
      <c r="D24" s="367" t="s">
        <v>4392</v>
      </c>
      <c r="E24" s="354" t="s">
        <v>4149</v>
      </c>
      <c r="F24" s="461"/>
      <c r="G24" s="369"/>
      <c r="H24" s="358">
        <f t="shared" si="4"/>
        <v>0</v>
      </c>
      <c r="I24" s="381"/>
      <c r="J24" s="409">
        <v>860000</v>
      </c>
      <c r="K24" s="371"/>
      <c r="L24" s="372"/>
      <c r="M24" s="381"/>
      <c r="N24" s="381"/>
      <c r="O24" s="358">
        <f t="shared" si="1"/>
        <v>860000</v>
      </c>
      <c r="P24" s="294">
        <v>3900000</v>
      </c>
      <c r="Q24" s="358">
        <f t="shared" si="2"/>
        <v>3040000</v>
      </c>
      <c r="R24" s="195"/>
      <c r="S24" s="195"/>
    </row>
    <row r="25" spans="1:19" ht="21.75" customHeight="1" x14ac:dyDescent="0.25">
      <c r="A25" s="350">
        <v>18</v>
      </c>
      <c r="B25" s="487">
        <v>44706</v>
      </c>
      <c r="C25" s="366" t="s">
        <v>4374</v>
      </c>
      <c r="D25" s="367" t="s">
        <v>4393</v>
      </c>
      <c r="E25" s="354" t="s">
        <v>4402</v>
      </c>
      <c r="F25" s="461"/>
      <c r="G25" s="369">
        <v>80</v>
      </c>
      <c r="H25" s="358">
        <f t="shared" si="4"/>
        <v>2044000</v>
      </c>
      <c r="I25" s="381"/>
      <c r="J25" s="409">
        <v>790000</v>
      </c>
      <c r="K25" s="371"/>
      <c r="L25" s="372"/>
      <c r="M25" s="381"/>
      <c r="N25" s="381"/>
      <c r="O25" s="358">
        <f t="shared" si="1"/>
        <v>2834000</v>
      </c>
      <c r="P25" s="385">
        <v>4100000</v>
      </c>
      <c r="Q25" s="358">
        <f t="shared" si="2"/>
        <v>1266000</v>
      </c>
      <c r="R25" s="195"/>
      <c r="S25" s="195"/>
    </row>
    <row r="26" spans="1:19" ht="21.75" customHeight="1" x14ac:dyDescent="0.25">
      <c r="A26" s="350">
        <v>19</v>
      </c>
      <c r="B26" s="487">
        <v>44707</v>
      </c>
      <c r="C26" s="366" t="s">
        <v>4375</v>
      </c>
      <c r="D26" s="367" t="s">
        <v>4394</v>
      </c>
      <c r="E26" s="354" t="s">
        <v>4403</v>
      </c>
      <c r="F26" s="461"/>
      <c r="G26" s="369">
        <v>129</v>
      </c>
      <c r="H26" s="358">
        <f t="shared" si="4"/>
        <v>3295950</v>
      </c>
      <c r="I26" s="381"/>
      <c r="J26" s="381">
        <v>1610000</v>
      </c>
      <c r="K26" s="371"/>
      <c r="L26" s="372"/>
      <c r="M26" s="381"/>
      <c r="N26" s="381"/>
      <c r="O26" s="358">
        <f t="shared" si="1"/>
        <v>4905950</v>
      </c>
      <c r="P26" s="385">
        <v>6250000</v>
      </c>
      <c r="Q26" s="358">
        <f t="shared" si="2"/>
        <v>1344050</v>
      </c>
      <c r="R26" s="195"/>
      <c r="S26" s="195"/>
    </row>
    <row r="27" spans="1:19" ht="21.75" customHeight="1" x14ac:dyDescent="0.25">
      <c r="A27" s="350">
        <v>20</v>
      </c>
      <c r="B27" s="487">
        <v>44711</v>
      </c>
      <c r="C27" s="366" t="s">
        <v>4376</v>
      </c>
      <c r="D27" s="367" t="s">
        <v>4395</v>
      </c>
      <c r="E27" s="354" t="s">
        <v>2885</v>
      </c>
      <c r="F27" s="461"/>
      <c r="G27" s="369">
        <v>62</v>
      </c>
      <c r="H27" s="358">
        <f t="shared" si="4"/>
        <v>1584100</v>
      </c>
      <c r="I27" s="381"/>
      <c r="J27" s="381">
        <v>790000</v>
      </c>
      <c r="K27" s="371"/>
      <c r="L27" s="372"/>
      <c r="M27" s="381"/>
      <c r="N27" s="381"/>
      <c r="O27" s="358">
        <f t="shared" si="1"/>
        <v>2374100</v>
      </c>
      <c r="P27" s="385">
        <v>3520000</v>
      </c>
      <c r="Q27" s="358">
        <f t="shared" si="2"/>
        <v>1145900</v>
      </c>
      <c r="R27" s="195"/>
      <c r="S27" s="195"/>
    </row>
    <row r="28" spans="1:19" ht="21.75" customHeight="1" x14ac:dyDescent="0.25">
      <c r="A28" s="350">
        <v>21</v>
      </c>
      <c r="B28" s="487">
        <v>44711</v>
      </c>
      <c r="C28" s="366" t="s">
        <v>2471</v>
      </c>
      <c r="D28" s="367" t="s">
        <v>4396</v>
      </c>
      <c r="E28" s="354" t="s">
        <v>4404</v>
      </c>
      <c r="F28" s="461"/>
      <c r="G28" s="369">
        <v>67</v>
      </c>
      <c r="H28" s="358">
        <f t="shared" si="4"/>
        <v>1711850</v>
      </c>
      <c r="I28" s="381"/>
      <c r="J28" s="381">
        <f>790000+200000</f>
        <v>990000</v>
      </c>
      <c r="K28" s="371"/>
      <c r="L28" s="372"/>
      <c r="M28" s="381"/>
      <c r="N28" s="381"/>
      <c r="O28" s="358">
        <f t="shared" si="1"/>
        <v>2701850</v>
      </c>
      <c r="P28" s="385">
        <v>4100000</v>
      </c>
      <c r="Q28" s="358">
        <f t="shared" si="2"/>
        <v>1398150</v>
      </c>
      <c r="R28" s="195"/>
      <c r="S28" s="195"/>
    </row>
    <row r="29" spans="1:19" ht="27" customHeight="1" x14ac:dyDescent="0.25">
      <c r="A29" s="374"/>
      <c r="B29" s="488"/>
      <c r="C29" s="609" t="s">
        <v>1273</v>
      </c>
      <c r="D29" s="609"/>
      <c r="E29" s="609"/>
      <c r="F29" s="402"/>
      <c r="G29" s="358"/>
      <c r="H29" s="369"/>
      <c r="I29" s="489"/>
      <c r="J29" s="381"/>
      <c r="K29" s="372">
        <v>1200000</v>
      </c>
      <c r="L29" s="372"/>
      <c r="M29" s="381"/>
      <c r="N29" s="381"/>
      <c r="O29" s="385">
        <f>H29+J29+K29+L29+M29+N29</f>
        <v>1200000</v>
      </c>
      <c r="P29" s="385"/>
      <c r="Q29" s="385"/>
    </row>
    <row r="30" spans="1:19" ht="27" customHeight="1" x14ac:dyDescent="0.25">
      <c r="A30" s="386"/>
      <c r="B30" s="379"/>
      <c r="C30" s="600" t="s">
        <v>4535</v>
      </c>
      <c r="D30" s="601"/>
      <c r="E30" s="602"/>
      <c r="F30" s="402"/>
      <c r="G30" s="381"/>
      <c r="H30" s="369"/>
      <c r="I30" s="403"/>
      <c r="J30" s="381"/>
      <c r="K30" s="388">
        <v>354000</v>
      </c>
      <c r="L30" s="388"/>
      <c r="M30" s="381"/>
      <c r="N30" s="381"/>
      <c r="O30" s="385">
        <f>H30+J30+K30+L30+M30+N30</f>
        <v>354000</v>
      </c>
      <c r="P30" s="389"/>
      <c r="Q30" s="378"/>
    </row>
    <row r="31" spans="1:19" ht="27" customHeight="1" x14ac:dyDescent="0.25">
      <c r="A31" s="386"/>
      <c r="B31" s="379"/>
      <c r="C31" s="600" t="s">
        <v>4536</v>
      </c>
      <c r="D31" s="601"/>
      <c r="E31" s="602"/>
      <c r="F31" s="402"/>
      <c r="G31" s="381"/>
      <c r="H31" s="369"/>
      <c r="I31" s="403"/>
      <c r="J31" s="381"/>
      <c r="K31" s="388"/>
      <c r="L31" s="388">
        <v>5616000</v>
      </c>
      <c r="M31" s="381"/>
      <c r="N31" s="381"/>
      <c r="O31" s="385">
        <f>H31+J31+K31+L31+M31+N31</f>
        <v>5616000</v>
      </c>
      <c r="P31" s="389"/>
      <c r="Q31" s="378"/>
    </row>
    <row r="32" spans="1:19" ht="27" customHeight="1" x14ac:dyDescent="0.25">
      <c r="A32" s="386"/>
      <c r="B32" s="379"/>
      <c r="C32" s="600" t="s">
        <v>4405</v>
      </c>
      <c r="D32" s="601"/>
      <c r="E32" s="602"/>
      <c r="F32" s="402"/>
      <c r="G32" s="381"/>
      <c r="H32" s="369"/>
      <c r="I32" s="403"/>
      <c r="J32" s="381"/>
      <c r="K32" s="388"/>
      <c r="L32" s="388">
        <v>80000</v>
      </c>
      <c r="M32" s="381"/>
      <c r="N32" s="381"/>
      <c r="O32" s="385">
        <f t="shared" ref="O32:O33" si="5">H32+J32+K32+L32+M32+N32</f>
        <v>80000</v>
      </c>
      <c r="P32" s="389"/>
      <c r="Q32" s="378"/>
    </row>
    <row r="33" spans="1:18" ht="18" customHeight="1" x14ac:dyDescent="0.25">
      <c r="A33" s="386"/>
      <c r="B33" s="391"/>
      <c r="C33" s="579" t="s">
        <v>4406</v>
      </c>
      <c r="D33" s="580"/>
      <c r="E33" s="581"/>
      <c r="F33" s="461"/>
      <c r="G33" s="381"/>
      <c r="H33" s="369"/>
      <c r="I33" s="403"/>
      <c r="J33" s="381"/>
      <c r="K33" s="394">
        <v>7700000</v>
      </c>
      <c r="L33" s="394"/>
      <c r="M33" s="381"/>
      <c r="N33" s="381"/>
      <c r="O33" s="362">
        <f t="shared" si="5"/>
        <v>7700000</v>
      </c>
      <c r="P33" s="389"/>
      <c r="Q33" s="378"/>
    </row>
    <row r="34" spans="1:18" x14ac:dyDescent="0.25">
      <c r="A34" s="576" t="s">
        <v>19</v>
      </c>
      <c r="B34" s="577"/>
      <c r="C34" s="577"/>
      <c r="D34" s="577"/>
      <c r="E34" s="577"/>
      <c r="F34" s="578"/>
      <c r="G34" s="395">
        <f>SUM(G8:G33)</f>
        <v>2038</v>
      </c>
      <c r="H34" s="396">
        <f t="shared" ref="H34:N34" si="6">SUM(H7:H33)</f>
        <v>52778620</v>
      </c>
      <c r="I34" s="396">
        <f t="shared" si="6"/>
        <v>0</v>
      </c>
      <c r="J34" s="396">
        <f t="shared" si="6"/>
        <v>24810000</v>
      </c>
      <c r="K34" s="396">
        <f t="shared" si="6"/>
        <v>9254000</v>
      </c>
      <c r="L34" s="396">
        <f t="shared" si="6"/>
        <v>5696000</v>
      </c>
      <c r="M34" s="396">
        <f t="shared" si="6"/>
        <v>0</v>
      </c>
      <c r="N34" s="396">
        <f t="shared" si="6"/>
        <v>0</v>
      </c>
      <c r="O34" s="396">
        <f>SUM(O7:O33)</f>
        <v>92538620</v>
      </c>
      <c r="P34" s="396">
        <f>SUM(P7:P33)</f>
        <v>115421112</v>
      </c>
      <c r="Q34" s="396">
        <f>P34-O34</f>
        <v>22882492</v>
      </c>
      <c r="R34" s="195"/>
    </row>
    <row r="35" spans="1:18" x14ac:dyDescent="0.25">
      <c r="P35" s="294"/>
      <c r="Q35" s="295"/>
    </row>
    <row r="36" spans="1:18" x14ac:dyDescent="0.25">
      <c r="B36"/>
      <c r="G36"/>
      <c r="H36" s="294"/>
      <c r="P36" s="296" t="s">
        <v>1225</v>
      </c>
      <c r="Q36" s="295">
        <f>'04.2022'!Q31+'05.2022'!Q34</f>
        <v>70623106.615384609</v>
      </c>
    </row>
    <row r="37" spans="1:18" x14ac:dyDescent="0.25">
      <c r="B37"/>
      <c r="G37"/>
      <c r="Q37" s="294"/>
    </row>
    <row r="38" spans="1:18" x14ac:dyDescent="0.25">
      <c r="B38"/>
      <c r="G38"/>
      <c r="R38" s="195"/>
    </row>
  </sheetData>
  <mergeCells count="10">
    <mergeCell ref="C33:E33"/>
    <mergeCell ref="A34:F34"/>
    <mergeCell ref="C32:E32"/>
    <mergeCell ref="A1:Q1"/>
    <mergeCell ref="A2:Q2"/>
    <mergeCell ref="A3:Q3"/>
    <mergeCell ref="G5:N5"/>
    <mergeCell ref="C29:E29"/>
    <mergeCell ref="C30:E30"/>
    <mergeCell ref="C31:E31"/>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7D720-2B22-4748-B3D3-D6857B8F37AC}">
  <dimension ref="A1:S51"/>
  <sheetViews>
    <sheetView topLeftCell="A16" workbookViewId="0">
      <selection activeCell="O36" sqref="O36"/>
    </sheetView>
  </sheetViews>
  <sheetFormatPr defaultColWidth="9.140625"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0.28515625" style="292" bestFit="1"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4407</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19"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19" x14ac:dyDescent="0.25">
      <c r="A7" s="75"/>
      <c r="B7" s="100"/>
      <c r="C7" s="88"/>
      <c r="D7" s="88"/>
      <c r="E7" s="134"/>
      <c r="F7" s="75"/>
      <c r="G7" s="264"/>
      <c r="H7" s="264"/>
      <c r="I7" s="264"/>
      <c r="J7" s="264"/>
      <c r="K7" s="264"/>
      <c r="L7" s="308"/>
      <c r="M7" s="264"/>
      <c r="N7" s="264"/>
      <c r="O7" s="265"/>
      <c r="P7" s="265"/>
      <c r="Q7" s="264"/>
    </row>
    <row r="8" spans="1:19" ht="21.75" customHeight="1" x14ac:dyDescent="0.25">
      <c r="A8" s="470">
        <v>1</v>
      </c>
      <c r="B8" s="472">
        <v>44712</v>
      </c>
      <c r="C8" s="366" t="s">
        <v>1836</v>
      </c>
      <c r="D8" s="367" t="s">
        <v>4462</v>
      </c>
      <c r="E8" s="354" t="s">
        <v>21</v>
      </c>
      <c r="F8" s="368"/>
      <c r="G8" s="369">
        <v>240</v>
      </c>
      <c r="H8" s="358">
        <f t="shared" ref="H8:H16" si="0">G8*26390</f>
        <v>6333600</v>
      </c>
      <c r="I8" s="358"/>
      <c r="J8" s="358">
        <f>2020000+180000</f>
        <v>2200000</v>
      </c>
      <c r="K8" s="371"/>
      <c r="L8" s="372"/>
      <c r="M8" s="358"/>
      <c r="N8" s="358"/>
      <c r="O8" s="358">
        <f>H8+J8+K8+L8+M8+N8</f>
        <v>8533600</v>
      </c>
      <c r="P8" s="358">
        <v>15416667</v>
      </c>
      <c r="Q8" s="358">
        <f>P8-O8</f>
        <v>6883067</v>
      </c>
      <c r="R8" s="195"/>
      <c r="S8" s="195"/>
    </row>
    <row r="9" spans="1:19" ht="21.75" customHeight="1" x14ac:dyDescent="0.25">
      <c r="A9" s="350">
        <v>2</v>
      </c>
      <c r="B9" s="482">
        <v>44712</v>
      </c>
      <c r="C9" s="366" t="s">
        <v>3116</v>
      </c>
      <c r="D9" s="415" t="s">
        <v>4463</v>
      </c>
      <c r="E9" s="354" t="s">
        <v>21</v>
      </c>
      <c r="F9" s="368"/>
      <c r="G9" s="369">
        <v>6</v>
      </c>
      <c r="H9" s="358">
        <f t="shared" si="0"/>
        <v>158340</v>
      </c>
      <c r="I9" s="358"/>
      <c r="J9" s="358">
        <v>200000</v>
      </c>
      <c r="K9" s="371"/>
      <c r="L9" s="372"/>
      <c r="M9" s="358"/>
      <c r="N9" s="358"/>
      <c r="O9" s="358">
        <f t="shared" ref="O9:O30" si="1">H9+J9+K9+L9+M9+N9</f>
        <v>358340</v>
      </c>
      <c r="P9" s="385">
        <v>1851852</v>
      </c>
      <c r="Q9" s="358">
        <f t="shared" ref="Q9:Q30" si="2">P9-O9</f>
        <v>1493512</v>
      </c>
      <c r="R9" s="195"/>
      <c r="S9" s="195"/>
    </row>
    <row r="10" spans="1:19" ht="21.75" customHeight="1" x14ac:dyDescent="0.25">
      <c r="A10" s="350">
        <v>3</v>
      </c>
      <c r="B10" s="482">
        <v>44713</v>
      </c>
      <c r="C10" s="366" t="s">
        <v>3736</v>
      </c>
      <c r="D10" s="367" t="s">
        <v>4464</v>
      </c>
      <c r="E10" s="354" t="s">
        <v>636</v>
      </c>
      <c r="F10" s="368"/>
      <c r="G10" s="369">
        <v>85</v>
      </c>
      <c r="H10" s="358">
        <f t="shared" si="0"/>
        <v>2243150</v>
      </c>
      <c r="I10" s="358"/>
      <c r="J10" s="358">
        <v>430000</v>
      </c>
      <c r="K10" s="371"/>
      <c r="L10" s="372"/>
      <c r="M10" s="358"/>
      <c r="N10" s="358"/>
      <c r="O10" s="358">
        <f t="shared" si="1"/>
        <v>2673150</v>
      </c>
      <c r="P10" s="385">
        <v>4400000</v>
      </c>
      <c r="Q10" s="358">
        <f t="shared" si="2"/>
        <v>1726850</v>
      </c>
      <c r="R10" s="195"/>
      <c r="S10" s="195"/>
    </row>
    <row r="11" spans="1:19" ht="21.75" customHeight="1" x14ac:dyDescent="0.25">
      <c r="A11" s="350">
        <v>4</v>
      </c>
      <c r="B11" s="482">
        <v>44714</v>
      </c>
      <c r="C11" s="366" t="s">
        <v>3118</v>
      </c>
      <c r="D11" s="367" t="s">
        <v>4465</v>
      </c>
      <c r="E11" s="354" t="s">
        <v>286</v>
      </c>
      <c r="F11" s="368"/>
      <c r="G11" s="369">
        <v>67</v>
      </c>
      <c r="H11" s="358">
        <f t="shared" si="0"/>
        <v>1768130</v>
      </c>
      <c r="I11" s="358"/>
      <c r="J11" s="358">
        <v>790000</v>
      </c>
      <c r="K11" s="371"/>
      <c r="L11" s="372"/>
      <c r="M11" s="358"/>
      <c r="N11" s="358"/>
      <c r="O11" s="358">
        <f t="shared" si="1"/>
        <v>2558130</v>
      </c>
      <c r="P11" s="385">
        <v>4300000</v>
      </c>
      <c r="Q11" s="358">
        <f t="shared" si="2"/>
        <v>1741870</v>
      </c>
      <c r="R11" s="195"/>
      <c r="S11" s="195"/>
    </row>
    <row r="12" spans="1:19" ht="21.75" customHeight="1" x14ac:dyDescent="0.25">
      <c r="A12" s="350">
        <v>5</v>
      </c>
      <c r="B12" s="482">
        <v>44716</v>
      </c>
      <c r="C12" s="366" t="s">
        <v>3119</v>
      </c>
      <c r="D12" s="367" t="s">
        <v>4466</v>
      </c>
      <c r="E12" s="354" t="s">
        <v>562</v>
      </c>
      <c r="F12" s="368"/>
      <c r="G12" s="369">
        <v>240</v>
      </c>
      <c r="H12" s="358">
        <f t="shared" si="0"/>
        <v>6333600</v>
      </c>
      <c r="I12" s="358"/>
      <c r="J12" s="358">
        <v>2380000</v>
      </c>
      <c r="K12" s="371"/>
      <c r="L12" s="372"/>
      <c r="M12" s="358"/>
      <c r="N12" s="358"/>
      <c r="O12" s="358">
        <f t="shared" si="1"/>
        <v>8713600</v>
      </c>
      <c r="P12" s="385">
        <v>15416667</v>
      </c>
      <c r="Q12" s="358">
        <f t="shared" si="2"/>
        <v>6703067</v>
      </c>
      <c r="R12" s="195"/>
      <c r="S12" s="195"/>
    </row>
    <row r="13" spans="1:19" ht="21.75" customHeight="1" x14ac:dyDescent="0.25">
      <c r="A13" s="350">
        <v>6</v>
      </c>
      <c r="B13" s="482">
        <v>44718</v>
      </c>
      <c r="C13" s="366" t="s">
        <v>2515</v>
      </c>
      <c r="D13" s="367" t="s">
        <v>4467</v>
      </c>
      <c r="E13" s="354" t="s">
        <v>1023</v>
      </c>
      <c r="F13" s="368"/>
      <c r="G13" s="369">
        <v>111</v>
      </c>
      <c r="H13" s="358">
        <f t="shared" si="0"/>
        <v>2929290</v>
      </c>
      <c r="I13" s="358"/>
      <c r="J13" s="358">
        <v>790000</v>
      </c>
      <c r="K13" s="371"/>
      <c r="L13" s="372"/>
      <c r="M13" s="358"/>
      <c r="N13" s="358"/>
      <c r="O13" s="358">
        <f t="shared" si="1"/>
        <v>3719290</v>
      </c>
      <c r="P13" s="385">
        <v>5980000</v>
      </c>
      <c r="Q13" s="358">
        <f t="shared" si="2"/>
        <v>2260710</v>
      </c>
      <c r="R13" s="195"/>
      <c r="S13" s="195"/>
    </row>
    <row r="14" spans="1:19" ht="21.75" customHeight="1" x14ac:dyDescent="0.25">
      <c r="A14" s="350">
        <v>7</v>
      </c>
      <c r="B14" s="482">
        <v>44718</v>
      </c>
      <c r="C14" s="366" t="s">
        <v>4453</v>
      </c>
      <c r="D14" s="367" t="s">
        <v>4468</v>
      </c>
      <c r="E14" s="354" t="s">
        <v>4458</v>
      </c>
      <c r="F14" s="368"/>
      <c r="G14" s="369">
        <v>82</v>
      </c>
      <c r="H14" s="358">
        <f t="shared" si="0"/>
        <v>2163980</v>
      </c>
      <c r="I14" s="358"/>
      <c r="J14" s="490">
        <v>430000</v>
      </c>
      <c r="K14" s="371"/>
      <c r="L14" s="372"/>
      <c r="M14" s="358"/>
      <c r="N14" s="358"/>
      <c r="O14" s="358">
        <f t="shared" si="1"/>
        <v>2593980</v>
      </c>
      <c r="P14" s="481">
        <v>4700000</v>
      </c>
      <c r="Q14" s="358">
        <f t="shared" si="2"/>
        <v>2106020</v>
      </c>
      <c r="R14" s="195"/>
      <c r="S14" s="195"/>
    </row>
    <row r="15" spans="1:19" ht="21.75" customHeight="1" x14ac:dyDescent="0.25">
      <c r="A15" s="350">
        <v>8</v>
      </c>
      <c r="B15" s="482">
        <v>44719</v>
      </c>
      <c r="C15" s="366" t="s">
        <v>1847</v>
      </c>
      <c r="D15" s="367" t="s">
        <v>4469</v>
      </c>
      <c r="E15" s="354" t="s">
        <v>1621</v>
      </c>
      <c r="F15" s="368"/>
      <c r="G15" s="369">
        <v>99</v>
      </c>
      <c r="H15" s="358">
        <f t="shared" si="0"/>
        <v>2612610</v>
      </c>
      <c r="I15" s="358"/>
      <c r="J15" s="358">
        <v>610000</v>
      </c>
      <c r="K15" s="371"/>
      <c r="L15" s="372"/>
      <c r="M15" s="358"/>
      <c r="N15" s="358"/>
      <c r="O15" s="358">
        <f t="shared" si="1"/>
        <v>3222610</v>
      </c>
      <c r="P15" s="481">
        <v>4900000</v>
      </c>
      <c r="Q15" s="358">
        <f t="shared" si="2"/>
        <v>1677390</v>
      </c>
      <c r="R15" s="195"/>
      <c r="S15" s="195"/>
    </row>
    <row r="16" spans="1:19" ht="21.75" customHeight="1" x14ac:dyDescent="0.25">
      <c r="A16" s="350">
        <v>9</v>
      </c>
      <c r="B16" s="482">
        <v>44720</v>
      </c>
      <c r="C16" s="366" t="s">
        <v>393</v>
      </c>
      <c r="D16" s="367" t="s">
        <v>4470</v>
      </c>
      <c r="E16" s="354" t="s">
        <v>301</v>
      </c>
      <c r="F16" s="368"/>
      <c r="G16" s="369">
        <v>360</v>
      </c>
      <c r="H16" s="358">
        <f t="shared" si="0"/>
        <v>9500400</v>
      </c>
      <c r="I16" s="358"/>
      <c r="J16" s="358">
        <v>3460000</v>
      </c>
      <c r="K16" s="371"/>
      <c r="L16" s="372"/>
      <c r="M16" s="358"/>
      <c r="N16" s="358"/>
      <c r="O16" s="358">
        <f t="shared" si="1"/>
        <v>12960400</v>
      </c>
      <c r="P16" s="385">
        <v>20694444</v>
      </c>
      <c r="Q16" s="358">
        <f t="shared" si="2"/>
        <v>7734044</v>
      </c>
      <c r="R16" s="195"/>
      <c r="S16" s="195"/>
    </row>
    <row r="17" spans="1:19" ht="21.75" customHeight="1" x14ac:dyDescent="0.25">
      <c r="A17" s="350">
        <v>10</v>
      </c>
      <c r="B17" s="482">
        <v>44722</v>
      </c>
      <c r="C17" s="366" t="s">
        <v>395</v>
      </c>
      <c r="D17" s="367" t="s">
        <v>4471</v>
      </c>
      <c r="E17" s="354" t="s">
        <v>4432</v>
      </c>
      <c r="F17" s="368"/>
      <c r="G17" s="369">
        <v>365</v>
      </c>
      <c r="H17" s="358">
        <f t="shared" ref="H17" si="3">G17*26390</f>
        <v>9632350</v>
      </c>
      <c r="I17" s="358"/>
      <c r="J17" s="490">
        <v>4760000</v>
      </c>
      <c r="K17" s="371"/>
      <c r="L17" s="372"/>
      <c r="M17" s="358"/>
      <c r="N17" s="358"/>
      <c r="O17" s="358">
        <f>H17+J17+K17+L17+M17+N17</f>
        <v>14392350</v>
      </c>
      <c r="P17" s="385">
        <v>22500000</v>
      </c>
      <c r="Q17" s="358">
        <f t="shared" si="2"/>
        <v>8107650</v>
      </c>
      <c r="R17" s="195"/>
      <c r="S17" s="195"/>
    </row>
    <row r="18" spans="1:19" ht="21.75" customHeight="1" x14ac:dyDescent="0.25">
      <c r="A18" s="350">
        <v>11</v>
      </c>
      <c r="B18" s="482">
        <v>44725</v>
      </c>
      <c r="C18" s="366" t="s">
        <v>1854</v>
      </c>
      <c r="D18" s="367" t="s">
        <v>4472</v>
      </c>
      <c r="E18" s="354" t="s">
        <v>4432</v>
      </c>
      <c r="F18" s="368"/>
      <c r="G18" s="369">
        <f>365+7</f>
        <v>372</v>
      </c>
      <c r="H18" s="358">
        <f>G18*30010</f>
        <v>11163720</v>
      </c>
      <c r="I18" s="358"/>
      <c r="J18" s="358">
        <v>4940000</v>
      </c>
      <c r="K18" s="371"/>
      <c r="L18" s="372"/>
      <c r="M18" s="358"/>
      <c r="N18" s="358"/>
      <c r="O18" s="358">
        <f t="shared" ref="O18:O22" si="4">H18+J18+K18+L18+M18+N18</f>
        <v>16103720</v>
      </c>
      <c r="P18" s="385">
        <v>23425926</v>
      </c>
      <c r="Q18" s="358">
        <f t="shared" si="2"/>
        <v>7322206</v>
      </c>
      <c r="R18" s="195"/>
      <c r="S18" s="195"/>
    </row>
    <row r="19" spans="1:19" ht="21.75" customHeight="1" x14ac:dyDescent="0.25">
      <c r="A19" s="470">
        <v>12</v>
      </c>
      <c r="B19" s="487">
        <v>44727</v>
      </c>
      <c r="C19" s="366" t="s">
        <v>1857</v>
      </c>
      <c r="D19" s="367" t="s">
        <v>4473</v>
      </c>
      <c r="E19" s="354" t="s">
        <v>1621</v>
      </c>
      <c r="F19" s="461"/>
      <c r="G19" s="369">
        <v>119</v>
      </c>
      <c r="H19" s="358">
        <f t="shared" ref="H19:H29" si="5">G19*30010</f>
        <v>3571190</v>
      </c>
      <c r="I19" s="381"/>
      <c r="J19" s="381">
        <v>1090000</v>
      </c>
      <c r="K19" s="371"/>
      <c r="L19" s="372"/>
      <c r="M19" s="381"/>
      <c r="N19" s="381"/>
      <c r="O19" s="358">
        <f t="shared" si="4"/>
        <v>4661190</v>
      </c>
      <c r="P19" s="385">
        <v>4700000</v>
      </c>
      <c r="Q19" s="358">
        <f t="shared" si="2"/>
        <v>38810</v>
      </c>
      <c r="R19" s="195"/>
      <c r="S19" s="195"/>
    </row>
    <row r="20" spans="1:19" ht="21.75" customHeight="1" x14ac:dyDescent="0.25">
      <c r="A20" s="350">
        <v>13</v>
      </c>
      <c r="B20" s="487">
        <v>44728</v>
      </c>
      <c r="C20" s="366" t="s">
        <v>3123</v>
      </c>
      <c r="D20" s="367" t="s">
        <v>4473</v>
      </c>
      <c r="E20" s="354" t="s">
        <v>4459</v>
      </c>
      <c r="F20" s="461"/>
      <c r="G20" s="369"/>
      <c r="H20" s="358">
        <f t="shared" si="5"/>
        <v>0</v>
      </c>
      <c r="I20" s="381"/>
      <c r="J20" s="381"/>
      <c r="K20" s="371"/>
      <c r="L20" s="372"/>
      <c r="M20" s="381"/>
      <c r="N20" s="381"/>
      <c r="O20" s="358">
        <f t="shared" si="4"/>
        <v>0</v>
      </c>
      <c r="P20" s="481">
        <v>2900000</v>
      </c>
      <c r="Q20" s="358">
        <f t="shared" si="2"/>
        <v>2900000</v>
      </c>
      <c r="R20" s="195"/>
      <c r="S20" s="195"/>
    </row>
    <row r="21" spans="1:19" ht="21.75" customHeight="1" x14ac:dyDescent="0.25">
      <c r="A21" s="350">
        <v>14</v>
      </c>
      <c r="B21" s="487">
        <v>44728</v>
      </c>
      <c r="C21" s="366" t="s">
        <v>4454</v>
      </c>
      <c r="D21" s="367" t="s">
        <v>4474</v>
      </c>
      <c r="E21" s="354" t="s">
        <v>1621</v>
      </c>
      <c r="F21" s="461"/>
      <c r="G21" s="369">
        <v>86</v>
      </c>
      <c r="H21" s="358">
        <f t="shared" si="5"/>
        <v>2580860</v>
      </c>
      <c r="I21" s="381"/>
      <c r="J21" s="381">
        <v>430000</v>
      </c>
      <c r="K21" s="371"/>
      <c r="L21" s="372"/>
      <c r="M21" s="381"/>
      <c r="N21" s="381"/>
      <c r="O21" s="358">
        <f t="shared" si="4"/>
        <v>3010860</v>
      </c>
      <c r="P21" s="385">
        <v>4700000</v>
      </c>
      <c r="Q21" s="358">
        <f t="shared" si="2"/>
        <v>1689140</v>
      </c>
      <c r="R21" s="195"/>
      <c r="S21" s="195"/>
    </row>
    <row r="22" spans="1:19" ht="21.75" customHeight="1" x14ac:dyDescent="0.25">
      <c r="A22" s="350">
        <v>15</v>
      </c>
      <c r="B22" s="487">
        <v>44729</v>
      </c>
      <c r="C22" s="366" t="s">
        <v>1859</v>
      </c>
      <c r="D22" s="367" t="s">
        <v>4475</v>
      </c>
      <c r="E22" s="354" t="s">
        <v>1948</v>
      </c>
      <c r="F22" s="461"/>
      <c r="G22" s="369">
        <v>92</v>
      </c>
      <c r="H22" s="358">
        <f t="shared" si="5"/>
        <v>2760920</v>
      </c>
      <c r="I22" s="381"/>
      <c r="J22" s="381">
        <v>610000</v>
      </c>
      <c r="K22" s="371"/>
      <c r="L22" s="372"/>
      <c r="M22" s="381"/>
      <c r="N22" s="381"/>
      <c r="O22" s="358">
        <f t="shared" si="4"/>
        <v>3370920</v>
      </c>
      <c r="P22" s="385">
        <v>5100000</v>
      </c>
      <c r="Q22" s="358">
        <f t="shared" si="2"/>
        <v>1729080</v>
      </c>
      <c r="R22" s="195"/>
      <c r="S22" s="195"/>
    </row>
    <row r="23" spans="1:19" ht="21.75" customHeight="1" x14ac:dyDescent="0.25">
      <c r="A23" s="350">
        <v>16</v>
      </c>
      <c r="B23" s="487">
        <v>44732</v>
      </c>
      <c r="C23" s="366" t="s">
        <v>3127</v>
      </c>
      <c r="D23" s="367" t="s">
        <v>4476</v>
      </c>
      <c r="E23" s="354" t="s">
        <v>21</v>
      </c>
      <c r="F23" s="461"/>
      <c r="G23" s="369">
        <v>240</v>
      </c>
      <c r="H23" s="358">
        <f t="shared" si="5"/>
        <v>7202400</v>
      </c>
      <c r="I23" s="381"/>
      <c r="J23" s="381">
        <v>2200000</v>
      </c>
      <c r="K23" s="371"/>
      <c r="L23" s="372"/>
      <c r="M23" s="381"/>
      <c r="N23" s="381"/>
      <c r="O23" s="358">
        <f t="shared" si="1"/>
        <v>9402400</v>
      </c>
      <c r="P23" s="385">
        <v>15694444</v>
      </c>
      <c r="Q23" s="358">
        <f t="shared" si="2"/>
        <v>6292044</v>
      </c>
      <c r="R23" s="195"/>
      <c r="S23" s="195"/>
    </row>
    <row r="24" spans="1:19" ht="21.75" customHeight="1" x14ac:dyDescent="0.25">
      <c r="A24" s="350">
        <v>17</v>
      </c>
      <c r="B24" s="487">
        <v>44733</v>
      </c>
      <c r="C24" s="366" t="s">
        <v>4455</v>
      </c>
      <c r="D24" s="367" t="s">
        <v>4477</v>
      </c>
      <c r="E24" s="354" t="s">
        <v>2445</v>
      </c>
      <c r="F24" s="461"/>
      <c r="G24" s="369">
        <v>121</v>
      </c>
      <c r="H24" s="358">
        <f>G24*30010</f>
        <v>3631210</v>
      </c>
      <c r="I24" s="381"/>
      <c r="J24" s="381">
        <v>790000</v>
      </c>
      <c r="K24" s="371"/>
      <c r="L24" s="372"/>
      <c r="M24" s="381"/>
      <c r="N24" s="381"/>
      <c r="O24" s="358">
        <f t="shared" si="1"/>
        <v>4421210</v>
      </c>
      <c r="P24" s="294">
        <v>6300000</v>
      </c>
      <c r="Q24" s="358">
        <f t="shared" si="2"/>
        <v>1878790</v>
      </c>
      <c r="R24" s="195"/>
      <c r="S24" s="195"/>
    </row>
    <row r="25" spans="1:19" ht="21.75" customHeight="1" x14ac:dyDescent="0.25">
      <c r="A25" s="350">
        <v>18</v>
      </c>
      <c r="B25" s="487">
        <v>44733</v>
      </c>
      <c r="C25" s="366" t="s">
        <v>4456</v>
      </c>
      <c r="D25" s="367" t="s">
        <v>4478</v>
      </c>
      <c r="E25" s="354" t="s">
        <v>4460</v>
      </c>
      <c r="F25" s="461"/>
      <c r="G25" s="369">
        <v>65</v>
      </c>
      <c r="H25" s="358">
        <f t="shared" si="5"/>
        <v>1950650</v>
      </c>
      <c r="I25" s="381"/>
      <c r="J25" s="381">
        <v>430000</v>
      </c>
      <c r="K25" s="371"/>
      <c r="L25" s="372"/>
      <c r="M25" s="381"/>
      <c r="N25" s="381"/>
      <c r="O25" s="358">
        <f t="shared" si="1"/>
        <v>2380650</v>
      </c>
      <c r="P25" s="481">
        <v>3800000</v>
      </c>
      <c r="Q25" s="358">
        <f t="shared" si="2"/>
        <v>1419350</v>
      </c>
      <c r="R25" s="195"/>
      <c r="S25" s="195"/>
    </row>
    <row r="26" spans="1:19" ht="21.75" customHeight="1" x14ac:dyDescent="0.25">
      <c r="A26" s="350">
        <v>19</v>
      </c>
      <c r="B26" s="487">
        <v>44734</v>
      </c>
      <c r="C26" s="366" t="s">
        <v>3749</v>
      </c>
      <c r="D26" s="367" t="s">
        <v>4479</v>
      </c>
      <c r="E26" s="354" t="s">
        <v>21</v>
      </c>
      <c r="F26" s="461"/>
      <c r="G26" s="369">
        <v>247</v>
      </c>
      <c r="H26" s="358">
        <f t="shared" si="5"/>
        <v>7412470</v>
      </c>
      <c r="I26" s="381"/>
      <c r="J26" s="381">
        <v>2380000</v>
      </c>
      <c r="K26" s="371"/>
      <c r="L26" s="372"/>
      <c r="M26" s="381"/>
      <c r="N26" s="381"/>
      <c r="O26" s="358">
        <f t="shared" si="1"/>
        <v>9792470</v>
      </c>
      <c r="P26" s="385">
        <v>16203704</v>
      </c>
      <c r="Q26" s="358">
        <f t="shared" si="2"/>
        <v>6411234</v>
      </c>
      <c r="R26" s="195"/>
      <c r="S26" s="195"/>
    </row>
    <row r="27" spans="1:19" ht="21.75" customHeight="1" x14ac:dyDescent="0.25">
      <c r="A27" s="350">
        <v>20</v>
      </c>
      <c r="B27" s="487">
        <v>44735</v>
      </c>
      <c r="C27" s="366" t="s">
        <v>1184</v>
      </c>
      <c r="D27" s="367" t="s">
        <v>4480</v>
      </c>
      <c r="E27" s="354" t="s">
        <v>4430</v>
      </c>
      <c r="F27" s="461"/>
      <c r="G27" s="369">
        <v>115</v>
      </c>
      <c r="H27" s="358">
        <f t="shared" si="5"/>
        <v>3451150</v>
      </c>
      <c r="I27" s="381"/>
      <c r="J27" s="381">
        <v>830000</v>
      </c>
      <c r="K27" s="371"/>
      <c r="L27" s="372"/>
      <c r="M27" s="381"/>
      <c r="N27" s="381"/>
      <c r="O27" s="358">
        <f t="shared" si="1"/>
        <v>4281150</v>
      </c>
      <c r="P27" s="385">
        <v>5800000</v>
      </c>
      <c r="Q27" s="358">
        <f t="shared" si="2"/>
        <v>1518850</v>
      </c>
      <c r="R27" s="195"/>
      <c r="S27" s="195"/>
    </row>
    <row r="28" spans="1:19" ht="21.75" customHeight="1" x14ac:dyDescent="0.25">
      <c r="A28" s="350">
        <v>21</v>
      </c>
      <c r="B28" s="487">
        <v>44737</v>
      </c>
      <c r="C28" s="366" t="s">
        <v>1877</v>
      </c>
      <c r="D28" s="367" t="s">
        <v>4481</v>
      </c>
      <c r="E28" s="354" t="s">
        <v>4461</v>
      </c>
      <c r="F28" s="461"/>
      <c r="G28" s="369">
        <v>95</v>
      </c>
      <c r="H28" s="358">
        <f t="shared" si="5"/>
        <v>2850950</v>
      </c>
      <c r="I28" s="381"/>
      <c r="J28" s="381">
        <v>610000</v>
      </c>
      <c r="K28" s="371"/>
      <c r="L28" s="372"/>
      <c r="M28" s="381"/>
      <c r="N28" s="381"/>
      <c r="O28" s="358">
        <f t="shared" si="1"/>
        <v>3460950</v>
      </c>
      <c r="P28" s="385">
        <v>5200000</v>
      </c>
      <c r="Q28" s="358">
        <f t="shared" si="2"/>
        <v>1739050</v>
      </c>
      <c r="R28" s="195"/>
      <c r="S28" s="195"/>
    </row>
    <row r="29" spans="1:19" ht="21.75" customHeight="1" x14ac:dyDescent="0.25">
      <c r="A29" s="350">
        <v>22</v>
      </c>
      <c r="B29" s="487">
        <v>44740</v>
      </c>
      <c r="C29" s="366" t="s">
        <v>1187</v>
      </c>
      <c r="D29" s="367" t="s">
        <v>4482</v>
      </c>
      <c r="E29" s="354" t="s">
        <v>636</v>
      </c>
      <c r="F29" s="461"/>
      <c r="G29" s="369">
        <v>67</v>
      </c>
      <c r="H29" s="358">
        <f t="shared" si="5"/>
        <v>2010670</v>
      </c>
      <c r="I29" s="381"/>
      <c r="J29" s="381">
        <v>430000</v>
      </c>
      <c r="K29" s="371"/>
      <c r="L29" s="372"/>
      <c r="M29" s="381"/>
      <c r="N29" s="381"/>
      <c r="O29" s="385">
        <f t="shared" si="1"/>
        <v>2440670</v>
      </c>
      <c r="P29" s="385">
        <v>4000000</v>
      </c>
      <c r="Q29" s="385">
        <f t="shared" si="2"/>
        <v>1559330</v>
      </c>
      <c r="R29" s="195"/>
      <c r="S29" s="195"/>
    </row>
    <row r="30" spans="1:19" ht="21.75" customHeight="1" x14ac:dyDescent="0.25">
      <c r="A30" s="350">
        <v>23</v>
      </c>
      <c r="B30" s="487">
        <v>44740</v>
      </c>
      <c r="C30" s="366" t="s">
        <v>4457</v>
      </c>
      <c r="D30" s="367" t="s">
        <v>4483</v>
      </c>
      <c r="E30" s="354" t="s">
        <v>21</v>
      </c>
      <c r="F30" s="461"/>
      <c r="G30" s="369">
        <v>240</v>
      </c>
      <c r="H30" s="358">
        <f>G30*29610</f>
        <v>7106400</v>
      </c>
      <c r="I30" s="381"/>
      <c r="J30" s="381">
        <v>2200000</v>
      </c>
      <c r="K30" s="371"/>
      <c r="L30" s="372"/>
      <c r="M30" s="381"/>
      <c r="N30" s="381"/>
      <c r="O30" s="385">
        <f t="shared" si="1"/>
        <v>9306400</v>
      </c>
      <c r="P30" s="385">
        <v>15925926</v>
      </c>
      <c r="Q30" s="385">
        <f t="shared" si="2"/>
        <v>6619526</v>
      </c>
      <c r="R30" s="195"/>
      <c r="S30" s="195"/>
    </row>
    <row r="31" spans="1:19" ht="21.75" customHeight="1" x14ac:dyDescent="0.25">
      <c r="A31" s="350"/>
      <c r="B31" s="487"/>
      <c r="C31" s="366"/>
      <c r="D31" s="367"/>
      <c r="E31" s="354"/>
      <c r="F31" s="461"/>
      <c r="G31" s="369"/>
      <c r="H31" s="358"/>
      <c r="I31" s="381"/>
      <c r="J31" s="381"/>
      <c r="K31" s="371"/>
      <c r="L31" s="372"/>
      <c r="M31" s="381"/>
      <c r="N31" s="381"/>
      <c r="O31" s="385"/>
      <c r="P31" s="385"/>
      <c r="Q31" s="385"/>
      <c r="R31" s="195"/>
      <c r="S31" s="195"/>
    </row>
    <row r="32" spans="1:19" ht="21.75" customHeight="1" x14ac:dyDescent="0.25">
      <c r="A32" s="350"/>
      <c r="B32" s="487"/>
      <c r="C32" s="366"/>
      <c r="D32" s="367"/>
      <c r="E32" s="354"/>
      <c r="F32" s="461"/>
      <c r="G32" s="369"/>
      <c r="H32" s="358"/>
      <c r="I32" s="381"/>
      <c r="J32" s="381"/>
      <c r="K32" s="371"/>
      <c r="L32" s="372"/>
      <c r="M32" s="381"/>
      <c r="N32" s="381"/>
      <c r="O32" s="385"/>
      <c r="P32" s="385"/>
      <c r="Q32" s="385"/>
      <c r="R32" s="195"/>
      <c r="S32" s="195"/>
    </row>
    <row r="33" spans="1:18" ht="27" customHeight="1" x14ac:dyDescent="0.25">
      <c r="A33" s="374"/>
      <c r="B33" s="488"/>
      <c r="C33" s="609" t="s">
        <v>1273</v>
      </c>
      <c r="D33" s="609"/>
      <c r="E33" s="609"/>
      <c r="F33" s="402"/>
      <c r="G33" s="358"/>
      <c r="H33" s="369"/>
      <c r="I33" s="489"/>
      <c r="J33" s="381"/>
      <c r="K33" s="372">
        <v>1200000</v>
      </c>
      <c r="L33" s="372"/>
      <c r="M33" s="381"/>
      <c r="N33" s="381"/>
      <c r="O33" s="385">
        <f>H33+J33+K33+L33+M33+N33</f>
        <v>1200000</v>
      </c>
      <c r="P33" s="385"/>
      <c r="Q33" s="385"/>
    </row>
    <row r="34" spans="1:18" ht="27" customHeight="1" x14ac:dyDescent="0.25">
      <c r="A34" s="386"/>
      <c r="B34" s="379"/>
      <c r="C34" s="610" t="s">
        <v>4535</v>
      </c>
      <c r="D34" s="611"/>
      <c r="E34" s="612"/>
      <c r="F34" s="402"/>
      <c r="G34" s="381"/>
      <c r="H34" s="369"/>
      <c r="I34" s="403"/>
      <c r="J34" s="381"/>
      <c r="K34" s="388">
        <v>7563000</v>
      </c>
      <c r="L34" s="388"/>
      <c r="M34" s="381"/>
      <c r="N34" s="381"/>
      <c r="O34" s="385">
        <f>H34+J34+K34+L34+M34+N34</f>
        <v>7563000</v>
      </c>
      <c r="P34" s="389"/>
      <c r="Q34" s="378"/>
    </row>
    <row r="35" spans="1:18" ht="27" customHeight="1" x14ac:dyDescent="0.25">
      <c r="A35" s="386"/>
      <c r="B35" s="379"/>
      <c r="C35" s="610" t="s">
        <v>4408</v>
      </c>
      <c r="D35" s="611"/>
      <c r="E35" s="612"/>
      <c r="F35" s="402"/>
      <c r="G35" s="381"/>
      <c r="H35" s="369"/>
      <c r="I35" s="403"/>
      <c r="J35" s="381"/>
      <c r="K35" s="388"/>
      <c r="L35" s="388">
        <v>10650000</v>
      </c>
      <c r="M35" s="381"/>
      <c r="N35" s="381"/>
      <c r="O35" s="385">
        <f t="shared" ref="O35:O46" si="6">H35+J35+K35+L35+M35+N35</f>
        <v>10650000</v>
      </c>
      <c r="P35" s="389"/>
      <c r="Q35" s="378"/>
    </row>
    <row r="36" spans="1:18" ht="27" customHeight="1" x14ac:dyDescent="0.25">
      <c r="A36" s="386"/>
      <c r="B36" s="379"/>
      <c r="C36" s="610" t="s">
        <v>4409</v>
      </c>
      <c r="D36" s="611"/>
      <c r="E36" s="612"/>
      <c r="F36" s="402"/>
      <c r="G36" s="381"/>
      <c r="H36" s="369"/>
      <c r="I36" s="403"/>
      <c r="J36" s="381"/>
      <c r="K36" s="388"/>
      <c r="L36" s="388">
        <v>600000</v>
      </c>
      <c r="M36" s="381"/>
      <c r="N36" s="381"/>
      <c r="O36" s="385">
        <f t="shared" si="6"/>
        <v>600000</v>
      </c>
      <c r="P36" s="389"/>
      <c r="Q36" s="378"/>
    </row>
    <row r="37" spans="1:18" ht="27" customHeight="1" x14ac:dyDescent="0.25">
      <c r="A37" s="386"/>
      <c r="B37" s="379"/>
      <c r="C37" s="610" t="s">
        <v>4410</v>
      </c>
      <c r="D37" s="611"/>
      <c r="E37" s="612"/>
      <c r="F37" s="402"/>
      <c r="G37" s="381"/>
      <c r="H37" s="369"/>
      <c r="I37" s="403"/>
      <c r="J37" s="381"/>
      <c r="K37" s="388"/>
      <c r="L37" s="388">
        <v>100000</v>
      </c>
      <c r="M37" s="381"/>
      <c r="N37" s="381"/>
      <c r="O37" s="385">
        <f t="shared" si="6"/>
        <v>100000</v>
      </c>
      <c r="P37" s="389"/>
      <c r="Q37" s="378"/>
    </row>
    <row r="38" spans="1:18" ht="27" customHeight="1" x14ac:dyDescent="0.25">
      <c r="A38" s="386"/>
      <c r="B38" s="379"/>
      <c r="C38" s="610" t="s">
        <v>4411</v>
      </c>
      <c r="D38" s="611"/>
      <c r="E38" s="612"/>
      <c r="F38" s="402"/>
      <c r="G38" s="381"/>
      <c r="H38" s="369"/>
      <c r="I38" s="403"/>
      <c r="J38" s="381"/>
      <c r="K38" s="388"/>
      <c r="L38" s="388">
        <v>700000</v>
      </c>
      <c r="M38" s="381"/>
      <c r="N38" s="381"/>
      <c r="O38" s="385">
        <f t="shared" si="6"/>
        <v>700000</v>
      </c>
      <c r="P38" s="389"/>
      <c r="Q38" s="378"/>
    </row>
    <row r="39" spans="1:18" ht="27" customHeight="1" x14ac:dyDescent="0.25">
      <c r="A39" s="386"/>
      <c r="B39" s="379"/>
      <c r="C39" s="610" t="s">
        <v>4412</v>
      </c>
      <c r="D39" s="611"/>
      <c r="E39" s="612"/>
      <c r="F39" s="402"/>
      <c r="G39" s="381"/>
      <c r="H39" s="369"/>
      <c r="I39" s="403"/>
      <c r="J39" s="381"/>
      <c r="K39" s="388"/>
      <c r="L39" s="388">
        <v>1400000</v>
      </c>
      <c r="M39" s="381"/>
      <c r="N39" s="381"/>
      <c r="O39" s="385">
        <f t="shared" si="6"/>
        <v>1400000</v>
      </c>
      <c r="P39" s="389"/>
      <c r="Q39" s="378"/>
    </row>
    <row r="40" spans="1:18" ht="27" customHeight="1" x14ac:dyDescent="0.25">
      <c r="A40" s="386"/>
      <c r="B40" s="379"/>
      <c r="C40" s="610" t="s">
        <v>4413</v>
      </c>
      <c r="D40" s="611"/>
      <c r="E40" s="612"/>
      <c r="F40" s="402"/>
      <c r="G40" s="381"/>
      <c r="H40" s="369"/>
      <c r="I40" s="403"/>
      <c r="J40" s="381"/>
      <c r="K40" s="388"/>
      <c r="L40" s="388">
        <v>130000</v>
      </c>
      <c r="M40" s="381"/>
      <c r="N40" s="381"/>
      <c r="O40" s="385">
        <f t="shared" si="6"/>
        <v>130000</v>
      </c>
      <c r="P40" s="389"/>
      <c r="Q40" s="378"/>
    </row>
    <row r="41" spans="1:18" ht="27" customHeight="1" x14ac:dyDescent="0.25">
      <c r="A41" s="386"/>
      <c r="B41" s="379"/>
      <c r="C41" s="610" t="s">
        <v>4414</v>
      </c>
      <c r="D41" s="611"/>
      <c r="E41" s="612"/>
      <c r="F41" s="402"/>
      <c r="G41" s="381"/>
      <c r="H41" s="369"/>
      <c r="I41" s="403"/>
      <c r="J41" s="381"/>
      <c r="K41" s="388"/>
      <c r="L41" s="388">
        <v>1500000</v>
      </c>
      <c r="M41" s="381"/>
      <c r="N41" s="381"/>
      <c r="O41" s="385">
        <f t="shared" si="6"/>
        <v>1500000</v>
      </c>
      <c r="P41" s="389"/>
      <c r="Q41" s="378"/>
    </row>
    <row r="42" spans="1:18" ht="27" customHeight="1" x14ac:dyDescent="0.25">
      <c r="A42" s="386"/>
      <c r="B42" s="379"/>
      <c r="C42" s="613" t="s">
        <v>4415</v>
      </c>
      <c r="D42" s="614"/>
      <c r="E42" s="615"/>
      <c r="F42" s="402"/>
      <c r="G42" s="381"/>
      <c r="H42" s="369"/>
      <c r="I42" s="403"/>
      <c r="J42" s="381"/>
      <c r="K42" s="388"/>
      <c r="L42" s="388"/>
      <c r="M42" s="381"/>
      <c r="N42" s="388">
        <v>3250000</v>
      </c>
      <c r="O42" s="385">
        <f t="shared" si="6"/>
        <v>3250000</v>
      </c>
      <c r="P42" s="389"/>
      <c r="Q42" s="378"/>
    </row>
    <row r="43" spans="1:18" ht="27" customHeight="1" x14ac:dyDescent="0.25">
      <c r="A43" s="386"/>
      <c r="B43" s="379"/>
      <c r="C43" s="610" t="s">
        <v>4490</v>
      </c>
      <c r="D43" s="611"/>
      <c r="E43" s="612"/>
      <c r="F43" s="402"/>
      <c r="G43" s="381"/>
      <c r="H43" s="369"/>
      <c r="I43" s="403"/>
      <c r="J43" s="381"/>
      <c r="K43" s="388"/>
      <c r="L43" s="388">
        <v>1398600</v>
      </c>
      <c r="M43" s="381"/>
      <c r="N43" s="388"/>
      <c r="O43" s="385">
        <f t="shared" si="6"/>
        <v>1398600</v>
      </c>
      <c r="P43" s="389"/>
      <c r="Q43" s="378"/>
    </row>
    <row r="44" spans="1:18" ht="27" customHeight="1" x14ac:dyDescent="0.25">
      <c r="A44" s="386"/>
      <c r="B44" s="379"/>
      <c r="C44" s="610" t="s">
        <v>4491</v>
      </c>
      <c r="D44" s="611"/>
      <c r="E44" s="612"/>
      <c r="F44" s="402"/>
      <c r="G44" s="381"/>
      <c r="H44" s="369"/>
      <c r="I44" s="403"/>
      <c r="J44" s="381"/>
      <c r="K44" s="388"/>
      <c r="L44" s="388">
        <v>626400</v>
      </c>
      <c r="M44" s="381"/>
      <c r="N44" s="388"/>
      <c r="O44" s="385">
        <f t="shared" si="6"/>
        <v>626400</v>
      </c>
      <c r="P44" s="389"/>
      <c r="Q44" s="378"/>
    </row>
    <row r="45" spans="1:18" ht="27" customHeight="1" x14ac:dyDescent="0.25">
      <c r="A45" s="386"/>
      <c r="B45" s="379"/>
      <c r="C45" s="610" t="s">
        <v>4538</v>
      </c>
      <c r="D45" s="611"/>
      <c r="E45" s="612"/>
      <c r="F45" s="402"/>
      <c r="G45" s="381"/>
      <c r="H45" s="369"/>
      <c r="I45" s="403"/>
      <c r="J45" s="381"/>
      <c r="K45" s="388"/>
      <c r="L45" s="388">
        <v>100000</v>
      </c>
      <c r="M45" s="381"/>
      <c r="N45" s="388"/>
      <c r="O45" s="362">
        <f t="shared" si="6"/>
        <v>100000</v>
      </c>
      <c r="P45" s="389"/>
      <c r="Q45" s="378"/>
    </row>
    <row r="46" spans="1:18" ht="18" customHeight="1" x14ac:dyDescent="0.25">
      <c r="A46" s="386"/>
      <c r="B46" s="391"/>
      <c r="C46" s="579" t="s">
        <v>4406</v>
      </c>
      <c r="D46" s="580"/>
      <c r="E46" s="581"/>
      <c r="F46" s="461"/>
      <c r="G46" s="381"/>
      <c r="H46" s="369"/>
      <c r="I46" s="403"/>
      <c r="J46" s="381"/>
      <c r="K46" s="394">
        <v>7700000</v>
      </c>
      <c r="L46" s="394"/>
      <c r="M46" s="381"/>
      <c r="N46" s="381"/>
      <c r="O46" s="362">
        <f t="shared" si="6"/>
        <v>7700000</v>
      </c>
      <c r="P46" s="389"/>
      <c r="Q46" s="378"/>
    </row>
    <row r="47" spans="1:18" x14ac:dyDescent="0.25">
      <c r="A47" s="576" t="s">
        <v>19</v>
      </c>
      <c r="B47" s="577"/>
      <c r="C47" s="577"/>
      <c r="D47" s="577"/>
      <c r="E47" s="577"/>
      <c r="F47" s="578"/>
      <c r="G47" s="395">
        <f>SUM(G8:G46)</f>
        <v>3514</v>
      </c>
      <c r="H47" s="396">
        <f t="shared" ref="H47:P47" si="7">SUM(H7:H46)</f>
        <v>99368040</v>
      </c>
      <c r="I47" s="396">
        <f t="shared" si="7"/>
        <v>0</v>
      </c>
      <c r="J47" s="396">
        <f>SUM(J7:J46)</f>
        <v>32990000</v>
      </c>
      <c r="K47" s="396">
        <f t="shared" si="7"/>
        <v>16463000</v>
      </c>
      <c r="L47" s="396">
        <f t="shared" si="7"/>
        <v>17205000</v>
      </c>
      <c r="M47" s="396">
        <f t="shared" si="7"/>
        <v>0</v>
      </c>
      <c r="N47" s="396">
        <f t="shared" si="7"/>
        <v>3250000</v>
      </c>
      <c r="O47" s="396">
        <f t="shared" si="7"/>
        <v>169276040</v>
      </c>
      <c r="P47" s="396">
        <f t="shared" si="7"/>
        <v>213909630</v>
      </c>
      <c r="Q47" s="396">
        <f>P47-O47</f>
        <v>44633590</v>
      </c>
      <c r="R47" s="195"/>
    </row>
    <row r="48" spans="1:18" x14ac:dyDescent="0.25">
      <c r="P48" s="294"/>
      <c r="Q48" s="295"/>
    </row>
    <row r="49" spans="2:18" x14ac:dyDescent="0.25">
      <c r="B49"/>
      <c r="G49"/>
      <c r="H49" s="294"/>
      <c r="P49" s="296" t="s">
        <v>1225</v>
      </c>
      <c r="Q49" s="295">
        <f>'05.2022'!Q36+'06.2022'!Q47</f>
        <v>115256696.61538461</v>
      </c>
    </row>
    <row r="50" spans="2:18" x14ac:dyDescent="0.25">
      <c r="B50"/>
      <c r="G50"/>
      <c r="Q50" s="294"/>
    </row>
    <row r="51" spans="2:18" x14ac:dyDescent="0.25">
      <c r="B51"/>
      <c r="G51"/>
      <c r="R51" s="195"/>
    </row>
  </sheetData>
  <mergeCells count="19">
    <mergeCell ref="A1:Q1"/>
    <mergeCell ref="A2:Q2"/>
    <mergeCell ref="A3:Q3"/>
    <mergeCell ref="G5:N5"/>
    <mergeCell ref="C33:E33"/>
    <mergeCell ref="C43:E43"/>
    <mergeCell ref="C44:E44"/>
    <mergeCell ref="C34:E34"/>
    <mergeCell ref="C46:E46"/>
    <mergeCell ref="A47:F47"/>
    <mergeCell ref="C35:E35"/>
    <mergeCell ref="C36:E36"/>
    <mergeCell ref="C37:E37"/>
    <mergeCell ref="C38:E38"/>
    <mergeCell ref="C39:E39"/>
    <mergeCell ref="C40:E40"/>
    <mergeCell ref="C41:E41"/>
    <mergeCell ref="C42:E42"/>
    <mergeCell ref="C45:E45"/>
  </mergeCells>
  <pageMargins left="0.7" right="0.7" top="0.75" bottom="0.75" header="0.3" footer="0.3"/>
  <pageSetup paperSize="9" orientation="portrait" horizontalDpi="0" verticalDpi="0"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2E30D-582A-49A8-9DD6-5E8EB9EE75F4}">
  <dimension ref="A1:S43"/>
  <sheetViews>
    <sheetView topLeftCell="E35" workbookViewId="0">
      <selection activeCell="C29" sqref="C29:E36"/>
    </sheetView>
  </sheetViews>
  <sheetFormatPr defaultColWidth="9.140625"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0.28515625" style="292" bestFit="1"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4416</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19"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19" x14ac:dyDescent="0.25">
      <c r="A7" s="75"/>
      <c r="B7" s="100"/>
      <c r="C7" s="88"/>
      <c r="D7" s="88"/>
      <c r="E7" s="134"/>
      <c r="F7" s="75"/>
      <c r="G7" s="264"/>
      <c r="H7" s="264"/>
      <c r="I7" s="264"/>
      <c r="J7" s="264"/>
      <c r="K7" s="264"/>
      <c r="L7" s="308"/>
      <c r="M7" s="264"/>
      <c r="N7" s="264"/>
      <c r="O7" s="265"/>
      <c r="P7" s="265"/>
      <c r="Q7" s="264"/>
    </row>
    <row r="8" spans="1:19" ht="21.75" customHeight="1" x14ac:dyDescent="0.25">
      <c r="A8" s="470">
        <v>1</v>
      </c>
      <c r="B8" s="472">
        <v>44748</v>
      </c>
      <c r="C8" s="366" t="s">
        <v>1894</v>
      </c>
      <c r="D8" s="367" t="s">
        <v>4433</v>
      </c>
      <c r="E8" s="354" t="s">
        <v>4301</v>
      </c>
      <c r="F8" s="368"/>
      <c r="G8" s="369">
        <v>96</v>
      </c>
      <c r="H8" s="358">
        <f>G8*29610</f>
        <v>2842560</v>
      </c>
      <c r="I8" s="358"/>
      <c r="J8" s="358">
        <v>790000</v>
      </c>
      <c r="K8" s="371"/>
      <c r="L8" s="372"/>
      <c r="M8" s="358"/>
      <c r="N8" s="358"/>
      <c r="O8" s="358">
        <f>H8+J8+K8+L8+M8+N8</f>
        <v>3632560</v>
      </c>
      <c r="P8" s="358">
        <v>5268519</v>
      </c>
      <c r="Q8" s="358">
        <f>P8-O8</f>
        <v>1635959</v>
      </c>
      <c r="R8" s="195"/>
      <c r="S8" s="195"/>
    </row>
    <row r="9" spans="1:19" ht="21.75" customHeight="1" x14ac:dyDescent="0.25">
      <c r="A9" s="350">
        <v>2</v>
      </c>
      <c r="B9" s="482">
        <v>44748</v>
      </c>
      <c r="C9" s="366" t="s">
        <v>4417</v>
      </c>
      <c r="D9" s="415" t="s">
        <v>4434</v>
      </c>
      <c r="E9" s="354" t="s">
        <v>4426</v>
      </c>
      <c r="F9" s="368"/>
      <c r="G9" s="369">
        <v>6</v>
      </c>
      <c r="H9" s="358">
        <f>G9*29610</f>
        <v>177660</v>
      </c>
      <c r="I9" s="358"/>
      <c r="J9" s="358">
        <v>200000</v>
      </c>
      <c r="K9" s="371"/>
      <c r="L9" s="372"/>
      <c r="M9" s="358"/>
      <c r="N9" s="358"/>
      <c r="O9" s="358">
        <f t="shared" ref="O9:O27" si="0">H9+J9+K9+L9+M9+N9</f>
        <v>377660</v>
      </c>
      <c r="P9" s="385">
        <v>1700000</v>
      </c>
      <c r="Q9" s="358">
        <f t="shared" ref="Q9:Q27" si="1">P9-O9</f>
        <v>1322340</v>
      </c>
      <c r="R9" s="195"/>
      <c r="S9" s="195"/>
    </row>
    <row r="10" spans="1:19" ht="21.75" customHeight="1" x14ac:dyDescent="0.25">
      <c r="A10" s="350">
        <v>3</v>
      </c>
      <c r="B10" s="482">
        <v>44748</v>
      </c>
      <c r="C10" s="366" t="s">
        <v>4418</v>
      </c>
      <c r="D10" s="367" t="s">
        <v>4435</v>
      </c>
      <c r="E10" s="354" t="s">
        <v>850</v>
      </c>
      <c r="F10" s="368"/>
      <c r="G10" s="369">
        <v>122</v>
      </c>
      <c r="H10" s="358">
        <f>G10*29610</f>
        <v>3612420</v>
      </c>
      <c r="I10" s="358"/>
      <c r="J10" s="358">
        <v>790000</v>
      </c>
      <c r="K10" s="371"/>
      <c r="L10" s="372"/>
      <c r="M10" s="358"/>
      <c r="N10" s="358"/>
      <c r="O10" s="358">
        <f t="shared" si="0"/>
        <v>4402420</v>
      </c>
      <c r="P10" s="385">
        <v>6268519</v>
      </c>
      <c r="Q10" s="358">
        <f t="shared" si="1"/>
        <v>1866099</v>
      </c>
      <c r="R10" s="195"/>
      <c r="S10" s="195"/>
    </row>
    <row r="11" spans="1:19" ht="21.75" customHeight="1" x14ac:dyDescent="0.25">
      <c r="A11" s="350">
        <v>4</v>
      </c>
      <c r="B11" s="482">
        <v>44748</v>
      </c>
      <c r="C11" s="366" t="s">
        <v>3186</v>
      </c>
      <c r="D11" s="367" t="s">
        <v>4436</v>
      </c>
      <c r="E11" s="354" t="s">
        <v>1023</v>
      </c>
      <c r="F11" s="368"/>
      <c r="G11" s="369">
        <v>111</v>
      </c>
      <c r="H11" s="358">
        <f>G11*29610</f>
        <v>3286710</v>
      </c>
      <c r="I11" s="358"/>
      <c r="J11" s="358">
        <v>790000</v>
      </c>
      <c r="K11" s="371"/>
      <c r="L11" s="372"/>
      <c r="M11" s="358"/>
      <c r="N11" s="358"/>
      <c r="O11" s="358">
        <f t="shared" si="0"/>
        <v>4076710</v>
      </c>
      <c r="P11" s="385">
        <v>6250000</v>
      </c>
      <c r="Q11" s="358">
        <f t="shared" si="1"/>
        <v>2173290</v>
      </c>
      <c r="R11" s="195"/>
      <c r="S11" s="195"/>
    </row>
    <row r="12" spans="1:19" ht="21.75" customHeight="1" x14ac:dyDescent="0.25">
      <c r="A12" s="350">
        <v>5</v>
      </c>
      <c r="B12" s="482">
        <v>44749</v>
      </c>
      <c r="C12" s="366" t="s">
        <v>3187</v>
      </c>
      <c r="D12" s="367" t="s">
        <v>4437</v>
      </c>
      <c r="E12" s="354" t="s">
        <v>4427</v>
      </c>
      <c r="F12" s="368"/>
      <c r="G12" s="369">
        <v>373</v>
      </c>
      <c r="H12" s="358">
        <f>G12*26590</f>
        <v>9918070</v>
      </c>
      <c r="I12" s="358"/>
      <c r="J12" s="358">
        <v>4940000</v>
      </c>
      <c r="K12" s="371"/>
      <c r="L12" s="372"/>
      <c r="M12" s="358"/>
      <c r="N12" s="358"/>
      <c r="O12" s="358">
        <f t="shared" si="0"/>
        <v>14858070</v>
      </c>
      <c r="P12" s="385">
        <v>24000000</v>
      </c>
      <c r="Q12" s="358">
        <f t="shared" si="1"/>
        <v>9141930</v>
      </c>
      <c r="R12" s="195"/>
      <c r="S12" s="195"/>
    </row>
    <row r="13" spans="1:19" ht="21.75" customHeight="1" x14ac:dyDescent="0.25">
      <c r="A13" s="350">
        <v>6</v>
      </c>
      <c r="B13" s="482">
        <v>44751</v>
      </c>
      <c r="C13" s="366" t="s">
        <v>2583</v>
      </c>
      <c r="D13" s="367" t="s">
        <v>4438</v>
      </c>
      <c r="E13" s="354" t="s">
        <v>24</v>
      </c>
      <c r="F13" s="368"/>
      <c r="G13" s="369">
        <v>180</v>
      </c>
      <c r="H13" s="358">
        <f t="shared" ref="H13:H20" si="2">G13*26590</f>
        <v>4786200</v>
      </c>
      <c r="I13" s="358"/>
      <c r="J13" s="358">
        <v>1530000</v>
      </c>
      <c r="K13" s="371"/>
      <c r="L13" s="372"/>
      <c r="M13" s="358"/>
      <c r="N13" s="358"/>
      <c r="O13" s="358">
        <f t="shared" si="0"/>
        <v>6316200</v>
      </c>
      <c r="P13" s="385">
        <v>9716667</v>
      </c>
      <c r="Q13" s="358">
        <f t="shared" si="1"/>
        <v>3400467</v>
      </c>
      <c r="R13" s="195"/>
      <c r="S13" s="195"/>
    </row>
    <row r="14" spans="1:19" ht="21.75" customHeight="1" x14ac:dyDescent="0.25">
      <c r="A14" s="350">
        <v>7</v>
      </c>
      <c r="B14" s="482">
        <v>44753</v>
      </c>
      <c r="C14" s="366" t="s">
        <v>1233</v>
      </c>
      <c r="D14" s="367" t="s">
        <v>4439</v>
      </c>
      <c r="E14" s="354" t="s">
        <v>3558</v>
      </c>
      <c r="F14" s="368"/>
      <c r="G14" s="369">
        <v>147</v>
      </c>
      <c r="H14" s="358">
        <f t="shared" si="2"/>
        <v>3908730</v>
      </c>
      <c r="I14" s="358"/>
      <c r="J14" s="358">
        <v>880000</v>
      </c>
      <c r="K14" s="371"/>
      <c r="L14" s="372"/>
      <c r="M14" s="358"/>
      <c r="N14" s="358"/>
      <c r="O14" s="358">
        <f t="shared" si="0"/>
        <v>4788730</v>
      </c>
      <c r="P14" s="385">
        <v>7300000</v>
      </c>
      <c r="Q14" s="358">
        <f t="shared" si="1"/>
        <v>2511270</v>
      </c>
      <c r="R14" s="195"/>
      <c r="S14" s="195"/>
    </row>
    <row r="15" spans="1:19" ht="21.75" customHeight="1" x14ac:dyDescent="0.25">
      <c r="A15" s="350">
        <v>8</v>
      </c>
      <c r="B15" s="482">
        <v>44754</v>
      </c>
      <c r="C15" s="366" t="s">
        <v>2587</v>
      </c>
      <c r="D15" s="367" t="s">
        <v>4440</v>
      </c>
      <c r="E15" s="354" t="s">
        <v>1621</v>
      </c>
      <c r="F15" s="368"/>
      <c r="G15" s="369">
        <v>97</v>
      </c>
      <c r="H15" s="358">
        <f t="shared" si="2"/>
        <v>2579230</v>
      </c>
      <c r="I15" s="358"/>
      <c r="J15" s="358">
        <v>610000</v>
      </c>
      <c r="K15" s="371"/>
      <c r="L15" s="372"/>
      <c r="M15" s="358"/>
      <c r="N15" s="358"/>
      <c r="O15" s="358">
        <f t="shared" si="0"/>
        <v>3189230</v>
      </c>
      <c r="P15" s="385">
        <v>5100000</v>
      </c>
      <c r="Q15" s="358">
        <f t="shared" si="1"/>
        <v>1910770</v>
      </c>
      <c r="R15" s="195"/>
      <c r="S15" s="195"/>
    </row>
    <row r="16" spans="1:19" ht="21.75" customHeight="1" x14ac:dyDescent="0.25">
      <c r="A16" s="350">
        <v>9</v>
      </c>
      <c r="B16" s="482">
        <v>44755</v>
      </c>
      <c r="C16" s="366" t="s">
        <v>4419</v>
      </c>
      <c r="D16" s="367" t="s">
        <v>4441</v>
      </c>
      <c r="E16" s="354" t="s">
        <v>4428</v>
      </c>
      <c r="F16" s="368"/>
      <c r="G16" s="369">
        <v>78</v>
      </c>
      <c r="H16" s="358">
        <f t="shared" si="2"/>
        <v>2074020</v>
      </c>
      <c r="I16" s="358"/>
      <c r="J16" s="358">
        <v>730000</v>
      </c>
      <c r="K16" s="371"/>
      <c r="L16" s="372"/>
      <c r="M16" s="358"/>
      <c r="N16" s="358"/>
      <c r="O16" s="358">
        <f t="shared" si="0"/>
        <v>2804020</v>
      </c>
      <c r="P16" s="385">
        <v>5160000</v>
      </c>
      <c r="Q16" s="358">
        <f t="shared" si="1"/>
        <v>2355980</v>
      </c>
      <c r="R16" s="195"/>
      <c r="S16" s="195"/>
    </row>
    <row r="17" spans="1:19" ht="21.75" customHeight="1" x14ac:dyDescent="0.25">
      <c r="A17" s="350">
        <v>10</v>
      </c>
      <c r="B17" s="482">
        <v>44756</v>
      </c>
      <c r="C17" s="366" t="s">
        <v>3193</v>
      </c>
      <c r="D17" s="367" t="s">
        <v>4442</v>
      </c>
      <c r="E17" s="354" t="s">
        <v>24</v>
      </c>
      <c r="F17" s="368"/>
      <c r="G17" s="369">
        <v>180</v>
      </c>
      <c r="H17" s="358">
        <f t="shared" si="2"/>
        <v>4786200</v>
      </c>
      <c r="I17" s="358"/>
      <c r="J17" s="358">
        <v>1530000</v>
      </c>
      <c r="K17" s="371"/>
      <c r="L17" s="372"/>
      <c r="M17" s="358"/>
      <c r="N17" s="358"/>
      <c r="O17" s="358">
        <f t="shared" si="0"/>
        <v>6316200</v>
      </c>
      <c r="P17" s="385">
        <v>9716667</v>
      </c>
      <c r="Q17" s="358">
        <f t="shared" si="1"/>
        <v>3400467</v>
      </c>
      <c r="R17" s="195"/>
      <c r="S17" s="195"/>
    </row>
    <row r="18" spans="1:19" ht="21.75" customHeight="1" x14ac:dyDescent="0.25">
      <c r="A18" s="350">
        <v>11</v>
      </c>
      <c r="B18" s="482">
        <v>44760</v>
      </c>
      <c r="C18" s="366" t="s">
        <v>1237</v>
      </c>
      <c r="D18" s="367" t="s">
        <v>4443</v>
      </c>
      <c r="E18" s="354" t="s">
        <v>21</v>
      </c>
      <c r="F18" s="368"/>
      <c r="G18" s="369">
        <v>240</v>
      </c>
      <c r="H18" s="358">
        <f t="shared" si="2"/>
        <v>6381600</v>
      </c>
      <c r="I18" s="358"/>
      <c r="J18" s="490">
        <v>2200000</v>
      </c>
      <c r="K18" s="371"/>
      <c r="L18" s="372"/>
      <c r="M18" s="358"/>
      <c r="N18" s="358"/>
      <c r="O18" s="358">
        <f t="shared" si="0"/>
        <v>8581600</v>
      </c>
      <c r="P18" s="385">
        <v>15185185</v>
      </c>
      <c r="Q18" s="358">
        <f t="shared" si="1"/>
        <v>6603585</v>
      </c>
      <c r="R18" s="195"/>
      <c r="S18" s="195"/>
    </row>
    <row r="19" spans="1:19" ht="21.75" customHeight="1" x14ac:dyDescent="0.25">
      <c r="A19" s="470">
        <v>12</v>
      </c>
      <c r="B19" s="487">
        <v>44761</v>
      </c>
      <c r="C19" s="366" t="s">
        <v>455</v>
      </c>
      <c r="D19" s="367" t="s">
        <v>4444</v>
      </c>
      <c r="E19" s="354" t="s">
        <v>4429</v>
      </c>
      <c r="F19" s="461"/>
      <c r="G19" s="369">
        <v>61</v>
      </c>
      <c r="H19" s="358">
        <f t="shared" si="2"/>
        <v>1621990</v>
      </c>
      <c r="I19" s="381"/>
      <c r="J19" s="381">
        <v>430000</v>
      </c>
      <c r="K19" s="371"/>
      <c r="L19" s="372"/>
      <c r="M19" s="381"/>
      <c r="N19" s="381"/>
      <c r="O19" s="358">
        <f t="shared" si="0"/>
        <v>2051990</v>
      </c>
      <c r="P19" s="385">
        <v>3350000</v>
      </c>
      <c r="Q19" s="358">
        <f t="shared" si="1"/>
        <v>1298010</v>
      </c>
      <c r="R19" s="195"/>
      <c r="S19" s="195"/>
    </row>
    <row r="20" spans="1:19" ht="21.75" customHeight="1" x14ac:dyDescent="0.25">
      <c r="A20" s="350">
        <v>13</v>
      </c>
      <c r="B20" s="487">
        <v>44762</v>
      </c>
      <c r="C20" s="366" t="s">
        <v>4420</v>
      </c>
      <c r="D20" s="367" t="s">
        <v>4445</v>
      </c>
      <c r="E20" s="354" t="s">
        <v>187</v>
      </c>
      <c r="F20" s="461"/>
      <c r="G20" s="369">
        <v>88</v>
      </c>
      <c r="H20" s="358">
        <f t="shared" si="2"/>
        <v>2339920</v>
      </c>
      <c r="I20" s="381"/>
      <c r="J20" s="381">
        <v>790000</v>
      </c>
      <c r="K20" s="371"/>
      <c r="L20" s="372"/>
      <c r="M20" s="381"/>
      <c r="N20" s="381"/>
      <c r="O20" s="358">
        <f t="shared" si="0"/>
        <v>3129920</v>
      </c>
      <c r="P20" s="385">
        <v>4500000</v>
      </c>
      <c r="Q20" s="358">
        <f t="shared" si="1"/>
        <v>1370080</v>
      </c>
      <c r="R20" s="195"/>
      <c r="S20" s="195"/>
    </row>
    <row r="21" spans="1:19" ht="21.75" customHeight="1" x14ac:dyDescent="0.25">
      <c r="A21" s="350">
        <v>14</v>
      </c>
      <c r="B21" s="487">
        <v>44762</v>
      </c>
      <c r="C21" s="366" t="s">
        <v>3196</v>
      </c>
      <c r="D21" s="367" t="s">
        <v>4446</v>
      </c>
      <c r="E21" s="354" t="s">
        <v>4430</v>
      </c>
      <c r="F21" s="461"/>
      <c r="G21" s="369">
        <v>113</v>
      </c>
      <c r="H21" s="358">
        <f>G21*24850</f>
        <v>2808050</v>
      </c>
      <c r="I21" s="381"/>
      <c r="J21" s="381">
        <v>830000</v>
      </c>
      <c r="K21" s="371"/>
      <c r="L21" s="372"/>
      <c r="M21" s="381"/>
      <c r="N21" s="381"/>
      <c r="O21" s="358">
        <f t="shared" si="0"/>
        <v>3638050</v>
      </c>
      <c r="P21" s="385">
        <v>5400000</v>
      </c>
      <c r="Q21" s="358">
        <f t="shared" si="1"/>
        <v>1761950</v>
      </c>
      <c r="R21" s="195"/>
      <c r="S21" s="195"/>
    </row>
    <row r="22" spans="1:19" ht="21.75" customHeight="1" x14ac:dyDescent="0.25">
      <c r="A22" s="350">
        <v>15</v>
      </c>
      <c r="B22" s="487">
        <v>44764</v>
      </c>
      <c r="C22" s="366" t="s">
        <v>3197</v>
      </c>
      <c r="D22" s="367" t="s">
        <v>4447</v>
      </c>
      <c r="E22" s="354" t="s">
        <v>24</v>
      </c>
      <c r="F22" s="461"/>
      <c r="G22" s="369">
        <v>193</v>
      </c>
      <c r="H22" s="358">
        <f t="shared" ref="H22:H27" si="3">G22*24850</f>
        <v>4796050</v>
      </c>
      <c r="I22" s="381"/>
      <c r="J22" s="381">
        <v>1530000</v>
      </c>
      <c r="K22" s="371"/>
      <c r="L22" s="372"/>
      <c r="M22" s="381"/>
      <c r="N22" s="381"/>
      <c r="O22" s="358">
        <f t="shared" si="0"/>
        <v>6326050</v>
      </c>
      <c r="P22" s="385">
        <v>9846296</v>
      </c>
      <c r="Q22" s="358">
        <f t="shared" si="1"/>
        <v>3520246</v>
      </c>
      <c r="R22" s="195"/>
      <c r="S22" s="195"/>
    </row>
    <row r="23" spans="1:19" ht="21.75" customHeight="1" x14ac:dyDescent="0.25">
      <c r="A23" s="350">
        <v>16</v>
      </c>
      <c r="B23" s="487">
        <v>44764</v>
      </c>
      <c r="C23" s="366" t="s">
        <v>4421</v>
      </c>
      <c r="D23" s="367" t="s">
        <v>4448</v>
      </c>
      <c r="E23" s="354" t="s">
        <v>4042</v>
      </c>
      <c r="F23" s="461"/>
      <c r="G23" s="369">
        <v>368</v>
      </c>
      <c r="H23" s="358">
        <f t="shared" si="3"/>
        <v>9144800</v>
      </c>
      <c r="I23" s="381"/>
      <c r="J23" s="381">
        <v>1930000</v>
      </c>
      <c r="K23" s="371"/>
      <c r="L23" s="372"/>
      <c r="M23" s="381"/>
      <c r="N23" s="381"/>
      <c r="O23" s="358">
        <f t="shared" si="0"/>
        <v>11074800</v>
      </c>
      <c r="P23" s="385">
        <v>14490741</v>
      </c>
      <c r="Q23" s="358">
        <f t="shared" si="1"/>
        <v>3415941</v>
      </c>
      <c r="R23" s="195"/>
      <c r="S23" s="195"/>
    </row>
    <row r="24" spans="1:19" ht="21.75" customHeight="1" x14ac:dyDescent="0.25">
      <c r="A24" s="350">
        <v>17</v>
      </c>
      <c r="B24" s="487">
        <v>44767</v>
      </c>
      <c r="C24" s="366" t="s">
        <v>4422</v>
      </c>
      <c r="D24" s="367" t="s">
        <v>4449</v>
      </c>
      <c r="E24" s="354" t="s">
        <v>4431</v>
      </c>
      <c r="F24" s="461"/>
      <c r="G24" s="369">
        <v>111</v>
      </c>
      <c r="H24" s="358">
        <f t="shared" si="3"/>
        <v>2758350</v>
      </c>
      <c r="I24" s="381"/>
      <c r="J24" s="381">
        <v>790000</v>
      </c>
      <c r="K24" s="371"/>
      <c r="L24" s="372"/>
      <c r="M24" s="381"/>
      <c r="N24" s="381"/>
      <c r="O24" s="358">
        <f t="shared" si="0"/>
        <v>3548350</v>
      </c>
      <c r="P24" s="294">
        <v>4800000</v>
      </c>
      <c r="Q24" s="358">
        <f t="shared" si="1"/>
        <v>1251650</v>
      </c>
      <c r="R24" s="195"/>
      <c r="S24" s="195"/>
    </row>
    <row r="25" spans="1:19" ht="21.75" customHeight="1" x14ac:dyDescent="0.25">
      <c r="A25" s="350">
        <v>18</v>
      </c>
      <c r="B25" s="487">
        <v>44768</v>
      </c>
      <c r="C25" s="366" t="s">
        <v>4423</v>
      </c>
      <c r="D25" s="367" t="s">
        <v>4450</v>
      </c>
      <c r="E25" s="354" t="s">
        <v>24</v>
      </c>
      <c r="F25" s="461"/>
      <c r="G25" s="369">
        <v>193</v>
      </c>
      <c r="H25" s="358">
        <f t="shared" si="3"/>
        <v>4796050</v>
      </c>
      <c r="I25" s="381"/>
      <c r="J25" s="381">
        <v>1530000</v>
      </c>
      <c r="K25" s="371"/>
      <c r="L25" s="372"/>
      <c r="M25" s="381"/>
      <c r="N25" s="381"/>
      <c r="O25" s="358">
        <f t="shared" si="0"/>
        <v>6326050</v>
      </c>
      <c r="P25" s="385">
        <v>9846296</v>
      </c>
      <c r="Q25" s="358">
        <f t="shared" si="1"/>
        <v>3520246</v>
      </c>
      <c r="R25" s="195"/>
      <c r="S25" s="195"/>
    </row>
    <row r="26" spans="1:19" ht="21.75" customHeight="1" x14ac:dyDescent="0.25">
      <c r="A26" s="350">
        <v>19</v>
      </c>
      <c r="B26" s="487">
        <v>44770</v>
      </c>
      <c r="C26" s="366" t="s">
        <v>4424</v>
      </c>
      <c r="D26" s="367" t="s">
        <v>4451</v>
      </c>
      <c r="E26" s="354" t="s">
        <v>4432</v>
      </c>
      <c r="F26" s="461"/>
      <c r="G26" s="369">
        <v>368</v>
      </c>
      <c r="H26" s="358">
        <f t="shared" si="3"/>
        <v>9144800</v>
      </c>
      <c r="I26" s="381"/>
      <c r="J26" s="381">
        <v>4940000</v>
      </c>
      <c r="K26" s="371"/>
      <c r="L26" s="372"/>
      <c r="M26" s="381"/>
      <c r="N26" s="381"/>
      <c r="O26" s="358">
        <f t="shared" si="0"/>
        <v>14084800</v>
      </c>
      <c r="P26" s="385">
        <v>22250000</v>
      </c>
      <c r="Q26" s="358">
        <f t="shared" si="1"/>
        <v>8165200</v>
      </c>
      <c r="R26" s="195"/>
      <c r="S26" s="195"/>
    </row>
    <row r="27" spans="1:19" ht="21.75" customHeight="1" x14ac:dyDescent="0.25">
      <c r="A27" s="350">
        <v>20</v>
      </c>
      <c r="B27" s="487">
        <v>44771</v>
      </c>
      <c r="C27" s="366" t="s">
        <v>4425</v>
      </c>
      <c r="D27" s="367" t="s">
        <v>4452</v>
      </c>
      <c r="E27" s="354" t="s">
        <v>24</v>
      </c>
      <c r="F27" s="461"/>
      <c r="G27" s="369">
        <v>180</v>
      </c>
      <c r="H27" s="358">
        <f t="shared" si="3"/>
        <v>4473000</v>
      </c>
      <c r="I27" s="381"/>
      <c r="J27" s="381">
        <v>1530000</v>
      </c>
      <c r="K27" s="371"/>
      <c r="L27" s="372"/>
      <c r="M27" s="381"/>
      <c r="N27" s="381"/>
      <c r="O27" s="358">
        <f t="shared" si="0"/>
        <v>6003000</v>
      </c>
      <c r="P27" s="385">
        <v>9438889</v>
      </c>
      <c r="Q27" s="358">
        <f t="shared" si="1"/>
        <v>3435889</v>
      </c>
      <c r="R27" s="195"/>
      <c r="S27" s="195"/>
    </row>
    <row r="28" spans="1:19" ht="27" customHeight="1" x14ac:dyDescent="0.25">
      <c r="A28" s="374"/>
      <c r="B28" s="488"/>
      <c r="C28" s="609" t="s">
        <v>1273</v>
      </c>
      <c r="D28" s="609"/>
      <c r="E28" s="609"/>
      <c r="F28" s="402"/>
      <c r="G28" s="358"/>
      <c r="H28" s="369"/>
      <c r="I28" s="489"/>
      <c r="J28" s="381"/>
      <c r="K28" s="372">
        <v>1200000</v>
      </c>
      <c r="L28" s="372"/>
      <c r="M28" s="381"/>
      <c r="N28" s="381"/>
      <c r="O28" s="385">
        <f>H28+J28+K28+L28+M28+N28</f>
        <v>1200000</v>
      </c>
      <c r="P28" s="385"/>
      <c r="Q28" s="385"/>
    </row>
    <row r="29" spans="1:19" ht="27" customHeight="1" x14ac:dyDescent="0.25">
      <c r="A29" s="386"/>
      <c r="B29" s="379"/>
      <c r="C29" s="594" t="s">
        <v>4535</v>
      </c>
      <c r="D29" s="595"/>
      <c r="E29" s="596"/>
      <c r="F29" s="402"/>
      <c r="G29" s="381"/>
      <c r="H29" s="369"/>
      <c r="I29" s="403"/>
      <c r="J29" s="381"/>
      <c r="K29" s="388">
        <v>7434000</v>
      </c>
      <c r="L29" s="388"/>
      <c r="M29" s="381"/>
      <c r="N29" s="381"/>
      <c r="O29" s="385">
        <f>H29+J29+K29+L29+M29+N29</f>
        <v>7434000</v>
      </c>
      <c r="P29" s="389"/>
      <c r="Q29" s="378"/>
    </row>
    <row r="30" spans="1:19" ht="27" customHeight="1" x14ac:dyDescent="0.25">
      <c r="A30" s="386"/>
      <c r="B30" s="379"/>
      <c r="C30" s="594" t="s">
        <v>4484</v>
      </c>
      <c r="D30" s="595"/>
      <c r="E30" s="596"/>
      <c r="F30" s="402"/>
      <c r="G30" s="381"/>
      <c r="H30" s="369"/>
      <c r="I30" s="403"/>
      <c r="J30" s="381"/>
      <c r="K30" s="388"/>
      <c r="L30" s="388">
        <v>1600000</v>
      </c>
      <c r="M30" s="381"/>
      <c r="N30" s="381"/>
      <c r="O30" s="385">
        <f t="shared" ref="O30:O38" si="4">H30+J30+K30+L30+M30+N30</f>
        <v>1600000</v>
      </c>
      <c r="P30" s="389"/>
      <c r="Q30" s="378"/>
    </row>
    <row r="31" spans="1:19" ht="27" customHeight="1" x14ac:dyDescent="0.25">
      <c r="A31" s="386"/>
      <c r="B31" s="379"/>
      <c r="C31" s="594" t="s">
        <v>4485</v>
      </c>
      <c r="D31" s="595"/>
      <c r="E31" s="596"/>
      <c r="F31" s="402"/>
      <c r="G31" s="381"/>
      <c r="H31" s="369"/>
      <c r="I31" s="403"/>
      <c r="J31" s="381"/>
      <c r="K31" s="388"/>
      <c r="L31" s="388">
        <v>160000</v>
      </c>
      <c r="M31" s="381"/>
      <c r="N31" s="381"/>
      <c r="O31" s="385">
        <f t="shared" si="4"/>
        <v>160000</v>
      </c>
      <c r="P31" s="389"/>
      <c r="Q31" s="378"/>
    </row>
    <row r="32" spans="1:19" ht="27" customHeight="1" x14ac:dyDescent="0.25">
      <c r="A32" s="386"/>
      <c r="B32" s="379"/>
      <c r="C32" s="594" t="s">
        <v>4486</v>
      </c>
      <c r="D32" s="595"/>
      <c r="E32" s="596"/>
      <c r="F32" s="402"/>
      <c r="G32" s="381"/>
      <c r="H32" s="369"/>
      <c r="I32" s="403"/>
      <c r="J32" s="381"/>
      <c r="K32" s="388"/>
      <c r="L32" s="388">
        <v>1200000</v>
      </c>
      <c r="M32" s="381"/>
      <c r="N32" s="381"/>
      <c r="O32" s="385">
        <f t="shared" si="4"/>
        <v>1200000</v>
      </c>
      <c r="P32" s="389"/>
      <c r="Q32" s="378"/>
    </row>
    <row r="33" spans="1:18" ht="27" customHeight="1" x14ac:dyDescent="0.25">
      <c r="A33" s="386"/>
      <c r="B33" s="379"/>
      <c r="C33" s="594" t="s">
        <v>4487</v>
      </c>
      <c r="D33" s="595"/>
      <c r="E33" s="596"/>
      <c r="F33" s="402"/>
      <c r="G33" s="381"/>
      <c r="H33" s="369"/>
      <c r="I33" s="403"/>
      <c r="J33" s="381"/>
      <c r="K33" s="388"/>
      <c r="L33" s="388">
        <v>800000</v>
      </c>
      <c r="M33" s="381"/>
      <c r="N33" s="381"/>
      <c r="O33" s="385">
        <f t="shared" si="4"/>
        <v>800000</v>
      </c>
      <c r="P33" s="389"/>
      <c r="Q33" s="378"/>
    </row>
    <row r="34" spans="1:18" ht="27" customHeight="1" x14ac:dyDescent="0.25">
      <c r="A34" s="386"/>
      <c r="B34" s="379"/>
      <c r="C34" s="594" t="s">
        <v>4488</v>
      </c>
      <c r="D34" s="595"/>
      <c r="E34" s="596"/>
      <c r="F34" s="402"/>
      <c r="G34" s="381"/>
      <c r="H34" s="369"/>
      <c r="I34" s="403"/>
      <c r="J34" s="381"/>
      <c r="K34" s="388"/>
      <c r="L34" s="388">
        <v>1850000</v>
      </c>
      <c r="M34" s="381"/>
      <c r="N34" s="381"/>
      <c r="O34" s="385">
        <f t="shared" si="4"/>
        <v>1850000</v>
      </c>
      <c r="P34" s="389"/>
      <c r="Q34" s="378"/>
    </row>
    <row r="35" spans="1:18" ht="38.25" customHeight="1" x14ac:dyDescent="0.25">
      <c r="A35" s="386"/>
      <c r="B35" s="379"/>
      <c r="C35" s="594" t="s">
        <v>4489</v>
      </c>
      <c r="D35" s="595"/>
      <c r="E35" s="596"/>
      <c r="F35" s="402"/>
      <c r="G35" s="381"/>
      <c r="H35" s="369"/>
      <c r="I35" s="403"/>
      <c r="J35" s="381"/>
      <c r="K35" s="388"/>
      <c r="L35" s="388">
        <v>6980000</v>
      </c>
      <c r="M35" s="381"/>
      <c r="N35" s="381"/>
      <c r="O35" s="385">
        <f t="shared" si="4"/>
        <v>6980000</v>
      </c>
      <c r="P35" s="389"/>
      <c r="Q35" s="378"/>
    </row>
    <row r="36" spans="1:18" ht="38.25" customHeight="1" x14ac:dyDescent="0.25">
      <c r="A36" s="386"/>
      <c r="B36" s="379"/>
      <c r="C36" s="594" t="s">
        <v>4537</v>
      </c>
      <c r="D36" s="595"/>
      <c r="E36" s="596"/>
      <c r="F36" s="402"/>
      <c r="G36" s="381"/>
      <c r="H36" s="369"/>
      <c r="I36" s="403"/>
      <c r="J36" s="381"/>
      <c r="K36" s="388"/>
      <c r="L36" s="388">
        <v>200000</v>
      </c>
      <c r="M36" s="381"/>
      <c r="N36" s="381"/>
      <c r="O36" s="385">
        <f t="shared" si="4"/>
        <v>200000</v>
      </c>
      <c r="P36" s="389"/>
      <c r="Q36" s="378"/>
    </row>
    <row r="37" spans="1:18" ht="38.25" customHeight="1" x14ac:dyDescent="0.25">
      <c r="A37" s="386"/>
      <c r="B37" s="379"/>
      <c r="C37" s="594" t="s">
        <v>4527</v>
      </c>
      <c r="D37" s="595"/>
      <c r="E37" s="596"/>
      <c r="F37" s="402"/>
      <c r="G37" s="381"/>
      <c r="H37" s="369"/>
      <c r="I37" s="403"/>
      <c r="J37" s="381"/>
      <c r="K37" s="388"/>
      <c r="L37" s="388">
        <f>6*23900</f>
        <v>143400</v>
      </c>
      <c r="M37" s="381"/>
      <c r="N37" s="381"/>
      <c r="O37" s="385">
        <f t="shared" si="4"/>
        <v>143400</v>
      </c>
      <c r="P37" s="389"/>
      <c r="Q37" s="378"/>
    </row>
    <row r="38" spans="1:18" ht="18" customHeight="1" x14ac:dyDescent="0.25">
      <c r="A38" s="386"/>
      <c r="B38" s="391"/>
      <c r="C38" s="579" t="s">
        <v>4406</v>
      </c>
      <c r="D38" s="580"/>
      <c r="E38" s="581"/>
      <c r="F38" s="461"/>
      <c r="G38" s="381"/>
      <c r="H38" s="369"/>
      <c r="I38" s="403"/>
      <c r="J38" s="381"/>
      <c r="K38" s="394">
        <v>7700000</v>
      </c>
      <c r="L38" s="394"/>
      <c r="M38" s="381"/>
      <c r="N38" s="381"/>
      <c r="O38" s="362">
        <f t="shared" si="4"/>
        <v>7700000</v>
      </c>
      <c r="P38" s="389"/>
      <c r="Q38" s="378"/>
    </row>
    <row r="39" spans="1:18" x14ac:dyDescent="0.25">
      <c r="A39" s="576" t="s">
        <v>19</v>
      </c>
      <c r="B39" s="577"/>
      <c r="C39" s="577"/>
      <c r="D39" s="577"/>
      <c r="E39" s="577"/>
      <c r="F39" s="578"/>
      <c r="G39" s="395">
        <f>SUM(G8:G38)</f>
        <v>3305</v>
      </c>
      <c r="H39" s="396">
        <f t="shared" ref="H39:P39" si="5">SUM(H7:H38)</f>
        <v>86236410</v>
      </c>
      <c r="I39" s="396">
        <f t="shared" si="5"/>
        <v>0</v>
      </c>
      <c r="J39" s="396">
        <f t="shared" si="5"/>
        <v>29290000</v>
      </c>
      <c r="K39" s="396">
        <f t="shared" si="5"/>
        <v>16334000</v>
      </c>
      <c r="L39" s="396">
        <f t="shared" si="5"/>
        <v>12933400</v>
      </c>
      <c r="M39" s="396">
        <f t="shared" si="5"/>
        <v>0</v>
      </c>
      <c r="N39" s="396">
        <f t="shared" si="5"/>
        <v>0</v>
      </c>
      <c r="O39" s="396">
        <f t="shared" si="5"/>
        <v>144793810</v>
      </c>
      <c r="P39" s="396">
        <f t="shared" si="5"/>
        <v>179587779</v>
      </c>
      <c r="Q39" s="396">
        <f>P39-O39</f>
        <v>34793969</v>
      </c>
      <c r="R39" s="195"/>
    </row>
    <row r="40" spans="1:18" x14ac:dyDescent="0.25">
      <c r="P40" s="294"/>
      <c r="Q40" s="295"/>
    </row>
    <row r="41" spans="1:18" x14ac:dyDescent="0.25">
      <c r="B41"/>
      <c r="G41"/>
      <c r="H41" s="294"/>
      <c r="P41" s="296" t="s">
        <v>1225</v>
      </c>
      <c r="Q41" s="295">
        <f>'06.2022'!Q49+'07.2022'!Q39</f>
        <v>150050665.61538461</v>
      </c>
    </row>
    <row r="42" spans="1:18" x14ac:dyDescent="0.25">
      <c r="B42"/>
      <c r="G42"/>
      <c r="Q42" s="294"/>
    </row>
    <row r="43" spans="1:18" x14ac:dyDescent="0.25">
      <c r="B43"/>
      <c r="G43"/>
      <c r="R43" s="195"/>
    </row>
  </sheetData>
  <mergeCells count="16">
    <mergeCell ref="C37:E37"/>
    <mergeCell ref="C38:E38"/>
    <mergeCell ref="A39:F39"/>
    <mergeCell ref="C31:E31"/>
    <mergeCell ref="C32:E32"/>
    <mergeCell ref="C33:E33"/>
    <mergeCell ref="C34:E34"/>
    <mergeCell ref="C35:E35"/>
    <mergeCell ref="C36:E36"/>
    <mergeCell ref="C30:E30"/>
    <mergeCell ref="A1:Q1"/>
    <mergeCell ref="A2:Q2"/>
    <mergeCell ref="A3:Q3"/>
    <mergeCell ref="G5:N5"/>
    <mergeCell ref="C28:E28"/>
    <mergeCell ref="C29:E29"/>
  </mergeCells>
  <pageMargins left="0.7" right="0.7" top="0.75" bottom="0.75" header="0.3" footer="0.3"/>
  <pageSetup paperSize="9" orientation="portrait" horizontalDpi="0" verticalDpi="0"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FA86F-989C-4E1C-AC1D-0629887B0F53}">
  <dimension ref="A1:S43"/>
  <sheetViews>
    <sheetView topLeftCell="E35" workbookViewId="0">
      <selection activeCell="O43" sqref="O43"/>
    </sheetView>
  </sheetViews>
  <sheetFormatPr defaultColWidth="9.140625"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4492</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19"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19" x14ac:dyDescent="0.25">
      <c r="A7" s="75"/>
      <c r="B7" s="100"/>
      <c r="C7" s="88"/>
      <c r="D7" s="88"/>
      <c r="E7" s="134"/>
      <c r="F7" s="75"/>
      <c r="G7" s="264"/>
      <c r="H7" s="264"/>
      <c r="I7" s="264"/>
      <c r="J7" s="264"/>
      <c r="K7" s="264"/>
      <c r="L7" s="308"/>
      <c r="M7" s="264"/>
      <c r="N7" s="264"/>
      <c r="O7" s="265"/>
      <c r="P7" s="265"/>
      <c r="Q7" s="264"/>
    </row>
    <row r="8" spans="1:19" ht="21.75" customHeight="1" x14ac:dyDescent="0.25">
      <c r="A8" s="470">
        <v>1</v>
      </c>
      <c r="B8" s="472">
        <v>44775</v>
      </c>
      <c r="C8" s="366" t="s">
        <v>3232</v>
      </c>
      <c r="D8" s="367" t="s">
        <v>4509</v>
      </c>
      <c r="E8" s="354" t="s">
        <v>269</v>
      </c>
      <c r="F8" s="368"/>
      <c r="G8" s="369">
        <v>58</v>
      </c>
      <c r="H8" s="358">
        <f>G8*23900</f>
        <v>1386200</v>
      </c>
      <c r="I8" s="358"/>
      <c r="J8" s="426">
        <v>540000</v>
      </c>
      <c r="K8" s="371"/>
      <c r="L8" s="372"/>
      <c r="M8" s="358"/>
      <c r="N8" s="358"/>
      <c r="O8" s="358">
        <f>H8+J8+K8+L8+M8+N8</f>
        <v>1926200</v>
      </c>
      <c r="P8" s="358">
        <v>4200000</v>
      </c>
      <c r="Q8" s="358">
        <f>P8-O8</f>
        <v>2273800</v>
      </c>
      <c r="R8" s="195"/>
      <c r="S8" s="195"/>
    </row>
    <row r="9" spans="1:19" ht="21.75" customHeight="1" x14ac:dyDescent="0.25">
      <c r="A9" s="350">
        <v>2</v>
      </c>
      <c r="B9" s="482">
        <v>44776</v>
      </c>
      <c r="C9" s="366" t="s">
        <v>4493</v>
      </c>
      <c r="D9" s="415" t="s">
        <v>4510</v>
      </c>
      <c r="E9" s="354" t="s">
        <v>1212</v>
      </c>
      <c r="F9" s="368"/>
      <c r="G9" s="369">
        <v>263</v>
      </c>
      <c r="H9" s="358">
        <f t="shared" ref="H9:H13" si="0">G9*23900</f>
        <v>6285700</v>
      </c>
      <c r="I9" s="358"/>
      <c r="J9" s="358">
        <v>2200000</v>
      </c>
      <c r="K9" s="371"/>
      <c r="L9" s="372"/>
      <c r="M9" s="358"/>
      <c r="N9" s="358"/>
      <c r="O9" s="358">
        <f t="shared" ref="O9:O27" si="1">H9+J9+K9+L9+M9+N9</f>
        <v>8485700</v>
      </c>
      <c r="P9" s="385">
        <v>15185185</v>
      </c>
      <c r="Q9" s="358">
        <f t="shared" ref="Q9:Q27" si="2">P9-O9</f>
        <v>6699485</v>
      </c>
      <c r="R9" s="195"/>
      <c r="S9" s="195"/>
    </row>
    <row r="10" spans="1:19" ht="21.75" customHeight="1" x14ac:dyDescent="0.25">
      <c r="A10" s="350">
        <v>3</v>
      </c>
      <c r="B10" s="482">
        <v>44777</v>
      </c>
      <c r="C10" s="366" t="s">
        <v>1289</v>
      </c>
      <c r="D10" s="367" t="s">
        <v>4511</v>
      </c>
      <c r="E10" s="354" t="s">
        <v>24</v>
      </c>
      <c r="F10" s="368"/>
      <c r="G10" s="369">
        <v>183</v>
      </c>
      <c r="H10" s="358">
        <f t="shared" si="0"/>
        <v>4373700</v>
      </c>
      <c r="I10" s="358"/>
      <c r="J10" s="358">
        <v>1530000</v>
      </c>
      <c r="K10" s="371"/>
      <c r="L10" s="372"/>
      <c r="M10" s="358"/>
      <c r="N10" s="358"/>
      <c r="O10" s="358">
        <f t="shared" si="1"/>
        <v>5903700</v>
      </c>
      <c r="P10" s="385">
        <v>9300000</v>
      </c>
      <c r="Q10" s="358">
        <f t="shared" si="2"/>
        <v>3396300</v>
      </c>
      <c r="R10" s="195"/>
      <c r="S10" s="195"/>
    </row>
    <row r="11" spans="1:19" ht="21.75" customHeight="1" x14ac:dyDescent="0.25">
      <c r="A11" s="350">
        <v>4</v>
      </c>
      <c r="B11" s="482">
        <v>44779</v>
      </c>
      <c r="C11" s="366" t="s">
        <v>4494</v>
      </c>
      <c r="D11" s="367" t="s">
        <v>4512</v>
      </c>
      <c r="E11" s="354" t="s">
        <v>1023</v>
      </c>
      <c r="F11" s="368"/>
      <c r="G11" s="369">
        <v>111</v>
      </c>
      <c r="H11" s="358">
        <f t="shared" si="0"/>
        <v>2652900</v>
      </c>
      <c r="I11" s="358"/>
      <c r="J11" s="358">
        <v>790000</v>
      </c>
      <c r="K11" s="371"/>
      <c r="L11" s="372"/>
      <c r="M11" s="358"/>
      <c r="N11" s="358"/>
      <c r="O11" s="358">
        <f t="shared" si="1"/>
        <v>3442900</v>
      </c>
      <c r="P11" s="385">
        <v>5600000</v>
      </c>
      <c r="Q11" s="358">
        <f t="shared" si="2"/>
        <v>2157100</v>
      </c>
      <c r="R11" s="195"/>
      <c r="S11" s="195"/>
    </row>
    <row r="12" spans="1:19" ht="21.75" customHeight="1" x14ac:dyDescent="0.25">
      <c r="A12" s="350">
        <v>5</v>
      </c>
      <c r="B12" s="482">
        <v>44780</v>
      </c>
      <c r="C12" s="366" t="s">
        <v>4495</v>
      </c>
      <c r="D12" s="367" t="s">
        <v>4513</v>
      </c>
      <c r="E12" s="354" t="s">
        <v>4503</v>
      </c>
      <c r="F12" s="368"/>
      <c r="G12" s="369">
        <v>393</v>
      </c>
      <c r="H12" s="358">
        <f t="shared" si="0"/>
        <v>9392700</v>
      </c>
      <c r="I12" s="358"/>
      <c r="J12" s="358">
        <v>3720000</v>
      </c>
      <c r="K12" s="371"/>
      <c r="L12" s="372"/>
      <c r="M12" s="358"/>
      <c r="N12" s="358"/>
      <c r="O12" s="358">
        <f t="shared" si="1"/>
        <v>13112700</v>
      </c>
      <c r="P12" s="385">
        <v>22324074</v>
      </c>
      <c r="Q12" s="358">
        <f t="shared" si="2"/>
        <v>9211374</v>
      </c>
      <c r="R12" s="195"/>
      <c r="S12" s="195"/>
    </row>
    <row r="13" spans="1:19" ht="21.75" customHeight="1" x14ac:dyDescent="0.25">
      <c r="A13" s="350">
        <v>6</v>
      </c>
      <c r="B13" s="482">
        <v>44782</v>
      </c>
      <c r="C13" s="366" t="s">
        <v>4496</v>
      </c>
      <c r="D13" s="367" t="s">
        <v>4514</v>
      </c>
      <c r="E13" s="354" t="s">
        <v>4504</v>
      </c>
      <c r="F13" s="368"/>
      <c r="G13" s="369">
        <v>376</v>
      </c>
      <c r="H13" s="358">
        <f t="shared" si="0"/>
        <v>8986400</v>
      </c>
      <c r="I13" s="358"/>
      <c r="J13" s="490">
        <v>3540000</v>
      </c>
      <c r="K13" s="371"/>
      <c r="L13" s="372"/>
      <c r="M13" s="358"/>
      <c r="N13" s="358"/>
      <c r="O13" s="358">
        <f t="shared" si="1"/>
        <v>12526400</v>
      </c>
      <c r="P13" s="385">
        <v>22000000</v>
      </c>
      <c r="Q13" s="358">
        <f t="shared" si="2"/>
        <v>9473600</v>
      </c>
      <c r="R13" s="195"/>
      <c r="S13" s="195"/>
    </row>
    <row r="14" spans="1:19" ht="21.75" customHeight="1" x14ac:dyDescent="0.25">
      <c r="A14" s="350">
        <v>7</v>
      </c>
      <c r="B14" s="482">
        <v>44784</v>
      </c>
      <c r="C14" s="366" t="s">
        <v>2635</v>
      </c>
      <c r="D14" s="367" t="s">
        <v>4515</v>
      </c>
      <c r="E14" s="354" t="s">
        <v>24</v>
      </c>
      <c r="F14" s="368"/>
      <c r="G14" s="369">
        <v>193</v>
      </c>
      <c r="H14" s="358">
        <f>G14*22900</f>
        <v>4419700</v>
      </c>
      <c r="I14" s="358"/>
      <c r="J14" s="358">
        <v>1530000</v>
      </c>
      <c r="K14" s="371"/>
      <c r="L14" s="372"/>
      <c r="M14" s="358"/>
      <c r="N14" s="358"/>
      <c r="O14" s="358">
        <f t="shared" si="1"/>
        <v>5949700</v>
      </c>
      <c r="P14" s="385">
        <v>9707407</v>
      </c>
      <c r="Q14" s="358">
        <f t="shared" si="2"/>
        <v>3757707</v>
      </c>
      <c r="R14" s="195"/>
      <c r="S14" s="195"/>
    </row>
    <row r="15" spans="1:19" ht="21.75" customHeight="1" x14ac:dyDescent="0.25">
      <c r="A15" s="350">
        <v>8</v>
      </c>
      <c r="B15" s="482">
        <v>44787</v>
      </c>
      <c r="C15" s="366" t="s">
        <v>1293</v>
      </c>
      <c r="D15" s="367" t="s">
        <v>4516</v>
      </c>
      <c r="E15" s="354" t="s">
        <v>1023</v>
      </c>
      <c r="F15" s="368"/>
      <c r="G15" s="369">
        <v>111</v>
      </c>
      <c r="H15" s="358">
        <f t="shared" ref="H15:H22" si="3">G15*22900</f>
        <v>2541900</v>
      </c>
      <c r="I15" s="358"/>
      <c r="J15" s="358">
        <v>790000</v>
      </c>
      <c r="K15" s="371"/>
      <c r="L15" s="372"/>
      <c r="M15" s="358"/>
      <c r="N15" s="358"/>
      <c r="O15" s="358">
        <f t="shared" si="1"/>
        <v>3331900</v>
      </c>
      <c r="P15" s="385">
        <v>5500000</v>
      </c>
      <c r="Q15" s="358">
        <f t="shared" si="2"/>
        <v>2168100</v>
      </c>
      <c r="R15" s="195"/>
      <c r="S15" s="195"/>
    </row>
    <row r="16" spans="1:19" ht="21.75" customHeight="1" x14ac:dyDescent="0.25">
      <c r="A16" s="350">
        <v>9</v>
      </c>
      <c r="B16" s="482">
        <v>44787</v>
      </c>
      <c r="C16" s="366" t="s">
        <v>4497</v>
      </c>
      <c r="D16" s="367" t="s">
        <v>4517</v>
      </c>
      <c r="E16" s="354" t="s">
        <v>21</v>
      </c>
      <c r="F16" s="368"/>
      <c r="G16" s="369">
        <v>240</v>
      </c>
      <c r="H16" s="358">
        <f t="shared" si="3"/>
        <v>5496000</v>
      </c>
      <c r="I16" s="358"/>
      <c r="J16" s="358">
        <v>2380000</v>
      </c>
      <c r="K16" s="371"/>
      <c r="L16" s="372"/>
      <c r="M16" s="358"/>
      <c r="N16" s="358"/>
      <c r="O16" s="358">
        <f t="shared" si="1"/>
        <v>7876000</v>
      </c>
      <c r="P16" s="385">
        <v>14398148</v>
      </c>
      <c r="Q16" s="358">
        <f t="shared" si="2"/>
        <v>6522148</v>
      </c>
      <c r="R16" s="195"/>
      <c r="S16" s="195"/>
    </row>
    <row r="17" spans="1:19" ht="21.75" customHeight="1" x14ac:dyDescent="0.25">
      <c r="A17" s="350">
        <v>10</v>
      </c>
      <c r="B17" s="482">
        <v>44788</v>
      </c>
      <c r="C17" s="366" t="s">
        <v>4498</v>
      </c>
      <c r="D17" s="367" t="s">
        <v>3693</v>
      </c>
      <c r="E17" s="354" t="s">
        <v>4505</v>
      </c>
      <c r="F17" s="368"/>
      <c r="G17" s="369">
        <v>96</v>
      </c>
      <c r="H17" s="358">
        <f t="shared" si="3"/>
        <v>2198400</v>
      </c>
      <c r="I17" s="358"/>
      <c r="J17" s="358">
        <v>430000</v>
      </c>
      <c r="K17" s="371"/>
      <c r="L17" s="372"/>
      <c r="M17" s="358"/>
      <c r="N17" s="358"/>
      <c r="O17" s="358">
        <f t="shared" si="1"/>
        <v>2628400</v>
      </c>
      <c r="P17" s="385">
        <v>4996296</v>
      </c>
      <c r="Q17" s="358">
        <f t="shared" si="2"/>
        <v>2367896</v>
      </c>
      <c r="R17" s="195"/>
      <c r="S17" s="195"/>
    </row>
    <row r="18" spans="1:19" ht="21.75" customHeight="1" x14ac:dyDescent="0.25">
      <c r="A18" s="350">
        <v>11</v>
      </c>
      <c r="B18" s="482">
        <v>44789</v>
      </c>
      <c r="C18" s="366" t="s">
        <v>1296</v>
      </c>
      <c r="D18" s="367" t="s">
        <v>4518</v>
      </c>
      <c r="E18" s="354" t="s">
        <v>4506</v>
      </c>
      <c r="F18" s="368"/>
      <c r="G18" s="369">
        <v>82</v>
      </c>
      <c r="H18" s="358">
        <f t="shared" si="3"/>
        <v>1877800</v>
      </c>
      <c r="I18" s="358"/>
      <c r="J18" s="490">
        <v>610000</v>
      </c>
      <c r="K18" s="371"/>
      <c r="L18" s="372"/>
      <c r="M18" s="358"/>
      <c r="N18" s="358"/>
      <c r="O18" s="358">
        <f t="shared" si="1"/>
        <v>2487800</v>
      </c>
      <c r="P18" s="385">
        <v>4517778</v>
      </c>
      <c r="Q18" s="358">
        <f t="shared" si="2"/>
        <v>2029978</v>
      </c>
      <c r="R18" s="195"/>
      <c r="S18" s="195"/>
    </row>
    <row r="19" spans="1:19" ht="21.75" customHeight="1" x14ac:dyDescent="0.25">
      <c r="A19" s="470">
        <v>12</v>
      </c>
      <c r="B19" s="487">
        <v>44790</v>
      </c>
      <c r="C19" s="366" t="s">
        <v>4499</v>
      </c>
      <c r="D19" s="367" t="s">
        <v>4519</v>
      </c>
      <c r="E19" s="354" t="s">
        <v>4507</v>
      </c>
      <c r="F19" s="461"/>
      <c r="G19" s="369">
        <v>104</v>
      </c>
      <c r="H19" s="358">
        <f t="shared" si="3"/>
        <v>2381600</v>
      </c>
      <c r="I19" s="381"/>
      <c r="J19" s="381">
        <v>430000</v>
      </c>
      <c r="K19" s="371"/>
      <c r="L19" s="372"/>
      <c r="M19" s="381"/>
      <c r="N19" s="381"/>
      <c r="O19" s="358">
        <f t="shared" si="1"/>
        <v>2811600</v>
      </c>
      <c r="P19" s="385">
        <v>4400000</v>
      </c>
      <c r="Q19" s="358">
        <f t="shared" si="2"/>
        <v>1588400</v>
      </c>
      <c r="R19" s="195"/>
      <c r="S19" s="195"/>
    </row>
    <row r="20" spans="1:19" ht="21.75" customHeight="1" x14ac:dyDescent="0.25">
      <c r="A20" s="350">
        <v>13</v>
      </c>
      <c r="B20" s="487">
        <v>44791</v>
      </c>
      <c r="C20" s="366" t="s">
        <v>4500</v>
      </c>
      <c r="D20" s="367" t="s">
        <v>4520</v>
      </c>
      <c r="E20" s="354" t="s">
        <v>4508</v>
      </c>
      <c r="F20" s="461"/>
      <c r="G20" s="369">
        <v>265</v>
      </c>
      <c r="H20" s="358">
        <f t="shared" si="3"/>
        <v>6068500</v>
      </c>
      <c r="I20" s="381"/>
      <c r="J20" s="381">
        <v>1360000</v>
      </c>
      <c r="K20" s="371"/>
      <c r="L20" s="372"/>
      <c r="M20" s="381"/>
      <c r="N20" s="381"/>
      <c r="O20" s="358">
        <f t="shared" si="1"/>
        <v>7428500</v>
      </c>
      <c r="P20" s="385">
        <v>11500000</v>
      </c>
      <c r="Q20" s="358">
        <f t="shared" si="2"/>
        <v>4071500</v>
      </c>
      <c r="R20" s="195"/>
      <c r="S20" s="195"/>
    </row>
    <row r="21" spans="1:19" ht="21.75" customHeight="1" x14ac:dyDescent="0.25">
      <c r="A21" s="350">
        <v>14</v>
      </c>
      <c r="B21" s="487">
        <v>44792</v>
      </c>
      <c r="C21" s="366" t="s">
        <v>4501</v>
      </c>
      <c r="D21" s="367" t="s">
        <v>4521</v>
      </c>
      <c r="E21" s="354" t="s">
        <v>4432</v>
      </c>
      <c r="F21" s="461"/>
      <c r="G21" s="369">
        <v>365</v>
      </c>
      <c r="H21" s="358">
        <f t="shared" si="3"/>
        <v>8358500</v>
      </c>
      <c r="I21" s="381"/>
      <c r="J21" s="381">
        <v>3370000</v>
      </c>
      <c r="K21" s="371"/>
      <c r="L21" s="372"/>
      <c r="M21" s="381"/>
      <c r="N21" s="381"/>
      <c r="O21" s="358">
        <f t="shared" si="1"/>
        <v>11728500</v>
      </c>
      <c r="P21" s="385">
        <v>21550000</v>
      </c>
      <c r="Q21" s="358">
        <f t="shared" si="2"/>
        <v>9821500</v>
      </c>
      <c r="R21" s="195"/>
      <c r="S21" s="195"/>
    </row>
    <row r="22" spans="1:19" ht="21.75" customHeight="1" x14ac:dyDescent="0.25">
      <c r="A22" s="350">
        <v>15</v>
      </c>
      <c r="B22" s="487">
        <v>44795</v>
      </c>
      <c r="C22" s="366" t="s">
        <v>1300</v>
      </c>
      <c r="D22" s="367" t="s">
        <v>4317</v>
      </c>
      <c r="E22" s="354" t="s">
        <v>4507</v>
      </c>
      <c r="F22" s="461"/>
      <c r="G22" s="369">
        <v>86</v>
      </c>
      <c r="H22" s="358">
        <f t="shared" si="3"/>
        <v>1969400</v>
      </c>
      <c r="I22" s="381"/>
      <c r="J22" s="381">
        <v>430000</v>
      </c>
      <c r="K22" s="371"/>
      <c r="L22" s="372"/>
      <c r="M22" s="381"/>
      <c r="N22" s="381"/>
      <c r="O22" s="358">
        <f t="shared" si="1"/>
        <v>2399400</v>
      </c>
      <c r="P22" s="385">
        <v>5007778</v>
      </c>
      <c r="Q22" s="358">
        <f t="shared" si="2"/>
        <v>2608378</v>
      </c>
      <c r="R22" s="195"/>
      <c r="S22" s="195"/>
    </row>
    <row r="23" spans="1:19" ht="21.75" customHeight="1" x14ac:dyDescent="0.25">
      <c r="A23" s="350">
        <v>16</v>
      </c>
      <c r="B23" s="487">
        <v>44795</v>
      </c>
      <c r="C23" s="366" t="s">
        <v>1301</v>
      </c>
      <c r="D23" s="367" t="s">
        <v>4522</v>
      </c>
      <c r="E23" s="354" t="s">
        <v>1212</v>
      </c>
      <c r="F23" s="461"/>
      <c r="G23" s="369">
        <v>253</v>
      </c>
      <c r="H23" s="358">
        <f>G23*23750</f>
        <v>6008750</v>
      </c>
      <c r="I23" s="381"/>
      <c r="J23" s="381">
        <v>2200000</v>
      </c>
      <c r="K23" s="371"/>
      <c r="L23" s="372"/>
      <c r="M23" s="381"/>
      <c r="N23" s="381"/>
      <c r="O23" s="358">
        <f t="shared" si="1"/>
        <v>8208750</v>
      </c>
      <c r="P23" s="385">
        <v>14814815</v>
      </c>
      <c r="Q23" s="358">
        <f t="shared" si="2"/>
        <v>6606065</v>
      </c>
      <c r="R23" s="195"/>
      <c r="S23" s="195"/>
    </row>
    <row r="24" spans="1:19" ht="21.75" customHeight="1" x14ac:dyDescent="0.25">
      <c r="A24" s="350">
        <v>17</v>
      </c>
      <c r="B24" s="487">
        <v>44797</v>
      </c>
      <c r="C24" s="366" t="s">
        <v>1973</v>
      </c>
      <c r="D24" s="367" t="s">
        <v>4523</v>
      </c>
      <c r="E24" s="354" t="s">
        <v>3558</v>
      </c>
      <c r="F24" s="461"/>
      <c r="G24" s="369">
        <v>150</v>
      </c>
      <c r="H24" s="358">
        <f t="shared" ref="H24:H27" si="4">G24*23750</f>
        <v>3562500</v>
      </c>
      <c r="I24" s="381"/>
      <c r="J24" s="381">
        <v>1140000</v>
      </c>
      <c r="K24" s="371"/>
      <c r="L24" s="372"/>
      <c r="M24" s="381"/>
      <c r="N24" s="381"/>
      <c r="O24" s="358">
        <f t="shared" si="1"/>
        <v>4702500</v>
      </c>
      <c r="P24" s="294">
        <v>7000000</v>
      </c>
      <c r="Q24" s="358">
        <f t="shared" si="2"/>
        <v>2297500</v>
      </c>
      <c r="R24" s="195"/>
      <c r="S24" s="195"/>
    </row>
    <row r="25" spans="1:19" ht="21.75" customHeight="1" x14ac:dyDescent="0.25">
      <c r="A25" s="350">
        <v>18</v>
      </c>
      <c r="B25" s="487">
        <v>44798</v>
      </c>
      <c r="C25" s="366" t="s">
        <v>4502</v>
      </c>
      <c r="D25" s="367" t="s">
        <v>4524</v>
      </c>
      <c r="E25" s="354" t="s">
        <v>4432</v>
      </c>
      <c r="F25" s="461"/>
      <c r="G25" s="369">
        <v>365</v>
      </c>
      <c r="H25" s="358">
        <f t="shared" si="4"/>
        <v>8668750</v>
      </c>
      <c r="I25" s="381"/>
      <c r="J25" s="381">
        <v>2930000</v>
      </c>
      <c r="K25" s="371"/>
      <c r="L25" s="372"/>
      <c r="M25" s="381"/>
      <c r="N25" s="381"/>
      <c r="O25" s="358">
        <f t="shared" si="1"/>
        <v>11598750</v>
      </c>
      <c r="P25" s="385">
        <v>21950000</v>
      </c>
      <c r="Q25" s="358">
        <f t="shared" si="2"/>
        <v>10351250</v>
      </c>
      <c r="R25" s="195"/>
      <c r="S25" s="195"/>
    </row>
    <row r="26" spans="1:19" ht="21.75" customHeight="1" x14ac:dyDescent="0.25">
      <c r="A26" s="350">
        <v>19</v>
      </c>
      <c r="B26" s="487">
        <v>44800</v>
      </c>
      <c r="C26" s="366" t="s">
        <v>1305</v>
      </c>
      <c r="D26" s="367" t="s">
        <v>4525</v>
      </c>
      <c r="E26" s="354" t="s">
        <v>4432</v>
      </c>
      <c r="F26" s="461"/>
      <c r="G26" s="369">
        <v>368</v>
      </c>
      <c r="H26" s="358">
        <f t="shared" si="4"/>
        <v>8740000</v>
      </c>
      <c r="I26" s="381"/>
      <c r="J26" s="381">
        <v>3020000</v>
      </c>
      <c r="K26" s="371"/>
      <c r="L26" s="372"/>
      <c r="M26" s="381"/>
      <c r="N26" s="381"/>
      <c r="O26" s="358">
        <f t="shared" si="1"/>
        <v>11760000</v>
      </c>
      <c r="P26" s="385">
        <v>21900000</v>
      </c>
      <c r="Q26" s="358">
        <f t="shared" si="2"/>
        <v>10140000</v>
      </c>
      <c r="R26" s="195"/>
      <c r="S26" s="195"/>
    </row>
    <row r="27" spans="1:19" ht="21.75" customHeight="1" x14ac:dyDescent="0.25">
      <c r="A27" s="350">
        <v>20</v>
      </c>
      <c r="B27" s="487">
        <v>44803</v>
      </c>
      <c r="C27" s="366" t="s">
        <v>1306</v>
      </c>
      <c r="D27" s="367" t="s">
        <v>4526</v>
      </c>
      <c r="E27" s="354" t="s">
        <v>4432</v>
      </c>
      <c r="F27" s="461"/>
      <c r="G27" s="369">
        <v>365</v>
      </c>
      <c r="H27" s="358">
        <f t="shared" si="4"/>
        <v>8668750</v>
      </c>
      <c r="I27" s="381"/>
      <c r="J27" s="381">
        <v>2780000</v>
      </c>
      <c r="K27" s="371"/>
      <c r="L27" s="372"/>
      <c r="M27" s="381"/>
      <c r="N27" s="381"/>
      <c r="O27" s="358">
        <f t="shared" si="1"/>
        <v>11448750</v>
      </c>
      <c r="P27" s="385">
        <v>21900000</v>
      </c>
      <c r="Q27" s="358">
        <f t="shared" si="2"/>
        <v>10451250</v>
      </c>
      <c r="R27" s="195"/>
      <c r="S27" s="195"/>
    </row>
    <row r="28" spans="1:19" ht="27" customHeight="1" x14ac:dyDescent="0.25">
      <c r="A28" s="374"/>
      <c r="B28" s="488"/>
      <c r="C28" s="609" t="s">
        <v>1273</v>
      </c>
      <c r="D28" s="609"/>
      <c r="E28" s="609"/>
      <c r="F28" s="402"/>
      <c r="G28" s="358"/>
      <c r="H28" s="369"/>
      <c r="I28" s="489"/>
      <c r="J28" s="381"/>
      <c r="K28" s="372">
        <v>1200000</v>
      </c>
      <c r="L28" s="372"/>
      <c r="M28" s="381"/>
      <c r="N28" s="381"/>
      <c r="O28" s="385">
        <f>H28+J28+K28+L28+M28+N28</f>
        <v>1200000</v>
      </c>
      <c r="P28" s="385"/>
      <c r="Q28" s="385"/>
    </row>
    <row r="29" spans="1:19" ht="27" customHeight="1" x14ac:dyDescent="0.25">
      <c r="A29" s="386"/>
      <c r="B29" s="379"/>
      <c r="C29" s="594" t="s">
        <v>4535</v>
      </c>
      <c r="D29" s="595"/>
      <c r="E29" s="596"/>
      <c r="F29" s="402"/>
      <c r="G29" s="381"/>
      <c r="H29" s="369"/>
      <c r="I29" s="403"/>
      <c r="J29" s="381"/>
      <c r="K29" s="388">
        <v>18616000</v>
      </c>
      <c r="L29" s="388"/>
      <c r="M29" s="381"/>
      <c r="N29" s="381"/>
      <c r="O29" s="385">
        <f t="shared" ref="O29:O30" si="5">H29+J29+K29+L29+M29+N29</f>
        <v>18616000</v>
      </c>
      <c r="P29" s="389"/>
      <c r="Q29" s="378"/>
    </row>
    <row r="30" spans="1:19" ht="27" customHeight="1" x14ac:dyDescent="0.25">
      <c r="A30" s="386"/>
      <c r="B30" s="379"/>
      <c r="C30" s="594" t="s">
        <v>4528</v>
      </c>
      <c r="D30" s="595"/>
      <c r="E30" s="596"/>
      <c r="F30" s="402"/>
      <c r="G30" s="381"/>
      <c r="H30" s="369"/>
      <c r="I30" s="403"/>
      <c r="J30" s="381"/>
      <c r="K30" s="388"/>
      <c r="L30" s="388">
        <f>2*23900+2*25550</f>
        <v>98900</v>
      </c>
      <c r="M30" s="381"/>
      <c r="N30" s="381"/>
      <c r="O30" s="385">
        <f t="shared" si="5"/>
        <v>98900</v>
      </c>
      <c r="P30" s="389"/>
      <c r="Q30" s="378"/>
    </row>
    <row r="31" spans="1:19" ht="27" customHeight="1" x14ac:dyDescent="0.25">
      <c r="A31" s="386"/>
      <c r="B31" s="379"/>
      <c r="C31" s="594" t="s">
        <v>4529</v>
      </c>
      <c r="D31" s="595"/>
      <c r="E31" s="596"/>
      <c r="F31" s="402"/>
      <c r="G31" s="381"/>
      <c r="H31" s="369"/>
      <c r="I31" s="403"/>
      <c r="J31" s="381"/>
      <c r="K31" s="388"/>
      <c r="L31" s="388">
        <v>500000</v>
      </c>
      <c r="M31" s="381"/>
      <c r="N31" s="381"/>
      <c r="O31" s="385">
        <f t="shared" ref="O31:O38" si="6">H31+J31+K31+L31+M31+N31</f>
        <v>500000</v>
      </c>
      <c r="P31" s="389"/>
      <c r="Q31" s="378"/>
    </row>
    <row r="32" spans="1:19" ht="27" customHeight="1" x14ac:dyDescent="0.25">
      <c r="A32" s="386"/>
      <c r="B32" s="379"/>
      <c r="C32" s="594" t="s">
        <v>4530</v>
      </c>
      <c r="D32" s="595"/>
      <c r="E32" s="596"/>
      <c r="F32" s="402"/>
      <c r="G32" s="381"/>
      <c r="H32" s="369"/>
      <c r="I32" s="403"/>
      <c r="J32" s="381"/>
      <c r="K32" s="388"/>
      <c r="L32" s="388">
        <v>95000</v>
      </c>
      <c r="M32" s="381"/>
      <c r="N32" s="381"/>
      <c r="O32" s="385">
        <f t="shared" si="6"/>
        <v>95000</v>
      </c>
      <c r="P32" s="389"/>
      <c r="Q32" s="378"/>
    </row>
    <row r="33" spans="1:18" ht="27" customHeight="1" x14ac:dyDescent="0.25">
      <c r="A33" s="386"/>
      <c r="B33" s="379"/>
      <c r="C33" s="594" t="s">
        <v>4531</v>
      </c>
      <c r="D33" s="595"/>
      <c r="E33" s="596"/>
      <c r="F33" s="402"/>
      <c r="G33" s="381"/>
      <c r="H33" s="369"/>
      <c r="I33" s="403"/>
      <c r="J33" s="381"/>
      <c r="K33" s="388"/>
      <c r="L33" s="388">
        <v>1600000</v>
      </c>
      <c r="M33" s="381"/>
      <c r="N33" s="381"/>
      <c r="O33" s="385">
        <f t="shared" si="6"/>
        <v>1600000</v>
      </c>
      <c r="P33" s="389"/>
      <c r="Q33" s="378"/>
    </row>
    <row r="34" spans="1:18" ht="27" customHeight="1" x14ac:dyDescent="0.25">
      <c r="A34" s="386"/>
      <c r="B34" s="379"/>
      <c r="C34" s="594" t="s">
        <v>4532</v>
      </c>
      <c r="D34" s="595"/>
      <c r="E34" s="596"/>
      <c r="F34" s="402"/>
      <c r="G34" s="381"/>
      <c r="H34" s="369"/>
      <c r="I34" s="403"/>
      <c r="J34" s="381"/>
      <c r="K34" s="388"/>
      <c r="L34" s="388">
        <v>300000</v>
      </c>
      <c r="M34" s="381"/>
      <c r="N34" s="381"/>
      <c r="O34" s="385">
        <f t="shared" si="6"/>
        <v>300000</v>
      </c>
      <c r="P34" s="389"/>
      <c r="Q34" s="378"/>
    </row>
    <row r="35" spans="1:18" ht="27" customHeight="1" x14ac:dyDescent="0.25">
      <c r="A35" s="386"/>
      <c r="B35" s="379"/>
      <c r="C35" s="594" t="s">
        <v>4533</v>
      </c>
      <c r="D35" s="595"/>
      <c r="E35" s="596"/>
      <c r="F35" s="402"/>
      <c r="G35" s="381"/>
      <c r="H35" s="369"/>
      <c r="I35" s="403"/>
      <c r="J35" s="381"/>
      <c r="K35" s="388"/>
      <c r="L35" s="388">
        <v>400000</v>
      </c>
      <c r="M35" s="381"/>
      <c r="N35" s="381"/>
      <c r="O35" s="385">
        <f t="shared" si="6"/>
        <v>400000</v>
      </c>
      <c r="P35" s="389"/>
      <c r="Q35" s="378"/>
    </row>
    <row r="36" spans="1:18" ht="38.25" customHeight="1" x14ac:dyDescent="0.25">
      <c r="A36" s="386"/>
      <c r="B36" s="379"/>
      <c r="C36" s="594" t="s">
        <v>4534</v>
      </c>
      <c r="D36" s="595"/>
      <c r="E36" s="596"/>
      <c r="F36" s="402"/>
      <c r="G36" s="381"/>
      <c r="H36" s="369"/>
      <c r="I36" s="403"/>
      <c r="J36" s="381"/>
      <c r="K36" s="388"/>
      <c r="L36" s="388">
        <v>3400000</v>
      </c>
      <c r="M36" s="381"/>
      <c r="N36" s="381"/>
      <c r="O36" s="385">
        <f t="shared" si="6"/>
        <v>3400000</v>
      </c>
      <c r="P36" s="389"/>
      <c r="Q36" s="378"/>
    </row>
    <row r="37" spans="1:18" ht="38.25" customHeight="1" x14ac:dyDescent="0.25">
      <c r="A37" s="386"/>
      <c r="B37" s="379"/>
      <c r="C37" s="594" t="s">
        <v>4539</v>
      </c>
      <c r="D37" s="595"/>
      <c r="E37" s="596"/>
      <c r="F37" s="402"/>
      <c r="G37" s="381"/>
      <c r="H37" s="369"/>
      <c r="I37" s="403"/>
      <c r="J37" s="381"/>
      <c r="K37" s="388"/>
      <c r="L37" s="388">
        <v>500000</v>
      </c>
      <c r="M37" s="381"/>
      <c r="N37" s="381"/>
      <c r="O37" s="362">
        <f t="shared" si="6"/>
        <v>500000</v>
      </c>
      <c r="P37" s="389"/>
      <c r="Q37" s="378"/>
    </row>
    <row r="38" spans="1:18" ht="18" customHeight="1" x14ac:dyDescent="0.25">
      <c r="A38" s="386"/>
      <c r="B38" s="391"/>
      <c r="C38" s="579" t="s">
        <v>4580</v>
      </c>
      <c r="D38" s="580"/>
      <c r="E38" s="581"/>
      <c r="F38" s="461"/>
      <c r="G38" s="381"/>
      <c r="H38" s="369"/>
      <c r="I38" s="403"/>
      <c r="J38" s="381"/>
      <c r="K38" s="394">
        <v>8900000</v>
      </c>
      <c r="L38" s="394"/>
      <c r="M38" s="381"/>
      <c r="N38" s="381"/>
      <c r="O38" s="362">
        <f t="shared" si="6"/>
        <v>8900000</v>
      </c>
      <c r="P38" s="389"/>
      <c r="Q38" s="378"/>
    </row>
    <row r="39" spans="1:18" x14ac:dyDescent="0.25">
      <c r="A39" s="576" t="s">
        <v>19</v>
      </c>
      <c r="B39" s="577"/>
      <c r="C39" s="577"/>
      <c r="D39" s="577"/>
      <c r="E39" s="577"/>
      <c r="F39" s="578"/>
      <c r="G39" s="395">
        <f>SUM(G8:G38)</f>
        <v>4427</v>
      </c>
      <c r="H39" s="396">
        <f t="shared" ref="H39:P39" si="7">SUM(H7:H38)</f>
        <v>104038150</v>
      </c>
      <c r="I39" s="396">
        <f t="shared" si="7"/>
        <v>0</v>
      </c>
      <c r="J39" s="396">
        <f>SUM(J7:J38)</f>
        <v>35720000</v>
      </c>
      <c r="K39" s="396">
        <f t="shared" si="7"/>
        <v>28716000</v>
      </c>
      <c r="L39" s="396">
        <f t="shared" si="7"/>
        <v>6893900</v>
      </c>
      <c r="M39" s="396">
        <f t="shared" si="7"/>
        <v>0</v>
      </c>
      <c r="N39" s="396">
        <f t="shared" si="7"/>
        <v>0</v>
      </c>
      <c r="O39" s="396">
        <f t="shared" si="7"/>
        <v>175368050</v>
      </c>
      <c r="P39" s="396">
        <f t="shared" si="7"/>
        <v>247751481</v>
      </c>
      <c r="Q39" s="396">
        <f>P39-O39</f>
        <v>72383431</v>
      </c>
      <c r="R39" s="195"/>
    </row>
    <row r="40" spans="1:18" x14ac:dyDescent="0.25">
      <c r="P40" s="294"/>
      <c r="Q40" s="295"/>
    </row>
    <row r="41" spans="1:18" x14ac:dyDescent="0.25">
      <c r="B41"/>
      <c r="G41"/>
      <c r="H41" s="294"/>
      <c r="P41" s="296" t="s">
        <v>1225</v>
      </c>
      <c r="Q41" s="295">
        <f>'07.2022'!Q41+'08.2022'!Q39</f>
        <v>222434096.61538461</v>
      </c>
    </row>
    <row r="42" spans="1:18" x14ac:dyDescent="0.25">
      <c r="B42"/>
      <c r="G42"/>
      <c r="Q42" s="294"/>
    </row>
    <row r="43" spans="1:18" x14ac:dyDescent="0.25">
      <c r="B43"/>
      <c r="G43"/>
      <c r="R43" s="195"/>
    </row>
  </sheetData>
  <mergeCells count="16">
    <mergeCell ref="A1:Q1"/>
    <mergeCell ref="A2:Q2"/>
    <mergeCell ref="A3:Q3"/>
    <mergeCell ref="G5:N5"/>
    <mergeCell ref="C28:E28"/>
    <mergeCell ref="A39:F39"/>
    <mergeCell ref="C29:E29"/>
    <mergeCell ref="C30:E30"/>
    <mergeCell ref="C32:E32"/>
    <mergeCell ref="C33:E33"/>
    <mergeCell ref="C34:E34"/>
    <mergeCell ref="C35:E35"/>
    <mergeCell ref="C36:E36"/>
    <mergeCell ref="C38:E38"/>
    <mergeCell ref="C31:E31"/>
    <mergeCell ref="C37:E37"/>
  </mergeCells>
  <pageMargins left="0.7" right="0.7" top="0.75" bottom="0.75" header="0.3" footer="0.3"/>
  <pageSetup paperSize="9" orientation="portrait" horizontalDpi="0" verticalDpi="0"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DF164-0D89-4909-968B-737DE4867CDB}">
  <dimension ref="A1:S45"/>
  <sheetViews>
    <sheetView workbookViewId="0">
      <selection activeCell="Q41" sqref="Q41"/>
    </sheetView>
  </sheetViews>
  <sheetFormatPr defaultColWidth="9.140625"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4540</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19"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19" x14ac:dyDescent="0.25">
      <c r="A7" s="75"/>
      <c r="B7" s="100"/>
      <c r="C7" s="88"/>
      <c r="D7" s="88"/>
      <c r="E7" s="134"/>
      <c r="F7" s="75"/>
      <c r="G7" s="264"/>
      <c r="H7" s="264"/>
      <c r="I7" s="264"/>
      <c r="J7" s="264"/>
      <c r="K7" s="264"/>
      <c r="L7" s="308"/>
      <c r="M7" s="264"/>
      <c r="N7" s="264"/>
      <c r="O7" s="265"/>
      <c r="P7" s="265"/>
      <c r="Q7" s="264"/>
    </row>
    <row r="8" spans="1:19" ht="21.75" customHeight="1" x14ac:dyDescent="0.25">
      <c r="A8" s="470">
        <v>1</v>
      </c>
      <c r="B8" s="472">
        <v>44808</v>
      </c>
      <c r="C8" s="366" t="s">
        <v>3280</v>
      </c>
      <c r="D8" s="367" t="s">
        <v>4548</v>
      </c>
      <c r="E8" s="354" t="s">
        <v>4506</v>
      </c>
      <c r="F8" s="368"/>
      <c r="G8" s="369">
        <v>82</v>
      </c>
      <c r="H8" s="358">
        <f>G8*25180</f>
        <v>2064760</v>
      </c>
      <c r="I8" s="358"/>
      <c r="J8" s="358">
        <v>610000</v>
      </c>
      <c r="K8" s="371"/>
      <c r="L8" s="372"/>
      <c r="M8" s="358"/>
      <c r="N8" s="358"/>
      <c r="O8" s="358">
        <f>H8+J8+K8+L8+M8+N8</f>
        <v>2674760</v>
      </c>
      <c r="P8" s="358">
        <v>4517778</v>
      </c>
      <c r="Q8" s="358">
        <f>P8-O8</f>
        <v>1843018</v>
      </c>
      <c r="R8" s="195"/>
      <c r="S8" s="195"/>
    </row>
    <row r="9" spans="1:19" ht="21.75" customHeight="1" x14ac:dyDescent="0.25">
      <c r="A9" s="350">
        <v>2</v>
      </c>
      <c r="B9" s="482">
        <v>44809</v>
      </c>
      <c r="C9" s="366" t="s">
        <v>1341</v>
      </c>
      <c r="D9" s="415" t="s">
        <v>4549</v>
      </c>
      <c r="E9" s="354" t="s">
        <v>24</v>
      </c>
      <c r="F9" s="368"/>
      <c r="G9" s="369">
        <v>180</v>
      </c>
      <c r="H9" s="358">
        <f t="shared" ref="H9:H13" si="0">G9*25180</f>
        <v>4532400</v>
      </c>
      <c r="I9" s="358"/>
      <c r="J9" s="358">
        <v>1530000</v>
      </c>
      <c r="K9" s="371"/>
      <c r="L9" s="372"/>
      <c r="M9" s="358"/>
      <c r="N9" s="358"/>
      <c r="O9" s="358">
        <f t="shared" ref="O9:O24" si="1">H9+J9+K9+L9+M9+N9</f>
        <v>6062400</v>
      </c>
      <c r="P9" s="385">
        <v>9114815</v>
      </c>
      <c r="Q9" s="358">
        <f t="shared" ref="Q9:Q24" si="2">P9-O9</f>
        <v>3052415</v>
      </c>
      <c r="R9" s="195"/>
      <c r="S9" s="195"/>
    </row>
    <row r="10" spans="1:19" ht="21.75" customHeight="1" x14ac:dyDescent="0.25">
      <c r="A10" s="350">
        <v>3</v>
      </c>
      <c r="B10" s="482">
        <v>44809</v>
      </c>
      <c r="C10" s="366" t="s">
        <v>4541</v>
      </c>
      <c r="D10" s="367" t="s">
        <v>4550</v>
      </c>
      <c r="E10" s="354" t="s">
        <v>636</v>
      </c>
      <c r="F10" s="368"/>
      <c r="G10" s="369">
        <v>33</v>
      </c>
      <c r="H10" s="358">
        <f t="shared" si="0"/>
        <v>830940</v>
      </c>
      <c r="I10" s="358"/>
      <c r="J10" s="358"/>
      <c r="K10" s="371"/>
      <c r="L10" s="372"/>
      <c r="M10" s="358"/>
      <c r="N10" s="358"/>
      <c r="O10" s="358">
        <f t="shared" si="1"/>
        <v>830940</v>
      </c>
      <c r="P10" s="385">
        <v>5050000</v>
      </c>
      <c r="Q10" s="358">
        <f t="shared" si="2"/>
        <v>4219060</v>
      </c>
      <c r="R10" s="195"/>
      <c r="S10" s="195"/>
    </row>
    <row r="11" spans="1:19" ht="21.75" customHeight="1" x14ac:dyDescent="0.25">
      <c r="A11" s="350">
        <v>4</v>
      </c>
      <c r="B11" s="482">
        <v>44810</v>
      </c>
      <c r="C11" s="366" t="s">
        <v>4542</v>
      </c>
      <c r="D11" s="367" t="s">
        <v>4551</v>
      </c>
      <c r="E11" s="354" t="s">
        <v>1212</v>
      </c>
      <c r="F11" s="368"/>
      <c r="G11" s="369">
        <v>253</v>
      </c>
      <c r="H11" s="358">
        <f t="shared" si="0"/>
        <v>6370540</v>
      </c>
      <c r="I11" s="358"/>
      <c r="J11" s="358">
        <v>2810000</v>
      </c>
      <c r="K11" s="371"/>
      <c r="L11" s="372"/>
      <c r="M11" s="358"/>
      <c r="N11" s="358"/>
      <c r="O11" s="358">
        <f t="shared" si="1"/>
        <v>9180540</v>
      </c>
      <c r="P11" s="385">
        <v>14212963</v>
      </c>
      <c r="Q11" s="358">
        <f t="shared" si="2"/>
        <v>5032423</v>
      </c>
      <c r="R11" s="195"/>
      <c r="S11" s="195"/>
    </row>
    <row r="12" spans="1:19" ht="21.75" customHeight="1" x14ac:dyDescent="0.25">
      <c r="A12" s="350">
        <v>5</v>
      </c>
      <c r="B12" s="482">
        <v>44812</v>
      </c>
      <c r="C12" s="366" t="s">
        <v>1344</v>
      </c>
      <c r="D12" s="367" t="s">
        <v>4552</v>
      </c>
      <c r="E12" s="354" t="s">
        <v>21</v>
      </c>
      <c r="F12" s="368"/>
      <c r="G12" s="369">
        <v>240</v>
      </c>
      <c r="H12" s="358">
        <f t="shared" si="0"/>
        <v>6043200</v>
      </c>
      <c r="I12" s="358"/>
      <c r="J12" s="358">
        <v>2380000</v>
      </c>
      <c r="K12" s="371"/>
      <c r="L12" s="372"/>
      <c r="M12" s="358"/>
      <c r="N12" s="358"/>
      <c r="O12" s="358">
        <f t="shared" si="1"/>
        <v>8423200</v>
      </c>
      <c r="P12" s="385">
        <v>14953704</v>
      </c>
      <c r="Q12" s="358">
        <f t="shared" si="2"/>
        <v>6530504</v>
      </c>
      <c r="R12" s="195"/>
      <c r="S12" s="195"/>
    </row>
    <row r="13" spans="1:19" ht="21.75" customHeight="1" x14ac:dyDescent="0.25">
      <c r="A13" s="350">
        <v>6</v>
      </c>
      <c r="B13" s="482">
        <v>44813</v>
      </c>
      <c r="C13" s="366" t="s">
        <v>4543</v>
      </c>
      <c r="D13" s="367" t="s">
        <v>4553</v>
      </c>
      <c r="E13" s="354" t="s">
        <v>850</v>
      </c>
      <c r="F13" s="368"/>
      <c r="G13" s="369">
        <v>120</v>
      </c>
      <c r="H13" s="358">
        <f t="shared" si="0"/>
        <v>3021600</v>
      </c>
      <c r="I13" s="358"/>
      <c r="J13" s="358">
        <v>790000</v>
      </c>
      <c r="K13" s="371"/>
      <c r="L13" s="372"/>
      <c r="M13" s="358"/>
      <c r="N13" s="358"/>
      <c r="O13" s="358">
        <f t="shared" si="1"/>
        <v>3811600</v>
      </c>
      <c r="P13" s="385">
        <v>5787037</v>
      </c>
      <c r="Q13" s="358">
        <f t="shared" si="2"/>
        <v>1975437</v>
      </c>
      <c r="R13" s="195"/>
      <c r="S13" s="195"/>
    </row>
    <row r="14" spans="1:19" ht="21.75" customHeight="1" x14ac:dyDescent="0.25">
      <c r="A14" s="350">
        <v>7</v>
      </c>
      <c r="B14" s="482">
        <v>44816</v>
      </c>
      <c r="C14" s="366" t="s">
        <v>2029</v>
      </c>
      <c r="D14" s="367" t="s">
        <v>4554</v>
      </c>
      <c r="E14" s="354" t="s">
        <v>21</v>
      </c>
      <c r="F14" s="368"/>
      <c r="G14" s="369">
        <v>240</v>
      </c>
      <c r="H14" s="358">
        <f>G14*24180</f>
        <v>5803200</v>
      </c>
      <c r="I14" s="358"/>
      <c r="J14" s="358">
        <v>2200000</v>
      </c>
      <c r="K14" s="371"/>
      <c r="L14" s="372"/>
      <c r="M14" s="358"/>
      <c r="N14" s="358"/>
      <c r="O14" s="358">
        <f t="shared" si="1"/>
        <v>8003200</v>
      </c>
      <c r="P14" s="385">
        <v>14953704</v>
      </c>
      <c r="Q14" s="358">
        <f t="shared" si="2"/>
        <v>6950504</v>
      </c>
      <c r="R14" s="195"/>
      <c r="S14" s="195"/>
    </row>
    <row r="15" spans="1:19" ht="21.75" customHeight="1" x14ac:dyDescent="0.25">
      <c r="A15" s="350">
        <v>8</v>
      </c>
      <c r="B15" s="482">
        <v>44816</v>
      </c>
      <c r="C15" s="366" t="s">
        <v>4544</v>
      </c>
      <c r="D15" s="367" t="s">
        <v>4555</v>
      </c>
      <c r="E15" s="354" t="s">
        <v>4565</v>
      </c>
      <c r="F15" s="368"/>
      <c r="G15" s="369">
        <v>17</v>
      </c>
      <c r="H15" s="358">
        <f t="shared" ref="H15:H19" si="3">G15*24180</f>
        <v>411060</v>
      </c>
      <c r="I15" s="358"/>
      <c r="J15" s="358">
        <v>300000</v>
      </c>
      <c r="K15" s="371"/>
      <c r="L15" s="372"/>
      <c r="M15" s="358"/>
      <c r="N15" s="358"/>
      <c r="O15" s="358">
        <f t="shared" si="1"/>
        <v>711060</v>
      </c>
      <c r="P15" s="385">
        <v>2124630</v>
      </c>
      <c r="Q15" s="358">
        <f t="shared" si="2"/>
        <v>1413570</v>
      </c>
      <c r="R15" s="195"/>
      <c r="S15" s="195"/>
    </row>
    <row r="16" spans="1:19" ht="21.75" customHeight="1" x14ac:dyDescent="0.25">
      <c r="A16" s="350">
        <v>9</v>
      </c>
      <c r="B16" s="482">
        <v>44817</v>
      </c>
      <c r="C16" s="366" t="s">
        <v>3284</v>
      </c>
      <c r="D16" s="367" t="s">
        <v>4556</v>
      </c>
      <c r="E16" s="354" t="s">
        <v>4504</v>
      </c>
      <c r="F16" s="368"/>
      <c r="G16" s="369">
        <v>381</v>
      </c>
      <c r="H16" s="358">
        <f t="shared" si="3"/>
        <v>9212580</v>
      </c>
      <c r="I16" s="358"/>
      <c r="J16" s="358">
        <v>2930000</v>
      </c>
      <c r="K16" s="371"/>
      <c r="L16" s="372"/>
      <c r="M16" s="358"/>
      <c r="N16" s="358"/>
      <c r="O16" s="358">
        <f t="shared" si="1"/>
        <v>12142580</v>
      </c>
      <c r="P16" s="385">
        <v>22100000</v>
      </c>
      <c r="Q16" s="358">
        <f t="shared" si="2"/>
        <v>9957420</v>
      </c>
      <c r="R16" s="195"/>
      <c r="S16" s="195"/>
    </row>
    <row r="17" spans="1:19" ht="21.75" customHeight="1" x14ac:dyDescent="0.25">
      <c r="A17" s="350">
        <v>10</v>
      </c>
      <c r="B17" s="482">
        <v>44820</v>
      </c>
      <c r="C17" s="366" t="s">
        <v>3930</v>
      </c>
      <c r="D17" s="367" t="s">
        <v>4557</v>
      </c>
      <c r="E17" s="354" t="s">
        <v>4432</v>
      </c>
      <c r="F17" s="368"/>
      <c r="G17" s="369">
        <v>365</v>
      </c>
      <c r="H17" s="358">
        <f t="shared" si="3"/>
        <v>8825700</v>
      </c>
      <c r="I17" s="358"/>
      <c r="J17" s="358">
        <v>3020000</v>
      </c>
      <c r="K17" s="371"/>
      <c r="L17" s="372"/>
      <c r="M17" s="358"/>
      <c r="N17" s="358"/>
      <c r="O17" s="358">
        <f t="shared" si="1"/>
        <v>11845700</v>
      </c>
      <c r="P17" s="385">
        <v>22100000</v>
      </c>
      <c r="Q17" s="358">
        <f t="shared" si="2"/>
        <v>10254300</v>
      </c>
      <c r="R17" s="195"/>
      <c r="S17" s="195"/>
    </row>
    <row r="18" spans="1:19" ht="21.75" customHeight="1" x14ac:dyDescent="0.25">
      <c r="A18" s="350">
        <v>11</v>
      </c>
      <c r="B18" s="482">
        <v>44823</v>
      </c>
      <c r="C18" s="366" t="s">
        <v>1362</v>
      </c>
      <c r="D18" s="367" t="s">
        <v>4558</v>
      </c>
      <c r="E18" s="354" t="s">
        <v>4504</v>
      </c>
      <c r="F18" s="368"/>
      <c r="G18" s="369">
        <v>376</v>
      </c>
      <c r="H18" s="358">
        <f t="shared" si="3"/>
        <v>9091680</v>
      </c>
      <c r="I18" s="358"/>
      <c r="J18" s="358">
        <v>3020000</v>
      </c>
      <c r="K18" s="371"/>
      <c r="L18" s="372"/>
      <c r="M18" s="358"/>
      <c r="N18" s="358"/>
      <c r="O18" s="358">
        <f t="shared" si="1"/>
        <v>12111680</v>
      </c>
      <c r="P18" s="385">
        <v>22100000</v>
      </c>
      <c r="Q18" s="358">
        <f t="shared" si="2"/>
        <v>9988320</v>
      </c>
      <c r="R18" s="195"/>
      <c r="S18" s="195"/>
    </row>
    <row r="19" spans="1:19" ht="21.75" customHeight="1" x14ac:dyDescent="0.25">
      <c r="A19" s="470">
        <v>12</v>
      </c>
      <c r="B19" s="487">
        <v>44824</v>
      </c>
      <c r="C19" s="366" t="s">
        <v>4545</v>
      </c>
      <c r="D19" s="367" t="s">
        <v>4559</v>
      </c>
      <c r="E19" s="354" t="s">
        <v>2959</v>
      </c>
      <c r="F19" s="461"/>
      <c r="G19" s="369">
        <v>58</v>
      </c>
      <c r="H19" s="358">
        <f t="shared" si="3"/>
        <v>1402440</v>
      </c>
      <c r="I19" s="381"/>
      <c r="J19" s="381">
        <v>430000</v>
      </c>
      <c r="K19" s="371"/>
      <c r="L19" s="372"/>
      <c r="M19" s="381"/>
      <c r="N19" s="381"/>
      <c r="O19" s="358">
        <f t="shared" si="1"/>
        <v>1832440</v>
      </c>
      <c r="P19" s="385">
        <v>3260000</v>
      </c>
      <c r="Q19" s="358">
        <f t="shared" si="2"/>
        <v>1427560</v>
      </c>
      <c r="R19" s="195"/>
      <c r="S19" s="195"/>
    </row>
    <row r="20" spans="1:19" ht="21.75" customHeight="1" x14ac:dyDescent="0.25">
      <c r="A20" s="350">
        <v>13</v>
      </c>
      <c r="B20" s="487">
        <v>44825</v>
      </c>
      <c r="C20" s="366" t="s">
        <v>1366</v>
      </c>
      <c r="D20" s="367" t="s">
        <v>4560</v>
      </c>
      <c r="E20" s="354" t="s">
        <v>21</v>
      </c>
      <c r="F20" s="461"/>
      <c r="G20" s="369">
        <v>240</v>
      </c>
      <c r="H20" s="358">
        <f>G20*22530</f>
        <v>5407200</v>
      </c>
      <c r="I20" s="381"/>
      <c r="J20" s="381">
        <v>2200000</v>
      </c>
      <c r="K20" s="371"/>
      <c r="L20" s="372"/>
      <c r="M20" s="381"/>
      <c r="N20" s="381"/>
      <c r="O20" s="358">
        <f t="shared" si="1"/>
        <v>7607200</v>
      </c>
      <c r="P20" s="385">
        <v>14351852</v>
      </c>
      <c r="Q20" s="358">
        <f t="shared" si="2"/>
        <v>6744652</v>
      </c>
      <c r="R20" s="195"/>
      <c r="S20" s="195"/>
    </row>
    <row r="21" spans="1:19" ht="21.75" customHeight="1" x14ac:dyDescent="0.25">
      <c r="A21" s="350">
        <v>14</v>
      </c>
      <c r="B21" s="487">
        <v>44826</v>
      </c>
      <c r="C21" s="366" t="s">
        <v>4546</v>
      </c>
      <c r="D21" s="367" t="s">
        <v>4561</v>
      </c>
      <c r="E21" s="354" t="s">
        <v>3558</v>
      </c>
      <c r="F21" s="461"/>
      <c r="G21" s="369">
        <v>149</v>
      </c>
      <c r="H21" s="358">
        <f t="shared" ref="H21:H24" si="4">G21*22530</f>
        <v>3356970</v>
      </c>
      <c r="I21" s="381"/>
      <c r="J21" s="381">
        <v>1140000</v>
      </c>
      <c r="K21" s="371"/>
      <c r="L21" s="372"/>
      <c r="M21" s="381"/>
      <c r="N21" s="381"/>
      <c r="O21" s="358">
        <f t="shared" si="1"/>
        <v>4496970</v>
      </c>
      <c r="P21" s="385">
        <v>6850000</v>
      </c>
      <c r="Q21" s="358">
        <f t="shared" si="2"/>
        <v>2353030</v>
      </c>
      <c r="R21" s="195"/>
      <c r="S21" s="195"/>
    </row>
    <row r="22" spans="1:19" ht="21.75" customHeight="1" x14ac:dyDescent="0.25">
      <c r="A22" s="350">
        <v>15</v>
      </c>
      <c r="B22" s="487">
        <v>44827</v>
      </c>
      <c r="C22" s="366" t="s">
        <v>1368</v>
      </c>
      <c r="D22" s="367" t="s">
        <v>4562</v>
      </c>
      <c r="E22" s="354" t="s">
        <v>4432</v>
      </c>
      <c r="F22" s="461"/>
      <c r="G22" s="369">
        <v>367</v>
      </c>
      <c r="H22" s="358">
        <f t="shared" si="4"/>
        <v>8268510</v>
      </c>
      <c r="I22" s="381"/>
      <c r="J22" s="381">
        <v>3020000</v>
      </c>
      <c r="K22" s="371"/>
      <c r="L22" s="372"/>
      <c r="M22" s="381"/>
      <c r="N22" s="381"/>
      <c r="O22" s="358">
        <f t="shared" si="1"/>
        <v>11288510</v>
      </c>
      <c r="P22" s="385">
        <v>21500000</v>
      </c>
      <c r="Q22" s="358">
        <f t="shared" si="2"/>
        <v>10211490</v>
      </c>
      <c r="R22" s="195"/>
      <c r="S22" s="195"/>
    </row>
    <row r="23" spans="1:19" ht="21.75" customHeight="1" x14ac:dyDescent="0.25">
      <c r="A23" s="350">
        <v>16</v>
      </c>
      <c r="B23" s="487">
        <v>44831</v>
      </c>
      <c r="C23" s="366" t="s">
        <v>4547</v>
      </c>
      <c r="D23" s="367" t="s">
        <v>4563</v>
      </c>
      <c r="E23" s="354" t="s">
        <v>4503</v>
      </c>
      <c r="F23" s="461"/>
      <c r="G23" s="369">
        <v>393</v>
      </c>
      <c r="H23" s="358">
        <f t="shared" si="4"/>
        <v>8854290</v>
      </c>
      <c r="I23" s="381"/>
      <c r="J23" s="381">
        <v>3020000</v>
      </c>
      <c r="K23" s="371"/>
      <c r="L23" s="372"/>
      <c r="M23" s="381"/>
      <c r="N23" s="381"/>
      <c r="O23" s="358">
        <f t="shared" si="1"/>
        <v>11874290</v>
      </c>
      <c r="P23" s="385">
        <v>21850000</v>
      </c>
      <c r="Q23" s="358">
        <f t="shared" si="2"/>
        <v>9975710</v>
      </c>
      <c r="R23" s="195"/>
      <c r="S23" s="195"/>
    </row>
    <row r="24" spans="1:19" ht="21.75" customHeight="1" x14ac:dyDescent="0.25">
      <c r="A24" s="350">
        <v>17</v>
      </c>
      <c r="B24" s="487">
        <v>44832</v>
      </c>
      <c r="C24" s="366" t="s">
        <v>3293</v>
      </c>
      <c r="D24" s="367" t="s">
        <v>4564</v>
      </c>
      <c r="E24" s="354" t="s">
        <v>301</v>
      </c>
      <c r="F24" s="461"/>
      <c r="G24" s="369">
        <v>340</v>
      </c>
      <c r="H24" s="358">
        <f t="shared" si="4"/>
        <v>7660200</v>
      </c>
      <c r="I24" s="381"/>
      <c r="J24" s="381">
        <v>3460000</v>
      </c>
      <c r="K24" s="371"/>
      <c r="L24" s="372"/>
      <c r="M24" s="381"/>
      <c r="N24" s="381"/>
      <c r="O24" s="358">
        <f t="shared" si="1"/>
        <v>11120200</v>
      </c>
      <c r="P24" s="385">
        <v>18194444</v>
      </c>
      <c r="Q24" s="358">
        <f t="shared" si="2"/>
        <v>7074244</v>
      </c>
      <c r="R24" s="195"/>
      <c r="S24" s="195"/>
    </row>
    <row r="25" spans="1:19" ht="27" customHeight="1" x14ac:dyDescent="0.25">
      <c r="A25" s="374"/>
      <c r="B25" s="488"/>
      <c r="C25" s="609" t="s">
        <v>1273</v>
      </c>
      <c r="D25" s="609"/>
      <c r="E25" s="609"/>
      <c r="F25" s="402"/>
      <c r="G25" s="358"/>
      <c r="H25" s="369"/>
      <c r="I25" s="489"/>
      <c r="J25" s="381"/>
      <c r="K25" s="435">
        <v>1200000</v>
      </c>
      <c r="L25" s="372"/>
      <c r="M25" s="381"/>
      <c r="N25" s="381"/>
      <c r="O25" s="385">
        <f>H25+J25+K25+L25+M25+N25</f>
        <v>1200000</v>
      </c>
      <c r="P25" s="385"/>
      <c r="Q25" s="385"/>
    </row>
    <row r="26" spans="1:19" ht="27" customHeight="1" x14ac:dyDescent="0.25">
      <c r="A26" s="386"/>
      <c r="B26" s="379"/>
      <c r="C26" s="594" t="s">
        <v>4535</v>
      </c>
      <c r="D26" s="595"/>
      <c r="E26" s="596"/>
      <c r="F26" s="402"/>
      <c r="G26" s="381"/>
      <c r="H26" s="369"/>
      <c r="I26" s="403"/>
      <c r="J26" s="381"/>
      <c r="K26" s="388">
        <v>15648000</v>
      </c>
      <c r="L26" s="388"/>
      <c r="M26" s="381"/>
      <c r="N26" s="381"/>
      <c r="O26" s="385">
        <f t="shared" ref="O26:O40" si="5">H26+J26+K26+L26+M26+N26</f>
        <v>15648000</v>
      </c>
      <c r="P26" s="389"/>
      <c r="Q26" s="378"/>
    </row>
    <row r="27" spans="1:19" ht="27" customHeight="1" x14ac:dyDescent="0.25">
      <c r="A27" s="386"/>
      <c r="B27" s="379"/>
      <c r="C27" s="594" t="s">
        <v>4567</v>
      </c>
      <c r="D27" s="595"/>
      <c r="E27" s="596"/>
      <c r="F27" s="402"/>
      <c r="G27" s="381"/>
      <c r="H27" s="369"/>
      <c r="I27" s="403"/>
      <c r="J27" s="381"/>
      <c r="K27" s="388"/>
      <c r="L27" s="437">
        <v>500000</v>
      </c>
      <c r="M27" s="381"/>
      <c r="N27" s="381"/>
      <c r="O27" s="385">
        <f t="shared" si="5"/>
        <v>500000</v>
      </c>
      <c r="P27" s="389"/>
      <c r="Q27" s="378"/>
    </row>
    <row r="28" spans="1:19" ht="27" customHeight="1" x14ac:dyDescent="0.25">
      <c r="A28" s="386"/>
      <c r="B28" s="379"/>
      <c r="C28" s="594" t="s">
        <v>4568</v>
      </c>
      <c r="D28" s="595"/>
      <c r="E28" s="596"/>
      <c r="F28" s="402"/>
      <c r="G28" s="381"/>
      <c r="H28" s="369"/>
      <c r="I28" s="403"/>
      <c r="J28" s="381"/>
      <c r="K28" s="388"/>
      <c r="L28" s="437">
        <v>200000</v>
      </c>
      <c r="M28" s="388"/>
      <c r="N28" s="388"/>
      <c r="O28" s="385">
        <f t="shared" si="5"/>
        <v>200000</v>
      </c>
      <c r="P28" s="389"/>
      <c r="Q28" s="378"/>
    </row>
    <row r="29" spans="1:19" ht="27" customHeight="1" x14ac:dyDescent="0.25">
      <c r="A29" s="386"/>
      <c r="B29" s="379"/>
      <c r="C29" s="594" t="s">
        <v>4569</v>
      </c>
      <c r="D29" s="595"/>
      <c r="E29" s="596"/>
      <c r="F29" s="402"/>
      <c r="G29" s="381"/>
      <c r="H29" s="369"/>
      <c r="I29" s="403"/>
      <c r="J29" s="381"/>
      <c r="K29" s="388"/>
      <c r="L29" s="388"/>
      <c r="M29" s="388"/>
      <c r="N29" s="437">
        <v>1409400</v>
      </c>
      <c r="O29" s="385">
        <f t="shared" si="5"/>
        <v>1409400</v>
      </c>
      <c r="P29" s="389"/>
      <c r="Q29" s="378"/>
    </row>
    <row r="30" spans="1:19" ht="27" customHeight="1" x14ac:dyDescent="0.25">
      <c r="A30" s="386"/>
      <c r="B30" s="379"/>
      <c r="C30" s="594" t="s">
        <v>4570</v>
      </c>
      <c r="D30" s="595"/>
      <c r="E30" s="596"/>
      <c r="F30" s="402"/>
      <c r="G30" s="381"/>
      <c r="H30" s="369"/>
      <c r="I30" s="403"/>
      <c r="J30" s="381"/>
      <c r="K30" s="388"/>
      <c r="L30" s="388"/>
      <c r="M30" s="437">
        <v>130000</v>
      </c>
      <c r="N30" s="388"/>
      <c r="O30" s="385">
        <f t="shared" si="5"/>
        <v>130000</v>
      </c>
      <c r="P30" s="389"/>
      <c r="Q30" s="378"/>
    </row>
    <row r="31" spans="1:19" ht="27" customHeight="1" x14ac:dyDescent="0.25">
      <c r="A31" s="386"/>
      <c r="B31" s="379"/>
      <c r="C31" s="594" t="s">
        <v>4571</v>
      </c>
      <c r="D31" s="595"/>
      <c r="E31" s="596"/>
      <c r="F31" s="402"/>
      <c r="G31" s="381"/>
      <c r="H31" s="369"/>
      <c r="I31" s="403"/>
      <c r="J31" s="381"/>
      <c r="K31" s="388"/>
      <c r="L31" s="437">
        <v>100000</v>
      </c>
      <c r="M31" s="388"/>
      <c r="N31" s="388"/>
      <c r="O31" s="385">
        <f t="shared" si="5"/>
        <v>100000</v>
      </c>
      <c r="P31" s="389"/>
      <c r="Q31" s="378"/>
    </row>
    <row r="32" spans="1:19" ht="27" customHeight="1" x14ac:dyDescent="0.25">
      <c r="A32" s="386"/>
      <c r="B32" s="379"/>
      <c r="C32" s="594" t="s">
        <v>4572</v>
      </c>
      <c r="D32" s="595"/>
      <c r="E32" s="596"/>
      <c r="F32" s="402"/>
      <c r="G32" s="381"/>
      <c r="H32" s="369"/>
      <c r="I32" s="403"/>
      <c r="J32" s="381"/>
      <c r="K32" s="388"/>
      <c r="L32" s="388"/>
      <c r="M32" s="437">
        <v>300000</v>
      </c>
      <c r="N32" s="388"/>
      <c r="O32" s="385">
        <f t="shared" si="5"/>
        <v>300000</v>
      </c>
      <c r="P32" s="389"/>
      <c r="Q32" s="378"/>
    </row>
    <row r="33" spans="1:18" ht="35.1" customHeight="1" x14ac:dyDescent="0.25">
      <c r="A33" s="386"/>
      <c r="B33" s="379"/>
      <c r="C33" s="594" t="s">
        <v>4566</v>
      </c>
      <c r="D33" s="595"/>
      <c r="E33" s="596"/>
      <c r="F33" s="402"/>
      <c r="G33" s="381"/>
      <c r="H33" s="369"/>
      <c r="I33" s="403"/>
      <c r="J33" s="381"/>
      <c r="K33" s="388"/>
      <c r="L33" s="437">
        <v>100000</v>
      </c>
      <c r="M33" s="388"/>
      <c r="N33" s="388"/>
      <c r="O33" s="385">
        <f t="shared" si="5"/>
        <v>100000</v>
      </c>
      <c r="P33" s="389"/>
      <c r="Q33" s="378"/>
    </row>
    <row r="34" spans="1:18" ht="35.1" customHeight="1" x14ac:dyDescent="0.25">
      <c r="A34" s="386"/>
      <c r="B34" s="379"/>
      <c r="C34" s="594" t="s">
        <v>4573</v>
      </c>
      <c r="D34" s="595"/>
      <c r="E34" s="596"/>
      <c r="F34" s="402"/>
      <c r="G34" s="381"/>
      <c r="H34" s="369"/>
      <c r="I34" s="403"/>
      <c r="J34" s="381"/>
      <c r="K34" s="388"/>
      <c r="L34" s="437">
        <v>900000</v>
      </c>
      <c r="M34" s="388"/>
      <c r="N34" s="388"/>
      <c r="O34" s="385">
        <f t="shared" si="5"/>
        <v>900000</v>
      </c>
      <c r="P34" s="389"/>
      <c r="Q34" s="378"/>
    </row>
    <row r="35" spans="1:18" ht="35.1" customHeight="1" x14ac:dyDescent="0.25">
      <c r="A35" s="386"/>
      <c r="B35" s="379"/>
      <c r="C35" s="594" t="s">
        <v>4574</v>
      </c>
      <c r="D35" s="595"/>
      <c r="E35" s="596"/>
      <c r="F35" s="402"/>
      <c r="G35" s="381"/>
      <c r="H35" s="369"/>
      <c r="I35" s="403"/>
      <c r="J35" s="381"/>
      <c r="K35" s="388"/>
      <c r="L35" s="437">
        <v>200000</v>
      </c>
      <c r="M35" s="388"/>
      <c r="N35" s="388"/>
      <c r="O35" s="385">
        <f t="shared" si="5"/>
        <v>200000</v>
      </c>
      <c r="P35" s="389"/>
      <c r="Q35" s="378"/>
    </row>
    <row r="36" spans="1:18" ht="35.1" customHeight="1" x14ac:dyDescent="0.25">
      <c r="A36" s="386"/>
      <c r="B36" s="379"/>
      <c r="C36" s="594" t="s">
        <v>4575</v>
      </c>
      <c r="D36" s="595"/>
      <c r="E36" s="596"/>
      <c r="F36" s="402"/>
      <c r="G36" s="381"/>
      <c r="H36" s="369"/>
      <c r="I36" s="403"/>
      <c r="J36" s="381"/>
      <c r="K36" s="388"/>
      <c r="L36" s="437">
        <v>5410000</v>
      </c>
      <c r="M36" s="388"/>
      <c r="N36" s="388"/>
      <c r="O36" s="385">
        <f t="shared" si="5"/>
        <v>5410000</v>
      </c>
      <c r="P36" s="389"/>
      <c r="Q36" s="378"/>
    </row>
    <row r="37" spans="1:18" ht="35.1" customHeight="1" x14ac:dyDescent="0.25">
      <c r="A37" s="386"/>
      <c r="B37" s="379"/>
      <c r="C37" s="594" t="s">
        <v>4576</v>
      </c>
      <c r="D37" s="595"/>
      <c r="E37" s="596"/>
      <c r="F37" s="402"/>
      <c r="G37" s="381"/>
      <c r="H37" s="369"/>
      <c r="I37" s="403"/>
      <c r="J37" s="381"/>
      <c r="K37" s="388"/>
      <c r="L37" s="437">
        <v>2000000</v>
      </c>
      <c r="M37" s="388"/>
      <c r="N37" s="388"/>
      <c r="O37" s="385">
        <f t="shared" si="5"/>
        <v>2000000</v>
      </c>
      <c r="P37" s="389"/>
      <c r="Q37" s="378"/>
    </row>
    <row r="38" spans="1:18" ht="35.1" customHeight="1" x14ac:dyDescent="0.25">
      <c r="A38" s="386"/>
      <c r="B38" s="379"/>
      <c r="C38" s="594" t="s">
        <v>4577</v>
      </c>
      <c r="D38" s="595"/>
      <c r="E38" s="596"/>
      <c r="F38" s="402"/>
      <c r="G38" s="381"/>
      <c r="H38" s="369"/>
      <c r="I38" s="403"/>
      <c r="J38" s="381"/>
      <c r="K38" s="388"/>
      <c r="L38" s="388"/>
      <c r="M38" s="437">
        <f>9800000+500000</f>
        <v>10300000</v>
      </c>
      <c r="N38" s="388"/>
      <c r="O38" s="385">
        <f t="shared" si="5"/>
        <v>10300000</v>
      </c>
      <c r="P38" s="389"/>
      <c r="Q38" s="378"/>
    </row>
    <row r="39" spans="1:18" ht="35.1" customHeight="1" x14ac:dyDescent="0.25">
      <c r="A39" s="386"/>
      <c r="B39" s="379"/>
      <c r="C39" s="594" t="s">
        <v>4579</v>
      </c>
      <c r="D39" s="595"/>
      <c r="E39" s="596"/>
      <c r="F39" s="402"/>
      <c r="G39" s="381"/>
      <c r="H39" s="369"/>
      <c r="I39" s="403"/>
      <c r="J39" s="381"/>
      <c r="K39" s="388"/>
      <c r="L39" s="388"/>
      <c r="M39" s="381"/>
      <c r="N39" s="437">
        <v>3375000</v>
      </c>
      <c r="O39" s="385">
        <f t="shared" si="5"/>
        <v>3375000</v>
      </c>
      <c r="P39" s="389"/>
      <c r="Q39" s="378"/>
    </row>
    <row r="40" spans="1:18" ht="18" customHeight="1" x14ac:dyDescent="0.25">
      <c r="A40" s="386"/>
      <c r="B40" s="391"/>
      <c r="C40" s="579" t="s">
        <v>4333</v>
      </c>
      <c r="D40" s="580"/>
      <c r="E40" s="581"/>
      <c r="F40" s="461"/>
      <c r="G40" s="381"/>
      <c r="H40" s="369"/>
      <c r="I40" s="403"/>
      <c r="J40" s="381"/>
      <c r="K40" s="439">
        <v>8300000</v>
      </c>
      <c r="L40" s="394"/>
      <c r="M40" s="381"/>
      <c r="N40" s="381"/>
      <c r="O40" s="362">
        <f t="shared" si="5"/>
        <v>8300000</v>
      </c>
      <c r="P40" s="389"/>
      <c r="Q40" s="378"/>
    </row>
    <row r="41" spans="1:18" x14ac:dyDescent="0.25">
      <c r="A41" s="576" t="s">
        <v>19</v>
      </c>
      <c r="B41" s="577"/>
      <c r="C41" s="577"/>
      <c r="D41" s="577"/>
      <c r="E41" s="577"/>
      <c r="F41" s="578"/>
      <c r="G41" s="395">
        <f>SUM(G8:G40)</f>
        <v>3834</v>
      </c>
      <c r="H41" s="396">
        <f t="shared" ref="H41:P41" si="6">SUM(H7:H40)</f>
        <v>91157270</v>
      </c>
      <c r="I41" s="396">
        <f t="shared" si="6"/>
        <v>0</v>
      </c>
      <c r="J41" s="396">
        <f t="shared" si="6"/>
        <v>32860000</v>
      </c>
      <c r="K41" s="396">
        <f t="shared" si="6"/>
        <v>25148000</v>
      </c>
      <c r="L41" s="396">
        <f t="shared" si="6"/>
        <v>9410000</v>
      </c>
      <c r="M41" s="396">
        <f t="shared" si="6"/>
        <v>10730000</v>
      </c>
      <c r="N41" s="396">
        <f t="shared" si="6"/>
        <v>4784400</v>
      </c>
      <c r="O41" s="396">
        <f t="shared" si="6"/>
        <v>174089670</v>
      </c>
      <c r="P41" s="397">
        <f t="shared" si="6"/>
        <v>223020927</v>
      </c>
      <c r="Q41" s="396">
        <f>P41-O41</f>
        <v>48931257</v>
      </c>
      <c r="R41" s="195"/>
    </row>
    <row r="42" spans="1:18" x14ac:dyDescent="0.25">
      <c r="P42" s="294"/>
      <c r="Q42" s="295"/>
    </row>
    <row r="43" spans="1:18" x14ac:dyDescent="0.25">
      <c r="B43"/>
      <c r="G43"/>
      <c r="H43" s="294"/>
      <c r="P43" s="296" t="s">
        <v>1225</v>
      </c>
      <c r="Q43" s="295">
        <f>'08.2022'!Q41+'09.2022'!Q41</f>
        <v>271365353.61538458</v>
      </c>
    </row>
    <row r="44" spans="1:18" x14ac:dyDescent="0.25">
      <c r="B44"/>
      <c r="G44"/>
      <c r="Q44" s="294"/>
    </row>
    <row r="45" spans="1:18" x14ac:dyDescent="0.25">
      <c r="B45"/>
      <c r="G45"/>
      <c r="R45" s="195"/>
    </row>
  </sheetData>
  <mergeCells count="21">
    <mergeCell ref="C33:E33"/>
    <mergeCell ref="C40:E40"/>
    <mergeCell ref="A41:F41"/>
    <mergeCell ref="C34:E34"/>
    <mergeCell ref="C38:E38"/>
    <mergeCell ref="C39:E39"/>
    <mergeCell ref="C35:E35"/>
    <mergeCell ref="C36:E36"/>
    <mergeCell ref="C37:E37"/>
    <mergeCell ref="C32:E32"/>
    <mergeCell ref="A1:Q1"/>
    <mergeCell ref="A2:Q2"/>
    <mergeCell ref="A3:Q3"/>
    <mergeCell ref="G5:N5"/>
    <mergeCell ref="C25:E25"/>
    <mergeCell ref="C26:E26"/>
    <mergeCell ref="C27:E27"/>
    <mergeCell ref="C28:E28"/>
    <mergeCell ref="C29:E29"/>
    <mergeCell ref="C30:E30"/>
    <mergeCell ref="C31:E31"/>
  </mergeCells>
  <pageMargins left="0.7" right="0.7" top="0.75" bottom="0.75" header="0.3" footer="0.3"/>
  <pageSetup paperSize="9" orientation="portrait" horizontalDpi="0" verticalDpi="0"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9F83C-DD70-4C16-9798-C818E3C85BA9}">
  <dimension ref="A1:S47"/>
  <sheetViews>
    <sheetView topLeftCell="A32" workbookViewId="0">
      <selection activeCell="P8" sqref="P8"/>
    </sheetView>
  </sheetViews>
  <sheetFormatPr defaultColWidth="9.140625"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4581</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19"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19" x14ac:dyDescent="0.25">
      <c r="A7" s="75"/>
      <c r="B7" s="100"/>
      <c r="C7" s="88"/>
      <c r="D7" s="88"/>
      <c r="E7" s="134"/>
      <c r="F7" s="75"/>
      <c r="G7" s="264"/>
      <c r="H7" s="264"/>
      <c r="I7" s="264"/>
      <c r="J7" s="264"/>
      <c r="K7" s="264"/>
      <c r="L7" s="308"/>
      <c r="M7" s="264"/>
      <c r="N7" s="264"/>
      <c r="O7" s="265"/>
      <c r="P7" s="265"/>
      <c r="Q7" s="264"/>
    </row>
    <row r="8" spans="1:19" ht="21.75" customHeight="1" x14ac:dyDescent="0.25">
      <c r="A8" s="470">
        <v>1</v>
      </c>
      <c r="B8" s="472">
        <v>44837</v>
      </c>
      <c r="C8" s="366" t="s">
        <v>4582</v>
      </c>
      <c r="D8" s="367" t="s">
        <v>4598</v>
      </c>
      <c r="E8" s="354" t="s">
        <v>4590</v>
      </c>
      <c r="F8" s="368"/>
      <c r="G8" s="369">
        <v>157</v>
      </c>
      <c r="H8" s="358">
        <f>G8*22200</f>
        <v>3485400</v>
      </c>
      <c r="I8" s="358"/>
      <c r="J8" s="358">
        <v>1230000</v>
      </c>
      <c r="K8" s="371"/>
      <c r="L8" s="372"/>
      <c r="M8" s="358"/>
      <c r="N8" s="358"/>
      <c r="O8" s="358">
        <f>H8+J8+K8+L8+M8+N8</f>
        <v>4715400</v>
      </c>
      <c r="P8" s="491">
        <v>4487963</v>
      </c>
      <c r="Q8" s="358">
        <f>P8-O8</f>
        <v>-227437</v>
      </c>
      <c r="R8" s="195"/>
      <c r="S8" s="195"/>
    </row>
    <row r="9" spans="1:19" ht="21.75" customHeight="1" x14ac:dyDescent="0.25">
      <c r="A9" s="350">
        <v>2</v>
      </c>
      <c r="B9" s="482">
        <v>44838</v>
      </c>
      <c r="C9" s="366" t="s">
        <v>4583</v>
      </c>
      <c r="D9" s="415" t="s">
        <v>4599</v>
      </c>
      <c r="E9" s="354" t="s">
        <v>2445</v>
      </c>
      <c r="F9" s="368"/>
      <c r="G9" s="369">
        <v>121</v>
      </c>
      <c r="H9" s="358">
        <f t="shared" ref="H9:H11" si="0">G9*22200</f>
        <v>2686200</v>
      </c>
      <c r="I9" s="358"/>
      <c r="J9" s="358">
        <v>790000</v>
      </c>
      <c r="K9" s="371"/>
      <c r="L9" s="372"/>
      <c r="M9" s="358"/>
      <c r="N9" s="358"/>
      <c r="O9" s="358">
        <f t="shared" ref="O9:O27" si="1">H9+J9+K9+L9+M9+N9</f>
        <v>3476200</v>
      </c>
      <c r="P9" s="385">
        <v>5640000</v>
      </c>
      <c r="Q9" s="358">
        <f t="shared" ref="Q9:Q27" si="2">P9-O9</f>
        <v>2163800</v>
      </c>
      <c r="R9" s="195"/>
      <c r="S9" s="195"/>
    </row>
    <row r="10" spans="1:19" ht="21.75" customHeight="1" x14ac:dyDescent="0.25">
      <c r="A10" s="350">
        <v>3</v>
      </c>
      <c r="B10" s="482">
        <v>44838</v>
      </c>
      <c r="C10" s="366" t="s">
        <v>3328</v>
      </c>
      <c r="D10" s="367" t="s">
        <v>4600</v>
      </c>
      <c r="E10" s="354" t="s">
        <v>4591</v>
      </c>
      <c r="F10" s="368"/>
      <c r="G10" s="369">
        <v>61</v>
      </c>
      <c r="H10" s="358">
        <f t="shared" si="0"/>
        <v>1354200</v>
      </c>
      <c r="I10" s="358"/>
      <c r="J10" s="358">
        <v>430000</v>
      </c>
      <c r="K10" s="371"/>
      <c r="L10" s="372"/>
      <c r="M10" s="358"/>
      <c r="N10" s="358"/>
      <c r="O10" s="358">
        <f t="shared" si="1"/>
        <v>1784200</v>
      </c>
      <c r="P10" s="385">
        <v>3290000</v>
      </c>
      <c r="Q10" s="358">
        <f t="shared" si="2"/>
        <v>1505800</v>
      </c>
      <c r="R10" s="195"/>
      <c r="S10" s="195"/>
    </row>
    <row r="11" spans="1:19" ht="21.75" customHeight="1" x14ac:dyDescent="0.25">
      <c r="A11" s="350">
        <v>4</v>
      </c>
      <c r="B11" s="482">
        <v>44839</v>
      </c>
      <c r="C11" s="366" t="s">
        <v>3329</v>
      </c>
      <c r="D11" s="367" t="s">
        <v>4601</v>
      </c>
      <c r="E11" s="354" t="s">
        <v>4504</v>
      </c>
      <c r="F11" s="368"/>
      <c r="G11" s="369">
        <v>376</v>
      </c>
      <c r="H11" s="358">
        <f t="shared" si="0"/>
        <v>8347200</v>
      </c>
      <c r="I11" s="358"/>
      <c r="J11" s="358">
        <v>3020000</v>
      </c>
      <c r="K11" s="371"/>
      <c r="L11" s="372"/>
      <c r="M11" s="358"/>
      <c r="N11" s="358"/>
      <c r="O11" s="358">
        <f t="shared" si="1"/>
        <v>11367200</v>
      </c>
      <c r="P11" s="385">
        <v>21400000</v>
      </c>
      <c r="Q11" s="358">
        <f t="shared" si="2"/>
        <v>10032800</v>
      </c>
      <c r="R11" s="195"/>
      <c r="S11" s="195"/>
    </row>
    <row r="12" spans="1:19" ht="21.75" customHeight="1" x14ac:dyDescent="0.25">
      <c r="A12" s="350">
        <v>5</v>
      </c>
      <c r="B12" s="482">
        <v>44841</v>
      </c>
      <c r="C12" s="366" t="s">
        <v>4003</v>
      </c>
      <c r="D12" s="367" t="s">
        <v>4602</v>
      </c>
      <c r="E12" s="354" t="s">
        <v>4592</v>
      </c>
      <c r="F12" s="368"/>
      <c r="G12" s="369">
        <v>393</v>
      </c>
      <c r="H12" s="358">
        <f>G12*22200</f>
        <v>8724600</v>
      </c>
      <c r="I12" s="358"/>
      <c r="J12" s="358">
        <f>3020000+300000</f>
        <v>3320000</v>
      </c>
      <c r="K12" s="371"/>
      <c r="L12" s="372"/>
      <c r="M12" s="358"/>
      <c r="N12" s="358"/>
      <c r="O12" s="358">
        <f t="shared" si="1"/>
        <v>12044600</v>
      </c>
      <c r="P12" s="385">
        <v>22788889</v>
      </c>
      <c r="Q12" s="358">
        <f t="shared" si="2"/>
        <v>10744289</v>
      </c>
      <c r="R12" s="195"/>
      <c r="S12" s="195">
        <v>68</v>
      </c>
    </row>
    <row r="13" spans="1:19" ht="21.75" customHeight="1" x14ac:dyDescent="0.25">
      <c r="A13" s="350">
        <v>6</v>
      </c>
      <c r="B13" s="482">
        <v>44844</v>
      </c>
      <c r="C13" s="366" t="s">
        <v>4584</v>
      </c>
      <c r="D13" s="367" t="s">
        <v>4603</v>
      </c>
      <c r="E13" s="354" t="s">
        <v>4246</v>
      </c>
      <c r="F13" s="368"/>
      <c r="G13" s="369">
        <v>265</v>
      </c>
      <c r="H13" s="358">
        <f>G13*24180</f>
        <v>6407700</v>
      </c>
      <c r="I13" s="358"/>
      <c r="J13" s="358">
        <v>1360000</v>
      </c>
      <c r="K13" s="371"/>
      <c r="L13" s="372"/>
      <c r="M13" s="358"/>
      <c r="N13" s="358"/>
      <c r="O13" s="358">
        <f t="shared" si="1"/>
        <v>7767700</v>
      </c>
      <c r="P13" s="385">
        <v>11500000</v>
      </c>
      <c r="Q13" s="358">
        <f t="shared" si="2"/>
        <v>3732300</v>
      </c>
      <c r="R13" s="195"/>
      <c r="S13" s="195"/>
    </row>
    <row r="14" spans="1:19" ht="21.75" customHeight="1" x14ac:dyDescent="0.25">
      <c r="A14" s="350">
        <v>7</v>
      </c>
      <c r="B14" s="482">
        <v>44846</v>
      </c>
      <c r="C14" s="366" t="s">
        <v>2740</v>
      </c>
      <c r="D14" s="367" t="s">
        <v>4604</v>
      </c>
      <c r="E14" s="354" t="s">
        <v>4593</v>
      </c>
      <c r="F14" s="368"/>
      <c r="G14" s="369">
        <v>60</v>
      </c>
      <c r="H14" s="358">
        <f t="shared" ref="H14:H21" si="3">G14*24180</f>
        <v>1450800</v>
      </c>
      <c r="I14" s="358"/>
      <c r="J14" s="358">
        <v>340000</v>
      </c>
      <c r="K14" s="371"/>
      <c r="L14" s="372"/>
      <c r="M14" s="358"/>
      <c r="N14" s="358"/>
      <c r="O14" s="358">
        <f t="shared" si="1"/>
        <v>1790800</v>
      </c>
      <c r="P14" s="385">
        <v>3500000</v>
      </c>
      <c r="Q14" s="358">
        <f t="shared" si="2"/>
        <v>1709200</v>
      </c>
      <c r="R14" s="195"/>
      <c r="S14" s="195"/>
    </row>
    <row r="15" spans="1:19" ht="21.75" customHeight="1" x14ac:dyDescent="0.25">
      <c r="A15" s="350">
        <v>8</v>
      </c>
      <c r="B15" s="482">
        <v>44846</v>
      </c>
      <c r="C15" s="366" t="s">
        <v>659</v>
      </c>
      <c r="D15" s="367" t="s">
        <v>4605</v>
      </c>
      <c r="E15" s="354" t="s">
        <v>4594</v>
      </c>
      <c r="F15" s="368"/>
      <c r="G15" s="369">
        <v>239</v>
      </c>
      <c r="H15" s="358">
        <f t="shared" si="3"/>
        <v>5779020</v>
      </c>
      <c r="I15" s="358"/>
      <c r="J15" s="358">
        <v>2130000</v>
      </c>
      <c r="K15" s="371"/>
      <c r="L15" s="372"/>
      <c r="M15" s="358"/>
      <c r="N15" s="358"/>
      <c r="O15" s="358">
        <f t="shared" si="1"/>
        <v>7909020</v>
      </c>
      <c r="P15" s="385">
        <v>12950000</v>
      </c>
      <c r="Q15" s="358">
        <f t="shared" si="2"/>
        <v>5040980</v>
      </c>
      <c r="R15" s="195"/>
      <c r="S15" s="195"/>
    </row>
    <row r="16" spans="1:19" ht="21.75" customHeight="1" x14ac:dyDescent="0.25">
      <c r="A16" s="350">
        <v>9</v>
      </c>
      <c r="B16" s="482">
        <v>44847</v>
      </c>
      <c r="C16" s="366" t="s">
        <v>1399</v>
      </c>
      <c r="D16" s="367" t="s">
        <v>4606</v>
      </c>
      <c r="E16" s="354" t="s">
        <v>2959</v>
      </c>
      <c r="F16" s="368"/>
      <c r="G16" s="369">
        <v>58</v>
      </c>
      <c r="H16" s="358">
        <f t="shared" si="3"/>
        <v>1402440</v>
      </c>
      <c r="I16" s="358"/>
      <c r="J16" s="358">
        <v>430000</v>
      </c>
      <c r="K16" s="371"/>
      <c r="L16" s="372"/>
      <c r="M16" s="358"/>
      <c r="N16" s="358"/>
      <c r="O16" s="358">
        <f t="shared" si="1"/>
        <v>1832440</v>
      </c>
      <c r="P16" s="385">
        <v>3160000</v>
      </c>
      <c r="Q16" s="358">
        <f t="shared" si="2"/>
        <v>1327560</v>
      </c>
      <c r="R16" s="195"/>
      <c r="S16" s="195"/>
    </row>
    <row r="17" spans="1:19" ht="21.75" customHeight="1" x14ac:dyDescent="0.25">
      <c r="A17" s="350">
        <v>10</v>
      </c>
      <c r="B17" s="482">
        <v>44848</v>
      </c>
      <c r="C17" s="366" t="s">
        <v>1400</v>
      </c>
      <c r="D17" s="367" t="s">
        <v>4607</v>
      </c>
      <c r="E17" s="354" t="s">
        <v>1023</v>
      </c>
      <c r="F17" s="368"/>
      <c r="G17" s="369">
        <v>111</v>
      </c>
      <c r="H17" s="358">
        <f t="shared" si="3"/>
        <v>2683980</v>
      </c>
      <c r="I17" s="358"/>
      <c r="J17" s="358">
        <v>790000</v>
      </c>
      <c r="K17" s="371"/>
      <c r="L17" s="372"/>
      <c r="M17" s="358"/>
      <c r="N17" s="358"/>
      <c r="O17" s="358">
        <f t="shared" si="1"/>
        <v>3473980</v>
      </c>
      <c r="P17" s="385">
        <v>5650000</v>
      </c>
      <c r="Q17" s="358">
        <f t="shared" si="2"/>
        <v>2176020</v>
      </c>
      <c r="R17" s="195"/>
      <c r="S17" s="195"/>
    </row>
    <row r="18" spans="1:19" ht="21.75" customHeight="1" x14ac:dyDescent="0.25">
      <c r="A18" s="350">
        <v>11</v>
      </c>
      <c r="B18" s="482">
        <v>44851</v>
      </c>
      <c r="C18" s="366" t="s">
        <v>1401</v>
      </c>
      <c r="D18" s="367" t="s">
        <v>4608</v>
      </c>
      <c r="E18" s="354" t="s">
        <v>24</v>
      </c>
      <c r="F18" s="368"/>
      <c r="G18" s="369">
        <v>187</v>
      </c>
      <c r="H18" s="358">
        <f t="shared" si="3"/>
        <v>4521660</v>
      </c>
      <c r="I18" s="358"/>
      <c r="J18" s="358">
        <v>1530000</v>
      </c>
      <c r="K18" s="371"/>
      <c r="L18" s="372"/>
      <c r="M18" s="358"/>
      <c r="N18" s="358"/>
      <c r="O18" s="358">
        <f t="shared" si="1"/>
        <v>6051660</v>
      </c>
      <c r="P18" s="385">
        <v>9300000</v>
      </c>
      <c r="Q18" s="358">
        <f t="shared" si="2"/>
        <v>3248340</v>
      </c>
      <c r="R18" s="195"/>
      <c r="S18" s="195"/>
    </row>
    <row r="19" spans="1:19" ht="21.75" customHeight="1" x14ac:dyDescent="0.25">
      <c r="A19" s="470">
        <v>12</v>
      </c>
      <c r="B19" s="487">
        <v>44851</v>
      </c>
      <c r="C19" s="366" t="s">
        <v>4585</v>
      </c>
      <c r="D19" s="367" t="s">
        <v>4609</v>
      </c>
      <c r="E19" s="354" t="s">
        <v>24</v>
      </c>
      <c r="F19" s="461"/>
      <c r="G19" s="369">
        <v>180</v>
      </c>
      <c r="H19" s="358">
        <f t="shared" si="3"/>
        <v>4352400</v>
      </c>
      <c r="I19" s="381"/>
      <c r="J19" s="381">
        <v>1530000</v>
      </c>
      <c r="K19" s="371"/>
      <c r="L19" s="372"/>
      <c r="M19" s="381"/>
      <c r="N19" s="381"/>
      <c r="O19" s="358">
        <f t="shared" si="1"/>
        <v>5882400</v>
      </c>
      <c r="P19" s="385">
        <v>9300000</v>
      </c>
      <c r="Q19" s="358">
        <f t="shared" si="2"/>
        <v>3417600</v>
      </c>
      <c r="R19" s="195"/>
      <c r="S19" s="195"/>
    </row>
    <row r="20" spans="1:19" ht="21.75" customHeight="1" x14ac:dyDescent="0.25">
      <c r="A20" s="350">
        <v>13</v>
      </c>
      <c r="B20" s="487">
        <v>44852</v>
      </c>
      <c r="C20" s="366" t="s">
        <v>2081</v>
      </c>
      <c r="D20" s="367" t="s">
        <v>4610</v>
      </c>
      <c r="E20" s="354" t="s">
        <v>24</v>
      </c>
      <c r="F20" s="461"/>
      <c r="G20" s="369">
        <v>193</v>
      </c>
      <c r="H20" s="358">
        <f t="shared" si="3"/>
        <v>4666740</v>
      </c>
      <c r="I20" s="381"/>
      <c r="J20" s="381">
        <v>1530000</v>
      </c>
      <c r="K20" s="371"/>
      <c r="L20" s="372"/>
      <c r="M20" s="381"/>
      <c r="N20" s="381"/>
      <c r="O20" s="358">
        <f t="shared" si="1"/>
        <v>6196740</v>
      </c>
      <c r="P20" s="385">
        <v>9707407</v>
      </c>
      <c r="Q20" s="358">
        <f t="shared" si="2"/>
        <v>3510667</v>
      </c>
      <c r="R20" s="195"/>
      <c r="S20" s="195"/>
    </row>
    <row r="21" spans="1:19" ht="21.75" customHeight="1" x14ac:dyDescent="0.25">
      <c r="A21" s="350">
        <v>14</v>
      </c>
      <c r="B21" s="487">
        <v>44853</v>
      </c>
      <c r="C21" s="366" t="s">
        <v>4586</v>
      </c>
      <c r="D21" s="367" t="s">
        <v>4611</v>
      </c>
      <c r="E21" s="354" t="s">
        <v>301</v>
      </c>
      <c r="F21" s="461"/>
      <c r="G21" s="369">
        <v>340</v>
      </c>
      <c r="H21" s="358">
        <f t="shared" si="3"/>
        <v>8221200</v>
      </c>
      <c r="I21" s="381"/>
      <c r="J21" s="381">
        <v>3460000</v>
      </c>
      <c r="K21" s="371"/>
      <c r="L21" s="372"/>
      <c r="M21" s="381"/>
      <c r="N21" s="381"/>
      <c r="O21" s="358">
        <f t="shared" si="1"/>
        <v>11681200</v>
      </c>
      <c r="P21" s="385">
        <v>18194444</v>
      </c>
      <c r="Q21" s="358">
        <f t="shared" si="2"/>
        <v>6513244</v>
      </c>
      <c r="R21" s="195"/>
      <c r="S21" s="195"/>
    </row>
    <row r="22" spans="1:19" ht="21.75" customHeight="1" x14ac:dyDescent="0.25">
      <c r="A22" s="350">
        <v>15</v>
      </c>
      <c r="B22" s="487">
        <v>44856</v>
      </c>
      <c r="C22" s="366" t="s">
        <v>2085</v>
      </c>
      <c r="D22" s="367" t="s">
        <v>4612</v>
      </c>
      <c r="E22" s="354" t="s">
        <v>1023</v>
      </c>
      <c r="F22" s="461"/>
      <c r="G22" s="369">
        <v>111</v>
      </c>
      <c r="H22" s="358">
        <f>G22*24780</f>
        <v>2750580</v>
      </c>
      <c r="I22" s="381"/>
      <c r="J22" s="381">
        <v>790000</v>
      </c>
      <c r="K22" s="371"/>
      <c r="L22" s="372"/>
      <c r="M22" s="381"/>
      <c r="N22" s="381"/>
      <c r="O22" s="358">
        <f t="shared" si="1"/>
        <v>3540580</v>
      </c>
      <c r="P22" s="385">
        <v>5650000</v>
      </c>
      <c r="Q22" s="358">
        <f t="shared" si="2"/>
        <v>2109420</v>
      </c>
      <c r="R22" s="195"/>
      <c r="S22" s="195"/>
    </row>
    <row r="23" spans="1:19" ht="21.75" customHeight="1" x14ac:dyDescent="0.25">
      <c r="A23" s="350">
        <v>16</v>
      </c>
      <c r="B23" s="487">
        <v>44859</v>
      </c>
      <c r="C23" s="366" t="s">
        <v>4587</v>
      </c>
      <c r="D23" s="367" t="s">
        <v>4613</v>
      </c>
      <c r="E23" s="354" t="s">
        <v>4595</v>
      </c>
      <c r="F23" s="461"/>
      <c r="G23" s="369">
        <v>94</v>
      </c>
      <c r="H23" s="358">
        <f t="shared" ref="H23:H26" si="4">G23*24780</f>
        <v>2329320</v>
      </c>
      <c r="I23" s="381"/>
      <c r="J23" s="381">
        <v>790000</v>
      </c>
      <c r="K23" s="371"/>
      <c r="L23" s="372"/>
      <c r="M23" s="381"/>
      <c r="N23" s="381"/>
      <c r="O23" s="358">
        <f t="shared" si="1"/>
        <v>3119320</v>
      </c>
      <c r="P23" s="385">
        <v>4700000</v>
      </c>
      <c r="Q23" s="358">
        <f t="shared" si="2"/>
        <v>1580680</v>
      </c>
      <c r="R23" s="195"/>
      <c r="S23" s="195"/>
    </row>
    <row r="24" spans="1:19" ht="21.75" customHeight="1" x14ac:dyDescent="0.25">
      <c r="A24" s="470">
        <v>17</v>
      </c>
      <c r="B24" s="487">
        <v>44860</v>
      </c>
      <c r="C24" s="366" t="s">
        <v>1405</v>
      </c>
      <c r="D24" s="367" t="s">
        <v>4614</v>
      </c>
      <c r="E24" s="354" t="s">
        <v>21</v>
      </c>
      <c r="F24" s="461"/>
      <c r="G24" s="369">
        <v>240</v>
      </c>
      <c r="H24" s="358">
        <f t="shared" si="4"/>
        <v>5947200</v>
      </c>
      <c r="I24" s="381"/>
      <c r="J24" s="381">
        <v>2200000</v>
      </c>
      <c r="K24" s="371"/>
      <c r="L24" s="372"/>
      <c r="M24" s="381"/>
      <c r="N24" s="381"/>
      <c r="O24" s="358">
        <f t="shared" si="1"/>
        <v>8147200</v>
      </c>
      <c r="P24" s="385">
        <v>14861111</v>
      </c>
      <c r="Q24" s="358">
        <f t="shared" si="2"/>
        <v>6713911</v>
      </c>
      <c r="R24" s="195"/>
      <c r="S24" s="195"/>
    </row>
    <row r="25" spans="1:19" ht="21.75" customHeight="1" x14ac:dyDescent="0.25">
      <c r="A25" s="350">
        <v>18</v>
      </c>
      <c r="B25" s="487">
        <v>44860</v>
      </c>
      <c r="C25" s="366" t="s">
        <v>4588</v>
      </c>
      <c r="D25" s="367" t="s">
        <v>4615</v>
      </c>
      <c r="E25" s="354" t="s">
        <v>4596</v>
      </c>
      <c r="F25" s="461"/>
      <c r="G25" s="369"/>
      <c r="H25" s="358">
        <f t="shared" si="4"/>
        <v>0</v>
      </c>
      <c r="I25" s="381"/>
      <c r="J25" s="381">
        <v>500000</v>
      </c>
      <c r="K25" s="371"/>
      <c r="L25" s="372"/>
      <c r="M25" s="381"/>
      <c r="N25" s="381"/>
      <c r="O25" s="358">
        <f t="shared" si="1"/>
        <v>500000</v>
      </c>
      <c r="P25" s="385">
        <v>3300000</v>
      </c>
      <c r="Q25" s="358">
        <f t="shared" si="2"/>
        <v>2800000</v>
      </c>
      <c r="R25" s="195"/>
      <c r="S25" s="195"/>
    </row>
    <row r="26" spans="1:19" ht="21.75" customHeight="1" x14ac:dyDescent="0.25">
      <c r="A26" s="350">
        <v>19</v>
      </c>
      <c r="B26" s="487">
        <v>44860</v>
      </c>
      <c r="C26" s="366" t="s">
        <v>4589</v>
      </c>
      <c r="D26" s="367" t="s">
        <v>4615</v>
      </c>
      <c r="E26" s="354" t="s">
        <v>4432</v>
      </c>
      <c r="F26" s="461"/>
      <c r="G26" s="369">
        <v>399</v>
      </c>
      <c r="H26" s="358">
        <f t="shared" si="4"/>
        <v>9887220</v>
      </c>
      <c r="I26" s="381"/>
      <c r="J26" s="381">
        <v>3055000</v>
      </c>
      <c r="K26" s="371"/>
      <c r="L26" s="372"/>
      <c r="M26" s="381"/>
      <c r="N26" s="381"/>
      <c r="O26" s="358">
        <f t="shared" si="1"/>
        <v>12942220</v>
      </c>
      <c r="P26" s="385">
        <v>22350000</v>
      </c>
      <c r="Q26" s="358">
        <f t="shared" si="2"/>
        <v>9407780</v>
      </c>
      <c r="R26" s="195"/>
      <c r="S26" s="195"/>
    </row>
    <row r="27" spans="1:19" ht="21.75" customHeight="1" x14ac:dyDescent="0.25">
      <c r="A27" s="350">
        <v>20</v>
      </c>
      <c r="B27" s="487">
        <v>44863</v>
      </c>
      <c r="C27" s="366" t="s">
        <v>2089</v>
      </c>
      <c r="D27" s="367" t="s">
        <v>4616</v>
      </c>
      <c r="E27" s="354" t="s">
        <v>4597</v>
      </c>
      <c r="F27" s="461"/>
      <c r="G27" s="369">
        <v>386</v>
      </c>
      <c r="H27" s="358">
        <f>G27*24780</f>
        <v>9565080</v>
      </c>
      <c r="I27" s="381"/>
      <c r="J27" s="381">
        <v>3448000</v>
      </c>
      <c r="K27" s="371"/>
      <c r="L27" s="372"/>
      <c r="M27" s="381"/>
      <c r="N27" s="381"/>
      <c r="O27" s="358">
        <f t="shared" si="1"/>
        <v>13013080</v>
      </c>
      <c r="P27" s="385">
        <v>23925926</v>
      </c>
      <c r="Q27" s="358">
        <f t="shared" si="2"/>
        <v>10912846</v>
      </c>
      <c r="R27" s="195"/>
      <c r="S27" s="195"/>
    </row>
    <row r="28" spans="1:19" ht="27" customHeight="1" x14ac:dyDescent="0.25">
      <c r="A28" s="374"/>
      <c r="B28" s="488"/>
      <c r="C28" s="609" t="s">
        <v>1273</v>
      </c>
      <c r="D28" s="609"/>
      <c r="E28" s="609"/>
      <c r="F28" s="402"/>
      <c r="G28" s="358"/>
      <c r="H28" s="369"/>
      <c r="I28" s="489"/>
      <c r="J28" s="381"/>
      <c r="K28" s="435">
        <v>1200000</v>
      </c>
      <c r="L28" s="372"/>
      <c r="M28" s="381"/>
      <c r="N28" s="381"/>
      <c r="O28" s="385">
        <f>H28+J28+K28+L28+M28+N28</f>
        <v>1200000</v>
      </c>
      <c r="P28" s="385"/>
      <c r="Q28" s="385"/>
    </row>
    <row r="29" spans="1:19" ht="27" customHeight="1" x14ac:dyDescent="0.25">
      <c r="A29" s="386"/>
      <c r="B29" s="379"/>
      <c r="C29" s="594" t="s">
        <v>4535</v>
      </c>
      <c r="D29" s="595"/>
      <c r="E29" s="596"/>
      <c r="F29" s="402"/>
      <c r="G29" s="381"/>
      <c r="H29" s="369"/>
      <c r="I29" s="403"/>
      <c r="J29" s="381"/>
      <c r="K29" s="388">
        <v>14128000</v>
      </c>
      <c r="L29" s="388"/>
      <c r="M29" s="381"/>
      <c r="N29" s="381"/>
      <c r="O29" s="385">
        <f t="shared" ref="O29:O42" si="5">H29+J29+K29+L29+M29+N29</f>
        <v>14128000</v>
      </c>
      <c r="P29" s="389"/>
      <c r="Q29" s="378"/>
    </row>
    <row r="30" spans="1:19" ht="27" customHeight="1" x14ac:dyDescent="0.25">
      <c r="A30" s="386"/>
      <c r="B30" s="379"/>
      <c r="C30" s="594" t="s">
        <v>4617</v>
      </c>
      <c r="D30" s="595"/>
      <c r="E30" s="596"/>
      <c r="F30" s="402"/>
      <c r="G30" s="381"/>
      <c r="H30" s="369"/>
      <c r="I30" s="403"/>
      <c r="J30" s="381"/>
      <c r="K30" s="388"/>
      <c r="L30" s="437">
        <v>1700000</v>
      </c>
      <c r="M30" s="381"/>
      <c r="N30" s="381"/>
      <c r="O30" s="385">
        <f t="shared" si="5"/>
        <v>1700000</v>
      </c>
      <c r="P30" s="389"/>
      <c r="Q30" s="378"/>
    </row>
    <row r="31" spans="1:19" ht="27" customHeight="1" x14ac:dyDescent="0.25">
      <c r="A31" s="386"/>
      <c r="B31" s="379"/>
      <c r="C31" s="594" t="s">
        <v>4618</v>
      </c>
      <c r="D31" s="595"/>
      <c r="E31" s="596"/>
      <c r="F31" s="402"/>
      <c r="G31" s="381"/>
      <c r="H31" s="369"/>
      <c r="I31" s="403"/>
      <c r="J31" s="381"/>
      <c r="K31" s="388"/>
      <c r="L31" s="437">
        <v>200000</v>
      </c>
      <c r="M31" s="388"/>
      <c r="N31" s="388"/>
      <c r="O31" s="385">
        <f t="shared" si="5"/>
        <v>200000</v>
      </c>
      <c r="P31" s="389"/>
      <c r="Q31" s="378"/>
    </row>
    <row r="32" spans="1:19" ht="27" customHeight="1" x14ac:dyDescent="0.25">
      <c r="A32" s="386"/>
      <c r="B32" s="379"/>
      <c r="C32" s="594" t="s">
        <v>4619</v>
      </c>
      <c r="D32" s="595"/>
      <c r="E32" s="596"/>
      <c r="F32" s="402"/>
      <c r="G32" s="381"/>
      <c r="H32" s="369"/>
      <c r="I32" s="403"/>
      <c r="J32" s="381"/>
      <c r="K32" s="388"/>
      <c r="L32" s="437">
        <v>918000</v>
      </c>
      <c r="M32" s="388"/>
      <c r="N32" s="388"/>
      <c r="O32" s="385">
        <f t="shared" si="5"/>
        <v>918000</v>
      </c>
      <c r="P32" s="389"/>
      <c r="Q32" s="378"/>
    </row>
    <row r="33" spans="1:18" ht="27" customHeight="1" x14ac:dyDescent="0.25">
      <c r="A33" s="386"/>
      <c r="B33" s="379"/>
      <c r="C33" s="594" t="s">
        <v>4620</v>
      </c>
      <c r="D33" s="595"/>
      <c r="E33" s="596"/>
      <c r="F33" s="402"/>
      <c r="G33" s="381"/>
      <c r="H33" s="369"/>
      <c r="I33" s="403"/>
      <c r="J33" s="381"/>
      <c r="K33" s="388"/>
      <c r="L33" s="437">
        <v>80000</v>
      </c>
      <c r="M33" s="388"/>
      <c r="N33" s="388"/>
      <c r="O33" s="385">
        <f t="shared" si="5"/>
        <v>80000</v>
      </c>
      <c r="P33" s="389"/>
      <c r="Q33" s="378"/>
    </row>
    <row r="34" spans="1:18" ht="27" customHeight="1" x14ac:dyDescent="0.25">
      <c r="A34" s="386"/>
      <c r="B34" s="379"/>
      <c r="C34" s="594" t="s">
        <v>4578</v>
      </c>
      <c r="D34" s="595"/>
      <c r="E34" s="596"/>
      <c r="F34" s="402"/>
      <c r="G34" s="381"/>
      <c r="H34" s="369"/>
      <c r="I34" s="403"/>
      <c r="J34" s="381"/>
      <c r="K34" s="388"/>
      <c r="L34" s="437">
        <v>8532000</v>
      </c>
      <c r="M34" s="388"/>
      <c r="N34" s="388"/>
      <c r="O34" s="385">
        <f t="shared" si="5"/>
        <v>8532000</v>
      </c>
      <c r="P34" s="389"/>
      <c r="Q34" s="378"/>
    </row>
    <row r="35" spans="1:18" ht="27" customHeight="1" x14ac:dyDescent="0.25">
      <c r="A35" s="386"/>
      <c r="B35" s="379"/>
      <c r="C35" s="594" t="s">
        <v>4621</v>
      </c>
      <c r="D35" s="595"/>
      <c r="E35" s="596"/>
      <c r="F35" s="402"/>
      <c r="G35" s="381"/>
      <c r="H35" s="369"/>
      <c r="I35" s="403"/>
      <c r="J35" s="381"/>
      <c r="K35" s="388"/>
      <c r="L35" s="437">
        <v>610000</v>
      </c>
      <c r="M35" s="388"/>
      <c r="N35" s="388"/>
      <c r="O35" s="385">
        <f t="shared" si="5"/>
        <v>610000</v>
      </c>
      <c r="P35" s="389"/>
      <c r="Q35" s="378"/>
    </row>
    <row r="36" spans="1:18" ht="35.1" customHeight="1" x14ac:dyDescent="0.25">
      <c r="A36" s="386"/>
      <c r="B36" s="379"/>
      <c r="C36" s="594" t="s">
        <v>4355</v>
      </c>
      <c r="D36" s="595"/>
      <c r="E36" s="596"/>
      <c r="F36" s="402"/>
      <c r="G36" s="381"/>
      <c r="H36" s="369"/>
      <c r="I36" s="403"/>
      <c r="J36" s="381"/>
      <c r="K36" s="388"/>
      <c r="L36" s="437">
        <v>300000</v>
      </c>
      <c r="M36" s="388"/>
      <c r="N36" s="388"/>
      <c r="O36" s="385">
        <f t="shared" si="5"/>
        <v>300000</v>
      </c>
      <c r="P36" s="389"/>
      <c r="Q36" s="378"/>
    </row>
    <row r="37" spans="1:18" ht="35.1" customHeight="1" x14ac:dyDescent="0.25">
      <c r="A37" s="386"/>
      <c r="B37" s="379"/>
      <c r="C37" s="594" t="s">
        <v>4622</v>
      </c>
      <c r="D37" s="595"/>
      <c r="E37" s="596"/>
      <c r="F37" s="402"/>
      <c r="G37" s="381"/>
      <c r="H37" s="369"/>
      <c r="I37" s="403"/>
      <c r="J37" s="381"/>
      <c r="K37" s="388"/>
      <c r="L37" s="437">
        <v>100000</v>
      </c>
      <c r="M37" s="388"/>
      <c r="N37" s="388"/>
      <c r="O37" s="385">
        <f t="shared" si="5"/>
        <v>100000</v>
      </c>
      <c r="P37" s="389"/>
      <c r="Q37" s="378"/>
    </row>
    <row r="38" spans="1:18" ht="35.1" customHeight="1" x14ac:dyDescent="0.25">
      <c r="A38" s="386"/>
      <c r="B38" s="379"/>
      <c r="C38" s="594" t="s">
        <v>4623</v>
      </c>
      <c r="D38" s="595"/>
      <c r="E38" s="596"/>
      <c r="F38" s="402"/>
      <c r="G38" s="381"/>
      <c r="H38" s="369"/>
      <c r="I38" s="403"/>
      <c r="J38" s="381"/>
      <c r="K38" s="388"/>
      <c r="L38" s="437">
        <v>800000</v>
      </c>
      <c r="M38" s="388"/>
      <c r="N38" s="388"/>
      <c r="O38" s="385">
        <f t="shared" si="5"/>
        <v>800000</v>
      </c>
      <c r="P38" s="389"/>
      <c r="Q38" s="378"/>
    </row>
    <row r="39" spans="1:18" ht="35.1" customHeight="1" x14ac:dyDescent="0.25">
      <c r="A39" s="386"/>
      <c r="B39" s="379"/>
      <c r="C39" s="594" t="s">
        <v>4624</v>
      </c>
      <c r="D39" s="595"/>
      <c r="E39" s="596"/>
      <c r="F39" s="402"/>
      <c r="G39" s="381"/>
      <c r="H39" s="369"/>
      <c r="I39" s="403"/>
      <c r="J39" s="381"/>
      <c r="K39" s="388"/>
      <c r="L39" s="437">
        <v>400000</v>
      </c>
      <c r="M39" s="388"/>
      <c r="N39" s="388"/>
      <c r="O39" s="385">
        <f t="shared" si="5"/>
        <v>400000</v>
      </c>
      <c r="P39" s="389"/>
      <c r="Q39" s="378"/>
    </row>
    <row r="40" spans="1:18" ht="35.1" customHeight="1" x14ac:dyDescent="0.25">
      <c r="A40" s="386"/>
      <c r="B40" s="379"/>
      <c r="C40" s="594" t="s">
        <v>4625</v>
      </c>
      <c r="D40" s="595"/>
      <c r="E40" s="596"/>
      <c r="F40" s="402"/>
      <c r="G40" s="381"/>
      <c r="H40" s="369"/>
      <c r="I40" s="403"/>
      <c r="J40" s="381"/>
      <c r="K40" s="388"/>
      <c r="L40" s="437">
        <v>200000</v>
      </c>
      <c r="M40" s="388"/>
      <c r="N40" s="388"/>
      <c r="O40" s="385">
        <f t="shared" si="5"/>
        <v>200000</v>
      </c>
      <c r="P40" s="389"/>
      <c r="Q40" s="378"/>
    </row>
    <row r="41" spans="1:18" ht="35.1" customHeight="1" x14ac:dyDescent="0.25">
      <c r="A41" s="386"/>
      <c r="B41" s="379"/>
      <c r="C41" s="594" t="s">
        <v>4626</v>
      </c>
      <c r="D41" s="595"/>
      <c r="E41" s="596"/>
      <c r="F41" s="402"/>
      <c r="G41" s="381"/>
      <c r="H41" s="369"/>
      <c r="I41" s="403"/>
      <c r="J41" s="381"/>
      <c r="K41" s="388"/>
      <c r="L41" s="437">
        <v>200000</v>
      </c>
      <c r="M41" s="388"/>
      <c r="N41" s="388"/>
      <c r="O41" s="385">
        <f t="shared" si="5"/>
        <v>200000</v>
      </c>
      <c r="P41" s="389"/>
      <c r="Q41" s="378"/>
    </row>
    <row r="42" spans="1:18" ht="18" customHeight="1" x14ac:dyDescent="0.25">
      <c r="A42" s="386"/>
      <c r="B42" s="391"/>
      <c r="C42" s="579" t="s">
        <v>4333</v>
      </c>
      <c r="D42" s="580"/>
      <c r="E42" s="581"/>
      <c r="F42" s="461"/>
      <c r="G42" s="381"/>
      <c r="H42" s="369"/>
      <c r="I42" s="403"/>
      <c r="J42" s="381"/>
      <c r="K42" s="439">
        <v>8300000</v>
      </c>
      <c r="L42" s="394"/>
      <c r="M42" s="381"/>
      <c r="N42" s="381"/>
      <c r="O42" s="362">
        <f t="shared" si="5"/>
        <v>8300000</v>
      </c>
      <c r="P42" s="389"/>
      <c r="Q42" s="378"/>
    </row>
    <row r="43" spans="1:18" x14ac:dyDescent="0.25">
      <c r="A43" s="576" t="s">
        <v>19</v>
      </c>
      <c r="B43" s="577"/>
      <c r="C43" s="577"/>
      <c r="D43" s="577"/>
      <c r="E43" s="577"/>
      <c r="F43" s="578"/>
      <c r="G43" s="395">
        <f>SUM(G8:G42)</f>
        <v>3971</v>
      </c>
      <c r="H43" s="396">
        <f t="shared" ref="H43:P43" si="6">SUM(H7:H42)</f>
        <v>94562940</v>
      </c>
      <c r="I43" s="396">
        <f t="shared" si="6"/>
        <v>0</v>
      </c>
      <c r="J43" s="396">
        <f t="shared" si="6"/>
        <v>32673000</v>
      </c>
      <c r="K43" s="396">
        <f t="shared" si="6"/>
        <v>23628000</v>
      </c>
      <c r="L43" s="396">
        <f t="shared" si="6"/>
        <v>14040000</v>
      </c>
      <c r="M43" s="396">
        <f t="shared" si="6"/>
        <v>0</v>
      </c>
      <c r="N43" s="396">
        <f t="shared" si="6"/>
        <v>0</v>
      </c>
      <c r="O43" s="396">
        <f t="shared" si="6"/>
        <v>164903940</v>
      </c>
      <c r="P43" s="492">
        <f t="shared" si="6"/>
        <v>215655740</v>
      </c>
      <c r="Q43" s="396">
        <f>P43-O43</f>
        <v>50751800</v>
      </c>
      <c r="R43" s="195"/>
    </row>
    <row r="44" spans="1:18" x14ac:dyDescent="0.25">
      <c r="P44" s="294"/>
      <c r="Q44" s="295"/>
    </row>
    <row r="45" spans="1:18" x14ac:dyDescent="0.25">
      <c r="B45"/>
      <c r="G45"/>
      <c r="H45" s="294"/>
      <c r="P45" s="296" t="s">
        <v>1225</v>
      </c>
      <c r="Q45" s="295">
        <f>'09.2022'!Q43+'10.2022'!Q43</f>
        <v>322117153.61538458</v>
      </c>
    </row>
    <row r="46" spans="1:18" x14ac:dyDescent="0.25">
      <c r="B46"/>
      <c r="G46"/>
      <c r="Q46" s="294"/>
    </row>
    <row r="47" spans="1:18" x14ac:dyDescent="0.25">
      <c r="B47"/>
      <c r="G47"/>
      <c r="R47" s="195"/>
    </row>
  </sheetData>
  <mergeCells count="20">
    <mergeCell ref="C42:E42"/>
    <mergeCell ref="A43:F43"/>
    <mergeCell ref="C36:E36"/>
    <mergeCell ref="C37:E37"/>
    <mergeCell ref="C38:E38"/>
    <mergeCell ref="C39:E39"/>
    <mergeCell ref="C40:E40"/>
    <mergeCell ref="C41:E41"/>
    <mergeCell ref="C35:E35"/>
    <mergeCell ref="A1:Q1"/>
    <mergeCell ref="A2:Q2"/>
    <mergeCell ref="A3:Q3"/>
    <mergeCell ref="G5:N5"/>
    <mergeCell ref="C28:E28"/>
    <mergeCell ref="C29:E29"/>
    <mergeCell ref="C30:E30"/>
    <mergeCell ref="C31:E31"/>
    <mergeCell ref="C32:E32"/>
    <mergeCell ref="C33:E33"/>
    <mergeCell ref="C34:E34"/>
  </mergeCells>
  <pageMargins left="0.7" right="0.7" top="0.75" bottom="0.75" header="0.3" footer="0.3"/>
  <pageSetup paperSize="9" orientation="portrait" verticalDpi="0"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1DA25-A06B-4F3E-9F6B-BF1B36E9FB52}">
  <dimension ref="A1:S43"/>
  <sheetViews>
    <sheetView topLeftCell="A22" workbookViewId="0">
      <selection activeCell="Q42" sqref="Q42"/>
    </sheetView>
  </sheetViews>
  <sheetFormatPr defaultColWidth="9.140625" defaultRowHeight="15" x14ac:dyDescent="0.25"/>
  <cols>
    <col min="1" max="1" width="4.5703125" customWidth="1"/>
    <col min="2" max="2" width="9.28515625" style="332" bestFit="1" customWidth="1"/>
    <col min="3" max="3" width="36.5703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4627</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19"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19" x14ac:dyDescent="0.25">
      <c r="A7" s="75"/>
      <c r="B7" s="100"/>
      <c r="C7" s="88"/>
      <c r="D7" s="88"/>
      <c r="E7" s="134"/>
      <c r="F7" s="75"/>
      <c r="G7" s="264"/>
      <c r="H7" s="264"/>
      <c r="I7" s="264"/>
      <c r="J7" s="264"/>
      <c r="K7" s="264"/>
      <c r="L7" s="308"/>
      <c r="M7" s="264"/>
      <c r="N7" s="264"/>
      <c r="O7" s="265"/>
      <c r="P7" s="265"/>
      <c r="Q7" s="264"/>
    </row>
    <row r="8" spans="1:19" ht="21.75" customHeight="1" x14ac:dyDescent="0.25">
      <c r="A8" s="470">
        <v>1</v>
      </c>
      <c r="B8" s="472">
        <v>44866</v>
      </c>
      <c r="C8" s="366" t="s">
        <v>1437</v>
      </c>
      <c r="D8" s="367" t="s">
        <v>4644</v>
      </c>
      <c r="E8" s="354" t="s">
        <v>4639</v>
      </c>
      <c r="F8" s="368"/>
      <c r="G8" s="369">
        <v>404</v>
      </c>
      <c r="H8" s="358">
        <f>G8*25070</f>
        <v>10128280</v>
      </c>
      <c r="I8" s="358"/>
      <c r="J8" s="358">
        <v>3448000</v>
      </c>
      <c r="K8" s="371"/>
      <c r="L8" s="372"/>
      <c r="M8" s="358"/>
      <c r="N8" s="358"/>
      <c r="O8" s="358">
        <f>H8+J8+K8+L8+M8+N8</f>
        <v>13576280</v>
      </c>
      <c r="P8" s="358">
        <v>22350000</v>
      </c>
      <c r="Q8" s="358">
        <f>P8-O8</f>
        <v>8773720</v>
      </c>
      <c r="R8" s="195"/>
      <c r="S8" s="195"/>
    </row>
    <row r="9" spans="1:19" ht="21.75" customHeight="1" x14ac:dyDescent="0.25">
      <c r="A9" s="350">
        <v>2</v>
      </c>
      <c r="B9" s="482">
        <v>44868</v>
      </c>
      <c r="C9" s="366" t="s">
        <v>4628</v>
      </c>
      <c r="D9" s="415" t="s">
        <v>4645</v>
      </c>
      <c r="E9" s="354" t="s">
        <v>4640</v>
      </c>
      <c r="F9" s="368"/>
      <c r="G9" s="369">
        <v>93</v>
      </c>
      <c r="H9" s="358">
        <f t="shared" ref="H9:H13" si="0">G9*25070</f>
        <v>2331510</v>
      </c>
      <c r="I9" s="358"/>
      <c r="J9" s="358">
        <v>790000</v>
      </c>
      <c r="K9" s="371"/>
      <c r="L9" s="372"/>
      <c r="M9" s="358"/>
      <c r="N9" s="358"/>
      <c r="O9" s="358">
        <f t="shared" ref="O9:O26" si="1">H9+J9+K9+L9+M9+N9</f>
        <v>3121510</v>
      </c>
      <c r="P9" s="385">
        <v>4600000</v>
      </c>
      <c r="Q9" s="358">
        <f t="shared" ref="Q9:Q26" si="2">P9-O9</f>
        <v>1478490</v>
      </c>
      <c r="R9" s="195"/>
      <c r="S9" s="195"/>
    </row>
    <row r="10" spans="1:19" ht="21.75" customHeight="1" x14ac:dyDescent="0.25">
      <c r="A10" s="350">
        <v>3</v>
      </c>
      <c r="B10" s="482">
        <v>44869</v>
      </c>
      <c r="C10" s="366" t="s">
        <v>4629</v>
      </c>
      <c r="D10" s="367" t="s">
        <v>4646</v>
      </c>
      <c r="E10" s="354" t="s">
        <v>4597</v>
      </c>
      <c r="F10" s="368"/>
      <c r="G10" s="369">
        <v>386</v>
      </c>
      <c r="H10" s="358">
        <f t="shared" si="0"/>
        <v>9677020</v>
      </c>
      <c r="I10" s="358"/>
      <c r="J10" s="358">
        <v>3020000</v>
      </c>
      <c r="K10" s="371"/>
      <c r="L10" s="372"/>
      <c r="M10" s="358"/>
      <c r="N10" s="358"/>
      <c r="O10" s="358">
        <f t="shared" si="1"/>
        <v>12697020</v>
      </c>
      <c r="P10" s="385">
        <v>23000000</v>
      </c>
      <c r="Q10" s="358">
        <f t="shared" si="2"/>
        <v>10302980</v>
      </c>
      <c r="R10" s="195"/>
      <c r="S10" s="195"/>
    </row>
    <row r="11" spans="1:19" ht="21.75" customHeight="1" x14ac:dyDescent="0.25">
      <c r="A11" s="350">
        <v>4</v>
      </c>
      <c r="B11" s="482">
        <v>44872</v>
      </c>
      <c r="C11" s="366" t="s">
        <v>4630</v>
      </c>
      <c r="D11" s="367" t="s">
        <v>4647</v>
      </c>
      <c r="E11" s="354" t="s">
        <v>2959</v>
      </c>
      <c r="F11" s="368"/>
      <c r="G11" s="369">
        <v>58</v>
      </c>
      <c r="H11" s="358">
        <f t="shared" si="0"/>
        <v>1454060</v>
      </c>
      <c r="I11" s="358"/>
      <c r="J11" s="358">
        <v>430000</v>
      </c>
      <c r="K11" s="371"/>
      <c r="L11" s="372"/>
      <c r="M11" s="358"/>
      <c r="N11" s="358"/>
      <c r="O11" s="358">
        <f t="shared" si="1"/>
        <v>1884060</v>
      </c>
      <c r="P11" s="385">
        <v>3270000</v>
      </c>
      <c r="Q11" s="358">
        <f t="shared" si="2"/>
        <v>1385940</v>
      </c>
      <c r="R11" s="195"/>
      <c r="S11" s="195"/>
    </row>
    <row r="12" spans="1:19" ht="21.75" customHeight="1" x14ac:dyDescent="0.25">
      <c r="A12" s="350">
        <v>5</v>
      </c>
      <c r="B12" s="482">
        <v>44872</v>
      </c>
      <c r="C12" s="366" t="s">
        <v>4631</v>
      </c>
      <c r="D12" s="367" t="s">
        <v>4648</v>
      </c>
      <c r="E12" s="354" t="s">
        <v>4641</v>
      </c>
      <c r="F12" s="368"/>
      <c r="G12" s="369">
        <v>103</v>
      </c>
      <c r="H12" s="358">
        <f t="shared" si="0"/>
        <v>2582210</v>
      </c>
      <c r="I12" s="358"/>
      <c r="J12" s="358">
        <v>790000</v>
      </c>
      <c r="K12" s="371"/>
      <c r="L12" s="372"/>
      <c r="M12" s="358"/>
      <c r="N12" s="358"/>
      <c r="O12" s="358">
        <f t="shared" si="1"/>
        <v>3372210</v>
      </c>
      <c r="P12" s="385">
        <v>5250000</v>
      </c>
      <c r="Q12" s="358">
        <f t="shared" si="2"/>
        <v>1877790</v>
      </c>
      <c r="R12" s="195"/>
      <c r="S12" s="195"/>
    </row>
    <row r="13" spans="1:19" ht="21.75" customHeight="1" x14ac:dyDescent="0.25">
      <c r="A13" s="350">
        <v>6</v>
      </c>
      <c r="B13" s="482">
        <v>44873</v>
      </c>
      <c r="C13" s="366" t="s">
        <v>4632</v>
      </c>
      <c r="D13" s="367" t="s">
        <v>4649</v>
      </c>
      <c r="E13" s="354" t="s">
        <v>4504</v>
      </c>
      <c r="F13" s="368"/>
      <c r="G13" s="369">
        <v>373</v>
      </c>
      <c r="H13" s="358">
        <f t="shared" si="0"/>
        <v>9351110</v>
      </c>
      <c r="I13" s="358"/>
      <c r="J13" s="358">
        <v>3448000</v>
      </c>
      <c r="K13" s="371"/>
      <c r="L13" s="372"/>
      <c r="M13" s="358"/>
      <c r="N13" s="358"/>
      <c r="O13" s="358">
        <f t="shared" si="1"/>
        <v>12799110</v>
      </c>
      <c r="P13" s="385">
        <v>22250000</v>
      </c>
      <c r="Q13" s="358">
        <f t="shared" si="2"/>
        <v>9450890</v>
      </c>
      <c r="R13" s="195"/>
      <c r="S13" s="195"/>
    </row>
    <row r="14" spans="1:19" ht="21.75" customHeight="1" x14ac:dyDescent="0.25">
      <c r="A14" s="350">
        <v>7</v>
      </c>
      <c r="B14" s="482">
        <v>44875</v>
      </c>
      <c r="C14" s="366" t="s">
        <v>2142</v>
      </c>
      <c r="D14" s="367" t="s">
        <v>4650</v>
      </c>
      <c r="E14" s="354" t="s">
        <v>4504</v>
      </c>
      <c r="F14" s="368"/>
      <c r="G14" s="369">
        <v>373</v>
      </c>
      <c r="H14" s="358">
        <f t="shared" ref="H14:H18" si="3">G14*24980</f>
        <v>9317540</v>
      </c>
      <c r="I14" s="358"/>
      <c r="J14" s="358">
        <v>3450000</v>
      </c>
      <c r="K14" s="371"/>
      <c r="L14" s="372"/>
      <c r="M14" s="358"/>
      <c r="N14" s="358"/>
      <c r="O14" s="358">
        <f t="shared" si="1"/>
        <v>12767540</v>
      </c>
      <c r="P14" s="385">
        <v>22250000</v>
      </c>
      <c r="Q14" s="358">
        <f t="shared" si="2"/>
        <v>9482460</v>
      </c>
      <c r="R14" s="195"/>
      <c r="S14" s="195"/>
    </row>
    <row r="15" spans="1:19" ht="21.75" customHeight="1" x14ac:dyDescent="0.25">
      <c r="A15" s="350">
        <v>8</v>
      </c>
      <c r="B15" s="482">
        <v>44879</v>
      </c>
      <c r="C15" s="366" t="s">
        <v>1445</v>
      </c>
      <c r="D15" s="367" t="s">
        <v>4651</v>
      </c>
      <c r="E15" s="354" t="s">
        <v>4283</v>
      </c>
      <c r="F15" s="368"/>
      <c r="G15" s="369">
        <v>269</v>
      </c>
      <c r="H15" s="358">
        <f t="shared" si="3"/>
        <v>6719620</v>
      </c>
      <c r="I15" s="358"/>
      <c r="J15" s="358">
        <v>2600000</v>
      </c>
      <c r="K15" s="371"/>
      <c r="L15" s="372"/>
      <c r="M15" s="358"/>
      <c r="N15" s="358"/>
      <c r="O15" s="358">
        <f t="shared" si="1"/>
        <v>9319620</v>
      </c>
      <c r="P15" s="385">
        <v>15500000</v>
      </c>
      <c r="Q15" s="358">
        <f t="shared" si="2"/>
        <v>6180380</v>
      </c>
      <c r="R15" s="195"/>
      <c r="S15" s="195"/>
    </row>
    <row r="16" spans="1:19" ht="21.75" customHeight="1" x14ac:dyDescent="0.25">
      <c r="A16" s="350">
        <v>9</v>
      </c>
      <c r="B16" s="482">
        <v>44879</v>
      </c>
      <c r="C16" s="366" t="s">
        <v>4633</v>
      </c>
      <c r="D16" s="367" t="s">
        <v>4652</v>
      </c>
      <c r="E16" s="354" t="s">
        <v>4506</v>
      </c>
      <c r="F16" s="368"/>
      <c r="G16" s="369">
        <v>85</v>
      </c>
      <c r="H16" s="358">
        <f t="shared" si="3"/>
        <v>2123300</v>
      </c>
      <c r="I16" s="358"/>
      <c r="J16" s="358">
        <v>430000</v>
      </c>
      <c r="K16" s="371"/>
      <c r="L16" s="372"/>
      <c r="M16" s="358"/>
      <c r="N16" s="358"/>
      <c r="O16" s="358">
        <f t="shared" si="1"/>
        <v>2553300</v>
      </c>
      <c r="P16" s="385">
        <v>4527778</v>
      </c>
      <c r="Q16" s="358">
        <f t="shared" si="2"/>
        <v>1974478</v>
      </c>
      <c r="R16" s="195"/>
      <c r="S16" s="195"/>
    </row>
    <row r="17" spans="1:19" ht="21.75" customHeight="1" x14ac:dyDescent="0.25">
      <c r="A17" s="350">
        <v>10</v>
      </c>
      <c r="B17" s="482">
        <v>44881</v>
      </c>
      <c r="C17" s="366" t="s">
        <v>3377</v>
      </c>
      <c r="D17" s="367" t="s">
        <v>4653</v>
      </c>
      <c r="E17" s="354" t="s">
        <v>4432</v>
      </c>
      <c r="F17" s="368"/>
      <c r="G17" s="369">
        <v>365</v>
      </c>
      <c r="H17" s="358">
        <f t="shared" si="3"/>
        <v>9117700</v>
      </c>
      <c r="I17" s="358"/>
      <c r="J17" s="358">
        <v>3232000</v>
      </c>
      <c r="K17" s="371"/>
      <c r="L17" s="372"/>
      <c r="M17" s="358"/>
      <c r="N17" s="358"/>
      <c r="O17" s="358">
        <f t="shared" si="1"/>
        <v>12349700</v>
      </c>
      <c r="P17" s="385">
        <v>22350000</v>
      </c>
      <c r="Q17" s="358">
        <f t="shared" si="2"/>
        <v>10000300</v>
      </c>
      <c r="R17" s="195"/>
      <c r="S17" s="195"/>
    </row>
    <row r="18" spans="1:19" ht="21.75" customHeight="1" x14ac:dyDescent="0.25">
      <c r="A18" s="350">
        <v>11</v>
      </c>
      <c r="B18" s="482">
        <v>44883</v>
      </c>
      <c r="C18" s="366" t="s">
        <v>3379</v>
      </c>
      <c r="D18" s="367" t="s">
        <v>4654</v>
      </c>
      <c r="E18" s="354" t="s">
        <v>4504</v>
      </c>
      <c r="F18" s="368"/>
      <c r="G18" s="369">
        <v>373</v>
      </c>
      <c r="H18" s="358">
        <f t="shared" si="3"/>
        <v>9317540</v>
      </c>
      <c r="I18" s="358"/>
      <c r="J18" s="358">
        <v>3232000</v>
      </c>
      <c r="K18" s="371"/>
      <c r="L18" s="372"/>
      <c r="M18" s="358"/>
      <c r="N18" s="358"/>
      <c r="O18" s="358">
        <f t="shared" si="1"/>
        <v>12549540</v>
      </c>
      <c r="P18" s="385">
        <v>22250000</v>
      </c>
      <c r="Q18" s="358">
        <f t="shared" si="2"/>
        <v>9700460</v>
      </c>
      <c r="R18" s="195"/>
      <c r="S18" s="195"/>
    </row>
    <row r="19" spans="1:19" ht="21.75" customHeight="1" x14ac:dyDescent="0.25">
      <c r="A19" s="470">
        <v>12</v>
      </c>
      <c r="B19" s="487">
        <v>44884</v>
      </c>
      <c r="C19" s="366" t="s">
        <v>2149</v>
      </c>
      <c r="D19" s="367" t="s">
        <v>4655</v>
      </c>
      <c r="E19" s="354" t="s">
        <v>24</v>
      </c>
      <c r="F19" s="461"/>
      <c r="G19" s="369">
        <v>193</v>
      </c>
      <c r="H19" s="358">
        <f t="shared" ref="H19:H26" si="4">G19*24800</f>
        <v>4786400</v>
      </c>
      <c r="I19" s="381"/>
      <c r="J19" s="381">
        <v>1530000</v>
      </c>
      <c r="K19" s="371"/>
      <c r="L19" s="372"/>
      <c r="M19" s="381"/>
      <c r="N19" s="381"/>
      <c r="O19" s="358">
        <f t="shared" si="1"/>
        <v>6316400</v>
      </c>
      <c r="P19" s="385">
        <v>9707407</v>
      </c>
      <c r="Q19" s="358">
        <f t="shared" si="2"/>
        <v>3391007</v>
      </c>
      <c r="R19" s="195"/>
      <c r="S19" s="195"/>
    </row>
    <row r="20" spans="1:19" ht="21.75" customHeight="1" x14ac:dyDescent="0.25">
      <c r="A20" s="350">
        <v>13</v>
      </c>
      <c r="B20" s="487">
        <v>44886</v>
      </c>
      <c r="C20" s="366" t="s">
        <v>4634</v>
      </c>
      <c r="D20" s="367" t="s">
        <v>4656</v>
      </c>
      <c r="E20" s="354" t="s">
        <v>4641</v>
      </c>
      <c r="F20" s="461"/>
      <c r="G20" s="369">
        <v>103</v>
      </c>
      <c r="H20" s="358">
        <f t="shared" si="4"/>
        <v>2554400</v>
      </c>
      <c r="I20" s="381"/>
      <c r="J20" s="381">
        <v>630000</v>
      </c>
      <c r="K20" s="371"/>
      <c r="L20" s="372"/>
      <c r="M20" s="381"/>
      <c r="N20" s="381"/>
      <c r="O20" s="358">
        <f t="shared" si="1"/>
        <v>3184400</v>
      </c>
      <c r="P20" s="385">
        <v>5550000</v>
      </c>
      <c r="Q20" s="358">
        <f t="shared" si="2"/>
        <v>2365600</v>
      </c>
      <c r="R20" s="195"/>
      <c r="S20" s="195"/>
    </row>
    <row r="21" spans="1:19" ht="21.75" customHeight="1" x14ac:dyDescent="0.25">
      <c r="A21" s="350">
        <v>14</v>
      </c>
      <c r="B21" s="487">
        <v>44888</v>
      </c>
      <c r="C21" s="366" t="s">
        <v>4635</v>
      </c>
      <c r="D21" s="367" t="s">
        <v>4657</v>
      </c>
      <c r="E21" s="354" t="s">
        <v>4432</v>
      </c>
      <c r="F21" s="461"/>
      <c r="G21" s="369">
        <v>367</v>
      </c>
      <c r="H21" s="358">
        <f t="shared" si="4"/>
        <v>9101600</v>
      </c>
      <c r="I21" s="381"/>
      <c r="J21" s="381">
        <v>3232000</v>
      </c>
      <c r="K21" s="371"/>
      <c r="L21" s="372"/>
      <c r="M21" s="381"/>
      <c r="N21" s="381"/>
      <c r="O21" s="358">
        <f t="shared" si="1"/>
        <v>12333600</v>
      </c>
      <c r="P21" s="385">
        <v>22350000</v>
      </c>
      <c r="Q21" s="358">
        <f t="shared" si="2"/>
        <v>10016400</v>
      </c>
      <c r="R21" s="195"/>
      <c r="S21" s="195"/>
    </row>
    <row r="22" spans="1:19" ht="21.75" customHeight="1" x14ac:dyDescent="0.25">
      <c r="A22" s="350">
        <v>15</v>
      </c>
      <c r="B22" s="487">
        <v>44889</v>
      </c>
      <c r="C22" s="366" t="s">
        <v>2793</v>
      </c>
      <c r="D22" s="367" t="s">
        <v>4658</v>
      </c>
      <c r="E22" s="354" t="s">
        <v>4642</v>
      </c>
      <c r="F22" s="461"/>
      <c r="G22" s="369">
        <v>73</v>
      </c>
      <c r="H22" s="358">
        <f t="shared" si="4"/>
        <v>1810400</v>
      </c>
      <c r="I22" s="381"/>
      <c r="J22" s="381">
        <v>822000</v>
      </c>
      <c r="K22" s="371"/>
      <c r="L22" s="372"/>
      <c r="M22" s="381"/>
      <c r="N22" s="381"/>
      <c r="O22" s="358">
        <f t="shared" si="1"/>
        <v>2632400</v>
      </c>
      <c r="P22" s="385">
        <v>4000000</v>
      </c>
      <c r="Q22" s="358">
        <f t="shared" si="2"/>
        <v>1367600</v>
      </c>
      <c r="R22" s="195"/>
      <c r="S22" s="195"/>
    </row>
    <row r="23" spans="1:19" ht="21.75" customHeight="1" x14ac:dyDescent="0.25">
      <c r="A23" s="350">
        <v>16</v>
      </c>
      <c r="B23" s="487">
        <v>44890</v>
      </c>
      <c r="C23" s="366" t="s">
        <v>4636</v>
      </c>
      <c r="D23" s="367" t="s">
        <v>4659</v>
      </c>
      <c r="E23" s="354" t="s">
        <v>4504</v>
      </c>
      <c r="F23" s="461"/>
      <c r="G23" s="369">
        <v>373</v>
      </c>
      <c r="H23" s="358">
        <f t="shared" si="4"/>
        <v>9250400</v>
      </c>
      <c r="I23" s="381"/>
      <c r="J23" s="381">
        <v>3450000</v>
      </c>
      <c r="K23" s="371"/>
      <c r="L23" s="372"/>
      <c r="M23" s="381"/>
      <c r="N23" s="381"/>
      <c r="O23" s="358">
        <f t="shared" si="1"/>
        <v>12700400</v>
      </c>
      <c r="P23" s="385">
        <v>22250000</v>
      </c>
      <c r="Q23" s="358">
        <f t="shared" si="2"/>
        <v>9549600</v>
      </c>
      <c r="R23" s="195"/>
      <c r="S23" s="195"/>
    </row>
    <row r="24" spans="1:19" ht="21.75" customHeight="1" x14ac:dyDescent="0.25">
      <c r="A24" s="470">
        <v>17</v>
      </c>
      <c r="B24" s="487">
        <v>44891</v>
      </c>
      <c r="C24" s="366" t="s">
        <v>4637</v>
      </c>
      <c r="D24" s="367" t="s">
        <v>4660</v>
      </c>
      <c r="E24" s="354" t="s">
        <v>850</v>
      </c>
      <c r="F24" s="461"/>
      <c r="G24" s="369">
        <v>124</v>
      </c>
      <c r="H24" s="358">
        <f t="shared" si="4"/>
        <v>3075200</v>
      </c>
      <c r="I24" s="381"/>
      <c r="J24" s="381">
        <v>790000</v>
      </c>
      <c r="K24" s="371"/>
      <c r="L24" s="372"/>
      <c r="M24" s="381"/>
      <c r="N24" s="381"/>
      <c r="O24" s="358">
        <f t="shared" si="1"/>
        <v>3865200</v>
      </c>
      <c r="P24" s="385">
        <v>5879630</v>
      </c>
      <c r="Q24" s="358">
        <f t="shared" si="2"/>
        <v>2014430</v>
      </c>
      <c r="R24" s="195"/>
      <c r="S24" s="195"/>
    </row>
    <row r="25" spans="1:19" ht="21.75" customHeight="1" x14ac:dyDescent="0.25">
      <c r="A25" s="350">
        <v>18</v>
      </c>
      <c r="B25" s="487">
        <v>44894</v>
      </c>
      <c r="C25" s="366" t="s">
        <v>4638</v>
      </c>
      <c r="D25" s="367" t="s">
        <v>4661</v>
      </c>
      <c r="E25" s="354" t="s">
        <v>4643</v>
      </c>
      <c r="F25" s="461"/>
      <c r="G25" s="369">
        <v>21</v>
      </c>
      <c r="H25" s="358">
        <f t="shared" si="4"/>
        <v>520800</v>
      </c>
      <c r="I25" s="381"/>
      <c r="J25" s="381">
        <v>400000</v>
      </c>
      <c r="K25" s="371"/>
      <c r="L25" s="372"/>
      <c r="M25" s="381"/>
      <c r="N25" s="381"/>
      <c r="O25" s="358">
        <f t="shared" si="1"/>
        <v>920800</v>
      </c>
      <c r="P25" s="385">
        <v>2000000</v>
      </c>
      <c r="Q25" s="358">
        <f t="shared" si="2"/>
        <v>1079200</v>
      </c>
      <c r="R25" s="195"/>
      <c r="S25" s="195"/>
    </row>
    <row r="26" spans="1:19" ht="21.75" customHeight="1" x14ac:dyDescent="0.25">
      <c r="A26" s="350">
        <v>19</v>
      </c>
      <c r="B26" s="487">
        <v>44895</v>
      </c>
      <c r="C26" s="366" t="s">
        <v>1456</v>
      </c>
      <c r="D26" s="367" t="s">
        <v>4662</v>
      </c>
      <c r="E26" s="354" t="s">
        <v>4504</v>
      </c>
      <c r="F26" s="461"/>
      <c r="G26" s="369">
        <v>378</v>
      </c>
      <c r="H26" s="358">
        <f t="shared" si="4"/>
        <v>9374400</v>
      </c>
      <c r="I26" s="381"/>
      <c r="J26" s="381">
        <v>3232000</v>
      </c>
      <c r="K26" s="371"/>
      <c r="L26" s="372"/>
      <c r="M26" s="381"/>
      <c r="N26" s="381"/>
      <c r="O26" s="358">
        <f t="shared" si="1"/>
        <v>12606400</v>
      </c>
      <c r="P26" s="385">
        <v>22250000</v>
      </c>
      <c r="Q26" s="358">
        <f t="shared" si="2"/>
        <v>9643600</v>
      </c>
      <c r="R26" s="195"/>
      <c r="S26" s="195"/>
    </row>
    <row r="27" spans="1:19" ht="27" customHeight="1" x14ac:dyDescent="0.25">
      <c r="A27" s="374"/>
      <c r="B27" s="488"/>
      <c r="C27" s="609" t="s">
        <v>1273</v>
      </c>
      <c r="D27" s="609"/>
      <c r="E27" s="609"/>
      <c r="F27" s="402"/>
      <c r="G27" s="358"/>
      <c r="H27" s="369"/>
      <c r="I27" s="403"/>
      <c r="J27" s="381"/>
      <c r="K27" s="435">
        <v>1200000</v>
      </c>
      <c r="L27" s="372"/>
      <c r="M27" s="381"/>
      <c r="N27" s="381"/>
      <c r="O27" s="385">
        <f>H27+J27+K27+L27+M27+N27</f>
        <v>1200000</v>
      </c>
      <c r="P27" s="385"/>
      <c r="Q27" s="385"/>
    </row>
    <row r="28" spans="1:19" ht="27" customHeight="1" x14ac:dyDescent="0.25">
      <c r="A28" s="386"/>
      <c r="B28" s="379"/>
      <c r="C28" s="594" t="s">
        <v>4535</v>
      </c>
      <c r="D28" s="595"/>
      <c r="E28" s="596"/>
      <c r="F28" s="402"/>
      <c r="G28" s="381"/>
      <c r="H28" s="369"/>
      <c r="J28" s="381"/>
      <c r="K28" s="388">
        <f>23381000+196000*2</f>
        <v>23773000</v>
      </c>
      <c r="L28" s="388"/>
      <c r="M28" s="381"/>
      <c r="N28" s="381"/>
      <c r="O28" s="385">
        <f t="shared" ref="O28:O38" si="5">H28+J28+K28+L28+M28+N28</f>
        <v>23773000</v>
      </c>
      <c r="P28" s="389"/>
      <c r="Q28" s="378"/>
    </row>
    <row r="29" spans="1:19" ht="27" customHeight="1" x14ac:dyDescent="0.25">
      <c r="A29" s="386"/>
      <c r="B29" s="379"/>
      <c r="C29" s="594" t="s">
        <v>4663</v>
      </c>
      <c r="D29" s="595"/>
      <c r="E29" s="596"/>
      <c r="F29" s="402"/>
      <c r="G29" s="381"/>
      <c r="H29" s="369"/>
      <c r="I29" s="403"/>
      <c r="J29" s="381"/>
      <c r="K29" s="388"/>
      <c r="L29" s="437">
        <v>100000</v>
      </c>
      <c r="M29" s="381"/>
      <c r="N29" s="381"/>
      <c r="O29" s="385">
        <f t="shared" si="5"/>
        <v>100000</v>
      </c>
      <c r="P29" s="389"/>
      <c r="Q29" s="378"/>
    </row>
    <row r="30" spans="1:19" ht="27" customHeight="1" x14ac:dyDescent="0.25">
      <c r="A30" s="386"/>
      <c r="B30" s="379"/>
      <c r="C30" s="594" t="s">
        <v>4664</v>
      </c>
      <c r="D30" s="595"/>
      <c r="E30" s="596"/>
      <c r="F30" s="402"/>
      <c r="G30" s="381"/>
      <c r="H30" s="369"/>
      <c r="I30" s="403"/>
      <c r="J30" s="381"/>
      <c r="K30" s="388"/>
      <c r="L30" s="437">
        <v>550000</v>
      </c>
      <c r="M30" s="388"/>
      <c r="N30" s="388"/>
      <c r="O30" s="385">
        <f t="shared" si="5"/>
        <v>550000</v>
      </c>
      <c r="P30" s="389"/>
      <c r="Q30" s="378"/>
    </row>
    <row r="31" spans="1:19" ht="27" customHeight="1" x14ac:dyDescent="0.25">
      <c r="A31" s="386"/>
      <c r="B31" s="379"/>
      <c r="C31" s="594" t="s">
        <v>4665</v>
      </c>
      <c r="D31" s="595"/>
      <c r="E31" s="596"/>
      <c r="F31" s="402"/>
      <c r="G31" s="381"/>
      <c r="H31" s="369"/>
      <c r="I31" s="403"/>
      <c r="J31" s="381"/>
      <c r="K31" s="388"/>
      <c r="L31" s="437">
        <v>200000</v>
      </c>
      <c r="M31" s="388"/>
      <c r="N31" s="388"/>
      <c r="O31" s="385">
        <f t="shared" si="5"/>
        <v>200000</v>
      </c>
      <c r="P31" s="389"/>
      <c r="Q31" s="378"/>
    </row>
    <row r="32" spans="1:19" ht="27" customHeight="1" x14ac:dyDescent="0.25">
      <c r="A32" s="386"/>
      <c r="B32" s="379"/>
      <c r="C32" s="594" t="s">
        <v>4666</v>
      </c>
      <c r="D32" s="595"/>
      <c r="E32" s="596"/>
      <c r="F32" s="402"/>
      <c r="G32" s="381"/>
      <c r="H32" s="369"/>
      <c r="I32" s="403"/>
      <c r="J32" s="381"/>
      <c r="K32" s="388"/>
      <c r="L32" s="437">
        <v>160000</v>
      </c>
      <c r="M32" s="388"/>
      <c r="N32" s="388"/>
      <c r="O32" s="385">
        <f t="shared" si="5"/>
        <v>160000</v>
      </c>
      <c r="P32" s="389"/>
      <c r="Q32" s="378"/>
    </row>
    <row r="33" spans="1:18" ht="27" customHeight="1" x14ac:dyDescent="0.25">
      <c r="A33" s="386"/>
      <c r="B33" s="379"/>
      <c r="C33" s="594" t="s">
        <v>4667</v>
      </c>
      <c r="D33" s="595"/>
      <c r="E33" s="596"/>
      <c r="F33" s="402"/>
      <c r="G33" s="381"/>
      <c r="H33" s="369"/>
      <c r="I33" s="403"/>
      <c r="J33" s="381"/>
      <c r="K33" s="388"/>
      <c r="L33" s="437">
        <v>300000</v>
      </c>
      <c r="M33" s="388"/>
      <c r="N33" s="388"/>
      <c r="O33" s="385">
        <f t="shared" si="5"/>
        <v>300000</v>
      </c>
      <c r="P33" s="389"/>
      <c r="Q33" s="378"/>
    </row>
    <row r="34" spans="1:18" ht="27" customHeight="1" x14ac:dyDescent="0.25">
      <c r="A34" s="386"/>
      <c r="B34" s="379"/>
      <c r="C34" s="594" t="s">
        <v>4701</v>
      </c>
      <c r="D34" s="595"/>
      <c r="E34" s="596"/>
      <c r="F34" s="402"/>
      <c r="G34" s="381"/>
      <c r="H34" s="369"/>
      <c r="I34" s="403"/>
      <c r="J34" s="381"/>
      <c r="K34" s="388"/>
      <c r="L34" s="437">
        <v>1398600</v>
      </c>
      <c r="M34" s="388"/>
      <c r="N34" s="388"/>
      <c r="O34" s="385">
        <f t="shared" si="5"/>
        <v>1398600</v>
      </c>
      <c r="P34" s="389"/>
      <c r="Q34" s="378"/>
    </row>
    <row r="35" spans="1:18" ht="27" customHeight="1" x14ac:dyDescent="0.25">
      <c r="A35" s="386"/>
      <c r="B35" s="379"/>
      <c r="C35" s="594" t="s">
        <v>4669</v>
      </c>
      <c r="D35" s="595"/>
      <c r="E35" s="596"/>
      <c r="F35" s="402"/>
      <c r="G35" s="381"/>
      <c r="H35" s="369"/>
      <c r="I35" s="403"/>
      <c r="J35" s="381"/>
      <c r="K35" s="388"/>
      <c r="L35" s="388"/>
      <c r="M35" s="437">
        <v>500000</v>
      </c>
      <c r="N35" s="388"/>
      <c r="O35" s="385">
        <f t="shared" si="5"/>
        <v>500000</v>
      </c>
      <c r="P35" s="389"/>
      <c r="Q35" s="378"/>
    </row>
    <row r="36" spans="1:18" ht="27" customHeight="1" x14ac:dyDescent="0.25">
      <c r="A36" s="386"/>
      <c r="B36" s="379"/>
      <c r="C36" s="594" t="s">
        <v>4670</v>
      </c>
      <c r="D36" s="595"/>
      <c r="E36" s="596"/>
      <c r="F36" s="402"/>
      <c r="G36" s="381"/>
      <c r="H36" s="369"/>
      <c r="I36" s="403"/>
      <c r="J36" s="381"/>
      <c r="K36" s="388"/>
      <c r="L36" s="388"/>
      <c r="M36" s="437">
        <v>11800000</v>
      </c>
      <c r="N36" s="388"/>
      <c r="O36" s="385">
        <f t="shared" si="5"/>
        <v>11800000</v>
      </c>
      <c r="P36" s="389"/>
      <c r="Q36" s="378"/>
    </row>
    <row r="37" spans="1:18" ht="27" customHeight="1" x14ac:dyDescent="0.25">
      <c r="A37" s="386"/>
      <c r="B37" s="379"/>
      <c r="C37" s="594" t="s">
        <v>4708</v>
      </c>
      <c r="D37" s="595"/>
      <c r="E37" s="596"/>
      <c r="F37" s="402"/>
      <c r="G37" s="381"/>
      <c r="H37" s="369"/>
      <c r="I37" s="403"/>
      <c r="J37" s="381"/>
      <c r="K37" s="388"/>
      <c r="L37" s="388"/>
      <c r="M37" s="388"/>
      <c r="N37" s="437">
        <v>3375000</v>
      </c>
      <c r="O37" s="385">
        <f t="shared" si="5"/>
        <v>3375000</v>
      </c>
      <c r="P37" s="389"/>
      <c r="Q37" s="378"/>
    </row>
    <row r="38" spans="1:18" ht="30.75" customHeight="1" x14ac:dyDescent="0.25">
      <c r="A38" s="386"/>
      <c r="B38" s="391"/>
      <c r="C38" s="579" t="s">
        <v>4668</v>
      </c>
      <c r="D38" s="580"/>
      <c r="E38" s="581"/>
      <c r="F38" s="461"/>
      <c r="G38" s="381"/>
      <c r="H38" s="369"/>
      <c r="I38" s="403"/>
      <c r="J38" s="381"/>
      <c r="K38" s="439">
        <v>8000000</v>
      </c>
      <c r="L38" s="394"/>
      <c r="M38" s="381"/>
      <c r="O38" s="385">
        <f t="shared" si="5"/>
        <v>8000000</v>
      </c>
      <c r="P38" s="389"/>
      <c r="Q38" s="378"/>
    </row>
    <row r="39" spans="1:18" x14ac:dyDescent="0.25">
      <c r="A39" s="576" t="s">
        <v>19</v>
      </c>
      <c r="B39" s="577"/>
      <c r="C39" s="577"/>
      <c r="D39" s="577"/>
      <c r="E39" s="577"/>
      <c r="F39" s="578"/>
      <c r="G39" s="395">
        <f>SUM(G8:G38)</f>
        <v>4514</v>
      </c>
      <c r="H39" s="396">
        <f t="shared" ref="H39:P39" si="6">SUM(H7:H38)</f>
        <v>112593490</v>
      </c>
      <c r="I39" s="396">
        <f t="shared" si="6"/>
        <v>0</v>
      </c>
      <c r="J39" s="396">
        <f t="shared" si="6"/>
        <v>38956000</v>
      </c>
      <c r="K39" s="396">
        <f t="shared" si="6"/>
        <v>32973000</v>
      </c>
      <c r="L39" s="396">
        <f t="shared" si="6"/>
        <v>2708600</v>
      </c>
      <c r="M39" s="396">
        <f t="shared" si="6"/>
        <v>12300000</v>
      </c>
      <c r="N39" s="396">
        <f t="shared" si="6"/>
        <v>3375000</v>
      </c>
      <c r="O39" s="396">
        <f>SUM(O7:O38)</f>
        <v>202906090</v>
      </c>
      <c r="P39" s="397">
        <f t="shared" si="6"/>
        <v>261584815</v>
      </c>
      <c r="Q39" s="396">
        <f>P39-O39</f>
        <v>58678725</v>
      </c>
      <c r="R39" s="195"/>
    </row>
    <row r="40" spans="1:18" x14ac:dyDescent="0.25">
      <c r="P40" s="294"/>
      <c r="Q40" s="295"/>
    </row>
    <row r="41" spans="1:18" x14ac:dyDescent="0.25">
      <c r="B41"/>
      <c r="G41"/>
      <c r="H41" s="294"/>
      <c r="P41" s="296" t="s">
        <v>1225</v>
      </c>
      <c r="Q41" s="295">
        <f>'10.2022'!Q45+'11.2022'!Q39</f>
        <v>380795878.61538458</v>
      </c>
    </row>
    <row r="42" spans="1:18" x14ac:dyDescent="0.25">
      <c r="B42"/>
      <c r="G42"/>
      <c r="Q42" s="294"/>
    </row>
    <row r="43" spans="1:18" x14ac:dyDescent="0.25">
      <c r="B43"/>
      <c r="G43"/>
      <c r="R43" s="195"/>
    </row>
  </sheetData>
  <mergeCells count="17">
    <mergeCell ref="C33:E33"/>
    <mergeCell ref="C38:E38"/>
    <mergeCell ref="A39:F39"/>
    <mergeCell ref="C28:E28"/>
    <mergeCell ref="C29:E29"/>
    <mergeCell ref="C30:E30"/>
    <mergeCell ref="C31:E31"/>
    <mergeCell ref="C32:E32"/>
    <mergeCell ref="C35:E35"/>
    <mergeCell ref="C36:E36"/>
    <mergeCell ref="C34:E34"/>
    <mergeCell ref="C37:E37"/>
    <mergeCell ref="A1:Q1"/>
    <mergeCell ref="A2:Q2"/>
    <mergeCell ref="A3:Q3"/>
    <mergeCell ref="G5:N5"/>
    <mergeCell ref="C27:E27"/>
  </mergeCells>
  <pageMargins left="0.7" right="0.7" top="0.75" bottom="0.75" header="0.3" footer="0.3"/>
  <pageSetup paperSize="9" orientation="portrait" horizontalDpi="0" verticalDpi="0"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FA5FB-FD1E-42E1-B017-51242AE161C4}">
  <dimension ref="A1:R40"/>
  <sheetViews>
    <sheetView topLeftCell="A20" workbookViewId="0">
      <selection activeCell="F35" sqref="F35"/>
    </sheetView>
  </sheetViews>
  <sheetFormatPr defaultColWidth="9.140625" defaultRowHeight="15" x14ac:dyDescent="0.25"/>
  <cols>
    <col min="1" max="1" width="4.5703125" customWidth="1"/>
    <col min="2" max="2" width="9.28515625" style="332" bestFit="1" customWidth="1"/>
    <col min="3" max="3" width="33.42578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s>
  <sheetData>
    <row r="1" spans="1:18" ht="23.25" x14ac:dyDescent="0.25">
      <c r="A1" s="551" t="s">
        <v>0</v>
      </c>
      <c r="B1" s="551"/>
      <c r="C1" s="551"/>
      <c r="D1" s="551"/>
      <c r="E1" s="551"/>
      <c r="F1" s="551"/>
      <c r="G1" s="551"/>
      <c r="H1" s="551"/>
      <c r="I1" s="551"/>
      <c r="J1" s="551"/>
      <c r="K1" s="551"/>
      <c r="L1" s="551"/>
      <c r="M1" s="551"/>
      <c r="N1" s="551"/>
      <c r="O1" s="551"/>
      <c r="P1" s="551"/>
      <c r="Q1" s="551"/>
    </row>
    <row r="2" spans="1:18" ht="15.75" x14ac:dyDescent="0.25">
      <c r="A2" s="550" t="s">
        <v>103</v>
      </c>
      <c r="B2" s="550"/>
      <c r="C2" s="550"/>
      <c r="D2" s="550"/>
      <c r="E2" s="550"/>
      <c r="F2" s="550"/>
      <c r="G2" s="550"/>
      <c r="H2" s="550"/>
      <c r="I2" s="550"/>
      <c r="J2" s="550"/>
      <c r="K2" s="550"/>
      <c r="L2" s="550"/>
      <c r="M2" s="550"/>
      <c r="N2" s="550"/>
      <c r="O2" s="550"/>
      <c r="P2" s="550"/>
      <c r="Q2" s="550"/>
    </row>
    <row r="3" spans="1:18" ht="15.75" x14ac:dyDescent="0.25">
      <c r="A3" s="550" t="s">
        <v>4671</v>
      </c>
      <c r="B3" s="550"/>
      <c r="C3" s="550"/>
      <c r="D3" s="550"/>
      <c r="E3" s="550"/>
      <c r="F3" s="550"/>
      <c r="G3" s="550"/>
      <c r="H3" s="550"/>
      <c r="I3" s="550"/>
      <c r="J3" s="550"/>
      <c r="K3" s="550"/>
      <c r="L3" s="550"/>
      <c r="M3" s="550"/>
      <c r="N3" s="550"/>
      <c r="O3" s="550"/>
      <c r="P3" s="550"/>
      <c r="Q3" s="550"/>
    </row>
    <row r="4" spans="1:18" x14ac:dyDescent="0.25">
      <c r="A4" s="74"/>
      <c r="B4" s="99"/>
      <c r="C4" s="74"/>
      <c r="D4" s="74"/>
      <c r="E4" s="74" t="s">
        <v>194</v>
      </c>
      <c r="F4" s="74"/>
      <c r="G4" s="257"/>
      <c r="H4" s="258"/>
      <c r="I4" s="258"/>
      <c r="J4" s="258"/>
      <c r="K4" s="258"/>
      <c r="L4" s="91"/>
      <c r="M4" s="258"/>
      <c r="N4" s="258"/>
      <c r="O4" s="258"/>
      <c r="P4" s="258"/>
      <c r="Q4" s="258"/>
    </row>
    <row r="5" spans="1:18"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18"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18" x14ac:dyDescent="0.25">
      <c r="A7" s="75"/>
      <c r="B7" s="100"/>
      <c r="C7" s="88"/>
      <c r="D7" s="88"/>
      <c r="E7" s="134"/>
      <c r="F7" s="75"/>
      <c r="G7" s="264"/>
      <c r="H7" s="264"/>
      <c r="I7" s="264"/>
      <c r="J7" s="264"/>
      <c r="K7" s="264"/>
      <c r="L7" s="308"/>
      <c r="M7" s="264"/>
      <c r="N7" s="264"/>
      <c r="O7" s="265"/>
      <c r="P7" s="265"/>
      <c r="Q7" s="264"/>
    </row>
    <row r="8" spans="1:18" ht="21.75" customHeight="1" x14ac:dyDescent="0.25">
      <c r="A8" s="470">
        <v>1</v>
      </c>
      <c r="B8" s="472">
        <v>44897</v>
      </c>
      <c r="C8" s="366" t="s">
        <v>4672</v>
      </c>
      <c r="D8" s="367" t="s">
        <v>4680</v>
      </c>
      <c r="E8" s="354" t="s">
        <v>4432</v>
      </c>
      <c r="F8" s="368"/>
      <c r="G8" s="369">
        <v>376</v>
      </c>
      <c r="H8" s="358">
        <f>365*23210</f>
        <v>8471650</v>
      </c>
      <c r="I8" s="358"/>
      <c r="J8" s="358">
        <v>3020000</v>
      </c>
      <c r="K8" s="371"/>
      <c r="L8" s="372"/>
      <c r="M8" s="358"/>
      <c r="N8" s="358"/>
      <c r="O8" s="358">
        <f>H8+J8+K8+L8+M8+N8</f>
        <v>11491650</v>
      </c>
      <c r="P8" s="358">
        <v>21770000</v>
      </c>
      <c r="Q8" s="358">
        <f>P8-O8</f>
        <v>10278350</v>
      </c>
      <c r="R8" s="195"/>
    </row>
    <row r="9" spans="1:18" ht="21.75" customHeight="1" x14ac:dyDescent="0.25">
      <c r="A9" s="350">
        <v>2</v>
      </c>
      <c r="B9" s="482">
        <v>44897</v>
      </c>
      <c r="C9" s="366" t="s">
        <v>1493</v>
      </c>
      <c r="D9" s="415" t="s">
        <v>4681</v>
      </c>
      <c r="E9" s="354" t="s">
        <v>4504</v>
      </c>
      <c r="F9" s="368"/>
      <c r="G9" s="369">
        <v>375</v>
      </c>
      <c r="H9" s="358">
        <f>G9*23210</f>
        <v>8703750</v>
      </c>
      <c r="I9" s="358"/>
      <c r="J9" s="358">
        <v>3020000</v>
      </c>
      <c r="K9" s="371"/>
      <c r="L9" s="372"/>
      <c r="M9" s="358"/>
      <c r="N9" s="358"/>
      <c r="O9" s="358">
        <f t="shared" ref="O9:O26" si="0">H9+J9+K9+L9+M9+N9</f>
        <v>11723750</v>
      </c>
      <c r="P9" s="385">
        <v>21770000</v>
      </c>
      <c r="Q9" s="358">
        <f t="shared" ref="Q9:Q26" si="1">P9-O9</f>
        <v>10046250</v>
      </c>
      <c r="R9" s="195"/>
    </row>
    <row r="10" spans="1:18" ht="21.75" customHeight="1" x14ac:dyDescent="0.25">
      <c r="A10" s="350">
        <v>3</v>
      </c>
      <c r="B10" s="482">
        <v>44900</v>
      </c>
      <c r="C10" s="366" t="s">
        <v>2196</v>
      </c>
      <c r="D10" s="367" t="s">
        <v>4682</v>
      </c>
      <c r="E10" s="354" t="s">
        <v>4699</v>
      </c>
      <c r="F10" s="368"/>
      <c r="G10" s="369">
        <v>392</v>
      </c>
      <c r="H10" s="358">
        <f t="shared" ref="H10:H11" si="2">G10*23210</f>
        <v>9098320</v>
      </c>
      <c r="I10" s="358"/>
      <c r="J10" s="358">
        <v>3232000</v>
      </c>
      <c r="K10" s="371"/>
      <c r="L10" s="372"/>
      <c r="M10" s="358"/>
      <c r="N10" s="358"/>
      <c r="O10" s="358">
        <f t="shared" si="0"/>
        <v>12330320</v>
      </c>
      <c r="P10" s="385">
        <v>22420000</v>
      </c>
      <c r="Q10" s="358">
        <f t="shared" si="1"/>
        <v>10089680</v>
      </c>
      <c r="R10" s="195"/>
    </row>
    <row r="11" spans="1:18" ht="21.75" customHeight="1" x14ac:dyDescent="0.25">
      <c r="A11" s="350">
        <v>4</v>
      </c>
      <c r="B11" s="482">
        <v>44902</v>
      </c>
      <c r="C11" s="366" t="s">
        <v>4673</v>
      </c>
      <c r="D11" s="367" t="s">
        <v>4683</v>
      </c>
      <c r="E11" s="354" t="s">
        <v>21</v>
      </c>
      <c r="F11" s="368"/>
      <c r="G11" s="369">
        <v>240</v>
      </c>
      <c r="H11" s="358">
        <f t="shared" si="2"/>
        <v>5570400</v>
      </c>
      <c r="I11" s="358"/>
      <c r="J11" s="358">
        <v>2200000</v>
      </c>
      <c r="K11" s="371"/>
      <c r="L11" s="372"/>
      <c r="M11" s="358"/>
      <c r="N11" s="358"/>
      <c r="O11" s="358">
        <f t="shared" si="0"/>
        <v>7770400</v>
      </c>
      <c r="P11" s="385">
        <v>14509259</v>
      </c>
      <c r="Q11" s="358">
        <f t="shared" si="1"/>
        <v>6738859</v>
      </c>
      <c r="R11" s="195"/>
    </row>
    <row r="12" spans="1:18" ht="21.75" customHeight="1" x14ac:dyDescent="0.25">
      <c r="A12" s="350">
        <v>5</v>
      </c>
      <c r="B12" s="482">
        <v>44903</v>
      </c>
      <c r="C12" s="366" t="s">
        <v>3425</v>
      </c>
      <c r="D12" s="367" t="s">
        <v>4684</v>
      </c>
      <c r="E12" s="354" t="s">
        <v>286</v>
      </c>
      <c r="F12" s="368"/>
      <c r="G12" s="369">
        <v>79</v>
      </c>
      <c r="H12" s="358">
        <f>G12*21670</f>
        <v>1711930</v>
      </c>
      <c r="I12" s="358"/>
      <c r="J12" s="358">
        <v>790000</v>
      </c>
      <c r="K12" s="371"/>
      <c r="L12" s="372"/>
      <c r="M12" s="358"/>
      <c r="N12" s="358"/>
      <c r="O12" s="358">
        <f t="shared" si="0"/>
        <v>2501930</v>
      </c>
      <c r="P12" s="385">
        <v>4210000</v>
      </c>
      <c r="Q12" s="358">
        <f t="shared" si="1"/>
        <v>1708070</v>
      </c>
      <c r="R12" s="195"/>
    </row>
    <row r="13" spans="1:18" ht="21.75" customHeight="1" x14ac:dyDescent="0.25">
      <c r="A13" s="350">
        <v>6</v>
      </c>
      <c r="B13" s="482">
        <v>44907</v>
      </c>
      <c r="C13" s="366" t="s">
        <v>4674</v>
      </c>
      <c r="D13" s="367" t="s">
        <v>4685</v>
      </c>
      <c r="E13" s="354" t="s">
        <v>4594</v>
      </c>
      <c r="F13" s="368"/>
      <c r="G13" s="369">
        <v>238</v>
      </c>
      <c r="H13" s="358">
        <f t="shared" ref="H13:H19" si="3">G13*21670</f>
        <v>5157460</v>
      </c>
      <c r="I13" s="358"/>
      <c r="J13" s="358">
        <v>2130000</v>
      </c>
      <c r="K13" s="371"/>
      <c r="L13" s="372"/>
      <c r="M13" s="358"/>
      <c r="N13" s="358"/>
      <c r="O13" s="358">
        <f t="shared" si="0"/>
        <v>7287460</v>
      </c>
      <c r="P13" s="385">
        <v>12750000</v>
      </c>
      <c r="Q13" s="358">
        <f t="shared" si="1"/>
        <v>5462540</v>
      </c>
      <c r="R13" s="195"/>
    </row>
    <row r="14" spans="1:18" ht="21.75" customHeight="1" x14ac:dyDescent="0.25">
      <c r="A14" s="350">
        <v>7</v>
      </c>
      <c r="B14" s="482">
        <v>44907</v>
      </c>
      <c r="C14" s="366" t="s">
        <v>1500</v>
      </c>
      <c r="D14" s="367" t="s">
        <v>4686</v>
      </c>
      <c r="E14" s="354" t="s">
        <v>24</v>
      </c>
      <c r="F14" s="368"/>
      <c r="G14" s="369">
        <v>180</v>
      </c>
      <c r="H14" s="358">
        <f t="shared" si="3"/>
        <v>3900600</v>
      </c>
      <c r="I14" s="358"/>
      <c r="J14" s="358">
        <v>1530000</v>
      </c>
      <c r="K14" s="371"/>
      <c r="L14" s="372"/>
      <c r="M14" s="358"/>
      <c r="N14" s="358"/>
      <c r="O14" s="358">
        <f t="shared" si="0"/>
        <v>5430600</v>
      </c>
      <c r="P14" s="385">
        <v>8883333</v>
      </c>
      <c r="Q14" s="358">
        <f t="shared" si="1"/>
        <v>3452733</v>
      </c>
      <c r="R14" s="195"/>
    </row>
    <row r="15" spans="1:18" ht="21.75" customHeight="1" x14ac:dyDescent="0.25">
      <c r="A15" s="350">
        <v>8</v>
      </c>
      <c r="B15" s="482">
        <v>44909</v>
      </c>
      <c r="C15" s="366" t="s">
        <v>796</v>
      </c>
      <c r="D15" s="367" t="s">
        <v>4687</v>
      </c>
      <c r="E15" s="354" t="s">
        <v>4700</v>
      </c>
      <c r="F15" s="368"/>
      <c r="G15" s="369">
        <v>92</v>
      </c>
      <c r="H15" s="358">
        <f t="shared" si="3"/>
        <v>1993640</v>
      </c>
      <c r="I15" s="358"/>
      <c r="J15" s="358">
        <v>430000</v>
      </c>
      <c r="K15" s="371"/>
      <c r="L15" s="372"/>
      <c r="M15" s="358"/>
      <c r="N15" s="358"/>
      <c r="O15" s="358">
        <f t="shared" si="0"/>
        <v>2423640</v>
      </c>
      <c r="P15" s="385">
        <v>4637037</v>
      </c>
      <c r="Q15" s="358">
        <f t="shared" si="1"/>
        <v>2213397</v>
      </c>
      <c r="R15" s="195"/>
    </row>
    <row r="16" spans="1:18" ht="21.75" customHeight="1" x14ac:dyDescent="0.25">
      <c r="A16" s="350">
        <v>9</v>
      </c>
      <c r="B16" s="482">
        <v>44910</v>
      </c>
      <c r="C16" s="366" t="s">
        <v>4132</v>
      </c>
      <c r="D16" s="367" t="s">
        <v>4688</v>
      </c>
      <c r="E16" s="354" t="s">
        <v>21</v>
      </c>
      <c r="F16" s="368"/>
      <c r="G16" s="369">
        <v>240</v>
      </c>
      <c r="H16" s="358">
        <f t="shared" si="3"/>
        <v>5200800</v>
      </c>
      <c r="I16" s="358"/>
      <c r="J16" s="358">
        <v>2380000</v>
      </c>
      <c r="K16" s="371"/>
      <c r="L16" s="372"/>
      <c r="M16" s="358"/>
      <c r="N16" s="358"/>
      <c r="O16" s="358">
        <f t="shared" si="0"/>
        <v>7580800</v>
      </c>
      <c r="P16" s="385">
        <v>14166667</v>
      </c>
      <c r="Q16" s="358">
        <f t="shared" si="1"/>
        <v>6585867</v>
      </c>
      <c r="R16" s="195"/>
    </row>
    <row r="17" spans="1:18" ht="21.75" customHeight="1" x14ac:dyDescent="0.25">
      <c r="A17" s="350">
        <v>10</v>
      </c>
      <c r="B17" s="482">
        <v>44910</v>
      </c>
      <c r="C17" s="366" t="s">
        <v>4675</v>
      </c>
      <c r="D17" s="367" t="s">
        <v>4689</v>
      </c>
      <c r="E17" s="354" t="s">
        <v>24</v>
      </c>
      <c r="F17" s="368"/>
      <c r="G17" s="369">
        <v>193</v>
      </c>
      <c r="H17" s="358">
        <f t="shared" si="3"/>
        <v>4182310</v>
      </c>
      <c r="I17" s="358"/>
      <c r="J17" s="358">
        <v>1530000</v>
      </c>
      <c r="K17" s="371"/>
      <c r="L17" s="372"/>
      <c r="M17" s="358"/>
      <c r="N17" s="358"/>
      <c r="O17" s="358">
        <f t="shared" si="0"/>
        <v>5712310</v>
      </c>
      <c r="P17" s="385">
        <v>9290741</v>
      </c>
      <c r="Q17" s="358">
        <f t="shared" si="1"/>
        <v>3578431</v>
      </c>
      <c r="R17" s="195"/>
    </row>
    <row r="18" spans="1:18" ht="21.75" customHeight="1" x14ac:dyDescent="0.25">
      <c r="A18" s="350">
        <v>11</v>
      </c>
      <c r="B18" s="482">
        <v>44911</v>
      </c>
      <c r="C18" s="366" t="s">
        <v>3431</v>
      </c>
      <c r="D18" s="367" t="s">
        <v>4690</v>
      </c>
      <c r="E18" s="354" t="s">
        <v>4283</v>
      </c>
      <c r="F18" s="368"/>
      <c r="G18" s="369">
        <v>269</v>
      </c>
      <c r="H18" s="358">
        <f t="shared" si="3"/>
        <v>5829230</v>
      </c>
      <c r="I18" s="358"/>
      <c r="J18" s="358">
        <v>2170000</v>
      </c>
      <c r="K18" s="371"/>
      <c r="L18" s="372"/>
      <c r="M18" s="358"/>
      <c r="N18" s="358"/>
      <c r="O18" s="358">
        <f t="shared" si="0"/>
        <v>7999230</v>
      </c>
      <c r="P18" s="385">
        <v>14800000</v>
      </c>
      <c r="Q18" s="358">
        <f t="shared" si="1"/>
        <v>6800770</v>
      </c>
      <c r="R18" s="195"/>
    </row>
    <row r="19" spans="1:18" ht="21.75" customHeight="1" x14ac:dyDescent="0.25">
      <c r="A19" s="470">
        <v>12</v>
      </c>
      <c r="B19" s="487">
        <v>44915</v>
      </c>
      <c r="C19" s="366" t="s">
        <v>801</v>
      </c>
      <c r="D19" s="367" t="s">
        <v>4691</v>
      </c>
      <c r="E19" s="354" t="s">
        <v>21</v>
      </c>
      <c r="F19" s="461"/>
      <c r="G19" s="369">
        <v>239</v>
      </c>
      <c r="H19" s="358">
        <f t="shared" si="3"/>
        <v>5179130</v>
      </c>
      <c r="I19" s="381"/>
      <c r="J19" s="381">
        <v>2200000</v>
      </c>
      <c r="K19" s="371"/>
      <c r="L19" s="372"/>
      <c r="M19" s="381"/>
      <c r="N19" s="381"/>
      <c r="O19" s="358">
        <f t="shared" si="0"/>
        <v>7379130</v>
      </c>
      <c r="P19" s="385">
        <v>13500000</v>
      </c>
      <c r="Q19" s="358">
        <f t="shared" si="1"/>
        <v>6120870</v>
      </c>
      <c r="R19" s="195"/>
    </row>
    <row r="20" spans="1:18" ht="21.75" customHeight="1" x14ac:dyDescent="0.25">
      <c r="A20" s="350">
        <v>13</v>
      </c>
      <c r="B20" s="487">
        <v>44915</v>
      </c>
      <c r="C20" s="366" t="s">
        <v>4676</v>
      </c>
      <c r="D20" s="367" t="s">
        <v>4692</v>
      </c>
      <c r="E20" s="354" t="s">
        <v>4283</v>
      </c>
      <c r="F20" s="461"/>
      <c r="G20" s="369">
        <v>269</v>
      </c>
      <c r="H20" s="358">
        <f>G20*21600</f>
        <v>5810400</v>
      </c>
      <c r="I20" s="381"/>
      <c r="J20" s="381">
        <v>2385000</v>
      </c>
      <c r="K20" s="371"/>
      <c r="L20" s="372"/>
      <c r="M20" s="381"/>
      <c r="N20" s="381"/>
      <c r="O20" s="358">
        <f t="shared" si="0"/>
        <v>8195400</v>
      </c>
      <c r="P20" s="385">
        <v>14800000</v>
      </c>
      <c r="Q20" s="358">
        <f t="shared" si="1"/>
        <v>6604600</v>
      </c>
      <c r="R20" s="195"/>
    </row>
    <row r="21" spans="1:18" ht="21.75" customHeight="1" x14ac:dyDescent="0.25">
      <c r="A21" s="350">
        <v>14</v>
      </c>
      <c r="B21" s="487">
        <v>44916</v>
      </c>
      <c r="C21" s="366" t="s">
        <v>4136</v>
      </c>
      <c r="D21" s="367" t="s">
        <v>4693</v>
      </c>
      <c r="E21" s="354" t="s">
        <v>24</v>
      </c>
      <c r="F21" s="461"/>
      <c r="G21" s="369">
        <v>183</v>
      </c>
      <c r="H21" s="358">
        <f t="shared" ref="H21:H25" si="4">G21*21600</f>
        <v>3952800</v>
      </c>
      <c r="I21" s="381"/>
      <c r="J21" s="381">
        <v>1530000</v>
      </c>
      <c r="K21" s="371"/>
      <c r="L21" s="372"/>
      <c r="M21" s="381"/>
      <c r="N21" s="381"/>
      <c r="O21" s="358">
        <f t="shared" si="0"/>
        <v>5482800</v>
      </c>
      <c r="P21" s="385">
        <v>8883333</v>
      </c>
      <c r="Q21" s="358">
        <f t="shared" si="1"/>
        <v>3400533</v>
      </c>
      <c r="R21" s="195"/>
    </row>
    <row r="22" spans="1:18" ht="21.75" customHeight="1" x14ac:dyDescent="0.25">
      <c r="A22" s="350">
        <v>15</v>
      </c>
      <c r="B22" s="487">
        <v>44917</v>
      </c>
      <c r="C22" s="366" t="s">
        <v>4677</v>
      </c>
      <c r="D22" s="367" t="s">
        <v>4694</v>
      </c>
      <c r="E22" s="354" t="s">
        <v>4699</v>
      </c>
      <c r="F22" s="461"/>
      <c r="G22" s="369">
        <v>390</v>
      </c>
      <c r="H22" s="358">
        <f t="shared" si="4"/>
        <v>8424000</v>
      </c>
      <c r="I22" s="381"/>
      <c r="J22" s="381">
        <v>3016000</v>
      </c>
      <c r="K22" s="371"/>
      <c r="L22" s="372"/>
      <c r="M22" s="381"/>
      <c r="N22" s="381"/>
      <c r="O22" s="358">
        <f t="shared" si="0"/>
        <v>11440000</v>
      </c>
      <c r="P22" s="385">
        <v>21870000</v>
      </c>
      <c r="Q22" s="358">
        <f t="shared" si="1"/>
        <v>10430000</v>
      </c>
      <c r="R22" s="195"/>
    </row>
    <row r="23" spans="1:18" ht="21.75" customHeight="1" x14ac:dyDescent="0.25">
      <c r="A23" s="350">
        <v>16</v>
      </c>
      <c r="B23" s="487">
        <v>44921</v>
      </c>
      <c r="C23" s="366" t="s">
        <v>2847</v>
      </c>
      <c r="D23" s="367" t="s">
        <v>4695</v>
      </c>
      <c r="E23" s="354" t="s">
        <v>4699</v>
      </c>
      <c r="F23" s="461"/>
      <c r="G23" s="369">
        <v>390</v>
      </c>
      <c r="H23" s="358">
        <f t="shared" si="4"/>
        <v>8424000</v>
      </c>
      <c r="I23" s="381"/>
      <c r="J23" s="381">
        <v>3232000</v>
      </c>
      <c r="K23" s="371"/>
      <c r="L23" s="372"/>
      <c r="M23" s="381"/>
      <c r="N23" s="381"/>
      <c r="O23" s="358">
        <f t="shared" si="0"/>
        <v>11656000</v>
      </c>
      <c r="P23" s="385">
        <v>21870000</v>
      </c>
      <c r="Q23" s="358">
        <f t="shared" si="1"/>
        <v>10214000</v>
      </c>
      <c r="R23" s="195"/>
    </row>
    <row r="24" spans="1:18" ht="21.75" customHeight="1" x14ac:dyDescent="0.25">
      <c r="A24" s="470">
        <v>17</v>
      </c>
      <c r="B24" s="487">
        <v>44923</v>
      </c>
      <c r="C24" s="366" t="s">
        <v>4678</v>
      </c>
      <c r="D24" s="367" t="s">
        <v>4696</v>
      </c>
      <c r="E24" s="354" t="s">
        <v>24</v>
      </c>
      <c r="F24" s="461"/>
      <c r="G24" s="369">
        <v>180</v>
      </c>
      <c r="H24" s="358">
        <f t="shared" si="4"/>
        <v>3888000</v>
      </c>
      <c r="I24" s="381"/>
      <c r="J24" s="381">
        <v>1530000</v>
      </c>
      <c r="K24" s="371"/>
      <c r="L24" s="372"/>
      <c r="M24" s="381"/>
      <c r="N24" s="381"/>
      <c r="O24" s="358">
        <f t="shared" si="0"/>
        <v>5418000</v>
      </c>
      <c r="P24" s="385">
        <v>8883333</v>
      </c>
      <c r="Q24" s="358">
        <f t="shared" si="1"/>
        <v>3465333</v>
      </c>
      <c r="R24" s="195"/>
    </row>
    <row r="25" spans="1:18" ht="21.75" customHeight="1" x14ac:dyDescent="0.25">
      <c r="A25" s="350">
        <v>18</v>
      </c>
      <c r="B25" s="487">
        <v>44924</v>
      </c>
      <c r="C25" s="366" t="s">
        <v>4679</v>
      </c>
      <c r="D25" s="367" t="s">
        <v>4697</v>
      </c>
      <c r="E25" s="354" t="s">
        <v>2959</v>
      </c>
      <c r="F25" s="461"/>
      <c r="G25" s="369">
        <v>60</v>
      </c>
      <c r="H25" s="358">
        <f t="shared" si="4"/>
        <v>1296000</v>
      </c>
      <c r="I25" s="381"/>
      <c r="J25" s="381">
        <v>430000</v>
      </c>
      <c r="K25" s="371"/>
      <c r="L25" s="372"/>
      <c r="M25" s="381"/>
      <c r="N25" s="381"/>
      <c r="O25" s="358">
        <f t="shared" si="0"/>
        <v>1726000</v>
      </c>
      <c r="P25" s="481">
        <v>3150000</v>
      </c>
      <c r="Q25" s="358">
        <f t="shared" si="1"/>
        <v>1424000</v>
      </c>
      <c r="R25" s="195"/>
    </row>
    <row r="26" spans="1:18" ht="21.75" customHeight="1" x14ac:dyDescent="0.25">
      <c r="A26" s="350">
        <v>19</v>
      </c>
      <c r="B26" s="487">
        <v>44926</v>
      </c>
      <c r="C26" s="366" t="s">
        <v>1512</v>
      </c>
      <c r="D26" s="367" t="s">
        <v>4698</v>
      </c>
      <c r="E26" s="354" t="s">
        <v>4504</v>
      </c>
      <c r="F26" s="461"/>
      <c r="G26" s="369">
        <v>389</v>
      </c>
      <c r="H26" s="358">
        <f>G26*22150</f>
        <v>8616350</v>
      </c>
      <c r="I26" s="381"/>
      <c r="J26" s="381">
        <v>3232000</v>
      </c>
      <c r="K26" s="371"/>
      <c r="L26" s="372"/>
      <c r="M26" s="381"/>
      <c r="N26" s="381"/>
      <c r="O26" s="358">
        <f t="shared" si="0"/>
        <v>11848350</v>
      </c>
      <c r="P26" s="385">
        <v>21220000</v>
      </c>
      <c r="Q26" s="358">
        <f t="shared" si="1"/>
        <v>9371650</v>
      </c>
      <c r="R26" s="195"/>
    </row>
    <row r="27" spans="1:18" ht="27" customHeight="1" x14ac:dyDescent="0.25">
      <c r="A27" s="374"/>
      <c r="B27" s="488"/>
      <c r="C27" s="609" t="s">
        <v>1273</v>
      </c>
      <c r="D27" s="609"/>
      <c r="E27" s="609"/>
      <c r="F27" s="402"/>
      <c r="G27" s="358"/>
      <c r="H27" s="369"/>
      <c r="I27" s="403"/>
      <c r="J27" s="381"/>
      <c r="K27" s="435">
        <v>1200000</v>
      </c>
      <c r="L27" s="372"/>
      <c r="M27" s="381"/>
      <c r="N27" s="381"/>
      <c r="O27" s="385">
        <f>H27+J27+K27+L27+M27+N27</f>
        <v>1200000</v>
      </c>
      <c r="P27" s="385"/>
      <c r="Q27" s="385"/>
    </row>
    <row r="28" spans="1:18" ht="27" customHeight="1" x14ac:dyDescent="0.25">
      <c r="A28" s="386"/>
      <c r="B28" s="379"/>
      <c r="C28" s="594" t="s">
        <v>4535</v>
      </c>
      <c r="D28" s="595"/>
      <c r="E28" s="596"/>
      <c r="F28" s="402"/>
      <c r="G28" s="381"/>
      <c r="H28" s="369"/>
      <c r="J28" s="381"/>
      <c r="K28" s="388">
        <v>21603000</v>
      </c>
      <c r="L28" s="388"/>
      <c r="M28" s="381"/>
      <c r="N28" s="381"/>
      <c r="O28" s="385">
        <f t="shared" ref="O28:O35" si="5">H28+J28+K28+L28+M28+N28</f>
        <v>21603000</v>
      </c>
      <c r="P28" s="389"/>
      <c r="Q28" s="378"/>
    </row>
    <row r="29" spans="1:18" ht="27" customHeight="1" x14ac:dyDescent="0.25">
      <c r="A29" s="386"/>
      <c r="B29" s="379"/>
      <c r="C29" s="594" t="s">
        <v>4702</v>
      </c>
      <c r="D29" s="595"/>
      <c r="E29" s="596"/>
      <c r="F29" s="402"/>
      <c r="G29" s="381"/>
      <c r="H29" s="369"/>
      <c r="I29" s="403"/>
      <c r="J29" s="381"/>
      <c r="K29" s="388"/>
      <c r="L29" s="437">
        <v>6600000</v>
      </c>
      <c r="M29" s="381"/>
      <c r="N29" s="381"/>
      <c r="O29" s="385">
        <f t="shared" si="5"/>
        <v>6600000</v>
      </c>
      <c r="P29" s="389"/>
      <c r="Q29" s="378"/>
    </row>
    <row r="30" spans="1:18" ht="27" customHeight="1" x14ac:dyDescent="0.25">
      <c r="A30" s="386"/>
      <c r="B30" s="379"/>
      <c r="C30" s="594" t="s">
        <v>4703</v>
      </c>
      <c r="D30" s="595"/>
      <c r="E30" s="596"/>
      <c r="F30" s="402"/>
      <c r="G30" s="381"/>
      <c r="H30" s="369"/>
      <c r="I30" s="403"/>
      <c r="J30" s="381"/>
      <c r="K30" s="388"/>
      <c r="L30" s="437">
        <v>70000</v>
      </c>
      <c r="M30" s="388"/>
      <c r="N30" s="388"/>
      <c r="O30" s="385">
        <f t="shared" si="5"/>
        <v>70000</v>
      </c>
      <c r="P30" s="389"/>
      <c r="Q30" s="378"/>
    </row>
    <row r="31" spans="1:18" ht="27" customHeight="1" x14ac:dyDescent="0.25">
      <c r="A31" s="386"/>
      <c r="B31" s="379"/>
      <c r="C31" s="594" t="s">
        <v>4704</v>
      </c>
      <c r="D31" s="595"/>
      <c r="E31" s="596"/>
      <c r="F31" s="402"/>
      <c r="G31" s="381"/>
      <c r="H31" s="369"/>
      <c r="I31" s="403"/>
      <c r="J31" s="381"/>
      <c r="K31" s="388"/>
      <c r="L31" s="388"/>
      <c r="M31" s="437">
        <v>9800000</v>
      </c>
      <c r="N31" s="388"/>
      <c r="O31" s="385">
        <f t="shared" si="5"/>
        <v>9800000</v>
      </c>
      <c r="P31" s="389"/>
      <c r="Q31" s="378"/>
    </row>
    <row r="32" spans="1:18" ht="27" customHeight="1" x14ac:dyDescent="0.25">
      <c r="A32" s="386"/>
      <c r="B32" s="379"/>
      <c r="C32" s="594" t="s">
        <v>4706</v>
      </c>
      <c r="D32" s="595"/>
      <c r="E32" s="596"/>
      <c r="F32" s="402"/>
      <c r="G32" s="381"/>
      <c r="H32" s="369"/>
      <c r="I32" s="403"/>
      <c r="J32" s="381"/>
      <c r="K32" s="388"/>
      <c r="L32" s="437">
        <v>1850000</v>
      </c>
      <c r="M32" s="388"/>
      <c r="N32" s="388"/>
      <c r="O32" s="385">
        <f t="shared" si="5"/>
        <v>1850000</v>
      </c>
      <c r="P32" s="389"/>
      <c r="Q32" s="378"/>
    </row>
    <row r="33" spans="1:18" ht="27" customHeight="1" x14ac:dyDescent="0.25">
      <c r="A33" s="386"/>
      <c r="B33" s="379"/>
      <c r="C33" s="594" t="s">
        <v>4707</v>
      </c>
      <c r="D33" s="595"/>
      <c r="E33" s="596"/>
      <c r="F33" s="402"/>
      <c r="G33" s="381"/>
      <c r="H33" s="369"/>
      <c r="I33" s="403"/>
      <c r="J33" s="381"/>
      <c r="K33" s="388"/>
      <c r="L33" s="437">
        <v>680000</v>
      </c>
      <c r="M33" s="388"/>
      <c r="N33" s="388"/>
      <c r="O33" s="385">
        <f t="shared" si="5"/>
        <v>680000</v>
      </c>
      <c r="P33" s="389"/>
      <c r="Q33" s="378"/>
    </row>
    <row r="34" spans="1:18" ht="27" customHeight="1" x14ac:dyDescent="0.25">
      <c r="A34" s="386"/>
      <c r="B34" s="379"/>
      <c r="C34" s="493" t="s">
        <v>197</v>
      </c>
      <c r="D34" s="429"/>
      <c r="E34" s="430"/>
      <c r="F34" s="402"/>
      <c r="G34" s="381"/>
      <c r="H34" s="369"/>
      <c r="I34" s="403"/>
      <c r="J34" s="381"/>
      <c r="K34" s="412">
        <v>5000000</v>
      </c>
      <c r="L34" s="437"/>
      <c r="M34" s="388"/>
      <c r="N34" s="388"/>
      <c r="O34" s="385">
        <f t="shared" si="5"/>
        <v>5000000</v>
      </c>
      <c r="P34" s="389"/>
      <c r="Q34" s="378"/>
    </row>
    <row r="35" spans="1:18" ht="30.75" customHeight="1" x14ac:dyDescent="0.25">
      <c r="A35" s="386"/>
      <c r="B35" s="391"/>
      <c r="C35" s="579" t="s">
        <v>4705</v>
      </c>
      <c r="D35" s="580"/>
      <c r="E35" s="581"/>
      <c r="F35" s="461"/>
      <c r="G35" s="381"/>
      <c r="H35" s="369"/>
      <c r="I35" s="403"/>
      <c r="J35" s="381"/>
      <c r="K35" s="439">
        <v>8600000</v>
      </c>
      <c r="L35" s="394"/>
      <c r="M35" s="381"/>
      <c r="N35" s="381"/>
      <c r="O35" s="362">
        <f t="shared" si="5"/>
        <v>8600000</v>
      </c>
      <c r="P35" s="389"/>
      <c r="Q35" s="378"/>
    </row>
    <row r="36" spans="1:18" x14ac:dyDescent="0.25">
      <c r="A36" s="576" t="s">
        <v>19</v>
      </c>
      <c r="B36" s="577"/>
      <c r="C36" s="577"/>
      <c r="D36" s="577"/>
      <c r="E36" s="577"/>
      <c r="F36" s="578"/>
      <c r="G36" s="395">
        <f>SUM(G8:G35)</f>
        <v>4774</v>
      </c>
      <c r="H36" s="396">
        <f t="shared" ref="H36:P36" si="6">SUM(H7:H35)</f>
        <v>105410770</v>
      </c>
      <c r="I36" s="396">
        <f t="shared" si="6"/>
        <v>0</v>
      </c>
      <c r="J36" s="396">
        <f t="shared" si="6"/>
        <v>39987000</v>
      </c>
      <c r="K36" s="396">
        <f t="shared" si="6"/>
        <v>36403000</v>
      </c>
      <c r="L36" s="396">
        <f t="shared" si="6"/>
        <v>9200000</v>
      </c>
      <c r="M36" s="396">
        <f t="shared" si="6"/>
        <v>9800000</v>
      </c>
      <c r="N36" s="396">
        <f t="shared" si="6"/>
        <v>0</v>
      </c>
      <c r="O36" s="396">
        <f t="shared" si="6"/>
        <v>200800770</v>
      </c>
      <c r="P36" s="396">
        <f t="shared" si="6"/>
        <v>263383703</v>
      </c>
      <c r="Q36" s="396">
        <f>P36-O36</f>
        <v>62582933</v>
      </c>
      <c r="R36" s="195"/>
    </row>
    <row r="37" spans="1:18" x14ac:dyDescent="0.25">
      <c r="P37" s="294"/>
      <c r="Q37" s="295"/>
    </row>
    <row r="38" spans="1:18" x14ac:dyDescent="0.25">
      <c r="B38"/>
      <c r="G38"/>
      <c r="H38" s="294"/>
      <c r="P38" s="296" t="s">
        <v>1225</v>
      </c>
      <c r="Q38" s="304">
        <f>'11.2022'!Q41+'12.2022'!Q36</f>
        <v>443378811.61538458</v>
      </c>
    </row>
    <row r="39" spans="1:18" x14ac:dyDescent="0.25">
      <c r="B39"/>
      <c r="G39"/>
      <c r="Q39" s="294"/>
    </row>
    <row r="40" spans="1:18" x14ac:dyDescent="0.25">
      <c r="B40"/>
      <c r="G40"/>
      <c r="R40" s="195"/>
    </row>
  </sheetData>
  <mergeCells count="13">
    <mergeCell ref="C35:E35"/>
    <mergeCell ref="A36:F36"/>
    <mergeCell ref="C29:E29"/>
    <mergeCell ref="C30:E30"/>
    <mergeCell ref="C31:E31"/>
    <mergeCell ref="C33:E33"/>
    <mergeCell ref="C28:E28"/>
    <mergeCell ref="C32:E32"/>
    <mergeCell ref="A1:Q1"/>
    <mergeCell ref="A2:Q2"/>
    <mergeCell ref="A3:Q3"/>
    <mergeCell ref="G5:N5"/>
    <mergeCell ref="C27:E27"/>
  </mergeCells>
  <pageMargins left="0.7" right="0.7" top="0.75" bottom="0.75" header="0.3" footer="0.3"/>
  <pageSetup paperSize="9" orientation="portrait" horizontalDpi="0" verticalDpi="0"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E2C57-C3CD-4A4B-8EAA-09A1960657B8}">
  <dimension ref="A1:S26"/>
  <sheetViews>
    <sheetView topLeftCell="F13" workbookViewId="0">
      <selection activeCell="Q22" sqref="Q22"/>
    </sheetView>
  </sheetViews>
  <sheetFormatPr defaultColWidth="9.140625" defaultRowHeight="15" x14ac:dyDescent="0.25"/>
  <cols>
    <col min="1" max="1" width="4.5703125" customWidth="1"/>
    <col min="2" max="2" width="9.28515625" style="332" bestFit="1" customWidth="1"/>
    <col min="3" max="3" width="33.42578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4709</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19"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19" x14ac:dyDescent="0.25">
      <c r="A7" s="75"/>
      <c r="B7" s="100"/>
      <c r="C7" s="88"/>
      <c r="D7" s="88"/>
      <c r="E7" s="134"/>
      <c r="F7" s="75"/>
      <c r="G7" s="264"/>
      <c r="H7" s="264"/>
      <c r="I7" s="264"/>
      <c r="J7" s="264"/>
      <c r="K7" s="264"/>
      <c r="L7" s="308"/>
      <c r="M7" s="264"/>
      <c r="N7" s="264"/>
      <c r="O7" s="265"/>
      <c r="P7" s="265"/>
      <c r="Q7" s="264"/>
    </row>
    <row r="8" spans="1:19" ht="21.75" customHeight="1" x14ac:dyDescent="0.25">
      <c r="A8" s="470">
        <v>1</v>
      </c>
      <c r="B8" s="472">
        <v>44929</v>
      </c>
      <c r="C8" s="366" t="s">
        <v>4710</v>
      </c>
      <c r="D8" s="367" t="s">
        <v>4711</v>
      </c>
      <c r="E8" s="354" t="s">
        <v>286</v>
      </c>
      <c r="F8" s="368"/>
      <c r="G8" s="369">
        <v>88</v>
      </c>
      <c r="H8" s="358">
        <f t="shared" ref="H8:H10" si="0">G8*22150</f>
        <v>1949200</v>
      </c>
      <c r="I8" s="358"/>
      <c r="J8" s="414">
        <v>790000</v>
      </c>
      <c r="K8" s="371"/>
      <c r="L8" s="372"/>
      <c r="M8" s="358"/>
      <c r="N8" s="358"/>
      <c r="O8" s="358">
        <f>H8+J8+K8+L8+M8+N8</f>
        <v>2739200</v>
      </c>
      <c r="P8" s="358">
        <v>4050000</v>
      </c>
      <c r="Q8" s="358">
        <f>P8-O8</f>
        <v>1310800</v>
      </c>
      <c r="R8" s="195"/>
      <c r="S8" s="195"/>
    </row>
    <row r="9" spans="1:19" ht="21.75" customHeight="1" x14ac:dyDescent="0.25">
      <c r="A9" s="350">
        <v>2</v>
      </c>
      <c r="B9" s="482">
        <v>44930</v>
      </c>
      <c r="C9" s="366" t="s">
        <v>863</v>
      </c>
      <c r="D9" s="415" t="s">
        <v>4712</v>
      </c>
      <c r="E9" s="354" t="s">
        <v>286</v>
      </c>
      <c r="F9" s="368"/>
      <c r="G9" s="369">
        <v>68</v>
      </c>
      <c r="H9" s="358">
        <f t="shared" si="0"/>
        <v>1506200</v>
      </c>
      <c r="I9" s="358"/>
      <c r="J9" s="414">
        <v>610000</v>
      </c>
      <c r="K9" s="371"/>
      <c r="L9" s="372"/>
      <c r="M9" s="358"/>
      <c r="N9" s="358"/>
      <c r="O9" s="358">
        <f t="shared" ref="O9:O17" si="1">H9+J9+K9+L9+M9+N9</f>
        <v>2116200</v>
      </c>
      <c r="P9" s="385">
        <v>4050000</v>
      </c>
      <c r="Q9" s="358">
        <f t="shared" ref="Q9:Q17" si="2">P9-O9</f>
        <v>1933800</v>
      </c>
      <c r="R9" s="195"/>
      <c r="S9" s="195"/>
    </row>
    <row r="10" spans="1:19" ht="21.75" customHeight="1" x14ac:dyDescent="0.25">
      <c r="A10" s="350">
        <v>3</v>
      </c>
      <c r="B10" s="482">
        <v>44930</v>
      </c>
      <c r="C10" s="366" t="s">
        <v>4713</v>
      </c>
      <c r="D10" s="367" t="s">
        <v>4714</v>
      </c>
      <c r="E10" s="354" t="s">
        <v>4715</v>
      </c>
      <c r="F10" s="368"/>
      <c r="G10" s="369">
        <v>386</v>
      </c>
      <c r="H10" s="358">
        <f t="shared" si="0"/>
        <v>8549900</v>
      </c>
      <c r="I10" s="358"/>
      <c r="J10" s="414">
        <v>2970000</v>
      </c>
      <c r="K10" s="371"/>
      <c r="L10" s="372"/>
      <c r="M10" s="358"/>
      <c r="N10" s="358"/>
      <c r="O10" s="358">
        <f t="shared" si="1"/>
        <v>11519900</v>
      </c>
      <c r="P10" s="385">
        <v>21870000</v>
      </c>
      <c r="Q10" s="358">
        <f t="shared" si="2"/>
        <v>10350100</v>
      </c>
      <c r="R10" s="195"/>
      <c r="S10" s="195"/>
    </row>
    <row r="11" spans="1:19" ht="21.75" customHeight="1" x14ac:dyDescent="0.25">
      <c r="A11" s="350">
        <v>4</v>
      </c>
      <c r="B11" s="482">
        <v>44933</v>
      </c>
      <c r="C11" s="366" t="s">
        <v>4716</v>
      </c>
      <c r="D11" s="367" t="s">
        <v>4717</v>
      </c>
      <c r="E11" s="354" t="s">
        <v>4715</v>
      </c>
      <c r="F11" s="368"/>
      <c r="G11" s="369">
        <v>386</v>
      </c>
      <c r="H11" s="358">
        <f>G11*22150</f>
        <v>8549900</v>
      </c>
      <c r="I11" s="358"/>
      <c r="J11" s="414">
        <v>2970000</v>
      </c>
      <c r="K11" s="371"/>
      <c r="L11" s="372"/>
      <c r="M11" s="358"/>
      <c r="N11" s="358"/>
      <c r="O11" s="358">
        <f t="shared" si="1"/>
        <v>11519900</v>
      </c>
      <c r="P11" s="385">
        <v>21870000</v>
      </c>
      <c r="Q11" s="358">
        <f t="shared" si="2"/>
        <v>10350100</v>
      </c>
      <c r="R11" s="195"/>
      <c r="S11" s="195"/>
    </row>
    <row r="12" spans="1:19" ht="21.75" customHeight="1" x14ac:dyDescent="0.25">
      <c r="A12" s="350">
        <v>5</v>
      </c>
      <c r="B12" s="482">
        <v>44935</v>
      </c>
      <c r="C12" s="366" t="s">
        <v>4718</v>
      </c>
      <c r="D12" s="367" t="s">
        <v>4719</v>
      </c>
      <c r="E12" s="354" t="s">
        <v>4504</v>
      </c>
      <c r="F12" s="368"/>
      <c r="G12" s="369">
        <v>373</v>
      </c>
      <c r="H12" s="358">
        <f>(G12-14)*21630+14*22150</f>
        <v>8075270</v>
      </c>
      <c r="I12" s="358"/>
      <c r="J12" s="414">
        <v>2970000</v>
      </c>
      <c r="K12" s="371"/>
      <c r="L12" s="372"/>
      <c r="M12" s="358"/>
      <c r="N12" s="358"/>
      <c r="O12" s="358">
        <f t="shared" si="1"/>
        <v>11045270</v>
      </c>
      <c r="P12" s="385">
        <v>21220000</v>
      </c>
      <c r="Q12" s="358">
        <f t="shared" si="2"/>
        <v>10174730</v>
      </c>
      <c r="R12" s="195"/>
      <c r="S12" s="195"/>
    </row>
    <row r="13" spans="1:19" ht="21.75" customHeight="1" x14ac:dyDescent="0.25">
      <c r="A13" s="350">
        <v>6</v>
      </c>
      <c r="B13" s="482">
        <v>44940</v>
      </c>
      <c r="C13" s="366" t="s">
        <v>4720</v>
      </c>
      <c r="D13" s="367" t="s">
        <v>4721</v>
      </c>
      <c r="E13" s="354" t="s">
        <v>4715</v>
      </c>
      <c r="F13" s="368"/>
      <c r="G13" s="369">
        <v>388</v>
      </c>
      <c r="H13" s="358">
        <f t="shared" ref="H13" si="3">G13*21630</f>
        <v>8392440</v>
      </c>
      <c r="I13" s="358"/>
      <c r="J13" s="414">
        <v>2970000</v>
      </c>
      <c r="K13" s="371"/>
      <c r="L13" s="372"/>
      <c r="M13" s="358"/>
      <c r="N13" s="358"/>
      <c r="O13" s="358">
        <f t="shared" si="1"/>
        <v>11362440</v>
      </c>
      <c r="P13" s="385">
        <v>21870000</v>
      </c>
      <c r="Q13" s="358">
        <f t="shared" si="2"/>
        <v>10507560</v>
      </c>
      <c r="R13" s="195"/>
      <c r="S13" s="195"/>
    </row>
    <row r="14" spans="1:19" ht="21.75" customHeight="1" x14ac:dyDescent="0.25">
      <c r="A14" s="350">
        <v>7</v>
      </c>
      <c r="B14" s="482">
        <v>44940</v>
      </c>
      <c r="C14" s="366" t="s">
        <v>4722</v>
      </c>
      <c r="D14" s="367" t="s">
        <v>4723</v>
      </c>
      <c r="E14" s="354" t="s">
        <v>4715</v>
      </c>
      <c r="F14" s="368"/>
      <c r="G14" s="369">
        <v>391</v>
      </c>
      <c r="H14" s="358">
        <f>G14*21630</f>
        <v>8457330</v>
      </c>
      <c r="I14" s="358"/>
      <c r="J14" s="414">
        <f>2970000+200000</f>
        <v>3170000</v>
      </c>
      <c r="K14" s="371"/>
      <c r="L14" s="372"/>
      <c r="M14" s="358"/>
      <c r="N14" s="358"/>
      <c r="O14" s="358">
        <f t="shared" si="1"/>
        <v>11627330</v>
      </c>
      <c r="P14" s="385">
        <v>23597273</v>
      </c>
      <c r="Q14" s="358">
        <f t="shared" si="2"/>
        <v>11969943</v>
      </c>
      <c r="R14" s="195"/>
      <c r="S14" s="195"/>
    </row>
    <row r="15" spans="1:19" ht="21.75" customHeight="1" x14ac:dyDescent="0.25">
      <c r="A15" s="350">
        <v>8</v>
      </c>
      <c r="B15" s="482">
        <v>44953</v>
      </c>
      <c r="C15" s="366" t="s">
        <v>2271</v>
      </c>
      <c r="D15" s="367" t="s">
        <v>4724</v>
      </c>
      <c r="E15" s="354" t="s">
        <v>24</v>
      </c>
      <c r="F15" s="368"/>
      <c r="G15" s="369">
        <v>180</v>
      </c>
      <c r="H15" s="358">
        <f>G15*22520</f>
        <v>4053600</v>
      </c>
      <c r="I15" s="358"/>
      <c r="J15" s="414">
        <v>1530000</v>
      </c>
      <c r="K15" s="371"/>
      <c r="L15" s="372"/>
      <c r="M15" s="358"/>
      <c r="N15" s="358"/>
      <c r="O15" s="358">
        <f t="shared" si="1"/>
        <v>5583600</v>
      </c>
      <c r="P15" s="385">
        <v>8883333</v>
      </c>
      <c r="Q15" s="358">
        <f t="shared" si="2"/>
        <v>3299733</v>
      </c>
      <c r="R15" s="195"/>
      <c r="S15" s="195"/>
    </row>
    <row r="16" spans="1:19" ht="21.75" customHeight="1" x14ac:dyDescent="0.25">
      <c r="A16" s="350">
        <v>9</v>
      </c>
      <c r="B16" s="482">
        <v>44953</v>
      </c>
      <c r="C16" s="366" t="s">
        <v>4198</v>
      </c>
      <c r="D16" s="367" t="s">
        <v>4725</v>
      </c>
      <c r="E16" s="354" t="s">
        <v>1621</v>
      </c>
      <c r="F16" s="368"/>
      <c r="G16" s="369">
        <v>81</v>
      </c>
      <c r="H16" s="358">
        <f t="shared" ref="H16:H17" si="4">G16*22520</f>
        <v>1824120</v>
      </c>
      <c r="I16" s="358"/>
      <c r="J16" s="414">
        <v>610000</v>
      </c>
      <c r="K16" s="371"/>
      <c r="L16" s="372"/>
      <c r="M16" s="358"/>
      <c r="N16" s="358"/>
      <c r="O16" s="358">
        <f t="shared" si="1"/>
        <v>2434120</v>
      </c>
      <c r="P16" s="385">
        <v>4367778</v>
      </c>
      <c r="Q16" s="358">
        <f t="shared" si="2"/>
        <v>1933658</v>
      </c>
      <c r="R16" s="195"/>
      <c r="S16" s="195"/>
    </row>
    <row r="17" spans="1:19" ht="21.75" customHeight="1" x14ac:dyDescent="0.25">
      <c r="A17" s="350">
        <v>10</v>
      </c>
      <c r="B17" s="482">
        <v>44956</v>
      </c>
      <c r="C17" s="366" t="s">
        <v>4726</v>
      </c>
      <c r="D17" s="367" t="s">
        <v>4727</v>
      </c>
      <c r="E17" s="354" t="s">
        <v>4728</v>
      </c>
      <c r="F17" s="368"/>
      <c r="G17" s="369">
        <v>93</v>
      </c>
      <c r="H17" s="358">
        <f t="shared" si="4"/>
        <v>2094360</v>
      </c>
      <c r="I17" s="358"/>
      <c r="J17" s="414">
        <v>790000</v>
      </c>
      <c r="K17" s="371"/>
      <c r="L17" s="372"/>
      <c r="M17" s="358"/>
      <c r="N17" s="358"/>
      <c r="O17" s="358">
        <f t="shared" si="1"/>
        <v>2884360</v>
      </c>
      <c r="P17" s="385">
        <v>4030000</v>
      </c>
      <c r="Q17" s="358">
        <f t="shared" si="2"/>
        <v>1145640</v>
      </c>
      <c r="R17" s="195"/>
      <c r="S17" s="195"/>
    </row>
    <row r="18" spans="1:19" ht="27" customHeight="1" x14ac:dyDescent="0.25">
      <c r="A18" s="374"/>
      <c r="B18" s="488"/>
      <c r="C18" s="609" t="s">
        <v>1273</v>
      </c>
      <c r="D18" s="609"/>
      <c r="E18" s="609"/>
      <c r="F18" s="402"/>
      <c r="G18" s="358"/>
      <c r="H18" s="369"/>
      <c r="I18" s="403"/>
      <c r="J18" s="381"/>
      <c r="K18" s="372">
        <v>1200000</v>
      </c>
      <c r="L18" s="372"/>
      <c r="M18" s="381"/>
      <c r="N18" s="381"/>
      <c r="O18" s="385">
        <f>H18+J18+K18+L18+M18+N18</f>
        <v>1200000</v>
      </c>
      <c r="P18" s="385"/>
      <c r="Q18" s="385"/>
    </row>
    <row r="19" spans="1:19" ht="27" customHeight="1" x14ac:dyDescent="0.25">
      <c r="A19" s="386"/>
      <c r="B19" s="379"/>
      <c r="C19" s="594" t="s">
        <v>4535</v>
      </c>
      <c r="D19" s="595"/>
      <c r="E19" s="596"/>
      <c r="F19" s="402"/>
      <c r="G19" s="381"/>
      <c r="H19" s="369"/>
      <c r="J19" s="381"/>
      <c r="K19" s="388">
        <v>14170000</v>
      </c>
      <c r="L19" s="388"/>
      <c r="M19" s="381"/>
      <c r="N19" s="381"/>
      <c r="O19" s="385">
        <f t="shared" ref="O19:O21" si="5">H19+J19+K19+L19+M19+N19</f>
        <v>14170000</v>
      </c>
      <c r="P19" s="389"/>
      <c r="Q19" s="378"/>
    </row>
    <row r="20" spans="1:19" ht="27" customHeight="1" x14ac:dyDescent="0.25">
      <c r="A20" s="386"/>
      <c r="B20" s="379"/>
      <c r="C20" s="594" t="s">
        <v>4729</v>
      </c>
      <c r="D20" s="595"/>
      <c r="E20" s="596"/>
      <c r="F20" s="402"/>
      <c r="G20" s="381"/>
      <c r="H20" s="369"/>
      <c r="I20" s="403"/>
      <c r="J20" s="388">
        <v>300000</v>
      </c>
      <c r="K20" s="388"/>
      <c r="L20" s="388"/>
      <c r="M20" s="381"/>
      <c r="N20" s="381"/>
      <c r="O20" s="385">
        <f t="shared" si="5"/>
        <v>300000</v>
      </c>
      <c r="P20" s="389"/>
      <c r="Q20" s="378"/>
    </row>
    <row r="21" spans="1:19" ht="30.75" customHeight="1" x14ac:dyDescent="0.25">
      <c r="A21" s="386"/>
      <c r="B21" s="391"/>
      <c r="C21" s="579" t="s">
        <v>4668</v>
      </c>
      <c r="D21" s="580"/>
      <c r="E21" s="581"/>
      <c r="F21" s="461"/>
      <c r="G21" s="381"/>
      <c r="H21" s="369"/>
      <c r="I21" s="403"/>
      <c r="J21" s="381"/>
      <c r="K21" s="394">
        <v>8000000</v>
      </c>
      <c r="L21" s="394"/>
      <c r="M21" s="381"/>
      <c r="N21" s="381"/>
      <c r="O21" s="362">
        <f t="shared" si="5"/>
        <v>8000000</v>
      </c>
      <c r="P21" s="389"/>
      <c r="Q21" s="378"/>
    </row>
    <row r="22" spans="1:19" x14ac:dyDescent="0.25">
      <c r="A22" s="576" t="s">
        <v>19</v>
      </c>
      <c r="B22" s="577"/>
      <c r="C22" s="577"/>
      <c r="D22" s="577"/>
      <c r="E22" s="577"/>
      <c r="F22" s="578"/>
      <c r="G22" s="395">
        <f>SUM(G8:G21)</f>
        <v>2434</v>
      </c>
      <c r="H22" s="396">
        <f t="shared" ref="H22:P22" si="6">SUM(H7:H21)</f>
        <v>53452320</v>
      </c>
      <c r="I22" s="396">
        <f t="shared" si="6"/>
        <v>0</v>
      </c>
      <c r="J22" s="396">
        <f t="shared" si="6"/>
        <v>19680000</v>
      </c>
      <c r="K22" s="396">
        <f t="shared" si="6"/>
        <v>23370000</v>
      </c>
      <c r="L22" s="396">
        <f t="shared" si="6"/>
        <v>0</v>
      </c>
      <c r="M22" s="396">
        <f t="shared" si="6"/>
        <v>0</v>
      </c>
      <c r="N22" s="396">
        <f t="shared" si="6"/>
        <v>0</v>
      </c>
      <c r="O22" s="396">
        <f t="shared" si="6"/>
        <v>96502320</v>
      </c>
      <c r="P22" s="397">
        <f t="shared" si="6"/>
        <v>135808384</v>
      </c>
      <c r="Q22" s="396">
        <f>P22-O22</f>
        <v>39306064</v>
      </c>
      <c r="R22" s="195"/>
    </row>
    <row r="23" spans="1:19" x14ac:dyDescent="0.25">
      <c r="P23" s="294"/>
      <c r="Q23" s="295"/>
    </row>
    <row r="24" spans="1:19" x14ac:dyDescent="0.25">
      <c r="B24"/>
      <c r="G24"/>
      <c r="H24" s="294"/>
      <c r="P24" s="296" t="s">
        <v>1225</v>
      </c>
      <c r="Q24" s="295">
        <f>Q22</f>
        <v>39306064</v>
      </c>
    </row>
    <row r="25" spans="1:19" x14ac:dyDescent="0.25">
      <c r="B25"/>
      <c r="G25"/>
      <c r="Q25" s="294"/>
    </row>
    <row r="26" spans="1:19" x14ac:dyDescent="0.25">
      <c r="B26"/>
      <c r="G26"/>
      <c r="R26" s="195"/>
    </row>
  </sheetData>
  <mergeCells count="9">
    <mergeCell ref="C20:E20"/>
    <mergeCell ref="C21:E21"/>
    <mergeCell ref="A22:F22"/>
    <mergeCell ref="A1:Q1"/>
    <mergeCell ref="A2:Q2"/>
    <mergeCell ref="A3:Q3"/>
    <mergeCell ref="G5:N5"/>
    <mergeCell ref="C18:E18"/>
    <mergeCell ref="C19:E19"/>
  </mergeCells>
  <pageMargins left="0.7" right="0.7" top="0.75" bottom="0.75" header="0.3" footer="0.3"/>
  <pageSetup paperSize="9" orientation="portrait" horizontalDpi="0" verticalDpi="0"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96393-B99E-435C-B2FD-FB793F9479F8}">
  <dimension ref="A1:S42"/>
  <sheetViews>
    <sheetView topLeftCell="E32" workbookViewId="0">
      <selection activeCell="Q38" sqref="Q38"/>
    </sheetView>
  </sheetViews>
  <sheetFormatPr defaultColWidth="9.140625" defaultRowHeight="15" x14ac:dyDescent="0.25"/>
  <cols>
    <col min="1" max="1" width="4.5703125" customWidth="1"/>
    <col min="2" max="2" width="9.28515625" style="332" bestFit="1" customWidth="1"/>
    <col min="3" max="3" width="33.42578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4730</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19"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19" x14ac:dyDescent="0.25">
      <c r="A7" s="75"/>
      <c r="B7" s="100"/>
      <c r="C7" s="88"/>
      <c r="D7" s="88"/>
      <c r="E7" s="134"/>
      <c r="F7" s="75"/>
      <c r="G7" s="264"/>
      <c r="H7" s="264"/>
      <c r="I7" s="264"/>
      <c r="J7" s="264"/>
      <c r="K7" s="264"/>
      <c r="L7" s="308"/>
      <c r="M7" s="264"/>
      <c r="N7" s="264"/>
      <c r="O7" s="265"/>
      <c r="P7" s="265"/>
      <c r="Q7" s="264"/>
    </row>
    <row r="8" spans="1:19" ht="21.75" customHeight="1" x14ac:dyDescent="0.25">
      <c r="A8" s="470">
        <v>1</v>
      </c>
      <c r="B8" s="472">
        <v>44957</v>
      </c>
      <c r="C8" s="366" t="s">
        <v>2922</v>
      </c>
      <c r="D8" s="367" t="s">
        <v>4743</v>
      </c>
      <c r="E8" s="354" t="s">
        <v>24</v>
      </c>
      <c r="F8" s="368"/>
      <c r="G8" s="369">
        <v>195</v>
      </c>
      <c r="H8" s="358">
        <f>G8*22520</f>
        <v>4391400</v>
      </c>
      <c r="I8" s="358"/>
      <c r="J8" s="414">
        <v>1530000</v>
      </c>
      <c r="K8" s="371"/>
      <c r="L8" s="372"/>
      <c r="M8" s="358"/>
      <c r="N8" s="358"/>
      <c r="O8" s="358">
        <f>H8+J8+K8+L8+M8+N8</f>
        <v>5921400</v>
      </c>
      <c r="P8" s="358">
        <v>9429630</v>
      </c>
      <c r="Q8" s="358">
        <f>P8-O8</f>
        <v>3508230</v>
      </c>
      <c r="R8" s="195"/>
      <c r="S8" s="195"/>
    </row>
    <row r="9" spans="1:19" ht="21.75" customHeight="1" x14ac:dyDescent="0.25">
      <c r="A9" s="350">
        <v>2</v>
      </c>
      <c r="B9" s="482">
        <v>44958</v>
      </c>
      <c r="C9" s="366" t="s">
        <v>4731</v>
      </c>
      <c r="D9" s="415" t="s">
        <v>4744</v>
      </c>
      <c r="E9" s="354" t="s">
        <v>301</v>
      </c>
      <c r="F9" s="368"/>
      <c r="G9" s="369">
        <v>340</v>
      </c>
      <c r="H9" s="358">
        <f t="shared" ref="H9:H14" si="0">G9*22520</f>
        <v>7656800</v>
      </c>
      <c r="I9" s="358"/>
      <c r="J9" s="414">
        <v>3460000</v>
      </c>
      <c r="K9" s="371"/>
      <c r="L9" s="372"/>
      <c r="M9" s="358"/>
      <c r="N9" s="358"/>
      <c r="O9" s="358">
        <f t="shared" ref="O9:O23" si="1">H9+J9+K9+L9+M9+N9</f>
        <v>11116800</v>
      </c>
      <c r="P9" s="385">
        <v>17136364</v>
      </c>
      <c r="Q9" s="358">
        <f t="shared" ref="Q9:Q23" si="2">P9-O9</f>
        <v>6019564</v>
      </c>
      <c r="R9" s="195"/>
      <c r="S9" s="195"/>
    </row>
    <row r="10" spans="1:19" ht="21.75" customHeight="1" x14ac:dyDescent="0.25">
      <c r="A10" s="350">
        <v>3</v>
      </c>
      <c r="B10" s="482">
        <v>44963</v>
      </c>
      <c r="C10" s="366" t="s">
        <v>4732</v>
      </c>
      <c r="D10" s="367" t="s">
        <v>4745</v>
      </c>
      <c r="E10" s="354" t="s">
        <v>21</v>
      </c>
      <c r="F10" s="368"/>
      <c r="G10" s="369">
        <v>243</v>
      </c>
      <c r="H10" s="358">
        <f t="shared" si="0"/>
        <v>5472360</v>
      </c>
      <c r="I10" s="358"/>
      <c r="J10" s="414">
        <v>2380000</v>
      </c>
      <c r="K10" s="371"/>
      <c r="L10" s="372"/>
      <c r="M10" s="358"/>
      <c r="N10" s="358"/>
      <c r="O10" s="358">
        <f t="shared" si="1"/>
        <v>7852360</v>
      </c>
      <c r="P10" s="385">
        <v>12800000</v>
      </c>
      <c r="Q10" s="358">
        <f t="shared" si="2"/>
        <v>4947640</v>
      </c>
      <c r="R10" s="195"/>
      <c r="S10" s="195"/>
    </row>
    <row r="11" spans="1:19" ht="21.75" customHeight="1" x14ac:dyDescent="0.25">
      <c r="A11" s="350">
        <v>4</v>
      </c>
      <c r="B11" s="482">
        <v>44963</v>
      </c>
      <c r="C11" s="366" t="s">
        <v>921</v>
      </c>
      <c r="D11" s="367" t="s">
        <v>4746</v>
      </c>
      <c r="E11" s="354" t="s">
        <v>286</v>
      </c>
      <c r="F11" s="368"/>
      <c r="G11" s="369">
        <v>68</v>
      </c>
      <c r="H11" s="358">
        <f t="shared" si="0"/>
        <v>1531360</v>
      </c>
      <c r="I11" s="358"/>
      <c r="J11" s="414">
        <v>790000</v>
      </c>
      <c r="K11" s="371"/>
      <c r="L11" s="372"/>
      <c r="M11" s="358"/>
      <c r="N11" s="358"/>
      <c r="O11" s="358">
        <f t="shared" si="1"/>
        <v>2321360</v>
      </c>
      <c r="P11" s="385">
        <v>4050000</v>
      </c>
      <c r="Q11" s="358">
        <f t="shared" si="2"/>
        <v>1728640</v>
      </c>
      <c r="R11" s="195"/>
      <c r="S11" s="195"/>
    </row>
    <row r="12" spans="1:19" ht="21.75" customHeight="1" x14ac:dyDescent="0.25">
      <c r="A12" s="350">
        <v>5</v>
      </c>
      <c r="B12" s="482">
        <v>44964</v>
      </c>
      <c r="C12" s="366" t="s">
        <v>922</v>
      </c>
      <c r="D12" s="367" t="s">
        <v>4747</v>
      </c>
      <c r="E12" s="354" t="s">
        <v>24</v>
      </c>
      <c r="F12" s="368"/>
      <c r="G12" s="369">
        <v>180</v>
      </c>
      <c r="H12" s="358">
        <f t="shared" si="0"/>
        <v>4053600</v>
      </c>
      <c r="I12" s="358"/>
      <c r="J12" s="414">
        <v>1530000</v>
      </c>
      <c r="K12" s="371"/>
      <c r="L12" s="372"/>
      <c r="M12" s="358"/>
      <c r="N12" s="358"/>
      <c r="O12" s="358">
        <f t="shared" si="1"/>
        <v>5583600</v>
      </c>
      <c r="P12" s="385">
        <v>9022222</v>
      </c>
      <c r="Q12" s="358">
        <f t="shared" si="2"/>
        <v>3438622</v>
      </c>
      <c r="R12" s="195"/>
      <c r="S12" s="195"/>
    </row>
    <row r="13" spans="1:19" ht="21.75" customHeight="1" x14ac:dyDescent="0.25">
      <c r="A13" s="350">
        <v>6</v>
      </c>
      <c r="B13" s="482">
        <v>44965</v>
      </c>
      <c r="C13" s="366" t="s">
        <v>4733</v>
      </c>
      <c r="D13" s="367" t="s">
        <v>4748</v>
      </c>
      <c r="E13" s="354" t="s">
        <v>21</v>
      </c>
      <c r="F13" s="368"/>
      <c r="G13" s="369">
        <v>241</v>
      </c>
      <c r="H13" s="358">
        <f t="shared" si="0"/>
        <v>5427320</v>
      </c>
      <c r="I13" s="358"/>
      <c r="J13" s="414">
        <v>2380000</v>
      </c>
      <c r="K13" s="371"/>
      <c r="L13" s="372"/>
      <c r="M13" s="358"/>
      <c r="N13" s="358"/>
      <c r="O13" s="358">
        <f t="shared" si="1"/>
        <v>7807320</v>
      </c>
      <c r="P13" s="385">
        <v>14000000</v>
      </c>
      <c r="Q13" s="358">
        <f t="shared" si="2"/>
        <v>6192680</v>
      </c>
      <c r="R13" s="195"/>
      <c r="S13" s="195"/>
    </row>
    <row r="14" spans="1:19" ht="21.75" customHeight="1" x14ac:dyDescent="0.25">
      <c r="A14" s="350">
        <v>7</v>
      </c>
      <c r="B14" s="482">
        <v>44967</v>
      </c>
      <c r="C14" s="366" t="s">
        <v>4234</v>
      </c>
      <c r="D14" s="367" t="s">
        <v>4749</v>
      </c>
      <c r="E14" s="354" t="s">
        <v>272</v>
      </c>
      <c r="F14" s="368"/>
      <c r="G14" s="369">
        <v>72</v>
      </c>
      <c r="H14" s="358">
        <f t="shared" si="0"/>
        <v>1621440</v>
      </c>
      <c r="I14" s="358"/>
      <c r="J14" s="414">
        <v>790000</v>
      </c>
      <c r="K14" s="371"/>
      <c r="L14" s="372"/>
      <c r="M14" s="358"/>
      <c r="N14" s="358"/>
      <c r="O14" s="358">
        <f t="shared" si="1"/>
        <v>2411440</v>
      </c>
      <c r="P14" s="385">
        <v>3800000</v>
      </c>
      <c r="Q14" s="358">
        <f t="shared" si="2"/>
        <v>1388560</v>
      </c>
      <c r="R14" s="195"/>
      <c r="S14" s="195"/>
    </row>
    <row r="15" spans="1:19" ht="21.75" customHeight="1" x14ac:dyDescent="0.25">
      <c r="A15" s="350">
        <v>8</v>
      </c>
      <c r="B15" s="482">
        <v>44968</v>
      </c>
      <c r="C15" s="366" t="s">
        <v>2314</v>
      </c>
      <c r="D15" s="367" t="s">
        <v>4750</v>
      </c>
      <c r="E15" s="354" t="s">
        <v>21</v>
      </c>
      <c r="F15" s="368"/>
      <c r="G15" s="369">
        <v>243</v>
      </c>
      <c r="H15" s="358">
        <f>(G15-13)*22520</f>
        <v>5179600</v>
      </c>
      <c r="I15" s="358"/>
      <c r="J15" s="414">
        <v>2380000</v>
      </c>
      <c r="K15" s="371"/>
      <c r="L15" s="372"/>
      <c r="M15" s="358"/>
      <c r="N15" s="358"/>
      <c r="O15" s="358">
        <f t="shared" si="1"/>
        <v>7559600</v>
      </c>
      <c r="P15" s="385">
        <v>12800000</v>
      </c>
      <c r="Q15" s="358">
        <f t="shared" si="2"/>
        <v>5240400</v>
      </c>
      <c r="R15" s="195"/>
      <c r="S15" s="195"/>
    </row>
    <row r="16" spans="1:19" ht="21.75" customHeight="1" x14ac:dyDescent="0.25">
      <c r="A16" s="350">
        <v>9</v>
      </c>
      <c r="B16" s="482">
        <v>44970</v>
      </c>
      <c r="C16" s="366" t="s">
        <v>4734</v>
      </c>
      <c r="D16" s="367" t="s">
        <v>4751</v>
      </c>
      <c r="E16" s="354" t="s">
        <v>2885</v>
      </c>
      <c r="F16" s="368"/>
      <c r="G16" s="369">
        <v>63</v>
      </c>
      <c r="H16" s="358">
        <f>(G16+13)*21560</f>
        <v>1638560</v>
      </c>
      <c r="I16" s="358"/>
      <c r="J16" s="414">
        <v>430000</v>
      </c>
      <c r="K16" s="371"/>
      <c r="L16" s="372"/>
      <c r="M16" s="358"/>
      <c r="N16" s="358"/>
      <c r="O16" s="358">
        <f t="shared" si="1"/>
        <v>2068560</v>
      </c>
      <c r="P16" s="385">
        <v>3400000</v>
      </c>
      <c r="Q16" s="358">
        <f t="shared" si="2"/>
        <v>1331440</v>
      </c>
      <c r="R16" s="195"/>
      <c r="S16" s="195"/>
    </row>
    <row r="17" spans="1:19" ht="21.75" customHeight="1" x14ac:dyDescent="0.25">
      <c r="A17" s="350">
        <v>10</v>
      </c>
      <c r="B17" s="482">
        <v>44972</v>
      </c>
      <c r="C17" s="366" t="s">
        <v>4735</v>
      </c>
      <c r="D17" s="367" t="s">
        <v>4752</v>
      </c>
      <c r="E17" s="354" t="s">
        <v>2959</v>
      </c>
      <c r="F17" s="368"/>
      <c r="G17" s="369">
        <v>60</v>
      </c>
      <c r="H17" s="358">
        <f>G17*21560</f>
        <v>1293600</v>
      </c>
      <c r="I17" s="358"/>
      <c r="J17" s="414">
        <v>430000</v>
      </c>
      <c r="K17" s="371"/>
      <c r="L17" s="372"/>
      <c r="M17" s="358"/>
      <c r="N17" s="358"/>
      <c r="O17" s="358">
        <f t="shared" si="1"/>
        <v>1723600</v>
      </c>
      <c r="P17" s="385">
        <v>3150000</v>
      </c>
      <c r="Q17" s="358">
        <f t="shared" si="2"/>
        <v>1426400</v>
      </c>
      <c r="R17" s="195"/>
      <c r="S17" s="195"/>
    </row>
    <row r="18" spans="1:19" ht="21.75" customHeight="1" x14ac:dyDescent="0.25">
      <c r="A18" s="470">
        <v>11</v>
      </c>
      <c r="B18" s="487">
        <v>44974</v>
      </c>
      <c r="C18" s="366" t="s">
        <v>4736</v>
      </c>
      <c r="D18" s="367" t="s">
        <v>4753</v>
      </c>
      <c r="E18" s="354" t="s">
        <v>4740</v>
      </c>
      <c r="F18" s="461"/>
      <c r="G18" s="369">
        <v>56</v>
      </c>
      <c r="H18" s="358">
        <f>G18*21560</f>
        <v>1207360</v>
      </c>
      <c r="I18" s="494"/>
      <c r="J18" s="436">
        <v>430000</v>
      </c>
      <c r="K18" s="371"/>
      <c r="L18" s="372"/>
      <c r="M18" s="381"/>
      <c r="N18" s="381"/>
      <c r="O18" s="358">
        <f t="shared" si="1"/>
        <v>1637360</v>
      </c>
      <c r="P18" s="385">
        <v>3100000</v>
      </c>
      <c r="Q18" s="358">
        <f t="shared" si="2"/>
        <v>1462640</v>
      </c>
      <c r="R18" s="195"/>
      <c r="S18" s="195"/>
    </row>
    <row r="19" spans="1:19" ht="21.75" customHeight="1" x14ac:dyDescent="0.25">
      <c r="A19" s="350">
        <v>12</v>
      </c>
      <c r="B19" s="487">
        <v>44977</v>
      </c>
      <c r="C19" s="366" t="s">
        <v>4737</v>
      </c>
      <c r="D19" s="367" t="s">
        <v>4754</v>
      </c>
      <c r="E19" s="354" t="s">
        <v>286</v>
      </c>
      <c r="F19" s="461"/>
      <c r="G19" s="369">
        <v>68</v>
      </c>
      <c r="H19" s="358">
        <f>G19*20800</f>
        <v>1414400</v>
      </c>
      <c r="I19" s="494"/>
      <c r="J19" s="436">
        <v>790000</v>
      </c>
      <c r="K19" s="371"/>
      <c r="L19" s="372"/>
      <c r="M19" s="381"/>
      <c r="N19" s="381"/>
      <c r="O19" s="358">
        <f t="shared" si="1"/>
        <v>2204400</v>
      </c>
      <c r="P19" s="385">
        <v>4050000</v>
      </c>
      <c r="Q19" s="358">
        <f t="shared" si="2"/>
        <v>1845600</v>
      </c>
      <c r="R19" s="195"/>
      <c r="S19" s="195"/>
    </row>
    <row r="20" spans="1:19" ht="21.75" customHeight="1" x14ac:dyDescent="0.25">
      <c r="A20" s="350">
        <v>13</v>
      </c>
      <c r="B20" s="487">
        <v>44977</v>
      </c>
      <c r="C20" s="366" t="s">
        <v>4738</v>
      </c>
      <c r="D20" s="367" t="s">
        <v>4755</v>
      </c>
      <c r="E20" s="354" t="s">
        <v>3411</v>
      </c>
      <c r="F20" s="461"/>
      <c r="G20" s="369">
        <v>85</v>
      </c>
      <c r="H20" s="358">
        <f t="shared" ref="H20:H22" si="3">G20*20800</f>
        <v>1768000</v>
      </c>
      <c r="I20" s="494"/>
      <c r="J20" s="436">
        <v>790000</v>
      </c>
      <c r="K20" s="371"/>
      <c r="L20" s="372"/>
      <c r="M20" s="381"/>
      <c r="N20" s="381"/>
      <c r="O20" s="358">
        <f t="shared" si="1"/>
        <v>2558000</v>
      </c>
      <c r="P20" s="385">
        <v>4747272</v>
      </c>
      <c r="Q20" s="358">
        <f t="shared" si="2"/>
        <v>2189272</v>
      </c>
      <c r="R20" s="195"/>
      <c r="S20" s="195"/>
    </row>
    <row r="21" spans="1:19" ht="21.75" customHeight="1" x14ac:dyDescent="0.25">
      <c r="A21" s="350">
        <v>14</v>
      </c>
      <c r="B21" s="487">
        <v>44978</v>
      </c>
      <c r="C21" s="366" t="s">
        <v>930</v>
      </c>
      <c r="D21" s="367" t="s">
        <v>4756</v>
      </c>
      <c r="E21" s="354" t="s">
        <v>4741</v>
      </c>
      <c r="F21" s="461"/>
      <c r="G21" s="369">
        <v>140</v>
      </c>
      <c r="H21" s="358">
        <f t="shared" si="3"/>
        <v>2912000</v>
      </c>
      <c r="I21" s="494"/>
      <c r="J21" s="436">
        <v>730000</v>
      </c>
      <c r="K21" s="371"/>
      <c r="L21" s="372"/>
      <c r="M21" s="381"/>
      <c r="N21" s="381"/>
      <c r="O21" s="358">
        <f t="shared" si="1"/>
        <v>3642000</v>
      </c>
      <c r="P21" s="385">
        <v>5800000</v>
      </c>
      <c r="Q21" s="358">
        <f t="shared" si="2"/>
        <v>2158000</v>
      </c>
      <c r="R21" s="195"/>
      <c r="S21" s="195"/>
    </row>
    <row r="22" spans="1:19" ht="21.75" customHeight="1" x14ac:dyDescent="0.25">
      <c r="A22" s="350">
        <v>15</v>
      </c>
      <c r="B22" s="487">
        <v>44982</v>
      </c>
      <c r="C22" s="366" t="s">
        <v>4739</v>
      </c>
      <c r="D22" s="367" t="s">
        <v>4757</v>
      </c>
      <c r="E22" s="354" t="s">
        <v>188</v>
      </c>
      <c r="F22" s="461"/>
      <c r="G22" s="369">
        <v>57</v>
      </c>
      <c r="H22" s="358">
        <f t="shared" si="3"/>
        <v>1185600</v>
      </c>
      <c r="I22" s="494"/>
      <c r="J22" s="436">
        <v>440000</v>
      </c>
      <c r="K22" s="371"/>
      <c r="L22" s="372"/>
      <c r="M22" s="381"/>
      <c r="N22" s="381"/>
      <c r="O22" s="358">
        <f t="shared" si="1"/>
        <v>1625600</v>
      </c>
      <c r="P22" s="385">
        <v>3400000</v>
      </c>
      <c r="Q22" s="358">
        <f t="shared" si="2"/>
        <v>1774400</v>
      </c>
      <c r="R22" s="195"/>
      <c r="S22" s="195"/>
    </row>
    <row r="23" spans="1:19" ht="21.75" customHeight="1" x14ac:dyDescent="0.25">
      <c r="A23" s="350">
        <v>16</v>
      </c>
      <c r="B23" s="487">
        <v>44984</v>
      </c>
      <c r="C23" s="366" t="s">
        <v>1645</v>
      </c>
      <c r="D23" s="367" t="s">
        <v>4758</v>
      </c>
      <c r="E23" s="354" t="s">
        <v>4742</v>
      </c>
      <c r="F23" s="461"/>
      <c r="G23" s="369">
        <v>110</v>
      </c>
      <c r="H23" s="358">
        <f>G23*20250</f>
        <v>2227500</v>
      </c>
      <c r="I23" s="494"/>
      <c r="J23" s="436">
        <v>910000</v>
      </c>
      <c r="K23" s="371"/>
      <c r="L23" s="372"/>
      <c r="M23" s="381"/>
      <c r="N23" s="381"/>
      <c r="O23" s="358">
        <f t="shared" si="1"/>
        <v>3137500</v>
      </c>
      <c r="P23" s="385">
        <v>5300000</v>
      </c>
      <c r="Q23" s="358">
        <f t="shared" si="2"/>
        <v>2162500</v>
      </c>
      <c r="R23" s="195"/>
      <c r="S23" s="195"/>
    </row>
    <row r="24" spans="1:19" ht="21.75" customHeight="1" x14ac:dyDescent="0.25">
      <c r="A24" s="350"/>
      <c r="B24" s="487"/>
      <c r="C24" s="366"/>
      <c r="D24" s="367"/>
      <c r="E24" s="354"/>
      <c r="F24" s="461"/>
      <c r="G24" s="369"/>
      <c r="H24" s="358"/>
      <c r="I24" s="494"/>
      <c r="J24" s="381"/>
      <c r="K24" s="371"/>
      <c r="L24" s="372"/>
      <c r="M24" s="381"/>
      <c r="N24" s="381"/>
      <c r="O24" s="385"/>
      <c r="P24" s="385"/>
      <c r="Q24" s="385"/>
      <c r="R24" s="195"/>
      <c r="S24" s="195"/>
    </row>
    <row r="25" spans="1:19" ht="21.75" customHeight="1" x14ac:dyDescent="0.25">
      <c r="A25" s="350"/>
      <c r="B25" s="487"/>
      <c r="C25" s="366"/>
      <c r="D25" s="367"/>
      <c r="E25" s="354"/>
      <c r="F25" s="461"/>
      <c r="G25" s="369"/>
      <c r="H25" s="358"/>
      <c r="I25" s="494"/>
      <c r="J25" s="381"/>
      <c r="K25" s="371"/>
      <c r="L25" s="372"/>
      <c r="M25" s="381"/>
      <c r="N25" s="381"/>
      <c r="O25" s="385"/>
      <c r="P25" s="385"/>
      <c r="Q25" s="385"/>
      <c r="R25" s="195"/>
      <c r="S25" s="195"/>
    </row>
    <row r="26" spans="1:19" ht="27" customHeight="1" x14ac:dyDescent="0.25">
      <c r="A26" s="374"/>
      <c r="B26" s="488"/>
      <c r="C26" s="609" t="s">
        <v>1273</v>
      </c>
      <c r="D26" s="609"/>
      <c r="E26" s="609"/>
      <c r="F26" s="402"/>
      <c r="G26" s="358"/>
      <c r="H26" s="369"/>
      <c r="I26" s="403"/>
      <c r="J26" s="381"/>
      <c r="K26" s="372">
        <v>1200000</v>
      </c>
      <c r="L26" s="372"/>
      <c r="M26" s="381"/>
      <c r="N26" s="381"/>
      <c r="O26" s="385">
        <f>H26+J26+K26+L26+M26+N26</f>
        <v>1200000</v>
      </c>
      <c r="P26" s="385"/>
      <c r="Q26" s="385"/>
    </row>
    <row r="27" spans="1:19" ht="27" customHeight="1" x14ac:dyDescent="0.25">
      <c r="A27" s="386"/>
      <c r="B27" s="379"/>
      <c r="C27" s="594" t="s">
        <v>4535</v>
      </c>
      <c r="D27" s="595"/>
      <c r="E27" s="596"/>
      <c r="F27" s="402"/>
      <c r="G27" s="381"/>
      <c r="H27" s="369"/>
      <c r="J27" s="381"/>
      <c r="K27" s="388">
        <v>5580000</v>
      </c>
      <c r="L27" s="388"/>
      <c r="M27" s="381"/>
      <c r="N27" s="381"/>
      <c r="O27" s="385">
        <f t="shared" ref="O27:O37" si="4">H27+J27+K27+L27+M27+N27</f>
        <v>5580000</v>
      </c>
      <c r="P27" s="389"/>
      <c r="Q27" s="378"/>
    </row>
    <row r="28" spans="1:19" ht="27" customHeight="1" x14ac:dyDescent="0.25">
      <c r="A28" s="386"/>
      <c r="B28" s="379"/>
      <c r="C28" s="594" t="s">
        <v>4759</v>
      </c>
      <c r="D28" s="595"/>
      <c r="E28" s="596"/>
      <c r="F28" s="402"/>
      <c r="G28" s="381"/>
      <c r="H28" s="369"/>
      <c r="J28" s="381"/>
      <c r="K28" s="388"/>
      <c r="L28" s="388"/>
      <c r="M28" s="388">
        <v>120000</v>
      </c>
      <c r="N28" s="381"/>
      <c r="O28" s="385">
        <f t="shared" si="4"/>
        <v>120000</v>
      </c>
      <c r="P28" s="389"/>
      <c r="Q28" s="378"/>
    </row>
    <row r="29" spans="1:19" ht="27" customHeight="1" x14ac:dyDescent="0.25">
      <c r="A29" s="386"/>
      <c r="B29" s="379"/>
      <c r="C29" s="594" t="s">
        <v>4760</v>
      </c>
      <c r="D29" s="595"/>
      <c r="E29" s="596"/>
      <c r="F29" s="402"/>
      <c r="G29" s="381"/>
      <c r="H29" s="369"/>
      <c r="J29" s="381"/>
      <c r="K29" s="388">
        <f>4424000/4</f>
        <v>1106000</v>
      </c>
      <c r="L29" s="388"/>
      <c r="M29" s="388"/>
      <c r="N29" s="388"/>
      <c r="O29" s="385">
        <f t="shared" si="4"/>
        <v>1106000</v>
      </c>
      <c r="P29" s="389"/>
      <c r="Q29" s="378"/>
    </row>
    <row r="30" spans="1:19" ht="27" customHeight="1" x14ac:dyDescent="0.25">
      <c r="A30" s="386"/>
      <c r="B30" s="379"/>
      <c r="C30" s="594" t="s">
        <v>4761</v>
      </c>
      <c r="D30" s="595"/>
      <c r="E30" s="596"/>
      <c r="F30" s="402"/>
      <c r="G30" s="381"/>
      <c r="H30" s="369"/>
      <c r="J30" s="381"/>
      <c r="K30" s="388"/>
      <c r="L30" s="388">
        <v>150000</v>
      </c>
      <c r="M30" s="388"/>
      <c r="N30" s="388"/>
      <c r="O30" s="385">
        <f t="shared" si="4"/>
        <v>150000</v>
      </c>
      <c r="P30" s="389"/>
      <c r="Q30" s="378"/>
    </row>
    <row r="31" spans="1:19" ht="27" customHeight="1" x14ac:dyDescent="0.25">
      <c r="A31" s="386"/>
      <c r="B31" s="379"/>
      <c r="C31" s="594" t="s">
        <v>4762</v>
      </c>
      <c r="D31" s="595"/>
      <c r="E31" s="596"/>
      <c r="F31" s="402"/>
      <c r="G31" s="381"/>
      <c r="H31" s="369"/>
      <c r="J31" s="381"/>
      <c r="K31" s="388"/>
      <c r="L31" s="388">
        <v>15675000</v>
      </c>
      <c r="M31" s="388"/>
      <c r="N31" s="388"/>
      <c r="O31" s="385">
        <f t="shared" si="4"/>
        <v>15675000</v>
      </c>
      <c r="P31" s="389"/>
      <c r="Q31" s="378"/>
    </row>
    <row r="32" spans="1:19" ht="27" customHeight="1" x14ac:dyDescent="0.25">
      <c r="A32" s="386"/>
      <c r="B32" s="379"/>
      <c r="C32" s="594" t="s">
        <v>4763</v>
      </c>
      <c r="D32" s="595"/>
      <c r="E32" s="596"/>
      <c r="F32" s="402"/>
      <c r="G32" s="381"/>
      <c r="H32" s="369"/>
      <c r="I32" s="403"/>
      <c r="J32" s="388"/>
      <c r="K32" s="388"/>
      <c r="L32" s="388">
        <v>350000</v>
      </c>
      <c r="M32" s="388"/>
      <c r="N32" s="388"/>
      <c r="O32" s="385">
        <f t="shared" si="4"/>
        <v>350000</v>
      </c>
      <c r="P32" s="389"/>
      <c r="Q32" s="378"/>
    </row>
    <row r="33" spans="1:18" ht="27" customHeight="1" x14ac:dyDescent="0.25">
      <c r="A33" s="386"/>
      <c r="B33" s="379"/>
      <c r="C33" s="594" t="s">
        <v>4764</v>
      </c>
      <c r="D33" s="595"/>
      <c r="E33" s="596"/>
      <c r="F33" s="402"/>
      <c r="G33" s="381"/>
      <c r="H33" s="369"/>
      <c r="I33" s="403"/>
      <c r="J33" s="388"/>
      <c r="K33" s="388"/>
      <c r="L33" s="388"/>
      <c r="M33" s="388"/>
      <c r="N33" s="388">
        <f>13500000/4</f>
        <v>3375000</v>
      </c>
      <c r="O33" s="385">
        <f t="shared" si="4"/>
        <v>3375000</v>
      </c>
      <c r="P33" s="389"/>
      <c r="Q33" s="378"/>
    </row>
    <row r="34" spans="1:18" ht="27" customHeight="1" x14ac:dyDescent="0.25">
      <c r="A34" s="386"/>
      <c r="B34" s="379"/>
      <c r="C34" s="594" t="s">
        <v>4765</v>
      </c>
      <c r="D34" s="595"/>
      <c r="E34" s="596"/>
      <c r="F34" s="402"/>
      <c r="G34" s="381"/>
      <c r="H34" s="369"/>
      <c r="I34" s="403"/>
      <c r="J34" s="388"/>
      <c r="K34" s="388"/>
      <c r="L34" s="388">
        <v>200000</v>
      </c>
      <c r="M34" s="388"/>
      <c r="N34" s="388"/>
      <c r="O34" s="385">
        <f t="shared" si="4"/>
        <v>200000</v>
      </c>
      <c r="P34" s="389"/>
      <c r="Q34" s="378"/>
    </row>
    <row r="35" spans="1:18" ht="27" customHeight="1" x14ac:dyDescent="0.25">
      <c r="A35" s="386"/>
      <c r="B35" s="379"/>
      <c r="C35" s="594" t="s">
        <v>4766</v>
      </c>
      <c r="D35" s="595"/>
      <c r="E35" s="596"/>
      <c r="F35" s="402"/>
      <c r="G35" s="381"/>
      <c r="H35" s="369"/>
      <c r="I35" s="403"/>
      <c r="J35" s="388"/>
      <c r="K35" s="388"/>
      <c r="L35" s="388">
        <v>450000</v>
      </c>
      <c r="M35" s="388"/>
      <c r="N35" s="388"/>
      <c r="O35" s="385">
        <f t="shared" si="4"/>
        <v>450000</v>
      </c>
      <c r="P35" s="389"/>
      <c r="Q35" s="378"/>
    </row>
    <row r="36" spans="1:18" ht="27" customHeight="1" x14ac:dyDescent="0.25">
      <c r="A36" s="386"/>
      <c r="B36" s="379"/>
      <c r="C36" s="594" t="s">
        <v>4818</v>
      </c>
      <c r="D36" s="595"/>
      <c r="E36" s="596"/>
      <c r="F36" s="402"/>
      <c r="G36" s="381"/>
      <c r="H36" s="369"/>
      <c r="I36" s="403"/>
      <c r="J36" s="388"/>
      <c r="K36" s="388"/>
      <c r="L36" s="388"/>
      <c r="M36" s="388"/>
      <c r="N36" s="388"/>
      <c r="O36" s="385"/>
      <c r="P36" s="389"/>
      <c r="Q36" s="378"/>
    </row>
    <row r="37" spans="1:18" ht="30.75" customHeight="1" x14ac:dyDescent="0.25">
      <c r="A37" s="386"/>
      <c r="B37" s="391"/>
      <c r="C37" s="579" t="s">
        <v>4767</v>
      </c>
      <c r="D37" s="580"/>
      <c r="E37" s="581"/>
      <c r="F37" s="461"/>
      <c r="G37" s="381"/>
      <c r="H37" s="369"/>
      <c r="I37" s="403"/>
      <c r="J37" s="381"/>
      <c r="K37" s="394">
        <v>7700000</v>
      </c>
      <c r="L37" s="394"/>
      <c r="M37" s="381"/>
      <c r="N37" s="381"/>
      <c r="O37" s="385">
        <f t="shared" si="4"/>
        <v>7700000</v>
      </c>
      <c r="P37" s="389"/>
      <c r="Q37" s="378"/>
    </row>
    <row r="38" spans="1:18" x14ac:dyDescent="0.25">
      <c r="A38" s="576" t="s">
        <v>19</v>
      </c>
      <c r="B38" s="577"/>
      <c r="C38" s="577"/>
      <c r="D38" s="577"/>
      <c r="E38" s="577"/>
      <c r="F38" s="578"/>
      <c r="G38" s="395">
        <f>SUM(G8:G37)</f>
        <v>2221</v>
      </c>
      <c r="H38" s="396">
        <f t="shared" ref="H38:P38" si="5">SUM(H7:H37)</f>
        <v>48980900</v>
      </c>
      <c r="I38" s="396">
        <f t="shared" si="5"/>
        <v>0</v>
      </c>
      <c r="J38" s="396">
        <f t="shared" si="5"/>
        <v>20190000</v>
      </c>
      <c r="K38" s="396">
        <f t="shared" si="5"/>
        <v>15586000</v>
      </c>
      <c r="L38" s="396">
        <f t="shared" si="5"/>
        <v>16825000</v>
      </c>
      <c r="M38" s="396">
        <f t="shared" si="5"/>
        <v>120000</v>
      </c>
      <c r="N38" s="396">
        <f t="shared" si="5"/>
        <v>3375000</v>
      </c>
      <c r="O38" s="396">
        <f t="shared" si="5"/>
        <v>105076900</v>
      </c>
      <c r="P38" s="397">
        <f t="shared" si="5"/>
        <v>115985488</v>
      </c>
      <c r="Q38" s="396">
        <f>P38-O38</f>
        <v>10908588</v>
      </c>
      <c r="R38" s="195"/>
    </row>
    <row r="39" spans="1:18" x14ac:dyDescent="0.25">
      <c r="P39" s="294"/>
      <c r="Q39" s="295"/>
    </row>
    <row r="40" spans="1:18" x14ac:dyDescent="0.25">
      <c r="B40"/>
      <c r="G40"/>
      <c r="H40" s="294"/>
      <c r="P40" s="296" t="s">
        <v>1225</v>
      </c>
      <c r="Q40" s="295">
        <f>'01.2023'!Q24+'02.2023'!Q38</f>
        <v>50214652</v>
      </c>
    </row>
    <row r="41" spans="1:18" x14ac:dyDescent="0.25">
      <c r="B41"/>
      <c r="G41"/>
      <c r="Q41" s="294"/>
    </row>
    <row r="42" spans="1:18" x14ac:dyDescent="0.25">
      <c r="B42"/>
      <c r="G42"/>
      <c r="R42" s="195"/>
    </row>
  </sheetData>
  <mergeCells count="17">
    <mergeCell ref="C35:E35"/>
    <mergeCell ref="C36:E36"/>
    <mergeCell ref="C32:E32"/>
    <mergeCell ref="C37:E37"/>
    <mergeCell ref="A38:F38"/>
    <mergeCell ref="C33:E33"/>
    <mergeCell ref="C34:E34"/>
    <mergeCell ref="A1:Q1"/>
    <mergeCell ref="A2:Q2"/>
    <mergeCell ref="A3:Q3"/>
    <mergeCell ref="G5:N5"/>
    <mergeCell ref="C26:E26"/>
    <mergeCell ref="C27:E27"/>
    <mergeCell ref="C28:E28"/>
    <mergeCell ref="C29:E29"/>
    <mergeCell ref="C30:E30"/>
    <mergeCell ref="C31:E31"/>
  </mergeCells>
  <pageMargins left="0.7" right="0.7" top="0.75" bottom="0.75" header="0.3" footer="0.3"/>
  <pageSetup paperSize="9" orientation="portrait" horizontalDpi="0" verticalDpi="0"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2EFAF-046E-44DC-B1DE-C8859B122B9E}">
  <dimension ref="A1:S44"/>
  <sheetViews>
    <sheetView topLeftCell="E34" workbookViewId="0">
      <selection activeCell="Q44" sqref="Q44"/>
    </sheetView>
  </sheetViews>
  <sheetFormatPr defaultColWidth="9.140625" defaultRowHeight="15" x14ac:dyDescent="0.25"/>
  <cols>
    <col min="1" max="1" width="4.5703125" customWidth="1"/>
    <col min="2" max="2" width="9.28515625" style="332" bestFit="1" customWidth="1"/>
    <col min="3" max="3" width="33.42578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19" ht="23.25" x14ac:dyDescent="0.25">
      <c r="A1" s="551" t="s">
        <v>0</v>
      </c>
      <c r="B1" s="551"/>
      <c r="C1" s="551"/>
      <c r="D1" s="551"/>
      <c r="E1" s="551"/>
      <c r="F1" s="551"/>
      <c r="G1" s="551"/>
      <c r="H1" s="551"/>
      <c r="I1" s="551"/>
      <c r="J1" s="551"/>
      <c r="K1" s="551"/>
      <c r="L1" s="551"/>
      <c r="M1" s="551"/>
      <c r="N1" s="551"/>
      <c r="O1" s="551"/>
      <c r="P1" s="551"/>
      <c r="Q1" s="551"/>
    </row>
    <row r="2" spans="1:19" ht="15.75" x14ac:dyDescent="0.25">
      <c r="A2" s="550" t="s">
        <v>103</v>
      </c>
      <c r="B2" s="550"/>
      <c r="C2" s="550"/>
      <c r="D2" s="550"/>
      <c r="E2" s="550"/>
      <c r="F2" s="550"/>
      <c r="G2" s="550"/>
      <c r="H2" s="550"/>
      <c r="I2" s="550"/>
      <c r="J2" s="550"/>
      <c r="K2" s="550"/>
      <c r="L2" s="550"/>
      <c r="M2" s="550"/>
      <c r="N2" s="550"/>
      <c r="O2" s="550"/>
      <c r="P2" s="550"/>
      <c r="Q2" s="550"/>
    </row>
    <row r="3" spans="1:19" ht="15.75" x14ac:dyDescent="0.25">
      <c r="A3" s="550" t="s">
        <v>4768</v>
      </c>
      <c r="B3" s="550"/>
      <c r="C3" s="550"/>
      <c r="D3" s="550"/>
      <c r="E3" s="550"/>
      <c r="F3" s="550"/>
      <c r="G3" s="550"/>
      <c r="H3" s="550"/>
      <c r="I3" s="550"/>
      <c r="J3" s="550"/>
      <c r="K3" s="550"/>
      <c r="L3" s="550"/>
      <c r="M3" s="550"/>
      <c r="N3" s="550"/>
      <c r="O3" s="550"/>
      <c r="P3" s="550"/>
      <c r="Q3" s="550"/>
    </row>
    <row r="4" spans="1:19" x14ac:dyDescent="0.25">
      <c r="A4" s="74"/>
      <c r="B4" s="99"/>
      <c r="C4" s="74"/>
      <c r="D4" s="74"/>
      <c r="E4" s="74" t="s">
        <v>194</v>
      </c>
      <c r="F4" s="74"/>
      <c r="G4" s="257"/>
      <c r="H4" s="258"/>
      <c r="I4" s="258"/>
      <c r="J4" s="258"/>
      <c r="K4" s="258"/>
      <c r="L4" s="91"/>
      <c r="M4" s="258"/>
      <c r="N4" s="258"/>
      <c r="O4" s="258"/>
      <c r="P4" s="258"/>
      <c r="Q4" s="258"/>
    </row>
    <row r="5" spans="1:19"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19"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19" x14ac:dyDescent="0.25">
      <c r="A7" s="75"/>
      <c r="B7" s="100"/>
      <c r="C7" s="88"/>
      <c r="D7" s="88"/>
      <c r="E7" s="134"/>
      <c r="F7" s="75"/>
      <c r="G7" s="264"/>
      <c r="H7" s="264"/>
      <c r="I7" s="264"/>
      <c r="J7" s="264"/>
      <c r="K7" s="264"/>
      <c r="L7" s="308"/>
      <c r="M7" s="264"/>
      <c r="N7" s="264"/>
      <c r="O7" s="265"/>
      <c r="P7" s="265"/>
      <c r="Q7" s="264"/>
    </row>
    <row r="8" spans="1:19" ht="21.75" customHeight="1" x14ac:dyDescent="0.25">
      <c r="A8" s="470">
        <v>1</v>
      </c>
      <c r="B8" s="472">
        <v>44985</v>
      </c>
      <c r="C8" s="366" t="s">
        <v>4769</v>
      </c>
      <c r="D8" s="367" t="s">
        <v>4793</v>
      </c>
      <c r="E8" s="354" t="s">
        <v>3559</v>
      </c>
      <c r="F8" s="368"/>
      <c r="G8" s="369">
        <v>51</v>
      </c>
      <c r="H8" s="358">
        <f>G8*20250</f>
        <v>1032750</v>
      </c>
      <c r="I8" s="358"/>
      <c r="J8" s="414">
        <v>430000</v>
      </c>
      <c r="K8" s="371"/>
      <c r="L8" s="372"/>
      <c r="M8" s="358"/>
      <c r="N8" s="358"/>
      <c r="O8" s="358">
        <f>H8+J8+K8+L8+M8+N8</f>
        <v>1462750</v>
      </c>
      <c r="P8" s="358">
        <v>3200000</v>
      </c>
      <c r="Q8" s="358">
        <f>P8-O8</f>
        <v>1737250</v>
      </c>
      <c r="R8" s="195"/>
      <c r="S8" s="195"/>
    </row>
    <row r="9" spans="1:19" ht="21.75" customHeight="1" x14ac:dyDescent="0.25">
      <c r="A9" s="350">
        <v>2</v>
      </c>
      <c r="B9" s="482">
        <v>44986</v>
      </c>
      <c r="C9" s="366" t="s">
        <v>4770</v>
      </c>
      <c r="D9" s="415" t="s">
        <v>4794</v>
      </c>
      <c r="E9" s="354" t="s">
        <v>4641</v>
      </c>
      <c r="F9" s="368"/>
      <c r="G9" s="369">
        <v>101</v>
      </c>
      <c r="H9" s="358">
        <f t="shared" ref="H9:H17" si="0">G9*20250</f>
        <v>2045250</v>
      </c>
      <c r="I9" s="358"/>
      <c r="J9" s="414">
        <f>790000+200000</f>
        <v>990000</v>
      </c>
      <c r="K9" s="371"/>
      <c r="L9" s="372"/>
      <c r="M9" s="358"/>
      <c r="N9" s="358"/>
      <c r="O9" s="358">
        <f t="shared" ref="O9:O31" si="1">H9+J9+K9+L9+M9+N9</f>
        <v>3035250</v>
      </c>
      <c r="P9" s="385">
        <v>5900000</v>
      </c>
      <c r="Q9" s="358">
        <f t="shared" ref="Q9:Q31" si="2">P9-O9</f>
        <v>2864750</v>
      </c>
      <c r="R9" s="195"/>
      <c r="S9" s="195"/>
    </row>
    <row r="10" spans="1:19" ht="21.75" customHeight="1" x14ac:dyDescent="0.25">
      <c r="A10" s="350">
        <v>3</v>
      </c>
      <c r="B10" s="482">
        <v>44988</v>
      </c>
      <c r="C10" s="366" t="s">
        <v>2342</v>
      </c>
      <c r="D10" s="367" t="s">
        <v>4795</v>
      </c>
      <c r="E10" s="354" t="s">
        <v>3520</v>
      </c>
      <c r="F10" s="368"/>
      <c r="G10" s="369">
        <v>100</v>
      </c>
      <c r="H10" s="358">
        <f t="shared" si="0"/>
        <v>2025000</v>
      </c>
      <c r="I10" s="358"/>
      <c r="J10" s="414">
        <f>430000+160000</f>
        <v>590000</v>
      </c>
      <c r="K10" s="371"/>
      <c r="L10" s="372"/>
      <c r="M10" s="358"/>
      <c r="N10" s="358"/>
      <c r="O10" s="358">
        <f t="shared" si="1"/>
        <v>2615000</v>
      </c>
      <c r="P10" s="385">
        <v>4150000</v>
      </c>
      <c r="Q10" s="358">
        <f t="shared" si="2"/>
        <v>1535000</v>
      </c>
      <c r="R10" s="195"/>
      <c r="S10" s="195"/>
    </row>
    <row r="11" spans="1:19" ht="21.75" customHeight="1" x14ac:dyDescent="0.25">
      <c r="A11" s="350">
        <v>4</v>
      </c>
      <c r="B11" s="482">
        <v>44991</v>
      </c>
      <c r="C11" s="366" t="s">
        <v>1677</v>
      </c>
      <c r="D11" s="367" t="s">
        <v>4796</v>
      </c>
      <c r="E11" s="354" t="s">
        <v>4784</v>
      </c>
      <c r="F11" s="368"/>
      <c r="G11" s="369">
        <v>81</v>
      </c>
      <c r="H11" s="358">
        <f t="shared" si="0"/>
        <v>1640250</v>
      </c>
      <c r="I11" s="358"/>
      <c r="J11" s="414">
        <v>430000</v>
      </c>
      <c r="K11" s="371"/>
      <c r="L11" s="372"/>
      <c r="M11" s="358"/>
      <c r="N11" s="358"/>
      <c r="O11" s="358">
        <f t="shared" si="1"/>
        <v>2070250</v>
      </c>
      <c r="P11" s="385">
        <v>4476364</v>
      </c>
      <c r="Q11" s="358">
        <f t="shared" si="2"/>
        <v>2406114</v>
      </c>
      <c r="R11" s="195"/>
      <c r="S11" s="195"/>
    </row>
    <row r="12" spans="1:19" ht="21.75" customHeight="1" x14ac:dyDescent="0.25">
      <c r="A12" s="350">
        <v>5</v>
      </c>
      <c r="B12" s="482">
        <v>44992</v>
      </c>
      <c r="C12" s="366" t="s">
        <v>4771</v>
      </c>
      <c r="D12" s="367" t="s">
        <v>4797</v>
      </c>
      <c r="E12" s="354" t="s">
        <v>24</v>
      </c>
      <c r="F12" s="368"/>
      <c r="G12" s="369">
        <v>180</v>
      </c>
      <c r="H12" s="358">
        <f t="shared" si="0"/>
        <v>3645000</v>
      </c>
      <c r="I12" s="358"/>
      <c r="J12" s="414">
        <v>1530000</v>
      </c>
      <c r="K12" s="371"/>
      <c r="L12" s="372"/>
      <c r="M12" s="358"/>
      <c r="N12" s="358"/>
      <c r="O12" s="358">
        <f t="shared" si="1"/>
        <v>5175000</v>
      </c>
      <c r="P12" s="385">
        <v>8509091</v>
      </c>
      <c r="Q12" s="358">
        <f t="shared" si="2"/>
        <v>3334091</v>
      </c>
      <c r="R12" s="195"/>
      <c r="S12" s="195"/>
    </row>
    <row r="13" spans="1:19" ht="21.75" customHeight="1" x14ac:dyDescent="0.25">
      <c r="A13" s="350">
        <v>6</v>
      </c>
      <c r="B13" s="482">
        <v>44993</v>
      </c>
      <c r="C13" s="366" t="s">
        <v>2344</v>
      </c>
      <c r="D13" s="367" t="s">
        <v>4798</v>
      </c>
      <c r="E13" s="354" t="s">
        <v>2826</v>
      </c>
      <c r="F13" s="368"/>
      <c r="G13" s="369">
        <v>99</v>
      </c>
      <c r="H13" s="358">
        <f t="shared" si="0"/>
        <v>2004750</v>
      </c>
      <c r="I13" s="358"/>
      <c r="J13" s="414">
        <v>890000</v>
      </c>
      <c r="K13" s="371"/>
      <c r="L13" s="372"/>
      <c r="M13" s="358"/>
      <c r="N13" s="358"/>
      <c r="O13" s="358">
        <f t="shared" si="1"/>
        <v>2894750</v>
      </c>
      <c r="P13" s="385">
        <v>4800000</v>
      </c>
      <c r="Q13" s="358">
        <f t="shared" si="2"/>
        <v>1905250</v>
      </c>
      <c r="R13" s="195"/>
      <c r="S13" s="195"/>
    </row>
    <row r="14" spans="1:19" ht="21.75" customHeight="1" x14ac:dyDescent="0.25">
      <c r="A14" s="350">
        <v>7</v>
      </c>
      <c r="B14" s="482">
        <v>44993</v>
      </c>
      <c r="C14" s="366" t="s">
        <v>4772</v>
      </c>
      <c r="D14" s="367" t="s">
        <v>4799</v>
      </c>
      <c r="E14" s="354" t="s">
        <v>4785</v>
      </c>
      <c r="F14" s="368"/>
      <c r="G14" s="369">
        <v>128</v>
      </c>
      <c r="H14" s="358">
        <f t="shared" si="0"/>
        <v>2592000</v>
      </c>
      <c r="I14" s="358"/>
      <c r="J14" s="414">
        <v>830000</v>
      </c>
      <c r="K14" s="371"/>
      <c r="L14" s="372"/>
      <c r="M14" s="358"/>
      <c r="N14" s="358"/>
      <c r="O14" s="358">
        <f t="shared" si="1"/>
        <v>3422000</v>
      </c>
      <c r="P14" s="385">
        <v>4800000</v>
      </c>
      <c r="Q14" s="358">
        <f t="shared" si="2"/>
        <v>1378000</v>
      </c>
      <c r="R14" s="195"/>
      <c r="S14" s="195"/>
    </row>
    <row r="15" spans="1:19" ht="21.75" customHeight="1" x14ac:dyDescent="0.25">
      <c r="A15" s="350">
        <v>8</v>
      </c>
      <c r="B15" s="482">
        <v>44994</v>
      </c>
      <c r="C15" s="366" t="s">
        <v>4773</v>
      </c>
      <c r="D15" s="367" t="s">
        <v>4800</v>
      </c>
      <c r="E15" s="354" t="s">
        <v>850</v>
      </c>
      <c r="F15" s="368"/>
      <c r="G15" s="369">
        <v>124</v>
      </c>
      <c r="H15" s="358">
        <f t="shared" si="0"/>
        <v>2511000</v>
      </c>
      <c r="I15" s="358"/>
      <c r="J15" s="414">
        <v>790000</v>
      </c>
      <c r="K15" s="371"/>
      <c r="L15" s="372"/>
      <c r="M15" s="358"/>
      <c r="N15" s="358"/>
      <c r="O15" s="358">
        <f t="shared" si="1"/>
        <v>3301000</v>
      </c>
      <c r="P15" s="385">
        <v>5363636</v>
      </c>
      <c r="Q15" s="358">
        <f t="shared" si="2"/>
        <v>2062636</v>
      </c>
      <c r="R15" s="195"/>
      <c r="S15" s="195"/>
    </row>
    <row r="16" spans="1:19" ht="21.75" customHeight="1" x14ac:dyDescent="0.25">
      <c r="A16" s="350">
        <v>9</v>
      </c>
      <c r="B16" s="482">
        <v>44996</v>
      </c>
      <c r="C16" s="366" t="s">
        <v>3574</v>
      </c>
      <c r="D16" s="367" t="s">
        <v>4801</v>
      </c>
      <c r="E16" s="354" t="s">
        <v>4786</v>
      </c>
      <c r="F16" s="368"/>
      <c r="G16" s="369">
        <v>27</v>
      </c>
      <c r="H16" s="358">
        <f t="shared" si="0"/>
        <v>546750</v>
      </c>
      <c r="I16" s="358"/>
      <c r="J16" s="414">
        <v>340000</v>
      </c>
      <c r="K16" s="371"/>
      <c r="L16" s="372"/>
      <c r="M16" s="358"/>
      <c r="N16" s="358"/>
      <c r="O16" s="358">
        <f t="shared" si="1"/>
        <v>886750</v>
      </c>
      <c r="P16" s="385">
        <v>2400000</v>
      </c>
      <c r="Q16" s="358">
        <f t="shared" si="2"/>
        <v>1513250</v>
      </c>
      <c r="R16" s="195"/>
      <c r="S16" s="195"/>
    </row>
    <row r="17" spans="1:19" ht="21.75" customHeight="1" x14ac:dyDescent="0.25">
      <c r="A17" s="350">
        <v>10</v>
      </c>
      <c r="B17" s="482">
        <v>44997</v>
      </c>
      <c r="C17" s="366" t="s">
        <v>4774</v>
      </c>
      <c r="D17" s="367" t="s">
        <v>4802</v>
      </c>
      <c r="E17" s="354" t="s">
        <v>4641</v>
      </c>
      <c r="F17" s="368"/>
      <c r="G17" s="369">
        <v>106</v>
      </c>
      <c r="H17" s="358">
        <f t="shared" si="0"/>
        <v>2146500</v>
      </c>
      <c r="I17" s="358"/>
      <c r="J17" s="414">
        <v>790000</v>
      </c>
      <c r="K17" s="371"/>
      <c r="L17" s="372"/>
      <c r="M17" s="358"/>
      <c r="N17" s="358"/>
      <c r="O17" s="358">
        <f t="shared" si="1"/>
        <v>2936500</v>
      </c>
      <c r="P17" s="385">
        <v>4900000</v>
      </c>
      <c r="Q17" s="358">
        <f t="shared" si="2"/>
        <v>1963500</v>
      </c>
      <c r="R17" s="195"/>
      <c r="S17" s="195"/>
    </row>
    <row r="18" spans="1:19" ht="21.75" customHeight="1" x14ac:dyDescent="0.25">
      <c r="A18" s="470">
        <v>11</v>
      </c>
      <c r="B18" s="487">
        <v>44999</v>
      </c>
      <c r="C18" s="366" t="s">
        <v>4775</v>
      </c>
      <c r="D18" s="367" t="s">
        <v>4803</v>
      </c>
      <c r="E18" s="354" t="s">
        <v>4787</v>
      </c>
      <c r="F18" s="461"/>
      <c r="G18" s="369">
        <v>80</v>
      </c>
      <c r="H18" s="358">
        <f>11*20250+69*20500</f>
        <v>1637250</v>
      </c>
      <c r="I18" s="494"/>
      <c r="J18" s="436">
        <v>790000</v>
      </c>
      <c r="K18" s="371"/>
      <c r="L18" s="372"/>
      <c r="M18" s="381"/>
      <c r="N18" s="381"/>
      <c r="O18" s="358">
        <f t="shared" si="1"/>
        <v>2427250</v>
      </c>
      <c r="P18" s="385">
        <v>4300000</v>
      </c>
      <c r="Q18" s="358">
        <f t="shared" si="2"/>
        <v>1872750</v>
      </c>
      <c r="R18" s="195"/>
      <c r="S18" s="195"/>
    </row>
    <row r="19" spans="1:19" ht="21.75" customHeight="1" x14ac:dyDescent="0.25">
      <c r="A19" s="350">
        <v>12</v>
      </c>
      <c r="B19" s="487">
        <v>44999</v>
      </c>
      <c r="C19" s="366" t="s">
        <v>4776</v>
      </c>
      <c r="D19" s="367" t="s">
        <v>4804</v>
      </c>
      <c r="E19" s="354" t="s">
        <v>4788</v>
      </c>
      <c r="F19" s="461"/>
      <c r="G19" s="369">
        <v>84</v>
      </c>
      <c r="H19" s="358">
        <f>G19*20500</f>
        <v>1722000</v>
      </c>
      <c r="I19" s="494"/>
      <c r="J19" s="436">
        <v>430000</v>
      </c>
      <c r="K19" s="371"/>
      <c r="L19" s="372"/>
      <c r="M19" s="381"/>
      <c r="N19" s="381"/>
      <c r="O19" s="358">
        <f t="shared" si="1"/>
        <v>2152000</v>
      </c>
      <c r="P19" s="385">
        <v>3800000</v>
      </c>
      <c r="Q19" s="358">
        <f t="shared" si="2"/>
        <v>1648000</v>
      </c>
      <c r="R19" s="195"/>
      <c r="S19" s="195"/>
    </row>
    <row r="20" spans="1:19" ht="21.75" customHeight="1" x14ac:dyDescent="0.25">
      <c r="A20" s="350">
        <v>13</v>
      </c>
      <c r="B20" s="487">
        <v>45000</v>
      </c>
      <c r="C20" s="366" t="s">
        <v>4777</v>
      </c>
      <c r="D20" s="367" t="s">
        <v>4805</v>
      </c>
      <c r="E20" s="354" t="s">
        <v>4789</v>
      </c>
      <c r="F20" s="461"/>
      <c r="G20" s="369">
        <v>83</v>
      </c>
      <c r="H20" s="358">
        <f t="shared" ref="H20:H23" si="3">G20*20500</f>
        <v>1701500</v>
      </c>
      <c r="I20" s="494"/>
      <c r="J20" s="436">
        <v>790000</v>
      </c>
      <c r="K20" s="371"/>
      <c r="L20" s="372"/>
      <c r="M20" s="381"/>
      <c r="N20" s="381"/>
      <c r="O20" s="358">
        <f t="shared" si="1"/>
        <v>2491500</v>
      </c>
      <c r="P20" s="385">
        <v>4190000</v>
      </c>
      <c r="Q20" s="358">
        <f t="shared" si="2"/>
        <v>1698500</v>
      </c>
      <c r="R20" s="195"/>
      <c r="S20" s="195"/>
    </row>
    <row r="21" spans="1:19" ht="21.75" customHeight="1" x14ac:dyDescent="0.25">
      <c r="A21" s="350">
        <v>14</v>
      </c>
      <c r="B21" s="487">
        <v>45000</v>
      </c>
      <c r="C21" s="366" t="s">
        <v>4778</v>
      </c>
      <c r="D21" s="367" t="s">
        <v>4806</v>
      </c>
      <c r="E21" s="354" t="s">
        <v>4790</v>
      </c>
      <c r="F21" s="461"/>
      <c r="G21" s="369">
        <v>127</v>
      </c>
      <c r="H21" s="358">
        <f t="shared" si="3"/>
        <v>2603500</v>
      </c>
      <c r="I21" s="494"/>
      <c r="J21" s="436">
        <v>830000</v>
      </c>
      <c r="K21" s="371"/>
      <c r="L21" s="372"/>
      <c r="M21" s="381"/>
      <c r="N21" s="381"/>
      <c r="O21" s="358">
        <f t="shared" si="1"/>
        <v>3433500</v>
      </c>
      <c r="P21" s="385">
        <v>4600000</v>
      </c>
      <c r="Q21" s="358">
        <f t="shared" si="2"/>
        <v>1166500</v>
      </c>
      <c r="R21" s="195"/>
      <c r="S21" s="195"/>
    </row>
    <row r="22" spans="1:19" ht="21.75" customHeight="1" x14ac:dyDescent="0.25">
      <c r="A22" s="350">
        <v>15</v>
      </c>
      <c r="B22" s="487">
        <v>45002</v>
      </c>
      <c r="C22" s="366" t="s">
        <v>4298</v>
      </c>
      <c r="D22" s="367" t="s">
        <v>4807</v>
      </c>
      <c r="E22" s="354" t="s">
        <v>4791</v>
      </c>
      <c r="F22" s="461"/>
      <c r="G22" s="369">
        <v>91</v>
      </c>
      <c r="H22" s="358">
        <f t="shared" si="3"/>
        <v>1865500</v>
      </c>
      <c r="I22" s="494"/>
      <c r="J22" s="436">
        <v>790000</v>
      </c>
      <c r="K22" s="371"/>
      <c r="L22" s="372"/>
      <c r="M22" s="381"/>
      <c r="N22" s="381"/>
      <c r="O22" s="358">
        <f t="shared" si="1"/>
        <v>2655500</v>
      </c>
      <c r="P22" s="385">
        <v>4200000</v>
      </c>
      <c r="Q22" s="358">
        <f t="shared" si="2"/>
        <v>1544500</v>
      </c>
      <c r="R22" s="195"/>
      <c r="S22" s="195"/>
    </row>
    <row r="23" spans="1:19" ht="21.75" customHeight="1" x14ac:dyDescent="0.25">
      <c r="A23" s="350">
        <v>16</v>
      </c>
      <c r="B23" s="487">
        <v>45003</v>
      </c>
      <c r="C23" s="366" t="s">
        <v>4779</v>
      </c>
      <c r="D23" s="367" t="s">
        <v>4808</v>
      </c>
      <c r="E23" s="354" t="s">
        <v>286</v>
      </c>
      <c r="F23" s="461"/>
      <c r="G23" s="369">
        <v>109</v>
      </c>
      <c r="H23" s="358">
        <f t="shared" si="3"/>
        <v>2234500</v>
      </c>
      <c r="I23" s="494"/>
      <c r="J23" s="436">
        <v>1330000</v>
      </c>
      <c r="K23" s="371"/>
      <c r="L23" s="372"/>
      <c r="M23" s="381"/>
      <c r="N23" s="381"/>
      <c r="O23" s="358">
        <f t="shared" si="1"/>
        <v>3564500</v>
      </c>
      <c r="P23" s="385">
        <v>4747273</v>
      </c>
      <c r="Q23" s="358">
        <f t="shared" si="2"/>
        <v>1182773</v>
      </c>
      <c r="R23" s="195"/>
      <c r="S23" s="195"/>
    </row>
    <row r="24" spans="1:19" ht="21.75" customHeight="1" x14ac:dyDescent="0.25">
      <c r="A24" s="350">
        <v>17</v>
      </c>
      <c r="B24" s="487">
        <v>45005</v>
      </c>
      <c r="C24" s="366" t="s">
        <v>4780</v>
      </c>
      <c r="D24" s="367" t="s">
        <v>4808</v>
      </c>
      <c r="E24" s="354" t="s">
        <v>4430</v>
      </c>
      <c r="F24" s="461"/>
      <c r="G24" s="369"/>
      <c r="H24" s="358"/>
      <c r="I24" s="494"/>
      <c r="J24" s="436">
        <v>0</v>
      </c>
      <c r="K24" s="371"/>
      <c r="L24" s="372"/>
      <c r="M24" s="381"/>
      <c r="N24" s="381"/>
      <c r="O24" s="358">
        <f t="shared" si="1"/>
        <v>0</v>
      </c>
      <c r="P24" s="385">
        <v>3600000</v>
      </c>
      <c r="Q24" s="358">
        <f t="shared" si="2"/>
        <v>3600000</v>
      </c>
      <c r="R24" s="195"/>
      <c r="S24" s="195"/>
    </row>
    <row r="25" spans="1:19" ht="21.75" customHeight="1" x14ac:dyDescent="0.25">
      <c r="A25" s="350">
        <v>18</v>
      </c>
      <c r="B25" s="487">
        <v>45006</v>
      </c>
      <c r="C25" s="366" t="s">
        <v>4304</v>
      </c>
      <c r="D25" s="367" t="s">
        <v>4809</v>
      </c>
      <c r="E25" s="354" t="s">
        <v>24</v>
      </c>
      <c r="F25" s="461"/>
      <c r="G25" s="369">
        <v>180</v>
      </c>
      <c r="H25" s="358">
        <f>169*19300+11*20500</f>
        <v>3487200</v>
      </c>
      <c r="I25" s="494"/>
      <c r="J25" s="436">
        <v>1530000</v>
      </c>
      <c r="K25" s="371"/>
      <c r="L25" s="372"/>
      <c r="M25" s="381"/>
      <c r="N25" s="381"/>
      <c r="O25" s="358">
        <f t="shared" si="1"/>
        <v>5017200</v>
      </c>
      <c r="P25" s="385">
        <v>8327273</v>
      </c>
      <c r="Q25" s="358">
        <f t="shared" si="2"/>
        <v>3310073</v>
      </c>
      <c r="R25" s="195"/>
      <c r="S25" s="195"/>
    </row>
    <row r="26" spans="1:19" ht="21.75" customHeight="1" x14ac:dyDescent="0.25">
      <c r="A26" s="350">
        <v>19</v>
      </c>
      <c r="B26" s="487">
        <v>45007</v>
      </c>
      <c r="C26" s="366" t="s">
        <v>4781</v>
      </c>
      <c r="D26" s="367" t="s">
        <v>4810</v>
      </c>
      <c r="E26" s="354" t="s">
        <v>4699</v>
      </c>
      <c r="F26" s="461"/>
      <c r="G26" s="369">
        <v>402</v>
      </c>
      <c r="H26" s="358">
        <f>G26*19300</f>
        <v>7758600</v>
      </c>
      <c r="I26" s="494"/>
      <c r="J26" s="436">
        <v>2970000</v>
      </c>
      <c r="K26" s="371"/>
      <c r="L26" s="372"/>
      <c r="M26" s="381"/>
      <c r="N26" s="381"/>
      <c r="O26" s="358">
        <f t="shared" si="1"/>
        <v>10728600</v>
      </c>
      <c r="P26" s="385">
        <v>21263636</v>
      </c>
      <c r="Q26" s="358">
        <f t="shared" si="2"/>
        <v>10535036</v>
      </c>
      <c r="R26" s="195"/>
      <c r="S26" s="195"/>
    </row>
    <row r="27" spans="1:19" ht="21.75" customHeight="1" x14ac:dyDescent="0.25">
      <c r="A27" s="350">
        <v>20</v>
      </c>
      <c r="B27" s="487">
        <v>45010</v>
      </c>
      <c r="C27" s="366" t="s">
        <v>2975</v>
      </c>
      <c r="D27" s="367" t="s">
        <v>4811</v>
      </c>
      <c r="E27" s="354" t="s">
        <v>2878</v>
      </c>
      <c r="F27" s="461"/>
      <c r="G27" s="369">
        <v>111</v>
      </c>
      <c r="H27" s="358">
        <f t="shared" ref="H27:H29" si="4">G27*19300</f>
        <v>2142300</v>
      </c>
      <c r="I27" s="494"/>
      <c r="J27" s="436">
        <v>790000</v>
      </c>
      <c r="K27" s="371"/>
      <c r="L27" s="372"/>
      <c r="M27" s="381"/>
      <c r="N27" s="381"/>
      <c r="O27" s="358">
        <f t="shared" si="1"/>
        <v>2932300</v>
      </c>
      <c r="P27" s="385">
        <v>4700000</v>
      </c>
      <c r="Q27" s="358">
        <f t="shared" si="2"/>
        <v>1767700</v>
      </c>
      <c r="R27" s="195"/>
      <c r="S27" s="195"/>
    </row>
    <row r="28" spans="1:19" ht="21.75" customHeight="1" x14ac:dyDescent="0.25">
      <c r="A28" s="350">
        <v>21</v>
      </c>
      <c r="B28" s="487">
        <v>45012</v>
      </c>
      <c r="C28" s="366" t="s">
        <v>4782</v>
      </c>
      <c r="D28" s="367" t="s">
        <v>4812</v>
      </c>
      <c r="E28" s="354" t="s">
        <v>4641</v>
      </c>
      <c r="F28" s="461"/>
      <c r="G28" s="369">
        <v>106</v>
      </c>
      <c r="H28" s="358">
        <f t="shared" si="4"/>
        <v>2045800</v>
      </c>
      <c r="I28" s="494"/>
      <c r="J28" s="436">
        <v>790000</v>
      </c>
      <c r="K28" s="371"/>
      <c r="L28" s="372"/>
      <c r="M28" s="381"/>
      <c r="N28" s="381"/>
      <c r="O28" s="358">
        <f t="shared" si="1"/>
        <v>2835800</v>
      </c>
      <c r="P28" s="385">
        <v>4900000</v>
      </c>
      <c r="Q28" s="358">
        <f t="shared" si="2"/>
        <v>2064200</v>
      </c>
      <c r="R28" s="195"/>
      <c r="S28" s="195"/>
    </row>
    <row r="29" spans="1:19" ht="21.75" customHeight="1" x14ac:dyDescent="0.25">
      <c r="A29" s="350">
        <v>22</v>
      </c>
      <c r="B29" s="487">
        <v>45013</v>
      </c>
      <c r="C29" s="366" t="s">
        <v>4783</v>
      </c>
      <c r="D29" s="367" t="s">
        <v>4813</v>
      </c>
      <c r="E29" s="354" t="s">
        <v>850</v>
      </c>
      <c r="F29" s="461"/>
      <c r="G29" s="369">
        <v>111</v>
      </c>
      <c r="H29" s="358">
        <f t="shared" si="4"/>
        <v>2142300</v>
      </c>
      <c r="I29" s="494"/>
      <c r="J29" s="436">
        <v>790000</v>
      </c>
      <c r="K29" s="371"/>
      <c r="L29" s="372"/>
      <c r="M29" s="381"/>
      <c r="N29" s="381"/>
      <c r="O29" s="358">
        <f t="shared" si="1"/>
        <v>2932300</v>
      </c>
      <c r="P29" s="385">
        <v>4870000</v>
      </c>
      <c r="Q29" s="358">
        <f t="shared" si="2"/>
        <v>1937700</v>
      </c>
      <c r="R29" s="195"/>
      <c r="S29" s="195"/>
    </row>
    <row r="30" spans="1:19" ht="21.75" customHeight="1" x14ac:dyDescent="0.25">
      <c r="A30" s="350">
        <v>23</v>
      </c>
      <c r="B30" s="487">
        <v>45013</v>
      </c>
      <c r="C30" s="366" t="s">
        <v>2355</v>
      </c>
      <c r="D30" s="367" t="s">
        <v>4814</v>
      </c>
      <c r="E30" s="354" t="s">
        <v>4792</v>
      </c>
      <c r="F30" s="461"/>
      <c r="G30" s="369">
        <v>39</v>
      </c>
      <c r="H30" s="358">
        <f>G30*19300</f>
        <v>752700</v>
      </c>
      <c r="I30" s="494"/>
      <c r="J30" s="436">
        <v>340000</v>
      </c>
      <c r="K30" s="371"/>
      <c r="L30" s="372"/>
      <c r="M30" s="381"/>
      <c r="N30" s="381"/>
      <c r="O30" s="358">
        <f t="shared" si="1"/>
        <v>1092700</v>
      </c>
      <c r="P30" s="385">
        <v>2700000</v>
      </c>
      <c r="Q30" s="358">
        <f t="shared" si="2"/>
        <v>1607300</v>
      </c>
      <c r="R30" s="195"/>
      <c r="S30" s="195"/>
    </row>
    <row r="31" spans="1:19" ht="21.75" customHeight="1" x14ac:dyDescent="0.25">
      <c r="A31" s="350">
        <v>24</v>
      </c>
      <c r="B31" s="487">
        <v>45014</v>
      </c>
      <c r="C31" s="366" t="s">
        <v>2977</v>
      </c>
      <c r="D31" s="367" t="s">
        <v>4815</v>
      </c>
      <c r="E31" s="354" t="s">
        <v>4146</v>
      </c>
      <c r="F31" s="461"/>
      <c r="G31" s="369">
        <v>98</v>
      </c>
      <c r="H31" s="358">
        <f>G31*19300</f>
        <v>1891400</v>
      </c>
      <c r="I31" s="494"/>
      <c r="J31" s="436">
        <v>430000</v>
      </c>
      <c r="K31" s="371"/>
      <c r="L31" s="372"/>
      <c r="M31" s="381"/>
      <c r="N31" s="381"/>
      <c r="O31" s="358">
        <f t="shared" si="1"/>
        <v>2321400</v>
      </c>
      <c r="P31" s="385">
        <v>4000000</v>
      </c>
      <c r="Q31" s="358">
        <f t="shared" si="2"/>
        <v>1678600</v>
      </c>
      <c r="R31" s="195"/>
      <c r="S31" s="195"/>
    </row>
    <row r="32" spans="1:19" ht="21.75" customHeight="1" x14ac:dyDescent="0.25">
      <c r="A32" s="350"/>
      <c r="B32" s="487"/>
      <c r="C32" s="366"/>
      <c r="D32" s="367"/>
      <c r="E32" s="354"/>
      <c r="F32" s="461"/>
      <c r="G32" s="369"/>
      <c r="H32" s="358"/>
      <c r="I32" s="494"/>
      <c r="J32" s="381"/>
      <c r="K32" s="371"/>
      <c r="L32" s="372"/>
      <c r="M32" s="381"/>
      <c r="N32" s="381"/>
      <c r="O32" s="385"/>
      <c r="P32" s="385"/>
      <c r="Q32" s="385"/>
      <c r="R32" s="195"/>
      <c r="S32" s="195"/>
    </row>
    <row r="33" spans="1:19" ht="21.75" customHeight="1" x14ac:dyDescent="0.25">
      <c r="A33" s="350"/>
      <c r="B33" s="487"/>
      <c r="C33" s="366"/>
      <c r="D33" s="367"/>
      <c r="E33" s="354"/>
      <c r="F33" s="461"/>
      <c r="G33" s="369"/>
      <c r="H33" s="358"/>
      <c r="I33" s="494"/>
      <c r="J33" s="381"/>
      <c r="K33" s="371"/>
      <c r="L33" s="372"/>
      <c r="M33" s="381"/>
      <c r="N33" s="381"/>
      <c r="O33" s="385"/>
      <c r="P33" s="385"/>
      <c r="Q33" s="385"/>
      <c r="R33" s="195"/>
      <c r="S33" s="195"/>
    </row>
    <row r="34" spans="1:19" ht="27" customHeight="1" x14ac:dyDescent="0.25">
      <c r="A34" s="374"/>
      <c r="B34" s="488"/>
      <c r="C34" s="609" t="s">
        <v>1273</v>
      </c>
      <c r="D34" s="609"/>
      <c r="E34" s="609"/>
      <c r="F34" s="402"/>
      <c r="G34" s="358"/>
      <c r="H34" s="369"/>
      <c r="I34" s="403"/>
      <c r="J34" s="381"/>
      <c r="K34" s="372">
        <v>1200000</v>
      </c>
      <c r="L34" s="372"/>
      <c r="M34" s="381"/>
      <c r="N34" s="381"/>
      <c r="O34" s="385">
        <f>H34+J34+K34+L34+M34+N34</f>
        <v>1200000</v>
      </c>
      <c r="P34" s="385"/>
      <c r="Q34" s="385"/>
    </row>
    <row r="35" spans="1:19" ht="27" customHeight="1" x14ac:dyDescent="0.25">
      <c r="A35" s="386"/>
      <c r="B35" s="379"/>
      <c r="C35" s="594" t="s">
        <v>4535</v>
      </c>
      <c r="D35" s="595"/>
      <c r="E35" s="596"/>
      <c r="F35" s="402"/>
      <c r="G35" s="381"/>
      <c r="H35" s="369"/>
      <c r="J35" s="381"/>
      <c r="K35" s="388">
        <v>11090000</v>
      </c>
      <c r="L35" s="388"/>
      <c r="M35" s="381"/>
      <c r="N35" s="381"/>
      <c r="O35" s="385">
        <f>H35+J35+K35+L35+M35+N35</f>
        <v>11090000</v>
      </c>
      <c r="P35" s="389"/>
      <c r="Q35" s="378"/>
    </row>
    <row r="36" spans="1:19" ht="27" customHeight="1" x14ac:dyDescent="0.25">
      <c r="A36" s="386"/>
      <c r="B36" s="379"/>
      <c r="C36" s="594" t="s">
        <v>4816</v>
      </c>
      <c r="D36" s="595"/>
      <c r="E36" s="596"/>
      <c r="F36" s="402"/>
      <c r="G36" s="381"/>
      <c r="H36" s="369"/>
      <c r="J36" s="381"/>
      <c r="K36" s="388"/>
      <c r="L36" s="388">
        <v>643500</v>
      </c>
      <c r="M36" s="388"/>
      <c r="N36" s="381"/>
      <c r="O36" s="385">
        <f t="shared" ref="O36:O39" si="5">H36+J36+K36+L36+M36+N36</f>
        <v>643500</v>
      </c>
      <c r="P36" s="389"/>
      <c r="Q36" s="378"/>
    </row>
    <row r="37" spans="1:19" ht="27" customHeight="1" x14ac:dyDescent="0.25">
      <c r="A37" s="386"/>
      <c r="B37" s="379"/>
      <c r="C37" s="594" t="s">
        <v>4817</v>
      </c>
      <c r="D37" s="595"/>
      <c r="E37" s="596"/>
      <c r="F37" s="402"/>
      <c r="G37" s="381"/>
      <c r="H37" s="369"/>
      <c r="J37" s="381"/>
      <c r="K37" s="388"/>
      <c r="L37" s="388">
        <v>950000</v>
      </c>
      <c r="M37" s="388"/>
      <c r="N37" s="388"/>
      <c r="O37" s="385">
        <f t="shared" si="5"/>
        <v>950000</v>
      </c>
      <c r="P37" s="389"/>
      <c r="Q37" s="378"/>
    </row>
    <row r="38" spans="1:19" ht="27" customHeight="1" x14ac:dyDescent="0.25">
      <c r="A38" s="386"/>
      <c r="B38" s="379"/>
      <c r="C38" s="594" t="s">
        <v>4863</v>
      </c>
      <c r="D38" s="595"/>
      <c r="E38" s="596"/>
      <c r="F38" s="402"/>
      <c r="G38" s="381"/>
      <c r="H38" s="369"/>
      <c r="I38" s="403"/>
      <c r="J38" s="388"/>
      <c r="K38" s="388"/>
      <c r="L38" s="388"/>
      <c r="M38" s="388">
        <v>9800000</v>
      </c>
      <c r="N38" s="388"/>
      <c r="O38" s="385">
        <f t="shared" si="5"/>
        <v>9800000</v>
      </c>
      <c r="P38" s="389"/>
      <c r="Q38" s="378"/>
    </row>
    <row r="39" spans="1:19" ht="30.75" customHeight="1" x14ac:dyDescent="0.25">
      <c r="A39" s="386"/>
      <c r="B39" s="391"/>
      <c r="C39" s="579" t="s">
        <v>4333</v>
      </c>
      <c r="D39" s="580"/>
      <c r="E39" s="581"/>
      <c r="F39" s="461"/>
      <c r="G39" s="381"/>
      <c r="H39" s="369"/>
      <c r="I39" s="403"/>
      <c r="J39" s="381"/>
      <c r="K39" s="394">
        <v>8300000</v>
      </c>
      <c r="L39" s="394"/>
      <c r="M39" s="381"/>
      <c r="N39" s="381"/>
      <c r="O39" s="385">
        <f t="shared" si="5"/>
        <v>8300000</v>
      </c>
      <c r="P39" s="389"/>
      <c r="Q39" s="378"/>
    </row>
    <row r="40" spans="1:19" x14ac:dyDescent="0.25">
      <c r="A40" s="576" t="s">
        <v>19</v>
      </c>
      <c r="B40" s="577"/>
      <c r="C40" s="577"/>
      <c r="D40" s="577"/>
      <c r="E40" s="577"/>
      <c r="F40" s="578"/>
      <c r="G40" s="395">
        <f>SUM(G8:G39)</f>
        <v>2618</v>
      </c>
      <c r="H40" s="396">
        <f t="shared" ref="H40:P40" si="6">SUM(H7:H39)</f>
        <v>52173800</v>
      </c>
      <c r="I40" s="396">
        <f t="shared" si="6"/>
        <v>0</v>
      </c>
      <c r="J40" s="396">
        <f t="shared" si="6"/>
        <v>20210000</v>
      </c>
      <c r="K40" s="396">
        <f t="shared" si="6"/>
        <v>20590000</v>
      </c>
      <c r="L40" s="396">
        <f t="shared" si="6"/>
        <v>1593500</v>
      </c>
      <c r="M40" s="396">
        <f t="shared" si="6"/>
        <v>9800000</v>
      </c>
      <c r="N40" s="396">
        <f t="shared" si="6"/>
        <v>0</v>
      </c>
      <c r="O40" s="396">
        <f t="shared" si="6"/>
        <v>104367300</v>
      </c>
      <c r="P40" s="397">
        <f t="shared" si="6"/>
        <v>128697273</v>
      </c>
      <c r="Q40" s="396">
        <f>P40-O40</f>
        <v>24329973</v>
      </c>
      <c r="R40" s="195"/>
    </row>
    <row r="41" spans="1:19" x14ac:dyDescent="0.25">
      <c r="P41" s="294"/>
      <c r="Q41" s="295"/>
    </row>
    <row r="42" spans="1:19" x14ac:dyDescent="0.25">
      <c r="B42"/>
      <c r="G42"/>
      <c r="H42" s="294"/>
      <c r="P42" s="296" t="s">
        <v>1225</v>
      </c>
      <c r="Q42" s="295">
        <f>'02.2023'!Q40+'03.2023'!Q40</f>
        <v>74544625</v>
      </c>
    </row>
    <row r="43" spans="1:19" x14ac:dyDescent="0.25">
      <c r="B43"/>
      <c r="G43"/>
      <c r="Q43" s="294"/>
    </row>
    <row r="44" spans="1:19" x14ac:dyDescent="0.25">
      <c r="B44"/>
      <c r="G44"/>
      <c r="R44" s="195"/>
    </row>
  </sheetData>
  <mergeCells count="11">
    <mergeCell ref="C38:E38"/>
    <mergeCell ref="C39:E39"/>
    <mergeCell ref="A40:F40"/>
    <mergeCell ref="C36:E36"/>
    <mergeCell ref="C37:E37"/>
    <mergeCell ref="C35:E35"/>
    <mergeCell ref="A1:Q1"/>
    <mergeCell ref="A2:Q2"/>
    <mergeCell ref="A3:Q3"/>
    <mergeCell ref="G5:N5"/>
    <mergeCell ref="C34:E34"/>
  </mergeCells>
  <pageMargins left="0.7" right="0.7" top="0.75" bottom="0.75" header="0.3" footer="0.3"/>
  <pageSetup paperSize="9" orientation="portrait" horizontalDpi="0" verticalDpi="0"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ED626-882F-4632-A0E7-0B23FF60CC9A}">
  <dimension ref="A1:U49"/>
  <sheetViews>
    <sheetView topLeftCell="F36" workbookViewId="0">
      <selection activeCell="Q45" sqref="Q45"/>
    </sheetView>
  </sheetViews>
  <sheetFormatPr defaultColWidth="9.140625" defaultRowHeight="15" x14ac:dyDescent="0.25"/>
  <cols>
    <col min="1" max="1" width="4.5703125" customWidth="1"/>
    <col min="2" max="2" width="9.28515625" style="332" bestFit="1" customWidth="1"/>
    <col min="3" max="3" width="33.42578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21" ht="23.25" x14ac:dyDescent="0.25">
      <c r="A1" s="551" t="s">
        <v>0</v>
      </c>
      <c r="B1" s="551"/>
      <c r="C1" s="551"/>
      <c r="D1" s="551"/>
      <c r="E1" s="551"/>
      <c r="F1" s="551"/>
      <c r="G1" s="551"/>
      <c r="H1" s="551"/>
      <c r="I1" s="551"/>
      <c r="J1" s="551"/>
      <c r="K1" s="551"/>
      <c r="L1" s="551"/>
      <c r="M1" s="551"/>
      <c r="N1" s="551"/>
      <c r="O1" s="551"/>
      <c r="P1" s="551"/>
      <c r="Q1" s="551"/>
    </row>
    <row r="2" spans="1:21" ht="15.75" x14ac:dyDescent="0.25">
      <c r="A2" s="550" t="s">
        <v>103</v>
      </c>
      <c r="B2" s="550"/>
      <c r="C2" s="550"/>
      <c r="D2" s="550"/>
      <c r="E2" s="550"/>
      <c r="F2" s="550"/>
      <c r="G2" s="550"/>
      <c r="H2" s="550"/>
      <c r="I2" s="550"/>
      <c r="J2" s="550"/>
      <c r="K2" s="550"/>
      <c r="L2" s="550"/>
      <c r="M2" s="550"/>
      <c r="N2" s="550"/>
      <c r="O2" s="550"/>
      <c r="P2" s="550"/>
      <c r="Q2" s="550"/>
    </row>
    <row r="3" spans="1:21" ht="15.75" x14ac:dyDescent="0.25">
      <c r="A3" s="550" t="s">
        <v>4819</v>
      </c>
      <c r="B3" s="550"/>
      <c r="C3" s="550"/>
      <c r="D3" s="550"/>
      <c r="E3" s="550"/>
      <c r="F3" s="550"/>
      <c r="G3" s="550"/>
      <c r="H3" s="550"/>
      <c r="I3" s="550"/>
      <c r="J3" s="550"/>
      <c r="K3" s="550"/>
      <c r="L3" s="550"/>
      <c r="M3" s="550"/>
      <c r="N3" s="550"/>
      <c r="O3" s="550"/>
      <c r="P3" s="550"/>
      <c r="Q3" s="550"/>
    </row>
    <row r="4" spans="1:21" x14ac:dyDescent="0.25">
      <c r="A4" s="74"/>
      <c r="B4" s="99"/>
      <c r="C4" s="74"/>
      <c r="D4" s="74"/>
      <c r="E4" s="74" t="s">
        <v>194</v>
      </c>
      <c r="F4" s="74"/>
      <c r="G4" s="257"/>
      <c r="H4" s="258"/>
      <c r="I4" s="258"/>
      <c r="J4" s="258"/>
      <c r="K4" s="258"/>
      <c r="L4" s="91"/>
      <c r="M4" s="258"/>
      <c r="N4" s="258"/>
      <c r="O4" s="258"/>
      <c r="P4" s="258"/>
      <c r="Q4" s="258"/>
    </row>
    <row r="5" spans="1:21"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21"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21" x14ac:dyDescent="0.25">
      <c r="A7" s="75"/>
      <c r="B7" s="100"/>
      <c r="C7" s="88"/>
      <c r="D7" s="88"/>
      <c r="E7" s="134"/>
      <c r="F7" s="75"/>
      <c r="G7" s="264"/>
      <c r="H7" s="264"/>
      <c r="I7" s="264"/>
      <c r="J7" s="264"/>
      <c r="K7" s="264"/>
      <c r="L7" s="308"/>
      <c r="M7" s="264"/>
      <c r="N7" s="264"/>
      <c r="O7" s="265"/>
      <c r="P7" s="265"/>
      <c r="Q7" s="264"/>
    </row>
    <row r="8" spans="1:21" ht="21.75" customHeight="1" x14ac:dyDescent="0.25">
      <c r="A8" s="470">
        <v>1</v>
      </c>
      <c r="B8" s="472">
        <v>45019</v>
      </c>
      <c r="C8" s="366" t="s">
        <v>4820</v>
      </c>
      <c r="D8" s="367" t="s">
        <v>4830</v>
      </c>
      <c r="E8" s="354" t="s">
        <v>4504</v>
      </c>
      <c r="F8" s="368"/>
      <c r="G8" s="369">
        <f>373</f>
        <v>373</v>
      </c>
      <c r="H8" s="358">
        <f>100*19300+273*19430</f>
        <v>7234390</v>
      </c>
      <c r="I8" s="358"/>
      <c r="J8" s="414">
        <f>2970000+400000</f>
        <v>3370000</v>
      </c>
      <c r="K8" s="371"/>
      <c r="L8" s="372"/>
      <c r="M8" s="358"/>
      <c r="N8" s="358"/>
      <c r="O8" s="358">
        <f t="shared" ref="O8:O13" si="0">H8+J8+K8+L8+M8+N8</f>
        <v>10604390</v>
      </c>
      <c r="P8" s="358">
        <v>21450000</v>
      </c>
      <c r="Q8" s="358">
        <f>P8-O8</f>
        <v>10845610</v>
      </c>
      <c r="R8" s="195"/>
      <c r="S8" s="195"/>
    </row>
    <row r="9" spans="1:21" ht="21.75" customHeight="1" x14ac:dyDescent="0.25">
      <c r="A9" s="350">
        <v>2</v>
      </c>
      <c r="B9" s="482">
        <v>45022</v>
      </c>
      <c r="C9" s="366" t="s">
        <v>1039</v>
      </c>
      <c r="D9" s="415" t="s">
        <v>4831</v>
      </c>
      <c r="E9" s="354" t="s">
        <v>4848</v>
      </c>
      <c r="F9" s="368"/>
      <c r="G9" s="369">
        <v>158</v>
      </c>
      <c r="H9" s="358">
        <f>G9*19430</f>
        <v>3069940</v>
      </c>
      <c r="I9" s="358"/>
      <c r="J9" s="414">
        <v>1130000</v>
      </c>
      <c r="K9" s="371"/>
      <c r="L9" s="372"/>
      <c r="M9" s="358"/>
      <c r="N9" s="358"/>
      <c r="O9" s="358">
        <f t="shared" si="0"/>
        <v>4199940</v>
      </c>
      <c r="P9" s="385">
        <v>6850000</v>
      </c>
      <c r="Q9" s="358">
        <f t="shared" ref="Q9:Q25" si="1">P9-O9</f>
        <v>2650060</v>
      </c>
      <c r="R9" s="195"/>
      <c r="S9" s="195"/>
    </row>
    <row r="10" spans="1:21" ht="21.75" customHeight="1" x14ac:dyDescent="0.25">
      <c r="A10" s="350">
        <v>3</v>
      </c>
      <c r="B10" s="482">
        <v>45024</v>
      </c>
      <c r="C10" s="366" t="s">
        <v>4821</v>
      </c>
      <c r="D10" s="367" t="s">
        <v>4832</v>
      </c>
      <c r="E10" s="354" t="s">
        <v>3832</v>
      </c>
      <c r="F10" s="368"/>
      <c r="G10" s="369">
        <v>54</v>
      </c>
      <c r="H10" s="358">
        <f t="shared" ref="H10:H11" si="2">G10*19430</f>
        <v>1049220</v>
      </c>
      <c r="I10" s="358"/>
      <c r="J10" s="414">
        <v>340000</v>
      </c>
      <c r="K10" s="371"/>
      <c r="L10" s="372"/>
      <c r="M10" s="358"/>
      <c r="N10" s="358"/>
      <c r="O10" s="358">
        <f t="shared" si="0"/>
        <v>1389220</v>
      </c>
      <c r="P10" s="385">
        <v>3100000</v>
      </c>
      <c r="Q10" s="358">
        <f t="shared" si="1"/>
        <v>1710780</v>
      </c>
      <c r="R10" s="195"/>
      <c r="S10" s="195"/>
    </row>
    <row r="11" spans="1:21" ht="21.75" customHeight="1" x14ac:dyDescent="0.25">
      <c r="A11" s="350">
        <v>4</v>
      </c>
      <c r="B11" s="482">
        <v>45024</v>
      </c>
      <c r="C11" s="366" t="s">
        <v>4822</v>
      </c>
      <c r="D11" s="367" t="s">
        <v>4833</v>
      </c>
      <c r="E11" s="354" t="s">
        <v>3832</v>
      </c>
      <c r="F11" s="368"/>
      <c r="G11" s="369">
        <v>54</v>
      </c>
      <c r="H11" s="358">
        <f t="shared" si="2"/>
        <v>1049220</v>
      </c>
      <c r="I11" s="358"/>
      <c r="J11" s="414">
        <v>340000</v>
      </c>
      <c r="K11" s="371"/>
      <c r="L11" s="372"/>
      <c r="M11" s="358"/>
      <c r="N11" s="358"/>
      <c r="O11" s="358">
        <f t="shared" si="0"/>
        <v>1389220</v>
      </c>
      <c r="P11" s="385">
        <v>3100000</v>
      </c>
      <c r="Q11" s="358">
        <f t="shared" si="1"/>
        <v>1710780</v>
      </c>
      <c r="R11" s="195"/>
      <c r="S11" s="195"/>
      <c r="U11" s="195"/>
    </row>
    <row r="12" spans="1:21" ht="21.75" customHeight="1" x14ac:dyDescent="0.25">
      <c r="A12" s="350">
        <v>5</v>
      </c>
      <c r="B12" s="482">
        <v>45026</v>
      </c>
      <c r="C12" s="366" t="s">
        <v>4823</v>
      </c>
      <c r="D12" s="367" t="s">
        <v>4834</v>
      </c>
      <c r="E12" s="354" t="s">
        <v>301</v>
      </c>
      <c r="F12" s="368"/>
      <c r="G12" s="369">
        <v>355</v>
      </c>
      <c r="H12" s="358">
        <f>106*19430+249*20140</f>
        <v>7074440</v>
      </c>
      <c r="I12" s="358"/>
      <c r="J12" s="414">
        <f>3460000+500000</f>
        <v>3960000</v>
      </c>
      <c r="K12" s="371"/>
      <c r="L12" s="372"/>
      <c r="M12" s="358"/>
      <c r="N12" s="358"/>
      <c r="O12" s="358">
        <f t="shared" si="0"/>
        <v>11034440</v>
      </c>
      <c r="P12" s="385">
        <v>19354545</v>
      </c>
      <c r="Q12" s="358">
        <f t="shared" si="1"/>
        <v>8320105</v>
      </c>
      <c r="R12" s="195"/>
      <c r="S12" s="195"/>
    </row>
    <row r="13" spans="1:21" ht="21.75" customHeight="1" x14ac:dyDescent="0.25">
      <c r="A13" s="350">
        <v>6</v>
      </c>
      <c r="B13" s="482">
        <v>45026</v>
      </c>
      <c r="C13" s="366" t="s">
        <v>4823</v>
      </c>
      <c r="D13" s="367" t="s">
        <v>4835</v>
      </c>
      <c r="E13" s="354" t="s">
        <v>301</v>
      </c>
      <c r="F13" s="368"/>
      <c r="G13" s="369"/>
      <c r="H13" s="358"/>
      <c r="I13" s="358"/>
      <c r="J13" s="414">
        <v>0</v>
      </c>
      <c r="K13" s="371"/>
      <c r="L13" s="372"/>
      <c r="M13" s="358"/>
      <c r="N13" s="358"/>
      <c r="O13" s="358">
        <f t="shared" si="0"/>
        <v>0</v>
      </c>
      <c r="P13" s="385">
        <v>0</v>
      </c>
      <c r="Q13" s="358">
        <f t="shared" si="1"/>
        <v>0</v>
      </c>
      <c r="R13" s="195"/>
      <c r="S13" s="195"/>
    </row>
    <row r="14" spans="1:21" ht="21.75" customHeight="1" x14ac:dyDescent="0.25">
      <c r="A14" s="350">
        <v>7</v>
      </c>
      <c r="B14" s="482">
        <v>45028</v>
      </c>
      <c r="C14" s="366" t="s">
        <v>4824</v>
      </c>
      <c r="D14" s="367" t="s">
        <v>4836</v>
      </c>
      <c r="E14" s="354" t="s">
        <v>4641</v>
      </c>
      <c r="F14" s="368"/>
      <c r="G14" s="369">
        <v>106</v>
      </c>
      <c r="H14" s="358">
        <f>G14*20140</f>
        <v>2134840</v>
      </c>
      <c r="I14" s="358"/>
      <c r="J14" s="414">
        <v>790000</v>
      </c>
      <c r="K14" s="371"/>
      <c r="L14" s="372"/>
      <c r="M14" s="358"/>
      <c r="N14" s="358"/>
      <c r="O14" s="358">
        <f t="shared" ref="O14:O25" si="3">H14+J14+K14+L14+M14+N14</f>
        <v>2924840</v>
      </c>
      <c r="P14" s="385">
        <v>5000000</v>
      </c>
      <c r="Q14" s="358">
        <f t="shared" si="1"/>
        <v>2075160</v>
      </c>
      <c r="R14" s="195"/>
      <c r="S14" s="195"/>
    </row>
    <row r="15" spans="1:21" ht="21.75" customHeight="1" x14ac:dyDescent="0.25">
      <c r="A15" s="350">
        <v>8</v>
      </c>
      <c r="B15" s="482">
        <v>45030</v>
      </c>
      <c r="C15" s="366" t="s">
        <v>4825</v>
      </c>
      <c r="D15" s="367" t="s">
        <v>4837</v>
      </c>
      <c r="E15" s="354" t="s">
        <v>3832</v>
      </c>
      <c r="F15" s="368"/>
      <c r="G15" s="369">
        <v>60</v>
      </c>
      <c r="H15" s="358">
        <f t="shared" ref="H15:H16" si="4">G15*20140</f>
        <v>1208400</v>
      </c>
      <c r="I15" s="358"/>
      <c r="J15" s="414">
        <v>340000</v>
      </c>
      <c r="K15" s="371"/>
      <c r="L15" s="372"/>
      <c r="M15" s="358"/>
      <c r="N15" s="358"/>
      <c r="O15" s="358">
        <f t="shared" si="3"/>
        <v>1548400</v>
      </c>
      <c r="P15" s="385">
        <v>3100000</v>
      </c>
      <c r="Q15" s="358">
        <f t="shared" si="1"/>
        <v>1551600</v>
      </c>
      <c r="R15" s="195"/>
      <c r="S15" s="195"/>
    </row>
    <row r="16" spans="1:21" ht="21.75" customHeight="1" x14ac:dyDescent="0.25">
      <c r="A16" s="350">
        <v>9</v>
      </c>
      <c r="B16" s="482">
        <v>45033</v>
      </c>
      <c r="C16" s="366" t="s">
        <v>1047</v>
      </c>
      <c r="D16" s="367" t="s">
        <v>4838</v>
      </c>
      <c r="E16" s="354" t="s">
        <v>301</v>
      </c>
      <c r="F16" s="368"/>
      <c r="G16" s="369">
        <v>340</v>
      </c>
      <c r="H16" s="358">
        <f t="shared" si="4"/>
        <v>6847600</v>
      </c>
      <c r="I16" s="358"/>
      <c r="J16" s="414">
        <v>3460000</v>
      </c>
      <c r="K16" s="371"/>
      <c r="L16" s="372"/>
      <c r="M16" s="358"/>
      <c r="N16" s="358"/>
      <c r="O16" s="358">
        <f t="shared" si="3"/>
        <v>10307600</v>
      </c>
      <c r="P16" s="385">
        <v>18045455</v>
      </c>
      <c r="Q16" s="358">
        <f t="shared" si="1"/>
        <v>7737855</v>
      </c>
      <c r="R16" s="195"/>
      <c r="S16" s="195"/>
      <c r="U16" s="195"/>
    </row>
    <row r="17" spans="1:21" ht="21.75" customHeight="1" x14ac:dyDescent="0.25">
      <c r="A17" s="350">
        <v>10</v>
      </c>
      <c r="B17" s="482">
        <v>45035</v>
      </c>
      <c r="C17" s="366" t="s">
        <v>4826</v>
      </c>
      <c r="D17" s="367" t="s">
        <v>4839</v>
      </c>
      <c r="E17" s="354" t="s">
        <v>21</v>
      </c>
      <c r="F17" s="368"/>
      <c r="G17" s="369">
        <v>240</v>
      </c>
      <c r="H17" s="358">
        <f>96*20140+144*19390</f>
        <v>4725600</v>
      </c>
      <c r="I17" s="358"/>
      <c r="J17" s="414">
        <v>2380000</v>
      </c>
      <c r="K17" s="371"/>
      <c r="L17" s="372"/>
      <c r="M17" s="358"/>
      <c r="N17" s="358"/>
      <c r="O17" s="358">
        <f t="shared" si="3"/>
        <v>7105600</v>
      </c>
      <c r="P17" s="385">
        <v>13636364</v>
      </c>
      <c r="Q17" s="358">
        <f t="shared" si="1"/>
        <v>6530764</v>
      </c>
      <c r="R17" s="195"/>
      <c r="S17" s="195"/>
    </row>
    <row r="18" spans="1:21" ht="21.75" customHeight="1" x14ac:dyDescent="0.25">
      <c r="A18" s="470">
        <v>11</v>
      </c>
      <c r="B18" s="487">
        <v>45036</v>
      </c>
      <c r="C18" s="366" t="s">
        <v>4827</v>
      </c>
      <c r="D18" s="367" t="s">
        <v>4840</v>
      </c>
      <c r="E18" s="354" t="s">
        <v>4849</v>
      </c>
      <c r="F18" s="461"/>
      <c r="G18" s="369">
        <v>58</v>
      </c>
      <c r="H18" s="358">
        <f>G18*19390</f>
        <v>1124620</v>
      </c>
      <c r="I18" s="494"/>
      <c r="J18" s="436">
        <v>430000</v>
      </c>
      <c r="K18" s="371"/>
      <c r="L18" s="372"/>
      <c r="M18" s="381"/>
      <c r="N18" s="381"/>
      <c r="O18" s="358">
        <f t="shared" si="3"/>
        <v>1554620</v>
      </c>
      <c r="P18" s="385">
        <v>2900000</v>
      </c>
      <c r="Q18" s="358">
        <f t="shared" si="1"/>
        <v>1345380</v>
      </c>
      <c r="R18" s="195"/>
      <c r="S18" s="195"/>
    </row>
    <row r="19" spans="1:21" ht="21.75" customHeight="1" x14ac:dyDescent="0.25">
      <c r="A19" s="350">
        <v>12</v>
      </c>
      <c r="B19" s="487">
        <v>45037</v>
      </c>
      <c r="C19" s="366" t="s">
        <v>4828</v>
      </c>
      <c r="D19" s="367" t="s">
        <v>4841</v>
      </c>
      <c r="E19" s="354" t="s">
        <v>4849</v>
      </c>
      <c r="F19" s="461"/>
      <c r="G19" s="369">
        <v>45</v>
      </c>
      <c r="H19" s="358">
        <f t="shared" ref="H19:H25" si="5">G19*19390</f>
        <v>872550</v>
      </c>
      <c r="I19" s="494"/>
      <c r="J19" s="436">
        <v>430000</v>
      </c>
      <c r="K19" s="371"/>
      <c r="L19" s="372"/>
      <c r="M19" s="381"/>
      <c r="N19" s="381"/>
      <c r="O19" s="358">
        <f t="shared" si="3"/>
        <v>1302550</v>
      </c>
      <c r="P19" s="385">
        <v>2600000</v>
      </c>
      <c r="Q19" s="358">
        <f t="shared" si="1"/>
        <v>1297450</v>
      </c>
      <c r="R19" s="195"/>
      <c r="S19" s="195"/>
    </row>
    <row r="20" spans="1:21" ht="21.75" customHeight="1" x14ac:dyDescent="0.25">
      <c r="A20" s="350">
        <v>13</v>
      </c>
      <c r="B20" s="487">
        <v>45037</v>
      </c>
      <c r="C20" s="366" t="s">
        <v>1050</v>
      </c>
      <c r="D20" s="367" t="s">
        <v>4842</v>
      </c>
      <c r="E20" s="354" t="s">
        <v>4504</v>
      </c>
      <c r="F20" s="461"/>
      <c r="G20" s="369">
        <v>392</v>
      </c>
      <c r="H20" s="358">
        <f t="shared" si="5"/>
        <v>7600880</v>
      </c>
      <c r="I20" s="494"/>
      <c r="J20" s="436">
        <v>2970000</v>
      </c>
      <c r="K20" s="371"/>
      <c r="L20" s="372"/>
      <c r="M20" s="381"/>
      <c r="N20" s="381"/>
      <c r="O20" s="358">
        <f t="shared" si="3"/>
        <v>10570880</v>
      </c>
      <c r="P20" s="385">
        <v>20613636</v>
      </c>
      <c r="Q20" s="358">
        <f t="shared" si="1"/>
        <v>10042756</v>
      </c>
      <c r="R20" s="195"/>
      <c r="S20" s="195"/>
    </row>
    <row r="21" spans="1:21" ht="21.75" customHeight="1" x14ac:dyDescent="0.25">
      <c r="A21" s="350">
        <v>14</v>
      </c>
      <c r="B21" s="487">
        <v>45041</v>
      </c>
      <c r="C21" s="366" t="s">
        <v>308</v>
      </c>
      <c r="D21" s="367" t="s">
        <v>4843</v>
      </c>
      <c r="E21" s="354" t="s">
        <v>4849</v>
      </c>
      <c r="F21" s="461"/>
      <c r="G21" s="369">
        <v>45</v>
      </c>
      <c r="H21" s="358">
        <f t="shared" si="5"/>
        <v>872550</v>
      </c>
      <c r="I21" s="494"/>
      <c r="J21" s="436">
        <v>430000</v>
      </c>
      <c r="K21" s="371"/>
      <c r="L21" s="372"/>
      <c r="M21" s="381"/>
      <c r="N21" s="381"/>
      <c r="O21" s="358">
        <f t="shared" si="3"/>
        <v>1302550</v>
      </c>
      <c r="P21" s="385">
        <v>2600000</v>
      </c>
      <c r="Q21" s="358">
        <f t="shared" si="1"/>
        <v>1297450</v>
      </c>
      <c r="R21" s="195"/>
      <c r="S21" s="195"/>
    </row>
    <row r="22" spans="1:21" ht="21.75" customHeight="1" x14ac:dyDescent="0.25">
      <c r="A22" s="350">
        <v>15</v>
      </c>
      <c r="B22" s="487">
        <v>45041</v>
      </c>
      <c r="C22" s="366" t="s">
        <v>310</v>
      </c>
      <c r="D22" s="367" t="s">
        <v>4844</v>
      </c>
      <c r="E22" s="354" t="s">
        <v>4849</v>
      </c>
      <c r="F22" s="461"/>
      <c r="G22" s="369">
        <v>45</v>
      </c>
      <c r="H22" s="358">
        <f t="shared" si="5"/>
        <v>872550</v>
      </c>
      <c r="I22" s="494"/>
      <c r="J22" s="436">
        <v>430000</v>
      </c>
      <c r="K22" s="371"/>
      <c r="L22" s="372"/>
      <c r="M22" s="381"/>
      <c r="N22" s="381"/>
      <c r="O22" s="358">
        <f t="shared" si="3"/>
        <v>1302550</v>
      </c>
      <c r="P22" s="385">
        <v>2500000</v>
      </c>
      <c r="Q22" s="358">
        <f t="shared" si="1"/>
        <v>1197450</v>
      </c>
      <c r="R22" s="195"/>
      <c r="S22" s="195"/>
    </row>
    <row r="23" spans="1:21" ht="21.75" customHeight="1" x14ac:dyDescent="0.25">
      <c r="A23" s="350">
        <v>16</v>
      </c>
      <c r="B23" s="487">
        <v>45043</v>
      </c>
      <c r="C23" s="366" t="s">
        <v>1745</v>
      </c>
      <c r="D23" s="367" t="s">
        <v>4845</v>
      </c>
      <c r="E23" s="354" t="s">
        <v>4850</v>
      </c>
      <c r="F23" s="461"/>
      <c r="G23" s="369">
        <v>101</v>
      </c>
      <c r="H23" s="358">
        <f t="shared" si="5"/>
        <v>1958390</v>
      </c>
      <c r="I23" s="494"/>
      <c r="J23" s="436">
        <v>790000</v>
      </c>
      <c r="K23" s="371"/>
      <c r="L23" s="372"/>
      <c r="M23" s="381"/>
      <c r="N23" s="381"/>
      <c r="O23" s="358">
        <f t="shared" si="3"/>
        <v>2748390</v>
      </c>
      <c r="P23" s="385">
        <v>4500000</v>
      </c>
      <c r="Q23" s="358">
        <f t="shared" si="1"/>
        <v>1751610</v>
      </c>
      <c r="R23" s="195"/>
      <c r="S23" s="195"/>
    </row>
    <row r="24" spans="1:21" ht="21.75" customHeight="1" x14ac:dyDescent="0.25">
      <c r="A24" s="350">
        <v>17</v>
      </c>
      <c r="B24" s="487">
        <v>45043</v>
      </c>
      <c r="C24" s="366" t="s">
        <v>314</v>
      </c>
      <c r="D24" s="367" t="s">
        <v>4846</v>
      </c>
      <c r="E24" s="354" t="s">
        <v>4430</v>
      </c>
      <c r="F24" s="461"/>
      <c r="G24" s="369">
        <v>112</v>
      </c>
      <c r="H24" s="358">
        <f t="shared" si="5"/>
        <v>2171680</v>
      </c>
      <c r="I24" s="494"/>
      <c r="J24" s="436">
        <v>830000</v>
      </c>
      <c r="K24" s="371"/>
      <c r="L24" s="372"/>
      <c r="M24" s="381"/>
      <c r="N24" s="381"/>
      <c r="O24" s="358">
        <f t="shared" si="3"/>
        <v>3001680</v>
      </c>
      <c r="P24" s="385">
        <v>5000000</v>
      </c>
      <c r="Q24" s="358">
        <f t="shared" si="1"/>
        <v>1998320</v>
      </c>
      <c r="R24" s="195"/>
      <c r="S24" s="195"/>
    </row>
    <row r="25" spans="1:21" ht="21.75" customHeight="1" x14ac:dyDescent="0.25">
      <c r="A25" s="350">
        <v>18</v>
      </c>
      <c r="B25" s="487">
        <v>45044</v>
      </c>
      <c r="C25" s="366" t="s">
        <v>4829</v>
      </c>
      <c r="D25" s="367" t="s">
        <v>4847</v>
      </c>
      <c r="E25" s="354" t="s">
        <v>4851</v>
      </c>
      <c r="F25" s="461"/>
      <c r="G25" s="369">
        <v>82</v>
      </c>
      <c r="H25" s="358">
        <f t="shared" si="5"/>
        <v>1589980</v>
      </c>
      <c r="I25" s="494"/>
      <c r="J25" s="436">
        <v>430000</v>
      </c>
      <c r="K25" s="371"/>
      <c r="L25" s="372"/>
      <c r="M25" s="381"/>
      <c r="N25" s="381"/>
      <c r="O25" s="358">
        <f t="shared" si="3"/>
        <v>2019980</v>
      </c>
      <c r="P25" s="385">
        <v>4000000</v>
      </c>
      <c r="Q25" s="358">
        <f t="shared" si="1"/>
        <v>1980020</v>
      </c>
      <c r="R25" s="195"/>
      <c r="S25" s="195"/>
      <c r="U25" s="195"/>
    </row>
    <row r="26" spans="1:21" ht="21.75" customHeight="1" x14ac:dyDescent="0.25">
      <c r="A26" s="350"/>
      <c r="B26" s="487"/>
      <c r="C26" s="366"/>
      <c r="D26" s="367"/>
      <c r="E26" s="354"/>
      <c r="F26" s="461"/>
      <c r="G26" s="369"/>
      <c r="H26" s="358"/>
      <c r="I26" s="494"/>
      <c r="J26" s="381"/>
      <c r="K26" s="371"/>
      <c r="L26" s="372"/>
      <c r="M26" s="381"/>
      <c r="N26" s="381"/>
      <c r="O26" s="385"/>
      <c r="P26" s="385"/>
      <c r="Q26" s="385"/>
      <c r="R26" s="195"/>
      <c r="S26" s="195"/>
    </row>
    <row r="27" spans="1:21" ht="27" customHeight="1" x14ac:dyDescent="0.25">
      <c r="A27" s="374"/>
      <c r="B27" s="488"/>
      <c r="C27" s="609" t="s">
        <v>1273</v>
      </c>
      <c r="D27" s="609"/>
      <c r="E27" s="609"/>
      <c r="F27" s="402"/>
      <c r="G27" s="358"/>
      <c r="H27" s="369"/>
      <c r="I27" s="403"/>
      <c r="J27" s="381"/>
      <c r="K27" s="372">
        <v>1200000</v>
      </c>
      <c r="L27" s="372"/>
      <c r="M27" s="381"/>
      <c r="N27" s="381"/>
      <c r="O27" s="385">
        <f>H27+J27+K27+L27+M27+N27</f>
        <v>1200000</v>
      </c>
      <c r="P27" s="385"/>
      <c r="Q27" s="385"/>
    </row>
    <row r="28" spans="1:21" ht="27" customHeight="1" x14ac:dyDescent="0.25">
      <c r="A28" s="386"/>
      <c r="B28" s="379"/>
      <c r="C28" s="594" t="s">
        <v>4535</v>
      </c>
      <c r="D28" s="595"/>
      <c r="E28" s="596"/>
      <c r="F28" s="402"/>
      <c r="G28" s="381"/>
      <c r="H28" s="369"/>
      <c r="J28" s="381"/>
      <c r="K28" s="388">
        <v>8728000</v>
      </c>
      <c r="L28" s="388"/>
      <c r="M28" s="381"/>
      <c r="N28" s="381"/>
      <c r="O28" s="385">
        <f t="shared" ref="O28:O44" si="6">H28+J28+K28+L28+M28+N28</f>
        <v>8728000</v>
      </c>
      <c r="P28" s="389"/>
      <c r="Q28" s="378"/>
    </row>
    <row r="29" spans="1:21" ht="27" customHeight="1" x14ac:dyDescent="0.25">
      <c r="A29" s="386"/>
      <c r="B29" s="379"/>
      <c r="C29" s="594" t="s">
        <v>4852</v>
      </c>
      <c r="D29" s="595"/>
      <c r="E29" s="596"/>
      <c r="F29" s="402"/>
      <c r="G29" s="381"/>
      <c r="H29" s="369"/>
      <c r="J29" s="381"/>
      <c r="K29" s="388"/>
      <c r="L29" s="388">
        <v>100000</v>
      </c>
      <c r="M29" s="381"/>
      <c r="N29" s="381"/>
      <c r="O29" s="385">
        <f t="shared" si="6"/>
        <v>100000</v>
      </c>
      <c r="P29" s="389"/>
      <c r="Q29" s="378"/>
    </row>
    <row r="30" spans="1:21" ht="27" customHeight="1" x14ac:dyDescent="0.25">
      <c r="A30" s="386"/>
      <c r="B30" s="379"/>
      <c r="C30" s="594" t="s">
        <v>4853</v>
      </c>
      <c r="D30" s="595"/>
      <c r="E30" s="596"/>
      <c r="F30" s="402"/>
      <c r="G30" s="381"/>
      <c r="H30" s="369"/>
      <c r="J30" s="381"/>
      <c r="K30" s="388"/>
      <c r="L30" s="388">
        <v>200000</v>
      </c>
      <c r="M30" s="381"/>
      <c r="N30" s="381"/>
      <c r="O30" s="385">
        <f t="shared" si="6"/>
        <v>200000</v>
      </c>
      <c r="P30" s="389"/>
      <c r="Q30" s="378"/>
    </row>
    <row r="31" spans="1:21" ht="27" customHeight="1" x14ac:dyDescent="0.25">
      <c r="A31" s="386"/>
      <c r="B31" s="379"/>
      <c r="C31" s="594" t="s">
        <v>4854</v>
      </c>
      <c r="D31" s="595"/>
      <c r="E31" s="596"/>
      <c r="F31" s="402"/>
      <c r="G31" s="381"/>
      <c r="H31" s="369"/>
      <c r="J31" s="381"/>
      <c r="K31" s="388"/>
      <c r="L31" s="388">
        <v>390000</v>
      </c>
      <c r="M31" s="381"/>
      <c r="N31" s="381"/>
      <c r="O31" s="385">
        <f t="shared" si="6"/>
        <v>390000</v>
      </c>
      <c r="P31" s="389"/>
      <c r="Q31" s="378"/>
    </row>
    <row r="32" spans="1:21" ht="27" customHeight="1" x14ac:dyDescent="0.25">
      <c r="A32" s="386"/>
      <c r="B32" s="379"/>
      <c r="C32" s="594" t="s">
        <v>4855</v>
      </c>
      <c r="D32" s="595"/>
      <c r="E32" s="596"/>
      <c r="F32" s="402"/>
      <c r="G32" s="381"/>
      <c r="H32" s="369"/>
      <c r="J32" s="381"/>
      <c r="K32" s="388"/>
      <c r="L32" s="388">
        <v>200000</v>
      </c>
      <c r="M32" s="381"/>
      <c r="N32" s="381"/>
      <c r="O32" s="385">
        <f t="shared" si="6"/>
        <v>200000</v>
      </c>
      <c r="P32" s="389"/>
      <c r="Q32" s="378"/>
    </row>
    <row r="33" spans="1:18" ht="27" customHeight="1" x14ac:dyDescent="0.25">
      <c r="A33" s="386"/>
      <c r="B33" s="379"/>
      <c r="C33" s="431" t="s">
        <v>1780</v>
      </c>
      <c r="D33" s="432"/>
      <c r="E33" s="433"/>
      <c r="F33" s="402"/>
      <c r="G33" s="381"/>
      <c r="H33" s="369"/>
      <c r="J33" s="381"/>
      <c r="K33" s="388"/>
      <c r="L33" s="388">
        <v>840000</v>
      </c>
      <c r="M33" s="381"/>
      <c r="N33" s="381"/>
      <c r="O33" s="385">
        <f t="shared" si="6"/>
        <v>840000</v>
      </c>
      <c r="P33" s="389"/>
      <c r="Q33" s="378"/>
    </row>
    <row r="34" spans="1:18" ht="27" customHeight="1" x14ac:dyDescent="0.25">
      <c r="A34" s="386"/>
      <c r="B34" s="379"/>
      <c r="C34" s="431" t="s">
        <v>4856</v>
      </c>
      <c r="D34" s="432"/>
      <c r="E34" s="433"/>
      <c r="F34" s="402"/>
      <c r="G34" s="381"/>
      <c r="H34" s="369"/>
      <c r="J34" s="381"/>
      <c r="K34" s="388"/>
      <c r="L34" s="388">
        <v>8532000</v>
      </c>
      <c r="M34" s="381"/>
      <c r="N34" s="381"/>
      <c r="O34" s="385">
        <f t="shared" si="6"/>
        <v>8532000</v>
      </c>
      <c r="P34" s="389"/>
      <c r="Q34" s="378"/>
    </row>
    <row r="35" spans="1:18" ht="27" customHeight="1" x14ac:dyDescent="0.25">
      <c r="A35" s="386"/>
      <c r="B35" s="379"/>
      <c r="C35" s="594" t="s">
        <v>4857</v>
      </c>
      <c r="D35" s="595"/>
      <c r="E35" s="596"/>
      <c r="F35" s="402"/>
      <c r="G35" s="381"/>
      <c r="H35" s="369"/>
      <c r="J35" s="381"/>
      <c r="K35" s="388"/>
      <c r="L35" s="388">
        <v>2300000</v>
      </c>
      <c r="M35" s="381"/>
      <c r="N35" s="381"/>
      <c r="O35" s="385">
        <f t="shared" si="6"/>
        <v>2300000</v>
      </c>
      <c r="P35" s="389"/>
      <c r="Q35" s="378"/>
    </row>
    <row r="36" spans="1:18" ht="27" customHeight="1" x14ac:dyDescent="0.25">
      <c r="A36" s="386"/>
      <c r="B36" s="379"/>
      <c r="C36" s="594" t="s">
        <v>4858</v>
      </c>
      <c r="D36" s="595"/>
      <c r="E36" s="596"/>
      <c r="F36" s="402"/>
      <c r="G36" s="381"/>
      <c r="H36" s="369"/>
      <c r="J36" s="381"/>
      <c r="K36" s="388"/>
      <c r="L36" s="388">
        <v>40000</v>
      </c>
      <c r="M36" s="381"/>
      <c r="N36" s="381"/>
      <c r="O36" s="385">
        <f t="shared" si="6"/>
        <v>40000</v>
      </c>
      <c r="P36" s="389"/>
      <c r="Q36" s="378"/>
    </row>
    <row r="37" spans="1:18" ht="27" customHeight="1" x14ac:dyDescent="0.25">
      <c r="A37" s="386"/>
      <c r="B37" s="379"/>
      <c r="C37" s="594" t="s">
        <v>4859</v>
      </c>
      <c r="D37" s="595"/>
      <c r="E37" s="596"/>
      <c r="F37" s="402"/>
      <c r="G37" s="381"/>
      <c r="H37" s="369"/>
      <c r="J37" s="381"/>
      <c r="K37" s="388"/>
      <c r="L37" s="388">
        <v>300000</v>
      </c>
      <c r="M37" s="381"/>
      <c r="N37" s="381"/>
      <c r="O37" s="385">
        <f t="shared" si="6"/>
        <v>300000</v>
      </c>
      <c r="P37" s="389"/>
      <c r="Q37" s="378"/>
    </row>
    <row r="38" spans="1:18" ht="27" customHeight="1" x14ac:dyDescent="0.25">
      <c r="A38" s="386"/>
      <c r="B38" s="379"/>
      <c r="C38" s="594" t="s">
        <v>4860</v>
      </c>
      <c r="D38" s="595"/>
      <c r="E38" s="596"/>
      <c r="F38" s="402"/>
      <c r="G38" s="381"/>
      <c r="H38" s="369"/>
      <c r="J38" s="381"/>
      <c r="K38" s="388"/>
      <c r="L38" s="388">
        <v>320000</v>
      </c>
      <c r="M38" s="381"/>
      <c r="N38" s="381"/>
      <c r="O38" s="385">
        <f t="shared" si="6"/>
        <v>320000</v>
      </c>
      <c r="P38" s="389"/>
      <c r="Q38" s="378"/>
    </row>
    <row r="39" spans="1:18" ht="27" customHeight="1" x14ac:dyDescent="0.25">
      <c r="A39" s="386"/>
      <c r="B39" s="379"/>
      <c r="C39" s="594" t="s">
        <v>4861</v>
      </c>
      <c r="D39" s="595"/>
      <c r="E39" s="596"/>
      <c r="F39" s="402"/>
      <c r="G39" s="381"/>
      <c r="H39" s="369"/>
      <c r="J39" s="381"/>
      <c r="K39" s="388"/>
      <c r="L39" s="388">
        <v>100000</v>
      </c>
      <c r="M39" s="381"/>
      <c r="N39" s="381"/>
      <c r="O39" s="385">
        <f t="shared" si="6"/>
        <v>100000</v>
      </c>
      <c r="P39" s="389"/>
      <c r="Q39" s="378"/>
    </row>
    <row r="40" spans="1:18" ht="27" customHeight="1" x14ac:dyDescent="0.25">
      <c r="A40" s="386"/>
      <c r="B40" s="379"/>
      <c r="C40" s="594" t="s">
        <v>4862</v>
      </c>
      <c r="D40" s="595"/>
      <c r="E40" s="596"/>
      <c r="F40" s="402"/>
      <c r="G40" s="381"/>
      <c r="H40" s="369"/>
      <c r="J40" s="381"/>
      <c r="K40" s="388"/>
      <c r="L40" s="388">
        <v>330000</v>
      </c>
      <c r="M40" s="381"/>
      <c r="N40" s="381"/>
      <c r="O40" s="385">
        <f t="shared" si="6"/>
        <v>330000</v>
      </c>
      <c r="P40" s="389"/>
      <c r="Q40" s="378"/>
    </row>
    <row r="41" spans="1:18" ht="27" customHeight="1" x14ac:dyDescent="0.25">
      <c r="A41" s="386"/>
      <c r="B41" s="379"/>
      <c r="C41" s="594" t="s">
        <v>4864</v>
      </c>
      <c r="D41" s="595"/>
      <c r="E41" s="596"/>
      <c r="F41" s="402"/>
      <c r="G41" s="381"/>
      <c r="H41" s="369"/>
      <c r="J41" s="381"/>
      <c r="K41" s="388"/>
      <c r="L41" s="388">
        <v>1000000</v>
      </c>
      <c r="M41" s="381"/>
      <c r="N41" s="381"/>
      <c r="O41" s="385">
        <f t="shared" si="6"/>
        <v>1000000</v>
      </c>
      <c r="P41" s="389"/>
      <c r="Q41" s="378"/>
    </row>
    <row r="42" spans="1:18" ht="27" customHeight="1" x14ac:dyDescent="0.25">
      <c r="A42" s="386"/>
      <c r="B42" s="379"/>
      <c r="C42" s="594" t="s">
        <v>4865</v>
      </c>
      <c r="D42" s="595"/>
      <c r="E42" s="596"/>
      <c r="F42" s="402"/>
      <c r="G42" s="381"/>
      <c r="H42" s="369"/>
      <c r="J42" s="381"/>
      <c r="K42" s="388"/>
      <c r="L42" s="388">
        <v>2050000</v>
      </c>
      <c r="M42" s="388"/>
      <c r="N42" s="381"/>
      <c r="O42" s="385">
        <f t="shared" si="6"/>
        <v>2050000</v>
      </c>
      <c r="P42" s="389"/>
      <c r="Q42" s="378"/>
    </row>
    <row r="43" spans="1:18" ht="27" customHeight="1" x14ac:dyDescent="0.25">
      <c r="A43" s="386"/>
      <c r="B43" s="379"/>
      <c r="C43" s="594" t="s">
        <v>4866</v>
      </c>
      <c r="D43" s="595"/>
      <c r="E43" s="596"/>
      <c r="F43" s="402"/>
      <c r="G43" s="381"/>
      <c r="H43" s="369"/>
      <c r="J43" s="381"/>
      <c r="K43" s="388">
        <v>300000</v>
      </c>
      <c r="L43" s="388"/>
      <c r="M43" s="388"/>
      <c r="N43" s="388"/>
      <c r="O43" s="385">
        <f t="shared" si="6"/>
        <v>300000</v>
      </c>
      <c r="P43" s="389"/>
      <c r="Q43" s="378"/>
    </row>
    <row r="44" spans="1:18" ht="30.75" customHeight="1" x14ac:dyDescent="0.25">
      <c r="A44" s="386"/>
      <c r="B44" s="391"/>
      <c r="C44" s="579" t="s">
        <v>5016</v>
      </c>
      <c r="D44" s="580"/>
      <c r="E44" s="581"/>
      <c r="F44" s="461"/>
      <c r="G44" s="381"/>
      <c r="H44" s="369"/>
      <c r="I44" s="403"/>
      <c r="J44" s="381"/>
      <c r="K44" s="394">
        <v>8000000</v>
      </c>
      <c r="L44" s="394"/>
      <c r="M44" s="381"/>
      <c r="N44" s="381"/>
      <c r="O44" s="385">
        <f t="shared" si="6"/>
        <v>8000000</v>
      </c>
      <c r="P44" s="389"/>
      <c r="Q44" s="378"/>
    </row>
    <row r="45" spans="1:18" x14ac:dyDescent="0.25">
      <c r="A45" s="576" t="s">
        <v>19</v>
      </c>
      <c r="B45" s="577"/>
      <c r="C45" s="577"/>
      <c r="D45" s="577"/>
      <c r="E45" s="577"/>
      <c r="F45" s="578"/>
      <c r="G45" s="395">
        <f>SUM(G8:G44)</f>
        <v>2620</v>
      </c>
      <c r="H45" s="396">
        <f t="shared" ref="H45:P45" si="7">SUM(H7:H44)</f>
        <v>51456850</v>
      </c>
      <c r="I45" s="396">
        <f t="shared" si="7"/>
        <v>0</v>
      </c>
      <c r="J45" s="396">
        <f t="shared" si="7"/>
        <v>22850000</v>
      </c>
      <c r="K45" s="396">
        <f t="shared" si="7"/>
        <v>18228000</v>
      </c>
      <c r="L45" s="396">
        <f t="shared" si="7"/>
        <v>16702000</v>
      </c>
      <c r="M45" s="396">
        <f t="shared" si="7"/>
        <v>0</v>
      </c>
      <c r="N45" s="396">
        <f t="shared" si="7"/>
        <v>0</v>
      </c>
      <c r="O45" s="396">
        <f t="shared" si="7"/>
        <v>109236850</v>
      </c>
      <c r="P45" s="397">
        <f t="shared" si="7"/>
        <v>138350000</v>
      </c>
      <c r="Q45" s="396">
        <f>P45-O45</f>
        <v>29113150</v>
      </c>
      <c r="R45" s="195"/>
    </row>
    <row r="46" spans="1:18" x14ac:dyDescent="0.25">
      <c r="P46" s="294"/>
      <c r="Q46" s="295"/>
    </row>
    <row r="47" spans="1:18" x14ac:dyDescent="0.25">
      <c r="B47"/>
      <c r="G47"/>
      <c r="H47" s="294"/>
      <c r="P47" s="296" t="s">
        <v>1225</v>
      </c>
      <c r="Q47" s="295">
        <f>'03.2023'!Q42+'04.2023'!Q45</f>
        <v>103657775</v>
      </c>
    </row>
    <row r="48" spans="1:18" x14ac:dyDescent="0.25">
      <c r="B48"/>
      <c r="G48"/>
      <c r="Q48" s="294"/>
    </row>
    <row r="49" spans="2:18" x14ac:dyDescent="0.25">
      <c r="B49"/>
      <c r="G49"/>
      <c r="R49" s="195"/>
    </row>
  </sheetData>
  <mergeCells count="21">
    <mergeCell ref="C42:E42"/>
    <mergeCell ref="C43:E43"/>
    <mergeCell ref="C44:E44"/>
    <mergeCell ref="A45:F45"/>
    <mergeCell ref="A1:Q1"/>
    <mergeCell ref="A2:Q2"/>
    <mergeCell ref="A3:Q3"/>
    <mergeCell ref="G5:N5"/>
    <mergeCell ref="C27:E27"/>
    <mergeCell ref="C28:E28"/>
    <mergeCell ref="C29:E29"/>
    <mergeCell ref="C30:E30"/>
    <mergeCell ref="C31:E31"/>
    <mergeCell ref="C32:E32"/>
    <mergeCell ref="C40:E40"/>
    <mergeCell ref="C41:E41"/>
    <mergeCell ref="C35:E35"/>
    <mergeCell ref="C36:E36"/>
    <mergeCell ref="C37:E37"/>
    <mergeCell ref="C38:E38"/>
    <mergeCell ref="C39:E39"/>
  </mergeCells>
  <pageMargins left="0.7" right="0.7" top="0.75" bottom="0.75" header="0.3" footer="0.3"/>
  <pageSetup paperSize="9" orientation="portrait" horizontalDpi="0" verticalDpi="0"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6F479-CB6A-48D7-988C-895A281D0BBB}">
  <dimension ref="A1:U40"/>
  <sheetViews>
    <sheetView topLeftCell="F28" workbookViewId="0">
      <selection activeCell="Q38" sqref="Q38"/>
    </sheetView>
  </sheetViews>
  <sheetFormatPr defaultColWidth="9.140625" defaultRowHeight="15" x14ac:dyDescent="0.25"/>
  <cols>
    <col min="1" max="1" width="4.5703125" customWidth="1"/>
    <col min="2" max="2" width="9.28515625" style="332" bestFit="1" customWidth="1"/>
    <col min="3" max="3" width="33.42578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21" ht="23.25" x14ac:dyDescent="0.25">
      <c r="A1" s="551" t="s">
        <v>0</v>
      </c>
      <c r="B1" s="551"/>
      <c r="C1" s="551"/>
      <c r="D1" s="551"/>
      <c r="E1" s="551"/>
      <c r="F1" s="551"/>
      <c r="G1" s="551"/>
      <c r="H1" s="551"/>
      <c r="I1" s="551"/>
      <c r="J1" s="551"/>
      <c r="K1" s="551"/>
      <c r="L1" s="551"/>
      <c r="M1" s="551"/>
      <c r="N1" s="551"/>
      <c r="O1" s="551"/>
      <c r="P1" s="551"/>
      <c r="Q1" s="551"/>
    </row>
    <row r="2" spans="1:21" ht="15.75" x14ac:dyDescent="0.25">
      <c r="A2" s="550" t="s">
        <v>103</v>
      </c>
      <c r="B2" s="550"/>
      <c r="C2" s="550"/>
      <c r="D2" s="550"/>
      <c r="E2" s="550"/>
      <c r="F2" s="550"/>
      <c r="G2" s="550"/>
      <c r="H2" s="550"/>
      <c r="I2" s="550"/>
      <c r="J2" s="550"/>
      <c r="K2" s="550"/>
      <c r="L2" s="550"/>
      <c r="M2" s="550"/>
      <c r="N2" s="550"/>
      <c r="O2" s="550"/>
      <c r="P2" s="550"/>
      <c r="Q2" s="550"/>
    </row>
    <row r="3" spans="1:21" ht="15.75" x14ac:dyDescent="0.25">
      <c r="A3" s="550" t="s">
        <v>4867</v>
      </c>
      <c r="B3" s="550"/>
      <c r="C3" s="550"/>
      <c r="D3" s="550"/>
      <c r="E3" s="550"/>
      <c r="F3" s="550"/>
      <c r="G3" s="550"/>
      <c r="H3" s="550"/>
      <c r="I3" s="550"/>
      <c r="J3" s="550"/>
      <c r="K3" s="550"/>
      <c r="L3" s="550"/>
      <c r="M3" s="550"/>
      <c r="N3" s="550"/>
      <c r="O3" s="550"/>
      <c r="P3" s="550"/>
      <c r="Q3" s="550"/>
    </row>
    <row r="4" spans="1:21" x14ac:dyDescent="0.25">
      <c r="A4" s="74"/>
      <c r="B4" s="99"/>
      <c r="C4" s="74"/>
      <c r="D4" s="74"/>
      <c r="E4" s="74" t="s">
        <v>194</v>
      </c>
      <c r="F4" s="74"/>
      <c r="G4" s="257"/>
      <c r="H4" s="258"/>
      <c r="I4" s="258"/>
      <c r="J4" s="258"/>
      <c r="K4" s="258"/>
      <c r="L4" s="91"/>
      <c r="M4" s="258"/>
      <c r="N4" s="258"/>
      <c r="O4" s="258"/>
      <c r="P4" s="258"/>
      <c r="Q4" s="258"/>
    </row>
    <row r="5" spans="1:21"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21"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21" x14ac:dyDescent="0.25">
      <c r="A7" s="75"/>
      <c r="B7" s="100"/>
      <c r="C7" s="88"/>
      <c r="D7" s="88"/>
      <c r="E7" s="134"/>
      <c r="F7" s="75"/>
      <c r="G7" s="264"/>
      <c r="H7" s="264"/>
      <c r="I7" s="264"/>
      <c r="J7" s="264"/>
      <c r="K7" s="264"/>
      <c r="L7" s="308"/>
      <c r="M7" s="264"/>
      <c r="N7" s="264"/>
      <c r="O7" s="265"/>
      <c r="P7" s="265"/>
      <c r="Q7" s="264"/>
    </row>
    <row r="8" spans="1:21" ht="21.75" customHeight="1" x14ac:dyDescent="0.25">
      <c r="A8" s="470">
        <v>1</v>
      </c>
      <c r="B8" s="472">
        <v>45050</v>
      </c>
      <c r="C8" s="366" t="s">
        <v>3674</v>
      </c>
      <c r="D8" s="367" t="s">
        <v>2548</v>
      </c>
      <c r="E8" s="354" t="s">
        <v>4894</v>
      </c>
      <c r="F8" s="368"/>
      <c r="G8" s="369">
        <v>135</v>
      </c>
      <c r="H8" s="358">
        <f>G8*18250</f>
        <v>2463750</v>
      </c>
      <c r="I8" s="358"/>
      <c r="J8" s="414">
        <v>430000</v>
      </c>
      <c r="K8" s="371"/>
      <c r="L8" s="372"/>
      <c r="M8" s="358"/>
      <c r="N8" s="358"/>
      <c r="O8" s="358">
        <f t="shared" ref="O8:O27" si="0">H8+J8+K8+L8+M8+N8</f>
        <v>2893750</v>
      </c>
      <c r="P8" s="358">
        <v>3060000</v>
      </c>
      <c r="Q8" s="358">
        <f>P8-O8</f>
        <v>166250</v>
      </c>
      <c r="R8" s="195"/>
      <c r="S8" s="195"/>
    </row>
    <row r="9" spans="1:21" ht="21.75" customHeight="1" x14ac:dyDescent="0.25">
      <c r="A9" s="350">
        <v>2</v>
      </c>
      <c r="B9" s="482">
        <v>45050</v>
      </c>
      <c r="C9" s="366" t="s">
        <v>4868</v>
      </c>
      <c r="D9" s="415" t="s">
        <v>2548</v>
      </c>
      <c r="E9" s="354" t="s">
        <v>4895</v>
      </c>
      <c r="F9" s="368"/>
      <c r="G9" s="369"/>
      <c r="H9" s="358">
        <f t="shared" ref="H9:H12" si="1">G9*18250</f>
        <v>0</v>
      </c>
      <c r="I9" s="358"/>
      <c r="J9" s="414">
        <v>900000</v>
      </c>
      <c r="K9" s="371"/>
      <c r="L9" s="372"/>
      <c r="M9" s="358"/>
      <c r="N9" s="358"/>
      <c r="O9" s="358">
        <f t="shared" si="0"/>
        <v>900000</v>
      </c>
      <c r="P9" s="385">
        <v>4500000</v>
      </c>
      <c r="Q9" s="358">
        <f t="shared" ref="Q9:Q27" si="2">P9-O9</f>
        <v>3600000</v>
      </c>
      <c r="R9" s="195"/>
      <c r="S9" s="195"/>
    </row>
    <row r="10" spans="1:21" ht="21.75" customHeight="1" x14ac:dyDescent="0.25">
      <c r="A10" s="350">
        <v>3</v>
      </c>
      <c r="B10" s="482">
        <v>45050</v>
      </c>
      <c r="C10" s="366" t="s">
        <v>4869</v>
      </c>
      <c r="D10" s="367" t="s">
        <v>4879</v>
      </c>
      <c r="E10" s="354" t="s">
        <v>4896</v>
      </c>
      <c r="F10" s="368"/>
      <c r="G10" s="369">
        <v>4</v>
      </c>
      <c r="H10" s="358">
        <f t="shared" si="1"/>
        <v>73000</v>
      </c>
      <c r="I10" s="358"/>
      <c r="J10" s="414">
        <v>200000</v>
      </c>
      <c r="K10" s="371"/>
      <c r="L10" s="372"/>
      <c r="M10" s="358"/>
      <c r="N10" s="358"/>
      <c r="O10" s="358">
        <f t="shared" si="0"/>
        <v>273000</v>
      </c>
      <c r="P10" s="385">
        <v>1500000</v>
      </c>
      <c r="Q10" s="358">
        <f t="shared" si="2"/>
        <v>1227000</v>
      </c>
      <c r="R10" s="195"/>
      <c r="S10" s="195"/>
    </row>
    <row r="11" spans="1:21" ht="21.75" customHeight="1" x14ac:dyDescent="0.25">
      <c r="A11" s="350">
        <v>4</v>
      </c>
      <c r="B11" s="482">
        <v>45053</v>
      </c>
      <c r="C11" s="366" t="s">
        <v>4870</v>
      </c>
      <c r="D11" s="367" t="s">
        <v>4880</v>
      </c>
      <c r="E11" s="354" t="s">
        <v>4897</v>
      </c>
      <c r="F11" s="368"/>
      <c r="G11" s="369">
        <v>87</v>
      </c>
      <c r="H11" s="358">
        <f t="shared" si="1"/>
        <v>1587750</v>
      </c>
      <c r="I11" s="358"/>
      <c r="J11" s="414">
        <v>790000</v>
      </c>
      <c r="K11" s="371"/>
      <c r="L11" s="372"/>
      <c r="M11" s="358"/>
      <c r="N11" s="358"/>
      <c r="O11" s="358">
        <f t="shared" si="0"/>
        <v>2377750</v>
      </c>
      <c r="P11" s="385">
        <v>4200000</v>
      </c>
      <c r="Q11" s="358">
        <f t="shared" si="2"/>
        <v>1822250</v>
      </c>
      <c r="R11" s="195"/>
      <c r="S11" s="195"/>
      <c r="U11" s="195"/>
    </row>
    <row r="12" spans="1:21" ht="21.75" customHeight="1" x14ac:dyDescent="0.25">
      <c r="A12" s="350">
        <v>5</v>
      </c>
      <c r="B12" s="482">
        <v>45054</v>
      </c>
      <c r="C12" s="366" t="s">
        <v>2459</v>
      </c>
      <c r="D12" s="367" t="s">
        <v>4881</v>
      </c>
      <c r="E12" s="354" t="s">
        <v>4898</v>
      </c>
      <c r="F12" s="368"/>
      <c r="G12" s="369">
        <v>367</v>
      </c>
      <c r="H12" s="358">
        <f t="shared" si="1"/>
        <v>6697750</v>
      </c>
      <c r="I12" s="358"/>
      <c r="J12" s="414">
        <v>2970000</v>
      </c>
      <c r="K12" s="371"/>
      <c r="L12" s="372"/>
      <c r="M12" s="358"/>
      <c r="N12" s="358"/>
      <c r="O12" s="358">
        <f t="shared" si="0"/>
        <v>9667750</v>
      </c>
      <c r="P12" s="385">
        <v>19850000</v>
      </c>
      <c r="Q12" s="358">
        <f t="shared" si="2"/>
        <v>10182250</v>
      </c>
      <c r="R12" s="195"/>
      <c r="S12" s="195"/>
    </row>
    <row r="13" spans="1:21" ht="21.75" customHeight="1" x14ac:dyDescent="0.25">
      <c r="A13" s="350">
        <v>6</v>
      </c>
      <c r="B13" s="482">
        <v>45056</v>
      </c>
      <c r="C13" s="366" t="s">
        <v>1791</v>
      </c>
      <c r="D13" s="367" t="s">
        <v>4882</v>
      </c>
      <c r="E13" s="354" t="s">
        <v>4504</v>
      </c>
      <c r="F13" s="368"/>
      <c r="G13" s="369">
        <v>378</v>
      </c>
      <c r="H13" s="358">
        <f>G13*17650</f>
        <v>6671700</v>
      </c>
      <c r="I13" s="358"/>
      <c r="J13" s="414">
        <v>3184000</v>
      </c>
      <c r="K13" s="371"/>
      <c r="L13" s="372"/>
      <c r="M13" s="358"/>
      <c r="N13" s="358"/>
      <c r="O13" s="358">
        <f t="shared" si="0"/>
        <v>9855700</v>
      </c>
      <c r="P13" s="385">
        <v>19850000</v>
      </c>
      <c r="Q13" s="358">
        <f t="shared" si="2"/>
        <v>9994300</v>
      </c>
      <c r="R13" s="195"/>
      <c r="S13" s="195"/>
    </row>
    <row r="14" spans="1:21" ht="21.75" customHeight="1" x14ac:dyDescent="0.25">
      <c r="A14" s="350">
        <v>7</v>
      </c>
      <c r="B14" s="482">
        <v>45058</v>
      </c>
      <c r="C14" s="366" t="s">
        <v>354</v>
      </c>
      <c r="D14" s="367" t="s">
        <v>4883</v>
      </c>
      <c r="E14" s="354" t="s">
        <v>4504</v>
      </c>
      <c r="F14" s="368"/>
      <c r="G14" s="369">
        <v>382</v>
      </c>
      <c r="H14" s="358">
        <f t="shared" ref="H14:H19" si="3">G14*17650</f>
        <v>6742300</v>
      </c>
      <c r="I14" s="358"/>
      <c r="J14" s="414">
        <v>3790000</v>
      </c>
      <c r="K14" s="371"/>
      <c r="L14" s="372"/>
      <c r="M14" s="358"/>
      <c r="N14" s="358"/>
      <c r="O14" s="358">
        <f t="shared" si="0"/>
        <v>10532300</v>
      </c>
      <c r="P14" s="385">
        <v>19650000</v>
      </c>
      <c r="Q14" s="358">
        <f t="shared" si="2"/>
        <v>9117700</v>
      </c>
      <c r="R14" s="195"/>
      <c r="S14" s="195"/>
    </row>
    <row r="15" spans="1:21" ht="21.75" customHeight="1" x14ac:dyDescent="0.25">
      <c r="A15" s="350">
        <v>8</v>
      </c>
      <c r="B15" s="482">
        <v>45061</v>
      </c>
      <c r="C15" s="366" t="s">
        <v>4871</v>
      </c>
      <c r="D15" s="367" t="s">
        <v>4884</v>
      </c>
      <c r="E15" s="354" t="s">
        <v>21</v>
      </c>
      <c r="F15" s="368"/>
      <c r="G15" s="369">
        <v>245</v>
      </c>
      <c r="H15" s="358">
        <f t="shared" si="3"/>
        <v>4324250</v>
      </c>
      <c r="I15" s="358"/>
      <c r="J15" s="414">
        <v>2380000</v>
      </c>
      <c r="K15" s="371"/>
      <c r="L15" s="372"/>
      <c r="M15" s="358"/>
      <c r="N15" s="358"/>
      <c r="O15" s="358">
        <f t="shared" si="0"/>
        <v>6704250</v>
      </c>
      <c r="P15" s="385">
        <v>12400000</v>
      </c>
      <c r="Q15" s="358">
        <f t="shared" si="2"/>
        <v>5695750</v>
      </c>
      <c r="R15" s="195"/>
      <c r="S15" s="195"/>
    </row>
    <row r="16" spans="1:21" ht="21.75" customHeight="1" x14ac:dyDescent="0.25">
      <c r="A16" s="350">
        <v>9</v>
      </c>
      <c r="B16" s="482">
        <v>45061</v>
      </c>
      <c r="C16" s="366" t="s">
        <v>2464</v>
      </c>
      <c r="D16" s="367" t="s">
        <v>4885</v>
      </c>
      <c r="E16" s="354" t="s">
        <v>4899</v>
      </c>
      <c r="F16" s="368"/>
      <c r="G16" s="369">
        <v>61</v>
      </c>
      <c r="H16" s="358">
        <f t="shared" si="3"/>
        <v>1076650</v>
      </c>
      <c r="I16" s="358"/>
      <c r="J16" s="414">
        <v>430000</v>
      </c>
      <c r="K16" s="371"/>
      <c r="L16" s="372"/>
      <c r="M16" s="358"/>
      <c r="N16" s="358"/>
      <c r="O16" s="358">
        <f t="shared" si="0"/>
        <v>1506650</v>
      </c>
      <c r="P16" s="385">
        <v>3290000</v>
      </c>
      <c r="Q16" s="358">
        <f t="shared" si="2"/>
        <v>1783350</v>
      </c>
      <c r="R16" s="195"/>
      <c r="S16" s="195"/>
      <c r="U16" s="195"/>
    </row>
    <row r="17" spans="1:21" ht="21.75" customHeight="1" x14ac:dyDescent="0.25">
      <c r="A17" s="350">
        <v>10</v>
      </c>
      <c r="B17" s="482">
        <v>45062</v>
      </c>
      <c r="C17" s="366" t="s">
        <v>4872</v>
      </c>
      <c r="D17" s="367" t="s">
        <v>4886</v>
      </c>
      <c r="E17" s="354" t="s">
        <v>21</v>
      </c>
      <c r="F17" s="368"/>
      <c r="G17" s="369">
        <v>248</v>
      </c>
      <c r="H17" s="358">
        <f t="shared" si="3"/>
        <v>4377200</v>
      </c>
      <c r="I17" s="358"/>
      <c r="J17" s="414">
        <v>2380000</v>
      </c>
      <c r="K17" s="371"/>
      <c r="L17" s="372"/>
      <c r="M17" s="358"/>
      <c r="N17" s="358"/>
      <c r="O17" s="358">
        <f t="shared" si="0"/>
        <v>6757200</v>
      </c>
      <c r="P17" s="385">
        <v>13636364</v>
      </c>
      <c r="Q17" s="358">
        <f t="shared" si="2"/>
        <v>6879164</v>
      </c>
      <c r="R17" s="195"/>
      <c r="S17" s="195"/>
    </row>
    <row r="18" spans="1:21" ht="21.75" customHeight="1" x14ac:dyDescent="0.25">
      <c r="A18" s="470">
        <v>11</v>
      </c>
      <c r="B18" s="487">
        <v>45063</v>
      </c>
      <c r="C18" s="366" t="s">
        <v>4873</v>
      </c>
      <c r="D18" s="367" t="s">
        <v>4887</v>
      </c>
      <c r="E18" s="354" t="s">
        <v>850</v>
      </c>
      <c r="F18" s="461"/>
      <c r="G18" s="369">
        <v>124</v>
      </c>
      <c r="H18" s="358">
        <f t="shared" si="3"/>
        <v>2188600</v>
      </c>
      <c r="I18" s="494"/>
      <c r="J18" s="436">
        <v>790000</v>
      </c>
      <c r="K18" s="371"/>
      <c r="L18" s="372"/>
      <c r="M18" s="381"/>
      <c r="N18" s="381"/>
      <c r="O18" s="358">
        <f t="shared" si="0"/>
        <v>2978600</v>
      </c>
      <c r="P18" s="385">
        <v>5713636</v>
      </c>
      <c r="Q18" s="358">
        <f t="shared" si="2"/>
        <v>2735036</v>
      </c>
      <c r="R18" s="195"/>
      <c r="S18" s="195"/>
    </row>
    <row r="19" spans="1:21" ht="21.75" customHeight="1" x14ac:dyDescent="0.25">
      <c r="A19" s="350">
        <v>12</v>
      </c>
      <c r="B19" s="487">
        <v>45065</v>
      </c>
      <c r="C19" s="366" t="s">
        <v>4874</v>
      </c>
      <c r="D19" s="367" t="s">
        <v>4888</v>
      </c>
      <c r="E19" s="354" t="s">
        <v>4699</v>
      </c>
      <c r="F19" s="461"/>
      <c r="G19" s="369">
        <v>393</v>
      </c>
      <c r="H19" s="358">
        <f t="shared" si="3"/>
        <v>6936450</v>
      </c>
      <c r="I19" s="494"/>
      <c r="J19" s="436">
        <f>3870000+400000</f>
        <v>4270000</v>
      </c>
      <c r="K19" s="371"/>
      <c r="L19" s="372"/>
      <c r="M19" s="381"/>
      <c r="N19" s="381"/>
      <c r="O19" s="358">
        <f t="shared" si="0"/>
        <v>11206450</v>
      </c>
      <c r="P19" s="385">
        <v>21500000</v>
      </c>
      <c r="Q19" s="358">
        <f t="shared" si="2"/>
        <v>10293550</v>
      </c>
      <c r="R19" s="195"/>
      <c r="S19" s="195"/>
    </row>
    <row r="20" spans="1:21" ht="21.75" customHeight="1" x14ac:dyDescent="0.25">
      <c r="A20" s="350">
        <v>13</v>
      </c>
      <c r="B20" s="487">
        <v>45066</v>
      </c>
      <c r="C20" s="366" t="s">
        <v>4875</v>
      </c>
      <c r="D20" s="367" t="s">
        <v>4889</v>
      </c>
      <c r="E20" s="354" t="s">
        <v>4897</v>
      </c>
      <c r="F20" s="461"/>
      <c r="G20" s="369">
        <v>87</v>
      </c>
      <c r="H20" s="358">
        <f>G20*17950</f>
        <v>1561650</v>
      </c>
      <c r="I20" s="494"/>
      <c r="J20" s="436">
        <v>790000</v>
      </c>
      <c r="K20" s="371"/>
      <c r="L20" s="372"/>
      <c r="M20" s="381"/>
      <c r="N20" s="381"/>
      <c r="O20" s="358">
        <f t="shared" si="0"/>
        <v>2351650</v>
      </c>
      <c r="P20" s="385">
        <v>4200000</v>
      </c>
      <c r="Q20" s="358">
        <f t="shared" si="2"/>
        <v>1848350</v>
      </c>
      <c r="R20" s="195"/>
      <c r="S20" s="195"/>
    </row>
    <row r="21" spans="1:21" ht="21.75" customHeight="1" x14ac:dyDescent="0.25">
      <c r="A21" s="350">
        <v>14</v>
      </c>
      <c r="B21" s="487">
        <v>45068</v>
      </c>
      <c r="C21" s="366" t="s">
        <v>4876</v>
      </c>
      <c r="D21" s="367" t="s">
        <v>4890</v>
      </c>
      <c r="E21" s="354" t="s">
        <v>2589</v>
      </c>
      <c r="F21" s="461"/>
      <c r="G21" s="369">
        <v>176</v>
      </c>
      <c r="H21" s="358">
        <f t="shared" ref="H21:H27" si="4">G21*17950</f>
        <v>3159200</v>
      </c>
      <c r="I21" s="494"/>
      <c r="J21" s="436">
        <v>790000</v>
      </c>
      <c r="K21" s="371"/>
      <c r="L21" s="372"/>
      <c r="M21" s="381"/>
      <c r="N21" s="381"/>
      <c r="O21" s="358">
        <f t="shared" si="0"/>
        <v>3949200</v>
      </c>
      <c r="P21" s="385">
        <v>10100000</v>
      </c>
      <c r="Q21" s="358">
        <f t="shared" si="2"/>
        <v>6150800</v>
      </c>
      <c r="R21" s="195"/>
      <c r="S21" s="195"/>
    </row>
    <row r="22" spans="1:21" ht="21.75" customHeight="1" x14ac:dyDescent="0.25">
      <c r="A22" s="350">
        <v>15</v>
      </c>
      <c r="B22" s="487">
        <v>45070</v>
      </c>
      <c r="C22" s="366" t="s">
        <v>4877</v>
      </c>
      <c r="D22" s="367" t="s">
        <v>4890</v>
      </c>
      <c r="E22" s="354" t="s">
        <v>2589</v>
      </c>
      <c r="F22" s="461"/>
      <c r="G22" s="369"/>
      <c r="H22" s="358">
        <f t="shared" si="4"/>
        <v>0</v>
      </c>
      <c r="I22" s="494"/>
      <c r="J22" s="436">
        <v>790000</v>
      </c>
      <c r="K22" s="371"/>
      <c r="L22" s="372"/>
      <c r="M22" s="381"/>
      <c r="N22" s="381"/>
      <c r="O22" s="358">
        <f t="shared" si="0"/>
        <v>790000</v>
      </c>
      <c r="P22" s="385">
        <v>0</v>
      </c>
      <c r="Q22" s="358">
        <f t="shared" si="2"/>
        <v>-790000</v>
      </c>
      <c r="R22" s="195"/>
      <c r="S22" s="195"/>
    </row>
    <row r="23" spans="1:21" ht="21.75" customHeight="1" x14ac:dyDescent="0.25">
      <c r="A23" s="350">
        <v>16</v>
      </c>
      <c r="B23" s="487">
        <v>45071</v>
      </c>
      <c r="C23" s="366" t="s">
        <v>4878</v>
      </c>
      <c r="D23" s="367" t="s">
        <v>4890</v>
      </c>
      <c r="E23" s="354" t="s">
        <v>2439</v>
      </c>
      <c r="F23" s="461"/>
      <c r="G23" s="369"/>
      <c r="H23" s="358">
        <f t="shared" si="4"/>
        <v>0</v>
      </c>
      <c r="I23" s="494"/>
      <c r="J23" s="436">
        <v>840000</v>
      </c>
      <c r="K23" s="371"/>
      <c r="L23" s="372"/>
      <c r="M23" s="381"/>
      <c r="N23" s="381"/>
      <c r="O23" s="358">
        <f t="shared" si="0"/>
        <v>840000</v>
      </c>
      <c r="P23" s="385">
        <v>0</v>
      </c>
      <c r="Q23" s="358">
        <f t="shared" si="2"/>
        <v>-840000</v>
      </c>
      <c r="R23" s="195"/>
      <c r="S23" s="195"/>
    </row>
    <row r="24" spans="1:21" ht="21.75" customHeight="1" x14ac:dyDescent="0.25">
      <c r="A24" s="350">
        <v>17</v>
      </c>
      <c r="B24" s="487">
        <v>45070</v>
      </c>
      <c r="C24" s="366" t="s">
        <v>1800</v>
      </c>
      <c r="D24" s="367" t="s">
        <v>694</v>
      </c>
      <c r="E24" s="354" t="s">
        <v>3411</v>
      </c>
      <c r="F24" s="461"/>
      <c r="G24" s="369">
        <v>85</v>
      </c>
      <c r="H24" s="358">
        <f t="shared" si="4"/>
        <v>1525750</v>
      </c>
      <c r="I24" s="494"/>
      <c r="J24" s="436">
        <v>610000</v>
      </c>
      <c r="K24" s="371"/>
      <c r="L24" s="372"/>
      <c r="M24" s="381"/>
      <c r="N24" s="381"/>
      <c r="O24" s="358">
        <f t="shared" si="0"/>
        <v>2135750</v>
      </c>
      <c r="P24" s="385">
        <v>4597273</v>
      </c>
      <c r="Q24" s="358">
        <f t="shared" si="2"/>
        <v>2461523</v>
      </c>
      <c r="R24" s="195"/>
      <c r="S24" s="195"/>
    </row>
    <row r="25" spans="1:21" ht="21.75" customHeight="1" x14ac:dyDescent="0.25">
      <c r="A25" s="350">
        <v>18</v>
      </c>
      <c r="B25" s="487">
        <v>45072</v>
      </c>
      <c r="C25" s="366" t="s">
        <v>1124</v>
      </c>
      <c r="D25" s="367" t="s">
        <v>4891</v>
      </c>
      <c r="E25" s="354" t="s">
        <v>21</v>
      </c>
      <c r="F25" s="461"/>
      <c r="G25" s="369">
        <v>240</v>
      </c>
      <c r="H25" s="358">
        <f t="shared" si="4"/>
        <v>4308000</v>
      </c>
      <c r="I25" s="494"/>
      <c r="J25" s="436">
        <v>2380000</v>
      </c>
      <c r="K25" s="371"/>
      <c r="L25" s="372"/>
      <c r="M25" s="381"/>
      <c r="N25" s="381"/>
      <c r="O25" s="358">
        <f t="shared" si="0"/>
        <v>6688000</v>
      </c>
      <c r="P25" s="385">
        <v>13090909</v>
      </c>
      <c r="Q25" s="358">
        <f t="shared" si="2"/>
        <v>6402909</v>
      </c>
      <c r="R25" s="195"/>
      <c r="S25" s="195"/>
      <c r="U25" s="195"/>
    </row>
    <row r="26" spans="1:21" ht="21.75" customHeight="1" x14ac:dyDescent="0.25">
      <c r="A26" s="350">
        <v>19</v>
      </c>
      <c r="B26" s="487">
        <v>45072</v>
      </c>
      <c r="C26" s="366" t="s">
        <v>4375</v>
      </c>
      <c r="D26" s="367" t="s">
        <v>4892</v>
      </c>
      <c r="E26" s="354" t="s">
        <v>2589</v>
      </c>
      <c r="F26" s="461"/>
      <c r="G26" s="369">
        <v>85</v>
      </c>
      <c r="H26" s="358">
        <f t="shared" si="4"/>
        <v>1525750</v>
      </c>
      <c r="I26" s="494"/>
      <c r="J26" s="436">
        <v>430000</v>
      </c>
      <c r="K26" s="371"/>
      <c r="L26" s="372"/>
      <c r="M26" s="381"/>
      <c r="N26" s="381"/>
      <c r="O26" s="358">
        <f t="shared" si="0"/>
        <v>1955750</v>
      </c>
      <c r="P26" s="385">
        <v>4000000</v>
      </c>
      <c r="Q26" s="358">
        <f t="shared" si="2"/>
        <v>2044250</v>
      </c>
      <c r="R26" s="195"/>
      <c r="S26" s="195"/>
      <c r="U26" s="195"/>
    </row>
    <row r="27" spans="1:21" ht="21.75" customHeight="1" x14ac:dyDescent="0.25">
      <c r="A27" s="350">
        <v>20</v>
      </c>
      <c r="B27" s="487">
        <v>45076</v>
      </c>
      <c r="C27" s="366" t="s">
        <v>3691</v>
      </c>
      <c r="D27" s="367" t="s">
        <v>4893</v>
      </c>
      <c r="E27" s="354" t="s">
        <v>4900</v>
      </c>
      <c r="F27" s="461"/>
      <c r="G27" s="369">
        <v>145</v>
      </c>
      <c r="H27" s="358">
        <f t="shared" si="4"/>
        <v>2602750</v>
      </c>
      <c r="I27" s="494"/>
      <c r="J27" s="436">
        <v>1040000</v>
      </c>
      <c r="K27" s="371"/>
      <c r="L27" s="372"/>
      <c r="M27" s="381"/>
      <c r="N27" s="381"/>
      <c r="O27" s="358">
        <f t="shared" si="0"/>
        <v>3642750</v>
      </c>
      <c r="P27" s="385">
        <v>6700000</v>
      </c>
      <c r="Q27" s="358">
        <f t="shared" si="2"/>
        <v>3057250</v>
      </c>
      <c r="R27" s="195"/>
      <c r="S27" s="195"/>
      <c r="U27" s="195"/>
    </row>
    <row r="28" spans="1:21" ht="27" customHeight="1" x14ac:dyDescent="0.25">
      <c r="A28" s="374"/>
      <c r="B28" s="488"/>
      <c r="C28" s="609" t="s">
        <v>1273</v>
      </c>
      <c r="D28" s="609"/>
      <c r="E28" s="609"/>
      <c r="F28" s="402"/>
      <c r="G28" s="358"/>
      <c r="H28" s="369"/>
      <c r="I28" s="403"/>
      <c r="J28" s="381"/>
      <c r="K28" s="372">
        <v>1200000</v>
      </c>
      <c r="L28" s="372"/>
      <c r="M28" s="381"/>
      <c r="N28" s="381"/>
      <c r="O28" s="385">
        <f>H28+J28+K28+L28+M28+N28</f>
        <v>1200000</v>
      </c>
      <c r="P28" s="385"/>
      <c r="Q28" s="385"/>
    </row>
    <row r="29" spans="1:21" ht="27" customHeight="1" x14ac:dyDescent="0.25">
      <c r="A29" s="386"/>
      <c r="B29" s="379"/>
      <c r="C29" s="594" t="s">
        <v>4535</v>
      </c>
      <c r="D29" s="595"/>
      <c r="E29" s="596"/>
      <c r="F29" s="402"/>
      <c r="G29" s="381"/>
      <c r="H29" s="369"/>
      <c r="J29" s="381"/>
      <c r="K29" s="388">
        <v>12574000</v>
      </c>
      <c r="L29" s="388"/>
      <c r="M29" s="381"/>
      <c r="N29" s="381"/>
      <c r="O29" s="385">
        <f t="shared" ref="O29:O35" si="5">H29+J29+K29+L29+M29+N29</f>
        <v>12574000</v>
      </c>
      <c r="P29" s="389"/>
      <c r="Q29" s="378"/>
    </row>
    <row r="30" spans="1:21" ht="27" customHeight="1" x14ac:dyDescent="0.25">
      <c r="A30" s="386"/>
      <c r="B30" s="379"/>
      <c r="C30" s="594" t="s">
        <v>4901</v>
      </c>
      <c r="D30" s="595"/>
      <c r="E30" s="596"/>
      <c r="F30" s="402"/>
      <c r="G30" s="381"/>
      <c r="H30" s="369"/>
      <c r="J30" s="381"/>
      <c r="K30" s="388"/>
      <c r="L30" s="388">
        <v>100000</v>
      </c>
      <c r="M30" s="381"/>
      <c r="N30" s="381"/>
      <c r="O30" s="385">
        <f t="shared" si="5"/>
        <v>100000</v>
      </c>
      <c r="P30" s="389"/>
      <c r="Q30" s="378"/>
    </row>
    <row r="31" spans="1:21" ht="27" customHeight="1" x14ac:dyDescent="0.25">
      <c r="A31" s="386"/>
      <c r="B31" s="379"/>
      <c r="C31" s="594" t="s">
        <v>4902</v>
      </c>
      <c r="D31" s="595"/>
      <c r="E31" s="596"/>
      <c r="F31" s="402"/>
      <c r="G31" s="381"/>
      <c r="H31" s="369"/>
      <c r="J31" s="381"/>
      <c r="K31" s="388"/>
      <c r="L31" s="388">
        <v>1200000</v>
      </c>
      <c r="M31" s="381"/>
      <c r="N31" s="381"/>
      <c r="O31" s="385">
        <f t="shared" si="5"/>
        <v>1200000</v>
      </c>
      <c r="P31" s="389"/>
      <c r="Q31" s="378"/>
    </row>
    <row r="32" spans="1:21" ht="27" customHeight="1" x14ac:dyDescent="0.25">
      <c r="A32" s="386"/>
      <c r="B32" s="379"/>
      <c r="C32" s="594" t="s">
        <v>1775</v>
      </c>
      <c r="D32" s="595"/>
      <c r="E32" s="596"/>
      <c r="F32" s="402"/>
      <c r="G32" s="381"/>
      <c r="H32" s="369"/>
      <c r="J32" s="381"/>
      <c r="K32" s="388"/>
      <c r="L32" s="388">
        <v>200000</v>
      </c>
      <c r="M32" s="381"/>
      <c r="N32" s="381"/>
      <c r="O32" s="385">
        <f t="shared" si="5"/>
        <v>200000</v>
      </c>
      <c r="P32" s="389"/>
      <c r="Q32" s="378"/>
    </row>
    <row r="33" spans="1:18" ht="27" customHeight="1" x14ac:dyDescent="0.25">
      <c r="A33" s="386"/>
      <c r="B33" s="379"/>
      <c r="C33" s="594" t="s">
        <v>4903</v>
      </c>
      <c r="D33" s="595"/>
      <c r="E33" s="596"/>
      <c r="F33" s="402"/>
      <c r="G33" s="381"/>
      <c r="H33" s="369"/>
      <c r="J33" s="381"/>
      <c r="K33" s="388"/>
      <c r="L33" s="388"/>
      <c r="M33" s="388">
        <v>17175000</v>
      </c>
      <c r="N33" s="381"/>
      <c r="O33" s="385">
        <f t="shared" si="5"/>
        <v>17175000</v>
      </c>
      <c r="P33" s="389"/>
      <c r="Q33" s="378"/>
    </row>
    <row r="34" spans="1:18" ht="27" customHeight="1" x14ac:dyDescent="0.25">
      <c r="A34" s="386"/>
      <c r="B34" s="379"/>
      <c r="C34" s="594" t="s">
        <v>4904</v>
      </c>
      <c r="D34" s="595"/>
      <c r="E34" s="596"/>
      <c r="F34" s="402"/>
      <c r="G34" s="381"/>
      <c r="H34" s="369"/>
      <c r="J34" s="381"/>
      <c r="K34" s="388"/>
      <c r="L34" s="388">
        <v>800000</v>
      </c>
      <c r="M34" s="381"/>
      <c r="N34" s="381"/>
      <c r="O34" s="385">
        <f t="shared" si="5"/>
        <v>800000</v>
      </c>
      <c r="P34" s="389"/>
      <c r="Q34" s="378"/>
    </row>
    <row r="35" spans="1:18" ht="30.75" customHeight="1" x14ac:dyDescent="0.25">
      <c r="A35" s="386"/>
      <c r="B35" s="391"/>
      <c r="C35" s="579" t="s">
        <v>4668</v>
      </c>
      <c r="D35" s="580"/>
      <c r="E35" s="581"/>
      <c r="F35" s="461"/>
      <c r="G35" s="381"/>
      <c r="H35" s="369"/>
      <c r="I35" s="403"/>
      <c r="J35" s="381"/>
      <c r="K35" s="394">
        <v>8000000</v>
      </c>
      <c r="L35" s="394"/>
      <c r="M35" s="381"/>
      <c r="N35" s="381"/>
      <c r="O35" s="385">
        <f t="shared" si="5"/>
        <v>8000000</v>
      </c>
      <c r="P35" s="389"/>
      <c r="Q35" s="378"/>
    </row>
    <row r="36" spans="1:18" x14ac:dyDescent="0.25">
      <c r="A36" s="576" t="s">
        <v>19</v>
      </c>
      <c r="B36" s="577"/>
      <c r="C36" s="577"/>
      <c r="D36" s="577"/>
      <c r="E36" s="577"/>
      <c r="F36" s="578"/>
      <c r="G36" s="395">
        <f>SUM(G8:G35)</f>
        <v>3242</v>
      </c>
      <c r="H36" s="396">
        <f t="shared" ref="H36:P36" si="6">SUM(H7:H35)</f>
        <v>57822500</v>
      </c>
      <c r="I36" s="396">
        <f t="shared" si="6"/>
        <v>0</v>
      </c>
      <c r="J36" s="396">
        <f t="shared" si="6"/>
        <v>30184000</v>
      </c>
      <c r="K36" s="396">
        <f t="shared" si="6"/>
        <v>21774000</v>
      </c>
      <c r="L36" s="396">
        <f t="shared" si="6"/>
        <v>2300000</v>
      </c>
      <c r="M36" s="396">
        <f t="shared" si="6"/>
        <v>17175000</v>
      </c>
      <c r="N36" s="396">
        <f t="shared" si="6"/>
        <v>0</v>
      </c>
      <c r="O36" s="397">
        <f t="shared" si="6"/>
        <v>129255500</v>
      </c>
      <c r="P36" s="397">
        <f t="shared" si="6"/>
        <v>171838182</v>
      </c>
      <c r="Q36" s="396">
        <f>P36-O36</f>
        <v>42582682</v>
      </c>
      <c r="R36" s="195"/>
    </row>
    <row r="37" spans="1:18" x14ac:dyDescent="0.25">
      <c r="P37" s="294"/>
      <c r="Q37" s="295"/>
    </row>
    <row r="38" spans="1:18" x14ac:dyDescent="0.25">
      <c r="B38"/>
      <c r="G38"/>
      <c r="H38" s="294"/>
      <c r="P38" s="296" t="s">
        <v>1225</v>
      </c>
      <c r="Q38" s="295">
        <f>'04.2023'!Q47+'05.2023'!Q36</f>
        <v>146240457</v>
      </c>
    </row>
    <row r="39" spans="1:18" x14ac:dyDescent="0.25">
      <c r="B39"/>
      <c r="G39"/>
      <c r="Q39" s="294"/>
    </row>
    <row r="40" spans="1:18" x14ac:dyDescent="0.25">
      <c r="B40"/>
      <c r="G40"/>
      <c r="R40" s="195"/>
    </row>
  </sheetData>
  <mergeCells count="13">
    <mergeCell ref="C29:E29"/>
    <mergeCell ref="A1:Q1"/>
    <mergeCell ref="A2:Q2"/>
    <mergeCell ref="A3:Q3"/>
    <mergeCell ref="G5:N5"/>
    <mergeCell ref="C28:E28"/>
    <mergeCell ref="A36:F36"/>
    <mergeCell ref="C34:E34"/>
    <mergeCell ref="C30:E30"/>
    <mergeCell ref="C31:E31"/>
    <mergeCell ref="C32:E32"/>
    <mergeCell ref="C33:E33"/>
    <mergeCell ref="C35:E35"/>
  </mergeCells>
  <pageMargins left="0.7" right="0.7" top="0.75" bottom="0.75" header="0.3" footer="0.3"/>
  <pageSetup paperSize="9" orientation="portrait" horizontalDpi="0" verticalDpi="0"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39BDC-8575-4831-B4B2-D30A2D63AF6D}">
  <dimension ref="A1:U41"/>
  <sheetViews>
    <sheetView topLeftCell="D15" workbookViewId="0">
      <selection activeCell="L46" sqref="L46"/>
    </sheetView>
  </sheetViews>
  <sheetFormatPr defaultColWidth="9.140625" defaultRowHeight="15" x14ac:dyDescent="0.25"/>
  <cols>
    <col min="1" max="1" width="4.5703125" customWidth="1"/>
    <col min="2" max="2" width="9.28515625" style="332" bestFit="1" customWidth="1"/>
    <col min="3" max="3" width="33.42578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21" ht="23.25" x14ac:dyDescent="0.25">
      <c r="A1" s="551" t="s">
        <v>0</v>
      </c>
      <c r="B1" s="551"/>
      <c r="C1" s="551"/>
      <c r="D1" s="551"/>
      <c r="E1" s="551"/>
      <c r="F1" s="551"/>
      <c r="G1" s="551"/>
      <c r="H1" s="551"/>
      <c r="I1" s="551"/>
      <c r="J1" s="551"/>
      <c r="K1" s="551"/>
      <c r="L1" s="551"/>
      <c r="M1" s="551"/>
      <c r="N1" s="551"/>
      <c r="O1" s="551"/>
      <c r="P1" s="551"/>
      <c r="Q1" s="551"/>
    </row>
    <row r="2" spans="1:21" ht="15.75" x14ac:dyDescent="0.25">
      <c r="A2" s="550" t="s">
        <v>103</v>
      </c>
      <c r="B2" s="550"/>
      <c r="C2" s="550"/>
      <c r="D2" s="550"/>
      <c r="E2" s="550"/>
      <c r="F2" s="550"/>
      <c r="G2" s="550"/>
      <c r="H2" s="550"/>
      <c r="I2" s="550"/>
      <c r="J2" s="550"/>
      <c r="K2" s="550"/>
      <c r="L2" s="550"/>
      <c r="M2" s="550"/>
      <c r="N2" s="550"/>
      <c r="O2" s="550"/>
      <c r="P2" s="550"/>
      <c r="Q2" s="550"/>
    </row>
    <row r="3" spans="1:21" ht="15.75" x14ac:dyDescent="0.25">
      <c r="A3" s="550" t="s">
        <v>4905</v>
      </c>
      <c r="B3" s="550"/>
      <c r="C3" s="550"/>
      <c r="D3" s="550"/>
      <c r="E3" s="550"/>
      <c r="F3" s="550"/>
      <c r="G3" s="550"/>
      <c r="H3" s="550"/>
      <c r="I3" s="550"/>
      <c r="J3" s="550"/>
      <c r="K3" s="550"/>
      <c r="L3" s="550"/>
      <c r="M3" s="550"/>
      <c r="N3" s="550"/>
      <c r="O3" s="550"/>
      <c r="P3" s="550"/>
      <c r="Q3" s="550"/>
    </row>
    <row r="4" spans="1:21" x14ac:dyDescent="0.25">
      <c r="A4" s="74"/>
      <c r="B4" s="99"/>
      <c r="C4" s="74"/>
      <c r="D4" s="74"/>
      <c r="E4" s="74" t="s">
        <v>194</v>
      </c>
      <c r="F4" s="74"/>
      <c r="G4" s="257"/>
      <c r="H4" s="258"/>
      <c r="I4" s="258"/>
      <c r="J4" s="258"/>
      <c r="K4" s="258"/>
      <c r="L4" s="91"/>
      <c r="M4" s="258"/>
      <c r="N4" s="258"/>
      <c r="O4" s="258"/>
      <c r="P4" s="258"/>
      <c r="Q4" s="258"/>
    </row>
    <row r="5" spans="1:21"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21"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21" x14ac:dyDescent="0.25">
      <c r="A7" s="75"/>
      <c r="B7" s="100"/>
      <c r="C7" s="88"/>
      <c r="D7" s="88"/>
      <c r="E7" s="134"/>
      <c r="F7" s="75"/>
      <c r="G7" s="264"/>
      <c r="H7" s="264"/>
      <c r="I7" s="264"/>
      <c r="J7" s="264"/>
      <c r="K7" s="264"/>
      <c r="L7" s="308"/>
      <c r="M7" s="264"/>
      <c r="N7" s="264"/>
      <c r="O7" s="265"/>
      <c r="P7" s="265"/>
      <c r="Q7" s="264"/>
    </row>
    <row r="8" spans="1:21" ht="21.75" customHeight="1" x14ac:dyDescent="0.25">
      <c r="A8" s="470">
        <v>1</v>
      </c>
      <c r="B8" s="472">
        <v>45077</v>
      </c>
      <c r="C8" s="366" t="s">
        <v>1836</v>
      </c>
      <c r="D8" s="367" t="s">
        <v>4923</v>
      </c>
      <c r="E8" s="354" t="s">
        <v>4918</v>
      </c>
      <c r="F8" s="368"/>
      <c r="G8" s="369">
        <v>91</v>
      </c>
      <c r="H8" s="358">
        <f>G8*17940</f>
        <v>1632540</v>
      </c>
      <c r="I8" s="358"/>
      <c r="J8" s="414">
        <v>790000</v>
      </c>
      <c r="K8" s="371"/>
      <c r="L8" s="372"/>
      <c r="M8" s="358"/>
      <c r="N8" s="358"/>
      <c r="O8" s="358">
        <f t="shared" ref="O8:O28" si="0">H8+J8+K8+L8+M8+N8</f>
        <v>2422540</v>
      </c>
      <c r="P8" s="358">
        <v>4400000</v>
      </c>
      <c r="Q8" s="358">
        <f>P8-O8</f>
        <v>1977460</v>
      </c>
      <c r="R8" s="195"/>
      <c r="S8" s="195"/>
    </row>
    <row r="9" spans="1:21" ht="21.75" customHeight="1" x14ac:dyDescent="0.25">
      <c r="A9" s="350">
        <v>2</v>
      </c>
      <c r="B9" s="482">
        <v>45078</v>
      </c>
      <c r="C9" s="366" t="s">
        <v>3736</v>
      </c>
      <c r="D9" s="415" t="s">
        <v>4924</v>
      </c>
      <c r="E9" s="354" t="s">
        <v>4919</v>
      </c>
      <c r="F9" s="368"/>
      <c r="G9" s="369">
        <v>108</v>
      </c>
      <c r="H9" s="358">
        <f t="shared" ref="H9:H15" si="1">G9*17940</f>
        <v>1937520</v>
      </c>
      <c r="I9" s="358"/>
      <c r="J9" s="414">
        <v>430000</v>
      </c>
      <c r="K9" s="371"/>
      <c r="L9" s="372"/>
      <c r="M9" s="358"/>
      <c r="N9" s="358"/>
      <c r="O9" s="358">
        <f t="shared" si="0"/>
        <v>2367520</v>
      </c>
      <c r="P9" s="385">
        <v>4000000</v>
      </c>
      <c r="Q9" s="358">
        <f t="shared" ref="Q9:Q28" si="2">P9-O9</f>
        <v>1632480</v>
      </c>
      <c r="R9" s="195"/>
      <c r="S9" s="195"/>
    </row>
    <row r="10" spans="1:21" ht="21.75" customHeight="1" x14ac:dyDescent="0.25">
      <c r="A10" s="350">
        <v>3</v>
      </c>
      <c r="B10" s="482">
        <v>45079</v>
      </c>
      <c r="C10" s="366" t="s">
        <v>3118</v>
      </c>
      <c r="D10" s="367" t="s">
        <v>4925</v>
      </c>
      <c r="E10" s="354" t="s">
        <v>4920</v>
      </c>
      <c r="F10" s="368"/>
      <c r="G10" s="369">
        <v>94</v>
      </c>
      <c r="H10" s="358">
        <f t="shared" si="1"/>
        <v>1686360</v>
      </c>
      <c r="I10" s="358"/>
      <c r="J10" s="414">
        <v>890000</v>
      </c>
      <c r="K10" s="371"/>
      <c r="L10" s="372"/>
      <c r="M10" s="358"/>
      <c r="N10" s="358"/>
      <c r="O10" s="358">
        <f t="shared" si="0"/>
        <v>2576360</v>
      </c>
      <c r="P10" s="385">
        <v>4300000</v>
      </c>
      <c r="Q10" s="358">
        <f t="shared" si="2"/>
        <v>1723640</v>
      </c>
      <c r="R10" s="195"/>
      <c r="S10" s="195"/>
    </row>
    <row r="11" spans="1:21" ht="21.75" customHeight="1" x14ac:dyDescent="0.25">
      <c r="A11" s="350">
        <v>4</v>
      </c>
      <c r="B11" s="482">
        <v>45082</v>
      </c>
      <c r="C11" s="366" t="s">
        <v>4906</v>
      </c>
      <c r="D11" s="367" t="s">
        <v>4926</v>
      </c>
      <c r="E11" s="354" t="s">
        <v>88</v>
      </c>
      <c r="F11" s="368"/>
      <c r="G11" s="369">
        <v>102</v>
      </c>
      <c r="H11" s="358">
        <f t="shared" si="1"/>
        <v>1829880</v>
      </c>
      <c r="I11" s="358"/>
      <c r="J11" s="414">
        <v>430000</v>
      </c>
      <c r="K11" s="371"/>
      <c r="L11" s="372"/>
      <c r="M11" s="358"/>
      <c r="N11" s="358"/>
      <c r="O11" s="358">
        <f t="shared" si="0"/>
        <v>2259880</v>
      </c>
      <c r="P11" s="385">
        <v>4620000</v>
      </c>
      <c r="Q11" s="358">
        <f t="shared" si="2"/>
        <v>2360120</v>
      </c>
      <c r="R11" s="195"/>
      <c r="S11" s="195"/>
      <c r="U11" s="195"/>
    </row>
    <row r="12" spans="1:21" ht="21.75" customHeight="1" x14ac:dyDescent="0.25">
      <c r="A12" s="350">
        <v>5</v>
      </c>
      <c r="B12" s="482">
        <v>45082</v>
      </c>
      <c r="C12" s="366" t="s">
        <v>2515</v>
      </c>
      <c r="D12" s="367" t="s">
        <v>4927</v>
      </c>
      <c r="E12" s="354" t="s">
        <v>4848</v>
      </c>
      <c r="F12" s="368"/>
      <c r="G12" s="369">
        <v>154</v>
      </c>
      <c r="H12" s="358">
        <f t="shared" si="1"/>
        <v>2762760</v>
      </c>
      <c r="I12" s="358"/>
      <c r="J12" s="414">
        <v>1130000</v>
      </c>
      <c r="K12" s="371"/>
      <c r="L12" s="372"/>
      <c r="M12" s="358"/>
      <c r="N12" s="358"/>
      <c r="O12" s="358">
        <f t="shared" si="0"/>
        <v>3892760</v>
      </c>
      <c r="P12" s="385">
        <v>6700000</v>
      </c>
      <c r="Q12" s="358">
        <f t="shared" si="2"/>
        <v>2807240</v>
      </c>
      <c r="R12" s="195"/>
      <c r="S12" s="195"/>
    </row>
    <row r="13" spans="1:21" ht="21.75" customHeight="1" x14ac:dyDescent="0.25">
      <c r="A13" s="350">
        <v>6</v>
      </c>
      <c r="B13" s="482">
        <v>45083</v>
      </c>
      <c r="C13" s="366" t="s">
        <v>4907</v>
      </c>
      <c r="D13" s="367" t="s">
        <v>4928</v>
      </c>
      <c r="E13" s="354" t="s">
        <v>4921</v>
      </c>
      <c r="F13" s="368"/>
      <c r="G13" s="369">
        <v>28</v>
      </c>
      <c r="H13" s="358">
        <f t="shared" si="1"/>
        <v>502320</v>
      </c>
      <c r="I13" s="358"/>
      <c r="J13" s="414">
        <v>340000</v>
      </c>
      <c r="K13" s="371"/>
      <c r="L13" s="372"/>
      <c r="M13" s="358"/>
      <c r="N13" s="358"/>
      <c r="O13" s="358">
        <f t="shared" si="0"/>
        <v>842320</v>
      </c>
      <c r="P13" s="385">
        <v>2600000</v>
      </c>
      <c r="Q13" s="358">
        <f t="shared" si="2"/>
        <v>1757680</v>
      </c>
      <c r="R13" s="195"/>
      <c r="S13" s="195"/>
    </row>
    <row r="14" spans="1:21" ht="21.75" customHeight="1" x14ac:dyDescent="0.25">
      <c r="A14" s="350">
        <v>7</v>
      </c>
      <c r="B14" s="482">
        <v>45084</v>
      </c>
      <c r="C14" s="366" t="s">
        <v>1174</v>
      </c>
      <c r="D14" s="367" t="s">
        <v>4929</v>
      </c>
      <c r="E14" s="354" t="s">
        <v>21</v>
      </c>
      <c r="F14" s="368"/>
      <c r="G14" s="369">
        <v>244</v>
      </c>
      <c r="H14" s="358">
        <f t="shared" si="1"/>
        <v>4377360</v>
      </c>
      <c r="I14" s="358"/>
      <c r="J14" s="414">
        <v>2380000</v>
      </c>
      <c r="K14" s="371"/>
      <c r="L14" s="372"/>
      <c r="M14" s="358"/>
      <c r="N14" s="358"/>
      <c r="O14" s="358">
        <f t="shared" si="0"/>
        <v>6757360</v>
      </c>
      <c r="P14" s="385">
        <v>12181818</v>
      </c>
      <c r="Q14" s="358">
        <f t="shared" si="2"/>
        <v>5424458</v>
      </c>
      <c r="R14" s="195"/>
      <c r="S14" s="195"/>
    </row>
    <row r="15" spans="1:21" ht="21.75" customHeight="1" x14ac:dyDescent="0.25">
      <c r="A15" s="350">
        <v>8</v>
      </c>
      <c r="B15" s="482">
        <v>45086</v>
      </c>
      <c r="C15" s="366" t="s">
        <v>1175</v>
      </c>
      <c r="D15" s="367" t="s">
        <v>4930</v>
      </c>
      <c r="E15" s="354" t="s">
        <v>2589</v>
      </c>
      <c r="F15" s="368"/>
      <c r="G15" s="369">
        <v>85</v>
      </c>
      <c r="H15" s="358">
        <f t="shared" si="1"/>
        <v>1524900</v>
      </c>
      <c r="I15" s="358"/>
      <c r="J15" s="414">
        <v>790000</v>
      </c>
      <c r="K15" s="371"/>
      <c r="L15" s="372"/>
      <c r="M15" s="358"/>
      <c r="N15" s="358"/>
      <c r="O15" s="358">
        <f t="shared" si="0"/>
        <v>2314900</v>
      </c>
      <c r="P15" s="385">
        <v>3900000</v>
      </c>
      <c r="Q15" s="358">
        <f t="shared" si="2"/>
        <v>1585100</v>
      </c>
      <c r="R15" s="195"/>
      <c r="S15" s="195"/>
    </row>
    <row r="16" spans="1:21" ht="21.75" customHeight="1" x14ac:dyDescent="0.25">
      <c r="A16" s="350">
        <v>9</v>
      </c>
      <c r="B16" s="482">
        <v>45087</v>
      </c>
      <c r="C16" s="366" t="s">
        <v>2516</v>
      </c>
      <c r="D16" s="367" t="s">
        <v>4931</v>
      </c>
      <c r="E16" s="354" t="s">
        <v>636</v>
      </c>
      <c r="F16" s="368"/>
      <c r="G16" s="369">
        <v>67</v>
      </c>
      <c r="H16" s="358">
        <f>G16*18020</f>
        <v>1207340</v>
      </c>
      <c r="I16" s="358"/>
      <c r="J16" s="414">
        <v>430000</v>
      </c>
      <c r="K16" s="371"/>
      <c r="L16" s="372"/>
      <c r="M16" s="358"/>
      <c r="N16" s="358"/>
      <c r="O16" s="358">
        <f t="shared" si="0"/>
        <v>1637340</v>
      </c>
      <c r="P16" s="385">
        <v>3200000</v>
      </c>
      <c r="Q16" s="358">
        <f t="shared" si="2"/>
        <v>1562660</v>
      </c>
      <c r="R16" s="195"/>
      <c r="S16" s="195"/>
      <c r="U16" s="195"/>
    </row>
    <row r="17" spans="1:21" ht="21.75" customHeight="1" x14ac:dyDescent="0.25">
      <c r="A17" s="350">
        <v>10</v>
      </c>
      <c r="B17" s="482">
        <v>45090</v>
      </c>
      <c r="C17" s="366" t="s">
        <v>4908</v>
      </c>
      <c r="D17" s="367" t="s">
        <v>4932</v>
      </c>
      <c r="E17" s="354" t="s">
        <v>21</v>
      </c>
      <c r="F17" s="368"/>
      <c r="G17" s="369">
        <v>247</v>
      </c>
      <c r="H17" s="358">
        <f t="shared" ref="H17:H22" si="3">G17*18020</f>
        <v>4450940</v>
      </c>
      <c r="I17" s="358"/>
      <c r="J17" s="414">
        <v>2380000</v>
      </c>
      <c r="K17" s="371"/>
      <c r="L17" s="372"/>
      <c r="M17" s="358"/>
      <c r="N17" s="358"/>
      <c r="O17" s="358">
        <f t="shared" si="0"/>
        <v>6830940</v>
      </c>
      <c r="P17" s="385">
        <v>12400000</v>
      </c>
      <c r="Q17" s="358">
        <f t="shared" si="2"/>
        <v>5569060</v>
      </c>
      <c r="R17" s="195"/>
      <c r="S17" s="195"/>
    </row>
    <row r="18" spans="1:21" ht="21.75" customHeight="1" x14ac:dyDescent="0.25">
      <c r="A18" s="470">
        <v>11</v>
      </c>
      <c r="B18" s="487">
        <v>45091</v>
      </c>
      <c r="C18" s="366" t="s">
        <v>4909</v>
      </c>
      <c r="D18" s="367" t="s">
        <v>4933</v>
      </c>
      <c r="E18" s="354" t="s">
        <v>4220</v>
      </c>
      <c r="F18" s="461"/>
      <c r="G18" s="369">
        <v>42</v>
      </c>
      <c r="H18" s="358">
        <f t="shared" si="3"/>
        <v>756840</v>
      </c>
      <c r="I18" s="494"/>
      <c r="J18" s="436">
        <v>340000</v>
      </c>
      <c r="K18" s="371"/>
      <c r="L18" s="372"/>
      <c r="M18" s="381"/>
      <c r="N18" s="381"/>
      <c r="O18" s="358">
        <f t="shared" si="0"/>
        <v>1096840</v>
      </c>
      <c r="P18" s="385">
        <v>2640000</v>
      </c>
      <c r="Q18" s="358">
        <f t="shared" si="2"/>
        <v>1543160</v>
      </c>
      <c r="R18" s="195"/>
      <c r="S18" s="195"/>
    </row>
    <row r="19" spans="1:21" ht="21.75" customHeight="1" x14ac:dyDescent="0.25">
      <c r="A19" s="350">
        <v>12</v>
      </c>
      <c r="B19" s="487">
        <v>45092</v>
      </c>
      <c r="C19" s="366" t="s">
        <v>4910</v>
      </c>
      <c r="D19" s="367" t="s">
        <v>4934</v>
      </c>
      <c r="E19" s="354" t="s">
        <v>4504</v>
      </c>
      <c r="F19" s="461"/>
      <c r="G19" s="369">
        <v>382</v>
      </c>
      <c r="H19" s="358">
        <f t="shared" si="3"/>
        <v>6883640</v>
      </c>
      <c r="I19" s="494"/>
      <c r="J19" s="436">
        <v>3870000</v>
      </c>
      <c r="K19" s="371"/>
      <c r="L19" s="372"/>
      <c r="M19" s="381"/>
      <c r="N19" s="381"/>
      <c r="O19" s="358">
        <f t="shared" si="0"/>
        <v>10753640</v>
      </c>
      <c r="P19" s="385">
        <v>19650000</v>
      </c>
      <c r="Q19" s="358">
        <f t="shared" si="2"/>
        <v>8896360</v>
      </c>
      <c r="R19" s="195"/>
      <c r="S19" s="195"/>
    </row>
    <row r="20" spans="1:21" ht="21.75" customHeight="1" x14ac:dyDescent="0.25">
      <c r="A20" s="350">
        <v>13</v>
      </c>
      <c r="B20" s="487">
        <v>45096</v>
      </c>
      <c r="C20" s="366" t="s">
        <v>4911</v>
      </c>
      <c r="D20" s="367" t="s">
        <v>4935</v>
      </c>
      <c r="E20" s="354" t="s">
        <v>4899</v>
      </c>
      <c r="F20" s="461"/>
      <c r="G20" s="369">
        <v>61</v>
      </c>
      <c r="H20" s="358">
        <f t="shared" si="3"/>
        <v>1099220</v>
      </c>
      <c r="I20" s="494"/>
      <c r="J20" s="436">
        <v>430000</v>
      </c>
      <c r="K20" s="371"/>
      <c r="L20" s="372"/>
      <c r="M20" s="381"/>
      <c r="N20" s="381"/>
      <c r="O20" s="358">
        <f t="shared" si="0"/>
        <v>1529220</v>
      </c>
      <c r="P20" s="385">
        <v>3290000</v>
      </c>
      <c r="Q20" s="358">
        <f t="shared" si="2"/>
        <v>1760780</v>
      </c>
      <c r="R20" s="195"/>
      <c r="S20" s="195"/>
    </row>
    <row r="21" spans="1:21" ht="21.75" customHeight="1" x14ac:dyDescent="0.25">
      <c r="A21" s="350">
        <v>14</v>
      </c>
      <c r="B21" s="487">
        <v>45096</v>
      </c>
      <c r="C21" s="366" t="s">
        <v>4912</v>
      </c>
      <c r="D21" s="367" t="s">
        <v>4936</v>
      </c>
      <c r="E21" s="354" t="s">
        <v>188</v>
      </c>
      <c r="F21" s="461"/>
      <c r="G21" s="369">
        <v>57</v>
      </c>
      <c r="H21" s="358">
        <f t="shared" si="3"/>
        <v>1027140</v>
      </c>
      <c r="I21" s="494"/>
      <c r="J21" s="436">
        <v>340000</v>
      </c>
      <c r="K21" s="371"/>
      <c r="L21" s="372"/>
      <c r="M21" s="381"/>
      <c r="N21" s="381"/>
      <c r="O21" s="358">
        <f t="shared" si="0"/>
        <v>1367140</v>
      </c>
      <c r="P21" s="385">
        <v>3200000</v>
      </c>
      <c r="Q21" s="358">
        <f t="shared" si="2"/>
        <v>1832860</v>
      </c>
      <c r="R21" s="195"/>
      <c r="S21" s="195"/>
    </row>
    <row r="22" spans="1:21" ht="21.75" customHeight="1" x14ac:dyDescent="0.25">
      <c r="A22" s="350">
        <v>15</v>
      </c>
      <c r="B22" s="487">
        <v>45097</v>
      </c>
      <c r="C22" s="366" t="s">
        <v>4913</v>
      </c>
      <c r="D22" s="367" t="s">
        <v>4937</v>
      </c>
      <c r="E22" s="354" t="s">
        <v>4504</v>
      </c>
      <c r="F22" s="461"/>
      <c r="G22" s="369">
        <v>382</v>
      </c>
      <c r="H22" s="358">
        <f t="shared" si="3"/>
        <v>6883640</v>
      </c>
      <c r="I22" s="494"/>
      <c r="J22" s="436">
        <v>4270000</v>
      </c>
      <c r="K22" s="371"/>
      <c r="L22" s="372"/>
      <c r="M22" s="381"/>
      <c r="N22" s="381"/>
      <c r="O22" s="358">
        <f t="shared" si="0"/>
        <v>11153640</v>
      </c>
      <c r="P22" s="385">
        <v>20850000</v>
      </c>
      <c r="Q22" s="358">
        <f t="shared" si="2"/>
        <v>9696360</v>
      </c>
      <c r="R22" s="195"/>
      <c r="S22" s="195"/>
    </row>
    <row r="23" spans="1:21" ht="21.75" customHeight="1" x14ac:dyDescent="0.25">
      <c r="A23" s="350">
        <v>16</v>
      </c>
      <c r="B23" s="487">
        <v>45099</v>
      </c>
      <c r="C23" s="366" t="s">
        <v>4914</v>
      </c>
      <c r="D23" s="367" t="s">
        <v>4938</v>
      </c>
      <c r="E23" s="354" t="s">
        <v>24</v>
      </c>
      <c r="F23" s="461"/>
      <c r="G23" s="369">
        <v>186</v>
      </c>
      <c r="H23" s="358">
        <f>G23*18170</f>
        <v>3379620</v>
      </c>
      <c r="I23" s="494"/>
      <c r="J23" s="436">
        <v>1530000</v>
      </c>
      <c r="K23" s="371"/>
      <c r="L23" s="372"/>
      <c r="M23" s="381"/>
      <c r="N23" s="381"/>
      <c r="O23" s="358">
        <f t="shared" si="0"/>
        <v>4909620</v>
      </c>
      <c r="P23" s="385">
        <v>8045455</v>
      </c>
      <c r="Q23" s="358">
        <f t="shared" si="2"/>
        <v>3135835</v>
      </c>
      <c r="R23" s="195"/>
      <c r="S23" s="195"/>
    </row>
    <row r="24" spans="1:21" ht="21.75" customHeight="1" x14ac:dyDescent="0.25">
      <c r="A24" s="350">
        <v>17</v>
      </c>
      <c r="B24" s="487">
        <v>45101</v>
      </c>
      <c r="C24" s="366" t="s">
        <v>4915</v>
      </c>
      <c r="D24" s="367" t="s">
        <v>4939</v>
      </c>
      <c r="E24" s="354" t="s">
        <v>4922</v>
      </c>
      <c r="F24" s="461"/>
      <c r="G24" s="369">
        <v>10</v>
      </c>
      <c r="H24" s="358">
        <f t="shared" ref="H24:H28" si="4">G24*18170</f>
        <v>181700</v>
      </c>
      <c r="I24" s="494"/>
      <c r="J24" s="436">
        <v>200000</v>
      </c>
      <c r="K24" s="371"/>
      <c r="L24" s="372"/>
      <c r="M24" s="381"/>
      <c r="N24" s="381"/>
      <c r="O24" s="358">
        <f t="shared" si="0"/>
        <v>381700</v>
      </c>
      <c r="P24" s="385">
        <v>1100000</v>
      </c>
      <c r="Q24" s="358">
        <f t="shared" si="2"/>
        <v>718300</v>
      </c>
      <c r="R24" s="195"/>
      <c r="S24" s="195"/>
    </row>
    <row r="25" spans="1:21" ht="21.75" customHeight="1" x14ac:dyDescent="0.25">
      <c r="A25" s="350">
        <v>18</v>
      </c>
      <c r="B25" s="487">
        <v>45101</v>
      </c>
      <c r="C25" s="366" t="s">
        <v>3751</v>
      </c>
      <c r="D25" s="367" t="s">
        <v>4940</v>
      </c>
      <c r="E25" s="354" t="s">
        <v>21</v>
      </c>
      <c r="F25" s="461"/>
      <c r="G25" s="369">
        <v>244</v>
      </c>
      <c r="H25" s="358">
        <f t="shared" si="4"/>
        <v>4433480</v>
      </c>
      <c r="I25" s="494"/>
      <c r="J25" s="436">
        <v>2380000</v>
      </c>
      <c r="K25" s="371"/>
      <c r="L25" s="372"/>
      <c r="M25" s="381"/>
      <c r="N25" s="381"/>
      <c r="O25" s="358">
        <f t="shared" si="0"/>
        <v>6813480</v>
      </c>
      <c r="P25" s="385">
        <v>13090909</v>
      </c>
      <c r="Q25" s="358">
        <f t="shared" si="2"/>
        <v>6277429</v>
      </c>
      <c r="R25" s="195"/>
      <c r="S25" s="195"/>
      <c r="U25" s="195"/>
    </row>
    <row r="26" spans="1:21" ht="21.75" customHeight="1" x14ac:dyDescent="0.25">
      <c r="A26" s="350">
        <v>19</v>
      </c>
      <c r="B26" s="487">
        <v>45103</v>
      </c>
      <c r="C26" s="366" t="s">
        <v>4916</v>
      </c>
      <c r="D26" s="367" t="s">
        <v>4941</v>
      </c>
      <c r="E26" s="354" t="s">
        <v>563</v>
      </c>
      <c r="F26" s="461"/>
      <c r="G26" s="369">
        <v>67</v>
      </c>
      <c r="H26" s="358">
        <f t="shared" si="4"/>
        <v>1217390</v>
      </c>
      <c r="I26" s="494"/>
      <c r="J26" s="436">
        <v>790000</v>
      </c>
      <c r="K26" s="371"/>
      <c r="L26" s="372"/>
      <c r="M26" s="381"/>
      <c r="N26" s="381"/>
      <c r="O26" s="358">
        <f t="shared" si="0"/>
        <v>2007390</v>
      </c>
      <c r="P26" s="385">
        <v>3500000</v>
      </c>
      <c r="Q26" s="358">
        <f t="shared" si="2"/>
        <v>1492610</v>
      </c>
      <c r="R26" s="195"/>
      <c r="S26" s="195"/>
      <c r="U26" s="195"/>
    </row>
    <row r="27" spans="1:21" ht="21.75" customHeight="1" x14ac:dyDescent="0.25">
      <c r="A27" s="350">
        <v>20</v>
      </c>
      <c r="B27" s="487">
        <v>45104</v>
      </c>
      <c r="C27" s="366" t="s">
        <v>3753</v>
      </c>
      <c r="D27" s="367" t="s">
        <v>4942</v>
      </c>
      <c r="E27" s="354" t="s">
        <v>21</v>
      </c>
      <c r="F27" s="461"/>
      <c r="G27" s="369">
        <v>240</v>
      </c>
      <c r="H27" s="358">
        <f t="shared" si="4"/>
        <v>4360800</v>
      </c>
      <c r="I27" s="494"/>
      <c r="J27" s="436">
        <v>2380000</v>
      </c>
      <c r="K27" s="371"/>
      <c r="L27" s="372"/>
      <c r="M27" s="381"/>
      <c r="N27" s="381"/>
      <c r="O27" s="358">
        <f t="shared" si="0"/>
        <v>6740800</v>
      </c>
      <c r="P27" s="385">
        <v>13090909</v>
      </c>
      <c r="Q27" s="358">
        <f t="shared" si="2"/>
        <v>6350109</v>
      </c>
      <c r="R27" s="195"/>
      <c r="S27" s="195"/>
      <c r="U27" s="195"/>
    </row>
    <row r="28" spans="1:21" ht="21.75" customHeight="1" x14ac:dyDescent="0.25">
      <c r="A28" s="350">
        <v>21</v>
      </c>
      <c r="B28" s="487">
        <v>45105</v>
      </c>
      <c r="C28" s="366" t="s">
        <v>4917</v>
      </c>
      <c r="D28" s="367" t="s">
        <v>4943</v>
      </c>
      <c r="E28" s="354" t="s">
        <v>1212</v>
      </c>
      <c r="F28" s="461"/>
      <c r="G28" s="369">
        <v>258</v>
      </c>
      <c r="H28" s="358">
        <f t="shared" si="4"/>
        <v>4687860</v>
      </c>
      <c r="I28" s="494"/>
      <c r="J28" s="436">
        <v>2380000</v>
      </c>
      <c r="K28" s="371"/>
      <c r="L28" s="372"/>
      <c r="M28" s="381"/>
      <c r="N28" s="381"/>
      <c r="O28" s="358">
        <f t="shared" si="0"/>
        <v>7067860</v>
      </c>
      <c r="P28" s="385">
        <v>13636364</v>
      </c>
      <c r="Q28" s="358">
        <f t="shared" si="2"/>
        <v>6568504</v>
      </c>
      <c r="R28" s="195"/>
      <c r="S28" s="195"/>
      <c r="U28" s="195"/>
    </row>
    <row r="29" spans="1:21" ht="27" customHeight="1" x14ac:dyDescent="0.25">
      <c r="A29" s="374"/>
      <c r="B29" s="488"/>
      <c r="C29" s="609" t="s">
        <v>1273</v>
      </c>
      <c r="D29" s="609"/>
      <c r="E29" s="609"/>
      <c r="F29" s="402"/>
      <c r="G29" s="358"/>
      <c r="H29" s="369"/>
      <c r="I29" s="403"/>
      <c r="J29" s="381"/>
      <c r="K29" s="372">
        <v>1200000</v>
      </c>
      <c r="L29" s="372"/>
      <c r="M29" s="381"/>
      <c r="N29" s="381"/>
      <c r="O29" s="385">
        <f>H29+J29+K29+L29+M29+N29</f>
        <v>1200000</v>
      </c>
      <c r="P29" s="385"/>
      <c r="Q29" s="385"/>
    </row>
    <row r="30" spans="1:21" ht="27" customHeight="1" x14ac:dyDescent="0.25">
      <c r="A30" s="386"/>
      <c r="B30" s="379"/>
      <c r="C30" s="594" t="s">
        <v>4535</v>
      </c>
      <c r="D30" s="595"/>
      <c r="E30" s="596"/>
      <c r="F30" s="402"/>
      <c r="G30" s="381"/>
      <c r="H30" s="369"/>
      <c r="J30" s="381"/>
      <c r="K30" s="388">
        <v>9812000</v>
      </c>
      <c r="L30" s="388"/>
      <c r="M30" s="381"/>
      <c r="N30" s="381"/>
      <c r="O30" s="385">
        <f t="shared" ref="O30:O36" si="5">H30+J30+K30+L30+M30+N30</f>
        <v>9812000</v>
      </c>
      <c r="P30" s="389"/>
      <c r="Q30" s="378"/>
    </row>
    <row r="31" spans="1:21" ht="27" customHeight="1" x14ac:dyDescent="0.25">
      <c r="A31" s="386"/>
      <c r="B31" s="379"/>
      <c r="C31" s="594" t="s">
        <v>4944</v>
      </c>
      <c r="D31" s="595"/>
      <c r="E31" s="596"/>
      <c r="F31" s="402"/>
      <c r="G31" s="381"/>
      <c r="H31" s="369"/>
      <c r="J31" s="381"/>
      <c r="K31" s="388"/>
      <c r="L31" s="388"/>
      <c r="M31" s="381"/>
      <c r="N31" s="388">
        <f>1550000/3</f>
        <v>516666.66666666669</v>
      </c>
      <c r="O31" s="385">
        <f t="shared" si="5"/>
        <v>516666.66666666669</v>
      </c>
      <c r="P31" s="389"/>
      <c r="Q31" s="378"/>
    </row>
    <row r="32" spans="1:21" ht="27" customHeight="1" x14ac:dyDescent="0.25">
      <c r="A32" s="386"/>
      <c r="B32" s="379"/>
      <c r="C32" s="594" t="s">
        <v>4945</v>
      </c>
      <c r="D32" s="595"/>
      <c r="E32" s="596"/>
      <c r="F32" s="402"/>
      <c r="G32" s="381"/>
      <c r="H32" s="369"/>
      <c r="J32" s="381"/>
      <c r="K32" s="388"/>
      <c r="L32" s="388">
        <f>283000/4</f>
        <v>70750</v>
      </c>
      <c r="M32" s="381"/>
      <c r="N32" s="381"/>
      <c r="O32" s="385">
        <f t="shared" si="5"/>
        <v>70750</v>
      </c>
      <c r="P32" s="389"/>
      <c r="Q32" s="378"/>
    </row>
    <row r="33" spans="1:18" ht="27" customHeight="1" x14ac:dyDescent="0.25">
      <c r="A33" s="386"/>
      <c r="B33" s="379"/>
      <c r="C33" s="594" t="s">
        <v>4946</v>
      </c>
      <c r="D33" s="595"/>
      <c r="E33" s="596"/>
      <c r="F33" s="402"/>
      <c r="G33" s="381"/>
      <c r="H33" s="369"/>
      <c r="J33" s="381"/>
      <c r="K33" s="388"/>
      <c r="L33" s="388">
        <v>200000</v>
      </c>
      <c r="M33" s="381"/>
      <c r="N33" s="381"/>
      <c r="O33" s="385">
        <f t="shared" si="5"/>
        <v>200000</v>
      </c>
      <c r="P33" s="389"/>
      <c r="Q33" s="378"/>
    </row>
    <row r="34" spans="1:18" ht="27" customHeight="1" x14ac:dyDescent="0.25">
      <c r="A34" s="386"/>
      <c r="B34" s="379"/>
      <c r="C34" s="594" t="s">
        <v>4947</v>
      </c>
      <c r="D34" s="595"/>
      <c r="E34" s="596"/>
      <c r="F34" s="402"/>
      <c r="G34" s="381"/>
      <c r="H34" s="369"/>
      <c r="J34" s="381"/>
      <c r="K34" s="388"/>
      <c r="L34" s="388">
        <v>1150000</v>
      </c>
      <c r="M34" s="388"/>
      <c r="N34" s="381"/>
      <c r="O34" s="385">
        <f t="shared" si="5"/>
        <v>1150000</v>
      </c>
      <c r="P34" s="389"/>
      <c r="Q34" s="378"/>
    </row>
    <row r="35" spans="1:18" ht="27" customHeight="1" x14ac:dyDescent="0.25">
      <c r="A35" s="386"/>
      <c r="B35" s="379"/>
      <c r="C35" s="594" t="s">
        <v>5015</v>
      </c>
      <c r="D35" s="595"/>
      <c r="E35" s="596"/>
      <c r="F35" s="402"/>
      <c r="G35" s="381"/>
      <c r="H35" s="369"/>
      <c r="J35" s="381"/>
      <c r="K35" s="388"/>
      <c r="L35" s="412">
        <v>979000</v>
      </c>
      <c r="M35" s="388"/>
      <c r="N35" s="381"/>
      <c r="O35" s="385">
        <f t="shared" si="5"/>
        <v>979000</v>
      </c>
      <c r="P35" s="389"/>
      <c r="Q35" s="378"/>
    </row>
    <row r="36" spans="1:18" ht="30.75" customHeight="1" x14ac:dyDescent="0.25">
      <c r="A36" s="386"/>
      <c r="B36" s="391"/>
      <c r="C36" s="579" t="s">
        <v>4668</v>
      </c>
      <c r="D36" s="580"/>
      <c r="E36" s="581"/>
      <c r="F36" s="461"/>
      <c r="G36" s="381"/>
      <c r="H36" s="369"/>
      <c r="I36" s="403"/>
      <c r="J36" s="381"/>
      <c r="K36" s="394">
        <v>8000000</v>
      </c>
      <c r="L36" s="394"/>
      <c r="M36" s="381"/>
      <c r="N36" s="381"/>
      <c r="O36" s="385">
        <f t="shared" si="5"/>
        <v>8000000</v>
      </c>
      <c r="P36" s="389"/>
      <c r="Q36" s="378"/>
    </row>
    <row r="37" spans="1:18" x14ac:dyDescent="0.25">
      <c r="A37" s="576" t="s">
        <v>19</v>
      </c>
      <c r="B37" s="577"/>
      <c r="C37" s="577"/>
      <c r="D37" s="577"/>
      <c r="E37" s="577"/>
      <c r="F37" s="578"/>
      <c r="G37" s="395">
        <f>SUM(G8:G36)</f>
        <v>3149</v>
      </c>
      <c r="H37" s="396">
        <f t="shared" ref="H37:P37" si="6">SUM(H7:H36)</f>
        <v>56823250</v>
      </c>
      <c r="I37" s="396">
        <f t="shared" si="6"/>
        <v>0</v>
      </c>
      <c r="J37" s="396">
        <f t="shared" si="6"/>
        <v>28900000</v>
      </c>
      <c r="K37" s="396">
        <f t="shared" si="6"/>
        <v>19012000</v>
      </c>
      <c r="L37" s="396">
        <f t="shared" si="6"/>
        <v>2399750</v>
      </c>
      <c r="M37" s="396">
        <f t="shared" si="6"/>
        <v>0</v>
      </c>
      <c r="N37" s="396">
        <f t="shared" si="6"/>
        <v>516666.66666666669</v>
      </c>
      <c r="O37" s="396">
        <f t="shared" si="6"/>
        <v>107651666.66666667</v>
      </c>
      <c r="P37" s="397">
        <f t="shared" si="6"/>
        <v>160395455</v>
      </c>
      <c r="Q37" s="396">
        <f>P37-O37</f>
        <v>52743788.333333328</v>
      </c>
      <c r="R37" s="195"/>
    </row>
    <row r="38" spans="1:18" x14ac:dyDescent="0.25">
      <c r="P38" s="294"/>
      <c r="Q38" s="295"/>
    </row>
    <row r="39" spans="1:18" x14ac:dyDescent="0.25">
      <c r="B39"/>
      <c r="G39"/>
      <c r="H39" s="294"/>
      <c r="P39" s="296" t="s">
        <v>1225</v>
      </c>
      <c r="Q39" s="295">
        <f>'05.2023'!Q38+'06.2023'!Q37</f>
        <v>198984245.33333331</v>
      </c>
    </row>
    <row r="40" spans="1:18" x14ac:dyDescent="0.25">
      <c r="B40"/>
      <c r="G40"/>
      <c r="Q40" s="294"/>
    </row>
    <row r="41" spans="1:18" x14ac:dyDescent="0.25">
      <c r="B41"/>
      <c r="G41"/>
      <c r="R41" s="195"/>
    </row>
  </sheetData>
  <mergeCells count="13">
    <mergeCell ref="A37:F37"/>
    <mergeCell ref="C31:E31"/>
    <mergeCell ref="C32:E32"/>
    <mergeCell ref="C33:E33"/>
    <mergeCell ref="C34:E34"/>
    <mergeCell ref="C36:E36"/>
    <mergeCell ref="C35:E35"/>
    <mergeCell ref="C30:E30"/>
    <mergeCell ref="A1:Q1"/>
    <mergeCell ref="A2:Q2"/>
    <mergeCell ref="A3:Q3"/>
    <mergeCell ref="G5:N5"/>
    <mergeCell ref="C29:E29"/>
  </mergeCells>
  <pageMargins left="0.7" right="0.7" top="0.75" bottom="0.75" header="0.3" footer="0.3"/>
  <pageSetup paperSize="9" orientation="portrait" horizontalDpi="0" verticalDpi="0"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B6D7D-366E-420B-B13B-C6E790272353}">
  <dimension ref="A1:U37"/>
  <sheetViews>
    <sheetView topLeftCell="C20" workbookViewId="0">
      <selection activeCell="M29" sqref="M29"/>
    </sheetView>
  </sheetViews>
  <sheetFormatPr defaultColWidth="9.140625" defaultRowHeight="15" x14ac:dyDescent="0.25"/>
  <cols>
    <col min="1" max="1" width="4.5703125" customWidth="1"/>
    <col min="2" max="2" width="9.28515625" style="332" bestFit="1" customWidth="1"/>
    <col min="3" max="3" width="33.42578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21" ht="23.25" x14ac:dyDescent="0.25">
      <c r="A1" s="551" t="s">
        <v>0</v>
      </c>
      <c r="B1" s="551"/>
      <c r="C1" s="551"/>
      <c r="D1" s="551"/>
      <c r="E1" s="551"/>
      <c r="F1" s="551"/>
      <c r="G1" s="551"/>
      <c r="H1" s="551"/>
      <c r="I1" s="551"/>
      <c r="J1" s="551"/>
      <c r="K1" s="551"/>
      <c r="L1" s="551"/>
      <c r="M1" s="551"/>
      <c r="N1" s="551"/>
      <c r="O1" s="551"/>
      <c r="P1" s="551"/>
      <c r="Q1" s="551"/>
    </row>
    <row r="2" spans="1:21" ht="15.75" x14ac:dyDescent="0.25">
      <c r="A2" s="550" t="s">
        <v>103</v>
      </c>
      <c r="B2" s="550"/>
      <c r="C2" s="550"/>
      <c r="D2" s="550"/>
      <c r="E2" s="550"/>
      <c r="F2" s="550"/>
      <c r="G2" s="550"/>
      <c r="H2" s="550"/>
      <c r="I2" s="550"/>
      <c r="J2" s="550"/>
      <c r="K2" s="550"/>
      <c r="L2" s="550"/>
      <c r="M2" s="550"/>
      <c r="N2" s="550"/>
      <c r="O2" s="550"/>
      <c r="P2" s="550"/>
      <c r="Q2" s="550"/>
    </row>
    <row r="3" spans="1:21" ht="15.75" x14ac:dyDescent="0.25">
      <c r="A3" s="550" t="s">
        <v>4980</v>
      </c>
      <c r="B3" s="550"/>
      <c r="C3" s="550"/>
      <c r="D3" s="550"/>
      <c r="E3" s="550"/>
      <c r="F3" s="550"/>
      <c r="G3" s="550"/>
      <c r="H3" s="550"/>
      <c r="I3" s="550"/>
      <c r="J3" s="550"/>
      <c r="K3" s="550"/>
      <c r="L3" s="550"/>
      <c r="M3" s="550"/>
      <c r="N3" s="550"/>
      <c r="O3" s="550"/>
      <c r="P3" s="550"/>
      <c r="Q3" s="550"/>
    </row>
    <row r="4" spans="1:21" x14ac:dyDescent="0.25">
      <c r="A4" s="74"/>
      <c r="B4" s="99"/>
      <c r="C4" s="74"/>
      <c r="D4" s="74"/>
      <c r="E4" s="74" t="s">
        <v>194</v>
      </c>
      <c r="F4" s="74"/>
      <c r="G4" s="257"/>
      <c r="H4" s="258"/>
      <c r="I4" s="258"/>
      <c r="J4" s="258"/>
      <c r="K4" s="258"/>
      <c r="L4" s="91"/>
      <c r="M4" s="258"/>
      <c r="N4" s="258"/>
      <c r="O4" s="258"/>
      <c r="P4" s="258"/>
      <c r="Q4" s="258"/>
    </row>
    <row r="5" spans="1:21"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21"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21" x14ac:dyDescent="0.25">
      <c r="A7" s="75"/>
      <c r="B7" s="100"/>
      <c r="C7" s="88"/>
      <c r="D7" s="88"/>
      <c r="E7" s="134"/>
      <c r="F7" s="75"/>
      <c r="G7" s="264"/>
      <c r="H7" s="264"/>
      <c r="I7" s="264"/>
      <c r="J7" s="264"/>
      <c r="K7" s="264"/>
      <c r="L7" s="308"/>
      <c r="M7" s="264"/>
      <c r="N7" s="264"/>
      <c r="O7" s="265"/>
      <c r="P7" s="265"/>
      <c r="Q7" s="264"/>
    </row>
    <row r="8" spans="1:21" ht="21.75" customHeight="1" x14ac:dyDescent="0.25">
      <c r="A8" s="470">
        <v>1</v>
      </c>
      <c r="B8" s="472">
        <v>45107</v>
      </c>
      <c r="C8" s="366" t="s">
        <v>4948</v>
      </c>
      <c r="D8" s="367" t="s">
        <v>4959</v>
      </c>
      <c r="E8" s="354" t="s">
        <v>117</v>
      </c>
      <c r="F8" s="368"/>
      <c r="G8" s="369">
        <v>72</v>
      </c>
      <c r="H8" s="358">
        <f>G8*18170</f>
        <v>1308240</v>
      </c>
      <c r="I8" s="358"/>
      <c r="J8" s="414">
        <v>790000</v>
      </c>
      <c r="K8" s="371"/>
      <c r="L8" s="372"/>
      <c r="M8" s="358"/>
      <c r="N8" s="358"/>
      <c r="O8" s="358">
        <f t="shared" ref="O8:O26" si="0">H8+J8+K8+L8+M8+N8</f>
        <v>2098240</v>
      </c>
      <c r="P8" s="358">
        <v>3600000</v>
      </c>
      <c r="Q8" s="358">
        <f>P8-O8</f>
        <v>1501760</v>
      </c>
      <c r="R8" s="195"/>
      <c r="S8" s="195"/>
    </row>
    <row r="9" spans="1:21" ht="21.75" customHeight="1" x14ac:dyDescent="0.25">
      <c r="A9" s="350">
        <v>2</v>
      </c>
      <c r="B9" s="482">
        <v>45110</v>
      </c>
      <c r="C9" s="366" t="s">
        <v>4949</v>
      </c>
      <c r="D9" s="415" t="s">
        <v>4960</v>
      </c>
      <c r="E9" s="354" t="s">
        <v>4922</v>
      </c>
      <c r="F9" s="368"/>
      <c r="G9" s="369">
        <v>13</v>
      </c>
      <c r="H9" s="358">
        <f>G9*18160</f>
        <v>236080</v>
      </c>
      <c r="I9" s="358"/>
      <c r="J9" s="414">
        <v>200000</v>
      </c>
      <c r="K9" s="371"/>
      <c r="L9" s="372"/>
      <c r="M9" s="358"/>
      <c r="N9" s="358"/>
      <c r="O9" s="358">
        <f t="shared" si="0"/>
        <v>436080</v>
      </c>
      <c r="P9" s="385">
        <v>1100000</v>
      </c>
      <c r="Q9" s="358">
        <f t="shared" ref="Q9:Q26" si="1">P9-O9</f>
        <v>663920</v>
      </c>
      <c r="R9" s="195"/>
      <c r="S9" s="195"/>
    </row>
    <row r="10" spans="1:21" ht="21.75" customHeight="1" x14ac:dyDescent="0.25">
      <c r="A10" s="350">
        <v>3</v>
      </c>
      <c r="B10" s="482">
        <v>45111</v>
      </c>
      <c r="C10" s="366" t="s">
        <v>4950</v>
      </c>
      <c r="D10" s="367" t="s">
        <v>4961</v>
      </c>
      <c r="E10" s="354" t="s">
        <v>4504</v>
      </c>
      <c r="F10" s="368"/>
      <c r="G10" s="369">
        <v>378</v>
      </c>
      <c r="H10" s="358">
        <f t="shared" ref="H10:H13" si="2">G10*18160</f>
        <v>6864480</v>
      </c>
      <c r="I10" s="358"/>
      <c r="J10" s="414">
        <v>3870000</v>
      </c>
      <c r="K10" s="371"/>
      <c r="L10" s="372"/>
      <c r="M10" s="358"/>
      <c r="N10" s="358"/>
      <c r="O10" s="358">
        <f t="shared" si="0"/>
        <v>10734480</v>
      </c>
      <c r="P10" s="385">
        <v>19650000</v>
      </c>
      <c r="Q10" s="358">
        <f t="shared" si="1"/>
        <v>8915520</v>
      </c>
      <c r="R10" s="195"/>
      <c r="S10" s="195"/>
    </row>
    <row r="11" spans="1:21" ht="21.75" customHeight="1" x14ac:dyDescent="0.25">
      <c r="A11" s="350">
        <v>4</v>
      </c>
      <c r="B11" s="482">
        <v>45112</v>
      </c>
      <c r="C11" s="366" t="s">
        <v>4951</v>
      </c>
      <c r="D11" s="367" t="s">
        <v>4962</v>
      </c>
      <c r="E11" s="354" t="s">
        <v>4699</v>
      </c>
      <c r="F11" s="368"/>
      <c r="G11" s="369">
        <v>397</v>
      </c>
      <c r="H11" s="358">
        <f t="shared" si="2"/>
        <v>7209520</v>
      </c>
      <c r="I11" s="358"/>
      <c r="J11" s="414">
        <v>3870000</v>
      </c>
      <c r="K11" s="371"/>
      <c r="L11" s="372"/>
      <c r="M11" s="358"/>
      <c r="N11" s="358"/>
      <c r="O11" s="358">
        <f t="shared" si="0"/>
        <v>11079520</v>
      </c>
      <c r="P11" s="385">
        <v>20300000</v>
      </c>
      <c r="Q11" s="358">
        <f t="shared" si="1"/>
        <v>9220480</v>
      </c>
      <c r="R11" s="195"/>
      <c r="S11" s="195"/>
      <c r="U11" s="195"/>
    </row>
    <row r="12" spans="1:21" ht="21.75" customHeight="1" x14ac:dyDescent="0.25">
      <c r="A12" s="350">
        <v>5</v>
      </c>
      <c r="B12" s="482">
        <v>45114</v>
      </c>
      <c r="C12" s="366" t="s">
        <v>1897</v>
      </c>
      <c r="D12" s="367" t="s">
        <v>4963</v>
      </c>
      <c r="E12" s="354" t="s">
        <v>4283</v>
      </c>
      <c r="F12" s="368"/>
      <c r="G12" s="369">
        <v>273</v>
      </c>
      <c r="H12" s="358">
        <f t="shared" si="2"/>
        <v>4957680</v>
      </c>
      <c r="I12" s="358"/>
      <c r="J12" s="414">
        <v>3030000</v>
      </c>
      <c r="K12" s="371"/>
      <c r="L12" s="372"/>
      <c r="M12" s="358"/>
      <c r="N12" s="358"/>
      <c r="O12" s="358">
        <f t="shared" si="0"/>
        <v>7987680</v>
      </c>
      <c r="P12" s="385">
        <v>13500000</v>
      </c>
      <c r="Q12" s="358">
        <f t="shared" si="1"/>
        <v>5512320</v>
      </c>
      <c r="R12" s="195"/>
      <c r="S12" s="195"/>
    </row>
    <row r="13" spans="1:21" ht="21.75" customHeight="1" x14ac:dyDescent="0.25">
      <c r="A13" s="350">
        <v>6</v>
      </c>
      <c r="B13" s="482">
        <v>45117</v>
      </c>
      <c r="C13" s="366" t="s">
        <v>1898</v>
      </c>
      <c r="D13" s="367" t="s">
        <v>4964</v>
      </c>
      <c r="E13" s="354" t="s">
        <v>286</v>
      </c>
      <c r="F13" s="368"/>
      <c r="G13" s="369">
        <v>68</v>
      </c>
      <c r="H13" s="358">
        <f t="shared" si="2"/>
        <v>1234880</v>
      </c>
      <c r="I13" s="358"/>
      <c r="J13" s="414">
        <v>790000</v>
      </c>
      <c r="K13" s="371"/>
      <c r="L13" s="372"/>
      <c r="M13" s="358"/>
      <c r="N13" s="358"/>
      <c r="O13" s="358">
        <f t="shared" si="0"/>
        <v>2024880</v>
      </c>
      <c r="P13" s="385">
        <v>3670000</v>
      </c>
      <c r="Q13" s="358">
        <f t="shared" si="1"/>
        <v>1645120</v>
      </c>
      <c r="R13" s="195"/>
      <c r="S13" s="195"/>
    </row>
    <row r="14" spans="1:21" ht="21.75" customHeight="1" x14ac:dyDescent="0.25">
      <c r="A14" s="350">
        <v>7</v>
      </c>
      <c r="B14" s="482">
        <v>45119</v>
      </c>
      <c r="C14" s="366" t="s">
        <v>2587</v>
      </c>
      <c r="D14" s="367" t="s">
        <v>4965</v>
      </c>
      <c r="E14" s="354" t="s">
        <v>1152</v>
      </c>
      <c r="F14" s="368"/>
      <c r="G14" s="369">
        <v>66</v>
      </c>
      <c r="H14" s="358">
        <f>G14*18610</f>
        <v>1228260</v>
      </c>
      <c r="I14" s="358"/>
      <c r="J14" s="414">
        <v>790000</v>
      </c>
      <c r="K14" s="371"/>
      <c r="L14" s="372"/>
      <c r="M14" s="358"/>
      <c r="N14" s="358"/>
      <c r="O14" s="358">
        <f t="shared" si="0"/>
        <v>2018260</v>
      </c>
      <c r="P14" s="385">
        <v>3600000</v>
      </c>
      <c r="Q14" s="358">
        <f t="shared" si="1"/>
        <v>1581740</v>
      </c>
      <c r="R14" s="195"/>
      <c r="S14" s="195"/>
    </row>
    <row r="15" spans="1:21" ht="21.75" customHeight="1" x14ac:dyDescent="0.25">
      <c r="A15" s="350">
        <v>8</v>
      </c>
      <c r="B15" s="482">
        <v>45119</v>
      </c>
      <c r="C15" s="366" t="s">
        <v>4952</v>
      </c>
      <c r="D15" s="367" t="s">
        <v>4966</v>
      </c>
      <c r="E15" s="354" t="s">
        <v>4977</v>
      </c>
      <c r="F15" s="368"/>
      <c r="G15" s="369">
        <v>144</v>
      </c>
      <c r="H15" s="358">
        <f t="shared" ref="H15:H19" si="3">G15*18610</f>
        <v>2679840</v>
      </c>
      <c r="I15" s="358"/>
      <c r="J15" s="414">
        <v>1130000</v>
      </c>
      <c r="K15" s="371"/>
      <c r="L15" s="372"/>
      <c r="M15" s="358"/>
      <c r="N15" s="358"/>
      <c r="O15" s="358">
        <f t="shared" si="0"/>
        <v>3809840</v>
      </c>
      <c r="P15" s="385">
        <v>6400000</v>
      </c>
      <c r="Q15" s="358">
        <f t="shared" si="1"/>
        <v>2590160</v>
      </c>
      <c r="R15" s="195"/>
      <c r="S15" s="195"/>
    </row>
    <row r="16" spans="1:21" ht="21.75" customHeight="1" x14ac:dyDescent="0.25">
      <c r="A16" s="350">
        <v>9</v>
      </c>
      <c r="B16" s="482">
        <v>45121</v>
      </c>
      <c r="C16" s="366" t="s">
        <v>1903</v>
      </c>
      <c r="D16" s="367" t="s">
        <v>4967</v>
      </c>
      <c r="E16" s="354" t="s">
        <v>4922</v>
      </c>
      <c r="F16" s="368"/>
      <c r="G16" s="369">
        <v>21</v>
      </c>
      <c r="H16" s="358">
        <f t="shared" si="3"/>
        <v>390810</v>
      </c>
      <c r="I16" s="358"/>
      <c r="J16" s="414">
        <v>200000</v>
      </c>
      <c r="K16" s="371"/>
      <c r="L16" s="372"/>
      <c r="M16" s="358"/>
      <c r="N16" s="358"/>
      <c r="O16" s="358">
        <f t="shared" si="0"/>
        <v>590810</v>
      </c>
      <c r="P16" s="385">
        <v>1400000</v>
      </c>
      <c r="Q16" s="358">
        <f t="shared" si="1"/>
        <v>809190</v>
      </c>
      <c r="R16" s="195"/>
      <c r="S16" s="195"/>
      <c r="U16" s="195"/>
    </row>
    <row r="17" spans="1:21" ht="21.75" customHeight="1" x14ac:dyDescent="0.25">
      <c r="A17" s="350">
        <v>10</v>
      </c>
      <c r="B17" s="482">
        <v>45122</v>
      </c>
      <c r="C17" s="366" t="s">
        <v>4953</v>
      </c>
      <c r="D17" s="367" t="s">
        <v>4968</v>
      </c>
      <c r="E17" s="354" t="s">
        <v>2589</v>
      </c>
      <c r="F17" s="368"/>
      <c r="G17" s="369">
        <v>84</v>
      </c>
      <c r="H17" s="358">
        <f t="shared" si="3"/>
        <v>1563240</v>
      </c>
      <c r="I17" s="358"/>
      <c r="J17" s="414">
        <v>430000</v>
      </c>
      <c r="K17" s="371"/>
      <c r="L17" s="372"/>
      <c r="M17" s="358"/>
      <c r="N17" s="358"/>
      <c r="O17" s="358">
        <f t="shared" si="0"/>
        <v>1993240</v>
      </c>
      <c r="P17" s="385">
        <v>4200000</v>
      </c>
      <c r="Q17" s="358">
        <f t="shared" si="1"/>
        <v>2206760</v>
      </c>
      <c r="R17" s="195"/>
      <c r="S17" s="195"/>
    </row>
    <row r="18" spans="1:21" ht="21.75" customHeight="1" x14ac:dyDescent="0.25">
      <c r="A18" s="470">
        <v>11</v>
      </c>
      <c r="B18" s="495">
        <v>45124</v>
      </c>
      <c r="C18" s="496" t="s">
        <v>4954</v>
      </c>
      <c r="D18" s="483" t="s">
        <v>4979</v>
      </c>
      <c r="E18" s="484" t="s">
        <v>850</v>
      </c>
      <c r="F18" s="497"/>
      <c r="G18" s="398">
        <v>123</v>
      </c>
      <c r="H18" s="358">
        <f t="shared" si="3"/>
        <v>2289030</v>
      </c>
      <c r="I18" s="498"/>
      <c r="J18" s="436">
        <v>790000</v>
      </c>
      <c r="K18" s="499"/>
      <c r="L18" s="438"/>
      <c r="M18" s="409"/>
      <c r="N18" s="409"/>
      <c r="O18" s="426">
        <f t="shared" si="0"/>
        <v>3079030</v>
      </c>
      <c r="P18" s="481">
        <v>5220370</v>
      </c>
      <c r="Q18" s="426">
        <f t="shared" si="1"/>
        <v>2141340</v>
      </c>
      <c r="R18" s="195"/>
      <c r="S18" s="195"/>
    </row>
    <row r="19" spans="1:21" ht="21.75" customHeight="1" x14ac:dyDescent="0.25">
      <c r="A19" s="350">
        <v>12</v>
      </c>
      <c r="B19" s="487">
        <v>45126</v>
      </c>
      <c r="C19" s="366" t="s">
        <v>1238</v>
      </c>
      <c r="D19" s="367" t="s">
        <v>4969</v>
      </c>
      <c r="E19" s="354" t="s">
        <v>24</v>
      </c>
      <c r="F19" s="461"/>
      <c r="G19" s="369">
        <v>180</v>
      </c>
      <c r="H19" s="358">
        <f t="shared" si="3"/>
        <v>3349800</v>
      </c>
      <c r="I19" s="494"/>
      <c r="J19" s="436">
        <v>1530000</v>
      </c>
      <c r="K19" s="371"/>
      <c r="L19" s="372"/>
      <c r="M19" s="381"/>
      <c r="N19" s="381"/>
      <c r="O19" s="358">
        <f t="shared" si="0"/>
        <v>4879800</v>
      </c>
      <c r="P19" s="385">
        <v>8045455</v>
      </c>
      <c r="Q19" s="358">
        <f t="shared" si="1"/>
        <v>3165655</v>
      </c>
      <c r="R19" s="195"/>
      <c r="S19" s="195"/>
    </row>
    <row r="20" spans="1:21" ht="21.75" customHeight="1" x14ac:dyDescent="0.25">
      <c r="A20" s="350">
        <v>13</v>
      </c>
      <c r="B20" s="487">
        <v>45127</v>
      </c>
      <c r="C20" s="366" t="s">
        <v>457</v>
      </c>
      <c r="D20" s="367" t="s">
        <v>4970</v>
      </c>
      <c r="E20" s="354" t="s">
        <v>4978</v>
      </c>
      <c r="F20" s="461"/>
      <c r="G20" s="369">
        <v>161</v>
      </c>
      <c r="H20" s="358">
        <f>G20*19500</f>
        <v>3139500</v>
      </c>
      <c r="I20" s="494"/>
      <c r="J20" s="436">
        <v>1180000</v>
      </c>
      <c r="K20" s="371"/>
      <c r="L20" s="372"/>
      <c r="M20" s="381"/>
      <c r="N20" s="381"/>
      <c r="O20" s="358">
        <f t="shared" si="0"/>
        <v>4319500</v>
      </c>
      <c r="P20" s="385">
        <v>7500000</v>
      </c>
      <c r="Q20" s="358">
        <f t="shared" si="1"/>
        <v>3180500</v>
      </c>
      <c r="R20" s="195"/>
      <c r="S20" s="195"/>
    </row>
    <row r="21" spans="1:21" ht="21.75" customHeight="1" x14ac:dyDescent="0.25">
      <c r="A21" s="350">
        <v>14</v>
      </c>
      <c r="B21" s="487">
        <v>45129</v>
      </c>
      <c r="C21" s="366" t="s">
        <v>4955</v>
      </c>
      <c r="D21" s="367" t="s">
        <v>4971</v>
      </c>
      <c r="E21" s="354" t="s">
        <v>4849</v>
      </c>
      <c r="F21" s="461"/>
      <c r="G21" s="369">
        <v>44</v>
      </c>
      <c r="H21" s="358">
        <f t="shared" ref="H21:H26" si="4">G21*19500</f>
        <v>858000</v>
      </c>
      <c r="I21" s="494"/>
      <c r="J21" s="436">
        <v>430000</v>
      </c>
      <c r="K21" s="371"/>
      <c r="L21" s="372"/>
      <c r="M21" s="381"/>
      <c r="N21" s="381"/>
      <c r="O21" s="358">
        <f t="shared" si="0"/>
        <v>1288000</v>
      </c>
      <c r="P21" s="385">
        <v>2400000</v>
      </c>
      <c r="Q21" s="358">
        <f t="shared" si="1"/>
        <v>1112000</v>
      </c>
      <c r="R21" s="195"/>
      <c r="S21" s="195"/>
    </row>
    <row r="22" spans="1:21" ht="21.75" customHeight="1" x14ac:dyDescent="0.25">
      <c r="A22" s="350">
        <v>15</v>
      </c>
      <c r="B22" s="487">
        <v>45131</v>
      </c>
      <c r="C22" s="366" t="s">
        <v>1242</v>
      </c>
      <c r="D22" s="367" t="s">
        <v>4972</v>
      </c>
      <c r="E22" s="354" t="s">
        <v>4504</v>
      </c>
      <c r="F22" s="461"/>
      <c r="G22" s="369">
        <v>382</v>
      </c>
      <c r="H22" s="358">
        <f t="shared" si="4"/>
        <v>7449000</v>
      </c>
      <c r="I22" s="494"/>
      <c r="J22" s="436">
        <v>3870000</v>
      </c>
      <c r="K22" s="371"/>
      <c r="L22" s="372"/>
      <c r="M22" s="381"/>
      <c r="N22" s="381"/>
      <c r="O22" s="358">
        <f t="shared" si="0"/>
        <v>11319000</v>
      </c>
      <c r="P22" s="385">
        <v>19650000</v>
      </c>
      <c r="Q22" s="358">
        <f t="shared" si="1"/>
        <v>8331000</v>
      </c>
      <c r="R22" s="195"/>
      <c r="S22" s="195"/>
    </row>
    <row r="23" spans="1:21" ht="21.75" customHeight="1" x14ac:dyDescent="0.25">
      <c r="A23" s="350">
        <v>16</v>
      </c>
      <c r="B23" s="487">
        <v>45133</v>
      </c>
      <c r="C23" s="366" t="s">
        <v>4956</v>
      </c>
      <c r="D23" s="367" t="s">
        <v>4973</v>
      </c>
      <c r="E23" s="354" t="s">
        <v>21</v>
      </c>
      <c r="F23" s="461"/>
      <c r="G23" s="369">
        <v>247</v>
      </c>
      <c r="H23" s="358">
        <f t="shared" si="4"/>
        <v>4816500</v>
      </c>
      <c r="I23" s="494"/>
      <c r="J23" s="436">
        <v>2380000</v>
      </c>
      <c r="K23" s="371"/>
      <c r="L23" s="372"/>
      <c r="M23" s="381"/>
      <c r="N23" s="381"/>
      <c r="O23" s="358">
        <f t="shared" si="0"/>
        <v>7196500</v>
      </c>
      <c r="P23" s="385">
        <v>12400000</v>
      </c>
      <c r="Q23" s="358">
        <f t="shared" si="1"/>
        <v>5203500</v>
      </c>
      <c r="R23" s="195"/>
      <c r="S23" s="195"/>
    </row>
    <row r="24" spans="1:21" ht="21.75" customHeight="1" x14ac:dyDescent="0.25">
      <c r="A24" s="350">
        <v>17</v>
      </c>
      <c r="B24" s="487">
        <v>45134</v>
      </c>
      <c r="C24" s="366" t="s">
        <v>1245</v>
      </c>
      <c r="D24" s="367" t="s">
        <v>4974</v>
      </c>
      <c r="E24" s="354" t="s">
        <v>2589</v>
      </c>
      <c r="F24" s="461"/>
      <c r="G24" s="369">
        <v>90</v>
      </c>
      <c r="H24" s="358">
        <f t="shared" si="4"/>
        <v>1755000</v>
      </c>
      <c r="I24" s="494"/>
      <c r="J24" s="436">
        <v>610000</v>
      </c>
      <c r="K24" s="371"/>
      <c r="L24" s="372"/>
      <c r="M24" s="381"/>
      <c r="N24" s="381"/>
      <c r="O24" s="358">
        <f t="shared" si="0"/>
        <v>2365000</v>
      </c>
      <c r="P24" s="385">
        <v>3900000</v>
      </c>
      <c r="Q24" s="358">
        <f t="shared" si="1"/>
        <v>1535000</v>
      </c>
      <c r="R24" s="195"/>
      <c r="S24" s="195"/>
    </row>
    <row r="25" spans="1:21" ht="21.75" customHeight="1" x14ac:dyDescent="0.25">
      <c r="A25" s="350">
        <v>18</v>
      </c>
      <c r="B25" s="487">
        <v>45134</v>
      </c>
      <c r="C25" s="366" t="s">
        <v>4957</v>
      </c>
      <c r="D25" s="367" t="s">
        <v>4975</v>
      </c>
      <c r="E25" s="354" t="s">
        <v>4430</v>
      </c>
      <c r="F25" s="461"/>
      <c r="G25" s="369">
        <v>109</v>
      </c>
      <c r="H25" s="358">
        <f t="shared" si="4"/>
        <v>2125500</v>
      </c>
      <c r="I25" s="494"/>
      <c r="J25" s="436">
        <v>830000</v>
      </c>
      <c r="K25" s="371"/>
      <c r="L25" s="372"/>
      <c r="M25" s="381"/>
      <c r="N25" s="381"/>
      <c r="O25" s="358">
        <f t="shared" si="0"/>
        <v>2955500</v>
      </c>
      <c r="P25" s="385">
        <v>4800000</v>
      </c>
      <c r="Q25" s="358">
        <f t="shared" si="1"/>
        <v>1844500</v>
      </c>
      <c r="R25" s="195"/>
      <c r="S25" s="195"/>
      <c r="U25" s="195"/>
    </row>
    <row r="26" spans="1:21" ht="21.75" customHeight="1" x14ac:dyDescent="0.25">
      <c r="A26" s="350">
        <v>19</v>
      </c>
      <c r="B26" s="487">
        <v>45138</v>
      </c>
      <c r="C26" s="366" t="s">
        <v>4958</v>
      </c>
      <c r="D26" s="367" t="s">
        <v>4976</v>
      </c>
      <c r="E26" s="354" t="s">
        <v>21</v>
      </c>
      <c r="F26" s="461"/>
      <c r="G26" s="369">
        <v>240</v>
      </c>
      <c r="H26" s="358">
        <f t="shared" si="4"/>
        <v>4680000</v>
      </c>
      <c r="I26" s="494"/>
      <c r="J26" s="436">
        <v>2380000</v>
      </c>
      <c r="K26" s="371"/>
      <c r="L26" s="372"/>
      <c r="M26" s="381"/>
      <c r="N26" s="381"/>
      <c r="O26" s="358">
        <f t="shared" si="0"/>
        <v>7060000</v>
      </c>
      <c r="P26" s="385">
        <v>13101852</v>
      </c>
      <c r="Q26" s="358">
        <f t="shared" si="1"/>
        <v>6041852</v>
      </c>
      <c r="R26" s="195"/>
      <c r="S26" s="195"/>
      <c r="U26" s="195"/>
    </row>
    <row r="27" spans="1:21" ht="27" customHeight="1" x14ac:dyDescent="0.25">
      <c r="A27" s="374"/>
      <c r="B27" s="488"/>
      <c r="C27" s="609" t="s">
        <v>1273</v>
      </c>
      <c r="D27" s="609"/>
      <c r="E27" s="609"/>
      <c r="F27" s="402"/>
      <c r="G27" s="358"/>
      <c r="H27" s="369"/>
      <c r="I27" s="403"/>
      <c r="J27" s="381"/>
      <c r="K27" s="372">
        <v>1200000</v>
      </c>
      <c r="L27" s="372"/>
      <c r="M27" s="381"/>
      <c r="N27" s="381"/>
      <c r="O27" s="385">
        <f>H27+J27+K27+L27+M27+N27</f>
        <v>1200000</v>
      </c>
      <c r="P27" s="385"/>
      <c r="Q27" s="385"/>
    </row>
    <row r="28" spans="1:21" ht="27" customHeight="1" x14ac:dyDescent="0.25">
      <c r="A28" s="386"/>
      <c r="B28" s="379"/>
      <c r="C28" s="594" t="s">
        <v>4535</v>
      </c>
      <c r="D28" s="595"/>
      <c r="E28" s="596"/>
      <c r="F28" s="402"/>
      <c r="G28" s="381"/>
      <c r="H28" s="369"/>
      <c r="J28" s="381"/>
      <c r="K28" s="388">
        <f>9924000+28000</f>
        <v>9952000</v>
      </c>
      <c r="L28" s="388"/>
      <c r="M28" s="381"/>
      <c r="N28" s="381"/>
      <c r="O28" s="385">
        <f t="shared" ref="O28:O32" si="5">H28+J28+K28+L28+M28+N28</f>
        <v>9952000</v>
      </c>
      <c r="P28" s="389"/>
      <c r="Q28" s="378"/>
    </row>
    <row r="29" spans="1:21" ht="27" customHeight="1" x14ac:dyDescent="0.25">
      <c r="A29" s="386"/>
      <c r="B29" s="379"/>
      <c r="C29" s="594" t="s">
        <v>4981</v>
      </c>
      <c r="D29" s="595"/>
      <c r="E29" s="596"/>
      <c r="F29" s="402"/>
      <c r="G29" s="381"/>
      <c r="H29" s="369"/>
      <c r="J29" s="381"/>
      <c r="K29" s="388"/>
      <c r="L29" s="388">
        <v>120000</v>
      </c>
      <c r="M29" s="381"/>
      <c r="N29" s="388"/>
      <c r="O29" s="385">
        <f t="shared" si="5"/>
        <v>120000</v>
      </c>
      <c r="P29" s="389"/>
      <c r="Q29" s="378"/>
    </row>
    <row r="30" spans="1:21" ht="27" customHeight="1" x14ac:dyDescent="0.25">
      <c r="A30" s="386"/>
      <c r="B30" s="379"/>
      <c r="C30" s="594" t="s">
        <v>4982</v>
      </c>
      <c r="D30" s="595"/>
      <c r="E30" s="596"/>
      <c r="F30" s="402"/>
      <c r="G30" s="381"/>
      <c r="H30" s="369"/>
      <c r="J30" s="381"/>
      <c r="K30" s="388"/>
      <c r="L30" s="388">
        <v>300000</v>
      </c>
      <c r="M30" s="381"/>
      <c r="N30" s="381"/>
      <c r="O30" s="385">
        <f t="shared" si="5"/>
        <v>300000</v>
      </c>
      <c r="P30" s="389"/>
      <c r="Q30" s="378"/>
    </row>
    <row r="31" spans="1:21" ht="27" customHeight="1" x14ac:dyDescent="0.25">
      <c r="A31" s="386"/>
      <c r="B31" s="379"/>
      <c r="C31" s="594" t="s">
        <v>4983</v>
      </c>
      <c r="D31" s="595"/>
      <c r="E31" s="596"/>
      <c r="F31" s="402"/>
      <c r="G31" s="381"/>
      <c r="H31" s="369"/>
      <c r="J31" s="381"/>
      <c r="K31" s="388"/>
      <c r="L31" s="388">
        <v>2200000</v>
      </c>
      <c r="M31" s="381"/>
      <c r="N31" s="381"/>
      <c r="O31" s="385">
        <f t="shared" si="5"/>
        <v>2200000</v>
      </c>
      <c r="P31" s="389"/>
      <c r="Q31" s="378"/>
    </row>
    <row r="32" spans="1:21" ht="30.75" customHeight="1" x14ac:dyDescent="0.25">
      <c r="A32" s="386"/>
      <c r="B32" s="391"/>
      <c r="C32" s="579" t="s">
        <v>4984</v>
      </c>
      <c r="D32" s="580"/>
      <c r="E32" s="581"/>
      <c r="F32" s="461"/>
      <c r="G32" s="381"/>
      <c r="H32" s="369"/>
      <c r="I32" s="403"/>
      <c r="J32" s="381"/>
      <c r="K32" s="394">
        <v>7100000</v>
      </c>
      <c r="L32" s="394"/>
      <c r="M32" s="381"/>
      <c r="N32" s="381"/>
      <c r="O32" s="385">
        <f t="shared" si="5"/>
        <v>7100000</v>
      </c>
      <c r="P32" s="389"/>
      <c r="Q32" s="378"/>
    </row>
    <row r="33" spans="1:18" x14ac:dyDescent="0.25">
      <c r="A33" s="576" t="s">
        <v>19</v>
      </c>
      <c r="B33" s="577"/>
      <c r="C33" s="577"/>
      <c r="D33" s="577"/>
      <c r="E33" s="577"/>
      <c r="F33" s="578"/>
      <c r="G33" s="395">
        <f>SUM(G8:G32)</f>
        <v>3092</v>
      </c>
      <c r="H33" s="396">
        <f t="shared" ref="H33:P33" si="6">SUM(H7:H32)</f>
        <v>58135360</v>
      </c>
      <c r="I33" s="396">
        <f t="shared" si="6"/>
        <v>0</v>
      </c>
      <c r="J33" s="396">
        <f t="shared" si="6"/>
        <v>29100000</v>
      </c>
      <c r="K33" s="396">
        <f t="shared" si="6"/>
        <v>18252000</v>
      </c>
      <c r="L33" s="396">
        <f t="shared" si="6"/>
        <v>2620000</v>
      </c>
      <c r="M33" s="396">
        <f t="shared" si="6"/>
        <v>0</v>
      </c>
      <c r="N33" s="396">
        <f t="shared" si="6"/>
        <v>0</v>
      </c>
      <c r="O33" s="396">
        <f t="shared" si="6"/>
        <v>108107360</v>
      </c>
      <c r="P33" s="397">
        <f t="shared" si="6"/>
        <v>154437677</v>
      </c>
      <c r="Q33" s="396">
        <f>P33-O33</f>
        <v>46330317</v>
      </c>
      <c r="R33" s="195"/>
    </row>
    <row r="34" spans="1:18" x14ac:dyDescent="0.25">
      <c r="P34" s="294"/>
      <c r="Q34" s="295"/>
    </row>
    <row r="35" spans="1:18" x14ac:dyDescent="0.25">
      <c r="B35"/>
      <c r="G35"/>
      <c r="H35" s="294"/>
      <c r="P35" s="296" t="s">
        <v>1225</v>
      </c>
      <c r="Q35" s="295">
        <f>'06.2023'!Q39+'07.2023'!Q33</f>
        <v>245314562.33333331</v>
      </c>
    </row>
    <row r="36" spans="1:18" x14ac:dyDescent="0.25">
      <c r="B36"/>
      <c r="G36"/>
      <c r="Q36" s="294"/>
    </row>
    <row r="37" spans="1:18" x14ac:dyDescent="0.25">
      <c r="B37"/>
      <c r="G37"/>
      <c r="R37" s="195"/>
    </row>
  </sheetData>
  <mergeCells count="11">
    <mergeCell ref="C28:E28"/>
    <mergeCell ref="A1:Q1"/>
    <mergeCell ref="A2:Q2"/>
    <mergeCell ref="A3:Q3"/>
    <mergeCell ref="G5:N5"/>
    <mergeCell ref="C27:E27"/>
    <mergeCell ref="C29:E29"/>
    <mergeCell ref="C30:E30"/>
    <mergeCell ref="C31:E31"/>
    <mergeCell ref="C32:E32"/>
    <mergeCell ref="A33:F33"/>
  </mergeCells>
  <pageMargins left="0.7" right="0.7" top="0.75" bottom="0.75" header="0.3" footer="0.3"/>
  <pageSetup paperSize="9" orientation="portrait" horizontalDpi="0" verticalDpi="0"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374BD-EE72-40E3-8CFE-67070A913848}">
  <dimension ref="A1:U36"/>
  <sheetViews>
    <sheetView topLeftCell="E29" workbookViewId="0">
      <selection activeCell="O40" sqref="O40"/>
    </sheetView>
  </sheetViews>
  <sheetFormatPr defaultColWidth="9.140625" defaultRowHeight="15" x14ac:dyDescent="0.25"/>
  <cols>
    <col min="1" max="1" width="4.5703125" customWidth="1"/>
    <col min="2" max="2" width="9.28515625" style="332" bestFit="1" customWidth="1"/>
    <col min="3" max="3" width="33.42578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21" ht="23.25" x14ac:dyDescent="0.25">
      <c r="A1" s="551" t="s">
        <v>0</v>
      </c>
      <c r="B1" s="551"/>
      <c r="C1" s="551"/>
      <c r="D1" s="551"/>
      <c r="E1" s="551"/>
      <c r="F1" s="551"/>
      <c r="G1" s="551"/>
      <c r="H1" s="551"/>
      <c r="I1" s="551"/>
      <c r="J1" s="551"/>
      <c r="K1" s="551"/>
      <c r="L1" s="551"/>
      <c r="M1" s="551"/>
      <c r="N1" s="551"/>
      <c r="O1" s="551"/>
      <c r="P1" s="551"/>
      <c r="Q1" s="551"/>
    </row>
    <row r="2" spans="1:21" ht="15.75" x14ac:dyDescent="0.25">
      <c r="A2" s="550" t="s">
        <v>103</v>
      </c>
      <c r="B2" s="550"/>
      <c r="C2" s="550"/>
      <c r="D2" s="550"/>
      <c r="E2" s="550"/>
      <c r="F2" s="550"/>
      <c r="G2" s="550"/>
      <c r="H2" s="550"/>
      <c r="I2" s="550"/>
      <c r="J2" s="550"/>
      <c r="K2" s="550"/>
      <c r="L2" s="550"/>
      <c r="M2" s="550"/>
      <c r="N2" s="550"/>
      <c r="O2" s="550"/>
      <c r="P2" s="550"/>
      <c r="Q2" s="550"/>
    </row>
    <row r="3" spans="1:21" ht="15.75" x14ac:dyDescent="0.25">
      <c r="A3" s="550" t="s">
        <v>4985</v>
      </c>
      <c r="B3" s="550"/>
      <c r="C3" s="550"/>
      <c r="D3" s="550"/>
      <c r="E3" s="550"/>
      <c r="F3" s="550"/>
      <c r="G3" s="550"/>
      <c r="H3" s="550"/>
      <c r="I3" s="550"/>
      <c r="J3" s="550"/>
      <c r="K3" s="550"/>
      <c r="L3" s="550"/>
      <c r="M3" s="550"/>
      <c r="N3" s="550"/>
      <c r="O3" s="550"/>
      <c r="P3" s="550"/>
      <c r="Q3" s="550"/>
    </row>
    <row r="4" spans="1:21" x14ac:dyDescent="0.25">
      <c r="A4" s="74"/>
      <c r="B4" s="99"/>
      <c r="C4" s="74"/>
      <c r="D4" s="74"/>
      <c r="E4" s="74" t="s">
        <v>194</v>
      </c>
      <c r="F4" s="74"/>
      <c r="G4" s="257"/>
      <c r="H4" s="258"/>
      <c r="I4" s="258"/>
      <c r="J4" s="258"/>
      <c r="K4" s="258"/>
      <c r="L4" s="91"/>
      <c r="M4" s="258"/>
      <c r="N4" s="258"/>
      <c r="O4" s="258"/>
      <c r="P4" s="258"/>
      <c r="Q4" s="258"/>
    </row>
    <row r="5" spans="1:21"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21"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21" x14ac:dyDescent="0.25">
      <c r="A7" s="75"/>
      <c r="B7" s="100"/>
      <c r="C7" s="88"/>
      <c r="D7" s="88"/>
      <c r="E7" s="134"/>
      <c r="F7" s="75"/>
      <c r="G7" s="264"/>
      <c r="H7" s="264"/>
      <c r="I7" s="264"/>
      <c r="J7" s="264"/>
      <c r="K7" s="264"/>
      <c r="L7" s="308"/>
      <c r="M7" s="264"/>
      <c r="N7" s="264"/>
      <c r="O7" s="265"/>
      <c r="P7" s="265"/>
      <c r="Q7" s="264"/>
    </row>
    <row r="8" spans="1:21" ht="21.75" customHeight="1" x14ac:dyDescent="0.25">
      <c r="A8" s="470">
        <v>1</v>
      </c>
      <c r="B8" s="472">
        <v>45139</v>
      </c>
      <c r="C8" s="366" t="s">
        <v>1286</v>
      </c>
      <c r="D8" s="367" t="s">
        <v>4996</v>
      </c>
      <c r="E8" s="354" t="s">
        <v>4504</v>
      </c>
      <c r="F8" s="368"/>
      <c r="G8" s="369">
        <v>382</v>
      </c>
      <c r="H8" s="358">
        <f>G8*20610</f>
        <v>7873020</v>
      </c>
      <c r="I8" s="358"/>
      <c r="J8" s="414">
        <v>3870000</v>
      </c>
      <c r="K8" s="371"/>
      <c r="L8" s="372"/>
      <c r="M8" s="358"/>
      <c r="N8" s="358"/>
      <c r="O8" s="358">
        <f t="shared" ref="O8:O24" si="0">H8+J8+K8+L8+M8+N8</f>
        <v>11743020</v>
      </c>
      <c r="P8" s="358">
        <v>19650000</v>
      </c>
      <c r="Q8" s="358">
        <f>P8-O8</f>
        <v>7906980</v>
      </c>
      <c r="R8" s="195"/>
      <c r="S8" s="195"/>
    </row>
    <row r="9" spans="1:21" ht="21.75" customHeight="1" x14ac:dyDescent="0.25">
      <c r="A9" s="350">
        <v>2</v>
      </c>
      <c r="B9" s="482">
        <v>45144</v>
      </c>
      <c r="C9" s="366" t="s">
        <v>4986</v>
      </c>
      <c r="D9" s="415" t="s">
        <v>4997</v>
      </c>
      <c r="E9" s="354" t="s">
        <v>4504</v>
      </c>
      <c r="F9" s="368"/>
      <c r="G9" s="369">
        <v>382</v>
      </c>
      <c r="H9" s="358">
        <f t="shared" ref="H9:H11" si="1">G9*20610</f>
        <v>7873020</v>
      </c>
      <c r="I9" s="358"/>
      <c r="J9" s="414">
        <v>3870000</v>
      </c>
      <c r="K9" s="371"/>
      <c r="L9" s="372"/>
      <c r="M9" s="358"/>
      <c r="N9" s="358"/>
      <c r="O9" s="358">
        <f t="shared" si="0"/>
        <v>11743020</v>
      </c>
      <c r="P9" s="385">
        <v>20150000</v>
      </c>
      <c r="Q9" s="358">
        <f t="shared" ref="Q9:Q24" si="2">P9-O9</f>
        <v>8406980</v>
      </c>
      <c r="R9" s="195"/>
      <c r="S9" s="195"/>
    </row>
    <row r="10" spans="1:21" ht="21.75" customHeight="1" x14ac:dyDescent="0.25">
      <c r="A10" s="350">
        <v>3</v>
      </c>
      <c r="B10" s="482">
        <v>45145</v>
      </c>
      <c r="C10" s="366" t="s">
        <v>4987</v>
      </c>
      <c r="D10" s="367" t="s">
        <v>4998</v>
      </c>
      <c r="E10" s="354" t="s">
        <v>4283</v>
      </c>
      <c r="F10" s="368"/>
      <c r="G10" s="369">
        <v>276</v>
      </c>
      <c r="H10" s="358">
        <f t="shared" si="1"/>
        <v>5688360</v>
      </c>
      <c r="I10" s="358"/>
      <c r="J10" s="414">
        <v>2560000</v>
      </c>
      <c r="K10" s="371"/>
      <c r="L10" s="372"/>
      <c r="M10" s="358"/>
      <c r="N10" s="358"/>
      <c r="O10" s="358">
        <f t="shared" si="0"/>
        <v>8248360</v>
      </c>
      <c r="P10" s="385">
        <v>13900000</v>
      </c>
      <c r="Q10" s="358">
        <f t="shared" si="2"/>
        <v>5651640</v>
      </c>
      <c r="R10" s="195"/>
      <c r="S10" s="195"/>
    </row>
    <row r="11" spans="1:21" ht="21.75" customHeight="1" x14ac:dyDescent="0.25">
      <c r="A11" s="350">
        <v>4</v>
      </c>
      <c r="B11" s="482">
        <v>45147</v>
      </c>
      <c r="C11" s="366" t="s">
        <v>1963</v>
      </c>
      <c r="D11" s="367" t="s">
        <v>4999</v>
      </c>
      <c r="E11" s="354" t="s">
        <v>4504</v>
      </c>
      <c r="F11" s="368"/>
      <c r="G11" s="369">
        <v>378</v>
      </c>
      <c r="H11" s="358">
        <f t="shared" si="1"/>
        <v>7790580</v>
      </c>
      <c r="I11" s="358"/>
      <c r="J11" s="414">
        <v>3870000</v>
      </c>
      <c r="K11" s="371"/>
      <c r="L11" s="372"/>
      <c r="M11" s="358"/>
      <c r="N11" s="358"/>
      <c r="O11" s="358">
        <f t="shared" si="0"/>
        <v>11660580</v>
      </c>
      <c r="P11" s="385">
        <v>20150000</v>
      </c>
      <c r="Q11" s="358">
        <f t="shared" si="2"/>
        <v>8489420</v>
      </c>
      <c r="R11" s="195"/>
      <c r="S11" s="195"/>
      <c r="U11" s="195"/>
    </row>
    <row r="12" spans="1:21" ht="21.75" customHeight="1" x14ac:dyDescent="0.25">
      <c r="A12" s="350">
        <v>5</v>
      </c>
      <c r="B12" s="482">
        <v>45149</v>
      </c>
      <c r="C12" s="366" t="s">
        <v>4988</v>
      </c>
      <c r="D12" s="367" t="s">
        <v>5000</v>
      </c>
      <c r="E12" s="354" t="s">
        <v>4922</v>
      </c>
      <c r="F12" s="368"/>
      <c r="G12" s="369">
        <v>21</v>
      </c>
      <c r="H12" s="358">
        <f>G12*22420</f>
        <v>470820</v>
      </c>
      <c r="I12" s="358"/>
      <c r="J12" s="414">
        <v>200000</v>
      </c>
      <c r="K12" s="371"/>
      <c r="L12" s="372"/>
      <c r="M12" s="358"/>
      <c r="N12" s="358"/>
      <c r="O12" s="358">
        <f t="shared" si="0"/>
        <v>670820</v>
      </c>
      <c r="P12" s="385">
        <v>1100000</v>
      </c>
      <c r="Q12" s="358">
        <f t="shared" si="2"/>
        <v>429180</v>
      </c>
      <c r="R12" s="195"/>
      <c r="S12" s="195"/>
    </row>
    <row r="13" spans="1:21" ht="21.75" customHeight="1" x14ac:dyDescent="0.25">
      <c r="A13" s="350">
        <v>6</v>
      </c>
      <c r="B13" s="482">
        <v>45149</v>
      </c>
      <c r="C13" s="366" t="s">
        <v>4989</v>
      </c>
      <c r="D13" s="367" t="s">
        <v>5001</v>
      </c>
      <c r="E13" s="354" t="s">
        <v>4922</v>
      </c>
      <c r="F13" s="368"/>
      <c r="G13" s="369"/>
      <c r="H13" s="358">
        <f t="shared" ref="H13:H19" si="3">G13*22420</f>
        <v>0</v>
      </c>
      <c r="I13" s="358"/>
      <c r="J13" s="414">
        <v>200000</v>
      </c>
      <c r="K13" s="371"/>
      <c r="L13" s="372"/>
      <c r="M13" s="358"/>
      <c r="N13" s="358"/>
      <c r="O13" s="358">
        <f t="shared" si="0"/>
        <v>200000</v>
      </c>
      <c r="P13" s="385">
        <v>1100000</v>
      </c>
      <c r="Q13" s="358">
        <f t="shared" si="2"/>
        <v>900000</v>
      </c>
      <c r="R13" s="195"/>
      <c r="S13" s="195"/>
    </row>
    <row r="14" spans="1:21" ht="21.75" customHeight="1" x14ac:dyDescent="0.25">
      <c r="A14" s="350">
        <v>7</v>
      </c>
      <c r="B14" s="482">
        <v>45152</v>
      </c>
      <c r="C14" s="366" t="s">
        <v>4990</v>
      </c>
      <c r="D14" s="367" t="s">
        <v>5002</v>
      </c>
      <c r="E14" s="354" t="s">
        <v>850</v>
      </c>
      <c r="F14" s="368"/>
      <c r="G14" s="369">
        <v>126</v>
      </c>
      <c r="H14" s="358">
        <f t="shared" si="3"/>
        <v>2824920</v>
      </c>
      <c r="I14" s="358"/>
      <c r="J14" s="414">
        <v>790000</v>
      </c>
      <c r="K14" s="371"/>
      <c r="L14" s="372"/>
      <c r="M14" s="358"/>
      <c r="N14" s="358"/>
      <c r="O14" s="358">
        <f t="shared" si="0"/>
        <v>3614920</v>
      </c>
      <c r="P14" s="385">
        <v>5670370</v>
      </c>
      <c r="Q14" s="358">
        <f t="shared" si="2"/>
        <v>2055450</v>
      </c>
      <c r="R14" s="195"/>
      <c r="S14" s="195"/>
    </row>
    <row r="15" spans="1:21" ht="21.75" customHeight="1" x14ac:dyDescent="0.25">
      <c r="A15" s="350">
        <v>8</v>
      </c>
      <c r="B15" s="482">
        <v>45153</v>
      </c>
      <c r="C15" s="366" t="s">
        <v>4991</v>
      </c>
      <c r="D15" s="367" t="s">
        <v>5003</v>
      </c>
      <c r="E15" s="354" t="s">
        <v>5013</v>
      </c>
      <c r="F15" s="368"/>
      <c r="G15" s="369">
        <v>63</v>
      </c>
      <c r="H15" s="358">
        <f t="shared" si="3"/>
        <v>1412460</v>
      </c>
      <c r="I15" s="358"/>
      <c r="J15" s="414">
        <v>430000</v>
      </c>
      <c r="K15" s="371"/>
      <c r="L15" s="372"/>
      <c r="M15" s="358"/>
      <c r="N15" s="358"/>
      <c r="O15" s="358">
        <f t="shared" si="0"/>
        <v>1842460</v>
      </c>
      <c r="P15" s="385">
        <v>3060000</v>
      </c>
      <c r="Q15" s="358">
        <f t="shared" si="2"/>
        <v>1217540</v>
      </c>
      <c r="R15" s="195"/>
      <c r="S15" s="195"/>
    </row>
    <row r="16" spans="1:21" ht="21.75" customHeight="1" x14ac:dyDescent="0.25">
      <c r="A16" s="350">
        <v>9</v>
      </c>
      <c r="B16" s="482">
        <v>45153</v>
      </c>
      <c r="C16" s="366" t="s">
        <v>2638</v>
      </c>
      <c r="D16" s="367" t="s">
        <v>5004</v>
      </c>
      <c r="E16" s="354" t="s">
        <v>4504</v>
      </c>
      <c r="F16" s="368"/>
      <c r="G16" s="369">
        <v>373</v>
      </c>
      <c r="H16" s="358">
        <f t="shared" si="3"/>
        <v>8362660</v>
      </c>
      <c r="I16" s="358"/>
      <c r="J16" s="414">
        <v>3870000</v>
      </c>
      <c r="K16" s="371"/>
      <c r="L16" s="372"/>
      <c r="M16" s="358"/>
      <c r="N16" s="358"/>
      <c r="O16" s="358">
        <f t="shared" si="0"/>
        <v>12232660</v>
      </c>
      <c r="P16" s="385">
        <v>20900000</v>
      </c>
      <c r="Q16" s="358">
        <f t="shared" si="2"/>
        <v>8667340</v>
      </c>
      <c r="R16" s="195"/>
      <c r="S16" s="195"/>
      <c r="U16" s="195"/>
    </row>
    <row r="17" spans="1:19" ht="21.75" customHeight="1" x14ac:dyDescent="0.25">
      <c r="A17" s="350">
        <v>10</v>
      </c>
      <c r="B17" s="482">
        <v>45155</v>
      </c>
      <c r="C17" s="366" t="s">
        <v>1297</v>
      </c>
      <c r="D17" s="367" t="s">
        <v>5005</v>
      </c>
      <c r="E17" s="354" t="s">
        <v>356</v>
      </c>
      <c r="F17" s="368"/>
      <c r="G17" s="369">
        <v>91</v>
      </c>
      <c r="H17" s="358">
        <f t="shared" si="3"/>
        <v>2040220</v>
      </c>
      <c r="I17" s="358"/>
      <c r="J17" s="414">
        <v>790000</v>
      </c>
      <c r="K17" s="371"/>
      <c r="L17" s="372"/>
      <c r="M17" s="358"/>
      <c r="N17" s="358"/>
      <c r="O17" s="358">
        <f t="shared" si="0"/>
        <v>2830220</v>
      </c>
      <c r="P17" s="385">
        <v>4814815</v>
      </c>
      <c r="Q17" s="358">
        <f t="shared" si="2"/>
        <v>1984595</v>
      </c>
      <c r="R17" s="195"/>
      <c r="S17" s="195"/>
    </row>
    <row r="18" spans="1:19" ht="21.75" customHeight="1" x14ac:dyDescent="0.25">
      <c r="A18" s="470">
        <v>11</v>
      </c>
      <c r="B18" s="487">
        <v>45156</v>
      </c>
      <c r="C18" s="366" t="s">
        <v>4992</v>
      </c>
      <c r="D18" s="367" t="s">
        <v>5006</v>
      </c>
      <c r="E18" s="354" t="s">
        <v>3832</v>
      </c>
      <c r="F18" s="461"/>
      <c r="G18" s="369">
        <v>55</v>
      </c>
      <c r="H18" s="358">
        <f t="shared" si="3"/>
        <v>1233100</v>
      </c>
      <c r="I18" s="494"/>
      <c r="J18" s="436">
        <v>340000</v>
      </c>
      <c r="K18" s="371"/>
      <c r="L18" s="372"/>
      <c r="M18" s="381"/>
      <c r="N18" s="381"/>
      <c r="O18" s="358">
        <f t="shared" si="0"/>
        <v>1573100</v>
      </c>
      <c r="P18" s="385">
        <v>3100000</v>
      </c>
      <c r="Q18" s="358">
        <f t="shared" si="2"/>
        <v>1526900</v>
      </c>
      <c r="R18" s="195"/>
      <c r="S18" s="195"/>
    </row>
    <row r="19" spans="1:19" ht="21.75" customHeight="1" x14ac:dyDescent="0.25">
      <c r="A19" s="350">
        <v>12</v>
      </c>
      <c r="B19" s="487">
        <v>45159</v>
      </c>
      <c r="C19" s="366" t="s">
        <v>4993</v>
      </c>
      <c r="D19" s="367" t="s">
        <v>5007</v>
      </c>
      <c r="E19" s="354" t="s">
        <v>188</v>
      </c>
      <c r="F19" s="461"/>
      <c r="G19" s="369">
        <v>59</v>
      </c>
      <c r="H19" s="358">
        <f t="shared" si="3"/>
        <v>1322780</v>
      </c>
      <c r="I19" s="494"/>
      <c r="J19" s="436">
        <v>440000</v>
      </c>
      <c r="K19" s="371"/>
      <c r="L19" s="372"/>
      <c r="M19" s="381"/>
      <c r="N19" s="381"/>
      <c r="O19" s="358">
        <f t="shared" si="0"/>
        <v>1762780</v>
      </c>
      <c r="P19" s="385">
        <v>3450000</v>
      </c>
      <c r="Q19" s="358">
        <f t="shared" si="2"/>
        <v>1687220</v>
      </c>
      <c r="R19" s="195"/>
      <c r="S19" s="195"/>
    </row>
    <row r="20" spans="1:19" ht="21.75" customHeight="1" x14ac:dyDescent="0.25">
      <c r="A20" s="350">
        <v>13</v>
      </c>
      <c r="B20" s="487">
        <v>45159</v>
      </c>
      <c r="C20" s="366" t="s">
        <v>2642</v>
      </c>
      <c r="D20" s="367" t="s">
        <v>5008</v>
      </c>
      <c r="E20" s="354" t="s">
        <v>4504</v>
      </c>
      <c r="F20" s="461"/>
      <c r="G20" s="369">
        <v>385</v>
      </c>
      <c r="H20" s="358">
        <f>G20*22350</f>
        <v>8604750</v>
      </c>
      <c r="I20" s="494"/>
      <c r="J20" s="436">
        <v>3870000</v>
      </c>
      <c r="K20" s="371"/>
      <c r="L20" s="372"/>
      <c r="M20" s="381"/>
      <c r="N20" s="381"/>
      <c r="O20" s="358">
        <f t="shared" si="0"/>
        <v>12474750</v>
      </c>
      <c r="P20" s="385">
        <v>20900000</v>
      </c>
      <c r="Q20" s="358">
        <f t="shared" si="2"/>
        <v>8425250</v>
      </c>
      <c r="R20" s="195"/>
      <c r="S20" s="195"/>
    </row>
    <row r="21" spans="1:19" ht="21.75" customHeight="1" x14ac:dyDescent="0.25">
      <c r="A21" s="350">
        <v>14</v>
      </c>
      <c r="B21" s="487">
        <v>45161</v>
      </c>
      <c r="C21" s="366" t="s">
        <v>1973</v>
      </c>
      <c r="D21" s="367" t="s">
        <v>5009</v>
      </c>
      <c r="E21" s="354" t="s">
        <v>4699</v>
      </c>
      <c r="F21" s="461"/>
      <c r="G21" s="369">
        <v>390</v>
      </c>
      <c r="H21" s="358">
        <f t="shared" ref="H21:H24" si="4">G21*22350</f>
        <v>8716500</v>
      </c>
      <c r="I21" s="494"/>
      <c r="J21" s="436">
        <v>3870000</v>
      </c>
      <c r="K21" s="371"/>
      <c r="L21" s="372"/>
      <c r="M21" s="381"/>
      <c r="N21" s="381"/>
      <c r="O21" s="358">
        <f t="shared" si="0"/>
        <v>12586500</v>
      </c>
      <c r="P21" s="385">
        <v>21550000</v>
      </c>
      <c r="Q21" s="358">
        <f t="shared" si="2"/>
        <v>8963500</v>
      </c>
      <c r="R21" s="195"/>
      <c r="S21" s="195"/>
    </row>
    <row r="22" spans="1:19" ht="21.75" customHeight="1" x14ac:dyDescent="0.25">
      <c r="A22" s="350">
        <v>15</v>
      </c>
      <c r="B22" s="487">
        <v>45163</v>
      </c>
      <c r="C22" s="366" t="s">
        <v>4502</v>
      </c>
      <c r="D22" s="367" t="s">
        <v>5010</v>
      </c>
      <c r="E22" s="354" t="s">
        <v>4699</v>
      </c>
      <c r="F22" s="461"/>
      <c r="G22" s="369">
        <v>390</v>
      </c>
      <c r="H22" s="358">
        <f t="shared" si="4"/>
        <v>8716500</v>
      </c>
      <c r="I22" s="494"/>
      <c r="J22" s="436">
        <v>3420000</v>
      </c>
      <c r="K22" s="371"/>
      <c r="L22" s="372"/>
      <c r="M22" s="381"/>
      <c r="N22" s="381"/>
      <c r="O22" s="358">
        <f t="shared" si="0"/>
        <v>12136500</v>
      </c>
      <c r="P22" s="385">
        <v>21550000</v>
      </c>
      <c r="Q22" s="358">
        <f t="shared" si="2"/>
        <v>9413500</v>
      </c>
      <c r="R22" s="195"/>
      <c r="S22" s="195"/>
    </row>
    <row r="23" spans="1:19" ht="21.75" customHeight="1" x14ac:dyDescent="0.25">
      <c r="A23" s="350">
        <v>16</v>
      </c>
      <c r="B23" s="487">
        <v>45167</v>
      </c>
      <c r="C23" s="366" t="s">
        <v>4994</v>
      </c>
      <c r="D23" s="367" t="s">
        <v>5011</v>
      </c>
      <c r="E23" s="354" t="s">
        <v>187</v>
      </c>
      <c r="F23" s="461"/>
      <c r="G23" s="369">
        <v>91</v>
      </c>
      <c r="H23" s="358">
        <f t="shared" si="4"/>
        <v>2033850</v>
      </c>
      <c r="I23" s="494"/>
      <c r="J23" s="436">
        <v>1090000</v>
      </c>
      <c r="K23" s="371"/>
      <c r="L23" s="372"/>
      <c r="M23" s="381"/>
      <c r="N23" s="381"/>
      <c r="O23" s="358">
        <f t="shared" si="0"/>
        <v>3123850</v>
      </c>
      <c r="P23" s="385">
        <v>5050000</v>
      </c>
      <c r="Q23" s="358">
        <f t="shared" si="2"/>
        <v>1926150</v>
      </c>
      <c r="R23" s="195"/>
      <c r="S23" s="195"/>
    </row>
    <row r="24" spans="1:19" ht="21.75" customHeight="1" x14ac:dyDescent="0.25">
      <c r="A24" s="350">
        <v>17</v>
      </c>
      <c r="B24" s="487">
        <v>45168</v>
      </c>
      <c r="C24" s="366" t="s">
        <v>4995</v>
      </c>
      <c r="D24" s="367" t="s">
        <v>5012</v>
      </c>
      <c r="E24" s="354" t="s">
        <v>90</v>
      </c>
      <c r="F24" s="461"/>
      <c r="G24" s="369">
        <v>83</v>
      </c>
      <c r="H24" s="358">
        <f t="shared" si="4"/>
        <v>1855050</v>
      </c>
      <c r="I24" s="494"/>
      <c r="J24" s="436">
        <v>790000</v>
      </c>
      <c r="K24" s="371"/>
      <c r="L24" s="372"/>
      <c r="M24" s="381"/>
      <c r="N24" s="381"/>
      <c r="O24" s="358">
        <f t="shared" si="0"/>
        <v>2645050</v>
      </c>
      <c r="P24" s="385">
        <v>4300000</v>
      </c>
      <c r="Q24" s="358">
        <f t="shared" si="2"/>
        <v>1654950</v>
      </c>
      <c r="R24" s="195"/>
      <c r="S24" s="195"/>
    </row>
    <row r="25" spans="1:19" ht="27" customHeight="1" x14ac:dyDescent="0.25">
      <c r="A25" s="374"/>
      <c r="B25" s="488"/>
      <c r="C25" s="609" t="s">
        <v>1273</v>
      </c>
      <c r="D25" s="609"/>
      <c r="E25" s="609"/>
      <c r="F25" s="402"/>
      <c r="G25" s="358"/>
      <c r="H25" s="369"/>
      <c r="I25" s="403"/>
      <c r="J25" s="381"/>
      <c r="K25" s="372">
        <v>1200000</v>
      </c>
      <c r="L25" s="372"/>
      <c r="M25" s="381"/>
      <c r="N25" s="381"/>
      <c r="O25" s="385">
        <f>H25+J25+K25+L25+M25+N25</f>
        <v>1200000</v>
      </c>
      <c r="P25" s="385"/>
      <c r="Q25" s="385"/>
    </row>
    <row r="26" spans="1:19" ht="27" customHeight="1" x14ac:dyDescent="0.25">
      <c r="A26" s="386"/>
      <c r="B26" s="379"/>
      <c r="C26" s="594" t="s">
        <v>4535</v>
      </c>
      <c r="D26" s="595"/>
      <c r="E26" s="596"/>
      <c r="F26" s="402"/>
      <c r="G26" s="381"/>
      <c r="H26" s="369"/>
      <c r="J26" s="381"/>
      <c r="K26" s="388">
        <f>14649000+180000</f>
        <v>14829000</v>
      </c>
      <c r="L26" s="388"/>
      <c r="M26" s="381"/>
      <c r="N26" s="381"/>
      <c r="O26" s="385">
        <f t="shared" ref="O26:O31" si="5">H26+J26+K26+L26+M26+N26</f>
        <v>14829000</v>
      </c>
      <c r="P26" s="389"/>
      <c r="Q26" s="378"/>
    </row>
    <row r="27" spans="1:19" ht="27" customHeight="1" x14ac:dyDescent="0.25">
      <c r="A27" s="386"/>
      <c r="B27" s="379"/>
      <c r="C27" s="594" t="s">
        <v>5014</v>
      </c>
      <c r="D27" s="595"/>
      <c r="E27" s="596"/>
      <c r="F27" s="402"/>
      <c r="G27" s="381"/>
      <c r="H27" s="369"/>
      <c r="J27" s="381"/>
      <c r="K27" s="388"/>
      <c r="L27" s="388">
        <v>600000</v>
      </c>
      <c r="M27" s="381"/>
      <c r="N27" s="388"/>
      <c r="O27" s="385">
        <f t="shared" si="5"/>
        <v>600000</v>
      </c>
      <c r="P27" s="389"/>
      <c r="Q27" s="378"/>
    </row>
    <row r="28" spans="1:19" ht="27" customHeight="1" x14ac:dyDescent="0.25">
      <c r="A28" s="386"/>
      <c r="B28" s="379"/>
      <c r="C28" s="594" t="s">
        <v>5057</v>
      </c>
      <c r="D28" s="595"/>
      <c r="E28" s="596"/>
      <c r="F28" s="402"/>
      <c r="G28" s="381"/>
      <c r="H28" s="369"/>
      <c r="J28" s="381"/>
      <c r="K28" s="388"/>
      <c r="L28" s="388">
        <v>4500000</v>
      </c>
      <c r="M28" s="381"/>
      <c r="N28" s="388"/>
      <c r="O28" s="385">
        <f t="shared" si="5"/>
        <v>4500000</v>
      </c>
      <c r="P28" s="389"/>
      <c r="Q28" s="378"/>
    </row>
    <row r="29" spans="1:19" ht="27" customHeight="1" x14ac:dyDescent="0.25">
      <c r="A29" s="386"/>
      <c r="B29" s="379"/>
      <c r="C29" s="594" t="s">
        <v>5058</v>
      </c>
      <c r="D29" s="595"/>
      <c r="E29" s="596"/>
      <c r="F29" s="402"/>
      <c r="G29" s="381"/>
      <c r="H29" s="369"/>
      <c r="J29" s="381"/>
      <c r="K29" s="388"/>
      <c r="L29" s="388">
        <v>1200000</v>
      </c>
      <c r="M29" s="381"/>
      <c r="N29" s="388"/>
      <c r="O29" s="385">
        <f t="shared" si="5"/>
        <v>1200000</v>
      </c>
      <c r="P29" s="389"/>
      <c r="Q29" s="378"/>
    </row>
    <row r="30" spans="1:19" ht="27" customHeight="1" x14ac:dyDescent="0.25">
      <c r="A30" s="386"/>
      <c r="B30" s="379"/>
      <c r="C30" s="594" t="s">
        <v>5054</v>
      </c>
      <c r="D30" s="595"/>
      <c r="E30" s="596"/>
      <c r="F30" s="402"/>
      <c r="G30" s="381"/>
      <c r="H30" s="369"/>
      <c r="J30" s="381"/>
      <c r="K30" s="388"/>
      <c r="L30" s="388">
        <v>1500000</v>
      </c>
      <c r="M30" s="381"/>
      <c r="N30" s="388"/>
      <c r="O30" s="385">
        <f t="shared" si="5"/>
        <v>1500000</v>
      </c>
      <c r="P30" s="389"/>
      <c r="Q30" s="378"/>
    </row>
    <row r="31" spans="1:19" ht="30.75" customHeight="1" x14ac:dyDescent="0.25">
      <c r="A31" s="386"/>
      <c r="B31" s="391"/>
      <c r="C31" s="579" t="s">
        <v>4333</v>
      </c>
      <c r="D31" s="580"/>
      <c r="E31" s="581"/>
      <c r="F31" s="461"/>
      <c r="G31" s="381"/>
      <c r="H31" s="369"/>
      <c r="I31" s="403"/>
      <c r="J31" s="381"/>
      <c r="K31" s="394">
        <v>8300000</v>
      </c>
      <c r="L31" s="394"/>
      <c r="M31" s="381"/>
      <c r="N31" s="381"/>
      <c r="O31" s="385">
        <f t="shared" si="5"/>
        <v>8300000</v>
      </c>
      <c r="P31" s="389"/>
      <c r="Q31" s="378"/>
    </row>
    <row r="32" spans="1:19" x14ac:dyDescent="0.25">
      <c r="A32" s="576" t="s">
        <v>19</v>
      </c>
      <c r="B32" s="577"/>
      <c r="C32" s="577"/>
      <c r="D32" s="577"/>
      <c r="E32" s="577"/>
      <c r="F32" s="578"/>
      <c r="G32" s="395">
        <f>SUM(G8:G31)</f>
        <v>3545</v>
      </c>
      <c r="H32" s="396">
        <f t="shared" ref="H32:P32" si="6">SUM(H7:H31)</f>
        <v>76818590</v>
      </c>
      <c r="I32" s="396">
        <f t="shared" si="6"/>
        <v>0</v>
      </c>
      <c r="J32" s="396">
        <f t="shared" si="6"/>
        <v>34270000</v>
      </c>
      <c r="K32" s="396">
        <f t="shared" si="6"/>
        <v>24329000</v>
      </c>
      <c r="L32" s="396">
        <f t="shared" si="6"/>
        <v>7800000</v>
      </c>
      <c r="M32" s="396">
        <f t="shared" si="6"/>
        <v>0</v>
      </c>
      <c r="N32" s="396">
        <f t="shared" si="6"/>
        <v>0</v>
      </c>
      <c r="O32" s="396">
        <f t="shared" si="6"/>
        <v>143217590</v>
      </c>
      <c r="P32" s="397">
        <f t="shared" si="6"/>
        <v>190395185</v>
      </c>
      <c r="Q32" s="396">
        <f>P32-O32</f>
        <v>47177595</v>
      </c>
      <c r="R32" s="195"/>
    </row>
    <row r="33" spans="2:18" x14ac:dyDescent="0.25">
      <c r="P33" s="294"/>
      <c r="Q33" s="295"/>
    </row>
    <row r="34" spans="2:18" x14ac:dyDescent="0.25">
      <c r="B34"/>
      <c r="G34"/>
      <c r="H34" s="294"/>
      <c r="P34" s="296" t="s">
        <v>1225</v>
      </c>
      <c r="Q34" s="295">
        <f>'07.2023'!Q35+'08.2023'!Q32</f>
        <v>292492157.33333331</v>
      </c>
    </row>
    <row r="35" spans="2:18" x14ac:dyDescent="0.25">
      <c r="B35"/>
      <c r="G35"/>
      <c r="Q35" s="294"/>
    </row>
    <row r="36" spans="2:18" x14ac:dyDescent="0.25">
      <c r="B36"/>
      <c r="G36"/>
      <c r="R36" s="195"/>
    </row>
  </sheetData>
  <mergeCells count="12">
    <mergeCell ref="C27:E27"/>
    <mergeCell ref="C31:E31"/>
    <mergeCell ref="A32:F32"/>
    <mergeCell ref="A1:Q1"/>
    <mergeCell ref="A2:Q2"/>
    <mergeCell ref="A3:Q3"/>
    <mergeCell ref="G5:N5"/>
    <mergeCell ref="C25:E25"/>
    <mergeCell ref="C26:E26"/>
    <mergeCell ref="C28:E28"/>
    <mergeCell ref="C29:E29"/>
    <mergeCell ref="C30:E30"/>
  </mergeCells>
  <pageMargins left="0.7" right="0.7" top="0.75" bottom="0.75" header="0.3" footer="0.3"/>
  <pageSetup paperSize="9" orientation="portrait" horizontalDpi="0" verticalDpi="0"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2AD99-11F6-4A85-B092-6CD3EA0500F1}">
  <dimension ref="A1:U41"/>
  <sheetViews>
    <sheetView topLeftCell="F32" workbookViewId="0">
      <selection activeCell="S33" sqref="S33"/>
    </sheetView>
  </sheetViews>
  <sheetFormatPr defaultColWidth="9.140625" defaultRowHeight="15" x14ac:dyDescent="0.25"/>
  <cols>
    <col min="1" max="1" width="4.5703125" customWidth="1"/>
    <col min="2" max="2" width="9.28515625" style="332" bestFit="1" customWidth="1"/>
    <col min="3" max="3" width="33.42578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21" ht="23.25" x14ac:dyDescent="0.25">
      <c r="A1" s="551" t="s">
        <v>0</v>
      </c>
      <c r="B1" s="551"/>
      <c r="C1" s="551"/>
      <c r="D1" s="551"/>
      <c r="E1" s="551"/>
      <c r="F1" s="551"/>
      <c r="G1" s="551"/>
      <c r="H1" s="551"/>
      <c r="I1" s="551"/>
      <c r="J1" s="551"/>
      <c r="K1" s="551"/>
      <c r="L1" s="551"/>
      <c r="M1" s="551"/>
      <c r="N1" s="551"/>
      <c r="O1" s="551"/>
      <c r="P1" s="551"/>
      <c r="Q1" s="551"/>
    </row>
    <row r="2" spans="1:21" ht="15.75" x14ac:dyDescent="0.25">
      <c r="A2" s="550" t="s">
        <v>103</v>
      </c>
      <c r="B2" s="550"/>
      <c r="C2" s="550"/>
      <c r="D2" s="550"/>
      <c r="E2" s="550"/>
      <c r="F2" s="550"/>
      <c r="G2" s="550"/>
      <c r="H2" s="550"/>
      <c r="I2" s="550"/>
      <c r="J2" s="550"/>
      <c r="K2" s="550"/>
      <c r="L2" s="550"/>
      <c r="M2" s="550"/>
      <c r="N2" s="550"/>
      <c r="O2" s="550"/>
      <c r="P2" s="550"/>
      <c r="Q2" s="550"/>
    </row>
    <row r="3" spans="1:21" ht="15.75" x14ac:dyDescent="0.25">
      <c r="A3" s="550" t="s">
        <v>5017</v>
      </c>
      <c r="B3" s="550"/>
      <c r="C3" s="550"/>
      <c r="D3" s="550"/>
      <c r="E3" s="550"/>
      <c r="F3" s="550"/>
      <c r="G3" s="550"/>
      <c r="H3" s="550"/>
      <c r="I3" s="550"/>
      <c r="J3" s="550"/>
      <c r="K3" s="550"/>
      <c r="L3" s="550"/>
      <c r="M3" s="550"/>
      <c r="N3" s="550"/>
      <c r="O3" s="550"/>
      <c r="P3" s="550"/>
      <c r="Q3" s="550"/>
    </row>
    <row r="4" spans="1:21" x14ac:dyDescent="0.25">
      <c r="A4" s="74"/>
      <c r="B4" s="99"/>
      <c r="C4" s="74"/>
      <c r="D4" s="74"/>
      <c r="E4" s="74" t="s">
        <v>194</v>
      </c>
      <c r="F4" s="74"/>
      <c r="G4" s="257"/>
      <c r="H4" s="258"/>
      <c r="I4" s="258"/>
      <c r="J4" s="258"/>
      <c r="K4" s="258"/>
      <c r="L4" s="91"/>
      <c r="M4" s="258"/>
      <c r="N4" s="258"/>
      <c r="O4" s="258"/>
      <c r="P4" s="258"/>
      <c r="Q4" s="258"/>
    </row>
    <row r="5" spans="1:21"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21"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21" x14ac:dyDescent="0.25">
      <c r="A7" s="75"/>
      <c r="B7" s="100"/>
      <c r="C7" s="88"/>
      <c r="D7" s="88"/>
      <c r="E7" s="134"/>
      <c r="F7" s="75"/>
      <c r="G7" s="264"/>
      <c r="H7" s="264"/>
      <c r="I7" s="264"/>
      <c r="J7" s="264"/>
      <c r="K7" s="264"/>
      <c r="L7" s="308"/>
      <c r="M7" s="264"/>
      <c r="N7" s="264"/>
      <c r="O7" s="265"/>
      <c r="P7" s="265"/>
      <c r="Q7" s="264"/>
    </row>
    <row r="8" spans="1:21" ht="21.75" customHeight="1" x14ac:dyDescent="0.25">
      <c r="A8" s="470">
        <v>1</v>
      </c>
      <c r="B8" s="472">
        <v>45173</v>
      </c>
      <c r="C8" s="366" t="s">
        <v>2023</v>
      </c>
      <c r="D8" s="500" t="s">
        <v>5031</v>
      </c>
      <c r="E8" s="354" t="s">
        <v>24</v>
      </c>
      <c r="F8" s="368"/>
      <c r="G8" s="369">
        <v>180</v>
      </c>
      <c r="H8" s="358">
        <f>G8*22640</f>
        <v>4075200</v>
      </c>
      <c r="I8" s="358"/>
      <c r="J8" s="414">
        <v>1530000</v>
      </c>
      <c r="K8" s="371"/>
      <c r="L8" s="372"/>
      <c r="M8" s="358"/>
      <c r="N8" s="358"/>
      <c r="O8" s="358">
        <f t="shared" ref="O8:O26" si="0">H8+J8+K8+L8+M8+N8</f>
        <v>5605200</v>
      </c>
      <c r="P8" s="358">
        <v>8666667</v>
      </c>
      <c r="Q8" s="358">
        <f>P8-O8</f>
        <v>3061467</v>
      </c>
      <c r="R8" s="195"/>
      <c r="S8" s="195"/>
    </row>
    <row r="9" spans="1:21" ht="21.75" customHeight="1" x14ac:dyDescent="0.25">
      <c r="A9" s="350">
        <v>2</v>
      </c>
      <c r="B9" s="482">
        <v>45175</v>
      </c>
      <c r="C9" s="366" t="s">
        <v>5018</v>
      </c>
      <c r="D9" s="501" t="s">
        <v>5032</v>
      </c>
      <c r="E9" s="354" t="s">
        <v>4641</v>
      </c>
      <c r="F9" s="368"/>
      <c r="G9" s="369">
        <v>106</v>
      </c>
      <c r="H9" s="358">
        <f t="shared" ref="H9" si="1">G9*22640</f>
        <v>2399840</v>
      </c>
      <c r="I9" s="358"/>
      <c r="J9" s="414">
        <v>790000</v>
      </c>
      <c r="K9" s="371"/>
      <c r="L9" s="372"/>
      <c r="M9" s="358"/>
      <c r="N9" s="358"/>
      <c r="O9" s="358">
        <f t="shared" si="0"/>
        <v>3189840</v>
      </c>
      <c r="P9" s="385">
        <v>5300000</v>
      </c>
      <c r="Q9" s="358">
        <f t="shared" ref="Q9:Q26" si="2">P9-O9</f>
        <v>2110160</v>
      </c>
      <c r="R9" s="195"/>
      <c r="S9" s="195"/>
    </row>
    <row r="10" spans="1:21" ht="21.75" customHeight="1" x14ac:dyDescent="0.25">
      <c r="A10" s="350">
        <v>3</v>
      </c>
      <c r="B10" s="482">
        <v>45175</v>
      </c>
      <c r="C10" s="366" t="s">
        <v>1342</v>
      </c>
      <c r="D10" s="501" t="s">
        <v>5033</v>
      </c>
      <c r="E10" s="354" t="s">
        <v>5026</v>
      </c>
      <c r="F10" s="368"/>
      <c r="G10" s="369">
        <v>235</v>
      </c>
      <c r="H10" s="358">
        <f>G10*22640+30*22640</f>
        <v>5999600</v>
      </c>
      <c r="I10" s="358"/>
      <c r="J10" s="414">
        <v>1960000</v>
      </c>
      <c r="K10" s="371"/>
      <c r="L10" s="372"/>
      <c r="M10" s="358"/>
      <c r="N10" s="358"/>
      <c r="O10" s="358">
        <f t="shared" si="0"/>
        <v>7959600</v>
      </c>
      <c r="P10" s="385">
        <v>14450000</v>
      </c>
      <c r="Q10" s="358">
        <f t="shared" si="2"/>
        <v>6490400</v>
      </c>
      <c r="R10" s="195"/>
      <c r="S10" s="195"/>
    </row>
    <row r="11" spans="1:21" ht="21.75" customHeight="1" x14ac:dyDescent="0.25">
      <c r="A11" s="350">
        <v>4</v>
      </c>
      <c r="B11" s="482">
        <v>45177</v>
      </c>
      <c r="C11" s="366" t="s">
        <v>5019</v>
      </c>
      <c r="D11" s="501" t="s">
        <v>5034</v>
      </c>
      <c r="E11" s="354" t="s">
        <v>5027</v>
      </c>
      <c r="F11" s="368"/>
      <c r="G11" s="369">
        <v>426</v>
      </c>
      <c r="H11" s="358">
        <f>(G11-30)*23050</f>
        <v>9127800</v>
      </c>
      <c r="I11" s="358"/>
      <c r="J11" s="414">
        <v>4140000</v>
      </c>
      <c r="K11" s="371"/>
      <c r="L11" s="372"/>
      <c r="M11" s="358"/>
      <c r="N11" s="358"/>
      <c r="O11" s="358">
        <f t="shared" si="0"/>
        <v>13267800</v>
      </c>
      <c r="P11" s="385">
        <v>23850000</v>
      </c>
      <c r="Q11" s="358">
        <f t="shared" si="2"/>
        <v>10582200</v>
      </c>
      <c r="R11" s="195"/>
      <c r="S11" s="195"/>
      <c r="U11" s="195"/>
    </row>
    <row r="12" spans="1:21" ht="21.75" customHeight="1" x14ac:dyDescent="0.25">
      <c r="A12" s="350">
        <v>5</v>
      </c>
      <c r="B12" s="482">
        <v>45180</v>
      </c>
      <c r="C12" s="366" t="s">
        <v>2029</v>
      </c>
      <c r="D12" s="501" t="s">
        <v>5035</v>
      </c>
      <c r="E12" s="354" t="s">
        <v>24</v>
      </c>
      <c r="F12" s="368"/>
      <c r="G12" s="369">
        <v>180</v>
      </c>
      <c r="H12" s="358">
        <f>G12*23050</f>
        <v>4149000</v>
      </c>
      <c r="I12" s="358"/>
      <c r="J12" s="414">
        <v>1530000</v>
      </c>
      <c r="K12" s="371"/>
      <c r="L12" s="372"/>
      <c r="M12" s="358"/>
      <c r="N12" s="358"/>
      <c r="O12" s="358">
        <f t="shared" si="0"/>
        <v>5679000</v>
      </c>
      <c r="P12" s="385">
        <v>8666667</v>
      </c>
      <c r="Q12" s="358">
        <f t="shared" si="2"/>
        <v>2987667</v>
      </c>
      <c r="R12" s="195"/>
      <c r="S12" s="195"/>
    </row>
    <row r="13" spans="1:21" ht="21.75" customHeight="1" x14ac:dyDescent="0.25">
      <c r="A13" s="350">
        <v>6</v>
      </c>
      <c r="B13" s="482">
        <v>45181</v>
      </c>
      <c r="C13" s="366" t="s">
        <v>4544</v>
      </c>
      <c r="D13" s="501" t="s">
        <v>686</v>
      </c>
      <c r="E13" s="354" t="s">
        <v>286</v>
      </c>
      <c r="F13" s="368"/>
      <c r="G13" s="369">
        <v>68</v>
      </c>
      <c r="H13" s="358">
        <f t="shared" ref="H13:H18" si="3">(G13+6)*23050</f>
        <v>1705700</v>
      </c>
      <c r="I13" s="358"/>
      <c r="J13" s="414">
        <v>610000</v>
      </c>
      <c r="K13" s="371"/>
      <c r="L13" s="372"/>
      <c r="M13" s="358"/>
      <c r="N13" s="358"/>
      <c r="O13" s="358">
        <f t="shared" si="0"/>
        <v>2315700</v>
      </c>
      <c r="P13" s="385">
        <v>3850000</v>
      </c>
      <c r="Q13" s="358">
        <f t="shared" si="2"/>
        <v>1534300</v>
      </c>
      <c r="R13" s="195"/>
      <c r="S13" s="195"/>
    </row>
    <row r="14" spans="1:21" ht="21.75" customHeight="1" x14ac:dyDescent="0.25">
      <c r="A14" s="350">
        <v>7</v>
      </c>
      <c r="B14" s="482">
        <v>45182</v>
      </c>
      <c r="C14" s="366" t="s">
        <v>5020</v>
      </c>
      <c r="D14" s="501" t="s">
        <v>5036</v>
      </c>
      <c r="E14" s="354" t="s">
        <v>5028</v>
      </c>
      <c r="F14" s="368"/>
      <c r="G14" s="369">
        <v>101</v>
      </c>
      <c r="H14" s="358">
        <f t="shared" si="3"/>
        <v>2466350</v>
      </c>
      <c r="I14" s="358"/>
      <c r="J14" s="414">
        <v>890000</v>
      </c>
      <c r="K14" s="371"/>
      <c r="L14" s="372"/>
      <c r="M14" s="358"/>
      <c r="N14" s="358"/>
      <c r="O14" s="358">
        <f t="shared" si="0"/>
        <v>3356350</v>
      </c>
      <c r="P14" s="385">
        <v>4800000</v>
      </c>
      <c r="Q14" s="358">
        <f t="shared" si="2"/>
        <v>1443650</v>
      </c>
      <c r="R14" s="195"/>
      <c r="S14" s="195"/>
    </row>
    <row r="15" spans="1:21" ht="21.75" customHeight="1" x14ac:dyDescent="0.25">
      <c r="A15" s="350">
        <v>8</v>
      </c>
      <c r="B15" s="482">
        <v>45183</v>
      </c>
      <c r="C15" s="366" t="s">
        <v>3929</v>
      </c>
      <c r="D15" s="501" t="s">
        <v>5037</v>
      </c>
      <c r="E15" s="354" t="s">
        <v>24</v>
      </c>
      <c r="F15" s="368"/>
      <c r="G15" s="369">
        <v>180</v>
      </c>
      <c r="H15" s="358">
        <f t="shared" si="3"/>
        <v>4287300</v>
      </c>
      <c r="I15" s="358"/>
      <c r="J15" s="414">
        <v>1530000</v>
      </c>
      <c r="K15" s="371"/>
      <c r="L15" s="372"/>
      <c r="M15" s="358"/>
      <c r="N15" s="358"/>
      <c r="O15" s="358">
        <f t="shared" si="0"/>
        <v>5817300</v>
      </c>
      <c r="P15" s="385">
        <v>8666667</v>
      </c>
      <c r="Q15" s="358">
        <f t="shared" si="2"/>
        <v>2849367</v>
      </c>
      <c r="R15" s="195"/>
      <c r="S15" s="195"/>
    </row>
    <row r="16" spans="1:21" ht="21.75" customHeight="1" x14ac:dyDescent="0.25">
      <c r="A16" s="350">
        <v>9</v>
      </c>
      <c r="B16" s="482">
        <v>45184</v>
      </c>
      <c r="C16" s="366" t="s">
        <v>5021</v>
      </c>
      <c r="D16" s="501" t="s">
        <v>5038</v>
      </c>
      <c r="E16" s="354" t="s">
        <v>850</v>
      </c>
      <c r="F16" s="368"/>
      <c r="G16" s="369">
        <v>126</v>
      </c>
      <c r="H16" s="358">
        <f t="shared" si="3"/>
        <v>3042600</v>
      </c>
      <c r="I16" s="358"/>
      <c r="J16" s="414">
        <v>790000</v>
      </c>
      <c r="K16" s="371"/>
      <c r="L16" s="372"/>
      <c r="M16" s="358"/>
      <c r="N16" s="358"/>
      <c r="O16" s="358">
        <f t="shared" si="0"/>
        <v>3832600</v>
      </c>
      <c r="P16" s="385">
        <v>5670370</v>
      </c>
      <c r="Q16" s="358">
        <f t="shared" si="2"/>
        <v>1837770</v>
      </c>
      <c r="R16" s="195"/>
      <c r="S16" s="195"/>
      <c r="U16" s="195"/>
    </row>
    <row r="17" spans="1:19" ht="21.75" customHeight="1" x14ac:dyDescent="0.25">
      <c r="A17" s="350">
        <v>10</v>
      </c>
      <c r="B17" s="482">
        <v>45187</v>
      </c>
      <c r="C17" s="366" t="s">
        <v>2708</v>
      </c>
      <c r="D17" s="501" t="s">
        <v>5039</v>
      </c>
      <c r="E17" s="354" t="s">
        <v>5029</v>
      </c>
      <c r="F17" s="368"/>
      <c r="G17" s="369">
        <v>86</v>
      </c>
      <c r="H17" s="358">
        <f t="shared" si="3"/>
        <v>2120600</v>
      </c>
      <c r="I17" s="358"/>
      <c r="J17" s="414">
        <v>430000</v>
      </c>
      <c r="K17" s="371"/>
      <c r="L17" s="372"/>
      <c r="M17" s="358"/>
      <c r="N17" s="358"/>
      <c r="O17" s="358">
        <f t="shared" si="0"/>
        <v>2550600</v>
      </c>
      <c r="P17" s="385">
        <v>3990000</v>
      </c>
      <c r="Q17" s="358">
        <f t="shared" si="2"/>
        <v>1439400</v>
      </c>
      <c r="R17" s="195"/>
      <c r="S17" s="195"/>
    </row>
    <row r="18" spans="1:19" ht="21.75" customHeight="1" x14ac:dyDescent="0.25">
      <c r="A18" s="470">
        <v>11</v>
      </c>
      <c r="B18" s="487">
        <v>45187</v>
      </c>
      <c r="C18" s="366" t="s">
        <v>1362</v>
      </c>
      <c r="D18" s="501" t="s">
        <v>5040</v>
      </c>
      <c r="E18" s="354" t="s">
        <v>4283</v>
      </c>
      <c r="F18" s="461"/>
      <c r="G18" s="369">
        <v>276</v>
      </c>
      <c r="H18" s="358">
        <f t="shared" si="3"/>
        <v>6500100</v>
      </c>
      <c r="I18" s="494"/>
      <c r="J18" s="436">
        <v>3020000</v>
      </c>
      <c r="K18" s="371"/>
      <c r="L18" s="372"/>
      <c r="M18" s="381"/>
      <c r="N18" s="381"/>
      <c r="O18" s="358">
        <f t="shared" si="0"/>
        <v>9520100</v>
      </c>
      <c r="P18" s="385">
        <v>14400000</v>
      </c>
      <c r="Q18" s="358">
        <f t="shared" si="2"/>
        <v>4879900</v>
      </c>
      <c r="R18" s="195"/>
      <c r="S18" s="195"/>
    </row>
    <row r="19" spans="1:19" ht="21.75" customHeight="1" x14ac:dyDescent="0.25">
      <c r="A19" s="350">
        <v>12</v>
      </c>
      <c r="B19" s="495">
        <v>45188</v>
      </c>
      <c r="C19" s="496" t="s">
        <v>3932</v>
      </c>
      <c r="D19" s="503" t="s">
        <v>5048</v>
      </c>
      <c r="E19" s="484" t="s">
        <v>4429</v>
      </c>
      <c r="F19" s="497"/>
      <c r="G19" s="369">
        <v>65</v>
      </c>
      <c r="H19" s="358">
        <f>(G19+6)*23050</f>
        <v>1636550</v>
      </c>
      <c r="I19" s="494"/>
      <c r="J19" s="436">
        <v>430000</v>
      </c>
      <c r="K19" s="371"/>
      <c r="L19" s="372"/>
      <c r="M19" s="381"/>
      <c r="N19" s="381"/>
      <c r="O19" s="358">
        <f t="shared" si="0"/>
        <v>2066550</v>
      </c>
      <c r="P19" s="385">
        <v>3450000</v>
      </c>
      <c r="Q19" s="358">
        <f t="shared" si="2"/>
        <v>1383450</v>
      </c>
      <c r="R19" s="195" t="s">
        <v>5049</v>
      </c>
      <c r="S19" s="195"/>
    </row>
    <row r="20" spans="1:19" ht="21.75" customHeight="1" x14ac:dyDescent="0.25">
      <c r="A20" s="350">
        <v>13</v>
      </c>
      <c r="B20" s="487">
        <v>45189</v>
      </c>
      <c r="C20" s="366" t="s">
        <v>601</v>
      </c>
      <c r="D20" s="501" t="s">
        <v>5041</v>
      </c>
      <c r="E20" s="354" t="s">
        <v>4283</v>
      </c>
      <c r="F20" s="461"/>
      <c r="G20" s="369">
        <v>276</v>
      </c>
      <c r="H20" s="358">
        <f>G20*23590</f>
        <v>6510840</v>
      </c>
      <c r="I20" s="494"/>
      <c r="J20" s="436">
        <v>3020000</v>
      </c>
      <c r="K20" s="371"/>
      <c r="L20" s="372"/>
      <c r="M20" s="381"/>
      <c r="N20" s="381"/>
      <c r="O20" s="358">
        <f t="shared" si="0"/>
        <v>9530840</v>
      </c>
      <c r="P20" s="385">
        <v>14400000</v>
      </c>
      <c r="Q20" s="358">
        <f t="shared" si="2"/>
        <v>4869160</v>
      </c>
      <c r="R20" s="195"/>
      <c r="S20" s="195"/>
    </row>
    <row r="21" spans="1:19" ht="21.75" customHeight="1" x14ac:dyDescent="0.25">
      <c r="A21" s="350">
        <v>14</v>
      </c>
      <c r="B21" s="487">
        <v>45190</v>
      </c>
      <c r="C21" s="366" t="s">
        <v>5022</v>
      </c>
      <c r="D21" s="501" t="s">
        <v>5042</v>
      </c>
      <c r="E21" s="354" t="s">
        <v>5030</v>
      </c>
      <c r="F21" s="461"/>
      <c r="G21" s="369">
        <v>105</v>
      </c>
      <c r="H21" s="358">
        <f t="shared" ref="H21:H26" si="4">G21*23590</f>
        <v>2476950</v>
      </c>
      <c r="I21" s="494"/>
      <c r="J21" s="436">
        <v>790000</v>
      </c>
      <c r="K21" s="371"/>
      <c r="L21" s="372"/>
      <c r="M21" s="381"/>
      <c r="N21" s="381"/>
      <c r="O21" s="358">
        <f t="shared" si="0"/>
        <v>3266950</v>
      </c>
      <c r="P21" s="385">
        <v>4600000</v>
      </c>
      <c r="Q21" s="358">
        <f t="shared" si="2"/>
        <v>1333050</v>
      </c>
      <c r="R21" s="195"/>
      <c r="S21" s="195"/>
    </row>
    <row r="22" spans="1:19" ht="21.75" customHeight="1" x14ac:dyDescent="0.25">
      <c r="A22" s="350">
        <v>15</v>
      </c>
      <c r="B22" s="487">
        <v>45194</v>
      </c>
      <c r="C22" s="366" t="s">
        <v>5023</v>
      </c>
      <c r="D22" s="501" t="s">
        <v>5043</v>
      </c>
      <c r="E22" s="354" t="s">
        <v>5029</v>
      </c>
      <c r="F22" s="461"/>
      <c r="G22" s="369">
        <v>81</v>
      </c>
      <c r="H22" s="358">
        <f t="shared" si="4"/>
        <v>1910790</v>
      </c>
      <c r="I22" s="494"/>
      <c r="J22" s="436">
        <v>430000</v>
      </c>
      <c r="K22" s="371"/>
      <c r="L22" s="372"/>
      <c r="M22" s="381"/>
      <c r="N22" s="381"/>
      <c r="O22" s="358">
        <f t="shared" si="0"/>
        <v>2340790</v>
      </c>
      <c r="P22" s="385">
        <v>3990000</v>
      </c>
      <c r="Q22" s="358">
        <f t="shared" si="2"/>
        <v>1649210</v>
      </c>
      <c r="R22" s="195"/>
      <c r="S22" s="195"/>
    </row>
    <row r="23" spans="1:19" ht="21.75" customHeight="1" x14ac:dyDescent="0.25">
      <c r="A23" s="350">
        <v>16</v>
      </c>
      <c r="B23" s="487">
        <v>45195</v>
      </c>
      <c r="C23" s="366" t="s">
        <v>5024</v>
      </c>
      <c r="D23" s="501" t="s">
        <v>5044</v>
      </c>
      <c r="E23" s="354" t="s">
        <v>636</v>
      </c>
      <c r="F23" s="461"/>
      <c r="G23" s="369">
        <v>61</v>
      </c>
      <c r="H23" s="358">
        <f t="shared" si="4"/>
        <v>1438990</v>
      </c>
      <c r="I23" s="494"/>
      <c r="J23" s="436">
        <v>530000</v>
      </c>
      <c r="K23" s="371"/>
      <c r="L23" s="372"/>
      <c r="M23" s="381"/>
      <c r="N23" s="381"/>
      <c r="O23" s="358">
        <f t="shared" si="0"/>
        <v>1968990</v>
      </c>
      <c r="P23" s="385">
        <v>3700000</v>
      </c>
      <c r="Q23" s="358">
        <f t="shared" si="2"/>
        <v>1731010</v>
      </c>
      <c r="R23" s="195"/>
      <c r="S23" s="195"/>
    </row>
    <row r="24" spans="1:19" ht="21.75" customHeight="1" x14ac:dyDescent="0.25">
      <c r="A24" s="350">
        <v>17</v>
      </c>
      <c r="B24" s="487">
        <v>45196</v>
      </c>
      <c r="C24" s="366" t="s">
        <v>3292</v>
      </c>
      <c r="D24" s="501" t="s">
        <v>5045</v>
      </c>
      <c r="E24" s="354" t="s">
        <v>4848</v>
      </c>
      <c r="F24" s="461"/>
      <c r="G24" s="369">
        <v>153</v>
      </c>
      <c r="H24" s="358">
        <f t="shared" si="4"/>
        <v>3609270</v>
      </c>
      <c r="I24" s="494"/>
      <c r="J24" s="436">
        <v>1080000</v>
      </c>
      <c r="K24" s="371"/>
      <c r="L24" s="372"/>
      <c r="M24" s="381"/>
      <c r="N24" s="381"/>
      <c r="O24" s="358">
        <f t="shared" si="0"/>
        <v>4689270</v>
      </c>
      <c r="P24" s="385">
        <v>7400000</v>
      </c>
      <c r="Q24" s="358">
        <f t="shared" si="2"/>
        <v>2710730</v>
      </c>
      <c r="R24" s="195"/>
      <c r="S24" s="195"/>
    </row>
    <row r="25" spans="1:19" ht="21.75" customHeight="1" x14ac:dyDescent="0.25">
      <c r="A25" s="350">
        <v>18</v>
      </c>
      <c r="B25" s="487">
        <v>45198</v>
      </c>
      <c r="C25" s="366" t="s">
        <v>3293</v>
      </c>
      <c r="D25" s="502" t="s">
        <v>5046</v>
      </c>
      <c r="E25" s="354" t="s">
        <v>24</v>
      </c>
      <c r="F25" s="461"/>
      <c r="G25" s="369">
        <v>180</v>
      </c>
      <c r="H25" s="358">
        <f t="shared" si="4"/>
        <v>4246200</v>
      </c>
      <c r="I25" s="494"/>
      <c r="J25" s="436">
        <v>1530000</v>
      </c>
      <c r="K25" s="371"/>
      <c r="L25" s="372"/>
      <c r="M25" s="381"/>
      <c r="N25" s="381"/>
      <c r="O25" s="385">
        <f t="shared" si="0"/>
        <v>5776200</v>
      </c>
      <c r="P25" s="385">
        <v>8851852</v>
      </c>
      <c r="Q25" s="358">
        <f t="shared" si="2"/>
        <v>3075652</v>
      </c>
      <c r="R25" s="195"/>
      <c r="S25" s="195"/>
    </row>
    <row r="26" spans="1:19" ht="21.75" customHeight="1" x14ac:dyDescent="0.25">
      <c r="A26" s="350">
        <v>19</v>
      </c>
      <c r="B26" s="487">
        <v>45198</v>
      </c>
      <c r="C26" s="366" t="s">
        <v>5025</v>
      </c>
      <c r="D26" s="502" t="s">
        <v>5047</v>
      </c>
      <c r="E26" s="354" t="s">
        <v>4848</v>
      </c>
      <c r="F26" s="461"/>
      <c r="G26" s="369">
        <v>163</v>
      </c>
      <c r="H26" s="358">
        <f t="shared" si="4"/>
        <v>3845170</v>
      </c>
      <c r="I26" s="494"/>
      <c r="J26" s="436">
        <v>1080000</v>
      </c>
      <c r="K26" s="371"/>
      <c r="L26" s="372"/>
      <c r="M26" s="381"/>
      <c r="N26" s="381"/>
      <c r="O26" s="385">
        <f t="shared" si="0"/>
        <v>4925170</v>
      </c>
      <c r="P26" s="385">
        <v>7400000</v>
      </c>
      <c r="Q26" s="358">
        <f t="shared" si="2"/>
        <v>2474830</v>
      </c>
      <c r="R26" s="195"/>
      <c r="S26" s="195"/>
    </row>
    <row r="27" spans="1:19" ht="21.75" customHeight="1" x14ac:dyDescent="0.25">
      <c r="A27" s="350"/>
      <c r="B27" s="487"/>
      <c r="C27" s="366"/>
      <c r="D27" s="502"/>
      <c r="E27" s="354"/>
      <c r="F27" s="461"/>
      <c r="G27" s="369"/>
      <c r="H27" s="358"/>
      <c r="I27" s="494"/>
      <c r="J27" s="381"/>
      <c r="K27" s="371"/>
      <c r="L27" s="372"/>
      <c r="M27" s="381"/>
      <c r="N27" s="381"/>
      <c r="O27" s="385"/>
      <c r="P27" s="385"/>
      <c r="Q27" s="385"/>
      <c r="R27" s="195"/>
      <c r="S27" s="195"/>
    </row>
    <row r="28" spans="1:19" ht="27" customHeight="1" x14ac:dyDescent="0.25">
      <c r="A28" s="374"/>
      <c r="B28" s="488"/>
      <c r="C28" s="609" t="s">
        <v>1273</v>
      </c>
      <c r="D28" s="609"/>
      <c r="E28" s="609"/>
      <c r="F28" s="402"/>
      <c r="G28" s="358"/>
      <c r="H28" s="369"/>
      <c r="I28" s="403"/>
      <c r="J28" s="381"/>
      <c r="K28" s="435">
        <v>1200000</v>
      </c>
      <c r="L28" s="372"/>
      <c r="M28" s="381"/>
      <c r="N28" s="381"/>
      <c r="O28" s="385">
        <f>H28+J28+K28+L28+M28+N28</f>
        <v>1200000</v>
      </c>
      <c r="P28" s="385"/>
      <c r="Q28" s="385"/>
    </row>
    <row r="29" spans="1:19" ht="27" customHeight="1" x14ac:dyDescent="0.25">
      <c r="A29" s="386"/>
      <c r="B29" s="379"/>
      <c r="C29" s="594" t="s">
        <v>4535</v>
      </c>
      <c r="D29" s="595"/>
      <c r="E29" s="596"/>
      <c r="F29" s="402"/>
      <c r="G29" s="381"/>
      <c r="H29" s="369"/>
      <c r="J29" s="381"/>
      <c r="K29" s="437">
        <v>9704000</v>
      </c>
      <c r="L29" s="388"/>
      <c r="M29" s="381"/>
      <c r="N29" s="381"/>
      <c r="O29" s="385">
        <f t="shared" ref="O29:O36" si="5">H29+J29+K29+L29+M29+N29</f>
        <v>9704000</v>
      </c>
      <c r="P29" s="389"/>
      <c r="Q29" s="378"/>
    </row>
    <row r="30" spans="1:19" ht="27" customHeight="1" x14ac:dyDescent="0.25">
      <c r="A30" s="386"/>
      <c r="B30" s="379"/>
      <c r="C30" s="594" t="s">
        <v>5050</v>
      </c>
      <c r="D30" s="595"/>
      <c r="E30" s="596"/>
      <c r="F30" s="402"/>
      <c r="G30" s="381"/>
      <c r="H30" s="369"/>
      <c r="J30" s="381"/>
      <c r="K30" s="388"/>
      <c r="L30" s="437">
        <v>1722600</v>
      </c>
      <c r="M30" s="381"/>
      <c r="N30" s="388"/>
      <c r="O30" s="385">
        <f t="shared" si="5"/>
        <v>1722600</v>
      </c>
      <c r="P30" s="389"/>
      <c r="Q30" s="378"/>
    </row>
    <row r="31" spans="1:19" ht="27" customHeight="1" x14ac:dyDescent="0.25">
      <c r="A31" s="386"/>
      <c r="B31" s="379"/>
      <c r="C31" s="594" t="s">
        <v>5051</v>
      </c>
      <c r="D31" s="595"/>
      <c r="E31" s="596"/>
      <c r="F31" s="402"/>
      <c r="G31" s="381"/>
      <c r="H31" s="369"/>
      <c r="J31" s="381"/>
      <c r="K31" s="388"/>
      <c r="L31" s="388"/>
      <c r="M31" s="381"/>
      <c r="N31" s="388">
        <f>13500000/4</f>
        <v>3375000</v>
      </c>
      <c r="O31" s="385">
        <f t="shared" si="5"/>
        <v>3375000</v>
      </c>
      <c r="P31" s="389"/>
      <c r="Q31" s="378"/>
    </row>
    <row r="32" spans="1:19" ht="27" customHeight="1" x14ac:dyDescent="0.25">
      <c r="A32" s="386"/>
      <c r="B32" s="379"/>
      <c r="C32" s="594" t="s">
        <v>5052</v>
      </c>
      <c r="D32" s="595"/>
      <c r="E32" s="596"/>
      <c r="F32" s="402"/>
      <c r="G32" s="381"/>
      <c r="H32" s="369"/>
      <c r="J32" s="381"/>
      <c r="K32" s="388"/>
      <c r="L32" s="437">
        <v>200000</v>
      </c>
      <c r="M32" s="381"/>
      <c r="N32" s="388"/>
      <c r="O32" s="385">
        <f t="shared" si="5"/>
        <v>200000</v>
      </c>
      <c r="P32" s="389"/>
      <c r="Q32" s="378"/>
    </row>
    <row r="33" spans="1:18" ht="27" customHeight="1" x14ac:dyDescent="0.25">
      <c r="A33" s="386"/>
      <c r="B33" s="379"/>
      <c r="C33" s="594" t="s">
        <v>5053</v>
      </c>
      <c r="D33" s="595"/>
      <c r="E33" s="596"/>
      <c r="F33" s="402"/>
      <c r="G33" s="381"/>
      <c r="H33" s="369"/>
      <c r="J33" s="381"/>
      <c r="K33" s="388"/>
      <c r="L33" s="437">
        <v>650000</v>
      </c>
      <c r="M33" s="381"/>
      <c r="N33" s="388"/>
      <c r="O33" s="385">
        <f t="shared" si="5"/>
        <v>650000</v>
      </c>
      <c r="P33" s="389"/>
      <c r="Q33" s="378"/>
    </row>
    <row r="34" spans="1:18" ht="43.5" customHeight="1" x14ac:dyDescent="0.25">
      <c r="A34" s="386"/>
      <c r="B34" s="379"/>
      <c r="C34" s="594" t="s">
        <v>5059</v>
      </c>
      <c r="D34" s="595"/>
      <c r="E34" s="596"/>
      <c r="F34" s="402"/>
      <c r="G34" s="381"/>
      <c r="H34" s="369"/>
      <c r="J34" s="381"/>
      <c r="K34" s="388"/>
      <c r="L34" s="437">
        <v>4300000</v>
      </c>
      <c r="M34" s="381"/>
      <c r="N34" s="388"/>
      <c r="O34" s="385">
        <f t="shared" si="5"/>
        <v>4300000</v>
      </c>
      <c r="P34" s="389"/>
      <c r="Q34" s="378"/>
    </row>
    <row r="35" spans="1:18" ht="27" customHeight="1" x14ac:dyDescent="0.25">
      <c r="A35" s="386"/>
      <c r="B35" s="379"/>
      <c r="C35" s="594" t="s">
        <v>5173</v>
      </c>
      <c r="D35" s="595"/>
      <c r="E35" s="596"/>
      <c r="F35" s="402"/>
      <c r="G35" s="381"/>
      <c r="H35" s="369"/>
      <c r="J35" s="381"/>
      <c r="K35" s="388"/>
      <c r="L35" s="437">
        <v>200000</v>
      </c>
      <c r="M35" s="381"/>
      <c r="N35" s="388"/>
      <c r="O35" s="385">
        <f t="shared" si="5"/>
        <v>200000</v>
      </c>
      <c r="P35" s="389"/>
      <c r="Q35" s="378"/>
    </row>
    <row r="36" spans="1:18" ht="30.75" customHeight="1" x14ac:dyDescent="0.25">
      <c r="A36" s="386"/>
      <c r="B36" s="391"/>
      <c r="C36" s="579" t="s">
        <v>4406</v>
      </c>
      <c r="D36" s="580"/>
      <c r="E36" s="581"/>
      <c r="F36" s="461"/>
      <c r="G36" s="381"/>
      <c r="H36" s="369"/>
      <c r="I36" s="403"/>
      <c r="J36" s="381"/>
      <c r="K36" s="439">
        <v>7700000</v>
      </c>
      <c r="L36" s="394"/>
      <c r="M36" s="381"/>
      <c r="N36" s="381"/>
      <c r="O36" s="385">
        <f t="shared" si="5"/>
        <v>7700000</v>
      </c>
      <c r="P36" s="389"/>
      <c r="Q36" s="378"/>
    </row>
    <row r="37" spans="1:18" x14ac:dyDescent="0.25">
      <c r="A37" s="576" t="s">
        <v>19</v>
      </c>
      <c r="B37" s="577"/>
      <c r="C37" s="577"/>
      <c r="D37" s="577"/>
      <c r="E37" s="577"/>
      <c r="F37" s="578"/>
      <c r="G37" s="395">
        <f>SUM(G8:G36)</f>
        <v>3048</v>
      </c>
      <c r="H37" s="396">
        <f t="shared" ref="H37:P37" si="6">SUM(H7:H36)</f>
        <v>71548850</v>
      </c>
      <c r="I37" s="396">
        <f t="shared" si="6"/>
        <v>0</v>
      </c>
      <c r="J37" s="396">
        <f t="shared" si="6"/>
        <v>26110000</v>
      </c>
      <c r="K37" s="396">
        <f t="shared" si="6"/>
        <v>18604000</v>
      </c>
      <c r="L37" s="396">
        <f t="shared" si="6"/>
        <v>7072600</v>
      </c>
      <c r="M37" s="396">
        <f t="shared" si="6"/>
        <v>0</v>
      </c>
      <c r="N37" s="396">
        <f t="shared" si="6"/>
        <v>3375000</v>
      </c>
      <c r="O37" s="396">
        <f t="shared" si="6"/>
        <v>126710450</v>
      </c>
      <c r="P37" s="504">
        <f t="shared" si="6"/>
        <v>156102223</v>
      </c>
      <c r="Q37" s="396">
        <f>P37-O37</f>
        <v>29391773</v>
      </c>
      <c r="R37" s="195"/>
    </row>
    <row r="38" spans="1:18" x14ac:dyDescent="0.25">
      <c r="P38" s="294"/>
      <c r="Q38" s="295"/>
    </row>
    <row r="39" spans="1:18" x14ac:dyDescent="0.25">
      <c r="B39"/>
      <c r="G39"/>
      <c r="H39" s="294"/>
      <c r="P39" s="296" t="s">
        <v>1225</v>
      </c>
      <c r="Q39" s="295">
        <f>'08.2023'!Q34+'09.2023'!Q37</f>
        <v>321883930.33333331</v>
      </c>
    </row>
    <row r="40" spans="1:18" x14ac:dyDescent="0.25">
      <c r="B40"/>
      <c r="G40"/>
      <c r="Q40" s="294"/>
    </row>
    <row r="41" spans="1:18" x14ac:dyDescent="0.25">
      <c r="B41"/>
      <c r="G41"/>
      <c r="R41" s="195"/>
    </row>
  </sheetData>
  <mergeCells count="14">
    <mergeCell ref="C30:E30"/>
    <mergeCell ref="C36:E36"/>
    <mergeCell ref="A37:F37"/>
    <mergeCell ref="A1:Q1"/>
    <mergeCell ref="A2:Q2"/>
    <mergeCell ref="A3:Q3"/>
    <mergeCell ref="G5:N5"/>
    <mergeCell ref="C28:E28"/>
    <mergeCell ref="C29:E29"/>
    <mergeCell ref="C31:E31"/>
    <mergeCell ref="C32:E32"/>
    <mergeCell ref="C33:E33"/>
    <mergeCell ref="C34:E34"/>
    <mergeCell ref="C35:E35"/>
  </mergeCells>
  <pageMargins left="0.7" right="0.7" top="0.75" bottom="0.75" header="0.3" footer="0.3"/>
  <pageSetup paperSize="9" orientation="portrait" horizontalDpi="0" verticalDpi="0"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D79A0-2307-42FC-8298-53F0A2B94AD1}">
  <dimension ref="A1:U49"/>
  <sheetViews>
    <sheetView topLeftCell="A24" workbookViewId="0">
      <selection activeCell="C43" sqref="C43:E43"/>
    </sheetView>
  </sheetViews>
  <sheetFormatPr defaultColWidth="9.140625" defaultRowHeight="15" x14ac:dyDescent="0.25"/>
  <cols>
    <col min="1" max="1" width="4.5703125" customWidth="1"/>
    <col min="2" max="2" width="9.28515625" style="332" bestFit="1" customWidth="1"/>
    <col min="3" max="3" width="33.42578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21" ht="23.25" x14ac:dyDescent="0.25">
      <c r="A1" s="551" t="s">
        <v>0</v>
      </c>
      <c r="B1" s="551"/>
      <c r="C1" s="551"/>
      <c r="D1" s="551"/>
      <c r="E1" s="551"/>
      <c r="F1" s="551"/>
      <c r="G1" s="551"/>
      <c r="H1" s="551"/>
      <c r="I1" s="551"/>
      <c r="J1" s="551"/>
      <c r="K1" s="551"/>
      <c r="L1" s="551"/>
      <c r="M1" s="551"/>
      <c r="N1" s="551"/>
      <c r="O1" s="551"/>
      <c r="P1" s="551"/>
      <c r="Q1" s="551"/>
    </row>
    <row r="2" spans="1:21" ht="15.75" x14ac:dyDescent="0.25">
      <c r="A2" s="550" t="s">
        <v>103</v>
      </c>
      <c r="B2" s="550"/>
      <c r="C2" s="550"/>
      <c r="D2" s="550"/>
      <c r="E2" s="550"/>
      <c r="F2" s="550"/>
      <c r="G2" s="550"/>
      <c r="H2" s="550"/>
      <c r="I2" s="550"/>
      <c r="J2" s="550"/>
      <c r="K2" s="550"/>
      <c r="L2" s="550"/>
      <c r="M2" s="550"/>
      <c r="N2" s="550"/>
      <c r="O2" s="550"/>
      <c r="P2" s="550"/>
      <c r="Q2" s="550"/>
    </row>
    <row r="3" spans="1:21" ht="15.75" x14ac:dyDescent="0.25">
      <c r="A3" s="550" t="s">
        <v>5061</v>
      </c>
      <c r="B3" s="550"/>
      <c r="C3" s="550"/>
      <c r="D3" s="550"/>
      <c r="E3" s="550"/>
      <c r="F3" s="550"/>
      <c r="G3" s="550"/>
      <c r="H3" s="550"/>
      <c r="I3" s="550"/>
      <c r="J3" s="550"/>
      <c r="K3" s="550"/>
      <c r="L3" s="550"/>
      <c r="M3" s="550"/>
      <c r="N3" s="550"/>
      <c r="O3" s="550"/>
      <c r="P3" s="550"/>
      <c r="Q3" s="550"/>
    </row>
    <row r="4" spans="1:21" x14ac:dyDescent="0.25">
      <c r="A4" s="74"/>
      <c r="B4" s="99"/>
      <c r="C4" s="74"/>
      <c r="D4" s="74"/>
      <c r="E4" s="74" t="s">
        <v>194</v>
      </c>
      <c r="F4" s="74"/>
      <c r="G4" s="257"/>
      <c r="H4" s="258"/>
      <c r="I4" s="258"/>
      <c r="J4" s="258"/>
      <c r="K4" s="258"/>
      <c r="L4" s="91"/>
      <c r="M4" s="258"/>
      <c r="N4" s="258"/>
      <c r="O4" s="258"/>
      <c r="P4" s="258"/>
      <c r="Q4" s="258"/>
    </row>
    <row r="5" spans="1:21"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21"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21" x14ac:dyDescent="0.25">
      <c r="A7" s="75"/>
      <c r="B7" s="100"/>
      <c r="C7" s="88"/>
      <c r="D7" s="88"/>
      <c r="E7" s="134"/>
      <c r="F7" s="75"/>
      <c r="G7" s="264"/>
      <c r="H7" s="264"/>
      <c r="I7" s="264"/>
      <c r="J7" s="264"/>
      <c r="K7" s="264"/>
      <c r="L7" s="308"/>
      <c r="M7" s="264"/>
      <c r="N7" s="264"/>
      <c r="O7" s="265"/>
      <c r="P7" s="265"/>
      <c r="Q7" s="264"/>
    </row>
    <row r="8" spans="1:21" ht="21.75" customHeight="1" x14ac:dyDescent="0.25">
      <c r="A8" s="470">
        <v>1</v>
      </c>
      <c r="B8" s="472">
        <v>45199</v>
      </c>
      <c r="C8" s="366" t="s">
        <v>2734</v>
      </c>
      <c r="D8" s="500" t="s">
        <v>5071</v>
      </c>
      <c r="E8" s="354" t="s">
        <v>1212</v>
      </c>
      <c r="F8" s="368"/>
      <c r="G8" s="369">
        <v>257</v>
      </c>
      <c r="H8" s="358">
        <f>G8*23590</f>
        <v>6062630</v>
      </c>
      <c r="I8" s="358"/>
      <c r="J8" s="414">
        <v>2380000</v>
      </c>
      <c r="K8" s="371"/>
      <c r="L8" s="372"/>
      <c r="M8" s="358"/>
      <c r="N8" s="358"/>
      <c r="O8" s="358">
        <f t="shared" ref="O8:O29" si="0">H8+J8+K8+L8+M8+N8</f>
        <v>8442630</v>
      </c>
      <c r="P8" s="358">
        <v>14074074</v>
      </c>
      <c r="Q8" s="358">
        <f>P8-O8</f>
        <v>5631444</v>
      </c>
      <c r="R8" s="195"/>
      <c r="S8" s="195"/>
    </row>
    <row r="9" spans="1:21" ht="21.75" customHeight="1" x14ac:dyDescent="0.25">
      <c r="A9" s="350">
        <v>2</v>
      </c>
      <c r="B9" s="482">
        <v>45201</v>
      </c>
      <c r="C9" s="366" t="s">
        <v>5062</v>
      </c>
      <c r="D9" s="501" t="s">
        <v>5072</v>
      </c>
      <c r="E9" s="354" t="s">
        <v>4283</v>
      </c>
      <c r="F9" s="368"/>
      <c r="G9" s="369">
        <v>274</v>
      </c>
      <c r="H9" s="358">
        <f>G9*23590</f>
        <v>6463660</v>
      </c>
      <c r="I9" s="358"/>
      <c r="J9" s="414">
        <v>3020000</v>
      </c>
      <c r="K9" s="371"/>
      <c r="L9" s="372"/>
      <c r="M9" s="358"/>
      <c r="N9" s="358"/>
      <c r="O9" s="358">
        <f t="shared" si="0"/>
        <v>9483660</v>
      </c>
      <c r="P9" s="385">
        <v>14907407</v>
      </c>
      <c r="Q9" s="358">
        <f t="shared" ref="Q9:Q29" si="1">P9-O9</f>
        <v>5423747</v>
      </c>
      <c r="R9" s="195"/>
      <c r="S9" s="195"/>
    </row>
    <row r="10" spans="1:21" ht="21.75" customHeight="1" x14ac:dyDescent="0.25">
      <c r="A10" s="350">
        <v>3</v>
      </c>
      <c r="B10" s="482">
        <v>45202</v>
      </c>
      <c r="C10" s="366" t="s">
        <v>3997</v>
      </c>
      <c r="D10" s="501" t="s">
        <v>937</v>
      </c>
      <c r="E10" s="354" t="s">
        <v>563</v>
      </c>
      <c r="F10" s="368"/>
      <c r="G10" s="369">
        <v>69</v>
      </c>
      <c r="H10" s="358">
        <f t="shared" ref="H10:H14" si="2">G10*23590</f>
        <v>1627710</v>
      </c>
      <c r="I10" s="358"/>
      <c r="J10" s="414">
        <v>790000</v>
      </c>
      <c r="K10" s="371"/>
      <c r="L10" s="372"/>
      <c r="M10" s="358"/>
      <c r="N10" s="358"/>
      <c r="O10" s="358">
        <f t="shared" si="0"/>
        <v>2417710</v>
      </c>
      <c r="P10" s="385">
        <v>3670000</v>
      </c>
      <c r="Q10" s="358">
        <f t="shared" si="1"/>
        <v>1252290</v>
      </c>
      <c r="R10" s="195"/>
      <c r="S10" s="195"/>
    </row>
    <row r="11" spans="1:21" ht="21.75" customHeight="1" x14ac:dyDescent="0.25">
      <c r="A11" s="350">
        <v>4</v>
      </c>
      <c r="B11" s="482">
        <v>45203</v>
      </c>
      <c r="C11" s="366" t="s">
        <v>3998</v>
      </c>
      <c r="D11" s="501" t="s">
        <v>5073</v>
      </c>
      <c r="E11" s="354" t="s">
        <v>1212</v>
      </c>
      <c r="F11" s="368"/>
      <c r="G11" s="369">
        <v>253</v>
      </c>
      <c r="H11" s="358">
        <f t="shared" si="2"/>
        <v>5968270</v>
      </c>
      <c r="I11" s="358"/>
      <c r="J11" s="414">
        <v>2380000</v>
      </c>
      <c r="K11" s="371"/>
      <c r="L11" s="372"/>
      <c r="M11" s="358"/>
      <c r="N11" s="358"/>
      <c r="O11" s="358">
        <f t="shared" si="0"/>
        <v>8348270</v>
      </c>
      <c r="P11" s="385">
        <v>14053031</v>
      </c>
      <c r="Q11" s="358">
        <f t="shared" si="1"/>
        <v>5704761</v>
      </c>
      <c r="R11" s="195"/>
      <c r="S11" s="195"/>
      <c r="U11" s="195"/>
    </row>
    <row r="12" spans="1:21" ht="21.75" customHeight="1" x14ac:dyDescent="0.25">
      <c r="A12" s="350">
        <v>5</v>
      </c>
      <c r="B12" s="482">
        <v>45204</v>
      </c>
      <c r="C12" s="366" t="s">
        <v>3329</v>
      </c>
      <c r="D12" s="501" t="s">
        <v>5074</v>
      </c>
      <c r="E12" s="354" t="s">
        <v>24</v>
      </c>
      <c r="F12" s="368"/>
      <c r="G12" s="369">
        <v>180</v>
      </c>
      <c r="H12" s="358">
        <f t="shared" si="2"/>
        <v>4246200</v>
      </c>
      <c r="I12" s="358"/>
      <c r="J12" s="414">
        <v>1530000</v>
      </c>
      <c r="K12" s="371"/>
      <c r="L12" s="372"/>
      <c r="M12" s="358"/>
      <c r="N12" s="358"/>
      <c r="O12" s="358">
        <f t="shared" si="0"/>
        <v>5776200</v>
      </c>
      <c r="P12" s="385">
        <v>8851852</v>
      </c>
      <c r="Q12" s="358">
        <f t="shared" si="1"/>
        <v>3075652</v>
      </c>
      <c r="R12" s="195"/>
      <c r="S12" s="195"/>
    </row>
    <row r="13" spans="1:21" ht="21.75" customHeight="1" x14ac:dyDescent="0.25">
      <c r="A13" s="350">
        <v>6</v>
      </c>
      <c r="B13" s="482">
        <v>45205</v>
      </c>
      <c r="C13" s="366" t="s">
        <v>1394</v>
      </c>
      <c r="D13" s="501" t="s">
        <v>5075</v>
      </c>
      <c r="E13" s="354" t="s">
        <v>21</v>
      </c>
      <c r="F13" s="368"/>
      <c r="G13" s="369">
        <v>240</v>
      </c>
      <c r="H13" s="358">
        <f t="shared" si="2"/>
        <v>5661600</v>
      </c>
      <c r="I13" s="358"/>
      <c r="J13" s="414">
        <v>2380000</v>
      </c>
      <c r="K13" s="371"/>
      <c r="L13" s="372"/>
      <c r="M13" s="358"/>
      <c r="N13" s="358"/>
      <c r="O13" s="358">
        <f t="shared" si="0"/>
        <v>8041600</v>
      </c>
      <c r="P13" s="385">
        <v>13796296</v>
      </c>
      <c r="Q13" s="358">
        <f t="shared" si="1"/>
        <v>5754696</v>
      </c>
      <c r="R13" s="195"/>
      <c r="S13" s="195"/>
    </row>
    <row r="14" spans="1:21" ht="21.75" customHeight="1" x14ac:dyDescent="0.25">
      <c r="A14" s="350">
        <v>7</v>
      </c>
      <c r="B14" s="482">
        <v>45208</v>
      </c>
      <c r="C14" s="366" t="s">
        <v>5063</v>
      </c>
      <c r="D14" s="501" t="s">
        <v>4754</v>
      </c>
      <c r="E14" s="354" t="s">
        <v>5091</v>
      </c>
      <c r="F14" s="368"/>
      <c r="G14" s="369">
        <v>70</v>
      </c>
      <c r="H14" s="358">
        <f t="shared" si="2"/>
        <v>1651300</v>
      </c>
      <c r="I14" s="358"/>
      <c r="J14" s="414">
        <v>430000</v>
      </c>
      <c r="K14" s="371"/>
      <c r="L14" s="372"/>
      <c r="M14" s="358"/>
      <c r="N14" s="358"/>
      <c r="O14" s="358">
        <f t="shared" si="0"/>
        <v>2081300</v>
      </c>
      <c r="P14" s="385">
        <v>3450000</v>
      </c>
      <c r="Q14" s="358">
        <f t="shared" si="1"/>
        <v>1368700</v>
      </c>
      <c r="R14" s="195"/>
      <c r="S14" s="195"/>
    </row>
    <row r="15" spans="1:21" ht="21.75" customHeight="1" x14ac:dyDescent="0.25">
      <c r="A15" s="350">
        <v>8</v>
      </c>
      <c r="B15" s="482">
        <v>45208</v>
      </c>
      <c r="C15" s="366" t="s">
        <v>5064</v>
      </c>
      <c r="D15" s="501" t="s">
        <v>5076</v>
      </c>
      <c r="E15" s="354" t="s">
        <v>24</v>
      </c>
      <c r="F15" s="368"/>
      <c r="G15" s="369">
        <v>131</v>
      </c>
      <c r="H15" s="358">
        <f>G15*23590+19*23590</f>
        <v>3538500</v>
      </c>
      <c r="I15" s="358"/>
      <c r="J15" s="358"/>
      <c r="K15" s="371"/>
      <c r="L15" s="372"/>
      <c r="M15" s="358"/>
      <c r="N15" s="358"/>
      <c r="O15" s="358">
        <f t="shared" si="0"/>
        <v>3538500</v>
      </c>
      <c r="P15" s="385">
        <v>0</v>
      </c>
      <c r="Q15" s="358">
        <f t="shared" si="1"/>
        <v>-3538500</v>
      </c>
      <c r="R15" s="195"/>
      <c r="S15" s="195"/>
    </row>
    <row r="16" spans="1:21" ht="21.75" customHeight="1" x14ac:dyDescent="0.25">
      <c r="A16" s="350">
        <v>9</v>
      </c>
      <c r="B16" s="482">
        <v>45209</v>
      </c>
      <c r="C16" s="366" t="s">
        <v>4584</v>
      </c>
      <c r="D16" s="501" t="s">
        <v>5077</v>
      </c>
      <c r="E16" s="354" t="s">
        <v>24</v>
      </c>
      <c r="F16" s="368"/>
      <c r="G16" s="369">
        <v>193</v>
      </c>
      <c r="H16" s="358">
        <f>(G16-19)*22410</f>
        <v>3899340</v>
      </c>
      <c r="I16" s="358"/>
      <c r="J16" s="414">
        <v>1530000</v>
      </c>
      <c r="K16" s="371"/>
      <c r="L16" s="372"/>
      <c r="M16" s="358"/>
      <c r="N16" s="358"/>
      <c r="O16" s="358">
        <f t="shared" si="0"/>
        <v>5429340</v>
      </c>
      <c r="P16" s="385">
        <v>9259259</v>
      </c>
      <c r="Q16" s="358">
        <f t="shared" si="1"/>
        <v>3829919</v>
      </c>
      <c r="R16" s="195"/>
      <c r="S16" s="195"/>
      <c r="U16" s="195"/>
    </row>
    <row r="17" spans="1:19" ht="21.75" customHeight="1" x14ac:dyDescent="0.25">
      <c r="A17" s="350">
        <v>10</v>
      </c>
      <c r="B17" s="482">
        <v>45210</v>
      </c>
      <c r="C17" s="366" t="s">
        <v>658</v>
      </c>
      <c r="D17" s="501" t="s">
        <v>5078</v>
      </c>
      <c r="E17" s="354" t="s">
        <v>2959</v>
      </c>
      <c r="F17" s="368"/>
      <c r="G17" s="369">
        <v>58</v>
      </c>
      <c r="H17" s="358">
        <f>G17*22410</f>
        <v>1299780</v>
      </c>
      <c r="I17" s="358"/>
      <c r="J17" s="414">
        <v>430000</v>
      </c>
      <c r="K17" s="371"/>
      <c r="L17" s="372"/>
      <c r="M17" s="358"/>
      <c r="N17" s="358"/>
      <c r="O17" s="358">
        <f t="shared" si="0"/>
        <v>1729780</v>
      </c>
      <c r="P17" s="385">
        <v>3200000</v>
      </c>
      <c r="Q17" s="358">
        <f t="shared" si="1"/>
        <v>1470220</v>
      </c>
      <c r="R17" s="195"/>
      <c r="S17" s="195"/>
    </row>
    <row r="18" spans="1:19" ht="21.75" customHeight="1" x14ac:dyDescent="0.25">
      <c r="A18" s="470">
        <v>11</v>
      </c>
      <c r="B18" s="487">
        <v>45211</v>
      </c>
      <c r="C18" s="366" t="s">
        <v>5065</v>
      </c>
      <c r="D18" s="501" t="s">
        <v>5079</v>
      </c>
      <c r="E18" s="354" t="s">
        <v>24</v>
      </c>
      <c r="F18" s="461"/>
      <c r="G18" s="369">
        <v>183</v>
      </c>
      <c r="H18" s="358">
        <f t="shared" ref="H18:H23" si="3">G18*22410</f>
        <v>4101030</v>
      </c>
      <c r="I18" s="494"/>
      <c r="J18" s="436">
        <v>1530000</v>
      </c>
      <c r="K18" s="371"/>
      <c r="L18" s="372"/>
      <c r="M18" s="381"/>
      <c r="N18" s="381"/>
      <c r="O18" s="358">
        <f t="shared" si="0"/>
        <v>5631030</v>
      </c>
      <c r="P18" s="385">
        <v>8851852</v>
      </c>
      <c r="Q18" s="358">
        <f t="shared" si="1"/>
        <v>3220822</v>
      </c>
      <c r="R18" s="195"/>
      <c r="S18" s="195"/>
    </row>
    <row r="19" spans="1:19" ht="21.75" customHeight="1" x14ac:dyDescent="0.25">
      <c r="A19" s="350">
        <v>12</v>
      </c>
      <c r="B19" s="487">
        <v>45213</v>
      </c>
      <c r="C19" s="366" t="s">
        <v>5066</v>
      </c>
      <c r="D19" s="501" t="s">
        <v>5080</v>
      </c>
      <c r="E19" s="354" t="s">
        <v>24</v>
      </c>
      <c r="F19" s="461"/>
      <c r="G19" s="369">
        <v>180</v>
      </c>
      <c r="H19" s="358">
        <f t="shared" si="3"/>
        <v>4033800</v>
      </c>
      <c r="I19" s="494"/>
      <c r="J19" s="436">
        <v>1530000</v>
      </c>
      <c r="K19" s="371"/>
      <c r="L19" s="372"/>
      <c r="M19" s="381"/>
      <c r="N19" s="381"/>
      <c r="O19" s="358">
        <f t="shared" si="0"/>
        <v>5563800</v>
      </c>
      <c r="P19" s="385">
        <v>8851852</v>
      </c>
      <c r="Q19" s="358">
        <f t="shared" si="1"/>
        <v>3288052</v>
      </c>
      <c r="R19" s="195"/>
      <c r="S19" s="195"/>
    </row>
    <row r="20" spans="1:19" ht="21.75" customHeight="1" x14ac:dyDescent="0.25">
      <c r="A20" s="350">
        <v>13</v>
      </c>
      <c r="B20" s="487">
        <v>45213</v>
      </c>
      <c r="C20" s="366" t="s">
        <v>5067</v>
      </c>
      <c r="D20" s="501" t="s">
        <v>5081</v>
      </c>
      <c r="E20" s="354" t="s">
        <v>4504</v>
      </c>
      <c r="F20" s="461"/>
      <c r="G20" s="398">
        <v>378</v>
      </c>
      <c r="H20" s="358">
        <f t="shared" si="3"/>
        <v>8470980</v>
      </c>
      <c r="I20" s="494"/>
      <c r="J20" s="436">
        <v>3870000</v>
      </c>
      <c r="K20" s="371"/>
      <c r="L20" s="372"/>
      <c r="M20" s="381"/>
      <c r="N20" s="381"/>
      <c r="O20" s="358">
        <f t="shared" si="0"/>
        <v>12340980</v>
      </c>
      <c r="P20" s="385">
        <v>21200000</v>
      </c>
      <c r="Q20" s="358">
        <f t="shared" si="1"/>
        <v>8859020</v>
      </c>
      <c r="R20" s="195"/>
      <c r="S20" s="195"/>
    </row>
    <row r="21" spans="1:19" ht="21.75" customHeight="1" x14ac:dyDescent="0.25">
      <c r="A21" s="350">
        <v>14</v>
      </c>
      <c r="B21" s="487">
        <v>45213</v>
      </c>
      <c r="C21" s="366" t="s">
        <v>1400</v>
      </c>
      <c r="D21" s="501" t="s">
        <v>5082</v>
      </c>
      <c r="E21" s="354" t="s">
        <v>21</v>
      </c>
      <c r="F21" s="461"/>
      <c r="G21" s="398">
        <v>240</v>
      </c>
      <c r="H21" s="358">
        <f t="shared" si="3"/>
        <v>5378400</v>
      </c>
      <c r="I21" s="494"/>
      <c r="J21" s="436">
        <v>2380000</v>
      </c>
      <c r="K21" s="371"/>
      <c r="L21" s="372"/>
      <c r="M21" s="381"/>
      <c r="N21" s="381"/>
      <c r="O21" s="358">
        <f t="shared" si="0"/>
        <v>7758400</v>
      </c>
      <c r="P21" s="385">
        <v>13518519</v>
      </c>
      <c r="Q21" s="358">
        <f t="shared" si="1"/>
        <v>5760119</v>
      </c>
      <c r="R21" s="195"/>
      <c r="S21" s="195"/>
    </row>
    <row r="22" spans="1:19" ht="21.75" customHeight="1" x14ac:dyDescent="0.25">
      <c r="A22" s="350">
        <v>15</v>
      </c>
      <c r="B22" s="487">
        <v>45217</v>
      </c>
      <c r="C22" s="366" t="s">
        <v>1402</v>
      </c>
      <c r="D22" s="501" t="s">
        <v>5083</v>
      </c>
      <c r="E22" s="354" t="s">
        <v>21</v>
      </c>
      <c r="F22" s="461"/>
      <c r="G22" s="369">
        <v>249</v>
      </c>
      <c r="H22" s="358">
        <f t="shared" si="3"/>
        <v>5580090</v>
      </c>
      <c r="I22" s="494"/>
      <c r="J22" s="436">
        <v>2380000</v>
      </c>
      <c r="K22" s="371"/>
      <c r="L22" s="372"/>
      <c r="M22" s="381"/>
      <c r="N22" s="381"/>
      <c r="O22" s="358">
        <f t="shared" si="0"/>
        <v>7960090</v>
      </c>
      <c r="P22" s="385">
        <v>13900000</v>
      </c>
      <c r="Q22" s="358">
        <f t="shared" si="1"/>
        <v>5939910</v>
      </c>
      <c r="R22" s="195"/>
      <c r="S22" s="195"/>
    </row>
    <row r="23" spans="1:19" ht="21.75" customHeight="1" x14ac:dyDescent="0.25">
      <c r="A23" s="350">
        <v>16</v>
      </c>
      <c r="B23" s="487">
        <v>45219</v>
      </c>
      <c r="C23" s="366" t="s">
        <v>5068</v>
      </c>
      <c r="D23" s="501" t="s">
        <v>5084</v>
      </c>
      <c r="E23" s="354" t="s">
        <v>4283</v>
      </c>
      <c r="F23" s="461"/>
      <c r="G23" s="369">
        <v>276</v>
      </c>
      <c r="H23" s="358">
        <f t="shared" si="3"/>
        <v>6185160</v>
      </c>
      <c r="I23" s="494"/>
      <c r="J23" s="436">
        <v>3020000</v>
      </c>
      <c r="K23" s="371"/>
      <c r="L23" s="372"/>
      <c r="M23" s="381"/>
      <c r="N23" s="381"/>
      <c r="O23" s="358">
        <f t="shared" si="0"/>
        <v>9205160</v>
      </c>
      <c r="P23" s="385">
        <v>14629630</v>
      </c>
      <c r="Q23" s="358">
        <f t="shared" si="1"/>
        <v>5424470</v>
      </c>
      <c r="R23" s="195"/>
      <c r="S23" s="195"/>
    </row>
    <row r="24" spans="1:19" ht="21.75" customHeight="1" x14ac:dyDescent="0.25">
      <c r="A24" s="350">
        <v>17</v>
      </c>
      <c r="B24" s="487">
        <v>45222</v>
      </c>
      <c r="C24" s="366" t="s">
        <v>5069</v>
      </c>
      <c r="D24" s="501" t="s">
        <v>5085</v>
      </c>
      <c r="E24" s="354" t="s">
        <v>5092</v>
      </c>
      <c r="F24" s="461"/>
      <c r="G24" s="369"/>
      <c r="H24" s="358"/>
      <c r="I24" s="494"/>
      <c r="J24" s="381"/>
      <c r="K24" s="371"/>
      <c r="L24" s="372"/>
      <c r="M24" s="381"/>
      <c r="N24" s="381"/>
      <c r="O24" s="358">
        <f t="shared" si="0"/>
        <v>0</v>
      </c>
      <c r="P24" s="481">
        <v>1000000</v>
      </c>
      <c r="Q24" s="358">
        <f t="shared" si="1"/>
        <v>1000000</v>
      </c>
      <c r="R24" s="195"/>
      <c r="S24" s="195"/>
    </row>
    <row r="25" spans="1:19" ht="21.75" customHeight="1" x14ac:dyDescent="0.25">
      <c r="A25" s="350">
        <v>18</v>
      </c>
      <c r="B25" s="487">
        <v>45222</v>
      </c>
      <c r="C25" s="366" t="s">
        <v>669</v>
      </c>
      <c r="D25" s="502" t="s">
        <v>5086</v>
      </c>
      <c r="E25" s="354" t="s">
        <v>2959</v>
      </c>
      <c r="F25" s="461"/>
      <c r="G25" s="369">
        <v>58</v>
      </c>
      <c r="H25" s="358">
        <f>G25*22480</f>
        <v>1303840</v>
      </c>
      <c r="I25" s="494"/>
      <c r="J25" s="436">
        <v>430000</v>
      </c>
      <c r="K25" s="371"/>
      <c r="L25" s="372"/>
      <c r="M25" s="381"/>
      <c r="N25" s="381"/>
      <c r="O25" s="385">
        <f t="shared" si="0"/>
        <v>1733840</v>
      </c>
      <c r="P25" s="385">
        <v>3200000</v>
      </c>
      <c r="Q25" s="358">
        <f t="shared" si="1"/>
        <v>1466160</v>
      </c>
      <c r="R25" s="195"/>
      <c r="S25" s="195"/>
    </row>
    <row r="26" spans="1:19" ht="21.75" customHeight="1" x14ac:dyDescent="0.25">
      <c r="A26" s="350">
        <v>19</v>
      </c>
      <c r="B26" s="487">
        <v>45223</v>
      </c>
      <c r="C26" s="366" t="s">
        <v>5070</v>
      </c>
      <c r="D26" s="502" t="s">
        <v>5087</v>
      </c>
      <c r="E26" s="354" t="s">
        <v>5093</v>
      </c>
      <c r="F26" s="461"/>
      <c r="G26" s="369">
        <v>6</v>
      </c>
      <c r="H26" s="358">
        <f t="shared" ref="H26:H29" si="4">G26*22480</f>
        <v>134880</v>
      </c>
      <c r="I26" s="494"/>
      <c r="J26" s="436">
        <v>300000</v>
      </c>
      <c r="K26" s="371"/>
      <c r="L26" s="372"/>
      <c r="M26" s="381"/>
      <c r="N26" s="381"/>
      <c r="O26" s="385">
        <f t="shared" si="0"/>
        <v>434880</v>
      </c>
      <c r="P26" s="385">
        <v>1700000</v>
      </c>
      <c r="Q26" s="358">
        <f t="shared" si="1"/>
        <v>1265120</v>
      </c>
      <c r="R26" s="195"/>
      <c r="S26" s="195"/>
    </row>
    <row r="27" spans="1:19" ht="21.75" customHeight="1" x14ac:dyDescent="0.25">
      <c r="A27" s="350">
        <v>20</v>
      </c>
      <c r="B27" s="487">
        <v>45224</v>
      </c>
      <c r="C27" s="366" t="s">
        <v>1405</v>
      </c>
      <c r="D27" s="502" t="s">
        <v>5088</v>
      </c>
      <c r="E27" s="354" t="s">
        <v>189</v>
      </c>
      <c r="F27" s="461"/>
      <c r="G27" s="369">
        <v>180</v>
      </c>
      <c r="H27" s="358">
        <f t="shared" si="4"/>
        <v>4046400</v>
      </c>
      <c r="I27" s="494"/>
      <c r="J27" s="436">
        <v>1530000</v>
      </c>
      <c r="K27" s="371"/>
      <c r="L27" s="372"/>
      <c r="M27" s="381"/>
      <c r="N27" s="381"/>
      <c r="O27" s="385">
        <f t="shared" si="0"/>
        <v>5576400</v>
      </c>
      <c r="P27" s="385">
        <v>11111111</v>
      </c>
      <c r="Q27" s="358">
        <f t="shared" si="1"/>
        <v>5534711</v>
      </c>
      <c r="R27" s="195"/>
      <c r="S27" s="195"/>
    </row>
    <row r="28" spans="1:19" ht="21.75" customHeight="1" x14ac:dyDescent="0.25">
      <c r="A28" s="350">
        <v>21</v>
      </c>
      <c r="B28" s="487">
        <v>45226</v>
      </c>
      <c r="C28" s="366" t="s">
        <v>672</v>
      </c>
      <c r="D28" s="502" t="s">
        <v>5089</v>
      </c>
      <c r="E28" s="354" t="s">
        <v>2959</v>
      </c>
      <c r="F28" s="461"/>
      <c r="G28" s="369">
        <v>58</v>
      </c>
      <c r="H28" s="358">
        <f t="shared" si="4"/>
        <v>1303840</v>
      </c>
      <c r="I28" s="494"/>
      <c r="J28" s="436">
        <v>430000</v>
      </c>
      <c r="K28" s="371"/>
      <c r="L28" s="372"/>
      <c r="M28" s="381"/>
      <c r="N28" s="381"/>
      <c r="O28" s="385">
        <f t="shared" si="0"/>
        <v>1733840</v>
      </c>
      <c r="P28" s="385">
        <v>3200000</v>
      </c>
      <c r="Q28" s="358">
        <f t="shared" si="1"/>
        <v>1466160</v>
      </c>
      <c r="R28" s="195"/>
      <c r="S28" s="195"/>
    </row>
    <row r="29" spans="1:19" ht="21.75" customHeight="1" x14ac:dyDescent="0.25">
      <c r="A29" s="350">
        <v>22</v>
      </c>
      <c r="B29" s="487">
        <v>45229</v>
      </c>
      <c r="C29" s="366" t="s">
        <v>2089</v>
      </c>
      <c r="D29" s="502" t="s">
        <v>5090</v>
      </c>
      <c r="E29" s="354" t="s">
        <v>4900</v>
      </c>
      <c r="F29" s="461"/>
      <c r="G29" s="369">
        <v>145</v>
      </c>
      <c r="H29" s="358">
        <f t="shared" si="4"/>
        <v>3259600</v>
      </c>
      <c r="I29" s="494"/>
      <c r="J29" s="436">
        <v>1040000</v>
      </c>
      <c r="K29" s="371"/>
      <c r="L29" s="372"/>
      <c r="M29" s="381"/>
      <c r="N29" s="381"/>
      <c r="O29" s="385">
        <f t="shared" si="0"/>
        <v>4299600</v>
      </c>
      <c r="P29" s="385">
        <v>7300000</v>
      </c>
      <c r="Q29" s="358">
        <f t="shared" si="1"/>
        <v>3000400</v>
      </c>
      <c r="R29" s="195"/>
      <c r="S29" s="195"/>
    </row>
    <row r="30" spans="1:19" ht="21.75" customHeight="1" x14ac:dyDescent="0.25">
      <c r="A30" s="350"/>
      <c r="B30" s="487"/>
      <c r="C30" s="366"/>
      <c r="D30" s="502"/>
      <c r="E30" s="354"/>
      <c r="F30" s="461"/>
      <c r="G30" s="369"/>
      <c r="H30" s="358"/>
      <c r="I30" s="494"/>
      <c r="J30" s="381"/>
      <c r="K30" s="371"/>
      <c r="L30" s="372"/>
      <c r="M30" s="381"/>
      <c r="N30" s="381"/>
      <c r="O30" s="385"/>
      <c r="P30" s="385"/>
      <c r="Q30" s="385"/>
      <c r="R30" s="195"/>
      <c r="S30" s="195"/>
    </row>
    <row r="31" spans="1:19" ht="24.95" customHeight="1" x14ac:dyDescent="0.25">
      <c r="A31" s="374"/>
      <c r="B31" s="488"/>
      <c r="C31" s="609" t="s">
        <v>1273</v>
      </c>
      <c r="D31" s="609"/>
      <c r="E31" s="609"/>
      <c r="F31" s="402"/>
      <c r="G31" s="358"/>
      <c r="H31" s="369"/>
      <c r="I31" s="403"/>
      <c r="J31" s="381"/>
      <c r="K31" s="435">
        <v>1200000</v>
      </c>
      <c r="L31" s="372"/>
      <c r="M31" s="381"/>
      <c r="N31" s="381"/>
      <c r="O31" s="385">
        <f>H31+J31+K31+L31+M31+N31</f>
        <v>1200000</v>
      </c>
      <c r="P31" s="385"/>
      <c r="Q31" s="385"/>
    </row>
    <row r="32" spans="1:19" ht="24.95" customHeight="1" x14ac:dyDescent="0.25">
      <c r="A32" s="386"/>
      <c r="B32" s="379"/>
      <c r="C32" s="594" t="s">
        <v>4535</v>
      </c>
      <c r="D32" s="595"/>
      <c r="E32" s="596"/>
      <c r="F32" s="402"/>
      <c r="G32" s="381"/>
      <c r="H32" s="369"/>
      <c r="J32" s="381"/>
      <c r="K32" s="437">
        <v>10270000</v>
      </c>
      <c r="L32" s="388"/>
      <c r="M32" s="381"/>
      <c r="N32" s="381"/>
      <c r="O32" s="385">
        <f t="shared" ref="O32:O44" si="5">H32+J32+K32+L32+M32+N32</f>
        <v>10270000</v>
      </c>
      <c r="P32" s="389"/>
      <c r="Q32" s="378"/>
    </row>
    <row r="33" spans="1:18" ht="24.95" customHeight="1" x14ac:dyDescent="0.25">
      <c r="A33" s="386"/>
      <c r="B33" s="379"/>
      <c r="C33" s="594" t="s">
        <v>5055</v>
      </c>
      <c r="D33" s="595"/>
      <c r="E33" s="596"/>
      <c r="F33" s="402"/>
      <c r="G33" s="381"/>
      <c r="H33" s="369"/>
      <c r="J33" s="381"/>
      <c r="K33" s="437">
        <v>8485000</v>
      </c>
      <c r="L33" s="388"/>
      <c r="M33" s="381"/>
      <c r="N33" s="388"/>
      <c r="O33" s="385">
        <f t="shared" si="5"/>
        <v>8485000</v>
      </c>
      <c r="P33" s="389"/>
      <c r="Q33" s="378"/>
    </row>
    <row r="34" spans="1:18" ht="24.95" customHeight="1" x14ac:dyDescent="0.25">
      <c r="A34" s="386"/>
      <c r="B34" s="379"/>
      <c r="C34" s="594" t="s">
        <v>5056</v>
      </c>
      <c r="D34" s="595"/>
      <c r="E34" s="596"/>
      <c r="F34" s="402"/>
      <c r="G34" s="381"/>
      <c r="H34" s="369"/>
      <c r="J34" s="381"/>
      <c r="K34" s="437">
        <v>579637</v>
      </c>
      <c r="L34" s="388"/>
      <c r="M34" s="381"/>
      <c r="N34" s="388"/>
      <c r="O34" s="385">
        <f t="shared" si="5"/>
        <v>579637</v>
      </c>
      <c r="P34" s="389"/>
      <c r="Q34" s="378"/>
    </row>
    <row r="35" spans="1:18" ht="24.95" customHeight="1" x14ac:dyDescent="0.25">
      <c r="A35" s="386"/>
      <c r="B35" s="379"/>
      <c r="C35" s="594" t="s">
        <v>5094</v>
      </c>
      <c r="D35" s="595"/>
      <c r="E35" s="596"/>
      <c r="F35" s="402"/>
      <c r="G35" s="381"/>
      <c r="H35" s="369"/>
      <c r="J35" s="381"/>
      <c r="K35" s="388"/>
      <c r="L35" s="437">
        <v>100000</v>
      </c>
      <c r="M35" s="381"/>
      <c r="N35" s="388"/>
      <c r="O35" s="385">
        <f t="shared" si="5"/>
        <v>100000</v>
      </c>
      <c r="P35" s="389"/>
      <c r="Q35" s="378"/>
    </row>
    <row r="36" spans="1:18" ht="24.95" customHeight="1" x14ac:dyDescent="0.25">
      <c r="A36" s="386"/>
      <c r="B36" s="379"/>
      <c r="C36" s="594" t="s">
        <v>5095</v>
      </c>
      <c r="D36" s="595"/>
      <c r="E36" s="596"/>
      <c r="F36" s="402"/>
      <c r="G36" s="381"/>
      <c r="H36" s="369"/>
      <c r="J36" s="381"/>
      <c r="K36" s="388"/>
      <c r="L36" s="437">
        <v>70000</v>
      </c>
      <c r="M36" s="381"/>
      <c r="N36" s="388"/>
      <c r="O36" s="385">
        <f t="shared" si="5"/>
        <v>70000</v>
      </c>
      <c r="P36" s="389"/>
      <c r="Q36" s="378"/>
    </row>
    <row r="37" spans="1:18" ht="24.95" customHeight="1" x14ac:dyDescent="0.25">
      <c r="A37" s="386"/>
      <c r="B37" s="379"/>
      <c r="C37" s="594" t="s">
        <v>5096</v>
      </c>
      <c r="D37" s="595"/>
      <c r="E37" s="596"/>
      <c r="F37" s="402"/>
      <c r="G37" s="381"/>
      <c r="H37" s="369"/>
      <c r="J37" s="381"/>
      <c r="K37" s="388"/>
      <c r="L37" s="437">
        <v>150000</v>
      </c>
      <c r="M37" s="381"/>
      <c r="N37" s="388"/>
      <c r="O37" s="385">
        <f t="shared" si="5"/>
        <v>150000</v>
      </c>
      <c r="P37" s="389"/>
      <c r="Q37" s="378"/>
    </row>
    <row r="38" spans="1:18" ht="24.95" customHeight="1" x14ac:dyDescent="0.25">
      <c r="A38" s="386"/>
      <c r="B38" s="379"/>
      <c r="C38" s="594" t="s">
        <v>5097</v>
      </c>
      <c r="D38" s="595"/>
      <c r="E38" s="596"/>
      <c r="F38" s="402"/>
      <c r="G38" s="381"/>
      <c r="H38" s="369"/>
      <c r="J38" s="381"/>
      <c r="K38" s="388"/>
      <c r="L38" s="437">
        <v>80000</v>
      </c>
      <c r="M38" s="381"/>
      <c r="N38" s="388"/>
      <c r="O38" s="385">
        <f t="shared" si="5"/>
        <v>80000</v>
      </c>
      <c r="P38" s="389"/>
      <c r="Q38" s="378"/>
    </row>
    <row r="39" spans="1:18" ht="24.95" customHeight="1" x14ac:dyDescent="0.25">
      <c r="A39" s="386"/>
      <c r="B39" s="379"/>
      <c r="C39" s="594" t="s">
        <v>5060</v>
      </c>
      <c r="D39" s="595"/>
      <c r="E39" s="596"/>
      <c r="F39" s="402"/>
      <c r="G39" s="381"/>
      <c r="H39" s="369"/>
      <c r="J39" s="381"/>
      <c r="K39" s="388"/>
      <c r="L39" s="388"/>
      <c r="M39" s="437">
        <v>11800000</v>
      </c>
      <c r="N39" s="388"/>
      <c r="O39" s="385">
        <f t="shared" si="5"/>
        <v>11800000</v>
      </c>
      <c r="P39" s="389"/>
      <c r="Q39" s="378"/>
    </row>
    <row r="40" spans="1:18" ht="24.95" customHeight="1" x14ac:dyDescent="0.25">
      <c r="A40" s="386"/>
      <c r="B40" s="379"/>
      <c r="C40" s="594" t="s">
        <v>5098</v>
      </c>
      <c r="D40" s="595"/>
      <c r="E40" s="596"/>
      <c r="F40" s="402"/>
      <c r="G40" s="381"/>
      <c r="H40" s="369"/>
      <c r="J40" s="381"/>
      <c r="K40" s="388"/>
      <c r="L40" s="388"/>
      <c r="M40" s="388"/>
      <c r="N40" s="437">
        <f>15050000/4</f>
        <v>3762500</v>
      </c>
      <c r="O40" s="385">
        <f t="shared" si="5"/>
        <v>3762500</v>
      </c>
      <c r="P40" s="389"/>
      <c r="Q40" s="378"/>
    </row>
    <row r="41" spans="1:18" ht="24.95" customHeight="1" x14ac:dyDescent="0.25">
      <c r="A41" s="386"/>
      <c r="B41" s="379"/>
      <c r="C41" s="594" t="s">
        <v>5099</v>
      </c>
      <c r="D41" s="595"/>
      <c r="E41" s="596"/>
      <c r="F41" s="402"/>
      <c r="G41" s="381"/>
      <c r="H41" s="369"/>
      <c r="J41" s="381"/>
      <c r="K41" s="388"/>
      <c r="L41" s="437">
        <f>2300400/3</f>
        <v>766800</v>
      </c>
      <c r="M41" s="388"/>
      <c r="N41" s="388"/>
      <c r="O41" s="385">
        <f t="shared" si="5"/>
        <v>766800</v>
      </c>
      <c r="P41" s="389"/>
      <c r="Q41" s="378"/>
    </row>
    <row r="42" spans="1:18" ht="24.95" customHeight="1" x14ac:dyDescent="0.25">
      <c r="A42" s="386"/>
      <c r="B42" s="379"/>
      <c r="C42" s="594" t="s">
        <v>5164</v>
      </c>
      <c r="D42" s="595"/>
      <c r="E42" s="596"/>
      <c r="F42" s="402"/>
      <c r="G42" s="381"/>
      <c r="H42" s="369"/>
      <c r="J42" s="381"/>
      <c r="K42" s="388"/>
      <c r="L42" s="437">
        <v>900000</v>
      </c>
      <c r="M42" s="388"/>
      <c r="N42" s="388"/>
      <c r="O42" s="385">
        <f t="shared" si="5"/>
        <v>900000</v>
      </c>
      <c r="P42" s="389"/>
      <c r="Q42" s="378"/>
    </row>
    <row r="43" spans="1:18" ht="24.95" customHeight="1" x14ac:dyDescent="0.25">
      <c r="A43" s="386"/>
      <c r="B43" s="379"/>
      <c r="C43" s="600" t="s">
        <v>5179</v>
      </c>
      <c r="D43" s="601"/>
      <c r="E43" s="602"/>
      <c r="F43" s="402"/>
      <c r="G43" s="381"/>
      <c r="H43" s="369"/>
      <c r="J43" s="381"/>
      <c r="K43" s="388"/>
      <c r="L43" s="412">
        <v>400000</v>
      </c>
      <c r="M43" s="388"/>
      <c r="N43" s="388"/>
      <c r="O43" s="385"/>
      <c r="P43" s="389"/>
      <c r="Q43" s="378"/>
    </row>
    <row r="44" spans="1:18" ht="24.95" customHeight="1" x14ac:dyDescent="0.25">
      <c r="A44" s="386"/>
      <c r="B44" s="391"/>
      <c r="C44" s="579" t="s">
        <v>4406</v>
      </c>
      <c r="D44" s="580"/>
      <c r="E44" s="581"/>
      <c r="F44" s="461"/>
      <c r="G44" s="381"/>
      <c r="H44" s="369"/>
      <c r="I44" s="403"/>
      <c r="J44" s="381"/>
      <c r="K44" s="439">
        <v>7700000</v>
      </c>
      <c r="L44" s="394"/>
      <c r="M44" s="381"/>
      <c r="N44" s="381"/>
      <c r="O44" s="385">
        <f t="shared" si="5"/>
        <v>7700000</v>
      </c>
      <c r="P44" s="389"/>
      <c r="Q44" s="378"/>
    </row>
    <row r="45" spans="1:18" x14ac:dyDescent="0.25">
      <c r="A45" s="576" t="s">
        <v>19</v>
      </c>
      <c r="B45" s="577"/>
      <c r="C45" s="577"/>
      <c r="D45" s="577"/>
      <c r="E45" s="577"/>
      <c r="F45" s="578"/>
      <c r="G45" s="395">
        <f>SUM(G8:G44)</f>
        <v>3678</v>
      </c>
      <c r="H45" s="396">
        <f t="shared" ref="H45:P45" si="6">SUM(H7:H44)</f>
        <v>84217010</v>
      </c>
      <c r="I45" s="396">
        <f t="shared" si="6"/>
        <v>0</v>
      </c>
      <c r="J45" s="396">
        <f t="shared" si="6"/>
        <v>33310000</v>
      </c>
      <c r="K45" s="396">
        <f t="shared" si="6"/>
        <v>28234637</v>
      </c>
      <c r="L45" s="396">
        <f t="shared" si="6"/>
        <v>2466800</v>
      </c>
      <c r="M45" s="396">
        <f t="shared" si="6"/>
        <v>11800000</v>
      </c>
      <c r="N45" s="396">
        <f t="shared" si="6"/>
        <v>3762500</v>
      </c>
      <c r="O45" s="396">
        <f t="shared" si="6"/>
        <v>163390947</v>
      </c>
      <c r="P45" s="397">
        <f t="shared" si="6"/>
        <v>193724883</v>
      </c>
      <c r="Q45" s="396">
        <f>P45-O45</f>
        <v>30333936</v>
      </c>
      <c r="R45" s="195"/>
    </row>
    <row r="46" spans="1:18" x14ac:dyDescent="0.25">
      <c r="P46" s="294"/>
      <c r="Q46" s="295"/>
    </row>
    <row r="47" spans="1:18" x14ac:dyDescent="0.25">
      <c r="B47"/>
      <c r="G47"/>
      <c r="H47" s="294"/>
      <c r="P47" s="296" t="s">
        <v>1225</v>
      </c>
      <c r="Q47" s="295">
        <f>'09.2023'!Q39+'10.2023'!Q45</f>
        <v>352217866.33333331</v>
      </c>
    </row>
    <row r="48" spans="1:18" x14ac:dyDescent="0.25">
      <c r="B48"/>
      <c r="G48"/>
      <c r="Q48" s="294"/>
    </row>
    <row r="49" spans="2:18" x14ac:dyDescent="0.25">
      <c r="B49"/>
      <c r="G49"/>
      <c r="R49" s="195"/>
    </row>
  </sheetData>
  <mergeCells count="19">
    <mergeCell ref="C44:E44"/>
    <mergeCell ref="A45:F45"/>
    <mergeCell ref="C33:E33"/>
    <mergeCell ref="C34:E34"/>
    <mergeCell ref="C35:E35"/>
    <mergeCell ref="C36:E36"/>
    <mergeCell ref="C37:E37"/>
    <mergeCell ref="C38:E38"/>
    <mergeCell ref="C42:E42"/>
    <mergeCell ref="C43:E43"/>
    <mergeCell ref="C32:E32"/>
    <mergeCell ref="C41:E41"/>
    <mergeCell ref="A1:Q1"/>
    <mergeCell ref="A2:Q2"/>
    <mergeCell ref="A3:Q3"/>
    <mergeCell ref="G5:N5"/>
    <mergeCell ref="C31:E31"/>
    <mergeCell ref="C39:E39"/>
    <mergeCell ref="C40:E40"/>
  </mergeCells>
  <pageMargins left="0.7" right="0.7" top="0.75" bottom="0.75" header="0.3" footer="0.3"/>
  <pageSetup paperSize="9" orientation="portrait" horizontalDpi="0" verticalDpi="0"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4A6F2-27D8-42E9-8880-74EBB17856B7}">
  <dimension ref="A1:U43"/>
  <sheetViews>
    <sheetView topLeftCell="A20" workbookViewId="0">
      <selection activeCell="C30" sqref="C30:E30"/>
    </sheetView>
  </sheetViews>
  <sheetFormatPr defaultColWidth="9.140625" defaultRowHeight="15" x14ac:dyDescent="0.25"/>
  <cols>
    <col min="1" max="1" width="4.5703125" customWidth="1"/>
    <col min="2" max="2" width="9.28515625" style="332" bestFit="1" customWidth="1"/>
    <col min="3" max="3" width="33.42578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21" ht="23.25" x14ac:dyDescent="0.25">
      <c r="A1" s="551" t="s">
        <v>0</v>
      </c>
      <c r="B1" s="551"/>
      <c r="C1" s="551"/>
      <c r="D1" s="551"/>
      <c r="E1" s="551"/>
      <c r="F1" s="551"/>
      <c r="G1" s="551"/>
      <c r="H1" s="551"/>
      <c r="I1" s="551"/>
      <c r="J1" s="551"/>
      <c r="K1" s="551"/>
      <c r="L1" s="551"/>
      <c r="M1" s="551"/>
      <c r="N1" s="551"/>
      <c r="O1" s="551"/>
      <c r="P1" s="551"/>
      <c r="Q1" s="551"/>
    </row>
    <row r="2" spans="1:21" ht="15.75" x14ac:dyDescent="0.25">
      <c r="A2" s="550" t="s">
        <v>103</v>
      </c>
      <c r="B2" s="550"/>
      <c r="C2" s="550"/>
      <c r="D2" s="550"/>
      <c r="E2" s="550"/>
      <c r="F2" s="550"/>
      <c r="G2" s="550"/>
      <c r="H2" s="550"/>
      <c r="I2" s="550"/>
      <c r="J2" s="550"/>
      <c r="K2" s="550"/>
      <c r="L2" s="550"/>
      <c r="M2" s="550"/>
      <c r="N2" s="550"/>
      <c r="O2" s="550"/>
      <c r="P2" s="550"/>
      <c r="Q2" s="550"/>
    </row>
    <row r="3" spans="1:21" ht="15.75" x14ac:dyDescent="0.25">
      <c r="A3" s="550" t="s">
        <v>5100</v>
      </c>
      <c r="B3" s="550"/>
      <c r="C3" s="550"/>
      <c r="D3" s="550"/>
      <c r="E3" s="550"/>
      <c r="F3" s="550"/>
      <c r="G3" s="550"/>
      <c r="H3" s="550"/>
      <c r="I3" s="550"/>
      <c r="J3" s="550"/>
      <c r="K3" s="550"/>
      <c r="L3" s="550"/>
      <c r="M3" s="550"/>
      <c r="N3" s="550"/>
      <c r="O3" s="550"/>
      <c r="P3" s="550"/>
      <c r="Q3" s="550"/>
    </row>
    <row r="4" spans="1:21" x14ac:dyDescent="0.25">
      <c r="A4" s="74"/>
      <c r="B4" s="99"/>
      <c r="C4" s="74"/>
      <c r="D4" s="74"/>
      <c r="E4" s="74" t="s">
        <v>194</v>
      </c>
      <c r="F4" s="74"/>
      <c r="G4" s="257"/>
      <c r="H4" s="258"/>
      <c r="I4" s="258"/>
      <c r="J4" s="258"/>
      <c r="K4" s="258"/>
      <c r="L4" s="91"/>
      <c r="M4" s="258"/>
      <c r="N4" s="258"/>
      <c r="O4" s="258"/>
      <c r="P4" s="258"/>
      <c r="Q4" s="258"/>
    </row>
    <row r="5" spans="1:21"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21"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21" x14ac:dyDescent="0.25">
      <c r="A7" s="75"/>
      <c r="B7" s="100"/>
      <c r="C7" s="88"/>
      <c r="D7" s="88"/>
      <c r="E7" s="134"/>
      <c r="F7" s="75"/>
      <c r="G7" s="264"/>
      <c r="H7" s="264"/>
      <c r="I7" s="264"/>
      <c r="J7" s="264"/>
      <c r="K7" s="264"/>
      <c r="L7" s="308"/>
      <c r="M7" s="264"/>
      <c r="N7" s="264"/>
      <c r="O7" s="265"/>
      <c r="P7" s="265"/>
      <c r="Q7" s="264"/>
    </row>
    <row r="8" spans="1:21" ht="21.75" customHeight="1" x14ac:dyDescent="0.25">
      <c r="A8" s="470">
        <v>1</v>
      </c>
      <c r="B8" s="472">
        <v>45230</v>
      </c>
      <c r="C8" s="366" t="s">
        <v>2779</v>
      </c>
      <c r="D8" s="500" t="s">
        <v>5113</v>
      </c>
      <c r="E8" s="354" t="s">
        <v>5107</v>
      </c>
      <c r="F8" s="368"/>
      <c r="G8" s="369">
        <v>72</v>
      </c>
      <c r="H8" s="358">
        <f>G8*21940</f>
        <v>1579680</v>
      </c>
      <c r="I8" s="358"/>
      <c r="J8" s="414">
        <v>430000</v>
      </c>
      <c r="K8" s="371"/>
      <c r="L8" s="372"/>
      <c r="M8" s="358"/>
      <c r="N8" s="358"/>
      <c r="O8" s="358">
        <f t="shared" ref="O8:O25" si="0">H8+J8+K8+L8+M8+N8</f>
        <v>2009680</v>
      </c>
      <c r="P8" s="358">
        <v>3400000</v>
      </c>
      <c r="Q8" s="358">
        <f>P8-O8</f>
        <v>1390320</v>
      </c>
      <c r="R8" s="195"/>
      <c r="S8" s="195"/>
    </row>
    <row r="9" spans="1:21" ht="21.75" customHeight="1" x14ac:dyDescent="0.25">
      <c r="A9" s="350">
        <v>2</v>
      </c>
      <c r="B9" s="482">
        <v>45232</v>
      </c>
      <c r="C9" s="366" t="s">
        <v>4068</v>
      </c>
      <c r="D9" s="501" t="s">
        <v>5114</v>
      </c>
      <c r="E9" s="354" t="s">
        <v>4504</v>
      </c>
      <c r="F9" s="368"/>
      <c r="G9" s="369">
        <v>373</v>
      </c>
      <c r="H9" s="358">
        <f t="shared" ref="H9:H11" si="1">G9*21940</f>
        <v>8183620</v>
      </c>
      <c r="I9" s="358"/>
      <c r="J9" s="414">
        <v>3868000</v>
      </c>
      <c r="K9" s="371"/>
      <c r="L9" s="372"/>
      <c r="M9" s="358"/>
      <c r="N9" s="358"/>
      <c r="O9" s="358">
        <f t="shared" si="0"/>
        <v>12051620</v>
      </c>
      <c r="P9" s="385">
        <v>21000000</v>
      </c>
      <c r="Q9" s="358">
        <f t="shared" ref="Q9:Q25" si="2">P9-O9</f>
        <v>8948380</v>
      </c>
      <c r="R9" s="195"/>
      <c r="S9" s="195"/>
    </row>
    <row r="10" spans="1:21" ht="21.75" customHeight="1" x14ac:dyDescent="0.25">
      <c r="A10" s="350">
        <v>3</v>
      </c>
      <c r="B10" s="482">
        <v>45237</v>
      </c>
      <c r="C10" s="366" t="s">
        <v>5101</v>
      </c>
      <c r="D10" s="501" t="s">
        <v>5115</v>
      </c>
      <c r="E10" s="354" t="s">
        <v>2959</v>
      </c>
      <c r="F10" s="368"/>
      <c r="G10" s="369">
        <v>58</v>
      </c>
      <c r="H10" s="358">
        <f t="shared" si="1"/>
        <v>1272520</v>
      </c>
      <c r="I10" s="358"/>
      <c r="J10" s="414">
        <v>430000</v>
      </c>
      <c r="K10" s="371"/>
      <c r="L10" s="372"/>
      <c r="M10" s="358"/>
      <c r="N10" s="358"/>
      <c r="O10" s="358">
        <f t="shared" si="0"/>
        <v>1702520</v>
      </c>
      <c r="P10" s="385">
        <v>3200000</v>
      </c>
      <c r="Q10" s="358">
        <f t="shared" si="2"/>
        <v>1497480</v>
      </c>
      <c r="R10" s="195"/>
      <c r="S10" s="195"/>
    </row>
    <row r="11" spans="1:21" ht="21.75" customHeight="1" x14ac:dyDescent="0.25">
      <c r="A11" s="350">
        <v>4</v>
      </c>
      <c r="B11" s="482">
        <v>45238</v>
      </c>
      <c r="C11" s="366" t="s">
        <v>2140</v>
      </c>
      <c r="D11" s="501" t="s">
        <v>5116</v>
      </c>
      <c r="E11" s="354" t="s">
        <v>4283</v>
      </c>
      <c r="F11" s="368"/>
      <c r="G11" s="369">
        <v>269</v>
      </c>
      <c r="H11" s="358">
        <f t="shared" si="1"/>
        <v>5901860</v>
      </c>
      <c r="I11" s="358"/>
      <c r="J11" s="414">
        <v>3032000</v>
      </c>
      <c r="K11" s="371"/>
      <c r="L11" s="372"/>
      <c r="M11" s="358"/>
      <c r="N11" s="358"/>
      <c r="O11" s="358">
        <f t="shared" si="0"/>
        <v>8933860</v>
      </c>
      <c r="P11" s="385">
        <v>14629630</v>
      </c>
      <c r="Q11" s="358">
        <f t="shared" si="2"/>
        <v>5695770</v>
      </c>
      <c r="R11" s="195"/>
      <c r="S11" s="195"/>
      <c r="U11" s="195"/>
    </row>
    <row r="12" spans="1:21" ht="21.75" customHeight="1" x14ac:dyDescent="0.25">
      <c r="A12" s="350">
        <v>5</v>
      </c>
      <c r="B12" s="482">
        <v>45238</v>
      </c>
      <c r="C12" s="366" t="s">
        <v>5102</v>
      </c>
      <c r="D12" s="501" t="s">
        <v>5117</v>
      </c>
      <c r="E12" s="354" t="s">
        <v>5108</v>
      </c>
      <c r="F12" s="368"/>
      <c r="G12" s="369">
        <v>236</v>
      </c>
      <c r="H12" s="358">
        <f>(G12)*21940</f>
        <v>5177840</v>
      </c>
      <c r="I12" s="358"/>
      <c r="J12" s="414">
        <v>1960000</v>
      </c>
      <c r="K12" s="371"/>
      <c r="L12" s="372"/>
      <c r="M12" s="358"/>
      <c r="N12" s="358"/>
      <c r="O12" s="358">
        <f t="shared" si="0"/>
        <v>7137840</v>
      </c>
      <c r="P12" s="385">
        <v>12420370</v>
      </c>
      <c r="Q12" s="358">
        <f t="shared" si="2"/>
        <v>5282530</v>
      </c>
      <c r="R12" s="195"/>
      <c r="S12" s="195"/>
    </row>
    <row r="13" spans="1:21" ht="21.75" customHeight="1" x14ac:dyDescent="0.25">
      <c r="A13" s="350">
        <v>6</v>
      </c>
      <c r="B13" s="482">
        <v>45240</v>
      </c>
      <c r="C13" s="366" t="s">
        <v>2785</v>
      </c>
      <c r="D13" s="501" t="s">
        <v>5118</v>
      </c>
      <c r="E13" s="354" t="s">
        <v>2959</v>
      </c>
      <c r="F13" s="368"/>
      <c r="G13" s="369">
        <v>58</v>
      </c>
      <c r="H13" s="358">
        <f>6*21940+52*20880</f>
        <v>1217400</v>
      </c>
      <c r="I13" s="358"/>
      <c r="J13" s="414">
        <v>430000</v>
      </c>
      <c r="K13" s="371"/>
      <c r="L13" s="372"/>
      <c r="M13" s="358"/>
      <c r="N13" s="358"/>
      <c r="O13" s="358">
        <f t="shared" si="0"/>
        <v>1647400</v>
      </c>
      <c r="P13" s="385">
        <v>3200000</v>
      </c>
      <c r="Q13" s="358">
        <f t="shared" si="2"/>
        <v>1552600</v>
      </c>
      <c r="R13" s="195"/>
      <c r="S13" s="195"/>
    </row>
    <row r="14" spans="1:21" ht="21.75" customHeight="1" x14ac:dyDescent="0.25">
      <c r="A14" s="350">
        <v>7</v>
      </c>
      <c r="B14" s="482">
        <v>45243</v>
      </c>
      <c r="C14" s="366" t="s">
        <v>4073</v>
      </c>
      <c r="D14" s="501" t="s">
        <v>5119</v>
      </c>
      <c r="E14" s="354" t="s">
        <v>5109</v>
      </c>
      <c r="F14" s="368"/>
      <c r="G14" s="369">
        <v>44</v>
      </c>
      <c r="H14" s="358">
        <f>G14*20880</f>
        <v>918720</v>
      </c>
      <c r="I14" s="358"/>
      <c r="J14" s="414">
        <v>340000</v>
      </c>
      <c r="K14" s="371"/>
      <c r="L14" s="372"/>
      <c r="M14" s="358"/>
      <c r="N14" s="358"/>
      <c r="O14" s="358">
        <f t="shared" si="0"/>
        <v>1258720</v>
      </c>
      <c r="P14" s="385">
        <v>2770000</v>
      </c>
      <c r="Q14" s="358">
        <f t="shared" si="2"/>
        <v>1511280</v>
      </c>
      <c r="R14" s="195"/>
      <c r="S14" s="195"/>
    </row>
    <row r="15" spans="1:21" ht="21.75" customHeight="1" x14ac:dyDescent="0.25">
      <c r="A15" s="350">
        <v>8</v>
      </c>
      <c r="B15" s="482">
        <v>45244</v>
      </c>
      <c r="C15" s="366" t="s">
        <v>1445</v>
      </c>
      <c r="D15" s="501" t="s">
        <v>5120</v>
      </c>
      <c r="E15" s="354" t="s">
        <v>24</v>
      </c>
      <c r="F15" s="368"/>
      <c r="G15" s="369">
        <v>189</v>
      </c>
      <c r="H15" s="358">
        <f t="shared" ref="H15:H22" si="3">G15*20880</f>
        <v>3946320</v>
      </c>
      <c r="I15" s="358"/>
      <c r="J15" s="414">
        <v>1530000</v>
      </c>
      <c r="K15" s="371"/>
      <c r="L15" s="372"/>
      <c r="M15" s="358"/>
      <c r="N15" s="358"/>
      <c r="O15" s="358">
        <f t="shared" si="0"/>
        <v>5476320</v>
      </c>
      <c r="P15" s="385">
        <v>8851852</v>
      </c>
      <c r="Q15" s="358">
        <f t="shared" si="2"/>
        <v>3375532</v>
      </c>
      <c r="R15" s="195"/>
      <c r="S15" s="195"/>
    </row>
    <row r="16" spans="1:21" ht="21.75" customHeight="1" x14ac:dyDescent="0.25">
      <c r="A16" s="350">
        <v>9</v>
      </c>
      <c r="B16" s="482">
        <v>45244</v>
      </c>
      <c r="C16" s="366" t="s">
        <v>5103</v>
      </c>
      <c r="D16" s="501" t="s">
        <v>5121</v>
      </c>
      <c r="E16" s="354" t="s">
        <v>2959</v>
      </c>
      <c r="F16" s="368"/>
      <c r="G16" s="369">
        <v>58</v>
      </c>
      <c r="H16" s="358">
        <f t="shared" si="3"/>
        <v>1211040</v>
      </c>
      <c r="I16" s="358"/>
      <c r="J16" s="414">
        <v>430000</v>
      </c>
      <c r="K16" s="371"/>
      <c r="L16" s="372"/>
      <c r="M16" s="358"/>
      <c r="N16" s="358"/>
      <c r="O16" s="358">
        <f t="shared" si="0"/>
        <v>1641040</v>
      </c>
      <c r="P16" s="385">
        <v>3200000</v>
      </c>
      <c r="Q16" s="358">
        <f t="shared" si="2"/>
        <v>1558960</v>
      </c>
      <c r="R16" s="195"/>
      <c r="S16" s="195"/>
      <c r="U16" s="195"/>
    </row>
    <row r="17" spans="1:19" ht="21.75" customHeight="1" x14ac:dyDescent="0.25">
      <c r="A17" s="350">
        <v>10</v>
      </c>
      <c r="B17" s="482">
        <v>45245</v>
      </c>
      <c r="C17" s="366" t="s">
        <v>5104</v>
      </c>
      <c r="D17" s="501" t="s">
        <v>5122</v>
      </c>
      <c r="E17" s="354" t="s">
        <v>4591</v>
      </c>
      <c r="F17" s="368"/>
      <c r="G17" s="369">
        <v>61</v>
      </c>
      <c r="H17" s="358">
        <f t="shared" si="3"/>
        <v>1273680</v>
      </c>
      <c r="I17" s="358"/>
      <c r="J17" s="414">
        <v>430000</v>
      </c>
      <c r="K17" s="371"/>
      <c r="L17" s="372"/>
      <c r="M17" s="358"/>
      <c r="N17" s="358"/>
      <c r="O17" s="358">
        <f t="shared" si="0"/>
        <v>1703680</v>
      </c>
      <c r="P17" s="385">
        <v>3210000</v>
      </c>
      <c r="Q17" s="358">
        <f t="shared" si="2"/>
        <v>1506320</v>
      </c>
      <c r="R17" s="195"/>
      <c r="S17" s="195"/>
    </row>
    <row r="18" spans="1:19" ht="21.75" customHeight="1" x14ac:dyDescent="0.25">
      <c r="A18" s="470">
        <v>11</v>
      </c>
      <c r="B18" s="487">
        <v>45246</v>
      </c>
      <c r="C18" s="366" t="s">
        <v>4075</v>
      </c>
      <c r="D18" s="501" t="s">
        <v>5123</v>
      </c>
      <c r="E18" s="354" t="s">
        <v>4283</v>
      </c>
      <c r="F18" s="461"/>
      <c r="G18" s="369">
        <v>283</v>
      </c>
      <c r="H18" s="358">
        <f t="shared" si="3"/>
        <v>5909040</v>
      </c>
      <c r="I18" s="494"/>
      <c r="J18" s="436">
        <v>3032000</v>
      </c>
      <c r="K18" s="371"/>
      <c r="L18" s="372"/>
      <c r="M18" s="381"/>
      <c r="N18" s="381"/>
      <c r="O18" s="358">
        <f t="shared" si="0"/>
        <v>8941040</v>
      </c>
      <c r="P18" s="385">
        <v>14953704</v>
      </c>
      <c r="Q18" s="358">
        <f t="shared" si="2"/>
        <v>6012664</v>
      </c>
      <c r="R18" s="195"/>
      <c r="S18" s="195"/>
    </row>
    <row r="19" spans="1:19" ht="21.75" customHeight="1" x14ac:dyDescent="0.25">
      <c r="A19" s="350">
        <v>12</v>
      </c>
      <c r="B19" s="487">
        <v>45247</v>
      </c>
      <c r="C19" s="366" t="s">
        <v>5105</v>
      </c>
      <c r="D19" s="501" t="s">
        <v>5124</v>
      </c>
      <c r="E19" s="354" t="s">
        <v>5110</v>
      </c>
      <c r="F19" s="461"/>
      <c r="G19" s="369">
        <v>139</v>
      </c>
      <c r="H19" s="358">
        <f t="shared" si="3"/>
        <v>2902320</v>
      </c>
      <c r="I19" s="494"/>
      <c r="J19" s="436">
        <v>790000</v>
      </c>
      <c r="K19" s="371"/>
      <c r="L19" s="372"/>
      <c r="M19" s="381"/>
      <c r="N19" s="381"/>
      <c r="O19" s="358">
        <f t="shared" si="0"/>
        <v>3692320</v>
      </c>
      <c r="P19" s="385">
        <v>5700000</v>
      </c>
      <c r="Q19" s="358">
        <f t="shared" si="2"/>
        <v>2007680</v>
      </c>
      <c r="R19" s="195"/>
      <c r="S19" s="195"/>
    </row>
    <row r="20" spans="1:19" ht="21.75" customHeight="1" x14ac:dyDescent="0.25">
      <c r="A20" s="350">
        <v>13</v>
      </c>
      <c r="B20" s="487">
        <v>45250</v>
      </c>
      <c r="C20" s="366" t="s">
        <v>3381</v>
      </c>
      <c r="D20" s="501" t="s">
        <v>5125</v>
      </c>
      <c r="E20" s="354" t="s">
        <v>2589</v>
      </c>
      <c r="F20" s="461"/>
      <c r="G20" s="369">
        <v>97</v>
      </c>
      <c r="H20" s="358">
        <f t="shared" si="3"/>
        <v>2025360</v>
      </c>
      <c r="I20" s="494"/>
      <c r="J20" s="436">
        <v>790000</v>
      </c>
      <c r="K20" s="371"/>
      <c r="L20" s="372"/>
      <c r="M20" s="381"/>
      <c r="N20" s="381"/>
      <c r="O20" s="358">
        <f t="shared" si="0"/>
        <v>2815360</v>
      </c>
      <c r="P20" s="385">
        <v>4400000</v>
      </c>
      <c r="Q20" s="358">
        <f t="shared" si="2"/>
        <v>1584640</v>
      </c>
      <c r="R20" s="195"/>
      <c r="S20" s="195"/>
    </row>
    <row r="21" spans="1:19" ht="21.75" customHeight="1" x14ac:dyDescent="0.25">
      <c r="A21" s="350">
        <v>14</v>
      </c>
      <c r="B21" s="487">
        <v>45251</v>
      </c>
      <c r="C21" s="366" t="s">
        <v>3383</v>
      </c>
      <c r="D21" s="501" t="s">
        <v>5126</v>
      </c>
      <c r="E21" s="354" t="s">
        <v>5111</v>
      </c>
      <c r="F21" s="461"/>
      <c r="G21" s="369">
        <v>97</v>
      </c>
      <c r="H21" s="358">
        <f t="shared" si="3"/>
        <v>2025360</v>
      </c>
      <c r="I21" s="494"/>
      <c r="J21" s="436">
        <v>890000</v>
      </c>
      <c r="K21" s="371"/>
      <c r="L21" s="372"/>
      <c r="M21" s="381"/>
      <c r="N21" s="381"/>
      <c r="O21" s="358">
        <f t="shared" si="0"/>
        <v>2915360</v>
      </c>
      <c r="P21" s="385">
        <v>4700000</v>
      </c>
      <c r="Q21" s="358">
        <f t="shared" si="2"/>
        <v>1784640</v>
      </c>
      <c r="R21" s="195"/>
      <c r="S21" s="195"/>
    </row>
    <row r="22" spans="1:19" ht="21.75" customHeight="1" x14ac:dyDescent="0.25">
      <c r="A22" s="350">
        <v>15</v>
      </c>
      <c r="B22" s="487">
        <v>45251</v>
      </c>
      <c r="C22" s="366" t="s">
        <v>5106</v>
      </c>
      <c r="D22" s="501" t="s">
        <v>3295</v>
      </c>
      <c r="E22" s="354" t="s">
        <v>286</v>
      </c>
      <c r="F22" s="461"/>
      <c r="G22" s="369">
        <v>68</v>
      </c>
      <c r="H22" s="358">
        <f t="shared" si="3"/>
        <v>1419840</v>
      </c>
      <c r="I22" s="494"/>
      <c r="J22" s="436">
        <v>610000</v>
      </c>
      <c r="K22" s="371"/>
      <c r="L22" s="372"/>
      <c r="M22" s="381"/>
      <c r="N22" s="381"/>
      <c r="O22" s="358">
        <f t="shared" si="0"/>
        <v>2029840</v>
      </c>
      <c r="P22" s="385">
        <v>3850000</v>
      </c>
      <c r="Q22" s="358">
        <f t="shared" si="2"/>
        <v>1820160</v>
      </c>
      <c r="R22" s="195"/>
      <c r="S22" s="195"/>
    </row>
    <row r="23" spans="1:19" ht="21.75" customHeight="1" x14ac:dyDescent="0.25">
      <c r="A23" s="350">
        <v>16</v>
      </c>
      <c r="B23" s="487">
        <v>45252</v>
      </c>
      <c r="C23" s="366" t="s">
        <v>4078</v>
      </c>
      <c r="D23" s="501" t="s">
        <v>5127</v>
      </c>
      <c r="E23" s="354" t="s">
        <v>5112</v>
      </c>
      <c r="F23" s="461"/>
      <c r="G23" s="369">
        <v>310</v>
      </c>
      <c r="H23" s="358">
        <f>75*20880+235*20280</f>
        <v>6331800</v>
      </c>
      <c r="I23" s="494"/>
      <c r="J23" s="436">
        <v>2880000</v>
      </c>
      <c r="K23" s="371"/>
      <c r="L23" s="372"/>
      <c r="M23" s="381"/>
      <c r="N23" s="381"/>
      <c r="O23" s="358">
        <f t="shared" si="0"/>
        <v>9211800</v>
      </c>
      <c r="P23" s="385">
        <v>15900000</v>
      </c>
      <c r="Q23" s="358">
        <f t="shared" si="2"/>
        <v>6688200</v>
      </c>
      <c r="R23" s="195"/>
      <c r="S23" s="195"/>
    </row>
    <row r="24" spans="1:19" ht="21.75" customHeight="1" x14ac:dyDescent="0.25">
      <c r="A24" s="350">
        <v>17</v>
      </c>
      <c r="B24" s="487">
        <v>45254</v>
      </c>
      <c r="C24" s="366" t="s">
        <v>3386</v>
      </c>
      <c r="D24" s="501" t="s">
        <v>5128</v>
      </c>
      <c r="E24" s="354" t="s">
        <v>4504</v>
      </c>
      <c r="F24" s="461"/>
      <c r="G24" s="369">
        <v>385</v>
      </c>
      <c r="H24" s="358">
        <f>G24*20280</f>
        <v>7807800</v>
      </c>
      <c r="I24" s="494"/>
      <c r="J24" s="436">
        <v>3868000</v>
      </c>
      <c r="K24" s="371"/>
      <c r="L24" s="372"/>
      <c r="M24" s="381"/>
      <c r="N24" s="381"/>
      <c r="O24" s="358">
        <f t="shared" si="0"/>
        <v>11675800</v>
      </c>
      <c r="P24" s="385">
        <v>20800000</v>
      </c>
      <c r="Q24" s="358">
        <f t="shared" si="2"/>
        <v>9124200</v>
      </c>
      <c r="R24" s="195"/>
      <c r="S24" s="195"/>
    </row>
    <row r="25" spans="1:19" ht="21.75" customHeight="1" x14ac:dyDescent="0.25">
      <c r="A25" s="350">
        <v>18</v>
      </c>
      <c r="B25" s="487">
        <v>45258</v>
      </c>
      <c r="C25" s="366" t="s">
        <v>2155</v>
      </c>
      <c r="D25" s="502" t="s">
        <v>5129</v>
      </c>
      <c r="E25" s="354" t="s">
        <v>4699</v>
      </c>
      <c r="F25" s="461"/>
      <c r="G25" s="369">
        <v>394</v>
      </c>
      <c r="H25" s="358">
        <f>G25*20280</f>
        <v>7990320</v>
      </c>
      <c r="I25" s="494"/>
      <c r="J25" s="436">
        <v>3868000</v>
      </c>
      <c r="K25" s="371"/>
      <c r="L25" s="372"/>
      <c r="M25" s="381"/>
      <c r="N25" s="381"/>
      <c r="O25" s="385">
        <f t="shared" si="0"/>
        <v>11858320</v>
      </c>
      <c r="P25" s="385">
        <v>21450000</v>
      </c>
      <c r="Q25" s="358">
        <f t="shared" si="2"/>
        <v>9591680</v>
      </c>
      <c r="R25" s="195"/>
      <c r="S25" s="195"/>
    </row>
    <row r="26" spans="1:19" ht="21.75" customHeight="1" x14ac:dyDescent="0.25">
      <c r="A26" s="350"/>
      <c r="B26" s="487"/>
      <c r="C26" s="366"/>
      <c r="D26" s="502"/>
      <c r="E26" s="354"/>
      <c r="F26" s="461"/>
      <c r="G26" s="369"/>
      <c r="H26" s="358"/>
      <c r="I26" s="494"/>
      <c r="J26" s="381"/>
      <c r="K26" s="371"/>
      <c r="L26" s="372"/>
      <c r="M26" s="381"/>
      <c r="N26" s="381"/>
      <c r="O26" s="385"/>
      <c r="P26" s="385"/>
      <c r="Q26" s="385"/>
      <c r="R26" s="195"/>
      <c r="S26" s="195"/>
    </row>
    <row r="27" spans="1:19" ht="24.95" customHeight="1" x14ac:dyDescent="0.25">
      <c r="A27" s="374"/>
      <c r="B27" s="488"/>
      <c r="C27" s="609" t="s">
        <v>1273</v>
      </c>
      <c r="D27" s="609"/>
      <c r="E27" s="609"/>
      <c r="F27" s="402"/>
      <c r="G27" s="358"/>
      <c r="H27" s="369"/>
      <c r="I27" s="403"/>
      <c r="J27" s="381"/>
      <c r="K27" s="435">
        <v>1200000</v>
      </c>
      <c r="L27" s="372"/>
      <c r="M27" s="381"/>
      <c r="N27" s="381"/>
      <c r="O27" s="385">
        <f>H27+J27+K27+L27+M27+N27</f>
        <v>1200000</v>
      </c>
      <c r="P27" s="385"/>
      <c r="Q27" s="385"/>
    </row>
    <row r="28" spans="1:19" ht="24.95" customHeight="1" x14ac:dyDescent="0.25">
      <c r="A28" s="386"/>
      <c r="B28" s="379"/>
      <c r="C28" s="594" t="s">
        <v>4535</v>
      </c>
      <c r="D28" s="595"/>
      <c r="E28" s="596"/>
      <c r="F28" s="402"/>
      <c r="G28" s="381"/>
      <c r="H28" s="369"/>
      <c r="J28" s="381"/>
      <c r="K28" s="437">
        <v>11720000</v>
      </c>
      <c r="L28" s="388"/>
      <c r="M28" s="381"/>
      <c r="N28" s="381"/>
      <c r="O28" s="385">
        <f t="shared" ref="O28:O38" si="4">H28+J28+K28+L28+M28+N28</f>
        <v>11720000</v>
      </c>
      <c r="P28" s="389"/>
      <c r="Q28" s="378"/>
    </row>
    <row r="29" spans="1:19" ht="24.95" customHeight="1" x14ac:dyDescent="0.25">
      <c r="A29" s="386"/>
      <c r="B29" s="379"/>
      <c r="C29" s="594" t="s">
        <v>5098</v>
      </c>
      <c r="D29" s="595"/>
      <c r="E29" s="596"/>
      <c r="F29" s="402"/>
      <c r="G29" s="381"/>
      <c r="H29" s="369"/>
      <c r="J29" s="381"/>
      <c r="K29" s="388"/>
      <c r="L29" s="388"/>
      <c r="M29" s="381"/>
      <c r="N29" s="388"/>
      <c r="O29" s="385">
        <f t="shared" si="4"/>
        <v>0</v>
      </c>
      <c r="P29" s="389"/>
      <c r="Q29" s="378"/>
    </row>
    <row r="30" spans="1:19" ht="24.95" customHeight="1" x14ac:dyDescent="0.25">
      <c r="A30" s="386"/>
      <c r="B30" s="379"/>
      <c r="C30" s="594" t="s">
        <v>5130</v>
      </c>
      <c r="D30" s="595"/>
      <c r="E30" s="596"/>
      <c r="F30" s="402"/>
      <c r="G30" s="381"/>
      <c r="H30" s="369"/>
      <c r="J30" s="381"/>
      <c r="K30" s="388"/>
      <c r="L30" s="437">
        <v>250000</v>
      </c>
      <c r="M30" s="381"/>
      <c r="N30" s="388"/>
      <c r="O30" s="385">
        <f t="shared" si="4"/>
        <v>250000</v>
      </c>
      <c r="P30" s="389"/>
      <c r="Q30" s="378"/>
    </row>
    <row r="31" spans="1:19" ht="24.95" customHeight="1" x14ac:dyDescent="0.25">
      <c r="A31" s="386"/>
      <c r="B31" s="379"/>
      <c r="C31" s="594" t="s">
        <v>5177</v>
      </c>
      <c r="D31" s="595"/>
      <c r="E31" s="596"/>
      <c r="F31" s="402"/>
      <c r="G31" s="381"/>
      <c r="H31" s="369"/>
      <c r="J31" s="381"/>
      <c r="K31" s="388"/>
      <c r="L31" s="437">
        <v>1000000</v>
      </c>
      <c r="M31" s="381"/>
      <c r="N31" s="388"/>
      <c r="O31" s="385">
        <f t="shared" si="4"/>
        <v>1000000</v>
      </c>
      <c r="P31" s="389"/>
      <c r="Q31" s="378"/>
    </row>
    <row r="32" spans="1:19" ht="24.95" customHeight="1" x14ac:dyDescent="0.25">
      <c r="A32" s="386"/>
      <c r="B32" s="379"/>
      <c r="C32" s="594" t="s">
        <v>5131</v>
      </c>
      <c r="D32" s="595"/>
      <c r="E32" s="596"/>
      <c r="F32" s="402"/>
      <c r="G32" s="381"/>
      <c r="H32" s="369"/>
      <c r="J32" s="381"/>
      <c r="K32" s="388"/>
      <c r="L32" s="437">
        <v>14148000</v>
      </c>
      <c r="M32" s="381"/>
      <c r="N32" s="388"/>
      <c r="O32" s="385">
        <f t="shared" si="4"/>
        <v>14148000</v>
      </c>
      <c r="P32" s="389"/>
      <c r="Q32" s="378"/>
    </row>
    <row r="33" spans="1:18" ht="24.95" customHeight="1" x14ac:dyDescent="0.25">
      <c r="A33" s="386"/>
      <c r="B33" s="379"/>
      <c r="C33" s="594" t="s">
        <v>5132</v>
      </c>
      <c r="D33" s="595"/>
      <c r="E33" s="596"/>
      <c r="F33" s="402"/>
      <c r="G33" s="381"/>
      <c r="H33" s="369"/>
      <c r="J33" s="381"/>
      <c r="K33" s="388"/>
      <c r="L33" s="437">
        <v>3550000</v>
      </c>
      <c r="M33" s="381"/>
      <c r="N33" s="388"/>
      <c r="O33" s="385">
        <f t="shared" si="4"/>
        <v>3550000</v>
      </c>
      <c r="P33" s="389"/>
      <c r="Q33" s="378"/>
    </row>
    <row r="34" spans="1:18" ht="24.95" customHeight="1" x14ac:dyDescent="0.25">
      <c r="A34" s="386"/>
      <c r="B34" s="379"/>
      <c r="C34" s="594" t="s">
        <v>5133</v>
      </c>
      <c r="D34" s="595"/>
      <c r="E34" s="596"/>
      <c r="F34" s="402"/>
      <c r="G34" s="381"/>
      <c r="H34" s="369"/>
      <c r="J34" s="381"/>
      <c r="K34" s="388"/>
      <c r="L34" s="437">
        <v>4600000</v>
      </c>
      <c r="M34" s="381"/>
      <c r="N34" s="388"/>
      <c r="O34" s="385">
        <f t="shared" si="4"/>
        <v>4600000</v>
      </c>
      <c r="P34" s="389"/>
      <c r="Q34" s="378"/>
    </row>
    <row r="35" spans="1:18" ht="24.95" customHeight="1" x14ac:dyDescent="0.25">
      <c r="A35" s="386"/>
      <c r="B35" s="379"/>
      <c r="C35" s="594" t="s">
        <v>5170</v>
      </c>
      <c r="D35" s="595"/>
      <c r="E35" s="596"/>
      <c r="F35" s="402"/>
      <c r="G35" s="381"/>
      <c r="H35" s="369"/>
      <c r="J35" s="381"/>
      <c r="K35" s="388"/>
      <c r="L35" s="388"/>
      <c r="M35" s="412">
        <v>9800000</v>
      </c>
      <c r="N35" s="388"/>
      <c r="O35" s="385">
        <f t="shared" si="4"/>
        <v>9800000</v>
      </c>
      <c r="P35" s="389"/>
      <c r="Q35" s="378"/>
    </row>
    <row r="36" spans="1:18" ht="24.95" customHeight="1" x14ac:dyDescent="0.25">
      <c r="A36" s="386"/>
      <c r="B36" s="379"/>
      <c r="C36" s="616" t="s">
        <v>5171</v>
      </c>
      <c r="D36" s="617"/>
      <c r="E36" s="618"/>
      <c r="F36" s="402"/>
      <c r="G36" s="381"/>
      <c r="H36" s="369"/>
      <c r="J36" s="381"/>
      <c r="K36" s="388"/>
      <c r="L36" s="388"/>
      <c r="M36" s="388"/>
      <c r="N36" s="388"/>
      <c r="O36" s="385">
        <f t="shared" si="4"/>
        <v>0</v>
      </c>
      <c r="P36" s="389"/>
      <c r="Q36" s="378"/>
    </row>
    <row r="37" spans="1:18" ht="24.95" customHeight="1" x14ac:dyDescent="0.25">
      <c r="A37" s="386"/>
      <c r="B37" s="379"/>
      <c r="C37" s="616" t="s">
        <v>5172</v>
      </c>
      <c r="D37" s="617"/>
      <c r="E37" s="618"/>
      <c r="F37" s="402"/>
      <c r="G37" s="381"/>
      <c r="H37" s="369"/>
      <c r="J37" s="381"/>
      <c r="K37" s="388"/>
      <c r="L37" s="388"/>
      <c r="M37" s="388"/>
      <c r="N37" s="388"/>
      <c r="O37" s="385">
        <f t="shared" si="4"/>
        <v>0</v>
      </c>
      <c r="P37" s="389"/>
      <c r="Q37" s="378"/>
    </row>
    <row r="38" spans="1:18" ht="24.95" customHeight="1" x14ac:dyDescent="0.25">
      <c r="A38" s="386"/>
      <c r="B38" s="391"/>
      <c r="C38" s="579" t="s">
        <v>4406</v>
      </c>
      <c r="D38" s="580"/>
      <c r="E38" s="581"/>
      <c r="F38" s="461"/>
      <c r="G38" s="381"/>
      <c r="H38" s="369"/>
      <c r="I38" s="403"/>
      <c r="J38" s="381"/>
      <c r="K38" s="439">
        <v>7700000</v>
      </c>
      <c r="L38" s="394"/>
      <c r="M38" s="381"/>
      <c r="N38" s="381"/>
      <c r="O38" s="385">
        <f t="shared" si="4"/>
        <v>7700000</v>
      </c>
      <c r="P38" s="389"/>
      <c r="Q38" s="378"/>
    </row>
    <row r="39" spans="1:18" x14ac:dyDescent="0.25">
      <c r="A39" s="576" t="s">
        <v>19</v>
      </c>
      <c r="B39" s="577"/>
      <c r="C39" s="577"/>
      <c r="D39" s="577"/>
      <c r="E39" s="577"/>
      <c r="F39" s="578"/>
      <c r="G39" s="395">
        <f>SUM(G8:G38)</f>
        <v>3191</v>
      </c>
      <c r="H39" s="396">
        <f t="shared" ref="H39:P39" si="5">SUM(H7:H38)</f>
        <v>67094520</v>
      </c>
      <c r="I39" s="396">
        <f t="shared" si="5"/>
        <v>0</v>
      </c>
      <c r="J39" s="396">
        <f t="shared" si="5"/>
        <v>29608000</v>
      </c>
      <c r="K39" s="396">
        <f t="shared" si="5"/>
        <v>20620000</v>
      </c>
      <c r="L39" s="396">
        <f t="shared" si="5"/>
        <v>23548000</v>
      </c>
      <c r="M39" s="396">
        <f t="shared" si="5"/>
        <v>9800000</v>
      </c>
      <c r="N39" s="396">
        <f t="shared" si="5"/>
        <v>0</v>
      </c>
      <c r="O39" s="396">
        <f t="shared" si="5"/>
        <v>150670520</v>
      </c>
      <c r="P39" s="397">
        <f t="shared" si="5"/>
        <v>167635556</v>
      </c>
      <c r="Q39" s="396">
        <f>P39-O39</f>
        <v>16965036</v>
      </c>
      <c r="R39" s="195"/>
    </row>
    <row r="40" spans="1:18" x14ac:dyDescent="0.25">
      <c r="P40" s="294"/>
      <c r="Q40" s="295"/>
    </row>
    <row r="41" spans="1:18" x14ac:dyDescent="0.25">
      <c r="B41"/>
      <c r="G41"/>
      <c r="H41" s="294"/>
      <c r="P41" s="296" t="s">
        <v>1225</v>
      </c>
      <c r="Q41" s="295">
        <f>'10.2023'!Q47+Q39</f>
        <v>369182902.33333331</v>
      </c>
    </row>
    <row r="42" spans="1:18" x14ac:dyDescent="0.25">
      <c r="B42"/>
      <c r="G42"/>
      <c r="Q42" s="294"/>
    </row>
    <row r="43" spans="1:18" x14ac:dyDescent="0.25">
      <c r="B43"/>
      <c r="G43"/>
      <c r="R43" s="195"/>
    </row>
  </sheetData>
  <mergeCells count="17">
    <mergeCell ref="C35:E35"/>
    <mergeCell ref="C36:E36"/>
    <mergeCell ref="C37:E37"/>
    <mergeCell ref="C38:E38"/>
    <mergeCell ref="A39:F39"/>
    <mergeCell ref="C34:E34"/>
    <mergeCell ref="A1:Q1"/>
    <mergeCell ref="A2:Q2"/>
    <mergeCell ref="A3:Q3"/>
    <mergeCell ref="G5:N5"/>
    <mergeCell ref="C27:E27"/>
    <mergeCell ref="C28:E28"/>
    <mergeCell ref="C29:E29"/>
    <mergeCell ref="C30:E30"/>
    <mergeCell ref="C31:E31"/>
    <mergeCell ref="C32:E32"/>
    <mergeCell ref="C33:E33"/>
  </mergeCells>
  <pageMargins left="0.7" right="0.7" top="0.75" bottom="0.75" header="0.3" footer="0.3"/>
  <pageSetup paperSize="9" orientation="portrait" horizontalDpi="0" verticalDpi="0"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BBB2C-25FA-47C8-BF5B-9D8E429FAE75}">
  <dimension ref="A1:U45"/>
  <sheetViews>
    <sheetView topLeftCell="A22" workbookViewId="0">
      <selection activeCell="J35" sqref="J35"/>
    </sheetView>
  </sheetViews>
  <sheetFormatPr defaultColWidth="9.140625" defaultRowHeight="15" x14ac:dyDescent="0.25"/>
  <cols>
    <col min="1" max="1" width="4.5703125" customWidth="1"/>
    <col min="2" max="2" width="9.28515625" style="332" bestFit="1" customWidth="1"/>
    <col min="3" max="3" width="33.42578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21" ht="23.25" x14ac:dyDescent="0.25">
      <c r="A1" s="551" t="s">
        <v>0</v>
      </c>
      <c r="B1" s="551"/>
      <c r="C1" s="551"/>
      <c r="D1" s="551"/>
      <c r="E1" s="551"/>
      <c r="F1" s="551"/>
      <c r="G1" s="551"/>
      <c r="H1" s="551"/>
      <c r="I1" s="551"/>
      <c r="J1" s="551"/>
      <c r="K1" s="551"/>
      <c r="L1" s="551"/>
      <c r="M1" s="551"/>
      <c r="N1" s="551"/>
      <c r="O1" s="551"/>
      <c r="P1" s="551"/>
      <c r="Q1" s="551"/>
    </row>
    <row r="2" spans="1:21" ht="15.75" x14ac:dyDescent="0.25">
      <c r="A2" s="550" t="s">
        <v>103</v>
      </c>
      <c r="B2" s="550"/>
      <c r="C2" s="550"/>
      <c r="D2" s="550"/>
      <c r="E2" s="550"/>
      <c r="F2" s="550"/>
      <c r="G2" s="550"/>
      <c r="H2" s="550"/>
      <c r="I2" s="550"/>
      <c r="J2" s="550"/>
      <c r="K2" s="550"/>
      <c r="L2" s="550"/>
      <c r="M2" s="550"/>
      <c r="N2" s="550"/>
      <c r="O2" s="550"/>
      <c r="P2" s="550"/>
      <c r="Q2" s="550"/>
    </row>
    <row r="3" spans="1:21" ht="15.75" x14ac:dyDescent="0.25">
      <c r="A3" s="550" t="s">
        <v>5134</v>
      </c>
      <c r="B3" s="550"/>
      <c r="C3" s="550"/>
      <c r="D3" s="550"/>
      <c r="E3" s="550"/>
      <c r="F3" s="550"/>
      <c r="G3" s="550"/>
      <c r="H3" s="550"/>
      <c r="I3" s="550"/>
      <c r="J3" s="550"/>
      <c r="K3" s="550"/>
      <c r="L3" s="550"/>
      <c r="M3" s="550"/>
      <c r="N3" s="550"/>
      <c r="O3" s="550"/>
      <c r="P3" s="550"/>
      <c r="Q3" s="550"/>
    </row>
    <row r="4" spans="1:21" x14ac:dyDescent="0.25">
      <c r="A4" s="74"/>
      <c r="B4" s="99"/>
      <c r="C4" s="74"/>
      <c r="D4" s="74"/>
      <c r="E4" s="74" t="s">
        <v>194</v>
      </c>
      <c r="F4" s="74"/>
      <c r="G4" s="257"/>
      <c r="H4" s="258"/>
      <c r="I4" s="258"/>
      <c r="J4" s="258"/>
      <c r="K4" s="258"/>
      <c r="L4" s="91"/>
      <c r="M4" s="258"/>
      <c r="N4" s="258"/>
      <c r="O4" s="258"/>
      <c r="P4" s="258"/>
      <c r="Q4" s="258"/>
    </row>
    <row r="5" spans="1:21"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21"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21" x14ac:dyDescent="0.25">
      <c r="A7" s="75"/>
      <c r="B7" s="100"/>
      <c r="C7" s="88"/>
      <c r="D7" s="88"/>
      <c r="E7" s="134"/>
      <c r="F7" s="75"/>
      <c r="G7" s="264"/>
      <c r="H7" s="264"/>
      <c r="I7" s="264"/>
      <c r="J7" s="264"/>
      <c r="K7" s="264"/>
      <c r="L7" s="308"/>
      <c r="M7" s="264"/>
      <c r="N7" s="264"/>
      <c r="O7" s="265"/>
      <c r="P7" s="265"/>
      <c r="Q7" s="264"/>
    </row>
    <row r="8" spans="1:21" ht="21.75" customHeight="1" x14ac:dyDescent="0.25">
      <c r="A8" s="470">
        <v>1</v>
      </c>
      <c r="B8" s="472">
        <v>45260</v>
      </c>
      <c r="C8" s="366" t="s">
        <v>2194</v>
      </c>
      <c r="D8" s="500" t="s">
        <v>5142</v>
      </c>
      <c r="E8" s="354" t="s">
        <v>4504</v>
      </c>
      <c r="F8" s="368"/>
      <c r="G8" s="369">
        <v>385</v>
      </c>
      <c r="H8" s="358">
        <f>G8*20190</f>
        <v>7773150</v>
      </c>
      <c r="I8" s="358"/>
      <c r="J8" s="414">
        <v>3633000</v>
      </c>
      <c r="K8" s="371"/>
      <c r="L8" s="372"/>
      <c r="M8" s="358"/>
      <c r="N8" s="358"/>
      <c r="O8" s="358">
        <f t="shared" ref="O8:O25" si="0">H8+J8+K8+L8+M8+N8</f>
        <v>11406150</v>
      </c>
      <c r="P8" s="358">
        <v>20800000</v>
      </c>
      <c r="Q8" s="358">
        <f>P8-O8</f>
        <v>9393850</v>
      </c>
      <c r="R8" s="195"/>
      <c r="S8" s="195"/>
    </row>
    <row r="9" spans="1:21" ht="21.75" customHeight="1" x14ac:dyDescent="0.25">
      <c r="A9" s="350">
        <v>2</v>
      </c>
      <c r="B9" s="482">
        <v>45264</v>
      </c>
      <c r="C9" s="366" t="s">
        <v>5135</v>
      </c>
      <c r="D9" s="501" t="s">
        <v>5143</v>
      </c>
      <c r="E9" s="354" t="s">
        <v>4848</v>
      </c>
      <c r="F9" s="368"/>
      <c r="G9" s="369">
        <v>160</v>
      </c>
      <c r="H9" s="358">
        <f t="shared" ref="H9:H12" si="1">G9*20190</f>
        <v>3230400</v>
      </c>
      <c r="I9" s="358"/>
      <c r="J9" s="414">
        <v>1082000</v>
      </c>
      <c r="K9" s="371"/>
      <c r="L9" s="372"/>
      <c r="M9" s="358"/>
      <c r="N9" s="358"/>
      <c r="O9" s="358">
        <f t="shared" si="0"/>
        <v>4312400</v>
      </c>
      <c r="P9" s="385">
        <v>7050000</v>
      </c>
      <c r="Q9" s="358">
        <f t="shared" ref="Q9:Q25" si="2">P9-O9</f>
        <v>2737600</v>
      </c>
      <c r="R9" s="195"/>
      <c r="S9" s="195"/>
    </row>
    <row r="10" spans="1:21" ht="21.75" customHeight="1" x14ac:dyDescent="0.25">
      <c r="A10" s="350">
        <v>3</v>
      </c>
      <c r="B10" s="482">
        <v>45265</v>
      </c>
      <c r="C10" s="366" t="s">
        <v>5136</v>
      </c>
      <c r="D10" s="501" t="s">
        <v>5144</v>
      </c>
      <c r="E10" s="354" t="s">
        <v>4977</v>
      </c>
      <c r="F10" s="368"/>
      <c r="G10" s="369">
        <v>150</v>
      </c>
      <c r="H10" s="358">
        <f t="shared" si="1"/>
        <v>3028500</v>
      </c>
      <c r="I10" s="358"/>
      <c r="J10" s="414">
        <v>1082000</v>
      </c>
      <c r="K10" s="371"/>
      <c r="L10" s="372"/>
      <c r="M10" s="358"/>
      <c r="N10" s="358"/>
      <c r="O10" s="358">
        <f t="shared" si="0"/>
        <v>4110500</v>
      </c>
      <c r="P10" s="385">
        <v>6700000</v>
      </c>
      <c r="Q10" s="358">
        <f t="shared" si="2"/>
        <v>2589500</v>
      </c>
      <c r="R10" s="195"/>
      <c r="S10" s="195"/>
    </row>
    <row r="11" spans="1:21" ht="21.75" customHeight="1" x14ac:dyDescent="0.25">
      <c r="A11" s="350">
        <v>4</v>
      </c>
      <c r="B11" s="482">
        <v>45265</v>
      </c>
      <c r="C11" s="366" t="s">
        <v>4126</v>
      </c>
      <c r="D11" s="501" t="s">
        <v>5145</v>
      </c>
      <c r="E11" s="354" t="s">
        <v>5159</v>
      </c>
      <c r="F11" s="368"/>
      <c r="G11" s="369">
        <v>60</v>
      </c>
      <c r="H11" s="358">
        <f t="shared" si="1"/>
        <v>1211400</v>
      </c>
      <c r="I11" s="358"/>
      <c r="J11" s="414">
        <v>430000</v>
      </c>
      <c r="K11" s="371"/>
      <c r="L11" s="372"/>
      <c r="M11" s="358"/>
      <c r="N11" s="358"/>
      <c r="O11" s="358">
        <f t="shared" si="0"/>
        <v>1641400</v>
      </c>
      <c r="P11" s="385">
        <v>3300000</v>
      </c>
      <c r="Q11" s="358">
        <f t="shared" si="2"/>
        <v>1658600</v>
      </c>
      <c r="R11" s="195"/>
      <c r="S11" s="195"/>
      <c r="U11" s="195"/>
    </row>
    <row r="12" spans="1:21" ht="21.75" customHeight="1" x14ac:dyDescent="0.25">
      <c r="A12" s="350">
        <v>5</v>
      </c>
      <c r="B12" s="482">
        <v>45266</v>
      </c>
      <c r="C12" s="366" t="s">
        <v>3423</v>
      </c>
      <c r="D12" s="501" t="s">
        <v>5146</v>
      </c>
      <c r="E12" s="354" t="s">
        <v>2959</v>
      </c>
      <c r="F12" s="368"/>
      <c r="G12" s="369">
        <v>58</v>
      </c>
      <c r="H12" s="358">
        <f t="shared" si="1"/>
        <v>1171020</v>
      </c>
      <c r="I12" s="358"/>
      <c r="J12" s="414">
        <v>430000</v>
      </c>
      <c r="K12" s="371"/>
      <c r="L12" s="372"/>
      <c r="M12" s="358"/>
      <c r="N12" s="358"/>
      <c r="O12" s="358">
        <f t="shared" si="0"/>
        <v>1601020</v>
      </c>
      <c r="P12" s="385">
        <v>3200000</v>
      </c>
      <c r="Q12" s="358">
        <f t="shared" si="2"/>
        <v>1598980</v>
      </c>
      <c r="R12" s="195"/>
      <c r="S12" s="195"/>
    </row>
    <row r="13" spans="1:21" ht="21.75" customHeight="1" x14ac:dyDescent="0.25">
      <c r="A13" s="350">
        <v>6</v>
      </c>
      <c r="B13" s="482">
        <v>45268</v>
      </c>
      <c r="C13" s="366" t="s">
        <v>5137</v>
      </c>
      <c r="D13" s="501" t="s">
        <v>5147</v>
      </c>
      <c r="E13" s="354" t="s">
        <v>1616</v>
      </c>
      <c r="F13" s="368"/>
      <c r="G13" s="369">
        <v>59</v>
      </c>
      <c r="H13" s="358">
        <f>G13*19720</f>
        <v>1163480</v>
      </c>
      <c r="I13" s="358"/>
      <c r="J13" s="414">
        <v>640000</v>
      </c>
      <c r="K13" s="371"/>
      <c r="L13" s="372"/>
      <c r="M13" s="358"/>
      <c r="N13" s="358"/>
      <c r="O13" s="358">
        <f t="shared" si="0"/>
        <v>1803480</v>
      </c>
      <c r="P13" s="385">
        <v>2770000</v>
      </c>
      <c r="Q13" s="358">
        <f t="shared" si="2"/>
        <v>966520</v>
      </c>
      <c r="R13" s="195"/>
      <c r="S13" s="195"/>
    </row>
    <row r="14" spans="1:21" ht="21.75" customHeight="1" x14ac:dyDescent="0.25">
      <c r="A14" s="350">
        <v>7</v>
      </c>
      <c r="B14" s="482">
        <v>45268</v>
      </c>
      <c r="C14" s="366" t="s">
        <v>5138</v>
      </c>
      <c r="D14" s="501" t="s">
        <v>5147</v>
      </c>
      <c r="E14" s="354" t="s">
        <v>5160</v>
      </c>
      <c r="F14" s="368"/>
      <c r="G14" s="369"/>
      <c r="H14" s="358">
        <f t="shared" ref="H14:H15" si="3">G14*19720</f>
        <v>0</v>
      </c>
      <c r="I14" s="358"/>
      <c r="J14" s="414">
        <v>0</v>
      </c>
      <c r="K14" s="371"/>
      <c r="L14" s="372"/>
      <c r="M14" s="358"/>
      <c r="N14" s="358"/>
      <c r="O14" s="358">
        <f t="shared" si="0"/>
        <v>0</v>
      </c>
      <c r="P14" s="385">
        <v>1600000</v>
      </c>
      <c r="Q14" s="358">
        <f t="shared" si="2"/>
        <v>1600000</v>
      </c>
      <c r="R14" s="195"/>
      <c r="S14" s="195"/>
    </row>
    <row r="15" spans="1:21" ht="21.75" customHeight="1" x14ac:dyDescent="0.25">
      <c r="A15" s="350">
        <v>8</v>
      </c>
      <c r="B15" s="482">
        <v>45268</v>
      </c>
      <c r="C15" s="366" t="s">
        <v>5139</v>
      </c>
      <c r="D15" s="501" t="s">
        <v>5148</v>
      </c>
      <c r="E15" s="354" t="s">
        <v>4504</v>
      </c>
      <c r="F15" s="368"/>
      <c r="G15" s="369">
        <v>384</v>
      </c>
      <c r="H15" s="358">
        <f t="shared" si="3"/>
        <v>7572480</v>
      </c>
      <c r="I15" s="358"/>
      <c r="J15" s="414">
        <v>4668000</v>
      </c>
      <c r="K15" s="371"/>
      <c r="L15" s="372"/>
      <c r="M15" s="358"/>
      <c r="N15" s="358"/>
      <c r="O15" s="358">
        <f t="shared" si="0"/>
        <v>12240480</v>
      </c>
      <c r="P15" s="385">
        <v>23200000</v>
      </c>
      <c r="Q15" s="358">
        <f t="shared" si="2"/>
        <v>10959520</v>
      </c>
      <c r="R15" s="195"/>
      <c r="S15" s="195"/>
    </row>
    <row r="16" spans="1:21" ht="21.75" customHeight="1" x14ac:dyDescent="0.25">
      <c r="A16" s="350">
        <v>9</v>
      </c>
      <c r="B16" s="482">
        <v>45273</v>
      </c>
      <c r="C16" s="366" t="s">
        <v>2204</v>
      </c>
      <c r="D16" s="501" t="s">
        <v>5149</v>
      </c>
      <c r="E16" s="354" t="s">
        <v>5161</v>
      </c>
      <c r="F16" s="368"/>
      <c r="G16" s="369">
        <v>161</v>
      </c>
      <c r="H16" s="358">
        <f>G16*19520</f>
        <v>3142720</v>
      </c>
      <c r="I16" s="358"/>
      <c r="J16" s="414">
        <v>1190000</v>
      </c>
      <c r="K16" s="371"/>
      <c r="L16" s="372"/>
      <c r="M16" s="358"/>
      <c r="N16" s="358"/>
      <c r="O16" s="358">
        <f t="shared" si="0"/>
        <v>4332720</v>
      </c>
      <c r="P16" s="385">
        <v>7100000</v>
      </c>
      <c r="Q16" s="358">
        <f t="shared" si="2"/>
        <v>2767280</v>
      </c>
      <c r="R16" s="195"/>
      <c r="S16" s="195"/>
      <c r="U16" s="195"/>
    </row>
    <row r="17" spans="1:19" ht="21.75" customHeight="1" x14ac:dyDescent="0.25">
      <c r="A17" s="350">
        <v>10</v>
      </c>
      <c r="B17" s="482">
        <v>45274</v>
      </c>
      <c r="C17" s="366" t="s">
        <v>4132</v>
      </c>
      <c r="D17" s="501" t="s">
        <v>5150</v>
      </c>
      <c r="E17" s="354" t="s">
        <v>5162</v>
      </c>
      <c r="F17" s="368"/>
      <c r="G17" s="369">
        <v>164</v>
      </c>
      <c r="H17" s="358">
        <f t="shared" ref="H17:H19" si="4">G17*19520</f>
        <v>3201280</v>
      </c>
      <c r="I17" s="358"/>
      <c r="J17" s="414">
        <v>1082000</v>
      </c>
      <c r="K17" s="371"/>
      <c r="L17" s="372"/>
      <c r="M17" s="381"/>
      <c r="N17" s="358"/>
      <c r="O17" s="358">
        <f t="shared" si="0"/>
        <v>4283280</v>
      </c>
      <c r="P17" s="385">
        <v>6900000</v>
      </c>
      <c r="Q17" s="358">
        <f t="shared" si="2"/>
        <v>2616720</v>
      </c>
      <c r="R17" s="195"/>
      <c r="S17" s="195"/>
    </row>
    <row r="18" spans="1:19" ht="21.75" customHeight="1" x14ac:dyDescent="0.25">
      <c r="A18" s="470">
        <v>11</v>
      </c>
      <c r="B18" s="487">
        <v>45275</v>
      </c>
      <c r="C18" s="366" t="s">
        <v>4133</v>
      </c>
      <c r="D18" s="501" t="s">
        <v>5151</v>
      </c>
      <c r="E18" s="354" t="s">
        <v>563</v>
      </c>
      <c r="F18" s="461"/>
      <c r="G18" s="369">
        <v>69</v>
      </c>
      <c r="H18" s="358">
        <f t="shared" si="4"/>
        <v>1346880</v>
      </c>
      <c r="I18" s="494"/>
      <c r="J18" s="414">
        <v>790000</v>
      </c>
      <c r="K18" s="371"/>
      <c r="L18" s="372"/>
      <c r="N18" s="381"/>
      <c r="O18" s="358">
        <f t="shared" si="0"/>
        <v>2136880</v>
      </c>
      <c r="P18" s="385">
        <v>3950000</v>
      </c>
      <c r="Q18" s="358">
        <f t="shared" si="2"/>
        <v>1813120</v>
      </c>
      <c r="R18" s="195"/>
      <c r="S18" s="195"/>
    </row>
    <row r="19" spans="1:19" ht="21.75" customHeight="1" x14ac:dyDescent="0.25">
      <c r="A19" s="350">
        <v>12</v>
      </c>
      <c r="B19" s="487">
        <v>45277</v>
      </c>
      <c r="C19" s="366" t="s">
        <v>4134</v>
      </c>
      <c r="D19" s="501" t="s">
        <v>5152</v>
      </c>
      <c r="E19" s="354" t="s">
        <v>5163</v>
      </c>
      <c r="F19" s="461"/>
      <c r="G19" s="369">
        <v>147</v>
      </c>
      <c r="H19" s="358">
        <f t="shared" si="4"/>
        <v>2869440</v>
      </c>
      <c r="I19" s="494"/>
      <c r="J19" s="436">
        <v>830000</v>
      </c>
      <c r="K19" s="371"/>
      <c r="L19" s="372"/>
      <c r="M19" s="381"/>
      <c r="N19" s="381"/>
      <c r="O19" s="358">
        <f t="shared" si="0"/>
        <v>3699440</v>
      </c>
      <c r="P19" s="385">
        <v>5900000</v>
      </c>
      <c r="Q19" s="358">
        <f t="shared" si="2"/>
        <v>2200560</v>
      </c>
      <c r="R19" s="195"/>
      <c r="S19" s="195"/>
    </row>
    <row r="20" spans="1:19" ht="21.75" customHeight="1" x14ac:dyDescent="0.25">
      <c r="A20" s="350">
        <v>13</v>
      </c>
      <c r="B20" s="487">
        <v>45279</v>
      </c>
      <c r="C20" s="366" t="s">
        <v>4676</v>
      </c>
      <c r="D20" s="501" t="s">
        <v>5153</v>
      </c>
      <c r="E20" s="354" t="s">
        <v>24</v>
      </c>
      <c r="F20" s="461"/>
      <c r="G20" s="369">
        <v>180</v>
      </c>
      <c r="H20" s="358">
        <f>G20*19520</f>
        <v>3513600</v>
      </c>
      <c r="I20" s="494"/>
      <c r="J20" s="436">
        <v>1530000</v>
      </c>
      <c r="K20" s="371"/>
      <c r="L20" s="372"/>
      <c r="M20" s="381"/>
      <c r="N20" s="381"/>
      <c r="O20" s="358">
        <f t="shared" si="0"/>
        <v>5043600</v>
      </c>
      <c r="P20" s="385">
        <v>8296296</v>
      </c>
      <c r="Q20" s="358">
        <f t="shared" si="2"/>
        <v>3252696</v>
      </c>
      <c r="R20" s="195"/>
      <c r="S20" s="195"/>
    </row>
    <row r="21" spans="1:19" ht="21.75" customHeight="1" x14ac:dyDescent="0.25">
      <c r="A21" s="350">
        <v>14</v>
      </c>
      <c r="B21" s="487">
        <v>45281</v>
      </c>
      <c r="C21" s="366" t="s">
        <v>4136</v>
      </c>
      <c r="D21" s="501" t="s">
        <v>5154</v>
      </c>
      <c r="E21" s="354" t="s">
        <v>4504</v>
      </c>
      <c r="F21" s="461"/>
      <c r="G21" s="369">
        <v>381</v>
      </c>
      <c r="H21" s="358">
        <f t="shared" ref="H21:H25" si="5">G21*19520</f>
        <v>7437120</v>
      </c>
      <c r="I21" s="494"/>
      <c r="J21" s="436">
        <v>3868000</v>
      </c>
      <c r="K21" s="371"/>
      <c r="L21" s="372"/>
      <c r="M21" s="381"/>
      <c r="N21" s="381"/>
      <c r="O21" s="358">
        <f t="shared" si="0"/>
        <v>11305120</v>
      </c>
      <c r="P21" s="385">
        <v>20450000</v>
      </c>
      <c r="Q21" s="358">
        <f t="shared" si="2"/>
        <v>9144880</v>
      </c>
      <c r="R21" s="195"/>
      <c r="S21" s="195"/>
    </row>
    <row r="22" spans="1:19" ht="21.75" customHeight="1" x14ac:dyDescent="0.25">
      <c r="A22" s="350">
        <v>15</v>
      </c>
      <c r="B22" s="487">
        <v>45285</v>
      </c>
      <c r="C22" s="366" t="s">
        <v>3435</v>
      </c>
      <c r="D22" s="501" t="s">
        <v>5155</v>
      </c>
      <c r="E22" s="354" t="s">
        <v>4152</v>
      </c>
      <c r="F22" s="461"/>
      <c r="G22" s="369">
        <v>77</v>
      </c>
      <c r="H22" s="358">
        <f t="shared" si="5"/>
        <v>1503040</v>
      </c>
      <c r="I22" s="494"/>
      <c r="J22" s="436">
        <v>610000</v>
      </c>
      <c r="K22" s="371"/>
      <c r="L22" s="372"/>
      <c r="M22" s="381"/>
      <c r="N22" s="381"/>
      <c r="O22" s="358">
        <f t="shared" si="0"/>
        <v>2113040</v>
      </c>
      <c r="P22" s="385">
        <v>4100000</v>
      </c>
      <c r="Q22" s="358">
        <f t="shared" si="2"/>
        <v>1986960</v>
      </c>
      <c r="R22" s="195"/>
      <c r="S22" s="195"/>
    </row>
    <row r="23" spans="1:19" ht="21.75" customHeight="1" x14ac:dyDescent="0.25">
      <c r="A23" s="350">
        <v>16</v>
      </c>
      <c r="B23" s="487">
        <v>45286</v>
      </c>
      <c r="C23" s="366" t="s">
        <v>807</v>
      </c>
      <c r="D23" s="501" t="s">
        <v>5156</v>
      </c>
      <c r="E23" s="354" t="s">
        <v>24</v>
      </c>
      <c r="F23" s="461"/>
      <c r="G23" s="369">
        <v>180</v>
      </c>
      <c r="H23" s="358">
        <f t="shared" si="5"/>
        <v>3513600</v>
      </c>
      <c r="I23" s="494"/>
      <c r="J23" s="436">
        <v>1530000</v>
      </c>
      <c r="K23" s="371"/>
      <c r="L23" s="372"/>
      <c r="M23" s="381"/>
      <c r="N23" s="381"/>
      <c r="O23" s="358">
        <f t="shared" si="0"/>
        <v>5043600</v>
      </c>
      <c r="P23" s="385">
        <v>8296296</v>
      </c>
      <c r="Q23" s="358">
        <f t="shared" si="2"/>
        <v>3252696</v>
      </c>
      <c r="R23" s="195"/>
      <c r="S23" s="195"/>
    </row>
    <row r="24" spans="1:19" ht="21.75" customHeight="1" x14ac:dyDescent="0.25">
      <c r="A24" s="350">
        <v>17</v>
      </c>
      <c r="B24" s="487">
        <v>45287</v>
      </c>
      <c r="C24" s="366" t="s">
        <v>5140</v>
      </c>
      <c r="D24" s="501" t="s">
        <v>5157</v>
      </c>
      <c r="E24" s="354" t="s">
        <v>21</v>
      </c>
      <c r="F24" s="461"/>
      <c r="G24" s="369">
        <v>244</v>
      </c>
      <c r="H24" s="358">
        <f t="shared" si="5"/>
        <v>4762880</v>
      </c>
      <c r="I24" s="494"/>
      <c r="J24" s="436">
        <v>2380000</v>
      </c>
      <c r="K24" s="371"/>
      <c r="L24" s="372"/>
      <c r="M24" s="381"/>
      <c r="N24" s="381"/>
      <c r="O24" s="358">
        <f t="shared" si="0"/>
        <v>7142880</v>
      </c>
      <c r="P24" s="385">
        <v>12777778</v>
      </c>
      <c r="Q24" s="358">
        <f t="shared" si="2"/>
        <v>5634898</v>
      </c>
      <c r="R24" s="195"/>
      <c r="S24" s="195"/>
    </row>
    <row r="25" spans="1:19" ht="21.75" customHeight="1" x14ac:dyDescent="0.25">
      <c r="A25" s="350">
        <v>18</v>
      </c>
      <c r="B25" s="487">
        <v>45288</v>
      </c>
      <c r="C25" s="366" t="s">
        <v>5141</v>
      </c>
      <c r="D25" s="502" t="s">
        <v>5158</v>
      </c>
      <c r="E25" s="354" t="s">
        <v>1079</v>
      </c>
      <c r="F25" s="461"/>
      <c r="G25" s="369">
        <v>117</v>
      </c>
      <c r="H25" s="358">
        <f t="shared" si="5"/>
        <v>2283840</v>
      </c>
      <c r="I25" s="494"/>
      <c r="J25" s="436">
        <v>672000</v>
      </c>
      <c r="K25" s="371"/>
      <c r="L25" s="372"/>
      <c r="M25" s="381"/>
      <c r="N25" s="381"/>
      <c r="O25" s="385">
        <f t="shared" si="0"/>
        <v>2955840</v>
      </c>
      <c r="P25" s="385">
        <v>4800000</v>
      </c>
      <c r="Q25" s="358">
        <f t="shared" si="2"/>
        <v>1844160</v>
      </c>
      <c r="R25" s="195"/>
      <c r="S25" s="195"/>
    </row>
    <row r="26" spans="1:19" ht="21.75" customHeight="1" x14ac:dyDescent="0.25">
      <c r="A26" s="350"/>
      <c r="B26" s="487"/>
      <c r="C26" s="366"/>
      <c r="D26" s="502"/>
      <c r="E26" s="354"/>
      <c r="F26" s="461"/>
      <c r="G26" s="369"/>
      <c r="H26" s="358"/>
      <c r="I26" s="494"/>
      <c r="J26" s="381"/>
      <c r="K26" s="371"/>
      <c r="L26" s="372"/>
      <c r="M26" s="381"/>
      <c r="N26" s="381"/>
      <c r="O26" s="385"/>
      <c r="P26" s="385"/>
      <c r="Q26" s="385"/>
      <c r="R26" s="195"/>
      <c r="S26" s="195"/>
    </row>
    <row r="27" spans="1:19" ht="24.95" customHeight="1" x14ac:dyDescent="0.25">
      <c r="A27" s="374"/>
      <c r="B27" s="488"/>
      <c r="C27" s="609" t="s">
        <v>1273</v>
      </c>
      <c r="D27" s="609"/>
      <c r="E27" s="609"/>
      <c r="F27" s="402"/>
      <c r="G27" s="358"/>
      <c r="H27" s="369"/>
      <c r="I27" s="403"/>
      <c r="J27" s="381"/>
      <c r="K27" s="435">
        <v>1200000</v>
      </c>
      <c r="L27" s="372"/>
      <c r="M27" s="381"/>
      <c r="N27" s="381"/>
      <c r="O27" s="385">
        <f>H27+J27+K27+L27+M27+N27</f>
        <v>1200000</v>
      </c>
      <c r="P27" s="385"/>
      <c r="Q27" s="385"/>
    </row>
    <row r="28" spans="1:19" ht="24.95" customHeight="1" x14ac:dyDescent="0.25">
      <c r="A28" s="386"/>
      <c r="B28" s="379"/>
      <c r="C28" s="594" t="s">
        <v>4535</v>
      </c>
      <c r="D28" s="595"/>
      <c r="E28" s="596"/>
      <c r="F28" s="402"/>
      <c r="G28" s="381"/>
      <c r="H28" s="369"/>
      <c r="J28" s="381"/>
      <c r="K28" s="437">
        <v>10018854</v>
      </c>
      <c r="L28" s="388"/>
      <c r="M28" s="381"/>
      <c r="N28" s="381"/>
      <c r="O28" s="385">
        <f t="shared" ref="O28:O39" si="6">H28+J28+K28+L28+M28+N28</f>
        <v>10018854</v>
      </c>
      <c r="P28" s="389"/>
      <c r="Q28" s="378"/>
    </row>
    <row r="29" spans="1:19" ht="24.95" customHeight="1" x14ac:dyDescent="0.25">
      <c r="A29" s="386"/>
      <c r="B29" s="379"/>
      <c r="C29" s="594" t="s">
        <v>5165</v>
      </c>
      <c r="D29" s="595"/>
      <c r="E29" s="596"/>
      <c r="F29" s="402"/>
      <c r="G29" s="381"/>
      <c r="H29" s="369"/>
      <c r="J29" s="381"/>
      <c r="K29" s="388"/>
      <c r="L29" s="437">
        <v>150000</v>
      </c>
      <c r="M29" s="381"/>
      <c r="N29" s="388"/>
      <c r="O29" s="385">
        <f t="shared" si="6"/>
        <v>150000</v>
      </c>
      <c r="P29" s="389"/>
      <c r="Q29" s="378"/>
    </row>
    <row r="30" spans="1:19" ht="24.95" customHeight="1" x14ac:dyDescent="0.25">
      <c r="A30" s="386"/>
      <c r="B30" s="379"/>
      <c r="C30" s="594" t="s">
        <v>5166</v>
      </c>
      <c r="D30" s="595"/>
      <c r="E30" s="596"/>
      <c r="F30" s="402"/>
      <c r="G30" s="381"/>
      <c r="H30" s="369"/>
      <c r="J30" s="381"/>
      <c r="K30" s="388"/>
      <c r="L30" s="437">
        <v>160000</v>
      </c>
      <c r="M30" s="381"/>
      <c r="N30" s="388"/>
      <c r="O30" s="385">
        <f t="shared" si="6"/>
        <v>160000</v>
      </c>
      <c r="P30" s="389"/>
      <c r="Q30" s="378"/>
    </row>
    <row r="31" spans="1:19" ht="24.95" customHeight="1" x14ac:dyDescent="0.25">
      <c r="A31" s="386"/>
      <c r="B31" s="379"/>
      <c r="C31" s="594" t="s">
        <v>5167</v>
      </c>
      <c r="D31" s="595"/>
      <c r="E31" s="596"/>
      <c r="F31" s="402"/>
      <c r="G31" s="381"/>
      <c r="H31" s="369"/>
      <c r="J31" s="381"/>
      <c r="K31" s="388"/>
      <c r="L31" s="437">
        <v>800000</v>
      </c>
      <c r="M31" s="381"/>
      <c r="N31" s="388"/>
      <c r="O31" s="385">
        <f t="shared" si="6"/>
        <v>800000</v>
      </c>
      <c r="P31" s="389"/>
      <c r="Q31" s="378"/>
    </row>
    <row r="32" spans="1:19" ht="24.95" customHeight="1" x14ac:dyDescent="0.25">
      <c r="A32" s="386"/>
      <c r="B32" s="379"/>
      <c r="C32" s="594" t="s">
        <v>5168</v>
      </c>
      <c r="D32" s="595"/>
      <c r="E32" s="596"/>
      <c r="F32" s="402"/>
      <c r="G32" s="381"/>
      <c r="H32" s="369"/>
      <c r="J32" s="381"/>
      <c r="K32" s="388"/>
      <c r="L32" s="388"/>
      <c r="M32" s="412">
        <v>1200000</v>
      </c>
      <c r="N32" s="388"/>
      <c r="O32" s="385">
        <f t="shared" si="6"/>
        <v>1200000</v>
      </c>
      <c r="P32" s="389"/>
      <c r="Q32" s="378"/>
    </row>
    <row r="33" spans="1:18" ht="24.95" customHeight="1" x14ac:dyDescent="0.25">
      <c r="A33" s="386"/>
      <c r="B33" s="379"/>
      <c r="C33" s="594" t="s">
        <v>5169</v>
      </c>
      <c r="D33" s="595"/>
      <c r="E33" s="596"/>
      <c r="F33" s="402"/>
      <c r="G33" s="381"/>
      <c r="H33" s="369"/>
      <c r="J33" s="381"/>
      <c r="K33" s="388"/>
      <c r="L33" s="437">
        <v>120000</v>
      </c>
      <c r="M33" s="381"/>
      <c r="N33" s="388"/>
      <c r="O33" s="385">
        <f t="shared" si="6"/>
        <v>120000</v>
      </c>
      <c r="P33" s="389"/>
      <c r="Q33" s="378"/>
    </row>
    <row r="34" spans="1:18" ht="24.95" customHeight="1" x14ac:dyDescent="0.25">
      <c r="A34" s="386"/>
      <c r="B34" s="379"/>
      <c r="C34" s="594" t="s">
        <v>5174</v>
      </c>
      <c r="D34" s="595"/>
      <c r="E34" s="596"/>
      <c r="F34" s="402"/>
      <c r="G34" s="381"/>
      <c r="H34" s="369"/>
      <c r="J34" s="381"/>
      <c r="K34" s="388"/>
      <c r="L34" s="437">
        <v>200000</v>
      </c>
      <c r="M34" s="381"/>
      <c r="N34" s="388"/>
      <c r="O34" s="385">
        <f t="shared" si="6"/>
        <v>200000</v>
      </c>
      <c r="P34" s="389"/>
      <c r="Q34" s="378"/>
    </row>
    <row r="35" spans="1:18" ht="24.95" customHeight="1" x14ac:dyDescent="0.25">
      <c r="A35" s="386"/>
      <c r="B35" s="379"/>
      <c r="C35" s="594" t="s">
        <v>5175</v>
      </c>
      <c r="D35" s="595"/>
      <c r="E35" s="596"/>
      <c r="F35" s="402"/>
      <c r="G35" s="381"/>
      <c r="H35" s="369"/>
      <c r="J35" s="381"/>
      <c r="K35" s="388"/>
      <c r="L35" s="437">
        <v>3050000</v>
      </c>
      <c r="M35" s="381"/>
      <c r="N35" s="388"/>
      <c r="O35" s="385">
        <f t="shared" si="6"/>
        <v>3050000</v>
      </c>
      <c r="P35" s="389"/>
      <c r="Q35" s="378"/>
    </row>
    <row r="36" spans="1:18" ht="24.95" customHeight="1" x14ac:dyDescent="0.25">
      <c r="A36" s="386"/>
      <c r="B36" s="379"/>
      <c r="C36" s="594" t="s">
        <v>5176</v>
      </c>
      <c r="D36" s="595"/>
      <c r="E36" s="596"/>
      <c r="F36" s="402"/>
      <c r="G36" s="381"/>
      <c r="H36" s="369"/>
      <c r="J36" s="381"/>
      <c r="K36" s="388"/>
      <c r="L36" s="437">
        <v>3200000</v>
      </c>
      <c r="M36" s="388"/>
      <c r="N36" s="388"/>
      <c r="O36" s="385">
        <f t="shared" si="6"/>
        <v>3200000</v>
      </c>
      <c r="P36" s="389"/>
      <c r="Q36" s="378"/>
    </row>
    <row r="37" spans="1:18" ht="24.95" customHeight="1" x14ac:dyDescent="0.25">
      <c r="A37" s="386"/>
      <c r="B37" s="379"/>
      <c r="C37" s="600" t="s">
        <v>5171</v>
      </c>
      <c r="D37" s="601"/>
      <c r="E37" s="602"/>
      <c r="F37" s="408"/>
      <c r="G37" s="409"/>
      <c r="H37" s="398"/>
      <c r="I37" s="505"/>
      <c r="J37" s="409"/>
      <c r="K37" s="412"/>
      <c r="L37" s="412">
        <v>39960000</v>
      </c>
      <c r="M37" s="388"/>
      <c r="N37" s="388"/>
      <c r="O37" s="385">
        <f t="shared" si="6"/>
        <v>39960000</v>
      </c>
      <c r="P37" s="389"/>
      <c r="Q37" s="378"/>
    </row>
    <row r="38" spans="1:18" ht="24.95" customHeight="1" x14ac:dyDescent="0.25">
      <c r="A38" s="386"/>
      <c r="B38" s="379"/>
      <c r="C38" s="600" t="s">
        <v>5172</v>
      </c>
      <c r="D38" s="601"/>
      <c r="E38" s="602"/>
      <c r="F38" s="408"/>
      <c r="G38" s="409"/>
      <c r="H38" s="398"/>
      <c r="I38" s="505"/>
      <c r="J38" s="409"/>
      <c r="K38" s="412"/>
      <c r="L38" s="412">
        <v>1620000</v>
      </c>
      <c r="M38" s="388"/>
      <c r="N38" s="388"/>
      <c r="O38" s="385">
        <f t="shared" si="6"/>
        <v>1620000</v>
      </c>
      <c r="P38" s="389"/>
      <c r="Q38" s="378"/>
    </row>
    <row r="39" spans="1:18" ht="24.95" customHeight="1" x14ac:dyDescent="0.25">
      <c r="A39" s="386"/>
      <c r="B39" s="379"/>
      <c r="C39" s="493" t="s">
        <v>5178</v>
      </c>
      <c r="D39" s="506"/>
      <c r="E39" s="507"/>
      <c r="F39" s="408"/>
      <c r="G39" s="409"/>
      <c r="H39" s="398"/>
      <c r="I39" s="505"/>
      <c r="J39" s="409"/>
      <c r="K39" s="412"/>
      <c r="L39" s="412">
        <v>120000</v>
      </c>
      <c r="M39" s="388"/>
      <c r="N39" s="388"/>
      <c r="O39" s="385">
        <f t="shared" si="6"/>
        <v>120000</v>
      </c>
      <c r="P39" s="389"/>
      <c r="Q39" s="378"/>
    </row>
    <row r="40" spans="1:18" ht="24.95" customHeight="1" x14ac:dyDescent="0.25">
      <c r="A40" s="386"/>
      <c r="B40" s="391"/>
      <c r="C40" s="579" t="s">
        <v>4406</v>
      </c>
      <c r="D40" s="580"/>
      <c r="E40" s="581"/>
      <c r="F40" s="461"/>
      <c r="G40" s="381"/>
      <c r="H40" s="369"/>
      <c r="I40" s="403"/>
      <c r="J40" s="381"/>
      <c r="K40" s="439">
        <v>7700000</v>
      </c>
      <c r="L40" s="394"/>
      <c r="M40" s="381"/>
      <c r="N40" s="381"/>
      <c r="O40" s="385">
        <f>H40+J40+K40+L40+M40+N40</f>
        <v>7700000</v>
      </c>
      <c r="P40" s="389"/>
      <c r="Q40" s="378"/>
    </row>
    <row r="41" spans="1:18" x14ac:dyDescent="0.25">
      <c r="A41" s="576" t="s">
        <v>19</v>
      </c>
      <c r="B41" s="577"/>
      <c r="C41" s="577"/>
      <c r="D41" s="577"/>
      <c r="E41" s="577"/>
      <c r="F41" s="578"/>
      <c r="G41" s="395">
        <f>SUM(G8:G40)</f>
        <v>2976</v>
      </c>
      <c r="H41" s="396">
        <f t="shared" ref="H41:P41" si="7">SUM(H7:H40)</f>
        <v>58724830</v>
      </c>
      <c r="I41" s="396">
        <f t="shared" si="7"/>
        <v>0</v>
      </c>
      <c r="J41" s="396">
        <f t="shared" si="7"/>
        <v>26447000</v>
      </c>
      <c r="K41" s="396">
        <f t="shared" si="7"/>
        <v>18918854</v>
      </c>
      <c r="L41" s="396">
        <f t="shared" si="7"/>
        <v>49380000</v>
      </c>
      <c r="M41" s="396">
        <f t="shared" si="7"/>
        <v>1200000</v>
      </c>
      <c r="N41" s="396">
        <f t="shared" si="7"/>
        <v>0</v>
      </c>
      <c r="O41" s="396">
        <f t="shared" si="7"/>
        <v>154670684</v>
      </c>
      <c r="P41" s="397">
        <f t="shared" si="7"/>
        <v>151190370</v>
      </c>
      <c r="Q41" s="396">
        <f>P41-O41</f>
        <v>-3480314</v>
      </c>
      <c r="R41" s="195"/>
    </row>
    <row r="42" spans="1:18" x14ac:dyDescent="0.25">
      <c r="P42" s="294"/>
      <c r="Q42" s="295"/>
    </row>
    <row r="43" spans="1:18" x14ac:dyDescent="0.25">
      <c r="B43"/>
      <c r="G43"/>
      <c r="H43" s="294"/>
      <c r="P43" s="296" t="s">
        <v>1225</v>
      </c>
      <c r="Q43" s="295">
        <f>'11.2023'!Q41+'12.2023'!Q41</f>
        <v>365702588.33333331</v>
      </c>
    </row>
    <row r="44" spans="1:18" x14ac:dyDescent="0.25">
      <c r="B44"/>
      <c r="G44"/>
      <c r="Q44" s="294"/>
    </row>
    <row r="45" spans="1:18" x14ac:dyDescent="0.25">
      <c r="B45"/>
      <c r="G45"/>
      <c r="R45" s="195"/>
    </row>
  </sheetData>
  <mergeCells count="18">
    <mergeCell ref="C35:E35"/>
    <mergeCell ref="C36:E36"/>
    <mergeCell ref="C40:E40"/>
    <mergeCell ref="A41:F41"/>
    <mergeCell ref="C34:E34"/>
    <mergeCell ref="A1:Q1"/>
    <mergeCell ref="A2:Q2"/>
    <mergeCell ref="A3:Q3"/>
    <mergeCell ref="G5:N5"/>
    <mergeCell ref="C27:E27"/>
    <mergeCell ref="C33:E33"/>
    <mergeCell ref="C37:E37"/>
    <mergeCell ref="C38:E38"/>
    <mergeCell ref="C28:E28"/>
    <mergeCell ref="C29:E29"/>
    <mergeCell ref="C30:E30"/>
    <mergeCell ref="C31:E31"/>
    <mergeCell ref="C32:E32"/>
  </mergeCells>
  <pageMargins left="0.7" right="0.7" top="0.75" bottom="0.75" header="0.3" footer="0.3"/>
  <pageSetup paperSize="9" orientation="portrait" horizontalDpi="0" verticalDpi="0" r:id="rId1"/>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653FA-D32E-4726-8F6E-3267B63B43E0}">
  <dimension ref="A1:U47"/>
  <sheetViews>
    <sheetView topLeftCell="A22" workbookViewId="0">
      <selection activeCell="H37" sqref="H37"/>
    </sheetView>
  </sheetViews>
  <sheetFormatPr defaultColWidth="9.140625" defaultRowHeight="15" x14ac:dyDescent="0.25"/>
  <cols>
    <col min="1" max="1" width="4.5703125" customWidth="1"/>
    <col min="2" max="2" width="9.28515625" style="332" bestFit="1" customWidth="1"/>
    <col min="3" max="3" width="33.42578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21" ht="23.25" x14ac:dyDescent="0.25">
      <c r="A1" s="551" t="s">
        <v>0</v>
      </c>
      <c r="B1" s="551"/>
      <c r="C1" s="551"/>
      <c r="D1" s="551"/>
      <c r="E1" s="551"/>
      <c r="F1" s="551"/>
      <c r="G1" s="551"/>
      <c r="H1" s="551"/>
      <c r="I1" s="551"/>
      <c r="J1" s="551"/>
      <c r="K1" s="551"/>
      <c r="L1" s="551"/>
      <c r="M1" s="551"/>
      <c r="N1" s="551"/>
      <c r="O1" s="551"/>
      <c r="P1" s="551"/>
      <c r="Q1" s="551"/>
    </row>
    <row r="2" spans="1:21" ht="15.75" x14ac:dyDescent="0.25">
      <c r="A2" s="550" t="s">
        <v>103</v>
      </c>
      <c r="B2" s="550"/>
      <c r="C2" s="550"/>
      <c r="D2" s="550"/>
      <c r="E2" s="550"/>
      <c r="F2" s="550"/>
      <c r="G2" s="550"/>
      <c r="H2" s="550"/>
      <c r="I2" s="550"/>
      <c r="J2" s="550"/>
      <c r="K2" s="550"/>
      <c r="L2" s="550"/>
      <c r="M2" s="550"/>
      <c r="N2" s="550"/>
      <c r="O2" s="550"/>
      <c r="P2" s="550"/>
      <c r="Q2" s="550"/>
    </row>
    <row r="3" spans="1:21" ht="15.75" x14ac:dyDescent="0.25">
      <c r="A3" s="550" t="s">
        <v>5180</v>
      </c>
      <c r="B3" s="550"/>
      <c r="C3" s="550"/>
      <c r="D3" s="550"/>
      <c r="E3" s="550"/>
      <c r="F3" s="550"/>
      <c r="G3" s="550"/>
      <c r="H3" s="550"/>
      <c r="I3" s="550"/>
      <c r="J3" s="550"/>
      <c r="K3" s="550"/>
      <c r="L3" s="550"/>
      <c r="M3" s="550"/>
      <c r="N3" s="550"/>
      <c r="O3" s="550"/>
      <c r="P3" s="550"/>
      <c r="Q3" s="550"/>
    </row>
    <row r="4" spans="1:21" x14ac:dyDescent="0.25">
      <c r="A4" s="74"/>
      <c r="B4" s="99"/>
      <c r="C4" s="74"/>
      <c r="D4" s="74"/>
      <c r="E4" s="74" t="s">
        <v>194</v>
      </c>
      <c r="F4" s="74"/>
      <c r="G4" s="257"/>
      <c r="H4" s="258"/>
      <c r="I4" s="258"/>
      <c r="J4" s="258"/>
      <c r="K4" s="258"/>
      <c r="L4" s="91"/>
      <c r="M4" s="258"/>
      <c r="N4" s="258"/>
      <c r="O4" s="258"/>
      <c r="P4" s="258"/>
      <c r="Q4" s="258"/>
    </row>
    <row r="5" spans="1:21"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21"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21" x14ac:dyDescent="0.25">
      <c r="A7" s="75"/>
      <c r="B7" s="100"/>
      <c r="C7" s="88"/>
      <c r="D7" s="88"/>
      <c r="E7" s="134"/>
      <c r="F7" s="75"/>
      <c r="G7" s="264"/>
      <c r="H7" s="264"/>
      <c r="I7" s="264"/>
      <c r="J7" s="264"/>
      <c r="K7" s="264"/>
      <c r="L7" s="308"/>
      <c r="M7" s="264"/>
      <c r="N7" s="264"/>
      <c r="O7" s="265"/>
      <c r="P7" s="265"/>
      <c r="Q7" s="264"/>
    </row>
    <row r="8" spans="1:21" ht="21.75" customHeight="1" x14ac:dyDescent="0.25">
      <c r="A8" s="470">
        <v>1</v>
      </c>
      <c r="B8" s="472">
        <v>45290</v>
      </c>
      <c r="C8" s="366" t="s">
        <v>2893</v>
      </c>
      <c r="D8" s="500" t="s">
        <v>5189</v>
      </c>
      <c r="E8" s="354" t="s">
        <v>4699</v>
      </c>
      <c r="F8" s="368"/>
      <c r="G8" s="369">
        <v>404</v>
      </c>
      <c r="H8" s="358">
        <f>G8*19780</f>
        <v>7991120</v>
      </c>
      <c r="I8" s="358"/>
      <c r="J8" s="358">
        <v>3868000</v>
      </c>
      <c r="K8" s="371"/>
      <c r="L8" s="372"/>
      <c r="M8" s="358"/>
      <c r="N8" s="358"/>
      <c r="O8" s="358">
        <f t="shared" ref="O8:O25" si="0">H8+J8+K8+L8+M8+N8</f>
        <v>11859120</v>
      </c>
      <c r="P8" s="358">
        <v>21470370</v>
      </c>
      <c r="Q8" s="358">
        <f>P8-O8</f>
        <v>9611250</v>
      </c>
      <c r="R8" s="195"/>
      <c r="S8" s="195"/>
    </row>
    <row r="9" spans="1:21" ht="21.75" customHeight="1" x14ac:dyDescent="0.25">
      <c r="A9" s="350">
        <v>2</v>
      </c>
      <c r="B9" s="482">
        <v>45296</v>
      </c>
      <c r="C9" s="366" t="s">
        <v>5181</v>
      </c>
      <c r="D9" s="501" t="s">
        <v>5190</v>
      </c>
      <c r="E9" s="354" t="s">
        <v>4977</v>
      </c>
      <c r="F9" s="368"/>
      <c r="G9" s="369">
        <v>147</v>
      </c>
      <c r="H9" s="358">
        <f>G9*19360</f>
        <v>2845920</v>
      </c>
      <c r="I9" s="358"/>
      <c r="J9" s="358">
        <v>1080000</v>
      </c>
      <c r="K9" s="371"/>
      <c r="L9" s="372"/>
      <c r="M9" s="358"/>
      <c r="N9" s="358"/>
      <c r="O9" s="358">
        <f t="shared" si="0"/>
        <v>3925920</v>
      </c>
      <c r="P9" s="385">
        <v>6550000</v>
      </c>
      <c r="Q9" s="358">
        <f t="shared" ref="Q9:Q25" si="1">P9-O9</f>
        <v>2624080</v>
      </c>
      <c r="R9" s="195"/>
      <c r="S9" s="195"/>
    </row>
    <row r="10" spans="1:21" ht="21.75" customHeight="1" x14ac:dyDescent="0.25">
      <c r="A10" s="350">
        <v>3</v>
      </c>
      <c r="B10" s="482">
        <v>45297</v>
      </c>
      <c r="C10" s="366" t="s">
        <v>3479</v>
      </c>
      <c r="D10" s="501" t="s">
        <v>5191</v>
      </c>
      <c r="E10" s="354" t="s">
        <v>4504</v>
      </c>
      <c r="F10" s="368"/>
      <c r="G10" s="369">
        <v>388</v>
      </c>
      <c r="H10" s="358">
        <f>G10*19360</f>
        <v>7511680</v>
      </c>
      <c r="I10" s="358"/>
      <c r="J10" s="358">
        <v>3868000</v>
      </c>
      <c r="K10" s="371"/>
      <c r="L10" s="372"/>
      <c r="M10" s="358"/>
      <c r="N10" s="358"/>
      <c r="O10" s="358">
        <f t="shared" si="0"/>
        <v>11379680</v>
      </c>
      <c r="P10" s="385">
        <v>20450000</v>
      </c>
      <c r="Q10" s="358">
        <f t="shared" si="1"/>
        <v>9070320</v>
      </c>
      <c r="R10" s="195"/>
      <c r="S10" s="195"/>
    </row>
    <row r="11" spans="1:21" ht="21.75" customHeight="1" x14ac:dyDescent="0.25">
      <c r="A11" s="350">
        <v>4</v>
      </c>
      <c r="B11" s="482">
        <v>45300</v>
      </c>
      <c r="C11" s="366" t="s">
        <v>3480</v>
      </c>
      <c r="D11" s="501" t="s">
        <v>5192</v>
      </c>
      <c r="E11" s="354" t="s">
        <v>5207</v>
      </c>
      <c r="F11" s="368"/>
      <c r="G11" s="369">
        <v>251</v>
      </c>
      <c r="H11" s="358">
        <f>G11*19700</f>
        <v>4944700</v>
      </c>
      <c r="I11" s="358"/>
      <c r="J11" s="358">
        <v>2380000</v>
      </c>
      <c r="K11" s="371"/>
      <c r="L11" s="372"/>
      <c r="M11" s="358"/>
      <c r="N11" s="358"/>
      <c r="O11" s="358">
        <f t="shared" si="0"/>
        <v>7324700</v>
      </c>
      <c r="P11" s="385">
        <v>12777778</v>
      </c>
      <c r="Q11" s="358">
        <f t="shared" si="1"/>
        <v>5453078</v>
      </c>
      <c r="R11" s="195"/>
      <c r="S11" s="195"/>
      <c r="U11" s="195"/>
    </row>
    <row r="12" spans="1:21" ht="21.75" customHeight="1" x14ac:dyDescent="0.25">
      <c r="A12" s="350">
        <v>5</v>
      </c>
      <c r="B12" s="482">
        <v>45302</v>
      </c>
      <c r="C12" s="366" t="s">
        <v>3481</v>
      </c>
      <c r="D12" s="501" t="s">
        <v>5193</v>
      </c>
      <c r="E12" s="354" t="s">
        <v>5208</v>
      </c>
      <c r="F12" s="368"/>
      <c r="G12" s="369">
        <v>48</v>
      </c>
      <c r="H12" s="358">
        <f t="shared" ref="H12:H15" si="2">G12*19700</f>
        <v>945600</v>
      </c>
      <c r="I12" s="358"/>
      <c r="J12" s="358">
        <v>340000</v>
      </c>
      <c r="K12" s="371"/>
      <c r="L12" s="372"/>
      <c r="M12" s="358"/>
      <c r="N12" s="358"/>
      <c r="O12" s="358">
        <f t="shared" si="0"/>
        <v>1285600</v>
      </c>
      <c r="P12" s="385">
        <v>2939259</v>
      </c>
      <c r="Q12" s="358">
        <f t="shared" si="1"/>
        <v>1653659</v>
      </c>
      <c r="R12" s="195"/>
      <c r="S12" s="195"/>
    </row>
    <row r="13" spans="1:21" ht="21.75" customHeight="1" x14ac:dyDescent="0.25">
      <c r="A13" s="350">
        <v>6</v>
      </c>
      <c r="B13" s="482">
        <v>45303</v>
      </c>
      <c r="C13" s="366" t="s">
        <v>3482</v>
      </c>
      <c r="D13" s="501" t="s">
        <v>5194</v>
      </c>
      <c r="E13" s="354" t="s">
        <v>5209</v>
      </c>
      <c r="F13" s="368"/>
      <c r="G13" s="369">
        <v>283</v>
      </c>
      <c r="H13" s="358">
        <f t="shared" si="2"/>
        <v>5575100</v>
      </c>
      <c r="I13" s="358"/>
      <c r="J13" s="358">
        <v>1360000</v>
      </c>
      <c r="K13" s="371"/>
      <c r="L13" s="372"/>
      <c r="M13" s="358"/>
      <c r="N13" s="358"/>
      <c r="O13" s="358">
        <f t="shared" si="0"/>
        <v>6935100</v>
      </c>
      <c r="P13" s="385">
        <v>10800000</v>
      </c>
      <c r="Q13" s="358">
        <f t="shared" si="1"/>
        <v>3864900</v>
      </c>
      <c r="R13" s="195"/>
      <c r="S13" s="195"/>
    </row>
    <row r="14" spans="1:21" ht="21.75" customHeight="1" x14ac:dyDescent="0.25">
      <c r="A14" s="350">
        <v>7</v>
      </c>
      <c r="B14" s="482">
        <v>45303</v>
      </c>
      <c r="C14" s="366" t="s">
        <v>120</v>
      </c>
      <c r="D14" s="501" t="s">
        <v>5195</v>
      </c>
      <c r="E14" s="354" t="s">
        <v>4898</v>
      </c>
      <c r="F14" s="368"/>
      <c r="G14" s="369">
        <v>365</v>
      </c>
      <c r="H14" s="358">
        <f t="shared" si="2"/>
        <v>7190500</v>
      </c>
      <c r="I14" s="358"/>
      <c r="J14" s="358">
        <v>3868000</v>
      </c>
      <c r="K14" s="371"/>
      <c r="L14" s="372"/>
      <c r="M14" s="358"/>
      <c r="N14" s="358"/>
      <c r="O14" s="358">
        <f t="shared" si="0"/>
        <v>11058500</v>
      </c>
      <c r="P14" s="385">
        <v>20450000</v>
      </c>
      <c r="Q14" s="358">
        <f t="shared" si="1"/>
        <v>9391500</v>
      </c>
      <c r="R14" s="195"/>
      <c r="S14" s="195"/>
    </row>
    <row r="15" spans="1:21" ht="21.75" customHeight="1" x14ac:dyDescent="0.25">
      <c r="A15" s="350">
        <v>8</v>
      </c>
      <c r="B15" s="482">
        <v>45307</v>
      </c>
      <c r="C15" s="366" t="s">
        <v>5182</v>
      </c>
      <c r="D15" s="501" t="s">
        <v>5196</v>
      </c>
      <c r="E15" s="354" t="s">
        <v>5210</v>
      </c>
      <c r="F15" s="368"/>
      <c r="G15" s="369">
        <v>71</v>
      </c>
      <c r="H15" s="358">
        <f t="shared" si="2"/>
        <v>1398700</v>
      </c>
      <c r="I15" s="358"/>
      <c r="J15" s="358">
        <v>430000</v>
      </c>
      <c r="K15" s="371"/>
      <c r="L15" s="372"/>
      <c r="M15" s="358"/>
      <c r="N15" s="358"/>
      <c r="O15" s="358">
        <f t="shared" si="0"/>
        <v>1828700</v>
      </c>
      <c r="P15" s="385">
        <v>3390000</v>
      </c>
      <c r="Q15" s="358">
        <f t="shared" si="1"/>
        <v>1561300</v>
      </c>
      <c r="R15" s="195"/>
      <c r="S15" s="195"/>
    </row>
    <row r="16" spans="1:21" ht="21.75" customHeight="1" x14ac:dyDescent="0.25">
      <c r="A16" s="350">
        <v>9</v>
      </c>
      <c r="B16" s="482">
        <v>45307</v>
      </c>
      <c r="C16" s="366" t="s">
        <v>5183</v>
      </c>
      <c r="D16" s="501" t="s">
        <v>5197</v>
      </c>
      <c r="E16" s="354" t="s">
        <v>5210</v>
      </c>
      <c r="F16" s="368"/>
      <c r="G16" s="369">
        <v>71</v>
      </c>
      <c r="H16" s="358">
        <f>G16*20190</f>
        <v>1433490</v>
      </c>
      <c r="I16" s="358"/>
      <c r="J16" s="358">
        <v>430000</v>
      </c>
      <c r="K16" s="371"/>
      <c r="L16" s="372"/>
      <c r="M16" s="358"/>
      <c r="N16" s="358"/>
      <c r="O16" s="358">
        <f t="shared" si="0"/>
        <v>1863490</v>
      </c>
      <c r="P16" s="385">
        <v>3390000</v>
      </c>
      <c r="Q16" s="358">
        <f t="shared" si="1"/>
        <v>1526510</v>
      </c>
      <c r="R16" s="195"/>
      <c r="S16" s="195"/>
      <c r="U16" s="195"/>
    </row>
    <row r="17" spans="1:19" ht="21.75" customHeight="1" x14ac:dyDescent="0.25">
      <c r="A17" s="350">
        <v>10</v>
      </c>
      <c r="B17" s="482">
        <v>45308</v>
      </c>
      <c r="C17" s="366" t="s">
        <v>2266</v>
      </c>
      <c r="D17" s="501" t="s">
        <v>5198</v>
      </c>
      <c r="E17" s="354" t="s">
        <v>4504</v>
      </c>
      <c r="F17" s="368"/>
      <c r="G17" s="369">
        <v>385</v>
      </c>
      <c r="H17" s="358">
        <f>G17*20190</f>
        <v>7773150</v>
      </c>
      <c r="I17" s="358"/>
      <c r="J17" s="358">
        <v>2132000</v>
      </c>
      <c r="K17" s="371"/>
      <c r="L17" s="372"/>
      <c r="M17" s="381"/>
      <c r="N17" s="358"/>
      <c r="O17" s="358">
        <f t="shared" si="0"/>
        <v>9905150</v>
      </c>
      <c r="P17" s="385">
        <v>20450000</v>
      </c>
      <c r="Q17" s="358">
        <f t="shared" si="1"/>
        <v>10544850</v>
      </c>
      <c r="R17" s="195"/>
      <c r="S17" s="195"/>
    </row>
    <row r="18" spans="1:19" ht="21.75" customHeight="1" x14ac:dyDescent="0.25">
      <c r="A18" s="470">
        <v>11</v>
      </c>
      <c r="B18" s="487">
        <v>45310</v>
      </c>
      <c r="C18" s="366" t="s">
        <v>124</v>
      </c>
      <c r="D18" s="501" t="s">
        <v>5199</v>
      </c>
      <c r="E18" s="354" t="s">
        <v>4977</v>
      </c>
      <c r="F18" s="461"/>
      <c r="G18" s="369">
        <v>154</v>
      </c>
      <c r="H18" s="358">
        <f t="shared" ref="H18:H19" si="3">G18*20190</f>
        <v>3109260</v>
      </c>
      <c r="I18" s="494"/>
      <c r="J18" s="358">
        <v>1080000</v>
      </c>
      <c r="K18" s="371"/>
      <c r="L18" s="372"/>
      <c r="N18" s="381"/>
      <c r="O18" s="358">
        <f t="shared" si="0"/>
        <v>4189260</v>
      </c>
      <c r="P18" s="385">
        <v>6550000</v>
      </c>
      <c r="Q18" s="358">
        <f t="shared" si="1"/>
        <v>2360740</v>
      </c>
      <c r="R18" s="195"/>
      <c r="S18" s="195"/>
    </row>
    <row r="19" spans="1:19" ht="21.75" customHeight="1" x14ac:dyDescent="0.25">
      <c r="A19" s="350">
        <v>12</v>
      </c>
      <c r="B19" s="487">
        <v>45313</v>
      </c>
      <c r="C19" s="366" t="s">
        <v>126</v>
      </c>
      <c r="D19" s="501" t="s">
        <v>5200</v>
      </c>
      <c r="E19" s="354" t="s">
        <v>5211</v>
      </c>
      <c r="F19" s="461"/>
      <c r="G19" s="369">
        <v>152</v>
      </c>
      <c r="H19" s="358">
        <f t="shared" si="3"/>
        <v>3068880</v>
      </c>
      <c r="I19" s="494"/>
      <c r="J19" s="381">
        <v>1080000</v>
      </c>
      <c r="K19" s="371"/>
      <c r="L19" s="372"/>
      <c r="M19" s="381"/>
      <c r="N19" s="381"/>
      <c r="O19" s="358">
        <f t="shared" si="0"/>
        <v>4148880</v>
      </c>
      <c r="P19" s="385">
        <v>6900000</v>
      </c>
      <c r="Q19" s="358">
        <f t="shared" si="1"/>
        <v>2751120</v>
      </c>
      <c r="R19" s="195"/>
      <c r="S19" s="195"/>
    </row>
    <row r="20" spans="1:19" ht="21.75" customHeight="1" x14ac:dyDescent="0.25">
      <c r="A20" s="350">
        <v>13</v>
      </c>
      <c r="B20" s="487">
        <v>45313</v>
      </c>
      <c r="C20" s="366" t="s">
        <v>5184</v>
      </c>
      <c r="D20" s="501" t="s">
        <v>5201</v>
      </c>
      <c r="E20" s="354" t="s">
        <v>4977</v>
      </c>
      <c r="F20" s="461"/>
      <c r="G20" s="369">
        <v>150</v>
      </c>
      <c r="H20" s="358">
        <f>G20*20370</f>
        <v>3055500</v>
      </c>
      <c r="I20" s="494"/>
      <c r="J20" s="381">
        <v>720000</v>
      </c>
      <c r="K20" s="371"/>
      <c r="L20" s="372"/>
      <c r="M20" s="381"/>
      <c r="N20" s="381"/>
      <c r="O20" s="358">
        <f t="shared" si="0"/>
        <v>3775500</v>
      </c>
      <c r="P20" s="385">
        <v>6550000</v>
      </c>
      <c r="Q20" s="358">
        <f t="shared" si="1"/>
        <v>2774500</v>
      </c>
      <c r="R20" s="195"/>
      <c r="S20" s="195"/>
    </row>
    <row r="21" spans="1:19" ht="21.75" customHeight="1" x14ac:dyDescent="0.25">
      <c r="A21" s="350">
        <v>14</v>
      </c>
      <c r="B21" s="487">
        <v>45314</v>
      </c>
      <c r="C21" s="366" t="s">
        <v>5185</v>
      </c>
      <c r="D21" s="501" t="s">
        <v>5202</v>
      </c>
      <c r="E21" s="354" t="s">
        <v>4152</v>
      </c>
      <c r="F21" s="461"/>
      <c r="G21" s="369">
        <v>82</v>
      </c>
      <c r="H21" s="358">
        <f t="shared" ref="H21:H25" si="4">G21*20370</f>
        <v>1670340</v>
      </c>
      <c r="I21" s="494"/>
      <c r="J21" s="381">
        <v>430000</v>
      </c>
      <c r="K21" s="371"/>
      <c r="L21" s="372"/>
      <c r="M21" s="381"/>
      <c r="N21" s="381"/>
      <c r="O21" s="358">
        <f t="shared" si="0"/>
        <v>2100340</v>
      </c>
      <c r="P21" s="385">
        <v>4200000</v>
      </c>
      <c r="Q21" s="358">
        <f t="shared" si="1"/>
        <v>2099660</v>
      </c>
      <c r="R21" s="195"/>
      <c r="S21" s="195"/>
    </row>
    <row r="22" spans="1:19" ht="21.75" customHeight="1" x14ac:dyDescent="0.25">
      <c r="A22" s="350">
        <v>15</v>
      </c>
      <c r="B22" s="487">
        <v>45315</v>
      </c>
      <c r="C22" s="366" t="s">
        <v>4194</v>
      </c>
      <c r="D22" s="501" t="s">
        <v>5203</v>
      </c>
      <c r="E22" s="354" t="s">
        <v>850</v>
      </c>
      <c r="F22" s="461"/>
      <c r="G22" s="369">
        <v>124</v>
      </c>
      <c r="H22" s="358">
        <f t="shared" si="4"/>
        <v>2525880</v>
      </c>
      <c r="I22" s="494"/>
      <c r="J22" s="381">
        <v>430000</v>
      </c>
      <c r="K22" s="371"/>
      <c r="L22" s="372"/>
      <c r="M22" s="381"/>
      <c r="N22" s="381"/>
      <c r="O22" s="358">
        <f t="shared" si="0"/>
        <v>2955880</v>
      </c>
      <c r="P22" s="385">
        <v>5470370</v>
      </c>
      <c r="Q22" s="358">
        <f t="shared" si="1"/>
        <v>2514490</v>
      </c>
      <c r="R22" s="195"/>
      <c r="S22" s="195"/>
    </row>
    <row r="23" spans="1:19" ht="21.75" customHeight="1" x14ac:dyDescent="0.25">
      <c r="A23" s="350">
        <v>16</v>
      </c>
      <c r="B23" s="487">
        <v>45316</v>
      </c>
      <c r="C23" s="366" t="s">
        <v>5186</v>
      </c>
      <c r="D23" s="501" t="s">
        <v>5204</v>
      </c>
      <c r="E23" s="354" t="s">
        <v>5163</v>
      </c>
      <c r="F23" s="461"/>
      <c r="G23" s="369">
        <f>147+40</f>
        <v>187</v>
      </c>
      <c r="H23" s="358">
        <f t="shared" si="4"/>
        <v>3809190</v>
      </c>
      <c r="I23" s="494"/>
      <c r="J23" s="381">
        <v>650000</v>
      </c>
      <c r="K23" s="371"/>
      <c r="L23" s="372"/>
      <c r="M23" s="381"/>
      <c r="N23" s="381"/>
      <c r="O23" s="358">
        <f t="shared" si="0"/>
        <v>4459190</v>
      </c>
      <c r="P23" s="385">
        <v>5900000</v>
      </c>
      <c r="Q23" s="358">
        <f t="shared" si="1"/>
        <v>1440810</v>
      </c>
      <c r="R23" s="195"/>
      <c r="S23" s="195"/>
    </row>
    <row r="24" spans="1:19" ht="21.75" customHeight="1" x14ac:dyDescent="0.25">
      <c r="A24" s="350">
        <v>17</v>
      </c>
      <c r="B24" s="487">
        <v>45318</v>
      </c>
      <c r="C24" s="366" t="s">
        <v>5187</v>
      </c>
      <c r="D24" s="501" t="s">
        <v>5205</v>
      </c>
      <c r="E24" s="354" t="s">
        <v>4504</v>
      </c>
      <c r="F24" s="461"/>
      <c r="G24" s="369">
        <v>385</v>
      </c>
      <c r="H24" s="358">
        <f t="shared" si="4"/>
        <v>7842450</v>
      </c>
      <c r="I24" s="494"/>
      <c r="J24" s="381">
        <v>3868000</v>
      </c>
      <c r="K24" s="371"/>
      <c r="L24" s="372"/>
      <c r="M24" s="381"/>
      <c r="N24" s="381"/>
      <c r="O24" s="358">
        <f t="shared" si="0"/>
        <v>11710450</v>
      </c>
      <c r="P24" s="385">
        <v>20450000</v>
      </c>
      <c r="Q24" s="358">
        <f t="shared" si="1"/>
        <v>8739550</v>
      </c>
      <c r="R24" s="195"/>
      <c r="S24" s="195"/>
    </row>
    <row r="25" spans="1:19" ht="21.75" customHeight="1" x14ac:dyDescent="0.25">
      <c r="A25" s="350">
        <v>18</v>
      </c>
      <c r="B25" s="487">
        <v>45321</v>
      </c>
      <c r="C25" s="366" t="s">
        <v>5188</v>
      </c>
      <c r="D25" s="502" t="s">
        <v>5206</v>
      </c>
      <c r="E25" s="354" t="s">
        <v>5209</v>
      </c>
      <c r="F25" s="461"/>
      <c r="G25" s="369">
        <v>271</v>
      </c>
      <c r="H25" s="358">
        <f t="shared" si="4"/>
        <v>5520270</v>
      </c>
      <c r="I25" s="494"/>
      <c r="J25" s="381">
        <v>1000000</v>
      </c>
      <c r="K25" s="371"/>
      <c r="L25" s="372"/>
      <c r="M25" s="381"/>
      <c r="N25" s="381"/>
      <c r="O25" s="385">
        <f t="shared" si="0"/>
        <v>6520270</v>
      </c>
      <c r="P25" s="385">
        <v>6400000</v>
      </c>
      <c r="Q25" s="358">
        <f t="shared" si="1"/>
        <v>-120270</v>
      </c>
      <c r="R25" s="195"/>
      <c r="S25" s="195"/>
    </row>
    <row r="26" spans="1:19" ht="21.75" customHeight="1" x14ac:dyDescent="0.25">
      <c r="A26" s="350"/>
      <c r="B26" s="487"/>
      <c r="C26" s="366"/>
      <c r="D26" s="502"/>
      <c r="E26" s="354"/>
      <c r="F26" s="461"/>
      <c r="G26" s="369"/>
      <c r="H26" s="358"/>
      <c r="I26" s="494"/>
      <c r="J26" s="381"/>
      <c r="K26" s="371"/>
      <c r="L26" s="372"/>
      <c r="M26" s="381"/>
      <c r="N26" s="381"/>
      <c r="O26" s="385"/>
      <c r="P26" s="385"/>
      <c r="Q26" s="385"/>
      <c r="R26" s="195"/>
      <c r="S26" s="195"/>
    </row>
    <row r="27" spans="1:19" ht="24.95" customHeight="1" x14ac:dyDescent="0.25">
      <c r="A27" s="374"/>
      <c r="B27" s="488"/>
      <c r="C27" s="609" t="s">
        <v>1273</v>
      </c>
      <c r="D27" s="609"/>
      <c r="E27" s="609"/>
      <c r="F27" s="402"/>
      <c r="G27" s="358"/>
      <c r="H27" s="369"/>
      <c r="I27" s="403"/>
      <c r="J27" s="381"/>
      <c r="K27" s="372">
        <v>1200000</v>
      </c>
      <c r="L27" s="372"/>
      <c r="M27" s="381"/>
      <c r="N27" s="381"/>
      <c r="O27" s="385">
        <f>H27+J27+K27+L27+M27+N27</f>
        <v>1200000</v>
      </c>
      <c r="P27" s="385"/>
      <c r="Q27" s="385"/>
    </row>
    <row r="28" spans="1:19" ht="24.95" customHeight="1" x14ac:dyDescent="0.25">
      <c r="A28" s="386"/>
      <c r="B28" s="379"/>
      <c r="C28" s="594" t="s">
        <v>4535</v>
      </c>
      <c r="D28" s="595"/>
      <c r="E28" s="596"/>
      <c r="F28" s="402"/>
      <c r="G28" s="381"/>
      <c r="H28" s="369"/>
      <c r="J28" s="381"/>
      <c r="K28" s="388">
        <v>15860000</v>
      </c>
      <c r="L28" s="388"/>
      <c r="M28" s="381"/>
      <c r="N28" s="381"/>
      <c r="O28" s="385">
        <f t="shared" ref="O28:O41" si="5">H28+J28+K28+L28+M28+N28</f>
        <v>15860000</v>
      </c>
      <c r="P28" s="389"/>
      <c r="Q28" s="378"/>
    </row>
    <row r="29" spans="1:19" ht="24.95" customHeight="1" x14ac:dyDescent="0.25">
      <c r="A29" s="386"/>
      <c r="B29" s="379"/>
      <c r="C29" s="594" t="s">
        <v>5282</v>
      </c>
      <c r="D29" s="595"/>
      <c r="E29" s="596"/>
      <c r="F29" s="402"/>
      <c r="G29" s="381"/>
      <c r="H29" s="369"/>
      <c r="J29" s="381"/>
      <c r="K29" s="388"/>
      <c r="L29" s="388">
        <v>3450000</v>
      </c>
      <c r="M29" s="381"/>
      <c r="N29" s="388"/>
      <c r="O29" s="385">
        <f t="shared" si="5"/>
        <v>3450000</v>
      </c>
      <c r="P29" s="389"/>
      <c r="Q29" s="378"/>
    </row>
    <row r="30" spans="1:19" ht="24.95" customHeight="1" x14ac:dyDescent="0.25">
      <c r="A30" s="386"/>
      <c r="B30" s="379"/>
      <c r="C30" s="594" t="s">
        <v>5283</v>
      </c>
      <c r="D30" s="595"/>
      <c r="E30" s="596"/>
      <c r="F30" s="402"/>
      <c r="G30" s="381"/>
      <c r="H30" s="369"/>
      <c r="J30" s="381"/>
      <c r="K30" s="388">
        <v>300000</v>
      </c>
      <c r="L30" s="388"/>
      <c r="M30" s="381"/>
      <c r="N30" s="388"/>
      <c r="O30" s="385">
        <f t="shared" si="5"/>
        <v>300000</v>
      </c>
      <c r="P30" s="389"/>
      <c r="Q30" s="378"/>
    </row>
    <row r="31" spans="1:19" ht="24.95" customHeight="1" x14ac:dyDescent="0.25">
      <c r="A31" s="386"/>
      <c r="B31" s="379"/>
      <c r="C31" s="594" t="s">
        <v>5284</v>
      </c>
      <c r="D31" s="595"/>
      <c r="E31" s="596"/>
      <c r="F31" s="402"/>
      <c r="G31" s="381"/>
      <c r="H31" s="369"/>
      <c r="J31" s="381"/>
      <c r="K31" s="388"/>
      <c r="L31" s="388">
        <v>100000</v>
      </c>
      <c r="M31" s="381"/>
      <c r="N31" s="388"/>
      <c r="O31" s="385">
        <f t="shared" si="5"/>
        <v>100000</v>
      </c>
      <c r="P31" s="389"/>
      <c r="Q31" s="378"/>
    </row>
    <row r="32" spans="1:19" ht="24.95" customHeight="1" x14ac:dyDescent="0.25">
      <c r="A32" s="386"/>
      <c r="B32" s="379"/>
      <c r="C32" s="594" t="s">
        <v>5285</v>
      </c>
      <c r="D32" s="595"/>
      <c r="E32" s="596"/>
      <c r="F32" s="402"/>
      <c r="G32" s="381"/>
      <c r="H32" s="369"/>
      <c r="J32" s="381"/>
      <c r="K32" s="388"/>
      <c r="L32" s="388">
        <v>756000</v>
      </c>
      <c r="M32" s="388"/>
      <c r="N32" s="388"/>
      <c r="O32" s="385">
        <f t="shared" si="5"/>
        <v>756000</v>
      </c>
      <c r="P32" s="389"/>
      <c r="Q32" s="378"/>
    </row>
    <row r="33" spans="1:18" ht="24.95" customHeight="1" x14ac:dyDescent="0.25">
      <c r="A33" s="386"/>
      <c r="B33" s="379"/>
      <c r="C33" s="594" t="s">
        <v>5286</v>
      </c>
      <c r="D33" s="595"/>
      <c r="E33" s="596"/>
      <c r="F33" s="402"/>
      <c r="G33" s="381"/>
      <c r="H33" s="369"/>
      <c r="J33" s="381"/>
      <c r="K33" s="388"/>
      <c r="L33" s="388">
        <v>1400000</v>
      </c>
      <c r="M33" s="381"/>
      <c r="N33" s="388"/>
      <c r="O33" s="385">
        <f t="shared" si="5"/>
        <v>1400000</v>
      </c>
      <c r="P33" s="389"/>
      <c r="Q33" s="378"/>
    </row>
    <row r="34" spans="1:18" ht="24.95" customHeight="1" x14ac:dyDescent="0.25">
      <c r="A34" s="386"/>
      <c r="B34" s="379"/>
      <c r="C34" s="594" t="s">
        <v>5287</v>
      </c>
      <c r="D34" s="595"/>
      <c r="E34" s="596"/>
      <c r="F34" s="402"/>
      <c r="G34" s="381"/>
      <c r="H34" s="369"/>
      <c r="J34" s="381"/>
      <c r="K34" s="388"/>
      <c r="L34" s="388"/>
      <c r="M34" s="388">
        <v>9600000</v>
      </c>
      <c r="N34" s="388"/>
      <c r="O34" s="385">
        <f t="shared" si="5"/>
        <v>9600000</v>
      </c>
      <c r="P34" s="389"/>
      <c r="Q34" s="378"/>
    </row>
    <row r="35" spans="1:18" ht="24.95" customHeight="1" x14ac:dyDescent="0.25">
      <c r="A35" s="386"/>
      <c r="B35" s="379"/>
      <c r="C35" s="594" t="s">
        <v>5406</v>
      </c>
      <c r="D35" s="595"/>
      <c r="E35" s="596"/>
      <c r="F35" s="402"/>
      <c r="G35" s="381"/>
      <c r="H35" s="369"/>
      <c r="J35" s="381"/>
      <c r="K35" s="388"/>
      <c r="L35" s="388"/>
      <c r="M35" s="388"/>
      <c r="N35" s="388">
        <f>13500000/4</f>
        <v>3375000</v>
      </c>
      <c r="O35" s="385">
        <f t="shared" si="5"/>
        <v>3375000</v>
      </c>
      <c r="P35" s="389"/>
      <c r="Q35" s="378"/>
    </row>
    <row r="36" spans="1:18" ht="24.95" customHeight="1" x14ac:dyDescent="0.25">
      <c r="A36" s="386"/>
      <c r="B36" s="379"/>
      <c r="C36" s="594" t="s">
        <v>5288</v>
      </c>
      <c r="D36" s="595"/>
      <c r="E36" s="596"/>
      <c r="F36" s="402"/>
      <c r="G36" s="381"/>
      <c r="H36" s="369"/>
      <c r="J36" s="381"/>
      <c r="K36" s="388"/>
      <c r="L36" s="388">
        <v>7290000</v>
      </c>
      <c r="M36" s="381"/>
      <c r="N36" s="388"/>
      <c r="O36" s="385">
        <f t="shared" si="5"/>
        <v>7290000</v>
      </c>
      <c r="P36" s="389"/>
      <c r="Q36" s="378"/>
    </row>
    <row r="37" spans="1:18" ht="24.95" customHeight="1" x14ac:dyDescent="0.25">
      <c r="A37" s="386"/>
      <c r="B37" s="379"/>
      <c r="C37" s="594" t="s">
        <v>5407</v>
      </c>
      <c r="D37" s="595"/>
      <c r="E37" s="596"/>
      <c r="F37" s="402"/>
      <c r="G37" s="381"/>
      <c r="H37" s="369"/>
      <c r="J37" s="381"/>
      <c r="K37" s="388"/>
      <c r="L37" s="388">
        <v>2838000</v>
      </c>
      <c r="M37" s="388"/>
      <c r="N37" s="388"/>
      <c r="O37" s="385">
        <f t="shared" si="5"/>
        <v>2838000</v>
      </c>
      <c r="P37" s="389"/>
      <c r="Q37" s="378"/>
    </row>
    <row r="38" spans="1:18" ht="24.95" customHeight="1" x14ac:dyDescent="0.25">
      <c r="A38" s="386"/>
      <c r="B38" s="379"/>
      <c r="C38" s="594" t="s">
        <v>5408</v>
      </c>
      <c r="D38" s="595"/>
      <c r="E38" s="596"/>
      <c r="F38" s="402"/>
      <c r="G38" s="381"/>
      <c r="H38" s="369"/>
      <c r="J38" s="381"/>
      <c r="K38" s="388"/>
      <c r="L38" s="388">
        <v>300000</v>
      </c>
      <c r="M38" s="388"/>
      <c r="N38" s="388"/>
      <c r="O38" s="385">
        <f t="shared" si="5"/>
        <v>300000</v>
      </c>
      <c r="P38" s="389"/>
      <c r="Q38" s="378"/>
    </row>
    <row r="39" spans="1:18" ht="24.95" customHeight="1" x14ac:dyDescent="0.25">
      <c r="A39" s="386"/>
      <c r="B39" s="379"/>
      <c r="C39" s="594" t="s">
        <v>5409</v>
      </c>
      <c r="D39" s="595"/>
      <c r="E39" s="596"/>
      <c r="F39" s="402"/>
      <c r="G39" s="381"/>
      <c r="H39" s="369"/>
      <c r="J39" s="381"/>
      <c r="K39" s="388"/>
      <c r="L39" s="388">
        <v>1000000</v>
      </c>
      <c r="M39" s="388"/>
      <c r="N39" s="388"/>
      <c r="O39" s="385">
        <f t="shared" si="5"/>
        <v>1000000</v>
      </c>
      <c r="P39" s="389"/>
      <c r="Q39" s="378"/>
    </row>
    <row r="40" spans="1:18" ht="24.95" customHeight="1" x14ac:dyDescent="0.25">
      <c r="A40" s="386"/>
      <c r="B40" s="379"/>
      <c r="C40" s="594" t="s">
        <v>5410</v>
      </c>
      <c r="D40" s="595"/>
      <c r="E40" s="596"/>
      <c r="F40" s="402"/>
      <c r="G40" s="381"/>
      <c r="H40" s="369"/>
      <c r="J40" s="381"/>
      <c r="K40" s="388"/>
      <c r="L40" s="388">
        <v>300000</v>
      </c>
      <c r="M40" s="388"/>
      <c r="N40" s="388"/>
      <c r="O40" s="385">
        <f t="shared" si="5"/>
        <v>300000</v>
      </c>
      <c r="P40" s="389"/>
      <c r="Q40" s="378"/>
    </row>
    <row r="41" spans="1:18" ht="24.95" customHeight="1" x14ac:dyDescent="0.25">
      <c r="A41" s="386"/>
      <c r="B41" s="379"/>
      <c r="C41" s="594" t="s">
        <v>5411</v>
      </c>
      <c r="D41" s="595"/>
      <c r="E41" s="596"/>
      <c r="F41" s="402"/>
      <c r="G41" s="381"/>
      <c r="H41" s="369"/>
      <c r="J41" s="381"/>
      <c r="K41" s="388"/>
      <c r="L41" s="388">
        <v>500000</v>
      </c>
      <c r="M41" s="388"/>
      <c r="N41" s="388"/>
      <c r="O41" s="385">
        <f t="shared" si="5"/>
        <v>500000</v>
      </c>
      <c r="P41" s="389"/>
      <c r="Q41" s="378"/>
    </row>
    <row r="42" spans="1:18" ht="24.95" customHeight="1" x14ac:dyDescent="0.25">
      <c r="A42" s="386"/>
      <c r="B42" s="391"/>
      <c r="C42" s="579" t="s">
        <v>4333</v>
      </c>
      <c r="D42" s="580"/>
      <c r="E42" s="581"/>
      <c r="F42" s="461"/>
      <c r="G42" s="381"/>
      <c r="H42" s="369"/>
      <c r="I42" s="403"/>
      <c r="J42" s="381"/>
      <c r="K42" s="394">
        <v>8300000</v>
      </c>
      <c r="L42" s="394"/>
      <c r="M42" s="381"/>
      <c r="N42" s="381"/>
      <c r="O42" s="385">
        <f>H42+J42+K42+L42+M42+N42</f>
        <v>8300000</v>
      </c>
      <c r="P42" s="389"/>
      <c r="Q42" s="378"/>
    </row>
    <row r="43" spans="1:18" x14ac:dyDescent="0.25">
      <c r="A43" s="576" t="s">
        <v>19</v>
      </c>
      <c r="B43" s="577"/>
      <c r="C43" s="577"/>
      <c r="D43" s="577"/>
      <c r="E43" s="577"/>
      <c r="F43" s="578"/>
      <c r="G43" s="395">
        <f>SUM(G8:G42)</f>
        <v>3918</v>
      </c>
      <c r="H43" s="396">
        <f t="shared" ref="H43:P43" si="6">SUM(H7:H42)</f>
        <v>78211730</v>
      </c>
      <c r="I43" s="396">
        <f t="shared" si="6"/>
        <v>0</v>
      </c>
      <c r="J43" s="396">
        <f t="shared" si="6"/>
        <v>29014000</v>
      </c>
      <c r="K43" s="396">
        <f t="shared" si="6"/>
        <v>25660000</v>
      </c>
      <c r="L43" s="396">
        <f t="shared" si="6"/>
        <v>17934000</v>
      </c>
      <c r="M43" s="396">
        <f t="shared" si="6"/>
        <v>9600000</v>
      </c>
      <c r="N43" s="396">
        <f t="shared" si="6"/>
        <v>3375000</v>
      </c>
      <c r="O43" s="396">
        <f t="shared" si="6"/>
        <v>163794730</v>
      </c>
      <c r="P43" s="397">
        <f t="shared" si="6"/>
        <v>185087777</v>
      </c>
      <c r="Q43" s="396">
        <f>P43-O43</f>
        <v>21293047</v>
      </c>
      <c r="R43" s="195"/>
    </row>
    <row r="44" spans="1:18" x14ac:dyDescent="0.25">
      <c r="P44" s="294"/>
      <c r="Q44" s="295"/>
    </row>
    <row r="45" spans="1:18" x14ac:dyDescent="0.25">
      <c r="B45"/>
      <c r="G45"/>
      <c r="H45" s="294"/>
      <c r="P45" s="296" t="s">
        <v>1225</v>
      </c>
      <c r="Q45" s="295">
        <f>Q43</f>
        <v>21293047</v>
      </c>
    </row>
    <row r="46" spans="1:18" x14ac:dyDescent="0.25">
      <c r="B46"/>
      <c r="G46"/>
      <c r="Q46" s="294"/>
    </row>
    <row r="47" spans="1:18" x14ac:dyDescent="0.25">
      <c r="B47"/>
      <c r="G47"/>
      <c r="R47" s="195"/>
    </row>
  </sheetData>
  <mergeCells count="21">
    <mergeCell ref="A43:F43"/>
    <mergeCell ref="C29:E29"/>
    <mergeCell ref="C30:E30"/>
    <mergeCell ref="C31:E31"/>
    <mergeCell ref="C32:E32"/>
    <mergeCell ref="C33:E33"/>
    <mergeCell ref="C34:E34"/>
    <mergeCell ref="C36:E36"/>
    <mergeCell ref="C42:E42"/>
    <mergeCell ref="C35:E35"/>
    <mergeCell ref="C37:E37"/>
    <mergeCell ref="C38:E38"/>
    <mergeCell ref="C39:E39"/>
    <mergeCell ref="C40:E40"/>
    <mergeCell ref="C41:E41"/>
    <mergeCell ref="C28:E28"/>
    <mergeCell ref="A1:Q1"/>
    <mergeCell ref="A2:Q2"/>
    <mergeCell ref="A3:Q3"/>
    <mergeCell ref="G5:N5"/>
    <mergeCell ref="C27:E27"/>
  </mergeCells>
  <pageMargins left="0.7" right="0.7" top="0.75" bottom="0.75" header="0.3" footer="0.3"/>
  <pageSetup paperSize="9" orientation="portrait" horizontalDpi="0" verticalDpi="0" r:id="rId1"/>
  <legacy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04B4B-BB3C-4836-9F3A-9E385233457F}">
  <dimension ref="A1:U37"/>
  <sheetViews>
    <sheetView topLeftCell="A26" workbookViewId="0">
      <selection activeCell="C24" sqref="C24:E24"/>
    </sheetView>
  </sheetViews>
  <sheetFormatPr defaultColWidth="9.140625" defaultRowHeight="15" x14ac:dyDescent="0.25"/>
  <cols>
    <col min="1" max="1" width="4.5703125" customWidth="1"/>
    <col min="2" max="2" width="9.28515625" style="332" bestFit="1" customWidth="1"/>
    <col min="3" max="3" width="33.42578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21" ht="23.25" x14ac:dyDescent="0.25">
      <c r="A1" s="551" t="s">
        <v>0</v>
      </c>
      <c r="B1" s="551"/>
      <c r="C1" s="551"/>
      <c r="D1" s="551"/>
      <c r="E1" s="551"/>
      <c r="F1" s="551"/>
      <c r="G1" s="551"/>
      <c r="H1" s="551"/>
      <c r="I1" s="551"/>
      <c r="J1" s="551"/>
      <c r="K1" s="551"/>
      <c r="L1" s="551"/>
      <c r="M1" s="551"/>
      <c r="N1" s="551"/>
      <c r="O1" s="551"/>
      <c r="P1" s="551"/>
      <c r="Q1" s="551"/>
    </row>
    <row r="2" spans="1:21" ht="15.75" x14ac:dyDescent="0.25">
      <c r="A2" s="550" t="s">
        <v>103</v>
      </c>
      <c r="B2" s="550"/>
      <c r="C2" s="550"/>
      <c r="D2" s="550"/>
      <c r="E2" s="550"/>
      <c r="F2" s="550"/>
      <c r="G2" s="550"/>
      <c r="H2" s="550"/>
      <c r="I2" s="550"/>
      <c r="J2" s="550"/>
      <c r="K2" s="550"/>
      <c r="L2" s="550"/>
      <c r="M2" s="550"/>
      <c r="N2" s="550"/>
      <c r="O2" s="550"/>
      <c r="P2" s="550"/>
      <c r="Q2" s="550"/>
    </row>
    <row r="3" spans="1:21" ht="15.75" x14ac:dyDescent="0.25">
      <c r="A3" s="550" t="s">
        <v>5212</v>
      </c>
      <c r="B3" s="550"/>
      <c r="C3" s="550"/>
      <c r="D3" s="550"/>
      <c r="E3" s="550"/>
      <c r="F3" s="550"/>
      <c r="G3" s="550"/>
      <c r="H3" s="550"/>
      <c r="I3" s="550"/>
      <c r="J3" s="550"/>
      <c r="K3" s="550"/>
      <c r="L3" s="550"/>
      <c r="M3" s="550"/>
      <c r="N3" s="550"/>
      <c r="O3" s="550"/>
      <c r="P3" s="550"/>
      <c r="Q3" s="550"/>
    </row>
    <row r="4" spans="1:21" x14ac:dyDescent="0.25">
      <c r="A4" s="74"/>
      <c r="B4" s="99"/>
      <c r="C4" s="74"/>
      <c r="D4" s="74"/>
      <c r="E4" s="74" t="s">
        <v>194</v>
      </c>
      <c r="F4" s="74"/>
      <c r="G4" s="257"/>
      <c r="H4" s="258"/>
      <c r="I4" s="258"/>
      <c r="J4" s="258"/>
      <c r="K4" s="258"/>
      <c r="L4" s="91"/>
      <c r="M4" s="258"/>
      <c r="N4" s="258"/>
      <c r="O4" s="258"/>
      <c r="P4" s="258"/>
      <c r="Q4" s="258"/>
    </row>
    <row r="5" spans="1:21"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21"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21" x14ac:dyDescent="0.25">
      <c r="A7" s="75"/>
      <c r="B7" s="100"/>
      <c r="C7" s="88"/>
      <c r="D7" s="88"/>
      <c r="E7" s="134"/>
      <c r="F7" s="75"/>
      <c r="G7" s="264"/>
      <c r="H7" s="264"/>
      <c r="I7" s="264"/>
      <c r="J7" s="264"/>
      <c r="K7" s="264"/>
      <c r="L7" s="308"/>
      <c r="M7" s="264"/>
      <c r="N7" s="264"/>
      <c r="O7" s="265"/>
      <c r="P7" s="265"/>
      <c r="Q7" s="264"/>
    </row>
    <row r="8" spans="1:21" ht="21.75" customHeight="1" x14ac:dyDescent="0.25">
      <c r="A8" s="470">
        <v>1</v>
      </c>
      <c r="B8" s="472">
        <v>45322</v>
      </c>
      <c r="C8" s="366" t="s">
        <v>5213</v>
      </c>
      <c r="D8" s="500" t="s">
        <v>5219</v>
      </c>
      <c r="E8" s="354" t="s">
        <v>5233</v>
      </c>
      <c r="F8" s="368"/>
      <c r="G8" s="369">
        <v>90</v>
      </c>
      <c r="H8" s="358">
        <f>G8*20990</f>
        <v>1889100</v>
      </c>
      <c r="I8" s="358"/>
      <c r="J8" s="358">
        <v>1190000</v>
      </c>
      <c r="K8" s="371"/>
      <c r="L8" s="372"/>
      <c r="M8" s="358"/>
      <c r="N8" s="358"/>
      <c r="O8" s="358">
        <f t="shared" ref="O8:O22" si="0">H8+J8+K8+L8+M8+N8</f>
        <v>3079100</v>
      </c>
      <c r="P8" s="358">
        <v>5400000</v>
      </c>
      <c r="Q8" s="358">
        <f>P8-O8</f>
        <v>2320900</v>
      </c>
      <c r="R8" s="195"/>
      <c r="S8" s="195"/>
    </row>
    <row r="9" spans="1:21" ht="21.75" customHeight="1" x14ac:dyDescent="0.25">
      <c r="A9" s="350">
        <v>2</v>
      </c>
      <c r="B9" s="482">
        <v>45327</v>
      </c>
      <c r="C9" s="366" t="s">
        <v>5214</v>
      </c>
      <c r="D9" s="501" t="s">
        <v>5220</v>
      </c>
      <c r="E9" s="354" t="s">
        <v>2010</v>
      </c>
      <c r="F9" s="368"/>
      <c r="G9" s="369">
        <v>85</v>
      </c>
      <c r="H9" s="358">
        <f>G9*21360</f>
        <v>1815600</v>
      </c>
      <c r="I9" s="358"/>
      <c r="J9" s="358">
        <v>790000</v>
      </c>
      <c r="K9" s="371"/>
      <c r="L9" s="372"/>
      <c r="M9" s="358"/>
      <c r="N9" s="358"/>
      <c r="O9" s="358">
        <f t="shared" si="0"/>
        <v>2605600</v>
      </c>
      <c r="P9" s="385">
        <v>4800000</v>
      </c>
      <c r="Q9" s="358">
        <f t="shared" ref="Q9:Q22" si="1">P9-O9</f>
        <v>2194400</v>
      </c>
      <c r="R9" s="195"/>
      <c r="S9" s="195"/>
    </row>
    <row r="10" spans="1:21" ht="21.75" customHeight="1" x14ac:dyDescent="0.25">
      <c r="A10" s="350">
        <v>3</v>
      </c>
      <c r="B10" s="482">
        <v>45328</v>
      </c>
      <c r="C10" s="366" t="s">
        <v>5215</v>
      </c>
      <c r="D10" s="501" t="s">
        <v>4200</v>
      </c>
      <c r="E10" s="354" t="s">
        <v>5234</v>
      </c>
      <c r="F10" s="368"/>
      <c r="G10" s="369">
        <v>61</v>
      </c>
      <c r="H10" s="358">
        <f t="shared" ref="H10:H14" si="2">G10*21360</f>
        <v>1302960</v>
      </c>
      <c r="I10" s="358"/>
      <c r="J10" s="358">
        <v>430000</v>
      </c>
      <c r="K10" s="371"/>
      <c r="L10" s="372"/>
      <c r="M10" s="358"/>
      <c r="N10" s="358"/>
      <c r="O10" s="358">
        <f t="shared" si="0"/>
        <v>1732960</v>
      </c>
      <c r="P10" s="385">
        <v>3090000</v>
      </c>
      <c r="Q10" s="358">
        <f t="shared" si="1"/>
        <v>1357040</v>
      </c>
      <c r="R10" s="195"/>
      <c r="S10" s="195"/>
    </row>
    <row r="11" spans="1:21" ht="21.75" customHeight="1" x14ac:dyDescent="0.25">
      <c r="A11" s="350">
        <v>4</v>
      </c>
      <c r="B11" s="482">
        <v>45337</v>
      </c>
      <c r="C11" s="366" t="s">
        <v>5216</v>
      </c>
      <c r="D11" s="501" t="s">
        <v>5221</v>
      </c>
      <c r="E11" s="354" t="s">
        <v>2388</v>
      </c>
      <c r="F11" s="368"/>
      <c r="G11" s="369">
        <v>74</v>
      </c>
      <c r="H11" s="358">
        <f t="shared" si="2"/>
        <v>1580640</v>
      </c>
      <c r="I11" s="358"/>
      <c r="J11" s="358">
        <v>810000</v>
      </c>
      <c r="K11" s="371"/>
      <c r="L11" s="372"/>
      <c r="M11" s="358"/>
      <c r="N11" s="358"/>
      <c r="O11" s="358">
        <f t="shared" si="0"/>
        <v>2390640</v>
      </c>
      <c r="P11" s="385">
        <v>5500000</v>
      </c>
      <c r="Q11" s="358">
        <f t="shared" si="1"/>
        <v>3109360</v>
      </c>
      <c r="R11" s="195"/>
      <c r="S11" s="195"/>
      <c r="U11" s="195"/>
    </row>
    <row r="12" spans="1:21" ht="21.75" customHeight="1" x14ac:dyDescent="0.25">
      <c r="A12" s="350">
        <v>5</v>
      </c>
      <c r="B12" s="482">
        <v>45341</v>
      </c>
      <c r="C12" s="366" t="s">
        <v>5217</v>
      </c>
      <c r="D12" s="501" t="s">
        <v>5222</v>
      </c>
      <c r="E12" s="354" t="s">
        <v>5235</v>
      </c>
      <c r="F12" s="368"/>
      <c r="G12" s="369">
        <v>70</v>
      </c>
      <c r="H12" s="358">
        <f t="shared" si="2"/>
        <v>1495200</v>
      </c>
      <c r="I12" s="358"/>
      <c r="J12" s="358">
        <v>430000</v>
      </c>
      <c r="K12" s="371"/>
      <c r="L12" s="372"/>
      <c r="M12" s="358"/>
      <c r="N12" s="358"/>
      <c r="O12" s="358">
        <f t="shared" si="0"/>
        <v>1925200</v>
      </c>
      <c r="P12" s="385">
        <v>3700000</v>
      </c>
      <c r="Q12" s="358">
        <f t="shared" si="1"/>
        <v>1774800</v>
      </c>
      <c r="R12" s="195"/>
      <c r="S12" s="195"/>
    </row>
    <row r="13" spans="1:21" ht="21.75" customHeight="1" x14ac:dyDescent="0.25">
      <c r="A13" s="350">
        <v>6</v>
      </c>
      <c r="B13" s="482">
        <v>45341</v>
      </c>
      <c r="C13" s="366" t="s">
        <v>168</v>
      </c>
      <c r="D13" s="501" t="s">
        <v>5223</v>
      </c>
      <c r="E13" s="354" t="s">
        <v>5236</v>
      </c>
      <c r="F13" s="368"/>
      <c r="G13" s="369">
        <v>60</v>
      </c>
      <c r="H13" s="358">
        <f t="shared" si="2"/>
        <v>1281600</v>
      </c>
      <c r="I13" s="358"/>
      <c r="J13" s="358">
        <v>340000</v>
      </c>
      <c r="K13" s="371"/>
      <c r="L13" s="372"/>
      <c r="M13" s="358"/>
      <c r="N13" s="358"/>
      <c r="O13" s="358">
        <f t="shared" si="0"/>
        <v>1621600</v>
      </c>
      <c r="P13" s="385">
        <v>3000000</v>
      </c>
      <c r="Q13" s="358">
        <f t="shared" si="1"/>
        <v>1378400</v>
      </c>
      <c r="R13" s="195"/>
      <c r="S13" s="195"/>
    </row>
    <row r="14" spans="1:21" ht="21.75" customHeight="1" x14ac:dyDescent="0.25">
      <c r="A14" s="350">
        <v>7</v>
      </c>
      <c r="B14" s="482">
        <v>45342</v>
      </c>
      <c r="C14" s="366" t="s">
        <v>4738</v>
      </c>
      <c r="D14" s="501" t="s">
        <v>5224</v>
      </c>
      <c r="E14" s="354" t="s">
        <v>3719</v>
      </c>
      <c r="F14" s="368"/>
      <c r="G14" s="369">
        <v>71</v>
      </c>
      <c r="H14" s="358">
        <f t="shared" si="2"/>
        <v>1516560</v>
      </c>
      <c r="I14" s="358"/>
      <c r="J14" s="358">
        <v>430000</v>
      </c>
      <c r="K14" s="371"/>
      <c r="L14" s="372"/>
      <c r="M14" s="358"/>
      <c r="N14" s="358"/>
      <c r="O14" s="358">
        <f t="shared" si="0"/>
        <v>1946560</v>
      </c>
      <c r="P14" s="385">
        <v>3610000</v>
      </c>
      <c r="Q14" s="358">
        <f t="shared" si="1"/>
        <v>1663440</v>
      </c>
      <c r="R14" s="195"/>
      <c r="S14" s="195"/>
    </row>
    <row r="15" spans="1:21" ht="21.75" customHeight="1" x14ac:dyDescent="0.25">
      <c r="A15" s="350">
        <v>8</v>
      </c>
      <c r="B15" s="482">
        <v>45344</v>
      </c>
      <c r="C15" s="366" t="s">
        <v>3537</v>
      </c>
      <c r="D15" s="501" t="s">
        <v>5225</v>
      </c>
      <c r="E15" s="354" t="s">
        <v>21</v>
      </c>
      <c r="F15" s="368"/>
      <c r="G15" s="369">
        <v>247</v>
      </c>
      <c r="H15" s="358">
        <f>G15*20910</f>
        <v>5164770</v>
      </c>
      <c r="I15" s="358"/>
      <c r="J15" s="358">
        <v>2380000</v>
      </c>
      <c r="K15" s="371"/>
      <c r="L15" s="372"/>
      <c r="M15" s="358"/>
      <c r="N15" s="358"/>
      <c r="O15" s="358">
        <f t="shared" si="0"/>
        <v>7544770</v>
      </c>
      <c r="P15" s="385">
        <v>13194444</v>
      </c>
      <c r="Q15" s="358">
        <f t="shared" si="1"/>
        <v>5649674</v>
      </c>
      <c r="R15" s="195"/>
      <c r="S15" s="195"/>
    </row>
    <row r="16" spans="1:21" ht="21.75" customHeight="1" x14ac:dyDescent="0.25">
      <c r="A16" s="350">
        <v>9</v>
      </c>
      <c r="B16" s="482">
        <v>45344</v>
      </c>
      <c r="C16" s="366" t="s">
        <v>931</v>
      </c>
      <c r="D16" s="501" t="s">
        <v>5226</v>
      </c>
      <c r="E16" s="354" t="s">
        <v>187</v>
      </c>
      <c r="F16" s="368"/>
      <c r="G16" s="369">
        <v>81</v>
      </c>
      <c r="H16" s="358">
        <f t="shared" ref="H16:H20" si="3">G16*20910</f>
        <v>1693710</v>
      </c>
      <c r="I16" s="358"/>
      <c r="J16" s="358">
        <v>790000</v>
      </c>
      <c r="K16" s="371"/>
      <c r="L16" s="372"/>
      <c r="M16" s="358"/>
      <c r="N16" s="358"/>
      <c r="O16" s="358">
        <f t="shared" si="0"/>
        <v>2483710</v>
      </c>
      <c r="P16" s="385">
        <v>4100000</v>
      </c>
      <c r="Q16" s="358">
        <f t="shared" si="1"/>
        <v>1616290</v>
      </c>
      <c r="R16" s="195"/>
      <c r="S16" s="195"/>
      <c r="U16" s="195"/>
    </row>
    <row r="17" spans="1:19" ht="21.75" customHeight="1" x14ac:dyDescent="0.25">
      <c r="A17" s="350">
        <v>10</v>
      </c>
      <c r="B17" s="482">
        <v>45345</v>
      </c>
      <c r="C17" s="366" t="s">
        <v>1641</v>
      </c>
      <c r="D17" s="501" t="s">
        <v>5227</v>
      </c>
      <c r="E17" s="354" t="s">
        <v>2589</v>
      </c>
      <c r="F17" s="368"/>
      <c r="G17" s="369">
        <v>85</v>
      </c>
      <c r="H17" s="358">
        <f t="shared" si="3"/>
        <v>1777350</v>
      </c>
      <c r="I17" s="358"/>
      <c r="J17" s="358">
        <v>790000</v>
      </c>
      <c r="K17" s="371"/>
      <c r="L17" s="372"/>
      <c r="M17" s="381"/>
      <c r="N17" s="358"/>
      <c r="O17" s="358">
        <f t="shared" si="0"/>
        <v>2567350</v>
      </c>
      <c r="P17" s="385">
        <v>4000000</v>
      </c>
      <c r="Q17" s="358">
        <f t="shared" si="1"/>
        <v>1432650</v>
      </c>
      <c r="R17" s="195"/>
      <c r="S17" s="195"/>
    </row>
    <row r="18" spans="1:19" ht="21.75" customHeight="1" x14ac:dyDescent="0.25">
      <c r="A18" s="470">
        <v>11</v>
      </c>
      <c r="B18" s="487">
        <v>45346</v>
      </c>
      <c r="C18" s="366" t="s">
        <v>1642</v>
      </c>
      <c r="D18" s="501" t="s">
        <v>5228</v>
      </c>
      <c r="E18" s="354" t="s">
        <v>5211</v>
      </c>
      <c r="F18" s="461"/>
      <c r="G18" s="369">
        <v>152</v>
      </c>
      <c r="H18" s="358">
        <f>G18*20910</f>
        <v>3178320</v>
      </c>
      <c r="I18" s="494"/>
      <c r="J18" s="358">
        <v>1070000</v>
      </c>
      <c r="K18" s="371"/>
      <c r="L18" s="372"/>
      <c r="N18" s="381"/>
      <c r="O18" s="358">
        <f t="shared" si="0"/>
        <v>4248320</v>
      </c>
      <c r="P18" s="385">
        <v>7150000</v>
      </c>
      <c r="Q18" s="358">
        <f t="shared" si="1"/>
        <v>2901680</v>
      </c>
      <c r="R18" s="195"/>
      <c r="S18" s="195"/>
    </row>
    <row r="19" spans="1:19" ht="21.75" customHeight="1" x14ac:dyDescent="0.25">
      <c r="A19" s="350">
        <v>12</v>
      </c>
      <c r="B19" s="487">
        <v>45348</v>
      </c>
      <c r="C19" s="366" t="s">
        <v>5218</v>
      </c>
      <c r="D19" s="501" t="s">
        <v>5229</v>
      </c>
      <c r="E19" s="354" t="s">
        <v>1616</v>
      </c>
      <c r="F19" s="461"/>
      <c r="G19" s="369">
        <v>48</v>
      </c>
      <c r="H19" s="358">
        <f t="shared" si="3"/>
        <v>1003680</v>
      </c>
      <c r="I19" s="494"/>
      <c r="J19" s="381">
        <v>340000</v>
      </c>
      <c r="K19" s="371"/>
      <c r="L19" s="372"/>
      <c r="M19" s="381"/>
      <c r="N19" s="381"/>
      <c r="O19" s="358">
        <f t="shared" si="0"/>
        <v>1343680</v>
      </c>
      <c r="P19" s="385">
        <v>2670000</v>
      </c>
      <c r="Q19" s="358">
        <f t="shared" si="1"/>
        <v>1326320</v>
      </c>
      <c r="R19" s="195"/>
      <c r="S19" s="195"/>
    </row>
    <row r="20" spans="1:19" ht="21.75" customHeight="1" x14ac:dyDescent="0.25">
      <c r="A20" s="350">
        <v>13</v>
      </c>
      <c r="B20" s="487">
        <v>45348</v>
      </c>
      <c r="C20" s="366" t="s">
        <v>2321</v>
      </c>
      <c r="D20" s="501" t="s">
        <v>5230</v>
      </c>
      <c r="E20" s="354" t="s">
        <v>497</v>
      </c>
      <c r="F20" s="461"/>
      <c r="G20" s="369">
        <v>80</v>
      </c>
      <c r="H20" s="358">
        <f t="shared" si="3"/>
        <v>1672800</v>
      </c>
      <c r="I20" s="494"/>
      <c r="J20" s="381">
        <v>790000</v>
      </c>
      <c r="K20" s="371"/>
      <c r="L20" s="372"/>
      <c r="M20" s="381"/>
      <c r="N20" s="381"/>
      <c r="O20" s="358">
        <f t="shared" si="0"/>
        <v>2462800</v>
      </c>
      <c r="P20" s="385">
        <v>4400000</v>
      </c>
      <c r="Q20" s="358">
        <f t="shared" si="1"/>
        <v>1937200</v>
      </c>
      <c r="R20" s="195"/>
      <c r="S20" s="195"/>
    </row>
    <row r="21" spans="1:19" ht="21.75" customHeight="1" x14ac:dyDescent="0.25">
      <c r="A21" s="350">
        <v>14</v>
      </c>
      <c r="B21" s="487">
        <v>45349</v>
      </c>
      <c r="C21" s="366" t="s">
        <v>935</v>
      </c>
      <c r="D21" s="501" t="s">
        <v>5231</v>
      </c>
      <c r="E21" s="354" t="s">
        <v>5209</v>
      </c>
      <c r="F21" s="461"/>
      <c r="G21" s="369">
        <v>271</v>
      </c>
      <c r="H21" s="358">
        <f>G21*20770</f>
        <v>5628670</v>
      </c>
      <c r="I21" s="494"/>
      <c r="J21" s="381">
        <v>1180000</v>
      </c>
      <c r="K21" s="371"/>
      <c r="L21" s="372"/>
      <c r="M21" s="381"/>
      <c r="N21" s="381"/>
      <c r="O21" s="358">
        <f t="shared" si="0"/>
        <v>6808670</v>
      </c>
      <c r="P21" s="385">
        <v>11200000</v>
      </c>
      <c r="Q21" s="358">
        <f t="shared" si="1"/>
        <v>4391330</v>
      </c>
      <c r="R21" s="195"/>
      <c r="S21" s="195"/>
    </row>
    <row r="22" spans="1:19" ht="21.75" customHeight="1" x14ac:dyDescent="0.25">
      <c r="A22" s="350">
        <v>15</v>
      </c>
      <c r="B22" s="487">
        <v>45350</v>
      </c>
      <c r="C22" s="366" t="s">
        <v>2938</v>
      </c>
      <c r="D22" s="501" t="s">
        <v>5232</v>
      </c>
      <c r="E22" s="354" t="s">
        <v>2589</v>
      </c>
      <c r="F22" s="461"/>
      <c r="G22" s="369">
        <v>88</v>
      </c>
      <c r="H22" s="358">
        <f>G22*20770</f>
        <v>1827760</v>
      </c>
      <c r="I22" s="494"/>
      <c r="J22" s="381">
        <v>790000</v>
      </c>
      <c r="K22" s="371"/>
      <c r="L22" s="372"/>
      <c r="M22" s="381"/>
      <c r="N22" s="381"/>
      <c r="O22" s="358">
        <f t="shared" si="0"/>
        <v>2617760</v>
      </c>
      <c r="P22" s="385">
        <v>4000000</v>
      </c>
      <c r="Q22" s="358">
        <f t="shared" si="1"/>
        <v>1382240</v>
      </c>
      <c r="R22" s="195"/>
      <c r="S22" s="195"/>
    </row>
    <row r="23" spans="1:19" ht="21.75" customHeight="1" x14ac:dyDescent="0.25">
      <c r="A23" s="350"/>
      <c r="B23" s="487"/>
      <c r="C23" s="366"/>
      <c r="D23" s="502"/>
      <c r="E23" s="354"/>
      <c r="F23" s="461"/>
      <c r="G23" s="369"/>
      <c r="H23" s="358"/>
      <c r="I23" s="494"/>
      <c r="J23" s="381"/>
      <c r="K23" s="371"/>
      <c r="L23" s="372"/>
      <c r="M23" s="381"/>
      <c r="N23" s="381"/>
      <c r="O23" s="385"/>
      <c r="P23" s="385"/>
      <c r="Q23" s="385"/>
      <c r="R23" s="195"/>
      <c r="S23" s="195"/>
    </row>
    <row r="24" spans="1:19" ht="24.95" customHeight="1" x14ac:dyDescent="0.25">
      <c r="A24" s="374"/>
      <c r="B24" s="488"/>
      <c r="C24" s="609" t="s">
        <v>1273</v>
      </c>
      <c r="D24" s="609"/>
      <c r="E24" s="609"/>
      <c r="F24" s="402"/>
      <c r="G24" s="358"/>
      <c r="H24" s="369"/>
      <c r="I24" s="403"/>
      <c r="J24" s="381"/>
      <c r="K24" s="372">
        <v>1200000</v>
      </c>
      <c r="L24" s="372"/>
      <c r="M24" s="381"/>
      <c r="N24" s="381"/>
      <c r="O24" s="385">
        <f>H24+J24+K24+L24+M24+N24</f>
        <v>1200000</v>
      </c>
      <c r="P24" s="385"/>
      <c r="Q24" s="385"/>
    </row>
    <row r="25" spans="1:19" ht="24.95" customHeight="1" x14ac:dyDescent="0.25">
      <c r="A25" s="386"/>
      <c r="B25" s="379"/>
      <c r="C25" s="594" t="s">
        <v>4535</v>
      </c>
      <c r="D25" s="595"/>
      <c r="E25" s="596"/>
      <c r="F25" s="402"/>
      <c r="G25" s="381"/>
      <c r="H25" s="369"/>
      <c r="J25" s="381"/>
      <c r="K25" s="388">
        <v>6622720</v>
      </c>
      <c r="L25" s="388"/>
      <c r="M25" s="381"/>
      <c r="N25" s="381"/>
      <c r="O25" s="385">
        <f t="shared" ref="O25:O31" si="4">H25+J25+K25+L25+M25+N25</f>
        <v>6622720</v>
      </c>
      <c r="P25" s="389"/>
      <c r="Q25" s="378"/>
    </row>
    <row r="26" spans="1:19" ht="24.95" customHeight="1" x14ac:dyDescent="0.25">
      <c r="A26" s="386"/>
      <c r="B26" s="379"/>
      <c r="C26" s="594" t="s">
        <v>5289</v>
      </c>
      <c r="D26" s="595"/>
      <c r="E26" s="596"/>
      <c r="F26" s="402"/>
      <c r="G26" s="381"/>
      <c r="H26" s="369"/>
      <c r="J26" s="381"/>
      <c r="K26" s="388"/>
      <c r="L26" s="388">
        <v>6000000</v>
      </c>
      <c r="M26" s="381"/>
      <c r="N26" s="388"/>
      <c r="O26" s="385">
        <f t="shared" si="4"/>
        <v>6000000</v>
      </c>
      <c r="P26" s="389"/>
      <c r="Q26" s="378"/>
    </row>
    <row r="27" spans="1:19" ht="24.95" customHeight="1" x14ac:dyDescent="0.25">
      <c r="A27" s="386"/>
      <c r="B27" s="379"/>
      <c r="C27" s="594" t="s">
        <v>5290</v>
      </c>
      <c r="D27" s="595"/>
      <c r="E27" s="596"/>
      <c r="F27" s="402"/>
      <c r="G27" s="381"/>
      <c r="H27" s="369"/>
      <c r="J27" s="381"/>
      <c r="K27" s="388"/>
      <c r="L27" s="388">
        <v>2500000</v>
      </c>
      <c r="M27" s="381"/>
      <c r="N27" s="388"/>
      <c r="O27" s="385">
        <f t="shared" si="4"/>
        <v>2500000</v>
      </c>
      <c r="P27" s="389"/>
      <c r="Q27" s="378"/>
    </row>
    <row r="28" spans="1:19" ht="24.95" customHeight="1" x14ac:dyDescent="0.25">
      <c r="A28" s="386"/>
      <c r="B28" s="379"/>
      <c r="C28" s="594" t="s">
        <v>5291</v>
      </c>
      <c r="D28" s="595"/>
      <c r="E28" s="596"/>
      <c r="F28" s="402"/>
      <c r="G28" s="381"/>
      <c r="H28" s="369"/>
      <c r="J28" s="381"/>
      <c r="K28" s="388"/>
      <c r="L28" s="388">
        <v>420000</v>
      </c>
      <c r="M28" s="388"/>
      <c r="N28" s="388"/>
      <c r="O28" s="385">
        <f t="shared" si="4"/>
        <v>420000</v>
      </c>
      <c r="P28" s="389"/>
      <c r="Q28" s="378"/>
    </row>
    <row r="29" spans="1:19" ht="24.95" customHeight="1" x14ac:dyDescent="0.25">
      <c r="A29" s="386"/>
      <c r="B29" s="379"/>
      <c r="C29" s="594" t="s">
        <v>5292</v>
      </c>
      <c r="D29" s="595"/>
      <c r="E29" s="596"/>
      <c r="F29" s="402"/>
      <c r="G29" s="381"/>
      <c r="H29" s="369"/>
      <c r="J29" s="381"/>
      <c r="K29" s="388"/>
      <c r="L29" s="388">
        <f>4224000/4</f>
        <v>1056000</v>
      </c>
      <c r="M29" s="381"/>
      <c r="N29" s="388"/>
      <c r="O29" s="385">
        <f t="shared" si="4"/>
        <v>1056000</v>
      </c>
      <c r="P29" s="389"/>
      <c r="Q29" s="378"/>
    </row>
    <row r="30" spans="1:19" ht="24.95" customHeight="1" x14ac:dyDescent="0.25">
      <c r="A30" s="386"/>
      <c r="B30" s="379"/>
      <c r="C30" s="594" t="s">
        <v>5412</v>
      </c>
      <c r="D30" s="595"/>
      <c r="E30" s="596"/>
      <c r="F30" s="402"/>
      <c r="G30" s="381"/>
      <c r="H30" s="369"/>
      <c r="J30" s="381"/>
      <c r="K30" s="388"/>
      <c r="L30" s="388">
        <v>450000</v>
      </c>
      <c r="M30" s="381"/>
      <c r="N30" s="388"/>
      <c r="O30" s="385">
        <f t="shared" si="4"/>
        <v>450000</v>
      </c>
      <c r="P30" s="389"/>
      <c r="Q30" s="378"/>
    </row>
    <row r="31" spans="1:19" ht="24.95" customHeight="1" x14ac:dyDescent="0.25">
      <c r="A31" s="386"/>
      <c r="B31" s="379"/>
      <c r="C31" s="594" t="s">
        <v>5413</v>
      </c>
      <c r="D31" s="595"/>
      <c r="E31" s="596"/>
      <c r="F31" s="402"/>
      <c r="G31" s="381"/>
      <c r="H31" s="369"/>
      <c r="J31" s="381"/>
      <c r="K31" s="388"/>
      <c r="L31" s="388">
        <v>800000</v>
      </c>
      <c r="M31" s="381"/>
      <c r="N31" s="388"/>
      <c r="O31" s="385">
        <f t="shared" si="4"/>
        <v>800000</v>
      </c>
      <c r="P31" s="389"/>
      <c r="Q31" s="378"/>
    </row>
    <row r="32" spans="1:19" ht="24.95" customHeight="1" x14ac:dyDescent="0.25">
      <c r="A32" s="386"/>
      <c r="B32" s="391"/>
      <c r="C32" s="579" t="s">
        <v>5295</v>
      </c>
      <c r="D32" s="580"/>
      <c r="E32" s="581"/>
      <c r="F32" s="461"/>
      <c r="G32" s="381"/>
      <c r="H32" s="369"/>
      <c r="I32" s="403"/>
      <c r="J32" s="381"/>
      <c r="K32" s="394">
        <v>5060000</v>
      </c>
      <c r="L32" s="394"/>
      <c r="M32" s="381"/>
      <c r="N32" s="381"/>
      <c r="O32" s="385">
        <f>H32+J32+K32+L32+M32+N32</f>
        <v>5060000</v>
      </c>
      <c r="P32" s="389"/>
      <c r="Q32" s="378"/>
    </row>
    <row r="33" spans="1:18" x14ac:dyDescent="0.25">
      <c r="A33" s="576" t="s">
        <v>19</v>
      </c>
      <c r="B33" s="577"/>
      <c r="C33" s="577"/>
      <c r="D33" s="577"/>
      <c r="E33" s="577"/>
      <c r="F33" s="578"/>
      <c r="G33" s="395">
        <f>SUM(G8:G32)</f>
        <v>1563</v>
      </c>
      <c r="H33" s="396">
        <f t="shared" ref="H33:O33" si="5">SUM(H7:H32)</f>
        <v>32828720</v>
      </c>
      <c r="I33" s="396">
        <f t="shared" si="5"/>
        <v>0</v>
      </c>
      <c r="J33" s="396">
        <f t="shared" si="5"/>
        <v>12550000</v>
      </c>
      <c r="K33" s="396">
        <f t="shared" si="5"/>
        <v>12882720</v>
      </c>
      <c r="L33" s="396">
        <f t="shared" si="5"/>
        <v>11226000</v>
      </c>
      <c r="M33" s="396">
        <f t="shared" si="5"/>
        <v>0</v>
      </c>
      <c r="N33" s="396">
        <f t="shared" si="5"/>
        <v>0</v>
      </c>
      <c r="O33" s="396">
        <f t="shared" si="5"/>
        <v>69487440</v>
      </c>
      <c r="P33" s="397">
        <f>SUM(P7:P32)</f>
        <v>79814444</v>
      </c>
      <c r="Q33" s="396">
        <f>P33-O33</f>
        <v>10327004</v>
      </c>
      <c r="R33" s="195"/>
    </row>
    <row r="34" spans="1:18" x14ac:dyDescent="0.25">
      <c r="P34" s="294"/>
      <c r="Q34" s="295"/>
    </row>
    <row r="35" spans="1:18" x14ac:dyDescent="0.25">
      <c r="B35"/>
      <c r="G35"/>
      <c r="H35" s="294"/>
      <c r="P35" s="296" t="s">
        <v>1225</v>
      </c>
      <c r="Q35" s="295">
        <f>'01.2024'!Q45+'02.2024'!Q33</f>
        <v>31620051</v>
      </c>
    </row>
    <row r="36" spans="1:18" x14ac:dyDescent="0.25">
      <c r="B36"/>
      <c r="G36"/>
      <c r="Q36" s="294"/>
    </row>
    <row r="37" spans="1:18" x14ac:dyDescent="0.25">
      <c r="B37"/>
      <c r="G37"/>
      <c r="R37" s="195"/>
    </row>
  </sheetData>
  <mergeCells count="14">
    <mergeCell ref="A33:F33"/>
    <mergeCell ref="C26:E26"/>
    <mergeCell ref="C27:E27"/>
    <mergeCell ref="C28:E28"/>
    <mergeCell ref="C29:E29"/>
    <mergeCell ref="C32:E32"/>
    <mergeCell ref="C30:E30"/>
    <mergeCell ref="C31:E31"/>
    <mergeCell ref="C25:E25"/>
    <mergeCell ref="A1:Q1"/>
    <mergeCell ref="A2:Q2"/>
    <mergeCell ref="A3:Q3"/>
    <mergeCell ref="G5:N5"/>
    <mergeCell ref="C24:E24"/>
  </mergeCells>
  <pageMargins left="0.7" right="0.7" top="0.75" bottom="0.75" header="0.3" footer="0.3"/>
  <pageSetup paperSize="9" orientation="portrait" horizontalDpi="0" verticalDpi="0" r:id="rId1"/>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44F4F-3E51-4187-8749-3774285148C6}">
  <dimension ref="A1:U44"/>
  <sheetViews>
    <sheetView topLeftCell="A25" workbookViewId="0">
      <selection activeCell="L35" sqref="L35:L38"/>
    </sheetView>
  </sheetViews>
  <sheetFormatPr defaultColWidth="9.140625" defaultRowHeight="15" x14ac:dyDescent="0.25"/>
  <cols>
    <col min="1" max="1" width="4.5703125" customWidth="1"/>
    <col min="2" max="2" width="9.28515625" style="332" bestFit="1" customWidth="1"/>
    <col min="3" max="3" width="33.42578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21" ht="23.25" x14ac:dyDescent="0.25">
      <c r="A1" s="551" t="s">
        <v>0</v>
      </c>
      <c r="B1" s="551"/>
      <c r="C1" s="551"/>
      <c r="D1" s="551"/>
      <c r="E1" s="551"/>
      <c r="F1" s="551"/>
      <c r="G1" s="551"/>
      <c r="H1" s="551"/>
      <c r="I1" s="551"/>
      <c r="J1" s="551"/>
      <c r="K1" s="551"/>
      <c r="L1" s="551"/>
      <c r="M1" s="551"/>
      <c r="N1" s="551"/>
      <c r="O1" s="551"/>
      <c r="P1" s="551"/>
      <c r="Q1" s="551"/>
    </row>
    <row r="2" spans="1:21" ht="15.75" x14ac:dyDescent="0.25">
      <c r="A2" s="550" t="s">
        <v>103</v>
      </c>
      <c r="B2" s="550"/>
      <c r="C2" s="550"/>
      <c r="D2" s="550"/>
      <c r="E2" s="550"/>
      <c r="F2" s="550"/>
      <c r="G2" s="550"/>
      <c r="H2" s="550"/>
      <c r="I2" s="550"/>
      <c r="J2" s="550"/>
      <c r="K2" s="550"/>
      <c r="L2" s="550"/>
      <c r="M2" s="550"/>
      <c r="N2" s="550"/>
      <c r="O2" s="550"/>
      <c r="P2" s="550"/>
      <c r="Q2" s="550"/>
    </row>
    <row r="3" spans="1:21" ht="15.75" x14ac:dyDescent="0.25">
      <c r="A3" s="550" t="s">
        <v>5237</v>
      </c>
      <c r="B3" s="550"/>
      <c r="C3" s="550"/>
      <c r="D3" s="550"/>
      <c r="E3" s="550"/>
      <c r="F3" s="550"/>
      <c r="G3" s="550"/>
      <c r="H3" s="550"/>
      <c r="I3" s="550"/>
      <c r="J3" s="550"/>
      <c r="K3" s="550"/>
      <c r="L3" s="550"/>
      <c r="M3" s="550"/>
      <c r="N3" s="550"/>
      <c r="O3" s="550"/>
      <c r="P3" s="550"/>
      <c r="Q3" s="550"/>
    </row>
    <row r="4" spans="1:21" x14ac:dyDescent="0.25">
      <c r="A4" s="74"/>
      <c r="B4" s="99"/>
      <c r="C4" s="74"/>
      <c r="D4" s="74"/>
      <c r="E4" s="74" t="s">
        <v>194</v>
      </c>
      <c r="F4" s="74"/>
      <c r="G4" s="257"/>
      <c r="H4" s="258"/>
      <c r="I4" s="258"/>
      <c r="J4" s="258"/>
      <c r="K4" s="258"/>
      <c r="L4" s="91"/>
      <c r="M4" s="258"/>
      <c r="N4" s="258"/>
      <c r="O4" s="258"/>
      <c r="P4" s="258"/>
      <c r="Q4" s="258"/>
    </row>
    <row r="5" spans="1:21"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21"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21" x14ac:dyDescent="0.25">
      <c r="A7" s="75"/>
      <c r="B7" s="100"/>
      <c r="C7" s="88"/>
      <c r="D7" s="88"/>
      <c r="E7" s="134"/>
      <c r="F7" s="75"/>
      <c r="G7" s="264"/>
      <c r="H7" s="264"/>
      <c r="I7" s="264"/>
      <c r="J7" s="264"/>
      <c r="K7" s="264"/>
      <c r="L7" s="308"/>
      <c r="M7" s="264"/>
      <c r="N7" s="264"/>
      <c r="O7" s="265"/>
      <c r="P7" s="265"/>
      <c r="Q7" s="264"/>
    </row>
    <row r="8" spans="1:21" ht="21.75" customHeight="1" x14ac:dyDescent="0.25">
      <c r="A8" s="470">
        <v>1</v>
      </c>
      <c r="B8" s="472">
        <v>45352</v>
      </c>
      <c r="C8" s="366" t="s">
        <v>5268</v>
      </c>
      <c r="D8" s="500" t="s">
        <v>5238</v>
      </c>
      <c r="E8" s="354" t="s">
        <v>5259</v>
      </c>
      <c r="F8" s="368"/>
      <c r="G8" s="369">
        <v>69</v>
      </c>
      <c r="H8" s="358">
        <f>G8*20770</f>
        <v>1433130</v>
      </c>
      <c r="I8" s="358"/>
      <c r="J8" s="358">
        <v>430000</v>
      </c>
      <c r="K8" s="371"/>
      <c r="L8" s="372"/>
      <c r="M8" s="358"/>
      <c r="N8" s="358"/>
      <c r="O8" s="358">
        <f t="shared" ref="O8:O32" si="0">H8+J8+K8+L8+M8+N8</f>
        <v>1863130</v>
      </c>
      <c r="P8" s="358">
        <v>3090000</v>
      </c>
      <c r="Q8" s="358">
        <f>P8-O8</f>
        <v>1226870</v>
      </c>
      <c r="R8" s="195"/>
      <c r="S8" s="195"/>
    </row>
    <row r="9" spans="1:21" ht="21.75" customHeight="1" x14ac:dyDescent="0.25">
      <c r="A9" s="350">
        <v>2</v>
      </c>
      <c r="B9" s="482">
        <v>45355</v>
      </c>
      <c r="C9" s="366" t="s">
        <v>2341</v>
      </c>
      <c r="D9" s="501" t="s">
        <v>5239</v>
      </c>
      <c r="E9" s="354" t="s">
        <v>2589</v>
      </c>
      <c r="F9" s="368"/>
      <c r="G9" s="369">
        <v>101</v>
      </c>
      <c r="H9" s="358">
        <f>G9*20770</f>
        <v>2097770</v>
      </c>
      <c r="I9" s="358"/>
      <c r="J9" s="358">
        <v>1290000</v>
      </c>
      <c r="K9" s="371"/>
      <c r="L9" s="372"/>
      <c r="M9" s="358"/>
      <c r="N9" s="358"/>
      <c r="O9" s="358">
        <f t="shared" si="0"/>
        <v>3387770</v>
      </c>
      <c r="P9" s="385">
        <v>4000000</v>
      </c>
      <c r="Q9" s="358">
        <f t="shared" ref="Q9:Q32" si="1">P9-O9</f>
        <v>612230</v>
      </c>
      <c r="R9" s="195"/>
      <c r="S9" s="195"/>
    </row>
    <row r="10" spans="1:21" ht="21.75" customHeight="1" x14ac:dyDescent="0.25">
      <c r="A10" s="350">
        <v>3</v>
      </c>
      <c r="B10" s="482">
        <v>45355</v>
      </c>
      <c r="C10" s="366" t="s">
        <v>5269</v>
      </c>
      <c r="D10" s="501" t="s">
        <v>5239</v>
      </c>
      <c r="E10" s="354" t="s">
        <v>278</v>
      </c>
      <c r="F10" s="368"/>
      <c r="G10" s="369"/>
      <c r="H10" s="358">
        <f>G10*20770</f>
        <v>0</v>
      </c>
      <c r="I10" s="358"/>
      <c r="J10" s="358"/>
      <c r="K10" s="371"/>
      <c r="L10" s="372"/>
      <c r="M10" s="358"/>
      <c r="N10" s="358"/>
      <c r="O10" s="358">
        <f t="shared" si="0"/>
        <v>0</v>
      </c>
      <c r="P10" s="385">
        <v>2800000</v>
      </c>
      <c r="Q10" s="358">
        <f t="shared" si="1"/>
        <v>2800000</v>
      </c>
      <c r="R10" s="195"/>
      <c r="S10" s="195"/>
    </row>
    <row r="11" spans="1:21" ht="21.75" customHeight="1" x14ac:dyDescent="0.25">
      <c r="A11" s="350">
        <v>4</v>
      </c>
      <c r="B11" s="482">
        <v>45356</v>
      </c>
      <c r="C11" s="366" t="s">
        <v>5270</v>
      </c>
      <c r="D11" s="501" t="s">
        <v>5240</v>
      </c>
      <c r="E11" s="354" t="s">
        <v>850</v>
      </c>
      <c r="F11" s="368"/>
      <c r="G11" s="369">
        <v>110</v>
      </c>
      <c r="H11" s="358">
        <f>G11*20770</f>
        <v>2284700</v>
      </c>
      <c r="I11" s="358"/>
      <c r="J11" s="358">
        <v>790000</v>
      </c>
      <c r="K11" s="371"/>
      <c r="L11" s="372"/>
      <c r="M11" s="358"/>
      <c r="N11" s="358"/>
      <c r="O11" s="358">
        <f t="shared" si="0"/>
        <v>3074700</v>
      </c>
      <c r="P11" s="385">
        <v>5200000</v>
      </c>
      <c r="Q11" s="358">
        <f t="shared" si="1"/>
        <v>2125300</v>
      </c>
      <c r="R11" s="195"/>
      <c r="S11" s="195"/>
      <c r="U11" s="195"/>
    </row>
    <row r="12" spans="1:21" ht="21.75" customHeight="1" x14ac:dyDescent="0.25">
      <c r="A12" s="350">
        <v>5</v>
      </c>
      <c r="B12" s="482">
        <v>45357</v>
      </c>
      <c r="C12" s="366" t="s">
        <v>5271</v>
      </c>
      <c r="D12" s="501" t="s">
        <v>5241</v>
      </c>
      <c r="E12" s="354" t="s">
        <v>24</v>
      </c>
      <c r="F12" s="368"/>
      <c r="G12" s="369">
        <v>180</v>
      </c>
      <c r="H12" s="358">
        <f>G12*20470</f>
        <v>3684600</v>
      </c>
      <c r="I12" s="358"/>
      <c r="J12" s="358">
        <v>1530000</v>
      </c>
      <c r="K12" s="371"/>
      <c r="L12" s="372"/>
      <c r="M12" s="358"/>
      <c r="N12" s="358"/>
      <c r="O12" s="358">
        <f t="shared" si="0"/>
        <v>5214600</v>
      </c>
      <c r="P12" s="385">
        <v>8666667</v>
      </c>
      <c r="Q12" s="358">
        <f t="shared" si="1"/>
        <v>3452067</v>
      </c>
      <c r="R12" s="195"/>
      <c r="S12" s="195"/>
    </row>
    <row r="13" spans="1:21" ht="21.75" customHeight="1" x14ac:dyDescent="0.25">
      <c r="A13" s="350">
        <v>6</v>
      </c>
      <c r="B13" s="482">
        <v>45358</v>
      </c>
      <c r="C13" s="366" t="s">
        <v>972</v>
      </c>
      <c r="D13" s="501" t="s">
        <v>5242</v>
      </c>
      <c r="E13" s="354" t="s">
        <v>27</v>
      </c>
      <c r="F13" s="368"/>
      <c r="G13" s="369">
        <v>64</v>
      </c>
      <c r="H13" s="358">
        <f t="shared" ref="H13:H16" si="2">G13*20470</f>
        <v>1310080</v>
      </c>
      <c r="I13" s="358"/>
      <c r="J13" s="358">
        <v>430000</v>
      </c>
      <c r="K13" s="371"/>
      <c r="L13" s="372"/>
      <c r="M13" s="358"/>
      <c r="N13" s="358"/>
      <c r="O13" s="358">
        <f t="shared" si="0"/>
        <v>1740080</v>
      </c>
      <c r="P13" s="385">
        <v>3090000</v>
      </c>
      <c r="Q13" s="358">
        <f t="shared" si="1"/>
        <v>1349920</v>
      </c>
      <c r="R13" s="195"/>
      <c r="S13" s="195"/>
    </row>
    <row r="14" spans="1:21" ht="21.75" customHeight="1" x14ac:dyDescent="0.25">
      <c r="A14" s="350">
        <v>7</v>
      </c>
      <c r="B14" s="508">
        <v>45362</v>
      </c>
      <c r="C14" s="496" t="s">
        <v>5272</v>
      </c>
      <c r="D14" s="503" t="s">
        <v>5243</v>
      </c>
      <c r="E14" s="484" t="s">
        <v>286</v>
      </c>
      <c r="F14" s="368"/>
      <c r="G14" s="369"/>
      <c r="H14" s="358">
        <f t="shared" si="2"/>
        <v>0</v>
      </c>
      <c r="I14" s="358"/>
      <c r="J14" s="358"/>
      <c r="K14" s="371"/>
      <c r="L14" s="372"/>
      <c r="M14" s="358"/>
      <c r="N14" s="358"/>
      <c r="O14" s="358">
        <f t="shared" si="0"/>
        <v>0</v>
      </c>
      <c r="P14" s="385"/>
      <c r="Q14" s="358">
        <f t="shared" si="1"/>
        <v>0</v>
      </c>
      <c r="R14" s="195"/>
      <c r="S14" s="195"/>
    </row>
    <row r="15" spans="1:21" ht="21.75" customHeight="1" x14ac:dyDescent="0.25">
      <c r="A15" s="350">
        <v>8</v>
      </c>
      <c r="B15" s="508">
        <v>45362</v>
      </c>
      <c r="C15" s="496" t="s">
        <v>5273</v>
      </c>
      <c r="D15" s="503" t="s">
        <v>5243</v>
      </c>
      <c r="E15" s="484" t="s">
        <v>278</v>
      </c>
      <c r="F15" s="368"/>
      <c r="G15" s="369"/>
      <c r="H15" s="358">
        <f t="shared" si="2"/>
        <v>0</v>
      </c>
      <c r="I15" s="358"/>
      <c r="J15" s="358"/>
      <c r="K15" s="371"/>
      <c r="L15" s="372"/>
      <c r="M15" s="358"/>
      <c r="N15" s="358"/>
      <c r="O15" s="358">
        <f t="shared" si="0"/>
        <v>0</v>
      </c>
      <c r="P15" s="385"/>
      <c r="Q15" s="358">
        <f t="shared" si="1"/>
        <v>0</v>
      </c>
      <c r="R15" s="195"/>
      <c r="S15" s="195"/>
    </row>
    <row r="16" spans="1:21" ht="21.75" customHeight="1" x14ac:dyDescent="0.25">
      <c r="A16" s="350">
        <v>9</v>
      </c>
      <c r="B16" s="482">
        <v>45363</v>
      </c>
      <c r="C16" s="366" t="s">
        <v>2346</v>
      </c>
      <c r="D16" s="501" t="s">
        <v>5244</v>
      </c>
      <c r="E16" s="354" t="s">
        <v>5260</v>
      </c>
      <c r="F16" s="368"/>
      <c r="G16" s="369">
        <v>96</v>
      </c>
      <c r="H16" s="358">
        <f t="shared" si="2"/>
        <v>1965120</v>
      </c>
      <c r="I16" s="358"/>
      <c r="J16" s="358">
        <v>430000</v>
      </c>
      <c r="K16" s="371"/>
      <c r="L16" s="372"/>
      <c r="M16" s="358"/>
      <c r="N16" s="358"/>
      <c r="O16" s="358">
        <f t="shared" si="0"/>
        <v>2395120</v>
      </c>
      <c r="P16" s="385">
        <v>5087778</v>
      </c>
      <c r="Q16" s="358">
        <f t="shared" si="1"/>
        <v>2692658</v>
      </c>
      <c r="R16" s="195"/>
      <c r="S16" s="195"/>
      <c r="U16" s="195"/>
    </row>
    <row r="17" spans="1:19" ht="21.75" customHeight="1" x14ac:dyDescent="0.25">
      <c r="A17" s="350">
        <v>10</v>
      </c>
      <c r="B17" s="482">
        <v>45364</v>
      </c>
      <c r="C17" s="366" t="s">
        <v>5274</v>
      </c>
      <c r="D17" s="501" t="s">
        <v>5245</v>
      </c>
      <c r="E17" s="354" t="s">
        <v>189</v>
      </c>
      <c r="F17" s="368"/>
      <c r="G17" s="369">
        <v>180</v>
      </c>
      <c r="H17" s="358">
        <f>G17*20540</f>
        <v>3697200</v>
      </c>
      <c r="I17" s="358"/>
      <c r="J17" s="358">
        <v>1530000</v>
      </c>
      <c r="K17" s="371"/>
      <c r="L17" s="372"/>
      <c r="M17" s="381"/>
      <c r="N17" s="358"/>
      <c r="O17" s="358">
        <f t="shared" si="0"/>
        <v>5227200</v>
      </c>
      <c r="P17" s="385">
        <v>10648148</v>
      </c>
      <c r="Q17" s="358">
        <f t="shared" si="1"/>
        <v>5420948</v>
      </c>
      <c r="R17" s="195"/>
      <c r="S17" s="195"/>
    </row>
    <row r="18" spans="1:19" ht="21.75" customHeight="1" x14ac:dyDescent="0.25">
      <c r="A18" s="470">
        <v>11</v>
      </c>
      <c r="B18" s="487">
        <v>45366</v>
      </c>
      <c r="C18" s="366" t="s">
        <v>5275</v>
      </c>
      <c r="D18" s="501" t="s">
        <v>5246</v>
      </c>
      <c r="E18" s="354" t="s">
        <v>3411</v>
      </c>
      <c r="F18" s="461"/>
      <c r="G18" s="369">
        <v>85</v>
      </c>
      <c r="H18" s="358">
        <f t="shared" ref="H18:H20" si="3">G18*20540</f>
        <v>1745900</v>
      </c>
      <c r="I18" s="494"/>
      <c r="J18" s="358">
        <v>790000</v>
      </c>
      <c r="K18" s="371"/>
      <c r="L18" s="372"/>
      <c r="N18" s="381"/>
      <c r="O18" s="358">
        <f t="shared" si="0"/>
        <v>2535900</v>
      </c>
      <c r="P18" s="385">
        <v>4277778</v>
      </c>
      <c r="Q18" s="358">
        <f t="shared" si="1"/>
        <v>1741878</v>
      </c>
      <c r="R18" s="195"/>
      <c r="S18" s="195"/>
    </row>
    <row r="19" spans="1:19" ht="21.75" customHeight="1" x14ac:dyDescent="0.25">
      <c r="A19" s="350">
        <v>12</v>
      </c>
      <c r="B19" s="487">
        <v>45366</v>
      </c>
      <c r="C19" s="366" t="s">
        <v>4777</v>
      </c>
      <c r="D19" s="501" t="s">
        <v>5247</v>
      </c>
      <c r="E19" s="354" t="s">
        <v>5261</v>
      </c>
      <c r="F19" s="461"/>
      <c r="G19" s="369">
        <v>91</v>
      </c>
      <c r="H19" s="358">
        <f t="shared" si="3"/>
        <v>1869140</v>
      </c>
      <c r="I19" s="494"/>
      <c r="J19" s="381">
        <v>430000</v>
      </c>
      <c r="K19" s="371"/>
      <c r="L19" s="372"/>
      <c r="M19" s="381"/>
      <c r="N19" s="381"/>
      <c r="O19" s="358">
        <f t="shared" si="0"/>
        <v>2299140</v>
      </c>
      <c r="P19" s="385">
        <v>5166296</v>
      </c>
      <c r="Q19" s="358">
        <f t="shared" si="1"/>
        <v>2867156</v>
      </c>
      <c r="R19" s="195"/>
      <c r="S19" s="195"/>
    </row>
    <row r="20" spans="1:19" ht="21.75" customHeight="1" x14ac:dyDescent="0.25">
      <c r="A20" s="350">
        <v>13</v>
      </c>
      <c r="B20" s="487">
        <v>45369</v>
      </c>
      <c r="C20" s="366" t="s">
        <v>5276</v>
      </c>
      <c r="D20" s="501" t="s">
        <v>5248</v>
      </c>
      <c r="E20" s="354" t="s">
        <v>5262</v>
      </c>
      <c r="F20" s="461"/>
      <c r="G20" s="369">
        <v>369</v>
      </c>
      <c r="H20" s="358">
        <f t="shared" si="3"/>
        <v>7579260</v>
      </c>
      <c r="I20" s="494"/>
      <c r="J20" s="381">
        <v>2860000</v>
      </c>
      <c r="K20" s="371"/>
      <c r="L20" s="372"/>
      <c r="M20" s="381"/>
      <c r="N20" s="381"/>
      <c r="O20" s="358">
        <f t="shared" si="0"/>
        <v>10439260</v>
      </c>
      <c r="P20" s="385">
        <v>18055556</v>
      </c>
      <c r="Q20" s="358">
        <f t="shared" si="1"/>
        <v>7616296</v>
      </c>
      <c r="R20" s="195"/>
      <c r="S20" s="195"/>
    </row>
    <row r="21" spans="1:19" ht="21.75" customHeight="1" x14ac:dyDescent="0.25">
      <c r="A21" s="350">
        <v>14</v>
      </c>
      <c r="B21" s="487">
        <v>45369</v>
      </c>
      <c r="C21" s="366" t="s">
        <v>5277</v>
      </c>
      <c r="D21" s="501" t="s">
        <v>5249</v>
      </c>
      <c r="E21" s="354" t="s">
        <v>4220</v>
      </c>
      <c r="F21" s="461"/>
      <c r="G21" s="369">
        <v>45</v>
      </c>
      <c r="H21" s="358">
        <f>G21*21010</f>
        <v>945450</v>
      </c>
      <c r="I21" s="494"/>
      <c r="J21" s="381">
        <v>340000</v>
      </c>
      <c r="K21" s="371"/>
      <c r="L21" s="372"/>
      <c r="M21" s="381"/>
      <c r="N21" s="381"/>
      <c r="O21" s="358">
        <f t="shared" si="0"/>
        <v>1285450</v>
      </c>
      <c r="P21" s="385">
        <v>2670000</v>
      </c>
      <c r="Q21" s="358">
        <f t="shared" si="1"/>
        <v>1384550</v>
      </c>
      <c r="R21" s="195"/>
      <c r="S21" s="195"/>
    </row>
    <row r="22" spans="1:19" ht="21.75" customHeight="1" x14ac:dyDescent="0.25">
      <c r="A22" s="350">
        <v>15</v>
      </c>
      <c r="B22" s="487">
        <v>45370</v>
      </c>
      <c r="C22" s="366" t="s">
        <v>2350</v>
      </c>
      <c r="D22" s="501" t="s">
        <v>5250</v>
      </c>
      <c r="E22" s="354" t="s">
        <v>5211</v>
      </c>
      <c r="F22" s="461"/>
      <c r="G22" s="369">
        <v>152</v>
      </c>
      <c r="H22" s="358">
        <f t="shared" ref="H22:H30" si="4">G22*21010</f>
        <v>3193520</v>
      </c>
      <c r="I22" s="494"/>
      <c r="J22" s="381">
        <v>978000</v>
      </c>
      <c r="K22" s="371"/>
      <c r="L22" s="372"/>
      <c r="M22" s="381"/>
      <c r="N22" s="381"/>
      <c r="O22" s="358">
        <f t="shared" si="0"/>
        <v>4171520</v>
      </c>
      <c r="P22" s="385">
        <v>7150000</v>
      </c>
      <c r="Q22" s="358">
        <f t="shared" si="1"/>
        <v>2978480</v>
      </c>
      <c r="R22" s="195"/>
      <c r="S22" s="195"/>
    </row>
    <row r="23" spans="1:19" ht="21.75" customHeight="1" x14ac:dyDescent="0.25">
      <c r="A23" s="470">
        <v>16</v>
      </c>
      <c r="B23" s="487">
        <v>45371</v>
      </c>
      <c r="C23" s="366" t="s">
        <v>1685</v>
      </c>
      <c r="D23" s="501" t="s">
        <v>5251</v>
      </c>
      <c r="E23" s="354" t="s">
        <v>4111</v>
      </c>
      <c r="F23" s="461"/>
      <c r="G23" s="369">
        <v>106</v>
      </c>
      <c r="H23" s="358">
        <f t="shared" si="4"/>
        <v>2227060</v>
      </c>
      <c r="I23" s="494"/>
      <c r="J23" s="381">
        <v>790000</v>
      </c>
      <c r="K23" s="371"/>
      <c r="L23" s="372"/>
      <c r="M23" s="381"/>
      <c r="N23" s="381"/>
      <c r="O23" s="358">
        <f t="shared" si="0"/>
        <v>3017060</v>
      </c>
      <c r="P23" s="385">
        <v>4300000</v>
      </c>
      <c r="Q23" s="358">
        <f t="shared" si="1"/>
        <v>1282940</v>
      </c>
      <c r="R23" s="195"/>
      <c r="S23" s="195"/>
    </row>
    <row r="24" spans="1:19" ht="21.75" customHeight="1" x14ac:dyDescent="0.25">
      <c r="A24" s="350">
        <v>17</v>
      </c>
      <c r="B24" s="487">
        <v>45372</v>
      </c>
      <c r="C24" s="366" t="s">
        <v>243</v>
      </c>
      <c r="D24" s="501" t="s">
        <v>5252</v>
      </c>
      <c r="E24" s="354" t="s">
        <v>286</v>
      </c>
      <c r="F24" s="461"/>
      <c r="G24" s="369">
        <v>70</v>
      </c>
      <c r="H24" s="358">
        <f t="shared" si="4"/>
        <v>1470700</v>
      </c>
      <c r="I24" s="494"/>
      <c r="J24" s="381">
        <v>790000</v>
      </c>
      <c r="K24" s="371"/>
      <c r="L24" s="372"/>
      <c r="M24" s="381"/>
      <c r="N24" s="381"/>
      <c r="O24" s="358">
        <f t="shared" si="0"/>
        <v>2260700</v>
      </c>
      <c r="P24" s="385">
        <v>3710000</v>
      </c>
      <c r="Q24" s="358">
        <f t="shared" si="1"/>
        <v>1449300</v>
      </c>
      <c r="R24" s="195"/>
      <c r="S24" s="195"/>
    </row>
    <row r="25" spans="1:19" ht="21.75" customHeight="1" x14ac:dyDescent="0.25">
      <c r="A25" s="350">
        <v>18</v>
      </c>
      <c r="B25" s="487">
        <v>45373</v>
      </c>
      <c r="C25" s="366" t="s">
        <v>2351</v>
      </c>
      <c r="D25" s="501" t="s">
        <v>5253</v>
      </c>
      <c r="E25" s="354" t="s">
        <v>2589</v>
      </c>
      <c r="F25" s="461"/>
      <c r="G25" s="369">
        <v>85</v>
      </c>
      <c r="H25" s="358">
        <f t="shared" si="4"/>
        <v>1785850</v>
      </c>
      <c r="I25" s="494"/>
      <c r="J25" s="381">
        <v>790000</v>
      </c>
      <c r="K25" s="371"/>
      <c r="L25" s="372"/>
      <c r="M25" s="381"/>
      <c r="N25" s="381"/>
      <c r="O25" s="358">
        <f t="shared" si="0"/>
        <v>2575850</v>
      </c>
      <c r="P25" s="385">
        <v>4000000</v>
      </c>
      <c r="Q25" s="358">
        <f t="shared" si="1"/>
        <v>1424150</v>
      </c>
      <c r="R25" s="195"/>
      <c r="S25" s="195"/>
    </row>
    <row r="26" spans="1:19" ht="21.75" customHeight="1" x14ac:dyDescent="0.25">
      <c r="A26" s="350">
        <v>19</v>
      </c>
      <c r="B26" s="487">
        <v>45374</v>
      </c>
      <c r="C26" s="366" t="s">
        <v>5278</v>
      </c>
      <c r="D26" s="501" t="s">
        <v>5254</v>
      </c>
      <c r="E26" s="354" t="s">
        <v>5263</v>
      </c>
      <c r="F26" s="461"/>
      <c r="G26" s="369">
        <v>113</v>
      </c>
      <c r="H26" s="358">
        <f t="shared" si="4"/>
        <v>2374130</v>
      </c>
      <c r="I26" s="494"/>
      <c r="J26" s="381">
        <v>1090000</v>
      </c>
      <c r="K26" s="371"/>
      <c r="L26" s="372"/>
      <c r="M26" s="381"/>
      <c r="N26" s="381"/>
      <c r="O26" s="358">
        <f t="shared" si="0"/>
        <v>3464130</v>
      </c>
      <c r="P26" s="385">
        <v>3180000</v>
      </c>
      <c r="Q26" s="358">
        <f t="shared" si="1"/>
        <v>-284130</v>
      </c>
      <c r="R26" s="195"/>
      <c r="S26" s="195"/>
    </row>
    <row r="27" spans="1:19" ht="21.75" customHeight="1" x14ac:dyDescent="0.25">
      <c r="A27" s="350">
        <v>20</v>
      </c>
      <c r="B27" s="487">
        <v>45374</v>
      </c>
      <c r="C27" s="366" t="s">
        <v>5279</v>
      </c>
      <c r="D27" s="501" t="s">
        <v>5254</v>
      </c>
      <c r="E27" s="354" t="s">
        <v>5264</v>
      </c>
      <c r="F27" s="461"/>
      <c r="H27" s="358">
        <f t="shared" si="4"/>
        <v>0</v>
      </c>
      <c r="I27" s="494"/>
      <c r="J27" s="381"/>
      <c r="K27" s="371"/>
      <c r="L27" s="372"/>
      <c r="M27" s="381"/>
      <c r="N27" s="381"/>
      <c r="O27" s="358">
        <f t="shared" si="0"/>
        <v>0</v>
      </c>
      <c r="P27" s="385">
        <v>2600000</v>
      </c>
      <c r="Q27" s="358">
        <f t="shared" si="1"/>
        <v>2600000</v>
      </c>
      <c r="R27" s="195"/>
      <c r="S27" s="195"/>
    </row>
    <row r="28" spans="1:19" ht="21.75" customHeight="1" x14ac:dyDescent="0.25">
      <c r="A28" s="350">
        <v>21</v>
      </c>
      <c r="B28" s="487">
        <v>45376</v>
      </c>
      <c r="C28" s="366" t="s">
        <v>3586</v>
      </c>
      <c r="D28" s="502" t="s">
        <v>5255</v>
      </c>
      <c r="E28" s="354" t="s">
        <v>5265</v>
      </c>
      <c r="F28" s="461"/>
      <c r="G28" s="369">
        <v>142</v>
      </c>
      <c r="H28" s="358">
        <f t="shared" si="4"/>
        <v>2983420</v>
      </c>
      <c r="I28" s="494"/>
      <c r="J28" s="381">
        <v>740000</v>
      </c>
      <c r="K28" s="371"/>
      <c r="L28" s="372"/>
      <c r="M28" s="381"/>
      <c r="N28" s="381"/>
      <c r="O28" s="358">
        <f t="shared" si="0"/>
        <v>3723420</v>
      </c>
      <c r="P28" s="385">
        <v>4262963</v>
      </c>
      <c r="Q28" s="358">
        <f t="shared" si="1"/>
        <v>539543</v>
      </c>
      <c r="R28" s="195"/>
      <c r="S28" s="195"/>
    </row>
    <row r="29" spans="1:19" ht="21.75" customHeight="1" x14ac:dyDescent="0.25">
      <c r="A29" s="350">
        <v>22</v>
      </c>
      <c r="B29" s="487">
        <v>45377</v>
      </c>
      <c r="C29" s="366" t="s">
        <v>5280</v>
      </c>
      <c r="D29" s="502" t="s">
        <v>5255</v>
      </c>
      <c r="E29" s="354" t="s">
        <v>5266</v>
      </c>
      <c r="F29" s="461"/>
      <c r="G29" s="369"/>
      <c r="H29" s="358">
        <f t="shared" si="4"/>
        <v>0</v>
      </c>
      <c r="I29" s="494"/>
      <c r="J29" s="381"/>
      <c r="K29" s="371"/>
      <c r="L29" s="372"/>
      <c r="M29" s="381"/>
      <c r="N29" s="381"/>
      <c r="O29" s="358">
        <f t="shared" si="0"/>
        <v>0</v>
      </c>
      <c r="P29" s="385">
        <v>2320000</v>
      </c>
      <c r="Q29" s="358">
        <f t="shared" si="1"/>
        <v>2320000</v>
      </c>
      <c r="R29" s="195"/>
      <c r="S29" s="195"/>
    </row>
    <row r="30" spans="1:19" ht="21.75" customHeight="1" x14ac:dyDescent="0.25">
      <c r="A30" s="350">
        <v>23</v>
      </c>
      <c r="B30" s="487">
        <v>45377</v>
      </c>
      <c r="C30" s="366" t="s">
        <v>2976</v>
      </c>
      <c r="D30" s="502" t="s">
        <v>5256</v>
      </c>
      <c r="E30" s="354" t="s">
        <v>286</v>
      </c>
      <c r="F30" s="461"/>
      <c r="G30" s="369">
        <v>74</v>
      </c>
      <c r="H30" s="358">
        <f t="shared" si="4"/>
        <v>1554740</v>
      </c>
      <c r="I30" s="494"/>
      <c r="J30" s="381">
        <v>790000</v>
      </c>
      <c r="K30" s="371"/>
      <c r="L30" s="372"/>
      <c r="M30" s="381"/>
      <c r="N30" s="381"/>
      <c r="O30" s="358">
        <f t="shared" si="0"/>
        <v>2344740</v>
      </c>
      <c r="P30" s="385">
        <v>3800000</v>
      </c>
      <c r="Q30" s="358">
        <f t="shared" si="1"/>
        <v>1455260</v>
      </c>
      <c r="R30" s="195"/>
      <c r="S30" s="195"/>
    </row>
    <row r="31" spans="1:19" ht="21.75" customHeight="1" x14ac:dyDescent="0.25">
      <c r="A31" s="350">
        <v>24</v>
      </c>
      <c r="B31" s="487">
        <v>45378</v>
      </c>
      <c r="C31" s="366" t="s">
        <v>5281</v>
      </c>
      <c r="D31" s="502" t="s">
        <v>5257</v>
      </c>
      <c r="E31" s="354" t="s">
        <v>5267</v>
      </c>
      <c r="F31" s="461"/>
      <c r="G31" s="369">
        <v>95</v>
      </c>
      <c r="H31" s="358">
        <f>G31*20690</f>
        <v>1965550</v>
      </c>
      <c r="I31" s="494"/>
      <c r="J31" s="381">
        <v>790000</v>
      </c>
      <c r="K31" s="371"/>
      <c r="L31" s="372"/>
      <c r="M31" s="381"/>
      <c r="N31" s="381"/>
      <c r="O31" s="358">
        <f t="shared" si="0"/>
        <v>2755550</v>
      </c>
      <c r="P31" s="385">
        <v>4400000</v>
      </c>
      <c r="Q31" s="358">
        <f t="shared" si="1"/>
        <v>1644450</v>
      </c>
      <c r="R31" s="195"/>
      <c r="S31" s="195"/>
    </row>
    <row r="32" spans="1:19" ht="21.75" customHeight="1" x14ac:dyDescent="0.25">
      <c r="A32" s="350">
        <v>25</v>
      </c>
      <c r="B32" s="487">
        <v>45380</v>
      </c>
      <c r="C32" s="366" t="s">
        <v>2977</v>
      </c>
      <c r="D32" s="502" t="s">
        <v>5258</v>
      </c>
      <c r="E32" s="354" t="s">
        <v>2589</v>
      </c>
      <c r="F32" s="461"/>
      <c r="G32" s="369">
        <v>88</v>
      </c>
      <c r="H32" s="358">
        <f>G32*20690</f>
        <v>1820720</v>
      </c>
      <c r="I32" s="494"/>
      <c r="J32" s="381">
        <v>790000</v>
      </c>
      <c r="K32" s="371"/>
      <c r="L32" s="372"/>
      <c r="M32" s="381"/>
      <c r="N32" s="381"/>
      <c r="O32" s="358">
        <f t="shared" si="0"/>
        <v>2610720</v>
      </c>
      <c r="P32" s="385">
        <v>4000000</v>
      </c>
      <c r="Q32" s="358">
        <f t="shared" si="1"/>
        <v>1389280</v>
      </c>
      <c r="R32" s="195"/>
      <c r="S32" s="195"/>
    </row>
    <row r="33" spans="1:18" ht="24.95" customHeight="1" x14ac:dyDescent="0.25">
      <c r="A33" s="374"/>
      <c r="B33" s="488"/>
      <c r="C33" s="609" t="s">
        <v>1273</v>
      </c>
      <c r="D33" s="609"/>
      <c r="E33" s="609"/>
      <c r="F33" s="402"/>
      <c r="G33" s="358"/>
      <c r="H33" s="369"/>
      <c r="I33" s="403"/>
      <c r="J33" s="381"/>
      <c r="K33" s="372">
        <v>1200000</v>
      </c>
      <c r="L33" s="372"/>
      <c r="M33" s="381"/>
      <c r="N33" s="381"/>
      <c r="O33" s="385">
        <f>H33+J33+K33+L33+M33+N33</f>
        <v>1200000</v>
      </c>
      <c r="P33" s="385"/>
      <c r="Q33" s="385"/>
    </row>
    <row r="34" spans="1:18" ht="24.95" customHeight="1" x14ac:dyDescent="0.25">
      <c r="A34" s="386"/>
      <c r="B34" s="379"/>
      <c r="C34" s="594" t="s">
        <v>4535</v>
      </c>
      <c r="D34" s="595"/>
      <c r="E34" s="596"/>
      <c r="F34" s="402"/>
      <c r="G34" s="381"/>
      <c r="H34" s="369"/>
      <c r="J34" s="381"/>
      <c r="K34" s="388">
        <v>9793280</v>
      </c>
      <c r="L34" s="388"/>
      <c r="M34" s="381"/>
      <c r="N34" s="381"/>
      <c r="O34" s="385">
        <f t="shared" ref="O34:O38" si="5">H34+J34+K34+L34+M34+N34</f>
        <v>9793280</v>
      </c>
      <c r="P34" s="389"/>
      <c r="Q34" s="378"/>
    </row>
    <row r="35" spans="1:18" ht="24.95" customHeight="1" x14ac:dyDescent="0.25">
      <c r="A35" s="386"/>
      <c r="B35" s="379"/>
      <c r="C35" s="594" t="s">
        <v>1775</v>
      </c>
      <c r="D35" s="595"/>
      <c r="E35" s="596"/>
      <c r="F35" s="402"/>
      <c r="G35" s="381"/>
      <c r="H35" s="369"/>
      <c r="J35" s="381"/>
      <c r="K35" s="388"/>
      <c r="L35" s="388">
        <v>200000</v>
      </c>
      <c r="M35" s="381"/>
      <c r="N35" s="388"/>
      <c r="O35" s="385">
        <f t="shared" si="5"/>
        <v>200000</v>
      </c>
      <c r="P35" s="389"/>
      <c r="Q35" s="378"/>
    </row>
    <row r="36" spans="1:18" ht="24.95" customHeight="1" x14ac:dyDescent="0.25">
      <c r="A36" s="386"/>
      <c r="B36" s="379"/>
      <c r="C36" s="594" t="s">
        <v>5293</v>
      </c>
      <c r="D36" s="595"/>
      <c r="E36" s="596"/>
      <c r="F36" s="402"/>
      <c r="G36" s="381"/>
      <c r="H36" s="369"/>
      <c r="J36" s="381"/>
      <c r="K36" s="388"/>
      <c r="L36" s="388">
        <v>120000</v>
      </c>
      <c r="M36" s="381"/>
      <c r="N36" s="388"/>
      <c r="O36" s="385">
        <f t="shared" si="5"/>
        <v>120000</v>
      </c>
      <c r="P36" s="389"/>
      <c r="Q36" s="378"/>
    </row>
    <row r="37" spans="1:18" ht="24.95" customHeight="1" x14ac:dyDescent="0.25">
      <c r="A37" s="386"/>
      <c r="B37" s="379"/>
      <c r="C37" s="594" t="s">
        <v>5294</v>
      </c>
      <c r="D37" s="595"/>
      <c r="E37" s="596"/>
      <c r="F37" s="402"/>
      <c r="G37" s="381"/>
      <c r="H37" s="369"/>
      <c r="J37" s="381"/>
      <c r="K37" s="388"/>
      <c r="L37" s="388">
        <v>900000</v>
      </c>
      <c r="M37" s="381"/>
      <c r="N37" s="388"/>
      <c r="O37" s="385">
        <f t="shared" si="5"/>
        <v>900000</v>
      </c>
      <c r="P37" s="389"/>
      <c r="Q37" s="378"/>
    </row>
    <row r="38" spans="1:18" ht="24.95" customHeight="1" x14ac:dyDescent="0.25">
      <c r="A38" s="386"/>
      <c r="B38" s="379"/>
      <c r="C38" s="594" t="s">
        <v>5427</v>
      </c>
      <c r="D38" s="595"/>
      <c r="E38" s="596"/>
      <c r="F38" s="402"/>
      <c r="G38" s="381"/>
      <c r="H38" s="369"/>
      <c r="J38" s="381"/>
      <c r="K38" s="388"/>
      <c r="L38" s="388">
        <v>7600000</v>
      </c>
      <c r="M38" s="381"/>
      <c r="N38" s="388"/>
      <c r="O38" s="385">
        <f t="shared" si="5"/>
        <v>7600000</v>
      </c>
      <c r="P38" s="389"/>
      <c r="Q38" s="378"/>
    </row>
    <row r="39" spans="1:18" ht="24.95" customHeight="1" x14ac:dyDescent="0.25">
      <c r="A39" s="386"/>
      <c r="B39" s="391"/>
      <c r="C39" s="579" t="s">
        <v>4668</v>
      </c>
      <c r="D39" s="580"/>
      <c r="E39" s="581"/>
      <c r="F39" s="461"/>
      <c r="G39" s="381"/>
      <c r="H39" s="369"/>
      <c r="I39" s="403"/>
      <c r="J39" s="381"/>
      <c r="K39" s="394">
        <v>8000000</v>
      </c>
      <c r="L39" s="394"/>
      <c r="M39" s="381"/>
      <c r="N39" s="381"/>
      <c r="O39" s="385">
        <f>H39+J39+K39+L39+M39+N39</f>
        <v>8000000</v>
      </c>
      <c r="P39" s="389"/>
      <c r="Q39" s="378"/>
    </row>
    <row r="40" spans="1:18" x14ac:dyDescent="0.25">
      <c r="A40" s="576" t="s">
        <v>19</v>
      </c>
      <c r="B40" s="577"/>
      <c r="C40" s="577"/>
      <c r="D40" s="577"/>
      <c r="E40" s="577"/>
      <c r="F40" s="578"/>
      <c r="G40" s="395">
        <f>SUM(G8:G39)</f>
        <v>2315</v>
      </c>
      <c r="H40" s="396">
        <f t="shared" ref="H40:P40" si="6">SUM(H7:H39)</f>
        <v>47988040</v>
      </c>
      <c r="I40" s="396">
        <f t="shared" si="6"/>
        <v>0</v>
      </c>
      <c r="J40" s="396">
        <f t="shared" si="6"/>
        <v>18398000</v>
      </c>
      <c r="K40" s="396">
        <f t="shared" si="6"/>
        <v>18993280</v>
      </c>
      <c r="L40" s="396">
        <f t="shared" si="6"/>
        <v>8820000</v>
      </c>
      <c r="M40" s="396">
        <f t="shared" si="6"/>
        <v>0</v>
      </c>
      <c r="N40" s="396">
        <f t="shared" si="6"/>
        <v>0</v>
      </c>
      <c r="O40" s="396">
        <f t="shared" si="6"/>
        <v>94199320</v>
      </c>
      <c r="P40" s="397">
        <f t="shared" si="6"/>
        <v>116475186</v>
      </c>
      <c r="Q40" s="396">
        <f>P40-O40</f>
        <v>22275866</v>
      </c>
      <c r="R40" s="195"/>
    </row>
    <row r="41" spans="1:18" x14ac:dyDescent="0.25">
      <c r="P41" s="294"/>
      <c r="Q41" s="295"/>
    </row>
    <row r="42" spans="1:18" x14ac:dyDescent="0.25">
      <c r="B42"/>
      <c r="G42"/>
      <c r="H42" s="294"/>
      <c r="P42" s="296" t="s">
        <v>1225</v>
      </c>
      <c r="Q42" s="295">
        <f>'02.2024'!Q35+'03.2024'!Q40</f>
        <v>53895917</v>
      </c>
    </row>
    <row r="43" spans="1:18" x14ac:dyDescent="0.25">
      <c r="B43"/>
      <c r="G43"/>
      <c r="Q43" s="294"/>
    </row>
    <row r="44" spans="1:18" x14ac:dyDescent="0.25">
      <c r="B44"/>
      <c r="G44"/>
      <c r="R44" s="195"/>
    </row>
  </sheetData>
  <mergeCells count="12">
    <mergeCell ref="A40:F40"/>
    <mergeCell ref="C35:E35"/>
    <mergeCell ref="C36:E36"/>
    <mergeCell ref="C37:E37"/>
    <mergeCell ref="C39:E39"/>
    <mergeCell ref="C38:E38"/>
    <mergeCell ref="C34:E34"/>
    <mergeCell ref="A1:Q1"/>
    <mergeCell ref="A2:Q2"/>
    <mergeCell ref="A3:Q3"/>
    <mergeCell ref="G5:N5"/>
    <mergeCell ref="C33:E33"/>
  </mergeCells>
  <pageMargins left="0.7" right="0.7" top="0.75" bottom="0.75" header="0.3" footer="0.3"/>
  <pageSetup paperSize="9" orientation="portrait" horizontalDpi="0" verticalDpi="0" r:id="rId1"/>
  <legacyDrawing r:id="rId2"/>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B27D4-57B5-4C04-AA78-388D1DCFDCD9}">
  <dimension ref="A1:U46"/>
  <sheetViews>
    <sheetView workbookViewId="0">
      <selection activeCell="N14" sqref="N14"/>
    </sheetView>
  </sheetViews>
  <sheetFormatPr defaultColWidth="9.140625" defaultRowHeight="15" x14ac:dyDescent="0.25"/>
  <cols>
    <col min="1" max="1" width="4.5703125" customWidth="1"/>
    <col min="2" max="2" width="9.28515625" style="332" bestFit="1" customWidth="1"/>
    <col min="3" max="3" width="33.42578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21" ht="23.25" x14ac:dyDescent="0.25">
      <c r="A1" s="551" t="s">
        <v>0</v>
      </c>
      <c r="B1" s="551"/>
      <c r="C1" s="551"/>
      <c r="D1" s="551"/>
      <c r="E1" s="551"/>
      <c r="F1" s="551"/>
      <c r="G1" s="551"/>
      <c r="H1" s="551"/>
      <c r="I1" s="551"/>
      <c r="J1" s="551"/>
      <c r="K1" s="551"/>
      <c r="L1" s="551"/>
      <c r="M1" s="551"/>
      <c r="N1" s="551"/>
      <c r="O1" s="551"/>
      <c r="P1" s="551"/>
      <c r="Q1" s="551"/>
    </row>
    <row r="2" spans="1:21" ht="15.75" x14ac:dyDescent="0.25">
      <c r="A2" s="550" t="s">
        <v>103</v>
      </c>
      <c r="B2" s="550"/>
      <c r="C2" s="550"/>
      <c r="D2" s="550"/>
      <c r="E2" s="550"/>
      <c r="F2" s="550"/>
      <c r="G2" s="550"/>
      <c r="H2" s="550"/>
      <c r="I2" s="550"/>
      <c r="J2" s="550"/>
      <c r="K2" s="550"/>
      <c r="L2" s="550"/>
      <c r="M2" s="550"/>
      <c r="N2" s="550"/>
      <c r="O2" s="550"/>
      <c r="P2" s="550"/>
      <c r="Q2" s="550"/>
    </row>
    <row r="3" spans="1:21" ht="15.75" x14ac:dyDescent="0.25">
      <c r="A3" s="550" t="s">
        <v>5296</v>
      </c>
      <c r="B3" s="550"/>
      <c r="C3" s="550"/>
      <c r="D3" s="550"/>
      <c r="E3" s="550"/>
      <c r="F3" s="550"/>
      <c r="G3" s="550"/>
      <c r="H3" s="550"/>
      <c r="I3" s="550"/>
      <c r="J3" s="550"/>
      <c r="K3" s="550"/>
      <c r="L3" s="550"/>
      <c r="M3" s="550"/>
      <c r="N3" s="550"/>
      <c r="O3" s="550"/>
      <c r="P3" s="550"/>
      <c r="Q3" s="550"/>
    </row>
    <row r="4" spans="1:21" x14ac:dyDescent="0.25">
      <c r="A4" s="74"/>
      <c r="B4" s="99"/>
      <c r="C4" s="74"/>
      <c r="D4" s="74"/>
      <c r="E4" s="74" t="s">
        <v>194</v>
      </c>
      <c r="F4" s="74"/>
      <c r="G4" s="257"/>
      <c r="H4" s="258"/>
      <c r="I4" s="258"/>
      <c r="J4" s="258"/>
      <c r="K4" s="258"/>
      <c r="L4" s="91"/>
      <c r="M4" s="258"/>
      <c r="N4" s="258"/>
      <c r="O4" s="258"/>
      <c r="P4" s="258"/>
      <c r="Q4" s="258"/>
    </row>
    <row r="5" spans="1:21"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21"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21" x14ac:dyDescent="0.25">
      <c r="A7" s="75"/>
      <c r="B7" s="100"/>
      <c r="C7" s="88"/>
      <c r="D7" s="88"/>
      <c r="E7" s="134"/>
      <c r="F7" s="75"/>
      <c r="G7" s="264"/>
      <c r="H7" s="264"/>
      <c r="I7" s="264"/>
      <c r="J7" s="264"/>
      <c r="K7" s="264"/>
      <c r="L7" s="308"/>
      <c r="M7" s="264"/>
      <c r="N7" s="264"/>
      <c r="O7" s="265"/>
      <c r="P7" s="265"/>
      <c r="Q7" s="264"/>
    </row>
    <row r="8" spans="1:21" ht="21.75" customHeight="1" x14ac:dyDescent="0.25">
      <c r="A8" s="470">
        <v>1</v>
      </c>
      <c r="B8" s="472">
        <v>45383</v>
      </c>
      <c r="C8" s="366" t="s">
        <v>3006</v>
      </c>
      <c r="D8" s="500" t="s">
        <v>4684</v>
      </c>
      <c r="E8" s="354" t="s">
        <v>4220</v>
      </c>
      <c r="F8" s="368"/>
      <c r="G8" s="369">
        <v>71</v>
      </c>
      <c r="H8" s="358">
        <f>G8*20690</f>
        <v>1468990</v>
      </c>
      <c r="I8" s="358"/>
      <c r="J8" s="358">
        <v>730000</v>
      </c>
      <c r="K8" s="371"/>
      <c r="L8" s="372"/>
      <c r="M8" s="358"/>
      <c r="N8" s="358"/>
      <c r="O8" s="358">
        <f t="shared" ref="O8:O28" si="0">H8+J8+K8+L8+M8+N8</f>
        <v>2198990</v>
      </c>
      <c r="P8" s="358">
        <v>2670000</v>
      </c>
      <c r="Q8" s="358">
        <f>P8-O8</f>
        <v>471010</v>
      </c>
      <c r="R8" s="195"/>
      <c r="S8" s="195"/>
    </row>
    <row r="9" spans="1:21" ht="21.75" customHeight="1" x14ac:dyDescent="0.25">
      <c r="A9" s="350">
        <v>2</v>
      </c>
      <c r="B9" s="482">
        <v>45383</v>
      </c>
      <c r="C9" s="366" t="s">
        <v>5297</v>
      </c>
      <c r="D9" s="501" t="s">
        <v>4684</v>
      </c>
      <c r="E9" s="354" t="s">
        <v>5312</v>
      </c>
      <c r="F9" s="368"/>
      <c r="G9" s="369"/>
      <c r="H9" s="358"/>
      <c r="I9" s="358"/>
      <c r="J9" s="358"/>
      <c r="K9" s="371"/>
      <c r="L9" s="372"/>
      <c r="M9" s="358"/>
      <c r="N9" s="358"/>
      <c r="O9" s="358">
        <f t="shared" si="0"/>
        <v>0</v>
      </c>
      <c r="P9" s="385">
        <v>1700000</v>
      </c>
      <c r="Q9" s="358">
        <f t="shared" ref="Q9:Q28" si="1">P9-O9</f>
        <v>1700000</v>
      </c>
      <c r="R9" s="195"/>
      <c r="S9" s="195"/>
    </row>
    <row r="10" spans="1:21" ht="21.75" customHeight="1" x14ac:dyDescent="0.25">
      <c r="A10" s="350">
        <v>3</v>
      </c>
      <c r="B10" s="482">
        <v>45383</v>
      </c>
      <c r="C10" s="366" t="s">
        <v>2398</v>
      </c>
      <c r="D10" s="501" t="s">
        <v>5321</v>
      </c>
      <c r="E10" s="354" t="s">
        <v>5313</v>
      </c>
      <c r="F10" s="368"/>
      <c r="G10" s="369">
        <v>156</v>
      </c>
      <c r="H10" s="358">
        <f>G10*20980</f>
        <v>3272880</v>
      </c>
      <c r="I10" s="358"/>
      <c r="J10" s="358">
        <v>1080000</v>
      </c>
      <c r="K10" s="371"/>
      <c r="L10" s="372"/>
      <c r="M10" s="358"/>
      <c r="N10" s="358"/>
      <c r="O10" s="358">
        <f t="shared" si="0"/>
        <v>4352880</v>
      </c>
      <c r="P10" s="385">
        <v>7150000</v>
      </c>
      <c r="Q10" s="358">
        <f t="shared" si="1"/>
        <v>2797120</v>
      </c>
      <c r="R10" s="195"/>
      <c r="S10" s="195"/>
    </row>
    <row r="11" spans="1:21" ht="21.75" customHeight="1" x14ac:dyDescent="0.25">
      <c r="A11" s="350">
        <v>4</v>
      </c>
      <c r="B11" s="482">
        <v>45384</v>
      </c>
      <c r="C11" s="366" t="s">
        <v>5298</v>
      </c>
      <c r="D11" s="501" t="s">
        <v>4033</v>
      </c>
      <c r="E11" s="354" t="s">
        <v>1616</v>
      </c>
      <c r="F11" s="368"/>
      <c r="G11" s="369">
        <v>46</v>
      </c>
      <c r="H11" s="358">
        <f t="shared" ref="H11:H14" si="2">G11*20980</f>
        <v>965080</v>
      </c>
      <c r="I11" s="358"/>
      <c r="J11" s="358">
        <v>340000</v>
      </c>
      <c r="K11" s="371"/>
      <c r="L11" s="372"/>
      <c r="M11" s="358"/>
      <c r="N11" s="358"/>
      <c r="O11" s="358">
        <f t="shared" si="0"/>
        <v>1305080</v>
      </c>
      <c r="P11" s="385">
        <v>2670000</v>
      </c>
      <c r="Q11" s="358">
        <f t="shared" si="1"/>
        <v>1364920</v>
      </c>
      <c r="R11" s="195"/>
      <c r="S11" s="195"/>
      <c r="U11" s="195"/>
    </row>
    <row r="12" spans="1:21" ht="21.75" customHeight="1" x14ac:dyDescent="0.25">
      <c r="A12" s="350">
        <v>5</v>
      </c>
      <c r="B12" s="482">
        <v>45385</v>
      </c>
      <c r="C12" s="366" t="s">
        <v>5299</v>
      </c>
      <c r="D12" s="501" t="s">
        <v>5322</v>
      </c>
      <c r="E12" s="354" t="s">
        <v>563</v>
      </c>
      <c r="F12" s="368"/>
      <c r="G12" s="369">
        <v>74</v>
      </c>
      <c r="H12" s="358">
        <f t="shared" si="2"/>
        <v>1552520</v>
      </c>
      <c r="I12" s="358"/>
      <c r="J12" s="358">
        <v>790000</v>
      </c>
      <c r="K12" s="371"/>
      <c r="L12" s="372"/>
      <c r="M12" s="358"/>
      <c r="N12" s="358"/>
      <c r="O12" s="358">
        <f t="shared" si="0"/>
        <v>2342520</v>
      </c>
      <c r="P12" s="385">
        <v>3800000</v>
      </c>
      <c r="Q12" s="358">
        <f t="shared" si="1"/>
        <v>1457480</v>
      </c>
      <c r="R12" s="195"/>
      <c r="S12" s="195"/>
    </row>
    <row r="13" spans="1:21" ht="21.75" customHeight="1" x14ac:dyDescent="0.25">
      <c r="A13" s="350">
        <v>6</v>
      </c>
      <c r="B13" s="482">
        <v>45386</v>
      </c>
      <c r="C13" s="366" t="s">
        <v>5300</v>
      </c>
      <c r="D13" s="501" t="s">
        <v>5323</v>
      </c>
      <c r="E13" s="354" t="s">
        <v>5314</v>
      </c>
      <c r="F13" s="368"/>
      <c r="G13" s="369">
        <v>102</v>
      </c>
      <c r="H13" s="358">
        <f t="shared" si="2"/>
        <v>2139960</v>
      </c>
      <c r="I13" s="358"/>
      <c r="J13" s="358">
        <v>790000</v>
      </c>
      <c r="K13" s="371"/>
      <c r="L13" s="372"/>
      <c r="M13" s="358"/>
      <c r="N13" s="358"/>
      <c r="O13" s="358">
        <f t="shared" si="0"/>
        <v>2929960</v>
      </c>
      <c r="P13" s="385">
        <v>4200000</v>
      </c>
      <c r="Q13" s="358">
        <f t="shared" si="1"/>
        <v>1270040</v>
      </c>
      <c r="R13" s="195"/>
      <c r="S13" s="195"/>
    </row>
    <row r="14" spans="1:21" ht="21.75" customHeight="1" x14ac:dyDescent="0.25">
      <c r="A14" s="350">
        <v>7</v>
      </c>
      <c r="B14" s="482">
        <v>45388</v>
      </c>
      <c r="C14" s="366" t="s">
        <v>5301</v>
      </c>
      <c r="D14" s="501" t="s">
        <v>5324</v>
      </c>
      <c r="E14" s="354" t="s">
        <v>4504</v>
      </c>
      <c r="F14" s="368"/>
      <c r="G14" s="369">
        <v>381</v>
      </c>
      <c r="H14" s="358">
        <f t="shared" si="2"/>
        <v>7993380</v>
      </c>
      <c r="I14" s="358"/>
      <c r="J14" s="358">
        <v>3370000</v>
      </c>
      <c r="K14" s="371"/>
      <c r="L14" s="372"/>
      <c r="M14" s="358"/>
      <c r="N14" s="358"/>
      <c r="O14" s="358">
        <f t="shared" si="0"/>
        <v>11363380</v>
      </c>
      <c r="P14" s="385">
        <v>20300000</v>
      </c>
      <c r="Q14" s="358">
        <f t="shared" si="1"/>
        <v>8936620</v>
      </c>
      <c r="R14" s="195"/>
      <c r="S14" s="195"/>
    </row>
    <row r="15" spans="1:21" ht="21.75" customHeight="1" x14ac:dyDescent="0.25">
      <c r="A15" s="350">
        <v>8</v>
      </c>
      <c r="B15" s="482">
        <v>45391</v>
      </c>
      <c r="C15" s="366" t="s">
        <v>5302</v>
      </c>
      <c r="D15" s="501" t="s">
        <v>5325</v>
      </c>
      <c r="E15" s="354" t="s">
        <v>5315</v>
      </c>
      <c r="F15" s="368"/>
      <c r="G15" s="369">
        <v>154</v>
      </c>
      <c r="H15" s="358">
        <f>G15*21610</f>
        <v>3327940</v>
      </c>
      <c r="I15" s="358"/>
      <c r="J15" s="358">
        <v>1440000</v>
      </c>
      <c r="K15" s="371"/>
      <c r="L15" s="372"/>
      <c r="M15" s="358"/>
      <c r="N15" s="358"/>
      <c r="O15" s="358">
        <f t="shared" si="0"/>
        <v>4767940</v>
      </c>
      <c r="P15" s="385">
        <v>5176297</v>
      </c>
      <c r="Q15" s="358">
        <f t="shared" si="1"/>
        <v>408357</v>
      </c>
      <c r="R15" s="195"/>
      <c r="S15" s="195"/>
    </row>
    <row r="16" spans="1:21" ht="21.75" customHeight="1" x14ac:dyDescent="0.25">
      <c r="A16" s="350">
        <v>9</v>
      </c>
      <c r="B16" s="482">
        <v>45392</v>
      </c>
      <c r="C16" s="366" t="s">
        <v>5303</v>
      </c>
      <c r="D16" s="501" t="s">
        <v>5325</v>
      </c>
      <c r="E16" s="354" t="s">
        <v>497</v>
      </c>
      <c r="F16" s="368"/>
      <c r="G16" s="369"/>
      <c r="H16" s="358">
        <f t="shared" ref="H16:H19" si="3">G16*21610</f>
        <v>0</v>
      </c>
      <c r="I16" s="358"/>
      <c r="J16" s="358"/>
      <c r="K16" s="371"/>
      <c r="L16" s="372"/>
      <c r="M16" s="358"/>
      <c r="N16" s="358"/>
      <c r="O16" s="358">
        <f t="shared" si="0"/>
        <v>0</v>
      </c>
      <c r="P16" s="385">
        <v>3850000</v>
      </c>
      <c r="Q16" s="358">
        <f t="shared" si="1"/>
        <v>3850000</v>
      </c>
      <c r="R16" s="195"/>
      <c r="S16" s="195"/>
      <c r="U16" s="195"/>
    </row>
    <row r="17" spans="1:19" ht="21.75" customHeight="1" x14ac:dyDescent="0.25">
      <c r="A17" s="350">
        <v>10</v>
      </c>
      <c r="B17" s="482">
        <v>45394</v>
      </c>
      <c r="C17" s="366" t="s">
        <v>5304</v>
      </c>
      <c r="D17" s="501" t="s">
        <v>5326</v>
      </c>
      <c r="E17" s="354" t="s">
        <v>5316</v>
      </c>
      <c r="F17" s="368"/>
      <c r="G17" s="369">
        <v>87</v>
      </c>
      <c r="H17" s="358">
        <f t="shared" si="3"/>
        <v>1880070</v>
      </c>
      <c r="I17" s="358"/>
      <c r="J17" s="358">
        <v>890000</v>
      </c>
      <c r="K17" s="371"/>
      <c r="L17" s="372"/>
      <c r="M17" s="381"/>
      <c r="N17" s="358"/>
      <c r="O17" s="358">
        <f t="shared" si="0"/>
        <v>2770070</v>
      </c>
      <c r="P17" s="385">
        <v>4500000</v>
      </c>
      <c r="Q17" s="358">
        <f t="shared" si="1"/>
        <v>1729930</v>
      </c>
      <c r="R17" s="195"/>
      <c r="S17" s="195"/>
    </row>
    <row r="18" spans="1:19" ht="21.75" customHeight="1" x14ac:dyDescent="0.25">
      <c r="A18" s="470">
        <v>11</v>
      </c>
      <c r="B18" s="487">
        <v>45394</v>
      </c>
      <c r="C18" s="366" t="s">
        <v>5305</v>
      </c>
      <c r="D18" s="501" t="s">
        <v>5327</v>
      </c>
      <c r="E18" s="354" t="s">
        <v>5317</v>
      </c>
      <c r="F18" s="461"/>
      <c r="G18" s="369">
        <v>121</v>
      </c>
      <c r="H18" s="358">
        <f t="shared" si="3"/>
        <v>2614810</v>
      </c>
      <c r="I18" s="494"/>
      <c r="J18" s="358">
        <v>1150000</v>
      </c>
      <c r="K18" s="371"/>
      <c r="L18" s="372"/>
      <c r="N18" s="381"/>
      <c r="O18" s="358">
        <f t="shared" si="0"/>
        <v>3764810</v>
      </c>
      <c r="P18" s="385">
        <v>5500000</v>
      </c>
      <c r="Q18" s="358">
        <f t="shared" si="1"/>
        <v>1735190</v>
      </c>
      <c r="R18" s="195"/>
      <c r="S18" s="195"/>
    </row>
    <row r="19" spans="1:19" ht="21.75" customHeight="1" x14ac:dyDescent="0.25">
      <c r="A19" s="350">
        <v>12</v>
      </c>
      <c r="B19" s="487">
        <v>45396</v>
      </c>
      <c r="C19" s="366" t="s">
        <v>5306</v>
      </c>
      <c r="D19" s="501" t="s">
        <v>5328</v>
      </c>
      <c r="E19" s="354" t="s">
        <v>850</v>
      </c>
      <c r="F19" s="461"/>
      <c r="G19" s="369">
        <v>123</v>
      </c>
      <c r="H19" s="358">
        <f t="shared" si="3"/>
        <v>2658030</v>
      </c>
      <c r="I19" s="494"/>
      <c r="J19" s="358">
        <v>790000</v>
      </c>
      <c r="K19" s="371"/>
      <c r="L19" s="372"/>
      <c r="M19" s="381"/>
      <c r="N19" s="381"/>
      <c r="O19" s="358">
        <f t="shared" si="0"/>
        <v>3448030</v>
      </c>
      <c r="P19" s="385">
        <v>5570370</v>
      </c>
      <c r="Q19" s="358">
        <f t="shared" si="1"/>
        <v>2122340</v>
      </c>
      <c r="R19" s="195"/>
      <c r="S19" s="195"/>
    </row>
    <row r="20" spans="1:19" ht="21.75" customHeight="1" x14ac:dyDescent="0.25">
      <c r="A20" s="350">
        <v>13</v>
      </c>
      <c r="B20" s="487">
        <v>45427</v>
      </c>
      <c r="C20" s="366" t="s">
        <v>5307</v>
      </c>
      <c r="D20" s="501" t="s">
        <v>5329</v>
      </c>
      <c r="E20" s="354" t="s">
        <v>5314</v>
      </c>
      <c r="F20" s="461"/>
      <c r="G20" s="369">
        <v>86</v>
      </c>
      <c r="H20" s="358">
        <f>G20*21440</f>
        <v>1843840</v>
      </c>
      <c r="I20" s="494"/>
      <c r="J20" s="381">
        <v>790000</v>
      </c>
      <c r="K20" s="371"/>
      <c r="L20" s="372"/>
      <c r="M20" s="381"/>
      <c r="N20" s="381"/>
      <c r="O20" s="358">
        <f t="shared" si="0"/>
        <v>2633840</v>
      </c>
      <c r="P20" s="385">
        <v>3850000</v>
      </c>
      <c r="Q20" s="358">
        <f t="shared" si="1"/>
        <v>1216160</v>
      </c>
      <c r="R20" s="195"/>
      <c r="S20" s="195"/>
    </row>
    <row r="21" spans="1:19" ht="21.75" customHeight="1" x14ac:dyDescent="0.25">
      <c r="A21" s="350">
        <v>14</v>
      </c>
      <c r="B21" s="487">
        <v>45398</v>
      </c>
      <c r="C21" s="366" t="s">
        <v>3014</v>
      </c>
      <c r="D21" s="501" t="s">
        <v>5330</v>
      </c>
      <c r="E21" s="354" t="s">
        <v>5318</v>
      </c>
      <c r="F21" s="461"/>
      <c r="G21" s="369">
        <v>75</v>
      </c>
      <c r="H21" s="358">
        <f t="shared" ref="H21:H25" si="4">G21*21440</f>
        <v>1608000</v>
      </c>
      <c r="I21" s="494"/>
      <c r="J21" s="381">
        <v>167000</v>
      </c>
      <c r="K21" s="371"/>
      <c r="L21" s="372"/>
      <c r="M21" s="381"/>
      <c r="N21" s="381"/>
      <c r="O21" s="358">
        <f t="shared" si="0"/>
        <v>1775000</v>
      </c>
      <c r="P21" s="385">
        <v>3500000</v>
      </c>
      <c r="Q21" s="358">
        <f t="shared" si="1"/>
        <v>1725000</v>
      </c>
      <c r="R21" s="195"/>
      <c r="S21" s="195"/>
    </row>
    <row r="22" spans="1:19" ht="21.75" customHeight="1" x14ac:dyDescent="0.25">
      <c r="A22" s="350">
        <v>15</v>
      </c>
      <c r="B22" s="487">
        <v>45399</v>
      </c>
      <c r="C22" s="366" t="s">
        <v>5308</v>
      </c>
      <c r="D22" s="501" t="s">
        <v>5331</v>
      </c>
      <c r="E22" s="354" t="s">
        <v>24</v>
      </c>
      <c r="F22" s="461"/>
      <c r="G22" s="369">
        <v>180</v>
      </c>
      <c r="H22" s="358">
        <f t="shared" si="4"/>
        <v>3859200</v>
      </c>
      <c r="I22" s="494"/>
      <c r="J22" s="381">
        <v>1530000</v>
      </c>
      <c r="K22" s="371"/>
      <c r="L22" s="372"/>
      <c r="M22" s="381"/>
      <c r="N22" s="381"/>
      <c r="O22" s="358">
        <f t="shared" si="0"/>
        <v>5389200</v>
      </c>
      <c r="P22" s="385">
        <v>8666667</v>
      </c>
      <c r="Q22" s="358">
        <f t="shared" si="1"/>
        <v>3277467</v>
      </c>
      <c r="R22" s="195"/>
      <c r="S22" s="195"/>
    </row>
    <row r="23" spans="1:19" ht="21.75" customHeight="1" x14ac:dyDescent="0.25">
      <c r="A23" s="470">
        <v>16</v>
      </c>
      <c r="B23" s="487">
        <v>45402</v>
      </c>
      <c r="C23" s="366" t="s">
        <v>5309</v>
      </c>
      <c r="D23" s="501" t="s">
        <v>5332</v>
      </c>
      <c r="E23" s="354" t="s">
        <v>5319</v>
      </c>
      <c r="F23" s="461"/>
      <c r="G23" s="369">
        <v>57</v>
      </c>
      <c r="H23" s="358">
        <f t="shared" si="4"/>
        <v>1222080</v>
      </c>
      <c r="I23" s="494"/>
      <c r="J23" s="381">
        <v>430000</v>
      </c>
      <c r="K23" s="371"/>
      <c r="L23" s="372"/>
      <c r="M23" s="381"/>
      <c r="N23" s="381"/>
      <c r="O23" s="358">
        <f t="shared" si="0"/>
        <v>1652080</v>
      </c>
      <c r="P23" s="385">
        <v>3636296</v>
      </c>
      <c r="Q23" s="358">
        <f t="shared" si="1"/>
        <v>1984216</v>
      </c>
      <c r="R23" s="195"/>
      <c r="S23" s="195"/>
    </row>
    <row r="24" spans="1:19" ht="21.75" customHeight="1" x14ac:dyDescent="0.25">
      <c r="A24" s="350">
        <v>17</v>
      </c>
      <c r="B24" s="487">
        <v>45404</v>
      </c>
      <c r="C24" s="366" t="s">
        <v>4343</v>
      </c>
      <c r="D24" s="501" t="s">
        <v>5333</v>
      </c>
      <c r="E24" s="354" t="s">
        <v>189</v>
      </c>
      <c r="F24" s="461"/>
      <c r="G24" s="369">
        <v>180</v>
      </c>
      <c r="H24" s="358">
        <f t="shared" si="4"/>
        <v>3859200</v>
      </c>
      <c r="I24" s="494"/>
      <c r="J24" s="381">
        <v>1530000</v>
      </c>
      <c r="K24" s="371"/>
      <c r="L24" s="372"/>
      <c r="M24" s="381"/>
      <c r="N24" s="381"/>
      <c r="O24" s="358">
        <f t="shared" si="0"/>
        <v>5389200</v>
      </c>
      <c r="P24" s="385">
        <v>9722222</v>
      </c>
      <c r="Q24" s="358">
        <f t="shared" si="1"/>
        <v>4333022</v>
      </c>
      <c r="R24" s="195"/>
      <c r="S24" s="195"/>
    </row>
    <row r="25" spans="1:19" ht="21.75" customHeight="1" x14ac:dyDescent="0.25">
      <c r="A25" s="350">
        <v>18</v>
      </c>
      <c r="B25" s="487">
        <v>45405</v>
      </c>
      <c r="C25" s="366" t="s">
        <v>5310</v>
      </c>
      <c r="D25" s="501" t="s">
        <v>5334</v>
      </c>
      <c r="E25" s="354" t="s">
        <v>5320</v>
      </c>
      <c r="F25" s="461"/>
      <c r="G25" s="369">
        <v>41</v>
      </c>
      <c r="H25" s="358">
        <f t="shared" si="4"/>
        <v>879040</v>
      </c>
      <c r="I25" s="494"/>
      <c r="J25" s="381">
        <v>340000</v>
      </c>
      <c r="K25" s="371"/>
      <c r="L25" s="372"/>
      <c r="M25" s="381"/>
      <c r="N25" s="381"/>
      <c r="O25" s="358">
        <f t="shared" si="0"/>
        <v>1219040</v>
      </c>
      <c r="P25" s="385">
        <v>2670000</v>
      </c>
      <c r="Q25" s="358">
        <f t="shared" si="1"/>
        <v>1450960</v>
      </c>
      <c r="R25" s="195"/>
      <c r="S25" s="195"/>
    </row>
    <row r="26" spans="1:19" ht="21.75" customHeight="1" x14ac:dyDescent="0.25">
      <c r="A26" s="350">
        <v>19</v>
      </c>
      <c r="B26" s="487">
        <v>45406</v>
      </c>
      <c r="C26" s="366" t="s">
        <v>5311</v>
      </c>
      <c r="D26" s="501" t="s">
        <v>5335</v>
      </c>
      <c r="E26" s="354" t="s">
        <v>21</v>
      </c>
      <c r="F26" s="461"/>
      <c r="G26" s="369">
        <v>244</v>
      </c>
      <c r="H26" s="358">
        <f>G26*20710</f>
        <v>5053240</v>
      </c>
      <c r="I26" s="494"/>
      <c r="J26" s="381">
        <v>2179000</v>
      </c>
      <c r="K26" s="371"/>
      <c r="L26" s="372"/>
      <c r="M26" s="381"/>
      <c r="N26" s="381"/>
      <c r="O26" s="358">
        <f t="shared" si="0"/>
        <v>7232240</v>
      </c>
      <c r="P26" s="385">
        <v>12500000</v>
      </c>
      <c r="Q26" s="358">
        <f t="shared" si="1"/>
        <v>5267760</v>
      </c>
      <c r="R26" s="195"/>
      <c r="S26" s="195"/>
    </row>
    <row r="27" spans="1:19" ht="21.75" customHeight="1" x14ac:dyDescent="0.25">
      <c r="A27" s="350">
        <v>20</v>
      </c>
      <c r="B27" s="487">
        <v>45406</v>
      </c>
      <c r="C27" s="366" t="s">
        <v>1744</v>
      </c>
      <c r="D27" s="501" t="s">
        <v>5336</v>
      </c>
      <c r="E27" s="354" t="s">
        <v>21</v>
      </c>
      <c r="F27" s="461"/>
      <c r="G27" s="369">
        <v>244</v>
      </c>
      <c r="H27" s="358">
        <f>G27*20710</f>
        <v>5053240</v>
      </c>
      <c r="I27" s="494"/>
      <c r="J27" s="381">
        <v>2179000</v>
      </c>
      <c r="K27" s="371"/>
      <c r="L27" s="372"/>
      <c r="M27" s="381"/>
      <c r="N27" s="381"/>
      <c r="O27" s="358">
        <f t="shared" si="0"/>
        <v>7232240</v>
      </c>
      <c r="P27" s="385">
        <v>12500000</v>
      </c>
      <c r="Q27" s="358">
        <f t="shared" si="1"/>
        <v>5267760</v>
      </c>
      <c r="R27" s="195"/>
      <c r="S27" s="195"/>
    </row>
    <row r="28" spans="1:19" ht="21.75" customHeight="1" x14ac:dyDescent="0.25">
      <c r="A28" s="350">
        <v>21</v>
      </c>
      <c r="B28" s="487">
        <v>45409</v>
      </c>
      <c r="C28" s="366" t="s">
        <v>1745</v>
      </c>
      <c r="D28" s="502" t="s">
        <v>5337</v>
      </c>
      <c r="E28" s="354" t="s">
        <v>2589</v>
      </c>
      <c r="F28" s="461"/>
      <c r="G28" s="369">
        <v>87</v>
      </c>
      <c r="H28" s="358">
        <f>G28*20710</f>
        <v>1801770</v>
      </c>
      <c r="I28" s="494"/>
      <c r="J28" s="381">
        <v>790000</v>
      </c>
      <c r="K28" s="371"/>
      <c r="L28" s="372"/>
      <c r="M28" s="381"/>
      <c r="N28" s="381"/>
      <c r="O28" s="358">
        <f t="shared" si="0"/>
        <v>2591770</v>
      </c>
      <c r="P28" s="385">
        <v>4000000</v>
      </c>
      <c r="Q28" s="358">
        <f t="shared" si="1"/>
        <v>1408230</v>
      </c>
      <c r="R28" s="195"/>
      <c r="S28" s="195"/>
    </row>
    <row r="29" spans="1:19" ht="24.95" customHeight="1" x14ac:dyDescent="0.25">
      <c r="A29" s="374"/>
      <c r="B29" s="488"/>
      <c r="C29" s="609" t="s">
        <v>1273</v>
      </c>
      <c r="D29" s="609"/>
      <c r="E29" s="609"/>
      <c r="F29" s="402"/>
      <c r="G29" s="358"/>
      <c r="H29" s="369"/>
      <c r="I29" s="403"/>
      <c r="J29" s="381"/>
      <c r="K29" s="372">
        <v>1200000</v>
      </c>
      <c r="L29" s="372"/>
      <c r="M29" s="381"/>
      <c r="N29" s="381"/>
      <c r="O29" s="385">
        <f>H29+J29+K29+L29+M29+N29</f>
        <v>1200000</v>
      </c>
      <c r="P29" s="385"/>
      <c r="Q29" s="385"/>
    </row>
    <row r="30" spans="1:19" ht="24.95" customHeight="1" x14ac:dyDescent="0.25">
      <c r="A30" s="386"/>
      <c r="B30" s="379"/>
      <c r="C30" s="594" t="s">
        <v>4535</v>
      </c>
      <c r="D30" s="595"/>
      <c r="E30" s="596"/>
      <c r="F30" s="402"/>
      <c r="G30" s="381"/>
      <c r="H30" s="369"/>
      <c r="J30" s="381"/>
      <c r="K30" s="388">
        <v>10120768</v>
      </c>
      <c r="L30" s="388"/>
      <c r="M30" s="381"/>
      <c r="N30" s="381"/>
      <c r="O30" s="385">
        <f t="shared" ref="O30:O40" si="5">H30+J30+K30+L30+M30+N30</f>
        <v>10120768</v>
      </c>
      <c r="P30" s="389"/>
      <c r="Q30" s="378"/>
    </row>
    <row r="31" spans="1:19" ht="24.95" customHeight="1" x14ac:dyDescent="0.25">
      <c r="A31" s="386"/>
      <c r="B31" s="379"/>
      <c r="C31" s="594" t="s">
        <v>5414</v>
      </c>
      <c r="D31" s="595"/>
      <c r="E31" s="596"/>
      <c r="F31" s="402"/>
      <c r="G31" s="381"/>
      <c r="H31" s="369"/>
      <c r="J31" s="381"/>
      <c r="K31" s="388"/>
      <c r="L31" s="388">
        <v>1050000</v>
      </c>
      <c r="M31" s="381"/>
      <c r="N31" s="388"/>
      <c r="O31" s="385">
        <f t="shared" si="5"/>
        <v>1050000</v>
      </c>
      <c r="P31" s="389"/>
      <c r="Q31" s="378"/>
    </row>
    <row r="32" spans="1:19" ht="24.95" customHeight="1" x14ac:dyDescent="0.25">
      <c r="A32" s="386"/>
      <c r="B32" s="379"/>
      <c r="C32" s="594" t="s">
        <v>5415</v>
      </c>
      <c r="D32" s="595"/>
      <c r="E32" s="596"/>
      <c r="F32" s="402"/>
      <c r="G32" s="381"/>
      <c r="H32" s="369"/>
      <c r="J32" s="381"/>
      <c r="K32" s="388"/>
      <c r="L32" s="388">
        <v>228000</v>
      </c>
      <c r="M32" s="381"/>
      <c r="N32" s="388"/>
      <c r="O32" s="385">
        <f t="shared" si="5"/>
        <v>228000</v>
      </c>
      <c r="P32" s="389"/>
      <c r="Q32" s="378"/>
    </row>
    <row r="33" spans="1:18" ht="24.95" customHeight="1" x14ac:dyDescent="0.25">
      <c r="A33" s="386"/>
      <c r="B33" s="379"/>
      <c r="C33" s="594" t="s">
        <v>5055</v>
      </c>
      <c r="D33" s="595"/>
      <c r="E33" s="596"/>
      <c r="F33" s="402"/>
      <c r="G33" s="381"/>
      <c r="H33" s="369"/>
      <c r="J33" s="381"/>
      <c r="K33" s="388"/>
      <c r="L33" s="388">
        <v>8342000</v>
      </c>
      <c r="M33" s="381"/>
      <c r="N33" s="388"/>
      <c r="O33" s="385">
        <f t="shared" si="5"/>
        <v>8342000</v>
      </c>
      <c r="P33" s="389"/>
      <c r="Q33" s="378"/>
    </row>
    <row r="34" spans="1:18" ht="24.95" customHeight="1" x14ac:dyDescent="0.25">
      <c r="A34" s="386"/>
      <c r="B34" s="379"/>
      <c r="C34" s="594" t="s">
        <v>5416</v>
      </c>
      <c r="D34" s="595"/>
      <c r="E34" s="596"/>
      <c r="F34" s="402"/>
      <c r="G34" s="381"/>
      <c r="H34" s="369"/>
      <c r="J34" s="381"/>
      <c r="K34" s="388"/>
      <c r="L34" s="388">
        <v>600000</v>
      </c>
      <c r="M34" s="381"/>
      <c r="N34" s="388"/>
      <c r="O34" s="385">
        <f t="shared" si="5"/>
        <v>600000</v>
      </c>
      <c r="P34" s="389"/>
      <c r="Q34" s="378"/>
    </row>
    <row r="35" spans="1:18" ht="24.95" customHeight="1" x14ac:dyDescent="0.25">
      <c r="A35" s="386"/>
      <c r="B35" s="379"/>
      <c r="C35" s="594" t="s">
        <v>5417</v>
      </c>
      <c r="D35" s="595"/>
      <c r="E35" s="596"/>
      <c r="F35" s="402"/>
      <c r="G35" s="381"/>
      <c r="H35" s="369"/>
      <c r="J35" s="381"/>
      <c r="K35" s="388"/>
      <c r="L35" s="388">
        <v>300000</v>
      </c>
      <c r="M35" s="381"/>
      <c r="N35" s="388"/>
      <c r="O35" s="385">
        <f t="shared" si="5"/>
        <v>300000</v>
      </c>
      <c r="P35" s="389"/>
      <c r="Q35" s="378"/>
    </row>
    <row r="36" spans="1:18" ht="24.95" customHeight="1" x14ac:dyDescent="0.25">
      <c r="A36" s="386"/>
      <c r="B36" s="379"/>
      <c r="C36" s="594" t="s">
        <v>5418</v>
      </c>
      <c r="D36" s="595"/>
      <c r="E36" s="596"/>
      <c r="F36" s="402"/>
      <c r="G36" s="381"/>
      <c r="H36" s="369"/>
      <c r="J36" s="381"/>
      <c r="K36" s="388"/>
      <c r="L36" s="388">
        <v>800000</v>
      </c>
      <c r="M36" s="381"/>
      <c r="N36" s="388"/>
      <c r="O36" s="385">
        <f t="shared" si="5"/>
        <v>800000</v>
      </c>
      <c r="P36" s="389"/>
      <c r="Q36" s="378"/>
    </row>
    <row r="37" spans="1:18" ht="24.95" customHeight="1" x14ac:dyDescent="0.25">
      <c r="A37" s="386"/>
      <c r="B37" s="379"/>
      <c r="C37" s="594" t="s">
        <v>5419</v>
      </c>
      <c r="D37" s="595"/>
      <c r="E37" s="596"/>
      <c r="F37" s="402"/>
      <c r="G37" s="381"/>
      <c r="H37" s="369"/>
      <c r="J37" s="381"/>
      <c r="K37" s="388"/>
      <c r="L37" s="388">
        <v>5280000</v>
      </c>
      <c r="M37" s="381"/>
      <c r="N37" s="388"/>
      <c r="O37" s="385">
        <f t="shared" si="5"/>
        <v>5280000</v>
      </c>
      <c r="P37" s="389"/>
      <c r="Q37" s="378"/>
    </row>
    <row r="38" spans="1:18" ht="24.95" customHeight="1" x14ac:dyDescent="0.25">
      <c r="A38" s="386"/>
      <c r="B38" s="379"/>
      <c r="C38" s="594" t="s">
        <v>5421</v>
      </c>
      <c r="D38" s="595"/>
      <c r="E38" s="596"/>
      <c r="F38" s="402"/>
      <c r="G38" s="381"/>
      <c r="H38" s="369"/>
      <c r="J38" s="381"/>
      <c r="K38" s="388"/>
      <c r="L38" s="388">
        <v>120000</v>
      </c>
      <c r="M38" s="381"/>
      <c r="N38" s="388"/>
      <c r="O38" s="385">
        <f t="shared" si="5"/>
        <v>120000</v>
      </c>
      <c r="P38" s="389"/>
      <c r="Q38" s="378"/>
    </row>
    <row r="39" spans="1:18" ht="24.95" customHeight="1" x14ac:dyDescent="0.25">
      <c r="A39" s="386"/>
      <c r="B39" s="379"/>
      <c r="C39" s="594" t="s">
        <v>5424</v>
      </c>
      <c r="D39" s="595"/>
      <c r="E39" s="596"/>
      <c r="F39" s="402"/>
      <c r="G39" s="381"/>
      <c r="H39" s="369"/>
      <c r="J39" s="381"/>
      <c r="K39" s="388"/>
      <c r="L39" s="388">
        <v>10105200</v>
      </c>
      <c r="M39" s="381"/>
      <c r="N39" s="388"/>
      <c r="O39" s="385">
        <f t="shared" si="5"/>
        <v>10105200</v>
      </c>
      <c r="P39" s="389"/>
      <c r="Q39" s="378"/>
    </row>
    <row r="40" spans="1:18" ht="24.95" customHeight="1" x14ac:dyDescent="0.25">
      <c r="A40" s="386"/>
      <c r="B40" s="379"/>
      <c r="C40" s="594" t="s">
        <v>5429</v>
      </c>
      <c r="D40" s="595"/>
      <c r="E40" s="596"/>
      <c r="F40" s="402"/>
      <c r="G40" s="381"/>
      <c r="H40" s="369"/>
      <c r="J40" s="381"/>
      <c r="K40" s="388"/>
      <c r="L40" s="388">
        <v>1900000</v>
      </c>
      <c r="M40" s="381"/>
      <c r="N40" s="388"/>
      <c r="O40" s="385">
        <f t="shared" si="5"/>
        <v>1900000</v>
      </c>
      <c r="P40" s="389"/>
      <c r="Q40" s="378"/>
    </row>
    <row r="41" spans="1:18" ht="24.95" customHeight="1" x14ac:dyDescent="0.25">
      <c r="A41" s="386"/>
      <c r="B41" s="391"/>
      <c r="C41" s="579" t="s">
        <v>4406</v>
      </c>
      <c r="D41" s="580"/>
      <c r="E41" s="581"/>
      <c r="F41" s="461"/>
      <c r="G41" s="381"/>
      <c r="H41" s="369"/>
      <c r="I41" s="403"/>
      <c r="J41" s="381"/>
      <c r="K41" s="394">
        <v>7700000</v>
      </c>
      <c r="L41" s="394"/>
      <c r="M41" s="381"/>
      <c r="N41" s="381"/>
      <c r="O41" s="385">
        <f>H41+J41+K41+L41+M41+N41</f>
        <v>7700000</v>
      </c>
      <c r="P41" s="389"/>
      <c r="Q41" s="378"/>
    </row>
    <row r="42" spans="1:18" x14ac:dyDescent="0.25">
      <c r="A42" s="576" t="s">
        <v>19</v>
      </c>
      <c r="B42" s="577"/>
      <c r="C42" s="577"/>
      <c r="D42" s="577"/>
      <c r="E42" s="577"/>
      <c r="F42" s="578"/>
      <c r="G42" s="395">
        <f>SUM(G8:G41)</f>
        <v>2509</v>
      </c>
      <c r="H42" s="396">
        <f t="shared" ref="H42:P42" si="6">SUM(H7:H41)</f>
        <v>53053270</v>
      </c>
      <c r="I42" s="396">
        <f t="shared" si="6"/>
        <v>0</v>
      </c>
      <c r="J42" s="396">
        <f t="shared" si="6"/>
        <v>21305000</v>
      </c>
      <c r="K42" s="396">
        <f t="shared" si="6"/>
        <v>19020768</v>
      </c>
      <c r="L42" s="396">
        <f t="shared" si="6"/>
        <v>28725200</v>
      </c>
      <c r="M42" s="396">
        <f t="shared" si="6"/>
        <v>0</v>
      </c>
      <c r="N42" s="396">
        <f t="shared" si="6"/>
        <v>0</v>
      </c>
      <c r="O42" s="396">
        <f t="shared" si="6"/>
        <v>122104238</v>
      </c>
      <c r="P42" s="397">
        <f t="shared" si="6"/>
        <v>128131852</v>
      </c>
      <c r="Q42" s="396">
        <f>P42-O42</f>
        <v>6027614</v>
      </c>
      <c r="R42" s="195"/>
    </row>
    <row r="43" spans="1:18" x14ac:dyDescent="0.25">
      <c r="P43" s="294"/>
      <c r="Q43" s="295"/>
    </row>
    <row r="44" spans="1:18" x14ac:dyDescent="0.25">
      <c r="B44"/>
      <c r="G44"/>
      <c r="H44" s="294"/>
      <c r="P44" s="296" t="s">
        <v>1225</v>
      </c>
      <c r="Q44" s="295">
        <f>'03.2024'!Q42+'04.2024'!Q42</f>
        <v>59923531</v>
      </c>
    </row>
    <row r="45" spans="1:18" x14ac:dyDescent="0.25">
      <c r="B45"/>
      <c r="G45"/>
      <c r="Q45" s="294"/>
    </row>
    <row r="46" spans="1:18" x14ac:dyDescent="0.25">
      <c r="B46"/>
      <c r="G46"/>
      <c r="R46" s="195"/>
    </row>
  </sheetData>
  <mergeCells count="18">
    <mergeCell ref="C31:E31"/>
    <mergeCell ref="C32:E32"/>
    <mergeCell ref="C39:E39"/>
    <mergeCell ref="C41:E41"/>
    <mergeCell ref="A42:F42"/>
    <mergeCell ref="C33:E33"/>
    <mergeCell ref="C34:E34"/>
    <mergeCell ref="C35:E35"/>
    <mergeCell ref="C36:E36"/>
    <mergeCell ref="C37:E37"/>
    <mergeCell ref="C38:E38"/>
    <mergeCell ref="C40:E40"/>
    <mergeCell ref="C30:E30"/>
    <mergeCell ref="A1:Q1"/>
    <mergeCell ref="A2:Q2"/>
    <mergeCell ref="A3:Q3"/>
    <mergeCell ref="G5:N5"/>
    <mergeCell ref="C29:E29"/>
  </mergeCells>
  <pageMargins left="0.7" right="0.7" top="0.75" bottom="0.75" header="0.3" footer="0.3"/>
  <pageSetup paperSize="9" orientation="portrait" horizontalDpi="0" verticalDpi="0"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2ABA3-E779-4E44-8996-765393236872}">
  <dimension ref="A1:U42"/>
  <sheetViews>
    <sheetView topLeftCell="A16" workbookViewId="0">
      <selection activeCell="L31" sqref="L31"/>
    </sheetView>
  </sheetViews>
  <sheetFormatPr defaultColWidth="9.140625" defaultRowHeight="15" x14ac:dyDescent="0.25"/>
  <cols>
    <col min="1" max="1" width="4.5703125" customWidth="1"/>
    <col min="2" max="2" width="9.28515625" style="332" bestFit="1" customWidth="1"/>
    <col min="3" max="3" width="33.42578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21" ht="23.25" x14ac:dyDescent="0.25">
      <c r="A1" s="551" t="s">
        <v>0</v>
      </c>
      <c r="B1" s="551"/>
      <c r="C1" s="551"/>
      <c r="D1" s="551"/>
      <c r="E1" s="551"/>
      <c r="F1" s="551"/>
      <c r="G1" s="551"/>
      <c r="H1" s="551"/>
      <c r="I1" s="551"/>
      <c r="J1" s="551"/>
      <c r="K1" s="551"/>
      <c r="L1" s="551"/>
      <c r="M1" s="551"/>
      <c r="N1" s="551"/>
      <c r="O1" s="551"/>
      <c r="P1" s="551"/>
      <c r="Q1" s="551"/>
    </row>
    <row r="2" spans="1:21" ht="15.75" x14ac:dyDescent="0.25">
      <c r="A2" s="550" t="s">
        <v>103</v>
      </c>
      <c r="B2" s="550"/>
      <c r="C2" s="550"/>
      <c r="D2" s="550"/>
      <c r="E2" s="550"/>
      <c r="F2" s="550"/>
      <c r="G2" s="550"/>
      <c r="H2" s="550"/>
      <c r="I2" s="550"/>
      <c r="J2" s="550"/>
      <c r="K2" s="550"/>
      <c r="L2" s="550"/>
      <c r="M2" s="550"/>
      <c r="N2" s="550"/>
      <c r="O2" s="550"/>
      <c r="P2" s="550"/>
      <c r="Q2" s="550"/>
    </row>
    <row r="3" spans="1:21" ht="15.75" x14ac:dyDescent="0.25">
      <c r="A3" s="550" t="s">
        <v>5338</v>
      </c>
      <c r="B3" s="550"/>
      <c r="C3" s="550"/>
      <c r="D3" s="550"/>
      <c r="E3" s="550"/>
      <c r="F3" s="550"/>
      <c r="G3" s="550"/>
      <c r="H3" s="550"/>
      <c r="I3" s="550"/>
      <c r="J3" s="550"/>
      <c r="K3" s="550"/>
      <c r="L3" s="550"/>
      <c r="M3" s="550"/>
      <c r="N3" s="550"/>
      <c r="O3" s="550"/>
      <c r="P3" s="550"/>
      <c r="Q3" s="550"/>
    </row>
    <row r="4" spans="1:21" x14ac:dyDescent="0.25">
      <c r="A4" s="74"/>
      <c r="B4" s="99"/>
      <c r="C4" s="74"/>
      <c r="D4" s="74"/>
      <c r="E4" s="74" t="s">
        <v>194</v>
      </c>
      <c r="F4" s="74"/>
      <c r="G4" s="257"/>
      <c r="H4" s="258"/>
      <c r="I4" s="258"/>
      <c r="J4" s="258"/>
      <c r="K4" s="258"/>
      <c r="L4" s="91"/>
      <c r="M4" s="258"/>
      <c r="N4" s="258"/>
      <c r="O4" s="258"/>
      <c r="P4" s="258"/>
      <c r="Q4" s="258"/>
    </row>
    <row r="5" spans="1:21"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21"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21" x14ac:dyDescent="0.25">
      <c r="A7" s="75"/>
      <c r="B7" s="100"/>
      <c r="C7" s="88"/>
      <c r="D7" s="88"/>
      <c r="E7" s="134"/>
      <c r="F7" s="75"/>
      <c r="G7" s="264"/>
      <c r="H7" s="264"/>
      <c r="I7" s="264"/>
      <c r="J7" s="264"/>
      <c r="K7" s="264"/>
      <c r="L7" s="308"/>
      <c r="M7" s="264"/>
      <c r="N7" s="264"/>
      <c r="O7" s="265"/>
      <c r="P7" s="265"/>
      <c r="Q7" s="264"/>
    </row>
    <row r="8" spans="1:21" ht="21.75" customHeight="1" x14ac:dyDescent="0.25">
      <c r="A8" s="470">
        <v>1</v>
      </c>
      <c r="B8" s="472">
        <v>45413</v>
      </c>
      <c r="C8" s="366" t="s">
        <v>5339</v>
      </c>
      <c r="D8" s="500" t="s">
        <v>5357</v>
      </c>
      <c r="E8" s="354" t="s">
        <v>5349</v>
      </c>
      <c r="F8" s="368"/>
      <c r="G8" s="369">
        <v>78</v>
      </c>
      <c r="H8" s="358">
        <f>G8*20710</f>
        <v>1615380</v>
      </c>
      <c r="I8" s="358"/>
      <c r="J8" s="358">
        <v>430000</v>
      </c>
      <c r="K8" s="371"/>
      <c r="L8" s="372"/>
      <c r="M8" s="358"/>
      <c r="N8" s="358"/>
      <c r="O8" s="358">
        <f t="shared" ref="O8:O26" si="0">H8+J8+K8+L8+M8+N8</f>
        <v>2045380</v>
      </c>
      <c r="P8" s="358">
        <v>4200000</v>
      </c>
      <c r="Q8" s="358">
        <f>P8-O8</f>
        <v>2154620</v>
      </c>
      <c r="R8" s="195"/>
      <c r="S8" s="195"/>
    </row>
    <row r="9" spans="1:21" ht="21.75" customHeight="1" x14ac:dyDescent="0.25">
      <c r="A9" s="350">
        <v>2</v>
      </c>
      <c r="B9" s="482">
        <v>45418</v>
      </c>
      <c r="C9" s="366" t="s">
        <v>5340</v>
      </c>
      <c r="D9" s="501" t="s">
        <v>5358</v>
      </c>
      <c r="E9" s="354" t="s">
        <v>4504</v>
      </c>
      <c r="F9" s="368"/>
      <c r="G9" s="369">
        <v>378</v>
      </c>
      <c r="H9" s="358">
        <f>G9*20600</f>
        <v>7786800</v>
      </c>
      <c r="I9" s="358"/>
      <c r="J9" s="358">
        <v>3808000</v>
      </c>
      <c r="K9" s="371"/>
      <c r="L9" s="372"/>
      <c r="M9" s="358"/>
      <c r="N9" s="358"/>
      <c r="O9" s="358">
        <f t="shared" si="0"/>
        <v>11594800</v>
      </c>
      <c r="P9" s="385">
        <v>20300000</v>
      </c>
      <c r="Q9" s="358">
        <f t="shared" ref="Q9:Q26" si="1">P9-O9</f>
        <v>8705200</v>
      </c>
      <c r="R9" s="195"/>
      <c r="S9" s="195"/>
    </row>
    <row r="10" spans="1:21" ht="21.75" customHeight="1" x14ac:dyDescent="0.25">
      <c r="A10" s="350">
        <v>3</v>
      </c>
      <c r="B10" s="482">
        <v>45419</v>
      </c>
      <c r="C10" s="366" t="s">
        <v>4870</v>
      </c>
      <c r="D10" s="501" t="s">
        <v>5359</v>
      </c>
      <c r="E10" s="354" t="s">
        <v>5350</v>
      </c>
      <c r="F10" s="368"/>
      <c r="G10" s="369">
        <v>172</v>
      </c>
      <c r="H10" s="358">
        <f>G10*19840</f>
        <v>3412480</v>
      </c>
      <c r="I10" s="358"/>
      <c r="J10" s="358">
        <v>1290000</v>
      </c>
      <c r="K10" s="371"/>
      <c r="L10" s="372"/>
      <c r="M10" s="358"/>
      <c r="N10" s="358"/>
      <c r="O10" s="358">
        <f t="shared" si="0"/>
        <v>4702480</v>
      </c>
      <c r="P10" s="385">
        <v>7200000</v>
      </c>
      <c r="Q10" s="358">
        <f t="shared" si="1"/>
        <v>2497520</v>
      </c>
      <c r="R10" s="195"/>
      <c r="S10" s="195"/>
    </row>
    <row r="11" spans="1:21" ht="21.75" customHeight="1" x14ac:dyDescent="0.25">
      <c r="A11" s="350">
        <v>4</v>
      </c>
      <c r="B11" s="482">
        <v>45420</v>
      </c>
      <c r="C11" s="366" t="s">
        <v>1114</v>
      </c>
      <c r="D11" s="501" t="s">
        <v>5360</v>
      </c>
      <c r="E11" s="354" t="s">
        <v>1271</v>
      </c>
      <c r="F11" s="368"/>
      <c r="G11" s="369">
        <v>92</v>
      </c>
      <c r="H11" s="358">
        <f t="shared" ref="H11:H14" si="2">G11*19840</f>
        <v>1825280</v>
      </c>
      <c r="I11" s="358"/>
      <c r="J11" s="358">
        <v>790000</v>
      </c>
      <c r="K11" s="371"/>
      <c r="L11" s="372"/>
      <c r="M11" s="358"/>
      <c r="N11" s="358"/>
      <c r="O11" s="358">
        <f t="shared" si="0"/>
        <v>2615280</v>
      </c>
      <c r="P11" s="385">
        <v>4500000</v>
      </c>
      <c r="Q11" s="358">
        <f t="shared" si="1"/>
        <v>1884720</v>
      </c>
      <c r="R11" s="195"/>
      <c r="S11" s="195"/>
      <c r="U11" s="195"/>
    </row>
    <row r="12" spans="1:21" ht="21.75" customHeight="1" x14ac:dyDescent="0.25">
      <c r="A12" s="350">
        <v>5</v>
      </c>
      <c r="B12" s="482">
        <v>45421</v>
      </c>
      <c r="C12" s="366" t="s">
        <v>1790</v>
      </c>
      <c r="D12" s="501" t="s">
        <v>5361</v>
      </c>
      <c r="E12" s="354" t="s">
        <v>4504</v>
      </c>
      <c r="F12" s="368"/>
      <c r="G12" s="369">
        <v>381</v>
      </c>
      <c r="H12" s="358">
        <f t="shared" si="2"/>
        <v>7559040</v>
      </c>
      <c r="I12" s="358"/>
      <c r="J12" s="358">
        <v>3761000</v>
      </c>
      <c r="K12" s="371"/>
      <c r="L12" s="372"/>
      <c r="M12" s="358"/>
      <c r="N12" s="358"/>
      <c r="O12" s="358">
        <f t="shared" si="0"/>
        <v>11320040</v>
      </c>
      <c r="P12" s="385">
        <v>20300000</v>
      </c>
      <c r="Q12" s="358">
        <f t="shared" si="1"/>
        <v>8979960</v>
      </c>
      <c r="R12" s="195"/>
      <c r="S12" s="195"/>
    </row>
    <row r="13" spans="1:21" ht="21.75" customHeight="1" x14ac:dyDescent="0.25">
      <c r="A13" s="350">
        <v>6</v>
      </c>
      <c r="B13" s="482">
        <v>45423</v>
      </c>
      <c r="C13" s="366" t="s">
        <v>5341</v>
      </c>
      <c r="D13" s="501" t="s">
        <v>5362</v>
      </c>
      <c r="E13" s="354" t="s">
        <v>5209</v>
      </c>
      <c r="F13" s="368"/>
      <c r="G13" s="369">
        <v>267</v>
      </c>
      <c r="H13" s="358">
        <f t="shared" si="2"/>
        <v>5297280</v>
      </c>
      <c r="I13" s="358"/>
      <c r="J13" s="358">
        <v>1360000</v>
      </c>
      <c r="K13" s="371"/>
      <c r="L13" s="372"/>
      <c r="M13" s="358"/>
      <c r="N13" s="358"/>
      <c r="O13" s="358">
        <f t="shared" si="0"/>
        <v>6657280</v>
      </c>
      <c r="P13" s="385">
        <v>11200000</v>
      </c>
      <c r="Q13" s="358">
        <f t="shared" si="1"/>
        <v>4542720</v>
      </c>
      <c r="R13" s="195"/>
      <c r="S13" s="195"/>
    </row>
    <row r="14" spans="1:21" ht="21.75" customHeight="1" x14ac:dyDescent="0.25">
      <c r="A14" s="350">
        <v>7</v>
      </c>
      <c r="B14" s="482">
        <v>45425</v>
      </c>
      <c r="C14" s="366" t="s">
        <v>2462</v>
      </c>
      <c r="D14" s="501" t="s">
        <v>5363</v>
      </c>
      <c r="E14" s="354" t="s">
        <v>4504</v>
      </c>
      <c r="F14" s="368"/>
      <c r="G14" s="369">
        <v>385</v>
      </c>
      <c r="H14" s="358">
        <f t="shared" si="2"/>
        <v>7638400</v>
      </c>
      <c r="I14" s="358"/>
      <c r="J14" s="358">
        <v>3815000</v>
      </c>
      <c r="K14" s="371"/>
      <c r="L14" s="372"/>
      <c r="M14" s="358"/>
      <c r="N14" s="358"/>
      <c r="O14" s="358">
        <f t="shared" si="0"/>
        <v>11453400</v>
      </c>
      <c r="P14" s="385">
        <v>20300000</v>
      </c>
      <c r="Q14" s="358">
        <f t="shared" si="1"/>
        <v>8846600</v>
      </c>
      <c r="R14" s="195"/>
      <c r="S14" s="195"/>
    </row>
    <row r="15" spans="1:21" ht="21.75" customHeight="1" x14ac:dyDescent="0.25">
      <c r="A15" s="350">
        <v>8</v>
      </c>
      <c r="B15" s="482">
        <v>45427</v>
      </c>
      <c r="C15" s="366" t="s">
        <v>5342</v>
      </c>
      <c r="D15" s="501" t="s">
        <v>5364</v>
      </c>
      <c r="E15" s="354" t="s">
        <v>4504</v>
      </c>
      <c r="F15" s="368"/>
      <c r="G15" s="369">
        <v>378</v>
      </c>
      <c r="H15" s="358">
        <f>G15*19870</f>
        <v>7510860</v>
      </c>
      <c r="I15" s="358"/>
      <c r="J15" s="358">
        <v>3815000</v>
      </c>
      <c r="K15" s="371"/>
      <c r="L15" s="372"/>
      <c r="M15" s="358"/>
      <c r="N15" s="358"/>
      <c r="O15" s="358">
        <f t="shared" si="0"/>
        <v>11325860</v>
      </c>
      <c r="P15" s="385">
        <v>20300000</v>
      </c>
      <c r="Q15" s="358">
        <f t="shared" si="1"/>
        <v>8974140</v>
      </c>
      <c r="R15" s="195"/>
      <c r="S15" s="195"/>
    </row>
    <row r="16" spans="1:21" ht="21.75" customHeight="1" x14ac:dyDescent="0.25">
      <c r="A16" s="350">
        <v>9</v>
      </c>
      <c r="B16" s="482">
        <v>45429</v>
      </c>
      <c r="C16" s="366" t="s">
        <v>360</v>
      </c>
      <c r="D16" s="501" t="s">
        <v>5365</v>
      </c>
      <c r="E16" s="354" t="s">
        <v>5351</v>
      </c>
      <c r="F16" s="368"/>
      <c r="G16" s="369">
        <v>211</v>
      </c>
      <c r="H16" s="358">
        <f t="shared" ref="H16:H20" si="3">G16*19870</f>
        <v>4192570</v>
      </c>
      <c r="I16" s="358"/>
      <c r="J16" s="358">
        <v>1483000</v>
      </c>
      <c r="K16" s="371"/>
      <c r="L16" s="372"/>
      <c r="M16" s="358"/>
      <c r="N16" s="358"/>
      <c r="O16" s="358">
        <f t="shared" si="0"/>
        <v>5675570</v>
      </c>
      <c r="P16" s="385">
        <v>9300000</v>
      </c>
      <c r="Q16" s="358">
        <f t="shared" si="1"/>
        <v>3624430</v>
      </c>
      <c r="R16" s="195"/>
      <c r="S16" s="195"/>
      <c r="U16" s="195"/>
    </row>
    <row r="17" spans="1:19" ht="21.75" customHeight="1" x14ac:dyDescent="0.25">
      <c r="A17" s="350">
        <v>10</v>
      </c>
      <c r="B17" s="482">
        <v>45429</v>
      </c>
      <c r="C17" s="366" t="s">
        <v>5343</v>
      </c>
      <c r="D17" s="501" t="s">
        <v>5365</v>
      </c>
      <c r="E17" s="354" t="s">
        <v>2999</v>
      </c>
      <c r="F17" s="368"/>
      <c r="G17" s="369"/>
      <c r="H17" s="358">
        <f t="shared" si="3"/>
        <v>0</v>
      </c>
      <c r="I17" s="358"/>
      <c r="J17" s="358"/>
      <c r="K17" s="371"/>
      <c r="L17" s="372"/>
      <c r="M17" s="381"/>
      <c r="N17" s="358"/>
      <c r="O17" s="358">
        <f t="shared" si="0"/>
        <v>0</v>
      </c>
      <c r="P17" s="385">
        <v>0</v>
      </c>
      <c r="Q17" s="358">
        <f t="shared" si="1"/>
        <v>0</v>
      </c>
      <c r="R17" s="195"/>
      <c r="S17" s="195"/>
    </row>
    <row r="18" spans="1:19" ht="21.75" customHeight="1" x14ac:dyDescent="0.25">
      <c r="A18" s="470">
        <v>11</v>
      </c>
      <c r="B18" s="487">
        <v>45432</v>
      </c>
      <c r="C18" s="366" t="s">
        <v>4371</v>
      </c>
      <c r="D18" s="501" t="s">
        <v>5366</v>
      </c>
      <c r="E18" s="354" t="s">
        <v>5352</v>
      </c>
      <c r="F18" s="461"/>
      <c r="G18" s="369">
        <v>62</v>
      </c>
      <c r="H18" s="358">
        <f t="shared" si="3"/>
        <v>1231940</v>
      </c>
      <c r="I18" s="494"/>
      <c r="J18" s="358">
        <v>430000</v>
      </c>
      <c r="K18" s="371"/>
      <c r="L18" s="372"/>
      <c r="N18" s="381"/>
      <c r="O18" s="358">
        <f t="shared" si="0"/>
        <v>1661940</v>
      </c>
      <c r="P18" s="385">
        <v>3090000</v>
      </c>
      <c r="Q18" s="358">
        <f t="shared" si="1"/>
        <v>1428060</v>
      </c>
      <c r="R18" s="195"/>
      <c r="S18" s="195"/>
    </row>
    <row r="19" spans="1:19" ht="21.75" customHeight="1" x14ac:dyDescent="0.25">
      <c r="A19" s="350">
        <v>12</v>
      </c>
      <c r="B19" s="487">
        <v>45432</v>
      </c>
      <c r="C19" s="366" t="s">
        <v>5344</v>
      </c>
      <c r="D19" s="501" t="s">
        <v>4031</v>
      </c>
      <c r="E19" s="354" t="s">
        <v>5353</v>
      </c>
      <c r="F19" s="461"/>
      <c r="G19" s="369">
        <v>84</v>
      </c>
      <c r="H19" s="358">
        <f t="shared" si="3"/>
        <v>1669080</v>
      </c>
      <c r="I19" s="494"/>
      <c r="J19" s="358">
        <v>990000</v>
      </c>
      <c r="K19" s="371"/>
      <c r="L19" s="372"/>
      <c r="M19" s="381"/>
      <c r="N19" s="381"/>
      <c r="O19" s="358">
        <f t="shared" si="0"/>
        <v>2659080</v>
      </c>
      <c r="P19" s="385">
        <v>4599259</v>
      </c>
      <c r="Q19" s="358">
        <f t="shared" si="1"/>
        <v>1940179</v>
      </c>
      <c r="R19" s="195"/>
      <c r="S19" s="195"/>
    </row>
    <row r="20" spans="1:19" ht="21.75" customHeight="1" x14ac:dyDescent="0.25">
      <c r="A20" s="350">
        <v>13</v>
      </c>
      <c r="B20" s="487">
        <v>45433</v>
      </c>
      <c r="C20" s="366" t="s">
        <v>5345</v>
      </c>
      <c r="D20" s="501" t="s">
        <v>5367</v>
      </c>
      <c r="E20" s="354" t="s">
        <v>4283</v>
      </c>
      <c r="F20" s="461"/>
      <c r="G20" s="369">
        <v>269</v>
      </c>
      <c r="H20" s="358">
        <f t="shared" si="3"/>
        <v>5345030</v>
      </c>
      <c r="I20" s="494"/>
      <c r="J20" s="381">
        <v>2977000</v>
      </c>
      <c r="K20" s="371"/>
      <c r="L20" s="372"/>
      <c r="M20" s="381"/>
      <c r="N20" s="381"/>
      <c r="O20" s="358">
        <f t="shared" si="0"/>
        <v>8322030</v>
      </c>
      <c r="P20" s="385">
        <v>14027778</v>
      </c>
      <c r="Q20" s="358">
        <f t="shared" si="1"/>
        <v>5705748</v>
      </c>
      <c r="R20" s="195"/>
      <c r="S20" s="195"/>
    </row>
    <row r="21" spans="1:19" ht="21.75" customHeight="1" x14ac:dyDescent="0.25">
      <c r="A21" s="350">
        <v>14</v>
      </c>
      <c r="B21" s="487">
        <v>45434</v>
      </c>
      <c r="C21" s="366" t="s">
        <v>4876</v>
      </c>
      <c r="D21" s="501" t="s">
        <v>5368</v>
      </c>
      <c r="E21" s="354" t="s">
        <v>5354</v>
      </c>
      <c r="F21" s="461"/>
      <c r="G21" s="369">
        <v>138</v>
      </c>
      <c r="H21" s="358">
        <f>G21*19830</f>
        <v>2736540</v>
      </c>
      <c r="I21" s="494"/>
      <c r="J21" s="381">
        <v>640000</v>
      </c>
      <c r="K21" s="371"/>
      <c r="L21" s="372"/>
      <c r="M21" s="381"/>
      <c r="N21" s="381"/>
      <c r="O21" s="358">
        <f t="shared" si="0"/>
        <v>3376540</v>
      </c>
      <c r="P21" s="385">
        <v>5500000</v>
      </c>
      <c r="Q21" s="358">
        <f t="shared" si="1"/>
        <v>2123460</v>
      </c>
      <c r="R21" s="195"/>
      <c r="S21" s="195"/>
    </row>
    <row r="22" spans="1:19" ht="21.75" customHeight="1" x14ac:dyDescent="0.25">
      <c r="A22" s="350">
        <v>15</v>
      </c>
      <c r="B22" s="487">
        <v>45436</v>
      </c>
      <c r="C22" s="366" t="s">
        <v>5346</v>
      </c>
      <c r="D22" s="501" t="s">
        <v>686</v>
      </c>
      <c r="E22" s="354" t="s">
        <v>5349</v>
      </c>
      <c r="F22" s="461"/>
      <c r="G22" s="369">
        <v>78</v>
      </c>
      <c r="H22" s="358">
        <f t="shared" ref="H22:H25" si="4">G22*19830</f>
        <v>1546740</v>
      </c>
      <c r="I22" s="494"/>
      <c r="J22" s="381">
        <v>430000</v>
      </c>
      <c r="K22" s="371"/>
      <c r="L22" s="372"/>
      <c r="M22" s="381"/>
      <c r="N22" s="381"/>
      <c r="O22" s="358">
        <f t="shared" si="0"/>
        <v>1976740</v>
      </c>
      <c r="P22" s="385">
        <v>4200000</v>
      </c>
      <c r="Q22" s="358">
        <f t="shared" si="1"/>
        <v>2223260</v>
      </c>
      <c r="R22" s="195"/>
      <c r="S22" s="195"/>
    </row>
    <row r="23" spans="1:19" ht="21.75" customHeight="1" x14ac:dyDescent="0.25">
      <c r="A23" s="470">
        <v>16</v>
      </c>
      <c r="B23" s="487">
        <v>45436</v>
      </c>
      <c r="C23" s="366" t="s">
        <v>5347</v>
      </c>
      <c r="D23" s="501" t="s">
        <v>5369</v>
      </c>
      <c r="E23" s="354" t="s">
        <v>5349</v>
      </c>
      <c r="F23" s="461"/>
      <c r="G23" s="369">
        <v>80</v>
      </c>
      <c r="H23" s="358">
        <f t="shared" si="4"/>
        <v>1586400</v>
      </c>
      <c r="I23" s="494"/>
      <c r="J23" s="381">
        <v>430000</v>
      </c>
      <c r="K23" s="371"/>
      <c r="L23" s="372"/>
      <c r="M23" s="381"/>
      <c r="N23" s="381"/>
      <c r="O23" s="358">
        <f t="shared" si="0"/>
        <v>2016400</v>
      </c>
      <c r="P23" s="385">
        <v>4200000</v>
      </c>
      <c r="Q23" s="358">
        <f t="shared" si="1"/>
        <v>2183600</v>
      </c>
      <c r="R23" s="195"/>
      <c r="S23" s="195"/>
    </row>
    <row r="24" spans="1:19" ht="21.75" customHeight="1" x14ac:dyDescent="0.25">
      <c r="A24" s="350">
        <v>17</v>
      </c>
      <c r="B24" s="487">
        <v>45438</v>
      </c>
      <c r="C24" s="366" t="s">
        <v>3687</v>
      </c>
      <c r="D24" s="501" t="s">
        <v>5370</v>
      </c>
      <c r="E24" s="354" t="s">
        <v>4504</v>
      </c>
      <c r="F24" s="461"/>
      <c r="G24" s="369">
        <v>378</v>
      </c>
      <c r="H24" s="358">
        <f t="shared" si="4"/>
        <v>7495740</v>
      </c>
      <c r="I24" s="494"/>
      <c r="J24" s="381">
        <v>3918000</v>
      </c>
      <c r="K24" s="371"/>
      <c r="L24" s="372"/>
      <c r="M24" s="381"/>
      <c r="N24" s="381"/>
      <c r="O24" s="358">
        <f t="shared" si="0"/>
        <v>11413740</v>
      </c>
      <c r="P24" s="385">
        <v>20300000</v>
      </c>
      <c r="Q24" s="358">
        <f t="shared" si="1"/>
        <v>8886260</v>
      </c>
      <c r="R24" s="195"/>
      <c r="S24" s="195"/>
    </row>
    <row r="25" spans="1:19" ht="21.75" customHeight="1" x14ac:dyDescent="0.25">
      <c r="A25" s="350">
        <v>18</v>
      </c>
      <c r="B25" s="487">
        <v>45440</v>
      </c>
      <c r="C25" s="366" t="s">
        <v>1803</v>
      </c>
      <c r="D25" s="501" t="s">
        <v>5371</v>
      </c>
      <c r="E25" s="354" t="s">
        <v>5355</v>
      </c>
      <c r="F25" s="461"/>
      <c r="G25" s="369">
        <v>93</v>
      </c>
      <c r="H25" s="358">
        <f t="shared" si="4"/>
        <v>1844190</v>
      </c>
      <c r="I25" s="494"/>
      <c r="J25" s="381">
        <v>790000</v>
      </c>
      <c r="K25" s="371"/>
      <c r="L25" s="372"/>
      <c r="M25" s="381"/>
      <c r="N25" s="381"/>
      <c r="O25" s="358">
        <f t="shared" si="0"/>
        <v>2634190</v>
      </c>
      <c r="P25" s="385">
        <v>4500000</v>
      </c>
      <c r="Q25" s="358">
        <f t="shared" si="1"/>
        <v>1865810</v>
      </c>
      <c r="R25" s="195"/>
      <c r="S25" s="195"/>
    </row>
    <row r="26" spans="1:19" ht="21.75" customHeight="1" x14ac:dyDescent="0.25">
      <c r="A26" s="350">
        <v>19</v>
      </c>
      <c r="B26" s="487">
        <v>45441</v>
      </c>
      <c r="C26" s="366" t="s">
        <v>5348</v>
      </c>
      <c r="D26" s="501" t="s">
        <v>5372</v>
      </c>
      <c r="E26" s="354" t="s">
        <v>5356</v>
      </c>
      <c r="F26" s="461"/>
      <c r="G26" s="369">
        <v>388</v>
      </c>
      <c r="H26" s="358">
        <f>G26*19740</f>
        <v>7659120</v>
      </c>
      <c r="I26" s="494"/>
      <c r="J26" s="381">
        <v>4371000</v>
      </c>
      <c r="K26" s="371"/>
      <c r="L26" s="372"/>
      <c r="M26" s="381"/>
      <c r="N26" s="381"/>
      <c r="O26" s="358">
        <f t="shared" si="0"/>
        <v>12030120</v>
      </c>
      <c r="P26" s="385">
        <v>22150000</v>
      </c>
      <c r="Q26" s="358">
        <f t="shared" si="1"/>
        <v>10119880</v>
      </c>
      <c r="R26" s="195"/>
      <c r="S26" s="195"/>
    </row>
    <row r="27" spans="1:19" ht="24.95" customHeight="1" x14ac:dyDescent="0.25">
      <c r="A27" s="374"/>
      <c r="B27" s="488"/>
      <c r="C27" s="609" t="s">
        <v>1273</v>
      </c>
      <c r="D27" s="609"/>
      <c r="E27" s="609"/>
      <c r="F27" s="402"/>
      <c r="G27" s="358"/>
      <c r="H27" s="369"/>
      <c r="I27" s="403"/>
      <c r="J27" s="381"/>
      <c r="K27" s="372">
        <v>1200000</v>
      </c>
      <c r="L27" s="372"/>
      <c r="M27" s="381"/>
      <c r="N27" s="381"/>
      <c r="O27" s="385">
        <f>H27+J27+K27+L27+M27+N27</f>
        <v>1200000</v>
      </c>
      <c r="P27" s="385"/>
      <c r="Q27" s="385"/>
    </row>
    <row r="28" spans="1:19" ht="24.95" customHeight="1" x14ac:dyDescent="0.25">
      <c r="A28" s="386"/>
      <c r="B28" s="379"/>
      <c r="C28" s="594" t="s">
        <v>4535</v>
      </c>
      <c r="D28" s="595"/>
      <c r="E28" s="596"/>
      <c r="F28" s="402"/>
      <c r="G28" s="381"/>
      <c r="H28" s="369"/>
      <c r="J28" s="381"/>
      <c r="K28" s="388">
        <v>15672480</v>
      </c>
      <c r="L28" s="388"/>
      <c r="M28" s="381"/>
      <c r="N28" s="381"/>
      <c r="O28" s="385">
        <f t="shared" ref="O28:O34" si="5">H28+J28+K28+L28+M28+N28</f>
        <v>15672480</v>
      </c>
      <c r="P28" s="389"/>
      <c r="Q28" s="378"/>
    </row>
    <row r="29" spans="1:19" ht="24.95" customHeight="1" x14ac:dyDescent="0.25">
      <c r="A29" s="386"/>
      <c r="B29" s="379"/>
      <c r="C29" s="594" t="s">
        <v>5420</v>
      </c>
      <c r="D29" s="595"/>
      <c r="E29" s="596"/>
      <c r="F29" s="402"/>
      <c r="G29" s="381"/>
      <c r="H29" s="369"/>
      <c r="J29" s="381"/>
      <c r="K29" s="388"/>
      <c r="L29" s="388">
        <v>100000</v>
      </c>
      <c r="M29" s="381"/>
      <c r="N29" s="388"/>
      <c r="O29" s="385">
        <f t="shared" si="5"/>
        <v>100000</v>
      </c>
      <c r="P29" s="389"/>
      <c r="Q29" s="378"/>
    </row>
    <row r="30" spans="1:19" ht="24.95" customHeight="1" x14ac:dyDescent="0.25">
      <c r="A30" s="386"/>
      <c r="B30" s="379"/>
      <c r="C30" s="594" t="s">
        <v>5422</v>
      </c>
      <c r="D30" s="595"/>
      <c r="E30" s="596"/>
      <c r="F30" s="402"/>
      <c r="G30" s="381"/>
      <c r="H30" s="369"/>
      <c r="J30" s="381"/>
      <c r="K30" s="388"/>
      <c r="L30" s="388">
        <v>150000</v>
      </c>
      <c r="M30" s="381"/>
      <c r="N30" s="388"/>
      <c r="O30" s="385">
        <f t="shared" si="5"/>
        <v>150000</v>
      </c>
      <c r="P30" s="389"/>
      <c r="Q30" s="378"/>
    </row>
    <row r="31" spans="1:19" ht="24.95" customHeight="1" x14ac:dyDescent="0.25">
      <c r="A31" s="386"/>
      <c r="B31" s="379"/>
      <c r="C31" s="594" t="s">
        <v>5425</v>
      </c>
      <c r="D31" s="595"/>
      <c r="E31" s="596"/>
      <c r="F31" s="402"/>
      <c r="G31" s="381"/>
      <c r="H31" s="369"/>
      <c r="J31" s="381"/>
      <c r="K31" s="388"/>
      <c r="L31" s="388"/>
      <c r="M31" s="388">
        <v>9600000</v>
      </c>
      <c r="N31" s="388"/>
      <c r="O31" s="385">
        <f t="shared" si="5"/>
        <v>9600000</v>
      </c>
      <c r="P31" s="389"/>
      <c r="Q31" s="378"/>
    </row>
    <row r="32" spans="1:19" ht="24.95" customHeight="1" x14ac:dyDescent="0.25">
      <c r="A32" s="386"/>
      <c r="B32" s="379"/>
      <c r="C32" s="594" t="s">
        <v>5426</v>
      </c>
      <c r="D32" s="595"/>
      <c r="E32" s="596"/>
      <c r="F32" s="402"/>
      <c r="G32" s="381"/>
      <c r="H32" s="369"/>
      <c r="J32" s="381"/>
      <c r="K32" s="388"/>
      <c r="L32" s="388"/>
      <c r="M32" s="388">
        <v>11600000</v>
      </c>
      <c r="N32" s="388"/>
      <c r="O32" s="385">
        <f t="shared" si="5"/>
        <v>11600000</v>
      </c>
      <c r="P32" s="389"/>
      <c r="Q32" s="378"/>
    </row>
    <row r="33" spans="1:18" ht="24.95" customHeight="1" x14ac:dyDescent="0.25">
      <c r="A33" s="386"/>
      <c r="B33" s="379"/>
      <c r="C33" s="594" t="s">
        <v>5430</v>
      </c>
      <c r="D33" s="595"/>
      <c r="E33" s="596"/>
      <c r="F33" s="402"/>
      <c r="G33" s="381"/>
      <c r="H33" s="369"/>
      <c r="J33" s="381"/>
      <c r="K33" s="388"/>
      <c r="L33" s="388">
        <v>2250000</v>
      </c>
      <c r="M33" s="381"/>
      <c r="N33" s="388"/>
      <c r="O33" s="385">
        <f t="shared" si="5"/>
        <v>2250000</v>
      </c>
      <c r="P33" s="389"/>
      <c r="Q33" s="378"/>
    </row>
    <row r="34" spans="1:18" ht="24.95" customHeight="1" x14ac:dyDescent="0.25">
      <c r="A34" s="386"/>
      <c r="B34" s="379"/>
      <c r="C34" s="594" t="s">
        <v>5586</v>
      </c>
      <c r="D34" s="595"/>
      <c r="E34" s="596"/>
      <c r="F34" s="402"/>
      <c r="G34" s="381"/>
      <c r="H34" s="369"/>
      <c r="J34" s="381"/>
      <c r="K34" s="388"/>
      <c r="L34" s="388">
        <v>1000000</v>
      </c>
      <c r="M34" s="381"/>
      <c r="N34" s="388"/>
      <c r="O34" s="385">
        <f t="shared" si="5"/>
        <v>1000000</v>
      </c>
      <c r="P34" s="389"/>
      <c r="Q34" s="378"/>
    </row>
    <row r="35" spans="1:18" ht="24.95" customHeight="1" x14ac:dyDescent="0.25">
      <c r="A35" s="386"/>
      <c r="B35" s="379"/>
      <c r="C35" s="594" t="s">
        <v>5587</v>
      </c>
      <c r="D35" s="595"/>
      <c r="E35" s="596"/>
      <c r="F35" s="402"/>
      <c r="G35" s="381"/>
      <c r="H35" s="369"/>
      <c r="J35" s="381"/>
      <c r="K35" s="388"/>
      <c r="L35" s="388">
        <v>2650000</v>
      </c>
      <c r="M35" s="381"/>
      <c r="N35" s="388"/>
      <c r="O35" s="385">
        <f>H35+J35+K35+L35+M35+N35</f>
        <v>2650000</v>
      </c>
      <c r="P35" s="389"/>
      <c r="Q35" s="378"/>
    </row>
    <row r="36" spans="1:18" ht="24.95" customHeight="1" x14ac:dyDescent="0.25">
      <c r="A36" s="386"/>
      <c r="B36" s="379"/>
      <c r="C36" s="428" t="s">
        <v>5615</v>
      </c>
      <c r="D36" s="429"/>
      <c r="E36" s="430"/>
      <c r="F36" s="402"/>
      <c r="G36" s="381"/>
      <c r="H36" s="369"/>
      <c r="J36" s="381"/>
      <c r="K36" s="388"/>
      <c r="L36" s="388"/>
      <c r="M36" s="388">
        <v>400000</v>
      </c>
      <c r="N36" s="388"/>
      <c r="O36" s="385">
        <f>H36+J36+K36+L36+M36+N36</f>
        <v>400000</v>
      </c>
      <c r="P36" s="389"/>
      <c r="Q36" s="378"/>
    </row>
    <row r="37" spans="1:18" ht="24.95" customHeight="1" x14ac:dyDescent="0.25">
      <c r="A37" s="386"/>
      <c r="B37" s="391"/>
      <c r="C37" s="579" t="s">
        <v>5620</v>
      </c>
      <c r="D37" s="580"/>
      <c r="E37" s="581"/>
      <c r="F37" s="461"/>
      <c r="G37" s="381"/>
      <c r="H37" s="369"/>
      <c r="I37" s="403"/>
      <c r="J37" s="381"/>
      <c r="K37" s="394">
        <v>6800000</v>
      </c>
      <c r="L37" s="394"/>
      <c r="M37" s="381"/>
      <c r="N37" s="381"/>
      <c r="O37" s="385">
        <f>H37+J37+K37+L37+M37+N37</f>
        <v>6800000</v>
      </c>
      <c r="P37" s="389"/>
      <c r="Q37" s="378"/>
    </row>
    <row r="38" spans="1:18" x14ac:dyDescent="0.25">
      <c r="A38" s="576" t="s">
        <v>19</v>
      </c>
      <c r="B38" s="577"/>
      <c r="C38" s="577"/>
      <c r="D38" s="577"/>
      <c r="E38" s="577"/>
      <c r="F38" s="578"/>
      <c r="G38" s="395">
        <f>SUM(G8:G37)</f>
        <v>3912</v>
      </c>
      <c r="H38" s="396">
        <f t="shared" ref="H38:P38" si="6">SUM(H7:H37)</f>
        <v>77952870</v>
      </c>
      <c r="I38" s="396">
        <f t="shared" si="6"/>
        <v>0</v>
      </c>
      <c r="J38" s="396">
        <f t="shared" si="6"/>
        <v>35528000</v>
      </c>
      <c r="K38" s="396">
        <f t="shared" si="6"/>
        <v>23672480</v>
      </c>
      <c r="L38" s="396">
        <f t="shared" si="6"/>
        <v>6150000</v>
      </c>
      <c r="M38" s="396">
        <f t="shared" si="6"/>
        <v>21600000</v>
      </c>
      <c r="N38" s="396">
        <f t="shared" si="6"/>
        <v>0</v>
      </c>
      <c r="O38" s="396">
        <f t="shared" si="6"/>
        <v>164903350</v>
      </c>
      <c r="P38" s="397">
        <f t="shared" si="6"/>
        <v>200167037</v>
      </c>
      <c r="Q38" s="396">
        <f>P38-O38</f>
        <v>35263687</v>
      </c>
      <c r="R38" s="195"/>
    </row>
    <row r="39" spans="1:18" x14ac:dyDescent="0.25">
      <c r="P39" s="294"/>
      <c r="Q39" s="295"/>
    </row>
    <row r="40" spans="1:18" x14ac:dyDescent="0.25">
      <c r="B40"/>
      <c r="G40"/>
      <c r="H40" s="294"/>
      <c r="P40" s="296" t="s">
        <v>1225</v>
      </c>
      <c r="Q40" s="295">
        <f>'04.2024'!Q44+'05.2024'!Q38</f>
        <v>95187218</v>
      </c>
    </row>
    <row r="41" spans="1:18" x14ac:dyDescent="0.25">
      <c r="B41"/>
      <c r="G41"/>
      <c r="Q41" s="294"/>
    </row>
    <row r="42" spans="1:18" x14ac:dyDescent="0.25">
      <c r="B42"/>
      <c r="G42"/>
      <c r="R42" s="195"/>
    </row>
  </sheetData>
  <mergeCells count="15">
    <mergeCell ref="A1:Q1"/>
    <mergeCell ref="A2:Q2"/>
    <mergeCell ref="A3:Q3"/>
    <mergeCell ref="G5:N5"/>
    <mergeCell ref="C27:E27"/>
    <mergeCell ref="C37:E37"/>
    <mergeCell ref="A38:F38"/>
    <mergeCell ref="C28:E28"/>
    <mergeCell ref="C31:E31"/>
    <mergeCell ref="C32:E32"/>
    <mergeCell ref="C33:E33"/>
    <mergeCell ref="C29:E29"/>
    <mergeCell ref="C30:E30"/>
    <mergeCell ref="C34:E34"/>
    <mergeCell ref="C35:E35"/>
  </mergeCells>
  <pageMargins left="0.7" right="0.7" top="0.75" bottom="0.75" header="0.3" footer="0.3"/>
  <pageSetup paperSize="9" orientation="portrait" horizontalDpi="0" verticalDpi="0"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906FC-FF64-421D-8369-DDF554686E35}">
  <dimension ref="A1:U40"/>
  <sheetViews>
    <sheetView topLeftCell="A10" workbookViewId="0">
      <selection activeCell="L30" sqref="L30:M34"/>
    </sheetView>
  </sheetViews>
  <sheetFormatPr defaultColWidth="9.140625" defaultRowHeight="15" x14ac:dyDescent="0.25"/>
  <cols>
    <col min="1" max="1" width="4.5703125" customWidth="1"/>
    <col min="2" max="2" width="9.28515625" style="332" bestFit="1" customWidth="1"/>
    <col min="3" max="3" width="33.42578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21" ht="23.25" x14ac:dyDescent="0.25">
      <c r="A1" s="551" t="s">
        <v>0</v>
      </c>
      <c r="B1" s="551"/>
      <c r="C1" s="551"/>
      <c r="D1" s="551"/>
      <c r="E1" s="551"/>
      <c r="F1" s="551"/>
      <c r="G1" s="551"/>
      <c r="H1" s="551"/>
      <c r="I1" s="551"/>
      <c r="J1" s="551"/>
      <c r="K1" s="551"/>
      <c r="L1" s="551"/>
      <c r="M1" s="551"/>
      <c r="N1" s="551"/>
      <c r="O1" s="551"/>
      <c r="P1" s="551"/>
      <c r="Q1" s="551"/>
    </row>
    <row r="2" spans="1:21" ht="15.75" x14ac:dyDescent="0.25">
      <c r="A2" s="550" t="s">
        <v>103</v>
      </c>
      <c r="B2" s="550"/>
      <c r="C2" s="550"/>
      <c r="D2" s="550"/>
      <c r="E2" s="550"/>
      <c r="F2" s="550"/>
      <c r="G2" s="550"/>
      <c r="H2" s="550"/>
      <c r="I2" s="550"/>
      <c r="J2" s="550"/>
      <c r="K2" s="550"/>
      <c r="L2" s="550"/>
      <c r="M2" s="550"/>
      <c r="N2" s="550"/>
      <c r="O2" s="550"/>
      <c r="P2" s="550"/>
      <c r="Q2" s="550"/>
    </row>
    <row r="3" spans="1:21" ht="15.75" x14ac:dyDescent="0.25">
      <c r="A3" s="550" t="s">
        <v>5405</v>
      </c>
      <c r="B3" s="550"/>
      <c r="C3" s="550"/>
      <c r="D3" s="550"/>
      <c r="E3" s="550"/>
      <c r="F3" s="550"/>
      <c r="G3" s="550"/>
      <c r="H3" s="550"/>
      <c r="I3" s="550"/>
      <c r="J3" s="550"/>
      <c r="K3" s="550"/>
      <c r="L3" s="550"/>
      <c r="M3" s="550"/>
      <c r="N3" s="550"/>
      <c r="O3" s="550"/>
      <c r="P3" s="550"/>
      <c r="Q3" s="550"/>
    </row>
    <row r="4" spans="1:21" x14ac:dyDescent="0.25">
      <c r="A4" s="74"/>
      <c r="B4" s="99"/>
      <c r="C4" s="74"/>
      <c r="D4" s="74"/>
      <c r="E4" s="74" t="s">
        <v>194</v>
      </c>
      <c r="F4" s="74"/>
      <c r="G4" s="257"/>
      <c r="H4" s="258"/>
      <c r="I4" s="258"/>
      <c r="J4" s="258"/>
      <c r="K4" s="258"/>
      <c r="L4" s="91"/>
      <c r="M4" s="258"/>
      <c r="N4" s="258"/>
      <c r="O4" s="258"/>
      <c r="P4" s="258"/>
      <c r="Q4" s="258"/>
    </row>
    <row r="5" spans="1:21"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21"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21" x14ac:dyDescent="0.25">
      <c r="A7" s="75"/>
      <c r="B7" s="100"/>
      <c r="C7" s="88"/>
      <c r="D7" s="88"/>
      <c r="E7" s="134"/>
      <c r="F7" s="75"/>
      <c r="G7" s="264"/>
      <c r="H7" s="264"/>
      <c r="I7" s="264"/>
      <c r="J7" s="264"/>
      <c r="K7" s="264"/>
      <c r="L7" s="308"/>
      <c r="M7" s="264"/>
      <c r="N7" s="264"/>
      <c r="O7" s="265"/>
      <c r="P7" s="265"/>
      <c r="Q7" s="264"/>
    </row>
    <row r="8" spans="1:21" ht="21.75" customHeight="1" x14ac:dyDescent="0.25">
      <c r="A8" s="470">
        <v>1</v>
      </c>
      <c r="B8" s="472">
        <v>45443</v>
      </c>
      <c r="C8" s="366" t="s">
        <v>1836</v>
      </c>
      <c r="D8" s="500" t="s">
        <v>5385</v>
      </c>
      <c r="E8" s="354" t="s">
        <v>4504</v>
      </c>
      <c r="F8" s="368"/>
      <c r="G8" s="369">
        <v>381</v>
      </c>
      <c r="H8" s="358">
        <f>G8*19740</f>
        <v>7520940</v>
      </c>
      <c r="I8" s="358"/>
      <c r="J8" s="358">
        <v>3791000</v>
      </c>
      <c r="K8" s="371"/>
      <c r="L8" s="372"/>
      <c r="M8" s="358"/>
      <c r="N8" s="358"/>
      <c r="O8" s="358">
        <f t="shared" ref="O8:O27" si="0">H8+J8+K8+L8+M8+N8</f>
        <v>11311940</v>
      </c>
      <c r="P8" s="358">
        <v>20300000</v>
      </c>
      <c r="Q8" s="358">
        <f>P8-O8</f>
        <v>8988060</v>
      </c>
      <c r="R8" s="195"/>
      <c r="S8" s="195"/>
    </row>
    <row r="9" spans="1:21" ht="21.75" customHeight="1" x14ac:dyDescent="0.25">
      <c r="A9" s="350">
        <v>2</v>
      </c>
      <c r="B9" s="482">
        <v>45446</v>
      </c>
      <c r="C9" s="366" t="s">
        <v>5373</v>
      </c>
      <c r="D9" s="501" t="s">
        <v>5386</v>
      </c>
      <c r="E9" s="354" t="s">
        <v>5378</v>
      </c>
      <c r="F9" s="368"/>
      <c r="G9" s="369">
        <v>60</v>
      </c>
      <c r="H9" s="358">
        <f t="shared" ref="H9:H11" si="1">G9*19740</f>
        <v>1184400</v>
      </c>
      <c r="I9" s="358"/>
      <c r="J9" s="358">
        <v>340000</v>
      </c>
      <c r="K9" s="371"/>
      <c r="L9" s="372"/>
      <c r="M9" s="358"/>
      <c r="N9" s="358"/>
      <c r="O9" s="358">
        <f t="shared" si="0"/>
        <v>1524400</v>
      </c>
      <c r="P9" s="385">
        <v>2900000</v>
      </c>
      <c r="Q9" s="358">
        <f t="shared" ref="Q9:Q27" si="2">P9-O9</f>
        <v>1375600</v>
      </c>
      <c r="R9" s="195"/>
      <c r="S9" s="195"/>
    </row>
    <row r="10" spans="1:21" ht="21.75" customHeight="1" x14ac:dyDescent="0.25">
      <c r="A10" s="350">
        <v>3</v>
      </c>
      <c r="B10" s="482">
        <v>45447</v>
      </c>
      <c r="C10" s="366" t="s">
        <v>5374</v>
      </c>
      <c r="D10" s="501" t="s">
        <v>5387</v>
      </c>
      <c r="E10" s="354" t="s">
        <v>189</v>
      </c>
      <c r="F10" s="368"/>
      <c r="G10" s="369">
        <v>180</v>
      </c>
      <c r="H10" s="358">
        <f t="shared" si="1"/>
        <v>3553200</v>
      </c>
      <c r="I10" s="358"/>
      <c r="J10" s="358">
        <v>1530000</v>
      </c>
      <c r="K10" s="371"/>
      <c r="L10" s="372"/>
      <c r="M10" s="358"/>
      <c r="N10" s="358"/>
      <c r="O10" s="358">
        <f t="shared" si="0"/>
        <v>5083200</v>
      </c>
      <c r="P10" s="385">
        <v>10648148</v>
      </c>
      <c r="Q10" s="358">
        <f t="shared" si="2"/>
        <v>5564948</v>
      </c>
      <c r="R10" s="195"/>
      <c r="S10" s="195"/>
    </row>
    <row r="11" spans="1:21" ht="21.75" customHeight="1" x14ac:dyDescent="0.25">
      <c r="A11" s="350">
        <v>4</v>
      </c>
      <c r="B11" s="482">
        <v>45448</v>
      </c>
      <c r="C11" s="366" t="s">
        <v>2515</v>
      </c>
      <c r="D11" s="501" t="s">
        <v>5388</v>
      </c>
      <c r="E11" s="354" t="s">
        <v>21</v>
      </c>
      <c r="F11" s="368"/>
      <c r="G11" s="369">
        <v>244</v>
      </c>
      <c r="H11" s="358">
        <f t="shared" si="1"/>
        <v>4816560</v>
      </c>
      <c r="I11" s="358"/>
      <c r="J11" s="358">
        <v>2380000</v>
      </c>
      <c r="K11" s="371"/>
      <c r="L11" s="372"/>
      <c r="M11" s="358"/>
      <c r="N11" s="358"/>
      <c r="O11" s="358">
        <f t="shared" si="0"/>
        <v>7196560</v>
      </c>
      <c r="P11" s="385">
        <v>12314815</v>
      </c>
      <c r="Q11" s="358">
        <f t="shared" si="2"/>
        <v>5118255</v>
      </c>
      <c r="R11" s="195"/>
      <c r="S11" s="195"/>
      <c r="U11" s="195"/>
    </row>
    <row r="12" spans="1:21" ht="21.75" customHeight="1" x14ac:dyDescent="0.25">
      <c r="A12" s="350">
        <v>5</v>
      </c>
      <c r="B12" s="482">
        <v>45449</v>
      </c>
      <c r="C12" s="366" t="s">
        <v>391</v>
      </c>
      <c r="D12" s="501" t="s">
        <v>5389</v>
      </c>
      <c r="E12" s="354" t="s">
        <v>24</v>
      </c>
      <c r="F12" s="368"/>
      <c r="G12" s="369">
        <v>180</v>
      </c>
      <c r="H12" s="358">
        <f>G12*19420</f>
        <v>3495600</v>
      </c>
      <c r="I12" s="358"/>
      <c r="J12" s="358">
        <v>1530000</v>
      </c>
      <c r="K12" s="371"/>
      <c r="L12" s="372"/>
      <c r="M12" s="358"/>
      <c r="N12" s="358"/>
      <c r="O12" s="358">
        <f t="shared" si="0"/>
        <v>5025600</v>
      </c>
      <c r="P12" s="385">
        <v>8666667</v>
      </c>
      <c r="Q12" s="358">
        <f t="shared" si="2"/>
        <v>3641067</v>
      </c>
      <c r="R12" s="195"/>
      <c r="S12" s="195"/>
    </row>
    <row r="13" spans="1:21" ht="21.75" customHeight="1" x14ac:dyDescent="0.25">
      <c r="A13" s="350">
        <v>6</v>
      </c>
      <c r="B13" s="482">
        <v>45450</v>
      </c>
      <c r="C13" s="366" t="s">
        <v>393</v>
      </c>
      <c r="D13" s="501" t="s">
        <v>5390</v>
      </c>
      <c r="E13" s="354" t="s">
        <v>4504</v>
      </c>
      <c r="F13" s="368"/>
      <c r="G13" s="369">
        <v>388</v>
      </c>
      <c r="H13" s="358">
        <f t="shared" ref="H13:H19" si="3">G13*19420</f>
        <v>7534960</v>
      </c>
      <c r="I13" s="358"/>
      <c r="J13" s="358">
        <v>3971000</v>
      </c>
      <c r="K13" s="371"/>
      <c r="L13" s="372"/>
      <c r="M13" s="358"/>
      <c r="N13" s="358"/>
      <c r="O13" s="358">
        <f t="shared" si="0"/>
        <v>11505960</v>
      </c>
      <c r="P13" s="385">
        <v>20300000</v>
      </c>
      <c r="Q13" s="358">
        <f t="shared" si="2"/>
        <v>8794040</v>
      </c>
      <c r="R13" s="195"/>
      <c r="S13" s="195"/>
    </row>
    <row r="14" spans="1:21" ht="21.75" customHeight="1" x14ac:dyDescent="0.25">
      <c r="A14" s="350">
        <v>7</v>
      </c>
      <c r="B14" s="482">
        <v>45453</v>
      </c>
      <c r="C14" s="366" t="s">
        <v>5375</v>
      </c>
      <c r="D14" s="501" t="s">
        <v>5391</v>
      </c>
      <c r="E14" s="354" t="s">
        <v>5356</v>
      </c>
      <c r="F14" s="368"/>
      <c r="G14" s="369">
        <v>388</v>
      </c>
      <c r="H14" s="358">
        <f t="shared" si="3"/>
        <v>7534960</v>
      </c>
      <c r="I14" s="358"/>
      <c r="J14" s="358">
        <v>3868000</v>
      </c>
      <c r="K14" s="371"/>
      <c r="L14" s="372"/>
      <c r="M14" s="358"/>
      <c r="N14" s="358"/>
      <c r="O14" s="358">
        <f t="shared" si="0"/>
        <v>11402960</v>
      </c>
      <c r="P14" s="385">
        <v>20950000</v>
      </c>
      <c r="Q14" s="358">
        <f t="shared" si="2"/>
        <v>9547040</v>
      </c>
      <c r="R14" s="195"/>
      <c r="S14" s="195"/>
    </row>
    <row r="15" spans="1:21" ht="21.75" customHeight="1" x14ac:dyDescent="0.25">
      <c r="A15" s="350">
        <v>8</v>
      </c>
      <c r="B15" s="482">
        <v>45455</v>
      </c>
      <c r="C15" s="366" t="s">
        <v>1177</v>
      </c>
      <c r="D15" s="501" t="s">
        <v>5392</v>
      </c>
      <c r="E15" s="354" t="s">
        <v>2589</v>
      </c>
      <c r="F15" s="368"/>
      <c r="G15" s="369">
        <v>98</v>
      </c>
      <c r="H15" s="358">
        <f t="shared" si="3"/>
        <v>1903160</v>
      </c>
      <c r="I15" s="358"/>
      <c r="J15" s="358">
        <v>790000</v>
      </c>
      <c r="K15" s="371"/>
      <c r="L15" s="372"/>
      <c r="M15" s="358"/>
      <c r="N15" s="358"/>
      <c r="O15" s="358">
        <f t="shared" si="0"/>
        <v>2693160</v>
      </c>
      <c r="P15" s="385">
        <v>4300000</v>
      </c>
      <c r="Q15" s="358">
        <f t="shared" si="2"/>
        <v>1606840</v>
      </c>
      <c r="R15" s="195"/>
      <c r="S15" s="195"/>
    </row>
    <row r="16" spans="1:21" ht="21.75" customHeight="1" x14ac:dyDescent="0.25">
      <c r="A16" s="350">
        <v>9</v>
      </c>
      <c r="B16" s="482">
        <v>45456</v>
      </c>
      <c r="C16" s="366" t="s">
        <v>1854</v>
      </c>
      <c r="D16" s="501" t="s">
        <v>5393</v>
      </c>
      <c r="E16" s="354" t="s">
        <v>24</v>
      </c>
      <c r="F16" s="368"/>
      <c r="G16" s="369">
        <v>193</v>
      </c>
      <c r="H16" s="358">
        <f t="shared" si="3"/>
        <v>3748060</v>
      </c>
      <c r="I16" s="358"/>
      <c r="J16" s="358">
        <v>1530000</v>
      </c>
      <c r="K16" s="371"/>
      <c r="L16" s="372"/>
      <c r="M16" s="358"/>
      <c r="N16" s="358"/>
      <c r="O16" s="358">
        <f t="shared" si="0"/>
        <v>5278060</v>
      </c>
      <c r="P16" s="385">
        <v>9074074</v>
      </c>
      <c r="Q16" s="358">
        <f t="shared" si="2"/>
        <v>3796014</v>
      </c>
      <c r="R16" s="195"/>
      <c r="S16" s="195"/>
      <c r="U16" s="195"/>
    </row>
    <row r="17" spans="1:19" ht="21.75" customHeight="1" x14ac:dyDescent="0.25">
      <c r="A17" s="350">
        <v>10</v>
      </c>
      <c r="B17" s="482">
        <v>45460</v>
      </c>
      <c r="C17" s="366" t="s">
        <v>2520</v>
      </c>
      <c r="D17" s="501" t="s">
        <v>5394</v>
      </c>
      <c r="E17" s="354" t="s">
        <v>5379</v>
      </c>
      <c r="F17" s="368"/>
      <c r="G17" s="369">
        <v>85</v>
      </c>
      <c r="H17" s="358">
        <f t="shared" si="3"/>
        <v>1650700</v>
      </c>
      <c r="I17" s="358"/>
      <c r="J17" s="358">
        <v>790000</v>
      </c>
      <c r="K17" s="371"/>
      <c r="L17" s="372"/>
      <c r="M17" s="381"/>
      <c r="N17" s="358"/>
      <c r="O17" s="358">
        <f t="shared" si="0"/>
        <v>2440700</v>
      </c>
      <c r="P17" s="385">
        <v>3850000</v>
      </c>
      <c r="Q17" s="358">
        <f t="shared" si="2"/>
        <v>1409300</v>
      </c>
      <c r="R17" s="195"/>
      <c r="S17" s="195"/>
    </row>
    <row r="18" spans="1:19" ht="21.75" customHeight="1" x14ac:dyDescent="0.25">
      <c r="A18" s="470">
        <v>11</v>
      </c>
      <c r="B18" s="487">
        <v>45460</v>
      </c>
      <c r="C18" s="366" t="s">
        <v>3126</v>
      </c>
      <c r="D18" s="501" t="s">
        <v>5395</v>
      </c>
      <c r="E18" s="354" t="s">
        <v>5380</v>
      </c>
      <c r="F18" s="461"/>
      <c r="G18" s="369">
        <v>261</v>
      </c>
      <c r="H18" s="358">
        <f t="shared" si="3"/>
        <v>5068620</v>
      </c>
      <c r="I18" s="494"/>
      <c r="J18" s="358">
        <v>2480000</v>
      </c>
      <c r="K18" s="371"/>
      <c r="L18" s="372"/>
      <c r="N18" s="381"/>
      <c r="O18" s="358">
        <f t="shared" si="0"/>
        <v>7548620</v>
      </c>
      <c r="P18" s="385">
        <v>13240741</v>
      </c>
      <c r="Q18" s="358">
        <f t="shared" si="2"/>
        <v>5692121</v>
      </c>
      <c r="R18" s="195"/>
      <c r="S18" s="195"/>
    </row>
    <row r="19" spans="1:19" ht="21.75" customHeight="1" x14ac:dyDescent="0.25">
      <c r="A19" s="350">
        <v>12</v>
      </c>
      <c r="B19" s="487">
        <v>45461</v>
      </c>
      <c r="C19" s="366" t="s">
        <v>2522</v>
      </c>
      <c r="D19" s="501" t="s">
        <v>5396</v>
      </c>
      <c r="E19" s="354" t="s">
        <v>24</v>
      </c>
      <c r="F19" s="461"/>
      <c r="G19" s="369">
        <v>184</v>
      </c>
      <c r="H19" s="358">
        <f t="shared" si="3"/>
        <v>3573280</v>
      </c>
      <c r="I19" s="494"/>
      <c r="J19" s="358">
        <v>1530000</v>
      </c>
      <c r="K19" s="371"/>
      <c r="L19" s="372"/>
      <c r="M19" s="381"/>
      <c r="N19" s="381"/>
      <c r="O19" s="358">
        <f t="shared" si="0"/>
        <v>5103280</v>
      </c>
      <c r="P19" s="385">
        <v>8666667</v>
      </c>
      <c r="Q19" s="358">
        <f t="shared" si="2"/>
        <v>3563387</v>
      </c>
      <c r="R19" s="195"/>
      <c r="S19" s="195"/>
    </row>
    <row r="20" spans="1:19" ht="21.75" customHeight="1" x14ac:dyDescent="0.25">
      <c r="A20" s="350">
        <v>13</v>
      </c>
      <c r="B20" s="487">
        <v>45462</v>
      </c>
      <c r="C20" s="366" t="s">
        <v>5376</v>
      </c>
      <c r="D20" s="501" t="s">
        <v>5397</v>
      </c>
      <c r="E20" s="354" t="s">
        <v>4460</v>
      </c>
      <c r="F20" s="461"/>
      <c r="G20" s="369">
        <v>65</v>
      </c>
      <c r="H20" s="358">
        <f>G20*20360</f>
        <v>1323400</v>
      </c>
      <c r="I20" s="494"/>
      <c r="J20" s="381">
        <v>430000</v>
      </c>
      <c r="K20" s="371"/>
      <c r="L20" s="372"/>
      <c r="M20" s="381"/>
      <c r="N20" s="381"/>
      <c r="O20" s="358">
        <f t="shared" si="0"/>
        <v>1753400</v>
      </c>
      <c r="P20" s="385">
        <v>3300000</v>
      </c>
      <c r="Q20" s="358">
        <f t="shared" si="2"/>
        <v>1546600</v>
      </c>
      <c r="R20" s="195"/>
      <c r="S20" s="195"/>
    </row>
    <row r="21" spans="1:19" ht="21.75" customHeight="1" x14ac:dyDescent="0.25">
      <c r="A21" s="350">
        <v>14</v>
      </c>
      <c r="B21" s="487">
        <v>45463</v>
      </c>
      <c r="C21" s="366" t="s">
        <v>4455</v>
      </c>
      <c r="D21" s="501" t="s">
        <v>5398</v>
      </c>
      <c r="E21" s="354" t="s">
        <v>5381</v>
      </c>
      <c r="F21" s="461"/>
      <c r="G21" s="369">
        <v>247</v>
      </c>
      <c r="H21" s="358">
        <f t="shared" ref="H21:H24" si="4">G21*20360</f>
        <v>5028920</v>
      </c>
      <c r="I21" s="494"/>
      <c r="J21" s="381">
        <v>2380000</v>
      </c>
      <c r="K21" s="371"/>
      <c r="L21" s="372"/>
      <c r="M21" s="381"/>
      <c r="N21" s="381"/>
      <c r="O21" s="358">
        <f t="shared" si="0"/>
        <v>7408920</v>
      </c>
      <c r="P21" s="385">
        <v>12777778</v>
      </c>
      <c r="Q21" s="358">
        <f t="shared" si="2"/>
        <v>5368858</v>
      </c>
      <c r="R21" s="195"/>
      <c r="S21" s="195"/>
    </row>
    <row r="22" spans="1:19" ht="21.75" customHeight="1" x14ac:dyDescent="0.25">
      <c r="A22" s="350">
        <v>15</v>
      </c>
      <c r="B22" s="487">
        <v>45464</v>
      </c>
      <c r="C22" s="366" t="s">
        <v>4456</v>
      </c>
      <c r="D22" s="501" t="s">
        <v>5399</v>
      </c>
      <c r="E22" s="354" t="s">
        <v>5382</v>
      </c>
      <c r="F22" s="461"/>
      <c r="G22" s="369">
        <v>27</v>
      </c>
      <c r="H22" s="358">
        <f t="shared" si="4"/>
        <v>549720</v>
      </c>
      <c r="I22" s="494"/>
      <c r="J22" s="381">
        <v>300000</v>
      </c>
      <c r="K22" s="371"/>
      <c r="L22" s="372"/>
      <c r="M22" s="381"/>
      <c r="N22" s="381"/>
      <c r="O22" s="358">
        <f t="shared" si="0"/>
        <v>849720</v>
      </c>
      <c r="P22" s="385">
        <v>1600000</v>
      </c>
      <c r="Q22" s="358">
        <f t="shared" si="2"/>
        <v>750280</v>
      </c>
      <c r="R22" s="195"/>
      <c r="S22" s="195"/>
    </row>
    <row r="23" spans="1:19" ht="21.75" customHeight="1" x14ac:dyDescent="0.25">
      <c r="A23" s="470">
        <v>16</v>
      </c>
      <c r="B23" s="487">
        <v>45466</v>
      </c>
      <c r="C23" s="366" t="s">
        <v>3749</v>
      </c>
      <c r="D23" s="501" t="s">
        <v>5400</v>
      </c>
      <c r="E23" s="354" t="s">
        <v>4504</v>
      </c>
      <c r="F23" s="461"/>
      <c r="G23" s="369">
        <v>384</v>
      </c>
      <c r="H23" s="358">
        <f t="shared" si="4"/>
        <v>7818240</v>
      </c>
      <c r="I23" s="494"/>
      <c r="J23" s="381">
        <v>4025000</v>
      </c>
      <c r="K23" s="371"/>
      <c r="L23" s="372"/>
      <c r="M23" s="381"/>
      <c r="N23" s="381"/>
      <c r="O23" s="358">
        <f t="shared" si="0"/>
        <v>11843240</v>
      </c>
      <c r="P23" s="385">
        <v>20300000</v>
      </c>
      <c r="Q23" s="358">
        <f t="shared" si="2"/>
        <v>8456760</v>
      </c>
      <c r="R23" s="195"/>
      <c r="S23" s="195"/>
    </row>
    <row r="24" spans="1:19" ht="21.75" customHeight="1" x14ac:dyDescent="0.25">
      <c r="A24" s="350">
        <v>17</v>
      </c>
      <c r="B24" s="487">
        <v>45467</v>
      </c>
      <c r="C24" s="366" t="s">
        <v>3129</v>
      </c>
      <c r="D24" s="501" t="s">
        <v>5401</v>
      </c>
      <c r="E24" s="354" t="s">
        <v>4898</v>
      </c>
      <c r="F24" s="461"/>
      <c r="G24" s="369">
        <v>378</v>
      </c>
      <c r="H24" s="358">
        <f t="shared" si="4"/>
        <v>7696080</v>
      </c>
      <c r="I24" s="494"/>
      <c r="J24" s="381">
        <v>4025000</v>
      </c>
      <c r="K24" s="371"/>
      <c r="L24" s="372"/>
      <c r="M24" s="381"/>
      <c r="N24" s="381"/>
      <c r="O24" s="358">
        <f t="shared" si="0"/>
        <v>11721080</v>
      </c>
      <c r="P24" s="385">
        <v>20670370</v>
      </c>
      <c r="Q24" s="358">
        <f t="shared" si="2"/>
        <v>8949290</v>
      </c>
      <c r="R24" s="195"/>
      <c r="S24" s="195"/>
    </row>
    <row r="25" spans="1:19" ht="21.75" customHeight="1" x14ac:dyDescent="0.25">
      <c r="A25" s="350">
        <v>18</v>
      </c>
      <c r="B25" s="487">
        <v>45469</v>
      </c>
      <c r="C25" s="366" t="s">
        <v>3752</v>
      </c>
      <c r="D25" s="501" t="s">
        <v>5402</v>
      </c>
      <c r="E25" s="354" t="s">
        <v>1212</v>
      </c>
      <c r="F25" s="461"/>
      <c r="G25" s="369">
        <v>253</v>
      </c>
      <c r="H25" s="358">
        <f>G25*20680</f>
        <v>5232040</v>
      </c>
      <c r="I25" s="494"/>
      <c r="J25" s="381">
        <v>2480000</v>
      </c>
      <c r="K25" s="371"/>
      <c r="L25" s="372"/>
      <c r="M25" s="381"/>
      <c r="N25" s="381"/>
      <c r="O25" s="358">
        <f t="shared" si="0"/>
        <v>7712040</v>
      </c>
      <c r="P25" s="385">
        <v>13796296</v>
      </c>
      <c r="Q25" s="358">
        <f t="shared" si="2"/>
        <v>6084256</v>
      </c>
      <c r="R25" s="195"/>
      <c r="S25" s="195"/>
    </row>
    <row r="26" spans="1:19" ht="21.75" customHeight="1" x14ac:dyDescent="0.25">
      <c r="A26" s="350">
        <v>19</v>
      </c>
      <c r="B26" s="487">
        <v>45469</v>
      </c>
      <c r="C26" s="366" t="s">
        <v>3753</v>
      </c>
      <c r="D26" s="501" t="s">
        <v>5403</v>
      </c>
      <c r="E26" s="354" t="s">
        <v>5383</v>
      </c>
      <c r="F26" s="461"/>
      <c r="G26" s="369">
        <v>330</v>
      </c>
      <c r="H26" s="358">
        <f t="shared" ref="H26:H27" si="5">G26*20680</f>
        <v>6824400</v>
      </c>
      <c r="I26" s="494"/>
      <c r="J26" s="381">
        <v>3148000</v>
      </c>
      <c r="K26" s="371"/>
      <c r="L26" s="372"/>
      <c r="M26" s="381"/>
      <c r="N26" s="381"/>
      <c r="O26" s="358">
        <f t="shared" si="0"/>
        <v>9972400</v>
      </c>
      <c r="P26" s="385">
        <v>17300000</v>
      </c>
      <c r="Q26" s="358">
        <f t="shared" si="2"/>
        <v>7327600</v>
      </c>
      <c r="R26" s="195"/>
      <c r="S26" s="195"/>
    </row>
    <row r="27" spans="1:19" ht="21.75" customHeight="1" x14ac:dyDescent="0.25">
      <c r="A27" s="350">
        <v>20</v>
      </c>
      <c r="B27" s="487">
        <v>45471</v>
      </c>
      <c r="C27" s="366" t="s">
        <v>5377</v>
      </c>
      <c r="D27" s="501" t="s">
        <v>5404</v>
      </c>
      <c r="E27" s="354" t="s">
        <v>5384</v>
      </c>
      <c r="F27" s="461"/>
      <c r="G27" s="292">
        <v>92</v>
      </c>
      <c r="H27" s="358">
        <f t="shared" si="5"/>
        <v>1902560</v>
      </c>
      <c r="I27" s="494"/>
      <c r="J27" s="381">
        <v>430000</v>
      </c>
      <c r="K27" s="371"/>
      <c r="L27" s="372"/>
      <c r="M27" s="381"/>
      <c r="N27" s="381"/>
      <c r="O27" s="358">
        <f t="shared" si="0"/>
        <v>2332560</v>
      </c>
      <c r="P27" s="385">
        <v>4404444</v>
      </c>
      <c r="Q27" s="358">
        <f t="shared" si="2"/>
        <v>2071884</v>
      </c>
      <c r="R27" s="195"/>
      <c r="S27" s="195"/>
    </row>
    <row r="28" spans="1:19" ht="24.95" customHeight="1" x14ac:dyDescent="0.25">
      <c r="A28" s="374"/>
      <c r="B28" s="488"/>
      <c r="C28" s="609" t="s">
        <v>1273</v>
      </c>
      <c r="D28" s="609"/>
      <c r="E28" s="609"/>
      <c r="F28" s="402"/>
      <c r="G28" s="358"/>
      <c r="H28" s="369"/>
      <c r="I28" s="403"/>
      <c r="J28" s="381"/>
      <c r="K28" s="372">
        <v>1200000</v>
      </c>
      <c r="L28" s="372"/>
      <c r="M28" s="381"/>
      <c r="N28" s="381"/>
      <c r="O28" s="385">
        <f>H28+J28+K28+L28+M28+N28</f>
        <v>1200000</v>
      </c>
      <c r="P28" s="358"/>
      <c r="Q28" s="385"/>
    </row>
    <row r="29" spans="1:19" ht="24.95" customHeight="1" x14ac:dyDescent="0.25">
      <c r="A29" s="386"/>
      <c r="B29" s="379"/>
      <c r="C29" s="594" t="s">
        <v>4535</v>
      </c>
      <c r="D29" s="595"/>
      <c r="E29" s="596"/>
      <c r="F29" s="402"/>
      <c r="G29" s="381"/>
      <c r="H29" s="369"/>
      <c r="J29" s="381"/>
      <c r="K29" s="388">
        <v>14332480</v>
      </c>
      <c r="L29" s="388"/>
      <c r="M29" s="381"/>
      <c r="N29" s="381"/>
      <c r="O29" s="385">
        <f t="shared" ref="O29:O34" si="6">H29+J29+K29+L29+M29+N29</f>
        <v>14332480</v>
      </c>
      <c r="P29" s="358"/>
      <c r="Q29" s="378"/>
    </row>
    <row r="30" spans="1:19" ht="24.95" customHeight="1" x14ac:dyDescent="0.25">
      <c r="A30" s="386"/>
      <c r="B30" s="379"/>
      <c r="C30" s="594" t="s">
        <v>5423</v>
      </c>
      <c r="D30" s="595"/>
      <c r="E30" s="596"/>
      <c r="F30" s="402"/>
      <c r="G30" s="381"/>
      <c r="H30" s="369"/>
      <c r="J30" s="381"/>
      <c r="K30" s="388"/>
      <c r="L30" s="388">
        <f>2640000/3</f>
        <v>880000</v>
      </c>
      <c r="M30" s="381"/>
      <c r="N30" s="388"/>
      <c r="O30" s="385">
        <f t="shared" si="6"/>
        <v>880000</v>
      </c>
      <c r="P30" s="358"/>
      <c r="Q30" s="378"/>
    </row>
    <row r="31" spans="1:19" ht="24.95" customHeight="1" x14ac:dyDescent="0.25">
      <c r="A31" s="386"/>
      <c r="B31" s="379"/>
      <c r="C31" s="594" t="s">
        <v>5428</v>
      </c>
      <c r="D31" s="595"/>
      <c r="E31" s="596"/>
      <c r="F31" s="402"/>
      <c r="G31" s="381"/>
      <c r="H31" s="369"/>
      <c r="J31" s="381"/>
      <c r="K31" s="388"/>
      <c r="L31" s="388"/>
      <c r="M31" s="388">
        <v>140000</v>
      </c>
      <c r="N31" s="388"/>
      <c r="O31" s="385">
        <f t="shared" si="6"/>
        <v>140000</v>
      </c>
      <c r="P31" s="358"/>
      <c r="Q31" s="378"/>
    </row>
    <row r="32" spans="1:19" ht="24.95" customHeight="1" x14ac:dyDescent="0.25">
      <c r="A32" s="386"/>
      <c r="B32" s="379"/>
      <c r="C32" s="594" t="s">
        <v>5619</v>
      </c>
      <c r="D32" s="595"/>
      <c r="E32" s="596"/>
      <c r="F32" s="402"/>
      <c r="G32" s="381"/>
      <c r="H32" s="369"/>
      <c r="J32" s="381"/>
      <c r="K32" s="388"/>
      <c r="L32" s="388">
        <v>12900000</v>
      </c>
      <c r="M32" s="381"/>
      <c r="N32" s="388"/>
      <c r="O32" s="385">
        <f t="shared" si="6"/>
        <v>12900000</v>
      </c>
      <c r="P32" s="358"/>
      <c r="Q32" s="378"/>
    </row>
    <row r="33" spans="1:18" ht="24.95" customHeight="1" x14ac:dyDescent="0.25">
      <c r="A33" s="386"/>
      <c r="B33" s="379"/>
      <c r="C33" s="594" t="s">
        <v>5582</v>
      </c>
      <c r="D33" s="595"/>
      <c r="E33" s="596"/>
      <c r="F33" s="402"/>
      <c r="G33" s="381"/>
      <c r="H33" s="369"/>
      <c r="J33" s="381"/>
      <c r="K33" s="388"/>
      <c r="L33" s="388">
        <v>150000</v>
      </c>
      <c r="M33" s="381"/>
      <c r="N33" s="388"/>
      <c r="O33" s="385">
        <f t="shared" si="6"/>
        <v>150000</v>
      </c>
      <c r="P33" s="381"/>
      <c r="Q33" s="378"/>
    </row>
    <row r="34" spans="1:18" ht="24.95" customHeight="1" x14ac:dyDescent="0.25">
      <c r="A34" s="386"/>
      <c r="B34" s="379"/>
      <c r="C34" s="594" t="s">
        <v>5585</v>
      </c>
      <c r="D34" s="595"/>
      <c r="E34" s="596"/>
      <c r="F34" s="402"/>
      <c r="G34" s="381"/>
      <c r="H34" s="369"/>
      <c r="J34" s="381"/>
      <c r="K34" s="388"/>
      <c r="L34" s="388">
        <v>6000000</v>
      </c>
      <c r="M34" s="381"/>
      <c r="N34" s="388"/>
      <c r="O34" s="385">
        <f t="shared" si="6"/>
        <v>6000000</v>
      </c>
      <c r="P34" s="381"/>
      <c r="Q34" s="378"/>
    </row>
    <row r="35" spans="1:18" ht="24.95" customHeight="1" x14ac:dyDescent="0.25">
      <c r="A35" s="386"/>
      <c r="B35" s="391"/>
      <c r="C35" s="579" t="s">
        <v>4668</v>
      </c>
      <c r="D35" s="580"/>
      <c r="E35" s="581"/>
      <c r="F35" s="461"/>
      <c r="G35" s="381"/>
      <c r="H35" s="369"/>
      <c r="I35" s="403"/>
      <c r="J35" s="381"/>
      <c r="K35" s="394">
        <v>8000000</v>
      </c>
      <c r="L35" s="394"/>
      <c r="M35" s="381"/>
      <c r="N35" s="381"/>
      <c r="O35" s="385">
        <f>H35+J35+K35+L35+M35+N35</f>
        <v>8000000</v>
      </c>
      <c r="P35" s="509"/>
      <c r="Q35" s="378"/>
    </row>
    <row r="36" spans="1:18" x14ac:dyDescent="0.25">
      <c r="A36" s="576" t="s">
        <v>19</v>
      </c>
      <c r="B36" s="577"/>
      <c r="C36" s="577"/>
      <c r="D36" s="577"/>
      <c r="E36" s="577"/>
      <c r="F36" s="578"/>
      <c r="G36" s="395">
        <f>SUM(G8:G35)</f>
        <v>4418</v>
      </c>
      <c r="H36" s="396">
        <f>SUM(H7:H35)</f>
        <v>87959800</v>
      </c>
      <c r="I36" s="396">
        <f t="shared" ref="I36:P36" si="7">SUM(I7:I35)</f>
        <v>0</v>
      </c>
      <c r="J36" s="396">
        <f t="shared" si="7"/>
        <v>41748000</v>
      </c>
      <c r="K36" s="396">
        <f t="shared" si="7"/>
        <v>23532480</v>
      </c>
      <c r="L36" s="396">
        <f t="shared" si="7"/>
        <v>19930000</v>
      </c>
      <c r="M36" s="396">
        <f t="shared" si="7"/>
        <v>140000</v>
      </c>
      <c r="N36" s="396">
        <f t="shared" si="7"/>
        <v>0</v>
      </c>
      <c r="O36" s="396">
        <f t="shared" si="7"/>
        <v>173310280</v>
      </c>
      <c r="P36" s="397">
        <f t="shared" si="7"/>
        <v>229360000</v>
      </c>
      <c r="Q36" s="396">
        <f>P36-O36</f>
        <v>56049720</v>
      </c>
      <c r="R36" s="195"/>
    </row>
    <row r="37" spans="1:18" x14ac:dyDescent="0.25">
      <c r="P37" s="294"/>
      <c r="Q37" s="295"/>
    </row>
    <row r="38" spans="1:18" x14ac:dyDescent="0.25">
      <c r="B38"/>
      <c r="G38"/>
      <c r="H38" s="294"/>
      <c r="P38" s="296" t="s">
        <v>1225</v>
      </c>
      <c r="Q38" s="295">
        <f>'05.2024'!Q40+'06.2024'!Q36</f>
        <v>151236938</v>
      </c>
    </row>
    <row r="39" spans="1:18" x14ac:dyDescent="0.25">
      <c r="B39"/>
      <c r="G39"/>
      <c r="Q39" s="294"/>
    </row>
    <row r="40" spans="1:18" x14ac:dyDescent="0.25">
      <c r="B40"/>
      <c r="G40"/>
      <c r="R40" s="195"/>
    </row>
  </sheetData>
  <mergeCells count="13">
    <mergeCell ref="C29:E29"/>
    <mergeCell ref="A1:Q1"/>
    <mergeCell ref="A2:Q2"/>
    <mergeCell ref="A3:Q3"/>
    <mergeCell ref="G5:N5"/>
    <mergeCell ref="C28:E28"/>
    <mergeCell ref="C30:E30"/>
    <mergeCell ref="C31:E31"/>
    <mergeCell ref="C32:E32"/>
    <mergeCell ref="C35:E35"/>
    <mergeCell ref="A36:F36"/>
    <mergeCell ref="C33:E33"/>
    <mergeCell ref="C34:E34"/>
  </mergeCells>
  <pageMargins left="0.7" right="0.7" top="0.75" bottom="0.75" header="0.3" footer="0.3"/>
  <pageSetup paperSize="9" orientation="portrait" horizontalDpi="0" verticalDpi="0"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D151E-06A1-4CC7-89FD-E76C4ABFC556}">
  <dimension ref="A1:U47"/>
  <sheetViews>
    <sheetView topLeftCell="A20" workbookViewId="0">
      <selection activeCell="K33" sqref="K33"/>
    </sheetView>
  </sheetViews>
  <sheetFormatPr defaultColWidth="9.140625" defaultRowHeight="15" x14ac:dyDescent="0.25"/>
  <cols>
    <col min="1" max="1" width="4.5703125" customWidth="1"/>
    <col min="2" max="2" width="9.28515625" style="332" bestFit="1" customWidth="1"/>
    <col min="3" max="3" width="33.42578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21" ht="23.25" x14ac:dyDescent="0.25">
      <c r="A1" s="551" t="s">
        <v>0</v>
      </c>
      <c r="B1" s="551"/>
      <c r="C1" s="551"/>
      <c r="D1" s="551"/>
      <c r="E1" s="551"/>
      <c r="F1" s="551"/>
      <c r="G1" s="551"/>
      <c r="H1" s="551"/>
      <c r="I1" s="551"/>
      <c r="J1" s="551"/>
      <c r="K1" s="551"/>
      <c r="L1" s="551"/>
      <c r="M1" s="551"/>
      <c r="N1" s="551"/>
      <c r="O1" s="551"/>
      <c r="P1" s="551"/>
      <c r="Q1" s="551"/>
    </row>
    <row r="2" spans="1:21" ht="15.75" x14ac:dyDescent="0.25">
      <c r="A2" s="550" t="s">
        <v>103</v>
      </c>
      <c r="B2" s="550"/>
      <c r="C2" s="550"/>
      <c r="D2" s="550"/>
      <c r="E2" s="550"/>
      <c r="F2" s="550"/>
      <c r="G2" s="550"/>
      <c r="H2" s="550"/>
      <c r="I2" s="550"/>
      <c r="J2" s="550"/>
      <c r="K2" s="550"/>
      <c r="L2" s="550"/>
      <c r="M2" s="550"/>
      <c r="N2" s="550"/>
      <c r="O2" s="550"/>
      <c r="P2" s="550"/>
      <c r="Q2" s="550"/>
    </row>
    <row r="3" spans="1:21" ht="15.75" x14ac:dyDescent="0.25">
      <c r="A3" s="550" t="s">
        <v>5470</v>
      </c>
      <c r="B3" s="550"/>
      <c r="C3" s="550"/>
      <c r="D3" s="550"/>
      <c r="E3" s="550"/>
      <c r="F3" s="550"/>
      <c r="G3" s="550"/>
      <c r="H3" s="550"/>
      <c r="I3" s="550"/>
      <c r="J3" s="550"/>
      <c r="K3" s="550"/>
      <c r="L3" s="550"/>
      <c r="M3" s="550"/>
      <c r="N3" s="550"/>
      <c r="O3" s="550"/>
      <c r="P3" s="550"/>
      <c r="Q3" s="550"/>
    </row>
    <row r="4" spans="1:21" x14ac:dyDescent="0.25">
      <c r="A4" s="74"/>
      <c r="B4" s="99"/>
      <c r="C4" s="74"/>
      <c r="D4" s="74"/>
      <c r="E4" s="74" t="s">
        <v>194</v>
      </c>
      <c r="F4" s="74"/>
      <c r="G4" s="257"/>
      <c r="H4" s="258"/>
      <c r="I4" s="258"/>
      <c r="J4" s="258"/>
      <c r="K4" s="258"/>
      <c r="L4" s="91"/>
      <c r="M4" s="258"/>
      <c r="N4" s="258"/>
      <c r="O4" s="258"/>
      <c r="P4" s="258"/>
      <c r="Q4" s="258"/>
    </row>
    <row r="5" spans="1:21"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21"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21" x14ac:dyDescent="0.25">
      <c r="A7" s="75"/>
      <c r="B7" s="100"/>
      <c r="C7" s="88"/>
      <c r="D7" s="88"/>
      <c r="E7" s="134"/>
      <c r="F7" s="75"/>
      <c r="G7" s="264"/>
      <c r="H7" s="264"/>
      <c r="I7" s="264"/>
      <c r="J7" s="264"/>
      <c r="K7" s="264"/>
      <c r="L7" s="308"/>
      <c r="M7" s="264"/>
      <c r="N7" s="264"/>
      <c r="O7" s="265"/>
      <c r="P7" s="265"/>
      <c r="Q7" s="264"/>
    </row>
    <row r="8" spans="1:21" ht="21.75" customHeight="1" x14ac:dyDescent="0.25">
      <c r="A8" s="470">
        <v>1</v>
      </c>
      <c r="B8" s="472">
        <v>45474</v>
      </c>
      <c r="C8" s="366" t="s">
        <v>5431</v>
      </c>
      <c r="D8" s="500" t="s">
        <v>5440</v>
      </c>
      <c r="E8" s="354" t="s">
        <v>5462</v>
      </c>
      <c r="F8" s="368"/>
      <c r="G8" s="369">
        <v>96</v>
      </c>
      <c r="H8" s="358">
        <f>G8*20680</f>
        <v>1985280</v>
      </c>
      <c r="I8" s="358"/>
      <c r="J8" s="358">
        <v>790000</v>
      </c>
      <c r="K8" s="371"/>
      <c r="L8" s="372"/>
      <c r="M8" s="358"/>
      <c r="N8" s="358"/>
      <c r="O8" s="358">
        <f t="shared" ref="O8:O30" si="0">H8+J8+K8+L8+M8+N8</f>
        <v>2775280</v>
      </c>
      <c r="P8" s="358">
        <v>4400000</v>
      </c>
      <c r="Q8" s="358">
        <f>P8-O8</f>
        <v>1624720</v>
      </c>
      <c r="R8" s="195"/>
      <c r="S8" s="195"/>
    </row>
    <row r="9" spans="1:21" ht="21.75" customHeight="1" x14ac:dyDescent="0.25">
      <c r="A9" s="350">
        <v>2</v>
      </c>
      <c r="B9" s="482">
        <v>45474</v>
      </c>
      <c r="C9" s="366" t="s">
        <v>1891</v>
      </c>
      <c r="D9" s="501" t="s">
        <v>5441</v>
      </c>
      <c r="E9" s="354" t="s">
        <v>4591</v>
      </c>
      <c r="F9" s="368"/>
      <c r="G9" s="369">
        <v>62</v>
      </c>
      <c r="H9" s="358">
        <f>G9*21170</f>
        <v>1312540</v>
      </c>
      <c r="I9" s="358"/>
      <c r="J9" s="358">
        <v>430000</v>
      </c>
      <c r="K9" s="371"/>
      <c r="L9" s="372"/>
      <c r="M9" s="358"/>
      <c r="N9" s="358"/>
      <c r="O9" s="358">
        <f t="shared" si="0"/>
        <v>1742540</v>
      </c>
      <c r="P9" s="385">
        <v>3090000</v>
      </c>
      <c r="Q9" s="358">
        <f t="shared" ref="Q9:Q30" si="1">P9-O9</f>
        <v>1347460</v>
      </c>
      <c r="R9" s="195"/>
      <c r="S9" s="195"/>
    </row>
    <row r="10" spans="1:21" ht="21.75" customHeight="1" x14ac:dyDescent="0.25">
      <c r="A10" s="350">
        <v>3</v>
      </c>
      <c r="B10" s="482">
        <v>45475</v>
      </c>
      <c r="C10" s="366" t="s">
        <v>5432</v>
      </c>
      <c r="D10" s="501" t="s">
        <v>5442</v>
      </c>
      <c r="E10" s="354" t="s">
        <v>24</v>
      </c>
      <c r="F10" s="368"/>
      <c r="G10" s="369">
        <v>183</v>
      </c>
      <c r="H10" s="358">
        <f t="shared" ref="H10:H15" si="2">G10*21170</f>
        <v>3874110</v>
      </c>
      <c r="I10" s="358"/>
      <c r="J10" s="358">
        <v>1530000</v>
      </c>
      <c r="K10" s="371"/>
      <c r="L10" s="372"/>
      <c r="M10" s="358"/>
      <c r="N10" s="358"/>
      <c r="O10" s="358">
        <f t="shared" si="0"/>
        <v>5404110</v>
      </c>
      <c r="P10" s="385">
        <v>8870370</v>
      </c>
      <c r="Q10" s="358">
        <f t="shared" si="1"/>
        <v>3466260</v>
      </c>
      <c r="R10" s="195"/>
      <c r="S10" s="195"/>
    </row>
    <row r="11" spans="1:21" ht="21.75" customHeight="1" x14ac:dyDescent="0.25">
      <c r="A11" s="350">
        <v>4</v>
      </c>
      <c r="B11" s="482">
        <v>45475</v>
      </c>
      <c r="C11" s="366" t="s">
        <v>5433</v>
      </c>
      <c r="D11" s="501" t="s">
        <v>5443</v>
      </c>
      <c r="E11" s="354" t="s">
        <v>5463</v>
      </c>
      <c r="F11" s="368"/>
      <c r="G11" s="369">
        <v>7</v>
      </c>
      <c r="H11" s="358">
        <f t="shared" si="2"/>
        <v>148190</v>
      </c>
      <c r="I11" s="358"/>
      <c r="J11" s="358">
        <v>340000</v>
      </c>
      <c r="K11" s="371"/>
      <c r="L11" s="372"/>
      <c r="M11" s="358"/>
      <c r="N11" s="358"/>
      <c r="O11" s="358">
        <f t="shared" si="0"/>
        <v>488190</v>
      </c>
      <c r="P11" s="385">
        <v>1500000</v>
      </c>
      <c r="Q11" s="358">
        <f t="shared" si="1"/>
        <v>1011810</v>
      </c>
      <c r="R11" s="195"/>
      <c r="S11" s="195"/>
      <c r="U11" s="195"/>
    </row>
    <row r="12" spans="1:21" ht="21.75" customHeight="1" x14ac:dyDescent="0.25">
      <c r="A12" s="350">
        <v>5</v>
      </c>
      <c r="B12" s="482">
        <v>45476</v>
      </c>
      <c r="C12" s="366" t="s">
        <v>1894</v>
      </c>
      <c r="D12" s="501" t="s">
        <v>940</v>
      </c>
      <c r="E12" s="354" t="s">
        <v>5464</v>
      </c>
      <c r="F12" s="368"/>
      <c r="G12" s="369">
        <v>43</v>
      </c>
      <c r="H12" s="358">
        <f t="shared" si="2"/>
        <v>910310</v>
      </c>
      <c r="I12" s="358"/>
      <c r="J12" s="358">
        <v>790000</v>
      </c>
      <c r="K12" s="371"/>
      <c r="L12" s="372"/>
      <c r="M12" s="358"/>
      <c r="N12" s="358"/>
      <c r="O12" s="358">
        <f t="shared" si="0"/>
        <v>1700310</v>
      </c>
      <c r="P12" s="385">
        <v>2670000</v>
      </c>
      <c r="Q12" s="358">
        <f t="shared" si="1"/>
        <v>969690</v>
      </c>
      <c r="R12" s="195"/>
      <c r="S12" s="195"/>
    </row>
    <row r="13" spans="1:21" ht="21.75" customHeight="1" x14ac:dyDescent="0.25">
      <c r="A13" s="350">
        <v>6</v>
      </c>
      <c r="B13" s="482">
        <v>45477</v>
      </c>
      <c r="C13" s="366" t="s">
        <v>5434</v>
      </c>
      <c r="D13" s="501" t="s">
        <v>5444</v>
      </c>
      <c r="E13" s="354" t="s">
        <v>5351</v>
      </c>
      <c r="F13" s="368"/>
      <c r="G13" s="369">
        <v>70</v>
      </c>
      <c r="H13" s="358">
        <f t="shared" si="2"/>
        <v>1481900</v>
      </c>
      <c r="I13" s="358"/>
      <c r="J13" s="358">
        <v>200000</v>
      </c>
      <c r="K13" s="371"/>
      <c r="L13" s="372"/>
      <c r="M13" s="358"/>
      <c r="N13" s="358"/>
      <c r="O13" s="358">
        <f t="shared" si="0"/>
        <v>1681900</v>
      </c>
      <c r="P13" s="385">
        <v>3700000</v>
      </c>
      <c r="Q13" s="358">
        <f t="shared" si="1"/>
        <v>2018100</v>
      </c>
      <c r="R13" s="195"/>
      <c r="S13" s="195"/>
    </row>
    <row r="14" spans="1:21" ht="21.75" customHeight="1" x14ac:dyDescent="0.25">
      <c r="A14" s="350">
        <v>7</v>
      </c>
      <c r="B14" s="482">
        <v>45479</v>
      </c>
      <c r="C14" s="366" t="s">
        <v>3187</v>
      </c>
      <c r="D14" s="501" t="s">
        <v>5445</v>
      </c>
      <c r="E14" s="354" t="s">
        <v>4504</v>
      </c>
      <c r="F14" s="368"/>
      <c r="G14" s="369">
        <v>379</v>
      </c>
      <c r="H14" s="358">
        <f t="shared" si="2"/>
        <v>8023430</v>
      </c>
      <c r="I14" s="358"/>
      <c r="J14" s="358">
        <v>4025000</v>
      </c>
      <c r="K14" s="371"/>
      <c r="L14" s="372"/>
      <c r="M14" s="358"/>
      <c r="N14" s="358"/>
      <c r="O14" s="358">
        <f t="shared" si="0"/>
        <v>12048430</v>
      </c>
      <c r="P14" s="385">
        <v>20900000</v>
      </c>
      <c r="Q14" s="358">
        <f t="shared" si="1"/>
        <v>8851570</v>
      </c>
      <c r="R14" s="195"/>
      <c r="S14" s="195"/>
    </row>
    <row r="15" spans="1:21" ht="21.75" customHeight="1" x14ac:dyDescent="0.25">
      <c r="A15" s="350">
        <v>8</v>
      </c>
      <c r="B15" s="482">
        <v>45482</v>
      </c>
      <c r="C15" s="366" t="s">
        <v>1897</v>
      </c>
      <c r="D15" s="501" t="s">
        <v>5446</v>
      </c>
      <c r="E15" s="354" t="s">
        <v>5356</v>
      </c>
      <c r="F15" s="368"/>
      <c r="G15" s="369">
        <v>389</v>
      </c>
      <c r="H15" s="358">
        <f t="shared" si="2"/>
        <v>8235130</v>
      </c>
      <c r="I15" s="358"/>
      <c r="J15" s="358">
        <v>4025000</v>
      </c>
      <c r="K15" s="371"/>
      <c r="L15" s="372"/>
      <c r="M15" s="358"/>
      <c r="N15" s="358"/>
      <c r="O15" s="358">
        <f t="shared" si="0"/>
        <v>12260130</v>
      </c>
      <c r="P15" s="385">
        <v>21550000</v>
      </c>
      <c r="Q15" s="358">
        <f t="shared" si="1"/>
        <v>9289870</v>
      </c>
      <c r="R15" s="195"/>
      <c r="S15" s="195"/>
    </row>
    <row r="16" spans="1:21" ht="21.75" customHeight="1" x14ac:dyDescent="0.25">
      <c r="A16" s="350">
        <v>9</v>
      </c>
      <c r="B16" s="482">
        <v>45484</v>
      </c>
      <c r="C16" s="366" t="s">
        <v>5435</v>
      </c>
      <c r="D16" s="501" t="s">
        <v>5447</v>
      </c>
      <c r="E16" s="354" t="s">
        <v>5465</v>
      </c>
      <c r="F16" s="368"/>
      <c r="G16" s="369">
        <v>3</v>
      </c>
      <c r="H16" s="358">
        <f>G16*20830</f>
        <v>62490</v>
      </c>
      <c r="I16" s="358"/>
      <c r="J16" s="358">
        <v>200000</v>
      </c>
      <c r="K16" s="371"/>
      <c r="L16" s="372"/>
      <c r="M16" s="358"/>
      <c r="N16" s="358"/>
      <c r="O16" s="358">
        <f t="shared" si="0"/>
        <v>262490</v>
      </c>
      <c r="P16" s="385">
        <v>1500000</v>
      </c>
      <c r="Q16" s="358">
        <f t="shared" si="1"/>
        <v>1237510</v>
      </c>
      <c r="R16" s="195"/>
      <c r="S16" s="195"/>
      <c r="U16" s="195"/>
    </row>
    <row r="17" spans="1:19" ht="21.75" customHeight="1" x14ac:dyDescent="0.25">
      <c r="A17" s="350">
        <v>10</v>
      </c>
      <c r="B17" s="482">
        <v>45484</v>
      </c>
      <c r="C17" s="366" t="s">
        <v>1233</v>
      </c>
      <c r="D17" s="501" t="s">
        <v>5448</v>
      </c>
      <c r="E17" s="354" t="s">
        <v>24</v>
      </c>
      <c r="F17" s="368"/>
      <c r="G17" s="369">
        <v>180</v>
      </c>
      <c r="H17" s="358">
        <f t="shared" ref="H17:H19" si="3">G17*20830</f>
        <v>3749400</v>
      </c>
      <c r="I17" s="358"/>
      <c r="J17" s="358">
        <v>1530000</v>
      </c>
      <c r="K17" s="371"/>
      <c r="L17" s="372"/>
      <c r="M17" s="381"/>
      <c r="N17" s="358"/>
      <c r="O17" s="358">
        <f t="shared" si="0"/>
        <v>5279400</v>
      </c>
      <c r="P17" s="385">
        <v>8666667</v>
      </c>
      <c r="Q17" s="358">
        <f t="shared" si="1"/>
        <v>3387267</v>
      </c>
      <c r="R17" s="195"/>
      <c r="S17" s="195"/>
    </row>
    <row r="18" spans="1:19" ht="21.75" customHeight="1" x14ac:dyDescent="0.25">
      <c r="A18" s="470">
        <v>11</v>
      </c>
      <c r="B18" s="487">
        <v>45485</v>
      </c>
      <c r="C18" s="366" t="s">
        <v>5436</v>
      </c>
      <c r="D18" s="501" t="s">
        <v>5449</v>
      </c>
      <c r="E18" s="354" t="s">
        <v>4898</v>
      </c>
      <c r="F18" s="461"/>
      <c r="G18" s="369">
        <v>372</v>
      </c>
      <c r="H18" s="358">
        <f t="shared" si="3"/>
        <v>7748760</v>
      </c>
      <c r="I18" s="494"/>
      <c r="J18" s="358">
        <v>4025000</v>
      </c>
      <c r="K18" s="371"/>
      <c r="L18" s="372"/>
      <c r="N18" s="381"/>
      <c r="O18" s="358">
        <f t="shared" si="0"/>
        <v>11773760</v>
      </c>
      <c r="P18" s="385">
        <v>20900000</v>
      </c>
      <c r="Q18" s="358">
        <f t="shared" si="1"/>
        <v>9126240</v>
      </c>
      <c r="R18" s="195"/>
      <c r="S18" s="195"/>
    </row>
    <row r="19" spans="1:19" ht="21.75" customHeight="1" x14ac:dyDescent="0.25">
      <c r="A19" s="350">
        <v>12</v>
      </c>
      <c r="B19" s="487">
        <v>45487</v>
      </c>
      <c r="C19" s="366" t="s">
        <v>1235</v>
      </c>
      <c r="D19" s="501" t="s">
        <v>5450</v>
      </c>
      <c r="E19" s="354" t="s">
        <v>4504</v>
      </c>
      <c r="F19" s="461"/>
      <c r="G19" s="369">
        <v>385</v>
      </c>
      <c r="H19" s="358">
        <f t="shared" si="3"/>
        <v>8019550</v>
      </c>
      <c r="I19" s="494"/>
      <c r="J19" s="358">
        <v>4025000</v>
      </c>
      <c r="K19" s="371"/>
      <c r="L19" s="372"/>
      <c r="M19" s="381"/>
      <c r="N19" s="381"/>
      <c r="O19" s="358">
        <f t="shared" si="0"/>
        <v>12044550</v>
      </c>
      <c r="P19" s="385">
        <v>20900000</v>
      </c>
      <c r="Q19" s="358">
        <f t="shared" si="1"/>
        <v>8855450</v>
      </c>
      <c r="R19" s="195"/>
      <c r="S19" s="195"/>
    </row>
    <row r="20" spans="1:19" ht="21.75" customHeight="1" x14ac:dyDescent="0.25">
      <c r="A20" s="350">
        <v>13</v>
      </c>
      <c r="B20" s="487">
        <v>45490</v>
      </c>
      <c r="C20" s="366" t="s">
        <v>5437</v>
      </c>
      <c r="D20" s="501" t="s">
        <v>5451</v>
      </c>
      <c r="E20" s="354" t="s">
        <v>850</v>
      </c>
      <c r="F20" s="461"/>
      <c r="G20" s="369">
        <v>110</v>
      </c>
      <c r="H20" s="358">
        <f>G20*20500</f>
        <v>2255000</v>
      </c>
      <c r="I20" s="494"/>
      <c r="J20" s="381">
        <v>790000</v>
      </c>
      <c r="K20" s="371"/>
      <c r="L20" s="372"/>
      <c r="M20" s="381"/>
      <c r="N20" s="381"/>
      <c r="O20" s="358">
        <f t="shared" si="0"/>
        <v>3045000</v>
      </c>
      <c r="P20" s="385">
        <v>5200000</v>
      </c>
      <c r="Q20" s="358">
        <f t="shared" si="1"/>
        <v>2155000</v>
      </c>
      <c r="R20" s="195"/>
      <c r="S20" s="195"/>
    </row>
    <row r="21" spans="1:19" ht="21.75" customHeight="1" x14ac:dyDescent="0.25">
      <c r="A21" s="350">
        <v>14</v>
      </c>
      <c r="B21" s="487">
        <v>45491</v>
      </c>
      <c r="C21" s="366" t="s">
        <v>2597</v>
      </c>
      <c r="D21" s="501" t="s">
        <v>5452</v>
      </c>
      <c r="E21" s="354" t="s">
        <v>5466</v>
      </c>
      <c r="F21" s="461"/>
      <c r="G21" s="369">
        <v>104</v>
      </c>
      <c r="H21" s="358">
        <f t="shared" ref="H21:H26" si="4">G21*20500</f>
        <v>2132000</v>
      </c>
      <c r="I21" s="494"/>
      <c r="J21" s="381">
        <v>790000</v>
      </c>
      <c r="K21" s="371"/>
      <c r="L21" s="372"/>
      <c r="M21" s="381"/>
      <c r="N21" s="381"/>
      <c r="O21" s="358">
        <f t="shared" si="0"/>
        <v>2922000</v>
      </c>
      <c r="P21" s="385">
        <v>4200000</v>
      </c>
      <c r="Q21" s="358">
        <f t="shared" si="1"/>
        <v>1278000</v>
      </c>
      <c r="R21" s="195"/>
      <c r="S21" s="195"/>
    </row>
    <row r="22" spans="1:19" ht="21.75" customHeight="1" x14ac:dyDescent="0.25">
      <c r="A22" s="350">
        <v>15</v>
      </c>
      <c r="B22" s="487">
        <v>45492</v>
      </c>
      <c r="C22" s="366" t="s">
        <v>2599</v>
      </c>
      <c r="D22" s="501" t="s">
        <v>5453</v>
      </c>
      <c r="E22" s="354" t="s">
        <v>2589</v>
      </c>
      <c r="F22" s="461"/>
      <c r="G22" s="369">
        <v>97</v>
      </c>
      <c r="H22" s="358">
        <f t="shared" si="4"/>
        <v>1988500</v>
      </c>
      <c r="I22" s="494"/>
      <c r="J22" s="381">
        <v>790000</v>
      </c>
      <c r="K22" s="371"/>
      <c r="L22" s="372"/>
      <c r="M22" s="381"/>
      <c r="N22" s="381"/>
      <c r="O22" s="358">
        <f t="shared" si="0"/>
        <v>2778500</v>
      </c>
      <c r="P22" s="385">
        <v>4300000</v>
      </c>
      <c r="Q22" s="358">
        <f t="shared" si="1"/>
        <v>1521500</v>
      </c>
      <c r="R22" s="195"/>
      <c r="S22" s="195"/>
    </row>
    <row r="23" spans="1:19" ht="21.75" customHeight="1" x14ac:dyDescent="0.25">
      <c r="A23" s="470">
        <v>16</v>
      </c>
      <c r="B23" s="487">
        <v>45493</v>
      </c>
      <c r="C23" s="366" t="s">
        <v>5438</v>
      </c>
      <c r="D23" s="501" t="s">
        <v>5454</v>
      </c>
      <c r="E23" s="354" t="s">
        <v>497</v>
      </c>
      <c r="F23" s="461"/>
      <c r="G23" s="369">
        <v>100</v>
      </c>
      <c r="H23" s="358">
        <f t="shared" si="4"/>
        <v>2050000</v>
      </c>
      <c r="I23" s="494"/>
      <c r="J23" s="381">
        <v>790000</v>
      </c>
      <c r="K23" s="371"/>
      <c r="L23" s="372"/>
      <c r="M23" s="381"/>
      <c r="N23" s="381"/>
      <c r="O23" s="358">
        <f t="shared" si="0"/>
        <v>2840000</v>
      </c>
      <c r="P23" s="385">
        <v>4200000</v>
      </c>
      <c r="Q23" s="358">
        <f t="shared" si="1"/>
        <v>1360000</v>
      </c>
      <c r="R23" s="195"/>
      <c r="S23" s="195"/>
    </row>
    <row r="24" spans="1:19" ht="21.75" customHeight="1" x14ac:dyDescent="0.25">
      <c r="A24" s="350">
        <v>17</v>
      </c>
      <c r="B24" s="487">
        <v>45495</v>
      </c>
      <c r="C24" s="366" t="s">
        <v>2603</v>
      </c>
      <c r="D24" s="501" t="s">
        <v>5455</v>
      </c>
      <c r="E24" s="354" t="s">
        <v>5467</v>
      </c>
      <c r="F24" s="461"/>
      <c r="G24" s="369">
        <v>168</v>
      </c>
      <c r="H24" s="358">
        <f t="shared" si="4"/>
        <v>3444000</v>
      </c>
      <c r="I24" s="494"/>
      <c r="J24" s="381">
        <v>1190000</v>
      </c>
      <c r="K24" s="371"/>
      <c r="L24" s="372"/>
      <c r="M24" s="381"/>
      <c r="N24" s="381"/>
      <c r="O24" s="358">
        <f t="shared" si="0"/>
        <v>4634000</v>
      </c>
      <c r="P24" s="385">
        <v>7250000</v>
      </c>
      <c r="Q24" s="358">
        <f t="shared" si="1"/>
        <v>2616000</v>
      </c>
      <c r="R24" s="195"/>
      <c r="S24" s="195"/>
    </row>
    <row r="25" spans="1:19" ht="21.75" customHeight="1" x14ac:dyDescent="0.25">
      <c r="A25" s="350">
        <v>18</v>
      </c>
      <c r="B25" s="487">
        <v>45496</v>
      </c>
      <c r="C25" s="366" t="s">
        <v>3830</v>
      </c>
      <c r="D25" s="501" t="s">
        <v>5456</v>
      </c>
      <c r="E25" s="354" t="s">
        <v>5468</v>
      </c>
      <c r="F25" s="461"/>
      <c r="G25" s="369">
        <v>112</v>
      </c>
      <c r="H25" s="358">
        <f t="shared" si="4"/>
        <v>2296000</v>
      </c>
      <c r="I25" s="494"/>
      <c r="J25" s="381">
        <v>430000</v>
      </c>
      <c r="K25" s="371"/>
      <c r="L25" s="372"/>
      <c r="M25" s="381"/>
      <c r="N25" s="381"/>
      <c r="O25" s="358">
        <f t="shared" si="0"/>
        <v>2726000</v>
      </c>
      <c r="P25" s="385">
        <v>4300000</v>
      </c>
      <c r="Q25" s="358">
        <f t="shared" si="1"/>
        <v>1574000</v>
      </c>
      <c r="R25" s="195"/>
      <c r="S25" s="195"/>
    </row>
    <row r="26" spans="1:19" ht="21.75" customHeight="1" x14ac:dyDescent="0.25">
      <c r="A26" s="350">
        <v>19</v>
      </c>
      <c r="B26" s="487">
        <v>45497</v>
      </c>
      <c r="C26" s="366" t="s">
        <v>2605</v>
      </c>
      <c r="D26" s="501" t="s">
        <v>5457</v>
      </c>
      <c r="E26" s="354" t="s">
        <v>5263</v>
      </c>
      <c r="F26" s="461"/>
      <c r="G26" s="369">
        <v>61</v>
      </c>
      <c r="H26" s="358">
        <f t="shared" si="4"/>
        <v>1250500</v>
      </c>
      <c r="I26" s="494"/>
      <c r="J26" s="381">
        <v>430000</v>
      </c>
      <c r="K26" s="371"/>
      <c r="L26" s="372"/>
      <c r="M26" s="381"/>
      <c r="N26" s="381"/>
      <c r="O26" s="358">
        <f t="shared" si="0"/>
        <v>1680500</v>
      </c>
      <c r="P26" s="385">
        <v>3180000</v>
      </c>
      <c r="Q26" s="358">
        <f t="shared" si="1"/>
        <v>1499500</v>
      </c>
      <c r="R26" s="195"/>
      <c r="S26" s="195"/>
    </row>
    <row r="27" spans="1:19" ht="21.75" customHeight="1" x14ac:dyDescent="0.25">
      <c r="A27" s="350">
        <v>20</v>
      </c>
      <c r="B27" s="487">
        <v>45498</v>
      </c>
      <c r="C27" s="366" t="s">
        <v>2607</v>
      </c>
      <c r="D27" s="501" t="s">
        <v>5458</v>
      </c>
      <c r="E27" s="354" t="s">
        <v>4504</v>
      </c>
      <c r="F27" s="461"/>
      <c r="G27" s="510">
        <v>382</v>
      </c>
      <c r="H27" s="358">
        <f>G27*20190</f>
        <v>7712580</v>
      </c>
      <c r="I27" s="494"/>
      <c r="J27" s="381">
        <v>4025000</v>
      </c>
      <c r="K27" s="371"/>
      <c r="L27" s="372"/>
      <c r="M27" s="381"/>
      <c r="N27" s="381"/>
      <c r="O27" s="358">
        <f t="shared" si="0"/>
        <v>11737580</v>
      </c>
      <c r="P27" s="385">
        <v>20900000</v>
      </c>
      <c r="Q27" s="358">
        <f t="shared" si="1"/>
        <v>9162420</v>
      </c>
      <c r="R27" s="195"/>
      <c r="S27" s="195"/>
    </row>
    <row r="28" spans="1:19" ht="21.75" customHeight="1" x14ac:dyDescent="0.25">
      <c r="A28" s="350">
        <v>21</v>
      </c>
      <c r="B28" s="487">
        <v>45500</v>
      </c>
      <c r="C28" s="366" t="s">
        <v>4423</v>
      </c>
      <c r="D28" s="501" t="s">
        <v>5459</v>
      </c>
      <c r="E28" s="354" t="s">
        <v>1212</v>
      </c>
      <c r="F28" s="461"/>
      <c r="G28" s="510">
        <v>254</v>
      </c>
      <c r="H28" s="358">
        <f t="shared" ref="H28:H30" si="5">G28*20190</f>
        <v>5128260</v>
      </c>
      <c r="I28" s="494"/>
      <c r="J28" s="381">
        <v>2380000</v>
      </c>
      <c r="K28" s="371"/>
      <c r="L28" s="372"/>
      <c r="M28" s="381"/>
      <c r="N28" s="381"/>
      <c r="O28" s="358">
        <f t="shared" si="0"/>
        <v>7508260</v>
      </c>
      <c r="P28" s="385">
        <v>13240741</v>
      </c>
      <c r="Q28" s="358">
        <f t="shared" si="1"/>
        <v>5732481</v>
      </c>
      <c r="R28" s="195"/>
      <c r="S28" s="195"/>
    </row>
    <row r="29" spans="1:19" ht="21.75" customHeight="1" x14ac:dyDescent="0.25">
      <c r="A29" s="350">
        <v>22</v>
      </c>
      <c r="B29" s="487">
        <v>45502</v>
      </c>
      <c r="C29" s="366" t="s">
        <v>3842</v>
      </c>
      <c r="D29" s="501" t="s">
        <v>5460</v>
      </c>
      <c r="E29" s="354" t="s">
        <v>4504</v>
      </c>
      <c r="F29" s="461"/>
      <c r="G29" s="510">
        <v>388</v>
      </c>
      <c r="H29" s="358">
        <f t="shared" si="5"/>
        <v>7833720</v>
      </c>
      <c r="I29" s="494"/>
      <c r="J29" s="381">
        <v>4025000</v>
      </c>
      <c r="K29" s="371"/>
      <c r="L29" s="372"/>
      <c r="M29" s="381"/>
      <c r="N29" s="381"/>
      <c r="O29" s="358">
        <f t="shared" si="0"/>
        <v>11858720</v>
      </c>
      <c r="P29" s="385">
        <v>20900000</v>
      </c>
      <c r="Q29" s="358">
        <f t="shared" si="1"/>
        <v>9041280</v>
      </c>
      <c r="R29" s="195"/>
      <c r="S29" s="195"/>
    </row>
    <row r="30" spans="1:19" ht="21.75" customHeight="1" x14ac:dyDescent="0.25">
      <c r="A30" s="511">
        <v>23</v>
      </c>
      <c r="B30" s="487">
        <v>45504</v>
      </c>
      <c r="C30" s="512" t="s">
        <v>5439</v>
      </c>
      <c r="D30" s="501" t="s">
        <v>5461</v>
      </c>
      <c r="E30" s="500" t="s">
        <v>5469</v>
      </c>
      <c r="F30" s="461"/>
      <c r="G30" s="510">
        <v>80</v>
      </c>
      <c r="H30" s="381">
        <f t="shared" si="5"/>
        <v>1615200</v>
      </c>
      <c r="I30" s="494"/>
      <c r="J30" s="381">
        <v>430000</v>
      </c>
      <c r="K30" s="404"/>
      <c r="L30" s="388"/>
      <c r="M30" s="381"/>
      <c r="N30" s="381"/>
      <c r="O30" s="381">
        <f t="shared" si="0"/>
        <v>2045200</v>
      </c>
      <c r="P30" s="389">
        <v>3500000</v>
      </c>
      <c r="Q30" s="381">
        <f t="shared" si="1"/>
        <v>1454800</v>
      </c>
      <c r="R30" s="195"/>
      <c r="S30" s="195"/>
    </row>
    <row r="31" spans="1:19" ht="24.95" customHeight="1" x14ac:dyDescent="0.25">
      <c r="A31" s="368"/>
      <c r="B31" s="516"/>
      <c r="C31" s="609" t="s">
        <v>1273</v>
      </c>
      <c r="D31" s="609"/>
      <c r="E31" s="609"/>
      <c r="F31" s="517"/>
      <c r="G31" s="358"/>
      <c r="H31" s="369"/>
      <c r="I31" s="518"/>
      <c r="J31" s="358"/>
      <c r="K31" s="372">
        <v>1200000</v>
      </c>
      <c r="L31" s="372"/>
      <c r="M31" s="358"/>
      <c r="N31" s="358"/>
      <c r="O31" s="358">
        <f>H31+J31+K31+L31+M31+N31</f>
        <v>1200000</v>
      </c>
      <c r="P31" s="358"/>
      <c r="Q31" s="358"/>
    </row>
    <row r="32" spans="1:19" ht="24.95" customHeight="1" x14ac:dyDescent="0.25">
      <c r="A32" s="368"/>
      <c r="B32" s="516"/>
      <c r="C32" s="609" t="s">
        <v>4535</v>
      </c>
      <c r="D32" s="609"/>
      <c r="E32" s="609"/>
      <c r="F32" s="517"/>
      <c r="G32" s="358"/>
      <c r="H32" s="369"/>
      <c r="I32" s="519"/>
      <c r="J32" s="358"/>
      <c r="K32" s="372">
        <v>14254560</v>
      </c>
      <c r="L32" s="372"/>
      <c r="M32" s="358"/>
      <c r="N32" s="358"/>
      <c r="O32" s="358">
        <f t="shared" ref="O32:O41" si="6">H32+J32+K32+L32+M32+N32</f>
        <v>14254560</v>
      </c>
      <c r="P32" s="358"/>
      <c r="Q32" s="358"/>
    </row>
    <row r="33" spans="1:18" ht="24.95" customHeight="1" x14ac:dyDescent="0.25">
      <c r="A33" s="368"/>
      <c r="B33" s="516"/>
      <c r="C33" s="609" t="s">
        <v>5577</v>
      </c>
      <c r="D33" s="609"/>
      <c r="E33" s="609"/>
      <c r="F33" s="517"/>
      <c r="G33" s="358"/>
      <c r="H33" s="369"/>
      <c r="I33" s="519"/>
      <c r="J33" s="358"/>
      <c r="K33" s="372"/>
      <c r="L33" s="372">
        <v>100000</v>
      </c>
      <c r="M33" s="358"/>
      <c r="N33" s="372"/>
      <c r="O33" s="358">
        <f t="shared" si="6"/>
        <v>100000</v>
      </c>
      <c r="P33" s="358"/>
      <c r="Q33" s="358"/>
    </row>
    <row r="34" spans="1:18" ht="24.95" customHeight="1" x14ac:dyDescent="0.25">
      <c r="A34" s="368"/>
      <c r="B34" s="516"/>
      <c r="C34" s="609" t="s">
        <v>5578</v>
      </c>
      <c r="D34" s="609"/>
      <c r="E34" s="609"/>
      <c r="F34" s="517"/>
      <c r="G34" s="358"/>
      <c r="H34" s="369"/>
      <c r="I34" s="519"/>
      <c r="J34" s="358"/>
      <c r="K34" s="372"/>
      <c r="L34" s="372">
        <v>1700000</v>
      </c>
      <c r="M34" s="358"/>
      <c r="N34" s="372"/>
      <c r="O34" s="358">
        <f t="shared" si="6"/>
        <v>1700000</v>
      </c>
      <c r="P34" s="358"/>
      <c r="Q34" s="358"/>
    </row>
    <row r="35" spans="1:18" ht="24.95" customHeight="1" x14ac:dyDescent="0.25">
      <c r="A35" s="368"/>
      <c r="B35" s="516"/>
      <c r="C35" s="609" t="s">
        <v>5579</v>
      </c>
      <c r="D35" s="609"/>
      <c r="E35" s="609"/>
      <c r="F35" s="517"/>
      <c r="G35" s="358"/>
      <c r="H35" s="369"/>
      <c r="I35" s="519"/>
      <c r="J35" s="358"/>
      <c r="K35" s="372"/>
      <c r="L35" s="372">
        <v>453600</v>
      </c>
      <c r="M35" s="358"/>
      <c r="N35" s="372"/>
      <c r="O35" s="358">
        <f t="shared" si="6"/>
        <v>453600</v>
      </c>
      <c r="P35" s="358"/>
      <c r="Q35" s="358"/>
    </row>
    <row r="36" spans="1:18" ht="24.95" customHeight="1" x14ac:dyDescent="0.25">
      <c r="A36" s="368"/>
      <c r="B36" s="516"/>
      <c r="C36" s="609" t="s">
        <v>5580</v>
      </c>
      <c r="D36" s="609"/>
      <c r="E36" s="609"/>
      <c r="F36" s="517"/>
      <c r="G36" s="358"/>
      <c r="H36" s="369"/>
      <c r="I36" s="519"/>
      <c r="J36" s="358"/>
      <c r="K36" s="372"/>
      <c r="L36" s="372">
        <v>360000</v>
      </c>
      <c r="M36" s="358"/>
      <c r="N36" s="372"/>
      <c r="O36" s="358">
        <f t="shared" si="6"/>
        <v>360000</v>
      </c>
      <c r="P36" s="358"/>
      <c r="Q36" s="358"/>
    </row>
    <row r="37" spans="1:18" ht="24.95" customHeight="1" x14ac:dyDescent="0.25">
      <c r="A37" s="368"/>
      <c r="B37" s="516"/>
      <c r="C37" s="609" t="s">
        <v>5581</v>
      </c>
      <c r="D37" s="609"/>
      <c r="E37" s="609"/>
      <c r="F37" s="517"/>
      <c r="G37" s="358"/>
      <c r="H37" s="369"/>
      <c r="I37" s="519"/>
      <c r="J37" s="358"/>
      <c r="K37" s="372"/>
      <c r="L37" s="372">
        <v>150000</v>
      </c>
      <c r="M37" s="358"/>
      <c r="N37" s="372"/>
      <c r="O37" s="358">
        <f t="shared" si="6"/>
        <v>150000</v>
      </c>
      <c r="P37" s="358"/>
      <c r="Q37" s="358"/>
    </row>
    <row r="38" spans="1:18" ht="24.95" customHeight="1" x14ac:dyDescent="0.25">
      <c r="A38" s="368"/>
      <c r="B38" s="516"/>
      <c r="C38" s="609" t="s">
        <v>5582</v>
      </c>
      <c r="D38" s="609"/>
      <c r="E38" s="609"/>
      <c r="F38" s="517"/>
      <c r="G38" s="358"/>
      <c r="H38" s="369"/>
      <c r="I38" s="519"/>
      <c r="J38" s="358"/>
      <c r="K38" s="372"/>
      <c r="L38" s="372">
        <v>850000</v>
      </c>
      <c r="M38" s="358"/>
      <c r="N38" s="372"/>
      <c r="O38" s="358">
        <f t="shared" si="6"/>
        <v>850000</v>
      </c>
      <c r="P38" s="358"/>
      <c r="Q38" s="358"/>
    </row>
    <row r="39" spans="1:18" ht="24.95" customHeight="1" x14ac:dyDescent="0.25">
      <c r="A39" s="368"/>
      <c r="B39" s="516"/>
      <c r="C39" s="609" t="s">
        <v>5583</v>
      </c>
      <c r="D39" s="609"/>
      <c r="E39" s="609"/>
      <c r="F39" s="517"/>
      <c r="G39" s="358"/>
      <c r="H39" s="369"/>
      <c r="I39" s="519"/>
      <c r="J39" s="358"/>
      <c r="K39" s="372"/>
      <c r="L39" s="372">
        <v>100000</v>
      </c>
      <c r="M39" s="358"/>
      <c r="N39" s="372"/>
      <c r="O39" s="358">
        <f t="shared" si="6"/>
        <v>100000</v>
      </c>
      <c r="P39" s="358"/>
      <c r="Q39" s="358"/>
    </row>
    <row r="40" spans="1:18" ht="24.95" customHeight="1" x14ac:dyDescent="0.25">
      <c r="A40" s="368"/>
      <c r="B40" s="516"/>
      <c r="C40" s="609" t="s">
        <v>5590</v>
      </c>
      <c r="D40" s="609"/>
      <c r="E40" s="609"/>
      <c r="F40" s="517"/>
      <c r="G40" s="358"/>
      <c r="H40" s="369"/>
      <c r="I40" s="519"/>
      <c r="J40" s="358"/>
      <c r="K40" s="372"/>
      <c r="L40" s="372">
        <v>1500000</v>
      </c>
      <c r="M40" s="358"/>
      <c r="N40" s="372"/>
      <c r="O40" s="358">
        <f t="shared" si="6"/>
        <v>1500000</v>
      </c>
      <c r="P40" s="358"/>
      <c r="Q40" s="358"/>
    </row>
    <row r="41" spans="1:18" ht="24.95" customHeight="1" x14ac:dyDescent="0.25">
      <c r="A41" s="368"/>
      <c r="B41" s="516"/>
      <c r="C41" s="609" t="s">
        <v>5591</v>
      </c>
      <c r="D41" s="609"/>
      <c r="E41" s="609"/>
      <c r="F41" s="517"/>
      <c r="G41" s="358"/>
      <c r="H41" s="369"/>
      <c r="I41" s="519"/>
      <c r="J41" s="358"/>
      <c r="K41" s="372"/>
      <c r="L41" s="372">
        <v>600000</v>
      </c>
      <c r="M41" s="358"/>
      <c r="N41" s="372"/>
      <c r="O41" s="358">
        <f t="shared" si="6"/>
        <v>600000</v>
      </c>
      <c r="P41" s="358"/>
      <c r="Q41" s="358"/>
    </row>
    <row r="42" spans="1:18" ht="24.95" customHeight="1" x14ac:dyDescent="0.25">
      <c r="A42" s="386"/>
      <c r="B42" s="513"/>
      <c r="C42" s="619" t="s">
        <v>4333</v>
      </c>
      <c r="D42" s="620"/>
      <c r="E42" s="621"/>
      <c r="F42" s="386"/>
      <c r="G42" s="389"/>
      <c r="H42" s="442"/>
      <c r="I42" s="514"/>
      <c r="J42" s="389"/>
      <c r="K42" s="520">
        <v>6800000</v>
      </c>
      <c r="L42" s="520"/>
      <c r="M42" s="389"/>
      <c r="N42" s="389"/>
      <c r="O42" s="385">
        <f>H42+J42+K42+L42+M42+N42</f>
        <v>6800000</v>
      </c>
      <c r="P42" s="515"/>
      <c r="Q42" s="378"/>
    </row>
    <row r="43" spans="1:18" x14ac:dyDescent="0.25">
      <c r="A43" s="576" t="s">
        <v>19</v>
      </c>
      <c r="B43" s="577"/>
      <c r="C43" s="577"/>
      <c r="D43" s="577"/>
      <c r="E43" s="577"/>
      <c r="F43" s="578"/>
      <c r="G43" s="395">
        <f>SUM(G8:G42)</f>
        <v>4025</v>
      </c>
      <c r="H43" s="396">
        <f t="shared" ref="H43:P43" si="7">SUM(H7:H42)</f>
        <v>83256850</v>
      </c>
      <c r="I43" s="396">
        <f t="shared" si="7"/>
        <v>0</v>
      </c>
      <c r="J43" s="396">
        <f t="shared" si="7"/>
        <v>37980000</v>
      </c>
      <c r="K43" s="396">
        <f t="shared" si="7"/>
        <v>22254560</v>
      </c>
      <c r="L43" s="396">
        <f t="shared" si="7"/>
        <v>5813600</v>
      </c>
      <c r="M43" s="396">
        <f t="shared" si="7"/>
        <v>0</v>
      </c>
      <c r="N43" s="396">
        <f t="shared" si="7"/>
        <v>0</v>
      </c>
      <c r="O43" s="396">
        <f t="shared" si="7"/>
        <v>149305010</v>
      </c>
      <c r="P43" s="397">
        <f t="shared" si="7"/>
        <v>209817778</v>
      </c>
      <c r="Q43" s="396">
        <f>P43-O43</f>
        <v>60512768</v>
      </c>
      <c r="R43" s="195"/>
    </row>
    <row r="44" spans="1:18" x14ac:dyDescent="0.25">
      <c r="P44" s="294"/>
      <c r="Q44" s="295"/>
    </row>
    <row r="45" spans="1:18" x14ac:dyDescent="0.25">
      <c r="B45"/>
      <c r="G45"/>
      <c r="H45" s="294"/>
      <c r="P45" s="296" t="s">
        <v>1225</v>
      </c>
      <c r="Q45" s="295">
        <f>'06.2024'!Q38+'07.2024'!Q43</f>
        <v>211749706</v>
      </c>
    </row>
    <row r="46" spans="1:18" x14ac:dyDescent="0.25">
      <c r="B46"/>
      <c r="G46"/>
      <c r="Q46" s="294"/>
    </row>
    <row r="47" spans="1:18" x14ac:dyDescent="0.25">
      <c r="B47"/>
      <c r="G47"/>
      <c r="R47" s="195"/>
    </row>
  </sheetData>
  <mergeCells count="17">
    <mergeCell ref="C32:E32"/>
    <mergeCell ref="C35:E35"/>
    <mergeCell ref="C36:E36"/>
    <mergeCell ref="C37:E37"/>
    <mergeCell ref="C38:E38"/>
    <mergeCell ref="C33:E33"/>
    <mergeCell ref="C34:E34"/>
    <mergeCell ref="A1:Q1"/>
    <mergeCell ref="A2:Q2"/>
    <mergeCell ref="A3:Q3"/>
    <mergeCell ref="G5:N5"/>
    <mergeCell ref="C31:E31"/>
    <mergeCell ref="C39:E39"/>
    <mergeCell ref="C42:E42"/>
    <mergeCell ref="A43:F43"/>
    <mergeCell ref="C40:E40"/>
    <mergeCell ref="C41:E41"/>
  </mergeCells>
  <pageMargins left="0.7" right="0.7" top="0.75" bottom="0.75" header="0.3" footer="0.3"/>
  <pageSetup paperSize="9" orientation="portrait" horizontalDpi="0" verticalDpi="0"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ACAC0-5D4B-49A1-8EB6-27AB700E2841}">
  <dimension ref="A1:U39"/>
  <sheetViews>
    <sheetView topLeftCell="A5" workbookViewId="0">
      <selection activeCell="K27" sqref="K27"/>
    </sheetView>
  </sheetViews>
  <sheetFormatPr defaultColWidth="9.140625" defaultRowHeight="15" x14ac:dyDescent="0.25"/>
  <cols>
    <col min="1" max="1" width="4.5703125" customWidth="1"/>
    <col min="2" max="2" width="9.28515625" style="332" bestFit="1" customWidth="1"/>
    <col min="3" max="3" width="33.42578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21" ht="23.25" x14ac:dyDescent="0.25">
      <c r="A1" s="551" t="s">
        <v>0</v>
      </c>
      <c r="B1" s="551"/>
      <c r="C1" s="551"/>
      <c r="D1" s="551"/>
      <c r="E1" s="551"/>
      <c r="F1" s="551"/>
      <c r="G1" s="551"/>
      <c r="H1" s="551"/>
      <c r="I1" s="551"/>
      <c r="J1" s="551"/>
      <c r="K1" s="551"/>
      <c r="L1" s="551"/>
      <c r="M1" s="551"/>
      <c r="N1" s="551"/>
      <c r="O1" s="551"/>
      <c r="P1" s="551"/>
      <c r="Q1" s="551"/>
    </row>
    <row r="2" spans="1:21" ht="15.75" x14ac:dyDescent="0.25">
      <c r="A2" s="550" t="s">
        <v>103</v>
      </c>
      <c r="B2" s="550"/>
      <c r="C2" s="550"/>
      <c r="D2" s="550"/>
      <c r="E2" s="550"/>
      <c r="F2" s="550"/>
      <c r="G2" s="550"/>
      <c r="H2" s="550"/>
      <c r="I2" s="550"/>
      <c r="J2" s="550"/>
      <c r="K2" s="550"/>
      <c r="L2" s="550"/>
      <c r="M2" s="550"/>
      <c r="N2" s="550"/>
      <c r="O2" s="550"/>
      <c r="P2" s="550"/>
      <c r="Q2" s="550"/>
    </row>
    <row r="3" spans="1:21" ht="15.75" x14ac:dyDescent="0.25">
      <c r="A3" s="550" t="s">
        <v>5471</v>
      </c>
      <c r="B3" s="550"/>
      <c r="C3" s="550"/>
      <c r="D3" s="550"/>
      <c r="E3" s="550"/>
      <c r="F3" s="550"/>
      <c r="G3" s="550"/>
      <c r="H3" s="550"/>
      <c r="I3" s="550"/>
      <c r="J3" s="550"/>
      <c r="K3" s="550"/>
      <c r="L3" s="550"/>
      <c r="M3" s="550"/>
      <c r="N3" s="550"/>
      <c r="O3" s="550"/>
      <c r="P3" s="550"/>
      <c r="Q3" s="550"/>
    </row>
    <row r="4" spans="1:21" x14ac:dyDescent="0.25">
      <c r="A4" s="74"/>
      <c r="B4" s="99"/>
      <c r="C4" s="74"/>
      <c r="D4" s="74"/>
      <c r="E4" s="74" t="s">
        <v>194</v>
      </c>
      <c r="F4" s="74"/>
      <c r="G4" s="257"/>
      <c r="H4" s="258"/>
      <c r="I4" s="258"/>
      <c r="J4" s="258"/>
      <c r="K4" s="258"/>
      <c r="L4" s="91"/>
      <c r="M4" s="258"/>
      <c r="N4" s="258"/>
      <c r="O4" s="258"/>
      <c r="P4" s="258"/>
      <c r="Q4" s="258"/>
    </row>
    <row r="5" spans="1:21"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21"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21" x14ac:dyDescent="0.25">
      <c r="A7" s="75"/>
      <c r="B7" s="100"/>
      <c r="C7" s="88"/>
      <c r="D7" s="88"/>
      <c r="E7" s="134"/>
      <c r="F7" s="75"/>
      <c r="G7" s="264"/>
      <c r="H7" s="264"/>
      <c r="I7" s="264"/>
      <c r="J7" s="264"/>
      <c r="K7" s="264"/>
      <c r="L7" s="308"/>
      <c r="M7" s="264"/>
      <c r="N7" s="264"/>
      <c r="O7" s="265"/>
      <c r="P7" s="265"/>
      <c r="Q7" s="264"/>
    </row>
    <row r="8" spans="1:21" ht="21.75" customHeight="1" x14ac:dyDescent="0.25">
      <c r="A8" s="470">
        <v>1</v>
      </c>
      <c r="B8" s="472">
        <v>45507</v>
      </c>
      <c r="C8" s="366" t="s">
        <v>5472</v>
      </c>
      <c r="D8" s="500" t="s">
        <v>5489</v>
      </c>
      <c r="E8" s="354" t="s">
        <v>5506</v>
      </c>
      <c r="F8" s="368"/>
      <c r="G8" s="369">
        <v>94</v>
      </c>
      <c r="H8" s="358">
        <f>G8*19870</f>
        <v>1867780</v>
      </c>
      <c r="I8" s="358"/>
      <c r="J8" s="358">
        <v>790000</v>
      </c>
      <c r="K8" s="371"/>
      <c r="L8" s="372"/>
      <c r="M8" s="358"/>
      <c r="N8" s="358"/>
      <c r="O8" s="358">
        <f t="shared" ref="O8:O24" si="0">H8+J8+K8+L8+M8+N8</f>
        <v>2657780</v>
      </c>
      <c r="P8" s="358">
        <v>4200000</v>
      </c>
      <c r="Q8" s="358">
        <f>P8-O8</f>
        <v>1542220</v>
      </c>
      <c r="R8" s="195"/>
      <c r="S8" s="195"/>
    </row>
    <row r="9" spans="1:21" ht="21.75" customHeight="1" x14ac:dyDescent="0.25">
      <c r="A9" s="350">
        <v>2</v>
      </c>
      <c r="B9" s="482">
        <v>45509</v>
      </c>
      <c r="C9" s="366" t="s">
        <v>5473</v>
      </c>
      <c r="D9" s="501" t="s">
        <v>5490</v>
      </c>
      <c r="E9" s="354" t="s">
        <v>5507</v>
      </c>
      <c r="F9" s="368"/>
      <c r="G9" s="369">
        <v>64</v>
      </c>
      <c r="H9" s="358">
        <f>G9*19870</f>
        <v>1271680</v>
      </c>
      <c r="I9" s="358"/>
      <c r="J9" s="358">
        <v>430000</v>
      </c>
      <c r="K9" s="371"/>
      <c r="L9" s="372"/>
      <c r="M9" s="358"/>
      <c r="N9" s="358"/>
      <c r="O9" s="358">
        <f t="shared" si="0"/>
        <v>1701680</v>
      </c>
      <c r="P9" s="385">
        <v>3330000</v>
      </c>
      <c r="Q9" s="358">
        <f t="shared" ref="Q9:Q24" si="1">P9-O9</f>
        <v>1628320</v>
      </c>
      <c r="R9" s="195"/>
      <c r="S9" s="195"/>
    </row>
    <row r="10" spans="1:21" ht="21.75" customHeight="1" x14ac:dyDescent="0.25">
      <c r="A10" s="350">
        <v>3</v>
      </c>
      <c r="B10" s="482">
        <v>45510</v>
      </c>
      <c r="C10" s="366" t="s">
        <v>5474</v>
      </c>
      <c r="D10" s="501" t="s">
        <v>5491</v>
      </c>
      <c r="E10" s="354" t="s">
        <v>4898</v>
      </c>
      <c r="F10" s="368"/>
      <c r="G10" s="369">
        <v>365</v>
      </c>
      <c r="H10" s="358">
        <f>G10*19870</f>
        <v>7252550</v>
      </c>
      <c r="I10" s="358"/>
      <c r="J10" s="358">
        <v>3868000</v>
      </c>
      <c r="K10" s="371"/>
      <c r="L10" s="372"/>
      <c r="M10" s="358"/>
      <c r="N10" s="358"/>
      <c r="O10" s="358">
        <f t="shared" si="0"/>
        <v>11120550</v>
      </c>
      <c r="P10" s="385">
        <v>20900000</v>
      </c>
      <c r="Q10" s="358">
        <f t="shared" si="1"/>
        <v>9779450</v>
      </c>
      <c r="R10" s="195"/>
      <c r="S10" s="195"/>
    </row>
    <row r="11" spans="1:21" ht="21.75" customHeight="1" x14ac:dyDescent="0.25">
      <c r="A11" s="350">
        <v>4</v>
      </c>
      <c r="B11" s="482">
        <v>45512</v>
      </c>
      <c r="C11" s="366" t="s">
        <v>5475</v>
      </c>
      <c r="D11" s="501" t="s">
        <v>5492</v>
      </c>
      <c r="E11" s="354" t="s">
        <v>4504</v>
      </c>
      <c r="F11" s="368"/>
      <c r="G11" s="369">
        <v>382</v>
      </c>
      <c r="H11" s="358">
        <f>G11*19140</f>
        <v>7311480</v>
      </c>
      <c r="I11" s="358"/>
      <c r="J11" s="358">
        <v>3808000</v>
      </c>
      <c r="K11" s="371"/>
      <c r="L11" s="372"/>
      <c r="M11" s="358"/>
      <c r="N11" s="358"/>
      <c r="O11" s="358">
        <f t="shared" si="0"/>
        <v>11119480</v>
      </c>
      <c r="P11" s="385">
        <v>20900000</v>
      </c>
      <c r="Q11" s="358">
        <f t="shared" si="1"/>
        <v>9780520</v>
      </c>
      <c r="R11" s="195"/>
      <c r="S11" s="195"/>
      <c r="U11" s="195"/>
    </row>
    <row r="12" spans="1:21" ht="21.75" customHeight="1" x14ac:dyDescent="0.25">
      <c r="A12" s="350">
        <v>5</v>
      </c>
      <c r="B12" s="482">
        <v>45515</v>
      </c>
      <c r="C12" s="366" t="s">
        <v>5476</v>
      </c>
      <c r="D12" s="501" t="s">
        <v>5493</v>
      </c>
      <c r="E12" s="354" t="s">
        <v>5508</v>
      </c>
      <c r="F12" s="368"/>
      <c r="G12" s="369">
        <v>152</v>
      </c>
      <c r="H12" s="358">
        <f t="shared" ref="H12:H14" si="2">G12*19140</f>
        <v>2909280</v>
      </c>
      <c r="I12" s="358"/>
      <c r="J12" s="358">
        <v>1190000</v>
      </c>
      <c r="K12" s="371"/>
      <c r="L12" s="372"/>
      <c r="M12" s="358"/>
      <c r="N12" s="358"/>
      <c r="O12" s="358">
        <f t="shared" si="0"/>
        <v>4099280</v>
      </c>
      <c r="P12" s="385">
        <v>7150000</v>
      </c>
      <c r="Q12" s="358">
        <f t="shared" si="1"/>
        <v>3050720</v>
      </c>
      <c r="R12" s="195"/>
      <c r="S12" s="195"/>
    </row>
    <row r="13" spans="1:21" ht="21.75" customHeight="1" x14ac:dyDescent="0.25">
      <c r="A13" s="350">
        <v>6</v>
      </c>
      <c r="B13" s="482">
        <v>45516</v>
      </c>
      <c r="C13" s="366" t="s">
        <v>5477</v>
      </c>
      <c r="D13" s="501" t="s">
        <v>5494</v>
      </c>
      <c r="E13" s="354" t="s">
        <v>2885</v>
      </c>
      <c r="F13" s="368"/>
      <c r="G13" s="369">
        <v>63</v>
      </c>
      <c r="H13" s="358">
        <f t="shared" si="2"/>
        <v>1205820</v>
      </c>
      <c r="I13" s="358"/>
      <c r="J13" s="358">
        <v>430000</v>
      </c>
      <c r="K13" s="371"/>
      <c r="L13" s="372"/>
      <c r="M13" s="358"/>
      <c r="N13" s="358"/>
      <c r="O13" s="358">
        <f t="shared" si="0"/>
        <v>1635820</v>
      </c>
      <c r="P13" s="385">
        <v>3330000</v>
      </c>
      <c r="Q13" s="358">
        <f t="shared" si="1"/>
        <v>1694180</v>
      </c>
      <c r="R13" s="195"/>
      <c r="S13" s="195"/>
    </row>
    <row r="14" spans="1:21" ht="21.75" customHeight="1" x14ac:dyDescent="0.25">
      <c r="A14" s="350">
        <v>7</v>
      </c>
      <c r="B14" s="482">
        <v>45517</v>
      </c>
      <c r="C14" s="366" t="s">
        <v>5478</v>
      </c>
      <c r="D14" s="501" t="s">
        <v>5495</v>
      </c>
      <c r="E14" s="354" t="s">
        <v>5356</v>
      </c>
      <c r="F14" s="368"/>
      <c r="G14" s="369">
        <v>389</v>
      </c>
      <c r="H14" s="358">
        <f t="shared" si="2"/>
        <v>7445460</v>
      </c>
      <c r="I14" s="358"/>
      <c r="J14" s="358">
        <v>3663000</v>
      </c>
      <c r="K14" s="371"/>
      <c r="L14" s="372"/>
      <c r="M14" s="358"/>
      <c r="N14" s="358"/>
      <c r="O14" s="358">
        <f t="shared" si="0"/>
        <v>11108460</v>
      </c>
      <c r="P14" s="385">
        <v>21550000</v>
      </c>
      <c r="Q14" s="358">
        <f t="shared" si="1"/>
        <v>10441540</v>
      </c>
      <c r="R14" s="195"/>
      <c r="S14" s="195"/>
    </row>
    <row r="15" spans="1:21" ht="21.75" customHeight="1" x14ac:dyDescent="0.25">
      <c r="A15" s="350">
        <v>8</v>
      </c>
      <c r="B15" s="482">
        <v>45518</v>
      </c>
      <c r="C15" s="366" t="s">
        <v>5479</v>
      </c>
      <c r="D15" s="501" t="s">
        <v>5496</v>
      </c>
      <c r="E15" s="354" t="s">
        <v>5509</v>
      </c>
      <c r="F15" s="368"/>
      <c r="G15" s="369">
        <v>392</v>
      </c>
      <c r="H15" s="358">
        <f>G15*19230</f>
        <v>7538160</v>
      </c>
      <c r="I15" s="358"/>
      <c r="J15" s="358">
        <v>3420000</v>
      </c>
      <c r="K15" s="371"/>
      <c r="L15" s="372"/>
      <c r="M15" s="358"/>
      <c r="N15" s="358"/>
      <c r="O15" s="358">
        <f t="shared" si="0"/>
        <v>10958160</v>
      </c>
      <c r="P15" s="385">
        <v>20000000</v>
      </c>
      <c r="Q15" s="358">
        <f t="shared" si="1"/>
        <v>9041840</v>
      </c>
      <c r="R15" s="195"/>
      <c r="S15" s="195"/>
    </row>
    <row r="16" spans="1:21" ht="21.75" customHeight="1" x14ac:dyDescent="0.25">
      <c r="A16" s="350">
        <v>9</v>
      </c>
      <c r="B16" s="482">
        <v>45523</v>
      </c>
      <c r="C16" s="366" t="s">
        <v>5480</v>
      </c>
      <c r="D16" s="501" t="s">
        <v>5497</v>
      </c>
      <c r="E16" s="354" t="s">
        <v>705</v>
      </c>
      <c r="F16" s="368"/>
      <c r="G16" s="369">
        <v>79</v>
      </c>
      <c r="H16" s="358">
        <f>G16*18770</f>
        <v>1482830</v>
      </c>
      <c r="I16" s="358"/>
      <c r="J16" s="358">
        <v>790000</v>
      </c>
      <c r="K16" s="371"/>
      <c r="L16" s="372"/>
      <c r="M16" s="358"/>
      <c r="N16" s="358"/>
      <c r="O16" s="358">
        <f t="shared" si="0"/>
        <v>2272830</v>
      </c>
      <c r="P16" s="385">
        <v>4277778</v>
      </c>
      <c r="Q16" s="358">
        <f t="shared" si="1"/>
        <v>2004948</v>
      </c>
      <c r="R16" s="195"/>
      <c r="S16" s="195"/>
      <c r="U16" s="195"/>
    </row>
    <row r="17" spans="1:19" ht="21.75" customHeight="1" x14ac:dyDescent="0.25">
      <c r="A17" s="350">
        <v>10</v>
      </c>
      <c r="B17" s="482">
        <v>45525</v>
      </c>
      <c r="C17" s="366" t="s">
        <v>5481</v>
      </c>
      <c r="D17" s="501" t="s">
        <v>5498</v>
      </c>
      <c r="E17" s="354" t="s">
        <v>286</v>
      </c>
      <c r="F17" s="368"/>
      <c r="G17" s="369">
        <v>68</v>
      </c>
      <c r="H17" s="358">
        <f t="shared" ref="H17:H22" si="3">G17*18770</f>
        <v>1276360</v>
      </c>
      <c r="I17" s="358"/>
      <c r="J17" s="358">
        <v>790000</v>
      </c>
      <c r="K17" s="371"/>
      <c r="L17" s="372"/>
      <c r="M17" s="381"/>
      <c r="N17" s="358"/>
      <c r="O17" s="358">
        <f t="shared" si="0"/>
        <v>2066360</v>
      </c>
      <c r="P17" s="385">
        <v>3710000</v>
      </c>
      <c r="Q17" s="358">
        <f t="shared" si="1"/>
        <v>1643640</v>
      </c>
      <c r="R17" s="195"/>
      <c r="S17" s="195"/>
    </row>
    <row r="18" spans="1:19" ht="21.75" customHeight="1" x14ac:dyDescent="0.25">
      <c r="A18" s="470">
        <v>11</v>
      </c>
      <c r="B18" s="487">
        <v>45526</v>
      </c>
      <c r="C18" s="366" t="s">
        <v>5482</v>
      </c>
      <c r="D18" s="501" t="s">
        <v>5499</v>
      </c>
      <c r="E18" s="354" t="s">
        <v>5355</v>
      </c>
      <c r="F18" s="461"/>
      <c r="G18" s="369">
        <v>91</v>
      </c>
      <c r="H18" s="358">
        <f t="shared" si="3"/>
        <v>1708070</v>
      </c>
      <c r="I18" s="494"/>
      <c r="J18" s="358">
        <v>790000</v>
      </c>
      <c r="K18" s="371"/>
      <c r="L18" s="372"/>
      <c r="N18" s="381"/>
      <c r="O18" s="358">
        <f t="shared" si="0"/>
        <v>2498070</v>
      </c>
      <c r="P18" s="385">
        <v>4700000</v>
      </c>
      <c r="Q18" s="358">
        <f t="shared" si="1"/>
        <v>2201930</v>
      </c>
      <c r="R18" s="195"/>
      <c r="S18" s="195"/>
    </row>
    <row r="19" spans="1:19" ht="21.75" customHeight="1" x14ac:dyDescent="0.25">
      <c r="A19" s="350">
        <v>12</v>
      </c>
      <c r="B19" s="487">
        <v>45527</v>
      </c>
      <c r="C19" s="366" t="s">
        <v>5483</v>
      </c>
      <c r="D19" s="501" t="s">
        <v>5500</v>
      </c>
      <c r="E19" s="354" t="s">
        <v>5510</v>
      </c>
      <c r="F19" s="461"/>
      <c r="G19" s="369">
        <v>91</v>
      </c>
      <c r="H19" s="358">
        <f t="shared" si="3"/>
        <v>1708070</v>
      </c>
      <c r="I19" s="494"/>
      <c r="J19" s="358">
        <v>430000</v>
      </c>
      <c r="K19" s="371"/>
      <c r="L19" s="372"/>
      <c r="M19" s="381"/>
      <c r="N19" s="381"/>
      <c r="O19" s="358">
        <f t="shared" si="0"/>
        <v>2138070</v>
      </c>
      <c r="P19" s="385">
        <v>4600000</v>
      </c>
      <c r="Q19" s="358">
        <f t="shared" si="1"/>
        <v>2461930</v>
      </c>
      <c r="R19" s="195"/>
      <c r="S19" s="195"/>
    </row>
    <row r="20" spans="1:19" ht="21.75" customHeight="1" x14ac:dyDescent="0.25">
      <c r="A20" s="350">
        <v>13</v>
      </c>
      <c r="B20" s="487">
        <v>45528</v>
      </c>
      <c r="C20" s="366" t="s">
        <v>5484</v>
      </c>
      <c r="D20" s="501" t="s">
        <v>5501</v>
      </c>
      <c r="E20" s="354" t="s">
        <v>4594</v>
      </c>
      <c r="F20" s="461"/>
      <c r="G20" s="369">
        <v>240</v>
      </c>
      <c r="H20" s="358">
        <f t="shared" si="3"/>
        <v>4504800</v>
      </c>
      <c r="I20" s="494"/>
      <c r="J20" s="381">
        <v>1960000</v>
      </c>
      <c r="K20" s="371"/>
      <c r="L20" s="372"/>
      <c r="M20" s="381"/>
      <c r="N20" s="381"/>
      <c r="O20" s="358">
        <f t="shared" si="0"/>
        <v>6464800</v>
      </c>
      <c r="P20" s="385">
        <v>12500000</v>
      </c>
      <c r="Q20" s="358">
        <f t="shared" si="1"/>
        <v>6035200</v>
      </c>
      <c r="R20" s="195"/>
      <c r="S20" s="195"/>
    </row>
    <row r="21" spans="1:19" ht="21.75" customHeight="1" x14ac:dyDescent="0.25">
      <c r="A21" s="350">
        <v>14</v>
      </c>
      <c r="B21" s="487">
        <v>45530</v>
      </c>
      <c r="C21" s="366" t="s">
        <v>5485</v>
      </c>
      <c r="D21" s="501" t="s">
        <v>5502</v>
      </c>
      <c r="E21" s="354" t="s">
        <v>5356</v>
      </c>
      <c r="F21" s="461"/>
      <c r="G21" s="369">
        <v>389</v>
      </c>
      <c r="H21" s="358">
        <f t="shared" si="3"/>
        <v>7301530</v>
      </c>
      <c r="I21" s="494"/>
      <c r="J21" s="381">
        <v>3868000</v>
      </c>
      <c r="K21" s="371"/>
      <c r="L21" s="372"/>
      <c r="M21" s="381"/>
      <c r="N21" s="381"/>
      <c r="O21" s="358">
        <f t="shared" si="0"/>
        <v>11169530</v>
      </c>
      <c r="P21" s="385">
        <v>21550000</v>
      </c>
      <c r="Q21" s="358">
        <f t="shared" si="1"/>
        <v>10380470</v>
      </c>
      <c r="R21" s="195"/>
      <c r="S21" s="195"/>
    </row>
    <row r="22" spans="1:19" ht="21.75" customHeight="1" x14ac:dyDescent="0.25">
      <c r="A22" s="350">
        <v>15</v>
      </c>
      <c r="B22" s="487">
        <v>45532</v>
      </c>
      <c r="C22" s="366" t="s">
        <v>5486</v>
      </c>
      <c r="D22" s="501" t="s">
        <v>5503</v>
      </c>
      <c r="E22" s="354" t="s">
        <v>21</v>
      </c>
      <c r="F22" s="461"/>
      <c r="G22" s="369">
        <v>244</v>
      </c>
      <c r="H22" s="358">
        <f t="shared" si="3"/>
        <v>4579880</v>
      </c>
      <c r="I22" s="494"/>
      <c r="J22" s="381">
        <v>2380000</v>
      </c>
      <c r="K22" s="371"/>
      <c r="L22" s="372"/>
      <c r="M22" s="381"/>
      <c r="N22" s="381"/>
      <c r="O22" s="358">
        <f t="shared" si="0"/>
        <v>6959880</v>
      </c>
      <c r="P22" s="385">
        <v>12037037</v>
      </c>
      <c r="Q22" s="358">
        <f t="shared" si="1"/>
        <v>5077157</v>
      </c>
      <c r="R22" s="195"/>
      <c r="S22" s="195"/>
    </row>
    <row r="23" spans="1:19" ht="21.75" customHeight="1" x14ac:dyDescent="0.25">
      <c r="A23" s="470">
        <v>16</v>
      </c>
      <c r="B23" s="487">
        <v>45533</v>
      </c>
      <c r="C23" s="366" t="s">
        <v>5487</v>
      </c>
      <c r="D23" s="501" t="s">
        <v>5504</v>
      </c>
      <c r="E23" s="354" t="s">
        <v>5511</v>
      </c>
      <c r="F23" s="461"/>
      <c r="G23" s="369">
        <v>96</v>
      </c>
      <c r="H23" s="358">
        <f>G23*18470</f>
        <v>1773120</v>
      </c>
      <c r="I23" s="494"/>
      <c r="J23" s="381">
        <v>790000</v>
      </c>
      <c r="K23" s="371"/>
      <c r="L23" s="372"/>
      <c r="M23" s="381"/>
      <c r="N23" s="381"/>
      <c r="O23" s="358">
        <f t="shared" si="0"/>
        <v>2563120</v>
      </c>
      <c r="P23" s="385">
        <v>4500000</v>
      </c>
      <c r="Q23" s="358">
        <f t="shared" si="1"/>
        <v>1936880</v>
      </c>
      <c r="R23" s="195"/>
      <c r="S23" s="195"/>
    </row>
    <row r="24" spans="1:19" ht="21.75" customHeight="1" x14ac:dyDescent="0.25">
      <c r="A24" s="350">
        <v>17</v>
      </c>
      <c r="B24" s="487">
        <v>45534</v>
      </c>
      <c r="C24" s="366" t="s">
        <v>5488</v>
      </c>
      <c r="D24" s="501" t="s">
        <v>5505</v>
      </c>
      <c r="E24" s="354" t="s">
        <v>24</v>
      </c>
      <c r="F24" s="461"/>
      <c r="G24" s="369">
        <v>193</v>
      </c>
      <c r="H24" s="358">
        <f>G24*18470</f>
        <v>3564710</v>
      </c>
      <c r="I24" s="494"/>
      <c r="J24" s="381">
        <v>1304000</v>
      </c>
      <c r="K24" s="371"/>
      <c r="L24" s="372"/>
      <c r="M24" s="381"/>
      <c r="N24" s="381"/>
      <c r="O24" s="358">
        <f t="shared" si="0"/>
        <v>4868710</v>
      </c>
      <c r="P24" s="385">
        <v>9074074</v>
      </c>
      <c r="Q24" s="358">
        <f t="shared" si="1"/>
        <v>4205364</v>
      </c>
      <c r="R24" s="195"/>
      <c r="S24" s="195"/>
    </row>
    <row r="25" spans="1:19" ht="24.95" customHeight="1" x14ac:dyDescent="0.25">
      <c r="A25" s="374"/>
      <c r="B25" s="488"/>
      <c r="C25" s="609" t="s">
        <v>1273</v>
      </c>
      <c r="D25" s="609"/>
      <c r="E25" s="609"/>
      <c r="F25" s="402"/>
      <c r="G25" s="358"/>
      <c r="H25" s="369"/>
      <c r="I25" s="403"/>
      <c r="J25" s="381"/>
      <c r="K25" s="372">
        <v>1200000</v>
      </c>
      <c r="L25" s="372"/>
      <c r="M25" s="381"/>
      <c r="N25" s="381"/>
      <c r="O25" s="385">
        <f>H25+J25+K25+L25+M25+N25</f>
        <v>1200000</v>
      </c>
      <c r="P25" s="358"/>
      <c r="Q25" s="385"/>
    </row>
    <row r="26" spans="1:19" ht="24.95" customHeight="1" x14ac:dyDescent="0.25">
      <c r="A26" s="386"/>
      <c r="B26" s="379"/>
      <c r="C26" s="594" t="s">
        <v>4535</v>
      </c>
      <c r="D26" s="595"/>
      <c r="E26" s="596"/>
      <c r="F26" s="402"/>
      <c r="G26" s="381"/>
      <c r="H26" s="369"/>
      <c r="J26" s="381"/>
      <c r="K26" s="388">
        <v>14733280</v>
      </c>
      <c r="L26" s="388"/>
      <c r="M26" s="381"/>
      <c r="N26" s="381"/>
      <c r="O26" s="385">
        <f t="shared" ref="O26:O33" si="4">H26+J26+K26+L26+M26+N26</f>
        <v>14733280</v>
      </c>
      <c r="P26" s="358"/>
      <c r="Q26" s="378"/>
    </row>
    <row r="27" spans="1:19" ht="24.95" customHeight="1" x14ac:dyDescent="0.25">
      <c r="A27" s="386"/>
      <c r="B27" s="379"/>
      <c r="C27" s="594" t="s">
        <v>5584</v>
      </c>
      <c r="D27" s="595"/>
      <c r="E27" s="596"/>
      <c r="F27" s="402"/>
      <c r="G27" s="381"/>
      <c r="H27" s="369"/>
      <c r="J27" s="381"/>
      <c r="K27" s="388"/>
      <c r="L27" s="388">
        <v>1050000</v>
      </c>
      <c r="M27" s="381"/>
      <c r="N27" s="388"/>
      <c r="O27" s="385">
        <f t="shared" si="4"/>
        <v>1050000</v>
      </c>
      <c r="P27" s="358"/>
      <c r="Q27" s="378"/>
    </row>
    <row r="28" spans="1:19" ht="24.95" customHeight="1" x14ac:dyDescent="0.25">
      <c r="A28" s="386"/>
      <c r="B28" s="379"/>
      <c r="C28" s="594" t="s">
        <v>5588</v>
      </c>
      <c r="D28" s="595"/>
      <c r="E28" s="596"/>
      <c r="F28" s="402"/>
      <c r="G28" s="381"/>
      <c r="H28" s="369"/>
      <c r="J28" s="381"/>
      <c r="K28" s="388"/>
      <c r="L28" s="388">
        <v>400000</v>
      </c>
      <c r="M28" s="388"/>
      <c r="N28" s="388"/>
      <c r="O28" s="385">
        <f t="shared" si="4"/>
        <v>400000</v>
      </c>
      <c r="P28" s="358"/>
      <c r="Q28" s="378"/>
    </row>
    <row r="29" spans="1:19" ht="24.95" customHeight="1" x14ac:dyDescent="0.25">
      <c r="A29" s="386"/>
      <c r="B29" s="379"/>
      <c r="C29" s="594" t="s">
        <v>5589</v>
      </c>
      <c r="D29" s="595"/>
      <c r="E29" s="596"/>
      <c r="F29" s="402"/>
      <c r="G29" s="381"/>
      <c r="H29" s="369"/>
      <c r="J29" s="381"/>
      <c r="K29" s="388"/>
      <c r="L29" s="388">
        <v>4500000</v>
      </c>
      <c r="M29" s="381"/>
      <c r="N29" s="388"/>
      <c r="O29" s="385">
        <f t="shared" si="4"/>
        <v>4500000</v>
      </c>
      <c r="P29" s="358"/>
      <c r="Q29" s="378"/>
    </row>
    <row r="30" spans="1:19" ht="24.95" customHeight="1" x14ac:dyDescent="0.25">
      <c r="A30" s="386"/>
      <c r="B30" s="379"/>
      <c r="C30" s="594" t="s">
        <v>5593</v>
      </c>
      <c r="D30" s="595"/>
      <c r="E30" s="596"/>
      <c r="F30" s="402"/>
      <c r="G30" s="381"/>
      <c r="H30" s="369"/>
      <c r="J30" s="381"/>
      <c r="K30" s="388"/>
      <c r="L30" s="388">
        <v>600000</v>
      </c>
      <c r="M30" s="381"/>
      <c r="N30" s="388"/>
      <c r="O30" s="385">
        <f t="shared" si="4"/>
        <v>600000</v>
      </c>
      <c r="P30" s="381"/>
      <c r="Q30" s="378"/>
    </row>
    <row r="31" spans="1:19" ht="24.95" customHeight="1" x14ac:dyDescent="0.25">
      <c r="A31" s="386"/>
      <c r="B31" s="379"/>
      <c r="C31" s="594" t="s">
        <v>5598</v>
      </c>
      <c r="D31" s="595"/>
      <c r="E31" s="596"/>
      <c r="F31" s="402"/>
      <c r="G31" s="381"/>
      <c r="H31" s="369"/>
      <c r="J31" s="381"/>
      <c r="K31" s="388"/>
      <c r="L31" s="388">
        <v>8200000</v>
      </c>
      <c r="M31" s="381"/>
      <c r="N31" s="388"/>
      <c r="O31" s="385">
        <f t="shared" si="4"/>
        <v>8200000</v>
      </c>
      <c r="P31" s="381"/>
      <c r="Q31" s="378"/>
    </row>
    <row r="32" spans="1:19" ht="24.95" customHeight="1" x14ac:dyDescent="0.25">
      <c r="A32" s="386"/>
      <c r="B32" s="379"/>
      <c r="C32" s="594" t="s">
        <v>5599</v>
      </c>
      <c r="D32" s="595"/>
      <c r="E32" s="596"/>
      <c r="F32" s="402"/>
      <c r="G32" s="381"/>
      <c r="H32" s="369"/>
      <c r="J32" s="381"/>
      <c r="K32" s="388"/>
      <c r="L32" s="388">
        <v>400000</v>
      </c>
      <c r="M32" s="381"/>
      <c r="N32" s="388"/>
      <c r="O32" s="385">
        <f t="shared" si="4"/>
        <v>400000</v>
      </c>
      <c r="P32" s="381"/>
      <c r="Q32" s="378"/>
    </row>
    <row r="33" spans="1:18" ht="24.95" customHeight="1" x14ac:dyDescent="0.25">
      <c r="A33" s="386"/>
      <c r="B33" s="379"/>
      <c r="C33" s="594" t="s">
        <v>5600</v>
      </c>
      <c r="D33" s="595"/>
      <c r="E33" s="596"/>
      <c r="F33" s="402"/>
      <c r="G33" s="381"/>
      <c r="H33" s="369"/>
      <c r="J33" s="381"/>
      <c r="K33" s="388"/>
      <c r="L33" s="388">
        <v>410000</v>
      </c>
      <c r="M33" s="381"/>
      <c r="N33" s="388"/>
      <c r="O33" s="385">
        <f t="shared" si="4"/>
        <v>410000</v>
      </c>
      <c r="P33" s="381"/>
      <c r="Q33" s="378"/>
    </row>
    <row r="34" spans="1:18" ht="24.95" customHeight="1" x14ac:dyDescent="0.25">
      <c r="A34" s="386"/>
      <c r="B34" s="391"/>
      <c r="C34" s="579" t="s">
        <v>4333</v>
      </c>
      <c r="D34" s="580"/>
      <c r="E34" s="581"/>
      <c r="F34" s="461"/>
      <c r="G34" s="381"/>
      <c r="H34" s="369"/>
      <c r="I34" s="403"/>
      <c r="J34" s="381"/>
      <c r="K34" s="394">
        <v>8300000</v>
      </c>
      <c r="L34" s="394"/>
      <c r="M34" s="381"/>
      <c r="N34" s="381"/>
      <c r="O34" s="385">
        <f>H34+J34+K34+L34+M34+N34</f>
        <v>8300000</v>
      </c>
      <c r="P34" s="509"/>
      <c r="Q34" s="378"/>
    </row>
    <row r="35" spans="1:18" x14ac:dyDescent="0.25">
      <c r="A35" s="576" t="s">
        <v>19</v>
      </c>
      <c r="B35" s="577"/>
      <c r="C35" s="577"/>
      <c r="D35" s="577"/>
      <c r="E35" s="577"/>
      <c r="F35" s="578"/>
      <c r="G35" s="395">
        <f>SUM(G8:G34)</f>
        <v>3392</v>
      </c>
      <c r="H35" s="396">
        <f t="shared" ref="H35:P35" si="5">SUM(H7:H34)</f>
        <v>64701580</v>
      </c>
      <c r="I35" s="396">
        <f t="shared" si="5"/>
        <v>0</v>
      </c>
      <c r="J35" s="396">
        <f t="shared" si="5"/>
        <v>30701000</v>
      </c>
      <c r="K35" s="396">
        <f t="shared" si="5"/>
        <v>24233280</v>
      </c>
      <c r="L35" s="396">
        <f t="shared" si="5"/>
        <v>15560000</v>
      </c>
      <c r="M35" s="396">
        <f t="shared" si="5"/>
        <v>0</v>
      </c>
      <c r="N35" s="396">
        <f t="shared" si="5"/>
        <v>0</v>
      </c>
      <c r="O35" s="396">
        <f t="shared" si="5"/>
        <v>135195860</v>
      </c>
      <c r="P35" s="397">
        <f t="shared" si="5"/>
        <v>178308889</v>
      </c>
      <c r="Q35" s="396">
        <f>P35-O35</f>
        <v>43113029</v>
      </c>
      <c r="R35" s="195"/>
    </row>
    <row r="36" spans="1:18" x14ac:dyDescent="0.25">
      <c r="P36" s="294"/>
      <c r="Q36" s="295"/>
    </row>
    <row r="37" spans="1:18" x14ac:dyDescent="0.25">
      <c r="B37"/>
      <c r="G37"/>
      <c r="H37" s="294"/>
      <c r="P37" s="296" t="s">
        <v>1225</v>
      </c>
      <c r="Q37" s="295">
        <f>'07.2024'!Q45+'08.2024'!Q35</f>
        <v>254862735</v>
      </c>
    </row>
    <row r="38" spans="1:18" x14ac:dyDescent="0.25">
      <c r="B38"/>
      <c r="G38"/>
      <c r="Q38" s="294"/>
    </row>
    <row r="39" spans="1:18" x14ac:dyDescent="0.25">
      <c r="B39"/>
      <c r="G39"/>
      <c r="R39" s="195"/>
    </row>
  </sheetData>
  <mergeCells count="15">
    <mergeCell ref="C34:E34"/>
    <mergeCell ref="A35:F35"/>
    <mergeCell ref="A1:Q1"/>
    <mergeCell ref="A2:Q2"/>
    <mergeCell ref="A3:Q3"/>
    <mergeCell ref="G5:N5"/>
    <mergeCell ref="C25:E25"/>
    <mergeCell ref="C26:E26"/>
    <mergeCell ref="C30:E30"/>
    <mergeCell ref="C31:E31"/>
    <mergeCell ref="C32:E32"/>
    <mergeCell ref="C33:E33"/>
    <mergeCell ref="C27:E27"/>
    <mergeCell ref="C28:E28"/>
    <mergeCell ref="C29:E29"/>
  </mergeCells>
  <pageMargins left="0.7" right="0.7" top="0.75" bottom="0.75" header="0.3" footer="0.3"/>
  <pageSetup paperSize="9" orientation="portrait" horizontalDpi="0" verticalDpi="0"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521DB-1880-484D-B98B-94457169A48B}">
  <dimension ref="A1:U47"/>
  <sheetViews>
    <sheetView topLeftCell="A29" workbookViewId="0">
      <selection activeCell="K29" sqref="K29"/>
    </sheetView>
  </sheetViews>
  <sheetFormatPr defaultColWidth="9.140625" defaultRowHeight="15" x14ac:dyDescent="0.25"/>
  <cols>
    <col min="1" max="1" width="4.5703125" customWidth="1"/>
    <col min="2" max="2" width="9.28515625" style="332" bestFit="1" customWidth="1"/>
    <col min="3" max="3" width="33.42578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21" ht="23.25" x14ac:dyDescent="0.25">
      <c r="A1" s="551" t="s">
        <v>0</v>
      </c>
      <c r="B1" s="551"/>
      <c r="C1" s="551"/>
      <c r="D1" s="551"/>
      <c r="E1" s="551"/>
      <c r="F1" s="551"/>
      <c r="G1" s="551"/>
      <c r="H1" s="551"/>
      <c r="I1" s="551"/>
      <c r="J1" s="551"/>
      <c r="K1" s="551"/>
      <c r="L1" s="551"/>
      <c r="M1" s="551"/>
      <c r="N1" s="551"/>
      <c r="O1" s="551"/>
      <c r="P1" s="551"/>
      <c r="Q1" s="551"/>
    </row>
    <row r="2" spans="1:21" ht="15.75" x14ac:dyDescent="0.25">
      <c r="A2" s="550" t="s">
        <v>103</v>
      </c>
      <c r="B2" s="550"/>
      <c r="C2" s="550"/>
      <c r="D2" s="550"/>
      <c r="E2" s="550"/>
      <c r="F2" s="550"/>
      <c r="G2" s="550"/>
      <c r="H2" s="550"/>
      <c r="I2" s="550"/>
      <c r="J2" s="550"/>
      <c r="K2" s="550"/>
      <c r="L2" s="550"/>
      <c r="M2" s="550"/>
      <c r="N2" s="550"/>
      <c r="O2" s="550"/>
      <c r="P2" s="550"/>
      <c r="Q2" s="550"/>
    </row>
    <row r="3" spans="1:21" ht="15.75" x14ac:dyDescent="0.25">
      <c r="A3" s="550" t="s">
        <v>5512</v>
      </c>
      <c r="B3" s="550"/>
      <c r="C3" s="550"/>
      <c r="D3" s="550"/>
      <c r="E3" s="550"/>
      <c r="F3" s="550"/>
      <c r="G3" s="550"/>
      <c r="H3" s="550"/>
      <c r="I3" s="550"/>
      <c r="J3" s="550"/>
      <c r="K3" s="550"/>
      <c r="L3" s="550"/>
      <c r="M3" s="550"/>
      <c r="N3" s="550"/>
      <c r="O3" s="550"/>
      <c r="P3" s="550"/>
      <c r="Q3" s="550"/>
    </row>
    <row r="4" spans="1:21" x14ac:dyDescent="0.25">
      <c r="A4" s="74"/>
      <c r="B4" s="99"/>
      <c r="C4" s="74"/>
      <c r="D4" s="74"/>
      <c r="E4" s="74" t="s">
        <v>194</v>
      </c>
      <c r="F4" s="74"/>
      <c r="G4" s="257"/>
      <c r="H4" s="258"/>
      <c r="I4" s="258"/>
      <c r="J4" s="258"/>
      <c r="K4" s="258"/>
      <c r="L4" s="91"/>
      <c r="M4" s="258"/>
      <c r="N4" s="258"/>
      <c r="O4" s="258"/>
      <c r="P4" s="258"/>
      <c r="Q4" s="258"/>
    </row>
    <row r="5" spans="1:21"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21"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21" x14ac:dyDescent="0.25">
      <c r="A7" s="75"/>
      <c r="B7" s="100"/>
      <c r="C7" s="88"/>
      <c r="D7" s="88"/>
      <c r="E7" s="134"/>
      <c r="F7" s="75"/>
      <c r="G7" s="264"/>
      <c r="H7" s="264"/>
      <c r="I7" s="264"/>
      <c r="J7" s="264"/>
      <c r="K7" s="264"/>
      <c r="L7" s="308"/>
      <c r="M7" s="264"/>
      <c r="N7" s="264"/>
      <c r="O7" s="265"/>
      <c r="P7" s="265"/>
      <c r="Q7" s="264"/>
    </row>
    <row r="8" spans="1:21" ht="21.75" customHeight="1" x14ac:dyDescent="0.25">
      <c r="A8" s="470">
        <v>1</v>
      </c>
      <c r="B8" s="472">
        <v>45538</v>
      </c>
      <c r="C8" s="366" t="s">
        <v>5513</v>
      </c>
      <c r="D8" s="500" t="s">
        <v>5531</v>
      </c>
      <c r="E8" s="354" t="s">
        <v>4504</v>
      </c>
      <c r="F8" s="368"/>
      <c r="G8" s="369">
        <v>382</v>
      </c>
      <c r="H8" s="358">
        <f>G8*18470</f>
        <v>7055540</v>
      </c>
      <c r="I8" s="358"/>
      <c r="J8" s="358">
        <v>3868000</v>
      </c>
      <c r="K8" s="371"/>
      <c r="L8" s="372"/>
      <c r="M8" s="358"/>
      <c r="N8" s="358"/>
      <c r="O8" s="358">
        <f t="shared" ref="O8:O25" si="0">H8+J8+K8+L8+M8+N8</f>
        <v>10923540</v>
      </c>
      <c r="P8" s="358">
        <v>20900000</v>
      </c>
      <c r="Q8" s="358">
        <f>P8-O8</f>
        <v>9976460</v>
      </c>
      <c r="R8" s="195"/>
      <c r="S8" s="195"/>
    </row>
    <row r="9" spans="1:21" ht="21.75" customHeight="1" x14ac:dyDescent="0.25">
      <c r="A9" s="350">
        <v>2</v>
      </c>
      <c r="B9" s="482">
        <v>45540</v>
      </c>
      <c r="C9" s="366" t="s">
        <v>5514</v>
      </c>
      <c r="D9" s="501" t="s">
        <v>5532</v>
      </c>
      <c r="E9" s="354" t="s">
        <v>1212</v>
      </c>
      <c r="F9" s="368"/>
      <c r="G9" s="369">
        <v>253</v>
      </c>
      <c r="H9" s="358">
        <f>G9*18090</f>
        <v>4576770</v>
      </c>
      <c r="I9" s="358"/>
      <c r="J9" s="358">
        <v>2380000</v>
      </c>
      <c r="K9" s="371"/>
      <c r="L9" s="372"/>
      <c r="M9" s="358"/>
      <c r="N9" s="358"/>
      <c r="O9" s="358">
        <f t="shared" si="0"/>
        <v>6956770</v>
      </c>
      <c r="P9" s="385">
        <v>12870370</v>
      </c>
      <c r="Q9" s="358">
        <f t="shared" ref="Q9:Q25" si="1">P9-O9</f>
        <v>5913600</v>
      </c>
      <c r="R9" s="195"/>
      <c r="S9" s="195"/>
    </row>
    <row r="10" spans="1:21" ht="21.75" customHeight="1" x14ac:dyDescent="0.25">
      <c r="A10" s="350">
        <v>3</v>
      </c>
      <c r="B10" s="482">
        <v>45541</v>
      </c>
      <c r="C10" s="366" t="s">
        <v>5515</v>
      </c>
      <c r="D10" s="501" t="s">
        <v>5533</v>
      </c>
      <c r="E10" s="354" t="s">
        <v>5467</v>
      </c>
      <c r="F10" s="368"/>
      <c r="G10" s="369">
        <v>157</v>
      </c>
      <c r="H10" s="358">
        <f t="shared" ref="H10:H12" si="2">G10*18090</f>
        <v>2840130</v>
      </c>
      <c r="I10" s="358"/>
      <c r="J10" s="358">
        <v>1190000</v>
      </c>
      <c r="K10" s="371"/>
      <c r="L10" s="372"/>
      <c r="M10" s="358"/>
      <c r="N10" s="358"/>
      <c r="O10" s="358">
        <f t="shared" si="0"/>
        <v>4030130</v>
      </c>
      <c r="P10" s="385">
        <v>7250000</v>
      </c>
      <c r="Q10" s="358">
        <f t="shared" si="1"/>
        <v>3219870</v>
      </c>
      <c r="R10" s="195"/>
      <c r="S10" s="195"/>
    </row>
    <row r="11" spans="1:21" ht="21.75" customHeight="1" x14ac:dyDescent="0.25">
      <c r="A11" s="350">
        <v>4</v>
      </c>
      <c r="B11" s="482">
        <v>45542</v>
      </c>
      <c r="C11" s="366" t="s">
        <v>5516</v>
      </c>
      <c r="D11" s="501" t="s">
        <v>5534</v>
      </c>
      <c r="E11" s="354" t="s">
        <v>850</v>
      </c>
      <c r="F11" s="368"/>
      <c r="G11" s="369">
        <v>114</v>
      </c>
      <c r="H11" s="358">
        <f t="shared" si="2"/>
        <v>2062260</v>
      </c>
      <c r="I11" s="358"/>
      <c r="J11" s="358">
        <v>790000</v>
      </c>
      <c r="K11" s="371"/>
      <c r="L11" s="372"/>
      <c r="M11" s="358"/>
      <c r="N11" s="358"/>
      <c r="O11" s="358">
        <f t="shared" si="0"/>
        <v>2852260</v>
      </c>
      <c r="P11" s="385">
        <v>5000000</v>
      </c>
      <c r="Q11" s="358">
        <f t="shared" si="1"/>
        <v>2147740</v>
      </c>
      <c r="R11" s="195"/>
      <c r="S11" s="195"/>
      <c r="U11" s="195"/>
    </row>
    <row r="12" spans="1:21" ht="21.75" customHeight="1" x14ac:dyDescent="0.25">
      <c r="A12" s="470">
        <v>5</v>
      </c>
      <c r="B12" s="482">
        <v>45544</v>
      </c>
      <c r="C12" s="366" t="s">
        <v>5517</v>
      </c>
      <c r="D12" s="501" t="s">
        <v>5535</v>
      </c>
      <c r="E12" s="354" t="s">
        <v>24</v>
      </c>
      <c r="F12" s="368"/>
      <c r="G12" s="369">
        <v>180</v>
      </c>
      <c r="H12" s="358">
        <f t="shared" si="2"/>
        <v>3256200</v>
      </c>
      <c r="I12" s="358"/>
      <c r="J12" s="358">
        <v>1530000</v>
      </c>
      <c r="K12" s="371"/>
      <c r="L12" s="372"/>
      <c r="M12" s="358"/>
      <c r="N12" s="358"/>
      <c r="O12" s="358">
        <f t="shared" si="0"/>
        <v>4786200</v>
      </c>
      <c r="P12" s="385">
        <v>8296296</v>
      </c>
      <c r="Q12" s="358">
        <f t="shared" si="1"/>
        <v>3510096</v>
      </c>
      <c r="R12" s="195"/>
      <c r="S12" s="195"/>
    </row>
    <row r="13" spans="1:21" ht="21.75" customHeight="1" x14ac:dyDescent="0.25">
      <c r="A13" s="350">
        <v>6</v>
      </c>
      <c r="B13" s="482">
        <v>45546</v>
      </c>
      <c r="C13" s="366" t="s">
        <v>5518</v>
      </c>
      <c r="D13" s="501" t="s">
        <v>5536</v>
      </c>
      <c r="E13" s="354" t="s">
        <v>5467</v>
      </c>
      <c r="F13" s="368"/>
      <c r="G13" s="369">
        <v>181</v>
      </c>
      <c r="H13" s="358">
        <f>G13*17160</f>
        <v>3105960</v>
      </c>
      <c r="I13" s="358"/>
      <c r="J13" s="358">
        <v>1190000</v>
      </c>
      <c r="K13" s="371"/>
      <c r="L13" s="372"/>
      <c r="M13" s="358"/>
      <c r="N13" s="358"/>
      <c r="O13" s="358">
        <f t="shared" si="0"/>
        <v>4295960</v>
      </c>
      <c r="P13" s="385">
        <v>7250000</v>
      </c>
      <c r="Q13" s="358">
        <f t="shared" si="1"/>
        <v>2954040</v>
      </c>
      <c r="R13" s="195"/>
      <c r="S13" s="195"/>
    </row>
    <row r="14" spans="1:21" ht="21.75" customHeight="1" x14ac:dyDescent="0.25">
      <c r="A14" s="350">
        <v>7</v>
      </c>
      <c r="B14" s="482">
        <v>45547</v>
      </c>
      <c r="C14" s="366" t="s">
        <v>5519</v>
      </c>
      <c r="D14" s="501" t="s">
        <v>5537</v>
      </c>
      <c r="E14" s="354" t="s">
        <v>850</v>
      </c>
      <c r="F14" s="368"/>
      <c r="G14" s="369">
        <v>123</v>
      </c>
      <c r="H14" s="358">
        <f t="shared" ref="H14:H17" si="3">G14*17160</f>
        <v>2110680</v>
      </c>
      <c r="I14" s="358"/>
      <c r="J14" s="358">
        <v>790000</v>
      </c>
      <c r="K14" s="371"/>
      <c r="L14" s="372"/>
      <c r="M14" s="358"/>
      <c r="N14" s="358"/>
      <c r="O14" s="358">
        <f t="shared" si="0"/>
        <v>2900680</v>
      </c>
      <c r="P14" s="385">
        <v>5370370</v>
      </c>
      <c r="Q14" s="358">
        <f t="shared" si="1"/>
        <v>2469690</v>
      </c>
      <c r="R14" s="195"/>
      <c r="S14" s="195"/>
    </row>
    <row r="15" spans="1:21" ht="21.75" customHeight="1" x14ac:dyDescent="0.25">
      <c r="A15" s="350">
        <v>8</v>
      </c>
      <c r="B15" s="482">
        <v>45548</v>
      </c>
      <c r="C15" s="366" t="s">
        <v>5520</v>
      </c>
      <c r="D15" s="501" t="s">
        <v>5538</v>
      </c>
      <c r="E15" s="354" t="s">
        <v>1212</v>
      </c>
      <c r="F15" s="368"/>
      <c r="G15" s="369">
        <v>254</v>
      </c>
      <c r="H15" s="358">
        <f t="shared" si="3"/>
        <v>4358640</v>
      </c>
      <c r="I15" s="358"/>
      <c r="J15" s="358">
        <v>2380000</v>
      </c>
      <c r="K15" s="371"/>
      <c r="L15" s="372"/>
      <c r="M15" s="358"/>
      <c r="N15" s="358"/>
      <c r="O15" s="358">
        <f t="shared" si="0"/>
        <v>6738640</v>
      </c>
      <c r="P15" s="385">
        <v>12962963</v>
      </c>
      <c r="Q15" s="358">
        <f t="shared" si="1"/>
        <v>6224323</v>
      </c>
      <c r="R15" s="195"/>
      <c r="S15" s="195"/>
      <c r="U15" s="195"/>
    </row>
    <row r="16" spans="1:21" ht="21.75" customHeight="1" x14ac:dyDescent="0.25">
      <c r="A16" s="470">
        <v>9</v>
      </c>
      <c r="B16" s="482">
        <v>45551</v>
      </c>
      <c r="C16" s="366" t="s">
        <v>5521</v>
      </c>
      <c r="D16" s="501" t="s">
        <v>5539</v>
      </c>
      <c r="E16" s="354" t="s">
        <v>5549</v>
      </c>
      <c r="F16" s="368"/>
      <c r="G16" s="369">
        <v>97</v>
      </c>
      <c r="H16" s="358">
        <f t="shared" si="3"/>
        <v>1664520</v>
      </c>
      <c r="I16" s="358"/>
      <c r="J16" s="358">
        <v>890000</v>
      </c>
      <c r="K16" s="371"/>
      <c r="L16" s="372"/>
      <c r="M16" s="381"/>
      <c r="N16" s="358"/>
      <c r="O16" s="358">
        <f t="shared" si="0"/>
        <v>2554520</v>
      </c>
      <c r="P16" s="385">
        <v>5700000</v>
      </c>
      <c r="Q16" s="358">
        <f t="shared" si="1"/>
        <v>3145480</v>
      </c>
      <c r="R16" s="195"/>
      <c r="S16" s="195"/>
    </row>
    <row r="17" spans="1:19" ht="21.75" customHeight="1" x14ac:dyDescent="0.25">
      <c r="A17" s="470">
        <v>10</v>
      </c>
      <c r="B17" s="487">
        <v>45552</v>
      </c>
      <c r="C17" s="366" t="s">
        <v>5522</v>
      </c>
      <c r="D17" s="501" t="s">
        <v>5540</v>
      </c>
      <c r="E17" s="354" t="s">
        <v>4504</v>
      </c>
      <c r="F17" s="461"/>
      <c r="G17" s="369">
        <v>384</v>
      </c>
      <c r="H17" s="358">
        <f t="shared" si="3"/>
        <v>6589440</v>
      </c>
      <c r="I17" s="494"/>
      <c r="J17" s="358">
        <v>3126000</v>
      </c>
      <c r="K17" s="371"/>
      <c r="L17" s="372"/>
      <c r="N17" s="381"/>
      <c r="O17" s="358">
        <f t="shared" si="0"/>
        <v>9715440</v>
      </c>
      <c r="P17" s="385">
        <v>20900000</v>
      </c>
      <c r="Q17" s="358">
        <f t="shared" si="1"/>
        <v>11184560</v>
      </c>
      <c r="R17" s="195"/>
      <c r="S17" s="195"/>
    </row>
    <row r="18" spans="1:19" ht="21.75" customHeight="1" x14ac:dyDescent="0.25">
      <c r="A18" s="350">
        <v>11</v>
      </c>
      <c r="B18" s="487">
        <v>45554</v>
      </c>
      <c r="C18" s="366" t="s">
        <v>5523</v>
      </c>
      <c r="D18" s="501" t="s">
        <v>5541</v>
      </c>
      <c r="E18" s="354" t="s">
        <v>4504</v>
      </c>
      <c r="F18" s="461"/>
      <c r="G18" s="369">
        <v>391</v>
      </c>
      <c r="H18" s="358">
        <f>G18*17040</f>
        <v>6662640</v>
      </c>
      <c r="I18" s="494"/>
      <c r="J18" s="381">
        <v>3579000</v>
      </c>
      <c r="K18" s="371"/>
      <c r="L18" s="372"/>
      <c r="M18" s="381"/>
      <c r="N18" s="381"/>
      <c r="O18" s="358">
        <f t="shared" si="0"/>
        <v>10241640</v>
      </c>
      <c r="P18" s="385">
        <v>20900000</v>
      </c>
      <c r="Q18" s="358">
        <f t="shared" si="1"/>
        <v>10658360</v>
      </c>
      <c r="R18" s="195"/>
      <c r="S18" s="195"/>
    </row>
    <row r="19" spans="1:19" ht="21.75" customHeight="1" x14ac:dyDescent="0.25">
      <c r="A19" s="350">
        <v>12</v>
      </c>
      <c r="B19" s="487">
        <v>45556</v>
      </c>
      <c r="C19" s="366" t="s">
        <v>5524</v>
      </c>
      <c r="D19" s="501" t="s">
        <v>5542</v>
      </c>
      <c r="E19" s="354" t="s">
        <v>4504</v>
      </c>
      <c r="F19" s="461"/>
      <c r="G19" s="369">
        <v>385</v>
      </c>
      <c r="H19" s="358">
        <f t="shared" ref="H19:H22" si="4">G19*17040</f>
        <v>6560400</v>
      </c>
      <c r="I19" s="494"/>
      <c r="J19" s="381">
        <v>3365000</v>
      </c>
      <c r="K19" s="371"/>
      <c r="L19" s="372"/>
      <c r="M19" s="381"/>
      <c r="N19" s="381"/>
      <c r="O19" s="358">
        <f t="shared" si="0"/>
        <v>9925400</v>
      </c>
      <c r="P19" s="385">
        <v>20900000</v>
      </c>
      <c r="Q19" s="358">
        <f t="shared" si="1"/>
        <v>10974600</v>
      </c>
      <c r="R19" s="195"/>
      <c r="S19" s="195"/>
    </row>
    <row r="20" spans="1:19" ht="21.75" customHeight="1" x14ac:dyDescent="0.25">
      <c r="A20" s="350">
        <v>13</v>
      </c>
      <c r="B20" s="487">
        <v>45558</v>
      </c>
      <c r="C20" s="366" t="s">
        <v>5525</v>
      </c>
      <c r="D20" s="501" t="s">
        <v>5543</v>
      </c>
      <c r="E20" s="354" t="s">
        <v>5550</v>
      </c>
      <c r="F20" s="461"/>
      <c r="G20" s="369">
        <v>163</v>
      </c>
      <c r="H20" s="358">
        <f t="shared" si="4"/>
        <v>2777520</v>
      </c>
      <c r="I20" s="494"/>
      <c r="J20" s="381">
        <v>1530000</v>
      </c>
      <c r="K20" s="371"/>
      <c r="L20" s="372"/>
      <c r="M20" s="381"/>
      <c r="N20" s="381"/>
      <c r="O20" s="358">
        <f t="shared" si="0"/>
        <v>4307520</v>
      </c>
      <c r="P20" s="385">
        <v>7400000</v>
      </c>
      <c r="Q20" s="358">
        <f t="shared" si="1"/>
        <v>3092480</v>
      </c>
      <c r="R20" s="195"/>
      <c r="S20" s="195"/>
    </row>
    <row r="21" spans="1:19" ht="21.75" customHeight="1" x14ac:dyDescent="0.25">
      <c r="A21" s="470">
        <v>14</v>
      </c>
      <c r="B21" s="487">
        <v>45559</v>
      </c>
      <c r="C21" s="366" t="s">
        <v>5526</v>
      </c>
      <c r="D21" s="501" t="s">
        <v>5544</v>
      </c>
      <c r="E21" s="354" t="s">
        <v>1029</v>
      </c>
      <c r="F21" s="461"/>
      <c r="G21" s="369">
        <v>90</v>
      </c>
      <c r="H21" s="358">
        <f t="shared" si="4"/>
        <v>1533600</v>
      </c>
      <c r="I21" s="494"/>
      <c r="J21" s="381">
        <v>790000</v>
      </c>
      <c r="K21" s="371"/>
      <c r="L21" s="372"/>
      <c r="M21" s="381"/>
      <c r="N21" s="381"/>
      <c r="O21" s="358">
        <f t="shared" si="0"/>
        <v>2323600</v>
      </c>
      <c r="P21" s="385">
        <v>3550000</v>
      </c>
      <c r="Q21" s="358">
        <f t="shared" si="1"/>
        <v>1226400</v>
      </c>
      <c r="R21" s="195"/>
      <c r="S21" s="195"/>
    </row>
    <row r="22" spans="1:19" ht="21.75" customHeight="1" x14ac:dyDescent="0.25">
      <c r="A22" s="350">
        <v>15</v>
      </c>
      <c r="B22" s="487">
        <v>45560</v>
      </c>
      <c r="C22" s="366" t="s">
        <v>5527</v>
      </c>
      <c r="D22" s="501" t="s">
        <v>5545</v>
      </c>
      <c r="E22" s="354" t="s">
        <v>286</v>
      </c>
      <c r="F22" s="461"/>
      <c r="G22" s="369">
        <v>68</v>
      </c>
      <c r="H22" s="358">
        <f t="shared" si="4"/>
        <v>1158720</v>
      </c>
      <c r="I22" s="494"/>
      <c r="J22" s="381">
        <v>790000</v>
      </c>
      <c r="K22" s="371"/>
      <c r="L22" s="372"/>
      <c r="M22" s="381"/>
      <c r="N22" s="381"/>
      <c r="O22" s="358">
        <f t="shared" si="0"/>
        <v>1948720</v>
      </c>
      <c r="P22" s="385">
        <v>3570000</v>
      </c>
      <c r="Q22" s="358">
        <f t="shared" si="1"/>
        <v>1621280</v>
      </c>
      <c r="R22" s="195"/>
      <c r="S22" s="195"/>
    </row>
    <row r="23" spans="1:19" ht="21.75" customHeight="1" x14ac:dyDescent="0.25">
      <c r="A23" s="350">
        <v>16</v>
      </c>
      <c r="B23" s="487">
        <v>45561</v>
      </c>
      <c r="C23" s="366" t="s">
        <v>5528</v>
      </c>
      <c r="D23" s="501" t="s">
        <v>5546</v>
      </c>
      <c r="E23" s="354" t="s">
        <v>4504</v>
      </c>
      <c r="F23" s="461"/>
      <c r="G23" s="369">
        <v>385</v>
      </c>
      <c r="H23" s="358">
        <f>G23*17500</f>
        <v>6737500</v>
      </c>
      <c r="I23" s="494"/>
      <c r="J23" s="381">
        <v>3126000</v>
      </c>
      <c r="K23" s="371"/>
      <c r="L23" s="372"/>
      <c r="M23" s="381"/>
      <c r="N23" s="381"/>
      <c r="O23" s="358">
        <f t="shared" si="0"/>
        <v>9863500</v>
      </c>
      <c r="P23" s="385">
        <v>20900000</v>
      </c>
      <c r="Q23" s="358">
        <f t="shared" si="1"/>
        <v>11036500</v>
      </c>
      <c r="R23" s="195"/>
      <c r="S23" s="195"/>
    </row>
    <row r="24" spans="1:19" ht="21.75" customHeight="1" x14ac:dyDescent="0.25">
      <c r="A24" s="350">
        <v>17</v>
      </c>
      <c r="B24" s="487">
        <v>45563</v>
      </c>
      <c r="C24" s="366" t="s">
        <v>5529</v>
      </c>
      <c r="D24" s="501" t="s">
        <v>5547</v>
      </c>
      <c r="E24" s="354" t="s">
        <v>850</v>
      </c>
      <c r="F24" s="461"/>
      <c r="G24" s="369">
        <v>123</v>
      </c>
      <c r="H24" s="358">
        <f t="shared" ref="H24:H25" si="5">G24*17500</f>
        <v>2152500</v>
      </c>
      <c r="I24" s="494"/>
      <c r="J24" s="381">
        <v>790000</v>
      </c>
      <c r="K24" s="371"/>
      <c r="L24" s="372"/>
      <c r="M24" s="381"/>
      <c r="N24" s="381"/>
      <c r="O24" s="358">
        <f t="shared" si="0"/>
        <v>2942500</v>
      </c>
      <c r="P24" s="385">
        <v>6187037</v>
      </c>
      <c r="Q24" s="358">
        <f t="shared" si="1"/>
        <v>3244537</v>
      </c>
      <c r="R24" s="195"/>
      <c r="S24" s="195"/>
    </row>
    <row r="25" spans="1:19" ht="21.75" customHeight="1" x14ac:dyDescent="0.25">
      <c r="A25" s="470">
        <v>18</v>
      </c>
      <c r="B25" s="487">
        <v>45565</v>
      </c>
      <c r="C25" s="366" t="s">
        <v>5530</v>
      </c>
      <c r="D25" s="501" t="s">
        <v>5548</v>
      </c>
      <c r="E25" s="354" t="s">
        <v>2959</v>
      </c>
      <c r="F25" s="461"/>
      <c r="G25" s="369">
        <v>59</v>
      </c>
      <c r="H25" s="358">
        <f t="shared" si="5"/>
        <v>1032500</v>
      </c>
      <c r="I25" s="494"/>
      <c r="J25" s="381">
        <v>430000</v>
      </c>
      <c r="K25" s="371"/>
      <c r="L25" s="372"/>
      <c r="M25" s="381"/>
      <c r="N25" s="381"/>
      <c r="O25" s="358">
        <f t="shared" si="0"/>
        <v>1462500</v>
      </c>
      <c r="P25" s="385">
        <v>2960000</v>
      </c>
      <c r="Q25" s="358">
        <f t="shared" si="1"/>
        <v>1497500</v>
      </c>
      <c r="R25" s="195"/>
      <c r="S25" s="195"/>
    </row>
    <row r="26" spans="1:19" ht="21.75" customHeight="1" x14ac:dyDescent="0.25">
      <c r="A26" s="350"/>
      <c r="B26" s="487"/>
      <c r="C26" s="366"/>
      <c r="D26" s="501"/>
      <c r="E26" s="354"/>
      <c r="F26" s="461"/>
      <c r="G26" s="369"/>
      <c r="H26" s="358"/>
      <c r="I26" s="494"/>
      <c r="J26" s="381"/>
      <c r="K26" s="371"/>
      <c r="L26" s="372"/>
      <c r="M26" s="381"/>
      <c r="N26" s="381"/>
      <c r="O26" s="385"/>
      <c r="P26" s="385"/>
      <c r="Q26" s="385"/>
      <c r="R26" s="195"/>
      <c r="S26" s="195"/>
    </row>
    <row r="27" spans="1:19" ht="24.95" customHeight="1" x14ac:dyDescent="0.25">
      <c r="A27" s="374"/>
      <c r="B27" s="488"/>
      <c r="C27" s="609" t="s">
        <v>1273</v>
      </c>
      <c r="D27" s="609"/>
      <c r="E27" s="609"/>
      <c r="F27" s="402"/>
      <c r="G27" s="358"/>
      <c r="H27" s="369"/>
      <c r="I27" s="403"/>
      <c r="J27" s="381"/>
      <c r="K27" s="372">
        <v>1200000</v>
      </c>
      <c r="L27" s="372"/>
      <c r="M27" s="381"/>
      <c r="N27" s="381"/>
      <c r="O27" s="385">
        <f>H27+J27+K27+L27+M27+N27</f>
        <v>1200000</v>
      </c>
      <c r="P27" s="358"/>
      <c r="Q27" s="385"/>
    </row>
    <row r="28" spans="1:19" ht="24.95" customHeight="1" x14ac:dyDescent="0.25">
      <c r="A28" s="386"/>
      <c r="B28" s="379"/>
      <c r="C28" s="594" t="s">
        <v>4535</v>
      </c>
      <c r="D28" s="595"/>
      <c r="E28" s="596"/>
      <c r="F28" s="402"/>
      <c r="G28" s="381"/>
      <c r="H28" s="369"/>
      <c r="J28" s="381"/>
      <c r="K28" s="388">
        <v>16504640</v>
      </c>
      <c r="L28" s="388"/>
      <c r="M28" s="381"/>
      <c r="N28" s="381"/>
      <c r="O28" s="385">
        <f t="shared" ref="O28:O41" si="6">H28+J28+K28+L28+M28+N28</f>
        <v>16504640</v>
      </c>
      <c r="P28" s="358"/>
      <c r="Q28" s="378"/>
    </row>
    <row r="29" spans="1:19" ht="24.95" customHeight="1" x14ac:dyDescent="0.25">
      <c r="A29" s="386"/>
      <c r="B29" s="379"/>
      <c r="C29" s="431" t="s">
        <v>5616</v>
      </c>
      <c r="D29" s="432"/>
      <c r="E29" s="433"/>
      <c r="F29" s="402"/>
      <c r="G29" s="381"/>
      <c r="H29" s="369"/>
      <c r="J29" s="381"/>
      <c r="K29" s="388"/>
      <c r="L29" s="388">
        <v>300000</v>
      </c>
      <c r="M29" s="381"/>
      <c r="N29" s="381"/>
      <c r="O29" s="385">
        <f t="shared" si="6"/>
        <v>300000</v>
      </c>
      <c r="P29" s="358"/>
      <c r="Q29" s="378"/>
    </row>
    <row r="30" spans="1:19" ht="24.95" customHeight="1" x14ac:dyDescent="0.25">
      <c r="A30" s="386"/>
      <c r="B30" s="379"/>
      <c r="C30" s="594" t="s">
        <v>5592</v>
      </c>
      <c r="D30" s="595"/>
      <c r="E30" s="596"/>
      <c r="F30" s="402"/>
      <c r="G30" s="381"/>
      <c r="H30" s="369"/>
      <c r="J30" s="381"/>
      <c r="K30" s="388"/>
      <c r="L30" s="388">
        <v>1306800</v>
      </c>
      <c r="M30" s="381"/>
      <c r="N30" s="388"/>
      <c r="O30" s="385">
        <f t="shared" si="6"/>
        <v>1306800</v>
      </c>
      <c r="P30" s="358"/>
      <c r="Q30" s="378"/>
    </row>
    <row r="31" spans="1:19" ht="24.95" customHeight="1" x14ac:dyDescent="0.25">
      <c r="A31" s="386"/>
      <c r="B31" s="379"/>
      <c r="C31" s="594" t="s">
        <v>5594</v>
      </c>
      <c r="D31" s="595"/>
      <c r="E31" s="596"/>
      <c r="F31" s="402"/>
      <c r="G31" s="381"/>
      <c r="H31" s="369"/>
      <c r="J31" s="381"/>
      <c r="K31" s="388"/>
      <c r="L31" s="388">
        <v>150000</v>
      </c>
      <c r="M31" s="388"/>
      <c r="N31" s="388"/>
      <c r="O31" s="385">
        <f t="shared" si="6"/>
        <v>150000</v>
      </c>
      <c r="P31" s="358"/>
      <c r="Q31" s="378"/>
    </row>
    <row r="32" spans="1:19" ht="24.95" customHeight="1" x14ac:dyDescent="0.25">
      <c r="A32" s="386"/>
      <c r="B32" s="379"/>
      <c r="C32" s="594" t="s">
        <v>5595</v>
      </c>
      <c r="D32" s="595"/>
      <c r="E32" s="596"/>
      <c r="F32" s="402"/>
      <c r="G32" s="381"/>
      <c r="H32" s="369"/>
      <c r="J32" s="381"/>
      <c r="K32" s="388"/>
      <c r="L32" s="388">
        <v>300000</v>
      </c>
      <c r="M32" s="381"/>
      <c r="N32" s="388"/>
      <c r="O32" s="385">
        <f t="shared" si="6"/>
        <v>300000</v>
      </c>
      <c r="P32" s="358"/>
      <c r="Q32" s="378"/>
    </row>
    <row r="33" spans="1:18" ht="24.95" customHeight="1" x14ac:dyDescent="0.25">
      <c r="A33" s="386"/>
      <c r="B33" s="379"/>
      <c r="C33" s="594" t="s">
        <v>5596</v>
      </c>
      <c r="D33" s="595"/>
      <c r="E33" s="596"/>
      <c r="F33" s="402"/>
      <c r="G33" s="381"/>
      <c r="H33" s="369"/>
      <c r="J33" s="381"/>
      <c r="K33" s="388"/>
      <c r="L33" s="388">
        <v>800000</v>
      </c>
      <c r="M33" s="381"/>
      <c r="N33" s="388"/>
      <c r="O33" s="385">
        <f t="shared" si="6"/>
        <v>800000</v>
      </c>
      <c r="P33" s="381"/>
      <c r="Q33" s="378"/>
    </row>
    <row r="34" spans="1:18" ht="24.95" customHeight="1" x14ac:dyDescent="0.25">
      <c r="A34" s="386"/>
      <c r="B34" s="379"/>
      <c r="C34" s="594" t="s">
        <v>5597</v>
      </c>
      <c r="D34" s="595"/>
      <c r="E34" s="596"/>
      <c r="F34" s="402"/>
      <c r="G34" s="381"/>
      <c r="H34" s="369"/>
      <c r="J34" s="381"/>
      <c r="K34" s="388"/>
      <c r="L34" s="388"/>
      <c r="M34" s="388">
        <v>11800000</v>
      </c>
      <c r="N34" s="388"/>
      <c r="O34" s="385">
        <f t="shared" si="6"/>
        <v>11800000</v>
      </c>
      <c r="P34" s="381"/>
      <c r="Q34" s="378"/>
    </row>
    <row r="35" spans="1:18" ht="24.95" customHeight="1" x14ac:dyDescent="0.25">
      <c r="A35" s="386"/>
      <c r="B35" s="379"/>
      <c r="C35" s="594" t="s">
        <v>5601</v>
      </c>
      <c r="D35" s="595"/>
      <c r="E35" s="596"/>
      <c r="F35" s="402"/>
      <c r="G35" s="381"/>
      <c r="H35" s="369"/>
      <c r="J35" s="381"/>
      <c r="K35" s="388"/>
      <c r="L35" s="388">
        <v>1400000</v>
      </c>
      <c r="M35" s="381"/>
      <c r="N35" s="388"/>
      <c r="O35" s="385">
        <f t="shared" si="6"/>
        <v>1400000</v>
      </c>
      <c r="P35" s="381"/>
      <c r="Q35" s="378"/>
    </row>
    <row r="36" spans="1:18" ht="24.95" customHeight="1" x14ac:dyDescent="0.25">
      <c r="A36" s="386"/>
      <c r="B36" s="379"/>
      <c r="C36" s="594" t="s">
        <v>5602</v>
      </c>
      <c r="D36" s="595"/>
      <c r="E36" s="596"/>
      <c r="F36" s="402"/>
      <c r="G36" s="381"/>
      <c r="H36" s="369"/>
      <c r="J36" s="381"/>
      <c r="K36" s="388"/>
      <c r="L36" s="388">
        <v>240000</v>
      </c>
      <c r="M36" s="381"/>
      <c r="N36" s="388"/>
      <c r="O36" s="385">
        <f t="shared" si="6"/>
        <v>240000</v>
      </c>
      <c r="P36" s="381"/>
      <c r="Q36" s="378"/>
    </row>
    <row r="37" spans="1:18" ht="24.95" customHeight="1" x14ac:dyDescent="0.25">
      <c r="A37" s="386"/>
      <c r="B37" s="379"/>
      <c r="C37" s="594" t="s">
        <v>5603</v>
      </c>
      <c r="D37" s="595"/>
      <c r="E37" s="596"/>
      <c r="F37" s="402"/>
      <c r="G37" s="381"/>
      <c r="H37" s="369"/>
      <c r="J37" s="381"/>
      <c r="K37" s="388"/>
      <c r="L37" s="388">
        <v>450000</v>
      </c>
      <c r="M37" s="381"/>
      <c r="N37" s="388"/>
      <c r="O37" s="385">
        <f t="shared" si="6"/>
        <v>450000</v>
      </c>
      <c r="P37" s="381"/>
      <c r="Q37" s="378"/>
    </row>
    <row r="38" spans="1:18" ht="24.95" customHeight="1" x14ac:dyDescent="0.25">
      <c r="A38" s="386"/>
      <c r="B38" s="379"/>
      <c r="C38" s="594" t="s">
        <v>5608</v>
      </c>
      <c r="D38" s="595"/>
      <c r="E38" s="596"/>
      <c r="F38" s="402"/>
      <c r="G38" s="381"/>
      <c r="H38" s="369"/>
      <c r="J38" s="381"/>
      <c r="K38" s="388"/>
      <c r="L38" s="388">
        <v>2808000</v>
      </c>
      <c r="M38" s="381"/>
      <c r="N38" s="388"/>
      <c r="O38" s="385">
        <f t="shared" si="6"/>
        <v>2808000</v>
      </c>
      <c r="P38" s="381"/>
      <c r="Q38" s="378"/>
    </row>
    <row r="39" spans="1:18" ht="24.95" customHeight="1" x14ac:dyDescent="0.25">
      <c r="A39" s="386"/>
      <c r="B39" s="379"/>
      <c r="C39" s="594" t="s">
        <v>5610</v>
      </c>
      <c r="D39" s="595"/>
      <c r="E39" s="596"/>
      <c r="F39" s="402"/>
      <c r="G39" s="381"/>
      <c r="H39" s="369"/>
      <c r="J39" s="381"/>
      <c r="K39" s="388"/>
      <c r="L39" s="388"/>
      <c r="M39" s="388">
        <v>9800000</v>
      </c>
      <c r="N39" s="388"/>
      <c r="O39" s="385">
        <f t="shared" si="6"/>
        <v>9800000</v>
      </c>
      <c r="P39" s="381"/>
      <c r="Q39" s="378"/>
    </row>
    <row r="40" spans="1:18" ht="24.95" customHeight="1" x14ac:dyDescent="0.25">
      <c r="A40" s="386"/>
      <c r="B40" s="379"/>
      <c r="C40" s="594" t="s">
        <v>5611</v>
      </c>
      <c r="D40" s="595"/>
      <c r="E40" s="596"/>
      <c r="F40" s="402"/>
      <c r="G40" s="381"/>
      <c r="H40" s="369"/>
      <c r="J40" s="381"/>
      <c r="K40" s="388"/>
      <c r="L40" s="388"/>
      <c r="M40" s="388">
        <v>9800000</v>
      </c>
      <c r="N40" s="388"/>
      <c r="O40" s="385">
        <f t="shared" si="6"/>
        <v>9800000</v>
      </c>
      <c r="P40" s="381"/>
      <c r="Q40" s="378"/>
    </row>
    <row r="41" spans="1:18" ht="24.95" customHeight="1" x14ac:dyDescent="0.25">
      <c r="A41" s="386"/>
      <c r="B41" s="379"/>
      <c r="C41" s="594" t="s">
        <v>5612</v>
      </c>
      <c r="D41" s="595"/>
      <c r="E41" s="596"/>
      <c r="F41" s="402"/>
      <c r="G41" s="381"/>
      <c r="H41" s="369"/>
      <c r="J41" s="381"/>
      <c r="K41" s="388"/>
      <c r="L41" s="388">
        <v>1240000</v>
      </c>
      <c r="M41" s="381"/>
      <c r="N41" s="388"/>
      <c r="O41" s="385">
        <f t="shared" si="6"/>
        <v>1240000</v>
      </c>
      <c r="P41" s="381"/>
      <c r="Q41" s="378"/>
    </row>
    <row r="42" spans="1:18" ht="24.95" customHeight="1" x14ac:dyDescent="0.25">
      <c r="A42" s="386"/>
      <c r="B42" s="391"/>
      <c r="C42" s="579" t="s">
        <v>4668</v>
      </c>
      <c r="D42" s="580"/>
      <c r="E42" s="581"/>
      <c r="F42" s="461"/>
      <c r="G42" s="381"/>
      <c r="H42" s="369"/>
      <c r="I42" s="403"/>
      <c r="J42" s="381"/>
      <c r="K42" s="394">
        <v>8000000</v>
      </c>
      <c r="L42" s="394"/>
      <c r="M42" s="381"/>
      <c r="N42" s="381"/>
      <c r="O42" s="385">
        <f>H42+J42+K42+L42+M42+N42</f>
        <v>8000000</v>
      </c>
      <c r="P42" s="509"/>
      <c r="Q42" s="378"/>
    </row>
    <row r="43" spans="1:18" x14ac:dyDescent="0.25">
      <c r="A43" s="576" t="s">
        <v>19</v>
      </c>
      <c r="B43" s="577"/>
      <c r="C43" s="577"/>
      <c r="D43" s="577"/>
      <c r="E43" s="577"/>
      <c r="F43" s="578"/>
      <c r="G43" s="395">
        <f>SUM(G8:G42)</f>
        <v>3789</v>
      </c>
      <c r="H43" s="396">
        <f t="shared" ref="H43:P43" si="7">SUM(H7:H42)</f>
        <v>66235520</v>
      </c>
      <c r="I43" s="396">
        <f t="shared" si="7"/>
        <v>0</v>
      </c>
      <c r="J43" s="396">
        <f t="shared" si="7"/>
        <v>32534000</v>
      </c>
      <c r="K43" s="396">
        <f t="shared" si="7"/>
        <v>25704640</v>
      </c>
      <c r="L43" s="396">
        <f t="shared" si="7"/>
        <v>8994800</v>
      </c>
      <c r="M43" s="396">
        <f t="shared" si="7"/>
        <v>31400000</v>
      </c>
      <c r="N43" s="396">
        <f t="shared" si="7"/>
        <v>0</v>
      </c>
      <c r="O43" s="396">
        <f t="shared" si="7"/>
        <v>164868960</v>
      </c>
      <c r="P43" s="397">
        <f t="shared" si="7"/>
        <v>192867036</v>
      </c>
      <c r="Q43" s="396">
        <f>P43-O43</f>
        <v>27998076</v>
      </c>
      <c r="R43" s="195"/>
    </row>
    <row r="44" spans="1:18" x14ac:dyDescent="0.25">
      <c r="P44" s="294"/>
      <c r="Q44" s="295"/>
    </row>
    <row r="45" spans="1:18" x14ac:dyDescent="0.25">
      <c r="B45"/>
      <c r="G45"/>
      <c r="H45" s="294"/>
      <c r="P45" s="296" t="s">
        <v>1225</v>
      </c>
      <c r="Q45" s="295">
        <f>'08.2024'!Q37+'09.2024'!Q43</f>
        <v>282860811</v>
      </c>
    </row>
    <row r="46" spans="1:18" x14ac:dyDescent="0.25">
      <c r="B46"/>
      <c r="G46"/>
      <c r="Q46" s="294"/>
    </row>
    <row r="47" spans="1:18" x14ac:dyDescent="0.25">
      <c r="B47"/>
      <c r="G47"/>
      <c r="R47" s="195"/>
    </row>
  </sheetData>
  <mergeCells count="20">
    <mergeCell ref="C28:E28"/>
    <mergeCell ref="C33:E33"/>
    <mergeCell ref="C34:E34"/>
    <mergeCell ref="C35:E35"/>
    <mergeCell ref="C36:E36"/>
    <mergeCell ref="C30:E30"/>
    <mergeCell ref="C31:E31"/>
    <mergeCell ref="C32:E32"/>
    <mergeCell ref="A1:Q1"/>
    <mergeCell ref="A2:Q2"/>
    <mergeCell ref="A3:Q3"/>
    <mergeCell ref="G5:N5"/>
    <mergeCell ref="C27:E27"/>
    <mergeCell ref="C42:E42"/>
    <mergeCell ref="A43:F43"/>
    <mergeCell ref="C37:E37"/>
    <mergeCell ref="C38:E38"/>
    <mergeCell ref="C39:E39"/>
    <mergeCell ref="C40:E40"/>
    <mergeCell ref="C41:E41"/>
  </mergeCells>
  <pageMargins left="0.7" right="0.7" top="0.75" bottom="0.75" header="0.3" footer="0.3"/>
  <pageSetup paperSize="9" orientation="portrait" horizontalDpi="0" verticalDpi="0"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D0BAE-EE56-499B-8237-4F36ECC4FFD4}">
  <dimension ref="A1:U45"/>
  <sheetViews>
    <sheetView tabSelected="1" workbookViewId="0">
      <selection activeCell="H35" sqref="H35"/>
    </sheetView>
  </sheetViews>
  <sheetFormatPr defaultColWidth="9.140625" defaultRowHeight="15" x14ac:dyDescent="0.25"/>
  <cols>
    <col min="1" max="1" width="4.5703125" customWidth="1"/>
    <col min="2" max="2" width="9.28515625" style="332" bestFit="1" customWidth="1"/>
    <col min="3" max="3" width="33.42578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21" ht="23.25" x14ac:dyDescent="0.25">
      <c r="A1" s="551" t="s">
        <v>0</v>
      </c>
      <c r="B1" s="551"/>
      <c r="C1" s="551"/>
      <c r="D1" s="551"/>
      <c r="E1" s="551"/>
      <c r="F1" s="551"/>
      <c r="G1" s="551"/>
      <c r="H1" s="551"/>
      <c r="I1" s="551"/>
      <c r="J1" s="551"/>
      <c r="K1" s="551"/>
      <c r="L1" s="551"/>
      <c r="M1" s="551"/>
      <c r="N1" s="551"/>
      <c r="O1" s="551"/>
      <c r="P1" s="551"/>
      <c r="Q1" s="551"/>
    </row>
    <row r="2" spans="1:21" ht="15.75" x14ac:dyDescent="0.25">
      <c r="A2" s="550" t="s">
        <v>103</v>
      </c>
      <c r="B2" s="550"/>
      <c r="C2" s="550"/>
      <c r="D2" s="550"/>
      <c r="E2" s="550"/>
      <c r="F2" s="550"/>
      <c r="G2" s="550"/>
      <c r="H2" s="550"/>
      <c r="I2" s="550"/>
      <c r="J2" s="550"/>
      <c r="K2" s="550"/>
      <c r="L2" s="550"/>
      <c r="M2" s="550"/>
      <c r="N2" s="550"/>
      <c r="O2" s="550"/>
      <c r="P2" s="550"/>
      <c r="Q2" s="550"/>
    </row>
    <row r="3" spans="1:21" ht="15.75" x14ac:dyDescent="0.25">
      <c r="A3" s="550" t="s">
        <v>5622</v>
      </c>
      <c r="B3" s="550"/>
      <c r="C3" s="550"/>
      <c r="D3" s="550"/>
      <c r="E3" s="550"/>
      <c r="F3" s="550"/>
      <c r="G3" s="550"/>
      <c r="H3" s="550"/>
      <c r="I3" s="550"/>
      <c r="J3" s="550"/>
      <c r="K3" s="550"/>
      <c r="L3" s="550"/>
      <c r="M3" s="550"/>
      <c r="N3" s="550"/>
      <c r="O3" s="550"/>
      <c r="P3" s="550"/>
      <c r="Q3" s="550"/>
    </row>
    <row r="4" spans="1:21" x14ac:dyDescent="0.25">
      <c r="A4" s="74"/>
      <c r="B4" s="99"/>
      <c r="C4" s="74"/>
      <c r="D4" s="74"/>
      <c r="E4" s="74" t="s">
        <v>194</v>
      </c>
      <c r="F4" s="74"/>
      <c r="G4" s="257"/>
      <c r="H4" s="258"/>
      <c r="I4" s="258"/>
      <c r="J4" s="258"/>
      <c r="K4" s="258"/>
      <c r="L4" s="91"/>
      <c r="M4" s="258"/>
      <c r="N4" s="258"/>
      <c r="O4" s="258"/>
      <c r="P4" s="258"/>
      <c r="Q4" s="258"/>
    </row>
    <row r="5" spans="1:21"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21"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21" x14ac:dyDescent="0.25">
      <c r="A7" s="75"/>
      <c r="B7" s="100"/>
      <c r="C7" s="88"/>
      <c r="D7" s="88"/>
      <c r="E7" s="134"/>
      <c r="F7" s="75"/>
      <c r="G7" s="264"/>
      <c r="H7" s="264"/>
      <c r="I7" s="264"/>
      <c r="J7" s="264"/>
      <c r="K7" s="264"/>
      <c r="L7" s="308"/>
      <c r="M7" s="264"/>
      <c r="N7" s="264"/>
      <c r="O7" s="265"/>
      <c r="P7" s="265"/>
      <c r="Q7" s="264"/>
    </row>
    <row r="8" spans="1:21" ht="21.75" customHeight="1" x14ac:dyDescent="0.25">
      <c r="A8" s="470">
        <v>1</v>
      </c>
      <c r="B8" s="472">
        <v>45566</v>
      </c>
      <c r="C8" s="366" t="s">
        <v>5551</v>
      </c>
      <c r="D8" s="500" t="s">
        <v>5559</v>
      </c>
      <c r="E8" s="354" t="s">
        <v>4504</v>
      </c>
      <c r="F8" s="368"/>
      <c r="G8" s="369">
        <v>372</v>
      </c>
      <c r="H8" s="358">
        <f>G8*17500</f>
        <v>6510000</v>
      </c>
      <c r="I8" s="358"/>
      <c r="J8" s="358">
        <v>5300000</v>
      </c>
      <c r="K8" s="371"/>
      <c r="L8" s="372"/>
      <c r="M8" s="358"/>
      <c r="N8" s="358"/>
      <c r="O8" s="358">
        <f t="shared" ref="O8:O25" si="0">H8+J8+K8+L8+M8+N8</f>
        <v>11810000</v>
      </c>
      <c r="P8" s="358">
        <v>20900000</v>
      </c>
      <c r="Q8" s="358">
        <f>P8-O8</f>
        <v>9090000</v>
      </c>
      <c r="R8" s="195"/>
      <c r="S8" s="195"/>
    </row>
    <row r="9" spans="1:21" ht="21.75" customHeight="1" x14ac:dyDescent="0.25">
      <c r="A9" s="350">
        <v>2</v>
      </c>
      <c r="B9" s="482">
        <v>45568</v>
      </c>
      <c r="C9" s="366" t="s">
        <v>5552</v>
      </c>
      <c r="D9" s="501" t="s">
        <v>5560</v>
      </c>
      <c r="E9" s="354" t="s">
        <v>21</v>
      </c>
      <c r="F9" s="368"/>
      <c r="G9" s="369">
        <v>247</v>
      </c>
      <c r="H9" s="358">
        <f>G9*17400</f>
        <v>4297800</v>
      </c>
      <c r="I9" s="358"/>
      <c r="J9" s="358">
        <v>2740000</v>
      </c>
      <c r="K9" s="371"/>
      <c r="L9" s="372"/>
      <c r="M9" s="358"/>
      <c r="N9" s="358"/>
      <c r="O9" s="358">
        <f t="shared" si="0"/>
        <v>7037800</v>
      </c>
      <c r="P9" s="385">
        <v>12037037</v>
      </c>
      <c r="Q9" s="358">
        <f t="shared" ref="Q9:Q25" si="1">P9-O9</f>
        <v>4999237</v>
      </c>
      <c r="R9" s="195"/>
      <c r="S9" s="195"/>
    </row>
    <row r="10" spans="1:21" ht="21.75" customHeight="1" x14ac:dyDescent="0.25">
      <c r="A10" s="350">
        <v>3</v>
      </c>
      <c r="B10" s="482">
        <v>45569</v>
      </c>
      <c r="C10" s="366" t="s">
        <v>5553</v>
      </c>
      <c r="D10" s="501" t="s">
        <v>5561</v>
      </c>
      <c r="E10" s="354" t="s">
        <v>24</v>
      </c>
      <c r="F10" s="368"/>
      <c r="G10" s="369">
        <v>183</v>
      </c>
      <c r="H10" s="358">
        <f t="shared" ref="H10:H12" si="2">G10*17400</f>
        <v>3184200</v>
      </c>
      <c r="I10" s="358"/>
      <c r="J10" s="358">
        <v>1890000</v>
      </c>
      <c r="K10" s="371"/>
      <c r="L10" s="372"/>
      <c r="M10" s="358"/>
      <c r="N10" s="358"/>
      <c r="O10" s="358">
        <f t="shared" si="0"/>
        <v>5074200</v>
      </c>
      <c r="P10" s="385">
        <v>8296296</v>
      </c>
      <c r="Q10" s="358">
        <f t="shared" si="1"/>
        <v>3222096</v>
      </c>
      <c r="R10" s="195"/>
      <c r="S10" s="195"/>
    </row>
    <row r="11" spans="1:21" ht="21.75" customHeight="1" x14ac:dyDescent="0.25">
      <c r="A11" s="350">
        <v>4</v>
      </c>
      <c r="B11" s="482">
        <v>45570</v>
      </c>
      <c r="C11" s="366" t="s">
        <v>5554</v>
      </c>
      <c r="D11" s="501" t="s">
        <v>3639</v>
      </c>
      <c r="E11" s="354" t="s">
        <v>286</v>
      </c>
      <c r="F11" s="368"/>
      <c r="G11" s="369">
        <v>69</v>
      </c>
      <c r="H11" s="358">
        <f t="shared" si="2"/>
        <v>1200600</v>
      </c>
      <c r="I11" s="358"/>
      <c r="J11" s="358">
        <v>1150000</v>
      </c>
      <c r="K11" s="371"/>
      <c r="L11" s="372"/>
      <c r="M11" s="358"/>
      <c r="N11" s="358"/>
      <c r="O11" s="358">
        <f t="shared" si="0"/>
        <v>2350600</v>
      </c>
      <c r="P11" s="385">
        <v>3570000</v>
      </c>
      <c r="Q11" s="358">
        <f t="shared" si="1"/>
        <v>1219400</v>
      </c>
      <c r="R11" s="195"/>
      <c r="S11" s="195"/>
      <c r="U11" s="195"/>
    </row>
    <row r="12" spans="1:21" ht="21.75" customHeight="1" x14ac:dyDescent="0.25">
      <c r="A12" s="470">
        <v>5</v>
      </c>
      <c r="B12" s="482">
        <v>45572</v>
      </c>
      <c r="C12" s="366" t="s">
        <v>5555</v>
      </c>
      <c r="D12" s="501" t="s">
        <v>5562</v>
      </c>
      <c r="E12" s="354" t="s">
        <v>2959</v>
      </c>
      <c r="F12" s="368"/>
      <c r="G12" s="369">
        <v>59</v>
      </c>
      <c r="H12" s="358">
        <f t="shared" si="2"/>
        <v>1026600</v>
      </c>
      <c r="I12" s="358"/>
      <c r="J12" s="358">
        <v>790000</v>
      </c>
      <c r="K12" s="371"/>
      <c r="L12" s="372"/>
      <c r="M12" s="358"/>
      <c r="N12" s="358"/>
      <c r="O12" s="358">
        <f t="shared" si="0"/>
        <v>1816600</v>
      </c>
      <c r="P12" s="385">
        <v>2960000</v>
      </c>
      <c r="Q12" s="358">
        <f t="shared" si="1"/>
        <v>1143400</v>
      </c>
      <c r="R12" s="195"/>
      <c r="S12" s="195"/>
    </row>
    <row r="13" spans="1:21" ht="21.75" customHeight="1" x14ac:dyDescent="0.25">
      <c r="A13" s="350">
        <v>6</v>
      </c>
      <c r="B13" s="482">
        <v>45573</v>
      </c>
      <c r="C13" s="366" t="s">
        <v>5556</v>
      </c>
      <c r="D13" s="501" t="s">
        <v>5563</v>
      </c>
      <c r="E13" s="354" t="s">
        <v>301</v>
      </c>
      <c r="F13" s="368"/>
      <c r="G13" s="369">
        <v>343</v>
      </c>
      <c r="H13" s="358">
        <f>G13*18500</f>
        <v>6345500</v>
      </c>
      <c r="I13" s="358"/>
      <c r="J13" s="358">
        <v>3820000</v>
      </c>
      <c r="K13" s="371"/>
      <c r="L13" s="372"/>
      <c r="M13" s="358"/>
      <c r="N13" s="358"/>
      <c r="O13" s="358">
        <f t="shared" si="0"/>
        <v>10165500</v>
      </c>
      <c r="P13" s="385">
        <v>18518519</v>
      </c>
      <c r="Q13" s="358">
        <f t="shared" si="1"/>
        <v>8353019</v>
      </c>
      <c r="R13" s="195"/>
      <c r="S13" s="195"/>
    </row>
    <row r="14" spans="1:21" ht="21.75" customHeight="1" x14ac:dyDescent="0.25">
      <c r="A14" s="350">
        <v>7</v>
      </c>
      <c r="B14" s="482">
        <v>45573</v>
      </c>
      <c r="C14" s="366" t="s">
        <v>5556</v>
      </c>
      <c r="D14" s="501" t="s">
        <v>5564</v>
      </c>
      <c r="E14" s="354" t="s">
        <v>301</v>
      </c>
      <c r="F14" s="368"/>
      <c r="G14" s="369"/>
      <c r="H14" s="358">
        <f t="shared" ref="H14:H17" si="3">G14*18500</f>
        <v>0</v>
      </c>
      <c r="I14" s="358"/>
      <c r="J14" s="358"/>
      <c r="K14" s="371"/>
      <c r="L14" s="372"/>
      <c r="M14" s="358"/>
      <c r="N14" s="358"/>
      <c r="O14" s="358">
        <f t="shared" si="0"/>
        <v>0</v>
      </c>
      <c r="P14" s="385">
        <v>0</v>
      </c>
      <c r="Q14" s="358">
        <f t="shared" si="1"/>
        <v>0</v>
      </c>
      <c r="R14" s="195"/>
      <c r="S14" s="195"/>
    </row>
    <row r="15" spans="1:21" ht="21.75" customHeight="1" x14ac:dyDescent="0.25">
      <c r="A15" s="350">
        <v>8</v>
      </c>
      <c r="B15" s="482">
        <v>45575</v>
      </c>
      <c r="C15" s="366" t="s">
        <v>4004</v>
      </c>
      <c r="D15" s="501" t="s">
        <v>5565</v>
      </c>
      <c r="E15" s="354" t="s">
        <v>2959</v>
      </c>
      <c r="F15" s="368"/>
      <c r="G15" s="369">
        <v>59</v>
      </c>
      <c r="H15" s="358">
        <f t="shared" si="3"/>
        <v>1091500</v>
      </c>
      <c r="I15" s="358"/>
      <c r="J15" s="358">
        <v>790000</v>
      </c>
      <c r="K15" s="371"/>
      <c r="L15" s="372"/>
      <c r="M15" s="358"/>
      <c r="N15" s="358"/>
      <c r="O15" s="358">
        <f t="shared" si="0"/>
        <v>1881500</v>
      </c>
      <c r="P15" s="385">
        <v>2960000</v>
      </c>
      <c r="Q15" s="358">
        <f t="shared" si="1"/>
        <v>1078500</v>
      </c>
      <c r="R15" s="195"/>
      <c r="S15" s="195"/>
      <c r="U15" s="195"/>
    </row>
    <row r="16" spans="1:21" ht="21.75" customHeight="1" x14ac:dyDescent="0.25">
      <c r="A16" s="470">
        <v>9</v>
      </c>
      <c r="B16" s="482">
        <v>45577</v>
      </c>
      <c r="C16" s="366" t="s">
        <v>5557</v>
      </c>
      <c r="D16" s="501" t="s">
        <v>5566</v>
      </c>
      <c r="E16" s="354" t="s">
        <v>850</v>
      </c>
      <c r="F16" s="368"/>
      <c r="G16" s="369">
        <v>114</v>
      </c>
      <c r="H16" s="358">
        <f t="shared" si="3"/>
        <v>2109000</v>
      </c>
      <c r="I16" s="358"/>
      <c r="J16" s="358">
        <v>1150000</v>
      </c>
      <c r="K16" s="371"/>
      <c r="L16" s="372"/>
      <c r="M16" s="381"/>
      <c r="N16" s="358"/>
      <c r="O16" s="358">
        <f t="shared" si="0"/>
        <v>3259000</v>
      </c>
      <c r="P16" s="385">
        <v>4900000</v>
      </c>
      <c r="Q16" s="358">
        <f t="shared" si="1"/>
        <v>1641000</v>
      </c>
      <c r="R16" s="195"/>
      <c r="S16" s="195"/>
    </row>
    <row r="17" spans="1:19" ht="21.75" customHeight="1" x14ac:dyDescent="0.25">
      <c r="A17" s="470">
        <v>10</v>
      </c>
      <c r="B17" s="487">
        <v>45580</v>
      </c>
      <c r="C17" s="366" t="s">
        <v>661</v>
      </c>
      <c r="D17" s="501" t="s">
        <v>5567</v>
      </c>
      <c r="E17" s="354" t="s">
        <v>2959</v>
      </c>
      <c r="F17" s="461"/>
      <c r="G17" s="369">
        <v>59</v>
      </c>
      <c r="H17" s="358">
        <f t="shared" si="3"/>
        <v>1091500</v>
      </c>
      <c r="I17" s="494"/>
      <c r="J17" s="358">
        <v>790000</v>
      </c>
      <c r="K17" s="371"/>
      <c r="L17" s="372"/>
      <c r="N17" s="381"/>
      <c r="O17" s="358">
        <f t="shared" si="0"/>
        <v>1881500</v>
      </c>
      <c r="P17" s="385">
        <v>2960000</v>
      </c>
      <c r="Q17" s="358">
        <f t="shared" si="1"/>
        <v>1078500</v>
      </c>
      <c r="R17" s="195"/>
      <c r="S17" s="195"/>
    </row>
    <row r="18" spans="1:19" ht="21.75" customHeight="1" x14ac:dyDescent="0.25">
      <c r="A18" s="350">
        <v>11</v>
      </c>
      <c r="B18" s="487">
        <v>45581</v>
      </c>
      <c r="C18" s="366" t="s">
        <v>1400</v>
      </c>
      <c r="D18" s="501" t="s">
        <v>5568</v>
      </c>
      <c r="E18" s="354" t="s">
        <v>4504</v>
      </c>
      <c r="F18" s="461"/>
      <c r="G18" s="369">
        <v>378</v>
      </c>
      <c r="H18" s="358">
        <f>G18*18320</f>
        <v>6924960</v>
      </c>
      <c r="I18" s="494"/>
      <c r="J18" s="358">
        <v>5300000</v>
      </c>
      <c r="K18" s="371"/>
      <c r="L18" s="372"/>
      <c r="M18" s="381"/>
      <c r="N18" s="381"/>
      <c r="O18" s="358">
        <f t="shared" si="0"/>
        <v>12224960</v>
      </c>
      <c r="P18" s="385">
        <v>20900000</v>
      </c>
      <c r="Q18" s="358">
        <f t="shared" si="1"/>
        <v>8675040</v>
      </c>
      <c r="R18" s="195"/>
      <c r="S18" s="195"/>
    </row>
    <row r="19" spans="1:19" ht="21.75" customHeight="1" x14ac:dyDescent="0.25">
      <c r="A19" s="350">
        <v>12</v>
      </c>
      <c r="B19" s="487">
        <v>45583</v>
      </c>
      <c r="C19" s="366" t="s">
        <v>3332</v>
      </c>
      <c r="D19" s="501" t="s">
        <v>5569</v>
      </c>
      <c r="E19" s="354" t="s">
        <v>497</v>
      </c>
      <c r="F19" s="461"/>
      <c r="G19" s="369">
        <v>85</v>
      </c>
      <c r="H19" s="358">
        <f t="shared" ref="H19:H22" si="4">G19*18320</f>
        <v>1557200</v>
      </c>
      <c r="I19" s="494"/>
      <c r="J19" s="381">
        <v>1150000</v>
      </c>
      <c r="K19" s="371"/>
      <c r="L19" s="372"/>
      <c r="M19" s="381"/>
      <c r="N19" s="381"/>
      <c r="O19" s="358">
        <f t="shared" si="0"/>
        <v>2707200</v>
      </c>
      <c r="P19" s="385">
        <v>4300000</v>
      </c>
      <c r="Q19" s="358">
        <f t="shared" si="1"/>
        <v>1592800</v>
      </c>
      <c r="R19" s="195"/>
      <c r="S19" s="195"/>
    </row>
    <row r="20" spans="1:19" ht="21.75" customHeight="1" x14ac:dyDescent="0.25">
      <c r="A20" s="350">
        <v>13</v>
      </c>
      <c r="B20" s="487">
        <v>45584</v>
      </c>
      <c r="C20" s="366" t="s">
        <v>2081</v>
      </c>
      <c r="D20" s="501" t="s">
        <v>5570</v>
      </c>
      <c r="E20" s="354" t="s">
        <v>4504</v>
      </c>
      <c r="F20" s="461"/>
      <c r="G20" s="369">
        <v>382</v>
      </c>
      <c r="H20" s="358">
        <f t="shared" si="4"/>
        <v>6998240</v>
      </c>
      <c r="I20" s="494"/>
      <c r="J20" s="381">
        <v>5300000</v>
      </c>
      <c r="K20" s="371"/>
      <c r="L20" s="372"/>
      <c r="M20" s="381"/>
      <c r="N20" s="381"/>
      <c r="O20" s="358">
        <f t="shared" si="0"/>
        <v>12298240</v>
      </c>
      <c r="P20" s="385">
        <v>20900000</v>
      </c>
      <c r="Q20" s="358">
        <f t="shared" si="1"/>
        <v>8601760</v>
      </c>
      <c r="R20" s="195"/>
      <c r="S20" s="195"/>
    </row>
    <row r="21" spans="1:19" ht="21.75" customHeight="1" x14ac:dyDescent="0.25">
      <c r="A21" s="470">
        <v>14</v>
      </c>
      <c r="B21" s="487">
        <v>45586</v>
      </c>
      <c r="C21" s="366" t="s">
        <v>5558</v>
      </c>
      <c r="D21" s="501" t="s">
        <v>5571</v>
      </c>
      <c r="E21" s="354" t="s">
        <v>5576</v>
      </c>
      <c r="F21" s="461"/>
      <c r="G21" s="369">
        <v>64</v>
      </c>
      <c r="H21" s="358">
        <f t="shared" si="4"/>
        <v>1172480</v>
      </c>
      <c r="I21" s="494"/>
      <c r="J21" s="381">
        <v>790000</v>
      </c>
      <c r="K21" s="371"/>
      <c r="L21" s="372"/>
      <c r="M21" s="381"/>
      <c r="N21" s="381"/>
      <c r="O21" s="358">
        <f t="shared" si="0"/>
        <v>1962480</v>
      </c>
      <c r="P21" s="385">
        <v>2970000</v>
      </c>
      <c r="Q21" s="358">
        <f t="shared" si="1"/>
        <v>1007520</v>
      </c>
      <c r="R21" s="195"/>
      <c r="S21" s="195"/>
    </row>
    <row r="22" spans="1:19" ht="21.75" customHeight="1" x14ac:dyDescent="0.25">
      <c r="A22" s="350">
        <v>15</v>
      </c>
      <c r="B22" s="487">
        <v>45587</v>
      </c>
      <c r="C22" s="366" t="s">
        <v>5068</v>
      </c>
      <c r="D22" s="501" t="s">
        <v>5572</v>
      </c>
      <c r="E22" s="354" t="s">
        <v>24</v>
      </c>
      <c r="F22" s="461"/>
      <c r="G22" s="369">
        <v>180</v>
      </c>
      <c r="H22" s="358">
        <f t="shared" si="4"/>
        <v>3297600</v>
      </c>
      <c r="I22" s="494"/>
      <c r="J22" s="381">
        <v>1890000</v>
      </c>
      <c r="K22" s="371"/>
      <c r="L22" s="372"/>
      <c r="M22" s="381"/>
      <c r="N22" s="381"/>
      <c r="O22" s="358">
        <f t="shared" si="0"/>
        <v>5187600</v>
      </c>
      <c r="P22" s="385">
        <v>7833333</v>
      </c>
      <c r="Q22" s="358">
        <f t="shared" si="1"/>
        <v>2645733</v>
      </c>
      <c r="R22" s="195"/>
      <c r="S22" s="195"/>
    </row>
    <row r="23" spans="1:19" ht="21.75" customHeight="1" x14ac:dyDescent="0.25">
      <c r="A23" s="350">
        <v>16</v>
      </c>
      <c r="B23" s="487">
        <v>45588</v>
      </c>
      <c r="C23" s="366" t="s">
        <v>1403</v>
      </c>
      <c r="D23" s="501" t="s">
        <v>5573</v>
      </c>
      <c r="E23" s="354" t="s">
        <v>356</v>
      </c>
      <c r="F23" s="461"/>
      <c r="G23" s="369">
        <v>92</v>
      </c>
      <c r="H23" s="358">
        <f>G23*18050</f>
        <v>1660600</v>
      </c>
      <c r="I23" s="494"/>
      <c r="J23" s="381">
        <v>1150000</v>
      </c>
      <c r="K23" s="371"/>
      <c r="L23" s="372"/>
      <c r="M23" s="381"/>
      <c r="N23" s="381"/>
      <c r="O23" s="358">
        <f t="shared" si="0"/>
        <v>2810600</v>
      </c>
      <c r="P23" s="385">
        <v>4490741</v>
      </c>
      <c r="Q23" s="358">
        <f t="shared" si="1"/>
        <v>1680141</v>
      </c>
      <c r="R23" s="195"/>
      <c r="S23" s="195"/>
    </row>
    <row r="24" spans="1:19" ht="21.75" customHeight="1" x14ac:dyDescent="0.25">
      <c r="A24" s="350">
        <v>17</v>
      </c>
      <c r="B24" s="487">
        <v>45593</v>
      </c>
      <c r="C24" s="366" t="s">
        <v>1406</v>
      </c>
      <c r="D24" s="501" t="s">
        <v>5574</v>
      </c>
      <c r="E24" s="354" t="s">
        <v>4504</v>
      </c>
      <c r="F24" s="461"/>
      <c r="G24" s="369">
        <v>382</v>
      </c>
      <c r="H24" s="358">
        <f>G24*18050</f>
        <v>6895100</v>
      </c>
      <c r="I24" s="494"/>
      <c r="J24" s="381">
        <v>5300000</v>
      </c>
      <c r="K24" s="371"/>
      <c r="L24" s="372"/>
      <c r="M24" s="381"/>
      <c r="N24" s="381"/>
      <c r="O24" s="358">
        <f t="shared" si="0"/>
        <v>12195100</v>
      </c>
      <c r="P24" s="385">
        <v>20900000</v>
      </c>
      <c r="Q24" s="358">
        <f t="shared" si="1"/>
        <v>8704900</v>
      </c>
      <c r="R24" s="195"/>
      <c r="S24" s="195"/>
    </row>
    <row r="25" spans="1:19" ht="21.75" customHeight="1" x14ac:dyDescent="0.25">
      <c r="A25" s="470">
        <v>18</v>
      </c>
      <c r="B25" s="487">
        <v>45595</v>
      </c>
      <c r="C25" s="366" t="s">
        <v>2089</v>
      </c>
      <c r="D25" s="501" t="s">
        <v>5575</v>
      </c>
      <c r="E25" s="354" t="s">
        <v>4504</v>
      </c>
      <c r="F25" s="461"/>
      <c r="G25" s="369">
        <v>382</v>
      </c>
      <c r="H25" s="358">
        <f>G25*18140</f>
        <v>6929480</v>
      </c>
      <c r="I25" s="494"/>
      <c r="J25" s="381">
        <v>5300000</v>
      </c>
      <c r="K25" s="371"/>
      <c r="L25" s="372"/>
      <c r="M25" s="381"/>
      <c r="N25" s="381"/>
      <c r="O25" s="358">
        <f t="shared" si="0"/>
        <v>12229480</v>
      </c>
      <c r="P25" s="385">
        <v>20900000</v>
      </c>
      <c r="Q25" s="358">
        <f t="shared" si="1"/>
        <v>8670520</v>
      </c>
      <c r="R25" s="195"/>
      <c r="S25" s="195"/>
    </row>
    <row r="26" spans="1:19" ht="24.95" customHeight="1" x14ac:dyDescent="0.25">
      <c r="A26" s="374"/>
      <c r="B26" s="625"/>
      <c r="C26" s="609" t="s">
        <v>1273</v>
      </c>
      <c r="D26" s="609"/>
      <c r="E26" s="609"/>
      <c r="F26" s="517"/>
      <c r="G26" s="358"/>
      <c r="H26" s="369"/>
      <c r="I26" s="518"/>
      <c r="J26" s="358"/>
      <c r="K26" s="372">
        <v>1200000</v>
      </c>
      <c r="L26" s="372"/>
      <c r="M26" s="358"/>
      <c r="N26" s="358"/>
      <c r="O26" s="385">
        <f>H26+J26+K26+L26+M26+N26</f>
        <v>1200000</v>
      </c>
      <c r="P26" s="358"/>
      <c r="Q26" s="385"/>
    </row>
    <row r="27" spans="1:19" ht="24.95" customHeight="1" x14ac:dyDescent="0.25">
      <c r="A27" s="368"/>
      <c r="B27" s="516"/>
      <c r="C27" s="609" t="s">
        <v>4535</v>
      </c>
      <c r="D27" s="609"/>
      <c r="E27" s="609"/>
      <c r="F27" s="517"/>
      <c r="G27" s="358"/>
      <c r="H27" s="369"/>
      <c r="I27" s="519"/>
      <c r="J27" s="358"/>
      <c r="K27" s="372">
        <v>13738800</v>
      </c>
      <c r="L27" s="372"/>
      <c r="M27" s="358"/>
      <c r="N27" s="358"/>
      <c r="O27" s="358">
        <f t="shared" ref="O27:O39" si="5">H27+J27+K27+L27+M27+N27</f>
        <v>13738800</v>
      </c>
      <c r="P27" s="358"/>
      <c r="Q27" s="358"/>
    </row>
    <row r="28" spans="1:19" ht="24.95" customHeight="1" x14ac:dyDescent="0.25">
      <c r="A28" s="368"/>
      <c r="B28" s="516"/>
      <c r="C28" s="635" t="s">
        <v>5604</v>
      </c>
      <c r="D28" s="635"/>
      <c r="E28" s="635"/>
      <c r="F28" s="517"/>
      <c r="G28" s="358"/>
      <c r="H28" s="369"/>
      <c r="I28" s="519"/>
      <c r="J28" s="358"/>
      <c r="K28" s="372"/>
      <c r="L28" s="372">
        <v>9160000</v>
      </c>
      <c r="M28" s="358"/>
      <c r="N28" s="358"/>
      <c r="O28" s="358">
        <f t="shared" si="5"/>
        <v>9160000</v>
      </c>
      <c r="P28" s="358"/>
      <c r="Q28" s="358"/>
    </row>
    <row r="29" spans="1:19" ht="24.95" customHeight="1" x14ac:dyDescent="0.25">
      <c r="A29" s="368"/>
      <c r="B29" s="516"/>
      <c r="C29" s="635" t="s">
        <v>5605</v>
      </c>
      <c r="D29" s="635"/>
      <c r="E29" s="635"/>
      <c r="F29" s="517"/>
      <c r="G29" s="358"/>
      <c r="H29" s="369"/>
      <c r="I29" s="519"/>
      <c r="J29" s="358"/>
      <c r="K29" s="372"/>
      <c r="L29" s="372">
        <v>420000</v>
      </c>
      <c r="M29" s="358"/>
      <c r="N29" s="358"/>
      <c r="O29" s="358">
        <f t="shared" si="5"/>
        <v>420000</v>
      </c>
      <c r="P29" s="358"/>
      <c r="Q29" s="358"/>
    </row>
    <row r="30" spans="1:19" ht="24.95" customHeight="1" x14ac:dyDescent="0.25">
      <c r="A30" s="368"/>
      <c r="B30" s="516"/>
      <c r="C30" s="635" t="s">
        <v>5606</v>
      </c>
      <c r="D30" s="635"/>
      <c r="E30" s="635"/>
      <c r="F30" s="517"/>
      <c r="G30" s="358"/>
      <c r="H30" s="369"/>
      <c r="I30" s="519"/>
      <c r="J30" s="358"/>
      <c r="K30" s="372"/>
      <c r="L30" s="372">
        <v>300000</v>
      </c>
      <c r="M30" s="358"/>
      <c r="N30" s="358"/>
      <c r="O30" s="358">
        <f t="shared" si="5"/>
        <v>300000</v>
      </c>
      <c r="P30" s="358"/>
      <c r="Q30" s="358"/>
    </row>
    <row r="31" spans="1:19" ht="24.95" customHeight="1" x14ac:dyDescent="0.25">
      <c r="A31" s="368"/>
      <c r="B31" s="516"/>
      <c r="C31" s="635" t="s">
        <v>5607</v>
      </c>
      <c r="D31" s="635"/>
      <c r="E31" s="635"/>
      <c r="F31" s="517"/>
      <c r="G31" s="358"/>
      <c r="H31" s="369"/>
      <c r="I31" s="519"/>
      <c r="J31" s="358"/>
      <c r="K31" s="372"/>
      <c r="L31" s="372">
        <v>500000</v>
      </c>
      <c r="M31" s="358"/>
      <c r="N31" s="358"/>
      <c r="O31" s="358">
        <f t="shared" si="5"/>
        <v>500000</v>
      </c>
      <c r="P31" s="358"/>
      <c r="Q31" s="358"/>
    </row>
    <row r="32" spans="1:19" ht="24.95" customHeight="1" x14ac:dyDescent="0.25">
      <c r="A32" s="368"/>
      <c r="B32" s="516"/>
      <c r="C32" s="635" t="s">
        <v>5609</v>
      </c>
      <c r="D32" s="635"/>
      <c r="E32" s="635"/>
      <c r="F32" s="517"/>
      <c r="G32" s="358"/>
      <c r="H32" s="369"/>
      <c r="I32" s="519"/>
      <c r="J32" s="358"/>
      <c r="K32" s="372"/>
      <c r="L32" s="372">
        <v>432000</v>
      </c>
      <c r="M32" s="358"/>
      <c r="N32" s="372"/>
      <c r="O32" s="358">
        <f t="shared" si="5"/>
        <v>432000</v>
      </c>
      <c r="P32" s="358"/>
      <c r="Q32" s="358"/>
    </row>
    <row r="33" spans="1:18" ht="24.95" customHeight="1" x14ac:dyDescent="0.25">
      <c r="A33" s="368"/>
      <c r="B33" s="516"/>
      <c r="C33" s="635" t="s">
        <v>5614</v>
      </c>
      <c r="D33" s="635"/>
      <c r="E33" s="635"/>
      <c r="F33" s="517"/>
      <c r="G33" s="358"/>
      <c r="H33" s="369"/>
      <c r="I33" s="519"/>
      <c r="J33" s="358"/>
      <c r="K33" s="372"/>
      <c r="L33" s="372">
        <v>850000</v>
      </c>
      <c r="M33" s="372"/>
      <c r="N33" s="372"/>
      <c r="O33" s="358">
        <f t="shared" si="5"/>
        <v>850000</v>
      </c>
      <c r="P33" s="358"/>
      <c r="Q33" s="358"/>
    </row>
    <row r="34" spans="1:18" ht="24.95" customHeight="1" x14ac:dyDescent="0.25">
      <c r="A34" s="368"/>
      <c r="B34" s="516"/>
      <c r="C34" s="635" t="s">
        <v>5617</v>
      </c>
      <c r="D34" s="635"/>
      <c r="E34" s="635"/>
      <c r="F34" s="517"/>
      <c r="G34" s="358"/>
      <c r="H34" s="369"/>
      <c r="I34" s="519"/>
      <c r="J34" s="358"/>
      <c r="K34" s="372"/>
      <c r="L34" s="372">
        <v>1404000</v>
      </c>
      <c r="M34" s="358"/>
      <c r="N34" s="372"/>
      <c r="O34" s="358">
        <f t="shared" si="5"/>
        <v>1404000</v>
      </c>
      <c r="P34" s="358"/>
      <c r="Q34" s="358"/>
    </row>
    <row r="35" spans="1:18" ht="24.95" customHeight="1" x14ac:dyDescent="0.25">
      <c r="A35" s="368"/>
      <c r="B35" s="516"/>
      <c r="C35" s="635" t="s">
        <v>5618</v>
      </c>
      <c r="D35" s="635"/>
      <c r="E35" s="635"/>
      <c r="F35" s="517"/>
      <c r="G35" s="358"/>
      <c r="H35" s="369"/>
      <c r="I35" s="519"/>
      <c r="J35" s="358"/>
      <c r="K35" s="372"/>
      <c r="L35" s="372">
        <v>2900000</v>
      </c>
      <c r="M35" s="358"/>
      <c r="N35" s="372"/>
      <c r="O35" s="358">
        <f t="shared" si="5"/>
        <v>2900000</v>
      </c>
      <c r="P35" s="358"/>
      <c r="Q35" s="358"/>
    </row>
    <row r="36" spans="1:18" ht="24.95" customHeight="1" x14ac:dyDescent="0.25">
      <c r="A36" s="368"/>
      <c r="B36" s="516"/>
      <c r="C36" s="635" t="s">
        <v>5613</v>
      </c>
      <c r="D36" s="635"/>
      <c r="E36" s="635"/>
      <c r="F36" s="517"/>
      <c r="G36" s="358"/>
      <c r="H36" s="369"/>
      <c r="I36" s="519"/>
      <c r="J36" s="358"/>
      <c r="K36" s="372"/>
      <c r="L36" s="372">
        <v>183600</v>
      </c>
      <c r="M36" s="358"/>
      <c r="N36" s="372"/>
      <c r="O36" s="358">
        <f t="shared" si="5"/>
        <v>183600</v>
      </c>
      <c r="P36" s="358"/>
      <c r="Q36" s="358"/>
    </row>
    <row r="37" spans="1:18" ht="24.95" customHeight="1" x14ac:dyDescent="0.25">
      <c r="A37" s="368"/>
      <c r="B37" s="516"/>
      <c r="C37" s="635" t="s">
        <v>5716</v>
      </c>
      <c r="D37" s="635"/>
      <c r="E37" s="635"/>
      <c r="F37" s="517"/>
      <c r="G37" s="358"/>
      <c r="H37" s="369"/>
      <c r="I37" s="519"/>
      <c r="J37" s="358"/>
      <c r="K37" s="372"/>
      <c r="L37" s="372">
        <v>17884800</v>
      </c>
      <c r="M37" s="358"/>
      <c r="N37" s="372"/>
      <c r="O37" s="358">
        <f t="shared" si="5"/>
        <v>17884800</v>
      </c>
      <c r="P37" s="358"/>
      <c r="Q37" s="358"/>
    </row>
    <row r="38" spans="1:18" ht="24.95" customHeight="1" x14ac:dyDescent="0.25">
      <c r="A38" s="368"/>
      <c r="B38" s="516"/>
      <c r="C38" s="635" t="s">
        <v>5719</v>
      </c>
      <c r="D38" s="635"/>
      <c r="E38" s="635"/>
      <c r="F38" s="517"/>
      <c r="G38" s="358"/>
      <c r="H38" s="369"/>
      <c r="I38" s="519"/>
      <c r="J38" s="358"/>
      <c r="K38" s="372"/>
      <c r="L38" s="372"/>
      <c r="M38" s="372">
        <v>11200000</v>
      </c>
      <c r="N38" s="372"/>
      <c r="O38" s="358">
        <f t="shared" si="5"/>
        <v>11200000</v>
      </c>
      <c r="P38" s="358"/>
      <c r="Q38" s="358"/>
    </row>
    <row r="39" spans="1:18" ht="24.95" customHeight="1" x14ac:dyDescent="0.25">
      <c r="A39" s="368"/>
      <c r="B39" s="516"/>
      <c r="C39" s="635" t="s">
        <v>5618</v>
      </c>
      <c r="D39" s="635"/>
      <c r="E39" s="635"/>
      <c r="F39" s="517"/>
      <c r="G39" s="358"/>
      <c r="H39" s="369"/>
      <c r="I39" s="519"/>
      <c r="J39" s="358"/>
      <c r="K39" s="372"/>
      <c r="L39" s="372">
        <v>2900000</v>
      </c>
      <c r="M39" s="372"/>
      <c r="N39" s="372"/>
      <c r="O39" s="358">
        <f t="shared" si="5"/>
        <v>2900000</v>
      </c>
      <c r="P39" s="358"/>
      <c r="Q39" s="358"/>
    </row>
    <row r="40" spans="1:18" ht="24.95" customHeight="1" x14ac:dyDescent="0.25">
      <c r="A40" s="626"/>
      <c r="B40" s="627"/>
      <c r="C40" s="628" t="s">
        <v>4333</v>
      </c>
      <c r="D40" s="628"/>
      <c r="E40" s="628"/>
      <c r="F40" s="626"/>
      <c r="G40" s="509"/>
      <c r="H40" s="629"/>
      <c r="I40" s="630"/>
      <c r="J40" s="509"/>
      <c r="K40" s="631">
        <v>8300000</v>
      </c>
      <c r="L40" s="631"/>
      <c r="M40" s="509"/>
      <c r="N40" s="509"/>
      <c r="O40" s="509">
        <f>H40+J40+K40+L40+M40+N40</f>
        <v>8300000</v>
      </c>
      <c r="P40" s="509"/>
      <c r="Q40" s="509"/>
    </row>
    <row r="41" spans="1:18" x14ac:dyDescent="0.25">
      <c r="A41" s="576" t="s">
        <v>19</v>
      </c>
      <c r="B41" s="577"/>
      <c r="C41" s="577"/>
      <c r="D41" s="577"/>
      <c r="E41" s="577"/>
      <c r="F41" s="578"/>
      <c r="G41" s="395">
        <f>SUM(G8:G40)</f>
        <v>3450</v>
      </c>
      <c r="H41" s="396">
        <f>SUM(H7:H40)</f>
        <v>62292360</v>
      </c>
      <c r="I41" s="396">
        <f t="shared" ref="I41:P41" si="6">SUM(I7:I40)</f>
        <v>0</v>
      </c>
      <c r="J41" s="396">
        <f t="shared" si="6"/>
        <v>44600000</v>
      </c>
      <c r="K41" s="396">
        <f t="shared" si="6"/>
        <v>23238800</v>
      </c>
      <c r="L41" s="396">
        <f t="shared" si="6"/>
        <v>36934400</v>
      </c>
      <c r="M41" s="396">
        <f t="shared" si="6"/>
        <v>11200000</v>
      </c>
      <c r="N41" s="396">
        <f t="shared" si="6"/>
        <v>0</v>
      </c>
      <c r="O41" s="396">
        <f t="shared" si="6"/>
        <v>178265560</v>
      </c>
      <c r="P41" s="397">
        <f t="shared" si="6"/>
        <v>180295926</v>
      </c>
      <c r="Q41" s="396">
        <f>P41-O41</f>
        <v>2030366</v>
      </c>
      <c r="R41" s="195"/>
    </row>
    <row r="42" spans="1:18" x14ac:dyDescent="0.25">
      <c r="P42" s="294"/>
      <c r="Q42" s="295"/>
    </row>
    <row r="43" spans="1:18" x14ac:dyDescent="0.25">
      <c r="B43"/>
      <c r="G43"/>
      <c r="H43" s="294"/>
      <c r="P43" s="296" t="s">
        <v>1225</v>
      </c>
      <c r="Q43" s="295">
        <f>'09.2024'!Q45+'10.2024'!Q41</f>
        <v>284891177</v>
      </c>
    </row>
    <row r="44" spans="1:18" x14ac:dyDescent="0.25">
      <c r="B44"/>
      <c r="G44"/>
      <c r="Q44" s="294"/>
    </row>
    <row r="45" spans="1:18" x14ac:dyDescent="0.25">
      <c r="B45"/>
      <c r="G45"/>
      <c r="R45" s="195"/>
    </row>
  </sheetData>
  <mergeCells count="20">
    <mergeCell ref="C27:E27"/>
    <mergeCell ref="C28:E28"/>
    <mergeCell ref="C29:E29"/>
    <mergeCell ref="C30:E30"/>
    <mergeCell ref="C31:E31"/>
    <mergeCell ref="A1:Q1"/>
    <mergeCell ref="A2:Q2"/>
    <mergeCell ref="A3:Q3"/>
    <mergeCell ref="G5:N5"/>
    <mergeCell ref="C26:E26"/>
    <mergeCell ref="C32:E32"/>
    <mergeCell ref="C33:E33"/>
    <mergeCell ref="C34:E34"/>
    <mergeCell ref="C40:E40"/>
    <mergeCell ref="A41:F41"/>
    <mergeCell ref="C35:E35"/>
    <mergeCell ref="C36:E36"/>
    <mergeCell ref="C37:E37"/>
    <mergeCell ref="C38:E38"/>
    <mergeCell ref="C39:E39"/>
  </mergeCells>
  <pageMargins left="0.7" right="0.7" top="0.75" bottom="0.75" header="0.3" footer="0.3"/>
  <pageSetup paperSize="9" orientation="portrait" horizontalDpi="0" verticalDpi="0"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D016E-AE79-493A-A1D5-C6CE453D2B67}">
  <dimension ref="A1:U44"/>
  <sheetViews>
    <sheetView topLeftCell="A22" workbookViewId="0">
      <selection activeCell="Q42" sqref="Q42"/>
    </sheetView>
  </sheetViews>
  <sheetFormatPr defaultColWidth="9.140625" defaultRowHeight="15" x14ac:dyDescent="0.25"/>
  <cols>
    <col min="1" max="1" width="4.5703125" customWidth="1"/>
    <col min="2" max="2" width="9.28515625" style="332" bestFit="1" customWidth="1"/>
    <col min="3" max="3" width="33.42578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21" ht="23.25" x14ac:dyDescent="0.25">
      <c r="A1" s="551" t="s">
        <v>0</v>
      </c>
      <c r="B1" s="551"/>
      <c r="C1" s="551"/>
      <c r="D1" s="551"/>
      <c r="E1" s="551"/>
      <c r="F1" s="551"/>
      <c r="G1" s="551"/>
      <c r="H1" s="551"/>
      <c r="I1" s="551"/>
      <c r="J1" s="551"/>
      <c r="K1" s="551"/>
      <c r="L1" s="551"/>
      <c r="M1" s="551"/>
      <c r="N1" s="551"/>
      <c r="O1" s="551"/>
      <c r="P1" s="551"/>
      <c r="Q1" s="551"/>
    </row>
    <row r="2" spans="1:21" ht="15.75" x14ac:dyDescent="0.25">
      <c r="A2" s="550" t="s">
        <v>103</v>
      </c>
      <c r="B2" s="550"/>
      <c r="C2" s="550"/>
      <c r="D2" s="550"/>
      <c r="E2" s="550"/>
      <c r="F2" s="550"/>
      <c r="G2" s="550"/>
      <c r="H2" s="550"/>
      <c r="I2" s="550"/>
      <c r="J2" s="550"/>
      <c r="K2" s="550"/>
      <c r="L2" s="550"/>
      <c r="M2" s="550"/>
      <c r="N2" s="550"/>
      <c r="O2" s="550"/>
      <c r="P2" s="550"/>
      <c r="Q2" s="550"/>
    </row>
    <row r="3" spans="1:21" ht="15.75" x14ac:dyDescent="0.25">
      <c r="A3" s="550" t="s">
        <v>5621</v>
      </c>
      <c r="B3" s="550"/>
      <c r="C3" s="550"/>
      <c r="D3" s="550"/>
      <c r="E3" s="550"/>
      <c r="F3" s="550"/>
      <c r="G3" s="550"/>
      <c r="H3" s="550"/>
      <c r="I3" s="550"/>
      <c r="J3" s="550"/>
      <c r="K3" s="550"/>
      <c r="L3" s="550"/>
      <c r="M3" s="550"/>
      <c r="N3" s="550"/>
      <c r="O3" s="550"/>
      <c r="P3" s="550"/>
      <c r="Q3" s="550"/>
    </row>
    <row r="4" spans="1:21" x14ac:dyDescent="0.25">
      <c r="A4" s="74"/>
      <c r="B4" s="99"/>
      <c r="C4" s="74"/>
      <c r="D4" s="74"/>
      <c r="E4" s="74" t="s">
        <v>194</v>
      </c>
      <c r="F4" s="74"/>
      <c r="G4" s="257"/>
      <c r="H4" s="258"/>
      <c r="I4" s="258"/>
      <c r="J4" s="258"/>
      <c r="K4" s="258"/>
      <c r="L4" s="91"/>
      <c r="M4" s="258"/>
      <c r="N4" s="258"/>
      <c r="O4" s="258"/>
      <c r="P4" s="258"/>
      <c r="Q4" s="258"/>
    </row>
    <row r="5" spans="1:21"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21"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21" x14ac:dyDescent="0.25">
      <c r="A7" s="75"/>
      <c r="B7" s="100"/>
      <c r="C7" s="88"/>
      <c r="D7" s="88"/>
      <c r="E7" s="134"/>
      <c r="F7" s="75"/>
      <c r="G7" s="264"/>
      <c r="H7" s="264"/>
      <c r="I7" s="264"/>
      <c r="J7" s="264"/>
      <c r="K7" s="264"/>
      <c r="L7" s="308"/>
      <c r="M7" s="264"/>
      <c r="N7" s="264"/>
      <c r="O7" s="265"/>
      <c r="P7" s="265"/>
      <c r="Q7" s="264"/>
    </row>
    <row r="8" spans="1:21" ht="21.75" customHeight="1" x14ac:dyDescent="0.25">
      <c r="A8" s="470">
        <v>1</v>
      </c>
      <c r="B8" s="472">
        <v>45597</v>
      </c>
      <c r="C8" s="366" t="s">
        <v>5623</v>
      </c>
      <c r="D8" s="500" t="s">
        <v>5642</v>
      </c>
      <c r="E8" s="354" t="s">
        <v>5637</v>
      </c>
      <c r="F8" s="368"/>
      <c r="G8" s="369">
        <v>75</v>
      </c>
      <c r="H8" s="358">
        <f>G8*18140</f>
        <v>1360500</v>
      </c>
      <c r="I8" s="358"/>
      <c r="J8" s="358">
        <v>790000</v>
      </c>
      <c r="K8" s="371"/>
      <c r="L8" s="372"/>
      <c r="M8" s="358"/>
      <c r="N8" s="358"/>
      <c r="O8" s="358">
        <f t="shared" ref="O8:O31" si="0">H8+J8+K8+L8+M8+N8</f>
        <v>2150500</v>
      </c>
      <c r="P8" s="358">
        <v>3700000</v>
      </c>
      <c r="Q8" s="358">
        <f>P8-O8</f>
        <v>1549500</v>
      </c>
      <c r="R8" s="195"/>
      <c r="S8" s="195"/>
    </row>
    <row r="9" spans="1:21" ht="21.75" customHeight="1" x14ac:dyDescent="0.25">
      <c r="A9" s="350">
        <v>2</v>
      </c>
      <c r="B9" s="482">
        <v>45598</v>
      </c>
      <c r="C9" s="366" t="s">
        <v>5624</v>
      </c>
      <c r="D9" s="501" t="s">
        <v>5643</v>
      </c>
      <c r="E9" s="354" t="s">
        <v>2959</v>
      </c>
      <c r="F9" s="368"/>
      <c r="G9" s="369">
        <v>59</v>
      </c>
      <c r="H9" s="358">
        <f t="shared" ref="H9:H11" si="1">G9*18140</f>
        <v>1070260</v>
      </c>
      <c r="I9" s="358"/>
      <c r="J9" s="358">
        <v>430000</v>
      </c>
      <c r="K9" s="371"/>
      <c r="L9" s="372"/>
      <c r="M9" s="358"/>
      <c r="N9" s="358"/>
      <c r="O9" s="358">
        <f t="shared" si="0"/>
        <v>1500260</v>
      </c>
      <c r="P9" s="385">
        <v>2960000</v>
      </c>
      <c r="Q9" s="358">
        <f t="shared" ref="Q9:Q31" si="2">P9-O9</f>
        <v>1459740</v>
      </c>
      <c r="R9" s="195"/>
      <c r="S9" s="195"/>
    </row>
    <row r="10" spans="1:21" ht="21.75" customHeight="1" x14ac:dyDescent="0.25">
      <c r="A10" s="350">
        <v>3</v>
      </c>
      <c r="B10" s="482">
        <v>45600</v>
      </c>
      <c r="C10" s="366" t="s">
        <v>5625</v>
      </c>
      <c r="D10" s="501" t="s">
        <v>5644</v>
      </c>
      <c r="E10" s="354" t="s">
        <v>850</v>
      </c>
      <c r="F10" s="368"/>
      <c r="G10" s="369">
        <v>110</v>
      </c>
      <c r="H10" s="358">
        <f t="shared" si="1"/>
        <v>1995400</v>
      </c>
      <c r="I10" s="358"/>
      <c r="J10" s="358">
        <v>790000</v>
      </c>
      <c r="K10" s="371"/>
      <c r="L10" s="372"/>
      <c r="M10" s="358"/>
      <c r="N10" s="358"/>
      <c r="O10" s="358">
        <f t="shared" si="0"/>
        <v>2785400</v>
      </c>
      <c r="P10" s="385">
        <v>4900000</v>
      </c>
      <c r="Q10" s="358">
        <f t="shared" si="2"/>
        <v>2114600</v>
      </c>
      <c r="R10" s="195"/>
      <c r="S10" s="195"/>
    </row>
    <row r="11" spans="1:21" ht="21.75" customHeight="1" x14ac:dyDescent="0.25">
      <c r="A11" s="350">
        <v>4</v>
      </c>
      <c r="B11" s="482">
        <v>45601</v>
      </c>
      <c r="C11" s="366" t="s">
        <v>5626</v>
      </c>
      <c r="D11" s="501" t="s">
        <v>5127</v>
      </c>
      <c r="E11" s="354" t="s">
        <v>286</v>
      </c>
      <c r="F11" s="368"/>
      <c r="G11" s="369">
        <v>69</v>
      </c>
      <c r="H11" s="358">
        <f t="shared" si="1"/>
        <v>1251660</v>
      </c>
      <c r="I11" s="358"/>
      <c r="J11" s="358">
        <v>790000</v>
      </c>
      <c r="K11" s="371"/>
      <c r="L11" s="372"/>
      <c r="M11" s="358"/>
      <c r="N11" s="358"/>
      <c r="O11" s="358">
        <f t="shared" si="0"/>
        <v>2041660</v>
      </c>
      <c r="P11" s="385">
        <v>3570000</v>
      </c>
      <c r="Q11" s="358">
        <f t="shared" si="2"/>
        <v>1528340</v>
      </c>
      <c r="R11" s="195"/>
      <c r="S11" s="195"/>
      <c r="U11" s="195"/>
    </row>
    <row r="12" spans="1:21" ht="21.75" customHeight="1" x14ac:dyDescent="0.25">
      <c r="A12" s="470">
        <v>5</v>
      </c>
      <c r="B12" s="482">
        <v>45602</v>
      </c>
      <c r="C12" s="366" t="s">
        <v>5627</v>
      </c>
      <c r="D12" s="501" t="s">
        <v>5645</v>
      </c>
      <c r="E12" s="354" t="s">
        <v>5638</v>
      </c>
      <c r="F12" s="368"/>
      <c r="G12" s="369">
        <v>78</v>
      </c>
      <c r="H12" s="358">
        <f>G12*18910</f>
        <v>1474980</v>
      </c>
      <c r="I12" s="358"/>
      <c r="J12" s="358">
        <v>790000</v>
      </c>
      <c r="K12" s="371"/>
      <c r="L12" s="372"/>
      <c r="M12" s="358"/>
      <c r="N12" s="358"/>
      <c r="O12" s="358">
        <f t="shared" si="0"/>
        <v>2264980</v>
      </c>
      <c r="P12" s="385">
        <v>3930000</v>
      </c>
      <c r="Q12" s="358">
        <f t="shared" si="2"/>
        <v>1665020</v>
      </c>
      <c r="R12" s="195"/>
      <c r="S12" s="195"/>
    </row>
    <row r="13" spans="1:21" ht="21.75" customHeight="1" x14ac:dyDescent="0.25">
      <c r="A13" s="350">
        <v>6</v>
      </c>
      <c r="B13" s="482">
        <v>45603</v>
      </c>
      <c r="C13" s="366" t="s">
        <v>5628</v>
      </c>
      <c r="D13" s="501" t="s">
        <v>5646</v>
      </c>
      <c r="E13" s="354" t="s">
        <v>5639</v>
      </c>
      <c r="F13" s="368"/>
      <c r="G13" s="369">
        <v>88</v>
      </c>
      <c r="H13" s="358">
        <f t="shared" ref="H13:H17" si="3">G13*18910</f>
        <v>1664080</v>
      </c>
      <c r="I13" s="358"/>
      <c r="J13" s="358">
        <v>430000</v>
      </c>
      <c r="K13" s="371"/>
      <c r="L13" s="372"/>
      <c r="M13" s="358"/>
      <c r="N13" s="358"/>
      <c r="O13" s="358">
        <f t="shared" si="0"/>
        <v>2094080</v>
      </c>
      <c r="P13" s="385">
        <v>4200000</v>
      </c>
      <c r="Q13" s="358">
        <f t="shared" si="2"/>
        <v>2105920</v>
      </c>
      <c r="R13" s="195"/>
      <c r="S13" s="195"/>
    </row>
    <row r="14" spans="1:21" ht="21.75" customHeight="1" x14ac:dyDescent="0.25">
      <c r="A14" s="350">
        <v>7</v>
      </c>
      <c r="B14" s="482">
        <v>45604</v>
      </c>
      <c r="C14" s="366" t="s">
        <v>5629</v>
      </c>
      <c r="D14" s="501" t="s">
        <v>5647</v>
      </c>
      <c r="E14" s="354" t="s">
        <v>5508</v>
      </c>
      <c r="F14" s="368"/>
      <c r="G14" s="369">
        <v>152</v>
      </c>
      <c r="H14" s="358">
        <f t="shared" si="3"/>
        <v>2874320</v>
      </c>
      <c r="I14" s="358"/>
      <c r="J14" s="358">
        <v>1190000</v>
      </c>
      <c r="K14" s="371"/>
      <c r="L14" s="372"/>
      <c r="M14" s="358"/>
      <c r="N14" s="358"/>
      <c r="O14" s="358">
        <f t="shared" si="0"/>
        <v>4064320</v>
      </c>
      <c r="P14" s="385">
        <v>7000000</v>
      </c>
      <c r="Q14" s="358">
        <f t="shared" si="2"/>
        <v>2935680</v>
      </c>
      <c r="R14" s="195"/>
      <c r="S14" s="195"/>
    </row>
    <row r="15" spans="1:21" ht="21.75" customHeight="1" x14ac:dyDescent="0.25">
      <c r="A15" s="350">
        <v>8</v>
      </c>
      <c r="B15" s="482">
        <v>45605</v>
      </c>
      <c r="C15" s="366" t="s">
        <v>5630</v>
      </c>
      <c r="D15" s="501" t="s">
        <v>5648</v>
      </c>
      <c r="E15" s="354" t="s">
        <v>24</v>
      </c>
      <c r="F15" s="368"/>
      <c r="G15" s="369">
        <v>184</v>
      </c>
      <c r="H15" s="358">
        <f t="shared" si="3"/>
        <v>3479440</v>
      </c>
      <c r="I15" s="358"/>
      <c r="J15" s="358">
        <v>1530000</v>
      </c>
      <c r="K15" s="371"/>
      <c r="L15" s="372"/>
      <c r="M15" s="358"/>
      <c r="N15" s="358"/>
      <c r="O15" s="358">
        <f t="shared" si="0"/>
        <v>5009440</v>
      </c>
      <c r="P15" s="385">
        <v>8296296</v>
      </c>
      <c r="Q15" s="358">
        <f t="shared" si="2"/>
        <v>3286856</v>
      </c>
      <c r="R15" s="195"/>
      <c r="S15" s="195"/>
      <c r="U15" s="195"/>
    </row>
    <row r="16" spans="1:21" ht="21.75" customHeight="1" x14ac:dyDescent="0.25">
      <c r="A16" s="470">
        <v>9</v>
      </c>
      <c r="B16" s="482">
        <v>45607</v>
      </c>
      <c r="C16" s="366" t="s">
        <v>2785</v>
      </c>
      <c r="D16" s="501" t="s">
        <v>5649</v>
      </c>
      <c r="E16" s="354" t="s">
        <v>286</v>
      </c>
      <c r="F16" s="368"/>
      <c r="G16" s="369">
        <v>69</v>
      </c>
      <c r="H16" s="358">
        <f t="shared" si="3"/>
        <v>1304790</v>
      </c>
      <c r="I16" s="358"/>
      <c r="J16" s="358">
        <v>790000</v>
      </c>
      <c r="K16" s="371"/>
      <c r="L16" s="372"/>
      <c r="M16" s="381"/>
      <c r="N16" s="358"/>
      <c r="O16" s="358">
        <f t="shared" si="0"/>
        <v>2094790</v>
      </c>
      <c r="P16" s="385">
        <v>3570000</v>
      </c>
      <c r="Q16" s="358">
        <f t="shared" si="2"/>
        <v>1475210</v>
      </c>
      <c r="R16" s="195"/>
      <c r="S16" s="195"/>
    </row>
    <row r="17" spans="1:19" ht="21.75" customHeight="1" x14ac:dyDescent="0.25">
      <c r="A17" s="470">
        <v>10</v>
      </c>
      <c r="B17" s="487">
        <v>45608</v>
      </c>
      <c r="C17" s="366" t="s">
        <v>4072</v>
      </c>
      <c r="D17" s="501" t="s">
        <v>5650</v>
      </c>
      <c r="E17" s="354" t="s">
        <v>5510</v>
      </c>
      <c r="F17" s="461"/>
      <c r="G17" s="369">
        <v>74</v>
      </c>
      <c r="H17" s="358">
        <f t="shared" si="3"/>
        <v>1399340</v>
      </c>
      <c r="I17" s="494"/>
      <c r="J17" s="358">
        <v>430000</v>
      </c>
      <c r="K17" s="371"/>
      <c r="L17" s="372"/>
      <c r="N17" s="381"/>
      <c r="O17" s="358">
        <f t="shared" si="0"/>
        <v>1829340</v>
      </c>
      <c r="P17" s="385">
        <v>3870000</v>
      </c>
      <c r="Q17" s="358">
        <f t="shared" si="2"/>
        <v>2040660</v>
      </c>
      <c r="R17" s="195"/>
      <c r="S17" s="195"/>
    </row>
    <row r="18" spans="1:19" ht="21.75" customHeight="1" x14ac:dyDescent="0.25">
      <c r="A18" s="350">
        <v>11</v>
      </c>
      <c r="B18" s="487">
        <v>45609</v>
      </c>
      <c r="C18" s="366" t="s">
        <v>5631</v>
      </c>
      <c r="D18" s="501" t="s">
        <v>5651</v>
      </c>
      <c r="E18" s="354" t="s">
        <v>189</v>
      </c>
      <c r="F18" s="461"/>
      <c r="G18" s="369">
        <v>187</v>
      </c>
      <c r="H18" s="358">
        <f>G18*18570</f>
        <v>3472590</v>
      </c>
      <c r="I18" s="494"/>
      <c r="J18" s="358">
        <v>1530000</v>
      </c>
      <c r="K18" s="371"/>
      <c r="L18" s="372"/>
      <c r="M18" s="381"/>
      <c r="N18" s="381"/>
      <c r="O18" s="358">
        <f t="shared" si="0"/>
        <v>5002590</v>
      </c>
      <c r="P18" s="385">
        <v>10185185</v>
      </c>
      <c r="Q18" s="358">
        <f t="shared" si="2"/>
        <v>5182595</v>
      </c>
      <c r="R18" s="195"/>
      <c r="S18" s="195"/>
    </row>
    <row r="19" spans="1:19" ht="21.75" customHeight="1" x14ac:dyDescent="0.25">
      <c r="A19" s="350">
        <v>12</v>
      </c>
      <c r="B19" s="487">
        <v>45610</v>
      </c>
      <c r="C19" s="366" t="s">
        <v>5632</v>
      </c>
      <c r="D19" s="501" t="s">
        <v>5652</v>
      </c>
      <c r="E19" s="354" t="s">
        <v>2885</v>
      </c>
      <c r="F19" s="461"/>
      <c r="G19" s="369">
        <v>65</v>
      </c>
      <c r="H19" s="358">
        <f t="shared" ref="H19:H24" si="4">G19*18570</f>
        <v>1207050</v>
      </c>
      <c r="I19" s="494"/>
      <c r="J19" s="381">
        <v>430000</v>
      </c>
      <c r="K19" s="371"/>
      <c r="L19" s="372"/>
      <c r="M19" s="381"/>
      <c r="N19" s="381"/>
      <c r="O19" s="358">
        <f t="shared" si="0"/>
        <v>1637050</v>
      </c>
      <c r="P19" s="385">
        <v>3150000</v>
      </c>
      <c r="Q19" s="358">
        <f t="shared" si="2"/>
        <v>1512950</v>
      </c>
      <c r="R19" s="195"/>
      <c r="S19" s="195"/>
    </row>
    <row r="20" spans="1:19" ht="21.75" customHeight="1" x14ac:dyDescent="0.25">
      <c r="A20" s="350">
        <v>13</v>
      </c>
      <c r="B20" s="487">
        <v>45611</v>
      </c>
      <c r="C20" s="366" t="s">
        <v>5633</v>
      </c>
      <c r="D20" s="501" t="s">
        <v>5653</v>
      </c>
      <c r="E20" s="354" t="s">
        <v>2885</v>
      </c>
      <c r="F20" s="461"/>
      <c r="G20" s="369">
        <v>66</v>
      </c>
      <c r="H20" s="358">
        <f t="shared" si="4"/>
        <v>1225620</v>
      </c>
      <c r="I20" s="494"/>
      <c r="J20" s="381">
        <v>430000</v>
      </c>
      <c r="K20" s="371"/>
      <c r="L20" s="372"/>
      <c r="M20" s="381"/>
      <c r="N20" s="381"/>
      <c r="O20" s="358">
        <f t="shared" si="0"/>
        <v>1655620</v>
      </c>
      <c r="P20" s="385">
        <v>3200000</v>
      </c>
      <c r="Q20" s="358">
        <f t="shared" si="2"/>
        <v>1544380</v>
      </c>
      <c r="R20" s="195"/>
      <c r="S20" s="195"/>
    </row>
    <row r="21" spans="1:19" ht="21.75" customHeight="1" x14ac:dyDescent="0.25">
      <c r="A21" s="470">
        <v>14</v>
      </c>
      <c r="B21" s="487">
        <v>45612</v>
      </c>
      <c r="C21" s="366" t="s">
        <v>730</v>
      </c>
      <c r="D21" s="501" t="s">
        <v>5654</v>
      </c>
      <c r="E21" s="354" t="s">
        <v>5356</v>
      </c>
      <c r="F21" s="461"/>
      <c r="G21" s="369">
        <v>392</v>
      </c>
      <c r="H21" s="358">
        <f t="shared" si="4"/>
        <v>7279440</v>
      </c>
      <c r="I21" s="494"/>
      <c r="J21" s="381">
        <v>3579000</v>
      </c>
      <c r="K21" s="371"/>
      <c r="L21" s="372"/>
      <c r="M21" s="381"/>
      <c r="N21" s="381"/>
      <c r="O21" s="358">
        <f t="shared" si="0"/>
        <v>10858440</v>
      </c>
      <c r="P21" s="385">
        <v>21000000</v>
      </c>
      <c r="Q21" s="358">
        <f t="shared" si="2"/>
        <v>10141560</v>
      </c>
      <c r="R21" s="195"/>
      <c r="S21" s="195"/>
    </row>
    <row r="22" spans="1:19" ht="21.75" customHeight="1" x14ac:dyDescent="0.25">
      <c r="A22" s="350">
        <v>15</v>
      </c>
      <c r="B22" s="487">
        <v>45614</v>
      </c>
      <c r="C22" s="366" t="s">
        <v>731</v>
      </c>
      <c r="D22" s="501" t="s">
        <v>271</v>
      </c>
      <c r="E22" s="354" t="s">
        <v>5640</v>
      </c>
      <c r="F22" s="461"/>
      <c r="G22" s="369">
        <v>83</v>
      </c>
      <c r="H22" s="358">
        <f t="shared" si="4"/>
        <v>1541310</v>
      </c>
      <c r="I22" s="494"/>
      <c r="J22" s="381">
        <v>790000</v>
      </c>
      <c r="K22" s="371"/>
      <c r="L22" s="372"/>
      <c r="M22" s="381"/>
      <c r="N22" s="381"/>
      <c r="O22" s="358">
        <f t="shared" si="0"/>
        <v>2331310</v>
      </c>
      <c r="P22" s="385">
        <v>4050000</v>
      </c>
      <c r="Q22" s="358">
        <f t="shared" si="2"/>
        <v>1718690</v>
      </c>
      <c r="R22" s="195"/>
      <c r="S22" s="195"/>
    </row>
    <row r="23" spans="1:19" ht="21.75" customHeight="1" x14ac:dyDescent="0.25">
      <c r="A23" s="350">
        <v>16</v>
      </c>
      <c r="B23" s="487">
        <v>45615</v>
      </c>
      <c r="C23" s="366" t="s">
        <v>5634</v>
      </c>
      <c r="D23" s="501" t="s">
        <v>5655</v>
      </c>
      <c r="E23" s="354" t="s">
        <v>5211</v>
      </c>
      <c r="F23" s="461"/>
      <c r="G23" s="369">
        <v>153</v>
      </c>
      <c r="H23" s="358">
        <f t="shared" si="4"/>
        <v>2841210</v>
      </c>
      <c r="I23" s="494"/>
      <c r="J23" s="381">
        <v>1190000</v>
      </c>
      <c r="K23" s="371"/>
      <c r="L23" s="372"/>
      <c r="M23" s="381"/>
      <c r="N23" s="381"/>
      <c r="O23" s="358">
        <f t="shared" si="0"/>
        <v>4031210</v>
      </c>
      <c r="P23" s="385">
        <v>7000000</v>
      </c>
      <c r="Q23" s="358">
        <f t="shared" si="2"/>
        <v>2968790</v>
      </c>
      <c r="R23" s="195"/>
      <c r="S23" s="195"/>
    </row>
    <row r="24" spans="1:19" ht="21.75" customHeight="1" x14ac:dyDescent="0.25">
      <c r="A24" s="350">
        <v>17</v>
      </c>
      <c r="B24" s="487">
        <v>45616</v>
      </c>
      <c r="C24" s="366" t="s">
        <v>3381</v>
      </c>
      <c r="D24" s="501" t="s">
        <v>5656</v>
      </c>
      <c r="E24" s="354" t="s">
        <v>4145</v>
      </c>
      <c r="F24" s="461"/>
      <c r="G24" s="369">
        <v>101</v>
      </c>
      <c r="H24" s="358">
        <f t="shared" si="4"/>
        <v>1875570</v>
      </c>
      <c r="I24" s="494"/>
      <c r="J24" s="381">
        <v>790000</v>
      </c>
      <c r="K24" s="371"/>
      <c r="L24" s="372"/>
      <c r="M24" s="381"/>
      <c r="N24" s="381"/>
      <c r="O24" s="358">
        <f t="shared" si="0"/>
        <v>2665570</v>
      </c>
      <c r="P24" s="385">
        <v>4300000</v>
      </c>
      <c r="Q24" s="358">
        <f t="shared" si="2"/>
        <v>1634430</v>
      </c>
      <c r="R24" s="195"/>
      <c r="S24" s="195"/>
    </row>
    <row r="25" spans="1:19" ht="21.75" customHeight="1" x14ac:dyDescent="0.25">
      <c r="A25" s="470">
        <v>18</v>
      </c>
      <c r="B25" s="487">
        <v>45617</v>
      </c>
      <c r="C25" s="366" t="s">
        <v>5635</v>
      </c>
      <c r="D25" s="501" t="s">
        <v>5657</v>
      </c>
      <c r="E25" s="354" t="s">
        <v>5641</v>
      </c>
      <c r="F25" s="461"/>
      <c r="G25" s="369">
        <v>84</v>
      </c>
      <c r="H25" s="358">
        <f>G25*18500</f>
        <v>1554000</v>
      </c>
      <c r="I25" s="494"/>
      <c r="J25" s="381">
        <v>790000</v>
      </c>
      <c r="K25" s="371"/>
      <c r="L25" s="372"/>
      <c r="M25" s="381"/>
      <c r="N25" s="381"/>
      <c r="O25" s="358">
        <f t="shared" si="0"/>
        <v>2344000</v>
      </c>
      <c r="P25" s="385">
        <v>4050000</v>
      </c>
      <c r="Q25" s="358">
        <f t="shared" si="2"/>
        <v>1706000</v>
      </c>
      <c r="R25" s="195"/>
      <c r="S25" s="195"/>
    </row>
    <row r="26" spans="1:19" ht="21.75" customHeight="1" x14ac:dyDescent="0.25">
      <c r="A26" s="350">
        <v>19</v>
      </c>
      <c r="B26" s="487">
        <v>45618</v>
      </c>
      <c r="C26" s="366" t="s">
        <v>1450</v>
      </c>
      <c r="D26" s="501" t="s">
        <v>5658</v>
      </c>
      <c r="E26" s="354" t="s">
        <v>5356</v>
      </c>
      <c r="F26" s="461"/>
      <c r="G26" s="369">
        <v>392</v>
      </c>
      <c r="H26" s="358">
        <f t="shared" ref="H26:H29" si="5">G26*18500</f>
        <v>7252000</v>
      </c>
      <c r="I26" s="494"/>
      <c r="J26" s="381">
        <v>3748000</v>
      </c>
      <c r="K26" s="371"/>
      <c r="L26" s="372"/>
      <c r="M26" s="381"/>
      <c r="N26" s="381"/>
      <c r="O26" s="358">
        <f t="shared" si="0"/>
        <v>11000000</v>
      </c>
      <c r="P26" s="385">
        <v>21000000</v>
      </c>
      <c r="Q26" s="358">
        <f t="shared" si="2"/>
        <v>10000000</v>
      </c>
      <c r="R26" s="195"/>
      <c r="S26" s="195"/>
    </row>
    <row r="27" spans="1:19" ht="21.75" customHeight="1" x14ac:dyDescent="0.25">
      <c r="A27" s="350">
        <v>20</v>
      </c>
      <c r="B27" s="487">
        <v>45621</v>
      </c>
      <c r="C27" s="366" t="s">
        <v>5636</v>
      </c>
      <c r="D27" s="501" t="s">
        <v>5659</v>
      </c>
      <c r="E27" s="354" t="s">
        <v>850</v>
      </c>
      <c r="F27" s="461"/>
      <c r="G27" s="369">
        <v>110</v>
      </c>
      <c r="H27" s="358">
        <f t="shared" si="5"/>
        <v>2035000</v>
      </c>
      <c r="I27" s="494"/>
      <c r="J27" s="381">
        <v>790000</v>
      </c>
      <c r="K27" s="371"/>
      <c r="L27" s="372"/>
      <c r="M27" s="381"/>
      <c r="N27" s="381"/>
      <c r="O27" s="358">
        <f t="shared" si="0"/>
        <v>2825000</v>
      </c>
      <c r="P27" s="385">
        <v>4900000</v>
      </c>
      <c r="Q27" s="358">
        <f t="shared" si="2"/>
        <v>2075000</v>
      </c>
      <c r="R27" s="195"/>
      <c r="S27" s="195"/>
    </row>
    <row r="28" spans="1:19" ht="21.75" customHeight="1" x14ac:dyDescent="0.25">
      <c r="A28" s="470">
        <v>21</v>
      </c>
      <c r="B28" s="487">
        <v>45622</v>
      </c>
      <c r="C28" s="366" t="s">
        <v>739</v>
      </c>
      <c r="D28" s="501" t="s">
        <v>5660</v>
      </c>
      <c r="E28" s="354" t="s">
        <v>2959</v>
      </c>
      <c r="F28" s="461"/>
      <c r="G28" s="369">
        <v>63</v>
      </c>
      <c r="H28" s="358">
        <f t="shared" si="5"/>
        <v>1165500</v>
      </c>
      <c r="I28" s="494"/>
      <c r="J28" s="381">
        <v>430000</v>
      </c>
      <c r="K28" s="371"/>
      <c r="L28" s="372"/>
      <c r="M28" s="381"/>
      <c r="N28" s="381"/>
      <c r="O28" s="358">
        <f t="shared" si="0"/>
        <v>1595500</v>
      </c>
      <c r="P28" s="385">
        <v>3120000</v>
      </c>
      <c r="Q28" s="358">
        <f t="shared" si="2"/>
        <v>1524500</v>
      </c>
      <c r="R28" s="195"/>
      <c r="S28" s="195"/>
    </row>
    <row r="29" spans="1:19" ht="21.75" customHeight="1" x14ac:dyDescent="0.25">
      <c r="A29" s="350">
        <v>22</v>
      </c>
      <c r="B29" s="487">
        <v>45623</v>
      </c>
      <c r="C29" s="366" t="s">
        <v>3388</v>
      </c>
      <c r="D29" s="501" t="s">
        <v>3874</v>
      </c>
      <c r="E29" s="354" t="s">
        <v>4591</v>
      </c>
      <c r="F29" s="461"/>
      <c r="G29" s="369">
        <v>62</v>
      </c>
      <c r="H29" s="358">
        <f t="shared" si="5"/>
        <v>1147000</v>
      </c>
      <c r="I29" s="494"/>
      <c r="J29" s="381">
        <v>430000</v>
      </c>
      <c r="K29" s="371"/>
      <c r="L29" s="372"/>
      <c r="M29" s="381"/>
      <c r="N29" s="381"/>
      <c r="O29" s="358">
        <f t="shared" si="0"/>
        <v>1577000</v>
      </c>
      <c r="P29" s="385">
        <v>3060000</v>
      </c>
      <c r="Q29" s="358">
        <f t="shared" si="2"/>
        <v>1483000</v>
      </c>
      <c r="R29" s="195"/>
      <c r="S29" s="195"/>
    </row>
    <row r="30" spans="1:19" ht="21.75" customHeight="1" x14ac:dyDescent="0.25">
      <c r="A30" s="350">
        <v>23</v>
      </c>
      <c r="B30" s="487">
        <v>45624</v>
      </c>
      <c r="C30" s="366" t="s">
        <v>2154</v>
      </c>
      <c r="D30" s="501" t="s">
        <v>5661</v>
      </c>
      <c r="E30" s="354" t="s">
        <v>21</v>
      </c>
      <c r="F30" s="461"/>
      <c r="G30" s="369">
        <v>244</v>
      </c>
      <c r="H30" s="358">
        <f>G30*18770</f>
        <v>4579880</v>
      </c>
      <c r="I30" s="494"/>
      <c r="J30" s="381">
        <v>2380000</v>
      </c>
      <c r="K30" s="371"/>
      <c r="L30" s="372"/>
      <c r="M30" s="381"/>
      <c r="N30" s="381"/>
      <c r="O30" s="358">
        <f t="shared" si="0"/>
        <v>6959880</v>
      </c>
      <c r="P30" s="385">
        <v>12037037</v>
      </c>
      <c r="Q30" s="358">
        <f t="shared" si="2"/>
        <v>5077157</v>
      </c>
      <c r="R30" s="195"/>
      <c r="S30" s="195"/>
    </row>
    <row r="31" spans="1:19" ht="21.75" customHeight="1" x14ac:dyDescent="0.25">
      <c r="A31" s="470">
        <v>24</v>
      </c>
      <c r="B31" s="487">
        <v>45625</v>
      </c>
      <c r="C31" s="366" t="s">
        <v>2155</v>
      </c>
      <c r="D31" s="501" t="s">
        <v>5662</v>
      </c>
      <c r="E31" s="354" t="s">
        <v>4504</v>
      </c>
      <c r="F31" s="461"/>
      <c r="G31" s="369">
        <v>378</v>
      </c>
      <c r="H31" s="358">
        <f>G31*18770</f>
        <v>7095060</v>
      </c>
      <c r="I31" s="494"/>
      <c r="J31" s="381">
        <v>3748000</v>
      </c>
      <c r="K31" s="371"/>
      <c r="L31" s="372"/>
      <c r="M31" s="381"/>
      <c r="N31" s="381"/>
      <c r="O31" s="358">
        <f t="shared" si="0"/>
        <v>10843060</v>
      </c>
      <c r="P31" s="385">
        <v>20400000</v>
      </c>
      <c r="Q31" s="358">
        <f t="shared" si="2"/>
        <v>9556940</v>
      </c>
      <c r="R31" s="195"/>
      <c r="S31" s="195"/>
    </row>
    <row r="32" spans="1:19" ht="21.75" customHeight="1" x14ac:dyDescent="0.25">
      <c r="A32" s="350"/>
      <c r="B32" s="487"/>
      <c r="C32" s="366"/>
      <c r="D32" s="501"/>
      <c r="E32" s="354"/>
      <c r="F32" s="461"/>
      <c r="G32" s="369"/>
      <c r="H32" s="358"/>
      <c r="I32" s="494"/>
      <c r="J32" s="381"/>
      <c r="K32" s="371"/>
      <c r="L32" s="372"/>
      <c r="M32" s="381"/>
      <c r="N32" s="381"/>
      <c r="O32" s="358"/>
      <c r="P32" s="385"/>
      <c r="Q32" s="385"/>
      <c r="R32" s="195"/>
      <c r="S32" s="195"/>
    </row>
    <row r="33" spans="1:18" ht="24.95" customHeight="1" x14ac:dyDescent="0.25">
      <c r="A33" s="374"/>
      <c r="B33" s="488"/>
      <c r="C33" s="609" t="s">
        <v>1273</v>
      </c>
      <c r="D33" s="609"/>
      <c r="E33" s="609"/>
      <c r="F33" s="402"/>
      <c r="G33" s="358"/>
      <c r="H33" s="369"/>
      <c r="I33" s="403"/>
      <c r="J33" s="381"/>
      <c r="K33" s="372">
        <v>1200000</v>
      </c>
      <c r="L33" s="372"/>
      <c r="M33" s="381"/>
      <c r="N33" s="381"/>
      <c r="O33" s="385">
        <f>H33+J33+K33+L33+M33+N33</f>
        <v>1200000</v>
      </c>
      <c r="P33" s="358"/>
      <c r="Q33" s="385"/>
    </row>
    <row r="34" spans="1:18" ht="24.95" customHeight="1" x14ac:dyDescent="0.25">
      <c r="A34" s="386"/>
      <c r="B34" s="379"/>
      <c r="C34" s="594" t="s">
        <v>4535</v>
      </c>
      <c r="D34" s="595"/>
      <c r="E34" s="596"/>
      <c r="F34" s="402"/>
      <c r="G34" s="381"/>
      <c r="H34" s="369"/>
      <c r="J34" s="381"/>
      <c r="K34" s="388">
        <v>13870240</v>
      </c>
      <c r="L34" s="388"/>
      <c r="M34" s="388"/>
      <c r="N34" s="388"/>
      <c r="O34" s="385">
        <f t="shared" ref="O34:O38" si="6">H34+J34+K34+L34+M34+N34</f>
        <v>13870240</v>
      </c>
      <c r="P34" s="358"/>
      <c r="Q34" s="378"/>
    </row>
    <row r="35" spans="1:18" ht="24.95" customHeight="1" x14ac:dyDescent="0.25">
      <c r="A35" s="386"/>
      <c r="B35" s="379"/>
      <c r="C35" s="632" t="s">
        <v>5714</v>
      </c>
      <c r="D35" s="633"/>
      <c r="E35" s="634"/>
      <c r="F35" s="402"/>
      <c r="G35" s="381"/>
      <c r="H35" s="369"/>
      <c r="J35" s="381"/>
      <c r="K35" s="388"/>
      <c r="L35" s="388"/>
      <c r="M35" s="388">
        <v>300000</v>
      </c>
      <c r="N35" s="388"/>
      <c r="O35" s="385">
        <f t="shared" si="6"/>
        <v>300000</v>
      </c>
      <c r="P35" s="358"/>
      <c r="Q35" s="378"/>
    </row>
    <row r="36" spans="1:18" ht="24.95" customHeight="1" x14ac:dyDescent="0.25">
      <c r="A36" s="386"/>
      <c r="B36" s="379"/>
      <c r="C36" s="632" t="s">
        <v>5715</v>
      </c>
      <c r="D36" s="633"/>
      <c r="E36" s="634"/>
      <c r="F36" s="402"/>
      <c r="G36" s="381"/>
      <c r="H36" s="369"/>
      <c r="J36" s="381"/>
      <c r="K36" s="388"/>
      <c r="L36" s="388"/>
      <c r="M36" s="388"/>
      <c r="N36" s="388">
        <v>1155600</v>
      </c>
      <c r="O36" s="385">
        <f t="shared" si="6"/>
        <v>1155600</v>
      </c>
      <c r="P36" s="358"/>
      <c r="Q36" s="378"/>
    </row>
    <row r="37" spans="1:18" ht="24.95" customHeight="1" x14ac:dyDescent="0.25">
      <c r="A37" s="386"/>
      <c r="B37" s="379"/>
      <c r="C37" s="632" t="s">
        <v>5717</v>
      </c>
      <c r="D37" s="633"/>
      <c r="E37" s="634"/>
      <c r="F37" s="402"/>
      <c r="G37" s="381"/>
      <c r="H37" s="369"/>
      <c r="J37" s="381"/>
      <c r="K37" s="388"/>
      <c r="L37" s="388"/>
      <c r="M37" s="388">
        <v>9800000</v>
      </c>
      <c r="N37" s="388"/>
      <c r="O37" s="385">
        <f t="shared" si="6"/>
        <v>9800000</v>
      </c>
      <c r="P37" s="358"/>
      <c r="Q37" s="378"/>
    </row>
    <row r="38" spans="1:18" ht="24.95" customHeight="1" x14ac:dyDescent="0.25">
      <c r="A38" s="386"/>
      <c r="B38" s="379"/>
      <c r="C38" s="632" t="s">
        <v>5718</v>
      </c>
      <c r="D38" s="633"/>
      <c r="E38" s="634"/>
      <c r="F38" s="402"/>
      <c r="G38" s="381"/>
      <c r="H38" s="369"/>
      <c r="J38" s="381"/>
      <c r="K38" s="388"/>
      <c r="L38" s="388"/>
      <c r="M38" s="388">
        <v>500000</v>
      </c>
      <c r="N38" s="388"/>
      <c r="O38" s="385">
        <f t="shared" si="6"/>
        <v>500000</v>
      </c>
      <c r="P38" s="358"/>
      <c r="Q38" s="378"/>
    </row>
    <row r="39" spans="1:18" ht="24.95" customHeight="1" x14ac:dyDescent="0.25">
      <c r="A39" s="386"/>
      <c r="B39" s="391"/>
      <c r="C39" s="579" t="s">
        <v>4333</v>
      </c>
      <c r="D39" s="580"/>
      <c r="E39" s="581"/>
      <c r="F39" s="461"/>
      <c r="G39" s="381"/>
      <c r="H39" s="369"/>
      <c r="I39" s="403"/>
      <c r="J39" s="381"/>
      <c r="K39" s="394">
        <v>8300000</v>
      </c>
      <c r="L39" s="394"/>
      <c r="M39" s="381"/>
      <c r="N39" s="381"/>
      <c r="O39" s="385">
        <f>H39+J39+K39+L39+M39+N39</f>
        <v>8300000</v>
      </c>
      <c r="P39" s="509"/>
      <c r="Q39" s="378"/>
    </row>
    <row r="40" spans="1:18" x14ac:dyDescent="0.25">
      <c r="A40" s="576" t="s">
        <v>19</v>
      </c>
      <c r="B40" s="577"/>
      <c r="C40" s="577"/>
      <c r="D40" s="577"/>
      <c r="E40" s="577"/>
      <c r="F40" s="578"/>
      <c r="G40" s="395">
        <f>SUM(G8:G39)</f>
        <v>3338</v>
      </c>
      <c r="H40" s="396">
        <f>SUM(H7:H39)</f>
        <v>62146000</v>
      </c>
      <c r="I40" s="396">
        <f>SUM(I7:I39)</f>
        <v>0</v>
      </c>
      <c r="J40" s="396">
        <f>SUM(J7:J39)</f>
        <v>29015000</v>
      </c>
      <c r="K40" s="396">
        <f>SUM(K7:K39)</f>
        <v>23370240</v>
      </c>
      <c r="L40" s="396">
        <f>SUM(L7:L39)</f>
        <v>0</v>
      </c>
      <c r="M40" s="396">
        <f>SUM(M7:M39)</f>
        <v>10600000</v>
      </c>
      <c r="N40" s="396">
        <f>SUM(N7:N39)</f>
        <v>1155600</v>
      </c>
      <c r="O40" s="396">
        <f>SUM(O7:O39)</f>
        <v>126286840</v>
      </c>
      <c r="P40" s="397">
        <f>SUM(P7:P39)</f>
        <v>167448518</v>
      </c>
      <c r="Q40" s="396">
        <f>P40-O40</f>
        <v>41161678</v>
      </c>
      <c r="R40" s="195"/>
    </row>
    <row r="41" spans="1:18" x14ac:dyDescent="0.25">
      <c r="P41" s="294"/>
      <c r="Q41" s="295"/>
    </row>
    <row r="42" spans="1:18" x14ac:dyDescent="0.25">
      <c r="B42"/>
      <c r="G42"/>
      <c r="H42" s="294"/>
      <c r="P42" s="296" t="s">
        <v>1225</v>
      </c>
      <c r="Q42" s="295">
        <f>'10.2024'!Q43+'11.2024'!Q40</f>
        <v>326052855</v>
      </c>
    </row>
    <row r="43" spans="1:18" x14ac:dyDescent="0.25">
      <c r="B43"/>
      <c r="G43"/>
      <c r="Q43" s="294"/>
    </row>
    <row r="44" spans="1:18" x14ac:dyDescent="0.25">
      <c r="B44"/>
      <c r="G44"/>
      <c r="R44" s="195"/>
    </row>
  </sheetData>
  <mergeCells count="12">
    <mergeCell ref="C39:E39"/>
    <mergeCell ref="A40:F40"/>
    <mergeCell ref="A1:Q1"/>
    <mergeCell ref="A2:Q2"/>
    <mergeCell ref="A3:Q3"/>
    <mergeCell ref="G5:N5"/>
    <mergeCell ref="C33:E33"/>
    <mergeCell ref="C34:E34"/>
    <mergeCell ref="C35:E35"/>
    <mergeCell ref="C36:E36"/>
    <mergeCell ref="C37:E37"/>
    <mergeCell ref="C38:E38"/>
  </mergeCells>
  <pageMargins left="0.7" right="0.7" top="0.75" bottom="0.75" header="0.3" footer="0.3"/>
  <pageSetup paperSize="9" orientation="portrait" horizontalDpi="0" verticalDpi="0"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D4C11A-C7A6-47AE-9950-686022C86072}">
  <dimension ref="A1:U50"/>
  <sheetViews>
    <sheetView topLeftCell="A28" workbookViewId="0">
      <selection activeCell="Q48" sqref="Q48"/>
    </sheetView>
  </sheetViews>
  <sheetFormatPr defaultColWidth="9.140625" defaultRowHeight="15" x14ac:dyDescent="0.25"/>
  <cols>
    <col min="1" max="1" width="4.5703125" customWidth="1"/>
    <col min="2" max="2" width="9.28515625" style="332" bestFit="1" customWidth="1"/>
    <col min="3" max="3" width="33.42578125" customWidth="1"/>
    <col min="4" max="4" width="15.140625" customWidth="1"/>
    <col min="5" max="5" width="38.7109375" customWidth="1"/>
    <col min="7" max="7" width="9.28515625" style="292" bestFit="1" customWidth="1"/>
    <col min="8" max="8" width="11.5703125" style="292" customWidth="1"/>
    <col min="9" max="9" width="9.28515625" style="293" bestFit="1" customWidth="1"/>
    <col min="10" max="10" width="9.85546875" style="292" bestFit="1" customWidth="1"/>
    <col min="11" max="11" width="10.42578125" style="292" bestFit="1" customWidth="1"/>
    <col min="12" max="12" width="10.7109375" style="173" customWidth="1"/>
    <col min="13" max="13" width="10.140625" style="292" customWidth="1"/>
    <col min="14" max="14" width="9.28515625" style="292" bestFit="1" customWidth="1"/>
    <col min="15" max="15" width="11.140625" style="292" customWidth="1"/>
    <col min="16" max="16" width="10.7109375" style="292" customWidth="1"/>
    <col min="17" max="17" width="12.28515625" style="292" customWidth="1"/>
    <col min="18" max="18" width="11.7109375" customWidth="1"/>
    <col min="19" max="19" width="10.140625" bestFit="1" customWidth="1"/>
  </cols>
  <sheetData>
    <row r="1" spans="1:21" ht="23.25" x14ac:dyDescent="0.25">
      <c r="A1" s="551" t="s">
        <v>0</v>
      </c>
      <c r="B1" s="551"/>
      <c r="C1" s="551"/>
      <c r="D1" s="551"/>
      <c r="E1" s="551"/>
      <c r="F1" s="551"/>
      <c r="G1" s="551"/>
      <c r="H1" s="551"/>
      <c r="I1" s="551"/>
      <c r="J1" s="551"/>
      <c r="K1" s="551"/>
      <c r="L1" s="551"/>
      <c r="M1" s="551"/>
      <c r="N1" s="551"/>
      <c r="O1" s="551"/>
      <c r="P1" s="551"/>
      <c r="Q1" s="551"/>
    </row>
    <row r="2" spans="1:21" ht="15.75" x14ac:dyDescent="0.25">
      <c r="A2" s="550" t="s">
        <v>103</v>
      </c>
      <c r="B2" s="550"/>
      <c r="C2" s="550"/>
      <c r="D2" s="550"/>
      <c r="E2" s="550"/>
      <c r="F2" s="550"/>
      <c r="G2" s="550"/>
      <c r="H2" s="550"/>
      <c r="I2" s="550"/>
      <c r="J2" s="550"/>
      <c r="K2" s="550"/>
      <c r="L2" s="550"/>
      <c r="M2" s="550"/>
      <c r="N2" s="550"/>
      <c r="O2" s="550"/>
      <c r="P2" s="550"/>
      <c r="Q2" s="550"/>
    </row>
    <row r="3" spans="1:21" ht="15.75" x14ac:dyDescent="0.25">
      <c r="A3" s="550" t="s">
        <v>5713</v>
      </c>
      <c r="B3" s="550"/>
      <c r="C3" s="550"/>
      <c r="D3" s="550"/>
      <c r="E3" s="550"/>
      <c r="F3" s="550"/>
      <c r="G3" s="550"/>
      <c r="H3" s="550"/>
      <c r="I3" s="550"/>
      <c r="J3" s="550"/>
      <c r="K3" s="550"/>
      <c r="L3" s="550"/>
      <c r="M3" s="550"/>
      <c r="N3" s="550"/>
      <c r="O3" s="550"/>
      <c r="P3" s="550"/>
      <c r="Q3" s="550"/>
    </row>
    <row r="4" spans="1:21" x14ac:dyDescent="0.25">
      <c r="A4" s="74"/>
      <c r="B4" s="99"/>
      <c r="C4" s="74"/>
      <c r="D4" s="74"/>
      <c r="E4" s="74" t="s">
        <v>194</v>
      </c>
      <c r="F4" s="74"/>
      <c r="G4" s="257"/>
      <c r="H4" s="258"/>
      <c r="I4" s="258"/>
      <c r="J4" s="258"/>
      <c r="K4" s="258"/>
      <c r="L4" s="91"/>
      <c r="M4" s="258"/>
      <c r="N4" s="258"/>
      <c r="O4" s="258"/>
      <c r="P4" s="258"/>
      <c r="Q4" s="258"/>
    </row>
    <row r="5" spans="1:21" ht="25.5" x14ac:dyDescent="0.25">
      <c r="A5" s="449" t="s">
        <v>1</v>
      </c>
      <c r="B5" s="450" t="s">
        <v>2</v>
      </c>
      <c r="C5" s="449" t="s">
        <v>3</v>
      </c>
      <c r="D5" s="449" t="s">
        <v>5</v>
      </c>
      <c r="E5" s="451" t="s">
        <v>4</v>
      </c>
      <c r="F5" s="451" t="s">
        <v>17</v>
      </c>
      <c r="G5" s="606" t="s">
        <v>6</v>
      </c>
      <c r="H5" s="607"/>
      <c r="I5" s="607"/>
      <c r="J5" s="607"/>
      <c r="K5" s="607"/>
      <c r="L5" s="607"/>
      <c r="M5" s="607"/>
      <c r="N5" s="608"/>
      <c r="O5" s="452" t="s">
        <v>18</v>
      </c>
      <c r="P5" s="452" t="s">
        <v>13</v>
      </c>
      <c r="Q5" s="452" t="s">
        <v>14</v>
      </c>
    </row>
    <row r="6" spans="1:21" x14ac:dyDescent="0.25">
      <c r="A6" s="453"/>
      <c r="B6" s="454"/>
      <c r="C6" s="453"/>
      <c r="D6" s="453"/>
      <c r="E6" s="455"/>
      <c r="F6" s="455"/>
      <c r="G6" s="456" t="s">
        <v>7</v>
      </c>
      <c r="H6" s="457" t="s">
        <v>15</v>
      </c>
      <c r="I6" s="457" t="s">
        <v>16</v>
      </c>
      <c r="J6" s="457" t="s">
        <v>8</v>
      </c>
      <c r="K6" s="457" t="s">
        <v>9</v>
      </c>
      <c r="L6" s="458" t="s">
        <v>10</v>
      </c>
      <c r="M6" s="457" t="s">
        <v>11</v>
      </c>
      <c r="N6" s="457" t="s">
        <v>12</v>
      </c>
      <c r="O6" s="459"/>
      <c r="P6" s="459"/>
      <c r="Q6" s="459"/>
    </row>
    <row r="7" spans="1:21" x14ac:dyDescent="0.25">
      <c r="A7" s="75"/>
      <c r="B7" s="100"/>
      <c r="C7" s="88"/>
      <c r="D7" s="88"/>
      <c r="E7" s="134"/>
      <c r="F7" s="75"/>
      <c r="G7" s="264"/>
      <c r="H7" s="264"/>
      <c r="I7" s="264"/>
      <c r="J7" s="264"/>
      <c r="K7" s="264"/>
      <c r="L7" s="308"/>
      <c r="M7" s="264"/>
      <c r="N7" s="264"/>
      <c r="O7" s="265"/>
      <c r="P7" s="265"/>
      <c r="Q7" s="264"/>
    </row>
    <row r="8" spans="1:21" ht="21.75" customHeight="1" x14ac:dyDescent="0.25">
      <c r="A8" s="470">
        <v>1</v>
      </c>
      <c r="B8" s="472">
        <v>45628</v>
      </c>
      <c r="C8" s="366" t="s">
        <v>5663</v>
      </c>
      <c r="D8" s="500" t="s">
        <v>5127</v>
      </c>
      <c r="E8" s="354" t="s">
        <v>4591</v>
      </c>
      <c r="F8" s="368"/>
      <c r="G8" s="369">
        <v>78</v>
      </c>
      <c r="H8" s="358">
        <f>+G8*18380</f>
        <v>1433640</v>
      </c>
      <c r="I8" s="358"/>
      <c r="J8" s="358">
        <v>730000</v>
      </c>
      <c r="K8" s="371"/>
      <c r="L8" s="372"/>
      <c r="M8" s="358"/>
      <c r="N8" s="358"/>
      <c r="O8" s="358">
        <f t="shared" ref="O8:O34" si="0">H8+J8+K8+L8+M8+N8</f>
        <v>2163640</v>
      </c>
      <c r="P8" s="358">
        <v>3060000</v>
      </c>
      <c r="Q8" s="358">
        <f>P8-O8</f>
        <v>896360</v>
      </c>
      <c r="R8" s="195"/>
      <c r="S8" s="195"/>
    </row>
    <row r="9" spans="1:21" ht="21.75" customHeight="1" x14ac:dyDescent="0.25">
      <c r="A9" s="350">
        <v>2</v>
      </c>
      <c r="B9" s="482">
        <v>45628</v>
      </c>
      <c r="C9" s="366" t="s">
        <v>5664</v>
      </c>
      <c r="D9" s="501" t="s">
        <v>5127</v>
      </c>
      <c r="E9" s="354" t="s">
        <v>4591</v>
      </c>
      <c r="F9" s="368"/>
      <c r="G9" s="369"/>
      <c r="H9" s="358"/>
      <c r="I9" s="358"/>
      <c r="J9" s="358"/>
      <c r="K9" s="371"/>
      <c r="L9" s="372"/>
      <c r="M9" s="358"/>
      <c r="N9" s="358"/>
      <c r="O9" s="358">
        <f t="shared" si="0"/>
        <v>0</v>
      </c>
      <c r="P9" s="385">
        <v>1836000</v>
      </c>
      <c r="Q9" s="358">
        <f t="shared" ref="Q9:Q34" si="1">P9-O9</f>
        <v>1836000</v>
      </c>
      <c r="R9" s="195"/>
      <c r="S9" s="195"/>
    </row>
    <row r="10" spans="1:21" ht="21.75" customHeight="1" x14ac:dyDescent="0.25">
      <c r="A10" s="350">
        <v>3</v>
      </c>
      <c r="B10" s="482">
        <v>45629</v>
      </c>
      <c r="C10" s="366" t="s">
        <v>5665</v>
      </c>
      <c r="D10" s="501" t="s">
        <v>5682</v>
      </c>
      <c r="E10" s="354" t="s">
        <v>286</v>
      </c>
      <c r="F10" s="368"/>
      <c r="G10" s="369">
        <v>69</v>
      </c>
      <c r="H10" s="358">
        <f t="shared" ref="H10:H14" si="2">+G10*18380</f>
        <v>1268220</v>
      </c>
      <c r="I10" s="358"/>
      <c r="J10" s="358">
        <v>790000</v>
      </c>
      <c r="K10" s="371"/>
      <c r="L10" s="372"/>
      <c r="M10" s="358"/>
      <c r="N10" s="358"/>
      <c r="O10" s="358">
        <f t="shared" si="0"/>
        <v>2058220</v>
      </c>
      <c r="P10" s="385">
        <v>3680000</v>
      </c>
      <c r="Q10" s="358">
        <f t="shared" si="1"/>
        <v>1621780</v>
      </c>
      <c r="R10" s="195"/>
      <c r="S10" s="195"/>
    </row>
    <row r="11" spans="1:21" ht="21.75" customHeight="1" x14ac:dyDescent="0.25">
      <c r="A11" s="350">
        <v>4</v>
      </c>
      <c r="B11" s="482">
        <v>45630</v>
      </c>
      <c r="C11" s="366" t="s">
        <v>5666</v>
      </c>
      <c r="D11" s="501" t="s">
        <v>5683</v>
      </c>
      <c r="E11" s="354" t="s">
        <v>286</v>
      </c>
      <c r="F11" s="368"/>
      <c r="G11" s="369">
        <v>69</v>
      </c>
      <c r="H11" s="358">
        <f t="shared" si="2"/>
        <v>1268220</v>
      </c>
      <c r="I11" s="358"/>
      <c r="J11" s="358">
        <v>790000</v>
      </c>
      <c r="K11" s="371"/>
      <c r="L11" s="372"/>
      <c r="M11" s="358"/>
      <c r="N11" s="358"/>
      <c r="O11" s="358">
        <f t="shared" si="0"/>
        <v>2058220</v>
      </c>
      <c r="P11" s="385">
        <v>3680000</v>
      </c>
      <c r="Q11" s="358">
        <f t="shared" si="1"/>
        <v>1621780</v>
      </c>
      <c r="R11" s="195"/>
      <c r="S11" s="195"/>
      <c r="U11" s="195"/>
    </row>
    <row r="12" spans="1:21" ht="21.75" customHeight="1" x14ac:dyDescent="0.25">
      <c r="A12" s="470">
        <v>5</v>
      </c>
      <c r="B12" s="482">
        <v>45631</v>
      </c>
      <c r="C12" s="366" t="s">
        <v>5667</v>
      </c>
      <c r="D12" s="501" t="s">
        <v>5684</v>
      </c>
      <c r="E12" s="354" t="s">
        <v>2878</v>
      </c>
      <c r="F12" s="368"/>
      <c r="G12" s="369">
        <v>94</v>
      </c>
      <c r="H12" s="358">
        <f t="shared" si="2"/>
        <v>1727720</v>
      </c>
      <c r="I12" s="358"/>
      <c r="J12" s="358">
        <v>790000</v>
      </c>
      <c r="K12" s="371"/>
      <c r="L12" s="372"/>
      <c r="M12" s="358"/>
      <c r="N12" s="358"/>
      <c r="O12" s="358">
        <f t="shared" si="0"/>
        <v>2517720</v>
      </c>
      <c r="P12" s="385">
        <v>3840000</v>
      </c>
      <c r="Q12" s="358">
        <f t="shared" si="1"/>
        <v>1322280</v>
      </c>
      <c r="R12" s="195"/>
      <c r="S12" s="195"/>
    </row>
    <row r="13" spans="1:21" ht="21.75" customHeight="1" x14ac:dyDescent="0.25">
      <c r="A13" s="350">
        <v>6</v>
      </c>
      <c r="B13" s="482">
        <v>45632</v>
      </c>
      <c r="C13" s="366" t="s">
        <v>5668</v>
      </c>
      <c r="D13" s="501" t="s">
        <v>5685</v>
      </c>
      <c r="E13" s="354" t="s">
        <v>2441</v>
      </c>
      <c r="F13" s="368"/>
      <c r="G13" s="369">
        <v>69</v>
      </c>
      <c r="H13" s="358">
        <f t="shared" si="2"/>
        <v>1268220</v>
      </c>
      <c r="I13" s="358"/>
      <c r="J13" s="358">
        <v>790000</v>
      </c>
      <c r="K13" s="371"/>
      <c r="L13" s="372"/>
      <c r="M13" s="358"/>
      <c r="N13" s="358"/>
      <c r="O13" s="358">
        <f t="shared" si="0"/>
        <v>2058220</v>
      </c>
      <c r="P13" s="385">
        <v>3600000</v>
      </c>
      <c r="Q13" s="358">
        <f t="shared" si="1"/>
        <v>1541780</v>
      </c>
      <c r="R13" s="195"/>
      <c r="S13" s="195"/>
    </row>
    <row r="14" spans="1:21" ht="21.75" customHeight="1" x14ac:dyDescent="0.25">
      <c r="A14" s="350">
        <v>7</v>
      </c>
      <c r="B14" s="482">
        <v>45633</v>
      </c>
      <c r="C14" s="366" t="s">
        <v>5669</v>
      </c>
      <c r="D14" s="501" t="s">
        <v>5686</v>
      </c>
      <c r="E14" s="354" t="s">
        <v>2441</v>
      </c>
      <c r="F14" s="368"/>
      <c r="G14" s="369">
        <v>186</v>
      </c>
      <c r="H14" s="358">
        <f t="shared" si="2"/>
        <v>3418680</v>
      </c>
      <c r="I14" s="358"/>
      <c r="J14" s="358">
        <v>1370000</v>
      </c>
      <c r="K14" s="371"/>
      <c r="L14" s="372"/>
      <c r="M14" s="358"/>
      <c r="N14" s="358"/>
      <c r="O14" s="358">
        <f t="shared" si="0"/>
        <v>4788680</v>
      </c>
      <c r="P14" s="385">
        <v>3600000</v>
      </c>
      <c r="Q14" s="358">
        <f t="shared" si="1"/>
        <v>-1188680</v>
      </c>
      <c r="R14" s="195"/>
      <c r="S14" s="195"/>
    </row>
    <row r="15" spans="1:21" ht="21.75" customHeight="1" x14ac:dyDescent="0.25">
      <c r="A15" s="350">
        <v>8</v>
      </c>
      <c r="B15" s="482">
        <v>45633</v>
      </c>
      <c r="C15" s="366" t="s">
        <v>5670</v>
      </c>
      <c r="D15" s="501" t="s">
        <v>5686</v>
      </c>
      <c r="E15" s="354" t="s">
        <v>2999</v>
      </c>
      <c r="F15" s="368"/>
      <c r="G15" s="369"/>
      <c r="H15" s="358"/>
      <c r="I15" s="358"/>
      <c r="J15" s="358"/>
      <c r="K15" s="371"/>
      <c r="L15" s="372"/>
      <c r="M15" s="358"/>
      <c r="N15" s="358"/>
      <c r="O15" s="358">
        <f t="shared" si="0"/>
        <v>0</v>
      </c>
      <c r="P15" s="385">
        <v>4900000</v>
      </c>
      <c r="Q15" s="358">
        <f t="shared" si="1"/>
        <v>4900000</v>
      </c>
      <c r="R15" s="195"/>
      <c r="S15" s="195"/>
      <c r="U15" s="195"/>
    </row>
    <row r="16" spans="1:21" ht="21.75" customHeight="1" x14ac:dyDescent="0.25">
      <c r="A16" s="470">
        <v>9</v>
      </c>
      <c r="B16" s="482">
        <v>45635</v>
      </c>
      <c r="C16" s="366" t="s">
        <v>5671</v>
      </c>
      <c r="D16" s="501" t="s">
        <v>5687</v>
      </c>
      <c r="E16" s="354" t="s">
        <v>5703</v>
      </c>
      <c r="F16" s="368"/>
      <c r="G16" s="369">
        <v>91</v>
      </c>
      <c r="H16" s="358">
        <f>G16*18250</f>
        <v>1660750</v>
      </c>
      <c r="I16" s="358"/>
      <c r="J16" s="358">
        <v>790000</v>
      </c>
      <c r="K16" s="371"/>
      <c r="L16" s="372"/>
      <c r="M16" s="381"/>
      <c r="N16" s="358"/>
      <c r="O16" s="358">
        <f t="shared" si="0"/>
        <v>2450750</v>
      </c>
      <c r="P16" s="385">
        <v>4738519</v>
      </c>
      <c r="Q16" s="358">
        <f t="shared" si="1"/>
        <v>2287769</v>
      </c>
      <c r="R16" s="195"/>
      <c r="S16" s="195"/>
    </row>
    <row r="17" spans="1:19" ht="21.75" customHeight="1" x14ac:dyDescent="0.25">
      <c r="A17" s="470">
        <v>10</v>
      </c>
      <c r="B17" s="487">
        <v>45636</v>
      </c>
      <c r="C17" s="366" t="s">
        <v>2837</v>
      </c>
      <c r="D17" s="501" t="s">
        <v>5688</v>
      </c>
      <c r="E17" s="354" t="s">
        <v>5638</v>
      </c>
      <c r="F17" s="461"/>
      <c r="G17" s="369">
        <v>119</v>
      </c>
      <c r="H17" s="358">
        <f t="shared" ref="H17:H20" si="3">G17*18250</f>
        <v>2171750</v>
      </c>
      <c r="I17" s="494"/>
      <c r="J17" s="358">
        <v>1090000</v>
      </c>
      <c r="K17" s="371"/>
      <c r="L17" s="372"/>
      <c r="N17" s="381"/>
      <c r="O17" s="358">
        <f t="shared" si="0"/>
        <v>3261750</v>
      </c>
      <c r="P17" s="385">
        <v>4050000</v>
      </c>
      <c r="Q17" s="358">
        <f t="shared" si="1"/>
        <v>788250</v>
      </c>
      <c r="R17" s="195"/>
      <c r="S17" s="195"/>
    </row>
    <row r="18" spans="1:19" ht="21.75" customHeight="1" x14ac:dyDescent="0.25">
      <c r="A18" s="350">
        <v>11</v>
      </c>
      <c r="B18" s="487">
        <v>45636</v>
      </c>
      <c r="C18" s="366" t="s">
        <v>5672</v>
      </c>
      <c r="D18" s="501" t="s">
        <v>5688</v>
      </c>
      <c r="E18" s="354" t="s">
        <v>1947</v>
      </c>
      <c r="F18" s="461"/>
      <c r="G18" s="369"/>
      <c r="H18" s="358">
        <f t="shared" si="3"/>
        <v>0</v>
      </c>
      <c r="I18" s="494"/>
      <c r="J18" s="358"/>
      <c r="K18" s="371"/>
      <c r="L18" s="372"/>
      <c r="M18" s="381"/>
      <c r="N18" s="381"/>
      <c r="O18" s="358">
        <f t="shared" si="0"/>
        <v>0</v>
      </c>
      <c r="P18" s="385">
        <v>3432889</v>
      </c>
      <c r="Q18" s="358">
        <f t="shared" si="1"/>
        <v>3432889</v>
      </c>
      <c r="R18" s="195"/>
      <c r="S18" s="195"/>
    </row>
    <row r="19" spans="1:19" ht="21.75" customHeight="1" x14ac:dyDescent="0.25">
      <c r="A19" s="350">
        <v>12</v>
      </c>
      <c r="B19" s="487">
        <v>45637</v>
      </c>
      <c r="C19" s="366" t="s">
        <v>2200</v>
      </c>
      <c r="D19" s="501" t="s">
        <v>5689</v>
      </c>
      <c r="E19" s="354" t="s">
        <v>5704</v>
      </c>
      <c r="F19" s="461"/>
      <c r="G19" s="369">
        <v>63</v>
      </c>
      <c r="H19" s="358">
        <f t="shared" si="3"/>
        <v>1149750</v>
      </c>
      <c r="I19" s="494"/>
      <c r="J19" s="358">
        <v>430000</v>
      </c>
      <c r="K19" s="371"/>
      <c r="L19" s="372"/>
      <c r="M19" s="381"/>
      <c r="N19" s="381"/>
      <c r="O19" s="358">
        <f t="shared" si="0"/>
        <v>1579750</v>
      </c>
      <c r="P19" s="385">
        <v>3120000</v>
      </c>
      <c r="Q19" s="358">
        <f t="shared" si="1"/>
        <v>1540250</v>
      </c>
      <c r="R19" s="195"/>
      <c r="S19" s="195"/>
    </row>
    <row r="20" spans="1:19" ht="21.75" customHeight="1" x14ac:dyDescent="0.25">
      <c r="A20" s="350">
        <v>13</v>
      </c>
      <c r="B20" s="487">
        <v>45638</v>
      </c>
      <c r="C20" s="366" t="s">
        <v>793</v>
      </c>
      <c r="D20" s="501" t="s">
        <v>5690</v>
      </c>
      <c r="E20" s="354" t="s">
        <v>5704</v>
      </c>
      <c r="F20" s="461"/>
      <c r="G20" s="369">
        <v>63</v>
      </c>
      <c r="H20" s="358">
        <f t="shared" si="3"/>
        <v>1149750</v>
      </c>
      <c r="I20" s="494"/>
      <c r="J20" s="358">
        <v>430000</v>
      </c>
      <c r="K20" s="371"/>
      <c r="L20" s="372"/>
      <c r="M20" s="381"/>
      <c r="N20" s="381"/>
      <c r="O20" s="358">
        <f t="shared" si="0"/>
        <v>1579750</v>
      </c>
      <c r="P20" s="385">
        <v>3120000</v>
      </c>
      <c r="Q20" s="358">
        <f t="shared" si="1"/>
        <v>1540250</v>
      </c>
      <c r="R20" s="195"/>
      <c r="S20" s="195"/>
    </row>
    <row r="21" spans="1:19" ht="21.75" customHeight="1" x14ac:dyDescent="0.25">
      <c r="A21" s="470">
        <v>14</v>
      </c>
      <c r="B21" s="487">
        <v>45639</v>
      </c>
      <c r="C21" s="366" t="s">
        <v>1500</v>
      </c>
      <c r="D21" s="501" t="s">
        <v>5691</v>
      </c>
      <c r="E21" s="354" t="s">
        <v>4504</v>
      </c>
      <c r="F21" s="461"/>
      <c r="G21" s="369">
        <v>378</v>
      </c>
      <c r="H21" s="358">
        <f>G21*18730</f>
        <v>7079940</v>
      </c>
      <c r="I21" s="494"/>
      <c r="J21" s="358">
        <v>3748000</v>
      </c>
      <c r="K21" s="371"/>
      <c r="L21" s="372"/>
      <c r="M21" s="381"/>
      <c r="N21" s="381"/>
      <c r="O21" s="358">
        <f t="shared" si="0"/>
        <v>10827940</v>
      </c>
      <c r="P21" s="385">
        <v>20400000</v>
      </c>
      <c r="Q21" s="358">
        <f t="shared" si="1"/>
        <v>9572060</v>
      </c>
      <c r="R21" s="195"/>
      <c r="S21" s="195"/>
    </row>
    <row r="22" spans="1:19" ht="21.75" customHeight="1" x14ac:dyDescent="0.25">
      <c r="A22" s="350">
        <v>15</v>
      </c>
      <c r="B22" s="487">
        <v>45643</v>
      </c>
      <c r="C22" s="366" t="s">
        <v>5673</v>
      </c>
      <c r="D22" s="501" t="s">
        <v>5692</v>
      </c>
      <c r="E22" s="354" t="s">
        <v>5705</v>
      </c>
      <c r="F22" s="461"/>
      <c r="G22" s="369">
        <v>106</v>
      </c>
      <c r="H22" s="358">
        <f t="shared" ref="H22:H26" si="4">G22*18730</f>
        <v>1985380</v>
      </c>
      <c r="I22" s="494"/>
      <c r="J22" s="381">
        <v>790000</v>
      </c>
      <c r="K22" s="371"/>
      <c r="L22" s="372"/>
      <c r="M22" s="381"/>
      <c r="N22" s="381"/>
      <c r="O22" s="358">
        <f t="shared" si="0"/>
        <v>2775380</v>
      </c>
      <c r="P22" s="385">
        <v>4800000</v>
      </c>
      <c r="Q22" s="358">
        <f t="shared" si="1"/>
        <v>2024620</v>
      </c>
      <c r="R22" s="195"/>
      <c r="S22" s="195"/>
    </row>
    <row r="23" spans="1:19" ht="21.75" customHeight="1" x14ac:dyDescent="0.25">
      <c r="A23" s="350">
        <v>16</v>
      </c>
      <c r="B23" s="487">
        <v>45644</v>
      </c>
      <c r="C23" s="366" t="s">
        <v>2841</v>
      </c>
      <c r="D23" s="501" t="s">
        <v>5693</v>
      </c>
      <c r="E23" s="354" t="s">
        <v>286</v>
      </c>
      <c r="F23" s="461"/>
      <c r="G23" s="369">
        <v>97</v>
      </c>
      <c r="H23" s="358">
        <f t="shared" si="4"/>
        <v>1816810</v>
      </c>
      <c r="I23" s="494"/>
      <c r="J23" s="381">
        <v>1090000</v>
      </c>
      <c r="K23" s="371"/>
      <c r="L23" s="372"/>
      <c r="M23" s="381"/>
      <c r="N23" s="381"/>
      <c r="O23" s="358">
        <f t="shared" si="0"/>
        <v>2906810</v>
      </c>
      <c r="P23" s="385">
        <v>3680000</v>
      </c>
      <c r="Q23" s="358">
        <f t="shared" si="1"/>
        <v>773190</v>
      </c>
      <c r="R23" s="195"/>
      <c r="S23" s="195"/>
    </row>
    <row r="24" spans="1:19" ht="21.75" customHeight="1" x14ac:dyDescent="0.25">
      <c r="A24" s="350">
        <v>17</v>
      </c>
      <c r="B24" s="487">
        <v>45644</v>
      </c>
      <c r="C24" s="366" t="s">
        <v>5674</v>
      </c>
      <c r="D24" s="501" t="s">
        <v>5693</v>
      </c>
      <c r="E24" s="354" t="s">
        <v>5706</v>
      </c>
      <c r="F24" s="461"/>
      <c r="G24" s="369"/>
      <c r="H24" s="358">
        <f t="shared" si="4"/>
        <v>0</v>
      </c>
      <c r="I24" s="494"/>
      <c r="J24" s="381"/>
      <c r="K24" s="371"/>
      <c r="L24" s="372"/>
      <c r="M24" s="381"/>
      <c r="N24" s="381"/>
      <c r="O24" s="358">
        <f t="shared" si="0"/>
        <v>0</v>
      </c>
      <c r="P24" s="385">
        <v>2700000</v>
      </c>
      <c r="Q24" s="358">
        <f t="shared" si="1"/>
        <v>2700000</v>
      </c>
      <c r="R24" s="195"/>
      <c r="S24" s="195"/>
    </row>
    <row r="25" spans="1:19" ht="21.75" customHeight="1" x14ac:dyDescent="0.25">
      <c r="A25" s="470">
        <v>18</v>
      </c>
      <c r="B25" s="487">
        <v>45645</v>
      </c>
      <c r="C25" s="366" t="s">
        <v>5675</v>
      </c>
      <c r="D25" s="501" t="s">
        <v>5694</v>
      </c>
      <c r="E25" s="354" t="s">
        <v>850</v>
      </c>
      <c r="F25" s="461"/>
      <c r="G25" s="369">
        <v>126</v>
      </c>
      <c r="H25" s="358">
        <f t="shared" si="4"/>
        <v>2359980</v>
      </c>
      <c r="I25" s="494"/>
      <c r="J25" s="381">
        <v>790000</v>
      </c>
      <c r="K25" s="371"/>
      <c r="L25" s="372"/>
      <c r="M25" s="381"/>
      <c r="N25" s="381"/>
      <c r="O25" s="358">
        <f t="shared" si="0"/>
        <v>3149980</v>
      </c>
      <c r="P25" s="385">
        <v>5270370</v>
      </c>
      <c r="Q25" s="358">
        <f t="shared" si="1"/>
        <v>2120390</v>
      </c>
      <c r="R25" s="195"/>
      <c r="S25" s="195"/>
    </row>
    <row r="26" spans="1:19" ht="21.75" customHeight="1" x14ac:dyDescent="0.25">
      <c r="A26" s="350">
        <v>19</v>
      </c>
      <c r="B26" s="487">
        <v>45646</v>
      </c>
      <c r="C26" s="366" t="s">
        <v>5676</v>
      </c>
      <c r="D26" s="501" t="s">
        <v>5695</v>
      </c>
      <c r="E26" s="354" t="s">
        <v>5637</v>
      </c>
      <c r="F26" s="461"/>
      <c r="G26" s="369">
        <v>76</v>
      </c>
      <c r="H26" s="358">
        <f t="shared" si="4"/>
        <v>1423480</v>
      </c>
      <c r="I26" s="494"/>
      <c r="J26" s="381">
        <v>610000</v>
      </c>
      <c r="K26" s="371"/>
      <c r="L26" s="372"/>
      <c r="M26" s="381"/>
      <c r="N26" s="381"/>
      <c r="O26" s="358">
        <f t="shared" si="0"/>
        <v>2033480</v>
      </c>
      <c r="P26" s="385">
        <v>3810000</v>
      </c>
      <c r="Q26" s="358">
        <f t="shared" si="1"/>
        <v>1776520</v>
      </c>
      <c r="R26" s="195"/>
      <c r="S26" s="195"/>
    </row>
    <row r="27" spans="1:19" ht="21.75" customHeight="1" x14ac:dyDescent="0.25">
      <c r="A27" s="350">
        <v>20</v>
      </c>
      <c r="B27" s="487">
        <v>45647</v>
      </c>
      <c r="C27" s="366" t="s">
        <v>4676</v>
      </c>
      <c r="D27" s="501" t="s">
        <v>5696</v>
      </c>
      <c r="E27" s="354" t="s">
        <v>4504</v>
      </c>
      <c r="F27" s="461"/>
      <c r="G27" s="369">
        <v>382</v>
      </c>
      <c r="H27" s="358">
        <f>G27*18730</f>
        <v>7154860</v>
      </c>
      <c r="I27" s="494"/>
      <c r="J27" s="381">
        <v>3120000</v>
      </c>
      <c r="K27" s="371"/>
      <c r="L27" s="372"/>
      <c r="M27" s="381"/>
      <c r="N27" s="381"/>
      <c r="O27" s="358">
        <f t="shared" si="0"/>
        <v>10274860</v>
      </c>
      <c r="P27" s="385">
        <v>20400000</v>
      </c>
      <c r="Q27" s="358">
        <f t="shared" si="1"/>
        <v>10125140</v>
      </c>
      <c r="R27" s="195"/>
      <c r="S27" s="195"/>
    </row>
    <row r="28" spans="1:19" ht="21.75" customHeight="1" x14ac:dyDescent="0.25">
      <c r="A28" s="470">
        <v>21</v>
      </c>
      <c r="B28" s="487">
        <v>45649</v>
      </c>
      <c r="C28" s="366" t="s">
        <v>5677</v>
      </c>
      <c r="D28" s="501" t="s">
        <v>5697</v>
      </c>
      <c r="E28" s="354" t="s">
        <v>4699</v>
      </c>
      <c r="F28" s="461"/>
      <c r="G28" s="369">
        <v>397</v>
      </c>
      <c r="H28" s="358">
        <f t="shared" ref="H28:H30" si="5">G28*18730</f>
        <v>7435810</v>
      </c>
      <c r="I28" s="494"/>
      <c r="J28" s="381">
        <v>3748000</v>
      </c>
      <c r="K28" s="371"/>
      <c r="L28" s="372"/>
      <c r="M28" s="381"/>
      <c r="N28" s="381"/>
      <c r="O28" s="358">
        <f t="shared" si="0"/>
        <v>11183810</v>
      </c>
      <c r="P28" s="385">
        <v>21000000</v>
      </c>
      <c r="Q28" s="358">
        <f t="shared" si="1"/>
        <v>9816190</v>
      </c>
      <c r="R28" s="195"/>
      <c r="S28" s="195"/>
    </row>
    <row r="29" spans="1:19" ht="21.75" customHeight="1" x14ac:dyDescent="0.25">
      <c r="A29" s="350">
        <v>22</v>
      </c>
      <c r="B29" s="487">
        <v>45651</v>
      </c>
      <c r="C29" s="366" t="s">
        <v>2844</v>
      </c>
      <c r="D29" s="501" t="s">
        <v>5698</v>
      </c>
      <c r="E29" s="354" t="s">
        <v>5707</v>
      </c>
      <c r="F29" s="461"/>
      <c r="G29" s="369">
        <v>203</v>
      </c>
      <c r="H29" s="358">
        <f t="shared" si="5"/>
        <v>3802190</v>
      </c>
      <c r="I29" s="494"/>
      <c r="J29" s="381">
        <v>1260000</v>
      </c>
      <c r="K29" s="371"/>
      <c r="L29" s="372"/>
      <c r="M29" s="381"/>
      <c r="N29" s="381"/>
      <c r="O29" s="358">
        <f t="shared" si="0"/>
        <v>5062190</v>
      </c>
      <c r="P29" s="385">
        <v>8800000</v>
      </c>
      <c r="Q29" s="358">
        <f t="shared" si="1"/>
        <v>3737810</v>
      </c>
      <c r="R29" s="195"/>
      <c r="S29" s="195"/>
    </row>
    <row r="30" spans="1:19" ht="21.75" customHeight="1" x14ac:dyDescent="0.25">
      <c r="A30" s="350">
        <v>23</v>
      </c>
      <c r="B30" s="487">
        <v>45652</v>
      </c>
      <c r="C30" s="366" t="s">
        <v>5678</v>
      </c>
      <c r="D30" s="501" t="s">
        <v>5699</v>
      </c>
      <c r="E30" s="354" t="s">
        <v>5708</v>
      </c>
      <c r="F30" s="461"/>
      <c r="G30" s="369">
        <v>75</v>
      </c>
      <c r="H30" s="358">
        <f t="shared" si="5"/>
        <v>1404750</v>
      </c>
      <c r="I30" s="494"/>
      <c r="J30" s="381">
        <v>430000</v>
      </c>
      <c r="K30" s="371"/>
      <c r="L30" s="372"/>
      <c r="M30" s="381"/>
      <c r="N30" s="381"/>
      <c r="O30" s="358">
        <f t="shared" si="0"/>
        <v>1834750</v>
      </c>
      <c r="P30" s="385">
        <v>3600000</v>
      </c>
      <c r="Q30" s="358">
        <f t="shared" si="1"/>
        <v>1765250</v>
      </c>
      <c r="R30" s="195"/>
      <c r="S30" s="195"/>
    </row>
    <row r="31" spans="1:19" ht="21.75" customHeight="1" x14ac:dyDescent="0.25">
      <c r="A31" s="470">
        <v>24</v>
      </c>
      <c r="B31" s="487">
        <v>45653</v>
      </c>
      <c r="C31" s="366" t="s">
        <v>5679</v>
      </c>
      <c r="D31" s="501" t="s">
        <v>4089</v>
      </c>
      <c r="E31" s="354" t="s">
        <v>5709</v>
      </c>
      <c r="F31" s="461"/>
      <c r="G31" s="369">
        <v>81</v>
      </c>
      <c r="H31" s="358">
        <f>G31*18630</f>
        <v>1509030</v>
      </c>
      <c r="I31" s="494"/>
      <c r="J31" s="381">
        <v>790000</v>
      </c>
      <c r="K31" s="371"/>
      <c r="L31" s="372"/>
      <c r="M31" s="381"/>
      <c r="N31" s="381"/>
      <c r="O31" s="358">
        <f t="shared" si="0"/>
        <v>2299030</v>
      </c>
      <c r="P31" s="385">
        <v>3840000</v>
      </c>
      <c r="Q31" s="358">
        <f t="shared" si="1"/>
        <v>1540970</v>
      </c>
      <c r="R31" s="195"/>
      <c r="S31" s="195"/>
    </row>
    <row r="32" spans="1:19" ht="21.75" customHeight="1" x14ac:dyDescent="0.25">
      <c r="A32" s="350">
        <v>25</v>
      </c>
      <c r="B32" s="487">
        <v>45654</v>
      </c>
      <c r="C32" s="366" t="s">
        <v>808</v>
      </c>
      <c r="D32" s="501" t="s">
        <v>5700</v>
      </c>
      <c r="E32" s="354" t="s">
        <v>5710</v>
      </c>
      <c r="F32" s="461"/>
      <c r="G32" s="369">
        <v>94</v>
      </c>
      <c r="H32" s="358">
        <f t="shared" ref="H32:H34" si="6">G32*18630</f>
        <v>1751220</v>
      </c>
      <c r="I32" s="494"/>
      <c r="J32" s="381">
        <v>790000</v>
      </c>
      <c r="K32" s="371"/>
      <c r="L32" s="372"/>
      <c r="M32" s="381"/>
      <c r="N32" s="381"/>
      <c r="O32" s="358">
        <f t="shared" si="0"/>
        <v>2541220</v>
      </c>
      <c r="P32" s="385">
        <v>4050000</v>
      </c>
      <c r="Q32" s="358">
        <f t="shared" si="1"/>
        <v>1508780</v>
      </c>
      <c r="R32" s="195"/>
      <c r="S32" s="195"/>
    </row>
    <row r="33" spans="1:19" ht="21.75" customHeight="1" x14ac:dyDescent="0.25">
      <c r="A33" s="470">
        <v>26</v>
      </c>
      <c r="B33" s="487">
        <v>45656</v>
      </c>
      <c r="C33" s="366" t="s">
        <v>5680</v>
      </c>
      <c r="D33" s="501" t="s">
        <v>5701</v>
      </c>
      <c r="E33" s="354" t="s">
        <v>5711</v>
      </c>
      <c r="F33" s="461"/>
      <c r="G33" s="369">
        <v>132</v>
      </c>
      <c r="H33" s="358">
        <f t="shared" si="6"/>
        <v>2459160</v>
      </c>
      <c r="I33" s="494"/>
      <c r="J33" s="381">
        <v>640000</v>
      </c>
      <c r="K33" s="371"/>
      <c r="L33" s="372"/>
      <c r="M33" s="381"/>
      <c r="N33" s="381"/>
      <c r="O33" s="358">
        <f t="shared" si="0"/>
        <v>3099160</v>
      </c>
      <c r="P33" s="385">
        <v>6800000</v>
      </c>
      <c r="Q33" s="358">
        <f t="shared" si="1"/>
        <v>3700840</v>
      </c>
      <c r="R33" s="195"/>
      <c r="S33" s="195"/>
    </row>
    <row r="34" spans="1:19" ht="21.75" customHeight="1" x14ac:dyDescent="0.25">
      <c r="A34" s="350">
        <v>27</v>
      </c>
      <c r="B34" s="487">
        <v>45657</v>
      </c>
      <c r="C34" s="366" t="s">
        <v>5681</v>
      </c>
      <c r="D34" s="501" t="s">
        <v>5702</v>
      </c>
      <c r="E34" s="354" t="s">
        <v>5712</v>
      </c>
      <c r="F34" s="461"/>
      <c r="G34" s="369">
        <v>115</v>
      </c>
      <c r="H34" s="358">
        <f t="shared" si="6"/>
        <v>2142450</v>
      </c>
      <c r="I34" s="494"/>
      <c r="J34" s="381">
        <v>790000</v>
      </c>
      <c r="K34" s="371"/>
      <c r="L34" s="372"/>
      <c r="M34" s="381"/>
      <c r="N34" s="381"/>
      <c r="O34" s="358">
        <f t="shared" si="0"/>
        <v>2932450</v>
      </c>
      <c r="P34" s="385">
        <v>4700000</v>
      </c>
      <c r="Q34" s="358">
        <f t="shared" si="1"/>
        <v>1767550</v>
      </c>
      <c r="R34" s="195"/>
      <c r="S34" s="195"/>
    </row>
    <row r="35" spans="1:19" ht="24.95" customHeight="1" x14ac:dyDescent="0.25">
      <c r="A35" s="374"/>
      <c r="B35" s="488"/>
      <c r="C35" s="609" t="s">
        <v>1273</v>
      </c>
      <c r="D35" s="609"/>
      <c r="E35" s="609"/>
      <c r="F35" s="402"/>
      <c r="G35" s="358"/>
      <c r="H35" s="369"/>
      <c r="I35" s="403"/>
      <c r="J35" s="381"/>
      <c r="K35" s="372">
        <v>1200000</v>
      </c>
      <c r="L35" s="372"/>
      <c r="M35" s="381"/>
      <c r="N35" s="381"/>
      <c r="O35" s="385">
        <f>H35+J35+K35+L35+M35+N35</f>
        <v>1200000</v>
      </c>
      <c r="P35" s="358"/>
      <c r="Q35" s="385"/>
    </row>
    <row r="36" spans="1:19" ht="24.95" customHeight="1" x14ac:dyDescent="0.25">
      <c r="A36" s="386"/>
      <c r="B36" s="379"/>
      <c r="C36" s="594" t="s">
        <v>4535</v>
      </c>
      <c r="D36" s="595"/>
      <c r="E36" s="596"/>
      <c r="F36" s="402"/>
      <c r="G36" s="381"/>
      <c r="H36" s="369"/>
      <c r="J36" s="381"/>
      <c r="K36" s="388">
        <v>14993600</v>
      </c>
      <c r="L36" s="388"/>
      <c r="M36" s="381"/>
      <c r="N36" s="381"/>
      <c r="O36" s="385">
        <f t="shared" ref="O36:O44" si="7">H36+J36+K36+L36+M36+N36</f>
        <v>14993600</v>
      </c>
      <c r="P36" s="358"/>
      <c r="Q36" s="378"/>
    </row>
    <row r="37" spans="1:19" ht="24.95" customHeight="1" x14ac:dyDescent="0.25">
      <c r="A37" s="386"/>
      <c r="B37" s="379"/>
      <c r="C37" s="632" t="s">
        <v>5720</v>
      </c>
      <c r="D37" s="633"/>
      <c r="E37" s="634"/>
      <c r="F37" s="402"/>
      <c r="G37" s="381"/>
      <c r="H37" s="369"/>
      <c r="J37" s="381"/>
      <c r="K37" s="388"/>
      <c r="L37" s="388">
        <v>100000</v>
      </c>
      <c r="M37" s="381"/>
      <c r="N37" s="381"/>
      <c r="O37" s="385">
        <f t="shared" si="7"/>
        <v>100000</v>
      </c>
      <c r="P37" s="358"/>
      <c r="Q37" s="378"/>
    </row>
    <row r="38" spans="1:19" ht="24.95" customHeight="1" x14ac:dyDescent="0.25">
      <c r="A38" s="386"/>
      <c r="B38" s="379"/>
      <c r="C38" s="632" t="s">
        <v>5721</v>
      </c>
      <c r="D38" s="633"/>
      <c r="E38" s="634"/>
      <c r="F38" s="402"/>
      <c r="G38" s="381"/>
      <c r="H38" s="369"/>
      <c r="J38" s="381"/>
      <c r="K38" s="388"/>
      <c r="L38" s="388">
        <v>120000</v>
      </c>
      <c r="M38" s="381"/>
      <c r="N38" s="381"/>
      <c r="O38" s="385">
        <f t="shared" si="7"/>
        <v>120000</v>
      </c>
      <c r="P38" s="358"/>
      <c r="Q38" s="378"/>
    </row>
    <row r="39" spans="1:19" ht="24.95" customHeight="1" x14ac:dyDescent="0.25">
      <c r="A39" s="386"/>
      <c r="B39" s="379"/>
      <c r="C39" s="632" t="s">
        <v>5722</v>
      </c>
      <c r="D39" s="633"/>
      <c r="E39" s="634"/>
      <c r="F39" s="402"/>
      <c r="G39" s="381"/>
      <c r="H39" s="369"/>
      <c r="J39" s="381"/>
      <c r="K39" s="388"/>
      <c r="L39" s="388"/>
      <c r="M39" s="381"/>
      <c r="N39" s="388">
        <f>13500000/4</f>
        <v>3375000</v>
      </c>
      <c r="O39" s="385">
        <f t="shared" si="7"/>
        <v>3375000</v>
      </c>
      <c r="P39" s="358"/>
      <c r="Q39" s="378"/>
    </row>
    <row r="40" spans="1:19" ht="24.95" customHeight="1" x14ac:dyDescent="0.25">
      <c r="A40" s="386"/>
      <c r="B40" s="379"/>
      <c r="C40" s="632" t="s">
        <v>5723</v>
      </c>
      <c r="D40" s="633"/>
      <c r="E40" s="634"/>
      <c r="F40" s="402"/>
      <c r="G40" s="381"/>
      <c r="H40" s="369"/>
      <c r="J40" s="381"/>
      <c r="K40" s="388"/>
      <c r="L40" s="388">
        <v>3099600</v>
      </c>
      <c r="M40" s="381"/>
      <c r="N40" s="381"/>
      <c r="O40" s="385">
        <f t="shared" si="7"/>
        <v>3099600</v>
      </c>
      <c r="P40" s="358"/>
      <c r="Q40" s="378"/>
    </row>
    <row r="41" spans="1:19" ht="24.95" customHeight="1" x14ac:dyDescent="0.25">
      <c r="A41" s="386"/>
      <c r="B41" s="379"/>
      <c r="C41" s="632" t="s">
        <v>5724</v>
      </c>
      <c r="D41" s="633"/>
      <c r="E41" s="634"/>
      <c r="F41" s="402"/>
      <c r="G41" s="381"/>
      <c r="H41" s="369"/>
      <c r="J41" s="381"/>
      <c r="K41" s="388"/>
      <c r="L41" s="388">
        <v>200000</v>
      </c>
      <c r="M41" s="381"/>
      <c r="N41" s="388"/>
      <c r="O41" s="385">
        <f t="shared" si="7"/>
        <v>200000</v>
      </c>
      <c r="P41" s="358"/>
      <c r="Q41" s="378"/>
    </row>
    <row r="42" spans="1:19" ht="24.95" customHeight="1" x14ac:dyDescent="0.25">
      <c r="A42" s="386"/>
      <c r="B42" s="379"/>
      <c r="C42" s="632" t="s">
        <v>5725</v>
      </c>
      <c r="D42" s="633"/>
      <c r="E42" s="634"/>
      <c r="F42" s="402"/>
      <c r="G42" s="381"/>
      <c r="H42" s="369"/>
      <c r="J42" s="381"/>
      <c r="K42" s="388"/>
      <c r="L42" s="388">
        <v>200000</v>
      </c>
      <c r="M42" s="388"/>
      <c r="N42" s="388"/>
      <c r="O42" s="385">
        <f t="shared" si="7"/>
        <v>200000</v>
      </c>
      <c r="P42" s="358"/>
      <c r="Q42" s="378"/>
    </row>
    <row r="43" spans="1:19" ht="24.95" customHeight="1" x14ac:dyDescent="0.25">
      <c r="A43" s="386"/>
      <c r="B43" s="379"/>
      <c r="C43" s="622" t="s">
        <v>5726</v>
      </c>
      <c r="D43" s="623"/>
      <c r="E43" s="624"/>
      <c r="F43" s="402"/>
      <c r="G43" s="381"/>
      <c r="H43" s="369"/>
      <c r="J43" s="381"/>
      <c r="K43" s="388"/>
      <c r="L43" s="388">
        <v>750000</v>
      </c>
      <c r="M43" s="381"/>
      <c r="N43" s="388"/>
      <c r="O43" s="385">
        <f t="shared" si="7"/>
        <v>750000</v>
      </c>
      <c r="P43" s="358"/>
      <c r="Q43" s="378"/>
    </row>
    <row r="44" spans="1:19" ht="24.95" customHeight="1" x14ac:dyDescent="0.25">
      <c r="A44" s="386"/>
      <c r="B44" s="379"/>
      <c r="C44" s="622" t="s">
        <v>5727</v>
      </c>
      <c r="D44" s="623"/>
      <c r="E44" s="624"/>
      <c r="F44" s="402"/>
      <c r="G44" s="381"/>
      <c r="H44" s="369"/>
      <c r="J44" s="381"/>
      <c r="K44" s="388"/>
      <c r="L44" s="388">
        <v>1500000</v>
      </c>
      <c r="M44" s="381"/>
      <c r="N44" s="388"/>
      <c r="O44" s="385">
        <f t="shared" si="7"/>
        <v>1500000</v>
      </c>
      <c r="P44" s="381"/>
      <c r="Q44" s="378"/>
    </row>
    <row r="45" spans="1:19" ht="24.95" customHeight="1" x14ac:dyDescent="0.25">
      <c r="A45" s="386"/>
      <c r="B45" s="391"/>
      <c r="C45" s="579" t="s">
        <v>4333</v>
      </c>
      <c r="D45" s="580"/>
      <c r="E45" s="581"/>
      <c r="F45" s="461"/>
      <c r="G45" s="381"/>
      <c r="H45" s="369"/>
      <c r="I45" s="403"/>
      <c r="J45" s="381"/>
      <c r="K45" s="394">
        <v>8300000</v>
      </c>
      <c r="L45" s="394"/>
      <c r="M45" s="381"/>
      <c r="N45" s="381"/>
      <c r="O45" s="385">
        <f>H45+J45+K45+L45+M45+N45</f>
        <v>8300000</v>
      </c>
      <c r="P45" s="509"/>
      <c r="Q45" s="378"/>
    </row>
    <row r="46" spans="1:19" x14ac:dyDescent="0.25">
      <c r="A46" s="576" t="s">
        <v>19</v>
      </c>
      <c r="B46" s="577"/>
      <c r="C46" s="577"/>
      <c r="D46" s="577"/>
      <c r="E46" s="577"/>
      <c r="F46" s="578"/>
      <c r="G46" s="395">
        <f>SUM(G8:G45)</f>
        <v>3163</v>
      </c>
      <c r="H46" s="396">
        <f>SUM(H7:H45)</f>
        <v>58841760</v>
      </c>
      <c r="I46" s="396">
        <f>SUM(I7:I45)</f>
        <v>0</v>
      </c>
      <c r="J46" s="396">
        <f>SUM(J7:J45)</f>
        <v>26596000</v>
      </c>
      <c r="K46" s="396">
        <f>SUM(K7:K45)</f>
        <v>24493600</v>
      </c>
      <c r="L46" s="396">
        <f>SUM(L7:L45)</f>
        <v>5969600</v>
      </c>
      <c r="M46" s="396">
        <f>SUM(M7:M45)</f>
        <v>0</v>
      </c>
      <c r="N46" s="396">
        <f>SUM(N7:N45)</f>
        <v>3375000</v>
      </c>
      <c r="O46" s="396">
        <f>SUM(O7:O45)</f>
        <v>119275960</v>
      </c>
      <c r="P46" s="397">
        <f>SUM(P7:P45)</f>
        <v>160507778</v>
      </c>
      <c r="Q46" s="396">
        <f>P46-O46</f>
        <v>41231818</v>
      </c>
      <c r="R46" s="195"/>
    </row>
    <row r="47" spans="1:19" x14ac:dyDescent="0.25">
      <c r="P47" s="294"/>
      <c r="Q47" s="295"/>
    </row>
    <row r="48" spans="1:19" x14ac:dyDescent="0.25">
      <c r="B48"/>
      <c r="G48"/>
      <c r="H48" s="294"/>
      <c r="P48" s="296" t="s">
        <v>1225</v>
      </c>
      <c r="Q48" s="295">
        <f>'11.2024'!Q42+'12.2024'!Q46</f>
        <v>367284673</v>
      </c>
    </row>
    <row r="49" spans="2:18" x14ac:dyDescent="0.25">
      <c r="B49"/>
      <c r="G49"/>
      <c r="Q49" s="294"/>
    </row>
    <row r="50" spans="2:18" x14ac:dyDescent="0.25">
      <c r="B50"/>
      <c r="G50"/>
      <c r="R50" s="195"/>
    </row>
  </sheetData>
  <mergeCells count="16">
    <mergeCell ref="C43:E43"/>
    <mergeCell ref="C44:E44"/>
    <mergeCell ref="C45:E45"/>
    <mergeCell ref="A46:F46"/>
    <mergeCell ref="C42:E42"/>
    <mergeCell ref="A1:Q1"/>
    <mergeCell ref="A2:Q2"/>
    <mergeCell ref="A3:Q3"/>
    <mergeCell ref="G5:N5"/>
    <mergeCell ref="C35:E35"/>
    <mergeCell ref="C36:E36"/>
    <mergeCell ref="C37:E37"/>
    <mergeCell ref="C38:E38"/>
    <mergeCell ref="C39:E39"/>
    <mergeCell ref="C40:E40"/>
    <mergeCell ref="C41:E41"/>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109</vt:i4>
      </vt:variant>
    </vt:vector>
  </HeadingPairs>
  <TitlesOfParts>
    <vt:vector size="109" baseType="lpstr">
      <vt:lpstr>T12.2015</vt:lpstr>
      <vt:lpstr>T01.2016</vt:lpstr>
      <vt:lpstr>T02.2016</vt:lpstr>
      <vt:lpstr>03-2016</vt:lpstr>
      <vt:lpstr>04-2016</vt:lpstr>
      <vt:lpstr>05-2016</vt:lpstr>
      <vt:lpstr>06-2016</vt:lpstr>
      <vt:lpstr>07-2016</vt:lpstr>
      <vt:lpstr>08-2016</vt:lpstr>
      <vt:lpstr>09-2016</vt:lpstr>
      <vt:lpstr>10-2016</vt:lpstr>
      <vt:lpstr>11-2016</vt:lpstr>
      <vt:lpstr>12-2016</vt:lpstr>
      <vt:lpstr>01-2017</vt:lpstr>
      <vt:lpstr>02-2017</vt:lpstr>
      <vt:lpstr>03-2017</vt:lpstr>
      <vt:lpstr>04-2017</vt:lpstr>
      <vt:lpstr>05-2017</vt:lpstr>
      <vt:lpstr>06-2017</vt:lpstr>
      <vt:lpstr>07-2017</vt:lpstr>
      <vt:lpstr>08-2017</vt:lpstr>
      <vt:lpstr>09-2017</vt:lpstr>
      <vt:lpstr>10-2017</vt:lpstr>
      <vt:lpstr>11-2017</vt:lpstr>
      <vt:lpstr>12-2017</vt:lpstr>
      <vt:lpstr>01-2018</vt:lpstr>
      <vt:lpstr>02-2018</vt:lpstr>
      <vt:lpstr>03-2018</vt:lpstr>
      <vt:lpstr>04-2018</vt:lpstr>
      <vt:lpstr>05-2018</vt:lpstr>
      <vt:lpstr>06-2018</vt:lpstr>
      <vt:lpstr>07-2018</vt:lpstr>
      <vt:lpstr>08-2018</vt:lpstr>
      <vt:lpstr>09-2018</vt:lpstr>
      <vt:lpstr>10-2018</vt:lpstr>
      <vt:lpstr>11.2018</vt:lpstr>
      <vt:lpstr>12.2018</vt:lpstr>
      <vt:lpstr>1.2019</vt:lpstr>
      <vt:lpstr>2.2019</vt:lpstr>
      <vt:lpstr>3.2019</vt:lpstr>
      <vt:lpstr>4.2019</vt:lpstr>
      <vt:lpstr>05.2019</vt:lpstr>
      <vt:lpstr>06.2019</vt:lpstr>
      <vt:lpstr>07.2019</vt:lpstr>
      <vt:lpstr>08.2019</vt:lpstr>
      <vt:lpstr>09.2019</vt:lpstr>
      <vt:lpstr>10.2019</vt:lpstr>
      <vt:lpstr>11.2019</vt:lpstr>
      <vt:lpstr>12.2019</vt:lpstr>
      <vt:lpstr>01.2020</vt:lpstr>
      <vt:lpstr>02.2020</vt:lpstr>
      <vt:lpstr>03.2020</vt:lpstr>
      <vt:lpstr>04.2020</vt:lpstr>
      <vt:lpstr>05.2020</vt:lpstr>
      <vt:lpstr>06.2020</vt:lpstr>
      <vt:lpstr>07.2020</vt:lpstr>
      <vt:lpstr>08.2020</vt:lpstr>
      <vt:lpstr>09.2020</vt:lpstr>
      <vt:lpstr>10.2020</vt:lpstr>
      <vt:lpstr>11.2020</vt:lpstr>
      <vt:lpstr>12.2020</vt:lpstr>
      <vt:lpstr>01.2021</vt:lpstr>
      <vt:lpstr>02.2021</vt:lpstr>
      <vt:lpstr>03.2021</vt:lpstr>
      <vt:lpstr>04.2021</vt:lpstr>
      <vt:lpstr>05.2021</vt:lpstr>
      <vt:lpstr>06.2021</vt:lpstr>
      <vt:lpstr>07.2021</vt:lpstr>
      <vt:lpstr>08.2021</vt:lpstr>
      <vt:lpstr>09.2021</vt:lpstr>
      <vt:lpstr>10.2021</vt:lpstr>
      <vt:lpstr>11.2021</vt:lpstr>
      <vt:lpstr>12.2021</vt:lpstr>
      <vt:lpstr>01.2022</vt:lpstr>
      <vt:lpstr>02.2022</vt:lpstr>
      <vt:lpstr>03.2022</vt:lpstr>
      <vt:lpstr>04.2022</vt:lpstr>
      <vt:lpstr>05.2022</vt:lpstr>
      <vt:lpstr>06.2022</vt:lpstr>
      <vt:lpstr>07.2022</vt:lpstr>
      <vt:lpstr>08.2022</vt:lpstr>
      <vt:lpstr>09.2022</vt:lpstr>
      <vt:lpstr>10.2022</vt:lpstr>
      <vt:lpstr>11.2022</vt:lpstr>
      <vt:lpstr>12.2022</vt:lpstr>
      <vt:lpstr>01.2023</vt:lpstr>
      <vt:lpstr>02.2023</vt:lpstr>
      <vt:lpstr>03.2023</vt:lpstr>
      <vt:lpstr>04.2023</vt:lpstr>
      <vt:lpstr>05.2023</vt:lpstr>
      <vt:lpstr>06.2023</vt:lpstr>
      <vt:lpstr>07.2023</vt:lpstr>
      <vt:lpstr>08.2023</vt:lpstr>
      <vt:lpstr>09.2023</vt:lpstr>
      <vt:lpstr>10.2023</vt:lpstr>
      <vt:lpstr>11.2023</vt:lpstr>
      <vt:lpstr>12.2023</vt:lpstr>
      <vt:lpstr>01.2024</vt:lpstr>
      <vt:lpstr>02.2024</vt:lpstr>
      <vt:lpstr>03.2024</vt:lpstr>
      <vt:lpstr>04.2024</vt:lpstr>
      <vt:lpstr>05.2024</vt:lpstr>
      <vt:lpstr>06.2024</vt:lpstr>
      <vt:lpstr>07.2024</vt:lpstr>
      <vt:lpstr>08.2024</vt:lpstr>
      <vt:lpstr>09.2024</vt:lpstr>
      <vt:lpstr>10.2024</vt:lpstr>
      <vt:lpstr>11.2024</vt:lpstr>
      <vt:lpstr>12.2024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dc:creator>
  <cp:lastModifiedBy>Ngoc Anh Pham</cp:lastModifiedBy>
  <cp:lastPrinted>2022-01-21T03:59:21Z</cp:lastPrinted>
  <dcterms:created xsi:type="dcterms:W3CDTF">2015-04-14T07:20:02Z</dcterms:created>
  <dcterms:modified xsi:type="dcterms:W3CDTF">2025-01-23T09:11:17Z</dcterms:modified>
</cp:coreProperties>
</file>